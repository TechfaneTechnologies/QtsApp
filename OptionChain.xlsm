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coding\QtsApp\workings\v2\"/>
    </mc:Choice>
  </mc:AlternateContent>
  <xr:revisionPtr revIDLastSave="0" documentId="13_ncr:1_{7771C2C5-6FAF-4D23-ADA2-33475E91D860}" xr6:coauthVersionLast="47" xr6:coauthVersionMax="47" xr10:uidLastSave="{00000000-0000-0000-0000-000000000000}"/>
  <bookViews>
    <workbookView xWindow="-120" yWindow="-120" windowWidth="20730" windowHeight="11760" tabRatio="659" firstSheet="1" activeTab="1" xr2:uid="{9B2D6A99-9D19-47DD-993A-FF02CE232000}"/>
  </bookViews>
  <sheets>
    <sheet name="RawData" sheetId="12" state="hidden" r:id="rId1"/>
    <sheet name="OptionChain" sheetId="5" r:id="rId2"/>
    <sheet name="OptionChainLive" sheetId="13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2" l="1" a="1"/>
  <c r="I3" i="12"/>
  <c r="I4" i="12" a="1"/>
  <c r="I4" i="12"/>
  <c r="I5" i="12" a="1"/>
  <c r="I5" i="12"/>
  <c r="I6" i="12" a="1"/>
  <c r="I6" i="12"/>
  <c r="I7" i="12" a="1"/>
  <c r="I7" i="12"/>
  <c r="I8" i="12" a="1"/>
  <c r="I8" i="12"/>
  <c r="I9" i="12" a="1"/>
  <c r="I9" i="12"/>
  <c r="I10" i="12" a="1"/>
  <c r="I10" i="12"/>
  <c r="I11" i="12" a="1"/>
  <c r="I11" i="12"/>
  <c r="I12" i="12" a="1"/>
  <c r="I12" i="12"/>
  <c r="I13" i="12" a="1"/>
  <c r="I13" i="12"/>
  <c r="I14" i="12" a="1"/>
  <c r="I14" i="12"/>
  <c r="I15" i="12" a="1"/>
  <c r="I15" i="12"/>
  <c r="I16" i="12" a="1"/>
  <c r="I16" i="12"/>
  <c r="I17" i="12" a="1"/>
  <c r="I17" i="12"/>
  <c r="I18" i="12" a="1"/>
  <c r="I18" i="12"/>
  <c r="I19" i="12" a="1"/>
  <c r="I19" i="12"/>
  <c r="I20" i="12" a="1"/>
  <c r="I20" i="12"/>
  <c r="I21" i="12" a="1"/>
  <c r="I21" i="12"/>
  <c r="I22" i="12" a="1"/>
  <c r="I22" i="12"/>
  <c r="I23" i="12" a="1"/>
  <c r="I23" i="12"/>
  <c r="I24" i="12" a="1"/>
  <c r="I24" i="12"/>
  <c r="I25" i="12" a="1"/>
  <c r="I25" i="12"/>
  <c r="I26" i="12" a="1"/>
  <c r="I26" i="12"/>
  <c r="I27" i="12" a="1"/>
  <c r="I27" i="12"/>
  <c r="I28" i="12" a="1"/>
  <c r="I28" i="12"/>
  <c r="I29" i="12" a="1"/>
  <c r="I29" i="12" s="1"/>
  <c r="I30" i="12" a="1"/>
  <c r="I30" i="12" s="1"/>
  <c r="I2" i="12" a="1"/>
  <c r="I2" i="12" s="1"/>
  <c r="H3" i="12" a="1"/>
  <c r="H3" i="12" s="1"/>
  <c r="H4" i="12" a="1"/>
  <c r="H4" i="12" s="1"/>
  <c r="H5" i="12" a="1"/>
  <c r="H5" i="12" s="1"/>
  <c r="H6" i="12" a="1"/>
  <c r="H6" i="12" s="1"/>
  <c r="H7" i="12" a="1"/>
  <c r="H7" i="12" s="1"/>
  <c r="H8" i="12" a="1"/>
  <c r="H8" i="12" s="1"/>
  <c r="H9" i="12" a="1"/>
  <c r="H9" i="12" s="1"/>
  <c r="H10" i="12" a="1"/>
  <c r="H10" i="12" s="1"/>
  <c r="H11" i="12" a="1"/>
  <c r="H11" i="12" s="1"/>
  <c r="H12" i="12" a="1"/>
  <c r="H12" i="12" s="1"/>
  <c r="H13" i="12" a="1"/>
  <c r="H13" i="12" s="1"/>
  <c r="H14" i="12" a="1"/>
  <c r="H14" i="12" s="1"/>
  <c r="H15" i="12" a="1"/>
  <c r="H15" i="12" s="1"/>
  <c r="H16" i="12" a="1"/>
  <c r="H16" i="12"/>
  <c r="H17" i="12" a="1"/>
  <c r="H17" i="12" s="1"/>
  <c r="H18" i="12" a="1"/>
  <c r="H18" i="12"/>
  <c r="H19" i="12" a="1"/>
  <c r="H19" i="12" s="1"/>
  <c r="H20" i="12" a="1"/>
  <c r="H20" i="12" s="1"/>
  <c r="H21" i="12" a="1"/>
  <c r="H21" i="12" s="1"/>
  <c r="H22" i="12" a="1"/>
  <c r="H22" i="12" s="1"/>
  <c r="H23" i="12" a="1"/>
  <c r="H23" i="12" s="1"/>
  <c r="H24" i="12" a="1"/>
  <c r="H24" i="12" s="1"/>
  <c r="H25" i="12" a="1"/>
  <c r="H25" i="12" s="1"/>
  <c r="H26" i="12" a="1"/>
  <c r="H26" i="12" s="1"/>
  <c r="H27" i="12" a="1"/>
  <c r="H27" i="12" s="1"/>
  <c r="H28" i="12" a="1"/>
  <c r="H28" i="12" s="1"/>
  <c r="H29" i="12" a="1"/>
  <c r="H29" i="12" s="1"/>
  <c r="H30" i="12" a="1"/>
  <c r="H30" i="12" s="1"/>
  <c r="H2" i="12" a="1"/>
  <c r="H2" i="12" s="1"/>
  <c r="G220" i="12" a="1"/>
  <c r="G220" i="12" s="1"/>
  <c r="G206" i="12" a="1"/>
  <c r="G206" i="12" s="1"/>
  <c r="G169" i="12" a="1"/>
  <c r="G169" i="12" s="1"/>
  <c r="G106" i="12" a="1"/>
  <c r="G106" i="12" s="1"/>
  <c r="G3" i="12" a="1"/>
  <c r="G3" i="12" s="1"/>
  <c r="G2" i="12" a="1"/>
  <c r="G2" i="12" s="1"/>
  <c r="G207" i="12" l="1" a="1"/>
  <c r="G207" i="12" s="1"/>
  <c r="G208" i="12" s="1" a="1"/>
  <c r="G208" i="12" s="1"/>
  <c r="G170" i="12" a="1"/>
  <c r="G170" i="12" s="1"/>
  <c r="G171" i="12" s="1" a="1"/>
  <c r="G171" i="12" s="1"/>
  <c r="G107" i="12" a="1"/>
  <c r="G107" i="12" s="1"/>
  <c r="G108" i="12" s="1" a="1"/>
  <c r="G108" i="12" s="1"/>
  <c r="G4" i="12" a="1"/>
  <c r="G4" i="12" s="1"/>
  <c r="G5" i="12" a="1"/>
  <c r="G5" i="12" s="1"/>
  <c r="G209" i="12" l="1" a="1"/>
  <c r="G209" i="12" s="1"/>
  <c r="G172" i="12" a="1"/>
  <c r="G172" i="12" s="1"/>
  <c r="G173" i="12" a="1"/>
  <c r="G173" i="12" s="1"/>
  <c r="G109" i="12" a="1"/>
  <c r="G109" i="12" s="1"/>
  <c r="G110" i="12" a="1"/>
  <c r="G110" i="12" s="1"/>
  <c r="G111" i="12" a="1"/>
  <c r="G111" i="12" s="1"/>
  <c r="G112" i="12" a="1"/>
  <c r="G112" i="12" s="1"/>
  <c r="G7" i="12" a="1"/>
  <c r="G7" i="12" s="1"/>
  <c r="G6" i="12" a="1"/>
  <c r="G6" i="12" s="1"/>
  <c r="G210" i="12" l="1" a="1"/>
  <c r="G210" i="12" s="1"/>
  <c r="G174" i="12" a="1"/>
  <c r="G174" i="12" s="1"/>
  <c r="G175" i="12" a="1"/>
  <c r="G175" i="12" s="1"/>
  <c r="G113" i="12" a="1"/>
  <c r="G113" i="12" s="1"/>
  <c r="G8" i="12" a="1"/>
  <c r="G8" i="12" s="1"/>
  <c r="G211" i="12" l="1" a="1"/>
  <c r="G211" i="12" s="1"/>
  <c r="G176" i="12" a="1"/>
  <c r="G176" i="12" s="1"/>
  <c r="G114" i="12" a="1"/>
  <c r="G114" i="12" s="1"/>
  <c r="G9" i="12" a="1"/>
  <c r="G9" i="12" s="1"/>
  <c r="G212" i="12" l="1" a="1"/>
  <c r="G212" i="12" s="1"/>
  <c r="G213" i="12" s="1" a="1"/>
  <c r="G213" i="12" s="1"/>
  <c r="G214" i="12" s="1" a="1"/>
  <c r="G214" i="12" s="1"/>
  <c r="G215" i="12" s="1" a="1"/>
  <c r="G215" i="12" s="1"/>
  <c r="G216" i="12" s="1" a="1"/>
  <c r="G216" i="12" s="1"/>
  <c r="G217" i="12" s="1" a="1"/>
  <c r="G217" i="12" s="1"/>
  <c r="G218" i="12" s="1" a="1"/>
  <c r="G218" i="12" s="1"/>
  <c r="G219" i="12" s="1" a="1"/>
  <c r="G219" i="12" s="1"/>
  <c r="G177" i="12" a="1"/>
  <c r="G177" i="12" s="1"/>
  <c r="G178" i="12" a="1"/>
  <c r="G178" i="12" s="1"/>
  <c r="G179" i="12" s="1" a="1"/>
  <c r="G179" i="12" s="1"/>
  <c r="G116" i="12" a="1"/>
  <c r="G116" i="12" s="1"/>
  <c r="G115" i="12" a="1"/>
  <c r="G115" i="12" s="1"/>
  <c r="G117" i="12" s="1" a="1"/>
  <c r="G117" i="12" s="1"/>
  <c r="G118" i="12" s="1" a="1"/>
  <c r="G118" i="12" s="1"/>
  <c r="G119" i="12" s="1" a="1"/>
  <c r="G119" i="12" s="1"/>
  <c r="G120" i="12" s="1" a="1"/>
  <c r="G120" i="12" s="1"/>
  <c r="G121" i="12" s="1" a="1"/>
  <c r="G121" i="12" s="1"/>
  <c r="G122" i="12" s="1" a="1"/>
  <c r="G122" i="12" s="1"/>
  <c r="G10" i="12" a="1"/>
  <c r="G10" i="12" s="1"/>
  <c r="G11" i="12" a="1"/>
  <c r="G11" i="12" s="1"/>
  <c r="G180" i="12" l="1" a="1"/>
  <c r="G180" i="12" s="1"/>
  <c r="G181" i="12" s="1" a="1"/>
  <c r="G181" i="12" s="1"/>
  <c r="G182" i="12" s="1" a="1"/>
  <c r="G182" i="12" s="1"/>
  <c r="G183" i="12" s="1" a="1"/>
  <c r="G183" i="12" s="1"/>
  <c r="G184" i="12" s="1" a="1"/>
  <c r="G184" i="12" s="1"/>
  <c r="G185" i="12" s="1" a="1"/>
  <c r="G185" i="12" s="1"/>
  <c r="G186" i="12" s="1" a="1"/>
  <c r="G186" i="12" s="1"/>
  <c r="G187" i="12" s="1" a="1"/>
  <c r="G187" i="12" s="1"/>
  <c r="G188" i="12" s="1" a="1"/>
  <c r="G188" i="12" s="1"/>
  <c r="G189" i="12" s="1" a="1"/>
  <c r="G189" i="12" s="1"/>
  <c r="G190" i="12" s="1" a="1"/>
  <c r="G190" i="12" s="1"/>
  <c r="G191" i="12" s="1" a="1"/>
  <c r="G191" i="12" s="1"/>
  <c r="G192" i="12" s="1" a="1"/>
  <c r="G192" i="12" s="1"/>
  <c r="G193" i="12" s="1" a="1"/>
  <c r="G193" i="12" s="1"/>
  <c r="G194" i="12" s="1" a="1"/>
  <c r="G194" i="12" s="1"/>
  <c r="G195" i="12" s="1" a="1"/>
  <c r="G195" i="12" s="1"/>
  <c r="G196" i="12" s="1" a="1"/>
  <c r="G196" i="12" s="1"/>
  <c r="G197" i="12" s="1" a="1"/>
  <c r="G197" i="12" s="1"/>
  <c r="G198" i="12" s="1" a="1"/>
  <c r="G198" i="12" s="1"/>
  <c r="G199" i="12" s="1" a="1"/>
  <c r="G199" i="12" s="1"/>
  <c r="G200" i="12" s="1" a="1"/>
  <c r="G200" i="12" s="1"/>
  <c r="G201" i="12" s="1" a="1"/>
  <c r="G201" i="12" s="1"/>
  <c r="G202" i="12" s="1" a="1"/>
  <c r="G202" i="12" s="1"/>
  <c r="G203" i="12" s="1" a="1"/>
  <c r="G203" i="12" s="1"/>
  <c r="G204" i="12" s="1" a="1"/>
  <c r="G204" i="12" s="1"/>
  <c r="G205" i="12" s="1" a="1"/>
  <c r="G205" i="12" s="1"/>
  <c r="G123" i="12" a="1"/>
  <c r="G123" i="12" s="1"/>
  <c r="G124" i="12" s="1" a="1"/>
  <c r="G124" i="12" s="1"/>
  <c r="G125" i="12" s="1" a="1"/>
  <c r="G125" i="12" s="1"/>
  <c r="G126" i="12" s="1" a="1"/>
  <c r="G126" i="12" s="1"/>
  <c r="G127" i="12" s="1" a="1"/>
  <c r="G127" i="12" s="1"/>
  <c r="G128" i="12" s="1" a="1"/>
  <c r="G128" i="12" s="1"/>
  <c r="G129" i="12" s="1" a="1"/>
  <c r="G129" i="12" s="1"/>
  <c r="G130" i="12" s="1" a="1"/>
  <c r="G130" i="12" s="1"/>
  <c r="G131" i="12" s="1" a="1"/>
  <c r="G131" i="12" s="1"/>
  <c r="G132" i="12" s="1" a="1"/>
  <c r="G132" i="12" s="1"/>
  <c r="G133" i="12" s="1" a="1"/>
  <c r="G133" i="12" s="1"/>
  <c r="G134" i="12" s="1" a="1"/>
  <c r="G134" i="12" s="1"/>
  <c r="G135" i="12" s="1" a="1"/>
  <c r="G135" i="12" s="1"/>
  <c r="G136" i="12" s="1" a="1"/>
  <c r="G136" i="12" s="1"/>
  <c r="G137" i="12" s="1" a="1"/>
  <c r="G137" i="12" s="1"/>
  <c r="G138" i="12" s="1" a="1"/>
  <c r="G138" i="12" s="1"/>
  <c r="G139" i="12" s="1" a="1"/>
  <c r="G139" i="12" s="1"/>
  <c r="G140" i="12" s="1" a="1"/>
  <c r="G140" i="12" s="1"/>
  <c r="G141" i="12" s="1" a="1"/>
  <c r="G141" i="12" s="1"/>
  <c r="G142" i="12" s="1" a="1"/>
  <c r="G142" i="12" s="1"/>
  <c r="G143" i="12" s="1" a="1"/>
  <c r="G143" i="12" s="1"/>
  <c r="G144" i="12" s="1" a="1"/>
  <c r="G144" i="12" s="1"/>
  <c r="G145" i="12" s="1" a="1"/>
  <c r="G145" i="12" s="1"/>
  <c r="G146" i="12" s="1" a="1"/>
  <c r="G146" i="12" s="1"/>
  <c r="G147" i="12" s="1" a="1"/>
  <c r="G147" i="12" s="1"/>
  <c r="G148" i="12" s="1" a="1"/>
  <c r="G148" i="12" s="1"/>
  <c r="G149" i="12" s="1" a="1"/>
  <c r="G149" i="12" s="1"/>
  <c r="G150" i="12" s="1" a="1"/>
  <c r="G150" i="12" s="1"/>
  <c r="G151" i="12" s="1" a="1"/>
  <c r="G151" i="12" s="1"/>
  <c r="G152" i="12" s="1" a="1"/>
  <c r="G152" i="12" s="1"/>
  <c r="G153" i="12" s="1" a="1"/>
  <c r="G153" i="12" s="1"/>
  <c r="G154" i="12" s="1" a="1"/>
  <c r="G154" i="12" s="1"/>
  <c r="G155" i="12" s="1" a="1"/>
  <c r="G155" i="12" s="1"/>
  <c r="G156" i="12" s="1" a="1"/>
  <c r="G156" i="12" s="1"/>
  <c r="G157" i="12" s="1" a="1"/>
  <c r="G157" i="12" s="1"/>
  <c r="G158" i="12" s="1" a="1"/>
  <c r="G158" i="12" s="1"/>
  <c r="G159" i="12" s="1" a="1"/>
  <c r="G159" i="12" s="1"/>
  <c r="G160" i="12" s="1" a="1"/>
  <c r="G160" i="12" s="1"/>
  <c r="G161" i="12" s="1" a="1"/>
  <c r="G161" i="12" s="1"/>
  <c r="G162" i="12" s="1" a="1"/>
  <c r="G162" i="12" s="1"/>
  <c r="G163" i="12" s="1" a="1"/>
  <c r="G163" i="12" s="1"/>
  <c r="G164" i="12" s="1" a="1"/>
  <c r="G164" i="12" s="1"/>
  <c r="G165" i="12" s="1" a="1"/>
  <c r="G165" i="12" s="1"/>
  <c r="G166" i="12" s="1" a="1"/>
  <c r="G166" i="12" s="1"/>
  <c r="G167" i="12" s="1" a="1"/>
  <c r="G167" i="12" s="1"/>
  <c r="G168" i="12" s="1" a="1"/>
  <c r="G168" i="12" s="1"/>
  <c r="G12" i="12" a="1"/>
  <c r="G12" i="12" s="1"/>
  <c r="G13" i="12" l="1" a="1"/>
  <c r="G13" i="12" s="1"/>
  <c r="G14" i="12" l="1" a="1"/>
  <c r="G14" i="12" s="1"/>
  <c r="G15" i="12" s="1" a="1"/>
  <c r="G15" i="12" s="1"/>
  <c r="G16" i="12" s="1" a="1"/>
  <c r="G16" i="12" s="1"/>
  <c r="G17" i="12" s="1" a="1"/>
  <c r="G17" i="12" s="1"/>
  <c r="G18" i="12" s="1" a="1"/>
  <c r="G18" i="12" s="1"/>
  <c r="G19" i="12" s="1" a="1"/>
  <c r="G19" i="12" s="1"/>
  <c r="G20" i="12" s="1" a="1"/>
  <c r="G20" i="12" s="1"/>
  <c r="G21" i="12" s="1" a="1"/>
  <c r="G21" i="12" s="1"/>
  <c r="G22" i="12" s="1" a="1"/>
  <c r="G22" i="12" s="1"/>
  <c r="G23" i="12" s="1" a="1"/>
  <c r="G23" i="12" s="1"/>
  <c r="G24" i="12" s="1" a="1"/>
  <c r="G24" i="12" s="1"/>
  <c r="G25" i="12" s="1" a="1"/>
  <c r="G25" i="12" s="1"/>
  <c r="G26" i="12" s="1" a="1"/>
  <c r="G26" i="12" s="1"/>
  <c r="G27" i="12" s="1" a="1"/>
  <c r="G27" i="12" s="1"/>
  <c r="G28" i="12" s="1" a="1"/>
  <c r="G28" i="12" s="1"/>
  <c r="G29" i="12" s="1" a="1"/>
  <c r="G29" i="12" s="1"/>
  <c r="G30" i="12" s="1" a="1"/>
  <c r="G30" i="12" s="1"/>
  <c r="G31" i="12" s="1" a="1"/>
  <c r="G31" i="12" s="1"/>
  <c r="G32" i="12" s="1" a="1"/>
  <c r="G32" i="12" s="1"/>
  <c r="G33" i="12" s="1" a="1"/>
  <c r="G33" i="12" s="1"/>
  <c r="G34" i="12" s="1" a="1"/>
  <c r="G34" i="12" s="1"/>
  <c r="G35" i="12" s="1" a="1"/>
  <c r="G35" i="12" s="1"/>
  <c r="G36" i="12" s="1" a="1"/>
  <c r="G36" i="12" s="1"/>
  <c r="G37" i="12" s="1" a="1"/>
  <c r="G37" i="12" s="1"/>
  <c r="G38" i="12" s="1" a="1"/>
  <c r="G38" i="12" s="1"/>
  <c r="G39" i="12" s="1" a="1"/>
  <c r="G39" i="12" s="1"/>
  <c r="G40" i="12" s="1" a="1"/>
  <c r="G40" i="12" s="1"/>
  <c r="G41" i="12" s="1" a="1"/>
  <c r="G41" i="12" s="1"/>
  <c r="G42" i="12" s="1" a="1"/>
  <c r="G42" i="12" s="1"/>
  <c r="G43" i="12" s="1" a="1"/>
  <c r="G43" i="12" s="1"/>
  <c r="G44" i="12" s="1" a="1"/>
  <c r="G44" i="12" s="1"/>
  <c r="G45" i="12" s="1" a="1"/>
  <c r="G45" i="12" s="1"/>
  <c r="G46" i="12" s="1" a="1"/>
  <c r="G46" i="12" s="1"/>
  <c r="G47" i="12" s="1" a="1"/>
  <c r="G47" i="12" s="1"/>
  <c r="G48" i="12" s="1" a="1"/>
  <c r="G48" i="12" s="1"/>
  <c r="G49" i="12" s="1" a="1"/>
  <c r="G49" i="12" s="1"/>
  <c r="G50" i="12" s="1" a="1"/>
  <c r="G50" i="12" s="1"/>
  <c r="G51" i="12" s="1" a="1"/>
  <c r="G51" i="12" s="1"/>
  <c r="G52" i="12" s="1" a="1"/>
  <c r="G52" i="12" s="1"/>
  <c r="G53" i="12" s="1" a="1"/>
  <c r="G53" i="12" s="1"/>
  <c r="G54" i="12" s="1" a="1"/>
  <c r="G54" i="12" s="1"/>
  <c r="G55" i="12" s="1" a="1"/>
  <c r="G55" i="12" s="1"/>
  <c r="G56" i="12" s="1" a="1"/>
  <c r="G56" i="12" s="1"/>
  <c r="G57" i="12" s="1" a="1"/>
  <c r="G57" i="12" s="1"/>
  <c r="G58" i="12" s="1" a="1"/>
  <c r="G58" i="12" s="1"/>
  <c r="G59" i="12" s="1" a="1"/>
  <c r="G59" i="12" s="1"/>
  <c r="G60" i="12" s="1" a="1"/>
  <c r="G60" i="12" s="1"/>
  <c r="G61" i="12" s="1" a="1"/>
  <c r="G61" i="12" s="1"/>
  <c r="G62" i="12" s="1" a="1"/>
  <c r="G62" i="12" s="1"/>
  <c r="G63" i="12" s="1" a="1"/>
  <c r="G63" i="12" s="1"/>
  <c r="G64" i="12" s="1" a="1"/>
  <c r="G64" i="12" s="1"/>
  <c r="G65" i="12" s="1" a="1"/>
  <c r="G65" i="12" s="1"/>
  <c r="G66" i="12" s="1" a="1"/>
  <c r="G66" i="12" s="1"/>
  <c r="G67" i="12" s="1" a="1"/>
  <c r="G67" i="12" s="1"/>
  <c r="G68" i="12" s="1" a="1"/>
  <c r="G68" i="12" s="1"/>
  <c r="G69" i="12" s="1" a="1"/>
  <c r="G69" i="12" s="1"/>
  <c r="G70" i="12" s="1" a="1"/>
  <c r="G70" i="12" s="1"/>
  <c r="G71" i="12" s="1" a="1"/>
  <c r="G71" i="12" s="1"/>
  <c r="G72" i="12" s="1" a="1"/>
  <c r="G72" i="12" s="1"/>
  <c r="G73" i="12" s="1" a="1"/>
  <c r="G73" i="12" s="1"/>
  <c r="G74" i="12" s="1" a="1"/>
  <c r="G74" i="12" s="1"/>
  <c r="G75" i="12" s="1" a="1"/>
  <c r="G75" i="12" s="1"/>
  <c r="G76" i="12" s="1" a="1"/>
  <c r="G76" i="12" s="1"/>
  <c r="G77" i="12" s="1" a="1"/>
  <c r="G77" i="12" s="1"/>
  <c r="G78" i="12" s="1" a="1"/>
  <c r="G78" i="12" s="1"/>
  <c r="G79" i="12" s="1" a="1"/>
  <c r="G79" i="12" s="1"/>
  <c r="G80" i="12" s="1" a="1"/>
  <c r="G80" i="12" s="1"/>
  <c r="G81" i="12" s="1" a="1"/>
  <c r="G81" i="12" s="1"/>
  <c r="G82" i="12" s="1" a="1"/>
  <c r="G82" i="12" s="1"/>
  <c r="G83" i="12" s="1" a="1"/>
  <c r="G83" i="12" s="1"/>
  <c r="G84" i="12" s="1" a="1"/>
  <c r="G84" i="12" s="1"/>
  <c r="G85" i="12" s="1" a="1"/>
  <c r="G85" i="12" s="1"/>
  <c r="G86" i="12" s="1" a="1"/>
  <c r="G86" i="12" s="1"/>
  <c r="G87" i="12" s="1" a="1"/>
  <c r="G87" i="12" s="1"/>
  <c r="G88" i="12" s="1" a="1"/>
  <c r="G88" i="12" s="1"/>
  <c r="G89" i="12" s="1" a="1"/>
  <c r="G89" i="12" s="1"/>
  <c r="G90" i="12" s="1" a="1"/>
  <c r="G90" i="12" s="1"/>
  <c r="G91" i="12" s="1" a="1"/>
  <c r="G91" i="12" s="1"/>
  <c r="G92" i="12" s="1" a="1"/>
  <c r="G92" i="12" s="1"/>
  <c r="G93" i="12" s="1" a="1"/>
  <c r="G93" i="12" s="1"/>
  <c r="G94" i="12" s="1" a="1"/>
  <c r="G94" i="12" s="1"/>
  <c r="G95" i="12" s="1" a="1"/>
  <c r="G95" i="12" s="1"/>
  <c r="G96" i="12" s="1" a="1"/>
  <c r="G96" i="12" s="1"/>
  <c r="G97" i="12" s="1" a="1"/>
  <c r="G97" i="12" s="1"/>
  <c r="G98" i="12" s="1" a="1"/>
  <c r="G98" i="12" s="1"/>
  <c r="G99" i="12" s="1" a="1"/>
  <c r="G99" i="12" s="1"/>
  <c r="G100" i="12" s="1" a="1"/>
  <c r="G100" i="12" s="1"/>
  <c r="G101" i="12" s="1" a="1"/>
  <c r="G101" i="12" s="1"/>
  <c r="G102" i="12" s="1" a="1"/>
  <c r="G102" i="12" s="1"/>
  <c r="G103" i="12" s="1" a="1"/>
  <c r="G103" i="12" s="1"/>
  <c r="G104" i="12" s="1" a="1"/>
  <c r="G104" i="12" s="1"/>
  <c r="G105" i="12" s="1" a="1"/>
  <c r="G105" i="12" s="1"/>
  <c r="O3" i="12" l="1"/>
  <c r="P3" i="12"/>
  <c r="Q3" i="12"/>
  <c r="R3" i="12"/>
  <c r="S3" i="12"/>
  <c r="T3" i="12"/>
  <c r="U3" i="12"/>
  <c r="V3" i="12"/>
  <c r="W3" i="12"/>
  <c r="X3" i="12"/>
  <c r="Y3" i="12"/>
  <c r="Z3" i="12"/>
  <c r="AA3" i="12"/>
  <c r="AB3" i="12"/>
  <c r="AC3" i="12"/>
  <c r="AD3" i="12"/>
  <c r="AE3" i="12"/>
  <c r="AF3" i="12"/>
  <c r="AG3" i="12"/>
  <c r="AH3" i="12"/>
  <c r="AI3" i="12"/>
  <c r="AJ3" i="12"/>
  <c r="AK3" i="12"/>
  <c r="AL3" i="12"/>
  <c r="AM3" i="12"/>
  <c r="AN3" i="12"/>
  <c r="AO3" i="12"/>
  <c r="AP3" i="12"/>
  <c r="AQ3" i="12"/>
  <c r="AR3" i="12"/>
  <c r="AS3" i="12"/>
  <c r="AT3" i="12"/>
  <c r="AU3" i="12"/>
  <c r="AV3" i="12"/>
  <c r="AW3" i="12"/>
  <c r="AX3" i="12"/>
  <c r="AY3" i="12"/>
  <c r="AZ3" i="12"/>
  <c r="BA3" i="12"/>
  <c r="BB3" i="12"/>
  <c r="BC3" i="12"/>
  <c r="BD3" i="12"/>
  <c r="BE3" i="12"/>
  <c r="BF3" i="12"/>
  <c r="BG3" i="12"/>
  <c r="BH3" i="12"/>
  <c r="BI3" i="12"/>
  <c r="BJ3" i="12"/>
  <c r="BK3" i="12"/>
  <c r="BL3" i="12"/>
  <c r="BM3" i="12"/>
  <c r="BN3" i="12"/>
  <c r="BO3" i="12"/>
  <c r="BP3" i="12"/>
  <c r="BQ3" i="12"/>
  <c r="BR3" i="12"/>
  <c r="BS3" i="12"/>
  <c r="BT3" i="12"/>
  <c r="BU3" i="12"/>
  <c r="BV3" i="12"/>
  <c r="BW3" i="12"/>
  <c r="BX3" i="12"/>
  <c r="BY3" i="12"/>
  <c r="BZ3" i="12"/>
  <c r="CA3" i="12"/>
  <c r="CB3" i="12"/>
  <c r="CC3" i="12"/>
  <c r="CD3" i="12"/>
  <c r="CE3" i="12"/>
  <c r="CF3" i="12"/>
  <c r="CG3" i="12"/>
  <c r="CH3" i="12"/>
  <c r="CI3" i="12"/>
  <c r="CJ3" i="12"/>
  <c r="CK3" i="12"/>
  <c r="CL3" i="12"/>
  <c r="CM3" i="12"/>
  <c r="CN3" i="12"/>
  <c r="CO3" i="12"/>
  <c r="CP3" i="12"/>
  <c r="CQ3" i="12"/>
  <c r="CR3" i="12"/>
  <c r="CS3" i="12"/>
  <c r="CT3" i="12"/>
  <c r="CU3" i="12"/>
  <c r="CV3" i="12"/>
  <c r="CW3" i="12"/>
  <c r="CX3" i="12"/>
  <c r="CY3" i="12"/>
  <c r="CZ3" i="12"/>
  <c r="DA3" i="12"/>
  <c r="DB3" i="12"/>
  <c r="DC3" i="12"/>
  <c r="DD3" i="12"/>
  <c r="DE3" i="12"/>
  <c r="DF3" i="12"/>
  <c r="DG3" i="12"/>
  <c r="DH3" i="12"/>
  <c r="DI3" i="12"/>
  <c r="DJ3" i="12"/>
  <c r="DK3" i="12"/>
  <c r="DL3" i="12"/>
  <c r="DM3" i="12"/>
  <c r="DN3" i="12"/>
  <c r="DO3" i="12"/>
  <c r="DP3" i="12"/>
  <c r="DQ3" i="12"/>
  <c r="DR3" i="12"/>
  <c r="DS3" i="12"/>
  <c r="DT3" i="12"/>
  <c r="DU3" i="12"/>
  <c r="O4" i="12"/>
  <c r="P4" i="12"/>
  <c r="Q4" i="12"/>
  <c r="R4" i="12"/>
  <c r="S4" i="12"/>
  <c r="T4" i="12"/>
  <c r="U4" i="12"/>
  <c r="V4" i="12"/>
  <c r="W4" i="12"/>
  <c r="X4" i="12"/>
  <c r="Y4" i="12"/>
  <c r="Z4" i="12"/>
  <c r="AA4" i="12"/>
  <c r="AB4" i="12"/>
  <c r="AC4" i="12"/>
  <c r="AD4" i="12"/>
  <c r="AE4" i="12"/>
  <c r="AF4" i="12"/>
  <c r="AG4" i="12"/>
  <c r="AH4" i="12"/>
  <c r="AI4" i="12"/>
  <c r="AJ4" i="12"/>
  <c r="AK4" i="12"/>
  <c r="AL4" i="12"/>
  <c r="AM4" i="12"/>
  <c r="AN4" i="12"/>
  <c r="AO4" i="12"/>
  <c r="AP4" i="12"/>
  <c r="AQ4" i="12"/>
  <c r="AR4" i="12"/>
  <c r="AS4" i="12"/>
  <c r="AT4" i="12"/>
  <c r="AU4" i="12"/>
  <c r="AV4" i="12"/>
  <c r="AW4" i="12"/>
  <c r="AX4" i="12"/>
  <c r="AY4" i="12"/>
  <c r="AZ4" i="12"/>
  <c r="BA4" i="12"/>
  <c r="BB4" i="12"/>
  <c r="BC4" i="12"/>
  <c r="BD4" i="12"/>
  <c r="BE4" i="12"/>
  <c r="BF4" i="12"/>
  <c r="BG4" i="12"/>
  <c r="BH4" i="12"/>
  <c r="BI4" i="12"/>
  <c r="BJ4" i="12"/>
  <c r="BK4" i="12"/>
  <c r="BL4" i="12"/>
  <c r="BM4" i="12"/>
  <c r="BN4" i="12"/>
  <c r="BO4" i="12"/>
  <c r="BP4" i="12"/>
  <c r="BQ4" i="12"/>
  <c r="BR4" i="12"/>
  <c r="BS4" i="12"/>
  <c r="BT4" i="12"/>
  <c r="BU4" i="12"/>
  <c r="BV4" i="12"/>
  <c r="BW4" i="12"/>
  <c r="BX4" i="12"/>
  <c r="BY4" i="12"/>
  <c r="BZ4" i="12"/>
  <c r="CA4" i="12"/>
  <c r="CB4" i="12"/>
  <c r="CC4" i="12"/>
  <c r="CD4" i="12"/>
  <c r="CE4" i="12"/>
  <c r="CF4" i="12"/>
  <c r="CG4" i="12"/>
  <c r="CH4" i="12"/>
  <c r="CI4" i="12"/>
  <c r="CJ4" i="12"/>
  <c r="CK4" i="12"/>
  <c r="CL4" i="12"/>
  <c r="CM4" i="12"/>
  <c r="CN4" i="12"/>
  <c r="CO4" i="12"/>
  <c r="CP4" i="12"/>
  <c r="CQ4" i="12"/>
  <c r="CR4" i="12"/>
  <c r="CS4" i="12"/>
  <c r="CT4" i="12"/>
  <c r="CU4" i="12"/>
  <c r="CV4" i="12"/>
  <c r="CW4" i="12"/>
  <c r="CX4" i="12"/>
  <c r="CY4" i="12"/>
  <c r="CZ4" i="12"/>
  <c r="DA4" i="12"/>
  <c r="DB4" i="12"/>
  <c r="DC4" i="12"/>
  <c r="DD4" i="12"/>
  <c r="DE4" i="12"/>
  <c r="DF4" i="12"/>
  <c r="DG4" i="12"/>
  <c r="DH4" i="12"/>
  <c r="DI4" i="12"/>
  <c r="DJ4" i="12"/>
  <c r="DK4" i="12"/>
  <c r="DL4" i="12"/>
  <c r="DM4" i="12"/>
  <c r="DN4" i="12"/>
  <c r="DO4" i="12"/>
  <c r="DP4" i="12"/>
  <c r="DQ4" i="12"/>
  <c r="DR4" i="12"/>
  <c r="DS4" i="12"/>
  <c r="DT4" i="12"/>
  <c r="DU4" i="12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Z5" i="12"/>
  <c r="BA5" i="12"/>
  <c r="BB5" i="12"/>
  <c r="BC5" i="12"/>
  <c r="BD5" i="12"/>
  <c r="BE5" i="12"/>
  <c r="BF5" i="12"/>
  <c r="BG5" i="12"/>
  <c r="BH5" i="12"/>
  <c r="BI5" i="12"/>
  <c r="BJ5" i="12"/>
  <c r="BK5" i="12"/>
  <c r="BL5" i="12"/>
  <c r="BM5" i="12"/>
  <c r="BN5" i="12"/>
  <c r="BO5" i="12"/>
  <c r="BP5" i="12"/>
  <c r="BQ5" i="12"/>
  <c r="BR5" i="12"/>
  <c r="BS5" i="12"/>
  <c r="BT5" i="12"/>
  <c r="BU5" i="12"/>
  <c r="BV5" i="12"/>
  <c r="BW5" i="12"/>
  <c r="BX5" i="12"/>
  <c r="BY5" i="12"/>
  <c r="BZ5" i="12"/>
  <c r="CA5" i="12"/>
  <c r="CB5" i="12"/>
  <c r="CC5" i="12"/>
  <c r="CD5" i="12"/>
  <c r="CE5" i="12"/>
  <c r="CF5" i="12"/>
  <c r="CG5" i="12"/>
  <c r="CH5" i="12"/>
  <c r="CI5" i="12"/>
  <c r="CJ5" i="12"/>
  <c r="CK5" i="12"/>
  <c r="CL5" i="12"/>
  <c r="CM5" i="12"/>
  <c r="CN5" i="12"/>
  <c r="CO5" i="12"/>
  <c r="CP5" i="12"/>
  <c r="CQ5" i="12"/>
  <c r="CR5" i="12"/>
  <c r="CS5" i="12"/>
  <c r="CT5" i="12"/>
  <c r="CU5" i="12"/>
  <c r="CV5" i="12"/>
  <c r="CW5" i="12"/>
  <c r="CX5" i="12"/>
  <c r="CY5" i="12"/>
  <c r="CZ5" i="12"/>
  <c r="DA5" i="12"/>
  <c r="DB5" i="12"/>
  <c r="DC5" i="12"/>
  <c r="DD5" i="12"/>
  <c r="DE5" i="12"/>
  <c r="DF5" i="12"/>
  <c r="DG5" i="12"/>
  <c r="DH5" i="12"/>
  <c r="DI5" i="12"/>
  <c r="DJ5" i="12"/>
  <c r="DK5" i="12"/>
  <c r="DL5" i="12"/>
  <c r="DM5" i="12"/>
  <c r="DN5" i="12"/>
  <c r="DO5" i="12"/>
  <c r="DP5" i="12"/>
  <c r="DQ5" i="12"/>
  <c r="DR5" i="12"/>
  <c r="DS5" i="12"/>
  <c r="DT5" i="12"/>
  <c r="DU5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  <c r="AT6" i="12"/>
  <c r="AU6" i="12"/>
  <c r="AV6" i="12"/>
  <c r="AW6" i="12"/>
  <c r="AX6" i="12"/>
  <c r="AY6" i="12"/>
  <c r="AZ6" i="12"/>
  <c r="BA6" i="12"/>
  <c r="BB6" i="12"/>
  <c r="BC6" i="12"/>
  <c r="BD6" i="12"/>
  <c r="BE6" i="12"/>
  <c r="BF6" i="12"/>
  <c r="BG6" i="12"/>
  <c r="BH6" i="12"/>
  <c r="BI6" i="12"/>
  <c r="BJ6" i="12"/>
  <c r="BK6" i="12"/>
  <c r="BL6" i="12"/>
  <c r="BM6" i="12"/>
  <c r="BN6" i="12"/>
  <c r="BO6" i="12"/>
  <c r="BP6" i="12"/>
  <c r="BQ6" i="12"/>
  <c r="BR6" i="12"/>
  <c r="BS6" i="12"/>
  <c r="BT6" i="12"/>
  <c r="BU6" i="12"/>
  <c r="BV6" i="12"/>
  <c r="BW6" i="12"/>
  <c r="BX6" i="12"/>
  <c r="BY6" i="12"/>
  <c r="BZ6" i="12"/>
  <c r="CA6" i="12"/>
  <c r="CB6" i="12"/>
  <c r="CC6" i="12"/>
  <c r="CD6" i="12"/>
  <c r="CE6" i="12"/>
  <c r="CF6" i="12"/>
  <c r="CG6" i="12"/>
  <c r="CH6" i="12"/>
  <c r="CI6" i="12"/>
  <c r="CJ6" i="12"/>
  <c r="CK6" i="12"/>
  <c r="CL6" i="12"/>
  <c r="CM6" i="12"/>
  <c r="CN6" i="12"/>
  <c r="CO6" i="12"/>
  <c r="CP6" i="12"/>
  <c r="CQ6" i="12"/>
  <c r="CR6" i="12"/>
  <c r="CS6" i="12"/>
  <c r="CT6" i="12"/>
  <c r="CU6" i="12"/>
  <c r="CV6" i="12"/>
  <c r="CW6" i="12"/>
  <c r="CX6" i="12"/>
  <c r="CY6" i="12"/>
  <c r="CZ6" i="12"/>
  <c r="DA6" i="12"/>
  <c r="DB6" i="12"/>
  <c r="DC6" i="12"/>
  <c r="DD6" i="12"/>
  <c r="DE6" i="12"/>
  <c r="DF6" i="12"/>
  <c r="DG6" i="12"/>
  <c r="DH6" i="12"/>
  <c r="DI6" i="12"/>
  <c r="DJ6" i="12"/>
  <c r="DK6" i="12"/>
  <c r="DL6" i="12"/>
  <c r="DM6" i="12"/>
  <c r="DN6" i="12"/>
  <c r="DO6" i="12"/>
  <c r="DP6" i="12"/>
  <c r="DQ6" i="12"/>
  <c r="DR6" i="12"/>
  <c r="DS6" i="12"/>
  <c r="DT6" i="12"/>
  <c r="DU6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AT7" i="12"/>
  <c r="AU7" i="12"/>
  <c r="AV7" i="12"/>
  <c r="AW7" i="12"/>
  <c r="AX7" i="12"/>
  <c r="AY7" i="12"/>
  <c r="AZ7" i="12"/>
  <c r="BA7" i="12"/>
  <c r="BB7" i="12"/>
  <c r="BC7" i="12"/>
  <c r="BD7" i="12"/>
  <c r="BE7" i="12"/>
  <c r="BF7" i="12"/>
  <c r="BG7" i="12"/>
  <c r="BH7" i="12"/>
  <c r="BI7" i="12"/>
  <c r="BJ7" i="12"/>
  <c r="BK7" i="12"/>
  <c r="BL7" i="12"/>
  <c r="BM7" i="12"/>
  <c r="BN7" i="12"/>
  <c r="BO7" i="12"/>
  <c r="BP7" i="12"/>
  <c r="BQ7" i="12"/>
  <c r="BR7" i="12"/>
  <c r="BS7" i="12"/>
  <c r="BT7" i="12"/>
  <c r="BU7" i="12"/>
  <c r="BV7" i="12"/>
  <c r="BW7" i="12"/>
  <c r="BX7" i="12"/>
  <c r="BY7" i="12"/>
  <c r="BZ7" i="12"/>
  <c r="CA7" i="12"/>
  <c r="CB7" i="12"/>
  <c r="CC7" i="12"/>
  <c r="CD7" i="12"/>
  <c r="CE7" i="12"/>
  <c r="CF7" i="12"/>
  <c r="CG7" i="12"/>
  <c r="CH7" i="12"/>
  <c r="CI7" i="12"/>
  <c r="CJ7" i="12"/>
  <c r="CK7" i="12"/>
  <c r="CL7" i="12"/>
  <c r="CM7" i="12"/>
  <c r="CN7" i="12"/>
  <c r="CO7" i="12"/>
  <c r="CP7" i="12"/>
  <c r="CQ7" i="12"/>
  <c r="CR7" i="12"/>
  <c r="CS7" i="12"/>
  <c r="CT7" i="12"/>
  <c r="CU7" i="12"/>
  <c r="CV7" i="12"/>
  <c r="CW7" i="12"/>
  <c r="CX7" i="12"/>
  <c r="CY7" i="12"/>
  <c r="CZ7" i="12"/>
  <c r="DA7" i="12"/>
  <c r="DB7" i="12"/>
  <c r="DC7" i="12"/>
  <c r="DD7" i="12"/>
  <c r="DE7" i="12"/>
  <c r="DF7" i="12"/>
  <c r="DG7" i="12"/>
  <c r="DH7" i="12"/>
  <c r="DI7" i="12"/>
  <c r="DJ7" i="12"/>
  <c r="DK7" i="12"/>
  <c r="DL7" i="12"/>
  <c r="DM7" i="12"/>
  <c r="DN7" i="12"/>
  <c r="DO7" i="12"/>
  <c r="DP7" i="12"/>
  <c r="DQ7" i="12"/>
  <c r="DR7" i="12"/>
  <c r="DS7" i="12"/>
  <c r="DT7" i="12"/>
  <c r="DU7" i="12"/>
  <c r="O8" i="12"/>
  <c r="P8" i="12"/>
  <c r="Q8" i="12"/>
  <c r="R8" i="12"/>
  <c r="S8" i="12"/>
  <c r="T8" i="12"/>
  <c r="U8" i="12"/>
  <c r="V8" i="12"/>
  <c r="W8" i="12"/>
  <c r="X8" i="12"/>
  <c r="Y8" i="12"/>
  <c r="Z8" i="12"/>
  <c r="AA8" i="12"/>
  <c r="AB8" i="12"/>
  <c r="AC8" i="12"/>
  <c r="AD8" i="12"/>
  <c r="AE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AS8" i="12"/>
  <c r="AT8" i="12"/>
  <c r="AU8" i="12"/>
  <c r="AV8" i="12"/>
  <c r="AW8" i="12"/>
  <c r="AX8" i="12"/>
  <c r="AY8" i="12"/>
  <c r="AZ8" i="12"/>
  <c r="BA8" i="12"/>
  <c r="BB8" i="12"/>
  <c r="BC8" i="12"/>
  <c r="BD8" i="12"/>
  <c r="BE8" i="12"/>
  <c r="BF8" i="12"/>
  <c r="BG8" i="12"/>
  <c r="BH8" i="12"/>
  <c r="BI8" i="12"/>
  <c r="BJ8" i="12"/>
  <c r="BK8" i="12"/>
  <c r="BL8" i="12"/>
  <c r="BM8" i="12"/>
  <c r="BN8" i="12"/>
  <c r="BO8" i="12"/>
  <c r="BP8" i="12"/>
  <c r="BQ8" i="12"/>
  <c r="BR8" i="12"/>
  <c r="BS8" i="12"/>
  <c r="BT8" i="12"/>
  <c r="BU8" i="12"/>
  <c r="BV8" i="12"/>
  <c r="BW8" i="12"/>
  <c r="BX8" i="12"/>
  <c r="BY8" i="12"/>
  <c r="BZ8" i="12"/>
  <c r="CA8" i="12"/>
  <c r="CB8" i="12"/>
  <c r="CC8" i="12"/>
  <c r="CD8" i="12"/>
  <c r="CE8" i="12"/>
  <c r="CF8" i="12"/>
  <c r="CG8" i="12"/>
  <c r="CH8" i="12"/>
  <c r="CI8" i="12"/>
  <c r="CJ8" i="12"/>
  <c r="CK8" i="12"/>
  <c r="CL8" i="12"/>
  <c r="CM8" i="12"/>
  <c r="CN8" i="12"/>
  <c r="CO8" i="12"/>
  <c r="CP8" i="12"/>
  <c r="CQ8" i="12"/>
  <c r="CR8" i="12"/>
  <c r="CS8" i="12"/>
  <c r="CT8" i="12"/>
  <c r="CU8" i="12"/>
  <c r="CV8" i="12"/>
  <c r="CW8" i="12"/>
  <c r="CX8" i="12"/>
  <c r="CY8" i="12"/>
  <c r="CZ8" i="12"/>
  <c r="DA8" i="12"/>
  <c r="DB8" i="12"/>
  <c r="DC8" i="12"/>
  <c r="DD8" i="12"/>
  <c r="DE8" i="12"/>
  <c r="DF8" i="12"/>
  <c r="DG8" i="12"/>
  <c r="DH8" i="12"/>
  <c r="DI8" i="12"/>
  <c r="DJ8" i="12"/>
  <c r="DK8" i="12"/>
  <c r="DL8" i="12"/>
  <c r="DM8" i="12"/>
  <c r="DN8" i="12"/>
  <c r="DO8" i="12"/>
  <c r="DP8" i="12"/>
  <c r="DQ8" i="12"/>
  <c r="DR8" i="12"/>
  <c r="DS8" i="12"/>
  <c r="DT8" i="12"/>
  <c r="DU8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U9" i="12"/>
  <c r="AV9" i="12"/>
  <c r="AW9" i="12"/>
  <c r="AX9" i="12"/>
  <c r="AY9" i="12"/>
  <c r="AZ9" i="12"/>
  <c r="BA9" i="12"/>
  <c r="BB9" i="12"/>
  <c r="BC9" i="12"/>
  <c r="BD9" i="12"/>
  <c r="BE9" i="12"/>
  <c r="BF9" i="12"/>
  <c r="BG9" i="12"/>
  <c r="BH9" i="12"/>
  <c r="BI9" i="12"/>
  <c r="BJ9" i="12"/>
  <c r="BK9" i="12"/>
  <c r="BL9" i="12"/>
  <c r="BM9" i="12"/>
  <c r="BN9" i="12"/>
  <c r="BO9" i="12"/>
  <c r="BP9" i="12"/>
  <c r="BQ9" i="12"/>
  <c r="BR9" i="12"/>
  <c r="BS9" i="12"/>
  <c r="BT9" i="12"/>
  <c r="BU9" i="12"/>
  <c r="BV9" i="12"/>
  <c r="BW9" i="12"/>
  <c r="BX9" i="12"/>
  <c r="BY9" i="12"/>
  <c r="BZ9" i="12"/>
  <c r="CA9" i="12"/>
  <c r="CB9" i="12"/>
  <c r="CC9" i="12"/>
  <c r="CD9" i="12"/>
  <c r="CE9" i="12"/>
  <c r="CF9" i="12"/>
  <c r="CG9" i="12"/>
  <c r="CH9" i="12"/>
  <c r="CI9" i="12"/>
  <c r="CJ9" i="12"/>
  <c r="CK9" i="12"/>
  <c r="CL9" i="12"/>
  <c r="CM9" i="12"/>
  <c r="CN9" i="12"/>
  <c r="CO9" i="12"/>
  <c r="CP9" i="12"/>
  <c r="CQ9" i="12"/>
  <c r="CR9" i="12"/>
  <c r="CS9" i="12"/>
  <c r="CT9" i="12"/>
  <c r="CU9" i="12"/>
  <c r="CV9" i="12"/>
  <c r="CW9" i="12"/>
  <c r="CX9" i="12"/>
  <c r="CY9" i="12"/>
  <c r="CZ9" i="12"/>
  <c r="DA9" i="12"/>
  <c r="DB9" i="12"/>
  <c r="DC9" i="12"/>
  <c r="DD9" i="12"/>
  <c r="DE9" i="12"/>
  <c r="DF9" i="12"/>
  <c r="DG9" i="12"/>
  <c r="DH9" i="12"/>
  <c r="DI9" i="12"/>
  <c r="DJ9" i="12"/>
  <c r="DK9" i="12"/>
  <c r="DL9" i="12"/>
  <c r="DM9" i="12"/>
  <c r="DN9" i="12"/>
  <c r="DO9" i="12"/>
  <c r="DP9" i="12"/>
  <c r="DQ9" i="12"/>
  <c r="DR9" i="12"/>
  <c r="DS9" i="12"/>
  <c r="DT9" i="12"/>
  <c r="DU9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U10" i="12"/>
  <c r="AV10" i="12"/>
  <c r="AW10" i="12"/>
  <c r="AX10" i="12"/>
  <c r="AY10" i="12"/>
  <c r="AZ10" i="12"/>
  <c r="BA10" i="12"/>
  <c r="BB10" i="12"/>
  <c r="BC10" i="12"/>
  <c r="BD10" i="12"/>
  <c r="BE10" i="12"/>
  <c r="BF10" i="12"/>
  <c r="BG10" i="12"/>
  <c r="BH10" i="12"/>
  <c r="BI10" i="12"/>
  <c r="BJ10" i="12"/>
  <c r="BK10" i="12"/>
  <c r="BL10" i="12"/>
  <c r="BM10" i="12"/>
  <c r="BN10" i="12"/>
  <c r="BO10" i="12"/>
  <c r="BP10" i="12"/>
  <c r="BQ10" i="12"/>
  <c r="BR10" i="12"/>
  <c r="BS10" i="12"/>
  <c r="BT10" i="12"/>
  <c r="BU10" i="12"/>
  <c r="BV10" i="12"/>
  <c r="BW10" i="12"/>
  <c r="BX10" i="12"/>
  <c r="BY10" i="12"/>
  <c r="BZ10" i="12"/>
  <c r="CA10" i="12"/>
  <c r="CB10" i="12"/>
  <c r="CC10" i="12"/>
  <c r="CD10" i="12"/>
  <c r="CE10" i="12"/>
  <c r="CF10" i="12"/>
  <c r="CG10" i="12"/>
  <c r="CH10" i="12"/>
  <c r="CI10" i="12"/>
  <c r="CJ10" i="12"/>
  <c r="CK10" i="12"/>
  <c r="CL10" i="12"/>
  <c r="CM10" i="12"/>
  <c r="CN10" i="12"/>
  <c r="CO10" i="12"/>
  <c r="CP10" i="12"/>
  <c r="CQ10" i="12"/>
  <c r="CR10" i="12"/>
  <c r="CS10" i="12"/>
  <c r="CT10" i="12"/>
  <c r="CU10" i="12"/>
  <c r="CV10" i="12"/>
  <c r="CW10" i="12"/>
  <c r="CX10" i="12"/>
  <c r="CY10" i="12"/>
  <c r="CZ10" i="12"/>
  <c r="DA10" i="12"/>
  <c r="DB10" i="12"/>
  <c r="DC10" i="12"/>
  <c r="DD10" i="12"/>
  <c r="DE10" i="12"/>
  <c r="DF10" i="12"/>
  <c r="DG10" i="12"/>
  <c r="DH10" i="12"/>
  <c r="DI10" i="12"/>
  <c r="DJ10" i="12"/>
  <c r="DK10" i="12"/>
  <c r="DL10" i="12"/>
  <c r="DM10" i="12"/>
  <c r="DN10" i="12"/>
  <c r="DO10" i="12"/>
  <c r="DP10" i="12"/>
  <c r="DQ10" i="12"/>
  <c r="DR10" i="12"/>
  <c r="DS10" i="12"/>
  <c r="DT10" i="12"/>
  <c r="DU10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AA11" i="12"/>
  <c r="AB11" i="12"/>
  <c r="AC11" i="12"/>
  <c r="AD11" i="12"/>
  <c r="AE11" i="12"/>
  <c r="AF11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AV11" i="12"/>
  <c r="AW11" i="12"/>
  <c r="AX11" i="12"/>
  <c r="AY11" i="12"/>
  <c r="AZ11" i="12"/>
  <c r="BA11" i="12"/>
  <c r="BB11" i="12"/>
  <c r="BC11" i="12"/>
  <c r="BD11" i="12"/>
  <c r="BE11" i="12"/>
  <c r="BF11" i="12"/>
  <c r="BG11" i="12"/>
  <c r="BH11" i="12"/>
  <c r="BI11" i="12"/>
  <c r="BJ11" i="12"/>
  <c r="BK11" i="12"/>
  <c r="BL11" i="12"/>
  <c r="BM11" i="12"/>
  <c r="BN11" i="12"/>
  <c r="BO11" i="12"/>
  <c r="BP11" i="12"/>
  <c r="BQ11" i="12"/>
  <c r="BR11" i="12"/>
  <c r="BS11" i="12"/>
  <c r="BT11" i="12"/>
  <c r="BU11" i="12"/>
  <c r="BV11" i="12"/>
  <c r="BW11" i="12"/>
  <c r="BX11" i="12"/>
  <c r="BY11" i="12"/>
  <c r="BZ11" i="12"/>
  <c r="CA11" i="12"/>
  <c r="CB11" i="12"/>
  <c r="CC11" i="12"/>
  <c r="CD11" i="12"/>
  <c r="CE11" i="12"/>
  <c r="CF11" i="12"/>
  <c r="CG11" i="12"/>
  <c r="CH11" i="12"/>
  <c r="CI11" i="12"/>
  <c r="CJ11" i="12"/>
  <c r="CK11" i="12"/>
  <c r="CL11" i="12"/>
  <c r="CM11" i="12"/>
  <c r="CN11" i="12"/>
  <c r="CO11" i="12"/>
  <c r="CP11" i="12"/>
  <c r="CQ11" i="12"/>
  <c r="CR11" i="12"/>
  <c r="CS11" i="12"/>
  <c r="CT11" i="12"/>
  <c r="CU11" i="12"/>
  <c r="CV11" i="12"/>
  <c r="CW11" i="12"/>
  <c r="CX11" i="12"/>
  <c r="CY11" i="12"/>
  <c r="CZ11" i="12"/>
  <c r="DA11" i="12"/>
  <c r="DB11" i="12"/>
  <c r="DC11" i="12"/>
  <c r="DD11" i="12"/>
  <c r="DE11" i="12"/>
  <c r="DF11" i="12"/>
  <c r="DG11" i="12"/>
  <c r="DH11" i="12"/>
  <c r="DI11" i="12"/>
  <c r="DJ11" i="12"/>
  <c r="DK11" i="12"/>
  <c r="DL11" i="12"/>
  <c r="DM11" i="12"/>
  <c r="DN11" i="12"/>
  <c r="DO11" i="12"/>
  <c r="DP11" i="12"/>
  <c r="DQ11" i="12"/>
  <c r="DR11" i="12"/>
  <c r="DS11" i="12"/>
  <c r="DT11" i="12"/>
  <c r="DU11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AA12" i="12"/>
  <c r="AB12" i="12"/>
  <c r="AC12" i="12"/>
  <c r="AD12" i="12"/>
  <c r="AE12" i="12"/>
  <c r="AF12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AV12" i="12"/>
  <c r="AW12" i="12"/>
  <c r="AX12" i="12"/>
  <c r="AY12" i="12"/>
  <c r="AZ12" i="12"/>
  <c r="BA12" i="12"/>
  <c r="BB12" i="12"/>
  <c r="BC12" i="12"/>
  <c r="BD12" i="12"/>
  <c r="BE12" i="12"/>
  <c r="BF12" i="12"/>
  <c r="BG12" i="12"/>
  <c r="BH12" i="12"/>
  <c r="BI12" i="12"/>
  <c r="BJ12" i="12"/>
  <c r="BK12" i="12"/>
  <c r="BL12" i="12"/>
  <c r="BM12" i="12"/>
  <c r="BN12" i="12"/>
  <c r="BO12" i="12"/>
  <c r="BP12" i="12"/>
  <c r="BQ12" i="12"/>
  <c r="BR12" i="12"/>
  <c r="BS12" i="12"/>
  <c r="BT12" i="12"/>
  <c r="BU12" i="12"/>
  <c r="BV12" i="12"/>
  <c r="BW12" i="12"/>
  <c r="BX12" i="12"/>
  <c r="BY12" i="12"/>
  <c r="BZ12" i="12"/>
  <c r="CA12" i="12"/>
  <c r="CB12" i="12"/>
  <c r="CC12" i="12"/>
  <c r="CD12" i="12"/>
  <c r="CE12" i="12"/>
  <c r="CF12" i="12"/>
  <c r="CG12" i="12"/>
  <c r="CH12" i="12"/>
  <c r="CI12" i="12"/>
  <c r="CJ12" i="12"/>
  <c r="CK12" i="12"/>
  <c r="CL12" i="12"/>
  <c r="CM12" i="12"/>
  <c r="CN12" i="12"/>
  <c r="CO12" i="12"/>
  <c r="CP12" i="12"/>
  <c r="CQ12" i="12"/>
  <c r="CR12" i="12"/>
  <c r="CS12" i="12"/>
  <c r="CT12" i="12"/>
  <c r="CU12" i="12"/>
  <c r="CV12" i="12"/>
  <c r="CW12" i="12"/>
  <c r="CX12" i="12"/>
  <c r="CY12" i="12"/>
  <c r="CZ12" i="12"/>
  <c r="DA12" i="12"/>
  <c r="DB12" i="12"/>
  <c r="DC12" i="12"/>
  <c r="DD12" i="12"/>
  <c r="DE12" i="12"/>
  <c r="DF12" i="12"/>
  <c r="DG12" i="12"/>
  <c r="DH12" i="12"/>
  <c r="DI12" i="12"/>
  <c r="DJ12" i="12"/>
  <c r="DK12" i="12"/>
  <c r="DL12" i="12"/>
  <c r="DM12" i="12"/>
  <c r="DN12" i="12"/>
  <c r="DO12" i="12"/>
  <c r="DP12" i="12"/>
  <c r="DQ12" i="12"/>
  <c r="DR12" i="12"/>
  <c r="DS12" i="12"/>
  <c r="DT12" i="12"/>
  <c r="DU12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AA13" i="12"/>
  <c r="AB13" i="12"/>
  <c r="AC13" i="12"/>
  <c r="AD13" i="12"/>
  <c r="AE13" i="12"/>
  <c r="AF13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AU13" i="12"/>
  <c r="AV13" i="12"/>
  <c r="AW13" i="12"/>
  <c r="AX13" i="12"/>
  <c r="AY13" i="12"/>
  <c r="AZ13" i="12"/>
  <c r="BA13" i="12"/>
  <c r="BB13" i="12"/>
  <c r="BC13" i="12"/>
  <c r="BD13" i="12"/>
  <c r="BE13" i="12"/>
  <c r="BF13" i="12"/>
  <c r="BG13" i="12"/>
  <c r="BH13" i="12"/>
  <c r="BI13" i="12"/>
  <c r="BJ13" i="12"/>
  <c r="BK13" i="12"/>
  <c r="BL13" i="12"/>
  <c r="BM13" i="12"/>
  <c r="BN13" i="12"/>
  <c r="BO13" i="12"/>
  <c r="BP13" i="12"/>
  <c r="BQ13" i="12"/>
  <c r="BR13" i="12"/>
  <c r="BS13" i="12"/>
  <c r="BT13" i="12"/>
  <c r="BU13" i="12"/>
  <c r="BV13" i="12"/>
  <c r="BW13" i="12"/>
  <c r="BX13" i="12"/>
  <c r="BY13" i="12"/>
  <c r="BZ13" i="12"/>
  <c r="CA13" i="12"/>
  <c r="CB13" i="12"/>
  <c r="CC13" i="12"/>
  <c r="CD13" i="12"/>
  <c r="CE13" i="12"/>
  <c r="CF13" i="12"/>
  <c r="CG13" i="12"/>
  <c r="CH13" i="12"/>
  <c r="CI13" i="12"/>
  <c r="CJ13" i="12"/>
  <c r="CK13" i="12"/>
  <c r="CL13" i="12"/>
  <c r="CM13" i="12"/>
  <c r="CN13" i="12"/>
  <c r="CO13" i="12"/>
  <c r="CP13" i="12"/>
  <c r="CQ13" i="12"/>
  <c r="CR13" i="12"/>
  <c r="CS13" i="12"/>
  <c r="CT13" i="12"/>
  <c r="CU13" i="12"/>
  <c r="CV13" i="12"/>
  <c r="CW13" i="12"/>
  <c r="CX13" i="12"/>
  <c r="CY13" i="12"/>
  <c r="CZ13" i="12"/>
  <c r="DA13" i="12"/>
  <c r="DB13" i="12"/>
  <c r="DC13" i="12"/>
  <c r="DD13" i="12"/>
  <c r="DE13" i="12"/>
  <c r="DF13" i="12"/>
  <c r="DG13" i="12"/>
  <c r="DH13" i="12"/>
  <c r="DI13" i="12"/>
  <c r="DJ13" i="12"/>
  <c r="DK13" i="12"/>
  <c r="DL13" i="12"/>
  <c r="DM13" i="12"/>
  <c r="DN13" i="12"/>
  <c r="DO13" i="12"/>
  <c r="DP13" i="12"/>
  <c r="DQ13" i="12"/>
  <c r="DR13" i="12"/>
  <c r="DS13" i="12"/>
  <c r="DT13" i="12"/>
  <c r="DU13" i="12"/>
  <c r="O14" i="12"/>
  <c r="P14" i="12"/>
  <c r="Q14" i="12"/>
  <c r="R14" i="12"/>
  <c r="S14" i="12"/>
  <c r="T14" i="12"/>
  <c r="U14" i="12"/>
  <c r="V14" i="12"/>
  <c r="W14" i="12"/>
  <c r="X14" i="12"/>
  <c r="Y14" i="12"/>
  <c r="Z14" i="12"/>
  <c r="AA14" i="12"/>
  <c r="AB14" i="12"/>
  <c r="AC14" i="12"/>
  <c r="AD14" i="12"/>
  <c r="AE14" i="12"/>
  <c r="AF14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AS14" i="12"/>
  <c r="AT14" i="12"/>
  <c r="AU14" i="12"/>
  <c r="AV14" i="12"/>
  <c r="AW14" i="12"/>
  <c r="AX14" i="12"/>
  <c r="AY14" i="12"/>
  <c r="AZ14" i="12"/>
  <c r="BA14" i="12"/>
  <c r="BB14" i="12"/>
  <c r="BC14" i="12"/>
  <c r="BD14" i="12"/>
  <c r="BE14" i="12"/>
  <c r="BF14" i="12"/>
  <c r="BG14" i="12"/>
  <c r="BH14" i="12"/>
  <c r="BI14" i="12"/>
  <c r="BJ14" i="12"/>
  <c r="BK14" i="12"/>
  <c r="BL14" i="12"/>
  <c r="BM14" i="12"/>
  <c r="BN14" i="12"/>
  <c r="BO14" i="12"/>
  <c r="BP14" i="12"/>
  <c r="BQ14" i="12"/>
  <c r="BR14" i="12"/>
  <c r="BS14" i="12"/>
  <c r="BT14" i="12"/>
  <c r="BU14" i="12"/>
  <c r="BV14" i="12"/>
  <c r="BW14" i="12"/>
  <c r="BX14" i="12"/>
  <c r="BY14" i="12"/>
  <c r="BZ14" i="12"/>
  <c r="CA14" i="12"/>
  <c r="CB14" i="12"/>
  <c r="CC14" i="12"/>
  <c r="CD14" i="12"/>
  <c r="CE14" i="12"/>
  <c r="CF14" i="12"/>
  <c r="CG14" i="12"/>
  <c r="CH14" i="12"/>
  <c r="CI14" i="12"/>
  <c r="CJ14" i="12"/>
  <c r="CK14" i="12"/>
  <c r="CL14" i="12"/>
  <c r="CM14" i="12"/>
  <c r="CN14" i="12"/>
  <c r="CO14" i="12"/>
  <c r="CP14" i="12"/>
  <c r="CQ14" i="12"/>
  <c r="CR14" i="12"/>
  <c r="CS14" i="12"/>
  <c r="CT14" i="12"/>
  <c r="CU14" i="12"/>
  <c r="CV14" i="12"/>
  <c r="CW14" i="12"/>
  <c r="CX14" i="12"/>
  <c r="CY14" i="12"/>
  <c r="CZ14" i="12"/>
  <c r="DA14" i="12"/>
  <c r="DB14" i="12"/>
  <c r="DC14" i="12"/>
  <c r="DD14" i="12"/>
  <c r="DE14" i="12"/>
  <c r="DF14" i="12"/>
  <c r="DG14" i="12"/>
  <c r="DH14" i="12"/>
  <c r="DI14" i="12"/>
  <c r="DJ14" i="12"/>
  <c r="DK14" i="12"/>
  <c r="DL14" i="12"/>
  <c r="DM14" i="12"/>
  <c r="DN14" i="12"/>
  <c r="DO14" i="12"/>
  <c r="DP14" i="12"/>
  <c r="DQ14" i="12"/>
  <c r="DR14" i="12"/>
  <c r="DS14" i="12"/>
  <c r="DT14" i="12"/>
  <c r="DU14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AU15" i="12"/>
  <c r="AV15" i="12"/>
  <c r="AW15" i="12"/>
  <c r="AX15" i="12"/>
  <c r="AY15" i="12"/>
  <c r="AZ15" i="12"/>
  <c r="BA15" i="12"/>
  <c r="BB15" i="12"/>
  <c r="BC15" i="12"/>
  <c r="BD15" i="12"/>
  <c r="BE15" i="12"/>
  <c r="BF15" i="12"/>
  <c r="BG15" i="12"/>
  <c r="BH15" i="12"/>
  <c r="BI15" i="12"/>
  <c r="BJ15" i="12"/>
  <c r="BK15" i="12"/>
  <c r="BL15" i="12"/>
  <c r="BM15" i="12"/>
  <c r="BN15" i="12"/>
  <c r="BO15" i="12"/>
  <c r="BP15" i="12"/>
  <c r="BQ15" i="12"/>
  <c r="BR15" i="12"/>
  <c r="BS15" i="12"/>
  <c r="BT15" i="12"/>
  <c r="BU15" i="12"/>
  <c r="BV15" i="12"/>
  <c r="BW15" i="12"/>
  <c r="BX15" i="12"/>
  <c r="BY15" i="12"/>
  <c r="BZ15" i="12"/>
  <c r="CA15" i="12"/>
  <c r="CB15" i="12"/>
  <c r="CC15" i="12"/>
  <c r="CD15" i="12"/>
  <c r="CE15" i="12"/>
  <c r="CF15" i="12"/>
  <c r="CG15" i="12"/>
  <c r="CH15" i="12"/>
  <c r="CI15" i="12"/>
  <c r="CJ15" i="12"/>
  <c r="CK15" i="12"/>
  <c r="CL15" i="12"/>
  <c r="CM15" i="12"/>
  <c r="CN15" i="12"/>
  <c r="CO15" i="12"/>
  <c r="CP15" i="12"/>
  <c r="CQ15" i="12"/>
  <c r="CR15" i="12"/>
  <c r="CS15" i="12"/>
  <c r="CT15" i="12"/>
  <c r="CU15" i="12"/>
  <c r="CV15" i="12"/>
  <c r="CW15" i="12"/>
  <c r="CX15" i="12"/>
  <c r="CY15" i="12"/>
  <c r="CZ15" i="12"/>
  <c r="DA15" i="12"/>
  <c r="DB15" i="12"/>
  <c r="DC15" i="12"/>
  <c r="DD15" i="12"/>
  <c r="DE15" i="12"/>
  <c r="DF15" i="12"/>
  <c r="DG15" i="12"/>
  <c r="DH15" i="12"/>
  <c r="DI15" i="12"/>
  <c r="DJ15" i="12"/>
  <c r="DK15" i="12"/>
  <c r="DL15" i="12"/>
  <c r="DM15" i="12"/>
  <c r="DN15" i="12"/>
  <c r="DO15" i="12"/>
  <c r="DP15" i="12"/>
  <c r="DQ15" i="12"/>
  <c r="DR15" i="12"/>
  <c r="DS15" i="12"/>
  <c r="DT15" i="12"/>
  <c r="DU15" i="12"/>
  <c r="O16" i="12"/>
  <c r="P16" i="12"/>
  <c r="Q16" i="12"/>
  <c r="R16" i="12"/>
  <c r="S16" i="12"/>
  <c r="T16" i="12"/>
  <c r="U16" i="12"/>
  <c r="V16" i="12"/>
  <c r="W16" i="12"/>
  <c r="X16" i="12"/>
  <c r="Y16" i="12"/>
  <c r="Z16" i="12"/>
  <c r="AA16" i="12"/>
  <c r="AB16" i="12"/>
  <c r="AC16" i="12"/>
  <c r="AD16" i="12"/>
  <c r="AE16" i="12"/>
  <c r="AF16" i="12"/>
  <c r="AG16" i="12"/>
  <c r="AH16" i="12"/>
  <c r="AI16" i="12"/>
  <c r="AJ16" i="12"/>
  <c r="AK16" i="12"/>
  <c r="AL16" i="12"/>
  <c r="AM16" i="12"/>
  <c r="AN16" i="12"/>
  <c r="AO16" i="12"/>
  <c r="AP16" i="12"/>
  <c r="AQ16" i="12"/>
  <c r="AR16" i="12"/>
  <c r="AS16" i="12"/>
  <c r="AT16" i="12"/>
  <c r="AU16" i="12"/>
  <c r="AV16" i="12"/>
  <c r="AW16" i="12"/>
  <c r="AX16" i="12"/>
  <c r="AY16" i="12"/>
  <c r="AZ16" i="12"/>
  <c r="BA16" i="12"/>
  <c r="BB16" i="12"/>
  <c r="BC16" i="12"/>
  <c r="BD16" i="12"/>
  <c r="BE16" i="12"/>
  <c r="BF16" i="12"/>
  <c r="BG16" i="12"/>
  <c r="BH16" i="12"/>
  <c r="BI16" i="12"/>
  <c r="BJ16" i="12"/>
  <c r="BK16" i="12"/>
  <c r="BL16" i="12"/>
  <c r="BM16" i="12"/>
  <c r="BN16" i="12"/>
  <c r="BO16" i="12"/>
  <c r="BP16" i="12"/>
  <c r="BQ16" i="12"/>
  <c r="BR16" i="12"/>
  <c r="BS16" i="12"/>
  <c r="BT16" i="12"/>
  <c r="BU16" i="12"/>
  <c r="BV16" i="12"/>
  <c r="BW16" i="12"/>
  <c r="BX16" i="12"/>
  <c r="BY16" i="12"/>
  <c r="BZ16" i="12"/>
  <c r="CA16" i="12"/>
  <c r="CB16" i="12"/>
  <c r="CC16" i="12"/>
  <c r="CD16" i="12"/>
  <c r="CE16" i="12"/>
  <c r="CF16" i="12"/>
  <c r="CG16" i="12"/>
  <c r="CH16" i="12"/>
  <c r="CI16" i="12"/>
  <c r="CJ16" i="12"/>
  <c r="CK16" i="12"/>
  <c r="CL16" i="12"/>
  <c r="CM16" i="12"/>
  <c r="CN16" i="12"/>
  <c r="CO16" i="12"/>
  <c r="CP16" i="12"/>
  <c r="CQ16" i="12"/>
  <c r="CR16" i="12"/>
  <c r="CS16" i="12"/>
  <c r="CT16" i="12"/>
  <c r="CU16" i="12"/>
  <c r="CV16" i="12"/>
  <c r="CW16" i="12"/>
  <c r="CX16" i="12"/>
  <c r="CY16" i="12"/>
  <c r="CZ16" i="12"/>
  <c r="DA16" i="12"/>
  <c r="DB16" i="12"/>
  <c r="DC16" i="12"/>
  <c r="DD16" i="12"/>
  <c r="DE16" i="12"/>
  <c r="DF16" i="12"/>
  <c r="DG16" i="12"/>
  <c r="DH16" i="12"/>
  <c r="DI16" i="12"/>
  <c r="DJ16" i="12"/>
  <c r="DK16" i="12"/>
  <c r="DL16" i="12"/>
  <c r="DM16" i="12"/>
  <c r="DN16" i="12"/>
  <c r="DO16" i="12"/>
  <c r="DP16" i="12"/>
  <c r="DQ16" i="12"/>
  <c r="DR16" i="12"/>
  <c r="DS16" i="12"/>
  <c r="DT16" i="12"/>
  <c r="DU16" i="12"/>
  <c r="O17" i="12"/>
  <c r="P17" i="12"/>
  <c r="Q17" i="12"/>
  <c r="R17" i="12"/>
  <c r="S17" i="12"/>
  <c r="T17" i="12"/>
  <c r="U17" i="12"/>
  <c r="V17" i="12"/>
  <c r="W17" i="12"/>
  <c r="X17" i="12"/>
  <c r="Y17" i="12"/>
  <c r="Z17" i="12"/>
  <c r="AA17" i="12"/>
  <c r="AB17" i="12"/>
  <c r="AC17" i="12"/>
  <c r="AD17" i="12"/>
  <c r="AE17" i="12"/>
  <c r="AF17" i="12"/>
  <c r="AG17" i="12"/>
  <c r="AH17" i="12"/>
  <c r="AI17" i="12"/>
  <c r="AJ17" i="12"/>
  <c r="AK17" i="12"/>
  <c r="AL17" i="12"/>
  <c r="AM17" i="12"/>
  <c r="AN17" i="12"/>
  <c r="AO17" i="12"/>
  <c r="AP17" i="12"/>
  <c r="AQ17" i="12"/>
  <c r="AR17" i="12"/>
  <c r="AS17" i="12"/>
  <c r="AT17" i="12"/>
  <c r="AU17" i="12"/>
  <c r="AV17" i="12"/>
  <c r="AW17" i="12"/>
  <c r="AX17" i="12"/>
  <c r="AY17" i="12"/>
  <c r="AZ17" i="12"/>
  <c r="BA17" i="12"/>
  <c r="BB17" i="12"/>
  <c r="BC17" i="12"/>
  <c r="BD17" i="12"/>
  <c r="BE17" i="12"/>
  <c r="BF17" i="12"/>
  <c r="BG17" i="12"/>
  <c r="BH17" i="12"/>
  <c r="BI17" i="12"/>
  <c r="BJ17" i="12"/>
  <c r="BK17" i="12"/>
  <c r="BL17" i="12"/>
  <c r="BM17" i="12"/>
  <c r="BN17" i="12"/>
  <c r="BO17" i="12"/>
  <c r="BP17" i="12"/>
  <c r="BQ17" i="12"/>
  <c r="BR17" i="12"/>
  <c r="BS17" i="12"/>
  <c r="BT17" i="12"/>
  <c r="BU17" i="12"/>
  <c r="BV17" i="12"/>
  <c r="BW17" i="12"/>
  <c r="BX17" i="12"/>
  <c r="BY17" i="12"/>
  <c r="BZ17" i="12"/>
  <c r="CA17" i="12"/>
  <c r="CB17" i="12"/>
  <c r="CC17" i="12"/>
  <c r="CD17" i="12"/>
  <c r="CE17" i="12"/>
  <c r="CF17" i="12"/>
  <c r="CG17" i="12"/>
  <c r="CH17" i="12"/>
  <c r="CI17" i="12"/>
  <c r="CJ17" i="12"/>
  <c r="CK17" i="12"/>
  <c r="CL17" i="12"/>
  <c r="CM17" i="12"/>
  <c r="CN17" i="12"/>
  <c r="CO17" i="12"/>
  <c r="CP17" i="12"/>
  <c r="CQ17" i="12"/>
  <c r="CR17" i="12"/>
  <c r="CS17" i="12"/>
  <c r="CT17" i="12"/>
  <c r="CU17" i="12"/>
  <c r="CV17" i="12"/>
  <c r="CW17" i="12"/>
  <c r="CX17" i="12"/>
  <c r="CY17" i="12"/>
  <c r="CZ17" i="12"/>
  <c r="DA17" i="12"/>
  <c r="DB17" i="12"/>
  <c r="DC17" i="12"/>
  <c r="DD17" i="12"/>
  <c r="DE17" i="12"/>
  <c r="DF17" i="12"/>
  <c r="DG17" i="12"/>
  <c r="DH17" i="12"/>
  <c r="DI17" i="12"/>
  <c r="DJ17" i="12"/>
  <c r="DK17" i="12"/>
  <c r="DL17" i="12"/>
  <c r="DM17" i="12"/>
  <c r="DN17" i="12"/>
  <c r="DO17" i="12"/>
  <c r="DP17" i="12"/>
  <c r="DQ17" i="12"/>
  <c r="DR17" i="12"/>
  <c r="DS17" i="12"/>
  <c r="DT17" i="12"/>
  <c r="DU17" i="12"/>
  <c r="O18" i="12"/>
  <c r="P18" i="12"/>
  <c r="Q18" i="12"/>
  <c r="R18" i="12"/>
  <c r="S18" i="12"/>
  <c r="T18" i="12"/>
  <c r="U18" i="12"/>
  <c r="V18" i="12"/>
  <c r="W18" i="12"/>
  <c r="X18" i="12"/>
  <c r="Y18" i="12"/>
  <c r="Z18" i="12"/>
  <c r="AA18" i="12"/>
  <c r="AB18" i="12"/>
  <c r="AC18" i="12"/>
  <c r="AD18" i="12"/>
  <c r="AE18" i="12"/>
  <c r="AF18" i="12"/>
  <c r="AG18" i="12"/>
  <c r="AH18" i="12"/>
  <c r="AI18" i="12"/>
  <c r="AJ18" i="12"/>
  <c r="AK18" i="12"/>
  <c r="AL18" i="12"/>
  <c r="AM18" i="12"/>
  <c r="AN18" i="12"/>
  <c r="AO18" i="12"/>
  <c r="AP18" i="12"/>
  <c r="AQ18" i="12"/>
  <c r="AR18" i="12"/>
  <c r="AS18" i="12"/>
  <c r="AT18" i="12"/>
  <c r="AU18" i="12"/>
  <c r="AV18" i="12"/>
  <c r="AW18" i="12"/>
  <c r="AX18" i="12"/>
  <c r="AY18" i="12"/>
  <c r="AZ18" i="12"/>
  <c r="BA18" i="12"/>
  <c r="BB18" i="12"/>
  <c r="BC18" i="12"/>
  <c r="BD18" i="12"/>
  <c r="BE18" i="12"/>
  <c r="BF18" i="12"/>
  <c r="BG18" i="12"/>
  <c r="BH18" i="12"/>
  <c r="BI18" i="12"/>
  <c r="BJ18" i="12"/>
  <c r="BK18" i="12"/>
  <c r="BL18" i="12"/>
  <c r="BM18" i="12"/>
  <c r="BN18" i="12"/>
  <c r="BO18" i="12"/>
  <c r="BP18" i="12"/>
  <c r="BQ18" i="12"/>
  <c r="BR18" i="12"/>
  <c r="BS18" i="12"/>
  <c r="BT18" i="12"/>
  <c r="BU18" i="12"/>
  <c r="BV18" i="12"/>
  <c r="BW18" i="12"/>
  <c r="BX18" i="12"/>
  <c r="BY18" i="12"/>
  <c r="BZ18" i="12"/>
  <c r="CA18" i="12"/>
  <c r="CB18" i="12"/>
  <c r="CC18" i="12"/>
  <c r="CD18" i="12"/>
  <c r="CE18" i="12"/>
  <c r="CF18" i="12"/>
  <c r="CG18" i="12"/>
  <c r="CH18" i="12"/>
  <c r="CI18" i="12"/>
  <c r="CJ18" i="12"/>
  <c r="CK18" i="12"/>
  <c r="CL18" i="12"/>
  <c r="CM18" i="12"/>
  <c r="CN18" i="12"/>
  <c r="CO18" i="12"/>
  <c r="CP18" i="12"/>
  <c r="CQ18" i="12"/>
  <c r="CR18" i="12"/>
  <c r="CS18" i="12"/>
  <c r="CT18" i="12"/>
  <c r="CU18" i="12"/>
  <c r="CV18" i="12"/>
  <c r="CW18" i="12"/>
  <c r="CX18" i="12"/>
  <c r="CY18" i="12"/>
  <c r="CZ18" i="12"/>
  <c r="DA18" i="12"/>
  <c r="DB18" i="12"/>
  <c r="DC18" i="12"/>
  <c r="DD18" i="12"/>
  <c r="DE18" i="12"/>
  <c r="DF18" i="12"/>
  <c r="DG18" i="12"/>
  <c r="DH18" i="12"/>
  <c r="DI18" i="12"/>
  <c r="DJ18" i="12"/>
  <c r="DK18" i="12"/>
  <c r="DL18" i="12"/>
  <c r="DM18" i="12"/>
  <c r="DN18" i="12"/>
  <c r="DO18" i="12"/>
  <c r="DP18" i="12"/>
  <c r="DQ18" i="12"/>
  <c r="DR18" i="12"/>
  <c r="DS18" i="12"/>
  <c r="DT18" i="12"/>
  <c r="DU18" i="12"/>
  <c r="O19" i="12"/>
  <c r="P19" i="12"/>
  <c r="Q19" i="12"/>
  <c r="R19" i="12"/>
  <c r="S19" i="12"/>
  <c r="T19" i="12"/>
  <c r="U19" i="12"/>
  <c r="V19" i="12"/>
  <c r="W19" i="12"/>
  <c r="X19" i="12"/>
  <c r="Y19" i="12"/>
  <c r="Z19" i="12"/>
  <c r="AA19" i="12"/>
  <c r="AB19" i="12"/>
  <c r="AC19" i="12"/>
  <c r="AD19" i="12"/>
  <c r="AE19" i="12"/>
  <c r="AF19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AS19" i="12"/>
  <c r="AT19" i="12"/>
  <c r="AU19" i="12"/>
  <c r="AV19" i="12"/>
  <c r="AW19" i="12"/>
  <c r="AX19" i="12"/>
  <c r="AY19" i="12"/>
  <c r="AZ19" i="12"/>
  <c r="BA19" i="12"/>
  <c r="BB19" i="12"/>
  <c r="BC19" i="12"/>
  <c r="BD19" i="12"/>
  <c r="BE19" i="12"/>
  <c r="BF19" i="12"/>
  <c r="BG19" i="12"/>
  <c r="BH19" i="12"/>
  <c r="BI19" i="12"/>
  <c r="BJ19" i="12"/>
  <c r="BK19" i="12"/>
  <c r="BL19" i="12"/>
  <c r="BM19" i="12"/>
  <c r="BN19" i="12"/>
  <c r="BO19" i="12"/>
  <c r="BP19" i="12"/>
  <c r="BQ19" i="12"/>
  <c r="BR19" i="12"/>
  <c r="BS19" i="12"/>
  <c r="BT19" i="12"/>
  <c r="BU19" i="12"/>
  <c r="BV19" i="12"/>
  <c r="BW19" i="12"/>
  <c r="BX19" i="12"/>
  <c r="BY19" i="12"/>
  <c r="BZ19" i="12"/>
  <c r="CA19" i="12"/>
  <c r="CB19" i="12"/>
  <c r="CC19" i="12"/>
  <c r="CD19" i="12"/>
  <c r="CE19" i="12"/>
  <c r="CF19" i="12"/>
  <c r="CG19" i="12"/>
  <c r="CH19" i="12"/>
  <c r="CI19" i="12"/>
  <c r="CJ19" i="12"/>
  <c r="CK19" i="12"/>
  <c r="CL19" i="12"/>
  <c r="CM19" i="12"/>
  <c r="CN19" i="12"/>
  <c r="CO19" i="12"/>
  <c r="CP19" i="12"/>
  <c r="CQ19" i="12"/>
  <c r="CR19" i="12"/>
  <c r="CS19" i="12"/>
  <c r="CT19" i="12"/>
  <c r="CU19" i="12"/>
  <c r="CV19" i="12"/>
  <c r="CW19" i="12"/>
  <c r="CX19" i="12"/>
  <c r="CY19" i="12"/>
  <c r="CZ19" i="12"/>
  <c r="DA19" i="12"/>
  <c r="DB19" i="12"/>
  <c r="DC19" i="12"/>
  <c r="DD19" i="12"/>
  <c r="DE19" i="12"/>
  <c r="DF19" i="12"/>
  <c r="DG19" i="12"/>
  <c r="DH19" i="12"/>
  <c r="DI19" i="12"/>
  <c r="DJ19" i="12"/>
  <c r="DK19" i="12"/>
  <c r="DL19" i="12"/>
  <c r="DM19" i="12"/>
  <c r="DN19" i="12"/>
  <c r="DO19" i="12"/>
  <c r="DP19" i="12"/>
  <c r="DQ19" i="12"/>
  <c r="DR19" i="12"/>
  <c r="DS19" i="12"/>
  <c r="DT19" i="12"/>
  <c r="DU19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AS20" i="12"/>
  <c r="AT20" i="12"/>
  <c r="AU20" i="12"/>
  <c r="AV20" i="12"/>
  <c r="AW20" i="12"/>
  <c r="AX20" i="12"/>
  <c r="AY20" i="12"/>
  <c r="AZ20" i="12"/>
  <c r="BA20" i="12"/>
  <c r="BB20" i="12"/>
  <c r="BC20" i="12"/>
  <c r="BD20" i="12"/>
  <c r="BE20" i="12"/>
  <c r="BF20" i="12"/>
  <c r="BG20" i="12"/>
  <c r="BH20" i="12"/>
  <c r="BI20" i="12"/>
  <c r="BJ20" i="12"/>
  <c r="BK20" i="12"/>
  <c r="BL20" i="12"/>
  <c r="BM20" i="12"/>
  <c r="BN20" i="12"/>
  <c r="BO20" i="12"/>
  <c r="BP20" i="12"/>
  <c r="BQ20" i="12"/>
  <c r="BR20" i="12"/>
  <c r="BS20" i="12"/>
  <c r="BT20" i="12"/>
  <c r="BU20" i="12"/>
  <c r="BV20" i="12"/>
  <c r="BW20" i="12"/>
  <c r="BX20" i="12"/>
  <c r="BY20" i="12"/>
  <c r="BZ20" i="12"/>
  <c r="CA20" i="12"/>
  <c r="CB20" i="12"/>
  <c r="CC20" i="12"/>
  <c r="CD20" i="12"/>
  <c r="CE20" i="12"/>
  <c r="CF20" i="12"/>
  <c r="CG20" i="12"/>
  <c r="CH20" i="12"/>
  <c r="CI20" i="12"/>
  <c r="CJ20" i="12"/>
  <c r="CK20" i="12"/>
  <c r="CL20" i="12"/>
  <c r="CM20" i="12"/>
  <c r="CN20" i="12"/>
  <c r="CO20" i="12"/>
  <c r="CP20" i="12"/>
  <c r="CQ20" i="12"/>
  <c r="CR20" i="12"/>
  <c r="CS20" i="12"/>
  <c r="CT20" i="12"/>
  <c r="CU20" i="12"/>
  <c r="CV20" i="12"/>
  <c r="CW20" i="12"/>
  <c r="CX20" i="12"/>
  <c r="CY20" i="12"/>
  <c r="CZ20" i="12"/>
  <c r="DA20" i="12"/>
  <c r="DB20" i="12"/>
  <c r="DC20" i="12"/>
  <c r="DD20" i="12"/>
  <c r="DE20" i="12"/>
  <c r="DF20" i="12"/>
  <c r="DG20" i="12"/>
  <c r="DH20" i="12"/>
  <c r="DI20" i="12"/>
  <c r="DJ20" i="12"/>
  <c r="DK20" i="12"/>
  <c r="DL20" i="12"/>
  <c r="DM20" i="12"/>
  <c r="DN20" i="12"/>
  <c r="DO20" i="12"/>
  <c r="DP20" i="12"/>
  <c r="DQ20" i="12"/>
  <c r="DR20" i="12"/>
  <c r="DS20" i="12"/>
  <c r="DT20" i="12"/>
  <c r="DU20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AD21" i="12"/>
  <c r="AE21" i="12"/>
  <c r="AF21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AV21" i="12"/>
  <c r="AW21" i="12"/>
  <c r="AX21" i="12"/>
  <c r="AY21" i="12"/>
  <c r="AZ21" i="12"/>
  <c r="BA21" i="12"/>
  <c r="BB21" i="12"/>
  <c r="BC21" i="12"/>
  <c r="BD21" i="12"/>
  <c r="BE21" i="12"/>
  <c r="BF21" i="12"/>
  <c r="BG21" i="12"/>
  <c r="BH21" i="12"/>
  <c r="BI21" i="12"/>
  <c r="BJ21" i="12"/>
  <c r="BK21" i="12"/>
  <c r="BL21" i="12"/>
  <c r="BM21" i="12"/>
  <c r="BN21" i="12"/>
  <c r="BO21" i="12"/>
  <c r="BP21" i="12"/>
  <c r="BQ21" i="12"/>
  <c r="BR21" i="12"/>
  <c r="BS21" i="12"/>
  <c r="BT21" i="12"/>
  <c r="BU21" i="12"/>
  <c r="BV21" i="12"/>
  <c r="BW21" i="12"/>
  <c r="BX21" i="12"/>
  <c r="BY21" i="12"/>
  <c r="BZ21" i="12"/>
  <c r="CA21" i="12"/>
  <c r="CB21" i="12"/>
  <c r="CC21" i="12"/>
  <c r="CD21" i="12"/>
  <c r="CE21" i="12"/>
  <c r="CF21" i="12"/>
  <c r="CG21" i="12"/>
  <c r="CH21" i="12"/>
  <c r="CI21" i="12"/>
  <c r="CJ21" i="12"/>
  <c r="CK21" i="12"/>
  <c r="CL21" i="12"/>
  <c r="CM21" i="12"/>
  <c r="CN21" i="12"/>
  <c r="CO21" i="12"/>
  <c r="CP21" i="12"/>
  <c r="CQ21" i="12"/>
  <c r="CR21" i="12"/>
  <c r="CS21" i="12"/>
  <c r="CT21" i="12"/>
  <c r="CU21" i="12"/>
  <c r="CV21" i="12"/>
  <c r="CW21" i="12"/>
  <c r="CX21" i="12"/>
  <c r="CY21" i="12"/>
  <c r="CZ21" i="12"/>
  <c r="DA21" i="12"/>
  <c r="DB21" i="12"/>
  <c r="DC21" i="12"/>
  <c r="DD21" i="12"/>
  <c r="DE21" i="12"/>
  <c r="DF21" i="12"/>
  <c r="DG21" i="12"/>
  <c r="DH21" i="12"/>
  <c r="DI21" i="12"/>
  <c r="DJ21" i="12"/>
  <c r="DK21" i="12"/>
  <c r="DL21" i="12"/>
  <c r="DM21" i="12"/>
  <c r="DN21" i="12"/>
  <c r="DO21" i="12"/>
  <c r="DP21" i="12"/>
  <c r="DQ21" i="12"/>
  <c r="DR21" i="12"/>
  <c r="DS21" i="12"/>
  <c r="DT21" i="12"/>
  <c r="DU21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AC22" i="12"/>
  <c r="AD22" i="12"/>
  <c r="AE22" i="12"/>
  <c r="AF22" i="12"/>
  <c r="AG22" i="12"/>
  <c r="AH22" i="12"/>
  <c r="AI22" i="12"/>
  <c r="AJ22" i="12"/>
  <c r="AK22" i="12"/>
  <c r="AL22" i="12"/>
  <c r="AM22" i="12"/>
  <c r="AN22" i="12"/>
  <c r="AO22" i="12"/>
  <c r="AP22" i="12"/>
  <c r="AQ22" i="12"/>
  <c r="AR22" i="12"/>
  <c r="AS22" i="12"/>
  <c r="AT22" i="12"/>
  <c r="AU22" i="12"/>
  <c r="AV22" i="12"/>
  <c r="AW22" i="12"/>
  <c r="AX22" i="12"/>
  <c r="AY22" i="12"/>
  <c r="AZ22" i="12"/>
  <c r="BA22" i="12"/>
  <c r="BB22" i="12"/>
  <c r="BC22" i="12"/>
  <c r="BD22" i="12"/>
  <c r="BE22" i="12"/>
  <c r="BF22" i="12"/>
  <c r="BG22" i="12"/>
  <c r="BH22" i="12"/>
  <c r="BI22" i="12"/>
  <c r="BJ22" i="12"/>
  <c r="BK22" i="12"/>
  <c r="BL22" i="12"/>
  <c r="BM22" i="12"/>
  <c r="BN22" i="12"/>
  <c r="BO22" i="12"/>
  <c r="BP22" i="12"/>
  <c r="BQ22" i="12"/>
  <c r="BR22" i="12"/>
  <c r="BS22" i="12"/>
  <c r="BT22" i="12"/>
  <c r="BU22" i="12"/>
  <c r="BV22" i="12"/>
  <c r="BW22" i="12"/>
  <c r="BX22" i="12"/>
  <c r="BY22" i="12"/>
  <c r="BZ22" i="12"/>
  <c r="CA22" i="12"/>
  <c r="CB22" i="12"/>
  <c r="CC22" i="12"/>
  <c r="CD22" i="12"/>
  <c r="CE22" i="12"/>
  <c r="CF22" i="12"/>
  <c r="CG22" i="12"/>
  <c r="CH22" i="12"/>
  <c r="CI22" i="12"/>
  <c r="CJ22" i="12"/>
  <c r="CK22" i="12"/>
  <c r="CL22" i="12"/>
  <c r="CM22" i="12"/>
  <c r="CN22" i="12"/>
  <c r="CO22" i="12"/>
  <c r="CP22" i="12"/>
  <c r="CQ22" i="12"/>
  <c r="CR22" i="12"/>
  <c r="CS22" i="12"/>
  <c r="CT22" i="12"/>
  <c r="CU22" i="12"/>
  <c r="CV22" i="12"/>
  <c r="CW22" i="12"/>
  <c r="CX22" i="12"/>
  <c r="CY22" i="12"/>
  <c r="CZ22" i="12"/>
  <c r="DA22" i="12"/>
  <c r="DB22" i="12"/>
  <c r="DC22" i="12"/>
  <c r="DD22" i="12"/>
  <c r="DE22" i="12"/>
  <c r="DF22" i="12"/>
  <c r="DG22" i="12"/>
  <c r="DH22" i="12"/>
  <c r="DI22" i="12"/>
  <c r="DJ22" i="12"/>
  <c r="DK22" i="12"/>
  <c r="DL22" i="12"/>
  <c r="DM22" i="12"/>
  <c r="DN22" i="12"/>
  <c r="DO22" i="12"/>
  <c r="DP22" i="12"/>
  <c r="DQ22" i="12"/>
  <c r="DR22" i="12"/>
  <c r="DS22" i="12"/>
  <c r="DT22" i="12"/>
  <c r="DU22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AC23" i="12"/>
  <c r="AD23" i="12"/>
  <c r="AE23" i="12"/>
  <c r="AF23" i="12"/>
  <c r="AG23" i="12"/>
  <c r="AH23" i="12"/>
  <c r="AI23" i="12"/>
  <c r="AJ23" i="12"/>
  <c r="AK23" i="12"/>
  <c r="AL23" i="12"/>
  <c r="AM23" i="12"/>
  <c r="AN23" i="12"/>
  <c r="AO23" i="12"/>
  <c r="AP23" i="12"/>
  <c r="AQ23" i="12"/>
  <c r="AR23" i="12"/>
  <c r="AS23" i="12"/>
  <c r="AT23" i="12"/>
  <c r="AU23" i="12"/>
  <c r="AV23" i="12"/>
  <c r="AW23" i="12"/>
  <c r="AX23" i="12"/>
  <c r="AY23" i="12"/>
  <c r="AZ23" i="12"/>
  <c r="BA23" i="12"/>
  <c r="BB23" i="12"/>
  <c r="BC23" i="12"/>
  <c r="BD23" i="12"/>
  <c r="BE23" i="12"/>
  <c r="BF23" i="12"/>
  <c r="BG23" i="12"/>
  <c r="BH23" i="12"/>
  <c r="BI23" i="12"/>
  <c r="BJ23" i="12"/>
  <c r="BK23" i="12"/>
  <c r="BL23" i="12"/>
  <c r="BM23" i="12"/>
  <c r="BN23" i="12"/>
  <c r="BO23" i="12"/>
  <c r="BP23" i="12"/>
  <c r="BQ23" i="12"/>
  <c r="BR23" i="12"/>
  <c r="BS23" i="12"/>
  <c r="BT23" i="12"/>
  <c r="BU23" i="12"/>
  <c r="BV23" i="12"/>
  <c r="BW23" i="12"/>
  <c r="BX23" i="12"/>
  <c r="BY23" i="12"/>
  <c r="BZ23" i="12"/>
  <c r="CA23" i="12"/>
  <c r="CB23" i="12"/>
  <c r="CC23" i="12"/>
  <c r="CD23" i="12"/>
  <c r="CE23" i="12"/>
  <c r="CF23" i="12"/>
  <c r="CG23" i="12"/>
  <c r="CH23" i="12"/>
  <c r="CI23" i="12"/>
  <c r="CJ23" i="12"/>
  <c r="CK23" i="12"/>
  <c r="CL23" i="12"/>
  <c r="CM23" i="12"/>
  <c r="CN23" i="12"/>
  <c r="CO23" i="12"/>
  <c r="CP23" i="12"/>
  <c r="CQ23" i="12"/>
  <c r="CR23" i="12"/>
  <c r="CS23" i="12"/>
  <c r="CT23" i="12"/>
  <c r="CU23" i="12"/>
  <c r="CV23" i="12"/>
  <c r="CW23" i="12"/>
  <c r="CX23" i="12"/>
  <c r="CY23" i="12"/>
  <c r="CZ23" i="12"/>
  <c r="DA23" i="12"/>
  <c r="DB23" i="12"/>
  <c r="DC23" i="12"/>
  <c r="DD23" i="12"/>
  <c r="DE23" i="12"/>
  <c r="DF23" i="12"/>
  <c r="DG23" i="12"/>
  <c r="DH23" i="12"/>
  <c r="DI23" i="12"/>
  <c r="DJ23" i="12"/>
  <c r="DK23" i="12"/>
  <c r="DL23" i="12"/>
  <c r="DM23" i="12"/>
  <c r="DN23" i="12"/>
  <c r="DO23" i="12"/>
  <c r="DP23" i="12"/>
  <c r="DQ23" i="12"/>
  <c r="DR23" i="12"/>
  <c r="DS23" i="12"/>
  <c r="DT23" i="12"/>
  <c r="DU23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AC24" i="12"/>
  <c r="AD24" i="12"/>
  <c r="AE24" i="12"/>
  <c r="AF24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AV24" i="12"/>
  <c r="AW24" i="12"/>
  <c r="AX24" i="12"/>
  <c r="AY24" i="12"/>
  <c r="AZ24" i="12"/>
  <c r="BA24" i="12"/>
  <c r="BB24" i="12"/>
  <c r="BC24" i="12"/>
  <c r="BD24" i="12"/>
  <c r="BE24" i="12"/>
  <c r="BF24" i="12"/>
  <c r="BG24" i="12"/>
  <c r="BH24" i="12"/>
  <c r="BI24" i="12"/>
  <c r="BJ24" i="12"/>
  <c r="BK24" i="12"/>
  <c r="BL24" i="12"/>
  <c r="BM24" i="12"/>
  <c r="BN24" i="12"/>
  <c r="BO24" i="12"/>
  <c r="BP24" i="12"/>
  <c r="BQ24" i="12"/>
  <c r="BR24" i="12"/>
  <c r="BS24" i="12"/>
  <c r="BT24" i="12"/>
  <c r="BU24" i="12"/>
  <c r="BV24" i="12"/>
  <c r="BW24" i="12"/>
  <c r="BX24" i="12"/>
  <c r="BY24" i="12"/>
  <c r="BZ24" i="12"/>
  <c r="CA24" i="12"/>
  <c r="CB24" i="12"/>
  <c r="CC24" i="12"/>
  <c r="CD24" i="12"/>
  <c r="CE24" i="12"/>
  <c r="CF24" i="12"/>
  <c r="CG24" i="12"/>
  <c r="CH24" i="12"/>
  <c r="CI24" i="12"/>
  <c r="CJ24" i="12"/>
  <c r="CK24" i="12"/>
  <c r="CL24" i="12"/>
  <c r="CM24" i="12"/>
  <c r="CN24" i="12"/>
  <c r="CO24" i="12"/>
  <c r="CP24" i="12"/>
  <c r="CQ24" i="12"/>
  <c r="CR24" i="12"/>
  <c r="CS24" i="12"/>
  <c r="CT24" i="12"/>
  <c r="CU24" i="12"/>
  <c r="CV24" i="12"/>
  <c r="CW24" i="12"/>
  <c r="CX24" i="12"/>
  <c r="CY24" i="12"/>
  <c r="CZ24" i="12"/>
  <c r="DA24" i="12"/>
  <c r="DB24" i="12"/>
  <c r="DC24" i="12"/>
  <c r="DD24" i="12"/>
  <c r="DE24" i="12"/>
  <c r="DF24" i="12"/>
  <c r="DG24" i="12"/>
  <c r="DH24" i="12"/>
  <c r="DI24" i="12"/>
  <c r="DJ24" i="12"/>
  <c r="DK24" i="12"/>
  <c r="DL24" i="12"/>
  <c r="DM24" i="12"/>
  <c r="DN24" i="12"/>
  <c r="DO24" i="12"/>
  <c r="DP24" i="12"/>
  <c r="DQ24" i="12"/>
  <c r="DR24" i="12"/>
  <c r="DS24" i="12"/>
  <c r="DT24" i="12"/>
  <c r="DU24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AC25" i="12"/>
  <c r="AD25" i="12"/>
  <c r="AE25" i="12"/>
  <c r="AF25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AS25" i="12"/>
  <c r="AT25" i="12"/>
  <c r="AU25" i="12"/>
  <c r="AV25" i="12"/>
  <c r="AW25" i="12"/>
  <c r="AX25" i="12"/>
  <c r="AY25" i="12"/>
  <c r="AZ25" i="12"/>
  <c r="BA25" i="12"/>
  <c r="BB25" i="12"/>
  <c r="BC25" i="12"/>
  <c r="BD25" i="12"/>
  <c r="BE25" i="12"/>
  <c r="BF25" i="12"/>
  <c r="BG25" i="12"/>
  <c r="BH25" i="12"/>
  <c r="BI25" i="12"/>
  <c r="BJ25" i="12"/>
  <c r="BK25" i="12"/>
  <c r="BL25" i="12"/>
  <c r="BM25" i="12"/>
  <c r="BN25" i="12"/>
  <c r="BO25" i="12"/>
  <c r="BP25" i="12"/>
  <c r="BQ25" i="12"/>
  <c r="BR25" i="12"/>
  <c r="BS25" i="12"/>
  <c r="BT25" i="12"/>
  <c r="BU25" i="12"/>
  <c r="BV25" i="12"/>
  <c r="BW25" i="12"/>
  <c r="BX25" i="12"/>
  <c r="BY25" i="12"/>
  <c r="BZ25" i="12"/>
  <c r="CA25" i="12"/>
  <c r="CB25" i="12"/>
  <c r="CC25" i="12"/>
  <c r="CD25" i="12"/>
  <c r="CE25" i="12"/>
  <c r="CF25" i="12"/>
  <c r="CG25" i="12"/>
  <c r="CH25" i="12"/>
  <c r="CI25" i="12"/>
  <c r="CJ25" i="12"/>
  <c r="CK25" i="12"/>
  <c r="CL25" i="12"/>
  <c r="CM25" i="12"/>
  <c r="CN25" i="12"/>
  <c r="CO25" i="12"/>
  <c r="CP25" i="12"/>
  <c r="CQ25" i="12"/>
  <c r="CR25" i="12"/>
  <c r="CS25" i="12"/>
  <c r="CT25" i="12"/>
  <c r="CU25" i="12"/>
  <c r="CV25" i="12"/>
  <c r="CW25" i="12"/>
  <c r="CX25" i="12"/>
  <c r="CY25" i="12"/>
  <c r="CZ25" i="12"/>
  <c r="DA25" i="12"/>
  <c r="DB25" i="12"/>
  <c r="DC25" i="12"/>
  <c r="DD25" i="12"/>
  <c r="DE25" i="12"/>
  <c r="DF25" i="12"/>
  <c r="DG25" i="12"/>
  <c r="DH25" i="12"/>
  <c r="DI25" i="12"/>
  <c r="DJ25" i="12"/>
  <c r="DK25" i="12"/>
  <c r="DL25" i="12"/>
  <c r="DM25" i="12"/>
  <c r="DN25" i="12"/>
  <c r="DO25" i="12"/>
  <c r="DP25" i="12"/>
  <c r="DQ25" i="12"/>
  <c r="DR25" i="12"/>
  <c r="DS25" i="12"/>
  <c r="DT25" i="12"/>
  <c r="DU25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AD26" i="12"/>
  <c r="AE26" i="12"/>
  <c r="AF26" i="12"/>
  <c r="AG26" i="12"/>
  <c r="AH26" i="12"/>
  <c r="AI26" i="12"/>
  <c r="AJ26" i="12"/>
  <c r="AK26" i="12"/>
  <c r="AL26" i="12"/>
  <c r="AM26" i="12"/>
  <c r="AN26" i="12"/>
  <c r="AO26" i="12"/>
  <c r="AP26" i="12"/>
  <c r="AQ26" i="12"/>
  <c r="AR26" i="12"/>
  <c r="AS26" i="12"/>
  <c r="AT26" i="12"/>
  <c r="AU26" i="12"/>
  <c r="AV26" i="12"/>
  <c r="AW26" i="12"/>
  <c r="AX26" i="12"/>
  <c r="AY26" i="12"/>
  <c r="AZ26" i="12"/>
  <c r="BA26" i="12"/>
  <c r="BB26" i="12"/>
  <c r="BC26" i="12"/>
  <c r="BD26" i="12"/>
  <c r="BE26" i="12"/>
  <c r="BF26" i="12"/>
  <c r="BG26" i="12"/>
  <c r="BH26" i="12"/>
  <c r="BI26" i="12"/>
  <c r="BJ26" i="12"/>
  <c r="BK26" i="12"/>
  <c r="BL26" i="12"/>
  <c r="BM26" i="12"/>
  <c r="BN26" i="12"/>
  <c r="BO26" i="12"/>
  <c r="BP26" i="12"/>
  <c r="BQ26" i="12"/>
  <c r="BR26" i="12"/>
  <c r="BS26" i="12"/>
  <c r="BT26" i="12"/>
  <c r="BU26" i="12"/>
  <c r="BV26" i="12"/>
  <c r="BW26" i="12"/>
  <c r="BX26" i="12"/>
  <c r="BY26" i="12"/>
  <c r="BZ26" i="12"/>
  <c r="CA26" i="12"/>
  <c r="CB26" i="12"/>
  <c r="CC26" i="12"/>
  <c r="CD26" i="12"/>
  <c r="CE26" i="12"/>
  <c r="CF26" i="12"/>
  <c r="CG26" i="12"/>
  <c r="CH26" i="12"/>
  <c r="CI26" i="12"/>
  <c r="CJ26" i="12"/>
  <c r="CK26" i="12"/>
  <c r="CL26" i="12"/>
  <c r="CM26" i="12"/>
  <c r="CN26" i="12"/>
  <c r="CO26" i="12"/>
  <c r="CP26" i="12"/>
  <c r="CQ26" i="12"/>
  <c r="CR26" i="12"/>
  <c r="CS26" i="12"/>
  <c r="CT26" i="12"/>
  <c r="CU26" i="12"/>
  <c r="CV26" i="12"/>
  <c r="CW26" i="12"/>
  <c r="CX26" i="12"/>
  <c r="CY26" i="12"/>
  <c r="CZ26" i="12"/>
  <c r="DA26" i="12"/>
  <c r="DB26" i="12"/>
  <c r="DC26" i="12"/>
  <c r="DD26" i="12"/>
  <c r="DE26" i="12"/>
  <c r="DF26" i="12"/>
  <c r="DG26" i="12"/>
  <c r="DH26" i="12"/>
  <c r="DI26" i="12"/>
  <c r="DJ26" i="12"/>
  <c r="DK26" i="12"/>
  <c r="DL26" i="12"/>
  <c r="DM26" i="12"/>
  <c r="DN26" i="12"/>
  <c r="DO26" i="12"/>
  <c r="DP26" i="12"/>
  <c r="DQ26" i="12"/>
  <c r="DR26" i="12"/>
  <c r="DS26" i="12"/>
  <c r="DT26" i="12"/>
  <c r="DU26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AS27" i="12"/>
  <c r="AT27" i="12"/>
  <c r="AU27" i="12"/>
  <c r="AV27" i="12"/>
  <c r="AW27" i="12"/>
  <c r="AX27" i="12"/>
  <c r="AY27" i="12"/>
  <c r="AZ27" i="12"/>
  <c r="BA27" i="12"/>
  <c r="BB27" i="12"/>
  <c r="BC27" i="12"/>
  <c r="BD27" i="12"/>
  <c r="BE27" i="12"/>
  <c r="BF27" i="12"/>
  <c r="BG27" i="12"/>
  <c r="BH27" i="12"/>
  <c r="BI27" i="12"/>
  <c r="BJ27" i="12"/>
  <c r="BK27" i="12"/>
  <c r="BL27" i="12"/>
  <c r="BM27" i="12"/>
  <c r="BN27" i="12"/>
  <c r="BO27" i="12"/>
  <c r="BP27" i="12"/>
  <c r="BQ27" i="12"/>
  <c r="BR27" i="12"/>
  <c r="BS27" i="12"/>
  <c r="BT27" i="12"/>
  <c r="BU27" i="12"/>
  <c r="BV27" i="12"/>
  <c r="BW27" i="12"/>
  <c r="BX27" i="12"/>
  <c r="BY27" i="12"/>
  <c r="BZ27" i="12"/>
  <c r="CA27" i="12"/>
  <c r="CB27" i="12"/>
  <c r="CC27" i="12"/>
  <c r="CD27" i="12"/>
  <c r="CE27" i="12"/>
  <c r="CF27" i="12"/>
  <c r="CG27" i="12"/>
  <c r="CH27" i="12"/>
  <c r="CI27" i="12"/>
  <c r="CJ27" i="12"/>
  <c r="CK27" i="12"/>
  <c r="CL27" i="12"/>
  <c r="CM27" i="12"/>
  <c r="CN27" i="12"/>
  <c r="CO27" i="12"/>
  <c r="CP27" i="12"/>
  <c r="CQ27" i="12"/>
  <c r="CR27" i="12"/>
  <c r="CS27" i="12"/>
  <c r="CT27" i="12"/>
  <c r="CU27" i="12"/>
  <c r="CV27" i="12"/>
  <c r="CW27" i="12"/>
  <c r="CX27" i="12"/>
  <c r="CY27" i="12"/>
  <c r="CZ27" i="12"/>
  <c r="DA27" i="12"/>
  <c r="DB27" i="12"/>
  <c r="DC27" i="12"/>
  <c r="DD27" i="12"/>
  <c r="DE27" i="12"/>
  <c r="DF27" i="12"/>
  <c r="DG27" i="12"/>
  <c r="DH27" i="12"/>
  <c r="DI27" i="12"/>
  <c r="DJ27" i="12"/>
  <c r="DK27" i="12"/>
  <c r="DL27" i="12"/>
  <c r="DM27" i="12"/>
  <c r="DN27" i="12"/>
  <c r="DO27" i="12"/>
  <c r="DP27" i="12"/>
  <c r="DQ27" i="12"/>
  <c r="DR27" i="12"/>
  <c r="DS27" i="12"/>
  <c r="DT27" i="12"/>
  <c r="DU27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AC28" i="12"/>
  <c r="AD28" i="12"/>
  <c r="AE28" i="12"/>
  <c r="AF28" i="12"/>
  <c r="AG28" i="12"/>
  <c r="AH28" i="12"/>
  <c r="AI28" i="12"/>
  <c r="AJ28" i="12"/>
  <c r="AK28" i="12"/>
  <c r="AL28" i="12"/>
  <c r="AM28" i="12"/>
  <c r="AN28" i="12"/>
  <c r="AO28" i="12"/>
  <c r="AP28" i="12"/>
  <c r="AQ28" i="12"/>
  <c r="AR28" i="12"/>
  <c r="AS28" i="12"/>
  <c r="AT28" i="12"/>
  <c r="AU28" i="12"/>
  <c r="AV28" i="12"/>
  <c r="AW28" i="12"/>
  <c r="AX28" i="12"/>
  <c r="AY28" i="12"/>
  <c r="AZ28" i="12"/>
  <c r="BA28" i="12"/>
  <c r="BB28" i="12"/>
  <c r="BC28" i="12"/>
  <c r="BD28" i="12"/>
  <c r="BE28" i="12"/>
  <c r="BF28" i="12"/>
  <c r="BG28" i="12"/>
  <c r="BH28" i="12"/>
  <c r="BI28" i="12"/>
  <c r="BJ28" i="12"/>
  <c r="BK28" i="12"/>
  <c r="BL28" i="12"/>
  <c r="BM28" i="12"/>
  <c r="BN28" i="12"/>
  <c r="BO28" i="12"/>
  <c r="BP28" i="12"/>
  <c r="BQ28" i="12"/>
  <c r="BR28" i="12"/>
  <c r="BS28" i="12"/>
  <c r="BT28" i="12"/>
  <c r="BU28" i="12"/>
  <c r="BV28" i="12"/>
  <c r="BW28" i="12"/>
  <c r="BX28" i="12"/>
  <c r="BY28" i="12"/>
  <c r="BZ28" i="12"/>
  <c r="CA28" i="12"/>
  <c r="CB28" i="12"/>
  <c r="CC28" i="12"/>
  <c r="CD28" i="12"/>
  <c r="CE28" i="12"/>
  <c r="CF28" i="12"/>
  <c r="CG28" i="12"/>
  <c r="CH28" i="12"/>
  <c r="CI28" i="12"/>
  <c r="CJ28" i="12"/>
  <c r="CK28" i="12"/>
  <c r="CL28" i="12"/>
  <c r="CM28" i="12"/>
  <c r="CN28" i="12"/>
  <c r="CO28" i="12"/>
  <c r="CP28" i="12"/>
  <c r="CQ28" i="12"/>
  <c r="CR28" i="12"/>
  <c r="CS28" i="12"/>
  <c r="CT28" i="12"/>
  <c r="CU28" i="12"/>
  <c r="CV28" i="12"/>
  <c r="CW28" i="12"/>
  <c r="CX28" i="12"/>
  <c r="CY28" i="12"/>
  <c r="CZ28" i="12"/>
  <c r="DA28" i="12"/>
  <c r="DB28" i="12"/>
  <c r="DC28" i="12"/>
  <c r="DD28" i="12"/>
  <c r="DE28" i="12"/>
  <c r="DF28" i="12"/>
  <c r="DG28" i="12"/>
  <c r="DH28" i="12"/>
  <c r="DI28" i="12"/>
  <c r="DJ28" i="12"/>
  <c r="DK28" i="12"/>
  <c r="DL28" i="12"/>
  <c r="DM28" i="12"/>
  <c r="DN28" i="12"/>
  <c r="DO28" i="12"/>
  <c r="DP28" i="12"/>
  <c r="DQ28" i="12"/>
  <c r="DR28" i="12"/>
  <c r="DS28" i="12"/>
  <c r="DT28" i="12"/>
  <c r="DU28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AC29" i="12"/>
  <c r="AD29" i="12"/>
  <c r="AE29" i="12"/>
  <c r="AF29" i="12"/>
  <c r="AG29" i="12"/>
  <c r="AH29" i="12"/>
  <c r="AI29" i="12"/>
  <c r="AJ29" i="12"/>
  <c r="AK29" i="12"/>
  <c r="AL29" i="12"/>
  <c r="AM29" i="12"/>
  <c r="AN29" i="12"/>
  <c r="AO29" i="12"/>
  <c r="AP29" i="12"/>
  <c r="AQ29" i="12"/>
  <c r="AR29" i="12"/>
  <c r="AS29" i="12"/>
  <c r="AT29" i="12"/>
  <c r="AU29" i="12"/>
  <c r="AV29" i="12"/>
  <c r="AW29" i="12"/>
  <c r="AX29" i="12"/>
  <c r="AY29" i="12"/>
  <c r="AZ29" i="12"/>
  <c r="BA29" i="12"/>
  <c r="BB29" i="12"/>
  <c r="BC29" i="12"/>
  <c r="BD29" i="12"/>
  <c r="BE29" i="12"/>
  <c r="BF29" i="12"/>
  <c r="BG29" i="12"/>
  <c r="BH29" i="12"/>
  <c r="BI29" i="12"/>
  <c r="BJ29" i="12"/>
  <c r="BK29" i="12"/>
  <c r="BL29" i="12"/>
  <c r="BM29" i="12"/>
  <c r="BN29" i="12"/>
  <c r="BO29" i="12"/>
  <c r="BP29" i="12"/>
  <c r="BQ29" i="12"/>
  <c r="BR29" i="12"/>
  <c r="BS29" i="12"/>
  <c r="BT29" i="12"/>
  <c r="BU29" i="12"/>
  <c r="BV29" i="12"/>
  <c r="BW29" i="12"/>
  <c r="BX29" i="12"/>
  <c r="BY29" i="12"/>
  <c r="BZ29" i="12"/>
  <c r="CA29" i="12"/>
  <c r="CB29" i="12"/>
  <c r="CC29" i="12"/>
  <c r="CD29" i="12"/>
  <c r="CE29" i="12"/>
  <c r="CF29" i="12"/>
  <c r="CG29" i="12"/>
  <c r="CH29" i="12"/>
  <c r="CI29" i="12"/>
  <c r="CJ29" i="12"/>
  <c r="CK29" i="12"/>
  <c r="CL29" i="12"/>
  <c r="CM29" i="12"/>
  <c r="CN29" i="12"/>
  <c r="CO29" i="12"/>
  <c r="CP29" i="12"/>
  <c r="CQ29" i="12"/>
  <c r="CR29" i="12"/>
  <c r="CS29" i="12"/>
  <c r="CT29" i="12"/>
  <c r="CU29" i="12"/>
  <c r="CV29" i="12"/>
  <c r="CW29" i="12"/>
  <c r="CX29" i="12"/>
  <c r="CY29" i="12"/>
  <c r="CZ29" i="12"/>
  <c r="DA29" i="12"/>
  <c r="DB29" i="12"/>
  <c r="DC29" i="12"/>
  <c r="DD29" i="12"/>
  <c r="DE29" i="12"/>
  <c r="DF29" i="12"/>
  <c r="DG29" i="12"/>
  <c r="DH29" i="12"/>
  <c r="DI29" i="12"/>
  <c r="DJ29" i="12"/>
  <c r="DK29" i="12"/>
  <c r="DL29" i="12"/>
  <c r="DM29" i="12"/>
  <c r="DN29" i="12"/>
  <c r="DO29" i="12"/>
  <c r="DP29" i="12"/>
  <c r="DQ29" i="12"/>
  <c r="DR29" i="12"/>
  <c r="DS29" i="12"/>
  <c r="DT29" i="12"/>
  <c r="DU29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AC30" i="12"/>
  <c r="AD30" i="12"/>
  <c r="AE30" i="12"/>
  <c r="AF30" i="12"/>
  <c r="AG30" i="12"/>
  <c r="AH30" i="12"/>
  <c r="AI30" i="12"/>
  <c r="AJ30" i="12"/>
  <c r="AK30" i="12"/>
  <c r="AL30" i="12"/>
  <c r="AM30" i="12"/>
  <c r="AN30" i="12"/>
  <c r="AO30" i="12"/>
  <c r="AP30" i="12"/>
  <c r="AQ30" i="12"/>
  <c r="AR30" i="12"/>
  <c r="AS30" i="12"/>
  <c r="AT30" i="12"/>
  <c r="AU30" i="12"/>
  <c r="AV30" i="12"/>
  <c r="AW30" i="12"/>
  <c r="AX30" i="12"/>
  <c r="AY30" i="12"/>
  <c r="AZ30" i="12"/>
  <c r="BA30" i="12"/>
  <c r="BB30" i="12"/>
  <c r="BC30" i="12"/>
  <c r="BD30" i="12"/>
  <c r="BE30" i="12"/>
  <c r="BF30" i="12"/>
  <c r="BG30" i="12"/>
  <c r="BH30" i="12"/>
  <c r="BI30" i="12"/>
  <c r="BJ30" i="12"/>
  <c r="BK30" i="12"/>
  <c r="BL30" i="12"/>
  <c r="BM30" i="12"/>
  <c r="BN30" i="12"/>
  <c r="BO30" i="12"/>
  <c r="BP30" i="12"/>
  <c r="BQ30" i="12"/>
  <c r="BR30" i="12"/>
  <c r="BS30" i="12"/>
  <c r="BT30" i="12"/>
  <c r="BU30" i="12"/>
  <c r="BV30" i="12"/>
  <c r="BW30" i="12"/>
  <c r="BX30" i="12"/>
  <c r="BY30" i="12"/>
  <c r="BZ30" i="12"/>
  <c r="CA30" i="12"/>
  <c r="CB30" i="12"/>
  <c r="CC30" i="12"/>
  <c r="CD30" i="12"/>
  <c r="CE30" i="12"/>
  <c r="CF30" i="12"/>
  <c r="CG30" i="12"/>
  <c r="CH30" i="12"/>
  <c r="CI30" i="12"/>
  <c r="CJ30" i="12"/>
  <c r="CK30" i="12"/>
  <c r="CL30" i="12"/>
  <c r="CM30" i="12"/>
  <c r="CN30" i="12"/>
  <c r="CO30" i="12"/>
  <c r="CP30" i="12"/>
  <c r="CQ30" i="12"/>
  <c r="CR30" i="12"/>
  <c r="CS30" i="12"/>
  <c r="CT30" i="12"/>
  <c r="CU30" i="12"/>
  <c r="CV30" i="12"/>
  <c r="CW30" i="12"/>
  <c r="CX30" i="12"/>
  <c r="CY30" i="12"/>
  <c r="CZ30" i="12"/>
  <c r="DA30" i="12"/>
  <c r="DB30" i="12"/>
  <c r="DC30" i="12"/>
  <c r="DD30" i="12"/>
  <c r="DE30" i="12"/>
  <c r="DF30" i="12"/>
  <c r="DG30" i="12"/>
  <c r="DH30" i="12"/>
  <c r="DI30" i="12"/>
  <c r="DJ30" i="12"/>
  <c r="DK30" i="12"/>
  <c r="DL30" i="12"/>
  <c r="DM30" i="12"/>
  <c r="DN30" i="12"/>
  <c r="DO30" i="12"/>
  <c r="DP30" i="12"/>
  <c r="DQ30" i="12"/>
  <c r="DR30" i="12"/>
  <c r="DS30" i="12"/>
  <c r="DT30" i="12"/>
  <c r="DU30" i="12"/>
  <c r="O31" i="12"/>
  <c r="P31" i="12"/>
  <c r="Q31" i="12"/>
  <c r="R31" i="12"/>
  <c r="S31" i="12"/>
  <c r="T31" i="12"/>
  <c r="U31" i="12"/>
  <c r="V31" i="12"/>
  <c r="W31" i="12"/>
  <c r="X31" i="12"/>
  <c r="Y31" i="12"/>
  <c r="Z31" i="12"/>
  <c r="AA31" i="12"/>
  <c r="AB31" i="12"/>
  <c r="AC31" i="12"/>
  <c r="AD31" i="12"/>
  <c r="AE31" i="12"/>
  <c r="AF31" i="12"/>
  <c r="AG31" i="12"/>
  <c r="AH31" i="12"/>
  <c r="AI31" i="12"/>
  <c r="AJ31" i="12"/>
  <c r="AK31" i="12"/>
  <c r="AL31" i="12"/>
  <c r="AM31" i="12"/>
  <c r="AN31" i="12"/>
  <c r="AO31" i="12"/>
  <c r="AP31" i="12"/>
  <c r="AQ31" i="12"/>
  <c r="AR31" i="12"/>
  <c r="AS31" i="12"/>
  <c r="AT31" i="12"/>
  <c r="AU31" i="12"/>
  <c r="AV31" i="12"/>
  <c r="AW31" i="12"/>
  <c r="AX31" i="12"/>
  <c r="AY31" i="12"/>
  <c r="AZ31" i="12"/>
  <c r="BA31" i="12"/>
  <c r="BB31" i="12"/>
  <c r="BC31" i="12"/>
  <c r="BD31" i="12"/>
  <c r="BE31" i="12"/>
  <c r="BF31" i="12"/>
  <c r="BG31" i="12"/>
  <c r="BH31" i="12"/>
  <c r="BI31" i="12"/>
  <c r="BJ31" i="12"/>
  <c r="BK31" i="12"/>
  <c r="BL31" i="12"/>
  <c r="BM31" i="12"/>
  <c r="BN31" i="12"/>
  <c r="BO31" i="12"/>
  <c r="BP31" i="12"/>
  <c r="BQ31" i="12"/>
  <c r="BR31" i="12"/>
  <c r="BS31" i="12"/>
  <c r="BT31" i="12"/>
  <c r="BU31" i="12"/>
  <c r="BV31" i="12"/>
  <c r="BW31" i="12"/>
  <c r="BX31" i="12"/>
  <c r="BY31" i="12"/>
  <c r="BZ31" i="12"/>
  <c r="CA31" i="12"/>
  <c r="CB31" i="12"/>
  <c r="CC31" i="12"/>
  <c r="CD31" i="12"/>
  <c r="CE31" i="12"/>
  <c r="CF31" i="12"/>
  <c r="CG31" i="12"/>
  <c r="CH31" i="12"/>
  <c r="CI31" i="12"/>
  <c r="CJ31" i="12"/>
  <c r="CK31" i="12"/>
  <c r="CL31" i="12"/>
  <c r="CM31" i="12"/>
  <c r="CN31" i="12"/>
  <c r="CO31" i="12"/>
  <c r="CP31" i="12"/>
  <c r="CQ31" i="12"/>
  <c r="CR31" i="12"/>
  <c r="CS31" i="12"/>
  <c r="CT31" i="12"/>
  <c r="CU31" i="12"/>
  <c r="CV31" i="12"/>
  <c r="CW31" i="12"/>
  <c r="CX31" i="12"/>
  <c r="CY31" i="12"/>
  <c r="CZ31" i="12"/>
  <c r="DA31" i="12"/>
  <c r="DB31" i="12"/>
  <c r="DC31" i="12"/>
  <c r="DD31" i="12"/>
  <c r="DE31" i="12"/>
  <c r="DF31" i="12"/>
  <c r="DG31" i="12"/>
  <c r="DH31" i="12"/>
  <c r="DI31" i="12"/>
  <c r="DJ31" i="12"/>
  <c r="DK31" i="12"/>
  <c r="DL31" i="12"/>
  <c r="DM31" i="12"/>
  <c r="DN31" i="12"/>
  <c r="DO31" i="12"/>
  <c r="DP31" i="12"/>
  <c r="DQ31" i="12"/>
  <c r="DR31" i="12"/>
  <c r="DS31" i="12"/>
  <c r="DT31" i="12"/>
  <c r="DU31" i="12"/>
  <c r="O32" i="12"/>
  <c r="P32" i="12"/>
  <c r="Q32" i="12"/>
  <c r="R32" i="12"/>
  <c r="S32" i="12"/>
  <c r="T32" i="12"/>
  <c r="U32" i="12"/>
  <c r="V32" i="12"/>
  <c r="W32" i="12"/>
  <c r="X32" i="12"/>
  <c r="Y32" i="12"/>
  <c r="Z32" i="12"/>
  <c r="AA32" i="12"/>
  <c r="AB32" i="12"/>
  <c r="AC32" i="12"/>
  <c r="AD32" i="12"/>
  <c r="AE32" i="12"/>
  <c r="AF32" i="12"/>
  <c r="AG32" i="12"/>
  <c r="AH32" i="12"/>
  <c r="AI32" i="12"/>
  <c r="AJ32" i="12"/>
  <c r="AK32" i="12"/>
  <c r="AL32" i="12"/>
  <c r="AM32" i="12"/>
  <c r="AN32" i="12"/>
  <c r="AO32" i="12"/>
  <c r="AP32" i="12"/>
  <c r="AQ32" i="12"/>
  <c r="AR32" i="12"/>
  <c r="AS32" i="12"/>
  <c r="AT32" i="12"/>
  <c r="AU32" i="12"/>
  <c r="AV32" i="12"/>
  <c r="AW32" i="12"/>
  <c r="AX32" i="12"/>
  <c r="AY32" i="12"/>
  <c r="AZ32" i="12"/>
  <c r="BA32" i="12"/>
  <c r="BB32" i="12"/>
  <c r="BC32" i="12"/>
  <c r="BD32" i="12"/>
  <c r="BE32" i="12"/>
  <c r="BF32" i="12"/>
  <c r="BG32" i="12"/>
  <c r="BH32" i="12"/>
  <c r="BI32" i="12"/>
  <c r="BJ32" i="12"/>
  <c r="BK32" i="12"/>
  <c r="BL32" i="12"/>
  <c r="BM32" i="12"/>
  <c r="BN32" i="12"/>
  <c r="BO32" i="12"/>
  <c r="BP32" i="12"/>
  <c r="BQ32" i="12"/>
  <c r="BR32" i="12"/>
  <c r="BS32" i="12"/>
  <c r="BT32" i="12"/>
  <c r="BU32" i="12"/>
  <c r="BV32" i="12"/>
  <c r="BW32" i="12"/>
  <c r="BX32" i="12"/>
  <c r="BY32" i="12"/>
  <c r="BZ32" i="12"/>
  <c r="CA32" i="12"/>
  <c r="CB32" i="12"/>
  <c r="CC32" i="12"/>
  <c r="CD32" i="12"/>
  <c r="CE32" i="12"/>
  <c r="CF32" i="12"/>
  <c r="CG32" i="12"/>
  <c r="CH32" i="12"/>
  <c r="CI32" i="12"/>
  <c r="CJ32" i="12"/>
  <c r="CK32" i="12"/>
  <c r="CL32" i="12"/>
  <c r="CM32" i="12"/>
  <c r="CN32" i="12"/>
  <c r="CO32" i="12"/>
  <c r="CP32" i="12"/>
  <c r="CQ32" i="12"/>
  <c r="CR32" i="12"/>
  <c r="CS32" i="12"/>
  <c r="CT32" i="12"/>
  <c r="CU32" i="12"/>
  <c r="CV32" i="12"/>
  <c r="CW32" i="12"/>
  <c r="CX32" i="12"/>
  <c r="CY32" i="12"/>
  <c r="CZ32" i="12"/>
  <c r="DA32" i="12"/>
  <c r="DB32" i="12"/>
  <c r="DC32" i="12"/>
  <c r="DD32" i="12"/>
  <c r="DE32" i="12"/>
  <c r="DF32" i="12"/>
  <c r="DG32" i="12"/>
  <c r="DH32" i="12"/>
  <c r="DI32" i="12"/>
  <c r="DJ32" i="12"/>
  <c r="DK32" i="12"/>
  <c r="DL32" i="12"/>
  <c r="DM32" i="12"/>
  <c r="DN32" i="12"/>
  <c r="DO32" i="12"/>
  <c r="DP32" i="12"/>
  <c r="DQ32" i="12"/>
  <c r="DR32" i="12"/>
  <c r="DS32" i="12"/>
  <c r="DT32" i="12"/>
  <c r="DU32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BS33" i="12"/>
  <c r="BT33" i="12"/>
  <c r="BU33" i="12"/>
  <c r="BV33" i="12"/>
  <c r="BW33" i="12"/>
  <c r="BX33" i="12"/>
  <c r="BY33" i="12"/>
  <c r="BZ33" i="12"/>
  <c r="CA33" i="12"/>
  <c r="CB33" i="12"/>
  <c r="CC33" i="12"/>
  <c r="CD33" i="12"/>
  <c r="CE33" i="12"/>
  <c r="CF33" i="12"/>
  <c r="CG33" i="12"/>
  <c r="CH33" i="12"/>
  <c r="CI33" i="12"/>
  <c r="CJ33" i="12"/>
  <c r="CK33" i="12"/>
  <c r="CL33" i="12"/>
  <c r="CM33" i="12"/>
  <c r="CN33" i="12"/>
  <c r="CO33" i="12"/>
  <c r="CP33" i="12"/>
  <c r="CQ33" i="12"/>
  <c r="CR33" i="12"/>
  <c r="CS33" i="12"/>
  <c r="CT33" i="12"/>
  <c r="CU33" i="12"/>
  <c r="CV33" i="12"/>
  <c r="CW33" i="12"/>
  <c r="CX33" i="12"/>
  <c r="CY33" i="12"/>
  <c r="CZ33" i="12"/>
  <c r="DA33" i="12"/>
  <c r="DB33" i="12"/>
  <c r="DC33" i="12"/>
  <c r="DD33" i="12"/>
  <c r="DE33" i="12"/>
  <c r="DF33" i="12"/>
  <c r="DG33" i="12"/>
  <c r="DH33" i="12"/>
  <c r="DI33" i="12"/>
  <c r="DJ33" i="12"/>
  <c r="DK33" i="12"/>
  <c r="DL33" i="12"/>
  <c r="DM33" i="12"/>
  <c r="DN33" i="12"/>
  <c r="DO33" i="12"/>
  <c r="DP33" i="12"/>
  <c r="DQ33" i="12"/>
  <c r="DR33" i="12"/>
  <c r="DS33" i="12"/>
  <c r="DT33" i="12"/>
  <c r="DU33" i="12"/>
  <c r="O34" i="12"/>
  <c r="P34" i="12"/>
  <c r="Q34" i="12"/>
  <c r="R34" i="12"/>
  <c r="S34" i="12"/>
  <c r="T34" i="12"/>
  <c r="U34" i="12"/>
  <c r="V34" i="12"/>
  <c r="W34" i="12"/>
  <c r="X34" i="12"/>
  <c r="Y34" i="12"/>
  <c r="Z34" i="12"/>
  <c r="AA34" i="12"/>
  <c r="AB34" i="12"/>
  <c r="AC34" i="12"/>
  <c r="AD34" i="12"/>
  <c r="AE34" i="12"/>
  <c r="AF34" i="12"/>
  <c r="AG34" i="12"/>
  <c r="AH34" i="12"/>
  <c r="AI34" i="12"/>
  <c r="AJ34" i="12"/>
  <c r="AK34" i="12"/>
  <c r="AL34" i="12"/>
  <c r="AM34" i="12"/>
  <c r="AN34" i="12"/>
  <c r="AO34" i="12"/>
  <c r="AP34" i="12"/>
  <c r="AQ34" i="12"/>
  <c r="AR34" i="12"/>
  <c r="AS34" i="12"/>
  <c r="AT34" i="12"/>
  <c r="AU34" i="12"/>
  <c r="AV34" i="12"/>
  <c r="AW34" i="12"/>
  <c r="AX34" i="12"/>
  <c r="AY34" i="12"/>
  <c r="AZ34" i="12"/>
  <c r="BA34" i="12"/>
  <c r="BB34" i="12"/>
  <c r="BC34" i="12"/>
  <c r="BD34" i="12"/>
  <c r="BE34" i="12"/>
  <c r="BF34" i="12"/>
  <c r="BG34" i="12"/>
  <c r="BH34" i="12"/>
  <c r="BI34" i="12"/>
  <c r="BJ34" i="12"/>
  <c r="BK34" i="12"/>
  <c r="BL34" i="12"/>
  <c r="BM34" i="12"/>
  <c r="BN34" i="12"/>
  <c r="BO34" i="12"/>
  <c r="BP34" i="12"/>
  <c r="BQ34" i="12"/>
  <c r="BR34" i="12"/>
  <c r="BS34" i="12"/>
  <c r="BT34" i="12"/>
  <c r="BU34" i="12"/>
  <c r="BV34" i="12"/>
  <c r="BW34" i="12"/>
  <c r="BX34" i="12"/>
  <c r="BY34" i="12"/>
  <c r="BZ34" i="12"/>
  <c r="CA34" i="12"/>
  <c r="CB34" i="12"/>
  <c r="CC34" i="12"/>
  <c r="CD34" i="12"/>
  <c r="CE34" i="12"/>
  <c r="CF34" i="12"/>
  <c r="CG34" i="12"/>
  <c r="CH34" i="12"/>
  <c r="CI34" i="12"/>
  <c r="CJ34" i="12"/>
  <c r="CK34" i="12"/>
  <c r="CL34" i="12"/>
  <c r="CM34" i="12"/>
  <c r="CN34" i="12"/>
  <c r="CO34" i="12"/>
  <c r="CP34" i="12"/>
  <c r="CQ34" i="12"/>
  <c r="CR34" i="12"/>
  <c r="CS34" i="12"/>
  <c r="CT34" i="12"/>
  <c r="CU34" i="12"/>
  <c r="CV34" i="12"/>
  <c r="CW34" i="12"/>
  <c r="CX34" i="12"/>
  <c r="CY34" i="12"/>
  <c r="CZ34" i="12"/>
  <c r="DA34" i="12"/>
  <c r="DB34" i="12"/>
  <c r="DC34" i="12"/>
  <c r="DD34" i="12"/>
  <c r="DE34" i="12"/>
  <c r="DF34" i="12"/>
  <c r="DG34" i="12"/>
  <c r="DH34" i="12"/>
  <c r="DI34" i="12"/>
  <c r="DJ34" i="12"/>
  <c r="DK34" i="12"/>
  <c r="DL34" i="12"/>
  <c r="DM34" i="12"/>
  <c r="DN34" i="12"/>
  <c r="DO34" i="12"/>
  <c r="DP34" i="12"/>
  <c r="DQ34" i="12"/>
  <c r="DR34" i="12"/>
  <c r="DS34" i="12"/>
  <c r="DT34" i="12"/>
  <c r="DU34" i="12"/>
  <c r="O35" i="12"/>
  <c r="P35" i="12"/>
  <c r="Q35" i="12"/>
  <c r="R35" i="12"/>
  <c r="S35" i="12"/>
  <c r="T35" i="12"/>
  <c r="U35" i="12"/>
  <c r="V35" i="12"/>
  <c r="W35" i="12"/>
  <c r="X35" i="12"/>
  <c r="Y35" i="12"/>
  <c r="Z35" i="12"/>
  <c r="AA35" i="12"/>
  <c r="AB35" i="12"/>
  <c r="AC35" i="12"/>
  <c r="AD35" i="12"/>
  <c r="AE35" i="12"/>
  <c r="AF35" i="12"/>
  <c r="AG35" i="12"/>
  <c r="AH35" i="12"/>
  <c r="AI35" i="12"/>
  <c r="AJ35" i="12"/>
  <c r="AK35" i="12"/>
  <c r="AL35" i="12"/>
  <c r="AM35" i="12"/>
  <c r="AN35" i="12"/>
  <c r="AO35" i="12"/>
  <c r="AP35" i="12"/>
  <c r="AQ35" i="12"/>
  <c r="AR35" i="12"/>
  <c r="AS35" i="12"/>
  <c r="AT35" i="12"/>
  <c r="AU35" i="12"/>
  <c r="AV35" i="12"/>
  <c r="AW35" i="12"/>
  <c r="AX35" i="12"/>
  <c r="AY35" i="12"/>
  <c r="AZ35" i="12"/>
  <c r="BA35" i="12"/>
  <c r="BB35" i="12"/>
  <c r="BC35" i="12"/>
  <c r="BD35" i="12"/>
  <c r="BE35" i="12"/>
  <c r="BF35" i="12"/>
  <c r="BG35" i="12"/>
  <c r="BH35" i="12"/>
  <c r="BI35" i="12"/>
  <c r="BJ35" i="12"/>
  <c r="BK35" i="12"/>
  <c r="BL35" i="12"/>
  <c r="BM35" i="12"/>
  <c r="BN35" i="12"/>
  <c r="BO35" i="12"/>
  <c r="BP35" i="12"/>
  <c r="BQ35" i="12"/>
  <c r="BR35" i="12"/>
  <c r="BS35" i="12"/>
  <c r="BT35" i="12"/>
  <c r="BU35" i="12"/>
  <c r="BV35" i="12"/>
  <c r="BW35" i="12"/>
  <c r="BX35" i="12"/>
  <c r="BY35" i="12"/>
  <c r="BZ35" i="12"/>
  <c r="CA35" i="12"/>
  <c r="CB35" i="12"/>
  <c r="CC35" i="12"/>
  <c r="CD35" i="12"/>
  <c r="CE35" i="12"/>
  <c r="CF35" i="12"/>
  <c r="CG35" i="12"/>
  <c r="CH35" i="12"/>
  <c r="CI35" i="12"/>
  <c r="CJ35" i="12"/>
  <c r="CK35" i="12"/>
  <c r="CL35" i="12"/>
  <c r="CM35" i="12"/>
  <c r="CN35" i="12"/>
  <c r="CO35" i="12"/>
  <c r="CP35" i="12"/>
  <c r="CQ35" i="12"/>
  <c r="CR35" i="12"/>
  <c r="CS35" i="12"/>
  <c r="CT35" i="12"/>
  <c r="CU35" i="12"/>
  <c r="CV35" i="12"/>
  <c r="CW35" i="12"/>
  <c r="CX35" i="12"/>
  <c r="CY35" i="12"/>
  <c r="CZ35" i="12"/>
  <c r="DA35" i="12"/>
  <c r="DB35" i="12"/>
  <c r="DC35" i="12"/>
  <c r="DD35" i="12"/>
  <c r="DE35" i="12"/>
  <c r="DF35" i="12"/>
  <c r="DG35" i="12"/>
  <c r="DH35" i="12"/>
  <c r="DI35" i="12"/>
  <c r="DJ35" i="12"/>
  <c r="DK35" i="12"/>
  <c r="DL35" i="12"/>
  <c r="DM35" i="12"/>
  <c r="DN35" i="12"/>
  <c r="DO35" i="12"/>
  <c r="DP35" i="12"/>
  <c r="DQ35" i="12"/>
  <c r="DR35" i="12"/>
  <c r="DS35" i="12"/>
  <c r="DT35" i="12"/>
  <c r="DU35" i="12"/>
  <c r="O36" i="12"/>
  <c r="P36" i="12"/>
  <c r="Q36" i="12"/>
  <c r="R36" i="12"/>
  <c r="S36" i="12"/>
  <c r="T36" i="12"/>
  <c r="U36" i="12"/>
  <c r="V36" i="12"/>
  <c r="W36" i="12"/>
  <c r="X36" i="12"/>
  <c r="Y36" i="12"/>
  <c r="Z36" i="12"/>
  <c r="AA36" i="12"/>
  <c r="AB36" i="12"/>
  <c r="AC36" i="12"/>
  <c r="AD36" i="12"/>
  <c r="AE36" i="12"/>
  <c r="AF36" i="12"/>
  <c r="AG36" i="12"/>
  <c r="AH36" i="12"/>
  <c r="AI36" i="12"/>
  <c r="AJ36" i="12"/>
  <c r="AK36" i="12"/>
  <c r="AL36" i="12"/>
  <c r="AM36" i="12"/>
  <c r="AN36" i="12"/>
  <c r="AO36" i="12"/>
  <c r="AP36" i="12"/>
  <c r="AQ36" i="12"/>
  <c r="AR36" i="12"/>
  <c r="AS36" i="12"/>
  <c r="AT36" i="12"/>
  <c r="AU36" i="12"/>
  <c r="AV36" i="12"/>
  <c r="AW36" i="12"/>
  <c r="AX36" i="12"/>
  <c r="AY36" i="12"/>
  <c r="AZ36" i="12"/>
  <c r="BA36" i="12"/>
  <c r="BB36" i="12"/>
  <c r="BC36" i="12"/>
  <c r="BD36" i="12"/>
  <c r="BE36" i="12"/>
  <c r="BF36" i="12"/>
  <c r="BG36" i="12"/>
  <c r="BH36" i="12"/>
  <c r="BI36" i="12"/>
  <c r="BJ36" i="12"/>
  <c r="BK36" i="12"/>
  <c r="BL36" i="12"/>
  <c r="BM36" i="12"/>
  <c r="BN36" i="12"/>
  <c r="BO36" i="12"/>
  <c r="BP36" i="12"/>
  <c r="BQ36" i="12"/>
  <c r="BR36" i="12"/>
  <c r="BS36" i="12"/>
  <c r="BT36" i="12"/>
  <c r="BU36" i="12"/>
  <c r="BV36" i="12"/>
  <c r="BW36" i="12"/>
  <c r="BX36" i="12"/>
  <c r="BY36" i="12"/>
  <c r="BZ36" i="12"/>
  <c r="CA36" i="12"/>
  <c r="CB36" i="12"/>
  <c r="CC36" i="12"/>
  <c r="CD36" i="12"/>
  <c r="CE36" i="12"/>
  <c r="CF36" i="12"/>
  <c r="CG36" i="12"/>
  <c r="CH36" i="12"/>
  <c r="CI36" i="12"/>
  <c r="CJ36" i="12"/>
  <c r="CK36" i="12"/>
  <c r="CL36" i="12"/>
  <c r="CM36" i="12"/>
  <c r="CN36" i="12"/>
  <c r="CO36" i="12"/>
  <c r="CP36" i="12"/>
  <c r="CQ36" i="12"/>
  <c r="CR36" i="12"/>
  <c r="CS36" i="12"/>
  <c r="CT36" i="12"/>
  <c r="CU36" i="12"/>
  <c r="CV36" i="12"/>
  <c r="CW36" i="12"/>
  <c r="CX36" i="12"/>
  <c r="CY36" i="12"/>
  <c r="CZ36" i="12"/>
  <c r="DA36" i="12"/>
  <c r="DB36" i="12"/>
  <c r="DC36" i="12"/>
  <c r="DD36" i="12"/>
  <c r="DE36" i="12"/>
  <c r="DF36" i="12"/>
  <c r="DG36" i="12"/>
  <c r="DH36" i="12"/>
  <c r="DI36" i="12"/>
  <c r="DJ36" i="12"/>
  <c r="DK36" i="12"/>
  <c r="DL36" i="12"/>
  <c r="DM36" i="12"/>
  <c r="DN36" i="12"/>
  <c r="DO36" i="12"/>
  <c r="DP36" i="12"/>
  <c r="DQ36" i="12"/>
  <c r="DR36" i="12"/>
  <c r="DS36" i="12"/>
  <c r="DT36" i="12"/>
  <c r="DU36" i="12"/>
  <c r="O37" i="12"/>
  <c r="P37" i="12"/>
  <c r="Q37" i="12"/>
  <c r="R37" i="12"/>
  <c r="S37" i="12"/>
  <c r="T37" i="12"/>
  <c r="U37" i="12"/>
  <c r="V37" i="12"/>
  <c r="W37" i="12"/>
  <c r="X37" i="12"/>
  <c r="Y37" i="12"/>
  <c r="Z37" i="12"/>
  <c r="AA37" i="12"/>
  <c r="AB37" i="12"/>
  <c r="AC37" i="12"/>
  <c r="AD37" i="12"/>
  <c r="AE37" i="12"/>
  <c r="AF37" i="12"/>
  <c r="AG37" i="12"/>
  <c r="AH37" i="12"/>
  <c r="AI37" i="12"/>
  <c r="AJ37" i="12"/>
  <c r="AK37" i="12"/>
  <c r="AL37" i="12"/>
  <c r="AM37" i="12"/>
  <c r="AN37" i="12"/>
  <c r="AO37" i="12"/>
  <c r="AP37" i="12"/>
  <c r="AQ37" i="12"/>
  <c r="AR37" i="12"/>
  <c r="AS37" i="12"/>
  <c r="AT37" i="12"/>
  <c r="AU37" i="12"/>
  <c r="AV37" i="12"/>
  <c r="AW37" i="12"/>
  <c r="AX37" i="12"/>
  <c r="AY37" i="12"/>
  <c r="AZ37" i="12"/>
  <c r="BA37" i="12"/>
  <c r="BB37" i="12"/>
  <c r="BC37" i="12"/>
  <c r="BD37" i="12"/>
  <c r="BE37" i="12"/>
  <c r="BF37" i="12"/>
  <c r="BG37" i="12"/>
  <c r="BH37" i="12"/>
  <c r="BI37" i="12"/>
  <c r="BJ37" i="12"/>
  <c r="BK37" i="12"/>
  <c r="BL37" i="12"/>
  <c r="BM37" i="12"/>
  <c r="BN37" i="12"/>
  <c r="BO37" i="12"/>
  <c r="BP37" i="12"/>
  <c r="BQ37" i="12"/>
  <c r="BR37" i="12"/>
  <c r="BS37" i="12"/>
  <c r="BT37" i="12"/>
  <c r="BU37" i="12"/>
  <c r="BV37" i="12"/>
  <c r="BW37" i="12"/>
  <c r="BX37" i="12"/>
  <c r="BY37" i="12"/>
  <c r="BZ37" i="12"/>
  <c r="CA37" i="12"/>
  <c r="CB37" i="12"/>
  <c r="CC37" i="12"/>
  <c r="CD37" i="12"/>
  <c r="CE37" i="12"/>
  <c r="CF37" i="12"/>
  <c r="CG37" i="12"/>
  <c r="CH37" i="12"/>
  <c r="CI37" i="12"/>
  <c r="CJ37" i="12"/>
  <c r="CK37" i="12"/>
  <c r="CL37" i="12"/>
  <c r="CM37" i="12"/>
  <c r="CN37" i="12"/>
  <c r="CO37" i="12"/>
  <c r="CP37" i="12"/>
  <c r="CQ37" i="12"/>
  <c r="CR37" i="12"/>
  <c r="CS37" i="12"/>
  <c r="CT37" i="12"/>
  <c r="CU37" i="12"/>
  <c r="CV37" i="12"/>
  <c r="CW37" i="12"/>
  <c r="CX37" i="12"/>
  <c r="CY37" i="12"/>
  <c r="CZ37" i="12"/>
  <c r="DA37" i="12"/>
  <c r="DB37" i="12"/>
  <c r="DC37" i="12"/>
  <c r="DD37" i="12"/>
  <c r="DE37" i="12"/>
  <c r="DF37" i="12"/>
  <c r="DG37" i="12"/>
  <c r="DH37" i="12"/>
  <c r="DI37" i="12"/>
  <c r="DJ37" i="12"/>
  <c r="DK37" i="12"/>
  <c r="DL37" i="12"/>
  <c r="DM37" i="12"/>
  <c r="DN37" i="12"/>
  <c r="DO37" i="12"/>
  <c r="DP37" i="12"/>
  <c r="DQ37" i="12"/>
  <c r="DR37" i="12"/>
  <c r="DS37" i="12"/>
  <c r="DT37" i="12"/>
  <c r="DU37" i="12"/>
  <c r="O38" i="12"/>
  <c r="P38" i="12"/>
  <c r="Q38" i="12"/>
  <c r="R38" i="12"/>
  <c r="S38" i="12"/>
  <c r="T38" i="12"/>
  <c r="U38" i="12"/>
  <c r="V38" i="12"/>
  <c r="W38" i="12"/>
  <c r="X38" i="12"/>
  <c r="Y38" i="12"/>
  <c r="Z38" i="12"/>
  <c r="AA38" i="12"/>
  <c r="AB38" i="12"/>
  <c r="AC38" i="12"/>
  <c r="AD38" i="12"/>
  <c r="AE38" i="12"/>
  <c r="AF38" i="12"/>
  <c r="AG38" i="12"/>
  <c r="AH38" i="12"/>
  <c r="AI38" i="12"/>
  <c r="AJ38" i="12"/>
  <c r="AK38" i="12"/>
  <c r="AL38" i="12"/>
  <c r="AM38" i="12"/>
  <c r="AN38" i="12"/>
  <c r="AO38" i="12"/>
  <c r="AP38" i="12"/>
  <c r="AQ38" i="12"/>
  <c r="AR38" i="12"/>
  <c r="AS38" i="12"/>
  <c r="AT38" i="12"/>
  <c r="AU38" i="12"/>
  <c r="AV38" i="12"/>
  <c r="AW38" i="12"/>
  <c r="AX38" i="12"/>
  <c r="AY38" i="12"/>
  <c r="AZ38" i="12"/>
  <c r="BA38" i="12"/>
  <c r="BB38" i="12"/>
  <c r="BC38" i="12"/>
  <c r="BD38" i="12"/>
  <c r="BE38" i="12"/>
  <c r="BF38" i="12"/>
  <c r="BG38" i="12"/>
  <c r="BH38" i="12"/>
  <c r="BI38" i="12"/>
  <c r="BJ38" i="12"/>
  <c r="BK38" i="12"/>
  <c r="BL38" i="12"/>
  <c r="BM38" i="12"/>
  <c r="BN38" i="12"/>
  <c r="BO38" i="12"/>
  <c r="BP38" i="12"/>
  <c r="BQ38" i="12"/>
  <c r="BR38" i="12"/>
  <c r="BS38" i="12"/>
  <c r="BT38" i="12"/>
  <c r="BU38" i="12"/>
  <c r="BV38" i="12"/>
  <c r="BW38" i="12"/>
  <c r="BX38" i="12"/>
  <c r="BY38" i="12"/>
  <c r="BZ38" i="12"/>
  <c r="CA38" i="12"/>
  <c r="CB38" i="12"/>
  <c r="CC38" i="12"/>
  <c r="CD38" i="12"/>
  <c r="CE38" i="12"/>
  <c r="CF38" i="12"/>
  <c r="CG38" i="12"/>
  <c r="CH38" i="12"/>
  <c r="CI38" i="12"/>
  <c r="CJ38" i="12"/>
  <c r="CK38" i="12"/>
  <c r="CL38" i="12"/>
  <c r="CM38" i="12"/>
  <c r="CN38" i="12"/>
  <c r="CO38" i="12"/>
  <c r="CP38" i="12"/>
  <c r="CQ38" i="12"/>
  <c r="CR38" i="12"/>
  <c r="CS38" i="12"/>
  <c r="CT38" i="12"/>
  <c r="CU38" i="12"/>
  <c r="CV38" i="12"/>
  <c r="CW38" i="12"/>
  <c r="CX38" i="12"/>
  <c r="CY38" i="12"/>
  <c r="CZ38" i="12"/>
  <c r="DA38" i="12"/>
  <c r="DB38" i="12"/>
  <c r="DC38" i="12"/>
  <c r="DD38" i="12"/>
  <c r="DE38" i="12"/>
  <c r="DF38" i="12"/>
  <c r="DG38" i="12"/>
  <c r="DH38" i="12"/>
  <c r="DI38" i="12"/>
  <c r="DJ38" i="12"/>
  <c r="DK38" i="12"/>
  <c r="DL38" i="12"/>
  <c r="DM38" i="12"/>
  <c r="DN38" i="12"/>
  <c r="DO38" i="12"/>
  <c r="DP38" i="12"/>
  <c r="DQ38" i="12"/>
  <c r="DR38" i="12"/>
  <c r="DS38" i="12"/>
  <c r="DT38" i="12"/>
  <c r="DU38" i="12"/>
  <c r="O39" i="12"/>
  <c r="P39" i="12"/>
  <c r="Q39" i="12"/>
  <c r="R39" i="12"/>
  <c r="S39" i="12"/>
  <c r="T39" i="12"/>
  <c r="U39" i="12"/>
  <c r="V39" i="12"/>
  <c r="W39" i="12"/>
  <c r="X39" i="12"/>
  <c r="Y39" i="12"/>
  <c r="Z39" i="12"/>
  <c r="AA39" i="12"/>
  <c r="AB39" i="12"/>
  <c r="AC39" i="12"/>
  <c r="AD39" i="12"/>
  <c r="AE39" i="12"/>
  <c r="AF39" i="12"/>
  <c r="AG39" i="12"/>
  <c r="AH39" i="12"/>
  <c r="AI39" i="12"/>
  <c r="AJ39" i="12"/>
  <c r="AK39" i="12"/>
  <c r="AL39" i="12"/>
  <c r="AM39" i="12"/>
  <c r="AN39" i="12"/>
  <c r="AO39" i="12"/>
  <c r="AP39" i="12"/>
  <c r="AQ39" i="12"/>
  <c r="AR39" i="12"/>
  <c r="AS39" i="12"/>
  <c r="AT39" i="12"/>
  <c r="AU39" i="12"/>
  <c r="AV39" i="12"/>
  <c r="AW39" i="12"/>
  <c r="AX39" i="12"/>
  <c r="AY39" i="12"/>
  <c r="AZ39" i="12"/>
  <c r="BA39" i="12"/>
  <c r="BB39" i="12"/>
  <c r="BC39" i="12"/>
  <c r="BD39" i="12"/>
  <c r="BE39" i="12"/>
  <c r="BF39" i="12"/>
  <c r="BG39" i="12"/>
  <c r="BH39" i="12"/>
  <c r="BI39" i="12"/>
  <c r="BJ39" i="12"/>
  <c r="BK39" i="12"/>
  <c r="BL39" i="12"/>
  <c r="BM39" i="12"/>
  <c r="BN39" i="12"/>
  <c r="BO39" i="12"/>
  <c r="BP39" i="12"/>
  <c r="BQ39" i="12"/>
  <c r="BR39" i="12"/>
  <c r="BS39" i="12"/>
  <c r="BT39" i="12"/>
  <c r="BU39" i="12"/>
  <c r="BV39" i="12"/>
  <c r="BW39" i="12"/>
  <c r="BX39" i="12"/>
  <c r="BY39" i="12"/>
  <c r="BZ39" i="12"/>
  <c r="CA39" i="12"/>
  <c r="CB39" i="12"/>
  <c r="CC39" i="12"/>
  <c r="CD39" i="12"/>
  <c r="CE39" i="12"/>
  <c r="CF39" i="12"/>
  <c r="CG39" i="12"/>
  <c r="CH39" i="12"/>
  <c r="CI39" i="12"/>
  <c r="CJ39" i="12"/>
  <c r="CK39" i="12"/>
  <c r="CL39" i="12"/>
  <c r="CM39" i="12"/>
  <c r="CN39" i="12"/>
  <c r="CO39" i="12"/>
  <c r="CP39" i="12"/>
  <c r="CQ39" i="12"/>
  <c r="CR39" i="12"/>
  <c r="CS39" i="12"/>
  <c r="CT39" i="12"/>
  <c r="CU39" i="12"/>
  <c r="CV39" i="12"/>
  <c r="CW39" i="12"/>
  <c r="CX39" i="12"/>
  <c r="CY39" i="12"/>
  <c r="CZ39" i="12"/>
  <c r="DA39" i="12"/>
  <c r="DB39" i="12"/>
  <c r="DC39" i="12"/>
  <c r="DD39" i="12"/>
  <c r="DE39" i="12"/>
  <c r="DF39" i="12"/>
  <c r="DG39" i="12"/>
  <c r="DH39" i="12"/>
  <c r="DI39" i="12"/>
  <c r="DJ39" i="12"/>
  <c r="DK39" i="12"/>
  <c r="DL39" i="12"/>
  <c r="DM39" i="12"/>
  <c r="DN39" i="12"/>
  <c r="DO39" i="12"/>
  <c r="DP39" i="12"/>
  <c r="DQ39" i="12"/>
  <c r="DR39" i="12"/>
  <c r="DS39" i="12"/>
  <c r="DT39" i="12"/>
  <c r="DU39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BS40" i="12"/>
  <c r="BT40" i="12"/>
  <c r="BU40" i="12"/>
  <c r="BV40" i="12"/>
  <c r="BW40" i="12"/>
  <c r="BX40" i="12"/>
  <c r="BY40" i="12"/>
  <c r="BZ40" i="12"/>
  <c r="CA40" i="12"/>
  <c r="CB40" i="12"/>
  <c r="CC40" i="12"/>
  <c r="CD40" i="12"/>
  <c r="CE40" i="12"/>
  <c r="CF40" i="12"/>
  <c r="CG40" i="12"/>
  <c r="CH40" i="12"/>
  <c r="CI40" i="12"/>
  <c r="CJ40" i="12"/>
  <c r="CK40" i="12"/>
  <c r="CL40" i="12"/>
  <c r="CM40" i="12"/>
  <c r="CN40" i="12"/>
  <c r="CO40" i="12"/>
  <c r="CP40" i="12"/>
  <c r="CQ40" i="12"/>
  <c r="CR40" i="12"/>
  <c r="CS40" i="12"/>
  <c r="CT40" i="12"/>
  <c r="CU40" i="12"/>
  <c r="CV40" i="12"/>
  <c r="CW40" i="12"/>
  <c r="CX40" i="12"/>
  <c r="CY40" i="12"/>
  <c r="CZ40" i="12"/>
  <c r="DA40" i="12"/>
  <c r="DB40" i="12"/>
  <c r="DC40" i="12"/>
  <c r="DD40" i="12"/>
  <c r="DE40" i="12"/>
  <c r="DF40" i="12"/>
  <c r="DG40" i="12"/>
  <c r="DH40" i="12"/>
  <c r="DI40" i="12"/>
  <c r="DJ40" i="12"/>
  <c r="DK40" i="12"/>
  <c r="DL40" i="12"/>
  <c r="DM40" i="12"/>
  <c r="DN40" i="12"/>
  <c r="DO40" i="12"/>
  <c r="DP40" i="12"/>
  <c r="DQ40" i="12"/>
  <c r="DR40" i="12"/>
  <c r="DS40" i="12"/>
  <c r="DT40" i="12"/>
  <c r="DU40" i="12"/>
  <c r="O41" i="12"/>
  <c r="P41" i="12"/>
  <c r="Q41" i="12"/>
  <c r="R41" i="12"/>
  <c r="S41" i="12"/>
  <c r="T41" i="12"/>
  <c r="U41" i="12"/>
  <c r="V41" i="12"/>
  <c r="W41" i="12"/>
  <c r="X41" i="12"/>
  <c r="Y41" i="12"/>
  <c r="Z41" i="12"/>
  <c r="AA41" i="12"/>
  <c r="AB41" i="12"/>
  <c r="AC41" i="12"/>
  <c r="AD41" i="12"/>
  <c r="AE41" i="12"/>
  <c r="AF41" i="12"/>
  <c r="AG41" i="12"/>
  <c r="AH41" i="12"/>
  <c r="AI41" i="12"/>
  <c r="AJ41" i="12"/>
  <c r="AK41" i="12"/>
  <c r="AL41" i="12"/>
  <c r="AM41" i="12"/>
  <c r="AN41" i="12"/>
  <c r="AO41" i="12"/>
  <c r="AP41" i="12"/>
  <c r="AQ41" i="12"/>
  <c r="AR41" i="12"/>
  <c r="AS41" i="12"/>
  <c r="AT41" i="12"/>
  <c r="AU41" i="12"/>
  <c r="AV41" i="12"/>
  <c r="AW41" i="12"/>
  <c r="AX41" i="12"/>
  <c r="AY41" i="12"/>
  <c r="AZ41" i="12"/>
  <c r="BA41" i="12"/>
  <c r="BB41" i="12"/>
  <c r="BC41" i="12"/>
  <c r="BD41" i="12"/>
  <c r="BE41" i="12"/>
  <c r="BF41" i="12"/>
  <c r="BG41" i="12"/>
  <c r="BH41" i="12"/>
  <c r="BI41" i="12"/>
  <c r="BJ41" i="12"/>
  <c r="BK41" i="12"/>
  <c r="BL41" i="12"/>
  <c r="BM41" i="12"/>
  <c r="BN41" i="12"/>
  <c r="BO41" i="12"/>
  <c r="BP41" i="12"/>
  <c r="BQ41" i="12"/>
  <c r="BR41" i="12"/>
  <c r="BS41" i="12"/>
  <c r="BT41" i="12"/>
  <c r="BU41" i="12"/>
  <c r="BV41" i="12"/>
  <c r="BW41" i="12"/>
  <c r="BX41" i="12"/>
  <c r="BY41" i="12"/>
  <c r="BZ41" i="12"/>
  <c r="CA41" i="12"/>
  <c r="CB41" i="12"/>
  <c r="CC41" i="12"/>
  <c r="CD41" i="12"/>
  <c r="CE41" i="12"/>
  <c r="CF41" i="12"/>
  <c r="CG41" i="12"/>
  <c r="CH41" i="12"/>
  <c r="CI41" i="12"/>
  <c r="CJ41" i="12"/>
  <c r="CK41" i="12"/>
  <c r="CL41" i="12"/>
  <c r="CM41" i="12"/>
  <c r="CN41" i="12"/>
  <c r="CO41" i="12"/>
  <c r="CP41" i="12"/>
  <c r="CQ41" i="12"/>
  <c r="CR41" i="12"/>
  <c r="CS41" i="12"/>
  <c r="CT41" i="12"/>
  <c r="CU41" i="12"/>
  <c r="CV41" i="12"/>
  <c r="CW41" i="12"/>
  <c r="CX41" i="12"/>
  <c r="CY41" i="12"/>
  <c r="CZ41" i="12"/>
  <c r="DA41" i="12"/>
  <c r="DB41" i="12"/>
  <c r="DC41" i="12"/>
  <c r="DD41" i="12"/>
  <c r="DE41" i="12"/>
  <c r="DF41" i="12"/>
  <c r="DG41" i="12"/>
  <c r="DH41" i="12"/>
  <c r="DI41" i="12"/>
  <c r="DJ41" i="12"/>
  <c r="DK41" i="12"/>
  <c r="DL41" i="12"/>
  <c r="DM41" i="12"/>
  <c r="DN41" i="12"/>
  <c r="DO41" i="12"/>
  <c r="DP41" i="12"/>
  <c r="DQ41" i="12"/>
  <c r="DR41" i="12"/>
  <c r="DS41" i="12"/>
  <c r="DT41" i="12"/>
  <c r="DU41" i="12"/>
  <c r="O42" i="12"/>
  <c r="P42" i="12"/>
  <c r="Q42" i="12"/>
  <c r="R42" i="12"/>
  <c r="S42" i="12"/>
  <c r="T42" i="12"/>
  <c r="U42" i="12"/>
  <c r="V42" i="12"/>
  <c r="W42" i="12"/>
  <c r="X42" i="12"/>
  <c r="Y42" i="12"/>
  <c r="Z42" i="12"/>
  <c r="AA42" i="12"/>
  <c r="AB42" i="12"/>
  <c r="AC42" i="12"/>
  <c r="AD42" i="12"/>
  <c r="AE42" i="12"/>
  <c r="AF42" i="12"/>
  <c r="AG42" i="12"/>
  <c r="AH42" i="12"/>
  <c r="AI42" i="12"/>
  <c r="AJ42" i="12"/>
  <c r="AK42" i="12"/>
  <c r="AL42" i="12"/>
  <c r="AM42" i="12"/>
  <c r="AN42" i="12"/>
  <c r="AO42" i="12"/>
  <c r="AP42" i="12"/>
  <c r="AQ42" i="12"/>
  <c r="AR42" i="12"/>
  <c r="AS42" i="12"/>
  <c r="AT42" i="12"/>
  <c r="AU42" i="12"/>
  <c r="AV42" i="12"/>
  <c r="AW42" i="12"/>
  <c r="AX42" i="12"/>
  <c r="AY42" i="12"/>
  <c r="AZ42" i="12"/>
  <c r="BA42" i="12"/>
  <c r="BB42" i="12"/>
  <c r="BC42" i="12"/>
  <c r="BD42" i="12"/>
  <c r="BE42" i="12"/>
  <c r="BF42" i="12"/>
  <c r="BG42" i="12"/>
  <c r="BH42" i="12"/>
  <c r="BI42" i="12"/>
  <c r="BJ42" i="12"/>
  <c r="BK42" i="12"/>
  <c r="BL42" i="12"/>
  <c r="BM42" i="12"/>
  <c r="BN42" i="12"/>
  <c r="BO42" i="12"/>
  <c r="BP42" i="12"/>
  <c r="BQ42" i="12"/>
  <c r="BR42" i="12"/>
  <c r="BS42" i="12"/>
  <c r="BT42" i="12"/>
  <c r="BU42" i="12"/>
  <c r="BV42" i="12"/>
  <c r="BW42" i="12"/>
  <c r="BX42" i="12"/>
  <c r="BY42" i="12"/>
  <c r="BZ42" i="12"/>
  <c r="CA42" i="12"/>
  <c r="CB42" i="12"/>
  <c r="CC42" i="12"/>
  <c r="CD42" i="12"/>
  <c r="CE42" i="12"/>
  <c r="CF42" i="12"/>
  <c r="CG42" i="12"/>
  <c r="CH42" i="12"/>
  <c r="CI42" i="12"/>
  <c r="CJ42" i="12"/>
  <c r="CK42" i="12"/>
  <c r="CL42" i="12"/>
  <c r="CM42" i="12"/>
  <c r="CN42" i="12"/>
  <c r="CO42" i="12"/>
  <c r="CP42" i="12"/>
  <c r="CQ42" i="12"/>
  <c r="CR42" i="12"/>
  <c r="CS42" i="12"/>
  <c r="CT42" i="12"/>
  <c r="CU42" i="12"/>
  <c r="CV42" i="12"/>
  <c r="CW42" i="12"/>
  <c r="CX42" i="12"/>
  <c r="CY42" i="12"/>
  <c r="CZ42" i="12"/>
  <c r="DA42" i="12"/>
  <c r="DB42" i="12"/>
  <c r="DC42" i="12"/>
  <c r="DD42" i="12"/>
  <c r="DE42" i="12"/>
  <c r="DF42" i="12"/>
  <c r="DG42" i="12"/>
  <c r="DH42" i="12"/>
  <c r="DI42" i="12"/>
  <c r="DJ42" i="12"/>
  <c r="DK42" i="12"/>
  <c r="DL42" i="12"/>
  <c r="DM42" i="12"/>
  <c r="DN42" i="12"/>
  <c r="DO42" i="12"/>
  <c r="DP42" i="12"/>
  <c r="DQ42" i="12"/>
  <c r="DR42" i="12"/>
  <c r="DS42" i="12"/>
  <c r="DT42" i="12"/>
  <c r="DU42" i="12"/>
  <c r="O43" i="12"/>
  <c r="P43" i="12"/>
  <c r="Q43" i="12"/>
  <c r="R43" i="12"/>
  <c r="S43" i="12"/>
  <c r="T43" i="12"/>
  <c r="U43" i="12"/>
  <c r="V43" i="12"/>
  <c r="W43" i="12"/>
  <c r="X43" i="12"/>
  <c r="Y43" i="12"/>
  <c r="Z43" i="12"/>
  <c r="AA43" i="12"/>
  <c r="AB43" i="12"/>
  <c r="AC43" i="12"/>
  <c r="AD43" i="12"/>
  <c r="AE43" i="12"/>
  <c r="AF43" i="12"/>
  <c r="AG43" i="12"/>
  <c r="AH43" i="12"/>
  <c r="AI43" i="12"/>
  <c r="AJ43" i="12"/>
  <c r="AK43" i="12"/>
  <c r="AL43" i="12"/>
  <c r="AM43" i="12"/>
  <c r="AN43" i="12"/>
  <c r="AO43" i="12"/>
  <c r="AP43" i="12"/>
  <c r="AQ43" i="12"/>
  <c r="AR43" i="12"/>
  <c r="AS43" i="12"/>
  <c r="AT43" i="12"/>
  <c r="AU43" i="12"/>
  <c r="AV43" i="12"/>
  <c r="AW43" i="12"/>
  <c r="AX43" i="12"/>
  <c r="AY43" i="12"/>
  <c r="AZ43" i="12"/>
  <c r="BA43" i="12"/>
  <c r="BB43" i="12"/>
  <c r="BC43" i="12"/>
  <c r="BD43" i="12"/>
  <c r="BE43" i="12"/>
  <c r="BF43" i="12"/>
  <c r="BG43" i="12"/>
  <c r="BH43" i="12"/>
  <c r="BI43" i="12"/>
  <c r="BJ43" i="12"/>
  <c r="BK43" i="12"/>
  <c r="BL43" i="12"/>
  <c r="BM43" i="12"/>
  <c r="BN43" i="12"/>
  <c r="BO43" i="12"/>
  <c r="BP43" i="12"/>
  <c r="BQ43" i="12"/>
  <c r="BR43" i="12"/>
  <c r="BS43" i="12"/>
  <c r="BT43" i="12"/>
  <c r="BU43" i="12"/>
  <c r="BV43" i="12"/>
  <c r="BW43" i="12"/>
  <c r="BX43" i="12"/>
  <c r="BY43" i="12"/>
  <c r="BZ43" i="12"/>
  <c r="CA43" i="12"/>
  <c r="CB43" i="12"/>
  <c r="CC43" i="12"/>
  <c r="CD43" i="12"/>
  <c r="CE43" i="12"/>
  <c r="CF43" i="12"/>
  <c r="CG43" i="12"/>
  <c r="CH43" i="12"/>
  <c r="CI43" i="12"/>
  <c r="CJ43" i="12"/>
  <c r="CK43" i="12"/>
  <c r="CL43" i="12"/>
  <c r="CM43" i="12"/>
  <c r="CN43" i="12"/>
  <c r="CO43" i="12"/>
  <c r="CP43" i="12"/>
  <c r="CQ43" i="12"/>
  <c r="CR43" i="12"/>
  <c r="CS43" i="12"/>
  <c r="CT43" i="12"/>
  <c r="CU43" i="12"/>
  <c r="CV43" i="12"/>
  <c r="CW43" i="12"/>
  <c r="CX43" i="12"/>
  <c r="CY43" i="12"/>
  <c r="CZ43" i="12"/>
  <c r="DA43" i="12"/>
  <c r="DB43" i="12"/>
  <c r="DC43" i="12"/>
  <c r="DD43" i="12"/>
  <c r="DE43" i="12"/>
  <c r="DF43" i="12"/>
  <c r="DG43" i="12"/>
  <c r="DH43" i="12"/>
  <c r="DI43" i="12"/>
  <c r="DJ43" i="12"/>
  <c r="DK43" i="12"/>
  <c r="DL43" i="12"/>
  <c r="DM43" i="12"/>
  <c r="DN43" i="12"/>
  <c r="DO43" i="12"/>
  <c r="DP43" i="12"/>
  <c r="DQ43" i="12"/>
  <c r="DR43" i="12"/>
  <c r="DS43" i="12"/>
  <c r="DT43" i="12"/>
  <c r="DU43" i="12"/>
  <c r="O44" i="12"/>
  <c r="P44" i="12"/>
  <c r="Q44" i="12"/>
  <c r="R44" i="12"/>
  <c r="S44" i="12"/>
  <c r="T44" i="12"/>
  <c r="U44" i="12"/>
  <c r="V44" i="12"/>
  <c r="W44" i="12"/>
  <c r="X44" i="12"/>
  <c r="Y44" i="12"/>
  <c r="Z44" i="12"/>
  <c r="AA44" i="12"/>
  <c r="AB44" i="12"/>
  <c r="AC44" i="12"/>
  <c r="AD44" i="12"/>
  <c r="AE44" i="12"/>
  <c r="AF44" i="12"/>
  <c r="AG44" i="12"/>
  <c r="AH44" i="12"/>
  <c r="AI44" i="12"/>
  <c r="AJ44" i="12"/>
  <c r="AK44" i="12"/>
  <c r="AL44" i="12"/>
  <c r="AM44" i="12"/>
  <c r="AN44" i="12"/>
  <c r="AO44" i="12"/>
  <c r="AP44" i="12"/>
  <c r="AQ44" i="12"/>
  <c r="AR44" i="12"/>
  <c r="AS44" i="12"/>
  <c r="AT44" i="12"/>
  <c r="AU44" i="12"/>
  <c r="AV44" i="12"/>
  <c r="AW44" i="12"/>
  <c r="AX44" i="12"/>
  <c r="AY44" i="12"/>
  <c r="AZ44" i="12"/>
  <c r="BA44" i="12"/>
  <c r="BB44" i="12"/>
  <c r="BC44" i="12"/>
  <c r="BD44" i="12"/>
  <c r="BE44" i="12"/>
  <c r="BF44" i="12"/>
  <c r="BG44" i="12"/>
  <c r="BH44" i="12"/>
  <c r="BI44" i="12"/>
  <c r="BJ44" i="12"/>
  <c r="BK44" i="12"/>
  <c r="BL44" i="12"/>
  <c r="BM44" i="12"/>
  <c r="BN44" i="12"/>
  <c r="BO44" i="12"/>
  <c r="BP44" i="12"/>
  <c r="BQ44" i="12"/>
  <c r="BR44" i="12"/>
  <c r="BS44" i="12"/>
  <c r="BT44" i="12"/>
  <c r="BU44" i="12"/>
  <c r="BV44" i="12"/>
  <c r="BW44" i="12"/>
  <c r="BX44" i="12"/>
  <c r="BY44" i="12"/>
  <c r="BZ44" i="12"/>
  <c r="CA44" i="12"/>
  <c r="CB44" i="12"/>
  <c r="CC44" i="12"/>
  <c r="CD44" i="12"/>
  <c r="CE44" i="12"/>
  <c r="CF44" i="12"/>
  <c r="CG44" i="12"/>
  <c r="CH44" i="12"/>
  <c r="CI44" i="12"/>
  <c r="CJ44" i="12"/>
  <c r="CK44" i="12"/>
  <c r="CL44" i="12"/>
  <c r="CM44" i="12"/>
  <c r="CN44" i="12"/>
  <c r="CO44" i="12"/>
  <c r="CP44" i="12"/>
  <c r="CQ44" i="12"/>
  <c r="CR44" i="12"/>
  <c r="CS44" i="12"/>
  <c r="CT44" i="12"/>
  <c r="CU44" i="12"/>
  <c r="CV44" i="12"/>
  <c r="CW44" i="12"/>
  <c r="CX44" i="12"/>
  <c r="CY44" i="12"/>
  <c r="CZ44" i="12"/>
  <c r="DA44" i="12"/>
  <c r="DB44" i="12"/>
  <c r="DC44" i="12"/>
  <c r="DD44" i="12"/>
  <c r="DE44" i="12"/>
  <c r="DF44" i="12"/>
  <c r="DG44" i="12"/>
  <c r="DH44" i="12"/>
  <c r="DI44" i="12"/>
  <c r="DJ44" i="12"/>
  <c r="DK44" i="12"/>
  <c r="DL44" i="12"/>
  <c r="DM44" i="12"/>
  <c r="DN44" i="12"/>
  <c r="DO44" i="12"/>
  <c r="DP44" i="12"/>
  <c r="DQ44" i="12"/>
  <c r="DR44" i="12"/>
  <c r="DS44" i="12"/>
  <c r="DT44" i="12"/>
  <c r="DU44" i="12"/>
  <c r="O45" i="12"/>
  <c r="P45" i="12"/>
  <c r="Q45" i="12"/>
  <c r="R45" i="12"/>
  <c r="S45" i="12"/>
  <c r="T45" i="12"/>
  <c r="U45" i="12"/>
  <c r="V45" i="12"/>
  <c r="W45" i="12"/>
  <c r="X45" i="12"/>
  <c r="Y45" i="12"/>
  <c r="Z45" i="12"/>
  <c r="AA45" i="12"/>
  <c r="AB45" i="12"/>
  <c r="AC45" i="12"/>
  <c r="AD45" i="12"/>
  <c r="AE45" i="12"/>
  <c r="AF45" i="12"/>
  <c r="AG45" i="12"/>
  <c r="AH45" i="12"/>
  <c r="AI45" i="12"/>
  <c r="AJ45" i="12"/>
  <c r="AK45" i="12"/>
  <c r="AL45" i="12"/>
  <c r="AM45" i="12"/>
  <c r="AN45" i="12"/>
  <c r="AO45" i="12"/>
  <c r="AP45" i="12"/>
  <c r="AQ45" i="12"/>
  <c r="AR45" i="12"/>
  <c r="AS45" i="12"/>
  <c r="AT45" i="12"/>
  <c r="AU45" i="12"/>
  <c r="AV45" i="12"/>
  <c r="AW45" i="12"/>
  <c r="AX45" i="12"/>
  <c r="AY45" i="12"/>
  <c r="AZ45" i="12"/>
  <c r="BA45" i="12"/>
  <c r="BB45" i="12"/>
  <c r="BC45" i="12"/>
  <c r="BD45" i="12"/>
  <c r="BE45" i="12"/>
  <c r="BF45" i="12"/>
  <c r="BG45" i="12"/>
  <c r="BH45" i="12"/>
  <c r="BI45" i="12"/>
  <c r="BJ45" i="12"/>
  <c r="BK45" i="12"/>
  <c r="BL45" i="12"/>
  <c r="BM45" i="12"/>
  <c r="BN45" i="12"/>
  <c r="BO45" i="12"/>
  <c r="BP45" i="12"/>
  <c r="BQ45" i="12"/>
  <c r="BR45" i="12"/>
  <c r="BS45" i="12"/>
  <c r="BT45" i="12"/>
  <c r="BU45" i="12"/>
  <c r="BV45" i="12"/>
  <c r="BW45" i="12"/>
  <c r="BX45" i="12"/>
  <c r="BY45" i="12"/>
  <c r="BZ45" i="12"/>
  <c r="CA45" i="12"/>
  <c r="CB45" i="12"/>
  <c r="CC45" i="12"/>
  <c r="CD45" i="12"/>
  <c r="CE45" i="12"/>
  <c r="CF45" i="12"/>
  <c r="CG45" i="12"/>
  <c r="CH45" i="12"/>
  <c r="CI45" i="12"/>
  <c r="CJ45" i="12"/>
  <c r="CK45" i="12"/>
  <c r="CL45" i="12"/>
  <c r="CM45" i="12"/>
  <c r="CN45" i="12"/>
  <c r="CO45" i="12"/>
  <c r="CP45" i="12"/>
  <c r="CQ45" i="12"/>
  <c r="CR45" i="12"/>
  <c r="CS45" i="12"/>
  <c r="CT45" i="12"/>
  <c r="CU45" i="12"/>
  <c r="CV45" i="12"/>
  <c r="CW45" i="12"/>
  <c r="CX45" i="12"/>
  <c r="CY45" i="12"/>
  <c r="CZ45" i="12"/>
  <c r="DA45" i="12"/>
  <c r="DB45" i="12"/>
  <c r="DC45" i="12"/>
  <c r="DD45" i="12"/>
  <c r="DE45" i="12"/>
  <c r="DF45" i="12"/>
  <c r="DG45" i="12"/>
  <c r="DH45" i="12"/>
  <c r="DI45" i="12"/>
  <c r="DJ45" i="12"/>
  <c r="DK45" i="12"/>
  <c r="DL45" i="12"/>
  <c r="DM45" i="12"/>
  <c r="DN45" i="12"/>
  <c r="DO45" i="12"/>
  <c r="DP45" i="12"/>
  <c r="DQ45" i="12"/>
  <c r="DR45" i="12"/>
  <c r="DS45" i="12"/>
  <c r="DT45" i="12"/>
  <c r="DU45" i="12"/>
  <c r="O46" i="12"/>
  <c r="P46" i="12"/>
  <c r="Q46" i="12"/>
  <c r="R46" i="12"/>
  <c r="S46" i="12"/>
  <c r="T46" i="12"/>
  <c r="U46" i="12"/>
  <c r="V46" i="12"/>
  <c r="W46" i="12"/>
  <c r="X46" i="12"/>
  <c r="Y46" i="12"/>
  <c r="Z46" i="12"/>
  <c r="AA46" i="12"/>
  <c r="AB46" i="12"/>
  <c r="AC46" i="12"/>
  <c r="AD46" i="12"/>
  <c r="AE46" i="12"/>
  <c r="AF46" i="12"/>
  <c r="AG46" i="12"/>
  <c r="AH46" i="12"/>
  <c r="AI46" i="12"/>
  <c r="AJ46" i="12"/>
  <c r="AK46" i="12"/>
  <c r="AL46" i="12"/>
  <c r="AM46" i="12"/>
  <c r="AN46" i="12"/>
  <c r="AO46" i="12"/>
  <c r="AP46" i="12"/>
  <c r="AQ46" i="12"/>
  <c r="AR46" i="12"/>
  <c r="AS46" i="12"/>
  <c r="AT46" i="12"/>
  <c r="AU46" i="12"/>
  <c r="AV46" i="12"/>
  <c r="AW46" i="12"/>
  <c r="AX46" i="12"/>
  <c r="AY46" i="12"/>
  <c r="AZ46" i="12"/>
  <c r="BA46" i="12"/>
  <c r="BB46" i="12"/>
  <c r="BC46" i="12"/>
  <c r="BD46" i="12"/>
  <c r="BE46" i="12"/>
  <c r="BF46" i="12"/>
  <c r="BG46" i="12"/>
  <c r="BH46" i="12"/>
  <c r="BI46" i="12"/>
  <c r="BJ46" i="12"/>
  <c r="BK46" i="12"/>
  <c r="BL46" i="12"/>
  <c r="BM46" i="12"/>
  <c r="BN46" i="12"/>
  <c r="BO46" i="12"/>
  <c r="BP46" i="12"/>
  <c r="BQ46" i="12"/>
  <c r="BR46" i="12"/>
  <c r="BS46" i="12"/>
  <c r="BT46" i="12"/>
  <c r="BU46" i="12"/>
  <c r="BV46" i="12"/>
  <c r="BW46" i="12"/>
  <c r="BX46" i="12"/>
  <c r="BY46" i="12"/>
  <c r="BZ46" i="12"/>
  <c r="CA46" i="12"/>
  <c r="CB46" i="12"/>
  <c r="CC46" i="12"/>
  <c r="CD46" i="12"/>
  <c r="CE46" i="12"/>
  <c r="CF46" i="12"/>
  <c r="CG46" i="12"/>
  <c r="CH46" i="12"/>
  <c r="CI46" i="12"/>
  <c r="CJ46" i="12"/>
  <c r="CK46" i="12"/>
  <c r="CL46" i="12"/>
  <c r="CM46" i="12"/>
  <c r="CN46" i="12"/>
  <c r="CO46" i="12"/>
  <c r="CP46" i="12"/>
  <c r="CQ46" i="12"/>
  <c r="CR46" i="12"/>
  <c r="CS46" i="12"/>
  <c r="CT46" i="12"/>
  <c r="CU46" i="12"/>
  <c r="CV46" i="12"/>
  <c r="CW46" i="12"/>
  <c r="CX46" i="12"/>
  <c r="CY46" i="12"/>
  <c r="CZ46" i="12"/>
  <c r="DA46" i="12"/>
  <c r="DB46" i="12"/>
  <c r="DC46" i="12"/>
  <c r="DD46" i="12"/>
  <c r="DE46" i="12"/>
  <c r="DF46" i="12"/>
  <c r="DG46" i="12"/>
  <c r="DH46" i="12"/>
  <c r="DI46" i="12"/>
  <c r="DJ46" i="12"/>
  <c r="DK46" i="12"/>
  <c r="DL46" i="12"/>
  <c r="DM46" i="12"/>
  <c r="DN46" i="12"/>
  <c r="DO46" i="12"/>
  <c r="DP46" i="12"/>
  <c r="DQ46" i="12"/>
  <c r="DR46" i="12"/>
  <c r="DS46" i="12"/>
  <c r="DT46" i="12"/>
  <c r="DU46" i="12"/>
  <c r="O47" i="12"/>
  <c r="P47" i="12"/>
  <c r="Q47" i="12"/>
  <c r="R47" i="12"/>
  <c r="S47" i="12"/>
  <c r="T47" i="12"/>
  <c r="U47" i="12"/>
  <c r="V47" i="12"/>
  <c r="W47" i="12"/>
  <c r="X47" i="12"/>
  <c r="Y47" i="12"/>
  <c r="Z47" i="12"/>
  <c r="AA47" i="12"/>
  <c r="AB47" i="12"/>
  <c r="AC47" i="12"/>
  <c r="AD47" i="12"/>
  <c r="AE47" i="12"/>
  <c r="AF47" i="12"/>
  <c r="AG47" i="12"/>
  <c r="AH47" i="12"/>
  <c r="AI47" i="12"/>
  <c r="AJ47" i="12"/>
  <c r="AK47" i="12"/>
  <c r="AL47" i="12"/>
  <c r="AM47" i="12"/>
  <c r="AN47" i="12"/>
  <c r="AO47" i="12"/>
  <c r="AP47" i="12"/>
  <c r="AQ47" i="12"/>
  <c r="AR47" i="12"/>
  <c r="AS47" i="12"/>
  <c r="AT47" i="12"/>
  <c r="AU47" i="12"/>
  <c r="AV47" i="12"/>
  <c r="AW47" i="12"/>
  <c r="AX47" i="12"/>
  <c r="AY47" i="12"/>
  <c r="AZ47" i="12"/>
  <c r="BA47" i="12"/>
  <c r="BB47" i="12"/>
  <c r="BC47" i="12"/>
  <c r="BD47" i="12"/>
  <c r="BE47" i="12"/>
  <c r="BF47" i="12"/>
  <c r="BG47" i="12"/>
  <c r="BH47" i="12"/>
  <c r="BI47" i="12"/>
  <c r="BJ47" i="12"/>
  <c r="BK47" i="12"/>
  <c r="BL47" i="12"/>
  <c r="BM47" i="12"/>
  <c r="BN47" i="12"/>
  <c r="BO47" i="12"/>
  <c r="BP47" i="12"/>
  <c r="BQ47" i="12"/>
  <c r="BR47" i="12"/>
  <c r="BS47" i="12"/>
  <c r="BT47" i="12"/>
  <c r="BU47" i="12"/>
  <c r="BV47" i="12"/>
  <c r="BW47" i="12"/>
  <c r="BX47" i="12"/>
  <c r="BY47" i="12"/>
  <c r="BZ47" i="12"/>
  <c r="CA47" i="12"/>
  <c r="CB47" i="12"/>
  <c r="CC47" i="12"/>
  <c r="CD47" i="12"/>
  <c r="CE47" i="12"/>
  <c r="CF47" i="12"/>
  <c r="CG47" i="12"/>
  <c r="CH47" i="12"/>
  <c r="CI47" i="12"/>
  <c r="CJ47" i="12"/>
  <c r="CK47" i="12"/>
  <c r="CL47" i="12"/>
  <c r="CM47" i="12"/>
  <c r="CN47" i="12"/>
  <c r="CO47" i="12"/>
  <c r="CP47" i="12"/>
  <c r="CQ47" i="12"/>
  <c r="CR47" i="12"/>
  <c r="CS47" i="12"/>
  <c r="CT47" i="12"/>
  <c r="CU47" i="12"/>
  <c r="CV47" i="12"/>
  <c r="CW47" i="12"/>
  <c r="CX47" i="12"/>
  <c r="CY47" i="12"/>
  <c r="CZ47" i="12"/>
  <c r="DA47" i="12"/>
  <c r="DB47" i="12"/>
  <c r="DC47" i="12"/>
  <c r="DD47" i="12"/>
  <c r="DE47" i="12"/>
  <c r="DF47" i="12"/>
  <c r="DG47" i="12"/>
  <c r="DH47" i="12"/>
  <c r="DI47" i="12"/>
  <c r="DJ47" i="12"/>
  <c r="DK47" i="12"/>
  <c r="DL47" i="12"/>
  <c r="DM47" i="12"/>
  <c r="DN47" i="12"/>
  <c r="DO47" i="12"/>
  <c r="DP47" i="12"/>
  <c r="DQ47" i="12"/>
  <c r="DR47" i="12"/>
  <c r="DS47" i="12"/>
  <c r="DT47" i="12"/>
  <c r="DU47" i="12"/>
  <c r="O48" i="12"/>
  <c r="P48" i="12"/>
  <c r="Q48" i="12"/>
  <c r="R48" i="12"/>
  <c r="S48" i="12"/>
  <c r="T48" i="12"/>
  <c r="U48" i="12"/>
  <c r="V48" i="12"/>
  <c r="W48" i="12"/>
  <c r="X48" i="12"/>
  <c r="Y48" i="12"/>
  <c r="Z48" i="12"/>
  <c r="AA48" i="12"/>
  <c r="AB48" i="12"/>
  <c r="AC48" i="12"/>
  <c r="AD48" i="12"/>
  <c r="AE48" i="12"/>
  <c r="AF48" i="12"/>
  <c r="AG48" i="12"/>
  <c r="AH48" i="12"/>
  <c r="AI48" i="12"/>
  <c r="AJ48" i="12"/>
  <c r="AK48" i="12"/>
  <c r="AL48" i="12"/>
  <c r="AM48" i="12"/>
  <c r="AN48" i="12"/>
  <c r="AO48" i="12"/>
  <c r="AP48" i="12"/>
  <c r="AQ48" i="12"/>
  <c r="AR48" i="12"/>
  <c r="AS48" i="12"/>
  <c r="AT48" i="12"/>
  <c r="AU48" i="12"/>
  <c r="AV48" i="12"/>
  <c r="AW48" i="12"/>
  <c r="AX48" i="12"/>
  <c r="AY48" i="12"/>
  <c r="AZ48" i="12"/>
  <c r="BA48" i="12"/>
  <c r="BB48" i="12"/>
  <c r="BC48" i="12"/>
  <c r="BD48" i="12"/>
  <c r="BE48" i="12"/>
  <c r="BF48" i="12"/>
  <c r="BG48" i="12"/>
  <c r="BH48" i="12"/>
  <c r="BI48" i="12"/>
  <c r="BJ48" i="12"/>
  <c r="BK48" i="12"/>
  <c r="BL48" i="12"/>
  <c r="BM48" i="12"/>
  <c r="BN48" i="12"/>
  <c r="BO48" i="12"/>
  <c r="BP48" i="12"/>
  <c r="BQ48" i="12"/>
  <c r="BR48" i="12"/>
  <c r="BS48" i="12"/>
  <c r="BT48" i="12"/>
  <c r="BU48" i="12"/>
  <c r="BV48" i="12"/>
  <c r="BW48" i="12"/>
  <c r="BX48" i="12"/>
  <c r="BY48" i="12"/>
  <c r="BZ48" i="12"/>
  <c r="CA48" i="12"/>
  <c r="CB48" i="12"/>
  <c r="CC48" i="12"/>
  <c r="CD48" i="12"/>
  <c r="CE48" i="12"/>
  <c r="CF48" i="12"/>
  <c r="CG48" i="12"/>
  <c r="CH48" i="12"/>
  <c r="CI48" i="12"/>
  <c r="CJ48" i="12"/>
  <c r="CK48" i="12"/>
  <c r="CL48" i="12"/>
  <c r="CM48" i="12"/>
  <c r="CN48" i="12"/>
  <c r="CO48" i="12"/>
  <c r="CP48" i="12"/>
  <c r="CQ48" i="12"/>
  <c r="CR48" i="12"/>
  <c r="CS48" i="12"/>
  <c r="CT48" i="12"/>
  <c r="CU48" i="12"/>
  <c r="CV48" i="12"/>
  <c r="CW48" i="12"/>
  <c r="CX48" i="12"/>
  <c r="CY48" i="12"/>
  <c r="CZ48" i="12"/>
  <c r="DA48" i="12"/>
  <c r="DB48" i="12"/>
  <c r="DC48" i="12"/>
  <c r="DD48" i="12"/>
  <c r="DE48" i="12"/>
  <c r="DF48" i="12"/>
  <c r="DG48" i="12"/>
  <c r="DH48" i="12"/>
  <c r="DI48" i="12"/>
  <c r="DJ48" i="12"/>
  <c r="DK48" i="12"/>
  <c r="DL48" i="12"/>
  <c r="DM48" i="12"/>
  <c r="DN48" i="12"/>
  <c r="DO48" i="12"/>
  <c r="DP48" i="12"/>
  <c r="DQ48" i="12"/>
  <c r="DR48" i="12"/>
  <c r="DS48" i="12"/>
  <c r="DT48" i="12"/>
  <c r="DU48" i="12"/>
  <c r="O49" i="12"/>
  <c r="P49" i="12"/>
  <c r="Q49" i="12"/>
  <c r="R49" i="12"/>
  <c r="S49" i="12"/>
  <c r="T49" i="12"/>
  <c r="U49" i="12"/>
  <c r="V49" i="12"/>
  <c r="W49" i="12"/>
  <c r="X49" i="12"/>
  <c r="Y49" i="12"/>
  <c r="Z49" i="12"/>
  <c r="AA49" i="12"/>
  <c r="AB49" i="12"/>
  <c r="AC49" i="12"/>
  <c r="AD49" i="12"/>
  <c r="AE49" i="12"/>
  <c r="AF49" i="12"/>
  <c r="AG49" i="12"/>
  <c r="AH49" i="12"/>
  <c r="AI49" i="12"/>
  <c r="AJ49" i="12"/>
  <c r="AK49" i="12"/>
  <c r="AL49" i="12"/>
  <c r="AM49" i="12"/>
  <c r="AN49" i="12"/>
  <c r="AO49" i="12"/>
  <c r="AP49" i="12"/>
  <c r="AQ49" i="12"/>
  <c r="AR49" i="12"/>
  <c r="AS49" i="12"/>
  <c r="AT49" i="12"/>
  <c r="AU49" i="12"/>
  <c r="AV49" i="12"/>
  <c r="AW49" i="12"/>
  <c r="AX49" i="12"/>
  <c r="AY49" i="12"/>
  <c r="AZ49" i="12"/>
  <c r="BA49" i="12"/>
  <c r="BB49" i="12"/>
  <c r="BC49" i="12"/>
  <c r="BD49" i="12"/>
  <c r="BE49" i="12"/>
  <c r="BF49" i="12"/>
  <c r="BG49" i="12"/>
  <c r="BH49" i="12"/>
  <c r="BI49" i="12"/>
  <c r="BJ49" i="12"/>
  <c r="BK49" i="12"/>
  <c r="BL49" i="12"/>
  <c r="BM49" i="12"/>
  <c r="BN49" i="12"/>
  <c r="BO49" i="12"/>
  <c r="BP49" i="12"/>
  <c r="BQ49" i="12"/>
  <c r="BR49" i="12"/>
  <c r="BS49" i="12"/>
  <c r="BT49" i="12"/>
  <c r="BU49" i="12"/>
  <c r="BV49" i="12"/>
  <c r="BW49" i="12"/>
  <c r="BX49" i="12"/>
  <c r="BY49" i="12"/>
  <c r="BZ49" i="12"/>
  <c r="CA49" i="12"/>
  <c r="CB49" i="12"/>
  <c r="CC49" i="12"/>
  <c r="CD49" i="12"/>
  <c r="CE49" i="12"/>
  <c r="CF49" i="12"/>
  <c r="CG49" i="12"/>
  <c r="CH49" i="12"/>
  <c r="CI49" i="12"/>
  <c r="CJ49" i="12"/>
  <c r="CK49" i="12"/>
  <c r="CL49" i="12"/>
  <c r="CM49" i="12"/>
  <c r="CN49" i="12"/>
  <c r="CO49" i="12"/>
  <c r="CP49" i="12"/>
  <c r="CQ49" i="12"/>
  <c r="CR49" i="12"/>
  <c r="CS49" i="12"/>
  <c r="CT49" i="12"/>
  <c r="CU49" i="12"/>
  <c r="CV49" i="12"/>
  <c r="CW49" i="12"/>
  <c r="CX49" i="12"/>
  <c r="CY49" i="12"/>
  <c r="CZ49" i="12"/>
  <c r="DA49" i="12"/>
  <c r="DB49" i="12"/>
  <c r="DC49" i="12"/>
  <c r="DD49" i="12"/>
  <c r="DE49" i="12"/>
  <c r="DF49" i="12"/>
  <c r="DG49" i="12"/>
  <c r="DH49" i="12"/>
  <c r="DI49" i="12"/>
  <c r="DJ49" i="12"/>
  <c r="DK49" i="12"/>
  <c r="DL49" i="12"/>
  <c r="DM49" i="12"/>
  <c r="DN49" i="12"/>
  <c r="DO49" i="12"/>
  <c r="DP49" i="12"/>
  <c r="DQ49" i="12"/>
  <c r="DR49" i="12"/>
  <c r="DS49" i="12"/>
  <c r="DT49" i="12"/>
  <c r="DU49" i="12"/>
  <c r="O50" i="12"/>
  <c r="P50" i="12"/>
  <c r="Q50" i="12"/>
  <c r="R50" i="12"/>
  <c r="S50" i="12"/>
  <c r="T50" i="12"/>
  <c r="U50" i="12"/>
  <c r="V50" i="12"/>
  <c r="W50" i="12"/>
  <c r="X50" i="12"/>
  <c r="Y50" i="12"/>
  <c r="Z50" i="12"/>
  <c r="AA50" i="12"/>
  <c r="AB50" i="12"/>
  <c r="AC50" i="12"/>
  <c r="AD50" i="12"/>
  <c r="AE50" i="12"/>
  <c r="AF50" i="12"/>
  <c r="AG50" i="12"/>
  <c r="AH50" i="12"/>
  <c r="AI50" i="12"/>
  <c r="AJ50" i="12"/>
  <c r="AK50" i="12"/>
  <c r="AL50" i="12"/>
  <c r="AM50" i="12"/>
  <c r="AN50" i="12"/>
  <c r="AO50" i="12"/>
  <c r="AP50" i="12"/>
  <c r="AQ50" i="12"/>
  <c r="AR50" i="12"/>
  <c r="AS50" i="12"/>
  <c r="AT50" i="12"/>
  <c r="AU50" i="12"/>
  <c r="AV50" i="12"/>
  <c r="AW50" i="12"/>
  <c r="AX50" i="12"/>
  <c r="AY50" i="12"/>
  <c r="AZ50" i="12"/>
  <c r="BA50" i="12"/>
  <c r="BB50" i="12"/>
  <c r="BC50" i="12"/>
  <c r="BD50" i="12"/>
  <c r="BE50" i="12"/>
  <c r="BF50" i="12"/>
  <c r="BG50" i="12"/>
  <c r="BH50" i="12"/>
  <c r="BI50" i="12"/>
  <c r="BJ50" i="12"/>
  <c r="BK50" i="12"/>
  <c r="BL50" i="12"/>
  <c r="BM50" i="12"/>
  <c r="BN50" i="12"/>
  <c r="BO50" i="12"/>
  <c r="BP50" i="12"/>
  <c r="BQ50" i="12"/>
  <c r="BR50" i="12"/>
  <c r="BS50" i="12"/>
  <c r="BT50" i="12"/>
  <c r="BU50" i="12"/>
  <c r="BV50" i="12"/>
  <c r="BW50" i="12"/>
  <c r="BX50" i="12"/>
  <c r="BY50" i="12"/>
  <c r="BZ50" i="12"/>
  <c r="CA50" i="12"/>
  <c r="CB50" i="12"/>
  <c r="CC50" i="12"/>
  <c r="CD50" i="12"/>
  <c r="CE50" i="12"/>
  <c r="CF50" i="12"/>
  <c r="CG50" i="12"/>
  <c r="CH50" i="12"/>
  <c r="CI50" i="12"/>
  <c r="CJ50" i="12"/>
  <c r="CK50" i="12"/>
  <c r="CL50" i="12"/>
  <c r="CM50" i="12"/>
  <c r="CN50" i="12"/>
  <c r="CO50" i="12"/>
  <c r="CP50" i="12"/>
  <c r="CQ50" i="12"/>
  <c r="CR50" i="12"/>
  <c r="CS50" i="12"/>
  <c r="CT50" i="12"/>
  <c r="CU50" i="12"/>
  <c r="CV50" i="12"/>
  <c r="CW50" i="12"/>
  <c r="CX50" i="12"/>
  <c r="CY50" i="12"/>
  <c r="CZ50" i="12"/>
  <c r="DA50" i="12"/>
  <c r="DB50" i="12"/>
  <c r="DC50" i="12"/>
  <c r="DD50" i="12"/>
  <c r="DE50" i="12"/>
  <c r="DF50" i="12"/>
  <c r="DG50" i="12"/>
  <c r="DH50" i="12"/>
  <c r="DI50" i="12"/>
  <c r="DJ50" i="12"/>
  <c r="DK50" i="12"/>
  <c r="DL50" i="12"/>
  <c r="DM50" i="12"/>
  <c r="DN50" i="12"/>
  <c r="DO50" i="12"/>
  <c r="DP50" i="12"/>
  <c r="DQ50" i="12"/>
  <c r="DR50" i="12"/>
  <c r="DS50" i="12"/>
  <c r="DT50" i="12"/>
  <c r="DU50" i="12"/>
  <c r="O51" i="12"/>
  <c r="P51" i="12"/>
  <c r="Q51" i="12"/>
  <c r="R51" i="12"/>
  <c r="S51" i="12"/>
  <c r="T51" i="12"/>
  <c r="U51" i="12"/>
  <c r="V51" i="12"/>
  <c r="W51" i="12"/>
  <c r="X51" i="12"/>
  <c r="Y51" i="12"/>
  <c r="Z51" i="12"/>
  <c r="AA51" i="12"/>
  <c r="AB51" i="12"/>
  <c r="AC51" i="12"/>
  <c r="AD51" i="12"/>
  <c r="AE51" i="12"/>
  <c r="AF51" i="12"/>
  <c r="AG51" i="12"/>
  <c r="AH51" i="12"/>
  <c r="AI51" i="12"/>
  <c r="AJ51" i="12"/>
  <c r="AK51" i="12"/>
  <c r="AL51" i="12"/>
  <c r="AM51" i="12"/>
  <c r="AN51" i="12"/>
  <c r="AO51" i="12"/>
  <c r="AP51" i="12"/>
  <c r="AQ51" i="12"/>
  <c r="AR51" i="12"/>
  <c r="AS51" i="12"/>
  <c r="AT51" i="12"/>
  <c r="AU51" i="12"/>
  <c r="AV51" i="12"/>
  <c r="AW51" i="12"/>
  <c r="AX51" i="12"/>
  <c r="AY51" i="12"/>
  <c r="AZ51" i="12"/>
  <c r="BA51" i="12"/>
  <c r="BB51" i="12"/>
  <c r="BC51" i="12"/>
  <c r="BD51" i="12"/>
  <c r="BE51" i="12"/>
  <c r="BF51" i="12"/>
  <c r="BG51" i="12"/>
  <c r="BH51" i="12"/>
  <c r="BI51" i="12"/>
  <c r="BJ51" i="12"/>
  <c r="BK51" i="12"/>
  <c r="BL51" i="12"/>
  <c r="BM51" i="12"/>
  <c r="BN51" i="12"/>
  <c r="BO51" i="12"/>
  <c r="BP51" i="12"/>
  <c r="BQ51" i="12"/>
  <c r="BR51" i="12"/>
  <c r="BS51" i="12"/>
  <c r="BT51" i="12"/>
  <c r="BU51" i="12"/>
  <c r="BV51" i="12"/>
  <c r="BW51" i="12"/>
  <c r="BX51" i="12"/>
  <c r="BY51" i="12"/>
  <c r="BZ51" i="12"/>
  <c r="CA51" i="12"/>
  <c r="CB51" i="12"/>
  <c r="CC51" i="12"/>
  <c r="CD51" i="12"/>
  <c r="CE51" i="12"/>
  <c r="CF51" i="12"/>
  <c r="CG51" i="12"/>
  <c r="CH51" i="12"/>
  <c r="CI51" i="12"/>
  <c r="CJ51" i="12"/>
  <c r="CK51" i="12"/>
  <c r="CL51" i="12"/>
  <c r="CM51" i="12"/>
  <c r="CN51" i="12"/>
  <c r="CO51" i="12"/>
  <c r="CP51" i="12"/>
  <c r="CQ51" i="12"/>
  <c r="CR51" i="12"/>
  <c r="CS51" i="12"/>
  <c r="CT51" i="12"/>
  <c r="CU51" i="12"/>
  <c r="CV51" i="12"/>
  <c r="CW51" i="12"/>
  <c r="CX51" i="12"/>
  <c r="CY51" i="12"/>
  <c r="CZ51" i="12"/>
  <c r="DA51" i="12"/>
  <c r="DB51" i="12"/>
  <c r="DC51" i="12"/>
  <c r="DD51" i="12"/>
  <c r="DE51" i="12"/>
  <c r="DF51" i="12"/>
  <c r="DG51" i="12"/>
  <c r="DH51" i="12"/>
  <c r="DI51" i="12"/>
  <c r="DJ51" i="12"/>
  <c r="DK51" i="12"/>
  <c r="DL51" i="12"/>
  <c r="DM51" i="12"/>
  <c r="DN51" i="12"/>
  <c r="DO51" i="12"/>
  <c r="DP51" i="12"/>
  <c r="DQ51" i="12"/>
  <c r="DR51" i="12"/>
  <c r="DS51" i="12"/>
  <c r="DT51" i="12"/>
  <c r="DU51" i="12"/>
  <c r="O52" i="12"/>
  <c r="P52" i="12"/>
  <c r="Q52" i="12"/>
  <c r="R52" i="12"/>
  <c r="S52" i="12"/>
  <c r="T52" i="12"/>
  <c r="U52" i="12"/>
  <c r="V52" i="12"/>
  <c r="W52" i="12"/>
  <c r="X52" i="12"/>
  <c r="Y52" i="12"/>
  <c r="Z52" i="12"/>
  <c r="AA52" i="12"/>
  <c r="AB52" i="12"/>
  <c r="AC52" i="12"/>
  <c r="AD52" i="12"/>
  <c r="AE52" i="12"/>
  <c r="AF52" i="12"/>
  <c r="AG52" i="12"/>
  <c r="AH52" i="12"/>
  <c r="AI52" i="12"/>
  <c r="AJ52" i="12"/>
  <c r="AK52" i="12"/>
  <c r="AL52" i="12"/>
  <c r="AM52" i="12"/>
  <c r="AN52" i="12"/>
  <c r="AO52" i="12"/>
  <c r="AP52" i="12"/>
  <c r="AQ52" i="12"/>
  <c r="AR52" i="12"/>
  <c r="AS52" i="12"/>
  <c r="AT52" i="12"/>
  <c r="AU52" i="12"/>
  <c r="AV52" i="12"/>
  <c r="AW52" i="12"/>
  <c r="AX52" i="12"/>
  <c r="AY52" i="12"/>
  <c r="AZ52" i="12"/>
  <c r="BA52" i="12"/>
  <c r="BB52" i="12"/>
  <c r="BC52" i="12"/>
  <c r="BD52" i="12"/>
  <c r="BE52" i="12"/>
  <c r="BF52" i="12"/>
  <c r="BG52" i="12"/>
  <c r="BH52" i="12"/>
  <c r="BI52" i="12"/>
  <c r="BJ52" i="12"/>
  <c r="BK52" i="12"/>
  <c r="BL52" i="12"/>
  <c r="BM52" i="12"/>
  <c r="BN52" i="12"/>
  <c r="BO52" i="12"/>
  <c r="BP52" i="12"/>
  <c r="BQ52" i="12"/>
  <c r="BR52" i="12"/>
  <c r="BS52" i="12"/>
  <c r="BT52" i="12"/>
  <c r="BU52" i="12"/>
  <c r="BV52" i="12"/>
  <c r="BW52" i="12"/>
  <c r="BX52" i="12"/>
  <c r="BY52" i="12"/>
  <c r="BZ52" i="12"/>
  <c r="CA52" i="12"/>
  <c r="CB52" i="12"/>
  <c r="CC52" i="12"/>
  <c r="CD52" i="12"/>
  <c r="CE52" i="12"/>
  <c r="CF52" i="12"/>
  <c r="CG52" i="12"/>
  <c r="CH52" i="12"/>
  <c r="CI52" i="12"/>
  <c r="CJ52" i="12"/>
  <c r="CK52" i="12"/>
  <c r="CL52" i="12"/>
  <c r="CM52" i="12"/>
  <c r="CN52" i="12"/>
  <c r="CO52" i="12"/>
  <c r="CP52" i="12"/>
  <c r="CQ52" i="12"/>
  <c r="CR52" i="12"/>
  <c r="CS52" i="12"/>
  <c r="CT52" i="12"/>
  <c r="CU52" i="12"/>
  <c r="CV52" i="12"/>
  <c r="CW52" i="12"/>
  <c r="CX52" i="12"/>
  <c r="CY52" i="12"/>
  <c r="CZ52" i="12"/>
  <c r="DA52" i="12"/>
  <c r="DB52" i="12"/>
  <c r="DC52" i="12"/>
  <c r="DD52" i="12"/>
  <c r="DE52" i="12"/>
  <c r="DF52" i="12"/>
  <c r="DG52" i="12"/>
  <c r="DH52" i="12"/>
  <c r="DI52" i="12"/>
  <c r="DJ52" i="12"/>
  <c r="DK52" i="12"/>
  <c r="DL52" i="12"/>
  <c r="DM52" i="12"/>
  <c r="DN52" i="12"/>
  <c r="DO52" i="12"/>
  <c r="DP52" i="12"/>
  <c r="DQ52" i="12"/>
  <c r="DR52" i="12"/>
  <c r="DS52" i="12"/>
  <c r="DT52" i="12"/>
  <c r="DU52" i="12"/>
  <c r="O53" i="12"/>
  <c r="P53" i="12"/>
  <c r="Q53" i="12"/>
  <c r="R53" i="12"/>
  <c r="S53" i="12"/>
  <c r="T53" i="12"/>
  <c r="U53" i="12"/>
  <c r="V53" i="12"/>
  <c r="W53" i="12"/>
  <c r="X53" i="12"/>
  <c r="Y53" i="12"/>
  <c r="Z53" i="12"/>
  <c r="AA53" i="12"/>
  <c r="AB53" i="12"/>
  <c r="AC53" i="12"/>
  <c r="AD53" i="12"/>
  <c r="AE53" i="12"/>
  <c r="AF53" i="12"/>
  <c r="AG53" i="12"/>
  <c r="AH53" i="12"/>
  <c r="AI53" i="12"/>
  <c r="AJ53" i="12"/>
  <c r="AK53" i="12"/>
  <c r="AL53" i="12"/>
  <c r="AM53" i="12"/>
  <c r="AN53" i="12"/>
  <c r="AO53" i="12"/>
  <c r="AP53" i="12"/>
  <c r="AQ53" i="12"/>
  <c r="AR53" i="12"/>
  <c r="AS53" i="12"/>
  <c r="AT53" i="12"/>
  <c r="AU53" i="12"/>
  <c r="AV53" i="12"/>
  <c r="AW53" i="12"/>
  <c r="AX53" i="12"/>
  <c r="AY53" i="12"/>
  <c r="AZ53" i="12"/>
  <c r="BA53" i="12"/>
  <c r="BB53" i="12"/>
  <c r="BC53" i="12"/>
  <c r="BD53" i="12"/>
  <c r="BE53" i="12"/>
  <c r="BF53" i="12"/>
  <c r="BG53" i="12"/>
  <c r="BH53" i="12"/>
  <c r="BI53" i="12"/>
  <c r="BJ53" i="12"/>
  <c r="BK53" i="12"/>
  <c r="BL53" i="12"/>
  <c r="BM53" i="12"/>
  <c r="BN53" i="12"/>
  <c r="BO53" i="12"/>
  <c r="BP53" i="12"/>
  <c r="BQ53" i="12"/>
  <c r="BR53" i="12"/>
  <c r="BS53" i="12"/>
  <c r="BT53" i="12"/>
  <c r="BU53" i="12"/>
  <c r="BV53" i="12"/>
  <c r="BW53" i="12"/>
  <c r="BX53" i="12"/>
  <c r="BY53" i="12"/>
  <c r="BZ53" i="12"/>
  <c r="CA53" i="12"/>
  <c r="CB53" i="12"/>
  <c r="CC53" i="12"/>
  <c r="CD53" i="12"/>
  <c r="CE53" i="12"/>
  <c r="CF53" i="12"/>
  <c r="CG53" i="12"/>
  <c r="CH53" i="12"/>
  <c r="CI53" i="12"/>
  <c r="CJ53" i="12"/>
  <c r="CK53" i="12"/>
  <c r="CL53" i="12"/>
  <c r="CM53" i="12"/>
  <c r="CN53" i="12"/>
  <c r="CO53" i="12"/>
  <c r="CP53" i="12"/>
  <c r="CQ53" i="12"/>
  <c r="CR53" i="12"/>
  <c r="CS53" i="12"/>
  <c r="CT53" i="12"/>
  <c r="CU53" i="12"/>
  <c r="CV53" i="12"/>
  <c r="CW53" i="12"/>
  <c r="CX53" i="12"/>
  <c r="CY53" i="12"/>
  <c r="CZ53" i="12"/>
  <c r="DA53" i="12"/>
  <c r="DB53" i="12"/>
  <c r="DC53" i="12"/>
  <c r="DD53" i="12"/>
  <c r="DE53" i="12"/>
  <c r="DF53" i="12"/>
  <c r="DG53" i="12"/>
  <c r="DH53" i="12"/>
  <c r="DI53" i="12"/>
  <c r="DJ53" i="12"/>
  <c r="DK53" i="12"/>
  <c r="DL53" i="12"/>
  <c r="DM53" i="12"/>
  <c r="DN53" i="12"/>
  <c r="DO53" i="12"/>
  <c r="DP53" i="12"/>
  <c r="DQ53" i="12"/>
  <c r="DR53" i="12"/>
  <c r="DS53" i="12"/>
  <c r="DT53" i="12"/>
  <c r="DU53" i="12"/>
  <c r="O54" i="12"/>
  <c r="P54" i="12"/>
  <c r="Q54" i="12"/>
  <c r="R54" i="12"/>
  <c r="S54" i="12"/>
  <c r="T54" i="12"/>
  <c r="U54" i="12"/>
  <c r="V54" i="12"/>
  <c r="W54" i="12"/>
  <c r="X54" i="12"/>
  <c r="Y54" i="12"/>
  <c r="Z54" i="12"/>
  <c r="AA54" i="12"/>
  <c r="AB54" i="12"/>
  <c r="AC54" i="12"/>
  <c r="AD54" i="12"/>
  <c r="AE54" i="12"/>
  <c r="AF54" i="12"/>
  <c r="AG54" i="12"/>
  <c r="AH54" i="12"/>
  <c r="AI54" i="12"/>
  <c r="AJ54" i="12"/>
  <c r="AK54" i="12"/>
  <c r="AL54" i="12"/>
  <c r="AM54" i="12"/>
  <c r="AN54" i="12"/>
  <c r="AO54" i="12"/>
  <c r="AP54" i="12"/>
  <c r="AQ54" i="12"/>
  <c r="AR54" i="12"/>
  <c r="AS54" i="12"/>
  <c r="AT54" i="12"/>
  <c r="AU54" i="12"/>
  <c r="AV54" i="12"/>
  <c r="AW54" i="12"/>
  <c r="AX54" i="12"/>
  <c r="AY54" i="12"/>
  <c r="AZ54" i="12"/>
  <c r="BA54" i="12"/>
  <c r="BB54" i="12"/>
  <c r="BC54" i="12"/>
  <c r="BD54" i="12"/>
  <c r="BE54" i="12"/>
  <c r="BF54" i="12"/>
  <c r="BG54" i="12"/>
  <c r="BH54" i="12"/>
  <c r="BI54" i="12"/>
  <c r="BJ54" i="12"/>
  <c r="BK54" i="12"/>
  <c r="BL54" i="12"/>
  <c r="BM54" i="12"/>
  <c r="BN54" i="12"/>
  <c r="BO54" i="12"/>
  <c r="BP54" i="12"/>
  <c r="BQ54" i="12"/>
  <c r="BR54" i="12"/>
  <c r="BS54" i="12"/>
  <c r="BT54" i="12"/>
  <c r="BU54" i="12"/>
  <c r="BV54" i="12"/>
  <c r="BW54" i="12"/>
  <c r="BX54" i="12"/>
  <c r="BY54" i="12"/>
  <c r="BZ54" i="12"/>
  <c r="CA54" i="12"/>
  <c r="CB54" i="12"/>
  <c r="CC54" i="12"/>
  <c r="CD54" i="12"/>
  <c r="CE54" i="12"/>
  <c r="CF54" i="12"/>
  <c r="CG54" i="12"/>
  <c r="CH54" i="12"/>
  <c r="CI54" i="12"/>
  <c r="CJ54" i="12"/>
  <c r="CK54" i="12"/>
  <c r="CL54" i="12"/>
  <c r="CM54" i="12"/>
  <c r="CN54" i="12"/>
  <c r="CO54" i="12"/>
  <c r="CP54" i="12"/>
  <c r="CQ54" i="12"/>
  <c r="CR54" i="12"/>
  <c r="CS54" i="12"/>
  <c r="CT54" i="12"/>
  <c r="CU54" i="12"/>
  <c r="CV54" i="12"/>
  <c r="CW54" i="12"/>
  <c r="CX54" i="12"/>
  <c r="CY54" i="12"/>
  <c r="CZ54" i="12"/>
  <c r="DA54" i="12"/>
  <c r="DB54" i="12"/>
  <c r="DC54" i="12"/>
  <c r="DD54" i="12"/>
  <c r="DE54" i="12"/>
  <c r="DF54" i="12"/>
  <c r="DG54" i="12"/>
  <c r="DH54" i="12"/>
  <c r="DI54" i="12"/>
  <c r="DJ54" i="12"/>
  <c r="DK54" i="12"/>
  <c r="DL54" i="12"/>
  <c r="DM54" i="12"/>
  <c r="DN54" i="12"/>
  <c r="DO54" i="12"/>
  <c r="DP54" i="12"/>
  <c r="DQ54" i="12"/>
  <c r="DR54" i="12"/>
  <c r="DS54" i="12"/>
  <c r="DT54" i="12"/>
  <c r="DU54" i="12"/>
  <c r="O55" i="12"/>
  <c r="P55" i="12"/>
  <c r="Q55" i="12"/>
  <c r="R55" i="12"/>
  <c r="S55" i="12"/>
  <c r="T55" i="12"/>
  <c r="U55" i="12"/>
  <c r="V55" i="12"/>
  <c r="W55" i="12"/>
  <c r="X55" i="12"/>
  <c r="Y55" i="12"/>
  <c r="Z55" i="12"/>
  <c r="AA55" i="12"/>
  <c r="AB55" i="12"/>
  <c r="AC55" i="12"/>
  <c r="AD55" i="12"/>
  <c r="AE55" i="12"/>
  <c r="AF55" i="12"/>
  <c r="AG55" i="12"/>
  <c r="AH55" i="12"/>
  <c r="AI55" i="12"/>
  <c r="AJ55" i="12"/>
  <c r="AK55" i="12"/>
  <c r="AL55" i="12"/>
  <c r="AM55" i="12"/>
  <c r="AN55" i="12"/>
  <c r="AO55" i="12"/>
  <c r="AP55" i="12"/>
  <c r="AQ55" i="12"/>
  <c r="AR55" i="12"/>
  <c r="AS55" i="12"/>
  <c r="AT55" i="12"/>
  <c r="AU55" i="12"/>
  <c r="AV55" i="12"/>
  <c r="AW55" i="12"/>
  <c r="AX55" i="12"/>
  <c r="AY55" i="12"/>
  <c r="AZ55" i="12"/>
  <c r="BA55" i="12"/>
  <c r="BB55" i="12"/>
  <c r="BC55" i="12"/>
  <c r="BD55" i="12"/>
  <c r="BE55" i="12"/>
  <c r="BF55" i="12"/>
  <c r="BG55" i="12"/>
  <c r="BH55" i="12"/>
  <c r="BI55" i="12"/>
  <c r="BJ55" i="12"/>
  <c r="BK55" i="12"/>
  <c r="BL55" i="12"/>
  <c r="BM55" i="12"/>
  <c r="BN55" i="12"/>
  <c r="BO55" i="12"/>
  <c r="BP55" i="12"/>
  <c r="BQ55" i="12"/>
  <c r="BR55" i="12"/>
  <c r="BS55" i="12"/>
  <c r="BT55" i="12"/>
  <c r="BU55" i="12"/>
  <c r="BV55" i="12"/>
  <c r="BW55" i="12"/>
  <c r="BX55" i="12"/>
  <c r="BY55" i="12"/>
  <c r="BZ55" i="12"/>
  <c r="CA55" i="12"/>
  <c r="CB55" i="12"/>
  <c r="CC55" i="12"/>
  <c r="CD55" i="12"/>
  <c r="CE55" i="12"/>
  <c r="CF55" i="12"/>
  <c r="CG55" i="12"/>
  <c r="CH55" i="12"/>
  <c r="CI55" i="12"/>
  <c r="CJ55" i="12"/>
  <c r="CK55" i="12"/>
  <c r="CL55" i="12"/>
  <c r="CM55" i="12"/>
  <c r="CN55" i="12"/>
  <c r="CO55" i="12"/>
  <c r="CP55" i="12"/>
  <c r="CQ55" i="12"/>
  <c r="CR55" i="12"/>
  <c r="CS55" i="12"/>
  <c r="CT55" i="12"/>
  <c r="CU55" i="12"/>
  <c r="CV55" i="12"/>
  <c r="CW55" i="12"/>
  <c r="CX55" i="12"/>
  <c r="CY55" i="12"/>
  <c r="CZ55" i="12"/>
  <c r="DA55" i="12"/>
  <c r="DB55" i="12"/>
  <c r="DC55" i="12"/>
  <c r="DD55" i="12"/>
  <c r="DE55" i="12"/>
  <c r="DF55" i="12"/>
  <c r="DG55" i="12"/>
  <c r="DH55" i="12"/>
  <c r="DI55" i="12"/>
  <c r="DJ55" i="12"/>
  <c r="DK55" i="12"/>
  <c r="DL55" i="12"/>
  <c r="DM55" i="12"/>
  <c r="DN55" i="12"/>
  <c r="DO55" i="12"/>
  <c r="DP55" i="12"/>
  <c r="DQ55" i="12"/>
  <c r="DR55" i="12"/>
  <c r="DS55" i="12"/>
  <c r="DT55" i="12"/>
  <c r="DU55" i="12"/>
  <c r="O56" i="12"/>
  <c r="P56" i="12"/>
  <c r="Q56" i="12"/>
  <c r="R56" i="12"/>
  <c r="S56" i="12"/>
  <c r="T56" i="12"/>
  <c r="U56" i="12"/>
  <c r="V56" i="12"/>
  <c r="W56" i="12"/>
  <c r="X56" i="12"/>
  <c r="Y56" i="12"/>
  <c r="Z56" i="12"/>
  <c r="AA56" i="12"/>
  <c r="AB56" i="12"/>
  <c r="AC56" i="12"/>
  <c r="AD56" i="12"/>
  <c r="AE56" i="12"/>
  <c r="AF56" i="12"/>
  <c r="AG56" i="12"/>
  <c r="AH56" i="12"/>
  <c r="AI56" i="12"/>
  <c r="AJ56" i="12"/>
  <c r="AK56" i="12"/>
  <c r="AL56" i="12"/>
  <c r="AM56" i="12"/>
  <c r="AN56" i="12"/>
  <c r="AO56" i="12"/>
  <c r="AP56" i="12"/>
  <c r="AQ56" i="12"/>
  <c r="AR56" i="12"/>
  <c r="AS56" i="12"/>
  <c r="AT56" i="12"/>
  <c r="AU56" i="12"/>
  <c r="AV56" i="12"/>
  <c r="AW56" i="12"/>
  <c r="AX56" i="12"/>
  <c r="AY56" i="12"/>
  <c r="AZ56" i="12"/>
  <c r="BA56" i="12"/>
  <c r="BB56" i="12"/>
  <c r="BC56" i="12"/>
  <c r="BD56" i="12"/>
  <c r="BE56" i="12"/>
  <c r="BF56" i="12"/>
  <c r="BG56" i="12"/>
  <c r="BH56" i="12"/>
  <c r="BI56" i="12"/>
  <c r="BJ56" i="12"/>
  <c r="BK56" i="12"/>
  <c r="BL56" i="12"/>
  <c r="BM56" i="12"/>
  <c r="BN56" i="12"/>
  <c r="BO56" i="12"/>
  <c r="BP56" i="12"/>
  <c r="BQ56" i="12"/>
  <c r="BR56" i="12"/>
  <c r="BS56" i="12"/>
  <c r="BT56" i="12"/>
  <c r="BU56" i="12"/>
  <c r="BV56" i="12"/>
  <c r="BW56" i="12"/>
  <c r="BX56" i="12"/>
  <c r="BY56" i="12"/>
  <c r="BZ56" i="12"/>
  <c r="CA56" i="12"/>
  <c r="CB56" i="12"/>
  <c r="CC56" i="12"/>
  <c r="CD56" i="12"/>
  <c r="CE56" i="12"/>
  <c r="CF56" i="12"/>
  <c r="CG56" i="12"/>
  <c r="CH56" i="12"/>
  <c r="CI56" i="12"/>
  <c r="CJ56" i="12"/>
  <c r="CK56" i="12"/>
  <c r="CL56" i="12"/>
  <c r="CM56" i="12"/>
  <c r="CN56" i="12"/>
  <c r="CO56" i="12"/>
  <c r="CP56" i="12"/>
  <c r="CQ56" i="12"/>
  <c r="CR56" i="12"/>
  <c r="CS56" i="12"/>
  <c r="CT56" i="12"/>
  <c r="CU56" i="12"/>
  <c r="CV56" i="12"/>
  <c r="CW56" i="12"/>
  <c r="CX56" i="12"/>
  <c r="CY56" i="12"/>
  <c r="CZ56" i="12"/>
  <c r="DA56" i="12"/>
  <c r="DB56" i="12"/>
  <c r="DC56" i="12"/>
  <c r="DD56" i="12"/>
  <c r="DE56" i="12"/>
  <c r="DF56" i="12"/>
  <c r="DG56" i="12"/>
  <c r="DH56" i="12"/>
  <c r="DI56" i="12"/>
  <c r="DJ56" i="12"/>
  <c r="DK56" i="12"/>
  <c r="DL56" i="12"/>
  <c r="DM56" i="12"/>
  <c r="DN56" i="12"/>
  <c r="DO56" i="12"/>
  <c r="DP56" i="12"/>
  <c r="DQ56" i="12"/>
  <c r="DR56" i="12"/>
  <c r="DS56" i="12"/>
  <c r="DT56" i="12"/>
  <c r="DU56" i="12"/>
  <c r="O57" i="12"/>
  <c r="P57" i="12"/>
  <c r="Q57" i="12"/>
  <c r="R57" i="12"/>
  <c r="S57" i="12"/>
  <c r="T57" i="12"/>
  <c r="U57" i="12"/>
  <c r="V57" i="12"/>
  <c r="W57" i="12"/>
  <c r="X57" i="12"/>
  <c r="Y57" i="12"/>
  <c r="Z57" i="12"/>
  <c r="AA57" i="12"/>
  <c r="AB57" i="12"/>
  <c r="AC57" i="12"/>
  <c r="AD57" i="12"/>
  <c r="AE57" i="12"/>
  <c r="AF57" i="12"/>
  <c r="AG57" i="12"/>
  <c r="AH57" i="12"/>
  <c r="AI57" i="12"/>
  <c r="AJ57" i="12"/>
  <c r="AK57" i="12"/>
  <c r="AL57" i="12"/>
  <c r="AM57" i="12"/>
  <c r="AN57" i="12"/>
  <c r="AO57" i="12"/>
  <c r="AP57" i="12"/>
  <c r="AQ57" i="12"/>
  <c r="AR57" i="12"/>
  <c r="AS57" i="12"/>
  <c r="AT57" i="12"/>
  <c r="AU57" i="12"/>
  <c r="AV57" i="12"/>
  <c r="AW57" i="12"/>
  <c r="AX57" i="12"/>
  <c r="AY57" i="12"/>
  <c r="AZ57" i="12"/>
  <c r="BA57" i="12"/>
  <c r="BB57" i="12"/>
  <c r="BC57" i="12"/>
  <c r="BD57" i="12"/>
  <c r="BE57" i="12"/>
  <c r="BF57" i="12"/>
  <c r="BG57" i="12"/>
  <c r="BH57" i="12"/>
  <c r="BI57" i="12"/>
  <c r="BJ57" i="12"/>
  <c r="BK57" i="12"/>
  <c r="BL57" i="12"/>
  <c r="BM57" i="12"/>
  <c r="BN57" i="12"/>
  <c r="BO57" i="12"/>
  <c r="BP57" i="12"/>
  <c r="BQ57" i="12"/>
  <c r="BR57" i="12"/>
  <c r="BS57" i="12"/>
  <c r="BT57" i="12"/>
  <c r="BU57" i="12"/>
  <c r="BV57" i="12"/>
  <c r="BW57" i="12"/>
  <c r="BX57" i="12"/>
  <c r="BY57" i="12"/>
  <c r="BZ57" i="12"/>
  <c r="CA57" i="12"/>
  <c r="CB57" i="12"/>
  <c r="CC57" i="12"/>
  <c r="CD57" i="12"/>
  <c r="CE57" i="12"/>
  <c r="CF57" i="12"/>
  <c r="CG57" i="12"/>
  <c r="CH57" i="12"/>
  <c r="CI57" i="12"/>
  <c r="CJ57" i="12"/>
  <c r="CK57" i="12"/>
  <c r="CL57" i="12"/>
  <c r="CM57" i="12"/>
  <c r="CN57" i="12"/>
  <c r="CO57" i="12"/>
  <c r="CP57" i="12"/>
  <c r="CQ57" i="12"/>
  <c r="CR57" i="12"/>
  <c r="CS57" i="12"/>
  <c r="CT57" i="12"/>
  <c r="CU57" i="12"/>
  <c r="CV57" i="12"/>
  <c r="CW57" i="12"/>
  <c r="CX57" i="12"/>
  <c r="CY57" i="12"/>
  <c r="CZ57" i="12"/>
  <c r="DA57" i="12"/>
  <c r="DB57" i="12"/>
  <c r="DC57" i="12"/>
  <c r="DD57" i="12"/>
  <c r="DE57" i="12"/>
  <c r="DF57" i="12"/>
  <c r="DG57" i="12"/>
  <c r="DH57" i="12"/>
  <c r="DI57" i="12"/>
  <c r="DJ57" i="12"/>
  <c r="DK57" i="12"/>
  <c r="DL57" i="12"/>
  <c r="DM57" i="12"/>
  <c r="DN57" i="12"/>
  <c r="DO57" i="12"/>
  <c r="DP57" i="12"/>
  <c r="DQ57" i="12"/>
  <c r="DR57" i="12"/>
  <c r="DS57" i="12"/>
  <c r="DT57" i="12"/>
  <c r="DU57" i="12"/>
  <c r="O58" i="12"/>
  <c r="P58" i="12"/>
  <c r="Q58" i="12"/>
  <c r="R58" i="12"/>
  <c r="S58" i="12"/>
  <c r="T58" i="12"/>
  <c r="U58" i="12"/>
  <c r="V58" i="12"/>
  <c r="W58" i="12"/>
  <c r="X58" i="12"/>
  <c r="Y58" i="12"/>
  <c r="Z58" i="12"/>
  <c r="AA58" i="12"/>
  <c r="AB58" i="12"/>
  <c r="AC58" i="12"/>
  <c r="AD58" i="12"/>
  <c r="AE58" i="12"/>
  <c r="AF58" i="12"/>
  <c r="AG58" i="12"/>
  <c r="AH58" i="12"/>
  <c r="AI58" i="12"/>
  <c r="AJ58" i="12"/>
  <c r="AK58" i="12"/>
  <c r="AL58" i="12"/>
  <c r="AM58" i="12"/>
  <c r="AN58" i="12"/>
  <c r="AO58" i="12"/>
  <c r="AP58" i="12"/>
  <c r="AQ58" i="12"/>
  <c r="AR58" i="12"/>
  <c r="AS58" i="12"/>
  <c r="AT58" i="12"/>
  <c r="AU58" i="12"/>
  <c r="AV58" i="12"/>
  <c r="AW58" i="12"/>
  <c r="AX58" i="12"/>
  <c r="AY58" i="12"/>
  <c r="AZ58" i="12"/>
  <c r="BA58" i="12"/>
  <c r="BB58" i="12"/>
  <c r="BC58" i="12"/>
  <c r="BD58" i="12"/>
  <c r="BE58" i="12"/>
  <c r="BF58" i="12"/>
  <c r="BG58" i="12"/>
  <c r="BH58" i="12"/>
  <c r="BI58" i="12"/>
  <c r="BJ58" i="12"/>
  <c r="BK58" i="12"/>
  <c r="BL58" i="12"/>
  <c r="BM58" i="12"/>
  <c r="BN58" i="12"/>
  <c r="BO58" i="12"/>
  <c r="BP58" i="12"/>
  <c r="BQ58" i="12"/>
  <c r="BR58" i="12"/>
  <c r="BS58" i="12"/>
  <c r="BT58" i="12"/>
  <c r="BU58" i="12"/>
  <c r="BV58" i="12"/>
  <c r="BW58" i="12"/>
  <c r="BX58" i="12"/>
  <c r="BY58" i="12"/>
  <c r="BZ58" i="12"/>
  <c r="CA58" i="12"/>
  <c r="CB58" i="12"/>
  <c r="CC58" i="12"/>
  <c r="CD58" i="12"/>
  <c r="CE58" i="12"/>
  <c r="CF58" i="12"/>
  <c r="CG58" i="12"/>
  <c r="CH58" i="12"/>
  <c r="CI58" i="12"/>
  <c r="CJ58" i="12"/>
  <c r="CK58" i="12"/>
  <c r="CL58" i="12"/>
  <c r="CM58" i="12"/>
  <c r="CN58" i="12"/>
  <c r="CO58" i="12"/>
  <c r="CP58" i="12"/>
  <c r="CQ58" i="12"/>
  <c r="CR58" i="12"/>
  <c r="CS58" i="12"/>
  <c r="CT58" i="12"/>
  <c r="CU58" i="12"/>
  <c r="CV58" i="12"/>
  <c r="CW58" i="12"/>
  <c r="CX58" i="12"/>
  <c r="CY58" i="12"/>
  <c r="CZ58" i="12"/>
  <c r="DA58" i="12"/>
  <c r="DB58" i="12"/>
  <c r="DC58" i="12"/>
  <c r="DD58" i="12"/>
  <c r="DE58" i="12"/>
  <c r="DF58" i="12"/>
  <c r="DG58" i="12"/>
  <c r="DH58" i="12"/>
  <c r="DI58" i="12"/>
  <c r="DJ58" i="12"/>
  <c r="DK58" i="12"/>
  <c r="DL58" i="12"/>
  <c r="DM58" i="12"/>
  <c r="DN58" i="12"/>
  <c r="DO58" i="12"/>
  <c r="DP58" i="12"/>
  <c r="DQ58" i="12"/>
  <c r="DR58" i="12"/>
  <c r="DS58" i="12"/>
  <c r="DT58" i="12"/>
  <c r="DU58" i="12"/>
  <c r="O59" i="12"/>
  <c r="P59" i="12"/>
  <c r="Q59" i="12"/>
  <c r="R59" i="12"/>
  <c r="S59" i="12"/>
  <c r="T59" i="12"/>
  <c r="U59" i="12"/>
  <c r="V59" i="12"/>
  <c r="W59" i="12"/>
  <c r="X59" i="12"/>
  <c r="Y59" i="12"/>
  <c r="Z59" i="12"/>
  <c r="AA59" i="12"/>
  <c r="AB59" i="12"/>
  <c r="AC59" i="12"/>
  <c r="AD59" i="12"/>
  <c r="AE59" i="12"/>
  <c r="AF59" i="12"/>
  <c r="AG59" i="12"/>
  <c r="AH59" i="12"/>
  <c r="AI59" i="12"/>
  <c r="AJ59" i="12"/>
  <c r="AK59" i="12"/>
  <c r="AL59" i="12"/>
  <c r="AM59" i="12"/>
  <c r="AN59" i="12"/>
  <c r="AO59" i="12"/>
  <c r="AP59" i="12"/>
  <c r="AQ59" i="12"/>
  <c r="AR59" i="12"/>
  <c r="AS59" i="12"/>
  <c r="AT59" i="12"/>
  <c r="AU59" i="12"/>
  <c r="AV59" i="12"/>
  <c r="AW59" i="12"/>
  <c r="AX59" i="12"/>
  <c r="AY59" i="12"/>
  <c r="AZ59" i="12"/>
  <c r="BA59" i="12"/>
  <c r="BB59" i="12"/>
  <c r="BC59" i="12"/>
  <c r="BD59" i="12"/>
  <c r="BE59" i="12"/>
  <c r="BF59" i="12"/>
  <c r="BG59" i="12"/>
  <c r="BH59" i="12"/>
  <c r="BI59" i="12"/>
  <c r="BJ59" i="12"/>
  <c r="BK59" i="12"/>
  <c r="BL59" i="12"/>
  <c r="BM59" i="12"/>
  <c r="BN59" i="12"/>
  <c r="BO59" i="12"/>
  <c r="BP59" i="12"/>
  <c r="BQ59" i="12"/>
  <c r="BR59" i="12"/>
  <c r="BS59" i="12"/>
  <c r="BT59" i="12"/>
  <c r="BU59" i="12"/>
  <c r="BV59" i="12"/>
  <c r="BW59" i="12"/>
  <c r="BX59" i="12"/>
  <c r="BY59" i="12"/>
  <c r="BZ59" i="12"/>
  <c r="CA59" i="12"/>
  <c r="CB59" i="12"/>
  <c r="CC59" i="12"/>
  <c r="CD59" i="12"/>
  <c r="CE59" i="12"/>
  <c r="CF59" i="12"/>
  <c r="CG59" i="12"/>
  <c r="CH59" i="12"/>
  <c r="CI59" i="12"/>
  <c r="CJ59" i="12"/>
  <c r="CK59" i="12"/>
  <c r="CL59" i="12"/>
  <c r="CM59" i="12"/>
  <c r="CN59" i="12"/>
  <c r="CO59" i="12"/>
  <c r="CP59" i="12"/>
  <c r="CQ59" i="12"/>
  <c r="CR59" i="12"/>
  <c r="CS59" i="12"/>
  <c r="CT59" i="12"/>
  <c r="CU59" i="12"/>
  <c r="CV59" i="12"/>
  <c r="CW59" i="12"/>
  <c r="CX59" i="12"/>
  <c r="CY59" i="12"/>
  <c r="CZ59" i="12"/>
  <c r="DA59" i="12"/>
  <c r="DB59" i="12"/>
  <c r="DC59" i="12"/>
  <c r="DD59" i="12"/>
  <c r="DE59" i="12"/>
  <c r="DF59" i="12"/>
  <c r="DG59" i="12"/>
  <c r="DH59" i="12"/>
  <c r="DI59" i="12"/>
  <c r="DJ59" i="12"/>
  <c r="DK59" i="12"/>
  <c r="DL59" i="12"/>
  <c r="DM59" i="12"/>
  <c r="DN59" i="12"/>
  <c r="DO59" i="12"/>
  <c r="DP59" i="12"/>
  <c r="DQ59" i="12"/>
  <c r="DR59" i="12"/>
  <c r="DS59" i="12"/>
  <c r="DT59" i="12"/>
  <c r="DU59" i="12"/>
  <c r="O60" i="12"/>
  <c r="P60" i="12"/>
  <c r="Q60" i="12"/>
  <c r="R60" i="12"/>
  <c r="S60" i="12"/>
  <c r="T60" i="12"/>
  <c r="U60" i="12"/>
  <c r="V60" i="12"/>
  <c r="W60" i="12"/>
  <c r="X60" i="12"/>
  <c r="Y60" i="12"/>
  <c r="Z60" i="12"/>
  <c r="AA60" i="12"/>
  <c r="AB60" i="12"/>
  <c r="AC60" i="12"/>
  <c r="AD60" i="12"/>
  <c r="AE60" i="12"/>
  <c r="AF60" i="12"/>
  <c r="AG60" i="12"/>
  <c r="AH60" i="12"/>
  <c r="AI60" i="12"/>
  <c r="AJ60" i="12"/>
  <c r="AK60" i="12"/>
  <c r="AL60" i="12"/>
  <c r="AM60" i="12"/>
  <c r="AN60" i="12"/>
  <c r="AO60" i="12"/>
  <c r="AP60" i="12"/>
  <c r="AQ60" i="12"/>
  <c r="AR60" i="12"/>
  <c r="AS60" i="12"/>
  <c r="AT60" i="12"/>
  <c r="AU60" i="12"/>
  <c r="AV60" i="12"/>
  <c r="AW60" i="12"/>
  <c r="AX60" i="12"/>
  <c r="AY60" i="12"/>
  <c r="AZ60" i="12"/>
  <c r="BA60" i="12"/>
  <c r="BB60" i="12"/>
  <c r="BC60" i="12"/>
  <c r="BD60" i="12"/>
  <c r="BE60" i="12"/>
  <c r="BF60" i="12"/>
  <c r="BG60" i="12"/>
  <c r="BH60" i="12"/>
  <c r="BI60" i="12"/>
  <c r="BJ60" i="12"/>
  <c r="BK60" i="12"/>
  <c r="BL60" i="12"/>
  <c r="BM60" i="12"/>
  <c r="BN60" i="12"/>
  <c r="BO60" i="12"/>
  <c r="BP60" i="12"/>
  <c r="BQ60" i="12"/>
  <c r="BR60" i="12"/>
  <c r="BS60" i="12"/>
  <c r="BT60" i="12"/>
  <c r="BU60" i="12"/>
  <c r="BV60" i="12"/>
  <c r="BW60" i="12"/>
  <c r="BX60" i="12"/>
  <c r="BY60" i="12"/>
  <c r="BZ60" i="12"/>
  <c r="CA60" i="12"/>
  <c r="CB60" i="12"/>
  <c r="CC60" i="12"/>
  <c r="CD60" i="12"/>
  <c r="CE60" i="12"/>
  <c r="CF60" i="12"/>
  <c r="CG60" i="12"/>
  <c r="CH60" i="12"/>
  <c r="CI60" i="12"/>
  <c r="CJ60" i="12"/>
  <c r="CK60" i="12"/>
  <c r="CL60" i="12"/>
  <c r="CM60" i="12"/>
  <c r="CN60" i="12"/>
  <c r="CO60" i="12"/>
  <c r="CP60" i="12"/>
  <c r="CQ60" i="12"/>
  <c r="CR60" i="12"/>
  <c r="CS60" i="12"/>
  <c r="CT60" i="12"/>
  <c r="CU60" i="12"/>
  <c r="CV60" i="12"/>
  <c r="CW60" i="12"/>
  <c r="CX60" i="12"/>
  <c r="CY60" i="12"/>
  <c r="CZ60" i="12"/>
  <c r="DA60" i="12"/>
  <c r="DB60" i="12"/>
  <c r="DC60" i="12"/>
  <c r="DD60" i="12"/>
  <c r="DE60" i="12"/>
  <c r="DF60" i="12"/>
  <c r="DG60" i="12"/>
  <c r="DH60" i="12"/>
  <c r="DI60" i="12"/>
  <c r="DJ60" i="12"/>
  <c r="DK60" i="12"/>
  <c r="DL60" i="12"/>
  <c r="DM60" i="12"/>
  <c r="DN60" i="12"/>
  <c r="DO60" i="12"/>
  <c r="DP60" i="12"/>
  <c r="DQ60" i="12"/>
  <c r="DR60" i="12"/>
  <c r="DS60" i="12"/>
  <c r="DT60" i="12"/>
  <c r="DU60" i="12"/>
  <c r="O61" i="12"/>
  <c r="P61" i="12"/>
  <c r="Q61" i="12"/>
  <c r="R61" i="12"/>
  <c r="S61" i="12"/>
  <c r="T61" i="12"/>
  <c r="U61" i="12"/>
  <c r="V61" i="12"/>
  <c r="W61" i="12"/>
  <c r="X61" i="12"/>
  <c r="Y61" i="12"/>
  <c r="Z61" i="12"/>
  <c r="AA61" i="12"/>
  <c r="AB61" i="12"/>
  <c r="AC61" i="12"/>
  <c r="AD61" i="12"/>
  <c r="AE61" i="12"/>
  <c r="AF61" i="12"/>
  <c r="AG61" i="12"/>
  <c r="AH61" i="12"/>
  <c r="AI61" i="12"/>
  <c r="AJ61" i="12"/>
  <c r="AK61" i="12"/>
  <c r="AL61" i="12"/>
  <c r="AM61" i="12"/>
  <c r="AN61" i="12"/>
  <c r="AO61" i="12"/>
  <c r="AP61" i="12"/>
  <c r="AQ61" i="12"/>
  <c r="AR61" i="12"/>
  <c r="AS61" i="12"/>
  <c r="AT61" i="12"/>
  <c r="AU61" i="12"/>
  <c r="AV61" i="12"/>
  <c r="AW61" i="12"/>
  <c r="AX61" i="12"/>
  <c r="AY61" i="12"/>
  <c r="AZ61" i="12"/>
  <c r="BA61" i="12"/>
  <c r="BB61" i="12"/>
  <c r="BC61" i="12"/>
  <c r="BD61" i="12"/>
  <c r="BE61" i="12"/>
  <c r="BF61" i="12"/>
  <c r="BG61" i="12"/>
  <c r="BH61" i="12"/>
  <c r="BI61" i="12"/>
  <c r="BJ61" i="12"/>
  <c r="BK61" i="12"/>
  <c r="BL61" i="12"/>
  <c r="BM61" i="12"/>
  <c r="BN61" i="12"/>
  <c r="BO61" i="12"/>
  <c r="BP61" i="12"/>
  <c r="BQ61" i="12"/>
  <c r="BR61" i="12"/>
  <c r="BS61" i="12"/>
  <c r="BT61" i="12"/>
  <c r="BU61" i="12"/>
  <c r="BV61" i="12"/>
  <c r="BW61" i="12"/>
  <c r="BX61" i="12"/>
  <c r="BY61" i="12"/>
  <c r="BZ61" i="12"/>
  <c r="CA61" i="12"/>
  <c r="CB61" i="12"/>
  <c r="CC61" i="12"/>
  <c r="CD61" i="12"/>
  <c r="CE61" i="12"/>
  <c r="CF61" i="12"/>
  <c r="CG61" i="12"/>
  <c r="CH61" i="12"/>
  <c r="CI61" i="12"/>
  <c r="CJ61" i="12"/>
  <c r="CK61" i="12"/>
  <c r="CL61" i="12"/>
  <c r="CM61" i="12"/>
  <c r="CN61" i="12"/>
  <c r="CO61" i="12"/>
  <c r="CP61" i="12"/>
  <c r="CQ61" i="12"/>
  <c r="CR61" i="12"/>
  <c r="CS61" i="12"/>
  <c r="CT61" i="12"/>
  <c r="CU61" i="12"/>
  <c r="CV61" i="12"/>
  <c r="CW61" i="12"/>
  <c r="CX61" i="12"/>
  <c r="CY61" i="12"/>
  <c r="CZ61" i="12"/>
  <c r="DA61" i="12"/>
  <c r="DB61" i="12"/>
  <c r="DC61" i="12"/>
  <c r="DD61" i="12"/>
  <c r="DE61" i="12"/>
  <c r="DF61" i="12"/>
  <c r="DG61" i="12"/>
  <c r="DH61" i="12"/>
  <c r="DI61" i="12"/>
  <c r="DJ61" i="12"/>
  <c r="DK61" i="12"/>
  <c r="DL61" i="12"/>
  <c r="DM61" i="12"/>
  <c r="DN61" i="12"/>
  <c r="DO61" i="12"/>
  <c r="DP61" i="12"/>
  <c r="DQ61" i="12"/>
  <c r="DR61" i="12"/>
  <c r="DS61" i="12"/>
  <c r="DT61" i="12"/>
  <c r="DU61" i="12"/>
  <c r="O62" i="12"/>
  <c r="P62" i="12"/>
  <c r="Q62" i="12"/>
  <c r="R62" i="12"/>
  <c r="S62" i="12"/>
  <c r="T62" i="12"/>
  <c r="U62" i="12"/>
  <c r="V62" i="12"/>
  <c r="W62" i="12"/>
  <c r="X62" i="12"/>
  <c r="Y62" i="12"/>
  <c r="Z62" i="12"/>
  <c r="AA62" i="12"/>
  <c r="AB62" i="12"/>
  <c r="AC62" i="12"/>
  <c r="AD62" i="12"/>
  <c r="AE62" i="12"/>
  <c r="AF62" i="12"/>
  <c r="AG62" i="12"/>
  <c r="AH62" i="12"/>
  <c r="AI62" i="12"/>
  <c r="AJ62" i="12"/>
  <c r="AK62" i="12"/>
  <c r="AL62" i="12"/>
  <c r="AM62" i="12"/>
  <c r="AN62" i="12"/>
  <c r="AO62" i="12"/>
  <c r="AP62" i="12"/>
  <c r="AQ62" i="12"/>
  <c r="AR62" i="12"/>
  <c r="AS62" i="12"/>
  <c r="AT62" i="12"/>
  <c r="AU62" i="12"/>
  <c r="AV62" i="12"/>
  <c r="AW62" i="12"/>
  <c r="AX62" i="12"/>
  <c r="AY62" i="12"/>
  <c r="AZ62" i="12"/>
  <c r="BA62" i="12"/>
  <c r="BB62" i="12"/>
  <c r="BC62" i="12"/>
  <c r="BD62" i="12"/>
  <c r="BE62" i="12"/>
  <c r="BF62" i="12"/>
  <c r="BG62" i="12"/>
  <c r="BH62" i="12"/>
  <c r="BI62" i="12"/>
  <c r="BJ62" i="12"/>
  <c r="BK62" i="12"/>
  <c r="BL62" i="12"/>
  <c r="BM62" i="12"/>
  <c r="BN62" i="12"/>
  <c r="BO62" i="12"/>
  <c r="BP62" i="12"/>
  <c r="BQ62" i="12"/>
  <c r="BR62" i="12"/>
  <c r="BS62" i="12"/>
  <c r="BT62" i="12"/>
  <c r="BU62" i="12"/>
  <c r="BV62" i="12"/>
  <c r="BW62" i="12"/>
  <c r="BX62" i="12"/>
  <c r="BY62" i="12"/>
  <c r="BZ62" i="12"/>
  <c r="CA62" i="12"/>
  <c r="CB62" i="12"/>
  <c r="CC62" i="12"/>
  <c r="CD62" i="12"/>
  <c r="CE62" i="12"/>
  <c r="CF62" i="12"/>
  <c r="CG62" i="12"/>
  <c r="CH62" i="12"/>
  <c r="CI62" i="12"/>
  <c r="CJ62" i="12"/>
  <c r="CK62" i="12"/>
  <c r="CL62" i="12"/>
  <c r="CM62" i="12"/>
  <c r="CN62" i="12"/>
  <c r="CO62" i="12"/>
  <c r="CP62" i="12"/>
  <c r="CQ62" i="12"/>
  <c r="CR62" i="12"/>
  <c r="CS62" i="12"/>
  <c r="CT62" i="12"/>
  <c r="CU62" i="12"/>
  <c r="CV62" i="12"/>
  <c r="CW62" i="12"/>
  <c r="CX62" i="12"/>
  <c r="CY62" i="12"/>
  <c r="CZ62" i="12"/>
  <c r="DA62" i="12"/>
  <c r="DB62" i="12"/>
  <c r="DC62" i="12"/>
  <c r="DD62" i="12"/>
  <c r="DE62" i="12"/>
  <c r="DF62" i="12"/>
  <c r="DG62" i="12"/>
  <c r="DH62" i="12"/>
  <c r="DI62" i="12"/>
  <c r="DJ62" i="12"/>
  <c r="DK62" i="12"/>
  <c r="DL62" i="12"/>
  <c r="DM62" i="12"/>
  <c r="DN62" i="12"/>
  <c r="DO62" i="12"/>
  <c r="DP62" i="12"/>
  <c r="DQ62" i="12"/>
  <c r="DR62" i="12"/>
  <c r="DS62" i="12"/>
  <c r="DT62" i="12"/>
  <c r="DU62" i="12"/>
  <c r="O63" i="12"/>
  <c r="P63" i="12"/>
  <c r="Q63" i="12"/>
  <c r="R63" i="12"/>
  <c r="S63" i="12"/>
  <c r="T63" i="12"/>
  <c r="U63" i="12"/>
  <c r="V63" i="12"/>
  <c r="W63" i="12"/>
  <c r="X63" i="12"/>
  <c r="Y63" i="12"/>
  <c r="Z63" i="12"/>
  <c r="AA63" i="12"/>
  <c r="AB63" i="12"/>
  <c r="AC63" i="12"/>
  <c r="AD63" i="12"/>
  <c r="AE63" i="12"/>
  <c r="AF63" i="12"/>
  <c r="AG63" i="12"/>
  <c r="AH63" i="12"/>
  <c r="AI63" i="12"/>
  <c r="AJ63" i="12"/>
  <c r="AK63" i="12"/>
  <c r="AL63" i="12"/>
  <c r="AM63" i="12"/>
  <c r="AN63" i="12"/>
  <c r="AO63" i="12"/>
  <c r="AP63" i="12"/>
  <c r="AQ63" i="12"/>
  <c r="AR63" i="12"/>
  <c r="AS63" i="12"/>
  <c r="AT63" i="12"/>
  <c r="AU63" i="12"/>
  <c r="AV63" i="12"/>
  <c r="AW63" i="12"/>
  <c r="AX63" i="12"/>
  <c r="AY63" i="12"/>
  <c r="AZ63" i="12"/>
  <c r="BA63" i="12"/>
  <c r="BB63" i="12"/>
  <c r="BC63" i="12"/>
  <c r="BD63" i="12"/>
  <c r="BE63" i="12"/>
  <c r="BF63" i="12"/>
  <c r="BG63" i="12"/>
  <c r="BH63" i="12"/>
  <c r="BI63" i="12"/>
  <c r="BJ63" i="12"/>
  <c r="BK63" i="12"/>
  <c r="BL63" i="12"/>
  <c r="BM63" i="12"/>
  <c r="BN63" i="12"/>
  <c r="BO63" i="12"/>
  <c r="BP63" i="12"/>
  <c r="BQ63" i="12"/>
  <c r="BR63" i="12"/>
  <c r="BS63" i="12"/>
  <c r="BT63" i="12"/>
  <c r="BU63" i="12"/>
  <c r="BV63" i="12"/>
  <c r="BW63" i="12"/>
  <c r="BX63" i="12"/>
  <c r="BY63" i="12"/>
  <c r="BZ63" i="12"/>
  <c r="CA63" i="12"/>
  <c r="CB63" i="12"/>
  <c r="CC63" i="12"/>
  <c r="CD63" i="12"/>
  <c r="CE63" i="12"/>
  <c r="CF63" i="12"/>
  <c r="CG63" i="12"/>
  <c r="CH63" i="12"/>
  <c r="CI63" i="12"/>
  <c r="CJ63" i="12"/>
  <c r="CK63" i="12"/>
  <c r="CL63" i="12"/>
  <c r="CM63" i="12"/>
  <c r="CN63" i="12"/>
  <c r="CO63" i="12"/>
  <c r="CP63" i="12"/>
  <c r="CQ63" i="12"/>
  <c r="CR63" i="12"/>
  <c r="CS63" i="12"/>
  <c r="CT63" i="12"/>
  <c r="CU63" i="12"/>
  <c r="CV63" i="12"/>
  <c r="CW63" i="12"/>
  <c r="CX63" i="12"/>
  <c r="CY63" i="12"/>
  <c r="CZ63" i="12"/>
  <c r="DA63" i="12"/>
  <c r="DB63" i="12"/>
  <c r="DC63" i="12"/>
  <c r="DD63" i="12"/>
  <c r="DE63" i="12"/>
  <c r="DF63" i="12"/>
  <c r="DG63" i="12"/>
  <c r="DH63" i="12"/>
  <c r="DI63" i="12"/>
  <c r="DJ63" i="12"/>
  <c r="DK63" i="12"/>
  <c r="DL63" i="12"/>
  <c r="DM63" i="12"/>
  <c r="DN63" i="12"/>
  <c r="DO63" i="12"/>
  <c r="DP63" i="12"/>
  <c r="DQ63" i="12"/>
  <c r="DR63" i="12"/>
  <c r="DS63" i="12"/>
  <c r="DT63" i="12"/>
  <c r="DU63" i="12"/>
  <c r="O64" i="12"/>
  <c r="P64" i="12"/>
  <c r="Q64" i="12"/>
  <c r="R64" i="12"/>
  <c r="S64" i="12"/>
  <c r="T64" i="12"/>
  <c r="U64" i="12"/>
  <c r="V64" i="12"/>
  <c r="W64" i="12"/>
  <c r="X64" i="12"/>
  <c r="Y64" i="12"/>
  <c r="Z64" i="12"/>
  <c r="AA64" i="12"/>
  <c r="AB64" i="12"/>
  <c r="AC64" i="12"/>
  <c r="AD64" i="12"/>
  <c r="AE64" i="12"/>
  <c r="AF64" i="12"/>
  <c r="AG64" i="12"/>
  <c r="AH64" i="12"/>
  <c r="AI64" i="12"/>
  <c r="AJ64" i="12"/>
  <c r="AK64" i="12"/>
  <c r="AL64" i="12"/>
  <c r="AM64" i="12"/>
  <c r="AN64" i="12"/>
  <c r="AO64" i="12"/>
  <c r="AP64" i="12"/>
  <c r="AQ64" i="12"/>
  <c r="AR64" i="12"/>
  <c r="AS64" i="12"/>
  <c r="AT64" i="12"/>
  <c r="AU64" i="12"/>
  <c r="AV64" i="12"/>
  <c r="AW64" i="12"/>
  <c r="AX64" i="12"/>
  <c r="AY64" i="12"/>
  <c r="AZ64" i="12"/>
  <c r="BA64" i="12"/>
  <c r="BB64" i="12"/>
  <c r="BC64" i="12"/>
  <c r="BD64" i="12"/>
  <c r="BE64" i="12"/>
  <c r="BF64" i="12"/>
  <c r="BG64" i="12"/>
  <c r="BH64" i="12"/>
  <c r="BI64" i="12"/>
  <c r="BJ64" i="12"/>
  <c r="BK64" i="12"/>
  <c r="BL64" i="12"/>
  <c r="BM64" i="12"/>
  <c r="BN64" i="12"/>
  <c r="BO64" i="12"/>
  <c r="BP64" i="12"/>
  <c r="BQ64" i="12"/>
  <c r="BR64" i="12"/>
  <c r="BS64" i="12"/>
  <c r="BT64" i="12"/>
  <c r="BU64" i="12"/>
  <c r="BV64" i="12"/>
  <c r="BW64" i="12"/>
  <c r="BX64" i="12"/>
  <c r="BY64" i="12"/>
  <c r="BZ64" i="12"/>
  <c r="CA64" i="12"/>
  <c r="CB64" i="12"/>
  <c r="CC64" i="12"/>
  <c r="CD64" i="12"/>
  <c r="CE64" i="12"/>
  <c r="CF64" i="12"/>
  <c r="CG64" i="12"/>
  <c r="CH64" i="12"/>
  <c r="CI64" i="12"/>
  <c r="CJ64" i="12"/>
  <c r="CK64" i="12"/>
  <c r="CL64" i="12"/>
  <c r="CM64" i="12"/>
  <c r="CN64" i="12"/>
  <c r="CO64" i="12"/>
  <c r="CP64" i="12"/>
  <c r="CQ64" i="12"/>
  <c r="CR64" i="12"/>
  <c r="CS64" i="12"/>
  <c r="CT64" i="12"/>
  <c r="CU64" i="12"/>
  <c r="CV64" i="12"/>
  <c r="CW64" i="12"/>
  <c r="CX64" i="12"/>
  <c r="CY64" i="12"/>
  <c r="CZ64" i="12"/>
  <c r="DA64" i="12"/>
  <c r="DB64" i="12"/>
  <c r="DC64" i="12"/>
  <c r="DD64" i="12"/>
  <c r="DE64" i="12"/>
  <c r="DF64" i="12"/>
  <c r="DG64" i="12"/>
  <c r="DH64" i="12"/>
  <c r="DI64" i="12"/>
  <c r="DJ64" i="12"/>
  <c r="DK64" i="12"/>
  <c r="DL64" i="12"/>
  <c r="DM64" i="12"/>
  <c r="DN64" i="12"/>
  <c r="DO64" i="12"/>
  <c r="DP64" i="12"/>
  <c r="DQ64" i="12"/>
  <c r="DR64" i="12"/>
  <c r="DS64" i="12"/>
  <c r="DT64" i="12"/>
  <c r="DU64" i="12"/>
  <c r="O65" i="12"/>
  <c r="P65" i="12"/>
  <c r="Q65" i="12"/>
  <c r="R65" i="12"/>
  <c r="S65" i="12"/>
  <c r="T65" i="12"/>
  <c r="U65" i="12"/>
  <c r="V65" i="12"/>
  <c r="W65" i="12"/>
  <c r="X65" i="12"/>
  <c r="Y65" i="12"/>
  <c r="Z65" i="12"/>
  <c r="AA65" i="12"/>
  <c r="AB65" i="12"/>
  <c r="AC65" i="12"/>
  <c r="AD65" i="12"/>
  <c r="AE65" i="12"/>
  <c r="AF65" i="12"/>
  <c r="AG65" i="12"/>
  <c r="AH65" i="12"/>
  <c r="AI65" i="12"/>
  <c r="AJ65" i="12"/>
  <c r="AK65" i="12"/>
  <c r="AL65" i="12"/>
  <c r="AM65" i="12"/>
  <c r="AN65" i="12"/>
  <c r="AO65" i="12"/>
  <c r="AP65" i="12"/>
  <c r="AQ65" i="12"/>
  <c r="AR65" i="12"/>
  <c r="AS65" i="12"/>
  <c r="AT65" i="12"/>
  <c r="AU65" i="12"/>
  <c r="AV65" i="12"/>
  <c r="AW65" i="12"/>
  <c r="AX65" i="12"/>
  <c r="AY65" i="12"/>
  <c r="AZ65" i="12"/>
  <c r="BA65" i="12"/>
  <c r="BB65" i="12"/>
  <c r="BC65" i="12"/>
  <c r="BD65" i="12"/>
  <c r="BE65" i="12"/>
  <c r="BF65" i="12"/>
  <c r="BG65" i="12"/>
  <c r="BH65" i="12"/>
  <c r="BI65" i="12"/>
  <c r="BJ65" i="12"/>
  <c r="BK65" i="12"/>
  <c r="BL65" i="12"/>
  <c r="BM65" i="12"/>
  <c r="BN65" i="12"/>
  <c r="BO65" i="12"/>
  <c r="BP65" i="12"/>
  <c r="BQ65" i="12"/>
  <c r="BR65" i="12"/>
  <c r="BS65" i="12"/>
  <c r="BT65" i="12"/>
  <c r="BU65" i="12"/>
  <c r="BV65" i="12"/>
  <c r="BW65" i="12"/>
  <c r="BX65" i="12"/>
  <c r="BY65" i="12"/>
  <c r="BZ65" i="12"/>
  <c r="CA65" i="12"/>
  <c r="CB65" i="12"/>
  <c r="CC65" i="12"/>
  <c r="CD65" i="12"/>
  <c r="CE65" i="12"/>
  <c r="CF65" i="12"/>
  <c r="CG65" i="12"/>
  <c r="CH65" i="12"/>
  <c r="CI65" i="12"/>
  <c r="CJ65" i="12"/>
  <c r="CK65" i="12"/>
  <c r="CL65" i="12"/>
  <c r="CM65" i="12"/>
  <c r="CN65" i="12"/>
  <c r="CO65" i="12"/>
  <c r="CP65" i="12"/>
  <c r="CQ65" i="12"/>
  <c r="CR65" i="12"/>
  <c r="CS65" i="12"/>
  <c r="CT65" i="12"/>
  <c r="CU65" i="12"/>
  <c r="CV65" i="12"/>
  <c r="CW65" i="12"/>
  <c r="CX65" i="12"/>
  <c r="CY65" i="12"/>
  <c r="CZ65" i="12"/>
  <c r="DA65" i="12"/>
  <c r="DB65" i="12"/>
  <c r="DC65" i="12"/>
  <c r="DD65" i="12"/>
  <c r="DE65" i="12"/>
  <c r="DF65" i="12"/>
  <c r="DG65" i="12"/>
  <c r="DH65" i="12"/>
  <c r="DI65" i="12"/>
  <c r="DJ65" i="12"/>
  <c r="DK65" i="12"/>
  <c r="DL65" i="12"/>
  <c r="DM65" i="12"/>
  <c r="DN65" i="12"/>
  <c r="DO65" i="12"/>
  <c r="DP65" i="12"/>
  <c r="DQ65" i="12"/>
  <c r="DR65" i="12"/>
  <c r="DS65" i="12"/>
  <c r="DT65" i="12"/>
  <c r="DU65" i="12"/>
  <c r="O66" i="12"/>
  <c r="P66" i="12"/>
  <c r="Q66" i="12"/>
  <c r="R66" i="12"/>
  <c r="S66" i="12"/>
  <c r="T66" i="12"/>
  <c r="U66" i="12"/>
  <c r="V66" i="12"/>
  <c r="W66" i="12"/>
  <c r="X66" i="12"/>
  <c r="Y66" i="12"/>
  <c r="Z66" i="12"/>
  <c r="AA66" i="12"/>
  <c r="AB66" i="12"/>
  <c r="AC66" i="12"/>
  <c r="AD66" i="12"/>
  <c r="AE66" i="12"/>
  <c r="AF66" i="12"/>
  <c r="AG66" i="12"/>
  <c r="AH66" i="12"/>
  <c r="AI66" i="12"/>
  <c r="AJ66" i="12"/>
  <c r="AK66" i="12"/>
  <c r="AL66" i="12"/>
  <c r="AM66" i="12"/>
  <c r="AN66" i="12"/>
  <c r="AO66" i="12"/>
  <c r="AP66" i="12"/>
  <c r="AQ66" i="12"/>
  <c r="AR66" i="12"/>
  <c r="AS66" i="12"/>
  <c r="AT66" i="12"/>
  <c r="AU66" i="12"/>
  <c r="AV66" i="12"/>
  <c r="AW66" i="12"/>
  <c r="AX66" i="12"/>
  <c r="AY66" i="12"/>
  <c r="AZ66" i="12"/>
  <c r="BA66" i="12"/>
  <c r="BB66" i="12"/>
  <c r="BC66" i="12"/>
  <c r="BD66" i="12"/>
  <c r="BE66" i="12"/>
  <c r="BF66" i="12"/>
  <c r="BG66" i="12"/>
  <c r="BH66" i="12"/>
  <c r="BI66" i="12"/>
  <c r="BJ66" i="12"/>
  <c r="BK66" i="12"/>
  <c r="BL66" i="12"/>
  <c r="BM66" i="12"/>
  <c r="BN66" i="12"/>
  <c r="BO66" i="12"/>
  <c r="BP66" i="12"/>
  <c r="BQ66" i="12"/>
  <c r="BR66" i="12"/>
  <c r="BS66" i="12"/>
  <c r="BT66" i="12"/>
  <c r="BU66" i="12"/>
  <c r="BV66" i="12"/>
  <c r="BW66" i="12"/>
  <c r="BX66" i="12"/>
  <c r="BY66" i="12"/>
  <c r="BZ66" i="12"/>
  <c r="CA66" i="12"/>
  <c r="CB66" i="12"/>
  <c r="CC66" i="12"/>
  <c r="CD66" i="12"/>
  <c r="CE66" i="12"/>
  <c r="CF66" i="12"/>
  <c r="CG66" i="12"/>
  <c r="CH66" i="12"/>
  <c r="CI66" i="12"/>
  <c r="CJ66" i="12"/>
  <c r="CK66" i="12"/>
  <c r="CL66" i="12"/>
  <c r="CM66" i="12"/>
  <c r="CN66" i="12"/>
  <c r="CO66" i="12"/>
  <c r="CP66" i="12"/>
  <c r="CQ66" i="12"/>
  <c r="CR66" i="12"/>
  <c r="CS66" i="12"/>
  <c r="CT66" i="12"/>
  <c r="CU66" i="12"/>
  <c r="CV66" i="12"/>
  <c r="CW66" i="12"/>
  <c r="CX66" i="12"/>
  <c r="CY66" i="12"/>
  <c r="CZ66" i="12"/>
  <c r="DA66" i="12"/>
  <c r="DB66" i="12"/>
  <c r="DC66" i="12"/>
  <c r="DD66" i="12"/>
  <c r="DE66" i="12"/>
  <c r="DF66" i="12"/>
  <c r="DG66" i="12"/>
  <c r="DH66" i="12"/>
  <c r="DI66" i="12"/>
  <c r="DJ66" i="12"/>
  <c r="DK66" i="12"/>
  <c r="DL66" i="12"/>
  <c r="DM66" i="12"/>
  <c r="DN66" i="12"/>
  <c r="DO66" i="12"/>
  <c r="DP66" i="12"/>
  <c r="DQ66" i="12"/>
  <c r="DR66" i="12"/>
  <c r="DS66" i="12"/>
  <c r="DT66" i="12"/>
  <c r="DU66" i="12"/>
  <c r="O67" i="12"/>
  <c r="P67" i="12"/>
  <c r="Q67" i="12"/>
  <c r="R67" i="12"/>
  <c r="S67" i="12"/>
  <c r="T67" i="12"/>
  <c r="U67" i="12"/>
  <c r="V67" i="12"/>
  <c r="W67" i="12"/>
  <c r="X67" i="12"/>
  <c r="Y67" i="12"/>
  <c r="Z67" i="12"/>
  <c r="AA67" i="12"/>
  <c r="AB67" i="12"/>
  <c r="AC67" i="12"/>
  <c r="AD67" i="12"/>
  <c r="AE67" i="12"/>
  <c r="AF67" i="12"/>
  <c r="AG67" i="12"/>
  <c r="AH67" i="12"/>
  <c r="AI67" i="12"/>
  <c r="AJ67" i="12"/>
  <c r="AK67" i="12"/>
  <c r="AL67" i="12"/>
  <c r="AM67" i="12"/>
  <c r="AN67" i="12"/>
  <c r="AO67" i="12"/>
  <c r="AP67" i="12"/>
  <c r="AQ67" i="12"/>
  <c r="AR67" i="12"/>
  <c r="AS67" i="12"/>
  <c r="AT67" i="12"/>
  <c r="AU67" i="12"/>
  <c r="AV67" i="12"/>
  <c r="AW67" i="12"/>
  <c r="AX67" i="12"/>
  <c r="AY67" i="12"/>
  <c r="AZ67" i="12"/>
  <c r="BA67" i="12"/>
  <c r="BB67" i="12"/>
  <c r="BC67" i="12"/>
  <c r="BD67" i="12"/>
  <c r="BE67" i="12"/>
  <c r="BF67" i="12"/>
  <c r="BG67" i="12"/>
  <c r="BH67" i="12"/>
  <c r="BI67" i="12"/>
  <c r="BJ67" i="12"/>
  <c r="BK67" i="12"/>
  <c r="BL67" i="12"/>
  <c r="BM67" i="12"/>
  <c r="BN67" i="12"/>
  <c r="BO67" i="12"/>
  <c r="BP67" i="12"/>
  <c r="BQ67" i="12"/>
  <c r="BR67" i="12"/>
  <c r="BS67" i="12"/>
  <c r="BT67" i="12"/>
  <c r="BU67" i="12"/>
  <c r="BV67" i="12"/>
  <c r="BW67" i="12"/>
  <c r="BX67" i="12"/>
  <c r="BY67" i="12"/>
  <c r="BZ67" i="12"/>
  <c r="CA67" i="12"/>
  <c r="CB67" i="12"/>
  <c r="CC67" i="12"/>
  <c r="CD67" i="12"/>
  <c r="CE67" i="12"/>
  <c r="CF67" i="12"/>
  <c r="CG67" i="12"/>
  <c r="CH67" i="12"/>
  <c r="CI67" i="12"/>
  <c r="CJ67" i="12"/>
  <c r="CK67" i="12"/>
  <c r="CL67" i="12"/>
  <c r="CM67" i="12"/>
  <c r="CN67" i="12"/>
  <c r="CO67" i="12"/>
  <c r="CP67" i="12"/>
  <c r="CQ67" i="12"/>
  <c r="CR67" i="12"/>
  <c r="CS67" i="12"/>
  <c r="CT67" i="12"/>
  <c r="CU67" i="12"/>
  <c r="CV67" i="12"/>
  <c r="CW67" i="12"/>
  <c r="CX67" i="12"/>
  <c r="CY67" i="12"/>
  <c r="CZ67" i="12"/>
  <c r="DA67" i="12"/>
  <c r="DB67" i="12"/>
  <c r="DC67" i="12"/>
  <c r="DD67" i="12"/>
  <c r="DE67" i="12"/>
  <c r="DF67" i="12"/>
  <c r="DG67" i="12"/>
  <c r="DH67" i="12"/>
  <c r="DI67" i="12"/>
  <c r="DJ67" i="12"/>
  <c r="DK67" i="12"/>
  <c r="DL67" i="12"/>
  <c r="DM67" i="12"/>
  <c r="DN67" i="12"/>
  <c r="DO67" i="12"/>
  <c r="DP67" i="12"/>
  <c r="DQ67" i="12"/>
  <c r="DR67" i="12"/>
  <c r="DS67" i="12"/>
  <c r="DT67" i="12"/>
  <c r="DU67" i="12"/>
  <c r="O68" i="12"/>
  <c r="P68" i="12"/>
  <c r="Q68" i="12"/>
  <c r="R68" i="12"/>
  <c r="S68" i="12"/>
  <c r="T68" i="12"/>
  <c r="U68" i="12"/>
  <c r="V68" i="12"/>
  <c r="W68" i="12"/>
  <c r="X68" i="12"/>
  <c r="Y68" i="12"/>
  <c r="Z68" i="12"/>
  <c r="AA68" i="12"/>
  <c r="AB68" i="12"/>
  <c r="AC68" i="12"/>
  <c r="AD68" i="12"/>
  <c r="AE68" i="12"/>
  <c r="AF68" i="12"/>
  <c r="AG68" i="12"/>
  <c r="AH68" i="12"/>
  <c r="AI68" i="12"/>
  <c r="AJ68" i="12"/>
  <c r="AK68" i="12"/>
  <c r="AL68" i="12"/>
  <c r="AM68" i="12"/>
  <c r="AN68" i="12"/>
  <c r="AO68" i="12"/>
  <c r="AP68" i="12"/>
  <c r="AQ68" i="12"/>
  <c r="AR68" i="12"/>
  <c r="AS68" i="12"/>
  <c r="AT68" i="12"/>
  <c r="AU68" i="12"/>
  <c r="AV68" i="12"/>
  <c r="AW68" i="12"/>
  <c r="AX68" i="12"/>
  <c r="AY68" i="12"/>
  <c r="AZ68" i="12"/>
  <c r="BA68" i="12"/>
  <c r="BB68" i="12"/>
  <c r="BC68" i="12"/>
  <c r="BD68" i="12"/>
  <c r="BE68" i="12"/>
  <c r="BF68" i="12"/>
  <c r="BG68" i="12"/>
  <c r="BH68" i="12"/>
  <c r="BI68" i="12"/>
  <c r="BJ68" i="12"/>
  <c r="BK68" i="12"/>
  <c r="BL68" i="12"/>
  <c r="BM68" i="12"/>
  <c r="BN68" i="12"/>
  <c r="BO68" i="12"/>
  <c r="BP68" i="12"/>
  <c r="BQ68" i="12"/>
  <c r="BR68" i="12"/>
  <c r="BS68" i="12"/>
  <c r="BT68" i="12"/>
  <c r="BU68" i="12"/>
  <c r="BV68" i="12"/>
  <c r="BW68" i="12"/>
  <c r="BX68" i="12"/>
  <c r="BY68" i="12"/>
  <c r="BZ68" i="12"/>
  <c r="CA68" i="12"/>
  <c r="CB68" i="12"/>
  <c r="CC68" i="12"/>
  <c r="CD68" i="12"/>
  <c r="CE68" i="12"/>
  <c r="CF68" i="12"/>
  <c r="CG68" i="12"/>
  <c r="CH68" i="12"/>
  <c r="CI68" i="12"/>
  <c r="CJ68" i="12"/>
  <c r="CK68" i="12"/>
  <c r="CL68" i="12"/>
  <c r="CM68" i="12"/>
  <c r="CN68" i="12"/>
  <c r="CO68" i="12"/>
  <c r="CP68" i="12"/>
  <c r="CQ68" i="12"/>
  <c r="CR68" i="12"/>
  <c r="CS68" i="12"/>
  <c r="CT68" i="12"/>
  <c r="CU68" i="12"/>
  <c r="CV68" i="12"/>
  <c r="CW68" i="12"/>
  <c r="CX68" i="12"/>
  <c r="CY68" i="12"/>
  <c r="CZ68" i="12"/>
  <c r="DA68" i="12"/>
  <c r="DB68" i="12"/>
  <c r="DC68" i="12"/>
  <c r="DD68" i="12"/>
  <c r="DE68" i="12"/>
  <c r="DF68" i="12"/>
  <c r="DG68" i="12"/>
  <c r="DH68" i="12"/>
  <c r="DI68" i="12"/>
  <c r="DJ68" i="12"/>
  <c r="DK68" i="12"/>
  <c r="DL68" i="12"/>
  <c r="DM68" i="12"/>
  <c r="DN68" i="12"/>
  <c r="DO68" i="12"/>
  <c r="DP68" i="12"/>
  <c r="DQ68" i="12"/>
  <c r="DR68" i="12"/>
  <c r="DS68" i="12"/>
  <c r="DT68" i="12"/>
  <c r="DU68" i="12"/>
  <c r="O69" i="12"/>
  <c r="P69" i="12"/>
  <c r="Q69" i="12"/>
  <c r="R69" i="12"/>
  <c r="S69" i="12"/>
  <c r="T69" i="12"/>
  <c r="U69" i="12"/>
  <c r="V69" i="12"/>
  <c r="W69" i="12"/>
  <c r="X69" i="12"/>
  <c r="Y69" i="12"/>
  <c r="Z69" i="12"/>
  <c r="AA69" i="12"/>
  <c r="AB69" i="12"/>
  <c r="AC69" i="12"/>
  <c r="AD69" i="12"/>
  <c r="AE69" i="12"/>
  <c r="AF69" i="12"/>
  <c r="AG69" i="12"/>
  <c r="AH69" i="12"/>
  <c r="AI69" i="12"/>
  <c r="AJ69" i="12"/>
  <c r="AK69" i="12"/>
  <c r="AL69" i="12"/>
  <c r="AM69" i="12"/>
  <c r="AN69" i="12"/>
  <c r="AO69" i="12"/>
  <c r="AP69" i="12"/>
  <c r="AQ69" i="12"/>
  <c r="AR69" i="12"/>
  <c r="AS69" i="12"/>
  <c r="AT69" i="12"/>
  <c r="AU69" i="12"/>
  <c r="AV69" i="12"/>
  <c r="AW69" i="12"/>
  <c r="AX69" i="12"/>
  <c r="AY69" i="12"/>
  <c r="AZ69" i="12"/>
  <c r="BA69" i="12"/>
  <c r="BB69" i="12"/>
  <c r="BC69" i="12"/>
  <c r="BD69" i="12"/>
  <c r="BE69" i="12"/>
  <c r="BF69" i="12"/>
  <c r="BG69" i="12"/>
  <c r="BH69" i="12"/>
  <c r="BI69" i="12"/>
  <c r="BJ69" i="12"/>
  <c r="BK69" i="12"/>
  <c r="BL69" i="12"/>
  <c r="BM69" i="12"/>
  <c r="BN69" i="12"/>
  <c r="BO69" i="12"/>
  <c r="BP69" i="12"/>
  <c r="BQ69" i="12"/>
  <c r="BR69" i="12"/>
  <c r="BS69" i="12"/>
  <c r="BT69" i="12"/>
  <c r="BU69" i="12"/>
  <c r="BV69" i="12"/>
  <c r="BW69" i="12"/>
  <c r="BX69" i="12"/>
  <c r="BY69" i="12"/>
  <c r="BZ69" i="12"/>
  <c r="CA69" i="12"/>
  <c r="CB69" i="12"/>
  <c r="CC69" i="12"/>
  <c r="CD69" i="12"/>
  <c r="CE69" i="12"/>
  <c r="CF69" i="12"/>
  <c r="CG69" i="12"/>
  <c r="CH69" i="12"/>
  <c r="CI69" i="12"/>
  <c r="CJ69" i="12"/>
  <c r="CK69" i="12"/>
  <c r="CL69" i="12"/>
  <c r="CM69" i="12"/>
  <c r="CN69" i="12"/>
  <c r="CO69" i="12"/>
  <c r="CP69" i="12"/>
  <c r="CQ69" i="12"/>
  <c r="CR69" i="12"/>
  <c r="CS69" i="12"/>
  <c r="CT69" i="12"/>
  <c r="CU69" i="12"/>
  <c r="CV69" i="12"/>
  <c r="CW69" i="12"/>
  <c r="CX69" i="12"/>
  <c r="CY69" i="12"/>
  <c r="CZ69" i="12"/>
  <c r="DA69" i="12"/>
  <c r="DB69" i="12"/>
  <c r="DC69" i="12"/>
  <c r="DD69" i="12"/>
  <c r="DE69" i="12"/>
  <c r="DF69" i="12"/>
  <c r="DG69" i="12"/>
  <c r="DH69" i="12"/>
  <c r="DI69" i="12"/>
  <c r="DJ69" i="12"/>
  <c r="DK69" i="12"/>
  <c r="DL69" i="12"/>
  <c r="DM69" i="12"/>
  <c r="DN69" i="12"/>
  <c r="DO69" i="12"/>
  <c r="DP69" i="12"/>
  <c r="DQ69" i="12"/>
  <c r="DR69" i="12"/>
  <c r="DS69" i="12"/>
  <c r="DT69" i="12"/>
  <c r="DU69" i="12"/>
  <c r="O70" i="12"/>
  <c r="P70" i="12"/>
  <c r="Q70" i="12"/>
  <c r="R70" i="12"/>
  <c r="S70" i="12"/>
  <c r="T70" i="12"/>
  <c r="U70" i="12"/>
  <c r="V70" i="12"/>
  <c r="W70" i="12"/>
  <c r="X70" i="12"/>
  <c r="Y70" i="12"/>
  <c r="Z70" i="12"/>
  <c r="AA70" i="12"/>
  <c r="AB70" i="12"/>
  <c r="AC70" i="12"/>
  <c r="AD70" i="12"/>
  <c r="AE70" i="12"/>
  <c r="AF70" i="12"/>
  <c r="AG70" i="12"/>
  <c r="AH70" i="12"/>
  <c r="AI70" i="12"/>
  <c r="AJ70" i="12"/>
  <c r="AK70" i="12"/>
  <c r="AL70" i="12"/>
  <c r="AM70" i="12"/>
  <c r="AN70" i="12"/>
  <c r="AO70" i="12"/>
  <c r="AP70" i="12"/>
  <c r="AQ70" i="12"/>
  <c r="AR70" i="12"/>
  <c r="AS70" i="12"/>
  <c r="AT70" i="12"/>
  <c r="AU70" i="12"/>
  <c r="AV70" i="12"/>
  <c r="AW70" i="12"/>
  <c r="AX70" i="12"/>
  <c r="AY70" i="12"/>
  <c r="AZ70" i="12"/>
  <c r="BA70" i="12"/>
  <c r="BB70" i="12"/>
  <c r="BC70" i="12"/>
  <c r="BD70" i="12"/>
  <c r="BE70" i="12"/>
  <c r="BF70" i="12"/>
  <c r="BG70" i="12"/>
  <c r="BH70" i="12"/>
  <c r="BI70" i="12"/>
  <c r="BJ70" i="12"/>
  <c r="BK70" i="12"/>
  <c r="BL70" i="12"/>
  <c r="BM70" i="12"/>
  <c r="BN70" i="12"/>
  <c r="BO70" i="12"/>
  <c r="BP70" i="12"/>
  <c r="BQ70" i="12"/>
  <c r="BR70" i="12"/>
  <c r="BS70" i="12"/>
  <c r="BT70" i="12"/>
  <c r="BU70" i="12"/>
  <c r="BV70" i="12"/>
  <c r="BW70" i="12"/>
  <c r="BX70" i="12"/>
  <c r="BY70" i="12"/>
  <c r="BZ70" i="12"/>
  <c r="CA70" i="12"/>
  <c r="CB70" i="12"/>
  <c r="CC70" i="12"/>
  <c r="CD70" i="12"/>
  <c r="CE70" i="12"/>
  <c r="CF70" i="12"/>
  <c r="CG70" i="12"/>
  <c r="CH70" i="12"/>
  <c r="CI70" i="12"/>
  <c r="CJ70" i="12"/>
  <c r="CK70" i="12"/>
  <c r="CL70" i="12"/>
  <c r="CM70" i="12"/>
  <c r="CN70" i="12"/>
  <c r="CO70" i="12"/>
  <c r="CP70" i="12"/>
  <c r="CQ70" i="12"/>
  <c r="CR70" i="12"/>
  <c r="CS70" i="12"/>
  <c r="CT70" i="12"/>
  <c r="CU70" i="12"/>
  <c r="CV70" i="12"/>
  <c r="CW70" i="12"/>
  <c r="CX70" i="12"/>
  <c r="CY70" i="12"/>
  <c r="CZ70" i="12"/>
  <c r="DA70" i="12"/>
  <c r="DB70" i="12"/>
  <c r="DC70" i="12"/>
  <c r="DD70" i="12"/>
  <c r="DE70" i="12"/>
  <c r="DF70" i="12"/>
  <c r="DG70" i="12"/>
  <c r="DH70" i="12"/>
  <c r="DI70" i="12"/>
  <c r="DJ70" i="12"/>
  <c r="DK70" i="12"/>
  <c r="DL70" i="12"/>
  <c r="DM70" i="12"/>
  <c r="DN70" i="12"/>
  <c r="DO70" i="12"/>
  <c r="DP70" i="12"/>
  <c r="DQ70" i="12"/>
  <c r="DR70" i="12"/>
  <c r="DS70" i="12"/>
  <c r="DT70" i="12"/>
  <c r="DU70" i="12"/>
  <c r="O71" i="12"/>
  <c r="P71" i="12"/>
  <c r="Q71" i="12"/>
  <c r="R71" i="12"/>
  <c r="S71" i="12"/>
  <c r="T71" i="12"/>
  <c r="U71" i="12"/>
  <c r="V71" i="12"/>
  <c r="W71" i="12"/>
  <c r="X71" i="12"/>
  <c r="Y71" i="12"/>
  <c r="Z71" i="12"/>
  <c r="AA71" i="12"/>
  <c r="AB71" i="12"/>
  <c r="AC71" i="12"/>
  <c r="AD71" i="12"/>
  <c r="AE71" i="12"/>
  <c r="AF71" i="12"/>
  <c r="AG71" i="12"/>
  <c r="AH71" i="12"/>
  <c r="AI71" i="12"/>
  <c r="AJ71" i="12"/>
  <c r="AK71" i="12"/>
  <c r="AL71" i="12"/>
  <c r="AM71" i="12"/>
  <c r="AN71" i="12"/>
  <c r="AO71" i="12"/>
  <c r="AP71" i="12"/>
  <c r="AQ71" i="12"/>
  <c r="AR71" i="12"/>
  <c r="AS71" i="12"/>
  <c r="AT71" i="12"/>
  <c r="AU71" i="12"/>
  <c r="AV71" i="12"/>
  <c r="AW71" i="12"/>
  <c r="AX71" i="12"/>
  <c r="AY71" i="12"/>
  <c r="AZ71" i="12"/>
  <c r="BA71" i="12"/>
  <c r="BB71" i="12"/>
  <c r="BC71" i="12"/>
  <c r="BD71" i="12"/>
  <c r="BE71" i="12"/>
  <c r="BF71" i="12"/>
  <c r="BG71" i="12"/>
  <c r="BH71" i="12"/>
  <c r="BI71" i="12"/>
  <c r="BJ71" i="12"/>
  <c r="BK71" i="12"/>
  <c r="BL71" i="12"/>
  <c r="BM71" i="12"/>
  <c r="BN71" i="12"/>
  <c r="BO71" i="12"/>
  <c r="BP71" i="12"/>
  <c r="BQ71" i="12"/>
  <c r="BR71" i="12"/>
  <c r="BS71" i="12"/>
  <c r="BT71" i="12"/>
  <c r="BU71" i="12"/>
  <c r="BV71" i="12"/>
  <c r="BW71" i="12"/>
  <c r="BX71" i="12"/>
  <c r="BY71" i="12"/>
  <c r="BZ71" i="12"/>
  <c r="CA71" i="12"/>
  <c r="CB71" i="12"/>
  <c r="CC71" i="12"/>
  <c r="CD71" i="12"/>
  <c r="CE71" i="12"/>
  <c r="CF71" i="12"/>
  <c r="CG71" i="12"/>
  <c r="CH71" i="12"/>
  <c r="CI71" i="12"/>
  <c r="CJ71" i="12"/>
  <c r="CK71" i="12"/>
  <c r="CL71" i="12"/>
  <c r="CM71" i="12"/>
  <c r="CN71" i="12"/>
  <c r="CO71" i="12"/>
  <c r="CP71" i="12"/>
  <c r="CQ71" i="12"/>
  <c r="CR71" i="12"/>
  <c r="CS71" i="12"/>
  <c r="CT71" i="12"/>
  <c r="CU71" i="12"/>
  <c r="CV71" i="12"/>
  <c r="CW71" i="12"/>
  <c r="CX71" i="12"/>
  <c r="CY71" i="12"/>
  <c r="CZ71" i="12"/>
  <c r="DA71" i="12"/>
  <c r="DB71" i="12"/>
  <c r="DC71" i="12"/>
  <c r="DD71" i="12"/>
  <c r="DE71" i="12"/>
  <c r="DF71" i="12"/>
  <c r="DG71" i="12"/>
  <c r="DH71" i="12"/>
  <c r="DI71" i="12"/>
  <c r="DJ71" i="12"/>
  <c r="DK71" i="12"/>
  <c r="DL71" i="12"/>
  <c r="DM71" i="12"/>
  <c r="DN71" i="12"/>
  <c r="DO71" i="12"/>
  <c r="DP71" i="12"/>
  <c r="DQ71" i="12"/>
  <c r="DR71" i="12"/>
  <c r="DS71" i="12"/>
  <c r="DT71" i="12"/>
  <c r="DU71" i="12"/>
  <c r="O72" i="12"/>
  <c r="P72" i="12"/>
  <c r="Q72" i="12"/>
  <c r="R72" i="12"/>
  <c r="S72" i="12"/>
  <c r="T72" i="12"/>
  <c r="U72" i="12"/>
  <c r="V72" i="12"/>
  <c r="W72" i="12"/>
  <c r="X72" i="12"/>
  <c r="Y72" i="12"/>
  <c r="Z72" i="12"/>
  <c r="AA72" i="12"/>
  <c r="AB72" i="12"/>
  <c r="AC72" i="12"/>
  <c r="AD72" i="12"/>
  <c r="AE72" i="12"/>
  <c r="AF72" i="12"/>
  <c r="AG72" i="12"/>
  <c r="AH72" i="12"/>
  <c r="AI72" i="12"/>
  <c r="AJ72" i="12"/>
  <c r="AK72" i="12"/>
  <c r="AL72" i="12"/>
  <c r="AM72" i="12"/>
  <c r="AN72" i="12"/>
  <c r="AO72" i="12"/>
  <c r="AP72" i="12"/>
  <c r="AQ72" i="12"/>
  <c r="AR72" i="12"/>
  <c r="AS72" i="12"/>
  <c r="AT72" i="12"/>
  <c r="AU72" i="12"/>
  <c r="AV72" i="12"/>
  <c r="AW72" i="12"/>
  <c r="AX72" i="12"/>
  <c r="AY72" i="12"/>
  <c r="AZ72" i="12"/>
  <c r="BA72" i="12"/>
  <c r="BB72" i="12"/>
  <c r="BC72" i="12"/>
  <c r="BD72" i="12"/>
  <c r="BE72" i="12"/>
  <c r="BF72" i="12"/>
  <c r="BG72" i="12"/>
  <c r="BH72" i="12"/>
  <c r="BI72" i="12"/>
  <c r="BJ72" i="12"/>
  <c r="BK72" i="12"/>
  <c r="BL72" i="12"/>
  <c r="BM72" i="12"/>
  <c r="BN72" i="12"/>
  <c r="BO72" i="12"/>
  <c r="BP72" i="12"/>
  <c r="BQ72" i="12"/>
  <c r="BR72" i="12"/>
  <c r="BS72" i="12"/>
  <c r="BT72" i="12"/>
  <c r="BU72" i="12"/>
  <c r="BV72" i="12"/>
  <c r="BW72" i="12"/>
  <c r="BX72" i="12"/>
  <c r="BY72" i="12"/>
  <c r="BZ72" i="12"/>
  <c r="CA72" i="12"/>
  <c r="CB72" i="12"/>
  <c r="CC72" i="12"/>
  <c r="CD72" i="12"/>
  <c r="CE72" i="12"/>
  <c r="CF72" i="12"/>
  <c r="CG72" i="12"/>
  <c r="CH72" i="12"/>
  <c r="CI72" i="12"/>
  <c r="CJ72" i="12"/>
  <c r="CK72" i="12"/>
  <c r="CL72" i="12"/>
  <c r="CM72" i="12"/>
  <c r="CN72" i="12"/>
  <c r="CO72" i="12"/>
  <c r="CP72" i="12"/>
  <c r="CQ72" i="12"/>
  <c r="CR72" i="12"/>
  <c r="CS72" i="12"/>
  <c r="CT72" i="12"/>
  <c r="CU72" i="12"/>
  <c r="CV72" i="12"/>
  <c r="CW72" i="12"/>
  <c r="CX72" i="12"/>
  <c r="CY72" i="12"/>
  <c r="CZ72" i="12"/>
  <c r="DA72" i="12"/>
  <c r="DB72" i="12"/>
  <c r="DC72" i="12"/>
  <c r="DD72" i="12"/>
  <c r="DE72" i="12"/>
  <c r="DF72" i="12"/>
  <c r="DG72" i="12"/>
  <c r="DH72" i="12"/>
  <c r="DI72" i="12"/>
  <c r="DJ72" i="12"/>
  <c r="DK72" i="12"/>
  <c r="DL72" i="12"/>
  <c r="DM72" i="12"/>
  <c r="DN72" i="12"/>
  <c r="DO72" i="12"/>
  <c r="DP72" i="12"/>
  <c r="DQ72" i="12"/>
  <c r="DR72" i="12"/>
  <c r="DS72" i="12"/>
  <c r="DT72" i="12"/>
  <c r="DU72" i="12"/>
  <c r="O73" i="12"/>
  <c r="P73" i="12"/>
  <c r="Q73" i="12"/>
  <c r="R73" i="12"/>
  <c r="S73" i="12"/>
  <c r="T73" i="12"/>
  <c r="U73" i="12"/>
  <c r="V73" i="12"/>
  <c r="W73" i="12"/>
  <c r="X73" i="12"/>
  <c r="Y73" i="12"/>
  <c r="Z73" i="12"/>
  <c r="AA73" i="12"/>
  <c r="AB73" i="12"/>
  <c r="AC73" i="12"/>
  <c r="AD73" i="12"/>
  <c r="AE73" i="12"/>
  <c r="AF73" i="12"/>
  <c r="AG73" i="12"/>
  <c r="AH73" i="12"/>
  <c r="AI73" i="12"/>
  <c r="AJ73" i="12"/>
  <c r="AK73" i="12"/>
  <c r="AL73" i="12"/>
  <c r="AM73" i="12"/>
  <c r="AN73" i="12"/>
  <c r="AO73" i="12"/>
  <c r="AP73" i="12"/>
  <c r="AQ73" i="12"/>
  <c r="AR73" i="12"/>
  <c r="AS73" i="12"/>
  <c r="AT73" i="12"/>
  <c r="AU73" i="12"/>
  <c r="AV73" i="12"/>
  <c r="AW73" i="12"/>
  <c r="AX73" i="12"/>
  <c r="AY73" i="12"/>
  <c r="AZ73" i="12"/>
  <c r="BA73" i="12"/>
  <c r="BB73" i="12"/>
  <c r="BC73" i="12"/>
  <c r="BD73" i="12"/>
  <c r="BE73" i="12"/>
  <c r="BF73" i="12"/>
  <c r="BG73" i="12"/>
  <c r="BH73" i="12"/>
  <c r="BI73" i="12"/>
  <c r="BJ73" i="12"/>
  <c r="BK73" i="12"/>
  <c r="BL73" i="12"/>
  <c r="BM73" i="12"/>
  <c r="BN73" i="12"/>
  <c r="BO73" i="12"/>
  <c r="BP73" i="12"/>
  <c r="BQ73" i="12"/>
  <c r="BR73" i="12"/>
  <c r="BS73" i="12"/>
  <c r="BT73" i="12"/>
  <c r="BU73" i="12"/>
  <c r="BV73" i="12"/>
  <c r="BW73" i="12"/>
  <c r="BX73" i="12"/>
  <c r="BY73" i="12"/>
  <c r="BZ73" i="12"/>
  <c r="CA73" i="12"/>
  <c r="CB73" i="12"/>
  <c r="CC73" i="12"/>
  <c r="CD73" i="12"/>
  <c r="CE73" i="12"/>
  <c r="CF73" i="12"/>
  <c r="CG73" i="12"/>
  <c r="CH73" i="12"/>
  <c r="CI73" i="12"/>
  <c r="CJ73" i="12"/>
  <c r="CK73" i="12"/>
  <c r="CL73" i="12"/>
  <c r="CM73" i="12"/>
  <c r="CN73" i="12"/>
  <c r="CO73" i="12"/>
  <c r="CP73" i="12"/>
  <c r="CQ73" i="12"/>
  <c r="CR73" i="12"/>
  <c r="CS73" i="12"/>
  <c r="CT73" i="12"/>
  <c r="CU73" i="12"/>
  <c r="CV73" i="12"/>
  <c r="CW73" i="12"/>
  <c r="CX73" i="12"/>
  <c r="CY73" i="12"/>
  <c r="CZ73" i="12"/>
  <c r="DA73" i="12"/>
  <c r="DB73" i="12"/>
  <c r="DC73" i="12"/>
  <c r="DD73" i="12"/>
  <c r="DE73" i="12"/>
  <c r="DF73" i="12"/>
  <c r="DG73" i="12"/>
  <c r="DH73" i="12"/>
  <c r="DI73" i="12"/>
  <c r="DJ73" i="12"/>
  <c r="DK73" i="12"/>
  <c r="DL73" i="12"/>
  <c r="DM73" i="12"/>
  <c r="DN73" i="12"/>
  <c r="DO73" i="12"/>
  <c r="DP73" i="12"/>
  <c r="DQ73" i="12"/>
  <c r="DR73" i="12"/>
  <c r="DS73" i="12"/>
  <c r="DT73" i="12"/>
  <c r="DU73" i="12"/>
  <c r="O74" i="12"/>
  <c r="P74" i="12"/>
  <c r="Q74" i="12"/>
  <c r="R74" i="12"/>
  <c r="S74" i="12"/>
  <c r="T74" i="12"/>
  <c r="U74" i="12"/>
  <c r="V74" i="12"/>
  <c r="W74" i="12"/>
  <c r="X74" i="12"/>
  <c r="Y74" i="12"/>
  <c r="Z74" i="12"/>
  <c r="AA74" i="12"/>
  <c r="AB74" i="12"/>
  <c r="AC74" i="12"/>
  <c r="AD74" i="12"/>
  <c r="AE74" i="12"/>
  <c r="AF74" i="12"/>
  <c r="AG74" i="12"/>
  <c r="AH74" i="12"/>
  <c r="AI74" i="12"/>
  <c r="AJ74" i="12"/>
  <c r="AK74" i="12"/>
  <c r="AL74" i="12"/>
  <c r="AM74" i="12"/>
  <c r="AN74" i="12"/>
  <c r="AO74" i="12"/>
  <c r="AP74" i="12"/>
  <c r="AQ74" i="12"/>
  <c r="AR74" i="12"/>
  <c r="AS74" i="12"/>
  <c r="AT74" i="12"/>
  <c r="AU74" i="12"/>
  <c r="AV74" i="12"/>
  <c r="AW74" i="12"/>
  <c r="AX74" i="12"/>
  <c r="AY74" i="12"/>
  <c r="AZ74" i="12"/>
  <c r="BA74" i="12"/>
  <c r="BB74" i="12"/>
  <c r="BC74" i="12"/>
  <c r="BD74" i="12"/>
  <c r="BE74" i="12"/>
  <c r="BF74" i="12"/>
  <c r="BG74" i="12"/>
  <c r="BH74" i="12"/>
  <c r="BI74" i="12"/>
  <c r="BJ74" i="12"/>
  <c r="BK74" i="12"/>
  <c r="BL74" i="12"/>
  <c r="BM74" i="12"/>
  <c r="BN74" i="12"/>
  <c r="BO74" i="12"/>
  <c r="BP74" i="12"/>
  <c r="BQ74" i="12"/>
  <c r="BR74" i="12"/>
  <c r="BS74" i="12"/>
  <c r="BT74" i="12"/>
  <c r="BU74" i="12"/>
  <c r="BV74" i="12"/>
  <c r="BW74" i="12"/>
  <c r="BX74" i="12"/>
  <c r="BY74" i="12"/>
  <c r="BZ74" i="12"/>
  <c r="CA74" i="12"/>
  <c r="CB74" i="12"/>
  <c r="CC74" i="12"/>
  <c r="CD74" i="12"/>
  <c r="CE74" i="12"/>
  <c r="CF74" i="12"/>
  <c r="CG74" i="12"/>
  <c r="CH74" i="12"/>
  <c r="CI74" i="12"/>
  <c r="CJ74" i="12"/>
  <c r="CK74" i="12"/>
  <c r="CL74" i="12"/>
  <c r="CM74" i="12"/>
  <c r="CN74" i="12"/>
  <c r="CO74" i="12"/>
  <c r="CP74" i="12"/>
  <c r="CQ74" i="12"/>
  <c r="CR74" i="12"/>
  <c r="CS74" i="12"/>
  <c r="CT74" i="12"/>
  <c r="CU74" i="12"/>
  <c r="CV74" i="12"/>
  <c r="CW74" i="12"/>
  <c r="CX74" i="12"/>
  <c r="CY74" i="12"/>
  <c r="CZ74" i="12"/>
  <c r="DA74" i="12"/>
  <c r="DB74" i="12"/>
  <c r="DC74" i="12"/>
  <c r="DD74" i="12"/>
  <c r="DE74" i="12"/>
  <c r="DF74" i="12"/>
  <c r="DG74" i="12"/>
  <c r="DH74" i="12"/>
  <c r="DI74" i="12"/>
  <c r="DJ74" i="12"/>
  <c r="DK74" i="12"/>
  <c r="DL74" i="12"/>
  <c r="DM74" i="12"/>
  <c r="DN74" i="12"/>
  <c r="DO74" i="12"/>
  <c r="DP74" i="12"/>
  <c r="DQ74" i="12"/>
  <c r="DR74" i="12"/>
  <c r="DS74" i="12"/>
  <c r="DT74" i="12"/>
  <c r="DU74" i="12"/>
  <c r="O75" i="12"/>
  <c r="P75" i="12"/>
  <c r="Q75" i="12"/>
  <c r="R75" i="12"/>
  <c r="S75" i="12"/>
  <c r="T75" i="12"/>
  <c r="U75" i="12"/>
  <c r="V75" i="12"/>
  <c r="W75" i="12"/>
  <c r="X75" i="12"/>
  <c r="Y75" i="12"/>
  <c r="Z75" i="12"/>
  <c r="AA75" i="12"/>
  <c r="AB75" i="12"/>
  <c r="AC75" i="12"/>
  <c r="AD75" i="12"/>
  <c r="AE75" i="12"/>
  <c r="AF75" i="12"/>
  <c r="AG75" i="12"/>
  <c r="AH75" i="12"/>
  <c r="AI75" i="12"/>
  <c r="AJ75" i="12"/>
  <c r="AK75" i="12"/>
  <c r="AL75" i="12"/>
  <c r="AM75" i="12"/>
  <c r="AN75" i="12"/>
  <c r="AO75" i="12"/>
  <c r="AP75" i="12"/>
  <c r="AQ75" i="12"/>
  <c r="AR75" i="12"/>
  <c r="AS75" i="12"/>
  <c r="AT75" i="12"/>
  <c r="AU75" i="12"/>
  <c r="AV75" i="12"/>
  <c r="AW75" i="12"/>
  <c r="AX75" i="12"/>
  <c r="AY75" i="12"/>
  <c r="AZ75" i="12"/>
  <c r="BA75" i="12"/>
  <c r="BB75" i="12"/>
  <c r="BC75" i="12"/>
  <c r="BD75" i="12"/>
  <c r="BE75" i="12"/>
  <c r="BF75" i="12"/>
  <c r="BG75" i="12"/>
  <c r="BH75" i="12"/>
  <c r="BI75" i="12"/>
  <c r="BJ75" i="12"/>
  <c r="BK75" i="12"/>
  <c r="BL75" i="12"/>
  <c r="BM75" i="12"/>
  <c r="BN75" i="12"/>
  <c r="BO75" i="12"/>
  <c r="BP75" i="12"/>
  <c r="BQ75" i="12"/>
  <c r="BR75" i="12"/>
  <c r="BS75" i="12"/>
  <c r="BT75" i="12"/>
  <c r="BU75" i="12"/>
  <c r="BV75" i="12"/>
  <c r="BW75" i="12"/>
  <c r="BX75" i="12"/>
  <c r="BY75" i="12"/>
  <c r="BZ75" i="12"/>
  <c r="CA75" i="12"/>
  <c r="CB75" i="12"/>
  <c r="CC75" i="12"/>
  <c r="CD75" i="12"/>
  <c r="CE75" i="12"/>
  <c r="CF75" i="12"/>
  <c r="CG75" i="12"/>
  <c r="CH75" i="12"/>
  <c r="CI75" i="12"/>
  <c r="CJ75" i="12"/>
  <c r="CK75" i="12"/>
  <c r="CL75" i="12"/>
  <c r="CM75" i="12"/>
  <c r="CN75" i="12"/>
  <c r="CO75" i="12"/>
  <c r="CP75" i="12"/>
  <c r="CQ75" i="12"/>
  <c r="CR75" i="12"/>
  <c r="CS75" i="12"/>
  <c r="CT75" i="12"/>
  <c r="CU75" i="12"/>
  <c r="CV75" i="12"/>
  <c r="CW75" i="12"/>
  <c r="CX75" i="12"/>
  <c r="CY75" i="12"/>
  <c r="CZ75" i="12"/>
  <c r="DA75" i="12"/>
  <c r="DB75" i="12"/>
  <c r="DC75" i="12"/>
  <c r="DD75" i="12"/>
  <c r="DE75" i="12"/>
  <c r="DF75" i="12"/>
  <c r="DG75" i="12"/>
  <c r="DH75" i="12"/>
  <c r="DI75" i="12"/>
  <c r="DJ75" i="12"/>
  <c r="DK75" i="12"/>
  <c r="DL75" i="12"/>
  <c r="DM75" i="12"/>
  <c r="DN75" i="12"/>
  <c r="DO75" i="12"/>
  <c r="DP75" i="12"/>
  <c r="DQ75" i="12"/>
  <c r="DR75" i="12"/>
  <c r="DS75" i="12"/>
  <c r="DT75" i="12"/>
  <c r="DU75" i="12"/>
  <c r="O76" i="12"/>
  <c r="P76" i="12"/>
  <c r="Q76" i="12"/>
  <c r="R76" i="12"/>
  <c r="S76" i="12"/>
  <c r="T76" i="12"/>
  <c r="U76" i="12"/>
  <c r="V76" i="12"/>
  <c r="W76" i="12"/>
  <c r="X76" i="12"/>
  <c r="Y76" i="12"/>
  <c r="Z76" i="12"/>
  <c r="AA76" i="12"/>
  <c r="AB76" i="12"/>
  <c r="AC76" i="12"/>
  <c r="AD76" i="12"/>
  <c r="AE76" i="12"/>
  <c r="AF76" i="12"/>
  <c r="AG76" i="12"/>
  <c r="AH76" i="12"/>
  <c r="AI76" i="12"/>
  <c r="AJ76" i="12"/>
  <c r="AK76" i="12"/>
  <c r="AL76" i="12"/>
  <c r="AM76" i="12"/>
  <c r="AN76" i="12"/>
  <c r="AO76" i="12"/>
  <c r="AP76" i="12"/>
  <c r="AQ76" i="12"/>
  <c r="AR76" i="12"/>
  <c r="AS76" i="12"/>
  <c r="AT76" i="12"/>
  <c r="AU76" i="12"/>
  <c r="AV76" i="12"/>
  <c r="AW76" i="12"/>
  <c r="AX76" i="12"/>
  <c r="AY76" i="12"/>
  <c r="AZ76" i="12"/>
  <c r="BA76" i="12"/>
  <c r="BB76" i="12"/>
  <c r="BC76" i="12"/>
  <c r="BD76" i="12"/>
  <c r="BE76" i="12"/>
  <c r="BF76" i="12"/>
  <c r="BG76" i="12"/>
  <c r="BH76" i="12"/>
  <c r="BI76" i="12"/>
  <c r="BJ76" i="12"/>
  <c r="BK76" i="12"/>
  <c r="BL76" i="12"/>
  <c r="BM76" i="12"/>
  <c r="BN76" i="12"/>
  <c r="BO76" i="12"/>
  <c r="BP76" i="12"/>
  <c r="BQ76" i="12"/>
  <c r="BR76" i="12"/>
  <c r="BS76" i="12"/>
  <c r="BT76" i="12"/>
  <c r="BU76" i="12"/>
  <c r="BV76" i="12"/>
  <c r="BW76" i="12"/>
  <c r="BX76" i="12"/>
  <c r="BY76" i="12"/>
  <c r="BZ76" i="12"/>
  <c r="CA76" i="12"/>
  <c r="CB76" i="12"/>
  <c r="CC76" i="12"/>
  <c r="CD76" i="12"/>
  <c r="CE76" i="12"/>
  <c r="CF76" i="12"/>
  <c r="CG76" i="12"/>
  <c r="CH76" i="12"/>
  <c r="CI76" i="12"/>
  <c r="CJ76" i="12"/>
  <c r="CK76" i="12"/>
  <c r="CL76" i="12"/>
  <c r="CM76" i="12"/>
  <c r="CN76" i="12"/>
  <c r="CO76" i="12"/>
  <c r="CP76" i="12"/>
  <c r="CQ76" i="12"/>
  <c r="CR76" i="12"/>
  <c r="CS76" i="12"/>
  <c r="CT76" i="12"/>
  <c r="CU76" i="12"/>
  <c r="CV76" i="12"/>
  <c r="CW76" i="12"/>
  <c r="CX76" i="12"/>
  <c r="CY76" i="12"/>
  <c r="CZ76" i="12"/>
  <c r="DA76" i="12"/>
  <c r="DB76" i="12"/>
  <c r="DC76" i="12"/>
  <c r="DD76" i="12"/>
  <c r="DE76" i="12"/>
  <c r="DF76" i="12"/>
  <c r="DG76" i="12"/>
  <c r="DH76" i="12"/>
  <c r="DI76" i="12"/>
  <c r="DJ76" i="12"/>
  <c r="DK76" i="12"/>
  <c r="DL76" i="12"/>
  <c r="DM76" i="12"/>
  <c r="DN76" i="12"/>
  <c r="DO76" i="12"/>
  <c r="DP76" i="12"/>
  <c r="DQ76" i="12"/>
  <c r="DR76" i="12"/>
  <c r="DS76" i="12"/>
  <c r="DT76" i="12"/>
  <c r="DU76" i="12"/>
  <c r="O77" i="12"/>
  <c r="P77" i="12"/>
  <c r="Q77" i="12"/>
  <c r="R77" i="12"/>
  <c r="S77" i="12"/>
  <c r="T77" i="12"/>
  <c r="U77" i="12"/>
  <c r="V77" i="12"/>
  <c r="W77" i="12"/>
  <c r="X77" i="12"/>
  <c r="Y77" i="12"/>
  <c r="Z77" i="12"/>
  <c r="AA77" i="12"/>
  <c r="AB77" i="12"/>
  <c r="AC77" i="12"/>
  <c r="AD77" i="12"/>
  <c r="AE77" i="12"/>
  <c r="AF77" i="12"/>
  <c r="AG77" i="12"/>
  <c r="AH77" i="12"/>
  <c r="AI77" i="12"/>
  <c r="AJ77" i="12"/>
  <c r="AK77" i="12"/>
  <c r="AL77" i="12"/>
  <c r="AM77" i="12"/>
  <c r="AN77" i="12"/>
  <c r="AO77" i="12"/>
  <c r="AP77" i="12"/>
  <c r="AQ77" i="12"/>
  <c r="AR77" i="12"/>
  <c r="AS77" i="12"/>
  <c r="AT77" i="12"/>
  <c r="AU77" i="12"/>
  <c r="AV77" i="12"/>
  <c r="AW77" i="12"/>
  <c r="AX77" i="12"/>
  <c r="AY77" i="12"/>
  <c r="AZ77" i="12"/>
  <c r="BA77" i="12"/>
  <c r="BB77" i="12"/>
  <c r="BC77" i="12"/>
  <c r="BD77" i="12"/>
  <c r="BE77" i="12"/>
  <c r="BF77" i="12"/>
  <c r="BG77" i="12"/>
  <c r="BH77" i="12"/>
  <c r="BI77" i="12"/>
  <c r="BJ77" i="12"/>
  <c r="BK77" i="12"/>
  <c r="BL77" i="12"/>
  <c r="BM77" i="12"/>
  <c r="BN77" i="12"/>
  <c r="BO77" i="12"/>
  <c r="BP77" i="12"/>
  <c r="BQ77" i="12"/>
  <c r="BR77" i="12"/>
  <c r="BS77" i="12"/>
  <c r="BT77" i="12"/>
  <c r="BU77" i="12"/>
  <c r="BV77" i="12"/>
  <c r="BW77" i="12"/>
  <c r="BX77" i="12"/>
  <c r="BY77" i="12"/>
  <c r="BZ77" i="12"/>
  <c r="CA77" i="12"/>
  <c r="CB77" i="12"/>
  <c r="CC77" i="12"/>
  <c r="CD77" i="12"/>
  <c r="CE77" i="12"/>
  <c r="CF77" i="12"/>
  <c r="CG77" i="12"/>
  <c r="CH77" i="12"/>
  <c r="CI77" i="12"/>
  <c r="CJ77" i="12"/>
  <c r="CK77" i="12"/>
  <c r="CL77" i="12"/>
  <c r="CM77" i="12"/>
  <c r="CN77" i="12"/>
  <c r="CO77" i="12"/>
  <c r="CP77" i="12"/>
  <c r="CQ77" i="12"/>
  <c r="CR77" i="12"/>
  <c r="CS77" i="12"/>
  <c r="CT77" i="12"/>
  <c r="CU77" i="12"/>
  <c r="CV77" i="12"/>
  <c r="CW77" i="12"/>
  <c r="CX77" i="12"/>
  <c r="CY77" i="12"/>
  <c r="CZ77" i="12"/>
  <c r="DA77" i="12"/>
  <c r="DB77" i="12"/>
  <c r="DC77" i="12"/>
  <c r="DD77" i="12"/>
  <c r="DE77" i="12"/>
  <c r="DF77" i="12"/>
  <c r="DG77" i="12"/>
  <c r="DH77" i="12"/>
  <c r="DI77" i="12"/>
  <c r="DJ77" i="12"/>
  <c r="DK77" i="12"/>
  <c r="DL77" i="12"/>
  <c r="DM77" i="12"/>
  <c r="DN77" i="12"/>
  <c r="DO77" i="12"/>
  <c r="DP77" i="12"/>
  <c r="DQ77" i="12"/>
  <c r="DR77" i="12"/>
  <c r="DS77" i="12"/>
  <c r="DT77" i="12"/>
  <c r="DU77" i="12"/>
  <c r="O78" i="12"/>
  <c r="P78" i="12"/>
  <c r="Q78" i="12"/>
  <c r="R78" i="12"/>
  <c r="S78" i="12"/>
  <c r="T78" i="12"/>
  <c r="U78" i="12"/>
  <c r="V78" i="12"/>
  <c r="W78" i="12"/>
  <c r="X78" i="12"/>
  <c r="Y78" i="12"/>
  <c r="Z78" i="12"/>
  <c r="AA78" i="12"/>
  <c r="AB78" i="12"/>
  <c r="AC78" i="12"/>
  <c r="AD78" i="12"/>
  <c r="AE78" i="12"/>
  <c r="AF78" i="12"/>
  <c r="AG78" i="12"/>
  <c r="AH78" i="12"/>
  <c r="AI78" i="12"/>
  <c r="AJ78" i="12"/>
  <c r="AK78" i="12"/>
  <c r="AL78" i="12"/>
  <c r="AM78" i="12"/>
  <c r="AN78" i="12"/>
  <c r="AO78" i="12"/>
  <c r="AP78" i="12"/>
  <c r="AQ78" i="12"/>
  <c r="AR78" i="12"/>
  <c r="AS78" i="12"/>
  <c r="AT78" i="12"/>
  <c r="AU78" i="12"/>
  <c r="AV78" i="12"/>
  <c r="AW78" i="12"/>
  <c r="AX78" i="12"/>
  <c r="AY78" i="12"/>
  <c r="AZ78" i="12"/>
  <c r="BA78" i="12"/>
  <c r="BB78" i="12"/>
  <c r="BC78" i="12"/>
  <c r="BD78" i="12"/>
  <c r="BE78" i="12"/>
  <c r="BF78" i="12"/>
  <c r="BG78" i="12"/>
  <c r="BH78" i="12"/>
  <c r="BI78" i="12"/>
  <c r="BJ78" i="12"/>
  <c r="BK78" i="12"/>
  <c r="BL78" i="12"/>
  <c r="BM78" i="12"/>
  <c r="BN78" i="12"/>
  <c r="BO78" i="12"/>
  <c r="BP78" i="12"/>
  <c r="BQ78" i="12"/>
  <c r="BR78" i="12"/>
  <c r="BS78" i="12"/>
  <c r="BT78" i="12"/>
  <c r="BU78" i="12"/>
  <c r="BV78" i="12"/>
  <c r="BW78" i="12"/>
  <c r="BX78" i="12"/>
  <c r="BY78" i="12"/>
  <c r="BZ78" i="12"/>
  <c r="CA78" i="12"/>
  <c r="CB78" i="12"/>
  <c r="CC78" i="12"/>
  <c r="CD78" i="12"/>
  <c r="CE78" i="12"/>
  <c r="CF78" i="12"/>
  <c r="CG78" i="12"/>
  <c r="CH78" i="12"/>
  <c r="CI78" i="12"/>
  <c r="CJ78" i="12"/>
  <c r="CK78" i="12"/>
  <c r="CL78" i="12"/>
  <c r="CM78" i="12"/>
  <c r="CN78" i="12"/>
  <c r="CO78" i="12"/>
  <c r="CP78" i="12"/>
  <c r="CQ78" i="12"/>
  <c r="CR78" i="12"/>
  <c r="CS78" i="12"/>
  <c r="CT78" i="12"/>
  <c r="CU78" i="12"/>
  <c r="CV78" i="12"/>
  <c r="CW78" i="12"/>
  <c r="CX78" i="12"/>
  <c r="CY78" i="12"/>
  <c r="CZ78" i="12"/>
  <c r="DA78" i="12"/>
  <c r="DB78" i="12"/>
  <c r="DC78" i="12"/>
  <c r="DD78" i="12"/>
  <c r="DE78" i="12"/>
  <c r="DF78" i="12"/>
  <c r="DG78" i="12"/>
  <c r="DH78" i="12"/>
  <c r="DI78" i="12"/>
  <c r="DJ78" i="12"/>
  <c r="DK78" i="12"/>
  <c r="DL78" i="12"/>
  <c r="DM78" i="12"/>
  <c r="DN78" i="12"/>
  <c r="DO78" i="12"/>
  <c r="DP78" i="12"/>
  <c r="DQ78" i="12"/>
  <c r="DR78" i="12"/>
  <c r="DS78" i="12"/>
  <c r="DT78" i="12"/>
  <c r="DU78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BS79" i="12"/>
  <c r="BT79" i="12"/>
  <c r="BU79" i="12"/>
  <c r="BV79" i="12"/>
  <c r="BW79" i="12"/>
  <c r="BX79" i="12"/>
  <c r="BY79" i="12"/>
  <c r="BZ79" i="12"/>
  <c r="CA79" i="12"/>
  <c r="CB79" i="12"/>
  <c r="CC79" i="12"/>
  <c r="CD79" i="12"/>
  <c r="CE79" i="12"/>
  <c r="CF79" i="12"/>
  <c r="CG79" i="12"/>
  <c r="CH79" i="12"/>
  <c r="CI79" i="12"/>
  <c r="CJ79" i="12"/>
  <c r="CK79" i="12"/>
  <c r="CL79" i="12"/>
  <c r="CM79" i="12"/>
  <c r="CN79" i="12"/>
  <c r="CO79" i="12"/>
  <c r="CP79" i="12"/>
  <c r="CQ79" i="12"/>
  <c r="CR79" i="12"/>
  <c r="CS79" i="12"/>
  <c r="CT79" i="12"/>
  <c r="CU79" i="12"/>
  <c r="CV79" i="12"/>
  <c r="CW79" i="12"/>
  <c r="CX79" i="12"/>
  <c r="CY79" i="12"/>
  <c r="CZ79" i="12"/>
  <c r="DA79" i="12"/>
  <c r="DB79" i="12"/>
  <c r="DC79" i="12"/>
  <c r="DD79" i="12"/>
  <c r="DE79" i="12"/>
  <c r="DF79" i="12"/>
  <c r="DG79" i="12"/>
  <c r="DH79" i="12"/>
  <c r="DI79" i="12"/>
  <c r="DJ79" i="12"/>
  <c r="DK79" i="12"/>
  <c r="DL79" i="12"/>
  <c r="DM79" i="12"/>
  <c r="DN79" i="12"/>
  <c r="DO79" i="12"/>
  <c r="DP79" i="12"/>
  <c r="DQ79" i="12"/>
  <c r="DR79" i="12"/>
  <c r="DS79" i="12"/>
  <c r="DT79" i="12"/>
  <c r="DU79" i="12"/>
  <c r="O80" i="12"/>
  <c r="P80" i="12"/>
  <c r="Q80" i="12"/>
  <c r="R80" i="12"/>
  <c r="S80" i="12"/>
  <c r="T80" i="12"/>
  <c r="U80" i="12"/>
  <c r="V80" i="12"/>
  <c r="W80" i="12"/>
  <c r="X80" i="12"/>
  <c r="Y80" i="12"/>
  <c r="Z80" i="12"/>
  <c r="AA80" i="12"/>
  <c r="AB80" i="12"/>
  <c r="AC80" i="12"/>
  <c r="AD80" i="12"/>
  <c r="AE80" i="12"/>
  <c r="AF80" i="12"/>
  <c r="AG80" i="12"/>
  <c r="AH80" i="12"/>
  <c r="AI80" i="12"/>
  <c r="AJ80" i="12"/>
  <c r="AK80" i="12"/>
  <c r="AL80" i="12"/>
  <c r="AM80" i="12"/>
  <c r="AN80" i="12"/>
  <c r="AO80" i="12"/>
  <c r="AP80" i="12"/>
  <c r="AQ80" i="12"/>
  <c r="AR80" i="12"/>
  <c r="AS80" i="12"/>
  <c r="AT80" i="12"/>
  <c r="AU80" i="12"/>
  <c r="AV80" i="12"/>
  <c r="AW80" i="12"/>
  <c r="AX80" i="12"/>
  <c r="AY80" i="12"/>
  <c r="AZ80" i="12"/>
  <c r="BA80" i="12"/>
  <c r="BB80" i="12"/>
  <c r="BC80" i="12"/>
  <c r="BD80" i="12"/>
  <c r="BE80" i="12"/>
  <c r="BF80" i="12"/>
  <c r="BG80" i="12"/>
  <c r="BH80" i="12"/>
  <c r="BI80" i="12"/>
  <c r="BJ80" i="12"/>
  <c r="BK80" i="12"/>
  <c r="BL80" i="12"/>
  <c r="BM80" i="12"/>
  <c r="BN80" i="12"/>
  <c r="BO80" i="12"/>
  <c r="BP80" i="12"/>
  <c r="BQ80" i="12"/>
  <c r="BR80" i="12"/>
  <c r="BS80" i="12"/>
  <c r="BT80" i="12"/>
  <c r="BU80" i="12"/>
  <c r="BV80" i="12"/>
  <c r="BW80" i="12"/>
  <c r="BX80" i="12"/>
  <c r="BY80" i="12"/>
  <c r="BZ80" i="12"/>
  <c r="CA80" i="12"/>
  <c r="CB80" i="12"/>
  <c r="CC80" i="12"/>
  <c r="CD80" i="12"/>
  <c r="CE80" i="12"/>
  <c r="CF80" i="12"/>
  <c r="CG80" i="12"/>
  <c r="CH80" i="12"/>
  <c r="CI80" i="12"/>
  <c r="CJ80" i="12"/>
  <c r="CK80" i="12"/>
  <c r="CL80" i="12"/>
  <c r="CM80" i="12"/>
  <c r="CN80" i="12"/>
  <c r="CO80" i="12"/>
  <c r="CP80" i="12"/>
  <c r="CQ80" i="12"/>
  <c r="CR80" i="12"/>
  <c r="CS80" i="12"/>
  <c r="CT80" i="12"/>
  <c r="CU80" i="12"/>
  <c r="CV80" i="12"/>
  <c r="CW80" i="12"/>
  <c r="CX80" i="12"/>
  <c r="CY80" i="12"/>
  <c r="CZ80" i="12"/>
  <c r="DA80" i="12"/>
  <c r="DB80" i="12"/>
  <c r="DC80" i="12"/>
  <c r="DD80" i="12"/>
  <c r="DE80" i="12"/>
  <c r="DF80" i="12"/>
  <c r="DG80" i="12"/>
  <c r="DH80" i="12"/>
  <c r="DI80" i="12"/>
  <c r="DJ80" i="12"/>
  <c r="DK80" i="12"/>
  <c r="DL80" i="12"/>
  <c r="DM80" i="12"/>
  <c r="DN80" i="12"/>
  <c r="DO80" i="12"/>
  <c r="DP80" i="12"/>
  <c r="DQ80" i="12"/>
  <c r="DR80" i="12"/>
  <c r="DS80" i="12"/>
  <c r="DT80" i="12"/>
  <c r="DU80" i="12"/>
  <c r="O81" i="12"/>
  <c r="P81" i="12"/>
  <c r="Q81" i="12"/>
  <c r="R81" i="12"/>
  <c r="S81" i="12"/>
  <c r="T81" i="12"/>
  <c r="U81" i="12"/>
  <c r="V81" i="12"/>
  <c r="W81" i="12"/>
  <c r="X81" i="12"/>
  <c r="Y81" i="12"/>
  <c r="Z81" i="12"/>
  <c r="AA81" i="12"/>
  <c r="AB81" i="12"/>
  <c r="AC81" i="12"/>
  <c r="AD81" i="12"/>
  <c r="AE81" i="12"/>
  <c r="AF81" i="12"/>
  <c r="AG81" i="12"/>
  <c r="AH81" i="12"/>
  <c r="AI81" i="12"/>
  <c r="AJ81" i="12"/>
  <c r="AK81" i="12"/>
  <c r="AL81" i="12"/>
  <c r="AM81" i="12"/>
  <c r="AN81" i="12"/>
  <c r="AO81" i="12"/>
  <c r="AP81" i="12"/>
  <c r="AQ81" i="12"/>
  <c r="AR81" i="12"/>
  <c r="AS81" i="12"/>
  <c r="AT81" i="12"/>
  <c r="AU81" i="12"/>
  <c r="AV81" i="12"/>
  <c r="AW81" i="12"/>
  <c r="AX81" i="12"/>
  <c r="AY81" i="12"/>
  <c r="AZ81" i="12"/>
  <c r="BA81" i="12"/>
  <c r="BB81" i="12"/>
  <c r="BC81" i="12"/>
  <c r="BD81" i="12"/>
  <c r="BE81" i="12"/>
  <c r="BF81" i="12"/>
  <c r="BG81" i="12"/>
  <c r="BH81" i="12"/>
  <c r="BI81" i="12"/>
  <c r="BJ81" i="12"/>
  <c r="BK81" i="12"/>
  <c r="BL81" i="12"/>
  <c r="BM81" i="12"/>
  <c r="BN81" i="12"/>
  <c r="BO81" i="12"/>
  <c r="BP81" i="12"/>
  <c r="BQ81" i="12"/>
  <c r="BR81" i="12"/>
  <c r="BS81" i="12"/>
  <c r="BT81" i="12"/>
  <c r="BU81" i="12"/>
  <c r="BV81" i="12"/>
  <c r="BW81" i="12"/>
  <c r="BX81" i="12"/>
  <c r="BY81" i="12"/>
  <c r="BZ81" i="12"/>
  <c r="CA81" i="12"/>
  <c r="CB81" i="12"/>
  <c r="CC81" i="12"/>
  <c r="CD81" i="12"/>
  <c r="CE81" i="12"/>
  <c r="CF81" i="12"/>
  <c r="CG81" i="12"/>
  <c r="CH81" i="12"/>
  <c r="CI81" i="12"/>
  <c r="CJ81" i="12"/>
  <c r="CK81" i="12"/>
  <c r="CL81" i="12"/>
  <c r="CM81" i="12"/>
  <c r="CN81" i="12"/>
  <c r="CO81" i="12"/>
  <c r="CP81" i="12"/>
  <c r="CQ81" i="12"/>
  <c r="CR81" i="12"/>
  <c r="CS81" i="12"/>
  <c r="CT81" i="12"/>
  <c r="CU81" i="12"/>
  <c r="CV81" i="12"/>
  <c r="CW81" i="12"/>
  <c r="CX81" i="12"/>
  <c r="CY81" i="12"/>
  <c r="CZ81" i="12"/>
  <c r="DA81" i="12"/>
  <c r="DB81" i="12"/>
  <c r="DC81" i="12"/>
  <c r="DD81" i="12"/>
  <c r="DE81" i="12"/>
  <c r="DF81" i="12"/>
  <c r="DG81" i="12"/>
  <c r="DH81" i="12"/>
  <c r="DI81" i="12"/>
  <c r="DJ81" i="12"/>
  <c r="DK81" i="12"/>
  <c r="DL81" i="12"/>
  <c r="DM81" i="12"/>
  <c r="DN81" i="12"/>
  <c r="DO81" i="12"/>
  <c r="DP81" i="12"/>
  <c r="DQ81" i="12"/>
  <c r="DR81" i="12"/>
  <c r="DS81" i="12"/>
  <c r="DT81" i="12"/>
  <c r="DU81" i="12"/>
  <c r="O82" i="12"/>
  <c r="P82" i="12"/>
  <c r="Q82" i="12"/>
  <c r="R82" i="12"/>
  <c r="S82" i="12"/>
  <c r="T82" i="12"/>
  <c r="U82" i="12"/>
  <c r="V82" i="12"/>
  <c r="W82" i="12"/>
  <c r="X82" i="12"/>
  <c r="Y82" i="12"/>
  <c r="Z82" i="12"/>
  <c r="AA82" i="12"/>
  <c r="AB82" i="12"/>
  <c r="AC82" i="12"/>
  <c r="AD82" i="12"/>
  <c r="AE82" i="12"/>
  <c r="AF82" i="12"/>
  <c r="AG82" i="12"/>
  <c r="AH82" i="12"/>
  <c r="AI82" i="12"/>
  <c r="AJ82" i="12"/>
  <c r="AK82" i="12"/>
  <c r="AL82" i="12"/>
  <c r="AM82" i="12"/>
  <c r="AN82" i="12"/>
  <c r="AO82" i="12"/>
  <c r="AP82" i="12"/>
  <c r="AQ82" i="12"/>
  <c r="AR82" i="12"/>
  <c r="AS82" i="12"/>
  <c r="AT82" i="12"/>
  <c r="AU82" i="12"/>
  <c r="AV82" i="12"/>
  <c r="AW82" i="12"/>
  <c r="AX82" i="12"/>
  <c r="AY82" i="12"/>
  <c r="AZ82" i="12"/>
  <c r="BA82" i="12"/>
  <c r="BB82" i="12"/>
  <c r="BC82" i="12"/>
  <c r="BD82" i="12"/>
  <c r="BE82" i="12"/>
  <c r="BF82" i="12"/>
  <c r="BG82" i="12"/>
  <c r="BH82" i="12"/>
  <c r="BI82" i="12"/>
  <c r="BJ82" i="12"/>
  <c r="BK82" i="12"/>
  <c r="BL82" i="12"/>
  <c r="BM82" i="12"/>
  <c r="BN82" i="12"/>
  <c r="BO82" i="12"/>
  <c r="BP82" i="12"/>
  <c r="BQ82" i="12"/>
  <c r="BR82" i="12"/>
  <c r="BS82" i="12"/>
  <c r="BT82" i="12"/>
  <c r="BU82" i="12"/>
  <c r="BV82" i="12"/>
  <c r="BW82" i="12"/>
  <c r="BX82" i="12"/>
  <c r="BY82" i="12"/>
  <c r="BZ82" i="12"/>
  <c r="CA82" i="12"/>
  <c r="CB82" i="12"/>
  <c r="CC82" i="12"/>
  <c r="CD82" i="12"/>
  <c r="CE82" i="12"/>
  <c r="CF82" i="12"/>
  <c r="CG82" i="12"/>
  <c r="CH82" i="12"/>
  <c r="CI82" i="12"/>
  <c r="CJ82" i="12"/>
  <c r="CK82" i="12"/>
  <c r="CL82" i="12"/>
  <c r="CM82" i="12"/>
  <c r="CN82" i="12"/>
  <c r="CO82" i="12"/>
  <c r="CP82" i="12"/>
  <c r="CQ82" i="12"/>
  <c r="CR82" i="12"/>
  <c r="CS82" i="12"/>
  <c r="CT82" i="12"/>
  <c r="CU82" i="12"/>
  <c r="CV82" i="12"/>
  <c r="CW82" i="12"/>
  <c r="CX82" i="12"/>
  <c r="CY82" i="12"/>
  <c r="CZ82" i="12"/>
  <c r="DA82" i="12"/>
  <c r="DB82" i="12"/>
  <c r="DC82" i="12"/>
  <c r="DD82" i="12"/>
  <c r="DE82" i="12"/>
  <c r="DF82" i="12"/>
  <c r="DG82" i="12"/>
  <c r="DH82" i="12"/>
  <c r="DI82" i="12"/>
  <c r="DJ82" i="12"/>
  <c r="DK82" i="12"/>
  <c r="DL82" i="12"/>
  <c r="DM82" i="12"/>
  <c r="DN82" i="12"/>
  <c r="DO82" i="12"/>
  <c r="DP82" i="12"/>
  <c r="DQ82" i="12"/>
  <c r="DR82" i="12"/>
  <c r="DS82" i="12"/>
  <c r="DT82" i="12"/>
  <c r="DU82" i="12"/>
  <c r="O83" i="12"/>
  <c r="P83" i="12"/>
  <c r="Q83" i="12"/>
  <c r="R83" i="12"/>
  <c r="S83" i="12"/>
  <c r="T83" i="12"/>
  <c r="U83" i="12"/>
  <c r="V83" i="12"/>
  <c r="W83" i="12"/>
  <c r="X83" i="12"/>
  <c r="Y83" i="12"/>
  <c r="Z83" i="12"/>
  <c r="AA83" i="12"/>
  <c r="AB83" i="12"/>
  <c r="AC83" i="12"/>
  <c r="AD83" i="12"/>
  <c r="AE83" i="12"/>
  <c r="AF83" i="12"/>
  <c r="AG83" i="12"/>
  <c r="AH83" i="12"/>
  <c r="AI83" i="12"/>
  <c r="AJ83" i="12"/>
  <c r="AK83" i="12"/>
  <c r="AL83" i="12"/>
  <c r="AM83" i="12"/>
  <c r="AN83" i="12"/>
  <c r="AO83" i="12"/>
  <c r="AP83" i="12"/>
  <c r="AQ83" i="12"/>
  <c r="AR83" i="12"/>
  <c r="AS83" i="12"/>
  <c r="AT83" i="12"/>
  <c r="AU83" i="12"/>
  <c r="AV83" i="12"/>
  <c r="AW83" i="12"/>
  <c r="AX83" i="12"/>
  <c r="AY83" i="12"/>
  <c r="AZ83" i="12"/>
  <c r="BA83" i="12"/>
  <c r="BB83" i="12"/>
  <c r="BC83" i="12"/>
  <c r="BD83" i="12"/>
  <c r="BE83" i="12"/>
  <c r="BF83" i="12"/>
  <c r="BG83" i="12"/>
  <c r="BH83" i="12"/>
  <c r="BI83" i="12"/>
  <c r="BJ83" i="12"/>
  <c r="BK83" i="12"/>
  <c r="BL83" i="12"/>
  <c r="BM83" i="12"/>
  <c r="BN83" i="12"/>
  <c r="BO83" i="12"/>
  <c r="BP83" i="12"/>
  <c r="BQ83" i="12"/>
  <c r="BR83" i="12"/>
  <c r="BS83" i="12"/>
  <c r="BT83" i="12"/>
  <c r="BU83" i="12"/>
  <c r="BV83" i="12"/>
  <c r="BW83" i="12"/>
  <c r="BX83" i="12"/>
  <c r="BY83" i="12"/>
  <c r="BZ83" i="12"/>
  <c r="CA83" i="12"/>
  <c r="CB83" i="12"/>
  <c r="CC83" i="12"/>
  <c r="CD83" i="12"/>
  <c r="CE83" i="12"/>
  <c r="CF83" i="12"/>
  <c r="CG83" i="12"/>
  <c r="CH83" i="12"/>
  <c r="CI83" i="12"/>
  <c r="CJ83" i="12"/>
  <c r="CK83" i="12"/>
  <c r="CL83" i="12"/>
  <c r="CM83" i="12"/>
  <c r="CN83" i="12"/>
  <c r="CO83" i="12"/>
  <c r="CP83" i="12"/>
  <c r="CQ83" i="12"/>
  <c r="CR83" i="12"/>
  <c r="CS83" i="12"/>
  <c r="CT83" i="12"/>
  <c r="CU83" i="12"/>
  <c r="CV83" i="12"/>
  <c r="CW83" i="12"/>
  <c r="CX83" i="12"/>
  <c r="CY83" i="12"/>
  <c r="CZ83" i="12"/>
  <c r="DA83" i="12"/>
  <c r="DB83" i="12"/>
  <c r="DC83" i="12"/>
  <c r="DD83" i="12"/>
  <c r="DE83" i="12"/>
  <c r="DF83" i="12"/>
  <c r="DG83" i="12"/>
  <c r="DH83" i="12"/>
  <c r="DI83" i="12"/>
  <c r="DJ83" i="12"/>
  <c r="DK83" i="12"/>
  <c r="DL83" i="12"/>
  <c r="DM83" i="12"/>
  <c r="DN83" i="12"/>
  <c r="DO83" i="12"/>
  <c r="DP83" i="12"/>
  <c r="DQ83" i="12"/>
  <c r="DR83" i="12"/>
  <c r="DS83" i="12"/>
  <c r="DT83" i="12"/>
  <c r="DU83" i="12"/>
  <c r="O84" i="12"/>
  <c r="P84" i="12"/>
  <c r="Q84" i="12"/>
  <c r="R84" i="12"/>
  <c r="S84" i="12"/>
  <c r="T84" i="12"/>
  <c r="U84" i="12"/>
  <c r="V84" i="12"/>
  <c r="W84" i="12"/>
  <c r="X84" i="12"/>
  <c r="Y84" i="12"/>
  <c r="Z84" i="12"/>
  <c r="AA84" i="12"/>
  <c r="AB84" i="12"/>
  <c r="AC84" i="12"/>
  <c r="AD84" i="12"/>
  <c r="AE84" i="12"/>
  <c r="AF84" i="12"/>
  <c r="AG84" i="12"/>
  <c r="AH84" i="12"/>
  <c r="AI84" i="12"/>
  <c r="AJ84" i="12"/>
  <c r="AK84" i="12"/>
  <c r="AL84" i="12"/>
  <c r="AM84" i="12"/>
  <c r="AN84" i="12"/>
  <c r="AO84" i="12"/>
  <c r="AP84" i="12"/>
  <c r="AQ84" i="12"/>
  <c r="AR84" i="12"/>
  <c r="AS84" i="12"/>
  <c r="AT84" i="12"/>
  <c r="AU84" i="12"/>
  <c r="AV84" i="12"/>
  <c r="AW84" i="12"/>
  <c r="AX84" i="12"/>
  <c r="AY84" i="12"/>
  <c r="AZ84" i="12"/>
  <c r="BA84" i="12"/>
  <c r="BB84" i="12"/>
  <c r="BC84" i="12"/>
  <c r="BD84" i="12"/>
  <c r="BE84" i="12"/>
  <c r="BF84" i="12"/>
  <c r="BG84" i="12"/>
  <c r="BH84" i="12"/>
  <c r="BI84" i="12"/>
  <c r="BJ84" i="12"/>
  <c r="BK84" i="12"/>
  <c r="BL84" i="12"/>
  <c r="BM84" i="12"/>
  <c r="BN84" i="12"/>
  <c r="BO84" i="12"/>
  <c r="BP84" i="12"/>
  <c r="BQ84" i="12"/>
  <c r="BR84" i="12"/>
  <c r="BS84" i="12"/>
  <c r="BT84" i="12"/>
  <c r="BU84" i="12"/>
  <c r="BV84" i="12"/>
  <c r="BW84" i="12"/>
  <c r="BX84" i="12"/>
  <c r="BY84" i="12"/>
  <c r="BZ84" i="12"/>
  <c r="CA84" i="12"/>
  <c r="CB84" i="12"/>
  <c r="CC84" i="12"/>
  <c r="CD84" i="12"/>
  <c r="CE84" i="12"/>
  <c r="CF84" i="12"/>
  <c r="CG84" i="12"/>
  <c r="CH84" i="12"/>
  <c r="CI84" i="12"/>
  <c r="CJ84" i="12"/>
  <c r="CK84" i="12"/>
  <c r="CL84" i="12"/>
  <c r="CM84" i="12"/>
  <c r="CN84" i="12"/>
  <c r="CO84" i="12"/>
  <c r="CP84" i="12"/>
  <c r="CQ84" i="12"/>
  <c r="CR84" i="12"/>
  <c r="CS84" i="12"/>
  <c r="CT84" i="12"/>
  <c r="CU84" i="12"/>
  <c r="CV84" i="12"/>
  <c r="CW84" i="12"/>
  <c r="CX84" i="12"/>
  <c r="CY84" i="12"/>
  <c r="CZ84" i="12"/>
  <c r="DA84" i="12"/>
  <c r="DB84" i="12"/>
  <c r="DC84" i="12"/>
  <c r="DD84" i="12"/>
  <c r="DE84" i="12"/>
  <c r="DF84" i="12"/>
  <c r="DG84" i="12"/>
  <c r="DH84" i="12"/>
  <c r="DI84" i="12"/>
  <c r="DJ84" i="12"/>
  <c r="DK84" i="12"/>
  <c r="DL84" i="12"/>
  <c r="DM84" i="12"/>
  <c r="DN84" i="12"/>
  <c r="DO84" i="12"/>
  <c r="DP84" i="12"/>
  <c r="DQ84" i="12"/>
  <c r="DR84" i="12"/>
  <c r="DS84" i="12"/>
  <c r="DT84" i="12"/>
  <c r="DU84" i="12"/>
  <c r="O85" i="12"/>
  <c r="P85" i="12"/>
  <c r="Q85" i="12"/>
  <c r="R85" i="12"/>
  <c r="S85" i="12"/>
  <c r="T85" i="12"/>
  <c r="U85" i="12"/>
  <c r="V85" i="12"/>
  <c r="W85" i="12"/>
  <c r="X85" i="12"/>
  <c r="Y85" i="12"/>
  <c r="Z85" i="12"/>
  <c r="AA85" i="12"/>
  <c r="AB85" i="12"/>
  <c r="AC85" i="12"/>
  <c r="AD85" i="12"/>
  <c r="AE85" i="12"/>
  <c r="AF85" i="12"/>
  <c r="AG85" i="12"/>
  <c r="AH85" i="12"/>
  <c r="AI85" i="12"/>
  <c r="AJ85" i="12"/>
  <c r="AK85" i="12"/>
  <c r="AL85" i="12"/>
  <c r="AM85" i="12"/>
  <c r="AN85" i="12"/>
  <c r="AO85" i="12"/>
  <c r="AP85" i="12"/>
  <c r="AQ85" i="12"/>
  <c r="AR85" i="12"/>
  <c r="AS85" i="12"/>
  <c r="AT85" i="12"/>
  <c r="AU85" i="12"/>
  <c r="AV85" i="12"/>
  <c r="AW85" i="12"/>
  <c r="AX85" i="12"/>
  <c r="AY85" i="12"/>
  <c r="AZ85" i="12"/>
  <c r="BA85" i="12"/>
  <c r="BB85" i="12"/>
  <c r="BC85" i="12"/>
  <c r="BD85" i="12"/>
  <c r="BE85" i="12"/>
  <c r="BF85" i="12"/>
  <c r="BG85" i="12"/>
  <c r="BH85" i="12"/>
  <c r="BI85" i="12"/>
  <c r="BJ85" i="12"/>
  <c r="BK85" i="12"/>
  <c r="BL85" i="12"/>
  <c r="BM85" i="12"/>
  <c r="BN85" i="12"/>
  <c r="BO85" i="12"/>
  <c r="BP85" i="12"/>
  <c r="BQ85" i="12"/>
  <c r="BR85" i="12"/>
  <c r="BS85" i="12"/>
  <c r="BT85" i="12"/>
  <c r="BU85" i="12"/>
  <c r="BV85" i="12"/>
  <c r="BW85" i="12"/>
  <c r="BX85" i="12"/>
  <c r="BY85" i="12"/>
  <c r="BZ85" i="12"/>
  <c r="CA85" i="12"/>
  <c r="CB85" i="12"/>
  <c r="CC85" i="12"/>
  <c r="CD85" i="12"/>
  <c r="CE85" i="12"/>
  <c r="CF85" i="12"/>
  <c r="CG85" i="12"/>
  <c r="CH85" i="12"/>
  <c r="CI85" i="12"/>
  <c r="CJ85" i="12"/>
  <c r="CK85" i="12"/>
  <c r="CL85" i="12"/>
  <c r="CM85" i="12"/>
  <c r="CN85" i="12"/>
  <c r="CO85" i="12"/>
  <c r="CP85" i="12"/>
  <c r="CQ85" i="12"/>
  <c r="CR85" i="12"/>
  <c r="CS85" i="12"/>
  <c r="CT85" i="12"/>
  <c r="CU85" i="12"/>
  <c r="CV85" i="12"/>
  <c r="CW85" i="12"/>
  <c r="CX85" i="12"/>
  <c r="CY85" i="12"/>
  <c r="CZ85" i="12"/>
  <c r="DA85" i="12"/>
  <c r="DB85" i="12"/>
  <c r="DC85" i="12"/>
  <c r="DD85" i="12"/>
  <c r="DE85" i="12"/>
  <c r="DF85" i="12"/>
  <c r="DG85" i="12"/>
  <c r="DH85" i="12"/>
  <c r="DI85" i="12"/>
  <c r="DJ85" i="12"/>
  <c r="DK85" i="12"/>
  <c r="DL85" i="12"/>
  <c r="DM85" i="12"/>
  <c r="DN85" i="12"/>
  <c r="DO85" i="12"/>
  <c r="DP85" i="12"/>
  <c r="DQ85" i="12"/>
  <c r="DR85" i="12"/>
  <c r="DS85" i="12"/>
  <c r="DT85" i="12"/>
  <c r="DU85" i="12"/>
  <c r="O86" i="12"/>
  <c r="P86" i="12"/>
  <c r="Q86" i="12"/>
  <c r="R86" i="12"/>
  <c r="S86" i="12"/>
  <c r="T86" i="12"/>
  <c r="U86" i="12"/>
  <c r="V86" i="12"/>
  <c r="W86" i="12"/>
  <c r="X86" i="12"/>
  <c r="Y86" i="12"/>
  <c r="Z86" i="12"/>
  <c r="AA86" i="12"/>
  <c r="AB86" i="12"/>
  <c r="AC86" i="12"/>
  <c r="AD86" i="12"/>
  <c r="AE86" i="12"/>
  <c r="AF86" i="12"/>
  <c r="AG86" i="12"/>
  <c r="AH86" i="12"/>
  <c r="AI86" i="12"/>
  <c r="AJ86" i="12"/>
  <c r="AK86" i="12"/>
  <c r="AL86" i="12"/>
  <c r="AM86" i="12"/>
  <c r="AN86" i="12"/>
  <c r="AO86" i="12"/>
  <c r="AP86" i="12"/>
  <c r="AQ86" i="12"/>
  <c r="AR86" i="12"/>
  <c r="AS86" i="12"/>
  <c r="AT86" i="12"/>
  <c r="AU86" i="12"/>
  <c r="AV86" i="12"/>
  <c r="AW86" i="12"/>
  <c r="AX86" i="12"/>
  <c r="AY86" i="12"/>
  <c r="AZ86" i="12"/>
  <c r="BA86" i="12"/>
  <c r="BB86" i="12"/>
  <c r="BC86" i="12"/>
  <c r="BD86" i="12"/>
  <c r="BE86" i="12"/>
  <c r="BF86" i="12"/>
  <c r="BG86" i="12"/>
  <c r="BH86" i="12"/>
  <c r="BI86" i="12"/>
  <c r="BJ86" i="12"/>
  <c r="BK86" i="12"/>
  <c r="BL86" i="12"/>
  <c r="BM86" i="12"/>
  <c r="BN86" i="12"/>
  <c r="BO86" i="12"/>
  <c r="BP86" i="12"/>
  <c r="BQ86" i="12"/>
  <c r="BR86" i="12"/>
  <c r="BS86" i="12"/>
  <c r="BT86" i="12"/>
  <c r="BU86" i="12"/>
  <c r="BV86" i="12"/>
  <c r="BW86" i="12"/>
  <c r="BX86" i="12"/>
  <c r="BY86" i="12"/>
  <c r="BZ86" i="12"/>
  <c r="CA86" i="12"/>
  <c r="CB86" i="12"/>
  <c r="CC86" i="12"/>
  <c r="CD86" i="12"/>
  <c r="CE86" i="12"/>
  <c r="CF86" i="12"/>
  <c r="CG86" i="12"/>
  <c r="CH86" i="12"/>
  <c r="CI86" i="12"/>
  <c r="CJ86" i="12"/>
  <c r="CK86" i="12"/>
  <c r="CL86" i="12"/>
  <c r="CM86" i="12"/>
  <c r="CN86" i="12"/>
  <c r="CO86" i="12"/>
  <c r="CP86" i="12"/>
  <c r="CQ86" i="12"/>
  <c r="CR86" i="12"/>
  <c r="CS86" i="12"/>
  <c r="CT86" i="12"/>
  <c r="CU86" i="12"/>
  <c r="CV86" i="12"/>
  <c r="CW86" i="12"/>
  <c r="CX86" i="12"/>
  <c r="CY86" i="12"/>
  <c r="CZ86" i="12"/>
  <c r="DA86" i="12"/>
  <c r="DB86" i="12"/>
  <c r="DC86" i="12"/>
  <c r="DD86" i="12"/>
  <c r="DE86" i="12"/>
  <c r="DF86" i="12"/>
  <c r="DG86" i="12"/>
  <c r="DH86" i="12"/>
  <c r="DI86" i="12"/>
  <c r="DJ86" i="12"/>
  <c r="DK86" i="12"/>
  <c r="DL86" i="12"/>
  <c r="DM86" i="12"/>
  <c r="DN86" i="12"/>
  <c r="DO86" i="12"/>
  <c r="DP86" i="12"/>
  <c r="DQ86" i="12"/>
  <c r="DR86" i="12"/>
  <c r="DS86" i="12"/>
  <c r="DT86" i="12"/>
  <c r="DU86" i="12"/>
  <c r="O87" i="12"/>
  <c r="P87" i="12"/>
  <c r="Q87" i="12"/>
  <c r="R87" i="12"/>
  <c r="S87" i="12"/>
  <c r="T87" i="12"/>
  <c r="U87" i="12"/>
  <c r="V87" i="12"/>
  <c r="W87" i="12"/>
  <c r="X87" i="12"/>
  <c r="Y87" i="12"/>
  <c r="Z87" i="12"/>
  <c r="AA87" i="12"/>
  <c r="AB87" i="12"/>
  <c r="AC87" i="12"/>
  <c r="AD87" i="12"/>
  <c r="AE87" i="12"/>
  <c r="AF87" i="12"/>
  <c r="AG87" i="12"/>
  <c r="AH87" i="12"/>
  <c r="AI87" i="12"/>
  <c r="AJ87" i="12"/>
  <c r="AK87" i="12"/>
  <c r="AL87" i="12"/>
  <c r="AM87" i="12"/>
  <c r="AN87" i="12"/>
  <c r="AO87" i="12"/>
  <c r="AP87" i="12"/>
  <c r="AQ87" i="12"/>
  <c r="AR87" i="12"/>
  <c r="AS87" i="12"/>
  <c r="AT87" i="12"/>
  <c r="AU87" i="12"/>
  <c r="AV87" i="12"/>
  <c r="AW87" i="12"/>
  <c r="AX87" i="12"/>
  <c r="AY87" i="12"/>
  <c r="AZ87" i="12"/>
  <c r="BA87" i="12"/>
  <c r="BB87" i="12"/>
  <c r="BC87" i="12"/>
  <c r="BD87" i="12"/>
  <c r="BE87" i="12"/>
  <c r="BF87" i="12"/>
  <c r="BG87" i="12"/>
  <c r="BH87" i="12"/>
  <c r="BI87" i="12"/>
  <c r="BJ87" i="12"/>
  <c r="BK87" i="12"/>
  <c r="BL87" i="12"/>
  <c r="BM87" i="12"/>
  <c r="BN87" i="12"/>
  <c r="BO87" i="12"/>
  <c r="BP87" i="12"/>
  <c r="BQ87" i="12"/>
  <c r="BR87" i="12"/>
  <c r="BS87" i="12"/>
  <c r="BT87" i="12"/>
  <c r="BU87" i="12"/>
  <c r="BV87" i="12"/>
  <c r="BW87" i="12"/>
  <c r="BX87" i="12"/>
  <c r="BY87" i="12"/>
  <c r="BZ87" i="12"/>
  <c r="CA87" i="12"/>
  <c r="CB87" i="12"/>
  <c r="CC87" i="12"/>
  <c r="CD87" i="12"/>
  <c r="CE87" i="12"/>
  <c r="CF87" i="12"/>
  <c r="CG87" i="12"/>
  <c r="CH87" i="12"/>
  <c r="CI87" i="12"/>
  <c r="CJ87" i="12"/>
  <c r="CK87" i="12"/>
  <c r="CL87" i="12"/>
  <c r="CM87" i="12"/>
  <c r="CN87" i="12"/>
  <c r="CO87" i="12"/>
  <c r="CP87" i="12"/>
  <c r="CQ87" i="12"/>
  <c r="CR87" i="12"/>
  <c r="CS87" i="12"/>
  <c r="CT87" i="12"/>
  <c r="CU87" i="12"/>
  <c r="CV87" i="12"/>
  <c r="CW87" i="12"/>
  <c r="CX87" i="12"/>
  <c r="CY87" i="12"/>
  <c r="CZ87" i="12"/>
  <c r="DA87" i="12"/>
  <c r="DB87" i="12"/>
  <c r="DC87" i="12"/>
  <c r="DD87" i="12"/>
  <c r="DE87" i="12"/>
  <c r="DF87" i="12"/>
  <c r="DG87" i="12"/>
  <c r="DH87" i="12"/>
  <c r="DI87" i="12"/>
  <c r="DJ87" i="12"/>
  <c r="DK87" i="12"/>
  <c r="DL87" i="12"/>
  <c r="DM87" i="12"/>
  <c r="DN87" i="12"/>
  <c r="DO87" i="12"/>
  <c r="DP87" i="12"/>
  <c r="DQ87" i="12"/>
  <c r="DR87" i="12"/>
  <c r="DS87" i="12"/>
  <c r="DT87" i="12"/>
  <c r="DU87" i="12"/>
  <c r="O88" i="12"/>
  <c r="P88" i="12"/>
  <c r="Q88" i="12"/>
  <c r="R88" i="12"/>
  <c r="S88" i="12"/>
  <c r="T88" i="12"/>
  <c r="U88" i="12"/>
  <c r="V88" i="12"/>
  <c r="W88" i="12"/>
  <c r="X88" i="12"/>
  <c r="Y88" i="12"/>
  <c r="Z88" i="12"/>
  <c r="AA88" i="12"/>
  <c r="AB88" i="12"/>
  <c r="AC88" i="12"/>
  <c r="AD88" i="12"/>
  <c r="AE88" i="12"/>
  <c r="AF88" i="12"/>
  <c r="AG88" i="12"/>
  <c r="AH88" i="12"/>
  <c r="AI88" i="12"/>
  <c r="AJ88" i="12"/>
  <c r="AK88" i="12"/>
  <c r="AL88" i="12"/>
  <c r="AM88" i="12"/>
  <c r="AN88" i="12"/>
  <c r="AO88" i="12"/>
  <c r="AP88" i="12"/>
  <c r="AQ88" i="12"/>
  <c r="AR88" i="12"/>
  <c r="AS88" i="12"/>
  <c r="AT88" i="12"/>
  <c r="AU88" i="12"/>
  <c r="AV88" i="12"/>
  <c r="AW88" i="12"/>
  <c r="AX88" i="12"/>
  <c r="AY88" i="12"/>
  <c r="AZ88" i="12"/>
  <c r="BA88" i="12"/>
  <c r="BB88" i="12"/>
  <c r="BC88" i="12"/>
  <c r="BD88" i="12"/>
  <c r="BE88" i="12"/>
  <c r="BF88" i="12"/>
  <c r="BG88" i="12"/>
  <c r="BH88" i="12"/>
  <c r="BI88" i="12"/>
  <c r="BJ88" i="12"/>
  <c r="BK88" i="12"/>
  <c r="BL88" i="12"/>
  <c r="BM88" i="12"/>
  <c r="BN88" i="12"/>
  <c r="BO88" i="12"/>
  <c r="BP88" i="12"/>
  <c r="BQ88" i="12"/>
  <c r="BR88" i="12"/>
  <c r="BS88" i="12"/>
  <c r="BT88" i="12"/>
  <c r="BU88" i="12"/>
  <c r="BV88" i="12"/>
  <c r="BW88" i="12"/>
  <c r="BX88" i="12"/>
  <c r="BY88" i="12"/>
  <c r="BZ88" i="12"/>
  <c r="CA88" i="12"/>
  <c r="CB88" i="12"/>
  <c r="CC88" i="12"/>
  <c r="CD88" i="12"/>
  <c r="CE88" i="12"/>
  <c r="CF88" i="12"/>
  <c r="CG88" i="12"/>
  <c r="CH88" i="12"/>
  <c r="CI88" i="12"/>
  <c r="CJ88" i="12"/>
  <c r="CK88" i="12"/>
  <c r="CL88" i="12"/>
  <c r="CM88" i="12"/>
  <c r="CN88" i="12"/>
  <c r="CO88" i="12"/>
  <c r="CP88" i="12"/>
  <c r="CQ88" i="12"/>
  <c r="CR88" i="12"/>
  <c r="CS88" i="12"/>
  <c r="CT88" i="12"/>
  <c r="CU88" i="12"/>
  <c r="CV88" i="12"/>
  <c r="CW88" i="12"/>
  <c r="CX88" i="12"/>
  <c r="CY88" i="12"/>
  <c r="CZ88" i="12"/>
  <c r="DA88" i="12"/>
  <c r="DB88" i="12"/>
  <c r="DC88" i="12"/>
  <c r="DD88" i="12"/>
  <c r="DE88" i="12"/>
  <c r="DF88" i="12"/>
  <c r="DG88" i="12"/>
  <c r="DH88" i="12"/>
  <c r="DI88" i="12"/>
  <c r="DJ88" i="12"/>
  <c r="DK88" i="12"/>
  <c r="DL88" i="12"/>
  <c r="DM88" i="12"/>
  <c r="DN88" i="12"/>
  <c r="DO88" i="12"/>
  <c r="DP88" i="12"/>
  <c r="DQ88" i="12"/>
  <c r="DR88" i="12"/>
  <c r="DS88" i="12"/>
  <c r="DT88" i="12"/>
  <c r="DU88" i="12"/>
  <c r="O89" i="12"/>
  <c r="P89" i="12"/>
  <c r="Q89" i="12"/>
  <c r="R89" i="12"/>
  <c r="S89" i="12"/>
  <c r="T89" i="12"/>
  <c r="U89" i="12"/>
  <c r="V89" i="12"/>
  <c r="W89" i="12"/>
  <c r="X89" i="12"/>
  <c r="Y89" i="12"/>
  <c r="Z89" i="12"/>
  <c r="AA89" i="12"/>
  <c r="AB89" i="12"/>
  <c r="AC89" i="12"/>
  <c r="AD89" i="12"/>
  <c r="AE89" i="12"/>
  <c r="AF89" i="12"/>
  <c r="AG89" i="12"/>
  <c r="AH89" i="12"/>
  <c r="AI89" i="12"/>
  <c r="AJ89" i="12"/>
  <c r="AK89" i="12"/>
  <c r="AL89" i="12"/>
  <c r="AM89" i="12"/>
  <c r="AN89" i="12"/>
  <c r="AO89" i="12"/>
  <c r="AP89" i="12"/>
  <c r="AQ89" i="12"/>
  <c r="AR89" i="12"/>
  <c r="AS89" i="12"/>
  <c r="AT89" i="12"/>
  <c r="AU89" i="12"/>
  <c r="AV89" i="12"/>
  <c r="AW89" i="12"/>
  <c r="AX89" i="12"/>
  <c r="AY89" i="12"/>
  <c r="AZ89" i="12"/>
  <c r="BA89" i="12"/>
  <c r="BB89" i="12"/>
  <c r="BC89" i="12"/>
  <c r="BD89" i="12"/>
  <c r="BE89" i="12"/>
  <c r="BF89" i="12"/>
  <c r="BG89" i="12"/>
  <c r="BH89" i="12"/>
  <c r="BI89" i="12"/>
  <c r="BJ89" i="12"/>
  <c r="BK89" i="12"/>
  <c r="BL89" i="12"/>
  <c r="BM89" i="12"/>
  <c r="BN89" i="12"/>
  <c r="BO89" i="12"/>
  <c r="BP89" i="12"/>
  <c r="BQ89" i="12"/>
  <c r="BR89" i="12"/>
  <c r="BS89" i="12"/>
  <c r="BT89" i="12"/>
  <c r="BU89" i="12"/>
  <c r="BV89" i="12"/>
  <c r="BW89" i="12"/>
  <c r="BX89" i="12"/>
  <c r="BY89" i="12"/>
  <c r="BZ89" i="12"/>
  <c r="CA89" i="12"/>
  <c r="CB89" i="12"/>
  <c r="CC89" i="12"/>
  <c r="CD89" i="12"/>
  <c r="CE89" i="12"/>
  <c r="CF89" i="12"/>
  <c r="CG89" i="12"/>
  <c r="CH89" i="12"/>
  <c r="CI89" i="12"/>
  <c r="CJ89" i="12"/>
  <c r="CK89" i="12"/>
  <c r="CL89" i="12"/>
  <c r="CM89" i="12"/>
  <c r="CN89" i="12"/>
  <c r="CO89" i="12"/>
  <c r="CP89" i="12"/>
  <c r="CQ89" i="12"/>
  <c r="CR89" i="12"/>
  <c r="CS89" i="12"/>
  <c r="CT89" i="12"/>
  <c r="CU89" i="12"/>
  <c r="CV89" i="12"/>
  <c r="CW89" i="12"/>
  <c r="CX89" i="12"/>
  <c r="CY89" i="12"/>
  <c r="CZ89" i="12"/>
  <c r="DA89" i="12"/>
  <c r="DB89" i="12"/>
  <c r="DC89" i="12"/>
  <c r="DD89" i="12"/>
  <c r="DE89" i="12"/>
  <c r="DF89" i="12"/>
  <c r="DG89" i="12"/>
  <c r="DH89" i="12"/>
  <c r="DI89" i="12"/>
  <c r="DJ89" i="12"/>
  <c r="DK89" i="12"/>
  <c r="DL89" i="12"/>
  <c r="DM89" i="12"/>
  <c r="DN89" i="12"/>
  <c r="DO89" i="12"/>
  <c r="DP89" i="12"/>
  <c r="DQ89" i="12"/>
  <c r="DR89" i="12"/>
  <c r="DS89" i="12"/>
  <c r="DT89" i="12"/>
  <c r="DU89" i="12"/>
  <c r="O90" i="12"/>
  <c r="P90" i="12"/>
  <c r="Q90" i="12"/>
  <c r="R90" i="12"/>
  <c r="S90" i="12"/>
  <c r="T90" i="12"/>
  <c r="U90" i="12"/>
  <c r="V90" i="12"/>
  <c r="W90" i="12"/>
  <c r="X90" i="12"/>
  <c r="Y90" i="12"/>
  <c r="Z90" i="12"/>
  <c r="AA90" i="12"/>
  <c r="AB90" i="12"/>
  <c r="AC90" i="12"/>
  <c r="AD90" i="12"/>
  <c r="AE90" i="12"/>
  <c r="AF90" i="12"/>
  <c r="AG90" i="12"/>
  <c r="AH90" i="12"/>
  <c r="AI90" i="12"/>
  <c r="AJ90" i="12"/>
  <c r="AK90" i="12"/>
  <c r="AL90" i="12"/>
  <c r="AM90" i="12"/>
  <c r="AN90" i="12"/>
  <c r="AO90" i="12"/>
  <c r="AP90" i="12"/>
  <c r="AQ90" i="12"/>
  <c r="AR90" i="12"/>
  <c r="AS90" i="12"/>
  <c r="AT90" i="12"/>
  <c r="AU90" i="12"/>
  <c r="AV90" i="12"/>
  <c r="AW90" i="12"/>
  <c r="AX90" i="12"/>
  <c r="AY90" i="12"/>
  <c r="AZ90" i="12"/>
  <c r="BA90" i="12"/>
  <c r="BB90" i="12"/>
  <c r="BC90" i="12"/>
  <c r="BD90" i="12"/>
  <c r="BE90" i="12"/>
  <c r="BF90" i="12"/>
  <c r="BG90" i="12"/>
  <c r="BH90" i="12"/>
  <c r="BI90" i="12"/>
  <c r="BJ90" i="12"/>
  <c r="BK90" i="12"/>
  <c r="BL90" i="12"/>
  <c r="BM90" i="12"/>
  <c r="BN90" i="12"/>
  <c r="BO90" i="12"/>
  <c r="BP90" i="12"/>
  <c r="BQ90" i="12"/>
  <c r="BR90" i="12"/>
  <c r="BS90" i="12"/>
  <c r="BT90" i="12"/>
  <c r="BU90" i="12"/>
  <c r="BV90" i="12"/>
  <c r="BW90" i="12"/>
  <c r="BX90" i="12"/>
  <c r="BY90" i="12"/>
  <c r="BZ90" i="12"/>
  <c r="CA90" i="12"/>
  <c r="CB90" i="12"/>
  <c r="CC90" i="12"/>
  <c r="CD90" i="12"/>
  <c r="CE90" i="12"/>
  <c r="CF90" i="12"/>
  <c r="CG90" i="12"/>
  <c r="CH90" i="12"/>
  <c r="CI90" i="12"/>
  <c r="CJ90" i="12"/>
  <c r="CK90" i="12"/>
  <c r="CL90" i="12"/>
  <c r="CM90" i="12"/>
  <c r="CN90" i="12"/>
  <c r="CO90" i="12"/>
  <c r="CP90" i="12"/>
  <c r="CQ90" i="12"/>
  <c r="CR90" i="12"/>
  <c r="CS90" i="12"/>
  <c r="CT90" i="12"/>
  <c r="CU90" i="12"/>
  <c r="CV90" i="12"/>
  <c r="CW90" i="12"/>
  <c r="CX90" i="12"/>
  <c r="CY90" i="12"/>
  <c r="CZ90" i="12"/>
  <c r="DA90" i="12"/>
  <c r="DB90" i="12"/>
  <c r="DC90" i="12"/>
  <c r="DD90" i="12"/>
  <c r="DE90" i="12"/>
  <c r="DF90" i="12"/>
  <c r="DG90" i="12"/>
  <c r="DH90" i="12"/>
  <c r="DI90" i="12"/>
  <c r="DJ90" i="12"/>
  <c r="DK90" i="12"/>
  <c r="DL90" i="12"/>
  <c r="DM90" i="12"/>
  <c r="DN90" i="12"/>
  <c r="DO90" i="12"/>
  <c r="DP90" i="12"/>
  <c r="DQ90" i="12"/>
  <c r="DR90" i="12"/>
  <c r="DS90" i="12"/>
  <c r="DT90" i="12"/>
  <c r="DU90" i="12"/>
  <c r="O91" i="12"/>
  <c r="P91" i="12"/>
  <c r="Q91" i="12"/>
  <c r="R91" i="12"/>
  <c r="S91" i="12"/>
  <c r="T91" i="12"/>
  <c r="U91" i="12"/>
  <c r="V91" i="12"/>
  <c r="W91" i="12"/>
  <c r="X91" i="12"/>
  <c r="Y91" i="12"/>
  <c r="Z91" i="12"/>
  <c r="AA91" i="12"/>
  <c r="AB91" i="12"/>
  <c r="AC91" i="12"/>
  <c r="AD91" i="12"/>
  <c r="AE91" i="12"/>
  <c r="AF91" i="12"/>
  <c r="AG91" i="12"/>
  <c r="AH91" i="12"/>
  <c r="AI91" i="12"/>
  <c r="AJ91" i="12"/>
  <c r="AK91" i="12"/>
  <c r="AL91" i="12"/>
  <c r="AM91" i="12"/>
  <c r="AN91" i="12"/>
  <c r="AO91" i="12"/>
  <c r="AP91" i="12"/>
  <c r="AQ91" i="12"/>
  <c r="AR91" i="12"/>
  <c r="AS91" i="12"/>
  <c r="AT91" i="12"/>
  <c r="AU91" i="12"/>
  <c r="AV91" i="12"/>
  <c r="AW91" i="12"/>
  <c r="AX91" i="12"/>
  <c r="AY91" i="12"/>
  <c r="AZ91" i="12"/>
  <c r="BA91" i="12"/>
  <c r="BB91" i="12"/>
  <c r="BC91" i="12"/>
  <c r="BD91" i="12"/>
  <c r="BE91" i="12"/>
  <c r="BF91" i="12"/>
  <c r="BG91" i="12"/>
  <c r="BH91" i="12"/>
  <c r="BI91" i="12"/>
  <c r="BJ91" i="12"/>
  <c r="BK91" i="12"/>
  <c r="BL91" i="12"/>
  <c r="BM91" i="12"/>
  <c r="BN91" i="12"/>
  <c r="BO91" i="12"/>
  <c r="BP91" i="12"/>
  <c r="BQ91" i="12"/>
  <c r="BR91" i="12"/>
  <c r="BS91" i="12"/>
  <c r="BT91" i="12"/>
  <c r="BU91" i="12"/>
  <c r="BV91" i="12"/>
  <c r="BW91" i="12"/>
  <c r="BX91" i="12"/>
  <c r="BY91" i="12"/>
  <c r="BZ91" i="12"/>
  <c r="CA91" i="12"/>
  <c r="CB91" i="12"/>
  <c r="CC91" i="12"/>
  <c r="CD91" i="12"/>
  <c r="CE91" i="12"/>
  <c r="CF91" i="12"/>
  <c r="CG91" i="12"/>
  <c r="CH91" i="12"/>
  <c r="CI91" i="12"/>
  <c r="CJ91" i="12"/>
  <c r="CK91" i="12"/>
  <c r="CL91" i="12"/>
  <c r="CM91" i="12"/>
  <c r="CN91" i="12"/>
  <c r="CO91" i="12"/>
  <c r="CP91" i="12"/>
  <c r="CQ91" i="12"/>
  <c r="CR91" i="12"/>
  <c r="CS91" i="12"/>
  <c r="CT91" i="12"/>
  <c r="CU91" i="12"/>
  <c r="CV91" i="12"/>
  <c r="CW91" i="12"/>
  <c r="CX91" i="12"/>
  <c r="CY91" i="12"/>
  <c r="CZ91" i="12"/>
  <c r="DA91" i="12"/>
  <c r="DB91" i="12"/>
  <c r="DC91" i="12"/>
  <c r="DD91" i="12"/>
  <c r="DE91" i="12"/>
  <c r="DF91" i="12"/>
  <c r="DG91" i="12"/>
  <c r="DH91" i="12"/>
  <c r="DI91" i="12"/>
  <c r="DJ91" i="12"/>
  <c r="DK91" i="12"/>
  <c r="DL91" i="12"/>
  <c r="DM91" i="12"/>
  <c r="DN91" i="12"/>
  <c r="DO91" i="12"/>
  <c r="DP91" i="12"/>
  <c r="DQ91" i="12"/>
  <c r="DR91" i="12"/>
  <c r="DS91" i="12"/>
  <c r="DT91" i="12"/>
  <c r="DU91" i="12"/>
  <c r="O92" i="12"/>
  <c r="P92" i="12"/>
  <c r="Q92" i="12"/>
  <c r="R92" i="12"/>
  <c r="S92" i="12"/>
  <c r="T92" i="12"/>
  <c r="U92" i="12"/>
  <c r="V92" i="12"/>
  <c r="W92" i="12"/>
  <c r="X92" i="12"/>
  <c r="Y92" i="12"/>
  <c r="Z92" i="12"/>
  <c r="AA92" i="12"/>
  <c r="AB92" i="12"/>
  <c r="AC92" i="12"/>
  <c r="AD92" i="12"/>
  <c r="AE92" i="12"/>
  <c r="AF92" i="12"/>
  <c r="AG92" i="12"/>
  <c r="AH92" i="12"/>
  <c r="AI92" i="12"/>
  <c r="AJ92" i="12"/>
  <c r="AK92" i="12"/>
  <c r="AL92" i="12"/>
  <c r="AM92" i="12"/>
  <c r="AN92" i="12"/>
  <c r="AO92" i="12"/>
  <c r="AP92" i="12"/>
  <c r="AQ92" i="12"/>
  <c r="AR92" i="12"/>
  <c r="AS92" i="12"/>
  <c r="AT92" i="12"/>
  <c r="AU92" i="12"/>
  <c r="AV92" i="12"/>
  <c r="AW92" i="12"/>
  <c r="AX92" i="12"/>
  <c r="AY92" i="12"/>
  <c r="AZ92" i="12"/>
  <c r="BA92" i="12"/>
  <c r="BB92" i="12"/>
  <c r="BC92" i="12"/>
  <c r="BD92" i="12"/>
  <c r="BE92" i="12"/>
  <c r="BF92" i="12"/>
  <c r="BG92" i="12"/>
  <c r="BH92" i="12"/>
  <c r="BI92" i="12"/>
  <c r="BJ92" i="12"/>
  <c r="BK92" i="12"/>
  <c r="BL92" i="12"/>
  <c r="BM92" i="12"/>
  <c r="BN92" i="12"/>
  <c r="BO92" i="12"/>
  <c r="BP92" i="12"/>
  <c r="BQ92" i="12"/>
  <c r="BR92" i="12"/>
  <c r="BS92" i="12"/>
  <c r="BT92" i="12"/>
  <c r="BU92" i="12"/>
  <c r="BV92" i="12"/>
  <c r="BW92" i="12"/>
  <c r="BX92" i="12"/>
  <c r="BY92" i="12"/>
  <c r="BZ92" i="12"/>
  <c r="CA92" i="12"/>
  <c r="CB92" i="12"/>
  <c r="CC92" i="12"/>
  <c r="CD92" i="12"/>
  <c r="CE92" i="12"/>
  <c r="CF92" i="12"/>
  <c r="CG92" i="12"/>
  <c r="CH92" i="12"/>
  <c r="CI92" i="12"/>
  <c r="CJ92" i="12"/>
  <c r="CK92" i="12"/>
  <c r="CL92" i="12"/>
  <c r="CM92" i="12"/>
  <c r="CN92" i="12"/>
  <c r="CO92" i="12"/>
  <c r="CP92" i="12"/>
  <c r="CQ92" i="12"/>
  <c r="CR92" i="12"/>
  <c r="CS92" i="12"/>
  <c r="CT92" i="12"/>
  <c r="CU92" i="12"/>
  <c r="CV92" i="12"/>
  <c r="CW92" i="12"/>
  <c r="CX92" i="12"/>
  <c r="CY92" i="12"/>
  <c r="CZ92" i="12"/>
  <c r="DA92" i="12"/>
  <c r="DB92" i="12"/>
  <c r="DC92" i="12"/>
  <c r="DD92" i="12"/>
  <c r="DE92" i="12"/>
  <c r="DF92" i="12"/>
  <c r="DG92" i="12"/>
  <c r="DH92" i="12"/>
  <c r="DI92" i="12"/>
  <c r="DJ92" i="12"/>
  <c r="DK92" i="12"/>
  <c r="DL92" i="12"/>
  <c r="DM92" i="12"/>
  <c r="DN92" i="12"/>
  <c r="DO92" i="12"/>
  <c r="DP92" i="12"/>
  <c r="DQ92" i="12"/>
  <c r="DR92" i="12"/>
  <c r="DS92" i="12"/>
  <c r="DT92" i="12"/>
  <c r="DU92" i="12"/>
  <c r="O93" i="12"/>
  <c r="P93" i="12"/>
  <c r="Q93" i="12"/>
  <c r="R93" i="12"/>
  <c r="S93" i="12"/>
  <c r="T93" i="12"/>
  <c r="U93" i="12"/>
  <c r="V93" i="12"/>
  <c r="W93" i="12"/>
  <c r="X93" i="12"/>
  <c r="Y93" i="12"/>
  <c r="Z93" i="12"/>
  <c r="AA93" i="12"/>
  <c r="AB93" i="12"/>
  <c r="AC93" i="12"/>
  <c r="AD93" i="12"/>
  <c r="AE93" i="12"/>
  <c r="AF93" i="12"/>
  <c r="AG93" i="12"/>
  <c r="AH93" i="12"/>
  <c r="AI93" i="12"/>
  <c r="AJ93" i="12"/>
  <c r="AK93" i="12"/>
  <c r="AL93" i="12"/>
  <c r="AM93" i="12"/>
  <c r="AN93" i="12"/>
  <c r="AO93" i="12"/>
  <c r="AP93" i="12"/>
  <c r="AQ93" i="12"/>
  <c r="AR93" i="12"/>
  <c r="AS93" i="12"/>
  <c r="AT93" i="12"/>
  <c r="AU93" i="12"/>
  <c r="AV93" i="12"/>
  <c r="AW93" i="12"/>
  <c r="AX93" i="12"/>
  <c r="AY93" i="12"/>
  <c r="AZ93" i="12"/>
  <c r="BA93" i="12"/>
  <c r="BB93" i="12"/>
  <c r="BC93" i="12"/>
  <c r="BD93" i="12"/>
  <c r="BE93" i="12"/>
  <c r="BF93" i="12"/>
  <c r="BG93" i="12"/>
  <c r="BH93" i="12"/>
  <c r="BI93" i="12"/>
  <c r="BJ93" i="12"/>
  <c r="BK93" i="12"/>
  <c r="BL93" i="12"/>
  <c r="BM93" i="12"/>
  <c r="BN93" i="12"/>
  <c r="BO93" i="12"/>
  <c r="BP93" i="12"/>
  <c r="BQ93" i="12"/>
  <c r="BR93" i="12"/>
  <c r="BS93" i="12"/>
  <c r="BT93" i="12"/>
  <c r="BU93" i="12"/>
  <c r="BV93" i="12"/>
  <c r="BW93" i="12"/>
  <c r="BX93" i="12"/>
  <c r="BY93" i="12"/>
  <c r="BZ93" i="12"/>
  <c r="CA93" i="12"/>
  <c r="CB93" i="12"/>
  <c r="CC93" i="12"/>
  <c r="CD93" i="12"/>
  <c r="CE93" i="12"/>
  <c r="CF93" i="12"/>
  <c r="CG93" i="12"/>
  <c r="CH93" i="12"/>
  <c r="CI93" i="12"/>
  <c r="CJ93" i="12"/>
  <c r="CK93" i="12"/>
  <c r="CL93" i="12"/>
  <c r="CM93" i="12"/>
  <c r="CN93" i="12"/>
  <c r="CO93" i="12"/>
  <c r="CP93" i="12"/>
  <c r="CQ93" i="12"/>
  <c r="CR93" i="12"/>
  <c r="CS93" i="12"/>
  <c r="CT93" i="12"/>
  <c r="CU93" i="12"/>
  <c r="CV93" i="12"/>
  <c r="CW93" i="12"/>
  <c r="CX93" i="12"/>
  <c r="CY93" i="12"/>
  <c r="CZ93" i="12"/>
  <c r="DA93" i="12"/>
  <c r="DB93" i="12"/>
  <c r="DC93" i="12"/>
  <c r="DD93" i="12"/>
  <c r="DE93" i="12"/>
  <c r="DF93" i="12"/>
  <c r="DG93" i="12"/>
  <c r="DH93" i="12"/>
  <c r="DI93" i="12"/>
  <c r="DJ93" i="12"/>
  <c r="DK93" i="12"/>
  <c r="DL93" i="12"/>
  <c r="DM93" i="12"/>
  <c r="DN93" i="12"/>
  <c r="DO93" i="12"/>
  <c r="DP93" i="12"/>
  <c r="DQ93" i="12"/>
  <c r="DR93" i="12"/>
  <c r="DS93" i="12"/>
  <c r="DT93" i="12"/>
  <c r="DU93" i="12"/>
  <c r="O94" i="12"/>
  <c r="P94" i="12"/>
  <c r="Q94" i="12"/>
  <c r="R94" i="12"/>
  <c r="S94" i="12"/>
  <c r="T94" i="12"/>
  <c r="U94" i="12"/>
  <c r="V94" i="12"/>
  <c r="W94" i="12"/>
  <c r="X94" i="12"/>
  <c r="Y94" i="12"/>
  <c r="Z94" i="12"/>
  <c r="AA94" i="12"/>
  <c r="AB94" i="12"/>
  <c r="AC94" i="12"/>
  <c r="AD94" i="12"/>
  <c r="AE94" i="12"/>
  <c r="AF94" i="12"/>
  <c r="AG94" i="12"/>
  <c r="AH94" i="12"/>
  <c r="AI94" i="12"/>
  <c r="AJ94" i="12"/>
  <c r="AK94" i="12"/>
  <c r="AL94" i="12"/>
  <c r="AM94" i="12"/>
  <c r="AN94" i="12"/>
  <c r="AO94" i="12"/>
  <c r="AP94" i="12"/>
  <c r="AQ94" i="12"/>
  <c r="AR94" i="12"/>
  <c r="AS94" i="12"/>
  <c r="AT94" i="12"/>
  <c r="AU94" i="12"/>
  <c r="AV94" i="12"/>
  <c r="AW94" i="12"/>
  <c r="AX94" i="12"/>
  <c r="AY94" i="12"/>
  <c r="AZ94" i="12"/>
  <c r="BA94" i="12"/>
  <c r="BB94" i="12"/>
  <c r="BC94" i="12"/>
  <c r="BD94" i="12"/>
  <c r="BE94" i="12"/>
  <c r="BF94" i="12"/>
  <c r="BG94" i="12"/>
  <c r="BH94" i="12"/>
  <c r="BI94" i="12"/>
  <c r="BJ94" i="12"/>
  <c r="BK94" i="12"/>
  <c r="BL94" i="12"/>
  <c r="BM94" i="12"/>
  <c r="BN94" i="12"/>
  <c r="BO94" i="12"/>
  <c r="BP94" i="12"/>
  <c r="BQ94" i="12"/>
  <c r="BR94" i="12"/>
  <c r="BS94" i="12"/>
  <c r="BT94" i="12"/>
  <c r="BU94" i="12"/>
  <c r="BV94" i="12"/>
  <c r="BW94" i="12"/>
  <c r="BX94" i="12"/>
  <c r="BY94" i="12"/>
  <c r="BZ94" i="12"/>
  <c r="CA94" i="12"/>
  <c r="CB94" i="12"/>
  <c r="CC94" i="12"/>
  <c r="CD94" i="12"/>
  <c r="CE94" i="12"/>
  <c r="CF94" i="12"/>
  <c r="CG94" i="12"/>
  <c r="CH94" i="12"/>
  <c r="CI94" i="12"/>
  <c r="CJ94" i="12"/>
  <c r="CK94" i="12"/>
  <c r="CL94" i="12"/>
  <c r="CM94" i="12"/>
  <c r="CN94" i="12"/>
  <c r="CO94" i="12"/>
  <c r="CP94" i="12"/>
  <c r="CQ94" i="12"/>
  <c r="CR94" i="12"/>
  <c r="CS94" i="12"/>
  <c r="CT94" i="12"/>
  <c r="CU94" i="12"/>
  <c r="CV94" i="12"/>
  <c r="CW94" i="12"/>
  <c r="CX94" i="12"/>
  <c r="CY94" i="12"/>
  <c r="CZ94" i="12"/>
  <c r="DA94" i="12"/>
  <c r="DB94" i="12"/>
  <c r="DC94" i="12"/>
  <c r="DD94" i="12"/>
  <c r="DE94" i="12"/>
  <c r="DF94" i="12"/>
  <c r="DG94" i="12"/>
  <c r="DH94" i="12"/>
  <c r="DI94" i="12"/>
  <c r="DJ94" i="12"/>
  <c r="DK94" i="12"/>
  <c r="DL94" i="12"/>
  <c r="DM94" i="12"/>
  <c r="DN94" i="12"/>
  <c r="DO94" i="12"/>
  <c r="DP94" i="12"/>
  <c r="DQ94" i="12"/>
  <c r="DR94" i="12"/>
  <c r="DS94" i="12"/>
  <c r="DT94" i="12"/>
  <c r="DU94" i="12"/>
  <c r="O95" i="12"/>
  <c r="P95" i="12"/>
  <c r="Q95" i="12"/>
  <c r="R95" i="12"/>
  <c r="S95" i="12"/>
  <c r="T95" i="12"/>
  <c r="U95" i="12"/>
  <c r="V95" i="12"/>
  <c r="W95" i="12"/>
  <c r="X95" i="12"/>
  <c r="Y95" i="12"/>
  <c r="Z95" i="12"/>
  <c r="AA95" i="12"/>
  <c r="AB95" i="12"/>
  <c r="AC95" i="12"/>
  <c r="AD95" i="12"/>
  <c r="AE95" i="12"/>
  <c r="AF95" i="12"/>
  <c r="AG95" i="12"/>
  <c r="AH95" i="12"/>
  <c r="AI95" i="12"/>
  <c r="AJ95" i="12"/>
  <c r="AK95" i="12"/>
  <c r="AL95" i="12"/>
  <c r="AM95" i="12"/>
  <c r="AN95" i="12"/>
  <c r="AO95" i="12"/>
  <c r="AP95" i="12"/>
  <c r="AQ95" i="12"/>
  <c r="AR95" i="12"/>
  <c r="AS95" i="12"/>
  <c r="AT95" i="12"/>
  <c r="AU95" i="12"/>
  <c r="AV95" i="12"/>
  <c r="AW95" i="12"/>
  <c r="AX95" i="12"/>
  <c r="AY95" i="12"/>
  <c r="AZ95" i="12"/>
  <c r="BA95" i="12"/>
  <c r="BB95" i="12"/>
  <c r="BC95" i="12"/>
  <c r="BD95" i="12"/>
  <c r="BE95" i="12"/>
  <c r="BF95" i="12"/>
  <c r="BG95" i="12"/>
  <c r="BH95" i="12"/>
  <c r="BI95" i="12"/>
  <c r="BJ95" i="12"/>
  <c r="BK95" i="12"/>
  <c r="BL95" i="12"/>
  <c r="BM95" i="12"/>
  <c r="BN95" i="12"/>
  <c r="BO95" i="12"/>
  <c r="BP95" i="12"/>
  <c r="BQ95" i="12"/>
  <c r="BR95" i="12"/>
  <c r="BS95" i="12"/>
  <c r="BT95" i="12"/>
  <c r="BU95" i="12"/>
  <c r="BV95" i="12"/>
  <c r="BW95" i="12"/>
  <c r="BX95" i="12"/>
  <c r="BY95" i="12"/>
  <c r="BZ95" i="12"/>
  <c r="CA95" i="12"/>
  <c r="CB95" i="12"/>
  <c r="CC95" i="12"/>
  <c r="CD95" i="12"/>
  <c r="CE95" i="12"/>
  <c r="CF95" i="12"/>
  <c r="CG95" i="12"/>
  <c r="CH95" i="12"/>
  <c r="CI95" i="12"/>
  <c r="CJ95" i="12"/>
  <c r="CK95" i="12"/>
  <c r="CL95" i="12"/>
  <c r="CM95" i="12"/>
  <c r="CN95" i="12"/>
  <c r="CO95" i="12"/>
  <c r="CP95" i="12"/>
  <c r="CQ95" i="12"/>
  <c r="CR95" i="12"/>
  <c r="CS95" i="12"/>
  <c r="CT95" i="12"/>
  <c r="CU95" i="12"/>
  <c r="CV95" i="12"/>
  <c r="CW95" i="12"/>
  <c r="CX95" i="12"/>
  <c r="CY95" i="12"/>
  <c r="CZ95" i="12"/>
  <c r="DA95" i="12"/>
  <c r="DB95" i="12"/>
  <c r="DC95" i="12"/>
  <c r="DD95" i="12"/>
  <c r="DE95" i="12"/>
  <c r="DF95" i="12"/>
  <c r="DG95" i="12"/>
  <c r="DH95" i="12"/>
  <c r="DI95" i="12"/>
  <c r="DJ95" i="12"/>
  <c r="DK95" i="12"/>
  <c r="DL95" i="12"/>
  <c r="DM95" i="12"/>
  <c r="DN95" i="12"/>
  <c r="DO95" i="12"/>
  <c r="DP95" i="12"/>
  <c r="DQ95" i="12"/>
  <c r="DR95" i="12"/>
  <c r="DS95" i="12"/>
  <c r="DT95" i="12"/>
  <c r="DU95" i="12"/>
  <c r="O96" i="12"/>
  <c r="P96" i="12"/>
  <c r="Q96" i="12"/>
  <c r="R96" i="12"/>
  <c r="S96" i="12"/>
  <c r="T96" i="12"/>
  <c r="U96" i="12"/>
  <c r="V96" i="12"/>
  <c r="W96" i="12"/>
  <c r="X96" i="12"/>
  <c r="Y96" i="12"/>
  <c r="Z96" i="12"/>
  <c r="AA96" i="12"/>
  <c r="AB96" i="12"/>
  <c r="AC96" i="12"/>
  <c r="AD96" i="12"/>
  <c r="AE96" i="12"/>
  <c r="AF96" i="12"/>
  <c r="AG96" i="12"/>
  <c r="AH96" i="12"/>
  <c r="AI96" i="12"/>
  <c r="AJ96" i="12"/>
  <c r="AK96" i="12"/>
  <c r="AL96" i="12"/>
  <c r="AM96" i="12"/>
  <c r="AN96" i="12"/>
  <c r="AO96" i="12"/>
  <c r="AP96" i="12"/>
  <c r="AQ96" i="12"/>
  <c r="AR96" i="12"/>
  <c r="AS96" i="12"/>
  <c r="AT96" i="12"/>
  <c r="AU96" i="12"/>
  <c r="AV96" i="12"/>
  <c r="AW96" i="12"/>
  <c r="AX96" i="12"/>
  <c r="AY96" i="12"/>
  <c r="AZ96" i="12"/>
  <c r="BA96" i="12"/>
  <c r="BB96" i="12"/>
  <c r="BC96" i="12"/>
  <c r="BD96" i="12"/>
  <c r="BE96" i="12"/>
  <c r="BF96" i="12"/>
  <c r="BG96" i="12"/>
  <c r="BH96" i="12"/>
  <c r="BI96" i="12"/>
  <c r="BJ96" i="12"/>
  <c r="BK96" i="12"/>
  <c r="BL96" i="12"/>
  <c r="BM96" i="12"/>
  <c r="BN96" i="12"/>
  <c r="BO96" i="12"/>
  <c r="BP96" i="12"/>
  <c r="BQ96" i="12"/>
  <c r="BR96" i="12"/>
  <c r="BS96" i="12"/>
  <c r="BT96" i="12"/>
  <c r="BU96" i="12"/>
  <c r="BV96" i="12"/>
  <c r="BW96" i="12"/>
  <c r="BX96" i="12"/>
  <c r="BY96" i="12"/>
  <c r="BZ96" i="12"/>
  <c r="CA96" i="12"/>
  <c r="CB96" i="12"/>
  <c r="CC96" i="12"/>
  <c r="CD96" i="12"/>
  <c r="CE96" i="12"/>
  <c r="CF96" i="12"/>
  <c r="CG96" i="12"/>
  <c r="CH96" i="12"/>
  <c r="CI96" i="12"/>
  <c r="CJ96" i="12"/>
  <c r="CK96" i="12"/>
  <c r="CL96" i="12"/>
  <c r="CM96" i="12"/>
  <c r="CN96" i="12"/>
  <c r="CO96" i="12"/>
  <c r="CP96" i="12"/>
  <c r="CQ96" i="12"/>
  <c r="CR96" i="12"/>
  <c r="CS96" i="12"/>
  <c r="CT96" i="12"/>
  <c r="CU96" i="12"/>
  <c r="CV96" i="12"/>
  <c r="CW96" i="12"/>
  <c r="CX96" i="12"/>
  <c r="CY96" i="12"/>
  <c r="CZ96" i="12"/>
  <c r="DA96" i="12"/>
  <c r="DB96" i="12"/>
  <c r="DC96" i="12"/>
  <c r="DD96" i="12"/>
  <c r="DE96" i="12"/>
  <c r="DF96" i="12"/>
  <c r="DG96" i="12"/>
  <c r="DH96" i="12"/>
  <c r="DI96" i="12"/>
  <c r="DJ96" i="12"/>
  <c r="DK96" i="12"/>
  <c r="DL96" i="12"/>
  <c r="DM96" i="12"/>
  <c r="DN96" i="12"/>
  <c r="DO96" i="12"/>
  <c r="DP96" i="12"/>
  <c r="DQ96" i="12"/>
  <c r="DR96" i="12"/>
  <c r="DS96" i="12"/>
  <c r="DT96" i="12"/>
  <c r="DU96" i="12"/>
  <c r="O97" i="12"/>
  <c r="P97" i="12"/>
  <c r="Q97" i="12"/>
  <c r="R97" i="12"/>
  <c r="S97" i="12"/>
  <c r="T97" i="12"/>
  <c r="U97" i="12"/>
  <c r="V97" i="12"/>
  <c r="W97" i="12"/>
  <c r="X97" i="12"/>
  <c r="Y97" i="12"/>
  <c r="Z97" i="12"/>
  <c r="AA97" i="12"/>
  <c r="AB97" i="12"/>
  <c r="AC97" i="12"/>
  <c r="AD97" i="12"/>
  <c r="AE97" i="12"/>
  <c r="AF97" i="12"/>
  <c r="AG97" i="12"/>
  <c r="AH97" i="12"/>
  <c r="AI97" i="12"/>
  <c r="AJ97" i="12"/>
  <c r="AK97" i="12"/>
  <c r="AL97" i="12"/>
  <c r="AM97" i="12"/>
  <c r="AN97" i="12"/>
  <c r="AO97" i="12"/>
  <c r="AP97" i="12"/>
  <c r="AQ97" i="12"/>
  <c r="AR97" i="12"/>
  <c r="AS97" i="12"/>
  <c r="AT97" i="12"/>
  <c r="AU97" i="12"/>
  <c r="AV97" i="12"/>
  <c r="AW97" i="12"/>
  <c r="AX97" i="12"/>
  <c r="AY97" i="12"/>
  <c r="AZ97" i="12"/>
  <c r="BA97" i="12"/>
  <c r="BB97" i="12"/>
  <c r="BC97" i="12"/>
  <c r="BD97" i="12"/>
  <c r="BE97" i="12"/>
  <c r="BF97" i="12"/>
  <c r="BG97" i="12"/>
  <c r="BH97" i="12"/>
  <c r="BI97" i="12"/>
  <c r="BJ97" i="12"/>
  <c r="BK97" i="12"/>
  <c r="BL97" i="12"/>
  <c r="BM97" i="12"/>
  <c r="BN97" i="12"/>
  <c r="BO97" i="12"/>
  <c r="BP97" i="12"/>
  <c r="BQ97" i="12"/>
  <c r="BR97" i="12"/>
  <c r="BS97" i="12"/>
  <c r="BT97" i="12"/>
  <c r="BU97" i="12"/>
  <c r="BV97" i="12"/>
  <c r="BW97" i="12"/>
  <c r="BX97" i="12"/>
  <c r="BY97" i="12"/>
  <c r="BZ97" i="12"/>
  <c r="CA97" i="12"/>
  <c r="CB97" i="12"/>
  <c r="CC97" i="12"/>
  <c r="CD97" i="12"/>
  <c r="CE97" i="12"/>
  <c r="CF97" i="12"/>
  <c r="CG97" i="12"/>
  <c r="CH97" i="12"/>
  <c r="CI97" i="12"/>
  <c r="CJ97" i="12"/>
  <c r="CK97" i="12"/>
  <c r="CL97" i="12"/>
  <c r="CM97" i="12"/>
  <c r="CN97" i="12"/>
  <c r="CO97" i="12"/>
  <c r="CP97" i="12"/>
  <c r="CQ97" i="12"/>
  <c r="CR97" i="12"/>
  <c r="CS97" i="12"/>
  <c r="CT97" i="12"/>
  <c r="CU97" i="12"/>
  <c r="CV97" i="12"/>
  <c r="CW97" i="12"/>
  <c r="CX97" i="12"/>
  <c r="CY97" i="12"/>
  <c r="CZ97" i="12"/>
  <c r="DA97" i="12"/>
  <c r="DB97" i="12"/>
  <c r="DC97" i="12"/>
  <c r="DD97" i="12"/>
  <c r="DE97" i="12"/>
  <c r="DF97" i="12"/>
  <c r="DG97" i="12"/>
  <c r="DH97" i="12"/>
  <c r="DI97" i="12"/>
  <c r="DJ97" i="12"/>
  <c r="DK97" i="12"/>
  <c r="DL97" i="12"/>
  <c r="DM97" i="12"/>
  <c r="DN97" i="12"/>
  <c r="DO97" i="12"/>
  <c r="DP97" i="12"/>
  <c r="DQ97" i="12"/>
  <c r="DR97" i="12"/>
  <c r="DS97" i="12"/>
  <c r="DT97" i="12"/>
  <c r="DU97" i="12"/>
  <c r="O98" i="12"/>
  <c r="P98" i="12"/>
  <c r="Q98" i="12"/>
  <c r="R98" i="12"/>
  <c r="S98" i="12"/>
  <c r="T98" i="12"/>
  <c r="U98" i="12"/>
  <c r="V98" i="12"/>
  <c r="W98" i="12"/>
  <c r="X98" i="12"/>
  <c r="Y98" i="12"/>
  <c r="Z98" i="12"/>
  <c r="AA98" i="12"/>
  <c r="AB98" i="12"/>
  <c r="AC98" i="12"/>
  <c r="AD98" i="12"/>
  <c r="AE98" i="12"/>
  <c r="AF98" i="12"/>
  <c r="AG98" i="12"/>
  <c r="AH98" i="12"/>
  <c r="AI98" i="12"/>
  <c r="AJ98" i="12"/>
  <c r="AK98" i="12"/>
  <c r="AL98" i="12"/>
  <c r="AM98" i="12"/>
  <c r="AN98" i="12"/>
  <c r="AO98" i="12"/>
  <c r="AP98" i="12"/>
  <c r="AQ98" i="12"/>
  <c r="AR98" i="12"/>
  <c r="AS98" i="12"/>
  <c r="AT98" i="12"/>
  <c r="AU98" i="12"/>
  <c r="AV98" i="12"/>
  <c r="AW98" i="12"/>
  <c r="AX98" i="12"/>
  <c r="AY98" i="12"/>
  <c r="AZ98" i="12"/>
  <c r="BA98" i="12"/>
  <c r="BB98" i="12"/>
  <c r="BC98" i="12"/>
  <c r="BD98" i="12"/>
  <c r="BE98" i="12"/>
  <c r="BF98" i="12"/>
  <c r="BG98" i="12"/>
  <c r="BH98" i="12"/>
  <c r="BI98" i="12"/>
  <c r="BJ98" i="12"/>
  <c r="BK98" i="12"/>
  <c r="BL98" i="12"/>
  <c r="BM98" i="12"/>
  <c r="BN98" i="12"/>
  <c r="BO98" i="12"/>
  <c r="BP98" i="12"/>
  <c r="BQ98" i="12"/>
  <c r="BR98" i="12"/>
  <c r="BS98" i="12"/>
  <c r="BT98" i="12"/>
  <c r="BU98" i="12"/>
  <c r="BV98" i="12"/>
  <c r="BW98" i="12"/>
  <c r="BX98" i="12"/>
  <c r="BY98" i="12"/>
  <c r="BZ98" i="12"/>
  <c r="CA98" i="12"/>
  <c r="CB98" i="12"/>
  <c r="CC98" i="12"/>
  <c r="CD98" i="12"/>
  <c r="CE98" i="12"/>
  <c r="CF98" i="12"/>
  <c r="CG98" i="12"/>
  <c r="CH98" i="12"/>
  <c r="CI98" i="12"/>
  <c r="CJ98" i="12"/>
  <c r="CK98" i="12"/>
  <c r="CL98" i="12"/>
  <c r="CM98" i="12"/>
  <c r="CN98" i="12"/>
  <c r="CO98" i="12"/>
  <c r="CP98" i="12"/>
  <c r="CQ98" i="12"/>
  <c r="CR98" i="12"/>
  <c r="CS98" i="12"/>
  <c r="CT98" i="12"/>
  <c r="CU98" i="12"/>
  <c r="CV98" i="12"/>
  <c r="CW98" i="12"/>
  <c r="CX98" i="12"/>
  <c r="CY98" i="12"/>
  <c r="CZ98" i="12"/>
  <c r="DA98" i="12"/>
  <c r="DB98" i="12"/>
  <c r="DC98" i="12"/>
  <c r="DD98" i="12"/>
  <c r="DE98" i="12"/>
  <c r="DF98" i="12"/>
  <c r="DG98" i="12"/>
  <c r="DH98" i="12"/>
  <c r="DI98" i="12"/>
  <c r="DJ98" i="12"/>
  <c r="DK98" i="12"/>
  <c r="DL98" i="12"/>
  <c r="DM98" i="12"/>
  <c r="DN98" i="12"/>
  <c r="DO98" i="12"/>
  <c r="DP98" i="12"/>
  <c r="DQ98" i="12"/>
  <c r="DR98" i="12"/>
  <c r="DS98" i="12"/>
  <c r="DT98" i="12"/>
  <c r="DU98" i="12"/>
  <c r="O99" i="12"/>
  <c r="P99" i="12"/>
  <c r="Q99" i="12"/>
  <c r="R99" i="12"/>
  <c r="S99" i="12"/>
  <c r="T99" i="12"/>
  <c r="U99" i="12"/>
  <c r="V99" i="12"/>
  <c r="W99" i="12"/>
  <c r="X99" i="12"/>
  <c r="Y99" i="12"/>
  <c r="Z99" i="12"/>
  <c r="AA99" i="12"/>
  <c r="AB99" i="12"/>
  <c r="AC99" i="12"/>
  <c r="AD99" i="12"/>
  <c r="AE99" i="12"/>
  <c r="AF99" i="12"/>
  <c r="AG99" i="12"/>
  <c r="AH99" i="12"/>
  <c r="AI99" i="12"/>
  <c r="AJ99" i="12"/>
  <c r="AK99" i="12"/>
  <c r="AL99" i="12"/>
  <c r="AM99" i="12"/>
  <c r="AN99" i="12"/>
  <c r="AO99" i="12"/>
  <c r="AP99" i="12"/>
  <c r="AQ99" i="12"/>
  <c r="AR99" i="12"/>
  <c r="AS99" i="12"/>
  <c r="AT99" i="12"/>
  <c r="AU99" i="12"/>
  <c r="AV99" i="12"/>
  <c r="AW99" i="12"/>
  <c r="AX99" i="12"/>
  <c r="AY99" i="12"/>
  <c r="AZ99" i="12"/>
  <c r="BA99" i="12"/>
  <c r="BB99" i="12"/>
  <c r="BC99" i="12"/>
  <c r="BD99" i="12"/>
  <c r="BE99" i="12"/>
  <c r="BF99" i="12"/>
  <c r="BG99" i="12"/>
  <c r="BH99" i="12"/>
  <c r="BI99" i="12"/>
  <c r="BJ99" i="12"/>
  <c r="BK99" i="12"/>
  <c r="BL99" i="12"/>
  <c r="BM99" i="12"/>
  <c r="BN99" i="12"/>
  <c r="BO99" i="12"/>
  <c r="BP99" i="12"/>
  <c r="BQ99" i="12"/>
  <c r="BR99" i="12"/>
  <c r="BS99" i="12"/>
  <c r="BT99" i="12"/>
  <c r="BU99" i="12"/>
  <c r="BV99" i="12"/>
  <c r="BW99" i="12"/>
  <c r="BX99" i="12"/>
  <c r="BY99" i="12"/>
  <c r="BZ99" i="12"/>
  <c r="CA99" i="12"/>
  <c r="CB99" i="12"/>
  <c r="CC99" i="12"/>
  <c r="CD99" i="12"/>
  <c r="CE99" i="12"/>
  <c r="CF99" i="12"/>
  <c r="CG99" i="12"/>
  <c r="CH99" i="12"/>
  <c r="CI99" i="12"/>
  <c r="CJ99" i="12"/>
  <c r="CK99" i="12"/>
  <c r="CL99" i="12"/>
  <c r="CM99" i="12"/>
  <c r="CN99" i="12"/>
  <c r="CO99" i="12"/>
  <c r="CP99" i="12"/>
  <c r="CQ99" i="12"/>
  <c r="CR99" i="12"/>
  <c r="CS99" i="12"/>
  <c r="CT99" i="12"/>
  <c r="CU99" i="12"/>
  <c r="CV99" i="12"/>
  <c r="CW99" i="12"/>
  <c r="CX99" i="12"/>
  <c r="CY99" i="12"/>
  <c r="CZ99" i="12"/>
  <c r="DA99" i="12"/>
  <c r="DB99" i="12"/>
  <c r="DC99" i="12"/>
  <c r="DD99" i="12"/>
  <c r="DE99" i="12"/>
  <c r="DF99" i="12"/>
  <c r="DG99" i="12"/>
  <c r="DH99" i="12"/>
  <c r="DI99" i="12"/>
  <c r="DJ99" i="12"/>
  <c r="DK99" i="12"/>
  <c r="DL99" i="12"/>
  <c r="DM99" i="12"/>
  <c r="DN99" i="12"/>
  <c r="DO99" i="12"/>
  <c r="DP99" i="12"/>
  <c r="DQ99" i="12"/>
  <c r="DR99" i="12"/>
  <c r="DS99" i="12"/>
  <c r="DT99" i="12"/>
  <c r="DU99" i="12"/>
  <c r="O100" i="12"/>
  <c r="P100" i="12"/>
  <c r="Q100" i="12"/>
  <c r="R100" i="12"/>
  <c r="S100" i="12"/>
  <c r="T100" i="12"/>
  <c r="U100" i="12"/>
  <c r="V100" i="12"/>
  <c r="W100" i="12"/>
  <c r="X100" i="12"/>
  <c r="Y100" i="12"/>
  <c r="Z100" i="12"/>
  <c r="AA100" i="12"/>
  <c r="AB100" i="12"/>
  <c r="AC100" i="12"/>
  <c r="AD100" i="12"/>
  <c r="AE100" i="12"/>
  <c r="AF100" i="12"/>
  <c r="AG100" i="12"/>
  <c r="AH100" i="12"/>
  <c r="AI100" i="12"/>
  <c r="AJ100" i="12"/>
  <c r="AK100" i="12"/>
  <c r="AL100" i="12"/>
  <c r="AM100" i="12"/>
  <c r="AN100" i="12"/>
  <c r="AO100" i="12"/>
  <c r="AP100" i="12"/>
  <c r="AQ100" i="12"/>
  <c r="AR100" i="12"/>
  <c r="AS100" i="12"/>
  <c r="AT100" i="12"/>
  <c r="AU100" i="12"/>
  <c r="AV100" i="12"/>
  <c r="AW100" i="12"/>
  <c r="AX100" i="12"/>
  <c r="AY100" i="12"/>
  <c r="AZ100" i="12"/>
  <c r="BA100" i="12"/>
  <c r="BB100" i="12"/>
  <c r="BC100" i="12"/>
  <c r="BD100" i="12"/>
  <c r="BE100" i="12"/>
  <c r="BF100" i="12"/>
  <c r="BG100" i="12"/>
  <c r="BH100" i="12"/>
  <c r="BI100" i="12"/>
  <c r="BJ100" i="12"/>
  <c r="BK100" i="12"/>
  <c r="BL100" i="12"/>
  <c r="BM100" i="12"/>
  <c r="BN100" i="12"/>
  <c r="BO100" i="12"/>
  <c r="BP100" i="12"/>
  <c r="BQ100" i="12"/>
  <c r="BR100" i="12"/>
  <c r="BS100" i="12"/>
  <c r="BT100" i="12"/>
  <c r="BU100" i="12"/>
  <c r="BV100" i="12"/>
  <c r="BW100" i="12"/>
  <c r="BX100" i="12"/>
  <c r="BY100" i="12"/>
  <c r="BZ100" i="12"/>
  <c r="CA100" i="12"/>
  <c r="CB100" i="12"/>
  <c r="CC100" i="12"/>
  <c r="CD100" i="12"/>
  <c r="CE100" i="12"/>
  <c r="CF100" i="12"/>
  <c r="CG100" i="12"/>
  <c r="CH100" i="12"/>
  <c r="CI100" i="12"/>
  <c r="CJ100" i="12"/>
  <c r="CK100" i="12"/>
  <c r="CL100" i="12"/>
  <c r="CM100" i="12"/>
  <c r="CN100" i="12"/>
  <c r="CO100" i="12"/>
  <c r="CP100" i="12"/>
  <c r="CQ100" i="12"/>
  <c r="CR100" i="12"/>
  <c r="CS100" i="12"/>
  <c r="CT100" i="12"/>
  <c r="CU100" i="12"/>
  <c r="CV100" i="12"/>
  <c r="CW100" i="12"/>
  <c r="CX100" i="12"/>
  <c r="CY100" i="12"/>
  <c r="CZ100" i="12"/>
  <c r="DA100" i="12"/>
  <c r="DB100" i="12"/>
  <c r="DC100" i="12"/>
  <c r="DD100" i="12"/>
  <c r="DE100" i="12"/>
  <c r="DF100" i="12"/>
  <c r="DG100" i="12"/>
  <c r="DH100" i="12"/>
  <c r="DI100" i="12"/>
  <c r="DJ100" i="12"/>
  <c r="DK100" i="12"/>
  <c r="DL100" i="12"/>
  <c r="DM100" i="12"/>
  <c r="DN100" i="12"/>
  <c r="DO100" i="12"/>
  <c r="DP100" i="12"/>
  <c r="DQ100" i="12"/>
  <c r="DR100" i="12"/>
  <c r="DS100" i="12"/>
  <c r="DT100" i="12"/>
  <c r="DU100" i="12"/>
  <c r="O101" i="12"/>
  <c r="P101" i="12"/>
  <c r="Q101" i="12"/>
  <c r="R101" i="12"/>
  <c r="S101" i="12"/>
  <c r="T101" i="12"/>
  <c r="U101" i="12"/>
  <c r="V101" i="12"/>
  <c r="W101" i="12"/>
  <c r="X101" i="12"/>
  <c r="Y101" i="12"/>
  <c r="Z101" i="12"/>
  <c r="AA101" i="12"/>
  <c r="AB101" i="12"/>
  <c r="AC101" i="12"/>
  <c r="AD101" i="12"/>
  <c r="AE101" i="12"/>
  <c r="AF101" i="12"/>
  <c r="AG101" i="12"/>
  <c r="AH101" i="12"/>
  <c r="AI101" i="12"/>
  <c r="AJ101" i="12"/>
  <c r="AK101" i="12"/>
  <c r="AL101" i="12"/>
  <c r="AM101" i="12"/>
  <c r="AN101" i="12"/>
  <c r="AO101" i="12"/>
  <c r="AP101" i="12"/>
  <c r="AQ101" i="12"/>
  <c r="AR101" i="12"/>
  <c r="AS101" i="12"/>
  <c r="AT101" i="12"/>
  <c r="AU101" i="12"/>
  <c r="AV101" i="12"/>
  <c r="AW101" i="12"/>
  <c r="AX101" i="12"/>
  <c r="AY101" i="12"/>
  <c r="AZ101" i="12"/>
  <c r="BA101" i="12"/>
  <c r="BB101" i="12"/>
  <c r="BC101" i="12"/>
  <c r="BD101" i="12"/>
  <c r="BE101" i="12"/>
  <c r="BF101" i="12"/>
  <c r="BG101" i="12"/>
  <c r="BH101" i="12"/>
  <c r="BI101" i="12"/>
  <c r="BJ101" i="12"/>
  <c r="BK101" i="12"/>
  <c r="BL101" i="12"/>
  <c r="BM101" i="12"/>
  <c r="BN101" i="12"/>
  <c r="BO101" i="12"/>
  <c r="BP101" i="12"/>
  <c r="BQ101" i="12"/>
  <c r="BR101" i="12"/>
  <c r="BS101" i="12"/>
  <c r="BT101" i="12"/>
  <c r="BU101" i="12"/>
  <c r="BV101" i="12"/>
  <c r="BW101" i="12"/>
  <c r="BX101" i="12"/>
  <c r="BY101" i="12"/>
  <c r="BZ101" i="12"/>
  <c r="CA101" i="12"/>
  <c r="CB101" i="12"/>
  <c r="CC101" i="12"/>
  <c r="CD101" i="12"/>
  <c r="CE101" i="12"/>
  <c r="CF101" i="12"/>
  <c r="CG101" i="12"/>
  <c r="CH101" i="12"/>
  <c r="CI101" i="12"/>
  <c r="CJ101" i="12"/>
  <c r="CK101" i="12"/>
  <c r="CL101" i="12"/>
  <c r="CM101" i="12"/>
  <c r="CN101" i="12"/>
  <c r="CO101" i="12"/>
  <c r="CP101" i="12"/>
  <c r="CQ101" i="12"/>
  <c r="CR101" i="12"/>
  <c r="CS101" i="12"/>
  <c r="CT101" i="12"/>
  <c r="CU101" i="12"/>
  <c r="CV101" i="12"/>
  <c r="CW101" i="12"/>
  <c r="CX101" i="12"/>
  <c r="CY101" i="12"/>
  <c r="CZ101" i="12"/>
  <c r="DA101" i="12"/>
  <c r="DB101" i="12"/>
  <c r="DC101" i="12"/>
  <c r="DD101" i="12"/>
  <c r="DE101" i="12"/>
  <c r="DF101" i="12"/>
  <c r="DG101" i="12"/>
  <c r="DH101" i="12"/>
  <c r="DI101" i="12"/>
  <c r="DJ101" i="12"/>
  <c r="DK101" i="12"/>
  <c r="DL101" i="12"/>
  <c r="DM101" i="12"/>
  <c r="DN101" i="12"/>
  <c r="DO101" i="12"/>
  <c r="DP101" i="12"/>
  <c r="DQ101" i="12"/>
  <c r="DR101" i="12"/>
  <c r="DS101" i="12"/>
  <c r="DT101" i="12"/>
  <c r="DU101" i="12"/>
  <c r="O102" i="12"/>
  <c r="P102" i="12"/>
  <c r="Q102" i="12"/>
  <c r="R102" i="12"/>
  <c r="S102" i="12"/>
  <c r="T102" i="12"/>
  <c r="U102" i="12"/>
  <c r="V102" i="12"/>
  <c r="W102" i="12"/>
  <c r="X102" i="12"/>
  <c r="Y102" i="12"/>
  <c r="Z102" i="12"/>
  <c r="AA102" i="12"/>
  <c r="AB102" i="12"/>
  <c r="AC102" i="12"/>
  <c r="AD102" i="12"/>
  <c r="AE102" i="12"/>
  <c r="AF102" i="12"/>
  <c r="AG102" i="12"/>
  <c r="AH102" i="12"/>
  <c r="AI102" i="12"/>
  <c r="AJ102" i="12"/>
  <c r="AK102" i="12"/>
  <c r="AL102" i="12"/>
  <c r="AM102" i="12"/>
  <c r="AN102" i="12"/>
  <c r="AO102" i="12"/>
  <c r="AP102" i="12"/>
  <c r="AQ102" i="12"/>
  <c r="AR102" i="12"/>
  <c r="AS102" i="12"/>
  <c r="AT102" i="12"/>
  <c r="AU102" i="12"/>
  <c r="AV102" i="12"/>
  <c r="AW102" i="12"/>
  <c r="AX102" i="12"/>
  <c r="AY102" i="12"/>
  <c r="AZ102" i="12"/>
  <c r="BA102" i="12"/>
  <c r="BB102" i="12"/>
  <c r="BC102" i="12"/>
  <c r="BD102" i="12"/>
  <c r="BE102" i="12"/>
  <c r="BF102" i="12"/>
  <c r="BG102" i="12"/>
  <c r="BH102" i="12"/>
  <c r="BI102" i="12"/>
  <c r="BJ102" i="12"/>
  <c r="BK102" i="12"/>
  <c r="BL102" i="12"/>
  <c r="BM102" i="12"/>
  <c r="BN102" i="12"/>
  <c r="BO102" i="12"/>
  <c r="BP102" i="12"/>
  <c r="BQ102" i="12"/>
  <c r="BR102" i="12"/>
  <c r="BS102" i="12"/>
  <c r="BT102" i="12"/>
  <c r="BU102" i="12"/>
  <c r="BV102" i="12"/>
  <c r="BW102" i="12"/>
  <c r="BX102" i="12"/>
  <c r="BY102" i="12"/>
  <c r="BZ102" i="12"/>
  <c r="CA102" i="12"/>
  <c r="CB102" i="12"/>
  <c r="CC102" i="12"/>
  <c r="CD102" i="12"/>
  <c r="CE102" i="12"/>
  <c r="CF102" i="12"/>
  <c r="CG102" i="12"/>
  <c r="CH102" i="12"/>
  <c r="CI102" i="12"/>
  <c r="CJ102" i="12"/>
  <c r="CK102" i="12"/>
  <c r="CL102" i="12"/>
  <c r="CM102" i="12"/>
  <c r="CN102" i="12"/>
  <c r="CO102" i="12"/>
  <c r="CP102" i="12"/>
  <c r="CQ102" i="12"/>
  <c r="CR102" i="12"/>
  <c r="CS102" i="12"/>
  <c r="CT102" i="12"/>
  <c r="CU102" i="12"/>
  <c r="CV102" i="12"/>
  <c r="CW102" i="12"/>
  <c r="CX102" i="12"/>
  <c r="CY102" i="12"/>
  <c r="CZ102" i="12"/>
  <c r="DA102" i="12"/>
  <c r="DB102" i="12"/>
  <c r="DC102" i="12"/>
  <c r="DD102" i="12"/>
  <c r="DE102" i="12"/>
  <c r="DF102" i="12"/>
  <c r="DG102" i="12"/>
  <c r="DH102" i="12"/>
  <c r="DI102" i="12"/>
  <c r="DJ102" i="12"/>
  <c r="DK102" i="12"/>
  <c r="DL102" i="12"/>
  <c r="DM102" i="12"/>
  <c r="DN102" i="12"/>
  <c r="DO102" i="12"/>
  <c r="DP102" i="12"/>
  <c r="DQ102" i="12"/>
  <c r="DR102" i="12"/>
  <c r="DS102" i="12"/>
  <c r="DT102" i="12"/>
  <c r="DU102" i="12"/>
  <c r="O103" i="12"/>
  <c r="P103" i="12"/>
  <c r="Q103" i="12"/>
  <c r="R103" i="12"/>
  <c r="S103" i="12"/>
  <c r="T103" i="12"/>
  <c r="U103" i="12"/>
  <c r="V103" i="12"/>
  <c r="W103" i="12"/>
  <c r="X103" i="12"/>
  <c r="Y103" i="12"/>
  <c r="Z103" i="12"/>
  <c r="AA103" i="12"/>
  <c r="AB103" i="12"/>
  <c r="AC103" i="12"/>
  <c r="AD103" i="12"/>
  <c r="AE103" i="12"/>
  <c r="AF103" i="12"/>
  <c r="AG103" i="12"/>
  <c r="AH103" i="12"/>
  <c r="AI103" i="12"/>
  <c r="AJ103" i="12"/>
  <c r="AK103" i="12"/>
  <c r="AL103" i="12"/>
  <c r="AM103" i="12"/>
  <c r="AN103" i="12"/>
  <c r="AO103" i="12"/>
  <c r="AP103" i="12"/>
  <c r="AQ103" i="12"/>
  <c r="AR103" i="12"/>
  <c r="AS103" i="12"/>
  <c r="AT103" i="12"/>
  <c r="AU103" i="12"/>
  <c r="AV103" i="12"/>
  <c r="AW103" i="12"/>
  <c r="AX103" i="12"/>
  <c r="AY103" i="12"/>
  <c r="AZ103" i="12"/>
  <c r="BA103" i="12"/>
  <c r="BB103" i="12"/>
  <c r="BC103" i="12"/>
  <c r="BD103" i="12"/>
  <c r="BE103" i="12"/>
  <c r="BF103" i="12"/>
  <c r="BG103" i="12"/>
  <c r="BH103" i="12"/>
  <c r="BI103" i="12"/>
  <c r="BJ103" i="12"/>
  <c r="BK103" i="12"/>
  <c r="BL103" i="12"/>
  <c r="BM103" i="12"/>
  <c r="BN103" i="12"/>
  <c r="BO103" i="12"/>
  <c r="BP103" i="12"/>
  <c r="BQ103" i="12"/>
  <c r="BR103" i="12"/>
  <c r="BS103" i="12"/>
  <c r="BT103" i="12"/>
  <c r="BU103" i="12"/>
  <c r="BV103" i="12"/>
  <c r="BW103" i="12"/>
  <c r="BX103" i="12"/>
  <c r="BY103" i="12"/>
  <c r="BZ103" i="12"/>
  <c r="CA103" i="12"/>
  <c r="CB103" i="12"/>
  <c r="CC103" i="12"/>
  <c r="CD103" i="12"/>
  <c r="CE103" i="12"/>
  <c r="CF103" i="12"/>
  <c r="CG103" i="12"/>
  <c r="CH103" i="12"/>
  <c r="CI103" i="12"/>
  <c r="CJ103" i="12"/>
  <c r="CK103" i="12"/>
  <c r="CL103" i="12"/>
  <c r="CM103" i="12"/>
  <c r="CN103" i="12"/>
  <c r="CO103" i="12"/>
  <c r="CP103" i="12"/>
  <c r="CQ103" i="12"/>
  <c r="CR103" i="12"/>
  <c r="CS103" i="12"/>
  <c r="CT103" i="12"/>
  <c r="CU103" i="12"/>
  <c r="CV103" i="12"/>
  <c r="CW103" i="12"/>
  <c r="CX103" i="12"/>
  <c r="CY103" i="12"/>
  <c r="CZ103" i="12"/>
  <c r="DA103" i="12"/>
  <c r="DB103" i="12"/>
  <c r="DC103" i="12"/>
  <c r="DD103" i="12"/>
  <c r="DE103" i="12"/>
  <c r="DF103" i="12"/>
  <c r="DG103" i="12"/>
  <c r="DH103" i="12"/>
  <c r="DI103" i="12"/>
  <c r="DJ103" i="12"/>
  <c r="DK103" i="12"/>
  <c r="DL103" i="12"/>
  <c r="DM103" i="12"/>
  <c r="DN103" i="12"/>
  <c r="DO103" i="12"/>
  <c r="DP103" i="12"/>
  <c r="DQ103" i="12"/>
  <c r="DR103" i="12"/>
  <c r="DS103" i="12"/>
  <c r="DT103" i="12"/>
  <c r="DU103" i="12"/>
  <c r="O104" i="12"/>
  <c r="P104" i="12"/>
  <c r="Q104" i="12"/>
  <c r="R104" i="12"/>
  <c r="S104" i="12"/>
  <c r="T104" i="12"/>
  <c r="U104" i="12"/>
  <c r="V104" i="12"/>
  <c r="W104" i="12"/>
  <c r="X104" i="12"/>
  <c r="Y104" i="12"/>
  <c r="Z104" i="12"/>
  <c r="AA104" i="12"/>
  <c r="AB104" i="12"/>
  <c r="AC104" i="12"/>
  <c r="AD104" i="12"/>
  <c r="AE104" i="12"/>
  <c r="AF104" i="12"/>
  <c r="AG104" i="12"/>
  <c r="AH104" i="12"/>
  <c r="AI104" i="12"/>
  <c r="AJ104" i="12"/>
  <c r="AK104" i="12"/>
  <c r="AL104" i="12"/>
  <c r="AM104" i="12"/>
  <c r="AN104" i="12"/>
  <c r="AO104" i="12"/>
  <c r="AP104" i="12"/>
  <c r="AQ104" i="12"/>
  <c r="AR104" i="12"/>
  <c r="AS104" i="12"/>
  <c r="AT104" i="12"/>
  <c r="AU104" i="12"/>
  <c r="AV104" i="12"/>
  <c r="AW104" i="12"/>
  <c r="AX104" i="12"/>
  <c r="AY104" i="12"/>
  <c r="AZ104" i="12"/>
  <c r="BA104" i="12"/>
  <c r="BB104" i="12"/>
  <c r="BC104" i="12"/>
  <c r="BD104" i="12"/>
  <c r="BE104" i="12"/>
  <c r="BF104" i="12"/>
  <c r="BG104" i="12"/>
  <c r="BH104" i="12"/>
  <c r="BI104" i="12"/>
  <c r="BJ104" i="12"/>
  <c r="BK104" i="12"/>
  <c r="BL104" i="12"/>
  <c r="BM104" i="12"/>
  <c r="BN104" i="12"/>
  <c r="BO104" i="12"/>
  <c r="BP104" i="12"/>
  <c r="BQ104" i="12"/>
  <c r="BR104" i="12"/>
  <c r="BS104" i="12"/>
  <c r="BT104" i="12"/>
  <c r="BU104" i="12"/>
  <c r="BV104" i="12"/>
  <c r="BW104" i="12"/>
  <c r="BX104" i="12"/>
  <c r="BY104" i="12"/>
  <c r="BZ104" i="12"/>
  <c r="CA104" i="12"/>
  <c r="CB104" i="12"/>
  <c r="CC104" i="12"/>
  <c r="CD104" i="12"/>
  <c r="CE104" i="12"/>
  <c r="CF104" i="12"/>
  <c r="CG104" i="12"/>
  <c r="CH104" i="12"/>
  <c r="CI104" i="12"/>
  <c r="CJ104" i="12"/>
  <c r="CK104" i="12"/>
  <c r="CL104" i="12"/>
  <c r="CM104" i="12"/>
  <c r="CN104" i="12"/>
  <c r="CO104" i="12"/>
  <c r="CP104" i="12"/>
  <c r="CQ104" i="12"/>
  <c r="CR104" i="12"/>
  <c r="CS104" i="12"/>
  <c r="CT104" i="12"/>
  <c r="CU104" i="12"/>
  <c r="CV104" i="12"/>
  <c r="CW104" i="12"/>
  <c r="CX104" i="12"/>
  <c r="CY104" i="12"/>
  <c r="CZ104" i="12"/>
  <c r="DA104" i="12"/>
  <c r="DB104" i="12"/>
  <c r="DC104" i="12"/>
  <c r="DD104" i="12"/>
  <c r="DE104" i="12"/>
  <c r="DF104" i="12"/>
  <c r="DG104" i="12"/>
  <c r="DH104" i="12"/>
  <c r="DI104" i="12"/>
  <c r="DJ104" i="12"/>
  <c r="DK104" i="12"/>
  <c r="DL104" i="12"/>
  <c r="DM104" i="12"/>
  <c r="DN104" i="12"/>
  <c r="DO104" i="12"/>
  <c r="DP104" i="12"/>
  <c r="DQ104" i="12"/>
  <c r="DR104" i="12"/>
  <c r="DS104" i="12"/>
  <c r="DT104" i="12"/>
  <c r="DU104" i="12"/>
  <c r="O105" i="12"/>
  <c r="P105" i="12"/>
  <c r="Q105" i="12"/>
  <c r="R105" i="12"/>
  <c r="S105" i="12"/>
  <c r="T105" i="12"/>
  <c r="U105" i="12"/>
  <c r="V105" i="12"/>
  <c r="W105" i="12"/>
  <c r="X105" i="12"/>
  <c r="Y105" i="12"/>
  <c r="Z105" i="12"/>
  <c r="AA105" i="12"/>
  <c r="AB105" i="12"/>
  <c r="AC105" i="12"/>
  <c r="AD105" i="12"/>
  <c r="AE105" i="12"/>
  <c r="AF105" i="12"/>
  <c r="AG105" i="12"/>
  <c r="AH105" i="12"/>
  <c r="AI105" i="12"/>
  <c r="AJ105" i="12"/>
  <c r="AK105" i="12"/>
  <c r="AL105" i="12"/>
  <c r="AM105" i="12"/>
  <c r="AN105" i="12"/>
  <c r="AO105" i="12"/>
  <c r="AP105" i="12"/>
  <c r="AQ105" i="12"/>
  <c r="AR105" i="12"/>
  <c r="AS105" i="12"/>
  <c r="AT105" i="12"/>
  <c r="AU105" i="12"/>
  <c r="AV105" i="12"/>
  <c r="AW105" i="12"/>
  <c r="AX105" i="12"/>
  <c r="AY105" i="12"/>
  <c r="AZ105" i="12"/>
  <c r="BA105" i="12"/>
  <c r="BB105" i="12"/>
  <c r="BC105" i="12"/>
  <c r="BD105" i="12"/>
  <c r="BE105" i="12"/>
  <c r="BF105" i="12"/>
  <c r="BG105" i="12"/>
  <c r="BH105" i="12"/>
  <c r="BI105" i="12"/>
  <c r="BJ105" i="12"/>
  <c r="BK105" i="12"/>
  <c r="BL105" i="12"/>
  <c r="BM105" i="12"/>
  <c r="BN105" i="12"/>
  <c r="BO105" i="12"/>
  <c r="BP105" i="12"/>
  <c r="BQ105" i="12"/>
  <c r="BR105" i="12"/>
  <c r="BS105" i="12"/>
  <c r="BT105" i="12"/>
  <c r="BU105" i="12"/>
  <c r="BV105" i="12"/>
  <c r="BW105" i="12"/>
  <c r="BX105" i="12"/>
  <c r="BY105" i="12"/>
  <c r="BZ105" i="12"/>
  <c r="CA105" i="12"/>
  <c r="CB105" i="12"/>
  <c r="CC105" i="12"/>
  <c r="CD105" i="12"/>
  <c r="CE105" i="12"/>
  <c r="CF105" i="12"/>
  <c r="CG105" i="12"/>
  <c r="CH105" i="12"/>
  <c r="CI105" i="12"/>
  <c r="CJ105" i="12"/>
  <c r="CK105" i="12"/>
  <c r="CL105" i="12"/>
  <c r="CM105" i="12"/>
  <c r="CN105" i="12"/>
  <c r="CO105" i="12"/>
  <c r="CP105" i="12"/>
  <c r="CQ105" i="12"/>
  <c r="CR105" i="12"/>
  <c r="CS105" i="12"/>
  <c r="CT105" i="12"/>
  <c r="CU105" i="12"/>
  <c r="CV105" i="12"/>
  <c r="CW105" i="12"/>
  <c r="CX105" i="12"/>
  <c r="CY105" i="12"/>
  <c r="CZ105" i="12"/>
  <c r="DA105" i="12"/>
  <c r="DB105" i="12"/>
  <c r="DC105" i="12"/>
  <c r="DD105" i="12"/>
  <c r="DE105" i="12"/>
  <c r="DF105" i="12"/>
  <c r="DG105" i="12"/>
  <c r="DH105" i="12"/>
  <c r="DI105" i="12"/>
  <c r="DJ105" i="12"/>
  <c r="DK105" i="12"/>
  <c r="DL105" i="12"/>
  <c r="DM105" i="12"/>
  <c r="DN105" i="12"/>
  <c r="DO105" i="12"/>
  <c r="DP105" i="12"/>
  <c r="DQ105" i="12"/>
  <c r="DR105" i="12"/>
  <c r="DS105" i="12"/>
  <c r="DT105" i="12"/>
  <c r="DU105" i="12"/>
  <c r="O106" i="12"/>
  <c r="P106" i="12"/>
  <c r="Q106" i="12"/>
  <c r="R106" i="12"/>
  <c r="S106" i="12"/>
  <c r="T106" i="12"/>
  <c r="U106" i="12"/>
  <c r="V106" i="12"/>
  <c r="W106" i="12"/>
  <c r="X106" i="12"/>
  <c r="Y106" i="12"/>
  <c r="Z106" i="12"/>
  <c r="AA106" i="12"/>
  <c r="AB106" i="12"/>
  <c r="AC106" i="12"/>
  <c r="AD106" i="12"/>
  <c r="AE106" i="12"/>
  <c r="AF106" i="12"/>
  <c r="AG106" i="12"/>
  <c r="AH106" i="12"/>
  <c r="AI106" i="12"/>
  <c r="AJ106" i="12"/>
  <c r="AK106" i="12"/>
  <c r="AL106" i="12"/>
  <c r="AM106" i="12"/>
  <c r="AN106" i="12"/>
  <c r="AO106" i="12"/>
  <c r="AP106" i="12"/>
  <c r="AQ106" i="12"/>
  <c r="AR106" i="12"/>
  <c r="AS106" i="12"/>
  <c r="AT106" i="12"/>
  <c r="AU106" i="12"/>
  <c r="AV106" i="12"/>
  <c r="AW106" i="12"/>
  <c r="AX106" i="12"/>
  <c r="AY106" i="12"/>
  <c r="AZ106" i="12"/>
  <c r="BA106" i="12"/>
  <c r="BB106" i="12"/>
  <c r="BC106" i="12"/>
  <c r="BD106" i="12"/>
  <c r="BE106" i="12"/>
  <c r="BF106" i="12"/>
  <c r="BG106" i="12"/>
  <c r="BH106" i="12"/>
  <c r="BI106" i="12"/>
  <c r="BJ106" i="12"/>
  <c r="BK106" i="12"/>
  <c r="BL106" i="12"/>
  <c r="BM106" i="12"/>
  <c r="BN106" i="12"/>
  <c r="BO106" i="12"/>
  <c r="BP106" i="12"/>
  <c r="BQ106" i="12"/>
  <c r="BR106" i="12"/>
  <c r="BS106" i="12"/>
  <c r="BT106" i="12"/>
  <c r="BU106" i="12"/>
  <c r="BV106" i="12"/>
  <c r="BW106" i="12"/>
  <c r="BX106" i="12"/>
  <c r="BY106" i="12"/>
  <c r="BZ106" i="12"/>
  <c r="CA106" i="12"/>
  <c r="CB106" i="12"/>
  <c r="CC106" i="12"/>
  <c r="CD106" i="12"/>
  <c r="CE106" i="12"/>
  <c r="CF106" i="12"/>
  <c r="CG106" i="12"/>
  <c r="CH106" i="12"/>
  <c r="CI106" i="12"/>
  <c r="CJ106" i="12"/>
  <c r="CK106" i="12"/>
  <c r="CL106" i="12"/>
  <c r="CM106" i="12"/>
  <c r="CN106" i="12"/>
  <c r="CO106" i="12"/>
  <c r="CP106" i="12"/>
  <c r="CQ106" i="12"/>
  <c r="CR106" i="12"/>
  <c r="CS106" i="12"/>
  <c r="CT106" i="12"/>
  <c r="CU106" i="12"/>
  <c r="CV106" i="12"/>
  <c r="CW106" i="12"/>
  <c r="CX106" i="12"/>
  <c r="CY106" i="12"/>
  <c r="CZ106" i="12"/>
  <c r="DA106" i="12"/>
  <c r="DB106" i="12"/>
  <c r="DC106" i="12"/>
  <c r="DD106" i="12"/>
  <c r="DE106" i="12"/>
  <c r="DF106" i="12"/>
  <c r="DG106" i="12"/>
  <c r="DH106" i="12"/>
  <c r="DI106" i="12"/>
  <c r="DJ106" i="12"/>
  <c r="DK106" i="12"/>
  <c r="DL106" i="12"/>
  <c r="DM106" i="12"/>
  <c r="DN106" i="12"/>
  <c r="DO106" i="12"/>
  <c r="DP106" i="12"/>
  <c r="DQ106" i="12"/>
  <c r="DR106" i="12"/>
  <c r="DS106" i="12"/>
  <c r="DT106" i="12"/>
  <c r="DU106" i="12"/>
  <c r="O107" i="12"/>
  <c r="P107" i="12"/>
  <c r="Q107" i="12"/>
  <c r="R107" i="12"/>
  <c r="S107" i="12"/>
  <c r="T107" i="12"/>
  <c r="U107" i="12"/>
  <c r="V107" i="12"/>
  <c r="W107" i="12"/>
  <c r="X107" i="12"/>
  <c r="Y107" i="12"/>
  <c r="Z107" i="12"/>
  <c r="AA107" i="12"/>
  <c r="AB107" i="12"/>
  <c r="AC107" i="12"/>
  <c r="AD107" i="12"/>
  <c r="AE107" i="12"/>
  <c r="AF107" i="12"/>
  <c r="AG107" i="12"/>
  <c r="AH107" i="12"/>
  <c r="AI107" i="12"/>
  <c r="AJ107" i="12"/>
  <c r="AK107" i="12"/>
  <c r="AL107" i="12"/>
  <c r="AM107" i="12"/>
  <c r="AN107" i="12"/>
  <c r="AO107" i="12"/>
  <c r="AP107" i="12"/>
  <c r="AQ107" i="12"/>
  <c r="AR107" i="12"/>
  <c r="AS107" i="12"/>
  <c r="AT107" i="12"/>
  <c r="AU107" i="12"/>
  <c r="AV107" i="12"/>
  <c r="AW107" i="12"/>
  <c r="AX107" i="12"/>
  <c r="AY107" i="12"/>
  <c r="AZ107" i="12"/>
  <c r="BA107" i="12"/>
  <c r="BB107" i="12"/>
  <c r="BC107" i="12"/>
  <c r="BD107" i="12"/>
  <c r="BE107" i="12"/>
  <c r="BF107" i="12"/>
  <c r="BG107" i="12"/>
  <c r="BH107" i="12"/>
  <c r="BI107" i="12"/>
  <c r="BJ107" i="12"/>
  <c r="BK107" i="12"/>
  <c r="BL107" i="12"/>
  <c r="BM107" i="12"/>
  <c r="BN107" i="12"/>
  <c r="BO107" i="12"/>
  <c r="BP107" i="12"/>
  <c r="BQ107" i="12"/>
  <c r="BR107" i="12"/>
  <c r="BS107" i="12"/>
  <c r="BT107" i="12"/>
  <c r="BU107" i="12"/>
  <c r="BV107" i="12"/>
  <c r="BW107" i="12"/>
  <c r="BX107" i="12"/>
  <c r="BY107" i="12"/>
  <c r="BZ107" i="12"/>
  <c r="CA107" i="12"/>
  <c r="CB107" i="12"/>
  <c r="CC107" i="12"/>
  <c r="CD107" i="12"/>
  <c r="CE107" i="12"/>
  <c r="CF107" i="12"/>
  <c r="CG107" i="12"/>
  <c r="CH107" i="12"/>
  <c r="CI107" i="12"/>
  <c r="CJ107" i="12"/>
  <c r="CK107" i="12"/>
  <c r="CL107" i="12"/>
  <c r="CM107" i="12"/>
  <c r="CN107" i="12"/>
  <c r="CO107" i="12"/>
  <c r="CP107" i="12"/>
  <c r="CQ107" i="12"/>
  <c r="CR107" i="12"/>
  <c r="CS107" i="12"/>
  <c r="CT107" i="12"/>
  <c r="CU107" i="12"/>
  <c r="CV107" i="12"/>
  <c r="CW107" i="12"/>
  <c r="CX107" i="12"/>
  <c r="CY107" i="12"/>
  <c r="CZ107" i="12"/>
  <c r="DA107" i="12"/>
  <c r="DB107" i="12"/>
  <c r="DC107" i="12"/>
  <c r="DD107" i="12"/>
  <c r="DE107" i="12"/>
  <c r="DF107" i="12"/>
  <c r="DG107" i="12"/>
  <c r="DH107" i="12"/>
  <c r="DI107" i="12"/>
  <c r="DJ107" i="12"/>
  <c r="DK107" i="12"/>
  <c r="DL107" i="12"/>
  <c r="DM107" i="12"/>
  <c r="DN107" i="12"/>
  <c r="DO107" i="12"/>
  <c r="DP107" i="12"/>
  <c r="DQ107" i="12"/>
  <c r="DR107" i="12"/>
  <c r="DS107" i="12"/>
  <c r="DT107" i="12"/>
  <c r="DU107" i="12"/>
  <c r="O108" i="12"/>
  <c r="P108" i="12"/>
  <c r="Q108" i="12"/>
  <c r="R108" i="12"/>
  <c r="S108" i="12"/>
  <c r="T108" i="12"/>
  <c r="U108" i="12"/>
  <c r="V108" i="12"/>
  <c r="W108" i="12"/>
  <c r="X108" i="12"/>
  <c r="Y108" i="12"/>
  <c r="Z108" i="12"/>
  <c r="AA108" i="12"/>
  <c r="AB108" i="12"/>
  <c r="AC108" i="12"/>
  <c r="AD108" i="12"/>
  <c r="AE108" i="12"/>
  <c r="AF108" i="12"/>
  <c r="AG108" i="12"/>
  <c r="AH108" i="12"/>
  <c r="AI108" i="12"/>
  <c r="AJ108" i="12"/>
  <c r="AK108" i="12"/>
  <c r="AL108" i="12"/>
  <c r="AM108" i="12"/>
  <c r="AN108" i="12"/>
  <c r="AO108" i="12"/>
  <c r="AP108" i="12"/>
  <c r="AQ108" i="12"/>
  <c r="AR108" i="12"/>
  <c r="AS108" i="12"/>
  <c r="AT108" i="12"/>
  <c r="AU108" i="12"/>
  <c r="AV108" i="12"/>
  <c r="AW108" i="12"/>
  <c r="AX108" i="12"/>
  <c r="AY108" i="12"/>
  <c r="AZ108" i="12"/>
  <c r="BA108" i="12"/>
  <c r="BB108" i="12"/>
  <c r="BC108" i="12"/>
  <c r="BD108" i="12"/>
  <c r="BE108" i="12"/>
  <c r="BF108" i="12"/>
  <c r="BG108" i="12"/>
  <c r="BH108" i="12"/>
  <c r="BI108" i="12"/>
  <c r="BJ108" i="12"/>
  <c r="BK108" i="12"/>
  <c r="BL108" i="12"/>
  <c r="BM108" i="12"/>
  <c r="BN108" i="12"/>
  <c r="BO108" i="12"/>
  <c r="BP108" i="12"/>
  <c r="BQ108" i="12"/>
  <c r="BR108" i="12"/>
  <c r="BS108" i="12"/>
  <c r="BT108" i="12"/>
  <c r="BU108" i="12"/>
  <c r="BV108" i="12"/>
  <c r="BW108" i="12"/>
  <c r="BX108" i="12"/>
  <c r="BY108" i="12"/>
  <c r="BZ108" i="12"/>
  <c r="CA108" i="12"/>
  <c r="CB108" i="12"/>
  <c r="CC108" i="12"/>
  <c r="CD108" i="12"/>
  <c r="CE108" i="12"/>
  <c r="CF108" i="12"/>
  <c r="CG108" i="12"/>
  <c r="CH108" i="12"/>
  <c r="CI108" i="12"/>
  <c r="CJ108" i="12"/>
  <c r="CK108" i="12"/>
  <c r="CL108" i="12"/>
  <c r="CM108" i="12"/>
  <c r="CN108" i="12"/>
  <c r="CO108" i="12"/>
  <c r="CP108" i="12"/>
  <c r="CQ108" i="12"/>
  <c r="CR108" i="12"/>
  <c r="CS108" i="12"/>
  <c r="CT108" i="12"/>
  <c r="CU108" i="12"/>
  <c r="CV108" i="12"/>
  <c r="CW108" i="12"/>
  <c r="CX108" i="12"/>
  <c r="CY108" i="12"/>
  <c r="CZ108" i="12"/>
  <c r="DA108" i="12"/>
  <c r="DB108" i="12"/>
  <c r="DC108" i="12"/>
  <c r="DD108" i="12"/>
  <c r="DE108" i="12"/>
  <c r="DF108" i="12"/>
  <c r="DG108" i="12"/>
  <c r="DH108" i="12"/>
  <c r="DI108" i="12"/>
  <c r="DJ108" i="12"/>
  <c r="DK108" i="12"/>
  <c r="DL108" i="12"/>
  <c r="DM108" i="12"/>
  <c r="DN108" i="12"/>
  <c r="DO108" i="12"/>
  <c r="DP108" i="12"/>
  <c r="DQ108" i="12"/>
  <c r="DR108" i="12"/>
  <c r="DS108" i="12"/>
  <c r="DT108" i="12"/>
  <c r="DU108" i="12"/>
  <c r="O109" i="12"/>
  <c r="P109" i="12"/>
  <c r="Q109" i="12"/>
  <c r="R109" i="12"/>
  <c r="S109" i="12"/>
  <c r="T109" i="12"/>
  <c r="U109" i="12"/>
  <c r="V109" i="12"/>
  <c r="W109" i="12"/>
  <c r="X109" i="12"/>
  <c r="Y109" i="12"/>
  <c r="Z109" i="12"/>
  <c r="AA109" i="12"/>
  <c r="AB109" i="12"/>
  <c r="AC109" i="12"/>
  <c r="AD109" i="12"/>
  <c r="AE109" i="12"/>
  <c r="AF109" i="12"/>
  <c r="AG109" i="12"/>
  <c r="AH109" i="12"/>
  <c r="AI109" i="12"/>
  <c r="AJ109" i="12"/>
  <c r="AK109" i="12"/>
  <c r="AL109" i="12"/>
  <c r="AM109" i="12"/>
  <c r="AN109" i="12"/>
  <c r="AO109" i="12"/>
  <c r="AP109" i="12"/>
  <c r="AQ109" i="12"/>
  <c r="AR109" i="12"/>
  <c r="AS109" i="12"/>
  <c r="AT109" i="12"/>
  <c r="AU109" i="12"/>
  <c r="AV109" i="12"/>
  <c r="AW109" i="12"/>
  <c r="AX109" i="12"/>
  <c r="AY109" i="12"/>
  <c r="AZ109" i="12"/>
  <c r="BA109" i="12"/>
  <c r="BB109" i="12"/>
  <c r="BC109" i="12"/>
  <c r="BD109" i="12"/>
  <c r="BE109" i="12"/>
  <c r="BF109" i="12"/>
  <c r="BG109" i="12"/>
  <c r="BH109" i="12"/>
  <c r="BI109" i="12"/>
  <c r="BJ109" i="12"/>
  <c r="BK109" i="12"/>
  <c r="BL109" i="12"/>
  <c r="BM109" i="12"/>
  <c r="BN109" i="12"/>
  <c r="BO109" i="12"/>
  <c r="BP109" i="12"/>
  <c r="BQ109" i="12"/>
  <c r="BR109" i="12"/>
  <c r="BS109" i="12"/>
  <c r="BT109" i="12"/>
  <c r="BU109" i="12"/>
  <c r="BV109" i="12"/>
  <c r="BW109" i="12"/>
  <c r="BX109" i="12"/>
  <c r="BY109" i="12"/>
  <c r="BZ109" i="12"/>
  <c r="CA109" i="12"/>
  <c r="CB109" i="12"/>
  <c r="CC109" i="12"/>
  <c r="CD109" i="12"/>
  <c r="CE109" i="12"/>
  <c r="CF109" i="12"/>
  <c r="CG109" i="12"/>
  <c r="CH109" i="12"/>
  <c r="CI109" i="12"/>
  <c r="CJ109" i="12"/>
  <c r="CK109" i="12"/>
  <c r="CL109" i="12"/>
  <c r="CM109" i="12"/>
  <c r="CN109" i="12"/>
  <c r="CO109" i="12"/>
  <c r="CP109" i="12"/>
  <c r="CQ109" i="12"/>
  <c r="CR109" i="12"/>
  <c r="CS109" i="12"/>
  <c r="CT109" i="12"/>
  <c r="CU109" i="12"/>
  <c r="CV109" i="12"/>
  <c r="CW109" i="12"/>
  <c r="CX109" i="12"/>
  <c r="CY109" i="12"/>
  <c r="CZ109" i="12"/>
  <c r="DA109" i="12"/>
  <c r="DB109" i="12"/>
  <c r="DC109" i="12"/>
  <c r="DD109" i="12"/>
  <c r="DE109" i="12"/>
  <c r="DF109" i="12"/>
  <c r="DG109" i="12"/>
  <c r="DH109" i="12"/>
  <c r="DI109" i="12"/>
  <c r="DJ109" i="12"/>
  <c r="DK109" i="12"/>
  <c r="DL109" i="12"/>
  <c r="DM109" i="12"/>
  <c r="DN109" i="12"/>
  <c r="DO109" i="12"/>
  <c r="DP109" i="12"/>
  <c r="DQ109" i="12"/>
  <c r="DR109" i="12"/>
  <c r="DS109" i="12"/>
  <c r="DT109" i="12"/>
  <c r="DU109" i="12"/>
  <c r="O110" i="12"/>
  <c r="P110" i="12"/>
  <c r="Q110" i="12"/>
  <c r="R110" i="12"/>
  <c r="S110" i="12"/>
  <c r="T110" i="12"/>
  <c r="U110" i="12"/>
  <c r="V110" i="12"/>
  <c r="W110" i="12"/>
  <c r="X110" i="12"/>
  <c r="Y110" i="12"/>
  <c r="Z110" i="12"/>
  <c r="AA110" i="12"/>
  <c r="AB110" i="12"/>
  <c r="AC110" i="12"/>
  <c r="AD110" i="12"/>
  <c r="AE110" i="12"/>
  <c r="AF110" i="12"/>
  <c r="AG110" i="12"/>
  <c r="AH110" i="12"/>
  <c r="AI110" i="12"/>
  <c r="AJ110" i="12"/>
  <c r="AK110" i="12"/>
  <c r="AL110" i="12"/>
  <c r="AM110" i="12"/>
  <c r="AN110" i="12"/>
  <c r="AO110" i="12"/>
  <c r="AP110" i="12"/>
  <c r="AQ110" i="12"/>
  <c r="AR110" i="12"/>
  <c r="AS110" i="12"/>
  <c r="AT110" i="12"/>
  <c r="AU110" i="12"/>
  <c r="AV110" i="12"/>
  <c r="AW110" i="12"/>
  <c r="AX110" i="12"/>
  <c r="AY110" i="12"/>
  <c r="AZ110" i="12"/>
  <c r="BA110" i="12"/>
  <c r="BB110" i="12"/>
  <c r="BC110" i="12"/>
  <c r="BD110" i="12"/>
  <c r="BE110" i="12"/>
  <c r="BF110" i="12"/>
  <c r="BG110" i="12"/>
  <c r="BH110" i="12"/>
  <c r="BI110" i="12"/>
  <c r="BJ110" i="12"/>
  <c r="BK110" i="12"/>
  <c r="BL110" i="12"/>
  <c r="BM110" i="12"/>
  <c r="BN110" i="12"/>
  <c r="BO110" i="12"/>
  <c r="BP110" i="12"/>
  <c r="BQ110" i="12"/>
  <c r="BR110" i="12"/>
  <c r="BS110" i="12"/>
  <c r="BT110" i="12"/>
  <c r="BU110" i="12"/>
  <c r="BV110" i="12"/>
  <c r="BW110" i="12"/>
  <c r="BX110" i="12"/>
  <c r="BY110" i="12"/>
  <c r="BZ110" i="12"/>
  <c r="CA110" i="12"/>
  <c r="CB110" i="12"/>
  <c r="CC110" i="12"/>
  <c r="CD110" i="12"/>
  <c r="CE110" i="12"/>
  <c r="CF110" i="12"/>
  <c r="CG110" i="12"/>
  <c r="CH110" i="12"/>
  <c r="CI110" i="12"/>
  <c r="CJ110" i="12"/>
  <c r="CK110" i="12"/>
  <c r="CL110" i="12"/>
  <c r="CM110" i="12"/>
  <c r="CN110" i="12"/>
  <c r="CO110" i="12"/>
  <c r="CP110" i="12"/>
  <c r="CQ110" i="12"/>
  <c r="CR110" i="12"/>
  <c r="CS110" i="12"/>
  <c r="CT110" i="12"/>
  <c r="CU110" i="12"/>
  <c r="CV110" i="12"/>
  <c r="CW110" i="12"/>
  <c r="CX110" i="12"/>
  <c r="CY110" i="12"/>
  <c r="CZ110" i="12"/>
  <c r="DA110" i="12"/>
  <c r="DB110" i="12"/>
  <c r="DC110" i="12"/>
  <c r="DD110" i="12"/>
  <c r="DE110" i="12"/>
  <c r="DF110" i="12"/>
  <c r="DG110" i="12"/>
  <c r="DH110" i="12"/>
  <c r="DI110" i="12"/>
  <c r="DJ110" i="12"/>
  <c r="DK110" i="12"/>
  <c r="DL110" i="12"/>
  <c r="DM110" i="12"/>
  <c r="DN110" i="12"/>
  <c r="DO110" i="12"/>
  <c r="DP110" i="12"/>
  <c r="DQ110" i="12"/>
  <c r="DR110" i="12"/>
  <c r="DS110" i="12"/>
  <c r="DT110" i="12"/>
  <c r="DU110" i="12"/>
  <c r="O111" i="12"/>
  <c r="P111" i="12"/>
  <c r="Q111" i="12"/>
  <c r="R111" i="12"/>
  <c r="S111" i="12"/>
  <c r="T111" i="12"/>
  <c r="U111" i="12"/>
  <c r="V111" i="12"/>
  <c r="W111" i="12"/>
  <c r="X111" i="12"/>
  <c r="Y111" i="12"/>
  <c r="Z111" i="12"/>
  <c r="AA111" i="12"/>
  <c r="AB111" i="12"/>
  <c r="AC111" i="12"/>
  <c r="AD111" i="12"/>
  <c r="AE111" i="12"/>
  <c r="AF111" i="12"/>
  <c r="AG111" i="12"/>
  <c r="AH111" i="12"/>
  <c r="AI111" i="12"/>
  <c r="AJ111" i="12"/>
  <c r="AK111" i="12"/>
  <c r="AL111" i="12"/>
  <c r="AM111" i="12"/>
  <c r="AN111" i="12"/>
  <c r="AO111" i="12"/>
  <c r="AP111" i="12"/>
  <c r="AQ111" i="12"/>
  <c r="AR111" i="12"/>
  <c r="AS111" i="12"/>
  <c r="AT111" i="12"/>
  <c r="AU111" i="12"/>
  <c r="AV111" i="12"/>
  <c r="AW111" i="12"/>
  <c r="AX111" i="12"/>
  <c r="AY111" i="12"/>
  <c r="AZ111" i="12"/>
  <c r="BA111" i="12"/>
  <c r="BB111" i="12"/>
  <c r="BC111" i="12"/>
  <c r="BD111" i="12"/>
  <c r="BE111" i="12"/>
  <c r="BF111" i="12"/>
  <c r="BG111" i="12"/>
  <c r="BH111" i="12"/>
  <c r="BI111" i="12"/>
  <c r="BJ111" i="12"/>
  <c r="BK111" i="12"/>
  <c r="BL111" i="12"/>
  <c r="BM111" i="12"/>
  <c r="BN111" i="12"/>
  <c r="BO111" i="12"/>
  <c r="BP111" i="12"/>
  <c r="BQ111" i="12"/>
  <c r="BR111" i="12"/>
  <c r="BS111" i="12"/>
  <c r="BT111" i="12"/>
  <c r="BU111" i="12"/>
  <c r="BV111" i="12"/>
  <c r="BW111" i="12"/>
  <c r="BX111" i="12"/>
  <c r="BY111" i="12"/>
  <c r="BZ111" i="12"/>
  <c r="CA111" i="12"/>
  <c r="CB111" i="12"/>
  <c r="CC111" i="12"/>
  <c r="CD111" i="12"/>
  <c r="CE111" i="12"/>
  <c r="CF111" i="12"/>
  <c r="CG111" i="12"/>
  <c r="CH111" i="12"/>
  <c r="CI111" i="12"/>
  <c r="CJ111" i="12"/>
  <c r="CK111" i="12"/>
  <c r="CL111" i="12"/>
  <c r="CM111" i="12"/>
  <c r="CN111" i="12"/>
  <c r="CO111" i="12"/>
  <c r="CP111" i="12"/>
  <c r="CQ111" i="12"/>
  <c r="CR111" i="12"/>
  <c r="CS111" i="12"/>
  <c r="CT111" i="12"/>
  <c r="CU111" i="12"/>
  <c r="CV111" i="12"/>
  <c r="CW111" i="12"/>
  <c r="CX111" i="12"/>
  <c r="CY111" i="12"/>
  <c r="CZ111" i="12"/>
  <c r="DA111" i="12"/>
  <c r="DB111" i="12"/>
  <c r="DC111" i="12"/>
  <c r="DD111" i="12"/>
  <c r="DE111" i="12"/>
  <c r="DF111" i="12"/>
  <c r="DG111" i="12"/>
  <c r="DH111" i="12"/>
  <c r="DI111" i="12"/>
  <c r="DJ111" i="12"/>
  <c r="DK111" i="12"/>
  <c r="DL111" i="12"/>
  <c r="DM111" i="12"/>
  <c r="DN111" i="12"/>
  <c r="DO111" i="12"/>
  <c r="DP111" i="12"/>
  <c r="DQ111" i="12"/>
  <c r="DR111" i="12"/>
  <c r="DS111" i="12"/>
  <c r="DT111" i="12"/>
  <c r="DU111" i="12"/>
  <c r="O112" i="12"/>
  <c r="P112" i="12"/>
  <c r="Q112" i="12"/>
  <c r="R112" i="12"/>
  <c r="S112" i="12"/>
  <c r="T112" i="12"/>
  <c r="U112" i="12"/>
  <c r="V112" i="12"/>
  <c r="W112" i="12"/>
  <c r="X112" i="12"/>
  <c r="Y112" i="12"/>
  <c r="Z112" i="12"/>
  <c r="AA112" i="12"/>
  <c r="AB112" i="12"/>
  <c r="AC112" i="12"/>
  <c r="AD112" i="12"/>
  <c r="AE112" i="12"/>
  <c r="AF112" i="12"/>
  <c r="AG112" i="12"/>
  <c r="AH112" i="12"/>
  <c r="AI112" i="12"/>
  <c r="AJ112" i="12"/>
  <c r="AK112" i="12"/>
  <c r="AL112" i="12"/>
  <c r="AM112" i="12"/>
  <c r="AN112" i="12"/>
  <c r="AO112" i="12"/>
  <c r="AP112" i="12"/>
  <c r="AQ112" i="12"/>
  <c r="AR112" i="12"/>
  <c r="AS112" i="12"/>
  <c r="AT112" i="12"/>
  <c r="AU112" i="12"/>
  <c r="AV112" i="12"/>
  <c r="AW112" i="12"/>
  <c r="AX112" i="12"/>
  <c r="AY112" i="12"/>
  <c r="AZ112" i="12"/>
  <c r="BA112" i="12"/>
  <c r="BB112" i="12"/>
  <c r="BC112" i="12"/>
  <c r="BD112" i="12"/>
  <c r="BE112" i="12"/>
  <c r="BF112" i="12"/>
  <c r="BG112" i="12"/>
  <c r="BH112" i="12"/>
  <c r="BI112" i="12"/>
  <c r="BJ112" i="12"/>
  <c r="BK112" i="12"/>
  <c r="BL112" i="12"/>
  <c r="BM112" i="12"/>
  <c r="BN112" i="12"/>
  <c r="BO112" i="12"/>
  <c r="BP112" i="12"/>
  <c r="BQ112" i="12"/>
  <c r="BR112" i="12"/>
  <c r="BS112" i="12"/>
  <c r="BT112" i="12"/>
  <c r="BU112" i="12"/>
  <c r="BV112" i="12"/>
  <c r="BW112" i="12"/>
  <c r="BX112" i="12"/>
  <c r="BY112" i="12"/>
  <c r="BZ112" i="12"/>
  <c r="CA112" i="12"/>
  <c r="CB112" i="12"/>
  <c r="CC112" i="12"/>
  <c r="CD112" i="12"/>
  <c r="CE112" i="12"/>
  <c r="CF112" i="12"/>
  <c r="CG112" i="12"/>
  <c r="CH112" i="12"/>
  <c r="CI112" i="12"/>
  <c r="CJ112" i="12"/>
  <c r="CK112" i="12"/>
  <c r="CL112" i="12"/>
  <c r="CM112" i="12"/>
  <c r="CN112" i="12"/>
  <c r="CO112" i="12"/>
  <c r="CP112" i="12"/>
  <c r="CQ112" i="12"/>
  <c r="CR112" i="12"/>
  <c r="CS112" i="12"/>
  <c r="CT112" i="12"/>
  <c r="CU112" i="12"/>
  <c r="CV112" i="12"/>
  <c r="CW112" i="12"/>
  <c r="CX112" i="12"/>
  <c r="CY112" i="12"/>
  <c r="CZ112" i="12"/>
  <c r="DA112" i="12"/>
  <c r="DB112" i="12"/>
  <c r="DC112" i="12"/>
  <c r="DD112" i="12"/>
  <c r="DE112" i="12"/>
  <c r="DF112" i="12"/>
  <c r="DG112" i="12"/>
  <c r="DH112" i="12"/>
  <c r="DI112" i="12"/>
  <c r="DJ112" i="12"/>
  <c r="DK112" i="12"/>
  <c r="DL112" i="12"/>
  <c r="DM112" i="12"/>
  <c r="DN112" i="12"/>
  <c r="DO112" i="12"/>
  <c r="DP112" i="12"/>
  <c r="DQ112" i="12"/>
  <c r="DR112" i="12"/>
  <c r="DS112" i="12"/>
  <c r="DT112" i="12"/>
  <c r="DU112" i="12"/>
  <c r="O113" i="12"/>
  <c r="P113" i="12"/>
  <c r="Q113" i="12"/>
  <c r="R113" i="12"/>
  <c r="S113" i="12"/>
  <c r="T113" i="12"/>
  <c r="U113" i="12"/>
  <c r="V113" i="12"/>
  <c r="W113" i="12"/>
  <c r="X113" i="12"/>
  <c r="Y113" i="12"/>
  <c r="Z113" i="12"/>
  <c r="AA113" i="12"/>
  <c r="AB113" i="12"/>
  <c r="AC113" i="12"/>
  <c r="AD113" i="12"/>
  <c r="AE113" i="12"/>
  <c r="AF113" i="12"/>
  <c r="AG113" i="12"/>
  <c r="AH113" i="12"/>
  <c r="AI113" i="12"/>
  <c r="AJ113" i="12"/>
  <c r="AK113" i="12"/>
  <c r="AL113" i="12"/>
  <c r="AM113" i="12"/>
  <c r="AN113" i="12"/>
  <c r="AO113" i="12"/>
  <c r="AP113" i="12"/>
  <c r="AQ113" i="12"/>
  <c r="AR113" i="12"/>
  <c r="AS113" i="12"/>
  <c r="AT113" i="12"/>
  <c r="AU113" i="12"/>
  <c r="AV113" i="12"/>
  <c r="AW113" i="12"/>
  <c r="AX113" i="12"/>
  <c r="AY113" i="12"/>
  <c r="AZ113" i="12"/>
  <c r="BA113" i="12"/>
  <c r="BB113" i="12"/>
  <c r="BC113" i="12"/>
  <c r="BD113" i="12"/>
  <c r="BE113" i="12"/>
  <c r="BF113" i="12"/>
  <c r="BG113" i="12"/>
  <c r="BH113" i="12"/>
  <c r="BI113" i="12"/>
  <c r="BJ113" i="12"/>
  <c r="BK113" i="12"/>
  <c r="BL113" i="12"/>
  <c r="BM113" i="12"/>
  <c r="BN113" i="12"/>
  <c r="BO113" i="12"/>
  <c r="BP113" i="12"/>
  <c r="BQ113" i="12"/>
  <c r="BR113" i="12"/>
  <c r="BS113" i="12"/>
  <c r="BT113" i="12"/>
  <c r="BU113" i="12"/>
  <c r="BV113" i="12"/>
  <c r="BW113" i="12"/>
  <c r="BX113" i="12"/>
  <c r="BY113" i="12"/>
  <c r="BZ113" i="12"/>
  <c r="CA113" i="12"/>
  <c r="CB113" i="12"/>
  <c r="CC113" i="12"/>
  <c r="CD113" i="12"/>
  <c r="CE113" i="12"/>
  <c r="CF113" i="12"/>
  <c r="CG113" i="12"/>
  <c r="CH113" i="12"/>
  <c r="CI113" i="12"/>
  <c r="CJ113" i="12"/>
  <c r="CK113" i="12"/>
  <c r="CL113" i="12"/>
  <c r="CM113" i="12"/>
  <c r="CN113" i="12"/>
  <c r="CO113" i="12"/>
  <c r="CP113" i="12"/>
  <c r="CQ113" i="12"/>
  <c r="CR113" i="12"/>
  <c r="CS113" i="12"/>
  <c r="CT113" i="12"/>
  <c r="CU113" i="12"/>
  <c r="CV113" i="12"/>
  <c r="CW113" i="12"/>
  <c r="CX113" i="12"/>
  <c r="CY113" i="12"/>
  <c r="CZ113" i="12"/>
  <c r="DA113" i="12"/>
  <c r="DB113" i="12"/>
  <c r="DC113" i="12"/>
  <c r="DD113" i="12"/>
  <c r="DE113" i="12"/>
  <c r="DF113" i="12"/>
  <c r="DG113" i="12"/>
  <c r="DH113" i="12"/>
  <c r="DI113" i="12"/>
  <c r="DJ113" i="12"/>
  <c r="DK113" i="12"/>
  <c r="DL113" i="12"/>
  <c r="DM113" i="12"/>
  <c r="DN113" i="12"/>
  <c r="DO113" i="12"/>
  <c r="DP113" i="12"/>
  <c r="DQ113" i="12"/>
  <c r="DR113" i="12"/>
  <c r="DS113" i="12"/>
  <c r="DT113" i="12"/>
  <c r="DU113" i="12"/>
  <c r="O114" i="12"/>
  <c r="P114" i="12"/>
  <c r="Q114" i="12"/>
  <c r="R114" i="12"/>
  <c r="S114" i="12"/>
  <c r="T114" i="12"/>
  <c r="U114" i="12"/>
  <c r="V114" i="12"/>
  <c r="W114" i="12"/>
  <c r="X114" i="12"/>
  <c r="Y114" i="12"/>
  <c r="Z114" i="12"/>
  <c r="AA114" i="12"/>
  <c r="AB114" i="12"/>
  <c r="AC114" i="12"/>
  <c r="AD114" i="12"/>
  <c r="AE114" i="12"/>
  <c r="AF114" i="12"/>
  <c r="AG114" i="12"/>
  <c r="AH114" i="12"/>
  <c r="AI114" i="12"/>
  <c r="AJ114" i="12"/>
  <c r="AK114" i="12"/>
  <c r="AL114" i="12"/>
  <c r="AM114" i="12"/>
  <c r="AN114" i="12"/>
  <c r="AO114" i="12"/>
  <c r="AP114" i="12"/>
  <c r="AQ114" i="12"/>
  <c r="AR114" i="12"/>
  <c r="AS114" i="12"/>
  <c r="AT114" i="12"/>
  <c r="AU114" i="12"/>
  <c r="AV114" i="12"/>
  <c r="AW114" i="12"/>
  <c r="AX114" i="12"/>
  <c r="AY114" i="12"/>
  <c r="AZ114" i="12"/>
  <c r="BA114" i="12"/>
  <c r="BB114" i="12"/>
  <c r="BC114" i="12"/>
  <c r="BD114" i="12"/>
  <c r="BE114" i="12"/>
  <c r="BF114" i="12"/>
  <c r="BG114" i="12"/>
  <c r="BH114" i="12"/>
  <c r="BI114" i="12"/>
  <c r="BJ114" i="12"/>
  <c r="BK114" i="12"/>
  <c r="BL114" i="12"/>
  <c r="BM114" i="12"/>
  <c r="BN114" i="12"/>
  <c r="BO114" i="12"/>
  <c r="BP114" i="12"/>
  <c r="BQ114" i="12"/>
  <c r="BR114" i="12"/>
  <c r="BS114" i="12"/>
  <c r="BT114" i="12"/>
  <c r="BU114" i="12"/>
  <c r="BV114" i="12"/>
  <c r="BW114" i="12"/>
  <c r="BX114" i="12"/>
  <c r="BY114" i="12"/>
  <c r="BZ114" i="12"/>
  <c r="CA114" i="12"/>
  <c r="CB114" i="12"/>
  <c r="CC114" i="12"/>
  <c r="CD114" i="12"/>
  <c r="CE114" i="12"/>
  <c r="CF114" i="12"/>
  <c r="CG114" i="12"/>
  <c r="CH114" i="12"/>
  <c r="CI114" i="12"/>
  <c r="CJ114" i="12"/>
  <c r="CK114" i="12"/>
  <c r="CL114" i="12"/>
  <c r="CM114" i="12"/>
  <c r="CN114" i="12"/>
  <c r="CO114" i="12"/>
  <c r="CP114" i="12"/>
  <c r="CQ114" i="12"/>
  <c r="CR114" i="12"/>
  <c r="CS114" i="12"/>
  <c r="CT114" i="12"/>
  <c r="CU114" i="12"/>
  <c r="CV114" i="12"/>
  <c r="CW114" i="12"/>
  <c r="CX114" i="12"/>
  <c r="CY114" i="12"/>
  <c r="CZ114" i="12"/>
  <c r="DA114" i="12"/>
  <c r="DB114" i="12"/>
  <c r="DC114" i="12"/>
  <c r="DD114" i="12"/>
  <c r="DE114" i="12"/>
  <c r="DF114" i="12"/>
  <c r="DG114" i="12"/>
  <c r="DH114" i="12"/>
  <c r="DI114" i="12"/>
  <c r="DJ114" i="12"/>
  <c r="DK114" i="12"/>
  <c r="DL114" i="12"/>
  <c r="DM114" i="12"/>
  <c r="DN114" i="12"/>
  <c r="DO114" i="12"/>
  <c r="DP114" i="12"/>
  <c r="DQ114" i="12"/>
  <c r="DR114" i="12"/>
  <c r="DS114" i="12"/>
  <c r="DT114" i="12"/>
  <c r="DU114" i="12"/>
  <c r="O115" i="12"/>
  <c r="P115" i="12"/>
  <c r="Q115" i="12"/>
  <c r="R115" i="12"/>
  <c r="S115" i="12"/>
  <c r="T115" i="12"/>
  <c r="U115" i="12"/>
  <c r="V115" i="12"/>
  <c r="W115" i="12"/>
  <c r="X115" i="12"/>
  <c r="Y115" i="12"/>
  <c r="Z115" i="12"/>
  <c r="AA115" i="12"/>
  <c r="AB115" i="12"/>
  <c r="AC115" i="12"/>
  <c r="AD115" i="12"/>
  <c r="AE115" i="12"/>
  <c r="AF115" i="12"/>
  <c r="AG115" i="12"/>
  <c r="AH115" i="12"/>
  <c r="AI115" i="12"/>
  <c r="AJ115" i="12"/>
  <c r="AK115" i="12"/>
  <c r="AL115" i="12"/>
  <c r="AM115" i="12"/>
  <c r="AN115" i="12"/>
  <c r="AO115" i="12"/>
  <c r="AP115" i="12"/>
  <c r="AQ115" i="12"/>
  <c r="AR115" i="12"/>
  <c r="AS115" i="12"/>
  <c r="AT115" i="12"/>
  <c r="AU115" i="12"/>
  <c r="AV115" i="12"/>
  <c r="AW115" i="12"/>
  <c r="AX115" i="12"/>
  <c r="AY115" i="12"/>
  <c r="AZ115" i="12"/>
  <c r="BA115" i="12"/>
  <c r="BB115" i="12"/>
  <c r="BC115" i="12"/>
  <c r="BD115" i="12"/>
  <c r="BE115" i="12"/>
  <c r="BF115" i="12"/>
  <c r="BG115" i="12"/>
  <c r="BH115" i="12"/>
  <c r="BI115" i="12"/>
  <c r="BJ115" i="12"/>
  <c r="BK115" i="12"/>
  <c r="BL115" i="12"/>
  <c r="BM115" i="12"/>
  <c r="BN115" i="12"/>
  <c r="BO115" i="12"/>
  <c r="BP115" i="12"/>
  <c r="BQ115" i="12"/>
  <c r="BR115" i="12"/>
  <c r="BS115" i="12"/>
  <c r="BT115" i="12"/>
  <c r="BU115" i="12"/>
  <c r="BV115" i="12"/>
  <c r="BW115" i="12"/>
  <c r="BX115" i="12"/>
  <c r="BY115" i="12"/>
  <c r="BZ115" i="12"/>
  <c r="CA115" i="12"/>
  <c r="CB115" i="12"/>
  <c r="CC115" i="12"/>
  <c r="CD115" i="12"/>
  <c r="CE115" i="12"/>
  <c r="CF115" i="12"/>
  <c r="CG115" i="12"/>
  <c r="CH115" i="12"/>
  <c r="CI115" i="12"/>
  <c r="CJ115" i="12"/>
  <c r="CK115" i="12"/>
  <c r="CL115" i="12"/>
  <c r="CM115" i="12"/>
  <c r="CN115" i="12"/>
  <c r="CO115" i="12"/>
  <c r="CP115" i="12"/>
  <c r="CQ115" i="12"/>
  <c r="CR115" i="12"/>
  <c r="CS115" i="12"/>
  <c r="CT115" i="12"/>
  <c r="CU115" i="12"/>
  <c r="CV115" i="12"/>
  <c r="CW115" i="12"/>
  <c r="CX115" i="12"/>
  <c r="CY115" i="12"/>
  <c r="CZ115" i="12"/>
  <c r="DA115" i="12"/>
  <c r="DB115" i="12"/>
  <c r="DC115" i="12"/>
  <c r="DD115" i="12"/>
  <c r="DE115" i="12"/>
  <c r="DF115" i="12"/>
  <c r="DG115" i="12"/>
  <c r="DH115" i="12"/>
  <c r="DI115" i="12"/>
  <c r="DJ115" i="12"/>
  <c r="DK115" i="12"/>
  <c r="DL115" i="12"/>
  <c r="DM115" i="12"/>
  <c r="DN115" i="12"/>
  <c r="DO115" i="12"/>
  <c r="DP115" i="12"/>
  <c r="DQ115" i="12"/>
  <c r="DR115" i="12"/>
  <c r="DS115" i="12"/>
  <c r="DT115" i="12"/>
  <c r="DU115" i="12"/>
  <c r="O116" i="12"/>
  <c r="P116" i="12"/>
  <c r="Q116" i="12"/>
  <c r="R116" i="12"/>
  <c r="S116" i="12"/>
  <c r="T116" i="12"/>
  <c r="U116" i="12"/>
  <c r="V116" i="12"/>
  <c r="W116" i="12"/>
  <c r="X116" i="12"/>
  <c r="Y116" i="12"/>
  <c r="Z116" i="12"/>
  <c r="AA116" i="12"/>
  <c r="AB116" i="12"/>
  <c r="AC116" i="12"/>
  <c r="AD116" i="12"/>
  <c r="AE116" i="12"/>
  <c r="AF116" i="12"/>
  <c r="AG116" i="12"/>
  <c r="AH116" i="12"/>
  <c r="AI116" i="12"/>
  <c r="AJ116" i="12"/>
  <c r="AK116" i="12"/>
  <c r="AL116" i="12"/>
  <c r="AM116" i="12"/>
  <c r="AN116" i="12"/>
  <c r="AO116" i="12"/>
  <c r="AP116" i="12"/>
  <c r="AQ116" i="12"/>
  <c r="AR116" i="12"/>
  <c r="AS116" i="12"/>
  <c r="AT116" i="12"/>
  <c r="AU116" i="12"/>
  <c r="AV116" i="12"/>
  <c r="AW116" i="12"/>
  <c r="AX116" i="12"/>
  <c r="AY116" i="12"/>
  <c r="AZ116" i="12"/>
  <c r="BA116" i="12"/>
  <c r="BB116" i="12"/>
  <c r="BC116" i="12"/>
  <c r="BD116" i="12"/>
  <c r="BE116" i="12"/>
  <c r="BF116" i="12"/>
  <c r="BG116" i="12"/>
  <c r="BH116" i="12"/>
  <c r="BI116" i="12"/>
  <c r="BJ116" i="12"/>
  <c r="BK116" i="12"/>
  <c r="BL116" i="12"/>
  <c r="BM116" i="12"/>
  <c r="BN116" i="12"/>
  <c r="BO116" i="12"/>
  <c r="BP116" i="12"/>
  <c r="BQ116" i="12"/>
  <c r="BR116" i="12"/>
  <c r="BS116" i="12"/>
  <c r="BT116" i="12"/>
  <c r="BU116" i="12"/>
  <c r="BV116" i="12"/>
  <c r="BW116" i="12"/>
  <c r="BX116" i="12"/>
  <c r="BY116" i="12"/>
  <c r="BZ116" i="12"/>
  <c r="CA116" i="12"/>
  <c r="CB116" i="12"/>
  <c r="CC116" i="12"/>
  <c r="CD116" i="12"/>
  <c r="CE116" i="12"/>
  <c r="CF116" i="12"/>
  <c r="CG116" i="12"/>
  <c r="CH116" i="12"/>
  <c r="CI116" i="12"/>
  <c r="CJ116" i="12"/>
  <c r="CK116" i="12"/>
  <c r="CL116" i="12"/>
  <c r="CM116" i="12"/>
  <c r="CN116" i="12"/>
  <c r="CO116" i="12"/>
  <c r="CP116" i="12"/>
  <c r="CQ116" i="12"/>
  <c r="CR116" i="12"/>
  <c r="CS116" i="12"/>
  <c r="CT116" i="12"/>
  <c r="CU116" i="12"/>
  <c r="CV116" i="12"/>
  <c r="CW116" i="12"/>
  <c r="CX116" i="12"/>
  <c r="CY116" i="12"/>
  <c r="CZ116" i="12"/>
  <c r="DA116" i="12"/>
  <c r="DB116" i="12"/>
  <c r="DC116" i="12"/>
  <c r="DD116" i="12"/>
  <c r="DE116" i="12"/>
  <c r="DF116" i="12"/>
  <c r="DG116" i="12"/>
  <c r="DH116" i="12"/>
  <c r="DI116" i="12"/>
  <c r="DJ116" i="12"/>
  <c r="DK116" i="12"/>
  <c r="DL116" i="12"/>
  <c r="DM116" i="12"/>
  <c r="DN116" i="12"/>
  <c r="DO116" i="12"/>
  <c r="DP116" i="12"/>
  <c r="DQ116" i="12"/>
  <c r="DR116" i="12"/>
  <c r="DS116" i="12"/>
  <c r="DT116" i="12"/>
  <c r="DU116" i="12"/>
  <c r="O117" i="12"/>
  <c r="P117" i="12"/>
  <c r="Q117" i="12"/>
  <c r="R117" i="12"/>
  <c r="S117" i="12"/>
  <c r="T117" i="12"/>
  <c r="U117" i="12"/>
  <c r="V117" i="12"/>
  <c r="W117" i="12"/>
  <c r="X117" i="12"/>
  <c r="Y117" i="12"/>
  <c r="Z117" i="12"/>
  <c r="AA117" i="12"/>
  <c r="AB117" i="12"/>
  <c r="AC117" i="12"/>
  <c r="AD117" i="12"/>
  <c r="AE117" i="12"/>
  <c r="AF117" i="12"/>
  <c r="AG117" i="12"/>
  <c r="AH117" i="12"/>
  <c r="AI117" i="12"/>
  <c r="AJ117" i="12"/>
  <c r="AK117" i="12"/>
  <c r="AL117" i="12"/>
  <c r="AM117" i="12"/>
  <c r="AN117" i="12"/>
  <c r="AO117" i="12"/>
  <c r="AP117" i="12"/>
  <c r="AQ117" i="12"/>
  <c r="AR117" i="12"/>
  <c r="AS117" i="12"/>
  <c r="AT117" i="12"/>
  <c r="AU117" i="12"/>
  <c r="AV117" i="12"/>
  <c r="AW117" i="12"/>
  <c r="AX117" i="12"/>
  <c r="AY117" i="12"/>
  <c r="AZ117" i="12"/>
  <c r="BA117" i="12"/>
  <c r="BB117" i="12"/>
  <c r="BC117" i="12"/>
  <c r="BD117" i="12"/>
  <c r="BE117" i="12"/>
  <c r="BF117" i="12"/>
  <c r="BG117" i="12"/>
  <c r="BH117" i="12"/>
  <c r="BI117" i="12"/>
  <c r="BJ117" i="12"/>
  <c r="BK117" i="12"/>
  <c r="BL117" i="12"/>
  <c r="BM117" i="12"/>
  <c r="BN117" i="12"/>
  <c r="BO117" i="12"/>
  <c r="BP117" i="12"/>
  <c r="BQ117" i="12"/>
  <c r="BR117" i="12"/>
  <c r="BS117" i="12"/>
  <c r="BT117" i="12"/>
  <c r="BU117" i="12"/>
  <c r="BV117" i="12"/>
  <c r="BW117" i="12"/>
  <c r="BX117" i="12"/>
  <c r="BY117" i="12"/>
  <c r="BZ117" i="12"/>
  <c r="CA117" i="12"/>
  <c r="CB117" i="12"/>
  <c r="CC117" i="12"/>
  <c r="CD117" i="12"/>
  <c r="CE117" i="12"/>
  <c r="CF117" i="12"/>
  <c r="CG117" i="12"/>
  <c r="CH117" i="12"/>
  <c r="CI117" i="12"/>
  <c r="CJ117" i="12"/>
  <c r="CK117" i="12"/>
  <c r="CL117" i="12"/>
  <c r="CM117" i="12"/>
  <c r="CN117" i="12"/>
  <c r="CO117" i="12"/>
  <c r="CP117" i="12"/>
  <c r="CQ117" i="12"/>
  <c r="CR117" i="12"/>
  <c r="CS117" i="12"/>
  <c r="CT117" i="12"/>
  <c r="CU117" i="12"/>
  <c r="CV117" i="12"/>
  <c r="CW117" i="12"/>
  <c r="CX117" i="12"/>
  <c r="CY117" i="12"/>
  <c r="CZ117" i="12"/>
  <c r="DA117" i="12"/>
  <c r="DB117" i="12"/>
  <c r="DC117" i="12"/>
  <c r="DD117" i="12"/>
  <c r="DE117" i="12"/>
  <c r="DF117" i="12"/>
  <c r="DG117" i="12"/>
  <c r="DH117" i="12"/>
  <c r="DI117" i="12"/>
  <c r="DJ117" i="12"/>
  <c r="DK117" i="12"/>
  <c r="DL117" i="12"/>
  <c r="DM117" i="12"/>
  <c r="DN117" i="12"/>
  <c r="DO117" i="12"/>
  <c r="DP117" i="12"/>
  <c r="DQ117" i="12"/>
  <c r="DR117" i="12"/>
  <c r="DS117" i="12"/>
  <c r="DT117" i="12"/>
  <c r="DU117" i="12"/>
  <c r="O118" i="12"/>
  <c r="P118" i="12"/>
  <c r="Q118" i="12"/>
  <c r="R118" i="12"/>
  <c r="S118" i="12"/>
  <c r="T118" i="12"/>
  <c r="U118" i="12"/>
  <c r="V118" i="12"/>
  <c r="W118" i="12"/>
  <c r="X118" i="12"/>
  <c r="Y118" i="12"/>
  <c r="Z118" i="12"/>
  <c r="AA118" i="12"/>
  <c r="AB118" i="12"/>
  <c r="AC118" i="12"/>
  <c r="AD118" i="12"/>
  <c r="AE118" i="12"/>
  <c r="AF118" i="12"/>
  <c r="AG118" i="12"/>
  <c r="AH118" i="12"/>
  <c r="AI118" i="12"/>
  <c r="AJ118" i="12"/>
  <c r="AK118" i="12"/>
  <c r="AL118" i="12"/>
  <c r="AM118" i="12"/>
  <c r="AN118" i="12"/>
  <c r="AO118" i="12"/>
  <c r="AP118" i="12"/>
  <c r="AQ118" i="12"/>
  <c r="AR118" i="12"/>
  <c r="AS118" i="12"/>
  <c r="AT118" i="12"/>
  <c r="AU118" i="12"/>
  <c r="AV118" i="12"/>
  <c r="AW118" i="12"/>
  <c r="AX118" i="12"/>
  <c r="AY118" i="12"/>
  <c r="AZ118" i="12"/>
  <c r="BA118" i="12"/>
  <c r="BB118" i="12"/>
  <c r="BC118" i="12"/>
  <c r="BD118" i="12"/>
  <c r="BE118" i="12"/>
  <c r="BF118" i="12"/>
  <c r="BG118" i="12"/>
  <c r="BH118" i="12"/>
  <c r="BI118" i="12"/>
  <c r="BJ118" i="12"/>
  <c r="BK118" i="12"/>
  <c r="BL118" i="12"/>
  <c r="BM118" i="12"/>
  <c r="BN118" i="12"/>
  <c r="BO118" i="12"/>
  <c r="BP118" i="12"/>
  <c r="BQ118" i="12"/>
  <c r="BR118" i="12"/>
  <c r="BS118" i="12"/>
  <c r="BT118" i="12"/>
  <c r="BU118" i="12"/>
  <c r="BV118" i="12"/>
  <c r="BW118" i="12"/>
  <c r="BX118" i="12"/>
  <c r="BY118" i="12"/>
  <c r="BZ118" i="12"/>
  <c r="CA118" i="12"/>
  <c r="CB118" i="12"/>
  <c r="CC118" i="12"/>
  <c r="CD118" i="12"/>
  <c r="CE118" i="12"/>
  <c r="CF118" i="12"/>
  <c r="CG118" i="12"/>
  <c r="CH118" i="12"/>
  <c r="CI118" i="12"/>
  <c r="CJ118" i="12"/>
  <c r="CK118" i="12"/>
  <c r="CL118" i="12"/>
  <c r="CM118" i="12"/>
  <c r="CN118" i="12"/>
  <c r="CO118" i="12"/>
  <c r="CP118" i="12"/>
  <c r="CQ118" i="12"/>
  <c r="CR118" i="12"/>
  <c r="CS118" i="12"/>
  <c r="CT118" i="12"/>
  <c r="CU118" i="12"/>
  <c r="CV118" i="12"/>
  <c r="CW118" i="12"/>
  <c r="CX118" i="12"/>
  <c r="CY118" i="12"/>
  <c r="CZ118" i="12"/>
  <c r="DA118" i="12"/>
  <c r="DB118" i="12"/>
  <c r="DC118" i="12"/>
  <c r="DD118" i="12"/>
  <c r="DE118" i="12"/>
  <c r="DF118" i="12"/>
  <c r="DG118" i="12"/>
  <c r="DH118" i="12"/>
  <c r="DI118" i="12"/>
  <c r="DJ118" i="12"/>
  <c r="DK118" i="12"/>
  <c r="DL118" i="12"/>
  <c r="DM118" i="12"/>
  <c r="DN118" i="12"/>
  <c r="DO118" i="12"/>
  <c r="DP118" i="12"/>
  <c r="DQ118" i="12"/>
  <c r="DR118" i="12"/>
  <c r="DS118" i="12"/>
  <c r="DT118" i="12"/>
  <c r="DU118" i="12"/>
  <c r="O119" i="12"/>
  <c r="P119" i="12"/>
  <c r="Q119" i="12"/>
  <c r="R119" i="12"/>
  <c r="S119" i="12"/>
  <c r="T119" i="12"/>
  <c r="U119" i="12"/>
  <c r="V119" i="12"/>
  <c r="W119" i="12"/>
  <c r="X119" i="12"/>
  <c r="Y119" i="12"/>
  <c r="Z119" i="12"/>
  <c r="AA119" i="12"/>
  <c r="AB119" i="12"/>
  <c r="AC119" i="12"/>
  <c r="AD119" i="12"/>
  <c r="AE119" i="12"/>
  <c r="AF119" i="12"/>
  <c r="AG119" i="12"/>
  <c r="AH119" i="12"/>
  <c r="AI119" i="12"/>
  <c r="AJ119" i="12"/>
  <c r="AK119" i="12"/>
  <c r="AL119" i="12"/>
  <c r="AM119" i="12"/>
  <c r="AN119" i="12"/>
  <c r="AO119" i="12"/>
  <c r="AP119" i="12"/>
  <c r="AQ119" i="12"/>
  <c r="AR119" i="12"/>
  <c r="AS119" i="12"/>
  <c r="AT119" i="12"/>
  <c r="AU119" i="12"/>
  <c r="AV119" i="12"/>
  <c r="AW119" i="12"/>
  <c r="AX119" i="12"/>
  <c r="AY119" i="12"/>
  <c r="AZ119" i="12"/>
  <c r="BA119" i="12"/>
  <c r="BB119" i="12"/>
  <c r="BC119" i="12"/>
  <c r="BD119" i="12"/>
  <c r="BE119" i="12"/>
  <c r="BF119" i="12"/>
  <c r="BG119" i="12"/>
  <c r="BH119" i="12"/>
  <c r="BI119" i="12"/>
  <c r="BJ119" i="12"/>
  <c r="BK119" i="12"/>
  <c r="BL119" i="12"/>
  <c r="BM119" i="12"/>
  <c r="BN119" i="12"/>
  <c r="BO119" i="12"/>
  <c r="BP119" i="12"/>
  <c r="BQ119" i="12"/>
  <c r="BR119" i="12"/>
  <c r="BS119" i="12"/>
  <c r="BT119" i="12"/>
  <c r="BU119" i="12"/>
  <c r="BV119" i="12"/>
  <c r="BW119" i="12"/>
  <c r="BX119" i="12"/>
  <c r="BY119" i="12"/>
  <c r="BZ119" i="12"/>
  <c r="CA119" i="12"/>
  <c r="CB119" i="12"/>
  <c r="CC119" i="12"/>
  <c r="CD119" i="12"/>
  <c r="CE119" i="12"/>
  <c r="CF119" i="12"/>
  <c r="CG119" i="12"/>
  <c r="CH119" i="12"/>
  <c r="CI119" i="12"/>
  <c r="CJ119" i="12"/>
  <c r="CK119" i="12"/>
  <c r="CL119" i="12"/>
  <c r="CM119" i="12"/>
  <c r="CN119" i="12"/>
  <c r="CO119" i="12"/>
  <c r="CP119" i="12"/>
  <c r="CQ119" i="12"/>
  <c r="CR119" i="12"/>
  <c r="CS119" i="12"/>
  <c r="CT119" i="12"/>
  <c r="CU119" i="12"/>
  <c r="CV119" i="12"/>
  <c r="CW119" i="12"/>
  <c r="CX119" i="12"/>
  <c r="CY119" i="12"/>
  <c r="CZ119" i="12"/>
  <c r="DA119" i="12"/>
  <c r="DB119" i="12"/>
  <c r="DC119" i="12"/>
  <c r="DD119" i="12"/>
  <c r="DE119" i="12"/>
  <c r="DF119" i="12"/>
  <c r="DG119" i="12"/>
  <c r="DH119" i="12"/>
  <c r="DI119" i="12"/>
  <c r="DJ119" i="12"/>
  <c r="DK119" i="12"/>
  <c r="DL119" i="12"/>
  <c r="DM119" i="12"/>
  <c r="DN119" i="12"/>
  <c r="DO119" i="12"/>
  <c r="DP119" i="12"/>
  <c r="DQ119" i="12"/>
  <c r="DR119" i="12"/>
  <c r="DS119" i="12"/>
  <c r="DT119" i="12"/>
  <c r="DU119" i="12"/>
  <c r="O120" i="12"/>
  <c r="P120" i="12"/>
  <c r="Q120" i="12"/>
  <c r="R120" i="12"/>
  <c r="S120" i="12"/>
  <c r="T120" i="12"/>
  <c r="U120" i="12"/>
  <c r="V120" i="12"/>
  <c r="W120" i="12"/>
  <c r="X120" i="12"/>
  <c r="Y120" i="12"/>
  <c r="Z120" i="12"/>
  <c r="AA120" i="12"/>
  <c r="AB120" i="12"/>
  <c r="AC120" i="12"/>
  <c r="AD120" i="12"/>
  <c r="AE120" i="12"/>
  <c r="AF120" i="12"/>
  <c r="AG120" i="12"/>
  <c r="AH120" i="12"/>
  <c r="AI120" i="12"/>
  <c r="AJ120" i="12"/>
  <c r="AK120" i="12"/>
  <c r="AL120" i="12"/>
  <c r="AM120" i="12"/>
  <c r="AN120" i="12"/>
  <c r="AO120" i="12"/>
  <c r="AP120" i="12"/>
  <c r="AQ120" i="12"/>
  <c r="AR120" i="12"/>
  <c r="AS120" i="12"/>
  <c r="AT120" i="12"/>
  <c r="AU120" i="12"/>
  <c r="AV120" i="12"/>
  <c r="AW120" i="12"/>
  <c r="AX120" i="12"/>
  <c r="AY120" i="12"/>
  <c r="AZ120" i="12"/>
  <c r="BA120" i="12"/>
  <c r="BB120" i="12"/>
  <c r="BC120" i="12"/>
  <c r="BD120" i="12"/>
  <c r="BE120" i="12"/>
  <c r="BF120" i="12"/>
  <c r="BG120" i="12"/>
  <c r="BH120" i="12"/>
  <c r="BI120" i="12"/>
  <c r="BJ120" i="12"/>
  <c r="BK120" i="12"/>
  <c r="BL120" i="12"/>
  <c r="BM120" i="12"/>
  <c r="BN120" i="12"/>
  <c r="BO120" i="12"/>
  <c r="BP120" i="12"/>
  <c r="BQ120" i="12"/>
  <c r="BR120" i="12"/>
  <c r="BS120" i="12"/>
  <c r="BT120" i="12"/>
  <c r="BU120" i="12"/>
  <c r="BV120" i="12"/>
  <c r="BW120" i="12"/>
  <c r="BX120" i="12"/>
  <c r="BY120" i="12"/>
  <c r="BZ120" i="12"/>
  <c r="CA120" i="12"/>
  <c r="CB120" i="12"/>
  <c r="CC120" i="12"/>
  <c r="CD120" i="12"/>
  <c r="CE120" i="12"/>
  <c r="CF120" i="12"/>
  <c r="CG120" i="12"/>
  <c r="CH120" i="12"/>
  <c r="CI120" i="12"/>
  <c r="CJ120" i="12"/>
  <c r="CK120" i="12"/>
  <c r="CL120" i="12"/>
  <c r="CM120" i="12"/>
  <c r="CN120" i="12"/>
  <c r="CO120" i="12"/>
  <c r="CP120" i="12"/>
  <c r="CQ120" i="12"/>
  <c r="CR120" i="12"/>
  <c r="CS120" i="12"/>
  <c r="CT120" i="12"/>
  <c r="CU120" i="12"/>
  <c r="CV120" i="12"/>
  <c r="CW120" i="12"/>
  <c r="CX120" i="12"/>
  <c r="CY120" i="12"/>
  <c r="CZ120" i="12"/>
  <c r="DA120" i="12"/>
  <c r="DB120" i="12"/>
  <c r="DC120" i="12"/>
  <c r="DD120" i="12"/>
  <c r="DE120" i="12"/>
  <c r="DF120" i="12"/>
  <c r="DG120" i="12"/>
  <c r="DH120" i="12"/>
  <c r="DI120" i="12"/>
  <c r="DJ120" i="12"/>
  <c r="DK120" i="12"/>
  <c r="DL120" i="12"/>
  <c r="DM120" i="12"/>
  <c r="DN120" i="12"/>
  <c r="DO120" i="12"/>
  <c r="DP120" i="12"/>
  <c r="DQ120" i="12"/>
  <c r="DR120" i="12"/>
  <c r="DS120" i="12"/>
  <c r="DT120" i="12"/>
  <c r="DU120" i="12"/>
  <c r="O121" i="12"/>
  <c r="P121" i="12"/>
  <c r="Q121" i="12"/>
  <c r="R121" i="12"/>
  <c r="S121" i="12"/>
  <c r="T121" i="12"/>
  <c r="U121" i="12"/>
  <c r="V121" i="12"/>
  <c r="W121" i="12"/>
  <c r="X121" i="12"/>
  <c r="Y121" i="12"/>
  <c r="Z121" i="12"/>
  <c r="AA121" i="12"/>
  <c r="AB121" i="12"/>
  <c r="AC121" i="12"/>
  <c r="AD121" i="12"/>
  <c r="AE121" i="12"/>
  <c r="AF121" i="12"/>
  <c r="AG121" i="12"/>
  <c r="AH121" i="12"/>
  <c r="AI121" i="12"/>
  <c r="AJ121" i="12"/>
  <c r="AK121" i="12"/>
  <c r="AL121" i="12"/>
  <c r="AM121" i="12"/>
  <c r="AN121" i="12"/>
  <c r="AO121" i="12"/>
  <c r="AP121" i="12"/>
  <c r="AQ121" i="12"/>
  <c r="AR121" i="12"/>
  <c r="AS121" i="12"/>
  <c r="AT121" i="12"/>
  <c r="AU121" i="12"/>
  <c r="AV121" i="12"/>
  <c r="AW121" i="12"/>
  <c r="AX121" i="12"/>
  <c r="AY121" i="12"/>
  <c r="AZ121" i="12"/>
  <c r="BA121" i="12"/>
  <c r="BB121" i="12"/>
  <c r="BC121" i="12"/>
  <c r="BD121" i="12"/>
  <c r="BE121" i="12"/>
  <c r="BF121" i="12"/>
  <c r="BG121" i="12"/>
  <c r="BH121" i="12"/>
  <c r="BI121" i="12"/>
  <c r="BJ121" i="12"/>
  <c r="BK121" i="12"/>
  <c r="BL121" i="12"/>
  <c r="BM121" i="12"/>
  <c r="BN121" i="12"/>
  <c r="BO121" i="12"/>
  <c r="BP121" i="12"/>
  <c r="BQ121" i="12"/>
  <c r="BR121" i="12"/>
  <c r="BS121" i="12"/>
  <c r="BT121" i="12"/>
  <c r="BU121" i="12"/>
  <c r="BV121" i="12"/>
  <c r="BW121" i="12"/>
  <c r="BX121" i="12"/>
  <c r="BY121" i="12"/>
  <c r="BZ121" i="12"/>
  <c r="CA121" i="12"/>
  <c r="CB121" i="12"/>
  <c r="CC121" i="12"/>
  <c r="CD121" i="12"/>
  <c r="CE121" i="12"/>
  <c r="CF121" i="12"/>
  <c r="CG121" i="12"/>
  <c r="CH121" i="12"/>
  <c r="CI121" i="12"/>
  <c r="CJ121" i="12"/>
  <c r="CK121" i="12"/>
  <c r="CL121" i="12"/>
  <c r="CM121" i="12"/>
  <c r="CN121" i="12"/>
  <c r="CO121" i="12"/>
  <c r="CP121" i="12"/>
  <c r="CQ121" i="12"/>
  <c r="CR121" i="12"/>
  <c r="CS121" i="12"/>
  <c r="CT121" i="12"/>
  <c r="CU121" i="12"/>
  <c r="CV121" i="12"/>
  <c r="CW121" i="12"/>
  <c r="CX121" i="12"/>
  <c r="CY121" i="12"/>
  <c r="CZ121" i="12"/>
  <c r="DA121" i="12"/>
  <c r="DB121" i="12"/>
  <c r="DC121" i="12"/>
  <c r="DD121" i="12"/>
  <c r="DE121" i="12"/>
  <c r="DF121" i="12"/>
  <c r="DG121" i="12"/>
  <c r="DH121" i="12"/>
  <c r="DI121" i="12"/>
  <c r="DJ121" i="12"/>
  <c r="DK121" i="12"/>
  <c r="DL121" i="12"/>
  <c r="DM121" i="12"/>
  <c r="DN121" i="12"/>
  <c r="DO121" i="12"/>
  <c r="DP121" i="12"/>
  <c r="DQ121" i="12"/>
  <c r="DR121" i="12"/>
  <c r="DS121" i="12"/>
  <c r="DT121" i="12"/>
  <c r="DU121" i="12"/>
  <c r="O122" i="12"/>
  <c r="P122" i="12"/>
  <c r="Q122" i="12"/>
  <c r="R122" i="12"/>
  <c r="S122" i="12"/>
  <c r="T122" i="12"/>
  <c r="U122" i="12"/>
  <c r="V122" i="12"/>
  <c r="W122" i="12"/>
  <c r="X122" i="12"/>
  <c r="Y122" i="12"/>
  <c r="Z122" i="12"/>
  <c r="AA122" i="12"/>
  <c r="AB122" i="12"/>
  <c r="AC122" i="12"/>
  <c r="AD122" i="12"/>
  <c r="AE122" i="12"/>
  <c r="AF122" i="12"/>
  <c r="AG122" i="12"/>
  <c r="AH122" i="12"/>
  <c r="AI122" i="12"/>
  <c r="AJ122" i="12"/>
  <c r="AK122" i="12"/>
  <c r="AL122" i="12"/>
  <c r="AM122" i="12"/>
  <c r="AN122" i="12"/>
  <c r="AO122" i="12"/>
  <c r="AP122" i="12"/>
  <c r="AQ122" i="12"/>
  <c r="AR122" i="12"/>
  <c r="AS122" i="12"/>
  <c r="AT122" i="12"/>
  <c r="AU122" i="12"/>
  <c r="AV122" i="12"/>
  <c r="AW122" i="12"/>
  <c r="AX122" i="12"/>
  <c r="AY122" i="12"/>
  <c r="AZ122" i="12"/>
  <c r="BA122" i="12"/>
  <c r="BB122" i="12"/>
  <c r="BC122" i="12"/>
  <c r="BD122" i="12"/>
  <c r="BE122" i="12"/>
  <c r="BF122" i="12"/>
  <c r="BG122" i="12"/>
  <c r="BH122" i="12"/>
  <c r="BI122" i="12"/>
  <c r="BJ122" i="12"/>
  <c r="BK122" i="12"/>
  <c r="BL122" i="12"/>
  <c r="BM122" i="12"/>
  <c r="BN122" i="12"/>
  <c r="BO122" i="12"/>
  <c r="BP122" i="12"/>
  <c r="BQ122" i="12"/>
  <c r="BR122" i="12"/>
  <c r="BS122" i="12"/>
  <c r="BT122" i="12"/>
  <c r="BU122" i="12"/>
  <c r="BV122" i="12"/>
  <c r="BW122" i="12"/>
  <c r="BX122" i="12"/>
  <c r="BY122" i="12"/>
  <c r="BZ122" i="12"/>
  <c r="CA122" i="12"/>
  <c r="CB122" i="12"/>
  <c r="CC122" i="12"/>
  <c r="CD122" i="12"/>
  <c r="CE122" i="12"/>
  <c r="CF122" i="12"/>
  <c r="CG122" i="12"/>
  <c r="CH122" i="12"/>
  <c r="CI122" i="12"/>
  <c r="CJ122" i="12"/>
  <c r="CK122" i="12"/>
  <c r="CL122" i="12"/>
  <c r="CM122" i="12"/>
  <c r="CN122" i="12"/>
  <c r="CO122" i="12"/>
  <c r="CP122" i="12"/>
  <c r="CQ122" i="12"/>
  <c r="CR122" i="12"/>
  <c r="CS122" i="12"/>
  <c r="CT122" i="12"/>
  <c r="CU122" i="12"/>
  <c r="CV122" i="12"/>
  <c r="CW122" i="12"/>
  <c r="CX122" i="12"/>
  <c r="CY122" i="12"/>
  <c r="CZ122" i="12"/>
  <c r="DA122" i="12"/>
  <c r="DB122" i="12"/>
  <c r="DC122" i="12"/>
  <c r="DD122" i="12"/>
  <c r="DE122" i="12"/>
  <c r="DF122" i="12"/>
  <c r="DG122" i="12"/>
  <c r="DH122" i="12"/>
  <c r="DI122" i="12"/>
  <c r="DJ122" i="12"/>
  <c r="DK122" i="12"/>
  <c r="DL122" i="12"/>
  <c r="DM122" i="12"/>
  <c r="DN122" i="12"/>
  <c r="DO122" i="12"/>
  <c r="DP122" i="12"/>
  <c r="DQ122" i="12"/>
  <c r="DR122" i="12"/>
  <c r="DS122" i="12"/>
  <c r="DT122" i="12"/>
  <c r="DU122" i="12"/>
  <c r="O123" i="12"/>
  <c r="P123" i="12"/>
  <c r="Q123" i="12"/>
  <c r="R123" i="12"/>
  <c r="S123" i="12"/>
  <c r="T123" i="12"/>
  <c r="U123" i="12"/>
  <c r="V123" i="12"/>
  <c r="W123" i="12"/>
  <c r="X123" i="12"/>
  <c r="Y123" i="12"/>
  <c r="Z123" i="12"/>
  <c r="AA123" i="12"/>
  <c r="AB123" i="12"/>
  <c r="AC123" i="12"/>
  <c r="AD123" i="12"/>
  <c r="AE123" i="12"/>
  <c r="AF123" i="12"/>
  <c r="AG123" i="12"/>
  <c r="AH123" i="12"/>
  <c r="AI123" i="12"/>
  <c r="AJ123" i="12"/>
  <c r="AK123" i="12"/>
  <c r="AL123" i="12"/>
  <c r="AM123" i="12"/>
  <c r="AN123" i="12"/>
  <c r="AO123" i="12"/>
  <c r="AP123" i="12"/>
  <c r="AQ123" i="12"/>
  <c r="AR123" i="12"/>
  <c r="AS123" i="12"/>
  <c r="AT123" i="12"/>
  <c r="AU123" i="12"/>
  <c r="AV123" i="12"/>
  <c r="AW123" i="12"/>
  <c r="AX123" i="12"/>
  <c r="AY123" i="12"/>
  <c r="AZ123" i="12"/>
  <c r="BA123" i="12"/>
  <c r="BB123" i="12"/>
  <c r="BC123" i="12"/>
  <c r="BD123" i="12"/>
  <c r="BE123" i="12"/>
  <c r="BF123" i="12"/>
  <c r="BG123" i="12"/>
  <c r="BH123" i="12"/>
  <c r="BI123" i="12"/>
  <c r="BJ123" i="12"/>
  <c r="BK123" i="12"/>
  <c r="BL123" i="12"/>
  <c r="BM123" i="12"/>
  <c r="BN123" i="12"/>
  <c r="BO123" i="12"/>
  <c r="BP123" i="12"/>
  <c r="BQ123" i="12"/>
  <c r="BR123" i="12"/>
  <c r="BS123" i="12"/>
  <c r="BT123" i="12"/>
  <c r="BU123" i="12"/>
  <c r="BV123" i="12"/>
  <c r="BW123" i="12"/>
  <c r="BX123" i="12"/>
  <c r="BY123" i="12"/>
  <c r="BZ123" i="12"/>
  <c r="CA123" i="12"/>
  <c r="CB123" i="12"/>
  <c r="CC123" i="12"/>
  <c r="CD123" i="12"/>
  <c r="CE123" i="12"/>
  <c r="CF123" i="12"/>
  <c r="CG123" i="12"/>
  <c r="CH123" i="12"/>
  <c r="CI123" i="12"/>
  <c r="CJ123" i="12"/>
  <c r="CK123" i="12"/>
  <c r="CL123" i="12"/>
  <c r="CM123" i="12"/>
  <c r="CN123" i="12"/>
  <c r="CO123" i="12"/>
  <c r="CP123" i="12"/>
  <c r="CQ123" i="12"/>
  <c r="CR123" i="12"/>
  <c r="CS123" i="12"/>
  <c r="CT123" i="12"/>
  <c r="CU123" i="12"/>
  <c r="CV123" i="12"/>
  <c r="CW123" i="12"/>
  <c r="CX123" i="12"/>
  <c r="CY123" i="12"/>
  <c r="CZ123" i="12"/>
  <c r="DA123" i="12"/>
  <c r="DB123" i="12"/>
  <c r="DC123" i="12"/>
  <c r="DD123" i="12"/>
  <c r="DE123" i="12"/>
  <c r="DF123" i="12"/>
  <c r="DG123" i="12"/>
  <c r="DH123" i="12"/>
  <c r="DI123" i="12"/>
  <c r="DJ123" i="12"/>
  <c r="DK123" i="12"/>
  <c r="DL123" i="12"/>
  <c r="DM123" i="12"/>
  <c r="DN123" i="12"/>
  <c r="DO123" i="12"/>
  <c r="DP123" i="12"/>
  <c r="DQ123" i="12"/>
  <c r="DR123" i="12"/>
  <c r="DS123" i="12"/>
  <c r="DT123" i="12"/>
  <c r="DU123" i="12"/>
  <c r="O124" i="12"/>
  <c r="P124" i="12"/>
  <c r="Q124" i="12"/>
  <c r="R124" i="12"/>
  <c r="S124" i="12"/>
  <c r="T124" i="12"/>
  <c r="U124" i="12"/>
  <c r="V124" i="12"/>
  <c r="W124" i="12"/>
  <c r="X124" i="12"/>
  <c r="Y124" i="12"/>
  <c r="Z124" i="12"/>
  <c r="AA124" i="12"/>
  <c r="AB124" i="12"/>
  <c r="AC124" i="12"/>
  <c r="AD124" i="12"/>
  <c r="AE124" i="12"/>
  <c r="AF124" i="12"/>
  <c r="AG124" i="12"/>
  <c r="AH124" i="12"/>
  <c r="AI124" i="12"/>
  <c r="AJ124" i="12"/>
  <c r="AK124" i="12"/>
  <c r="AL124" i="12"/>
  <c r="AM124" i="12"/>
  <c r="AN124" i="12"/>
  <c r="AO124" i="12"/>
  <c r="AP124" i="12"/>
  <c r="AQ124" i="12"/>
  <c r="AR124" i="12"/>
  <c r="AS124" i="12"/>
  <c r="AT124" i="12"/>
  <c r="AU124" i="12"/>
  <c r="AV124" i="12"/>
  <c r="AW124" i="12"/>
  <c r="AX124" i="12"/>
  <c r="AY124" i="12"/>
  <c r="AZ124" i="12"/>
  <c r="BA124" i="12"/>
  <c r="BB124" i="12"/>
  <c r="BC124" i="12"/>
  <c r="BD124" i="12"/>
  <c r="BE124" i="12"/>
  <c r="BF124" i="12"/>
  <c r="BG124" i="12"/>
  <c r="BH124" i="12"/>
  <c r="BI124" i="12"/>
  <c r="BJ124" i="12"/>
  <c r="BK124" i="12"/>
  <c r="BL124" i="12"/>
  <c r="BM124" i="12"/>
  <c r="BN124" i="12"/>
  <c r="BO124" i="12"/>
  <c r="BP124" i="12"/>
  <c r="BQ124" i="12"/>
  <c r="BR124" i="12"/>
  <c r="BS124" i="12"/>
  <c r="BT124" i="12"/>
  <c r="BU124" i="12"/>
  <c r="BV124" i="12"/>
  <c r="BW124" i="12"/>
  <c r="BX124" i="12"/>
  <c r="BY124" i="12"/>
  <c r="BZ124" i="12"/>
  <c r="CA124" i="12"/>
  <c r="CB124" i="12"/>
  <c r="CC124" i="12"/>
  <c r="CD124" i="12"/>
  <c r="CE124" i="12"/>
  <c r="CF124" i="12"/>
  <c r="CG124" i="12"/>
  <c r="CH124" i="12"/>
  <c r="CI124" i="12"/>
  <c r="CJ124" i="12"/>
  <c r="CK124" i="12"/>
  <c r="CL124" i="12"/>
  <c r="CM124" i="12"/>
  <c r="CN124" i="12"/>
  <c r="CO124" i="12"/>
  <c r="CP124" i="12"/>
  <c r="CQ124" i="12"/>
  <c r="CR124" i="12"/>
  <c r="CS124" i="12"/>
  <c r="CT124" i="12"/>
  <c r="CU124" i="12"/>
  <c r="CV124" i="12"/>
  <c r="CW124" i="12"/>
  <c r="CX124" i="12"/>
  <c r="CY124" i="12"/>
  <c r="CZ124" i="12"/>
  <c r="DA124" i="12"/>
  <c r="DB124" i="12"/>
  <c r="DC124" i="12"/>
  <c r="DD124" i="12"/>
  <c r="DE124" i="12"/>
  <c r="DF124" i="12"/>
  <c r="DG124" i="12"/>
  <c r="DH124" i="12"/>
  <c r="DI124" i="12"/>
  <c r="DJ124" i="12"/>
  <c r="DK124" i="12"/>
  <c r="DL124" i="12"/>
  <c r="DM124" i="12"/>
  <c r="DN124" i="12"/>
  <c r="DO124" i="12"/>
  <c r="DP124" i="12"/>
  <c r="DQ124" i="12"/>
  <c r="DR124" i="12"/>
  <c r="DS124" i="12"/>
  <c r="DT124" i="12"/>
  <c r="DU124" i="12"/>
  <c r="O125" i="12"/>
  <c r="P125" i="12"/>
  <c r="Q125" i="12"/>
  <c r="R125" i="12"/>
  <c r="S125" i="12"/>
  <c r="T125" i="12"/>
  <c r="U125" i="12"/>
  <c r="V125" i="12"/>
  <c r="W125" i="12"/>
  <c r="X125" i="12"/>
  <c r="Y125" i="12"/>
  <c r="Z125" i="12"/>
  <c r="AA125" i="12"/>
  <c r="AB125" i="12"/>
  <c r="AC125" i="12"/>
  <c r="AD125" i="12"/>
  <c r="AE125" i="12"/>
  <c r="AF125" i="12"/>
  <c r="AG125" i="12"/>
  <c r="AH125" i="12"/>
  <c r="AI125" i="12"/>
  <c r="AJ125" i="12"/>
  <c r="AK125" i="12"/>
  <c r="AL125" i="12"/>
  <c r="AM125" i="12"/>
  <c r="AN125" i="12"/>
  <c r="AO125" i="12"/>
  <c r="AP125" i="12"/>
  <c r="AQ125" i="12"/>
  <c r="AR125" i="12"/>
  <c r="AS125" i="12"/>
  <c r="AT125" i="12"/>
  <c r="AU125" i="12"/>
  <c r="AV125" i="12"/>
  <c r="AW125" i="12"/>
  <c r="AX125" i="12"/>
  <c r="AY125" i="12"/>
  <c r="AZ125" i="12"/>
  <c r="BA125" i="12"/>
  <c r="BB125" i="12"/>
  <c r="BC125" i="12"/>
  <c r="BD125" i="12"/>
  <c r="BE125" i="12"/>
  <c r="BF125" i="12"/>
  <c r="BG125" i="12"/>
  <c r="BH125" i="12"/>
  <c r="BI125" i="12"/>
  <c r="BJ125" i="12"/>
  <c r="BK125" i="12"/>
  <c r="BL125" i="12"/>
  <c r="BM125" i="12"/>
  <c r="BN125" i="12"/>
  <c r="BO125" i="12"/>
  <c r="BP125" i="12"/>
  <c r="BQ125" i="12"/>
  <c r="BR125" i="12"/>
  <c r="BS125" i="12"/>
  <c r="BT125" i="12"/>
  <c r="BU125" i="12"/>
  <c r="BV125" i="12"/>
  <c r="BW125" i="12"/>
  <c r="BX125" i="12"/>
  <c r="BY125" i="12"/>
  <c r="BZ125" i="12"/>
  <c r="CA125" i="12"/>
  <c r="CB125" i="12"/>
  <c r="CC125" i="12"/>
  <c r="CD125" i="12"/>
  <c r="CE125" i="12"/>
  <c r="CF125" i="12"/>
  <c r="CG125" i="12"/>
  <c r="CH125" i="12"/>
  <c r="CI125" i="12"/>
  <c r="CJ125" i="12"/>
  <c r="CK125" i="12"/>
  <c r="CL125" i="12"/>
  <c r="CM125" i="12"/>
  <c r="CN125" i="12"/>
  <c r="CO125" i="12"/>
  <c r="CP125" i="12"/>
  <c r="CQ125" i="12"/>
  <c r="CR125" i="12"/>
  <c r="CS125" i="12"/>
  <c r="CT125" i="12"/>
  <c r="CU125" i="12"/>
  <c r="CV125" i="12"/>
  <c r="CW125" i="12"/>
  <c r="CX125" i="12"/>
  <c r="CY125" i="12"/>
  <c r="CZ125" i="12"/>
  <c r="DA125" i="12"/>
  <c r="DB125" i="12"/>
  <c r="DC125" i="12"/>
  <c r="DD125" i="12"/>
  <c r="DE125" i="12"/>
  <c r="DF125" i="12"/>
  <c r="DG125" i="12"/>
  <c r="DH125" i="12"/>
  <c r="DI125" i="12"/>
  <c r="DJ125" i="12"/>
  <c r="DK125" i="12"/>
  <c r="DL125" i="12"/>
  <c r="DM125" i="12"/>
  <c r="DN125" i="12"/>
  <c r="DO125" i="12"/>
  <c r="DP125" i="12"/>
  <c r="DQ125" i="12"/>
  <c r="DR125" i="12"/>
  <c r="DS125" i="12"/>
  <c r="DT125" i="12"/>
  <c r="DU125" i="12"/>
  <c r="O126" i="12"/>
  <c r="P126" i="12"/>
  <c r="Q126" i="12"/>
  <c r="R126" i="12"/>
  <c r="S126" i="12"/>
  <c r="T126" i="12"/>
  <c r="U126" i="12"/>
  <c r="V126" i="12"/>
  <c r="W126" i="12"/>
  <c r="X126" i="12"/>
  <c r="Y126" i="12"/>
  <c r="Z126" i="12"/>
  <c r="AA126" i="12"/>
  <c r="AB126" i="12"/>
  <c r="AC126" i="12"/>
  <c r="AD126" i="12"/>
  <c r="AE126" i="12"/>
  <c r="AF126" i="12"/>
  <c r="AG126" i="12"/>
  <c r="AH126" i="12"/>
  <c r="AI126" i="12"/>
  <c r="AJ126" i="12"/>
  <c r="AK126" i="12"/>
  <c r="AL126" i="12"/>
  <c r="AM126" i="12"/>
  <c r="AN126" i="12"/>
  <c r="AO126" i="12"/>
  <c r="AP126" i="12"/>
  <c r="AQ126" i="12"/>
  <c r="AR126" i="12"/>
  <c r="AS126" i="12"/>
  <c r="AT126" i="12"/>
  <c r="AU126" i="12"/>
  <c r="AV126" i="12"/>
  <c r="AW126" i="12"/>
  <c r="AX126" i="12"/>
  <c r="AY126" i="12"/>
  <c r="AZ126" i="12"/>
  <c r="BA126" i="12"/>
  <c r="BB126" i="12"/>
  <c r="BC126" i="12"/>
  <c r="BD126" i="12"/>
  <c r="BE126" i="12"/>
  <c r="BF126" i="12"/>
  <c r="BG126" i="12"/>
  <c r="BH126" i="12"/>
  <c r="BI126" i="12"/>
  <c r="BJ126" i="12"/>
  <c r="BK126" i="12"/>
  <c r="BL126" i="12"/>
  <c r="BM126" i="12"/>
  <c r="BN126" i="12"/>
  <c r="BO126" i="12"/>
  <c r="BP126" i="12"/>
  <c r="BQ126" i="12"/>
  <c r="BR126" i="12"/>
  <c r="BS126" i="12"/>
  <c r="BT126" i="12"/>
  <c r="BU126" i="12"/>
  <c r="BV126" i="12"/>
  <c r="BW126" i="12"/>
  <c r="BX126" i="12"/>
  <c r="BY126" i="12"/>
  <c r="BZ126" i="12"/>
  <c r="CA126" i="12"/>
  <c r="CB126" i="12"/>
  <c r="CC126" i="12"/>
  <c r="CD126" i="12"/>
  <c r="CE126" i="12"/>
  <c r="CF126" i="12"/>
  <c r="CG126" i="12"/>
  <c r="CH126" i="12"/>
  <c r="CI126" i="12"/>
  <c r="CJ126" i="12"/>
  <c r="CK126" i="12"/>
  <c r="CL126" i="12"/>
  <c r="CM126" i="12"/>
  <c r="CN126" i="12"/>
  <c r="CO126" i="12"/>
  <c r="CP126" i="12"/>
  <c r="CQ126" i="12"/>
  <c r="CR126" i="12"/>
  <c r="CS126" i="12"/>
  <c r="CT126" i="12"/>
  <c r="CU126" i="12"/>
  <c r="CV126" i="12"/>
  <c r="CW126" i="12"/>
  <c r="CX126" i="12"/>
  <c r="CY126" i="12"/>
  <c r="CZ126" i="12"/>
  <c r="DA126" i="12"/>
  <c r="DB126" i="12"/>
  <c r="DC126" i="12"/>
  <c r="DD126" i="12"/>
  <c r="DE126" i="12"/>
  <c r="DF126" i="12"/>
  <c r="DG126" i="12"/>
  <c r="DH126" i="12"/>
  <c r="DI126" i="12"/>
  <c r="DJ126" i="12"/>
  <c r="DK126" i="12"/>
  <c r="DL126" i="12"/>
  <c r="DM126" i="12"/>
  <c r="DN126" i="12"/>
  <c r="DO126" i="12"/>
  <c r="DP126" i="12"/>
  <c r="DQ126" i="12"/>
  <c r="DR126" i="12"/>
  <c r="DS126" i="12"/>
  <c r="DT126" i="12"/>
  <c r="DU126" i="12"/>
  <c r="O127" i="12"/>
  <c r="P127" i="12"/>
  <c r="Q127" i="12"/>
  <c r="R127" i="12"/>
  <c r="S127" i="12"/>
  <c r="T127" i="12"/>
  <c r="U127" i="12"/>
  <c r="V127" i="12"/>
  <c r="W127" i="12"/>
  <c r="X127" i="12"/>
  <c r="Y127" i="12"/>
  <c r="Z127" i="12"/>
  <c r="AA127" i="12"/>
  <c r="AB127" i="12"/>
  <c r="AC127" i="12"/>
  <c r="AD127" i="12"/>
  <c r="AE127" i="12"/>
  <c r="AF127" i="12"/>
  <c r="AG127" i="12"/>
  <c r="AH127" i="12"/>
  <c r="AI127" i="12"/>
  <c r="AJ127" i="12"/>
  <c r="AK127" i="12"/>
  <c r="AL127" i="12"/>
  <c r="AM127" i="12"/>
  <c r="AN127" i="12"/>
  <c r="AO127" i="12"/>
  <c r="AP127" i="12"/>
  <c r="AQ127" i="12"/>
  <c r="AR127" i="12"/>
  <c r="AS127" i="12"/>
  <c r="AT127" i="12"/>
  <c r="AU127" i="12"/>
  <c r="AV127" i="12"/>
  <c r="AW127" i="12"/>
  <c r="AX127" i="12"/>
  <c r="AY127" i="12"/>
  <c r="AZ127" i="12"/>
  <c r="BA127" i="12"/>
  <c r="BB127" i="12"/>
  <c r="BC127" i="12"/>
  <c r="BD127" i="12"/>
  <c r="BE127" i="12"/>
  <c r="BF127" i="12"/>
  <c r="BG127" i="12"/>
  <c r="BH127" i="12"/>
  <c r="BI127" i="12"/>
  <c r="BJ127" i="12"/>
  <c r="BK127" i="12"/>
  <c r="BL127" i="12"/>
  <c r="BM127" i="12"/>
  <c r="BN127" i="12"/>
  <c r="BO127" i="12"/>
  <c r="BP127" i="12"/>
  <c r="BQ127" i="12"/>
  <c r="BR127" i="12"/>
  <c r="BS127" i="12"/>
  <c r="BT127" i="12"/>
  <c r="BU127" i="12"/>
  <c r="BV127" i="12"/>
  <c r="BW127" i="12"/>
  <c r="BX127" i="12"/>
  <c r="BY127" i="12"/>
  <c r="BZ127" i="12"/>
  <c r="CA127" i="12"/>
  <c r="CB127" i="12"/>
  <c r="CC127" i="12"/>
  <c r="CD127" i="12"/>
  <c r="CE127" i="12"/>
  <c r="CF127" i="12"/>
  <c r="CG127" i="12"/>
  <c r="CH127" i="12"/>
  <c r="CI127" i="12"/>
  <c r="CJ127" i="12"/>
  <c r="CK127" i="12"/>
  <c r="CL127" i="12"/>
  <c r="CM127" i="12"/>
  <c r="CN127" i="12"/>
  <c r="CO127" i="12"/>
  <c r="CP127" i="12"/>
  <c r="CQ127" i="12"/>
  <c r="CR127" i="12"/>
  <c r="CS127" i="12"/>
  <c r="CT127" i="12"/>
  <c r="CU127" i="12"/>
  <c r="CV127" i="12"/>
  <c r="CW127" i="12"/>
  <c r="CX127" i="12"/>
  <c r="CY127" i="12"/>
  <c r="CZ127" i="12"/>
  <c r="DA127" i="12"/>
  <c r="DB127" i="12"/>
  <c r="DC127" i="12"/>
  <c r="DD127" i="12"/>
  <c r="DE127" i="12"/>
  <c r="DF127" i="12"/>
  <c r="DG127" i="12"/>
  <c r="DH127" i="12"/>
  <c r="DI127" i="12"/>
  <c r="DJ127" i="12"/>
  <c r="DK127" i="12"/>
  <c r="DL127" i="12"/>
  <c r="DM127" i="12"/>
  <c r="DN127" i="12"/>
  <c r="DO127" i="12"/>
  <c r="DP127" i="12"/>
  <c r="DQ127" i="12"/>
  <c r="DR127" i="12"/>
  <c r="DS127" i="12"/>
  <c r="DT127" i="12"/>
  <c r="DU127" i="12"/>
  <c r="O128" i="12"/>
  <c r="P128" i="12"/>
  <c r="Q128" i="12"/>
  <c r="R128" i="12"/>
  <c r="S128" i="12"/>
  <c r="T128" i="12"/>
  <c r="U128" i="12"/>
  <c r="V128" i="12"/>
  <c r="W128" i="12"/>
  <c r="X128" i="12"/>
  <c r="Y128" i="12"/>
  <c r="Z128" i="12"/>
  <c r="AA128" i="12"/>
  <c r="AB128" i="12"/>
  <c r="AC128" i="12"/>
  <c r="AD128" i="12"/>
  <c r="AE128" i="12"/>
  <c r="AF128" i="12"/>
  <c r="AG128" i="12"/>
  <c r="AH128" i="12"/>
  <c r="AI128" i="12"/>
  <c r="AJ128" i="12"/>
  <c r="AK128" i="12"/>
  <c r="AL128" i="12"/>
  <c r="AM128" i="12"/>
  <c r="AN128" i="12"/>
  <c r="AO128" i="12"/>
  <c r="AP128" i="12"/>
  <c r="AQ128" i="12"/>
  <c r="AR128" i="12"/>
  <c r="AS128" i="12"/>
  <c r="AT128" i="12"/>
  <c r="AU128" i="12"/>
  <c r="AV128" i="12"/>
  <c r="AW128" i="12"/>
  <c r="AX128" i="12"/>
  <c r="AY128" i="12"/>
  <c r="AZ128" i="12"/>
  <c r="BA128" i="12"/>
  <c r="BB128" i="12"/>
  <c r="BC128" i="12"/>
  <c r="BD128" i="12"/>
  <c r="BE128" i="12"/>
  <c r="BF128" i="12"/>
  <c r="BG128" i="12"/>
  <c r="BH128" i="12"/>
  <c r="BI128" i="12"/>
  <c r="BJ128" i="12"/>
  <c r="BK128" i="12"/>
  <c r="BL128" i="12"/>
  <c r="BM128" i="12"/>
  <c r="BN128" i="12"/>
  <c r="BO128" i="12"/>
  <c r="BP128" i="12"/>
  <c r="BQ128" i="12"/>
  <c r="BR128" i="12"/>
  <c r="BS128" i="12"/>
  <c r="BT128" i="12"/>
  <c r="BU128" i="12"/>
  <c r="BV128" i="12"/>
  <c r="BW128" i="12"/>
  <c r="BX128" i="12"/>
  <c r="BY128" i="12"/>
  <c r="BZ128" i="12"/>
  <c r="CA128" i="12"/>
  <c r="CB128" i="12"/>
  <c r="CC128" i="12"/>
  <c r="CD128" i="12"/>
  <c r="CE128" i="12"/>
  <c r="CF128" i="12"/>
  <c r="CG128" i="12"/>
  <c r="CH128" i="12"/>
  <c r="CI128" i="12"/>
  <c r="CJ128" i="12"/>
  <c r="CK128" i="12"/>
  <c r="CL128" i="12"/>
  <c r="CM128" i="12"/>
  <c r="CN128" i="12"/>
  <c r="CO128" i="12"/>
  <c r="CP128" i="12"/>
  <c r="CQ128" i="12"/>
  <c r="CR128" i="12"/>
  <c r="CS128" i="12"/>
  <c r="CT128" i="12"/>
  <c r="CU128" i="12"/>
  <c r="CV128" i="12"/>
  <c r="CW128" i="12"/>
  <c r="CX128" i="12"/>
  <c r="CY128" i="12"/>
  <c r="CZ128" i="12"/>
  <c r="DA128" i="12"/>
  <c r="DB128" i="12"/>
  <c r="DC128" i="12"/>
  <c r="DD128" i="12"/>
  <c r="DE128" i="12"/>
  <c r="DF128" i="12"/>
  <c r="DG128" i="12"/>
  <c r="DH128" i="12"/>
  <c r="DI128" i="12"/>
  <c r="DJ128" i="12"/>
  <c r="DK128" i="12"/>
  <c r="DL128" i="12"/>
  <c r="DM128" i="12"/>
  <c r="DN128" i="12"/>
  <c r="DO128" i="12"/>
  <c r="DP128" i="12"/>
  <c r="DQ128" i="12"/>
  <c r="DR128" i="12"/>
  <c r="DS128" i="12"/>
  <c r="DT128" i="12"/>
  <c r="DU128" i="12"/>
  <c r="O129" i="12"/>
  <c r="P129" i="12"/>
  <c r="Q129" i="12"/>
  <c r="R129" i="12"/>
  <c r="S129" i="12"/>
  <c r="T129" i="12"/>
  <c r="U129" i="12"/>
  <c r="V129" i="12"/>
  <c r="W129" i="12"/>
  <c r="X129" i="12"/>
  <c r="Y129" i="12"/>
  <c r="Z129" i="12"/>
  <c r="AA129" i="12"/>
  <c r="AB129" i="12"/>
  <c r="AC129" i="12"/>
  <c r="AD129" i="12"/>
  <c r="AE129" i="12"/>
  <c r="AF129" i="12"/>
  <c r="AG129" i="12"/>
  <c r="AH129" i="12"/>
  <c r="AI129" i="12"/>
  <c r="AJ129" i="12"/>
  <c r="AK129" i="12"/>
  <c r="AL129" i="12"/>
  <c r="AM129" i="12"/>
  <c r="AN129" i="12"/>
  <c r="AO129" i="12"/>
  <c r="AP129" i="12"/>
  <c r="AQ129" i="12"/>
  <c r="AR129" i="12"/>
  <c r="AS129" i="12"/>
  <c r="AT129" i="12"/>
  <c r="AU129" i="12"/>
  <c r="AV129" i="12"/>
  <c r="AW129" i="12"/>
  <c r="AX129" i="12"/>
  <c r="AY129" i="12"/>
  <c r="AZ129" i="12"/>
  <c r="BA129" i="12"/>
  <c r="BB129" i="12"/>
  <c r="BC129" i="12"/>
  <c r="BD129" i="12"/>
  <c r="BE129" i="12"/>
  <c r="BF129" i="12"/>
  <c r="BG129" i="12"/>
  <c r="BH129" i="12"/>
  <c r="BI129" i="12"/>
  <c r="BJ129" i="12"/>
  <c r="BK129" i="12"/>
  <c r="BL129" i="12"/>
  <c r="BM129" i="12"/>
  <c r="BN129" i="12"/>
  <c r="BO129" i="12"/>
  <c r="BP129" i="12"/>
  <c r="BQ129" i="12"/>
  <c r="BR129" i="12"/>
  <c r="BS129" i="12"/>
  <c r="BT129" i="12"/>
  <c r="BU129" i="12"/>
  <c r="BV129" i="12"/>
  <c r="BW129" i="12"/>
  <c r="BX129" i="12"/>
  <c r="BY129" i="12"/>
  <c r="BZ129" i="12"/>
  <c r="CA129" i="12"/>
  <c r="CB129" i="12"/>
  <c r="CC129" i="12"/>
  <c r="CD129" i="12"/>
  <c r="CE129" i="12"/>
  <c r="CF129" i="12"/>
  <c r="CG129" i="12"/>
  <c r="CH129" i="12"/>
  <c r="CI129" i="12"/>
  <c r="CJ129" i="12"/>
  <c r="CK129" i="12"/>
  <c r="CL129" i="12"/>
  <c r="CM129" i="12"/>
  <c r="CN129" i="12"/>
  <c r="CO129" i="12"/>
  <c r="CP129" i="12"/>
  <c r="CQ129" i="12"/>
  <c r="CR129" i="12"/>
  <c r="CS129" i="12"/>
  <c r="CT129" i="12"/>
  <c r="CU129" i="12"/>
  <c r="CV129" i="12"/>
  <c r="CW129" i="12"/>
  <c r="CX129" i="12"/>
  <c r="CY129" i="12"/>
  <c r="CZ129" i="12"/>
  <c r="DA129" i="12"/>
  <c r="DB129" i="12"/>
  <c r="DC129" i="12"/>
  <c r="DD129" i="12"/>
  <c r="DE129" i="12"/>
  <c r="DF129" i="12"/>
  <c r="DG129" i="12"/>
  <c r="DH129" i="12"/>
  <c r="DI129" i="12"/>
  <c r="DJ129" i="12"/>
  <c r="DK129" i="12"/>
  <c r="DL129" i="12"/>
  <c r="DM129" i="12"/>
  <c r="DN129" i="12"/>
  <c r="DO129" i="12"/>
  <c r="DP129" i="12"/>
  <c r="DQ129" i="12"/>
  <c r="DR129" i="12"/>
  <c r="DS129" i="12"/>
  <c r="DT129" i="12"/>
  <c r="DU129" i="12"/>
  <c r="O130" i="12"/>
  <c r="P130" i="12"/>
  <c r="Q130" i="12"/>
  <c r="R130" i="12"/>
  <c r="S130" i="12"/>
  <c r="T130" i="12"/>
  <c r="U130" i="12"/>
  <c r="V130" i="12"/>
  <c r="W130" i="12"/>
  <c r="X130" i="12"/>
  <c r="Y130" i="12"/>
  <c r="Z130" i="12"/>
  <c r="AA130" i="12"/>
  <c r="AB130" i="12"/>
  <c r="AC130" i="12"/>
  <c r="AD130" i="12"/>
  <c r="AE130" i="12"/>
  <c r="AF130" i="12"/>
  <c r="AG130" i="12"/>
  <c r="AH130" i="12"/>
  <c r="AI130" i="12"/>
  <c r="AJ130" i="12"/>
  <c r="AK130" i="12"/>
  <c r="AL130" i="12"/>
  <c r="AM130" i="12"/>
  <c r="AN130" i="12"/>
  <c r="AO130" i="12"/>
  <c r="AP130" i="12"/>
  <c r="AQ130" i="12"/>
  <c r="AR130" i="12"/>
  <c r="AS130" i="12"/>
  <c r="AT130" i="12"/>
  <c r="AU130" i="12"/>
  <c r="AV130" i="12"/>
  <c r="AW130" i="12"/>
  <c r="AX130" i="12"/>
  <c r="AY130" i="12"/>
  <c r="AZ130" i="12"/>
  <c r="BA130" i="12"/>
  <c r="BB130" i="12"/>
  <c r="BC130" i="12"/>
  <c r="BD130" i="12"/>
  <c r="BE130" i="12"/>
  <c r="BF130" i="12"/>
  <c r="BG130" i="12"/>
  <c r="BH130" i="12"/>
  <c r="BI130" i="12"/>
  <c r="BJ130" i="12"/>
  <c r="BK130" i="12"/>
  <c r="BL130" i="12"/>
  <c r="BM130" i="12"/>
  <c r="BN130" i="12"/>
  <c r="BO130" i="12"/>
  <c r="BP130" i="12"/>
  <c r="BQ130" i="12"/>
  <c r="BR130" i="12"/>
  <c r="BS130" i="12"/>
  <c r="BT130" i="12"/>
  <c r="BU130" i="12"/>
  <c r="BV130" i="12"/>
  <c r="BW130" i="12"/>
  <c r="BX130" i="12"/>
  <c r="BY130" i="12"/>
  <c r="BZ130" i="12"/>
  <c r="CA130" i="12"/>
  <c r="CB130" i="12"/>
  <c r="CC130" i="12"/>
  <c r="CD130" i="12"/>
  <c r="CE130" i="12"/>
  <c r="CF130" i="12"/>
  <c r="CG130" i="12"/>
  <c r="CH130" i="12"/>
  <c r="CI130" i="12"/>
  <c r="CJ130" i="12"/>
  <c r="CK130" i="12"/>
  <c r="CL130" i="12"/>
  <c r="CM130" i="12"/>
  <c r="CN130" i="12"/>
  <c r="CO130" i="12"/>
  <c r="CP130" i="12"/>
  <c r="CQ130" i="12"/>
  <c r="CR130" i="12"/>
  <c r="CS130" i="12"/>
  <c r="CT130" i="12"/>
  <c r="CU130" i="12"/>
  <c r="CV130" i="12"/>
  <c r="CW130" i="12"/>
  <c r="CX130" i="12"/>
  <c r="CY130" i="12"/>
  <c r="CZ130" i="12"/>
  <c r="DA130" i="12"/>
  <c r="DB130" i="12"/>
  <c r="DC130" i="12"/>
  <c r="DD130" i="12"/>
  <c r="DE130" i="12"/>
  <c r="DF130" i="12"/>
  <c r="DG130" i="12"/>
  <c r="DH130" i="12"/>
  <c r="DI130" i="12"/>
  <c r="DJ130" i="12"/>
  <c r="DK130" i="12"/>
  <c r="DL130" i="12"/>
  <c r="DM130" i="12"/>
  <c r="DN130" i="12"/>
  <c r="DO130" i="12"/>
  <c r="DP130" i="12"/>
  <c r="DQ130" i="12"/>
  <c r="DR130" i="12"/>
  <c r="DS130" i="12"/>
  <c r="DT130" i="12"/>
  <c r="DU130" i="12"/>
  <c r="O131" i="12"/>
  <c r="P131" i="12"/>
  <c r="Q131" i="12"/>
  <c r="R131" i="12"/>
  <c r="S131" i="12"/>
  <c r="T131" i="12"/>
  <c r="U131" i="12"/>
  <c r="V131" i="12"/>
  <c r="W131" i="12"/>
  <c r="X131" i="12"/>
  <c r="Y131" i="12"/>
  <c r="Z131" i="12"/>
  <c r="AA131" i="12"/>
  <c r="AB131" i="12"/>
  <c r="AC131" i="12"/>
  <c r="AD131" i="12"/>
  <c r="AE131" i="12"/>
  <c r="AF131" i="12"/>
  <c r="AG131" i="12"/>
  <c r="AH131" i="12"/>
  <c r="AI131" i="12"/>
  <c r="AJ131" i="12"/>
  <c r="AK131" i="12"/>
  <c r="AL131" i="12"/>
  <c r="AM131" i="12"/>
  <c r="AN131" i="12"/>
  <c r="AO131" i="12"/>
  <c r="AP131" i="12"/>
  <c r="AQ131" i="12"/>
  <c r="AR131" i="12"/>
  <c r="AS131" i="12"/>
  <c r="AT131" i="12"/>
  <c r="AU131" i="12"/>
  <c r="AV131" i="12"/>
  <c r="AW131" i="12"/>
  <c r="AX131" i="12"/>
  <c r="AY131" i="12"/>
  <c r="AZ131" i="12"/>
  <c r="BA131" i="12"/>
  <c r="BB131" i="12"/>
  <c r="BC131" i="12"/>
  <c r="BD131" i="12"/>
  <c r="BE131" i="12"/>
  <c r="BF131" i="12"/>
  <c r="BG131" i="12"/>
  <c r="BH131" i="12"/>
  <c r="BI131" i="12"/>
  <c r="BJ131" i="12"/>
  <c r="BK131" i="12"/>
  <c r="BL131" i="12"/>
  <c r="BM131" i="12"/>
  <c r="BN131" i="12"/>
  <c r="BO131" i="12"/>
  <c r="BP131" i="12"/>
  <c r="BQ131" i="12"/>
  <c r="BR131" i="12"/>
  <c r="BS131" i="12"/>
  <c r="BT131" i="12"/>
  <c r="BU131" i="12"/>
  <c r="BV131" i="12"/>
  <c r="BW131" i="12"/>
  <c r="BX131" i="12"/>
  <c r="BY131" i="12"/>
  <c r="BZ131" i="12"/>
  <c r="CA131" i="12"/>
  <c r="CB131" i="12"/>
  <c r="CC131" i="12"/>
  <c r="CD131" i="12"/>
  <c r="CE131" i="12"/>
  <c r="CF131" i="12"/>
  <c r="CG131" i="12"/>
  <c r="CH131" i="12"/>
  <c r="CI131" i="12"/>
  <c r="CJ131" i="12"/>
  <c r="CK131" i="12"/>
  <c r="CL131" i="12"/>
  <c r="CM131" i="12"/>
  <c r="CN131" i="12"/>
  <c r="CO131" i="12"/>
  <c r="CP131" i="12"/>
  <c r="CQ131" i="12"/>
  <c r="CR131" i="12"/>
  <c r="CS131" i="12"/>
  <c r="CT131" i="12"/>
  <c r="CU131" i="12"/>
  <c r="CV131" i="12"/>
  <c r="CW131" i="12"/>
  <c r="CX131" i="12"/>
  <c r="CY131" i="12"/>
  <c r="CZ131" i="12"/>
  <c r="DA131" i="12"/>
  <c r="DB131" i="12"/>
  <c r="DC131" i="12"/>
  <c r="DD131" i="12"/>
  <c r="DE131" i="12"/>
  <c r="DF131" i="12"/>
  <c r="DG131" i="12"/>
  <c r="DH131" i="12"/>
  <c r="DI131" i="12"/>
  <c r="DJ131" i="12"/>
  <c r="DK131" i="12"/>
  <c r="DL131" i="12"/>
  <c r="DM131" i="12"/>
  <c r="DN131" i="12"/>
  <c r="DO131" i="12"/>
  <c r="DP131" i="12"/>
  <c r="DQ131" i="12"/>
  <c r="DR131" i="12"/>
  <c r="DS131" i="12"/>
  <c r="DT131" i="12"/>
  <c r="DU131" i="12"/>
  <c r="O132" i="12"/>
  <c r="P132" i="12"/>
  <c r="Q132" i="12"/>
  <c r="R132" i="12"/>
  <c r="S132" i="12"/>
  <c r="T132" i="12"/>
  <c r="U132" i="12"/>
  <c r="V132" i="12"/>
  <c r="W132" i="12"/>
  <c r="X132" i="12"/>
  <c r="Y132" i="12"/>
  <c r="Z132" i="12"/>
  <c r="AA132" i="12"/>
  <c r="AB132" i="12"/>
  <c r="AC132" i="12"/>
  <c r="AD132" i="12"/>
  <c r="AE132" i="12"/>
  <c r="AF132" i="12"/>
  <c r="AG132" i="12"/>
  <c r="AH132" i="12"/>
  <c r="AI132" i="12"/>
  <c r="AJ132" i="12"/>
  <c r="AK132" i="12"/>
  <c r="AL132" i="12"/>
  <c r="AM132" i="12"/>
  <c r="AN132" i="12"/>
  <c r="AO132" i="12"/>
  <c r="AP132" i="12"/>
  <c r="AQ132" i="12"/>
  <c r="AR132" i="12"/>
  <c r="AS132" i="12"/>
  <c r="AT132" i="12"/>
  <c r="AU132" i="12"/>
  <c r="AV132" i="12"/>
  <c r="AW132" i="12"/>
  <c r="AX132" i="12"/>
  <c r="AY132" i="12"/>
  <c r="AZ132" i="12"/>
  <c r="BA132" i="12"/>
  <c r="BB132" i="12"/>
  <c r="BC132" i="12"/>
  <c r="BD132" i="12"/>
  <c r="BE132" i="12"/>
  <c r="BF132" i="12"/>
  <c r="BG132" i="12"/>
  <c r="BH132" i="12"/>
  <c r="BI132" i="12"/>
  <c r="BJ132" i="12"/>
  <c r="BK132" i="12"/>
  <c r="BL132" i="12"/>
  <c r="BM132" i="12"/>
  <c r="BN132" i="12"/>
  <c r="BO132" i="12"/>
  <c r="BP132" i="12"/>
  <c r="BQ132" i="12"/>
  <c r="BR132" i="12"/>
  <c r="BS132" i="12"/>
  <c r="BT132" i="12"/>
  <c r="BU132" i="12"/>
  <c r="BV132" i="12"/>
  <c r="BW132" i="12"/>
  <c r="BX132" i="12"/>
  <c r="BY132" i="12"/>
  <c r="BZ132" i="12"/>
  <c r="CA132" i="12"/>
  <c r="CB132" i="12"/>
  <c r="CC132" i="12"/>
  <c r="CD132" i="12"/>
  <c r="CE132" i="12"/>
  <c r="CF132" i="12"/>
  <c r="CG132" i="12"/>
  <c r="CH132" i="12"/>
  <c r="CI132" i="12"/>
  <c r="CJ132" i="12"/>
  <c r="CK132" i="12"/>
  <c r="CL132" i="12"/>
  <c r="CM132" i="12"/>
  <c r="CN132" i="12"/>
  <c r="CO132" i="12"/>
  <c r="CP132" i="12"/>
  <c r="CQ132" i="12"/>
  <c r="CR132" i="12"/>
  <c r="CS132" i="12"/>
  <c r="CT132" i="12"/>
  <c r="CU132" i="12"/>
  <c r="CV132" i="12"/>
  <c r="CW132" i="12"/>
  <c r="CX132" i="12"/>
  <c r="CY132" i="12"/>
  <c r="CZ132" i="12"/>
  <c r="DA132" i="12"/>
  <c r="DB132" i="12"/>
  <c r="DC132" i="12"/>
  <c r="DD132" i="12"/>
  <c r="DE132" i="12"/>
  <c r="DF132" i="12"/>
  <c r="DG132" i="12"/>
  <c r="DH132" i="12"/>
  <c r="DI132" i="12"/>
  <c r="DJ132" i="12"/>
  <c r="DK132" i="12"/>
  <c r="DL132" i="12"/>
  <c r="DM132" i="12"/>
  <c r="DN132" i="12"/>
  <c r="DO132" i="12"/>
  <c r="DP132" i="12"/>
  <c r="DQ132" i="12"/>
  <c r="DR132" i="12"/>
  <c r="DS132" i="12"/>
  <c r="DT132" i="12"/>
  <c r="DU132" i="12"/>
  <c r="O133" i="12"/>
  <c r="P133" i="12"/>
  <c r="Q133" i="12"/>
  <c r="R133" i="12"/>
  <c r="S133" i="12"/>
  <c r="T133" i="12"/>
  <c r="U133" i="12"/>
  <c r="V133" i="12"/>
  <c r="W133" i="12"/>
  <c r="X133" i="12"/>
  <c r="Y133" i="12"/>
  <c r="Z133" i="12"/>
  <c r="AA133" i="12"/>
  <c r="AB133" i="12"/>
  <c r="AC133" i="12"/>
  <c r="AD133" i="12"/>
  <c r="AE133" i="12"/>
  <c r="AF133" i="12"/>
  <c r="AG133" i="12"/>
  <c r="AH133" i="12"/>
  <c r="AI133" i="12"/>
  <c r="AJ133" i="12"/>
  <c r="AK133" i="12"/>
  <c r="AL133" i="12"/>
  <c r="AM133" i="12"/>
  <c r="AN133" i="12"/>
  <c r="AO133" i="12"/>
  <c r="AP133" i="12"/>
  <c r="AQ133" i="12"/>
  <c r="AR133" i="12"/>
  <c r="AS133" i="12"/>
  <c r="AT133" i="12"/>
  <c r="AU133" i="12"/>
  <c r="AV133" i="12"/>
  <c r="AW133" i="12"/>
  <c r="AX133" i="12"/>
  <c r="AY133" i="12"/>
  <c r="AZ133" i="12"/>
  <c r="BA133" i="12"/>
  <c r="BB133" i="12"/>
  <c r="BC133" i="12"/>
  <c r="BD133" i="12"/>
  <c r="BE133" i="12"/>
  <c r="BF133" i="12"/>
  <c r="BG133" i="12"/>
  <c r="BH133" i="12"/>
  <c r="BI133" i="12"/>
  <c r="BJ133" i="12"/>
  <c r="BK133" i="12"/>
  <c r="BL133" i="12"/>
  <c r="BM133" i="12"/>
  <c r="BN133" i="12"/>
  <c r="BO133" i="12"/>
  <c r="BP133" i="12"/>
  <c r="BQ133" i="12"/>
  <c r="BR133" i="12"/>
  <c r="BS133" i="12"/>
  <c r="BT133" i="12"/>
  <c r="BU133" i="12"/>
  <c r="BV133" i="12"/>
  <c r="BW133" i="12"/>
  <c r="BX133" i="12"/>
  <c r="BY133" i="12"/>
  <c r="BZ133" i="12"/>
  <c r="CA133" i="12"/>
  <c r="CB133" i="12"/>
  <c r="CC133" i="12"/>
  <c r="CD133" i="12"/>
  <c r="CE133" i="12"/>
  <c r="CF133" i="12"/>
  <c r="CG133" i="12"/>
  <c r="CH133" i="12"/>
  <c r="CI133" i="12"/>
  <c r="CJ133" i="12"/>
  <c r="CK133" i="12"/>
  <c r="CL133" i="12"/>
  <c r="CM133" i="12"/>
  <c r="CN133" i="12"/>
  <c r="CO133" i="12"/>
  <c r="CP133" i="12"/>
  <c r="CQ133" i="12"/>
  <c r="CR133" i="12"/>
  <c r="CS133" i="12"/>
  <c r="CT133" i="12"/>
  <c r="CU133" i="12"/>
  <c r="CV133" i="12"/>
  <c r="CW133" i="12"/>
  <c r="CX133" i="12"/>
  <c r="CY133" i="12"/>
  <c r="CZ133" i="12"/>
  <c r="DA133" i="12"/>
  <c r="DB133" i="12"/>
  <c r="DC133" i="12"/>
  <c r="DD133" i="12"/>
  <c r="DE133" i="12"/>
  <c r="DF133" i="12"/>
  <c r="DG133" i="12"/>
  <c r="DH133" i="12"/>
  <c r="DI133" i="12"/>
  <c r="DJ133" i="12"/>
  <c r="DK133" i="12"/>
  <c r="DL133" i="12"/>
  <c r="DM133" i="12"/>
  <c r="DN133" i="12"/>
  <c r="DO133" i="12"/>
  <c r="DP133" i="12"/>
  <c r="DQ133" i="12"/>
  <c r="DR133" i="12"/>
  <c r="DS133" i="12"/>
  <c r="DT133" i="12"/>
  <c r="DU133" i="12"/>
  <c r="O134" i="12"/>
  <c r="P134" i="12"/>
  <c r="Q134" i="12"/>
  <c r="R134" i="12"/>
  <c r="S134" i="12"/>
  <c r="T134" i="12"/>
  <c r="U134" i="12"/>
  <c r="V134" i="12"/>
  <c r="W134" i="12"/>
  <c r="X134" i="12"/>
  <c r="Y134" i="12"/>
  <c r="Z134" i="12"/>
  <c r="AA134" i="12"/>
  <c r="AB134" i="12"/>
  <c r="AC134" i="12"/>
  <c r="AD134" i="12"/>
  <c r="AE134" i="12"/>
  <c r="AF134" i="12"/>
  <c r="AG134" i="12"/>
  <c r="AH134" i="12"/>
  <c r="AI134" i="12"/>
  <c r="AJ134" i="12"/>
  <c r="AK134" i="12"/>
  <c r="AL134" i="12"/>
  <c r="AM134" i="12"/>
  <c r="AN134" i="12"/>
  <c r="AO134" i="12"/>
  <c r="AP134" i="12"/>
  <c r="AQ134" i="12"/>
  <c r="AR134" i="12"/>
  <c r="AS134" i="12"/>
  <c r="AT134" i="12"/>
  <c r="AU134" i="12"/>
  <c r="AV134" i="12"/>
  <c r="AW134" i="12"/>
  <c r="AX134" i="12"/>
  <c r="AY134" i="12"/>
  <c r="AZ134" i="12"/>
  <c r="BA134" i="12"/>
  <c r="BB134" i="12"/>
  <c r="BC134" i="12"/>
  <c r="BD134" i="12"/>
  <c r="BE134" i="12"/>
  <c r="BF134" i="12"/>
  <c r="BG134" i="12"/>
  <c r="BH134" i="12"/>
  <c r="BI134" i="12"/>
  <c r="BJ134" i="12"/>
  <c r="BK134" i="12"/>
  <c r="BL134" i="12"/>
  <c r="BM134" i="12"/>
  <c r="BN134" i="12"/>
  <c r="BO134" i="12"/>
  <c r="BP134" i="12"/>
  <c r="BQ134" i="12"/>
  <c r="BR134" i="12"/>
  <c r="BS134" i="12"/>
  <c r="BT134" i="12"/>
  <c r="BU134" i="12"/>
  <c r="BV134" i="12"/>
  <c r="BW134" i="12"/>
  <c r="BX134" i="12"/>
  <c r="BY134" i="12"/>
  <c r="BZ134" i="12"/>
  <c r="CA134" i="12"/>
  <c r="CB134" i="12"/>
  <c r="CC134" i="12"/>
  <c r="CD134" i="12"/>
  <c r="CE134" i="12"/>
  <c r="CF134" i="12"/>
  <c r="CG134" i="12"/>
  <c r="CH134" i="12"/>
  <c r="CI134" i="12"/>
  <c r="CJ134" i="12"/>
  <c r="CK134" i="12"/>
  <c r="CL134" i="12"/>
  <c r="CM134" i="12"/>
  <c r="CN134" i="12"/>
  <c r="CO134" i="12"/>
  <c r="CP134" i="12"/>
  <c r="CQ134" i="12"/>
  <c r="CR134" i="12"/>
  <c r="CS134" i="12"/>
  <c r="CT134" i="12"/>
  <c r="CU134" i="12"/>
  <c r="CV134" i="12"/>
  <c r="CW134" i="12"/>
  <c r="CX134" i="12"/>
  <c r="CY134" i="12"/>
  <c r="CZ134" i="12"/>
  <c r="DA134" i="12"/>
  <c r="DB134" i="12"/>
  <c r="DC134" i="12"/>
  <c r="DD134" i="12"/>
  <c r="DE134" i="12"/>
  <c r="DF134" i="12"/>
  <c r="DG134" i="12"/>
  <c r="DH134" i="12"/>
  <c r="DI134" i="12"/>
  <c r="DJ134" i="12"/>
  <c r="DK134" i="12"/>
  <c r="DL134" i="12"/>
  <c r="DM134" i="12"/>
  <c r="DN134" i="12"/>
  <c r="DO134" i="12"/>
  <c r="DP134" i="12"/>
  <c r="DQ134" i="12"/>
  <c r="DR134" i="12"/>
  <c r="DS134" i="12"/>
  <c r="DT134" i="12"/>
  <c r="DU134" i="12"/>
  <c r="O135" i="12"/>
  <c r="P135" i="12"/>
  <c r="Q135" i="12"/>
  <c r="R135" i="12"/>
  <c r="S135" i="12"/>
  <c r="T135" i="12"/>
  <c r="U135" i="12"/>
  <c r="V135" i="12"/>
  <c r="W135" i="12"/>
  <c r="X135" i="12"/>
  <c r="Y135" i="12"/>
  <c r="Z135" i="12"/>
  <c r="AA135" i="12"/>
  <c r="AB135" i="12"/>
  <c r="AC135" i="12"/>
  <c r="AD135" i="12"/>
  <c r="AE135" i="12"/>
  <c r="AF135" i="12"/>
  <c r="AG135" i="12"/>
  <c r="AH135" i="12"/>
  <c r="AI135" i="12"/>
  <c r="AJ135" i="12"/>
  <c r="AK135" i="12"/>
  <c r="AL135" i="12"/>
  <c r="AM135" i="12"/>
  <c r="AN135" i="12"/>
  <c r="AO135" i="12"/>
  <c r="AP135" i="12"/>
  <c r="AQ135" i="12"/>
  <c r="AR135" i="12"/>
  <c r="AS135" i="12"/>
  <c r="AT135" i="12"/>
  <c r="AU135" i="12"/>
  <c r="AV135" i="12"/>
  <c r="AW135" i="12"/>
  <c r="AX135" i="12"/>
  <c r="AY135" i="12"/>
  <c r="AZ135" i="12"/>
  <c r="BA135" i="12"/>
  <c r="BB135" i="12"/>
  <c r="BC135" i="12"/>
  <c r="BD135" i="12"/>
  <c r="BE135" i="12"/>
  <c r="BF135" i="12"/>
  <c r="BG135" i="12"/>
  <c r="BH135" i="12"/>
  <c r="BI135" i="12"/>
  <c r="BJ135" i="12"/>
  <c r="BK135" i="12"/>
  <c r="BL135" i="12"/>
  <c r="BM135" i="12"/>
  <c r="BN135" i="12"/>
  <c r="BO135" i="12"/>
  <c r="BP135" i="12"/>
  <c r="BQ135" i="12"/>
  <c r="BR135" i="12"/>
  <c r="BS135" i="12"/>
  <c r="BT135" i="12"/>
  <c r="BU135" i="12"/>
  <c r="BV135" i="12"/>
  <c r="BW135" i="12"/>
  <c r="BX135" i="12"/>
  <c r="BY135" i="12"/>
  <c r="BZ135" i="12"/>
  <c r="CA135" i="12"/>
  <c r="CB135" i="12"/>
  <c r="CC135" i="12"/>
  <c r="CD135" i="12"/>
  <c r="CE135" i="12"/>
  <c r="CF135" i="12"/>
  <c r="CG135" i="12"/>
  <c r="CH135" i="12"/>
  <c r="CI135" i="12"/>
  <c r="CJ135" i="12"/>
  <c r="CK135" i="12"/>
  <c r="CL135" i="12"/>
  <c r="CM135" i="12"/>
  <c r="CN135" i="12"/>
  <c r="CO135" i="12"/>
  <c r="CP135" i="12"/>
  <c r="CQ135" i="12"/>
  <c r="CR135" i="12"/>
  <c r="CS135" i="12"/>
  <c r="CT135" i="12"/>
  <c r="CU135" i="12"/>
  <c r="CV135" i="12"/>
  <c r="CW135" i="12"/>
  <c r="CX135" i="12"/>
  <c r="CY135" i="12"/>
  <c r="CZ135" i="12"/>
  <c r="DA135" i="12"/>
  <c r="DB135" i="12"/>
  <c r="DC135" i="12"/>
  <c r="DD135" i="12"/>
  <c r="DE135" i="12"/>
  <c r="DF135" i="12"/>
  <c r="DG135" i="12"/>
  <c r="DH135" i="12"/>
  <c r="DI135" i="12"/>
  <c r="DJ135" i="12"/>
  <c r="DK135" i="12"/>
  <c r="DL135" i="12"/>
  <c r="DM135" i="12"/>
  <c r="DN135" i="12"/>
  <c r="DO135" i="12"/>
  <c r="DP135" i="12"/>
  <c r="DQ135" i="12"/>
  <c r="DR135" i="12"/>
  <c r="DS135" i="12"/>
  <c r="DT135" i="12"/>
  <c r="DU135" i="12"/>
  <c r="O136" i="12"/>
  <c r="P136" i="12"/>
  <c r="Q136" i="12"/>
  <c r="R136" i="12"/>
  <c r="S136" i="12"/>
  <c r="T136" i="12"/>
  <c r="U136" i="12"/>
  <c r="V136" i="12"/>
  <c r="W136" i="12"/>
  <c r="X136" i="12"/>
  <c r="Y136" i="12"/>
  <c r="Z136" i="12"/>
  <c r="AA136" i="12"/>
  <c r="AB136" i="12"/>
  <c r="AC136" i="12"/>
  <c r="AD136" i="12"/>
  <c r="AE136" i="12"/>
  <c r="AF136" i="12"/>
  <c r="AG136" i="12"/>
  <c r="AH136" i="12"/>
  <c r="AI136" i="12"/>
  <c r="AJ136" i="12"/>
  <c r="AK136" i="12"/>
  <c r="AL136" i="12"/>
  <c r="AM136" i="12"/>
  <c r="AN136" i="12"/>
  <c r="AO136" i="12"/>
  <c r="AP136" i="12"/>
  <c r="AQ136" i="12"/>
  <c r="AR136" i="12"/>
  <c r="AS136" i="12"/>
  <c r="AT136" i="12"/>
  <c r="AU136" i="12"/>
  <c r="AV136" i="12"/>
  <c r="AW136" i="12"/>
  <c r="AX136" i="12"/>
  <c r="AY136" i="12"/>
  <c r="AZ136" i="12"/>
  <c r="BA136" i="12"/>
  <c r="BB136" i="12"/>
  <c r="BC136" i="12"/>
  <c r="BD136" i="12"/>
  <c r="BE136" i="12"/>
  <c r="BF136" i="12"/>
  <c r="BG136" i="12"/>
  <c r="BH136" i="12"/>
  <c r="BI136" i="12"/>
  <c r="BJ136" i="12"/>
  <c r="BK136" i="12"/>
  <c r="BL136" i="12"/>
  <c r="BM136" i="12"/>
  <c r="BN136" i="12"/>
  <c r="BO136" i="12"/>
  <c r="BP136" i="12"/>
  <c r="BQ136" i="12"/>
  <c r="BR136" i="12"/>
  <c r="BS136" i="12"/>
  <c r="BT136" i="12"/>
  <c r="BU136" i="12"/>
  <c r="BV136" i="12"/>
  <c r="BW136" i="12"/>
  <c r="BX136" i="12"/>
  <c r="BY136" i="12"/>
  <c r="BZ136" i="12"/>
  <c r="CA136" i="12"/>
  <c r="CB136" i="12"/>
  <c r="CC136" i="12"/>
  <c r="CD136" i="12"/>
  <c r="CE136" i="12"/>
  <c r="CF136" i="12"/>
  <c r="CG136" i="12"/>
  <c r="CH136" i="12"/>
  <c r="CI136" i="12"/>
  <c r="CJ136" i="12"/>
  <c r="CK136" i="12"/>
  <c r="CL136" i="12"/>
  <c r="CM136" i="12"/>
  <c r="CN136" i="12"/>
  <c r="CO136" i="12"/>
  <c r="CP136" i="12"/>
  <c r="CQ136" i="12"/>
  <c r="CR136" i="12"/>
  <c r="CS136" i="12"/>
  <c r="CT136" i="12"/>
  <c r="CU136" i="12"/>
  <c r="CV136" i="12"/>
  <c r="CW136" i="12"/>
  <c r="CX136" i="12"/>
  <c r="CY136" i="12"/>
  <c r="CZ136" i="12"/>
  <c r="DA136" i="12"/>
  <c r="DB136" i="12"/>
  <c r="DC136" i="12"/>
  <c r="DD136" i="12"/>
  <c r="DE136" i="12"/>
  <c r="DF136" i="12"/>
  <c r="DG136" i="12"/>
  <c r="DH136" i="12"/>
  <c r="DI136" i="12"/>
  <c r="DJ136" i="12"/>
  <c r="DK136" i="12"/>
  <c r="DL136" i="12"/>
  <c r="DM136" i="12"/>
  <c r="DN136" i="12"/>
  <c r="DO136" i="12"/>
  <c r="DP136" i="12"/>
  <c r="DQ136" i="12"/>
  <c r="DR136" i="12"/>
  <c r="DS136" i="12"/>
  <c r="DT136" i="12"/>
  <c r="DU136" i="12"/>
  <c r="O137" i="12"/>
  <c r="P137" i="12"/>
  <c r="Q137" i="12"/>
  <c r="R137" i="12"/>
  <c r="S137" i="12"/>
  <c r="T137" i="12"/>
  <c r="U137" i="12"/>
  <c r="V137" i="12"/>
  <c r="W137" i="12"/>
  <c r="X137" i="12"/>
  <c r="Y137" i="12"/>
  <c r="Z137" i="12"/>
  <c r="AA137" i="12"/>
  <c r="AB137" i="12"/>
  <c r="AC137" i="12"/>
  <c r="AD137" i="12"/>
  <c r="AE137" i="12"/>
  <c r="AF137" i="12"/>
  <c r="AG137" i="12"/>
  <c r="AH137" i="12"/>
  <c r="AI137" i="12"/>
  <c r="AJ137" i="12"/>
  <c r="AK137" i="12"/>
  <c r="AL137" i="12"/>
  <c r="AM137" i="12"/>
  <c r="AN137" i="12"/>
  <c r="AO137" i="12"/>
  <c r="AP137" i="12"/>
  <c r="AQ137" i="12"/>
  <c r="AR137" i="12"/>
  <c r="AS137" i="12"/>
  <c r="AT137" i="12"/>
  <c r="AU137" i="12"/>
  <c r="AV137" i="12"/>
  <c r="AW137" i="12"/>
  <c r="AX137" i="12"/>
  <c r="AY137" i="12"/>
  <c r="AZ137" i="12"/>
  <c r="BA137" i="12"/>
  <c r="BB137" i="12"/>
  <c r="BC137" i="12"/>
  <c r="BD137" i="12"/>
  <c r="BE137" i="12"/>
  <c r="BF137" i="12"/>
  <c r="BG137" i="12"/>
  <c r="BH137" i="12"/>
  <c r="BI137" i="12"/>
  <c r="BJ137" i="12"/>
  <c r="BK137" i="12"/>
  <c r="BL137" i="12"/>
  <c r="BM137" i="12"/>
  <c r="BN137" i="12"/>
  <c r="BO137" i="12"/>
  <c r="BP137" i="12"/>
  <c r="BQ137" i="12"/>
  <c r="BR137" i="12"/>
  <c r="BS137" i="12"/>
  <c r="BT137" i="12"/>
  <c r="BU137" i="12"/>
  <c r="BV137" i="12"/>
  <c r="BW137" i="12"/>
  <c r="BX137" i="12"/>
  <c r="BY137" i="12"/>
  <c r="BZ137" i="12"/>
  <c r="CA137" i="12"/>
  <c r="CB137" i="12"/>
  <c r="CC137" i="12"/>
  <c r="CD137" i="12"/>
  <c r="CE137" i="12"/>
  <c r="CF137" i="12"/>
  <c r="CG137" i="12"/>
  <c r="CH137" i="12"/>
  <c r="CI137" i="12"/>
  <c r="CJ137" i="12"/>
  <c r="CK137" i="12"/>
  <c r="CL137" i="12"/>
  <c r="CM137" i="12"/>
  <c r="CN137" i="12"/>
  <c r="CO137" i="12"/>
  <c r="CP137" i="12"/>
  <c r="CQ137" i="12"/>
  <c r="CR137" i="12"/>
  <c r="CS137" i="12"/>
  <c r="CT137" i="12"/>
  <c r="CU137" i="12"/>
  <c r="CV137" i="12"/>
  <c r="CW137" i="12"/>
  <c r="CX137" i="12"/>
  <c r="CY137" i="12"/>
  <c r="CZ137" i="12"/>
  <c r="DA137" i="12"/>
  <c r="DB137" i="12"/>
  <c r="DC137" i="12"/>
  <c r="DD137" i="12"/>
  <c r="DE137" i="12"/>
  <c r="DF137" i="12"/>
  <c r="DG137" i="12"/>
  <c r="DH137" i="12"/>
  <c r="DI137" i="12"/>
  <c r="DJ137" i="12"/>
  <c r="DK137" i="12"/>
  <c r="DL137" i="12"/>
  <c r="DM137" i="12"/>
  <c r="DN137" i="12"/>
  <c r="DO137" i="12"/>
  <c r="DP137" i="12"/>
  <c r="DQ137" i="12"/>
  <c r="DR137" i="12"/>
  <c r="DS137" i="12"/>
  <c r="DT137" i="12"/>
  <c r="DU137" i="12"/>
  <c r="O138" i="12"/>
  <c r="P138" i="12"/>
  <c r="Q138" i="12"/>
  <c r="R138" i="12"/>
  <c r="S138" i="12"/>
  <c r="T138" i="12"/>
  <c r="U138" i="12"/>
  <c r="V138" i="12"/>
  <c r="W138" i="12"/>
  <c r="X138" i="12"/>
  <c r="Y138" i="12"/>
  <c r="Z138" i="12"/>
  <c r="AA138" i="12"/>
  <c r="AB138" i="12"/>
  <c r="AC138" i="12"/>
  <c r="AD138" i="12"/>
  <c r="AE138" i="12"/>
  <c r="AF138" i="12"/>
  <c r="AG138" i="12"/>
  <c r="AH138" i="12"/>
  <c r="AI138" i="12"/>
  <c r="AJ138" i="12"/>
  <c r="AK138" i="12"/>
  <c r="AL138" i="12"/>
  <c r="AM138" i="12"/>
  <c r="AN138" i="12"/>
  <c r="AO138" i="12"/>
  <c r="AP138" i="12"/>
  <c r="AQ138" i="12"/>
  <c r="AR138" i="12"/>
  <c r="AS138" i="12"/>
  <c r="AT138" i="12"/>
  <c r="AU138" i="12"/>
  <c r="AV138" i="12"/>
  <c r="AW138" i="12"/>
  <c r="AX138" i="12"/>
  <c r="AY138" i="12"/>
  <c r="AZ138" i="12"/>
  <c r="BA138" i="12"/>
  <c r="BB138" i="12"/>
  <c r="BC138" i="12"/>
  <c r="BD138" i="12"/>
  <c r="BE138" i="12"/>
  <c r="BF138" i="12"/>
  <c r="BG138" i="12"/>
  <c r="BH138" i="12"/>
  <c r="BI138" i="12"/>
  <c r="BJ138" i="12"/>
  <c r="BK138" i="12"/>
  <c r="BL138" i="12"/>
  <c r="BM138" i="12"/>
  <c r="BN138" i="12"/>
  <c r="BO138" i="12"/>
  <c r="BP138" i="12"/>
  <c r="BQ138" i="12"/>
  <c r="BR138" i="12"/>
  <c r="BS138" i="12"/>
  <c r="BT138" i="12"/>
  <c r="BU138" i="12"/>
  <c r="BV138" i="12"/>
  <c r="BW138" i="12"/>
  <c r="BX138" i="12"/>
  <c r="BY138" i="12"/>
  <c r="BZ138" i="12"/>
  <c r="CA138" i="12"/>
  <c r="CB138" i="12"/>
  <c r="CC138" i="12"/>
  <c r="CD138" i="12"/>
  <c r="CE138" i="12"/>
  <c r="CF138" i="12"/>
  <c r="CG138" i="12"/>
  <c r="CH138" i="12"/>
  <c r="CI138" i="12"/>
  <c r="CJ138" i="12"/>
  <c r="CK138" i="12"/>
  <c r="CL138" i="12"/>
  <c r="CM138" i="12"/>
  <c r="CN138" i="12"/>
  <c r="CO138" i="12"/>
  <c r="CP138" i="12"/>
  <c r="CQ138" i="12"/>
  <c r="CR138" i="12"/>
  <c r="CS138" i="12"/>
  <c r="CT138" i="12"/>
  <c r="CU138" i="12"/>
  <c r="CV138" i="12"/>
  <c r="CW138" i="12"/>
  <c r="CX138" i="12"/>
  <c r="CY138" i="12"/>
  <c r="CZ138" i="12"/>
  <c r="DA138" i="12"/>
  <c r="DB138" i="12"/>
  <c r="DC138" i="12"/>
  <c r="DD138" i="12"/>
  <c r="DE138" i="12"/>
  <c r="DF138" i="12"/>
  <c r="DG138" i="12"/>
  <c r="DH138" i="12"/>
  <c r="DI138" i="12"/>
  <c r="DJ138" i="12"/>
  <c r="DK138" i="12"/>
  <c r="DL138" i="12"/>
  <c r="DM138" i="12"/>
  <c r="DN138" i="12"/>
  <c r="DO138" i="12"/>
  <c r="DP138" i="12"/>
  <c r="DQ138" i="12"/>
  <c r="DR138" i="12"/>
  <c r="DS138" i="12"/>
  <c r="DT138" i="12"/>
  <c r="DU138" i="12"/>
  <c r="O139" i="12"/>
  <c r="P139" i="12"/>
  <c r="Q139" i="12"/>
  <c r="R139" i="12"/>
  <c r="S139" i="12"/>
  <c r="T139" i="12"/>
  <c r="U139" i="12"/>
  <c r="V139" i="12"/>
  <c r="W139" i="12"/>
  <c r="X139" i="12"/>
  <c r="Y139" i="12"/>
  <c r="Z139" i="12"/>
  <c r="AA139" i="12"/>
  <c r="AB139" i="12"/>
  <c r="AC139" i="12"/>
  <c r="AD139" i="12"/>
  <c r="AE139" i="12"/>
  <c r="AF139" i="12"/>
  <c r="AG139" i="12"/>
  <c r="AH139" i="12"/>
  <c r="AI139" i="12"/>
  <c r="AJ139" i="12"/>
  <c r="AK139" i="12"/>
  <c r="AL139" i="12"/>
  <c r="AM139" i="12"/>
  <c r="AN139" i="12"/>
  <c r="AO139" i="12"/>
  <c r="AP139" i="12"/>
  <c r="AQ139" i="12"/>
  <c r="AR139" i="12"/>
  <c r="AS139" i="12"/>
  <c r="AT139" i="12"/>
  <c r="AU139" i="12"/>
  <c r="AV139" i="12"/>
  <c r="AW139" i="12"/>
  <c r="AX139" i="12"/>
  <c r="AY139" i="12"/>
  <c r="AZ139" i="12"/>
  <c r="BA139" i="12"/>
  <c r="BB139" i="12"/>
  <c r="BC139" i="12"/>
  <c r="BD139" i="12"/>
  <c r="BE139" i="12"/>
  <c r="BF139" i="12"/>
  <c r="BG139" i="12"/>
  <c r="BH139" i="12"/>
  <c r="BI139" i="12"/>
  <c r="BJ139" i="12"/>
  <c r="BK139" i="12"/>
  <c r="BL139" i="12"/>
  <c r="BM139" i="12"/>
  <c r="BN139" i="12"/>
  <c r="BO139" i="12"/>
  <c r="BP139" i="12"/>
  <c r="BQ139" i="12"/>
  <c r="BR139" i="12"/>
  <c r="BS139" i="12"/>
  <c r="BT139" i="12"/>
  <c r="BU139" i="12"/>
  <c r="BV139" i="12"/>
  <c r="BW139" i="12"/>
  <c r="BX139" i="12"/>
  <c r="BY139" i="12"/>
  <c r="BZ139" i="12"/>
  <c r="CA139" i="12"/>
  <c r="CB139" i="12"/>
  <c r="CC139" i="12"/>
  <c r="CD139" i="12"/>
  <c r="CE139" i="12"/>
  <c r="CF139" i="12"/>
  <c r="CG139" i="12"/>
  <c r="CH139" i="12"/>
  <c r="CI139" i="12"/>
  <c r="CJ139" i="12"/>
  <c r="CK139" i="12"/>
  <c r="CL139" i="12"/>
  <c r="CM139" i="12"/>
  <c r="CN139" i="12"/>
  <c r="CO139" i="12"/>
  <c r="CP139" i="12"/>
  <c r="CQ139" i="12"/>
  <c r="CR139" i="12"/>
  <c r="CS139" i="12"/>
  <c r="CT139" i="12"/>
  <c r="CU139" i="12"/>
  <c r="CV139" i="12"/>
  <c r="CW139" i="12"/>
  <c r="CX139" i="12"/>
  <c r="CY139" i="12"/>
  <c r="CZ139" i="12"/>
  <c r="DA139" i="12"/>
  <c r="DB139" i="12"/>
  <c r="DC139" i="12"/>
  <c r="DD139" i="12"/>
  <c r="DE139" i="12"/>
  <c r="DF139" i="12"/>
  <c r="DG139" i="12"/>
  <c r="DH139" i="12"/>
  <c r="DI139" i="12"/>
  <c r="DJ139" i="12"/>
  <c r="DK139" i="12"/>
  <c r="DL139" i="12"/>
  <c r="DM139" i="12"/>
  <c r="DN139" i="12"/>
  <c r="DO139" i="12"/>
  <c r="DP139" i="12"/>
  <c r="DQ139" i="12"/>
  <c r="DR139" i="12"/>
  <c r="DS139" i="12"/>
  <c r="DT139" i="12"/>
  <c r="DU139" i="12"/>
  <c r="O140" i="12"/>
  <c r="P140" i="12"/>
  <c r="Q140" i="12"/>
  <c r="R140" i="12"/>
  <c r="S140" i="12"/>
  <c r="T140" i="12"/>
  <c r="U140" i="12"/>
  <c r="V140" i="12"/>
  <c r="W140" i="12"/>
  <c r="X140" i="12"/>
  <c r="Y140" i="12"/>
  <c r="Z140" i="12"/>
  <c r="AA140" i="12"/>
  <c r="AB140" i="12"/>
  <c r="AC140" i="12"/>
  <c r="AD140" i="12"/>
  <c r="AE140" i="12"/>
  <c r="AF140" i="12"/>
  <c r="AG140" i="12"/>
  <c r="AH140" i="12"/>
  <c r="AI140" i="12"/>
  <c r="AJ140" i="12"/>
  <c r="AK140" i="12"/>
  <c r="AL140" i="12"/>
  <c r="AM140" i="12"/>
  <c r="AN140" i="12"/>
  <c r="AO140" i="12"/>
  <c r="AP140" i="12"/>
  <c r="AQ140" i="12"/>
  <c r="AR140" i="12"/>
  <c r="AS140" i="12"/>
  <c r="AT140" i="12"/>
  <c r="AU140" i="12"/>
  <c r="AV140" i="12"/>
  <c r="AW140" i="12"/>
  <c r="AX140" i="12"/>
  <c r="AY140" i="12"/>
  <c r="AZ140" i="12"/>
  <c r="BA140" i="12"/>
  <c r="BB140" i="12"/>
  <c r="BC140" i="12"/>
  <c r="BD140" i="12"/>
  <c r="BE140" i="12"/>
  <c r="BF140" i="12"/>
  <c r="BG140" i="12"/>
  <c r="BH140" i="12"/>
  <c r="BI140" i="12"/>
  <c r="BJ140" i="12"/>
  <c r="BK140" i="12"/>
  <c r="BL140" i="12"/>
  <c r="BM140" i="12"/>
  <c r="BN140" i="12"/>
  <c r="BO140" i="12"/>
  <c r="BP140" i="12"/>
  <c r="BQ140" i="12"/>
  <c r="BR140" i="12"/>
  <c r="BS140" i="12"/>
  <c r="BT140" i="12"/>
  <c r="BU140" i="12"/>
  <c r="BV140" i="12"/>
  <c r="BW140" i="12"/>
  <c r="BX140" i="12"/>
  <c r="BY140" i="12"/>
  <c r="BZ140" i="12"/>
  <c r="CA140" i="12"/>
  <c r="CB140" i="12"/>
  <c r="CC140" i="12"/>
  <c r="CD140" i="12"/>
  <c r="CE140" i="12"/>
  <c r="CF140" i="12"/>
  <c r="CG140" i="12"/>
  <c r="CH140" i="12"/>
  <c r="CI140" i="12"/>
  <c r="CJ140" i="12"/>
  <c r="CK140" i="12"/>
  <c r="CL140" i="12"/>
  <c r="CM140" i="12"/>
  <c r="CN140" i="12"/>
  <c r="CO140" i="12"/>
  <c r="CP140" i="12"/>
  <c r="CQ140" i="12"/>
  <c r="CR140" i="12"/>
  <c r="CS140" i="12"/>
  <c r="CT140" i="12"/>
  <c r="CU140" i="12"/>
  <c r="CV140" i="12"/>
  <c r="CW140" i="12"/>
  <c r="CX140" i="12"/>
  <c r="CY140" i="12"/>
  <c r="CZ140" i="12"/>
  <c r="DA140" i="12"/>
  <c r="DB140" i="12"/>
  <c r="DC140" i="12"/>
  <c r="DD140" i="12"/>
  <c r="DE140" i="12"/>
  <c r="DF140" i="12"/>
  <c r="DG140" i="12"/>
  <c r="DH140" i="12"/>
  <c r="DI140" i="12"/>
  <c r="DJ140" i="12"/>
  <c r="DK140" i="12"/>
  <c r="DL140" i="12"/>
  <c r="DM140" i="12"/>
  <c r="DN140" i="12"/>
  <c r="DO140" i="12"/>
  <c r="DP140" i="12"/>
  <c r="DQ140" i="12"/>
  <c r="DR140" i="12"/>
  <c r="DS140" i="12"/>
  <c r="DT140" i="12"/>
  <c r="DU140" i="12"/>
  <c r="O141" i="12"/>
  <c r="P141" i="12"/>
  <c r="Q141" i="12"/>
  <c r="R141" i="12"/>
  <c r="S141" i="12"/>
  <c r="T141" i="12"/>
  <c r="U141" i="12"/>
  <c r="V141" i="12"/>
  <c r="W141" i="12"/>
  <c r="X141" i="12"/>
  <c r="Y141" i="12"/>
  <c r="Z141" i="12"/>
  <c r="AA141" i="12"/>
  <c r="AB141" i="12"/>
  <c r="AC141" i="12"/>
  <c r="AD141" i="12"/>
  <c r="AE141" i="12"/>
  <c r="AF141" i="12"/>
  <c r="AG141" i="12"/>
  <c r="AH141" i="12"/>
  <c r="AI141" i="12"/>
  <c r="AJ141" i="12"/>
  <c r="AK141" i="12"/>
  <c r="AL141" i="12"/>
  <c r="AM141" i="12"/>
  <c r="AN141" i="12"/>
  <c r="AO141" i="12"/>
  <c r="AP141" i="12"/>
  <c r="AQ141" i="12"/>
  <c r="AR141" i="12"/>
  <c r="AS141" i="12"/>
  <c r="AT141" i="12"/>
  <c r="AU141" i="12"/>
  <c r="AV141" i="12"/>
  <c r="AW141" i="12"/>
  <c r="AX141" i="12"/>
  <c r="AY141" i="12"/>
  <c r="AZ141" i="12"/>
  <c r="BA141" i="12"/>
  <c r="BB141" i="12"/>
  <c r="BC141" i="12"/>
  <c r="BD141" i="12"/>
  <c r="BE141" i="12"/>
  <c r="BF141" i="12"/>
  <c r="BG141" i="12"/>
  <c r="BH141" i="12"/>
  <c r="BI141" i="12"/>
  <c r="BJ141" i="12"/>
  <c r="BK141" i="12"/>
  <c r="BL141" i="12"/>
  <c r="BM141" i="12"/>
  <c r="BN141" i="12"/>
  <c r="BO141" i="12"/>
  <c r="BP141" i="12"/>
  <c r="BQ141" i="12"/>
  <c r="BR141" i="12"/>
  <c r="BS141" i="12"/>
  <c r="BT141" i="12"/>
  <c r="BU141" i="12"/>
  <c r="BV141" i="12"/>
  <c r="BW141" i="12"/>
  <c r="BX141" i="12"/>
  <c r="BY141" i="12"/>
  <c r="BZ141" i="12"/>
  <c r="CA141" i="12"/>
  <c r="CB141" i="12"/>
  <c r="CC141" i="12"/>
  <c r="CD141" i="12"/>
  <c r="CE141" i="12"/>
  <c r="CF141" i="12"/>
  <c r="CG141" i="12"/>
  <c r="CH141" i="12"/>
  <c r="CI141" i="12"/>
  <c r="CJ141" i="12"/>
  <c r="CK141" i="12"/>
  <c r="CL141" i="12"/>
  <c r="CM141" i="12"/>
  <c r="CN141" i="12"/>
  <c r="CO141" i="12"/>
  <c r="CP141" i="12"/>
  <c r="CQ141" i="12"/>
  <c r="CR141" i="12"/>
  <c r="CS141" i="12"/>
  <c r="CT141" i="12"/>
  <c r="CU141" i="12"/>
  <c r="CV141" i="12"/>
  <c r="CW141" i="12"/>
  <c r="CX141" i="12"/>
  <c r="CY141" i="12"/>
  <c r="CZ141" i="12"/>
  <c r="DA141" i="12"/>
  <c r="DB141" i="12"/>
  <c r="DC141" i="12"/>
  <c r="DD141" i="12"/>
  <c r="DE141" i="12"/>
  <c r="DF141" i="12"/>
  <c r="DG141" i="12"/>
  <c r="DH141" i="12"/>
  <c r="DI141" i="12"/>
  <c r="DJ141" i="12"/>
  <c r="DK141" i="12"/>
  <c r="DL141" i="12"/>
  <c r="DM141" i="12"/>
  <c r="DN141" i="12"/>
  <c r="DO141" i="12"/>
  <c r="DP141" i="12"/>
  <c r="DQ141" i="12"/>
  <c r="DR141" i="12"/>
  <c r="DS141" i="12"/>
  <c r="DT141" i="12"/>
  <c r="DU141" i="12"/>
  <c r="O142" i="12"/>
  <c r="P142" i="12"/>
  <c r="Q142" i="12"/>
  <c r="R142" i="12"/>
  <c r="S142" i="12"/>
  <c r="T142" i="12"/>
  <c r="U142" i="12"/>
  <c r="V142" i="12"/>
  <c r="W142" i="12"/>
  <c r="X142" i="12"/>
  <c r="Y142" i="12"/>
  <c r="Z142" i="12"/>
  <c r="AA142" i="12"/>
  <c r="AB142" i="12"/>
  <c r="AC142" i="12"/>
  <c r="AD142" i="12"/>
  <c r="AE142" i="12"/>
  <c r="AF142" i="12"/>
  <c r="AG142" i="12"/>
  <c r="AH142" i="12"/>
  <c r="AI142" i="12"/>
  <c r="AJ142" i="12"/>
  <c r="AK142" i="12"/>
  <c r="AL142" i="12"/>
  <c r="AM142" i="12"/>
  <c r="AN142" i="12"/>
  <c r="AO142" i="12"/>
  <c r="AP142" i="12"/>
  <c r="AQ142" i="12"/>
  <c r="AR142" i="12"/>
  <c r="AS142" i="12"/>
  <c r="AT142" i="12"/>
  <c r="AU142" i="12"/>
  <c r="AV142" i="12"/>
  <c r="AW142" i="12"/>
  <c r="AX142" i="12"/>
  <c r="AY142" i="12"/>
  <c r="AZ142" i="12"/>
  <c r="BA142" i="12"/>
  <c r="BB142" i="12"/>
  <c r="BC142" i="12"/>
  <c r="BD142" i="12"/>
  <c r="BE142" i="12"/>
  <c r="BF142" i="12"/>
  <c r="BG142" i="12"/>
  <c r="BH142" i="12"/>
  <c r="BI142" i="12"/>
  <c r="BJ142" i="12"/>
  <c r="BK142" i="12"/>
  <c r="BL142" i="12"/>
  <c r="BM142" i="12"/>
  <c r="BN142" i="12"/>
  <c r="BO142" i="12"/>
  <c r="BP142" i="12"/>
  <c r="BQ142" i="12"/>
  <c r="BR142" i="12"/>
  <c r="BS142" i="12"/>
  <c r="BT142" i="12"/>
  <c r="BU142" i="12"/>
  <c r="BV142" i="12"/>
  <c r="BW142" i="12"/>
  <c r="BX142" i="12"/>
  <c r="BY142" i="12"/>
  <c r="BZ142" i="12"/>
  <c r="CA142" i="12"/>
  <c r="CB142" i="12"/>
  <c r="CC142" i="12"/>
  <c r="CD142" i="12"/>
  <c r="CE142" i="12"/>
  <c r="CF142" i="12"/>
  <c r="CG142" i="12"/>
  <c r="CH142" i="12"/>
  <c r="CI142" i="12"/>
  <c r="CJ142" i="12"/>
  <c r="CK142" i="12"/>
  <c r="CL142" i="12"/>
  <c r="CM142" i="12"/>
  <c r="CN142" i="12"/>
  <c r="CO142" i="12"/>
  <c r="CP142" i="12"/>
  <c r="CQ142" i="12"/>
  <c r="CR142" i="12"/>
  <c r="CS142" i="12"/>
  <c r="CT142" i="12"/>
  <c r="CU142" i="12"/>
  <c r="CV142" i="12"/>
  <c r="CW142" i="12"/>
  <c r="CX142" i="12"/>
  <c r="CY142" i="12"/>
  <c r="CZ142" i="12"/>
  <c r="DA142" i="12"/>
  <c r="DB142" i="12"/>
  <c r="DC142" i="12"/>
  <c r="DD142" i="12"/>
  <c r="DE142" i="12"/>
  <c r="DF142" i="12"/>
  <c r="DG142" i="12"/>
  <c r="DH142" i="12"/>
  <c r="DI142" i="12"/>
  <c r="DJ142" i="12"/>
  <c r="DK142" i="12"/>
  <c r="DL142" i="12"/>
  <c r="DM142" i="12"/>
  <c r="DN142" i="12"/>
  <c r="DO142" i="12"/>
  <c r="DP142" i="12"/>
  <c r="DQ142" i="12"/>
  <c r="DR142" i="12"/>
  <c r="DS142" i="12"/>
  <c r="DT142" i="12"/>
  <c r="DU142" i="12"/>
  <c r="O143" i="12"/>
  <c r="P143" i="12"/>
  <c r="Q143" i="12"/>
  <c r="R143" i="12"/>
  <c r="S143" i="12"/>
  <c r="T143" i="12"/>
  <c r="U143" i="12"/>
  <c r="V143" i="12"/>
  <c r="W143" i="12"/>
  <c r="X143" i="12"/>
  <c r="Y143" i="12"/>
  <c r="Z143" i="12"/>
  <c r="AA143" i="12"/>
  <c r="AB143" i="12"/>
  <c r="AC143" i="12"/>
  <c r="AD143" i="12"/>
  <c r="AE143" i="12"/>
  <c r="AF143" i="12"/>
  <c r="AG143" i="12"/>
  <c r="AH143" i="12"/>
  <c r="AI143" i="12"/>
  <c r="AJ143" i="12"/>
  <c r="AK143" i="12"/>
  <c r="AL143" i="12"/>
  <c r="AM143" i="12"/>
  <c r="AN143" i="12"/>
  <c r="AO143" i="12"/>
  <c r="AP143" i="12"/>
  <c r="AQ143" i="12"/>
  <c r="AR143" i="12"/>
  <c r="AS143" i="12"/>
  <c r="AT143" i="12"/>
  <c r="AU143" i="12"/>
  <c r="AV143" i="12"/>
  <c r="AW143" i="12"/>
  <c r="AX143" i="12"/>
  <c r="AY143" i="12"/>
  <c r="AZ143" i="12"/>
  <c r="BA143" i="12"/>
  <c r="BB143" i="12"/>
  <c r="BC143" i="12"/>
  <c r="BD143" i="12"/>
  <c r="BE143" i="12"/>
  <c r="BF143" i="12"/>
  <c r="BG143" i="12"/>
  <c r="BH143" i="12"/>
  <c r="BI143" i="12"/>
  <c r="BJ143" i="12"/>
  <c r="BK143" i="12"/>
  <c r="BL143" i="12"/>
  <c r="BM143" i="12"/>
  <c r="BN143" i="12"/>
  <c r="BO143" i="12"/>
  <c r="BP143" i="12"/>
  <c r="BQ143" i="12"/>
  <c r="BR143" i="12"/>
  <c r="BS143" i="12"/>
  <c r="BT143" i="12"/>
  <c r="BU143" i="12"/>
  <c r="BV143" i="12"/>
  <c r="BW143" i="12"/>
  <c r="BX143" i="12"/>
  <c r="BY143" i="12"/>
  <c r="BZ143" i="12"/>
  <c r="CA143" i="12"/>
  <c r="CB143" i="12"/>
  <c r="CC143" i="12"/>
  <c r="CD143" i="12"/>
  <c r="CE143" i="12"/>
  <c r="CF143" i="12"/>
  <c r="CG143" i="12"/>
  <c r="CH143" i="12"/>
  <c r="CI143" i="12"/>
  <c r="CJ143" i="12"/>
  <c r="CK143" i="12"/>
  <c r="CL143" i="12"/>
  <c r="CM143" i="12"/>
  <c r="CN143" i="12"/>
  <c r="CO143" i="12"/>
  <c r="CP143" i="12"/>
  <c r="CQ143" i="12"/>
  <c r="CR143" i="12"/>
  <c r="CS143" i="12"/>
  <c r="CT143" i="12"/>
  <c r="CU143" i="12"/>
  <c r="CV143" i="12"/>
  <c r="CW143" i="12"/>
  <c r="CX143" i="12"/>
  <c r="CY143" i="12"/>
  <c r="CZ143" i="12"/>
  <c r="DA143" i="12"/>
  <c r="DB143" i="12"/>
  <c r="DC143" i="12"/>
  <c r="DD143" i="12"/>
  <c r="DE143" i="12"/>
  <c r="DF143" i="12"/>
  <c r="DG143" i="12"/>
  <c r="DH143" i="12"/>
  <c r="DI143" i="12"/>
  <c r="DJ143" i="12"/>
  <c r="DK143" i="12"/>
  <c r="DL143" i="12"/>
  <c r="DM143" i="12"/>
  <c r="DN143" i="12"/>
  <c r="DO143" i="12"/>
  <c r="DP143" i="12"/>
  <c r="DQ143" i="12"/>
  <c r="DR143" i="12"/>
  <c r="DS143" i="12"/>
  <c r="DT143" i="12"/>
  <c r="DU143" i="12"/>
  <c r="O144" i="12"/>
  <c r="P144" i="12"/>
  <c r="Q144" i="12"/>
  <c r="R144" i="12"/>
  <c r="S144" i="12"/>
  <c r="T144" i="12"/>
  <c r="U144" i="12"/>
  <c r="V144" i="12"/>
  <c r="W144" i="12"/>
  <c r="X144" i="12"/>
  <c r="Y144" i="12"/>
  <c r="Z144" i="12"/>
  <c r="AA144" i="12"/>
  <c r="AB144" i="12"/>
  <c r="AC144" i="12"/>
  <c r="AD144" i="12"/>
  <c r="AE144" i="12"/>
  <c r="AF144" i="12"/>
  <c r="AG144" i="12"/>
  <c r="AH144" i="12"/>
  <c r="AI144" i="12"/>
  <c r="AJ144" i="12"/>
  <c r="AK144" i="12"/>
  <c r="AL144" i="12"/>
  <c r="AM144" i="12"/>
  <c r="AN144" i="12"/>
  <c r="AO144" i="12"/>
  <c r="AP144" i="12"/>
  <c r="AQ144" i="12"/>
  <c r="AR144" i="12"/>
  <c r="AS144" i="12"/>
  <c r="AT144" i="12"/>
  <c r="AU144" i="12"/>
  <c r="AV144" i="12"/>
  <c r="AW144" i="12"/>
  <c r="AX144" i="12"/>
  <c r="AY144" i="12"/>
  <c r="AZ144" i="12"/>
  <c r="BA144" i="12"/>
  <c r="BB144" i="12"/>
  <c r="BC144" i="12"/>
  <c r="BD144" i="12"/>
  <c r="BE144" i="12"/>
  <c r="BF144" i="12"/>
  <c r="BG144" i="12"/>
  <c r="BH144" i="12"/>
  <c r="BI144" i="12"/>
  <c r="BJ144" i="12"/>
  <c r="BK144" i="12"/>
  <c r="BL144" i="12"/>
  <c r="BM144" i="12"/>
  <c r="BN144" i="12"/>
  <c r="BO144" i="12"/>
  <c r="BP144" i="12"/>
  <c r="BQ144" i="12"/>
  <c r="BR144" i="12"/>
  <c r="BS144" i="12"/>
  <c r="BT144" i="12"/>
  <c r="BU144" i="12"/>
  <c r="BV144" i="12"/>
  <c r="BW144" i="12"/>
  <c r="BX144" i="12"/>
  <c r="BY144" i="12"/>
  <c r="BZ144" i="12"/>
  <c r="CA144" i="12"/>
  <c r="CB144" i="12"/>
  <c r="CC144" i="12"/>
  <c r="CD144" i="12"/>
  <c r="CE144" i="12"/>
  <c r="CF144" i="12"/>
  <c r="CG144" i="12"/>
  <c r="CH144" i="12"/>
  <c r="CI144" i="12"/>
  <c r="CJ144" i="12"/>
  <c r="CK144" i="12"/>
  <c r="CL144" i="12"/>
  <c r="CM144" i="12"/>
  <c r="CN144" i="12"/>
  <c r="CO144" i="12"/>
  <c r="CP144" i="12"/>
  <c r="CQ144" i="12"/>
  <c r="CR144" i="12"/>
  <c r="CS144" i="12"/>
  <c r="CT144" i="12"/>
  <c r="CU144" i="12"/>
  <c r="CV144" i="12"/>
  <c r="CW144" i="12"/>
  <c r="CX144" i="12"/>
  <c r="CY144" i="12"/>
  <c r="CZ144" i="12"/>
  <c r="DA144" i="12"/>
  <c r="DB144" i="12"/>
  <c r="DC144" i="12"/>
  <c r="DD144" i="12"/>
  <c r="DE144" i="12"/>
  <c r="DF144" i="12"/>
  <c r="DG144" i="12"/>
  <c r="DH144" i="12"/>
  <c r="DI144" i="12"/>
  <c r="DJ144" i="12"/>
  <c r="DK144" i="12"/>
  <c r="DL144" i="12"/>
  <c r="DM144" i="12"/>
  <c r="DN144" i="12"/>
  <c r="DO144" i="12"/>
  <c r="DP144" i="12"/>
  <c r="DQ144" i="12"/>
  <c r="DR144" i="12"/>
  <c r="DS144" i="12"/>
  <c r="DT144" i="12"/>
  <c r="DU144" i="12"/>
  <c r="O145" i="12"/>
  <c r="P145" i="12"/>
  <c r="Q145" i="12"/>
  <c r="R145" i="12"/>
  <c r="S145" i="12"/>
  <c r="T145" i="12"/>
  <c r="U145" i="12"/>
  <c r="V145" i="12"/>
  <c r="W145" i="12"/>
  <c r="X145" i="12"/>
  <c r="Y145" i="12"/>
  <c r="Z145" i="12"/>
  <c r="AA145" i="12"/>
  <c r="AB145" i="12"/>
  <c r="AC145" i="12"/>
  <c r="AD145" i="12"/>
  <c r="AE145" i="12"/>
  <c r="AF145" i="12"/>
  <c r="AG145" i="12"/>
  <c r="AH145" i="12"/>
  <c r="AI145" i="12"/>
  <c r="AJ145" i="12"/>
  <c r="AK145" i="12"/>
  <c r="AL145" i="12"/>
  <c r="AM145" i="12"/>
  <c r="AN145" i="12"/>
  <c r="AO145" i="12"/>
  <c r="AP145" i="12"/>
  <c r="AQ145" i="12"/>
  <c r="AR145" i="12"/>
  <c r="AS145" i="12"/>
  <c r="AT145" i="12"/>
  <c r="AU145" i="12"/>
  <c r="AV145" i="12"/>
  <c r="AW145" i="12"/>
  <c r="AX145" i="12"/>
  <c r="AY145" i="12"/>
  <c r="AZ145" i="12"/>
  <c r="BA145" i="12"/>
  <c r="BB145" i="12"/>
  <c r="BC145" i="12"/>
  <c r="BD145" i="12"/>
  <c r="BE145" i="12"/>
  <c r="BF145" i="12"/>
  <c r="BG145" i="12"/>
  <c r="BH145" i="12"/>
  <c r="BI145" i="12"/>
  <c r="BJ145" i="12"/>
  <c r="BK145" i="12"/>
  <c r="BL145" i="12"/>
  <c r="BM145" i="12"/>
  <c r="BN145" i="12"/>
  <c r="BO145" i="12"/>
  <c r="BP145" i="12"/>
  <c r="BQ145" i="12"/>
  <c r="BR145" i="12"/>
  <c r="BS145" i="12"/>
  <c r="BT145" i="12"/>
  <c r="BU145" i="12"/>
  <c r="BV145" i="12"/>
  <c r="BW145" i="12"/>
  <c r="BX145" i="12"/>
  <c r="BY145" i="12"/>
  <c r="BZ145" i="12"/>
  <c r="CA145" i="12"/>
  <c r="CB145" i="12"/>
  <c r="CC145" i="12"/>
  <c r="CD145" i="12"/>
  <c r="CE145" i="12"/>
  <c r="CF145" i="12"/>
  <c r="CG145" i="12"/>
  <c r="CH145" i="12"/>
  <c r="CI145" i="12"/>
  <c r="CJ145" i="12"/>
  <c r="CK145" i="12"/>
  <c r="CL145" i="12"/>
  <c r="CM145" i="12"/>
  <c r="CN145" i="12"/>
  <c r="CO145" i="12"/>
  <c r="CP145" i="12"/>
  <c r="CQ145" i="12"/>
  <c r="CR145" i="12"/>
  <c r="CS145" i="12"/>
  <c r="CT145" i="12"/>
  <c r="CU145" i="12"/>
  <c r="CV145" i="12"/>
  <c r="CW145" i="12"/>
  <c r="CX145" i="12"/>
  <c r="CY145" i="12"/>
  <c r="CZ145" i="12"/>
  <c r="DA145" i="12"/>
  <c r="DB145" i="12"/>
  <c r="DC145" i="12"/>
  <c r="DD145" i="12"/>
  <c r="DE145" i="12"/>
  <c r="DF145" i="12"/>
  <c r="DG145" i="12"/>
  <c r="DH145" i="12"/>
  <c r="DI145" i="12"/>
  <c r="DJ145" i="12"/>
  <c r="DK145" i="12"/>
  <c r="DL145" i="12"/>
  <c r="DM145" i="12"/>
  <c r="DN145" i="12"/>
  <c r="DO145" i="12"/>
  <c r="DP145" i="12"/>
  <c r="DQ145" i="12"/>
  <c r="DR145" i="12"/>
  <c r="DS145" i="12"/>
  <c r="DT145" i="12"/>
  <c r="DU145" i="12"/>
  <c r="O146" i="12"/>
  <c r="P146" i="12"/>
  <c r="Q146" i="12"/>
  <c r="R146" i="12"/>
  <c r="S146" i="12"/>
  <c r="T146" i="12"/>
  <c r="U146" i="12"/>
  <c r="V146" i="12"/>
  <c r="W146" i="12"/>
  <c r="X146" i="12"/>
  <c r="Y146" i="12"/>
  <c r="Z146" i="12"/>
  <c r="AA146" i="12"/>
  <c r="AB146" i="12"/>
  <c r="AC146" i="12"/>
  <c r="AD146" i="12"/>
  <c r="AE146" i="12"/>
  <c r="AF146" i="12"/>
  <c r="AG146" i="12"/>
  <c r="AH146" i="12"/>
  <c r="AI146" i="12"/>
  <c r="AJ146" i="12"/>
  <c r="AK146" i="12"/>
  <c r="AL146" i="12"/>
  <c r="AM146" i="12"/>
  <c r="AN146" i="12"/>
  <c r="AO146" i="12"/>
  <c r="AP146" i="12"/>
  <c r="AQ146" i="12"/>
  <c r="AR146" i="12"/>
  <c r="AS146" i="12"/>
  <c r="AT146" i="12"/>
  <c r="AU146" i="12"/>
  <c r="AV146" i="12"/>
  <c r="AW146" i="12"/>
  <c r="AX146" i="12"/>
  <c r="AY146" i="12"/>
  <c r="AZ146" i="12"/>
  <c r="BA146" i="12"/>
  <c r="BB146" i="12"/>
  <c r="BC146" i="12"/>
  <c r="BD146" i="12"/>
  <c r="BE146" i="12"/>
  <c r="BF146" i="12"/>
  <c r="BG146" i="12"/>
  <c r="BH146" i="12"/>
  <c r="BI146" i="12"/>
  <c r="BJ146" i="12"/>
  <c r="BK146" i="12"/>
  <c r="BL146" i="12"/>
  <c r="BM146" i="12"/>
  <c r="BN146" i="12"/>
  <c r="BO146" i="12"/>
  <c r="BP146" i="12"/>
  <c r="BQ146" i="12"/>
  <c r="BR146" i="12"/>
  <c r="BS146" i="12"/>
  <c r="BT146" i="12"/>
  <c r="BU146" i="12"/>
  <c r="BV146" i="12"/>
  <c r="BW146" i="12"/>
  <c r="BX146" i="12"/>
  <c r="BY146" i="12"/>
  <c r="BZ146" i="12"/>
  <c r="CA146" i="12"/>
  <c r="CB146" i="12"/>
  <c r="CC146" i="12"/>
  <c r="CD146" i="12"/>
  <c r="CE146" i="12"/>
  <c r="CF146" i="12"/>
  <c r="CG146" i="12"/>
  <c r="CH146" i="12"/>
  <c r="CI146" i="12"/>
  <c r="CJ146" i="12"/>
  <c r="CK146" i="12"/>
  <c r="CL146" i="12"/>
  <c r="CM146" i="12"/>
  <c r="CN146" i="12"/>
  <c r="CO146" i="12"/>
  <c r="CP146" i="12"/>
  <c r="CQ146" i="12"/>
  <c r="CR146" i="12"/>
  <c r="CS146" i="12"/>
  <c r="CT146" i="12"/>
  <c r="CU146" i="12"/>
  <c r="CV146" i="12"/>
  <c r="CW146" i="12"/>
  <c r="CX146" i="12"/>
  <c r="CY146" i="12"/>
  <c r="CZ146" i="12"/>
  <c r="DA146" i="12"/>
  <c r="DB146" i="12"/>
  <c r="DC146" i="12"/>
  <c r="DD146" i="12"/>
  <c r="DE146" i="12"/>
  <c r="DF146" i="12"/>
  <c r="DG146" i="12"/>
  <c r="DH146" i="12"/>
  <c r="DI146" i="12"/>
  <c r="DJ146" i="12"/>
  <c r="DK146" i="12"/>
  <c r="DL146" i="12"/>
  <c r="DM146" i="12"/>
  <c r="DN146" i="12"/>
  <c r="DO146" i="12"/>
  <c r="DP146" i="12"/>
  <c r="DQ146" i="12"/>
  <c r="DR146" i="12"/>
  <c r="DS146" i="12"/>
  <c r="DT146" i="12"/>
  <c r="DU146" i="12"/>
  <c r="O147" i="12"/>
  <c r="P147" i="12"/>
  <c r="Q147" i="12"/>
  <c r="R147" i="12"/>
  <c r="S147" i="12"/>
  <c r="T147" i="12"/>
  <c r="U147" i="12"/>
  <c r="V147" i="12"/>
  <c r="W147" i="12"/>
  <c r="X147" i="12"/>
  <c r="Y147" i="12"/>
  <c r="Z147" i="12"/>
  <c r="AA147" i="12"/>
  <c r="AB147" i="12"/>
  <c r="AC147" i="12"/>
  <c r="AD147" i="12"/>
  <c r="AE147" i="12"/>
  <c r="AF147" i="12"/>
  <c r="AG147" i="12"/>
  <c r="AH147" i="12"/>
  <c r="AI147" i="12"/>
  <c r="AJ147" i="12"/>
  <c r="AK147" i="12"/>
  <c r="AL147" i="12"/>
  <c r="AM147" i="12"/>
  <c r="AN147" i="12"/>
  <c r="AO147" i="12"/>
  <c r="AP147" i="12"/>
  <c r="AQ147" i="12"/>
  <c r="AR147" i="12"/>
  <c r="AS147" i="12"/>
  <c r="AT147" i="12"/>
  <c r="AU147" i="12"/>
  <c r="AV147" i="12"/>
  <c r="AW147" i="12"/>
  <c r="AX147" i="12"/>
  <c r="AY147" i="12"/>
  <c r="AZ147" i="12"/>
  <c r="BA147" i="12"/>
  <c r="BB147" i="12"/>
  <c r="BC147" i="12"/>
  <c r="BD147" i="12"/>
  <c r="BE147" i="12"/>
  <c r="BF147" i="12"/>
  <c r="BG147" i="12"/>
  <c r="BH147" i="12"/>
  <c r="BI147" i="12"/>
  <c r="BJ147" i="12"/>
  <c r="BK147" i="12"/>
  <c r="BL147" i="12"/>
  <c r="BM147" i="12"/>
  <c r="BN147" i="12"/>
  <c r="BO147" i="12"/>
  <c r="BP147" i="12"/>
  <c r="BQ147" i="12"/>
  <c r="BR147" i="12"/>
  <c r="BS147" i="12"/>
  <c r="BT147" i="12"/>
  <c r="BU147" i="12"/>
  <c r="BV147" i="12"/>
  <c r="BW147" i="12"/>
  <c r="BX147" i="12"/>
  <c r="BY147" i="12"/>
  <c r="BZ147" i="12"/>
  <c r="CA147" i="12"/>
  <c r="CB147" i="12"/>
  <c r="CC147" i="12"/>
  <c r="CD147" i="12"/>
  <c r="CE147" i="12"/>
  <c r="CF147" i="12"/>
  <c r="CG147" i="12"/>
  <c r="CH147" i="12"/>
  <c r="CI147" i="12"/>
  <c r="CJ147" i="12"/>
  <c r="CK147" i="12"/>
  <c r="CL147" i="12"/>
  <c r="CM147" i="12"/>
  <c r="CN147" i="12"/>
  <c r="CO147" i="12"/>
  <c r="CP147" i="12"/>
  <c r="CQ147" i="12"/>
  <c r="CR147" i="12"/>
  <c r="CS147" i="12"/>
  <c r="CT147" i="12"/>
  <c r="CU147" i="12"/>
  <c r="CV147" i="12"/>
  <c r="CW147" i="12"/>
  <c r="CX147" i="12"/>
  <c r="CY147" i="12"/>
  <c r="CZ147" i="12"/>
  <c r="DA147" i="12"/>
  <c r="DB147" i="12"/>
  <c r="DC147" i="12"/>
  <c r="DD147" i="12"/>
  <c r="DE147" i="12"/>
  <c r="DF147" i="12"/>
  <c r="DG147" i="12"/>
  <c r="DH147" i="12"/>
  <c r="DI147" i="12"/>
  <c r="DJ147" i="12"/>
  <c r="DK147" i="12"/>
  <c r="DL147" i="12"/>
  <c r="DM147" i="12"/>
  <c r="DN147" i="12"/>
  <c r="DO147" i="12"/>
  <c r="DP147" i="12"/>
  <c r="DQ147" i="12"/>
  <c r="DR147" i="12"/>
  <c r="DS147" i="12"/>
  <c r="DT147" i="12"/>
  <c r="DU147" i="12"/>
  <c r="O148" i="12"/>
  <c r="P148" i="12"/>
  <c r="Q148" i="12"/>
  <c r="R148" i="12"/>
  <c r="S148" i="12"/>
  <c r="T148" i="12"/>
  <c r="U148" i="12"/>
  <c r="V148" i="12"/>
  <c r="W148" i="12"/>
  <c r="X148" i="12"/>
  <c r="Y148" i="12"/>
  <c r="Z148" i="12"/>
  <c r="AA148" i="12"/>
  <c r="AB148" i="12"/>
  <c r="AC148" i="12"/>
  <c r="AD148" i="12"/>
  <c r="AE148" i="12"/>
  <c r="AF148" i="12"/>
  <c r="AG148" i="12"/>
  <c r="AH148" i="12"/>
  <c r="AI148" i="12"/>
  <c r="AJ148" i="12"/>
  <c r="AK148" i="12"/>
  <c r="AL148" i="12"/>
  <c r="AM148" i="12"/>
  <c r="AN148" i="12"/>
  <c r="AO148" i="12"/>
  <c r="AP148" i="12"/>
  <c r="AQ148" i="12"/>
  <c r="AR148" i="12"/>
  <c r="AS148" i="12"/>
  <c r="AT148" i="12"/>
  <c r="AU148" i="12"/>
  <c r="AV148" i="12"/>
  <c r="AW148" i="12"/>
  <c r="AX148" i="12"/>
  <c r="AY148" i="12"/>
  <c r="AZ148" i="12"/>
  <c r="BA148" i="12"/>
  <c r="BB148" i="12"/>
  <c r="BC148" i="12"/>
  <c r="BD148" i="12"/>
  <c r="BE148" i="12"/>
  <c r="BF148" i="12"/>
  <c r="BG148" i="12"/>
  <c r="BH148" i="12"/>
  <c r="BI148" i="12"/>
  <c r="BJ148" i="12"/>
  <c r="BK148" i="12"/>
  <c r="BL148" i="12"/>
  <c r="BM148" i="12"/>
  <c r="BN148" i="12"/>
  <c r="BO148" i="12"/>
  <c r="BP148" i="12"/>
  <c r="BQ148" i="12"/>
  <c r="BR148" i="12"/>
  <c r="BS148" i="12"/>
  <c r="BT148" i="12"/>
  <c r="BU148" i="12"/>
  <c r="BV148" i="12"/>
  <c r="BW148" i="12"/>
  <c r="BX148" i="12"/>
  <c r="BY148" i="12"/>
  <c r="BZ148" i="12"/>
  <c r="CA148" i="12"/>
  <c r="CB148" i="12"/>
  <c r="CC148" i="12"/>
  <c r="CD148" i="12"/>
  <c r="CE148" i="12"/>
  <c r="CF148" i="12"/>
  <c r="CG148" i="12"/>
  <c r="CH148" i="12"/>
  <c r="CI148" i="12"/>
  <c r="CJ148" i="12"/>
  <c r="CK148" i="12"/>
  <c r="CL148" i="12"/>
  <c r="CM148" i="12"/>
  <c r="CN148" i="12"/>
  <c r="CO148" i="12"/>
  <c r="CP148" i="12"/>
  <c r="CQ148" i="12"/>
  <c r="CR148" i="12"/>
  <c r="CS148" i="12"/>
  <c r="CT148" i="12"/>
  <c r="CU148" i="12"/>
  <c r="CV148" i="12"/>
  <c r="CW148" i="12"/>
  <c r="CX148" i="12"/>
  <c r="CY148" i="12"/>
  <c r="CZ148" i="12"/>
  <c r="DA148" i="12"/>
  <c r="DB148" i="12"/>
  <c r="DC148" i="12"/>
  <c r="DD148" i="12"/>
  <c r="DE148" i="12"/>
  <c r="DF148" i="12"/>
  <c r="DG148" i="12"/>
  <c r="DH148" i="12"/>
  <c r="DI148" i="12"/>
  <c r="DJ148" i="12"/>
  <c r="DK148" i="12"/>
  <c r="DL148" i="12"/>
  <c r="DM148" i="12"/>
  <c r="DN148" i="12"/>
  <c r="DO148" i="12"/>
  <c r="DP148" i="12"/>
  <c r="DQ148" i="12"/>
  <c r="DR148" i="12"/>
  <c r="DS148" i="12"/>
  <c r="DT148" i="12"/>
  <c r="DU148" i="12"/>
  <c r="O149" i="12"/>
  <c r="P149" i="12"/>
  <c r="Q149" i="12"/>
  <c r="R149" i="12"/>
  <c r="S149" i="12"/>
  <c r="T149" i="12"/>
  <c r="U149" i="12"/>
  <c r="V149" i="12"/>
  <c r="W149" i="12"/>
  <c r="X149" i="12"/>
  <c r="Y149" i="12"/>
  <c r="Z149" i="12"/>
  <c r="AA149" i="12"/>
  <c r="AB149" i="12"/>
  <c r="AC149" i="12"/>
  <c r="AD149" i="12"/>
  <c r="AE149" i="12"/>
  <c r="AF149" i="12"/>
  <c r="AG149" i="12"/>
  <c r="AH149" i="12"/>
  <c r="AI149" i="12"/>
  <c r="AJ149" i="12"/>
  <c r="AK149" i="12"/>
  <c r="AL149" i="12"/>
  <c r="AM149" i="12"/>
  <c r="AN149" i="12"/>
  <c r="AO149" i="12"/>
  <c r="AP149" i="12"/>
  <c r="AQ149" i="12"/>
  <c r="AR149" i="12"/>
  <c r="AS149" i="12"/>
  <c r="AT149" i="12"/>
  <c r="AU149" i="12"/>
  <c r="AV149" i="12"/>
  <c r="AW149" i="12"/>
  <c r="AX149" i="12"/>
  <c r="AY149" i="12"/>
  <c r="AZ149" i="12"/>
  <c r="BA149" i="12"/>
  <c r="BB149" i="12"/>
  <c r="BC149" i="12"/>
  <c r="BD149" i="12"/>
  <c r="BE149" i="12"/>
  <c r="BF149" i="12"/>
  <c r="BG149" i="12"/>
  <c r="BH149" i="12"/>
  <c r="BI149" i="12"/>
  <c r="BJ149" i="12"/>
  <c r="BK149" i="12"/>
  <c r="BL149" i="12"/>
  <c r="BM149" i="12"/>
  <c r="BN149" i="12"/>
  <c r="BO149" i="12"/>
  <c r="BP149" i="12"/>
  <c r="BQ149" i="12"/>
  <c r="BR149" i="12"/>
  <c r="BS149" i="12"/>
  <c r="BT149" i="12"/>
  <c r="BU149" i="12"/>
  <c r="BV149" i="12"/>
  <c r="BW149" i="12"/>
  <c r="BX149" i="12"/>
  <c r="BY149" i="12"/>
  <c r="BZ149" i="12"/>
  <c r="CA149" i="12"/>
  <c r="CB149" i="12"/>
  <c r="CC149" i="12"/>
  <c r="CD149" i="12"/>
  <c r="CE149" i="12"/>
  <c r="CF149" i="12"/>
  <c r="CG149" i="12"/>
  <c r="CH149" i="12"/>
  <c r="CI149" i="12"/>
  <c r="CJ149" i="12"/>
  <c r="CK149" i="12"/>
  <c r="CL149" i="12"/>
  <c r="CM149" i="12"/>
  <c r="CN149" i="12"/>
  <c r="CO149" i="12"/>
  <c r="CP149" i="12"/>
  <c r="CQ149" i="12"/>
  <c r="CR149" i="12"/>
  <c r="CS149" i="12"/>
  <c r="CT149" i="12"/>
  <c r="CU149" i="12"/>
  <c r="CV149" i="12"/>
  <c r="CW149" i="12"/>
  <c r="CX149" i="12"/>
  <c r="CY149" i="12"/>
  <c r="CZ149" i="12"/>
  <c r="DA149" i="12"/>
  <c r="DB149" i="12"/>
  <c r="DC149" i="12"/>
  <c r="DD149" i="12"/>
  <c r="DE149" i="12"/>
  <c r="DF149" i="12"/>
  <c r="DG149" i="12"/>
  <c r="DH149" i="12"/>
  <c r="DI149" i="12"/>
  <c r="DJ149" i="12"/>
  <c r="DK149" i="12"/>
  <c r="DL149" i="12"/>
  <c r="DM149" i="12"/>
  <c r="DN149" i="12"/>
  <c r="DO149" i="12"/>
  <c r="DP149" i="12"/>
  <c r="DQ149" i="12"/>
  <c r="DR149" i="12"/>
  <c r="DS149" i="12"/>
  <c r="DT149" i="12"/>
  <c r="DU149" i="12"/>
  <c r="O150" i="12"/>
  <c r="P150" i="12"/>
  <c r="Q150" i="12"/>
  <c r="R150" i="12"/>
  <c r="S150" i="12"/>
  <c r="T150" i="12"/>
  <c r="U150" i="12"/>
  <c r="V150" i="12"/>
  <c r="W150" i="12"/>
  <c r="X150" i="12"/>
  <c r="Y150" i="12"/>
  <c r="Z150" i="12"/>
  <c r="AA150" i="12"/>
  <c r="AB150" i="12"/>
  <c r="AC150" i="12"/>
  <c r="AD150" i="12"/>
  <c r="AE150" i="12"/>
  <c r="AF150" i="12"/>
  <c r="AG150" i="12"/>
  <c r="AH150" i="12"/>
  <c r="AI150" i="12"/>
  <c r="AJ150" i="12"/>
  <c r="AK150" i="12"/>
  <c r="AL150" i="12"/>
  <c r="AM150" i="12"/>
  <c r="AN150" i="12"/>
  <c r="AO150" i="12"/>
  <c r="AP150" i="12"/>
  <c r="AQ150" i="12"/>
  <c r="AR150" i="12"/>
  <c r="AS150" i="12"/>
  <c r="AT150" i="12"/>
  <c r="AU150" i="12"/>
  <c r="AV150" i="12"/>
  <c r="AW150" i="12"/>
  <c r="AX150" i="12"/>
  <c r="AY150" i="12"/>
  <c r="AZ150" i="12"/>
  <c r="BA150" i="12"/>
  <c r="BB150" i="12"/>
  <c r="BC150" i="12"/>
  <c r="BD150" i="12"/>
  <c r="BE150" i="12"/>
  <c r="BF150" i="12"/>
  <c r="BG150" i="12"/>
  <c r="BH150" i="12"/>
  <c r="BI150" i="12"/>
  <c r="BJ150" i="12"/>
  <c r="BK150" i="12"/>
  <c r="BL150" i="12"/>
  <c r="BM150" i="12"/>
  <c r="BN150" i="12"/>
  <c r="BO150" i="12"/>
  <c r="BP150" i="12"/>
  <c r="BQ150" i="12"/>
  <c r="BR150" i="12"/>
  <c r="BS150" i="12"/>
  <c r="BT150" i="12"/>
  <c r="BU150" i="12"/>
  <c r="BV150" i="12"/>
  <c r="BW150" i="12"/>
  <c r="BX150" i="12"/>
  <c r="BY150" i="12"/>
  <c r="BZ150" i="12"/>
  <c r="CA150" i="12"/>
  <c r="CB150" i="12"/>
  <c r="CC150" i="12"/>
  <c r="CD150" i="12"/>
  <c r="CE150" i="12"/>
  <c r="CF150" i="12"/>
  <c r="CG150" i="12"/>
  <c r="CH150" i="12"/>
  <c r="CI150" i="12"/>
  <c r="CJ150" i="12"/>
  <c r="CK150" i="12"/>
  <c r="CL150" i="12"/>
  <c r="CM150" i="12"/>
  <c r="CN150" i="12"/>
  <c r="CO150" i="12"/>
  <c r="CP150" i="12"/>
  <c r="CQ150" i="12"/>
  <c r="CR150" i="12"/>
  <c r="CS150" i="12"/>
  <c r="CT150" i="12"/>
  <c r="CU150" i="12"/>
  <c r="CV150" i="12"/>
  <c r="CW150" i="12"/>
  <c r="CX150" i="12"/>
  <c r="CY150" i="12"/>
  <c r="CZ150" i="12"/>
  <c r="DA150" i="12"/>
  <c r="DB150" i="12"/>
  <c r="DC150" i="12"/>
  <c r="DD150" i="12"/>
  <c r="DE150" i="12"/>
  <c r="DF150" i="12"/>
  <c r="DG150" i="12"/>
  <c r="DH150" i="12"/>
  <c r="DI150" i="12"/>
  <c r="DJ150" i="12"/>
  <c r="DK150" i="12"/>
  <c r="DL150" i="12"/>
  <c r="DM150" i="12"/>
  <c r="DN150" i="12"/>
  <c r="DO150" i="12"/>
  <c r="DP150" i="12"/>
  <c r="DQ150" i="12"/>
  <c r="DR150" i="12"/>
  <c r="DS150" i="12"/>
  <c r="DT150" i="12"/>
  <c r="DU150" i="12"/>
  <c r="O151" i="12"/>
  <c r="P151" i="12"/>
  <c r="Q151" i="12"/>
  <c r="R151" i="12"/>
  <c r="S151" i="12"/>
  <c r="T151" i="12"/>
  <c r="U151" i="12"/>
  <c r="V151" i="12"/>
  <c r="W151" i="12"/>
  <c r="X151" i="12"/>
  <c r="Y151" i="12"/>
  <c r="Z151" i="12"/>
  <c r="AA151" i="12"/>
  <c r="AB151" i="12"/>
  <c r="AC151" i="12"/>
  <c r="AD151" i="12"/>
  <c r="AE151" i="12"/>
  <c r="AF151" i="12"/>
  <c r="AG151" i="12"/>
  <c r="AH151" i="12"/>
  <c r="AI151" i="12"/>
  <c r="AJ151" i="12"/>
  <c r="AK151" i="12"/>
  <c r="AL151" i="12"/>
  <c r="AM151" i="12"/>
  <c r="AN151" i="12"/>
  <c r="AO151" i="12"/>
  <c r="AP151" i="12"/>
  <c r="AQ151" i="12"/>
  <c r="AR151" i="12"/>
  <c r="AS151" i="12"/>
  <c r="AT151" i="12"/>
  <c r="AU151" i="12"/>
  <c r="AV151" i="12"/>
  <c r="AW151" i="12"/>
  <c r="AX151" i="12"/>
  <c r="AY151" i="12"/>
  <c r="AZ151" i="12"/>
  <c r="BA151" i="12"/>
  <c r="BB151" i="12"/>
  <c r="BC151" i="12"/>
  <c r="BD151" i="12"/>
  <c r="BE151" i="12"/>
  <c r="BF151" i="12"/>
  <c r="BG151" i="12"/>
  <c r="BH151" i="12"/>
  <c r="BI151" i="12"/>
  <c r="BJ151" i="12"/>
  <c r="BK151" i="12"/>
  <c r="BL151" i="12"/>
  <c r="BM151" i="12"/>
  <c r="BN151" i="12"/>
  <c r="BO151" i="12"/>
  <c r="BP151" i="12"/>
  <c r="BQ151" i="12"/>
  <c r="BR151" i="12"/>
  <c r="BS151" i="12"/>
  <c r="BT151" i="12"/>
  <c r="BU151" i="12"/>
  <c r="BV151" i="12"/>
  <c r="BW151" i="12"/>
  <c r="BX151" i="12"/>
  <c r="BY151" i="12"/>
  <c r="BZ151" i="12"/>
  <c r="CA151" i="12"/>
  <c r="CB151" i="12"/>
  <c r="CC151" i="12"/>
  <c r="CD151" i="12"/>
  <c r="CE151" i="12"/>
  <c r="CF151" i="12"/>
  <c r="CG151" i="12"/>
  <c r="CH151" i="12"/>
  <c r="CI151" i="12"/>
  <c r="CJ151" i="12"/>
  <c r="CK151" i="12"/>
  <c r="CL151" i="12"/>
  <c r="CM151" i="12"/>
  <c r="CN151" i="12"/>
  <c r="CO151" i="12"/>
  <c r="CP151" i="12"/>
  <c r="CQ151" i="12"/>
  <c r="CR151" i="12"/>
  <c r="CS151" i="12"/>
  <c r="CT151" i="12"/>
  <c r="CU151" i="12"/>
  <c r="CV151" i="12"/>
  <c r="CW151" i="12"/>
  <c r="CX151" i="12"/>
  <c r="CY151" i="12"/>
  <c r="CZ151" i="12"/>
  <c r="DA151" i="12"/>
  <c r="DB151" i="12"/>
  <c r="DC151" i="12"/>
  <c r="DD151" i="12"/>
  <c r="DE151" i="12"/>
  <c r="DF151" i="12"/>
  <c r="DG151" i="12"/>
  <c r="DH151" i="12"/>
  <c r="DI151" i="12"/>
  <c r="DJ151" i="12"/>
  <c r="DK151" i="12"/>
  <c r="DL151" i="12"/>
  <c r="DM151" i="12"/>
  <c r="DN151" i="12"/>
  <c r="DO151" i="12"/>
  <c r="DP151" i="12"/>
  <c r="DQ151" i="12"/>
  <c r="DR151" i="12"/>
  <c r="DS151" i="12"/>
  <c r="DT151" i="12"/>
  <c r="DU151" i="12"/>
  <c r="O152" i="12"/>
  <c r="P152" i="12"/>
  <c r="Q152" i="12"/>
  <c r="R152" i="12"/>
  <c r="S152" i="12"/>
  <c r="T152" i="12"/>
  <c r="U152" i="12"/>
  <c r="V152" i="12"/>
  <c r="W152" i="12"/>
  <c r="X152" i="12"/>
  <c r="Y152" i="12"/>
  <c r="Z152" i="12"/>
  <c r="AA152" i="12"/>
  <c r="AB152" i="12"/>
  <c r="AC152" i="12"/>
  <c r="AD152" i="12"/>
  <c r="AE152" i="12"/>
  <c r="AF152" i="12"/>
  <c r="AG152" i="12"/>
  <c r="AH152" i="12"/>
  <c r="AI152" i="12"/>
  <c r="AJ152" i="12"/>
  <c r="AK152" i="12"/>
  <c r="AL152" i="12"/>
  <c r="AM152" i="12"/>
  <c r="AN152" i="12"/>
  <c r="AO152" i="12"/>
  <c r="AP152" i="12"/>
  <c r="AQ152" i="12"/>
  <c r="AR152" i="12"/>
  <c r="AS152" i="12"/>
  <c r="AT152" i="12"/>
  <c r="AU152" i="12"/>
  <c r="AV152" i="12"/>
  <c r="AW152" i="12"/>
  <c r="AX152" i="12"/>
  <c r="AY152" i="12"/>
  <c r="AZ152" i="12"/>
  <c r="BA152" i="12"/>
  <c r="BB152" i="12"/>
  <c r="BC152" i="12"/>
  <c r="BD152" i="12"/>
  <c r="BE152" i="12"/>
  <c r="BF152" i="12"/>
  <c r="BG152" i="12"/>
  <c r="BH152" i="12"/>
  <c r="BI152" i="12"/>
  <c r="BJ152" i="12"/>
  <c r="BK152" i="12"/>
  <c r="BL152" i="12"/>
  <c r="BM152" i="12"/>
  <c r="BN152" i="12"/>
  <c r="BO152" i="12"/>
  <c r="BP152" i="12"/>
  <c r="BQ152" i="12"/>
  <c r="BR152" i="12"/>
  <c r="BS152" i="12"/>
  <c r="BT152" i="12"/>
  <c r="BU152" i="12"/>
  <c r="BV152" i="12"/>
  <c r="BW152" i="12"/>
  <c r="BX152" i="12"/>
  <c r="BY152" i="12"/>
  <c r="BZ152" i="12"/>
  <c r="CA152" i="12"/>
  <c r="CB152" i="12"/>
  <c r="CC152" i="12"/>
  <c r="CD152" i="12"/>
  <c r="CE152" i="12"/>
  <c r="CF152" i="12"/>
  <c r="CG152" i="12"/>
  <c r="CH152" i="12"/>
  <c r="CI152" i="12"/>
  <c r="CJ152" i="12"/>
  <c r="CK152" i="12"/>
  <c r="CL152" i="12"/>
  <c r="CM152" i="12"/>
  <c r="CN152" i="12"/>
  <c r="CO152" i="12"/>
  <c r="CP152" i="12"/>
  <c r="CQ152" i="12"/>
  <c r="CR152" i="12"/>
  <c r="CS152" i="12"/>
  <c r="CT152" i="12"/>
  <c r="CU152" i="12"/>
  <c r="CV152" i="12"/>
  <c r="CW152" i="12"/>
  <c r="CX152" i="12"/>
  <c r="CY152" i="12"/>
  <c r="CZ152" i="12"/>
  <c r="DA152" i="12"/>
  <c r="DB152" i="12"/>
  <c r="DC152" i="12"/>
  <c r="DD152" i="12"/>
  <c r="DE152" i="12"/>
  <c r="DF152" i="12"/>
  <c r="DG152" i="12"/>
  <c r="DH152" i="12"/>
  <c r="DI152" i="12"/>
  <c r="DJ152" i="12"/>
  <c r="DK152" i="12"/>
  <c r="DL152" i="12"/>
  <c r="DM152" i="12"/>
  <c r="DN152" i="12"/>
  <c r="DO152" i="12"/>
  <c r="DP152" i="12"/>
  <c r="DQ152" i="12"/>
  <c r="DR152" i="12"/>
  <c r="DS152" i="12"/>
  <c r="DT152" i="12"/>
  <c r="DU152" i="12"/>
  <c r="O153" i="12"/>
  <c r="P153" i="12"/>
  <c r="Q153" i="12"/>
  <c r="R153" i="12"/>
  <c r="S153" i="12"/>
  <c r="T153" i="12"/>
  <c r="U153" i="12"/>
  <c r="V153" i="12"/>
  <c r="W153" i="12"/>
  <c r="X153" i="12"/>
  <c r="Y153" i="12"/>
  <c r="Z153" i="12"/>
  <c r="AA153" i="12"/>
  <c r="AB153" i="12"/>
  <c r="AC153" i="12"/>
  <c r="AD153" i="12"/>
  <c r="AE153" i="12"/>
  <c r="AF153" i="12"/>
  <c r="AG153" i="12"/>
  <c r="AH153" i="12"/>
  <c r="AI153" i="12"/>
  <c r="AJ153" i="12"/>
  <c r="AK153" i="12"/>
  <c r="AL153" i="12"/>
  <c r="AM153" i="12"/>
  <c r="AN153" i="12"/>
  <c r="AO153" i="12"/>
  <c r="AP153" i="12"/>
  <c r="AQ153" i="12"/>
  <c r="AR153" i="12"/>
  <c r="AS153" i="12"/>
  <c r="AT153" i="12"/>
  <c r="AU153" i="12"/>
  <c r="AV153" i="12"/>
  <c r="AW153" i="12"/>
  <c r="AX153" i="12"/>
  <c r="AY153" i="12"/>
  <c r="AZ153" i="12"/>
  <c r="BA153" i="12"/>
  <c r="BB153" i="12"/>
  <c r="BC153" i="12"/>
  <c r="BD153" i="12"/>
  <c r="BE153" i="12"/>
  <c r="BF153" i="12"/>
  <c r="BG153" i="12"/>
  <c r="BH153" i="12"/>
  <c r="BI153" i="12"/>
  <c r="BJ153" i="12"/>
  <c r="BK153" i="12"/>
  <c r="BL153" i="12"/>
  <c r="BM153" i="12"/>
  <c r="BN153" i="12"/>
  <c r="BO153" i="12"/>
  <c r="BP153" i="12"/>
  <c r="BQ153" i="12"/>
  <c r="BR153" i="12"/>
  <c r="BS153" i="12"/>
  <c r="BT153" i="12"/>
  <c r="BU153" i="12"/>
  <c r="BV153" i="12"/>
  <c r="BW153" i="12"/>
  <c r="BX153" i="12"/>
  <c r="BY153" i="12"/>
  <c r="BZ153" i="12"/>
  <c r="CA153" i="12"/>
  <c r="CB153" i="12"/>
  <c r="CC153" i="12"/>
  <c r="CD153" i="12"/>
  <c r="CE153" i="12"/>
  <c r="CF153" i="12"/>
  <c r="CG153" i="12"/>
  <c r="CH153" i="12"/>
  <c r="CI153" i="12"/>
  <c r="CJ153" i="12"/>
  <c r="CK153" i="12"/>
  <c r="CL153" i="12"/>
  <c r="CM153" i="12"/>
  <c r="CN153" i="12"/>
  <c r="CO153" i="12"/>
  <c r="CP153" i="12"/>
  <c r="CQ153" i="12"/>
  <c r="CR153" i="12"/>
  <c r="CS153" i="12"/>
  <c r="CT153" i="12"/>
  <c r="CU153" i="12"/>
  <c r="CV153" i="12"/>
  <c r="CW153" i="12"/>
  <c r="CX153" i="12"/>
  <c r="CY153" i="12"/>
  <c r="CZ153" i="12"/>
  <c r="DA153" i="12"/>
  <c r="DB153" i="12"/>
  <c r="DC153" i="12"/>
  <c r="DD153" i="12"/>
  <c r="DE153" i="12"/>
  <c r="DF153" i="12"/>
  <c r="DG153" i="12"/>
  <c r="DH153" i="12"/>
  <c r="DI153" i="12"/>
  <c r="DJ153" i="12"/>
  <c r="DK153" i="12"/>
  <c r="DL153" i="12"/>
  <c r="DM153" i="12"/>
  <c r="DN153" i="12"/>
  <c r="DO153" i="12"/>
  <c r="DP153" i="12"/>
  <c r="DQ153" i="12"/>
  <c r="DR153" i="12"/>
  <c r="DS153" i="12"/>
  <c r="DT153" i="12"/>
  <c r="DU153" i="12"/>
  <c r="O154" i="12"/>
  <c r="P154" i="12"/>
  <c r="Q154" i="12"/>
  <c r="R154" i="12"/>
  <c r="S154" i="12"/>
  <c r="T154" i="12"/>
  <c r="U154" i="12"/>
  <c r="V154" i="12"/>
  <c r="W154" i="12"/>
  <c r="X154" i="12"/>
  <c r="Y154" i="12"/>
  <c r="Z154" i="12"/>
  <c r="AA154" i="12"/>
  <c r="AB154" i="12"/>
  <c r="AC154" i="12"/>
  <c r="AD154" i="12"/>
  <c r="AE154" i="12"/>
  <c r="AF154" i="12"/>
  <c r="AG154" i="12"/>
  <c r="AH154" i="12"/>
  <c r="AI154" i="12"/>
  <c r="AJ154" i="12"/>
  <c r="AK154" i="12"/>
  <c r="AL154" i="12"/>
  <c r="AM154" i="12"/>
  <c r="AN154" i="12"/>
  <c r="AO154" i="12"/>
  <c r="AP154" i="12"/>
  <c r="AQ154" i="12"/>
  <c r="AR154" i="12"/>
  <c r="AS154" i="12"/>
  <c r="AT154" i="12"/>
  <c r="AU154" i="12"/>
  <c r="AV154" i="12"/>
  <c r="AW154" i="12"/>
  <c r="AX154" i="12"/>
  <c r="AY154" i="12"/>
  <c r="AZ154" i="12"/>
  <c r="BA154" i="12"/>
  <c r="BB154" i="12"/>
  <c r="BC154" i="12"/>
  <c r="BD154" i="12"/>
  <c r="BE154" i="12"/>
  <c r="BF154" i="12"/>
  <c r="BG154" i="12"/>
  <c r="BH154" i="12"/>
  <c r="BI154" i="12"/>
  <c r="BJ154" i="12"/>
  <c r="BK154" i="12"/>
  <c r="BL154" i="12"/>
  <c r="BM154" i="12"/>
  <c r="BN154" i="12"/>
  <c r="BO154" i="12"/>
  <c r="BP154" i="12"/>
  <c r="BQ154" i="12"/>
  <c r="BR154" i="12"/>
  <c r="BS154" i="12"/>
  <c r="BT154" i="12"/>
  <c r="BU154" i="12"/>
  <c r="BV154" i="12"/>
  <c r="BW154" i="12"/>
  <c r="BX154" i="12"/>
  <c r="BY154" i="12"/>
  <c r="BZ154" i="12"/>
  <c r="CA154" i="12"/>
  <c r="CB154" i="12"/>
  <c r="CC154" i="12"/>
  <c r="CD154" i="12"/>
  <c r="CE154" i="12"/>
  <c r="CF154" i="12"/>
  <c r="CG154" i="12"/>
  <c r="CH154" i="12"/>
  <c r="CI154" i="12"/>
  <c r="CJ154" i="12"/>
  <c r="CK154" i="12"/>
  <c r="CL154" i="12"/>
  <c r="CM154" i="12"/>
  <c r="CN154" i="12"/>
  <c r="CO154" i="12"/>
  <c r="CP154" i="12"/>
  <c r="CQ154" i="12"/>
  <c r="CR154" i="12"/>
  <c r="CS154" i="12"/>
  <c r="CT154" i="12"/>
  <c r="CU154" i="12"/>
  <c r="CV154" i="12"/>
  <c r="CW154" i="12"/>
  <c r="CX154" i="12"/>
  <c r="CY154" i="12"/>
  <c r="CZ154" i="12"/>
  <c r="DA154" i="12"/>
  <c r="DB154" i="12"/>
  <c r="DC154" i="12"/>
  <c r="DD154" i="12"/>
  <c r="DE154" i="12"/>
  <c r="DF154" i="12"/>
  <c r="DG154" i="12"/>
  <c r="DH154" i="12"/>
  <c r="DI154" i="12"/>
  <c r="DJ154" i="12"/>
  <c r="DK154" i="12"/>
  <c r="DL154" i="12"/>
  <c r="DM154" i="12"/>
  <c r="DN154" i="12"/>
  <c r="DO154" i="12"/>
  <c r="DP154" i="12"/>
  <c r="DQ154" i="12"/>
  <c r="DR154" i="12"/>
  <c r="DS154" i="12"/>
  <c r="DT154" i="12"/>
  <c r="DU154" i="12"/>
  <c r="O155" i="12"/>
  <c r="P155" i="12"/>
  <c r="Q155" i="12"/>
  <c r="R155" i="12"/>
  <c r="S155" i="12"/>
  <c r="T155" i="12"/>
  <c r="U155" i="12"/>
  <c r="V155" i="12"/>
  <c r="W155" i="12"/>
  <c r="X155" i="12"/>
  <c r="Y155" i="12"/>
  <c r="Z155" i="12"/>
  <c r="AA155" i="12"/>
  <c r="AB155" i="12"/>
  <c r="AC155" i="12"/>
  <c r="AD155" i="12"/>
  <c r="AE155" i="12"/>
  <c r="AF155" i="12"/>
  <c r="AG155" i="12"/>
  <c r="AH155" i="12"/>
  <c r="AI155" i="12"/>
  <c r="AJ155" i="12"/>
  <c r="AK155" i="12"/>
  <c r="AL155" i="12"/>
  <c r="AM155" i="12"/>
  <c r="AN155" i="12"/>
  <c r="AO155" i="12"/>
  <c r="AP155" i="12"/>
  <c r="AQ155" i="12"/>
  <c r="AR155" i="12"/>
  <c r="AS155" i="12"/>
  <c r="AT155" i="12"/>
  <c r="AU155" i="12"/>
  <c r="AV155" i="12"/>
  <c r="AW155" i="12"/>
  <c r="AX155" i="12"/>
  <c r="AY155" i="12"/>
  <c r="AZ155" i="12"/>
  <c r="BA155" i="12"/>
  <c r="BB155" i="12"/>
  <c r="BC155" i="12"/>
  <c r="BD155" i="12"/>
  <c r="BE155" i="12"/>
  <c r="BF155" i="12"/>
  <c r="BG155" i="12"/>
  <c r="BH155" i="12"/>
  <c r="BI155" i="12"/>
  <c r="BJ155" i="12"/>
  <c r="BK155" i="12"/>
  <c r="BL155" i="12"/>
  <c r="BM155" i="12"/>
  <c r="BN155" i="12"/>
  <c r="BO155" i="12"/>
  <c r="BP155" i="12"/>
  <c r="BQ155" i="12"/>
  <c r="BR155" i="12"/>
  <c r="BS155" i="12"/>
  <c r="BT155" i="12"/>
  <c r="BU155" i="12"/>
  <c r="BV155" i="12"/>
  <c r="BW155" i="12"/>
  <c r="BX155" i="12"/>
  <c r="BY155" i="12"/>
  <c r="BZ155" i="12"/>
  <c r="CA155" i="12"/>
  <c r="CB155" i="12"/>
  <c r="CC155" i="12"/>
  <c r="CD155" i="12"/>
  <c r="CE155" i="12"/>
  <c r="CF155" i="12"/>
  <c r="CG155" i="12"/>
  <c r="CH155" i="12"/>
  <c r="CI155" i="12"/>
  <c r="CJ155" i="12"/>
  <c r="CK155" i="12"/>
  <c r="CL155" i="12"/>
  <c r="CM155" i="12"/>
  <c r="CN155" i="12"/>
  <c r="CO155" i="12"/>
  <c r="CP155" i="12"/>
  <c r="CQ155" i="12"/>
  <c r="CR155" i="12"/>
  <c r="CS155" i="12"/>
  <c r="CT155" i="12"/>
  <c r="CU155" i="12"/>
  <c r="CV155" i="12"/>
  <c r="CW155" i="12"/>
  <c r="CX155" i="12"/>
  <c r="CY155" i="12"/>
  <c r="CZ155" i="12"/>
  <c r="DA155" i="12"/>
  <c r="DB155" i="12"/>
  <c r="DC155" i="12"/>
  <c r="DD155" i="12"/>
  <c r="DE155" i="12"/>
  <c r="DF155" i="12"/>
  <c r="DG155" i="12"/>
  <c r="DH155" i="12"/>
  <c r="DI155" i="12"/>
  <c r="DJ155" i="12"/>
  <c r="DK155" i="12"/>
  <c r="DL155" i="12"/>
  <c r="DM155" i="12"/>
  <c r="DN155" i="12"/>
  <c r="DO155" i="12"/>
  <c r="DP155" i="12"/>
  <c r="DQ155" i="12"/>
  <c r="DR155" i="12"/>
  <c r="DS155" i="12"/>
  <c r="DT155" i="12"/>
  <c r="DU155" i="12"/>
  <c r="O156" i="12"/>
  <c r="P156" i="12"/>
  <c r="Q156" i="12"/>
  <c r="R156" i="12"/>
  <c r="S156" i="12"/>
  <c r="T156" i="12"/>
  <c r="U156" i="12"/>
  <c r="V156" i="12"/>
  <c r="W156" i="12"/>
  <c r="X156" i="12"/>
  <c r="Y156" i="12"/>
  <c r="Z156" i="12"/>
  <c r="AA156" i="12"/>
  <c r="AB156" i="12"/>
  <c r="AC156" i="12"/>
  <c r="AD156" i="12"/>
  <c r="AE156" i="12"/>
  <c r="AF156" i="12"/>
  <c r="AG156" i="12"/>
  <c r="AH156" i="12"/>
  <c r="AI156" i="12"/>
  <c r="AJ156" i="12"/>
  <c r="AK156" i="12"/>
  <c r="AL156" i="12"/>
  <c r="AM156" i="12"/>
  <c r="AN156" i="12"/>
  <c r="AO156" i="12"/>
  <c r="AP156" i="12"/>
  <c r="AQ156" i="12"/>
  <c r="AR156" i="12"/>
  <c r="AS156" i="12"/>
  <c r="AT156" i="12"/>
  <c r="AU156" i="12"/>
  <c r="AV156" i="12"/>
  <c r="AW156" i="12"/>
  <c r="AX156" i="12"/>
  <c r="AY156" i="12"/>
  <c r="AZ156" i="12"/>
  <c r="BA156" i="12"/>
  <c r="BB156" i="12"/>
  <c r="BC156" i="12"/>
  <c r="BD156" i="12"/>
  <c r="BE156" i="12"/>
  <c r="BF156" i="12"/>
  <c r="BG156" i="12"/>
  <c r="BH156" i="12"/>
  <c r="BI156" i="12"/>
  <c r="BJ156" i="12"/>
  <c r="BK156" i="12"/>
  <c r="BL156" i="12"/>
  <c r="BM156" i="12"/>
  <c r="BN156" i="12"/>
  <c r="BO156" i="12"/>
  <c r="BP156" i="12"/>
  <c r="BQ156" i="12"/>
  <c r="BR156" i="12"/>
  <c r="BS156" i="12"/>
  <c r="BT156" i="12"/>
  <c r="BU156" i="12"/>
  <c r="BV156" i="12"/>
  <c r="BW156" i="12"/>
  <c r="BX156" i="12"/>
  <c r="BY156" i="12"/>
  <c r="BZ156" i="12"/>
  <c r="CA156" i="12"/>
  <c r="CB156" i="12"/>
  <c r="CC156" i="12"/>
  <c r="CD156" i="12"/>
  <c r="CE156" i="12"/>
  <c r="CF156" i="12"/>
  <c r="CG156" i="12"/>
  <c r="CH156" i="12"/>
  <c r="CI156" i="12"/>
  <c r="CJ156" i="12"/>
  <c r="CK156" i="12"/>
  <c r="CL156" i="12"/>
  <c r="CM156" i="12"/>
  <c r="CN156" i="12"/>
  <c r="CO156" i="12"/>
  <c r="CP156" i="12"/>
  <c r="CQ156" i="12"/>
  <c r="CR156" i="12"/>
  <c r="CS156" i="12"/>
  <c r="CT156" i="12"/>
  <c r="CU156" i="12"/>
  <c r="CV156" i="12"/>
  <c r="CW156" i="12"/>
  <c r="CX156" i="12"/>
  <c r="CY156" i="12"/>
  <c r="CZ156" i="12"/>
  <c r="DA156" i="12"/>
  <c r="DB156" i="12"/>
  <c r="DC156" i="12"/>
  <c r="DD156" i="12"/>
  <c r="DE156" i="12"/>
  <c r="DF156" i="12"/>
  <c r="DG156" i="12"/>
  <c r="DH156" i="12"/>
  <c r="DI156" i="12"/>
  <c r="DJ156" i="12"/>
  <c r="DK156" i="12"/>
  <c r="DL156" i="12"/>
  <c r="DM156" i="12"/>
  <c r="DN156" i="12"/>
  <c r="DO156" i="12"/>
  <c r="DP156" i="12"/>
  <c r="DQ156" i="12"/>
  <c r="DR156" i="12"/>
  <c r="DS156" i="12"/>
  <c r="DT156" i="12"/>
  <c r="DU156" i="12"/>
  <c r="O157" i="12"/>
  <c r="P157" i="12"/>
  <c r="Q157" i="12"/>
  <c r="R157" i="12"/>
  <c r="S157" i="12"/>
  <c r="T157" i="12"/>
  <c r="U157" i="12"/>
  <c r="V157" i="12"/>
  <c r="W157" i="12"/>
  <c r="X157" i="12"/>
  <c r="Y157" i="12"/>
  <c r="Z157" i="12"/>
  <c r="AA157" i="12"/>
  <c r="AB157" i="12"/>
  <c r="AC157" i="12"/>
  <c r="AD157" i="12"/>
  <c r="AE157" i="12"/>
  <c r="AF157" i="12"/>
  <c r="AG157" i="12"/>
  <c r="AH157" i="12"/>
  <c r="AI157" i="12"/>
  <c r="AJ157" i="12"/>
  <c r="AK157" i="12"/>
  <c r="AL157" i="12"/>
  <c r="AM157" i="12"/>
  <c r="AN157" i="12"/>
  <c r="AO157" i="12"/>
  <c r="AP157" i="12"/>
  <c r="AQ157" i="12"/>
  <c r="AR157" i="12"/>
  <c r="AS157" i="12"/>
  <c r="AT157" i="12"/>
  <c r="AU157" i="12"/>
  <c r="AV157" i="12"/>
  <c r="AW157" i="12"/>
  <c r="AX157" i="12"/>
  <c r="AY157" i="12"/>
  <c r="AZ157" i="12"/>
  <c r="BA157" i="12"/>
  <c r="BB157" i="12"/>
  <c r="BC157" i="12"/>
  <c r="BD157" i="12"/>
  <c r="BE157" i="12"/>
  <c r="BF157" i="12"/>
  <c r="BG157" i="12"/>
  <c r="BH157" i="12"/>
  <c r="BI157" i="12"/>
  <c r="BJ157" i="12"/>
  <c r="BK157" i="12"/>
  <c r="BL157" i="12"/>
  <c r="BM157" i="12"/>
  <c r="BN157" i="12"/>
  <c r="BO157" i="12"/>
  <c r="BP157" i="12"/>
  <c r="BQ157" i="12"/>
  <c r="BR157" i="12"/>
  <c r="BS157" i="12"/>
  <c r="BT157" i="12"/>
  <c r="BU157" i="12"/>
  <c r="BV157" i="12"/>
  <c r="BW157" i="12"/>
  <c r="BX157" i="12"/>
  <c r="BY157" i="12"/>
  <c r="BZ157" i="12"/>
  <c r="CA157" i="12"/>
  <c r="CB157" i="12"/>
  <c r="CC157" i="12"/>
  <c r="CD157" i="12"/>
  <c r="CE157" i="12"/>
  <c r="CF157" i="12"/>
  <c r="CG157" i="12"/>
  <c r="CH157" i="12"/>
  <c r="CI157" i="12"/>
  <c r="CJ157" i="12"/>
  <c r="CK157" i="12"/>
  <c r="CL157" i="12"/>
  <c r="CM157" i="12"/>
  <c r="CN157" i="12"/>
  <c r="CO157" i="12"/>
  <c r="CP157" i="12"/>
  <c r="CQ157" i="12"/>
  <c r="CR157" i="12"/>
  <c r="CS157" i="12"/>
  <c r="CT157" i="12"/>
  <c r="CU157" i="12"/>
  <c r="CV157" i="12"/>
  <c r="CW157" i="12"/>
  <c r="CX157" i="12"/>
  <c r="CY157" i="12"/>
  <c r="CZ157" i="12"/>
  <c r="DA157" i="12"/>
  <c r="DB157" i="12"/>
  <c r="DC157" i="12"/>
  <c r="DD157" i="12"/>
  <c r="DE157" i="12"/>
  <c r="DF157" i="12"/>
  <c r="DG157" i="12"/>
  <c r="DH157" i="12"/>
  <c r="DI157" i="12"/>
  <c r="DJ157" i="12"/>
  <c r="DK157" i="12"/>
  <c r="DL157" i="12"/>
  <c r="DM157" i="12"/>
  <c r="DN157" i="12"/>
  <c r="DO157" i="12"/>
  <c r="DP157" i="12"/>
  <c r="DQ157" i="12"/>
  <c r="DR157" i="12"/>
  <c r="DS157" i="12"/>
  <c r="DT157" i="12"/>
  <c r="DU157" i="12"/>
  <c r="O158" i="12"/>
  <c r="P158" i="12"/>
  <c r="Q158" i="12"/>
  <c r="R158" i="12"/>
  <c r="S158" i="12"/>
  <c r="T158" i="12"/>
  <c r="U158" i="12"/>
  <c r="V158" i="12"/>
  <c r="W158" i="12"/>
  <c r="X158" i="12"/>
  <c r="Y158" i="12"/>
  <c r="Z158" i="12"/>
  <c r="AA158" i="12"/>
  <c r="AB158" i="12"/>
  <c r="AC158" i="12"/>
  <c r="AD158" i="12"/>
  <c r="AE158" i="12"/>
  <c r="AF158" i="12"/>
  <c r="AG158" i="12"/>
  <c r="AH158" i="12"/>
  <c r="AI158" i="12"/>
  <c r="AJ158" i="12"/>
  <c r="AK158" i="12"/>
  <c r="AL158" i="12"/>
  <c r="AM158" i="12"/>
  <c r="AN158" i="12"/>
  <c r="AO158" i="12"/>
  <c r="AP158" i="12"/>
  <c r="AQ158" i="12"/>
  <c r="AR158" i="12"/>
  <c r="AS158" i="12"/>
  <c r="AT158" i="12"/>
  <c r="AU158" i="12"/>
  <c r="AV158" i="12"/>
  <c r="AW158" i="12"/>
  <c r="AX158" i="12"/>
  <c r="AY158" i="12"/>
  <c r="AZ158" i="12"/>
  <c r="BA158" i="12"/>
  <c r="BB158" i="12"/>
  <c r="BC158" i="12"/>
  <c r="BD158" i="12"/>
  <c r="BE158" i="12"/>
  <c r="BF158" i="12"/>
  <c r="BG158" i="12"/>
  <c r="BH158" i="12"/>
  <c r="BI158" i="12"/>
  <c r="BJ158" i="12"/>
  <c r="BK158" i="12"/>
  <c r="BL158" i="12"/>
  <c r="BM158" i="12"/>
  <c r="BN158" i="12"/>
  <c r="BO158" i="12"/>
  <c r="BP158" i="12"/>
  <c r="BQ158" i="12"/>
  <c r="BR158" i="12"/>
  <c r="BS158" i="12"/>
  <c r="BT158" i="12"/>
  <c r="BU158" i="12"/>
  <c r="BV158" i="12"/>
  <c r="BW158" i="12"/>
  <c r="BX158" i="12"/>
  <c r="BY158" i="12"/>
  <c r="BZ158" i="12"/>
  <c r="CA158" i="12"/>
  <c r="CB158" i="12"/>
  <c r="CC158" i="12"/>
  <c r="CD158" i="12"/>
  <c r="CE158" i="12"/>
  <c r="CF158" i="12"/>
  <c r="CG158" i="12"/>
  <c r="CH158" i="12"/>
  <c r="CI158" i="12"/>
  <c r="CJ158" i="12"/>
  <c r="CK158" i="12"/>
  <c r="CL158" i="12"/>
  <c r="CM158" i="12"/>
  <c r="CN158" i="12"/>
  <c r="CO158" i="12"/>
  <c r="CP158" i="12"/>
  <c r="CQ158" i="12"/>
  <c r="CR158" i="12"/>
  <c r="CS158" i="12"/>
  <c r="CT158" i="12"/>
  <c r="CU158" i="12"/>
  <c r="CV158" i="12"/>
  <c r="CW158" i="12"/>
  <c r="CX158" i="12"/>
  <c r="CY158" i="12"/>
  <c r="CZ158" i="12"/>
  <c r="DA158" i="12"/>
  <c r="DB158" i="12"/>
  <c r="DC158" i="12"/>
  <c r="DD158" i="12"/>
  <c r="DE158" i="12"/>
  <c r="DF158" i="12"/>
  <c r="DG158" i="12"/>
  <c r="DH158" i="12"/>
  <c r="DI158" i="12"/>
  <c r="DJ158" i="12"/>
  <c r="DK158" i="12"/>
  <c r="DL158" i="12"/>
  <c r="DM158" i="12"/>
  <c r="DN158" i="12"/>
  <c r="DO158" i="12"/>
  <c r="DP158" i="12"/>
  <c r="DQ158" i="12"/>
  <c r="DR158" i="12"/>
  <c r="DS158" i="12"/>
  <c r="DT158" i="12"/>
  <c r="DU158" i="12"/>
  <c r="O159" i="12"/>
  <c r="P159" i="12"/>
  <c r="Q159" i="12"/>
  <c r="R159" i="12"/>
  <c r="S159" i="12"/>
  <c r="T159" i="12"/>
  <c r="U159" i="12"/>
  <c r="V159" i="12"/>
  <c r="W159" i="12"/>
  <c r="X159" i="12"/>
  <c r="Y159" i="12"/>
  <c r="Z159" i="12"/>
  <c r="AA159" i="12"/>
  <c r="AB159" i="12"/>
  <c r="AC159" i="12"/>
  <c r="AD159" i="12"/>
  <c r="AE159" i="12"/>
  <c r="AF159" i="12"/>
  <c r="AG159" i="12"/>
  <c r="AH159" i="12"/>
  <c r="AI159" i="12"/>
  <c r="AJ159" i="12"/>
  <c r="AK159" i="12"/>
  <c r="AL159" i="12"/>
  <c r="AM159" i="12"/>
  <c r="AN159" i="12"/>
  <c r="AO159" i="12"/>
  <c r="AP159" i="12"/>
  <c r="AQ159" i="12"/>
  <c r="AR159" i="12"/>
  <c r="AS159" i="12"/>
  <c r="AT159" i="12"/>
  <c r="AU159" i="12"/>
  <c r="AV159" i="12"/>
  <c r="AW159" i="12"/>
  <c r="AX159" i="12"/>
  <c r="AY159" i="12"/>
  <c r="AZ159" i="12"/>
  <c r="BA159" i="12"/>
  <c r="BB159" i="12"/>
  <c r="BC159" i="12"/>
  <c r="BD159" i="12"/>
  <c r="BE159" i="12"/>
  <c r="BF159" i="12"/>
  <c r="BG159" i="12"/>
  <c r="BH159" i="12"/>
  <c r="BI159" i="12"/>
  <c r="BJ159" i="12"/>
  <c r="BK159" i="12"/>
  <c r="BL159" i="12"/>
  <c r="BM159" i="12"/>
  <c r="BN159" i="12"/>
  <c r="BO159" i="12"/>
  <c r="BP159" i="12"/>
  <c r="BQ159" i="12"/>
  <c r="BR159" i="12"/>
  <c r="BS159" i="12"/>
  <c r="BT159" i="12"/>
  <c r="BU159" i="12"/>
  <c r="BV159" i="12"/>
  <c r="BW159" i="12"/>
  <c r="BX159" i="12"/>
  <c r="BY159" i="12"/>
  <c r="BZ159" i="12"/>
  <c r="CA159" i="12"/>
  <c r="CB159" i="12"/>
  <c r="CC159" i="12"/>
  <c r="CD159" i="12"/>
  <c r="CE159" i="12"/>
  <c r="CF159" i="12"/>
  <c r="CG159" i="12"/>
  <c r="CH159" i="12"/>
  <c r="CI159" i="12"/>
  <c r="CJ159" i="12"/>
  <c r="CK159" i="12"/>
  <c r="CL159" i="12"/>
  <c r="CM159" i="12"/>
  <c r="CN159" i="12"/>
  <c r="CO159" i="12"/>
  <c r="CP159" i="12"/>
  <c r="CQ159" i="12"/>
  <c r="CR159" i="12"/>
  <c r="CS159" i="12"/>
  <c r="CT159" i="12"/>
  <c r="CU159" i="12"/>
  <c r="CV159" i="12"/>
  <c r="CW159" i="12"/>
  <c r="CX159" i="12"/>
  <c r="CY159" i="12"/>
  <c r="CZ159" i="12"/>
  <c r="DA159" i="12"/>
  <c r="DB159" i="12"/>
  <c r="DC159" i="12"/>
  <c r="DD159" i="12"/>
  <c r="DE159" i="12"/>
  <c r="DF159" i="12"/>
  <c r="DG159" i="12"/>
  <c r="DH159" i="12"/>
  <c r="DI159" i="12"/>
  <c r="DJ159" i="12"/>
  <c r="DK159" i="12"/>
  <c r="DL159" i="12"/>
  <c r="DM159" i="12"/>
  <c r="DN159" i="12"/>
  <c r="DO159" i="12"/>
  <c r="DP159" i="12"/>
  <c r="DQ159" i="12"/>
  <c r="DR159" i="12"/>
  <c r="DS159" i="12"/>
  <c r="DT159" i="12"/>
  <c r="DU159" i="12"/>
  <c r="O160" i="12"/>
  <c r="P160" i="12"/>
  <c r="Q160" i="12"/>
  <c r="R160" i="12"/>
  <c r="S160" i="12"/>
  <c r="T160" i="12"/>
  <c r="U160" i="12"/>
  <c r="V160" i="12"/>
  <c r="W160" i="12"/>
  <c r="X160" i="12"/>
  <c r="Y160" i="12"/>
  <c r="Z160" i="12"/>
  <c r="AA160" i="12"/>
  <c r="AB160" i="12"/>
  <c r="AC160" i="12"/>
  <c r="AD160" i="12"/>
  <c r="AE160" i="12"/>
  <c r="AF160" i="12"/>
  <c r="AG160" i="12"/>
  <c r="AH160" i="12"/>
  <c r="AI160" i="12"/>
  <c r="AJ160" i="12"/>
  <c r="AK160" i="12"/>
  <c r="AL160" i="12"/>
  <c r="AM160" i="12"/>
  <c r="AN160" i="12"/>
  <c r="AO160" i="12"/>
  <c r="AP160" i="12"/>
  <c r="AQ160" i="12"/>
  <c r="AR160" i="12"/>
  <c r="AS160" i="12"/>
  <c r="AT160" i="12"/>
  <c r="AU160" i="12"/>
  <c r="AV160" i="12"/>
  <c r="AW160" i="12"/>
  <c r="AX160" i="12"/>
  <c r="AY160" i="12"/>
  <c r="AZ160" i="12"/>
  <c r="BA160" i="12"/>
  <c r="BB160" i="12"/>
  <c r="BC160" i="12"/>
  <c r="BD160" i="12"/>
  <c r="BE160" i="12"/>
  <c r="BF160" i="12"/>
  <c r="BG160" i="12"/>
  <c r="BH160" i="12"/>
  <c r="BI160" i="12"/>
  <c r="BJ160" i="12"/>
  <c r="BK160" i="12"/>
  <c r="BL160" i="12"/>
  <c r="BM160" i="12"/>
  <c r="BN160" i="12"/>
  <c r="BO160" i="12"/>
  <c r="BP160" i="12"/>
  <c r="BQ160" i="12"/>
  <c r="BR160" i="12"/>
  <c r="BS160" i="12"/>
  <c r="BT160" i="12"/>
  <c r="BU160" i="12"/>
  <c r="BV160" i="12"/>
  <c r="BW160" i="12"/>
  <c r="BX160" i="12"/>
  <c r="BY160" i="12"/>
  <c r="BZ160" i="12"/>
  <c r="CA160" i="12"/>
  <c r="CB160" i="12"/>
  <c r="CC160" i="12"/>
  <c r="CD160" i="12"/>
  <c r="CE160" i="12"/>
  <c r="CF160" i="12"/>
  <c r="CG160" i="12"/>
  <c r="CH160" i="12"/>
  <c r="CI160" i="12"/>
  <c r="CJ160" i="12"/>
  <c r="CK160" i="12"/>
  <c r="CL160" i="12"/>
  <c r="CM160" i="12"/>
  <c r="CN160" i="12"/>
  <c r="CO160" i="12"/>
  <c r="CP160" i="12"/>
  <c r="CQ160" i="12"/>
  <c r="CR160" i="12"/>
  <c r="CS160" i="12"/>
  <c r="CT160" i="12"/>
  <c r="CU160" i="12"/>
  <c r="CV160" i="12"/>
  <c r="CW160" i="12"/>
  <c r="CX160" i="12"/>
  <c r="CY160" i="12"/>
  <c r="CZ160" i="12"/>
  <c r="DA160" i="12"/>
  <c r="DB160" i="12"/>
  <c r="DC160" i="12"/>
  <c r="DD160" i="12"/>
  <c r="DE160" i="12"/>
  <c r="DF160" i="12"/>
  <c r="DG160" i="12"/>
  <c r="DH160" i="12"/>
  <c r="DI160" i="12"/>
  <c r="DJ160" i="12"/>
  <c r="DK160" i="12"/>
  <c r="DL160" i="12"/>
  <c r="DM160" i="12"/>
  <c r="DN160" i="12"/>
  <c r="DO160" i="12"/>
  <c r="DP160" i="12"/>
  <c r="DQ160" i="12"/>
  <c r="DR160" i="12"/>
  <c r="DS160" i="12"/>
  <c r="DT160" i="12"/>
  <c r="DU160" i="12"/>
  <c r="O161" i="12"/>
  <c r="P161" i="12"/>
  <c r="Q161" i="12"/>
  <c r="R161" i="12"/>
  <c r="S161" i="12"/>
  <c r="T161" i="12"/>
  <c r="U161" i="12"/>
  <c r="V161" i="12"/>
  <c r="W161" i="12"/>
  <c r="X161" i="12"/>
  <c r="Y161" i="12"/>
  <c r="Z161" i="12"/>
  <c r="AA161" i="12"/>
  <c r="AB161" i="12"/>
  <c r="AC161" i="12"/>
  <c r="AD161" i="12"/>
  <c r="AE161" i="12"/>
  <c r="AF161" i="12"/>
  <c r="AG161" i="12"/>
  <c r="AH161" i="12"/>
  <c r="AI161" i="12"/>
  <c r="AJ161" i="12"/>
  <c r="AK161" i="12"/>
  <c r="AL161" i="12"/>
  <c r="AM161" i="12"/>
  <c r="AN161" i="12"/>
  <c r="AO161" i="12"/>
  <c r="AP161" i="12"/>
  <c r="AQ161" i="12"/>
  <c r="AR161" i="12"/>
  <c r="AS161" i="12"/>
  <c r="AT161" i="12"/>
  <c r="AU161" i="12"/>
  <c r="AV161" i="12"/>
  <c r="AW161" i="12"/>
  <c r="AX161" i="12"/>
  <c r="AY161" i="12"/>
  <c r="AZ161" i="12"/>
  <c r="BA161" i="12"/>
  <c r="BB161" i="12"/>
  <c r="BC161" i="12"/>
  <c r="BD161" i="12"/>
  <c r="BE161" i="12"/>
  <c r="BF161" i="12"/>
  <c r="BG161" i="12"/>
  <c r="BH161" i="12"/>
  <c r="BI161" i="12"/>
  <c r="BJ161" i="12"/>
  <c r="BK161" i="12"/>
  <c r="BL161" i="12"/>
  <c r="BM161" i="12"/>
  <c r="BN161" i="12"/>
  <c r="BO161" i="12"/>
  <c r="BP161" i="12"/>
  <c r="BQ161" i="12"/>
  <c r="BR161" i="12"/>
  <c r="BS161" i="12"/>
  <c r="BT161" i="12"/>
  <c r="BU161" i="12"/>
  <c r="BV161" i="12"/>
  <c r="BW161" i="12"/>
  <c r="BX161" i="12"/>
  <c r="BY161" i="12"/>
  <c r="BZ161" i="12"/>
  <c r="CA161" i="12"/>
  <c r="CB161" i="12"/>
  <c r="CC161" i="12"/>
  <c r="CD161" i="12"/>
  <c r="CE161" i="12"/>
  <c r="CF161" i="12"/>
  <c r="CG161" i="12"/>
  <c r="CH161" i="12"/>
  <c r="CI161" i="12"/>
  <c r="CJ161" i="12"/>
  <c r="CK161" i="12"/>
  <c r="CL161" i="12"/>
  <c r="CM161" i="12"/>
  <c r="CN161" i="12"/>
  <c r="CO161" i="12"/>
  <c r="CP161" i="12"/>
  <c r="CQ161" i="12"/>
  <c r="CR161" i="12"/>
  <c r="CS161" i="12"/>
  <c r="CT161" i="12"/>
  <c r="CU161" i="12"/>
  <c r="CV161" i="12"/>
  <c r="CW161" i="12"/>
  <c r="CX161" i="12"/>
  <c r="CY161" i="12"/>
  <c r="CZ161" i="12"/>
  <c r="DA161" i="12"/>
  <c r="DB161" i="12"/>
  <c r="DC161" i="12"/>
  <c r="DD161" i="12"/>
  <c r="DE161" i="12"/>
  <c r="DF161" i="12"/>
  <c r="DG161" i="12"/>
  <c r="DH161" i="12"/>
  <c r="DI161" i="12"/>
  <c r="DJ161" i="12"/>
  <c r="DK161" i="12"/>
  <c r="DL161" i="12"/>
  <c r="DM161" i="12"/>
  <c r="DN161" i="12"/>
  <c r="DO161" i="12"/>
  <c r="DP161" i="12"/>
  <c r="DQ161" i="12"/>
  <c r="DR161" i="12"/>
  <c r="DS161" i="12"/>
  <c r="DT161" i="12"/>
  <c r="DU161" i="12"/>
  <c r="O162" i="12"/>
  <c r="P162" i="12"/>
  <c r="Q162" i="12"/>
  <c r="R162" i="12"/>
  <c r="S162" i="12"/>
  <c r="T162" i="12"/>
  <c r="U162" i="12"/>
  <c r="V162" i="12"/>
  <c r="W162" i="12"/>
  <c r="X162" i="12"/>
  <c r="Y162" i="12"/>
  <c r="Z162" i="12"/>
  <c r="AA162" i="12"/>
  <c r="AB162" i="12"/>
  <c r="AC162" i="12"/>
  <c r="AD162" i="12"/>
  <c r="AE162" i="12"/>
  <c r="AF162" i="12"/>
  <c r="AG162" i="12"/>
  <c r="AH162" i="12"/>
  <c r="AI162" i="12"/>
  <c r="AJ162" i="12"/>
  <c r="AK162" i="12"/>
  <c r="AL162" i="12"/>
  <c r="AM162" i="12"/>
  <c r="AN162" i="12"/>
  <c r="AO162" i="12"/>
  <c r="AP162" i="12"/>
  <c r="AQ162" i="12"/>
  <c r="AR162" i="12"/>
  <c r="AS162" i="12"/>
  <c r="AT162" i="12"/>
  <c r="AU162" i="12"/>
  <c r="AV162" i="12"/>
  <c r="AW162" i="12"/>
  <c r="AX162" i="12"/>
  <c r="AY162" i="12"/>
  <c r="AZ162" i="12"/>
  <c r="BA162" i="12"/>
  <c r="BB162" i="12"/>
  <c r="BC162" i="12"/>
  <c r="BD162" i="12"/>
  <c r="BE162" i="12"/>
  <c r="BF162" i="12"/>
  <c r="BG162" i="12"/>
  <c r="BH162" i="12"/>
  <c r="BI162" i="12"/>
  <c r="BJ162" i="12"/>
  <c r="BK162" i="12"/>
  <c r="BL162" i="12"/>
  <c r="BM162" i="12"/>
  <c r="BN162" i="12"/>
  <c r="BO162" i="12"/>
  <c r="BP162" i="12"/>
  <c r="BQ162" i="12"/>
  <c r="BR162" i="12"/>
  <c r="BS162" i="12"/>
  <c r="BT162" i="12"/>
  <c r="BU162" i="12"/>
  <c r="BV162" i="12"/>
  <c r="BW162" i="12"/>
  <c r="BX162" i="12"/>
  <c r="BY162" i="12"/>
  <c r="BZ162" i="12"/>
  <c r="CA162" i="12"/>
  <c r="CB162" i="12"/>
  <c r="CC162" i="12"/>
  <c r="CD162" i="12"/>
  <c r="CE162" i="12"/>
  <c r="CF162" i="12"/>
  <c r="CG162" i="12"/>
  <c r="CH162" i="12"/>
  <c r="CI162" i="12"/>
  <c r="CJ162" i="12"/>
  <c r="CK162" i="12"/>
  <c r="CL162" i="12"/>
  <c r="CM162" i="12"/>
  <c r="CN162" i="12"/>
  <c r="CO162" i="12"/>
  <c r="CP162" i="12"/>
  <c r="CQ162" i="12"/>
  <c r="CR162" i="12"/>
  <c r="CS162" i="12"/>
  <c r="CT162" i="12"/>
  <c r="CU162" i="12"/>
  <c r="CV162" i="12"/>
  <c r="CW162" i="12"/>
  <c r="CX162" i="12"/>
  <c r="CY162" i="12"/>
  <c r="CZ162" i="12"/>
  <c r="DA162" i="12"/>
  <c r="DB162" i="12"/>
  <c r="DC162" i="12"/>
  <c r="DD162" i="12"/>
  <c r="DE162" i="12"/>
  <c r="DF162" i="12"/>
  <c r="DG162" i="12"/>
  <c r="DH162" i="12"/>
  <c r="DI162" i="12"/>
  <c r="DJ162" i="12"/>
  <c r="DK162" i="12"/>
  <c r="DL162" i="12"/>
  <c r="DM162" i="12"/>
  <c r="DN162" i="12"/>
  <c r="DO162" i="12"/>
  <c r="DP162" i="12"/>
  <c r="DQ162" i="12"/>
  <c r="DR162" i="12"/>
  <c r="DS162" i="12"/>
  <c r="DT162" i="12"/>
  <c r="DU162" i="12"/>
  <c r="O163" i="12"/>
  <c r="P163" i="12"/>
  <c r="Q163" i="12"/>
  <c r="R163" i="12"/>
  <c r="S163" i="12"/>
  <c r="T163" i="12"/>
  <c r="U163" i="12"/>
  <c r="V163" i="12"/>
  <c r="W163" i="12"/>
  <c r="X163" i="12"/>
  <c r="Y163" i="12"/>
  <c r="Z163" i="12"/>
  <c r="AA163" i="12"/>
  <c r="AB163" i="12"/>
  <c r="AC163" i="12"/>
  <c r="AD163" i="12"/>
  <c r="AE163" i="12"/>
  <c r="AF163" i="12"/>
  <c r="AG163" i="12"/>
  <c r="AH163" i="12"/>
  <c r="AI163" i="12"/>
  <c r="AJ163" i="12"/>
  <c r="AK163" i="12"/>
  <c r="AL163" i="12"/>
  <c r="AM163" i="12"/>
  <c r="AN163" i="12"/>
  <c r="AO163" i="12"/>
  <c r="AP163" i="12"/>
  <c r="AQ163" i="12"/>
  <c r="AR163" i="12"/>
  <c r="AS163" i="12"/>
  <c r="AT163" i="12"/>
  <c r="AU163" i="12"/>
  <c r="AV163" i="12"/>
  <c r="AW163" i="12"/>
  <c r="AX163" i="12"/>
  <c r="AY163" i="12"/>
  <c r="AZ163" i="12"/>
  <c r="BA163" i="12"/>
  <c r="BB163" i="12"/>
  <c r="BC163" i="12"/>
  <c r="BD163" i="12"/>
  <c r="BE163" i="12"/>
  <c r="BF163" i="12"/>
  <c r="BG163" i="12"/>
  <c r="BH163" i="12"/>
  <c r="BI163" i="12"/>
  <c r="BJ163" i="12"/>
  <c r="BK163" i="12"/>
  <c r="BL163" i="12"/>
  <c r="BM163" i="12"/>
  <c r="BN163" i="12"/>
  <c r="BO163" i="12"/>
  <c r="BP163" i="12"/>
  <c r="BQ163" i="12"/>
  <c r="BR163" i="12"/>
  <c r="BS163" i="12"/>
  <c r="BT163" i="12"/>
  <c r="BU163" i="12"/>
  <c r="BV163" i="12"/>
  <c r="BW163" i="12"/>
  <c r="BX163" i="12"/>
  <c r="BY163" i="12"/>
  <c r="BZ163" i="12"/>
  <c r="CA163" i="12"/>
  <c r="CB163" i="12"/>
  <c r="CC163" i="12"/>
  <c r="CD163" i="12"/>
  <c r="CE163" i="12"/>
  <c r="CF163" i="12"/>
  <c r="CG163" i="12"/>
  <c r="CH163" i="12"/>
  <c r="CI163" i="12"/>
  <c r="CJ163" i="12"/>
  <c r="CK163" i="12"/>
  <c r="CL163" i="12"/>
  <c r="CM163" i="12"/>
  <c r="CN163" i="12"/>
  <c r="CO163" i="12"/>
  <c r="CP163" i="12"/>
  <c r="CQ163" i="12"/>
  <c r="CR163" i="12"/>
  <c r="CS163" i="12"/>
  <c r="CT163" i="12"/>
  <c r="CU163" i="12"/>
  <c r="CV163" i="12"/>
  <c r="CW163" i="12"/>
  <c r="CX163" i="12"/>
  <c r="CY163" i="12"/>
  <c r="CZ163" i="12"/>
  <c r="DA163" i="12"/>
  <c r="DB163" i="12"/>
  <c r="DC163" i="12"/>
  <c r="DD163" i="12"/>
  <c r="DE163" i="12"/>
  <c r="DF163" i="12"/>
  <c r="DG163" i="12"/>
  <c r="DH163" i="12"/>
  <c r="DI163" i="12"/>
  <c r="DJ163" i="12"/>
  <c r="DK163" i="12"/>
  <c r="DL163" i="12"/>
  <c r="DM163" i="12"/>
  <c r="DN163" i="12"/>
  <c r="DO163" i="12"/>
  <c r="DP163" i="12"/>
  <c r="DQ163" i="12"/>
  <c r="DR163" i="12"/>
  <c r="DS163" i="12"/>
  <c r="DT163" i="12"/>
  <c r="DU163" i="12"/>
  <c r="O164" i="12"/>
  <c r="P164" i="12"/>
  <c r="Q164" i="12"/>
  <c r="R164" i="12"/>
  <c r="S164" i="12"/>
  <c r="T164" i="12"/>
  <c r="U164" i="12"/>
  <c r="V164" i="12"/>
  <c r="W164" i="12"/>
  <c r="X164" i="12"/>
  <c r="Y164" i="12"/>
  <c r="Z164" i="12"/>
  <c r="AA164" i="12"/>
  <c r="AB164" i="12"/>
  <c r="AC164" i="12"/>
  <c r="AD164" i="12"/>
  <c r="AE164" i="12"/>
  <c r="AF164" i="12"/>
  <c r="AG164" i="12"/>
  <c r="AH164" i="12"/>
  <c r="AI164" i="12"/>
  <c r="AJ164" i="12"/>
  <c r="AK164" i="12"/>
  <c r="AL164" i="12"/>
  <c r="AM164" i="12"/>
  <c r="AN164" i="12"/>
  <c r="AO164" i="12"/>
  <c r="AP164" i="12"/>
  <c r="AQ164" i="12"/>
  <c r="AR164" i="12"/>
  <c r="AS164" i="12"/>
  <c r="AT164" i="12"/>
  <c r="AU164" i="12"/>
  <c r="AV164" i="12"/>
  <c r="AW164" i="12"/>
  <c r="AX164" i="12"/>
  <c r="AY164" i="12"/>
  <c r="AZ164" i="12"/>
  <c r="BA164" i="12"/>
  <c r="BB164" i="12"/>
  <c r="BC164" i="12"/>
  <c r="BD164" i="12"/>
  <c r="BE164" i="12"/>
  <c r="BF164" i="12"/>
  <c r="BG164" i="12"/>
  <c r="BH164" i="12"/>
  <c r="BI164" i="12"/>
  <c r="BJ164" i="12"/>
  <c r="BK164" i="12"/>
  <c r="BL164" i="12"/>
  <c r="BM164" i="12"/>
  <c r="BN164" i="12"/>
  <c r="BO164" i="12"/>
  <c r="BP164" i="12"/>
  <c r="BQ164" i="12"/>
  <c r="BR164" i="12"/>
  <c r="BS164" i="12"/>
  <c r="BT164" i="12"/>
  <c r="BU164" i="12"/>
  <c r="BV164" i="12"/>
  <c r="BW164" i="12"/>
  <c r="BX164" i="12"/>
  <c r="BY164" i="12"/>
  <c r="BZ164" i="12"/>
  <c r="CA164" i="12"/>
  <c r="CB164" i="12"/>
  <c r="CC164" i="12"/>
  <c r="CD164" i="12"/>
  <c r="CE164" i="12"/>
  <c r="CF164" i="12"/>
  <c r="CG164" i="12"/>
  <c r="CH164" i="12"/>
  <c r="CI164" i="12"/>
  <c r="CJ164" i="12"/>
  <c r="CK164" i="12"/>
  <c r="CL164" i="12"/>
  <c r="CM164" i="12"/>
  <c r="CN164" i="12"/>
  <c r="CO164" i="12"/>
  <c r="CP164" i="12"/>
  <c r="CQ164" i="12"/>
  <c r="CR164" i="12"/>
  <c r="CS164" i="12"/>
  <c r="CT164" i="12"/>
  <c r="CU164" i="12"/>
  <c r="CV164" i="12"/>
  <c r="CW164" i="12"/>
  <c r="CX164" i="12"/>
  <c r="CY164" i="12"/>
  <c r="CZ164" i="12"/>
  <c r="DA164" i="12"/>
  <c r="DB164" i="12"/>
  <c r="DC164" i="12"/>
  <c r="DD164" i="12"/>
  <c r="DE164" i="12"/>
  <c r="DF164" i="12"/>
  <c r="DG164" i="12"/>
  <c r="DH164" i="12"/>
  <c r="DI164" i="12"/>
  <c r="DJ164" i="12"/>
  <c r="DK164" i="12"/>
  <c r="DL164" i="12"/>
  <c r="DM164" i="12"/>
  <c r="DN164" i="12"/>
  <c r="DO164" i="12"/>
  <c r="DP164" i="12"/>
  <c r="DQ164" i="12"/>
  <c r="DR164" i="12"/>
  <c r="DS164" i="12"/>
  <c r="DT164" i="12"/>
  <c r="DU164" i="12"/>
  <c r="O165" i="12"/>
  <c r="P165" i="12"/>
  <c r="Q165" i="12"/>
  <c r="R165" i="12"/>
  <c r="S165" i="12"/>
  <c r="T165" i="12"/>
  <c r="U165" i="12"/>
  <c r="V165" i="12"/>
  <c r="W165" i="12"/>
  <c r="X165" i="12"/>
  <c r="Y165" i="12"/>
  <c r="Z165" i="12"/>
  <c r="AA165" i="12"/>
  <c r="AB165" i="12"/>
  <c r="AC165" i="12"/>
  <c r="AD165" i="12"/>
  <c r="AE165" i="12"/>
  <c r="AF165" i="12"/>
  <c r="AG165" i="12"/>
  <c r="AH165" i="12"/>
  <c r="AI165" i="12"/>
  <c r="AJ165" i="12"/>
  <c r="AK165" i="12"/>
  <c r="AL165" i="12"/>
  <c r="AM165" i="12"/>
  <c r="AN165" i="12"/>
  <c r="AO165" i="12"/>
  <c r="AP165" i="12"/>
  <c r="AQ165" i="12"/>
  <c r="AR165" i="12"/>
  <c r="AS165" i="12"/>
  <c r="AT165" i="12"/>
  <c r="AU165" i="12"/>
  <c r="AV165" i="12"/>
  <c r="AW165" i="12"/>
  <c r="AX165" i="12"/>
  <c r="AY165" i="12"/>
  <c r="AZ165" i="12"/>
  <c r="BA165" i="12"/>
  <c r="BB165" i="12"/>
  <c r="BC165" i="12"/>
  <c r="BD165" i="12"/>
  <c r="BE165" i="12"/>
  <c r="BF165" i="12"/>
  <c r="BG165" i="12"/>
  <c r="BH165" i="12"/>
  <c r="BI165" i="12"/>
  <c r="BJ165" i="12"/>
  <c r="BK165" i="12"/>
  <c r="BL165" i="12"/>
  <c r="BM165" i="12"/>
  <c r="BN165" i="12"/>
  <c r="BO165" i="12"/>
  <c r="BP165" i="12"/>
  <c r="BQ165" i="12"/>
  <c r="BR165" i="12"/>
  <c r="BS165" i="12"/>
  <c r="BT165" i="12"/>
  <c r="BU165" i="12"/>
  <c r="BV165" i="12"/>
  <c r="BW165" i="12"/>
  <c r="BX165" i="12"/>
  <c r="BY165" i="12"/>
  <c r="BZ165" i="12"/>
  <c r="CA165" i="12"/>
  <c r="CB165" i="12"/>
  <c r="CC165" i="12"/>
  <c r="CD165" i="12"/>
  <c r="CE165" i="12"/>
  <c r="CF165" i="12"/>
  <c r="CG165" i="12"/>
  <c r="CH165" i="12"/>
  <c r="CI165" i="12"/>
  <c r="CJ165" i="12"/>
  <c r="CK165" i="12"/>
  <c r="CL165" i="12"/>
  <c r="CM165" i="12"/>
  <c r="CN165" i="12"/>
  <c r="CO165" i="12"/>
  <c r="CP165" i="12"/>
  <c r="CQ165" i="12"/>
  <c r="CR165" i="12"/>
  <c r="CS165" i="12"/>
  <c r="CT165" i="12"/>
  <c r="CU165" i="12"/>
  <c r="CV165" i="12"/>
  <c r="CW165" i="12"/>
  <c r="CX165" i="12"/>
  <c r="CY165" i="12"/>
  <c r="CZ165" i="12"/>
  <c r="DA165" i="12"/>
  <c r="DB165" i="12"/>
  <c r="DC165" i="12"/>
  <c r="DD165" i="12"/>
  <c r="DE165" i="12"/>
  <c r="DF165" i="12"/>
  <c r="DG165" i="12"/>
  <c r="DH165" i="12"/>
  <c r="DI165" i="12"/>
  <c r="DJ165" i="12"/>
  <c r="DK165" i="12"/>
  <c r="DL165" i="12"/>
  <c r="DM165" i="12"/>
  <c r="DN165" i="12"/>
  <c r="DO165" i="12"/>
  <c r="DP165" i="12"/>
  <c r="DQ165" i="12"/>
  <c r="DR165" i="12"/>
  <c r="DS165" i="12"/>
  <c r="DT165" i="12"/>
  <c r="DU165" i="12"/>
  <c r="O166" i="12"/>
  <c r="P166" i="12"/>
  <c r="Q166" i="12"/>
  <c r="R166" i="12"/>
  <c r="S166" i="12"/>
  <c r="T166" i="12"/>
  <c r="U166" i="12"/>
  <c r="V166" i="12"/>
  <c r="W166" i="12"/>
  <c r="X166" i="12"/>
  <c r="Y166" i="12"/>
  <c r="Z166" i="12"/>
  <c r="AA166" i="12"/>
  <c r="AB166" i="12"/>
  <c r="AC166" i="12"/>
  <c r="AD166" i="12"/>
  <c r="AE166" i="12"/>
  <c r="AF166" i="12"/>
  <c r="AG166" i="12"/>
  <c r="AH166" i="12"/>
  <c r="AI166" i="12"/>
  <c r="AJ166" i="12"/>
  <c r="AK166" i="12"/>
  <c r="AL166" i="12"/>
  <c r="AM166" i="12"/>
  <c r="AN166" i="12"/>
  <c r="AO166" i="12"/>
  <c r="AP166" i="12"/>
  <c r="AQ166" i="12"/>
  <c r="AR166" i="12"/>
  <c r="AS166" i="12"/>
  <c r="AT166" i="12"/>
  <c r="AU166" i="12"/>
  <c r="AV166" i="12"/>
  <c r="AW166" i="12"/>
  <c r="AX166" i="12"/>
  <c r="AY166" i="12"/>
  <c r="AZ166" i="12"/>
  <c r="BA166" i="12"/>
  <c r="BB166" i="12"/>
  <c r="BC166" i="12"/>
  <c r="BD166" i="12"/>
  <c r="BE166" i="12"/>
  <c r="BF166" i="12"/>
  <c r="BG166" i="12"/>
  <c r="BH166" i="12"/>
  <c r="BI166" i="12"/>
  <c r="BJ166" i="12"/>
  <c r="BK166" i="12"/>
  <c r="BL166" i="12"/>
  <c r="BM166" i="12"/>
  <c r="BN166" i="12"/>
  <c r="BO166" i="12"/>
  <c r="BP166" i="12"/>
  <c r="BQ166" i="12"/>
  <c r="BR166" i="12"/>
  <c r="BS166" i="12"/>
  <c r="BT166" i="12"/>
  <c r="BU166" i="12"/>
  <c r="BV166" i="12"/>
  <c r="BW166" i="12"/>
  <c r="BX166" i="12"/>
  <c r="BY166" i="12"/>
  <c r="BZ166" i="12"/>
  <c r="CA166" i="12"/>
  <c r="CB166" i="12"/>
  <c r="CC166" i="12"/>
  <c r="CD166" i="12"/>
  <c r="CE166" i="12"/>
  <c r="CF166" i="12"/>
  <c r="CG166" i="12"/>
  <c r="CH166" i="12"/>
  <c r="CI166" i="12"/>
  <c r="CJ166" i="12"/>
  <c r="CK166" i="12"/>
  <c r="CL166" i="12"/>
  <c r="CM166" i="12"/>
  <c r="CN166" i="12"/>
  <c r="CO166" i="12"/>
  <c r="CP166" i="12"/>
  <c r="CQ166" i="12"/>
  <c r="CR166" i="12"/>
  <c r="CS166" i="12"/>
  <c r="CT166" i="12"/>
  <c r="CU166" i="12"/>
  <c r="CV166" i="12"/>
  <c r="CW166" i="12"/>
  <c r="CX166" i="12"/>
  <c r="CY166" i="12"/>
  <c r="CZ166" i="12"/>
  <c r="DA166" i="12"/>
  <c r="DB166" i="12"/>
  <c r="DC166" i="12"/>
  <c r="DD166" i="12"/>
  <c r="DE166" i="12"/>
  <c r="DF166" i="12"/>
  <c r="DG166" i="12"/>
  <c r="DH166" i="12"/>
  <c r="DI166" i="12"/>
  <c r="DJ166" i="12"/>
  <c r="DK166" i="12"/>
  <c r="DL166" i="12"/>
  <c r="DM166" i="12"/>
  <c r="DN166" i="12"/>
  <c r="DO166" i="12"/>
  <c r="DP166" i="12"/>
  <c r="DQ166" i="12"/>
  <c r="DR166" i="12"/>
  <c r="DS166" i="12"/>
  <c r="DT166" i="12"/>
  <c r="DU166" i="12"/>
  <c r="O167" i="12"/>
  <c r="P167" i="12"/>
  <c r="Q167" i="12"/>
  <c r="R167" i="12"/>
  <c r="S167" i="12"/>
  <c r="T167" i="12"/>
  <c r="U167" i="12"/>
  <c r="V167" i="12"/>
  <c r="W167" i="12"/>
  <c r="X167" i="12"/>
  <c r="Y167" i="12"/>
  <c r="Z167" i="12"/>
  <c r="AA167" i="12"/>
  <c r="AB167" i="12"/>
  <c r="AC167" i="12"/>
  <c r="AD167" i="12"/>
  <c r="AE167" i="12"/>
  <c r="AF167" i="12"/>
  <c r="AG167" i="12"/>
  <c r="AH167" i="12"/>
  <c r="AI167" i="12"/>
  <c r="AJ167" i="12"/>
  <c r="AK167" i="12"/>
  <c r="AL167" i="12"/>
  <c r="AM167" i="12"/>
  <c r="AN167" i="12"/>
  <c r="AO167" i="12"/>
  <c r="AP167" i="12"/>
  <c r="AQ167" i="12"/>
  <c r="AR167" i="12"/>
  <c r="AS167" i="12"/>
  <c r="AT167" i="12"/>
  <c r="AU167" i="12"/>
  <c r="AV167" i="12"/>
  <c r="AW167" i="12"/>
  <c r="AX167" i="12"/>
  <c r="AY167" i="12"/>
  <c r="AZ167" i="12"/>
  <c r="BA167" i="12"/>
  <c r="BB167" i="12"/>
  <c r="BC167" i="12"/>
  <c r="BD167" i="12"/>
  <c r="BE167" i="12"/>
  <c r="BF167" i="12"/>
  <c r="BG167" i="12"/>
  <c r="BH167" i="12"/>
  <c r="BI167" i="12"/>
  <c r="BJ167" i="12"/>
  <c r="BK167" i="12"/>
  <c r="BL167" i="12"/>
  <c r="BM167" i="12"/>
  <c r="BN167" i="12"/>
  <c r="BO167" i="12"/>
  <c r="BP167" i="12"/>
  <c r="BQ167" i="12"/>
  <c r="BR167" i="12"/>
  <c r="BS167" i="12"/>
  <c r="BT167" i="12"/>
  <c r="BU167" i="12"/>
  <c r="BV167" i="12"/>
  <c r="BW167" i="12"/>
  <c r="BX167" i="12"/>
  <c r="BY167" i="12"/>
  <c r="BZ167" i="12"/>
  <c r="CA167" i="12"/>
  <c r="CB167" i="12"/>
  <c r="CC167" i="12"/>
  <c r="CD167" i="12"/>
  <c r="CE167" i="12"/>
  <c r="CF167" i="12"/>
  <c r="CG167" i="12"/>
  <c r="CH167" i="12"/>
  <c r="CI167" i="12"/>
  <c r="CJ167" i="12"/>
  <c r="CK167" i="12"/>
  <c r="CL167" i="12"/>
  <c r="CM167" i="12"/>
  <c r="CN167" i="12"/>
  <c r="CO167" i="12"/>
  <c r="CP167" i="12"/>
  <c r="CQ167" i="12"/>
  <c r="CR167" i="12"/>
  <c r="CS167" i="12"/>
  <c r="CT167" i="12"/>
  <c r="CU167" i="12"/>
  <c r="CV167" i="12"/>
  <c r="CW167" i="12"/>
  <c r="CX167" i="12"/>
  <c r="CY167" i="12"/>
  <c r="CZ167" i="12"/>
  <c r="DA167" i="12"/>
  <c r="DB167" i="12"/>
  <c r="DC167" i="12"/>
  <c r="DD167" i="12"/>
  <c r="DE167" i="12"/>
  <c r="DF167" i="12"/>
  <c r="DG167" i="12"/>
  <c r="DH167" i="12"/>
  <c r="DI167" i="12"/>
  <c r="DJ167" i="12"/>
  <c r="DK167" i="12"/>
  <c r="DL167" i="12"/>
  <c r="DM167" i="12"/>
  <c r="DN167" i="12"/>
  <c r="DO167" i="12"/>
  <c r="DP167" i="12"/>
  <c r="DQ167" i="12"/>
  <c r="DR167" i="12"/>
  <c r="DS167" i="12"/>
  <c r="DT167" i="12"/>
  <c r="DU167" i="12"/>
  <c r="O168" i="12"/>
  <c r="P168" i="12"/>
  <c r="Q168" i="12"/>
  <c r="R168" i="12"/>
  <c r="S168" i="12"/>
  <c r="T168" i="12"/>
  <c r="U168" i="12"/>
  <c r="V168" i="12"/>
  <c r="W168" i="12"/>
  <c r="X168" i="12"/>
  <c r="Y168" i="12"/>
  <c r="Z168" i="12"/>
  <c r="AA168" i="12"/>
  <c r="AB168" i="12"/>
  <c r="AC168" i="12"/>
  <c r="AD168" i="12"/>
  <c r="AE168" i="12"/>
  <c r="AF168" i="12"/>
  <c r="AG168" i="12"/>
  <c r="AH168" i="12"/>
  <c r="AI168" i="12"/>
  <c r="AJ168" i="12"/>
  <c r="AK168" i="12"/>
  <c r="AL168" i="12"/>
  <c r="AM168" i="12"/>
  <c r="AN168" i="12"/>
  <c r="AO168" i="12"/>
  <c r="AP168" i="12"/>
  <c r="AQ168" i="12"/>
  <c r="AR168" i="12"/>
  <c r="AS168" i="12"/>
  <c r="AT168" i="12"/>
  <c r="AU168" i="12"/>
  <c r="AV168" i="12"/>
  <c r="AW168" i="12"/>
  <c r="AX168" i="12"/>
  <c r="AY168" i="12"/>
  <c r="AZ168" i="12"/>
  <c r="BA168" i="12"/>
  <c r="BB168" i="12"/>
  <c r="BC168" i="12"/>
  <c r="BD168" i="12"/>
  <c r="BE168" i="12"/>
  <c r="BF168" i="12"/>
  <c r="BG168" i="12"/>
  <c r="BH168" i="12"/>
  <c r="BI168" i="12"/>
  <c r="BJ168" i="12"/>
  <c r="BK168" i="12"/>
  <c r="BL168" i="12"/>
  <c r="BM168" i="12"/>
  <c r="BN168" i="12"/>
  <c r="BO168" i="12"/>
  <c r="BP168" i="12"/>
  <c r="BQ168" i="12"/>
  <c r="BR168" i="12"/>
  <c r="BS168" i="12"/>
  <c r="BT168" i="12"/>
  <c r="BU168" i="12"/>
  <c r="BV168" i="12"/>
  <c r="BW168" i="12"/>
  <c r="BX168" i="12"/>
  <c r="BY168" i="12"/>
  <c r="BZ168" i="12"/>
  <c r="CA168" i="12"/>
  <c r="CB168" i="12"/>
  <c r="CC168" i="12"/>
  <c r="CD168" i="12"/>
  <c r="CE168" i="12"/>
  <c r="CF168" i="12"/>
  <c r="CG168" i="12"/>
  <c r="CH168" i="12"/>
  <c r="CI168" i="12"/>
  <c r="CJ168" i="12"/>
  <c r="CK168" i="12"/>
  <c r="CL168" i="12"/>
  <c r="CM168" i="12"/>
  <c r="CN168" i="12"/>
  <c r="CO168" i="12"/>
  <c r="CP168" i="12"/>
  <c r="CQ168" i="12"/>
  <c r="CR168" i="12"/>
  <c r="CS168" i="12"/>
  <c r="CT168" i="12"/>
  <c r="CU168" i="12"/>
  <c r="CV168" i="12"/>
  <c r="CW168" i="12"/>
  <c r="CX168" i="12"/>
  <c r="CY168" i="12"/>
  <c r="CZ168" i="12"/>
  <c r="DA168" i="12"/>
  <c r="DB168" i="12"/>
  <c r="DC168" i="12"/>
  <c r="DD168" i="12"/>
  <c r="DE168" i="12"/>
  <c r="DF168" i="12"/>
  <c r="DG168" i="12"/>
  <c r="DH168" i="12"/>
  <c r="DI168" i="12"/>
  <c r="DJ168" i="12"/>
  <c r="DK168" i="12"/>
  <c r="DL168" i="12"/>
  <c r="DM168" i="12"/>
  <c r="DN168" i="12"/>
  <c r="DO168" i="12"/>
  <c r="DP168" i="12"/>
  <c r="DQ168" i="12"/>
  <c r="DR168" i="12"/>
  <c r="DS168" i="12"/>
  <c r="DT168" i="12"/>
  <c r="DU168" i="12"/>
  <c r="O169" i="12"/>
  <c r="P169" i="12"/>
  <c r="Q169" i="12"/>
  <c r="R169" i="12"/>
  <c r="S169" i="12"/>
  <c r="T169" i="12"/>
  <c r="U169" i="12"/>
  <c r="V169" i="12"/>
  <c r="W169" i="12"/>
  <c r="X169" i="12"/>
  <c r="Y169" i="12"/>
  <c r="Z169" i="12"/>
  <c r="AA169" i="12"/>
  <c r="AB169" i="12"/>
  <c r="AC169" i="12"/>
  <c r="AD169" i="12"/>
  <c r="AE169" i="12"/>
  <c r="AF169" i="12"/>
  <c r="AG169" i="12"/>
  <c r="AH169" i="12"/>
  <c r="AI169" i="12"/>
  <c r="AJ169" i="12"/>
  <c r="AK169" i="12"/>
  <c r="AL169" i="12"/>
  <c r="AM169" i="12"/>
  <c r="AN169" i="12"/>
  <c r="AO169" i="12"/>
  <c r="AP169" i="12"/>
  <c r="AQ169" i="12"/>
  <c r="AR169" i="12"/>
  <c r="AS169" i="12"/>
  <c r="AT169" i="12"/>
  <c r="AU169" i="12"/>
  <c r="AV169" i="12"/>
  <c r="AW169" i="12"/>
  <c r="AX169" i="12"/>
  <c r="AY169" i="12"/>
  <c r="AZ169" i="12"/>
  <c r="BA169" i="12"/>
  <c r="BB169" i="12"/>
  <c r="BC169" i="12"/>
  <c r="BD169" i="12"/>
  <c r="BE169" i="12"/>
  <c r="BF169" i="12"/>
  <c r="BG169" i="12"/>
  <c r="BH169" i="12"/>
  <c r="BI169" i="12"/>
  <c r="BJ169" i="12"/>
  <c r="BK169" i="12"/>
  <c r="BL169" i="12"/>
  <c r="BM169" i="12"/>
  <c r="BN169" i="12"/>
  <c r="BO169" i="12"/>
  <c r="BP169" i="12"/>
  <c r="BQ169" i="12"/>
  <c r="BR169" i="12"/>
  <c r="BS169" i="12"/>
  <c r="BT169" i="12"/>
  <c r="BU169" i="12"/>
  <c r="BV169" i="12"/>
  <c r="BW169" i="12"/>
  <c r="BX169" i="12"/>
  <c r="BY169" i="12"/>
  <c r="BZ169" i="12"/>
  <c r="CA169" i="12"/>
  <c r="CB169" i="12"/>
  <c r="CC169" i="12"/>
  <c r="CD169" i="12"/>
  <c r="CE169" i="12"/>
  <c r="CF169" i="12"/>
  <c r="CG169" i="12"/>
  <c r="CH169" i="12"/>
  <c r="CI169" i="12"/>
  <c r="CJ169" i="12"/>
  <c r="CK169" i="12"/>
  <c r="CL169" i="12"/>
  <c r="CM169" i="12"/>
  <c r="CN169" i="12"/>
  <c r="CO169" i="12"/>
  <c r="CP169" i="12"/>
  <c r="CQ169" i="12"/>
  <c r="CR169" i="12"/>
  <c r="CS169" i="12"/>
  <c r="CT169" i="12"/>
  <c r="CU169" i="12"/>
  <c r="CV169" i="12"/>
  <c r="CW169" i="12"/>
  <c r="CX169" i="12"/>
  <c r="CY169" i="12"/>
  <c r="CZ169" i="12"/>
  <c r="DA169" i="12"/>
  <c r="DB169" i="12"/>
  <c r="DC169" i="12"/>
  <c r="DD169" i="12"/>
  <c r="DE169" i="12"/>
  <c r="DF169" i="12"/>
  <c r="DG169" i="12"/>
  <c r="DH169" i="12"/>
  <c r="DI169" i="12"/>
  <c r="DJ169" i="12"/>
  <c r="DK169" i="12"/>
  <c r="DL169" i="12"/>
  <c r="DM169" i="12"/>
  <c r="DN169" i="12"/>
  <c r="DO169" i="12"/>
  <c r="DP169" i="12"/>
  <c r="DQ169" i="12"/>
  <c r="DR169" i="12"/>
  <c r="DS169" i="12"/>
  <c r="DT169" i="12"/>
  <c r="DU169" i="12"/>
  <c r="O170" i="12"/>
  <c r="P170" i="12"/>
  <c r="Q170" i="12"/>
  <c r="R170" i="12"/>
  <c r="S170" i="12"/>
  <c r="T170" i="12"/>
  <c r="U170" i="12"/>
  <c r="V170" i="12"/>
  <c r="W170" i="12"/>
  <c r="X170" i="12"/>
  <c r="Y170" i="12"/>
  <c r="Z170" i="12"/>
  <c r="AA170" i="12"/>
  <c r="AB170" i="12"/>
  <c r="AC170" i="12"/>
  <c r="AD170" i="12"/>
  <c r="AE170" i="12"/>
  <c r="AF170" i="12"/>
  <c r="AG170" i="12"/>
  <c r="AH170" i="12"/>
  <c r="AI170" i="12"/>
  <c r="AJ170" i="12"/>
  <c r="AK170" i="12"/>
  <c r="AL170" i="12"/>
  <c r="AM170" i="12"/>
  <c r="AN170" i="12"/>
  <c r="AO170" i="12"/>
  <c r="AP170" i="12"/>
  <c r="AQ170" i="12"/>
  <c r="AR170" i="12"/>
  <c r="AS170" i="12"/>
  <c r="AT170" i="12"/>
  <c r="AU170" i="12"/>
  <c r="AV170" i="12"/>
  <c r="AW170" i="12"/>
  <c r="AX170" i="12"/>
  <c r="AY170" i="12"/>
  <c r="AZ170" i="12"/>
  <c r="BA170" i="12"/>
  <c r="BB170" i="12"/>
  <c r="BC170" i="12"/>
  <c r="BD170" i="12"/>
  <c r="BE170" i="12"/>
  <c r="BF170" i="12"/>
  <c r="BG170" i="12"/>
  <c r="BH170" i="12"/>
  <c r="BI170" i="12"/>
  <c r="BJ170" i="12"/>
  <c r="BK170" i="12"/>
  <c r="BL170" i="12"/>
  <c r="BM170" i="12"/>
  <c r="BN170" i="12"/>
  <c r="BO170" i="12"/>
  <c r="BP170" i="12"/>
  <c r="BQ170" i="12"/>
  <c r="BR170" i="12"/>
  <c r="BS170" i="12"/>
  <c r="BT170" i="12"/>
  <c r="BU170" i="12"/>
  <c r="BV170" i="12"/>
  <c r="BW170" i="12"/>
  <c r="BX170" i="12"/>
  <c r="BY170" i="12"/>
  <c r="BZ170" i="12"/>
  <c r="CA170" i="12"/>
  <c r="CB170" i="12"/>
  <c r="CC170" i="12"/>
  <c r="CD170" i="12"/>
  <c r="CE170" i="12"/>
  <c r="CF170" i="12"/>
  <c r="CG170" i="12"/>
  <c r="CH170" i="12"/>
  <c r="CI170" i="12"/>
  <c r="CJ170" i="12"/>
  <c r="CK170" i="12"/>
  <c r="CL170" i="12"/>
  <c r="CM170" i="12"/>
  <c r="CN170" i="12"/>
  <c r="CO170" i="12"/>
  <c r="CP170" i="12"/>
  <c r="CQ170" i="12"/>
  <c r="CR170" i="12"/>
  <c r="CS170" i="12"/>
  <c r="CT170" i="12"/>
  <c r="CU170" i="12"/>
  <c r="CV170" i="12"/>
  <c r="CW170" i="12"/>
  <c r="CX170" i="12"/>
  <c r="CY170" i="12"/>
  <c r="CZ170" i="12"/>
  <c r="DA170" i="12"/>
  <c r="DB170" i="12"/>
  <c r="DC170" i="12"/>
  <c r="DD170" i="12"/>
  <c r="DE170" i="12"/>
  <c r="DF170" i="12"/>
  <c r="DG170" i="12"/>
  <c r="DH170" i="12"/>
  <c r="DI170" i="12"/>
  <c r="DJ170" i="12"/>
  <c r="DK170" i="12"/>
  <c r="DL170" i="12"/>
  <c r="DM170" i="12"/>
  <c r="DN170" i="12"/>
  <c r="DO170" i="12"/>
  <c r="DP170" i="12"/>
  <c r="DQ170" i="12"/>
  <c r="DR170" i="12"/>
  <c r="DS170" i="12"/>
  <c r="DT170" i="12"/>
  <c r="DU170" i="12"/>
  <c r="O171" i="12"/>
  <c r="P171" i="12"/>
  <c r="Q171" i="12"/>
  <c r="R171" i="12"/>
  <c r="S171" i="12"/>
  <c r="T171" i="12"/>
  <c r="U171" i="12"/>
  <c r="V171" i="12"/>
  <c r="W171" i="12"/>
  <c r="X171" i="12"/>
  <c r="Y171" i="12"/>
  <c r="Z171" i="12"/>
  <c r="AA171" i="12"/>
  <c r="AB171" i="12"/>
  <c r="AC171" i="12"/>
  <c r="AD171" i="12"/>
  <c r="AE171" i="12"/>
  <c r="AF171" i="12"/>
  <c r="AG171" i="12"/>
  <c r="AH171" i="12"/>
  <c r="AI171" i="12"/>
  <c r="AJ171" i="12"/>
  <c r="AK171" i="12"/>
  <c r="AL171" i="12"/>
  <c r="AM171" i="12"/>
  <c r="AN171" i="12"/>
  <c r="AO171" i="12"/>
  <c r="AP171" i="12"/>
  <c r="AQ171" i="12"/>
  <c r="AR171" i="12"/>
  <c r="AS171" i="12"/>
  <c r="AT171" i="12"/>
  <c r="AU171" i="12"/>
  <c r="AV171" i="12"/>
  <c r="AW171" i="12"/>
  <c r="AX171" i="12"/>
  <c r="AY171" i="12"/>
  <c r="AZ171" i="12"/>
  <c r="BA171" i="12"/>
  <c r="BB171" i="12"/>
  <c r="BC171" i="12"/>
  <c r="BD171" i="12"/>
  <c r="BE171" i="12"/>
  <c r="BF171" i="12"/>
  <c r="BG171" i="12"/>
  <c r="BH171" i="12"/>
  <c r="BI171" i="12"/>
  <c r="BJ171" i="12"/>
  <c r="BK171" i="12"/>
  <c r="BL171" i="12"/>
  <c r="BM171" i="12"/>
  <c r="BN171" i="12"/>
  <c r="BO171" i="12"/>
  <c r="BP171" i="12"/>
  <c r="BQ171" i="12"/>
  <c r="BR171" i="12"/>
  <c r="BS171" i="12"/>
  <c r="BT171" i="12"/>
  <c r="BU171" i="12"/>
  <c r="BV171" i="12"/>
  <c r="BW171" i="12"/>
  <c r="BX171" i="12"/>
  <c r="BY171" i="12"/>
  <c r="BZ171" i="12"/>
  <c r="CA171" i="12"/>
  <c r="CB171" i="12"/>
  <c r="CC171" i="12"/>
  <c r="CD171" i="12"/>
  <c r="CE171" i="12"/>
  <c r="CF171" i="12"/>
  <c r="CG171" i="12"/>
  <c r="CH171" i="12"/>
  <c r="CI171" i="12"/>
  <c r="CJ171" i="12"/>
  <c r="CK171" i="12"/>
  <c r="CL171" i="12"/>
  <c r="CM171" i="12"/>
  <c r="CN171" i="12"/>
  <c r="CO171" i="12"/>
  <c r="CP171" i="12"/>
  <c r="CQ171" i="12"/>
  <c r="CR171" i="12"/>
  <c r="CS171" i="12"/>
  <c r="CT171" i="12"/>
  <c r="CU171" i="12"/>
  <c r="CV171" i="12"/>
  <c r="CW171" i="12"/>
  <c r="CX171" i="12"/>
  <c r="CY171" i="12"/>
  <c r="CZ171" i="12"/>
  <c r="DA171" i="12"/>
  <c r="DB171" i="12"/>
  <c r="DC171" i="12"/>
  <c r="DD171" i="12"/>
  <c r="DE171" i="12"/>
  <c r="DF171" i="12"/>
  <c r="DG171" i="12"/>
  <c r="DH171" i="12"/>
  <c r="DI171" i="12"/>
  <c r="DJ171" i="12"/>
  <c r="DK171" i="12"/>
  <c r="DL171" i="12"/>
  <c r="DM171" i="12"/>
  <c r="DN171" i="12"/>
  <c r="DO171" i="12"/>
  <c r="DP171" i="12"/>
  <c r="DQ171" i="12"/>
  <c r="DR171" i="12"/>
  <c r="DS171" i="12"/>
  <c r="DT171" i="12"/>
  <c r="DU171" i="12"/>
  <c r="O172" i="12"/>
  <c r="P172" i="12"/>
  <c r="Q172" i="12"/>
  <c r="R172" i="12"/>
  <c r="S172" i="12"/>
  <c r="T172" i="12"/>
  <c r="U172" i="12"/>
  <c r="V172" i="12"/>
  <c r="W172" i="12"/>
  <c r="X172" i="12"/>
  <c r="Y172" i="12"/>
  <c r="Z172" i="12"/>
  <c r="AA172" i="12"/>
  <c r="AB172" i="12"/>
  <c r="AC172" i="12"/>
  <c r="AD172" i="12"/>
  <c r="AE172" i="12"/>
  <c r="AF172" i="12"/>
  <c r="AG172" i="12"/>
  <c r="AH172" i="12"/>
  <c r="AI172" i="12"/>
  <c r="AJ172" i="12"/>
  <c r="AK172" i="12"/>
  <c r="AL172" i="12"/>
  <c r="AM172" i="12"/>
  <c r="AN172" i="12"/>
  <c r="AO172" i="12"/>
  <c r="AP172" i="12"/>
  <c r="AQ172" i="12"/>
  <c r="AR172" i="12"/>
  <c r="AS172" i="12"/>
  <c r="AT172" i="12"/>
  <c r="AU172" i="12"/>
  <c r="AV172" i="12"/>
  <c r="AW172" i="12"/>
  <c r="AX172" i="12"/>
  <c r="AY172" i="12"/>
  <c r="AZ172" i="12"/>
  <c r="BA172" i="12"/>
  <c r="BB172" i="12"/>
  <c r="BC172" i="12"/>
  <c r="BD172" i="12"/>
  <c r="BE172" i="12"/>
  <c r="BF172" i="12"/>
  <c r="BG172" i="12"/>
  <c r="BH172" i="12"/>
  <c r="BI172" i="12"/>
  <c r="BJ172" i="12"/>
  <c r="BK172" i="12"/>
  <c r="BL172" i="12"/>
  <c r="BM172" i="12"/>
  <c r="BN172" i="12"/>
  <c r="BO172" i="12"/>
  <c r="BP172" i="12"/>
  <c r="BQ172" i="12"/>
  <c r="BR172" i="12"/>
  <c r="BS172" i="12"/>
  <c r="BT172" i="12"/>
  <c r="BU172" i="12"/>
  <c r="BV172" i="12"/>
  <c r="BW172" i="12"/>
  <c r="BX172" i="12"/>
  <c r="BY172" i="12"/>
  <c r="BZ172" i="12"/>
  <c r="CA172" i="12"/>
  <c r="CB172" i="12"/>
  <c r="CC172" i="12"/>
  <c r="CD172" i="12"/>
  <c r="CE172" i="12"/>
  <c r="CF172" i="12"/>
  <c r="CG172" i="12"/>
  <c r="CH172" i="12"/>
  <c r="CI172" i="12"/>
  <c r="CJ172" i="12"/>
  <c r="CK172" i="12"/>
  <c r="CL172" i="12"/>
  <c r="CM172" i="12"/>
  <c r="CN172" i="12"/>
  <c r="CO172" i="12"/>
  <c r="CP172" i="12"/>
  <c r="CQ172" i="12"/>
  <c r="CR172" i="12"/>
  <c r="CS172" i="12"/>
  <c r="CT172" i="12"/>
  <c r="CU172" i="12"/>
  <c r="CV172" i="12"/>
  <c r="CW172" i="12"/>
  <c r="CX172" i="12"/>
  <c r="CY172" i="12"/>
  <c r="CZ172" i="12"/>
  <c r="DA172" i="12"/>
  <c r="DB172" i="12"/>
  <c r="DC172" i="12"/>
  <c r="DD172" i="12"/>
  <c r="DE172" i="12"/>
  <c r="DF172" i="12"/>
  <c r="DG172" i="12"/>
  <c r="DH172" i="12"/>
  <c r="DI172" i="12"/>
  <c r="DJ172" i="12"/>
  <c r="DK172" i="12"/>
  <c r="DL172" i="12"/>
  <c r="DM172" i="12"/>
  <c r="DN172" i="12"/>
  <c r="DO172" i="12"/>
  <c r="DP172" i="12"/>
  <c r="DQ172" i="12"/>
  <c r="DR172" i="12"/>
  <c r="DS172" i="12"/>
  <c r="DT172" i="12"/>
  <c r="DU172" i="12"/>
  <c r="O173" i="12"/>
  <c r="P173" i="12"/>
  <c r="Q173" i="12"/>
  <c r="R173" i="12"/>
  <c r="S173" i="12"/>
  <c r="T173" i="12"/>
  <c r="U173" i="12"/>
  <c r="V173" i="12"/>
  <c r="W173" i="12"/>
  <c r="X173" i="12"/>
  <c r="Y173" i="12"/>
  <c r="Z173" i="12"/>
  <c r="AA173" i="12"/>
  <c r="AB173" i="12"/>
  <c r="AC173" i="12"/>
  <c r="AD173" i="12"/>
  <c r="AE173" i="12"/>
  <c r="AF173" i="12"/>
  <c r="AG173" i="12"/>
  <c r="AH173" i="12"/>
  <c r="AI173" i="12"/>
  <c r="AJ173" i="12"/>
  <c r="AK173" i="12"/>
  <c r="AL173" i="12"/>
  <c r="AM173" i="12"/>
  <c r="AN173" i="12"/>
  <c r="AO173" i="12"/>
  <c r="AP173" i="12"/>
  <c r="AQ173" i="12"/>
  <c r="AR173" i="12"/>
  <c r="AS173" i="12"/>
  <c r="AT173" i="12"/>
  <c r="AU173" i="12"/>
  <c r="AV173" i="12"/>
  <c r="AW173" i="12"/>
  <c r="AX173" i="12"/>
  <c r="AY173" i="12"/>
  <c r="AZ173" i="12"/>
  <c r="BA173" i="12"/>
  <c r="BB173" i="12"/>
  <c r="BC173" i="12"/>
  <c r="BD173" i="12"/>
  <c r="BE173" i="12"/>
  <c r="BF173" i="12"/>
  <c r="BG173" i="12"/>
  <c r="BH173" i="12"/>
  <c r="BI173" i="12"/>
  <c r="BJ173" i="12"/>
  <c r="BK173" i="12"/>
  <c r="BL173" i="12"/>
  <c r="BM173" i="12"/>
  <c r="BN173" i="12"/>
  <c r="BO173" i="12"/>
  <c r="BP173" i="12"/>
  <c r="BQ173" i="12"/>
  <c r="BR173" i="12"/>
  <c r="BS173" i="12"/>
  <c r="BT173" i="12"/>
  <c r="BU173" i="12"/>
  <c r="BV173" i="12"/>
  <c r="BW173" i="12"/>
  <c r="BX173" i="12"/>
  <c r="BY173" i="12"/>
  <c r="BZ173" i="12"/>
  <c r="CA173" i="12"/>
  <c r="CB173" i="12"/>
  <c r="CC173" i="12"/>
  <c r="CD173" i="12"/>
  <c r="CE173" i="12"/>
  <c r="CF173" i="12"/>
  <c r="CG173" i="12"/>
  <c r="CH173" i="12"/>
  <c r="CI173" i="12"/>
  <c r="CJ173" i="12"/>
  <c r="CK173" i="12"/>
  <c r="CL173" i="12"/>
  <c r="CM173" i="12"/>
  <c r="CN173" i="12"/>
  <c r="CO173" i="12"/>
  <c r="CP173" i="12"/>
  <c r="CQ173" i="12"/>
  <c r="CR173" i="12"/>
  <c r="CS173" i="12"/>
  <c r="CT173" i="12"/>
  <c r="CU173" i="12"/>
  <c r="CV173" i="12"/>
  <c r="CW173" i="12"/>
  <c r="CX173" i="12"/>
  <c r="CY173" i="12"/>
  <c r="CZ173" i="12"/>
  <c r="DA173" i="12"/>
  <c r="DB173" i="12"/>
  <c r="DC173" i="12"/>
  <c r="DD173" i="12"/>
  <c r="DE173" i="12"/>
  <c r="DF173" i="12"/>
  <c r="DG173" i="12"/>
  <c r="DH173" i="12"/>
  <c r="DI173" i="12"/>
  <c r="DJ173" i="12"/>
  <c r="DK173" i="12"/>
  <c r="DL173" i="12"/>
  <c r="DM173" i="12"/>
  <c r="DN173" i="12"/>
  <c r="DO173" i="12"/>
  <c r="DP173" i="12"/>
  <c r="DQ173" i="12"/>
  <c r="DR173" i="12"/>
  <c r="DS173" i="12"/>
  <c r="DT173" i="12"/>
  <c r="DU173" i="12"/>
  <c r="O174" i="12"/>
  <c r="P174" i="12"/>
  <c r="Q174" i="12"/>
  <c r="R174" i="12"/>
  <c r="S174" i="12"/>
  <c r="T174" i="12"/>
  <c r="U174" i="12"/>
  <c r="V174" i="12"/>
  <c r="W174" i="12"/>
  <c r="X174" i="12"/>
  <c r="Y174" i="12"/>
  <c r="Z174" i="12"/>
  <c r="AA174" i="12"/>
  <c r="AB174" i="12"/>
  <c r="AC174" i="12"/>
  <c r="AD174" i="12"/>
  <c r="AE174" i="12"/>
  <c r="AF174" i="12"/>
  <c r="AG174" i="12"/>
  <c r="AH174" i="12"/>
  <c r="AI174" i="12"/>
  <c r="AJ174" i="12"/>
  <c r="AK174" i="12"/>
  <c r="AL174" i="12"/>
  <c r="AM174" i="12"/>
  <c r="AN174" i="12"/>
  <c r="AO174" i="12"/>
  <c r="AP174" i="12"/>
  <c r="AQ174" i="12"/>
  <c r="AR174" i="12"/>
  <c r="AS174" i="12"/>
  <c r="AT174" i="12"/>
  <c r="AU174" i="12"/>
  <c r="AV174" i="12"/>
  <c r="AW174" i="12"/>
  <c r="AX174" i="12"/>
  <c r="AY174" i="12"/>
  <c r="AZ174" i="12"/>
  <c r="BA174" i="12"/>
  <c r="BB174" i="12"/>
  <c r="BC174" i="12"/>
  <c r="BD174" i="12"/>
  <c r="BE174" i="12"/>
  <c r="BF174" i="12"/>
  <c r="BG174" i="12"/>
  <c r="BH174" i="12"/>
  <c r="BI174" i="12"/>
  <c r="BJ174" i="12"/>
  <c r="BK174" i="12"/>
  <c r="BL174" i="12"/>
  <c r="BM174" i="12"/>
  <c r="BN174" i="12"/>
  <c r="BO174" i="12"/>
  <c r="BP174" i="12"/>
  <c r="BQ174" i="12"/>
  <c r="BR174" i="12"/>
  <c r="BS174" i="12"/>
  <c r="BT174" i="12"/>
  <c r="BU174" i="12"/>
  <c r="BV174" i="12"/>
  <c r="BW174" i="12"/>
  <c r="BX174" i="12"/>
  <c r="BY174" i="12"/>
  <c r="BZ174" i="12"/>
  <c r="CA174" i="12"/>
  <c r="CB174" i="12"/>
  <c r="CC174" i="12"/>
  <c r="CD174" i="12"/>
  <c r="CE174" i="12"/>
  <c r="CF174" i="12"/>
  <c r="CG174" i="12"/>
  <c r="CH174" i="12"/>
  <c r="CI174" i="12"/>
  <c r="CJ174" i="12"/>
  <c r="CK174" i="12"/>
  <c r="CL174" i="12"/>
  <c r="CM174" i="12"/>
  <c r="CN174" i="12"/>
  <c r="CO174" i="12"/>
  <c r="CP174" i="12"/>
  <c r="CQ174" i="12"/>
  <c r="CR174" i="12"/>
  <c r="CS174" i="12"/>
  <c r="CT174" i="12"/>
  <c r="CU174" i="12"/>
  <c r="CV174" i="12"/>
  <c r="CW174" i="12"/>
  <c r="CX174" i="12"/>
  <c r="CY174" i="12"/>
  <c r="CZ174" i="12"/>
  <c r="DA174" i="12"/>
  <c r="DB174" i="12"/>
  <c r="DC174" i="12"/>
  <c r="DD174" i="12"/>
  <c r="DE174" i="12"/>
  <c r="DF174" i="12"/>
  <c r="DG174" i="12"/>
  <c r="DH174" i="12"/>
  <c r="DI174" i="12"/>
  <c r="DJ174" i="12"/>
  <c r="DK174" i="12"/>
  <c r="DL174" i="12"/>
  <c r="DM174" i="12"/>
  <c r="DN174" i="12"/>
  <c r="DO174" i="12"/>
  <c r="DP174" i="12"/>
  <c r="DQ174" i="12"/>
  <c r="DR174" i="12"/>
  <c r="DS174" i="12"/>
  <c r="DT174" i="12"/>
  <c r="DU174" i="12"/>
  <c r="O175" i="12"/>
  <c r="P175" i="12"/>
  <c r="Q175" i="12"/>
  <c r="R175" i="12"/>
  <c r="S175" i="12"/>
  <c r="T175" i="12"/>
  <c r="U175" i="12"/>
  <c r="V175" i="12"/>
  <c r="W175" i="12"/>
  <c r="X175" i="12"/>
  <c r="Y175" i="12"/>
  <c r="Z175" i="12"/>
  <c r="AA175" i="12"/>
  <c r="AB175" i="12"/>
  <c r="AC175" i="12"/>
  <c r="AD175" i="12"/>
  <c r="AE175" i="12"/>
  <c r="AF175" i="12"/>
  <c r="AG175" i="12"/>
  <c r="AH175" i="12"/>
  <c r="AI175" i="12"/>
  <c r="AJ175" i="12"/>
  <c r="AK175" i="12"/>
  <c r="AL175" i="12"/>
  <c r="AM175" i="12"/>
  <c r="AN175" i="12"/>
  <c r="AO175" i="12"/>
  <c r="AP175" i="12"/>
  <c r="AQ175" i="12"/>
  <c r="AR175" i="12"/>
  <c r="AS175" i="12"/>
  <c r="AT175" i="12"/>
  <c r="AU175" i="12"/>
  <c r="AV175" i="12"/>
  <c r="AW175" i="12"/>
  <c r="AX175" i="12"/>
  <c r="AY175" i="12"/>
  <c r="AZ175" i="12"/>
  <c r="BA175" i="12"/>
  <c r="BB175" i="12"/>
  <c r="BC175" i="12"/>
  <c r="BD175" i="12"/>
  <c r="BE175" i="12"/>
  <c r="BF175" i="12"/>
  <c r="BG175" i="12"/>
  <c r="BH175" i="12"/>
  <c r="BI175" i="12"/>
  <c r="BJ175" i="12"/>
  <c r="BK175" i="12"/>
  <c r="BL175" i="12"/>
  <c r="BM175" i="12"/>
  <c r="BN175" i="12"/>
  <c r="BO175" i="12"/>
  <c r="BP175" i="12"/>
  <c r="BQ175" i="12"/>
  <c r="BR175" i="12"/>
  <c r="BS175" i="12"/>
  <c r="BT175" i="12"/>
  <c r="BU175" i="12"/>
  <c r="BV175" i="12"/>
  <c r="BW175" i="12"/>
  <c r="BX175" i="12"/>
  <c r="BY175" i="12"/>
  <c r="BZ175" i="12"/>
  <c r="CA175" i="12"/>
  <c r="CB175" i="12"/>
  <c r="CC175" i="12"/>
  <c r="CD175" i="12"/>
  <c r="CE175" i="12"/>
  <c r="CF175" i="12"/>
  <c r="CG175" i="12"/>
  <c r="CH175" i="12"/>
  <c r="CI175" i="12"/>
  <c r="CJ175" i="12"/>
  <c r="CK175" i="12"/>
  <c r="CL175" i="12"/>
  <c r="CM175" i="12"/>
  <c r="CN175" i="12"/>
  <c r="CO175" i="12"/>
  <c r="CP175" i="12"/>
  <c r="CQ175" i="12"/>
  <c r="CR175" i="12"/>
  <c r="CS175" i="12"/>
  <c r="CT175" i="12"/>
  <c r="CU175" i="12"/>
  <c r="CV175" i="12"/>
  <c r="CW175" i="12"/>
  <c r="CX175" i="12"/>
  <c r="CY175" i="12"/>
  <c r="CZ175" i="12"/>
  <c r="DA175" i="12"/>
  <c r="DB175" i="12"/>
  <c r="DC175" i="12"/>
  <c r="DD175" i="12"/>
  <c r="DE175" i="12"/>
  <c r="DF175" i="12"/>
  <c r="DG175" i="12"/>
  <c r="DH175" i="12"/>
  <c r="DI175" i="12"/>
  <c r="DJ175" i="12"/>
  <c r="DK175" i="12"/>
  <c r="DL175" i="12"/>
  <c r="DM175" i="12"/>
  <c r="DN175" i="12"/>
  <c r="DO175" i="12"/>
  <c r="DP175" i="12"/>
  <c r="DQ175" i="12"/>
  <c r="DR175" i="12"/>
  <c r="DS175" i="12"/>
  <c r="DT175" i="12"/>
  <c r="DU175" i="12"/>
  <c r="O176" i="12"/>
  <c r="P176" i="12"/>
  <c r="Q176" i="12"/>
  <c r="R176" i="12"/>
  <c r="S176" i="12"/>
  <c r="T176" i="12"/>
  <c r="U176" i="12"/>
  <c r="V176" i="12"/>
  <c r="W176" i="12"/>
  <c r="X176" i="12"/>
  <c r="Y176" i="12"/>
  <c r="Z176" i="12"/>
  <c r="AA176" i="12"/>
  <c r="AB176" i="12"/>
  <c r="AC176" i="12"/>
  <c r="AD176" i="12"/>
  <c r="AE176" i="12"/>
  <c r="AF176" i="12"/>
  <c r="AG176" i="12"/>
  <c r="AH176" i="12"/>
  <c r="AI176" i="12"/>
  <c r="AJ176" i="12"/>
  <c r="AK176" i="12"/>
  <c r="AL176" i="12"/>
  <c r="AM176" i="12"/>
  <c r="AN176" i="12"/>
  <c r="AO176" i="12"/>
  <c r="AP176" i="12"/>
  <c r="AQ176" i="12"/>
  <c r="AR176" i="12"/>
  <c r="AS176" i="12"/>
  <c r="AT176" i="12"/>
  <c r="AU176" i="12"/>
  <c r="AV176" i="12"/>
  <c r="AW176" i="12"/>
  <c r="AX176" i="12"/>
  <c r="AY176" i="12"/>
  <c r="AZ176" i="12"/>
  <c r="BA176" i="12"/>
  <c r="BB176" i="12"/>
  <c r="BC176" i="12"/>
  <c r="BD176" i="12"/>
  <c r="BE176" i="12"/>
  <c r="BF176" i="12"/>
  <c r="BG176" i="12"/>
  <c r="BH176" i="12"/>
  <c r="BI176" i="12"/>
  <c r="BJ176" i="12"/>
  <c r="BK176" i="12"/>
  <c r="BL176" i="12"/>
  <c r="BM176" i="12"/>
  <c r="BN176" i="12"/>
  <c r="BO176" i="12"/>
  <c r="BP176" i="12"/>
  <c r="BQ176" i="12"/>
  <c r="BR176" i="12"/>
  <c r="BS176" i="12"/>
  <c r="BT176" i="12"/>
  <c r="BU176" i="12"/>
  <c r="BV176" i="12"/>
  <c r="BW176" i="12"/>
  <c r="BX176" i="12"/>
  <c r="BY176" i="12"/>
  <c r="BZ176" i="12"/>
  <c r="CA176" i="12"/>
  <c r="CB176" i="12"/>
  <c r="CC176" i="12"/>
  <c r="CD176" i="12"/>
  <c r="CE176" i="12"/>
  <c r="CF176" i="12"/>
  <c r="CG176" i="12"/>
  <c r="CH176" i="12"/>
  <c r="CI176" i="12"/>
  <c r="CJ176" i="12"/>
  <c r="CK176" i="12"/>
  <c r="CL176" i="12"/>
  <c r="CM176" i="12"/>
  <c r="CN176" i="12"/>
  <c r="CO176" i="12"/>
  <c r="CP176" i="12"/>
  <c r="CQ176" i="12"/>
  <c r="CR176" i="12"/>
  <c r="CS176" i="12"/>
  <c r="CT176" i="12"/>
  <c r="CU176" i="12"/>
  <c r="CV176" i="12"/>
  <c r="CW176" i="12"/>
  <c r="CX176" i="12"/>
  <c r="CY176" i="12"/>
  <c r="CZ176" i="12"/>
  <c r="DA176" i="12"/>
  <c r="DB176" i="12"/>
  <c r="DC176" i="12"/>
  <c r="DD176" i="12"/>
  <c r="DE176" i="12"/>
  <c r="DF176" i="12"/>
  <c r="DG176" i="12"/>
  <c r="DH176" i="12"/>
  <c r="DI176" i="12"/>
  <c r="DJ176" i="12"/>
  <c r="DK176" i="12"/>
  <c r="DL176" i="12"/>
  <c r="DM176" i="12"/>
  <c r="DN176" i="12"/>
  <c r="DO176" i="12"/>
  <c r="DP176" i="12"/>
  <c r="DQ176" i="12"/>
  <c r="DR176" i="12"/>
  <c r="DS176" i="12"/>
  <c r="DT176" i="12"/>
  <c r="DU176" i="12"/>
  <c r="O177" i="12"/>
  <c r="P177" i="12"/>
  <c r="Q177" i="12"/>
  <c r="R177" i="12"/>
  <c r="S177" i="12"/>
  <c r="T177" i="12"/>
  <c r="U177" i="12"/>
  <c r="V177" i="12"/>
  <c r="W177" i="12"/>
  <c r="X177" i="12"/>
  <c r="Y177" i="12"/>
  <c r="Z177" i="12"/>
  <c r="AA177" i="12"/>
  <c r="AB177" i="12"/>
  <c r="AC177" i="12"/>
  <c r="AD177" i="12"/>
  <c r="AE177" i="12"/>
  <c r="AF177" i="12"/>
  <c r="AG177" i="12"/>
  <c r="AH177" i="12"/>
  <c r="AI177" i="12"/>
  <c r="AJ177" i="12"/>
  <c r="AK177" i="12"/>
  <c r="AL177" i="12"/>
  <c r="AM177" i="12"/>
  <c r="AN177" i="12"/>
  <c r="AO177" i="12"/>
  <c r="AP177" i="12"/>
  <c r="AQ177" i="12"/>
  <c r="AR177" i="12"/>
  <c r="AS177" i="12"/>
  <c r="AT177" i="12"/>
  <c r="AU177" i="12"/>
  <c r="AV177" i="12"/>
  <c r="AW177" i="12"/>
  <c r="AX177" i="12"/>
  <c r="AY177" i="12"/>
  <c r="AZ177" i="12"/>
  <c r="BA177" i="12"/>
  <c r="BB177" i="12"/>
  <c r="BC177" i="12"/>
  <c r="BD177" i="12"/>
  <c r="BE177" i="12"/>
  <c r="BF177" i="12"/>
  <c r="BG177" i="12"/>
  <c r="BH177" i="12"/>
  <c r="BI177" i="12"/>
  <c r="BJ177" i="12"/>
  <c r="BK177" i="12"/>
  <c r="BL177" i="12"/>
  <c r="BM177" i="12"/>
  <c r="BN177" i="12"/>
  <c r="BO177" i="12"/>
  <c r="BP177" i="12"/>
  <c r="BQ177" i="12"/>
  <c r="BR177" i="12"/>
  <c r="BS177" i="12"/>
  <c r="BT177" i="12"/>
  <c r="BU177" i="12"/>
  <c r="BV177" i="12"/>
  <c r="BW177" i="12"/>
  <c r="BX177" i="12"/>
  <c r="BY177" i="12"/>
  <c r="BZ177" i="12"/>
  <c r="CA177" i="12"/>
  <c r="CB177" i="12"/>
  <c r="CC177" i="12"/>
  <c r="CD177" i="12"/>
  <c r="CE177" i="12"/>
  <c r="CF177" i="12"/>
  <c r="CG177" i="12"/>
  <c r="CH177" i="12"/>
  <c r="CI177" i="12"/>
  <c r="CJ177" i="12"/>
  <c r="CK177" i="12"/>
  <c r="CL177" i="12"/>
  <c r="CM177" i="12"/>
  <c r="CN177" i="12"/>
  <c r="CO177" i="12"/>
  <c r="CP177" i="12"/>
  <c r="CQ177" i="12"/>
  <c r="CR177" i="12"/>
  <c r="CS177" i="12"/>
  <c r="CT177" i="12"/>
  <c r="CU177" i="12"/>
  <c r="CV177" i="12"/>
  <c r="CW177" i="12"/>
  <c r="CX177" i="12"/>
  <c r="CY177" i="12"/>
  <c r="CZ177" i="12"/>
  <c r="DA177" i="12"/>
  <c r="DB177" i="12"/>
  <c r="DC177" i="12"/>
  <c r="DD177" i="12"/>
  <c r="DE177" i="12"/>
  <c r="DF177" i="12"/>
  <c r="DG177" i="12"/>
  <c r="DH177" i="12"/>
  <c r="DI177" i="12"/>
  <c r="DJ177" i="12"/>
  <c r="DK177" i="12"/>
  <c r="DL177" i="12"/>
  <c r="DM177" i="12"/>
  <c r="DN177" i="12"/>
  <c r="DO177" i="12"/>
  <c r="DP177" i="12"/>
  <c r="DQ177" i="12"/>
  <c r="DR177" i="12"/>
  <c r="DS177" i="12"/>
  <c r="DT177" i="12"/>
  <c r="DU177" i="12"/>
  <c r="O178" i="12"/>
  <c r="P178" i="12"/>
  <c r="Q178" i="12"/>
  <c r="R178" i="12"/>
  <c r="S178" i="12"/>
  <c r="T178" i="12"/>
  <c r="U178" i="12"/>
  <c r="V178" i="12"/>
  <c r="W178" i="12"/>
  <c r="X178" i="12"/>
  <c r="Y178" i="12"/>
  <c r="Z178" i="12"/>
  <c r="AA178" i="12"/>
  <c r="AB178" i="12"/>
  <c r="AC178" i="12"/>
  <c r="AD178" i="12"/>
  <c r="AE178" i="12"/>
  <c r="AF178" i="12"/>
  <c r="AG178" i="12"/>
  <c r="AH178" i="12"/>
  <c r="AI178" i="12"/>
  <c r="AJ178" i="12"/>
  <c r="AK178" i="12"/>
  <c r="AL178" i="12"/>
  <c r="AM178" i="12"/>
  <c r="AN178" i="12"/>
  <c r="AO178" i="12"/>
  <c r="AP178" i="12"/>
  <c r="AQ178" i="12"/>
  <c r="AR178" i="12"/>
  <c r="AS178" i="12"/>
  <c r="AT178" i="12"/>
  <c r="AU178" i="12"/>
  <c r="AV178" i="12"/>
  <c r="AW178" i="12"/>
  <c r="AX178" i="12"/>
  <c r="AY178" i="12"/>
  <c r="AZ178" i="12"/>
  <c r="BA178" i="12"/>
  <c r="BB178" i="12"/>
  <c r="BC178" i="12"/>
  <c r="BD178" i="12"/>
  <c r="BE178" i="12"/>
  <c r="BF178" i="12"/>
  <c r="BG178" i="12"/>
  <c r="BH178" i="12"/>
  <c r="BI178" i="12"/>
  <c r="BJ178" i="12"/>
  <c r="BK178" i="12"/>
  <c r="BL178" i="12"/>
  <c r="BM178" i="12"/>
  <c r="BN178" i="12"/>
  <c r="BO178" i="12"/>
  <c r="BP178" i="12"/>
  <c r="BQ178" i="12"/>
  <c r="BR178" i="12"/>
  <c r="BS178" i="12"/>
  <c r="BT178" i="12"/>
  <c r="BU178" i="12"/>
  <c r="BV178" i="12"/>
  <c r="BW178" i="12"/>
  <c r="BX178" i="12"/>
  <c r="BY178" i="12"/>
  <c r="BZ178" i="12"/>
  <c r="CA178" i="12"/>
  <c r="CB178" i="12"/>
  <c r="CC178" i="12"/>
  <c r="CD178" i="12"/>
  <c r="CE178" i="12"/>
  <c r="CF178" i="12"/>
  <c r="CG178" i="12"/>
  <c r="CH178" i="12"/>
  <c r="CI178" i="12"/>
  <c r="CJ178" i="12"/>
  <c r="CK178" i="12"/>
  <c r="CL178" i="12"/>
  <c r="CM178" i="12"/>
  <c r="CN178" i="12"/>
  <c r="CO178" i="12"/>
  <c r="CP178" i="12"/>
  <c r="CQ178" i="12"/>
  <c r="CR178" i="12"/>
  <c r="CS178" i="12"/>
  <c r="CT178" i="12"/>
  <c r="CU178" i="12"/>
  <c r="CV178" i="12"/>
  <c r="CW178" i="12"/>
  <c r="CX178" i="12"/>
  <c r="CY178" i="12"/>
  <c r="CZ178" i="12"/>
  <c r="DA178" i="12"/>
  <c r="DB178" i="12"/>
  <c r="DC178" i="12"/>
  <c r="DD178" i="12"/>
  <c r="DE178" i="12"/>
  <c r="DF178" i="12"/>
  <c r="DG178" i="12"/>
  <c r="DH178" i="12"/>
  <c r="DI178" i="12"/>
  <c r="DJ178" i="12"/>
  <c r="DK178" i="12"/>
  <c r="DL178" i="12"/>
  <c r="DM178" i="12"/>
  <c r="DN178" i="12"/>
  <c r="DO178" i="12"/>
  <c r="DP178" i="12"/>
  <c r="DQ178" i="12"/>
  <c r="DR178" i="12"/>
  <c r="DS178" i="12"/>
  <c r="DT178" i="12"/>
  <c r="DU178" i="12"/>
  <c r="O179" i="12"/>
  <c r="P179" i="12"/>
  <c r="Q179" i="12"/>
  <c r="R179" i="12"/>
  <c r="S179" i="12"/>
  <c r="T179" i="12"/>
  <c r="U179" i="12"/>
  <c r="V179" i="12"/>
  <c r="W179" i="12"/>
  <c r="X179" i="12"/>
  <c r="Y179" i="12"/>
  <c r="Z179" i="12"/>
  <c r="AA179" i="12"/>
  <c r="AB179" i="12"/>
  <c r="AC179" i="12"/>
  <c r="AD179" i="12"/>
  <c r="AE179" i="12"/>
  <c r="AF179" i="12"/>
  <c r="AG179" i="12"/>
  <c r="AH179" i="12"/>
  <c r="AI179" i="12"/>
  <c r="AJ179" i="12"/>
  <c r="AK179" i="12"/>
  <c r="AL179" i="12"/>
  <c r="AM179" i="12"/>
  <c r="AN179" i="12"/>
  <c r="AO179" i="12"/>
  <c r="AP179" i="12"/>
  <c r="AQ179" i="12"/>
  <c r="AR179" i="12"/>
  <c r="AS179" i="12"/>
  <c r="AT179" i="12"/>
  <c r="AU179" i="12"/>
  <c r="AV179" i="12"/>
  <c r="AW179" i="12"/>
  <c r="AX179" i="12"/>
  <c r="AY179" i="12"/>
  <c r="AZ179" i="12"/>
  <c r="BA179" i="12"/>
  <c r="BB179" i="12"/>
  <c r="BC179" i="12"/>
  <c r="BD179" i="12"/>
  <c r="BE179" i="12"/>
  <c r="BF179" i="12"/>
  <c r="BG179" i="12"/>
  <c r="BH179" i="12"/>
  <c r="BI179" i="12"/>
  <c r="BJ179" i="12"/>
  <c r="BK179" i="12"/>
  <c r="BL179" i="12"/>
  <c r="BM179" i="12"/>
  <c r="BN179" i="12"/>
  <c r="BO179" i="12"/>
  <c r="BP179" i="12"/>
  <c r="BQ179" i="12"/>
  <c r="BR179" i="12"/>
  <c r="BS179" i="12"/>
  <c r="BT179" i="12"/>
  <c r="BU179" i="12"/>
  <c r="BV179" i="12"/>
  <c r="BW179" i="12"/>
  <c r="BX179" i="12"/>
  <c r="BY179" i="12"/>
  <c r="BZ179" i="12"/>
  <c r="CA179" i="12"/>
  <c r="CB179" i="12"/>
  <c r="CC179" i="12"/>
  <c r="CD179" i="12"/>
  <c r="CE179" i="12"/>
  <c r="CF179" i="12"/>
  <c r="CG179" i="12"/>
  <c r="CH179" i="12"/>
  <c r="CI179" i="12"/>
  <c r="CJ179" i="12"/>
  <c r="CK179" i="12"/>
  <c r="CL179" i="12"/>
  <c r="CM179" i="12"/>
  <c r="CN179" i="12"/>
  <c r="CO179" i="12"/>
  <c r="CP179" i="12"/>
  <c r="CQ179" i="12"/>
  <c r="CR179" i="12"/>
  <c r="CS179" i="12"/>
  <c r="CT179" i="12"/>
  <c r="CU179" i="12"/>
  <c r="CV179" i="12"/>
  <c r="CW179" i="12"/>
  <c r="CX179" i="12"/>
  <c r="CY179" i="12"/>
  <c r="CZ179" i="12"/>
  <c r="DA179" i="12"/>
  <c r="DB179" i="12"/>
  <c r="DC179" i="12"/>
  <c r="DD179" i="12"/>
  <c r="DE179" i="12"/>
  <c r="DF179" i="12"/>
  <c r="DG179" i="12"/>
  <c r="DH179" i="12"/>
  <c r="DI179" i="12"/>
  <c r="DJ179" i="12"/>
  <c r="DK179" i="12"/>
  <c r="DL179" i="12"/>
  <c r="DM179" i="12"/>
  <c r="DN179" i="12"/>
  <c r="DO179" i="12"/>
  <c r="DP179" i="12"/>
  <c r="DQ179" i="12"/>
  <c r="DR179" i="12"/>
  <c r="DS179" i="12"/>
  <c r="DT179" i="12"/>
  <c r="DU179" i="12"/>
  <c r="O180" i="12"/>
  <c r="P180" i="12"/>
  <c r="Q180" i="12"/>
  <c r="R180" i="12"/>
  <c r="S180" i="12"/>
  <c r="T180" i="12"/>
  <c r="U180" i="12"/>
  <c r="V180" i="12"/>
  <c r="W180" i="12"/>
  <c r="X180" i="12"/>
  <c r="Y180" i="12"/>
  <c r="Z180" i="12"/>
  <c r="AA180" i="12"/>
  <c r="AB180" i="12"/>
  <c r="AC180" i="12"/>
  <c r="AD180" i="12"/>
  <c r="AE180" i="12"/>
  <c r="AF180" i="12"/>
  <c r="AG180" i="12"/>
  <c r="AH180" i="12"/>
  <c r="AI180" i="12"/>
  <c r="AJ180" i="12"/>
  <c r="AK180" i="12"/>
  <c r="AL180" i="12"/>
  <c r="AM180" i="12"/>
  <c r="AN180" i="12"/>
  <c r="AO180" i="12"/>
  <c r="AP180" i="12"/>
  <c r="AQ180" i="12"/>
  <c r="AR180" i="12"/>
  <c r="AS180" i="12"/>
  <c r="AT180" i="12"/>
  <c r="AU180" i="12"/>
  <c r="AV180" i="12"/>
  <c r="AW180" i="12"/>
  <c r="AX180" i="12"/>
  <c r="AY180" i="12"/>
  <c r="AZ180" i="12"/>
  <c r="BA180" i="12"/>
  <c r="BB180" i="12"/>
  <c r="BC180" i="12"/>
  <c r="BD180" i="12"/>
  <c r="BE180" i="12"/>
  <c r="BF180" i="12"/>
  <c r="BG180" i="12"/>
  <c r="BH180" i="12"/>
  <c r="BI180" i="12"/>
  <c r="BJ180" i="12"/>
  <c r="BK180" i="12"/>
  <c r="BL180" i="12"/>
  <c r="BM180" i="12"/>
  <c r="BN180" i="12"/>
  <c r="BO180" i="12"/>
  <c r="BP180" i="12"/>
  <c r="BQ180" i="12"/>
  <c r="BR180" i="12"/>
  <c r="BS180" i="12"/>
  <c r="BT180" i="12"/>
  <c r="BU180" i="12"/>
  <c r="BV180" i="12"/>
  <c r="BW180" i="12"/>
  <c r="BX180" i="12"/>
  <c r="BY180" i="12"/>
  <c r="BZ180" i="12"/>
  <c r="CA180" i="12"/>
  <c r="CB180" i="12"/>
  <c r="CC180" i="12"/>
  <c r="CD180" i="12"/>
  <c r="CE180" i="12"/>
  <c r="CF180" i="12"/>
  <c r="CG180" i="12"/>
  <c r="CH180" i="12"/>
  <c r="CI180" i="12"/>
  <c r="CJ180" i="12"/>
  <c r="CK180" i="12"/>
  <c r="CL180" i="12"/>
  <c r="CM180" i="12"/>
  <c r="CN180" i="12"/>
  <c r="CO180" i="12"/>
  <c r="CP180" i="12"/>
  <c r="CQ180" i="12"/>
  <c r="CR180" i="12"/>
  <c r="CS180" i="12"/>
  <c r="CT180" i="12"/>
  <c r="CU180" i="12"/>
  <c r="CV180" i="12"/>
  <c r="CW180" i="12"/>
  <c r="CX180" i="12"/>
  <c r="CY180" i="12"/>
  <c r="CZ180" i="12"/>
  <c r="DA180" i="12"/>
  <c r="DB180" i="12"/>
  <c r="DC180" i="12"/>
  <c r="DD180" i="12"/>
  <c r="DE180" i="12"/>
  <c r="DF180" i="12"/>
  <c r="DG180" i="12"/>
  <c r="DH180" i="12"/>
  <c r="DI180" i="12"/>
  <c r="DJ180" i="12"/>
  <c r="DK180" i="12"/>
  <c r="DL180" i="12"/>
  <c r="DM180" i="12"/>
  <c r="DN180" i="12"/>
  <c r="DO180" i="12"/>
  <c r="DP180" i="12"/>
  <c r="DQ180" i="12"/>
  <c r="DR180" i="12"/>
  <c r="DS180" i="12"/>
  <c r="DT180" i="12"/>
  <c r="DU180" i="12"/>
  <c r="O181" i="12"/>
  <c r="P181" i="12"/>
  <c r="Q181" i="12"/>
  <c r="R181" i="12"/>
  <c r="S181" i="12"/>
  <c r="T181" i="12"/>
  <c r="U181" i="12"/>
  <c r="V181" i="12"/>
  <c r="W181" i="12"/>
  <c r="X181" i="12"/>
  <c r="Y181" i="12"/>
  <c r="Z181" i="12"/>
  <c r="AA181" i="12"/>
  <c r="AB181" i="12"/>
  <c r="AC181" i="12"/>
  <c r="AD181" i="12"/>
  <c r="AE181" i="12"/>
  <c r="AF181" i="12"/>
  <c r="AG181" i="12"/>
  <c r="AH181" i="12"/>
  <c r="AI181" i="12"/>
  <c r="AJ181" i="12"/>
  <c r="AK181" i="12"/>
  <c r="AL181" i="12"/>
  <c r="AM181" i="12"/>
  <c r="AN181" i="12"/>
  <c r="AO181" i="12"/>
  <c r="AP181" i="12"/>
  <c r="AQ181" i="12"/>
  <c r="AR181" i="12"/>
  <c r="AS181" i="12"/>
  <c r="AT181" i="12"/>
  <c r="AU181" i="12"/>
  <c r="AV181" i="12"/>
  <c r="AW181" i="12"/>
  <c r="AX181" i="12"/>
  <c r="AY181" i="12"/>
  <c r="AZ181" i="12"/>
  <c r="BA181" i="12"/>
  <c r="BB181" i="12"/>
  <c r="BC181" i="12"/>
  <c r="BD181" i="12"/>
  <c r="BE181" i="12"/>
  <c r="BF181" i="12"/>
  <c r="BG181" i="12"/>
  <c r="BH181" i="12"/>
  <c r="BI181" i="12"/>
  <c r="BJ181" i="12"/>
  <c r="BK181" i="12"/>
  <c r="BL181" i="12"/>
  <c r="BM181" i="12"/>
  <c r="BN181" i="12"/>
  <c r="BO181" i="12"/>
  <c r="BP181" i="12"/>
  <c r="BQ181" i="12"/>
  <c r="BR181" i="12"/>
  <c r="BS181" i="12"/>
  <c r="BT181" i="12"/>
  <c r="BU181" i="12"/>
  <c r="BV181" i="12"/>
  <c r="BW181" i="12"/>
  <c r="BX181" i="12"/>
  <c r="BY181" i="12"/>
  <c r="BZ181" i="12"/>
  <c r="CA181" i="12"/>
  <c r="CB181" i="12"/>
  <c r="CC181" i="12"/>
  <c r="CD181" i="12"/>
  <c r="CE181" i="12"/>
  <c r="CF181" i="12"/>
  <c r="CG181" i="12"/>
  <c r="CH181" i="12"/>
  <c r="CI181" i="12"/>
  <c r="CJ181" i="12"/>
  <c r="CK181" i="12"/>
  <c r="CL181" i="12"/>
  <c r="CM181" i="12"/>
  <c r="CN181" i="12"/>
  <c r="CO181" i="12"/>
  <c r="CP181" i="12"/>
  <c r="CQ181" i="12"/>
  <c r="CR181" i="12"/>
  <c r="CS181" i="12"/>
  <c r="CT181" i="12"/>
  <c r="CU181" i="12"/>
  <c r="CV181" i="12"/>
  <c r="CW181" i="12"/>
  <c r="CX181" i="12"/>
  <c r="CY181" i="12"/>
  <c r="CZ181" i="12"/>
  <c r="DA181" i="12"/>
  <c r="DB181" i="12"/>
  <c r="DC181" i="12"/>
  <c r="DD181" i="12"/>
  <c r="DE181" i="12"/>
  <c r="DF181" i="12"/>
  <c r="DG181" i="12"/>
  <c r="DH181" i="12"/>
  <c r="DI181" i="12"/>
  <c r="DJ181" i="12"/>
  <c r="DK181" i="12"/>
  <c r="DL181" i="12"/>
  <c r="DM181" i="12"/>
  <c r="DN181" i="12"/>
  <c r="DO181" i="12"/>
  <c r="DP181" i="12"/>
  <c r="DQ181" i="12"/>
  <c r="DR181" i="12"/>
  <c r="DS181" i="12"/>
  <c r="DT181" i="12"/>
  <c r="DU181" i="12"/>
  <c r="O182" i="12"/>
  <c r="P182" i="12"/>
  <c r="Q182" i="12"/>
  <c r="R182" i="12"/>
  <c r="S182" i="12"/>
  <c r="T182" i="12"/>
  <c r="U182" i="12"/>
  <c r="V182" i="12"/>
  <c r="W182" i="12"/>
  <c r="X182" i="12"/>
  <c r="Y182" i="12"/>
  <c r="Z182" i="12"/>
  <c r="AA182" i="12"/>
  <c r="AB182" i="12"/>
  <c r="AC182" i="12"/>
  <c r="AD182" i="12"/>
  <c r="AE182" i="12"/>
  <c r="AF182" i="12"/>
  <c r="AG182" i="12"/>
  <c r="AH182" i="12"/>
  <c r="AI182" i="12"/>
  <c r="AJ182" i="12"/>
  <c r="AK182" i="12"/>
  <c r="AL182" i="12"/>
  <c r="AM182" i="12"/>
  <c r="AN182" i="12"/>
  <c r="AO182" i="12"/>
  <c r="AP182" i="12"/>
  <c r="AQ182" i="12"/>
  <c r="AR182" i="12"/>
  <c r="AS182" i="12"/>
  <c r="AT182" i="12"/>
  <c r="AU182" i="12"/>
  <c r="AV182" i="12"/>
  <c r="AW182" i="12"/>
  <c r="AX182" i="12"/>
  <c r="AY182" i="12"/>
  <c r="AZ182" i="12"/>
  <c r="BA182" i="12"/>
  <c r="BB182" i="12"/>
  <c r="BC182" i="12"/>
  <c r="BD182" i="12"/>
  <c r="BE182" i="12"/>
  <c r="BF182" i="12"/>
  <c r="BG182" i="12"/>
  <c r="BH182" i="12"/>
  <c r="BI182" i="12"/>
  <c r="BJ182" i="12"/>
  <c r="BK182" i="12"/>
  <c r="BL182" i="12"/>
  <c r="BM182" i="12"/>
  <c r="BN182" i="12"/>
  <c r="BO182" i="12"/>
  <c r="BP182" i="12"/>
  <c r="BQ182" i="12"/>
  <c r="BR182" i="12"/>
  <c r="BS182" i="12"/>
  <c r="BT182" i="12"/>
  <c r="BU182" i="12"/>
  <c r="BV182" i="12"/>
  <c r="BW182" i="12"/>
  <c r="BX182" i="12"/>
  <c r="BY182" i="12"/>
  <c r="BZ182" i="12"/>
  <c r="CA182" i="12"/>
  <c r="CB182" i="12"/>
  <c r="CC182" i="12"/>
  <c r="CD182" i="12"/>
  <c r="CE182" i="12"/>
  <c r="CF182" i="12"/>
  <c r="CG182" i="12"/>
  <c r="CH182" i="12"/>
  <c r="CI182" i="12"/>
  <c r="CJ182" i="12"/>
  <c r="CK182" i="12"/>
  <c r="CL182" i="12"/>
  <c r="CM182" i="12"/>
  <c r="CN182" i="12"/>
  <c r="CO182" i="12"/>
  <c r="CP182" i="12"/>
  <c r="CQ182" i="12"/>
  <c r="CR182" i="12"/>
  <c r="CS182" i="12"/>
  <c r="CT182" i="12"/>
  <c r="CU182" i="12"/>
  <c r="CV182" i="12"/>
  <c r="CW182" i="12"/>
  <c r="CX182" i="12"/>
  <c r="CY182" i="12"/>
  <c r="CZ182" i="12"/>
  <c r="DA182" i="12"/>
  <c r="DB182" i="12"/>
  <c r="DC182" i="12"/>
  <c r="DD182" i="12"/>
  <c r="DE182" i="12"/>
  <c r="DF182" i="12"/>
  <c r="DG182" i="12"/>
  <c r="DH182" i="12"/>
  <c r="DI182" i="12"/>
  <c r="DJ182" i="12"/>
  <c r="DK182" i="12"/>
  <c r="DL182" i="12"/>
  <c r="DM182" i="12"/>
  <c r="DN182" i="12"/>
  <c r="DO182" i="12"/>
  <c r="DP182" i="12"/>
  <c r="DQ182" i="12"/>
  <c r="DR182" i="12"/>
  <c r="DS182" i="12"/>
  <c r="DT182" i="12"/>
  <c r="DU182" i="12"/>
  <c r="O183" i="12"/>
  <c r="P183" i="12"/>
  <c r="Q183" i="12"/>
  <c r="R183" i="12"/>
  <c r="S183" i="12"/>
  <c r="T183" i="12"/>
  <c r="U183" i="12"/>
  <c r="V183" i="12"/>
  <c r="W183" i="12"/>
  <c r="X183" i="12"/>
  <c r="Y183" i="12"/>
  <c r="Z183" i="12"/>
  <c r="AA183" i="12"/>
  <c r="AB183" i="12"/>
  <c r="AC183" i="12"/>
  <c r="AD183" i="12"/>
  <c r="AE183" i="12"/>
  <c r="AF183" i="12"/>
  <c r="AG183" i="12"/>
  <c r="AH183" i="12"/>
  <c r="AI183" i="12"/>
  <c r="AJ183" i="12"/>
  <c r="AK183" i="12"/>
  <c r="AL183" i="12"/>
  <c r="AM183" i="12"/>
  <c r="AN183" i="12"/>
  <c r="AO183" i="12"/>
  <c r="AP183" i="12"/>
  <c r="AQ183" i="12"/>
  <c r="AR183" i="12"/>
  <c r="AS183" i="12"/>
  <c r="AT183" i="12"/>
  <c r="AU183" i="12"/>
  <c r="AV183" i="12"/>
  <c r="AW183" i="12"/>
  <c r="AX183" i="12"/>
  <c r="AY183" i="12"/>
  <c r="AZ183" i="12"/>
  <c r="BA183" i="12"/>
  <c r="BB183" i="12"/>
  <c r="BC183" i="12"/>
  <c r="BD183" i="12"/>
  <c r="BE183" i="12"/>
  <c r="BF183" i="12"/>
  <c r="BG183" i="12"/>
  <c r="BH183" i="12"/>
  <c r="BI183" i="12"/>
  <c r="BJ183" i="12"/>
  <c r="BK183" i="12"/>
  <c r="BL183" i="12"/>
  <c r="BM183" i="12"/>
  <c r="BN183" i="12"/>
  <c r="BO183" i="12"/>
  <c r="BP183" i="12"/>
  <c r="BQ183" i="12"/>
  <c r="BR183" i="12"/>
  <c r="BS183" i="12"/>
  <c r="BT183" i="12"/>
  <c r="BU183" i="12"/>
  <c r="BV183" i="12"/>
  <c r="BW183" i="12"/>
  <c r="BX183" i="12"/>
  <c r="BY183" i="12"/>
  <c r="BZ183" i="12"/>
  <c r="CA183" i="12"/>
  <c r="CB183" i="12"/>
  <c r="CC183" i="12"/>
  <c r="CD183" i="12"/>
  <c r="CE183" i="12"/>
  <c r="CF183" i="12"/>
  <c r="CG183" i="12"/>
  <c r="CH183" i="12"/>
  <c r="CI183" i="12"/>
  <c r="CJ183" i="12"/>
  <c r="CK183" i="12"/>
  <c r="CL183" i="12"/>
  <c r="CM183" i="12"/>
  <c r="CN183" i="12"/>
  <c r="CO183" i="12"/>
  <c r="CP183" i="12"/>
  <c r="CQ183" i="12"/>
  <c r="CR183" i="12"/>
  <c r="CS183" i="12"/>
  <c r="CT183" i="12"/>
  <c r="CU183" i="12"/>
  <c r="CV183" i="12"/>
  <c r="CW183" i="12"/>
  <c r="CX183" i="12"/>
  <c r="CY183" i="12"/>
  <c r="CZ183" i="12"/>
  <c r="DA183" i="12"/>
  <c r="DB183" i="12"/>
  <c r="DC183" i="12"/>
  <c r="DD183" i="12"/>
  <c r="DE183" i="12"/>
  <c r="DF183" i="12"/>
  <c r="DG183" i="12"/>
  <c r="DH183" i="12"/>
  <c r="DI183" i="12"/>
  <c r="DJ183" i="12"/>
  <c r="DK183" i="12"/>
  <c r="DL183" i="12"/>
  <c r="DM183" i="12"/>
  <c r="DN183" i="12"/>
  <c r="DO183" i="12"/>
  <c r="DP183" i="12"/>
  <c r="DQ183" i="12"/>
  <c r="DR183" i="12"/>
  <c r="DS183" i="12"/>
  <c r="DT183" i="12"/>
  <c r="DU183" i="12"/>
  <c r="O184" i="12"/>
  <c r="P184" i="12"/>
  <c r="Q184" i="12"/>
  <c r="R184" i="12"/>
  <c r="S184" i="12"/>
  <c r="T184" i="12"/>
  <c r="U184" i="12"/>
  <c r="V184" i="12"/>
  <c r="W184" i="12"/>
  <c r="X184" i="12"/>
  <c r="Y184" i="12"/>
  <c r="Z184" i="12"/>
  <c r="AA184" i="12"/>
  <c r="AB184" i="12"/>
  <c r="AC184" i="12"/>
  <c r="AD184" i="12"/>
  <c r="AE184" i="12"/>
  <c r="AF184" i="12"/>
  <c r="AG184" i="12"/>
  <c r="AH184" i="12"/>
  <c r="AI184" i="12"/>
  <c r="AJ184" i="12"/>
  <c r="AK184" i="12"/>
  <c r="AL184" i="12"/>
  <c r="AM184" i="12"/>
  <c r="AN184" i="12"/>
  <c r="AO184" i="12"/>
  <c r="AP184" i="12"/>
  <c r="AQ184" i="12"/>
  <c r="AR184" i="12"/>
  <c r="AS184" i="12"/>
  <c r="AT184" i="12"/>
  <c r="AU184" i="12"/>
  <c r="AV184" i="12"/>
  <c r="AW184" i="12"/>
  <c r="AX184" i="12"/>
  <c r="AY184" i="12"/>
  <c r="AZ184" i="12"/>
  <c r="BA184" i="12"/>
  <c r="BB184" i="12"/>
  <c r="BC184" i="12"/>
  <c r="BD184" i="12"/>
  <c r="BE184" i="12"/>
  <c r="BF184" i="12"/>
  <c r="BG184" i="12"/>
  <c r="BH184" i="12"/>
  <c r="BI184" i="12"/>
  <c r="BJ184" i="12"/>
  <c r="BK184" i="12"/>
  <c r="BL184" i="12"/>
  <c r="BM184" i="12"/>
  <c r="BN184" i="12"/>
  <c r="BO184" i="12"/>
  <c r="BP184" i="12"/>
  <c r="BQ184" i="12"/>
  <c r="BR184" i="12"/>
  <c r="BS184" i="12"/>
  <c r="BT184" i="12"/>
  <c r="BU184" i="12"/>
  <c r="BV184" i="12"/>
  <c r="BW184" i="12"/>
  <c r="BX184" i="12"/>
  <c r="BY184" i="12"/>
  <c r="BZ184" i="12"/>
  <c r="CA184" i="12"/>
  <c r="CB184" i="12"/>
  <c r="CC184" i="12"/>
  <c r="CD184" i="12"/>
  <c r="CE184" i="12"/>
  <c r="CF184" i="12"/>
  <c r="CG184" i="12"/>
  <c r="CH184" i="12"/>
  <c r="CI184" i="12"/>
  <c r="CJ184" i="12"/>
  <c r="CK184" i="12"/>
  <c r="CL184" i="12"/>
  <c r="CM184" i="12"/>
  <c r="CN184" i="12"/>
  <c r="CO184" i="12"/>
  <c r="CP184" i="12"/>
  <c r="CQ184" i="12"/>
  <c r="CR184" i="12"/>
  <c r="CS184" i="12"/>
  <c r="CT184" i="12"/>
  <c r="CU184" i="12"/>
  <c r="CV184" i="12"/>
  <c r="CW184" i="12"/>
  <c r="CX184" i="12"/>
  <c r="CY184" i="12"/>
  <c r="CZ184" i="12"/>
  <c r="DA184" i="12"/>
  <c r="DB184" i="12"/>
  <c r="DC184" i="12"/>
  <c r="DD184" i="12"/>
  <c r="DE184" i="12"/>
  <c r="DF184" i="12"/>
  <c r="DG184" i="12"/>
  <c r="DH184" i="12"/>
  <c r="DI184" i="12"/>
  <c r="DJ184" i="12"/>
  <c r="DK184" i="12"/>
  <c r="DL184" i="12"/>
  <c r="DM184" i="12"/>
  <c r="DN184" i="12"/>
  <c r="DO184" i="12"/>
  <c r="DP184" i="12"/>
  <c r="DQ184" i="12"/>
  <c r="DR184" i="12"/>
  <c r="DS184" i="12"/>
  <c r="DT184" i="12"/>
  <c r="DU184" i="12"/>
  <c r="O185" i="12"/>
  <c r="P185" i="12"/>
  <c r="Q185" i="12"/>
  <c r="R185" i="12"/>
  <c r="S185" i="12"/>
  <c r="T185" i="12"/>
  <c r="U185" i="12"/>
  <c r="V185" i="12"/>
  <c r="W185" i="12"/>
  <c r="X185" i="12"/>
  <c r="Y185" i="12"/>
  <c r="Z185" i="12"/>
  <c r="AA185" i="12"/>
  <c r="AB185" i="12"/>
  <c r="AC185" i="12"/>
  <c r="AD185" i="12"/>
  <c r="AE185" i="12"/>
  <c r="AF185" i="12"/>
  <c r="AG185" i="12"/>
  <c r="AH185" i="12"/>
  <c r="AI185" i="12"/>
  <c r="AJ185" i="12"/>
  <c r="AK185" i="12"/>
  <c r="AL185" i="12"/>
  <c r="AM185" i="12"/>
  <c r="AN185" i="12"/>
  <c r="AO185" i="12"/>
  <c r="AP185" i="12"/>
  <c r="AQ185" i="12"/>
  <c r="AR185" i="12"/>
  <c r="AS185" i="12"/>
  <c r="AT185" i="12"/>
  <c r="AU185" i="12"/>
  <c r="AV185" i="12"/>
  <c r="AW185" i="12"/>
  <c r="AX185" i="12"/>
  <c r="AY185" i="12"/>
  <c r="AZ185" i="12"/>
  <c r="BA185" i="12"/>
  <c r="BB185" i="12"/>
  <c r="BC185" i="12"/>
  <c r="BD185" i="12"/>
  <c r="BE185" i="12"/>
  <c r="BF185" i="12"/>
  <c r="BG185" i="12"/>
  <c r="BH185" i="12"/>
  <c r="BI185" i="12"/>
  <c r="BJ185" i="12"/>
  <c r="BK185" i="12"/>
  <c r="BL185" i="12"/>
  <c r="BM185" i="12"/>
  <c r="BN185" i="12"/>
  <c r="BO185" i="12"/>
  <c r="BP185" i="12"/>
  <c r="BQ185" i="12"/>
  <c r="BR185" i="12"/>
  <c r="BS185" i="12"/>
  <c r="BT185" i="12"/>
  <c r="BU185" i="12"/>
  <c r="BV185" i="12"/>
  <c r="BW185" i="12"/>
  <c r="BX185" i="12"/>
  <c r="BY185" i="12"/>
  <c r="BZ185" i="12"/>
  <c r="CA185" i="12"/>
  <c r="CB185" i="12"/>
  <c r="CC185" i="12"/>
  <c r="CD185" i="12"/>
  <c r="CE185" i="12"/>
  <c r="CF185" i="12"/>
  <c r="CG185" i="12"/>
  <c r="CH185" i="12"/>
  <c r="CI185" i="12"/>
  <c r="CJ185" i="12"/>
  <c r="CK185" i="12"/>
  <c r="CL185" i="12"/>
  <c r="CM185" i="12"/>
  <c r="CN185" i="12"/>
  <c r="CO185" i="12"/>
  <c r="CP185" i="12"/>
  <c r="CQ185" i="12"/>
  <c r="CR185" i="12"/>
  <c r="CS185" i="12"/>
  <c r="CT185" i="12"/>
  <c r="CU185" i="12"/>
  <c r="CV185" i="12"/>
  <c r="CW185" i="12"/>
  <c r="CX185" i="12"/>
  <c r="CY185" i="12"/>
  <c r="CZ185" i="12"/>
  <c r="DA185" i="12"/>
  <c r="DB185" i="12"/>
  <c r="DC185" i="12"/>
  <c r="DD185" i="12"/>
  <c r="DE185" i="12"/>
  <c r="DF185" i="12"/>
  <c r="DG185" i="12"/>
  <c r="DH185" i="12"/>
  <c r="DI185" i="12"/>
  <c r="DJ185" i="12"/>
  <c r="DK185" i="12"/>
  <c r="DL185" i="12"/>
  <c r="DM185" i="12"/>
  <c r="DN185" i="12"/>
  <c r="DO185" i="12"/>
  <c r="DP185" i="12"/>
  <c r="DQ185" i="12"/>
  <c r="DR185" i="12"/>
  <c r="DS185" i="12"/>
  <c r="DT185" i="12"/>
  <c r="DU185" i="12"/>
  <c r="O186" i="12"/>
  <c r="P186" i="12"/>
  <c r="Q186" i="12"/>
  <c r="R186" i="12"/>
  <c r="S186" i="12"/>
  <c r="T186" i="12"/>
  <c r="U186" i="12"/>
  <c r="V186" i="12"/>
  <c r="W186" i="12"/>
  <c r="X186" i="12"/>
  <c r="Y186" i="12"/>
  <c r="Z186" i="12"/>
  <c r="AA186" i="12"/>
  <c r="AB186" i="12"/>
  <c r="AC186" i="12"/>
  <c r="AD186" i="12"/>
  <c r="AE186" i="12"/>
  <c r="AF186" i="12"/>
  <c r="AG186" i="12"/>
  <c r="AH186" i="12"/>
  <c r="AI186" i="12"/>
  <c r="AJ186" i="12"/>
  <c r="AK186" i="12"/>
  <c r="AL186" i="12"/>
  <c r="AM186" i="12"/>
  <c r="AN186" i="12"/>
  <c r="AO186" i="12"/>
  <c r="AP186" i="12"/>
  <c r="AQ186" i="12"/>
  <c r="AR186" i="12"/>
  <c r="AS186" i="12"/>
  <c r="AT186" i="12"/>
  <c r="AU186" i="12"/>
  <c r="AV186" i="12"/>
  <c r="AW186" i="12"/>
  <c r="AX186" i="12"/>
  <c r="AY186" i="12"/>
  <c r="AZ186" i="12"/>
  <c r="BA186" i="12"/>
  <c r="BB186" i="12"/>
  <c r="BC186" i="12"/>
  <c r="BD186" i="12"/>
  <c r="BE186" i="12"/>
  <c r="BF186" i="12"/>
  <c r="BG186" i="12"/>
  <c r="BH186" i="12"/>
  <c r="BI186" i="12"/>
  <c r="BJ186" i="12"/>
  <c r="BK186" i="12"/>
  <c r="BL186" i="12"/>
  <c r="BM186" i="12"/>
  <c r="BN186" i="12"/>
  <c r="BO186" i="12"/>
  <c r="BP186" i="12"/>
  <c r="BQ186" i="12"/>
  <c r="BR186" i="12"/>
  <c r="BS186" i="12"/>
  <c r="BT186" i="12"/>
  <c r="BU186" i="12"/>
  <c r="BV186" i="12"/>
  <c r="BW186" i="12"/>
  <c r="BX186" i="12"/>
  <c r="BY186" i="12"/>
  <c r="BZ186" i="12"/>
  <c r="CA186" i="12"/>
  <c r="CB186" i="12"/>
  <c r="CC186" i="12"/>
  <c r="CD186" i="12"/>
  <c r="CE186" i="12"/>
  <c r="CF186" i="12"/>
  <c r="CG186" i="12"/>
  <c r="CH186" i="12"/>
  <c r="CI186" i="12"/>
  <c r="CJ186" i="12"/>
  <c r="CK186" i="12"/>
  <c r="CL186" i="12"/>
  <c r="CM186" i="12"/>
  <c r="CN186" i="12"/>
  <c r="CO186" i="12"/>
  <c r="CP186" i="12"/>
  <c r="CQ186" i="12"/>
  <c r="CR186" i="12"/>
  <c r="CS186" i="12"/>
  <c r="CT186" i="12"/>
  <c r="CU186" i="12"/>
  <c r="CV186" i="12"/>
  <c r="CW186" i="12"/>
  <c r="CX186" i="12"/>
  <c r="CY186" i="12"/>
  <c r="CZ186" i="12"/>
  <c r="DA186" i="12"/>
  <c r="DB186" i="12"/>
  <c r="DC186" i="12"/>
  <c r="DD186" i="12"/>
  <c r="DE186" i="12"/>
  <c r="DF186" i="12"/>
  <c r="DG186" i="12"/>
  <c r="DH186" i="12"/>
  <c r="DI186" i="12"/>
  <c r="DJ186" i="12"/>
  <c r="DK186" i="12"/>
  <c r="DL186" i="12"/>
  <c r="DM186" i="12"/>
  <c r="DN186" i="12"/>
  <c r="DO186" i="12"/>
  <c r="DP186" i="12"/>
  <c r="DQ186" i="12"/>
  <c r="DR186" i="12"/>
  <c r="DS186" i="12"/>
  <c r="DT186" i="12"/>
  <c r="DU186" i="12"/>
  <c r="O187" i="12"/>
  <c r="P187" i="12"/>
  <c r="Q187" i="12"/>
  <c r="R187" i="12"/>
  <c r="S187" i="12"/>
  <c r="T187" i="12"/>
  <c r="U187" i="12"/>
  <c r="V187" i="12"/>
  <c r="W187" i="12"/>
  <c r="X187" i="12"/>
  <c r="Y187" i="12"/>
  <c r="Z187" i="12"/>
  <c r="AA187" i="12"/>
  <c r="AB187" i="12"/>
  <c r="AC187" i="12"/>
  <c r="AD187" i="12"/>
  <c r="AE187" i="12"/>
  <c r="AF187" i="12"/>
  <c r="AG187" i="12"/>
  <c r="AH187" i="12"/>
  <c r="AI187" i="12"/>
  <c r="AJ187" i="12"/>
  <c r="AK187" i="12"/>
  <c r="AL187" i="12"/>
  <c r="AM187" i="12"/>
  <c r="AN187" i="12"/>
  <c r="AO187" i="12"/>
  <c r="AP187" i="12"/>
  <c r="AQ187" i="12"/>
  <c r="AR187" i="12"/>
  <c r="AS187" i="12"/>
  <c r="AT187" i="12"/>
  <c r="AU187" i="12"/>
  <c r="AV187" i="12"/>
  <c r="AW187" i="12"/>
  <c r="AX187" i="12"/>
  <c r="AY187" i="12"/>
  <c r="AZ187" i="12"/>
  <c r="BA187" i="12"/>
  <c r="BB187" i="12"/>
  <c r="BC187" i="12"/>
  <c r="BD187" i="12"/>
  <c r="BE187" i="12"/>
  <c r="BF187" i="12"/>
  <c r="BG187" i="12"/>
  <c r="BH187" i="12"/>
  <c r="BI187" i="12"/>
  <c r="BJ187" i="12"/>
  <c r="BK187" i="12"/>
  <c r="BL187" i="12"/>
  <c r="BM187" i="12"/>
  <c r="BN187" i="12"/>
  <c r="BO187" i="12"/>
  <c r="BP187" i="12"/>
  <c r="BQ187" i="12"/>
  <c r="BR187" i="12"/>
  <c r="BS187" i="12"/>
  <c r="BT187" i="12"/>
  <c r="BU187" i="12"/>
  <c r="BV187" i="12"/>
  <c r="BW187" i="12"/>
  <c r="BX187" i="12"/>
  <c r="BY187" i="12"/>
  <c r="BZ187" i="12"/>
  <c r="CA187" i="12"/>
  <c r="CB187" i="12"/>
  <c r="CC187" i="12"/>
  <c r="CD187" i="12"/>
  <c r="CE187" i="12"/>
  <c r="CF187" i="12"/>
  <c r="CG187" i="12"/>
  <c r="CH187" i="12"/>
  <c r="CI187" i="12"/>
  <c r="CJ187" i="12"/>
  <c r="CK187" i="12"/>
  <c r="CL187" i="12"/>
  <c r="CM187" i="12"/>
  <c r="CN187" i="12"/>
  <c r="CO187" i="12"/>
  <c r="CP187" i="12"/>
  <c r="CQ187" i="12"/>
  <c r="CR187" i="12"/>
  <c r="CS187" i="12"/>
  <c r="CT187" i="12"/>
  <c r="CU187" i="12"/>
  <c r="CV187" i="12"/>
  <c r="CW187" i="12"/>
  <c r="CX187" i="12"/>
  <c r="CY187" i="12"/>
  <c r="CZ187" i="12"/>
  <c r="DA187" i="12"/>
  <c r="DB187" i="12"/>
  <c r="DC187" i="12"/>
  <c r="DD187" i="12"/>
  <c r="DE187" i="12"/>
  <c r="DF187" i="12"/>
  <c r="DG187" i="12"/>
  <c r="DH187" i="12"/>
  <c r="DI187" i="12"/>
  <c r="DJ187" i="12"/>
  <c r="DK187" i="12"/>
  <c r="DL187" i="12"/>
  <c r="DM187" i="12"/>
  <c r="DN187" i="12"/>
  <c r="DO187" i="12"/>
  <c r="DP187" i="12"/>
  <c r="DQ187" i="12"/>
  <c r="DR187" i="12"/>
  <c r="DS187" i="12"/>
  <c r="DT187" i="12"/>
  <c r="DU187" i="12"/>
  <c r="O188" i="12"/>
  <c r="P188" i="12"/>
  <c r="Q188" i="12"/>
  <c r="R188" i="12"/>
  <c r="S188" i="12"/>
  <c r="T188" i="12"/>
  <c r="U188" i="12"/>
  <c r="V188" i="12"/>
  <c r="W188" i="12"/>
  <c r="X188" i="12"/>
  <c r="Y188" i="12"/>
  <c r="Z188" i="12"/>
  <c r="AA188" i="12"/>
  <c r="AB188" i="12"/>
  <c r="AC188" i="12"/>
  <c r="AD188" i="12"/>
  <c r="AE188" i="12"/>
  <c r="AF188" i="12"/>
  <c r="AG188" i="12"/>
  <c r="AH188" i="12"/>
  <c r="AI188" i="12"/>
  <c r="AJ188" i="12"/>
  <c r="AK188" i="12"/>
  <c r="AL188" i="12"/>
  <c r="AM188" i="12"/>
  <c r="AN188" i="12"/>
  <c r="AO188" i="12"/>
  <c r="AP188" i="12"/>
  <c r="AQ188" i="12"/>
  <c r="AR188" i="12"/>
  <c r="AS188" i="12"/>
  <c r="AT188" i="12"/>
  <c r="AU188" i="12"/>
  <c r="AV188" i="12"/>
  <c r="AW188" i="12"/>
  <c r="AX188" i="12"/>
  <c r="AY188" i="12"/>
  <c r="AZ188" i="12"/>
  <c r="BA188" i="12"/>
  <c r="BB188" i="12"/>
  <c r="BC188" i="12"/>
  <c r="BD188" i="12"/>
  <c r="BE188" i="12"/>
  <c r="BF188" i="12"/>
  <c r="BG188" i="12"/>
  <c r="BH188" i="12"/>
  <c r="BI188" i="12"/>
  <c r="BJ188" i="12"/>
  <c r="BK188" i="12"/>
  <c r="BL188" i="12"/>
  <c r="BM188" i="12"/>
  <c r="BN188" i="12"/>
  <c r="BO188" i="12"/>
  <c r="BP188" i="12"/>
  <c r="BQ188" i="12"/>
  <c r="BR188" i="12"/>
  <c r="BS188" i="12"/>
  <c r="BT188" i="12"/>
  <c r="BU188" i="12"/>
  <c r="BV188" i="12"/>
  <c r="BW188" i="12"/>
  <c r="BX188" i="12"/>
  <c r="BY188" i="12"/>
  <c r="BZ188" i="12"/>
  <c r="CA188" i="12"/>
  <c r="CB188" i="12"/>
  <c r="CC188" i="12"/>
  <c r="CD188" i="12"/>
  <c r="CE188" i="12"/>
  <c r="CF188" i="12"/>
  <c r="CG188" i="12"/>
  <c r="CH188" i="12"/>
  <c r="CI188" i="12"/>
  <c r="CJ188" i="12"/>
  <c r="CK188" i="12"/>
  <c r="CL188" i="12"/>
  <c r="CM188" i="12"/>
  <c r="CN188" i="12"/>
  <c r="CO188" i="12"/>
  <c r="CP188" i="12"/>
  <c r="CQ188" i="12"/>
  <c r="CR188" i="12"/>
  <c r="CS188" i="12"/>
  <c r="CT188" i="12"/>
  <c r="CU188" i="12"/>
  <c r="CV188" i="12"/>
  <c r="CW188" i="12"/>
  <c r="CX188" i="12"/>
  <c r="CY188" i="12"/>
  <c r="CZ188" i="12"/>
  <c r="DA188" i="12"/>
  <c r="DB188" i="12"/>
  <c r="DC188" i="12"/>
  <c r="DD188" i="12"/>
  <c r="DE188" i="12"/>
  <c r="DF188" i="12"/>
  <c r="DG188" i="12"/>
  <c r="DH188" i="12"/>
  <c r="DI188" i="12"/>
  <c r="DJ188" i="12"/>
  <c r="DK188" i="12"/>
  <c r="DL188" i="12"/>
  <c r="DM188" i="12"/>
  <c r="DN188" i="12"/>
  <c r="DO188" i="12"/>
  <c r="DP188" i="12"/>
  <c r="DQ188" i="12"/>
  <c r="DR188" i="12"/>
  <c r="DS188" i="12"/>
  <c r="DT188" i="12"/>
  <c r="DU188" i="12"/>
  <c r="O189" i="12"/>
  <c r="P189" i="12"/>
  <c r="Q189" i="12"/>
  <c r="R189" i="12"/>
  <c r="S189" i="12"/>
  <c r="T189" i="12"/>
  <c r="U189" i="12"/>
  <c r="V189" i="12"/>
  <c r="W189" i="12"/>
  <c r="X189" i="12"/>
  <c r="Y189" i="12"/>
  <c r="Z189" i="12"/>
  <c r="AA189" i="12"/>
  <c r="AB189" i="12"/>
  <c r="AC189" i="12"/>
  <c r="AD189" i="12"/>
  <c r="AE189" i="12"/>
  <c r="AF189" i="12"/>
  <c r="AG189" i="12"/>
  <c r="AH189" i="12"/>
  <c r="AI189" i="12"/>
  <c r="AJ189" i="12"/>
  <c r="AK189" i="12"/>
  <c r="AL189" i="12"/>
  <c r="AM189" i="12"/>
  <c r="AN189" i="12"/>
  <c r="AO189" i="12"/>
  <c r="AP189" i="12"/>
  <c r="AQ189" i="12"/>
  <c r="AR189" i="12"/>
  <c r="AS189" i="12"/>
  <c r="AT189" i="12"/>
  <c r="AU189" i="12"/>
  <c r="AV189" i="12"/>
  <c r="AW189" i="12"/>
  <c r="AX189" i="12"/>
  <c r="AY189" i="12"/>
  <c r="AZ189" i="12"/>
  <c r="BA189" i="12"/>
  <c r="BB189" i="12"/>
  <c r="BC189" i="12"/>
  <c r="BD189" i="12"/>
  <c r="BE189" i="12"/>
  <c r="BF189" i="12"/>
  <c r="BG189" i="12"/>
  <c r="BH189" i="12"/>
  <c r="BI189" i="12"/>
  <c r="BJ189" i="12"/>
  <c r="BK189" i="12"/>
  <c r="BL189" i="12"/>
  <c r="BM189" i="12"/>
  <c r="BN189" i="12"/>
  <c r="BO189" i="12"/>
  <c r="BP189" i="12"/>
  <c r="BQ189" i="12"/>
  <c r="BR189" i="12"/>
  <c r="BS189" i="12"/>
  <c r="BT189" i="12"/>
  <c r="BU189" i="12"/>
  <c r="BV189" i="12"/>
  <c r="BW189" i="12"/>
  <c r="BX189" i="12"/>
  <c r="BY189" i="12"/>
  <c r="BZ189" i="12"/>
  <c r="CA189" i="12"/>
  <c r="CB189" i="12"/>
  <c r="CC189" i="12"/>
  <c r="CD189" i="12"/>
  <c r="CE189" i="12"/>
  <c r="CF189" i="12"/>
  <c r="CG189" i="12"/>
  <c r="CH189" i="12"/>
  <c r="CI189" i="12"/>
  <c r="CJ189" i="12"/>
  <c r="CK189" i="12"/>
  <c r="CL189" i="12"/>
  <c r="CM189" i="12"/>
  <c r="CN189" i="12"/>
  <c r="CO189" i="12"/>
  <c r="CP189" i="12"/>
  <c r="CQ189" i="12"/>
  <c r="CR189" i="12"/>
  <c r="CS189" i="12"/>
  <c r="CT189" i="12"/>
  <c r="CU189" i="12"/>
  <c r="CV189" i="12"/>
  <c r="CW189" i="12"/>
  <c r="CX189" i="12"/>
  <c r="CY189" i="12"/>
  <c r="CZ189" i="12"/>
  <c r="DA189" i="12"/>
  <c r="DB189" i="12"/>
  <c r="DC189" i="12"/>
  <c r="DD189" i="12"/>
  <c r="DE189" i="12"/>
  <c r="DF189" i="12"/>
  <c r="DG189" i="12"/>
  <c r="DH189" i="12"/>
  <c r="DI189" i="12"/>
  <c r="DJ189" i="12"/>
  <c r="DK189" i="12"/>
  <c r="DL189" i="12"/>
  <c r="DM189" i="12"/>
  <c r="DN189" i="12"/>
  <c r="DO189" i="12"/>
  <c r="DP189" i="12"/>
  <c r="DQ189" i="12"/>
  <c r="DR189" i="12"/>
  <c r="DS189" i="12"/>
  <c r="DT189" i="12"/>
  <c r="DU189" i="12"/>
  <c r="O190" i="12"/>
  <c r="P190" i="12"/>
  <c r="Q190" i="12"/>
  <c r="R190" i="12"/>
  <c r="S190" i="12"/>
  <c r="T190" i="12"/>
  <c r="U190" i="12"/>
  <c r="V190" i="12"/>
  <c r="W190" i="12"/>
  <c r="X190" i="12"/>
  <c r="Y190" i="12"/>
  <c r="Z190" i="12"/>
  <c r="AA190" i="12"/>
  <c r="AB190" i="12"/>
  <c r="AC190" i="12"/>
  <c r="AD190" i="12"/>
  <c r="AE190" i="12"/>
  <c r="AF190" i="12"/>
  <c r="AG190" i="12"/>
  <c r="AH190" i="12"/>
  <c r="AI190" i="12"/>
  <c r="AJ190" i="12"/>
  <c r="AK190" i="12"/>
  <c r="AL190" i="12"/>
  <c r="AM190" i="12"/>
  <c r="AN190" i="12"/>
  <c r="AO190" i="12"/>
  <c r="AP190" i="12"/>
  <c r="AQ190" i="12"/>
  <c r="AR190" i="12"/>
  <c r="AS190" i="12"/>
  <c r="AT190" i="12"/>
  <c r="AU190" i="12"/>
  <c r="AV190" i="12"/>
  <c r="AW190" i="12"/>
  <c r="AX190" i="12"/>
  <c r="AY190" i="12"/>
  <c r="AZ190" i="12"/>
  <c r="BA190" i="12"/>
  <c r="BB190" i="12"/>
  <c r="BC190" i="12"/>
  <c r="BD190" i="12"/>
  <c r="BE190" i="12"/>
  <c r="BF190" i="12"/>
  <c r="BG190" i="12"/>
  <c r="BH190" i="12"/>
  <c r="BI190" i="12"/>
  <c r="BJ190" i="12"/>
  <c r="BK190" i="12"/>
  <c r="BL190" i="12"/>
  <c r="BM190" i="12"/>
  <c r="BN190" i="12"/>
  <c r="BO190" i="12"/>
  <c r="BP190" i="12"/>
  <c r="BQ190" i="12"/>
  <c r="BR190" i="12"/>
  <c r="BS190" i="12"/>
  <c r="BT190" i="12"/>
  <c r="BU190" i="12"/>
  <c r="BV190" i="12"/>
  <c r="BW190" i="12"/>
  <c r="BX190" i="12"/>
  <c r="BY190" i="12"/>
  <c r="BZ190" i="12"/>
  <c r="CA190" i="12"/>
  <c r="CB190" i="12"/>
  <c r="CC190" i="12"/>
  <c r="CD190" i="12"/>
  <c r="CE190" i="12"/>
  <c r="CF190" i="12"/>
  <c r="CG190" i="12"/>
  <c r="CH190" i="12"/>
  <c r="CI190" i="12"/>
  <c r="CJ190" i="12"/>
  <c r="CK190" i="12"/>
  <c r="CL190" i="12"/>
  <c r="CM190" i="12"/>
  <c r="CN190" i="12"/>
  <c r="CO190" i="12"/>
  <c r="CP190" i="12"/>
  <c r="CQ190" i="12"/>
  <c r="CR190" i="12"/>
  <c r="CS190" i="12"/>
  <c r="CT190" i="12"/>
  <c r="CU190" i="12"/>
  <c r="CV190" i="12"/>
  <c r="CW190" i="12"/>
  <c r="CX190" i="12"/>
  <c r="CY190" i="12"/>
  <c r="CZ190" i="12"/>
  <c r="DA190" i="12"/>
  <c r="DB190" i="12"/>
  <c r="DC190" i="12"/>
  <c r="DD190" i="12"/>
  <c r="DE190" i="12"/>
  <c r="DF190" i="12"/>
  <c r="DG190" i="12"/>
  <c r="DH190" i="12"/>
  <c r="DI190" i="12"/>
  <c r="DJ190" i="12"/>
  <c r="DK190" i="12"/>
  <c r="DL190" i="12"/>
  <c r="DM190" i="12"/>
  <c r="DN190" i="12"/>
  <c r="DO190" i="12"/>
  <c r="DP190" i="12"/>
  <c r="DQ190" i="12"/>
  <c r="DR190" i="12"/>
  <c r="DS190" i="12"/>
  <c r="DT190" i="12"/>
  <c r="DU190" i="12"/>
  <c r="O191" i="12"/>
  <c r="P191" i="12"/>
  <c r="Q191" i="12"/>
  <c r="R191" i="12"/>
  <c r="S191" i="12"/>
  <c r="T191" i="12"/>
  <c r="U191" i="12"/>
  <c r="V191" i="12"/>
  <c r="W191" i="12"/>
  <c r="X191" i="12"/>
  <c r="Y191" i="12"/>
  <c r="Z191" i="12"/>
  <c r="AA191" i="12"/>
  <c r="AB191" i="12"/>
  <c r="AC191" i="12"/>
  <c r="AD191" i="12"/>
  <c r="AE191" i="12"/>
  <c r="AF191" i="12"/>
  <c r="AG191" i="12"/>
  <c r="AH191" i="12"/>
  <c r="AI191" i="12"/>
  <c r="AJ191" i="12"/>
  <c r="AK191" i="12"/>
  <c r="AL191" i="12"/>
  <c r="AM191" i="12"/>
  <c r="AN191" i="12"/>
  <c r="AO191" i="12"/>
  <c r="AP191" i="12"/>
  <c r="AQ191" i="12"/>
  <c r="AR191" i="12"/>
  <c r="AS191" i="12"/>
  <c r="AT191" i="12"/>
  <c r="AU191" i="12"/>
  <c r="AV191" i="12"/>
  <c r="AW191" i="12"/>
  <c r="AX191" i="12"/>
  <c r="AY191" i="12"/>
  <c r="AZ191" i="12"/>
  <c r="BA191" i="12"/>
  <c r="BB191" i="12"/>
  <c r="BC191" i="12"/>
  <c r="BD191" i="12"/>
  <c r="BE191" i="12"/>
  <c r="BF191" i="12"/>
  <c r="BG191" i="12"/>
  <c r="BH191" i="12"/>
  <c r="BI191" i="12"/>
  <c r="BJ191" i="12"/>
  <c r="BK191" i="12"/>
  <c r="BL191" i="12"/>
  <c r="BM191" i="12"/>
  <c r="BN191" i="12"/>
  <c r="BO191" i="12"/>
  <c r="BP191" i="12"/>
  <c r="BQ191" i="12"/>
  <c r="BR191" i="12"/>
  <c r="BS191" i="12"/>
  <c r="BT191" i="12"/>
  <c r="BU191" i="12"/>
  <c r="BV191" i="12"/>
  <c r="BW191" i="12"/>
  <c r="BX191" i="12"/>
  <c r="BY191" i="12"/>
  <c r="BZ191" i="12"/>
  <c r="CA191" i="12"/>
  <c r="CB191" i="12"/>
  <c r="CC191" i="12"/>
  <c r="CD191" i="12"/>
  <c r="CE191" i="12"/>
  <c r="CF191" i="12"/>
  <c r="CG191" i="12"/>
  <c r="CH191" i="12"/>
  <c r="CI191" i="12"/>
  <c r="CJ191" i="12"/>
  <c r="CK191" i="12"/>
  <c r="CL191" i="12"/>
  <c r="CM191" i="12"/>
  <c r="CN191" i="12"/>
  <c r="CO191" i="12"/>
  <c r="CP191" i="12"/>
  <c r="CQ191" i="12"/>
  <c r="CR191" i="12"/>
  <c r="CS191" i="12"/>
  <c r="CT191" i="12"/>
  <c r="CU191" i="12"/>
  <c r="CV191" i="12"/>
  <c r="CW191" i="12"/>
  <c r="CX191" i="12"/>
  <c r="CY191" i="12"/>
  <c r="CZ191" i="12"/>
  <c r="DA191" i="12"/>
  <c r="DB191" i="12"/>
  <c r="DC191" i="12"/>
  <c r="DD191" i="12"/>
  <c r="DE191" i="12"/>
  <c r="DF191" i="12"/>
  <c r="DG191" i="12"/>
  <c r="DH191" i="12"/>
  <c r="DI191" i="12"/>
  <c r="DJ191" i="12"/>
  <c r="DK191" i="12"/>
  <c r="DL191" i="12"/>
  <c r="DM191" i="12"/>
  <c r="DN191" i="12"/>
  <c r="DO191" i="12"/>
  <c r="DP191" i="12"/>
  <c r="DQ191" i="12"/>
  <c r="DR191" i="12"/>
  <c r="DS191" i="12"/>
  <c r="DT191" i="12"/>
  <c r="DU191" i="12"/>
  <c r="O192" i="12"/>
  <c r="P192" i="12"/>
  <c r="Q192" i="12"/>
  <c r="R192" i="12"/>
  <c r="S192" i="12"/>
  <c r="T192" i="12"/>
  <c r="U192" i="12"/>
  <c r="V192" i="12"/>
  <c r="W192" i="12"/>
  <c r="X192" i="12"/>
  <c r="Y192" i="12"/>
  <c r="Z192" i="12"/>
  <c r="AA192" i="12"/>
  <c r="AB192" i="12"/>
  <c r="AC192" i="12"/>
  <c r="AD192" i="12"/>
  <c r="AE192" i="12"/>
  <c r="AF192" i="12"/>
  <c r="AG192" i="12"/>
  <c r="AH192" i="12"/>
  <c r="AI192" i="12"/>
  <c r="AJ192" i="12"/>
  <c r="AK192" i="12"/>
  <c r="AL192" i="12"/>
  <c r="AM192" i="12"/>
  <c r="AN192" i="12"/>
  <c r="AO192" i="12"/>
  <c r="AP192" i="12"/>
  <c r="AQ192" i="12"/>
  <c r="AR192" i="12"/>
  <c r="AS192" i="12"/>
  <c r="AT192" i="12"/>
  <c r="AU192" i="12"/>
  <c r="AV192" i="12"/>
  <c r="AW192" i="12"/>
  <c r="AX192" i="12"/>
  <c r="AY192" i="12"/>
  <c r="AZ192" i="12"/>
  <c r="BA192" i="12"/>
  <c r="BB192" i="12"/>
  <c r="BC192" i="12"/>
  <c r="BD192" i="12"/>
  <c r="BE192" i="12"/>
  <c r="BF192" i="12"/>
  <c r="BG192" i="12"/>
  <c r="BH192" i="12"/>
  <c r="BI192" i="12"/>
  <c r="BJ192" i="12"/>
  <c r="BK192" i="12"/>
  <c r="BL192" i="12"/>
  <c r="BM192" i="12"/>
  <c r="BN192" i="12"/>
  <c r="BO192" i="12"/>
  <c r="BP192" i="12"/>
  <c r="BQ192" i="12"/>
  <c r="BR192" i="12"/>
  <c r="BS192" i="12"/>
  <c r="BT192" i="12"/>
  <c r="BU192" i="12"/>
  <c r="BV192" i="12"/>
  <c r="BW192" i="12"/>
  <c r="BX192" i="12"/>
  <c r="BY192" i="12"/>
  <c r="BZ192" i="12"/>
  <c r="CA192" i="12"/>
  <c r="CB192" i="12"/>
  <c r="CC192" i="12"/>
  <c r="CD192" i="12"/>
  <c r="CE192" i="12"/>
  <c r="CF192" i="12"/>
  <c r="CG192" i="12"/>
  <c r="CH192" i="12"/>
  <c r="CI192" i="12"/>
  <c r="CJ192" i="12"/>
  <c r="CK192" i="12"/>
  <c r="CL192" i="12"/>
  <c r="CM192" i="12"/>
  <c r="CN192" i="12"/>
  <c r="CO192" i="12"/>
  <c r="CP192" i="12"/>
  <c r="CQ192" i="12"/>
  <c r="CR192" i="12"/>
  <c r="CS192" i="12"/>
  <c r="CT192" i="12"/>
  <c r="CU192" i="12"/>
  <c r="CV192" i="12"/>
  <c r="CW192" i="12"/>
  <c r="CX192" i="12"/>
  <c r="CY192" i="12"/>
  <c r="CZ192" i="12"/>
  <c r="DA192" i="12"/>
  <c r="DB192" i="12"/>
  <c r="DC192" i="12"/>
  <c r="DD192" i="12"/>
  <c r="DE192" i="12"/>
  <c r="DF192" i="12"/>
  <c r="DG192" i="12"/>
  <c r="DH192" i="12"/>
  <c r="DI192" i="12"/>
  <c r="DJ192" i="12"/>
  <c r="DK192" i="12"/>
  <c r="DL192" i="12"/>
  <c r="DM192" i="12"/>
  <c r="DN192" i="12"/>
  <c r="DO192" i="12"/>
  <c r="DP192" i="12"/>
  <c r="DQ192" i="12"/>
  <c r="DR192" i="12"/>
  <c r="DS192" i="12"/>
  <c r="DT192" i="12"/>
  <c r="DU192" i="12"/>
  <c r="O193" i="12"/>
  <c r="P193" i="12"/>
  <c r="Q193" i="12"/>
  <c r="R193" i="12"/>
  <c r="S193" i="12"/>
  <c r="T193" i="12"/>
  <c r="U193" i="12"/>
  <c r="V193" i="12"/>
  <c r="W193" i="12"/>
  <c r="X193" i="12"/>
  <c r="Y193" i="12"/>
  <c r="Z193" i="12"/>
  <c r="AA193" i="12"/>
  <c r="AB193" i="12"/>
  <c r="AC193" i="12"/>
  <c r="AD193" i="12"/>
  <c r="AE193" i="12"/>
  <c r="AF193" i="12"/>
  <c r="AG193" i="12"/>
  <c r="AH193" i="12"/>
  <c r="AI193" i="12"/>
  <c r="AJ193" i="12"/>
  <c r="AK193" i="12"/>
  <c r="AL193" i="12"/>
  <c r="AM193" i="12"/>
  <c r="AN193" i="12"/>
  <c r="AO193" i="12"/>
  <c r="AP193" i="12"/>
  <c r="AQ193" i="12"/>
  <c r="AR193" i="12"/>
  <c r="AS193" i="12"/>
  <c r="AT193" i="12"/>
  <c r="AU193" i="12"/>
  <c r="AV193" i="12"/>
  <c r="AW193" i="12"/>
  <c r="AX193" i="12"/>
  <c r="AY193" i="12"/>
  <c r="AZ193" i="12"/>
  <c r="BA193" i="12"/>
  <c r="BB193" i="12"/>
  <c r="BC193" i="12"/>
  <c r="BD193" i="12"/>
  <c r="BE193" i="12"/>
  <c r="BF193" i="12"/>
  <c r="BG193" i="12"/>
  <c r="BH193" i="12"/>
  <c r="BI193" i="12"/>
  <c r="BJ193" i="12"/>
  <c r="BK193" i="12"/>
  <c r="BL193" i="12"/>
  <c r="BM193" i="12"/>
  <c r="BN193" i="12"/>
  <c r="BO193" i="12"/>
  <c r="BP193" i="12"/>
  <c r="BQ193" i="12"/>
  <c r="BR193" i="12"/>
  <c r="BS193" i="12"/>
  <c r="BT193" i="12"/>
  <c r="BU193" i="12"/>
  <c r="BV193" i="12"/>
  <c r="BW193" i="12"/>
  <c r="BX193" i="12"/>
  <c r="BY193" i="12"/>
  <c r="BZ193" i="12"/>
  <c r="CA193" i="12"/>
  <c r="CB193" i="12"/>
  <c r="CC193" i="12"/>
  <c r="CD193" i="12"/>
  <c r="CE193" i="12"/>
  <c r="CF193" i="12"/>
  <c r="CG193" i="12"/>
  <c r="CH193" i="12"/>
  <c r="CI193" i="12"/>
  <c r="CJ193" i="12"/>
  <c r="CK193" i="12"/>
  <c r="CL193" i="12"/>
  <c r="CM193" i="12"/>
  <c r="CN193" i="12"/>
  <c r="CO193" i="12"/>
  <c r="CP193" i="12"/>
  <c r="CQ193" i="12"/>
  <c r="CR193" i="12"/>
  <c r="CS193" i="12"/>
  <c r="CT193" i="12"/>
  <c r="CU193" i="12"/>
  <c r="CV193" i="12"/>
  <c r="CW193" i="12"/>
  <c r="CX193" i="12"/>
  <c r="CY193" i="12"/>
  <c r="CZ193" i="12"/>
  <c r="DA193" i="12"/>
  <c r="DB193" i="12"/>
  <c r="DC193" i="12"/>
  <c r="DD193" i="12"/>
  <c r="DE193" i="12"/>
  <c r="DF193" i="12"/>
  <c r="DG193" i="12"/>
  <c r="DH193" i="12"/>
  <c r="DI193" i="12"/>
  <c r="DJ193" i="12"/>
  <c r="DK193" i="12"/>
  <c r="DL193" i="12"/>
  <c r="DM193" i="12"/>
  <c r="DN193" i="12"/>
  <c r="DO193" i="12"/>
  <c r="DP193" i="12"/>
  <c r="DQ193" i="12"/>
  <c r="DR193" i="12"/>
  <c r="DS193" i="12"/>
  <c r="DT193" i="12"/>
  <c r="DU193" i="12"/>
  <c r="O194" i="12"/>
  <c r="P194" i="12"/>
  <c r="Q194" i="12"/>
  <c r="R194" i="12"/>
  <c r="S194" i="12"/>
  <c r="T194" i="12"/>
  <c r="U194" i="12"/>
  <c r="V194" i="12"/>
  <c r="W194" i="12"/>
  <c r="X194" i="12"/>
  <c r="Y194" i="12"/>
  <c r="Z194" i="12"/>
  <c r="AA194" i="12"/>
  <c r="AB194" i="12"/>
  <c r="AC194" i="12"/>
  <c r="AD194" i="12"/>
  <c r="AE194" i="12"/>
  <c r="AF194" i="12"/>
  <c r="AG194" i="12"/>
  <c r="AH194" i="12"/>
  <c r="AI194" i="12"/>
  <c r="AJ194" i="12"/>
  <c r="AK194" i="12"/>
  <c r="AL194" i="12"/>
  <c r="AM194" i="12"/>
  <c r="AN194" i="12"/>
  <c r="AO194" i="12"/>
  <c r="AP194" i="12"/>
  <c r="AQ194" i="12"/>
  <c r="AR194" i="12"/>
  <c r="AS194" i="12"/>
  <c r="AT194" i="12"/>
  <c r="AU194" i="12"/>
  <c r="AV194" i="12"/>
  <c r="AW194" i="12"/>
  <c r="AX194" i="12"/>
  <c r="AY194" i="12"/>
  <c r="AZ194" i="12"/>
  <c r="BA194" i="12"/>
  <c r="BB194" i="12"/>
  <c r="BC194" i="12"/>
  <c r="BD194" i="12"/>
  <c r="BE194" i="12"/>
  <c r="BF194" i="12"/>
  <c r="BG194" i="12"/>
  <c r="BH194" i="12"/>
  <c r="BI194" i="12"/>
  <c r="BJ194" i="12"/>
  <c r="BK194" i="12"/>
  <c r="BL194" i="12"/>
  <c r="BM194" i="12"/>
  <c r="BN194" i="12"/>
  <c r="BO194" i="12"/>
  <c r="BP194" i="12"/>
  <c r="BQ194" i="12"/>
  <c r="BR194" i="12"/>
  <c r="BS194" i="12"/>
  <c r="BT194" i="12"/>
  <c r="BU194" i="12"/>
  <c r="BV194" i="12"/>
  <c r="BW194" i="12"/>
  <c r="BX194" i="12"/>
  <c r="BY194" i="12"/>
  <c r="BZ194" i="12"/>
  <c r="CA194" i="12"/>
  <c r="CB194" i="12"/>
  <c r="CC194" i="12"/>
  <c r="CD194" i="12"/>
  <c r="CE194" i="12"/>
  <c r="CF194" i="12"/>
  <c r="CG194" i="12"/>
  <c r="CH194" i="12"/>
  <c r="CI194" i="12"/>
  <c r="CJ194" i="12"/>
  <c r="CK194" i="12"/>
  <c r="CL194" i="12"/>
  <c r="CM194" i="12"/>
  <c r="CN194" i="12"/>
  <c r="CO194" i="12"/>
  <c r="CP194" i="12"/>
  <c r="CQ194" i="12"/>
  <c r="CR194" i="12"/>
  <c r="CS194" i="12"/>
  <c r="CT194" i="12"/>
  <c r="CU194" i="12"/>
  <c r="CV194" i="12"/>
  <c r="CW194" i="12"/>
  <c r="CX194" i="12"/>
  <c r="CY194" i="12"/>
  <c r="CZ194" i="12"/>
  <c r="DA194" i="12"/>
  <c r="DB194" i="12"/>
  <c r="DC194" i="12"/>
  <c r="DD194" i="12"/>
  <c r="DE194" i="12"/>
  <c r="DF194" i="12"/>
  <c r="DG194" i="12"/>
  <c r="DH194" i="12"/>
  <c r="DI194" i="12"/>
  <c r="DJ194" i="12"/>
  <c r="DK194" i="12"/>
  <c r="DL194" i="12"/>
  <c r="DM194" i="12"/>
  <c r="DN194" i="12"/>
  <c r="DO194" i="12"/>
  <c r="DP194" i="12"/>
  <c r="DQ194" i="12"/>
  <c r="DR194" i="12"/>
  <c r="DS194" i="12"/>
  <c r="DT194" i="12"/>
  <c r="DU194" i="12"/>
  <c r="O195" i="12"/>
  <c r="P195" i="12"/>
  <c r="Q195" i="12"/>
  <c r="R195" i="12"/>
  <c r="S195" i="12"/>
  <c r="T195" i="12"/>
  <c r="U195" i="12"/>
  <c r="V195" i="12"/>
  <c r="W195" i="12"/>
  <c r="X195" i="12"/>
  <c r="Y195" i="12"/>
  <c r="Z195" i="12"/>
  <c r="AA195" i="12"/>
  <c r="AB195" i="12"/>
  <c r="AC195" i="12"/>
  <c r="AD195" i="12"/>
  <c r="AE195" i="12"/>
  <c r="AF195" i="12"/>
  <c r="AG195" i="12"/>
  <c r="AH195" i="12"/>
  <c r="AI195" i="12"/>
  <c r="AJ195" i="12"/>
  <c r="AK195" i="12"/>
  <c r="AL195" i="12"/>
  <c r="AM195" i="12"/>
  <c r="AN195" i="12"/>
  <c r="AO195" i="12"/>
  <c r="AP195" i="12"/>
  <c r="AQ195" i="12"/>
  <c r="AR195" i="12"/>
  <c r="AS195" i="12"/>
  <c r="AT195" i="12"/>
  <c r="AU195" i="12"/>
  <c r="AV195" i="12"/>
  <c r="AW195" i="12"/>
  <c r="AX195" i="12"/>
  <c r="AY195" i="12"/>
  <c r="AZ195" i="12"/>
  <c r="BA195" i="12"/>
  <c r="BB195" i="12"/>
  <c r="BC195" i="12"/>
  <c r="BD195" i="12"/>
  <c r="BE195" i="12"/>
  <c r="BF195" i="12"/>
  <c r="BG195" i="12"/>
  <c r="BH195" i="12"/>
  <c r="BI195" i="12"/>
  <c r="BJ195" i="12"/>
  <c r="BK195" i="12"/>
  <c r="BL195" i="12"/>
  <c r="BM195" i="12"/>
  <c r="BN195" i="12"/>
  <c r="BO195" i="12"/>
  <c r="BP195" i="12"/>
  <c r="BQ195" i="12"/>
  <c r="BR195" i="12"/>
  <c r="BS195" i="12"/>
  <c r="BT195" i="12"/>
  <c r="BU195" i="12"/>
  <c r="BV195" i="12"/>
  <c r="BW195" i="12"/>
  <c r="BX195" i="12"/>
  <c r="BY195" i="12"/>
  <c r="BZ195" i="12"/>
  <c r="CA195" i="12"/>
  <c r="CB195" i="12"/>
  <c r="CC195" i="12"/>
  <c r="CD195" i="12"/>
  <c r="CE195" i="12"/>
  <c r="CF195" i="12"/>
  <c r="CG195" i="12"/>
  <c r="CH195" i="12"/>
  <c r="CI195" i="12"/>
  <c r="CJ195" i="12"/>
  <c r="CK195" i="12"/>
  <c r="CL195" i="12"/>
  <c r="CM195" i="12"/>
  <c r="CN195" i="12"/>
  <c r="CO195" i="12"/>
  <c r="CP195" i="12"/>
  <c r="CQ195" i="12"/>
  <c r="CR195" i="12"/>
  <c r="CS195" i="12"/>
  <c r="CT195" i="12"/>
  <c r="CU195" i="12"/>
  <c r="CV195" i="12"/>
  <c r="CW195" i="12"/>
  <c r="CX195" i="12"/>
  <c r="CY195" i="12"/>
  <c r="CZ195" i="12"/>
  <c r="DA195" i="12"/>
  <c r="DB195" i="12"/>
  <c r="DC195" i="12"/>
  <c r="DD195" i="12"/>
  <c r="DE195" i="12"/>
  <c r="DF195" i="12"/>
  <c r="DG195" i="12"/>
  <c r="DH195" i="12"/>
  <c r="DI195" i="12"/>
  <c r="DJ195" i="12"/>
  <c r="DK195" i="12"/>
  <c r="DL195" i="12"/>
  <c r="DM195" i="12"/>
  <c r="DN195" i="12"/>
  <c r="DO195" i="12"/>
  <c r="DP195" i="12"/>
  <c r="DQ195" i="12"/>
  <c r="DR195" i="12"/>
  <c r="DS195" i="12"/>
  <c r="DT195" i="12"/>
  <c r="DU195" i="12"/>
  <c r="O196" i="12"/>
  <c r="P196" i="12"/>
  <c r="Q196" i="12"/>
  <c r="R196" i="12"/>
  <c r="S196" i="12"/>
  <c r="T196" i="12"/>
  <c r="U196" i="12"/>
  <c r="V196" i="12"/>
  <c r="W196" i="12"/>
  <c r="X196" i="12"/>
  <c r="Y196" i="12"/>
  <c r="Z196" i="12"/>
  <c r="AA196" i="12"/>
  <c r="AB196" i="12"/>
  <c r="AC196" i="12"/>
  <c r="AD196" i="12"/>
  <c r="AE196" i="12"/>
  <c r="AF196" i="12"/>
  <c r="AG196" i="12"/>
  <c r="AH196" i="12"/>
  <c r="AI196" i="12"/>
  <c r="AJ196" i="12"/>
  <c r="AK196" i="12"/>
  <c r="AL196" i="12"/>
  <c r="AM196" i="12"/>
  <c r="AN196" i="12"/>
  <c r="AO196" i="12"/>
  <c r="AP196" i="12"/>
  <c r="AQ196" i="12"/>
  <c r="AR196" i="12"/>
  <c r="AS196" i="12"/>
  <c r="AT196" i="12"/>
  <c r="AU196" i="12"/>
  <c r="AV196" i="12"/>
  <c r="AW196" i="12"/>
  <c r="AX196" i="12"/>
  <c r="AY196" i="12"/>
  <c r="AZ196" i="12"/>
  <c r="BA196" i="12"/>
  <c r="BB196" i="12"/>
  <c r="BC196" i="12"/>
  <c r="BD196" i="12"/>
  <c r="BE196" i="12"/>
  <c r="BF196" i="12"/>
  <c r="BG196" i="12"/>
  <c r="BH196" i="12"/>
  <c r="BI196" i="12"/>
  <c r="BJ196" i="12"/>
  <c r="BK196" i="12"/>
  <c r="BL196" i="12"/>
  <c r="BM196" i="12"/>
  <c r="BN196" i="12"/>
  <c r="BO196" i="12"/>
  <c r="BP196" i="12"/>
  <c r="BQ196" i="12"/>
  <c r="BR196" i="12"/>
  <c r="BS196" i="12"/>
  <c r="BT196" i="12"/>
  <c r="BU196" i="12"/>
  <c r="BV196" i="12"/>
  <c r="BW196" i="12"/>
  <c r="BX196" i="12"/>
  <c r="BY196" i="12"/>
  <c r="BZ196" i="12"/>
  <c r="CA196" i="12"/>
  <c r="CB196" i="12"/>
  <c r="CC196" i="12"/>
  <c r="CD196" i="12"/>
  <c r="CE196" i="12"/>
  <c r="CF196" i="12"/>
  <c r="CG196" i="12"/>
  <c r="CH196" i="12"/>
  <c r="CI196" i="12"/>
  <c r="CJ196" i="12"/>
  <c r="CK196" i="12"/>
  <c r="CL196" i="12"/>
  <c r="CM196" i="12"/>
  <c r="CN196" i="12"/>
  <c r="CO196" i="12"/>
  <c r="CP196" i="12"/>
  <c r="CQ196" i="12"/>
  <c r="CR196" i="12"/>
  <c r="CS196" i="12"/>
  <c r="CT196" i="12"/>
  <c r="CU196" i="12"/>
  <c r="CV196" i="12"/>
  <c r="CW196" i="12"/>
  <c r="CX196" i="12"/>
  <c r="CY196" i="12"/>
  <c r="CZ196" i="12"/>
  <c r="DA196" i="12"/>
  <c r="DB196" i="12"/>
  <c r="DC196" i="12"/>
  <c r="DD196" i="12"/>
  <c r="DE196" i="12"/>
  <c r="DF196" i="12"/>
  <c r="DG196" i="12"/>
  <c r="DH196" i="12"/>
  <c r="DI196" i="12"/>
  <c r="DJ196" i="12"/>
  <c r="DK196" i="12"/>
  <c r="DL196" i="12"/>
  <c r="DM196" i="12"/>
  <c r="DN196" i="12"/>
  <c r="DO196" i="12"/>
  <c r="DP196" i="12"/>
  <c r="DQ196" i="12"/>
  <c r="DR196" i="12"/>
  <c r="DS196" i="12"/>
  <c r="DT196" i="12"/>
  <c r="DU196" i="12"/>
  <c r="O197" i="12"/>
  <c r="P197" i="12"/>
  <c r="Q197" i="12"/>
  <c r="R197" i="12"/>
  <c r="S197" i="12"/>
  <c r="T197" i="12"/>
  <c r="U197" i="12"/>
  <c r="V197" i="12"/>
  <c r="W197" i="12"/>
  <c r="X197" i="12"/>
  <c r="Y197" i="12"/>
  <c r="Z197" i="12"/>
  <c r="AA197" i="12"/>
  <c r="AB197" i="12"/>
  <c r="AC197" i="12"/>
  <c r="AD197" i="12"/>
  <c r="AE197" i="12"/>
  <c r="AF197" i="12"/>
  <c r="AG197" i="12"/>
  <c r="AH197" i="12"/>
  <c r="AI197" i="12"/>
  <c r="AJ197" i="12"/>
  <c r="AK197" i="12"/>
  <c r="AL197" i="12"/>
  <c r="AM197" i="12"/>
  <c r="AN197" i="12"/>
  <c r="AO197" i="12"/>
  <c r="AP197" i="12"/>
  <c r="AQ197" i="12"/>
  <c r="AR197" i="12"/>
  <c r="AS197" i="12"/>
  <c r="AT197" i="12"/>
  <c r="AU197" i="12"/>
  <c r="AV197" i="12"/>
  <c r="AW197" i="12"/>
  <c r="AX197" i="12"/>
  <c r="AY197" i="12"/>
  <c r="AZ197" i="12"/>
  <c r="BA197" i="12"/>
  <c r="BB197" i="12"/>
  <c r="BC197" i="12"/>
  <c r="BD197" i="12"/>
  <c r="BE197" i="12"/>
  <c r="BF197" i="12"/>
  <c r="BG197" i="12"/>
  <c r="BH197" i="12"/>
  <c r="BI197" i="12"/>
  <c r="BJ197" i="12"/>
  <c r="BK197" i="12"/>
  <c r="BL197" i="12"/>
  <c r="BM197" i="12"/>
  <c r="BN197" i="12"/>
  <c r="BO197" i="12"/>
  <c r="BP197" i="12"/>
  <c r="BQ197" i="12"/>
  <c r="BR197" i="12"/>
  <c r="BS197" i="12"/>
  <c r="BT197" i="12"/>
  <c r="BU197" i="12"/>
  <c r="BV197" i="12"/>
  <c r="BW197" i="12"/>
  <c r="BX197" i="12"/>
  <c r="BY197" i="12"/>
  <c r="BZ197" i="12"/>
  <c r="CA197" i="12"/>
  <c r="CB197" i="12"/>
  <c r="CC197" i="12"/>
  <c r="CD197" i="12"/>
  <c r="CE197" i="12"/>
  <c r="CF197" i="12"/>
  <c r="CG197" i="12"/>
  <c r="CH197" i="12"/>
  <c r="CI197" i="12"/>
  <c r="CJ197" i="12"/>
  <c r="CK197" i="12"/>
  <c r="CL197" i="12"/>
  <c r="CM197" i="12"/>
  <c r="CN197" i="12"/>
  <c r="CO197" i="12"/>
  <c r="CP197" i="12"/>
  <c r="CQ197" i="12"/>
  <c r="CR197" i="12"/>
  <c r="CS197" i="12"/>
  <c r="CT197" i="12"/>
  <c r="CU197" i="12"/>
  <c r="CV197" i="12"/>
  <c r="CW197" i="12"/>
  <c r="CX197" i="12"/>
  <c r="CY197" i="12"/>
  <c r="CZ197" i="12"/>
  <c r="DA197" i="12"/>
  <c r="DB197" i="12"/>
  <c r="DC197" i="12"/>
  <c r="DD197" i="12"/>
  <c r="DE197" i="12"/>
  <c r="DF197" i="12"/>
  <c r="DG197" i="12"/>
  <c r="DH197" i="12"/>
  <c r="DI197" i="12"/>
  <c r="DJ197" i="12"/>
  <c r="DK197" i="12"/>
  <c r="DL197" i="12"/>
  <c r="DM197" i="12"/>
  <c r="DN197" i="12"/>
  <c r="DO197" i="12"/>
  <c r="DP197" i="12"/>
  <c r="DQ197" i="12"/>
  <c r="DR197" i="12"/>
  <c r="DS197" i="12"/>
  <c r="DT197" i="12"/>
  <c r="DU197" i="12"/>
  <c r="O198" i="12"/>
  <c r="P198" i="12"/>
  <c r="Q198" i="12"/>
  <c r="R198" i="12"/>
  <c r="S198" i="12"/>
  <c r="T198" i="12"/>
  <c r="U198" i="12"/>
  <c r="V198" i="12"/>
  <c r="W198" i="12"/>
  <c r="X198" i="12"/>
  <c r="Y198" i="12"/>
  <c r="Z198" i="12"/>
  <c r="AA198" i="12"/>
  <c r="AB198" i="12"/>
  <c r="AC198" i="12"/>
  <c r="AD198" i="12"/>
  <c r="AE198" i="12"/>
  <c r="AF198" i="12"/>
  <c r="AG198" i="12"/>
  <c r="AH198" i="12"/>
  <c r="AI198" i="12"/>
  <c r="AJ198" i="12"/>
  <c r="AK198" i="12"/>
  <c r="AL198" i="12"/>
  <c r="AM198" i="12"/>
  <c r="AN198" i="12"/>
  <c r="AO198" i="12"/>
  <c r="AP198" i="12"/>
  <c r="AQ198" i="12"/>
  <c r="AR198" i="12"/>
  <c r="AS198" i="12"/>
  <c r="AT198" i="12"/>
  <c r="AU198" i="12"/>
  <c r="AV198" i="12"/>
  <c r="AW198" i="12"/>
  <c r="AX198" i="12"/>
  <c r="AY198" i="12"/>
  <c r="AZ198" i="12"/>
  <c r="BA198" i="12"/>
  <c r="BB198" i="12"/>
  <c r="BC198" i="12"/>
  <c r="BD198" i="12"/>
  <c r="BE198" i="12"/>
  <c r="BF198" i="12"/>
  <c r="BG198" i="12"/>
  <c r="BH198" i="12"/>
  <c r="BI198" i="12"/>
  <c r="BJ198" i="12"/>
  <c r="BK198" i="12"/>
  <c r="BL198" i="12"/>
  <c r="BM198" i="12"/>
  <c r="BN198" i="12"/>
  <c r="BO198" i="12"/>
  <c r="BP198" i="12"/>
  <c r="BQ198" i="12"/>
  <c r="BR198" i="12"/>
  <c r="BS198" i="12"/>
  <c r="BT198" i="12"/>
  <c r="BU198" i="12"/>
  <c r="BV198" i="12"/>
  <c r="BW198" i="12"/>
  <c r="BX198" i="12"/>
  <c r="BY198" i="12"/>
  <c r="BZ198" i="12"/>
  <c r="CA198" i="12"/>
  <c r="CB198" i="12"/>
  <c r="CC198" i="12"/>
  <c r="CD198" i="12"/>
  <c r="CE198" i="12"/>
  <c r="CF198" i="12"/>
  <c r="CG198" i="12"/>
  <c r="CH198" i="12"/>
  <c r="CI198" i="12"/>
  <c r="CJ198" i="12"/>
  <c r="CK198" i="12"/>
  <c r="CL198" i="12"/>
  <c r="CM198" i="12"/>
  <c r="CN198" i="12"/>
  <c r="CO198" i="12"/>
  <c r="CP198" i="12"/>
  <c r="CQ198" i="12"/>
  <c r="CR198" i="12"/>
  <c r="CS198" i="12"/>
  <c r="CT198" i="12"/>
  <c r="CU198" i="12"/>
  <c r="CV198" i="12"/>
  <c r="CW198" i="12"/>
  <c r="CX198" i="12"/>
  <c r="CY198" i="12"/>
  <c r="CZ198" i="12"/>
  <c r="DA198" i="12"/>
  <c r="DB198" i="12"/>
  <c r="DC198" i="12"/>
  <c r="DD198" i="12"/>
  <c r="DE198" i="12"/>
  <c r="DF198" i="12"/>
  <c r="DG198" i="12"/>
  <c r="DH198" i="12"/>
  <c r="DI198" i="12"/>
  <c r="DJ198" i="12"/>
  <c r="DK198" i="12"/>
  <c r="DL198" i="12"/>
  <c r="DM198" i="12"/>
  <c r="DN198" i="12"/>
  <c r="DO198" i="12"/>
  <c r="DP198" i="12"/>
  <c r="DQ198" i="12"/>
  <c r="DR198" i="12"/>
  <c r="DS198" i="12"/>
  <c r="DT198" i="12"/>
  <c r="DU198" i="12"/>
  <c r="O199" i="12"/>
  <c r="P199" i="12"/>
  <c r="Q199" i="12"/>
  <c r="R199" i="12"/>
  <c r="S199" i="12"/>
  <c r="T199" i="12"/>
  <c r="U199" i="12"/>
  <c r="V199" i="12"/>
  <c r="W199" i="12"/>
  <c r="X199" i="12"/>
  <c r="Y199" i="12"/>
  <c r="Z199" i="12"/>
  <c r="AA199" i="12"/>
  <c r="AB199" i="12"/>
  <c r="AC199" i="12"/>
  <c r="AD199" i="12"/>
  <c r="AE199" i="12"/>
  <c r="AF199" i="12"/>
  <c r="AG199" i="12"/>
  <c r="AH199" i="12"/>
  <c r="AI199" i="12"/>
  <c r="AJ199" i="12"/>
  <c r="AK199" i="12"/>
  <c r="AL199" i="12"/>
  <c r="AM199" i="12"/>
  <c r="AN199" i="12"/>
  <c r="AO199" i="12"/>
  <c r="AP199" i="12"/>
  <c r="AQ199" i="12"/>
  <c r="AR199" i="12"/>
  <c r="AS199" i="12"/>
  <c r="AT199" i="12"/>
  <c r="AU199" i="12"/>
  <c r="AV199" i="12"/>
  <c r="AW199" i="12"/>
  <c r="AX199" i="12"/>
  <c r="AY199" i="12"/>
  <c r="AZ199" i="12"/>
  <c r="BA199" i="12"/>
  <c r="BB199" i="12"/>
  <c r="BC199" i="12"/>
  <c r="BD199" i="12"/>
  <c r="BE199" i="12"/>
  <c r="BF199" i="12"/>
  <c r="BG199" i="12"/>
  <c r="BH199" i="12"/>
  <c r="BI199" i="12"/>
  <c r="BJ199" i="12"/>
  <c r="BK199" i="12"/>
  <c r="BL199" i="12"/>
  <c r="BM199" i="12"/>
  <c r="BN199" i="12"/>
  <c r="BO199" i="12"/>
  <c r="BP199" i="12"/>
  <c r="BQ199" i="12"/>
  <c r="BR199" i="12"/>
  <c r="BS199" i="12"/>
  <c r="BT199" i="12"/>
  <c r="BU199" i="12"/>
  <c r="BV199" i="12"/>
  <c r="BW199" i="12"/>
  <c r="BX199" i="12"/>
  <c r="BY199" i="12"/>
  <c r="BZ199" i="12"/>
  <c r="CA199" i="12"/>
  <c r="CB199" i="12"/>
  <c r="CC199" i="12"/>
  <c r="CD199" i="12"/>
  <c r="CE199" i="12"/>
  <c r="CF199" i="12"/>
  <c r="CG199" i="12"/>
  <c r="CH199" i="12"/>
  <c r="CI199" i="12"/>
  <c r="CJ199" i="12"/>
  <c r="CK199" i="12"/>
  <c r="CL199" i="12"/>
  <c r="CM199" i="12"/>
  <c r="CN199" i="12"/>
  <c r="CO199" i="12"/>
  <c r="CP199" i="12"/>
  <c r="CQ199" i="12"/>
  <c r="CR199" i="12"/>
  <c r="CS199" i="12"/>
  <c r="CT199" i="12"/>
  <c r="CU199" i="12"/>
  <c r="CV199" i="12"/>
  <c r="CW199" i="12"/>
  <c r="CX199" i="12"/>
  <c r="CY199" i="12"/>
  <c r="CZ199" i="12"/>
  <c r="DA199" i="12"/>
  <c r="DB199" i="12"/>
  <c r="DC199" i="12"/>
  <c r="DD199" i="12"/>
  <c r="DE199" i="12"/>
  <c r="DF199" i="12"/>
  <c r="DG199" i="12"/>
  <c r="DH199" i="12"/>
  <c r="DI199" i="12"/>
  <c r="DJ199" i="12"/>
  <c r="DK199" i="12"/>
  <c r="DL199" i="12"/>
  <c r="DM199" i="12"/>
  <c r="DN199" i="12"/>
  <c r="DO199" i="12"/>
  <c r="DP199" i="12"/>
  <c r="DQ199" i="12"/>
  <c r="DR199" i="12"/>
  <c r="DS199" i="12"/>
  <c r="DT199" i="12"/>
  <c r="DU199" i="12"/>
  <c r="O200" i="12"/>
  <c r="P200" i="12"/>
  <c r="Q200" i="12"/>
  <c r="R200" i="12"/>
  <c r="S200" i="12"/>
  <c r="T200" i="12"/>
  <c r="U200" i="12"/>
  <c r="V200" i="12"/>
  <c r="W200" i="12"/>
  <c r="X200" i="12"/>
  <c r="Y200" i="12"/>
  <c r="Z200" i="12"/>
  <c r="AA200" i="12"/>
  <c r="AB200" i="12"/>
  <c r="AC200" i="12"/>
  <c r="AD200" i="12"/>
  <c r="AE200" i="12"/>
  <c r="AF200" i="12"/>
  <c r="AG200" i="12"/>
  <c r="AH200" i="12"/>
  <c r="AI200" i="12"/>
  <c r="AJ200" i="12"/>
  <c r="AK200" i="12"/>
  <c r="AL200" i="12"/>
  <c r="AM200" i="12"/>
  <c r="AN200" i="12"/>
  <c r="AO200" i="12"/>
  <c r="AP200" i="12"/>
  <c r="AQ200" i="12"/>
  <c r="AR200" i="12"/>
  <c r="AS200" i="12"/>
  <c r="AT200" i="12"/>
  <c r="AU200" i="12"/>
  <c r="AV200" i="12"/>
  <c r="AW200" i="12"/>
  <c r="AX200" i="12"/>
  <c r="AY200" i="12"/>
  <c r="AZ200" i="12"/>
  <c r="BA200" i="12"/>
  <c r="BB200" i="12"/>
  <c r="BC200" i="12"/>
  <c r="BD200" i="12"/>
  <c r="BE200" i="12"/>
  <c r="BF200" i="12"/>
  <c r="BG200" i="12"/>
  <c r="BH200" i="12"/>
  <c r="BI200" i="12"/>
  <c r="BJ200" i="12"/>
  <c r="BK200" i="12"/>
  <c r="BL200" i="12"/>
  <c r="BM200" i="12"/>
  <c r="BN200" i="12"/>
  <c r="BO200" i="12"/>
  <c r="BP200" i="12"/>
  <c r="BQ200" i="12"/>
  <c r="BR200" i="12"/>
  <c r="BS200" i="12"/>
  <c r="BT200" i="12"/>
  <c r="BU200" i="12"/>
  <c r="BV200" i="12"/>
  <c r="BW200" i="12"/>
  <c r="BX200" i="12"/>
  <c r="BY200" i="12"/>
  <c r="BZ200" i="12"/>
  <c r="CA200" i="12"/>
  <c r="CB200" i="12"/>
  <c r="CC200" i="12"/>
  <c r="CD200" i="12"/>
  <c r="CE200" i="12"/>
  <c r="CF200" i="12"/>
  <c r="CG200" i="12"/>
  <c r="CH200" i="12"/>
  <c r="CI200" i="12"/>
  <c r="CJ200" i="12"/>
  <c r="CK200" i="12"/>
  <c r="CL200" i="12"/>
  <c r="CM200" i="12"/>
  <c r="CN200" i="12"/>
  <c r="CO200" i="12"/>
  <c r="CP200" i="12"/>
  <c r="CQ200" i="12"/>
  <c r="CR200" i="12"/>
  <c r="CS200" i="12"/>
  <c r="CT200" i="12"/>
  <c r="CU200" i="12"/>
  <c r="CV200" i="12"/>
  <c r="CW200" i="12"/>
  <c r="CX200" i="12"/>
  <c r="CY200" i="12"/>
  <c r="CZ200" i="12"/>
  <c r="DA200" i="12"/>
  <c r="DB200" i="12"/>
  <c r="DC200" i="12"/>
  <c r="DD200" i="12"/>
  <c r="DE200" i="12"/>
  <c r="DF200" i="12"/>
  <c r="DG200" i="12"/>
  <c r="DH200" i="12"/>
  <c r="DI200" i="12"/>
  <c r="DJ200" i="12"/>
  <c r="DK200" i="12"/>
  <c r="DL200" i="12"/>
  <c r="DM200" i="12"/>
  <c r="DN200" i="12"/>
  <c r="DO200" i="12"/>
  <c r="DP200" i="12"/>
  <c r="DQ200" i="12"/>
  <c r="DR200" i="12"/>
  <c r="DS200" i="12"/>
  <c r="DT200" i="12"/>
  <c r="DU200" i="12"/>
  <c r="O201" i="12"/>
  <c r="P201" i="12"/>
  <c r="Q201" i="12"/>
  <c r="R201" i="12"/>
  <c r="S201" i="12"/>
  <c r="T201" i="12"/>
  <c r="U201" i="12"/>
  <c r="V201" i="12"/>
  <c r="W201" i="12"/>
  <c r="X201" i="12"/>
  <c r="Y201" i="12"/>
  <c r="Z201" i="12"/>
  <c r="AA201" i="12"/>
  <c r="AB201" i="12"/>
  <c r="AC201" i="12"/>
  <c r="AD201" i="12"/>
  <c r="AE201" i="12"/>
  <c r="AF201" i="12"/>
  <c r="AG201" i="12"/>
  <c r="AH201" i="12"/>
  <c r="AI201" i="12"/>
  <c r="AJ201" i="12"/>
  <c r="AK201" i="12"/>
  <c r="AL201" i="12"/>
  <c r="AM201" i="12"/>
  <c r="AN201" i="12"/>
  <c r="AO201" i="12"/>
  <c r="AP201" i="12"/>
  <c r="AQ201" i="12"/>
  <c r="AR201" i="12"/>
  <c r="AS201" i="12"/>
  <c r="AT201" i="12"/>
  <c r="AU201" i="12"/>
  <c r="AV201" i="12"/>
  <c r="AW201" i="12"/>
  <c r="AX201" i="12"/>
  <c r="AY201" i="12"/>
  <c r="AZ201" i="12"/>
  <c r="BA201" i="12"/>
  <c r="BB201" i="12"/>
  <c r="BC201" i="12"/>
  <c r="BD201" i="12"/>
  <c r="BE201" i="12"/>
  <c r="BF201" i="12"/>
  <c r="BG201" i="12"/>
  <c r="BH201" i="12"/>
  <c r="BI201" i="12"/>
  <c r="BJ201" i="12"/>
  <c r="BK201" i="12"/>
  <c r="BL201" i="12"/>
  <c r="BM201" i="12"/>
  <c r="BN201" i="12"/>
  <c r="BO201" i="12"/>
  <c r="BP201" i="12"/>
  <c r="BQ201" i="12"/>
  <c r="BR201" i="12"/>
  <c r="BS201" i="12"/>
  <c r="BT201" i="12"/>
  <c r="BU201" i="12"/>
  <c r="BV201" i="12"/>
  <c r="BW201" i="12"/>
  <c r="BX201" i="12"/>
  <c r="BY201" i="12"/>
  <c r="BZ201" i="12"/>
  <c r="CA201" i="12"/>
  <c r="CB201" i="12"/>
  <c r="CC201" i="12"/>
  <c r="CD201" i="12"/>
  <c r="CE201" i="12"/>
  <c r="CF201" i="12"/>
  <c r="CG201" i="12"/>
  <c r="CH201" i="12"/>
  <c r="CI201" i="12"/>
  <c r="CJ201" i="12"/>
  <c r="CK201" i="12"/>
  <c r="CL201" i="12"/>
  <c r="CM201" i="12"/>
  <c r="CN201" i="12"/>
  <c r="CO201" i="12"/>
  <c r="CP201" i="12"/>
  <c r="CQ201" i="12"/>
  <c r="CR201" i="12"/>
  <c r="CS201" i="12"/>
  <c r="CT201" i="12"/>
  <c r="CU201" i="12"/>
  <c r="CV201" i="12"/>
  <c r="CW201" i="12"/>
  <c r="CX201" i="12"/>
  <c r="CY201" i="12"/>
  <c r="CZ201" i="12"/>
  <c r="DA201" i="12"/>
  <c r="DB201" i="12"/>
  <c r="DC201" i="12"/>
  <c r="DD201" i="12"/>
  <c r="DE201" i="12"/>
  <c r="DF201" i="12"/>
  <c r="DG201" i="12"/>
  <c r="DH201" i="12"/>
  <c r="DI201" i="12"/>
  <c r="DJ201" i="12"/>
  <c r="DK201" i="12"/>
  <c r="DL201" i="12"/>
  <c r="DM201" i="12"/>
  <c r="DN201" i="12"/>
  <c r="DO201" i="12"/>
  <c r="DP201" i="12"/>
  <c r="DQ201" i="12"/>
  <c r="DR201" i="12"/>
  <c r="DS201" i="12"/>
  <c r="DT201" i="12"/>
  <c r="DU201" i="12"/>
  <c r="O202" i="12"/>
  <c r="P202" i="12"/>
  <c r="Q202" i="12"/>
  <c r="R202" i="12"/>
  <c r="S202" i="12"/>
  <c r="T202" i="12"/>
  <c r="U202" i="12"/>
  <c r="V202" i="12"/>
  <c r="W202" i="12"/>
  <c r="X202" i="12"/>
  <c r="Y202" i="12"/>
  <c r="Z202" i="12"/>
  <c r="AA202" i="12"/>
  <c r="AB202" i="12"/>
  <c r="AC202" i="12"/>
  <c r="AD202" i="12"/>
  <c r="AE202" i="12"/>
  <c r="AF202" i="12"/>
  <c r="AG202" i="12"/>
  <c r="AH202" i="12"/>
  <c r="AI202" i="12"/>
  <c r="AJ202" i="12"/>
  <c r="AK202" i="12"/>
  <c r="AL202" i="12"/>
  <c r="AM202" i="12"/>
  <c r="AN202" i="12"/>
  <c r="AO202" i="12"/>
  <c r="AP202" i="12"/>
  <c r="AQ202" i="12"/>
  <c r="AR202" i="12"/>
  <c r="AS202" i="12"/>
  <c r="AT202" i="12"/>
  <c r="AU202" i="12"/>
  <c r="AV202" i="12"/>
  <c r="AW202" i="12"/>
  <c r="AX202" i="12"/>
  <c r="AY202" i="12"/>
  <c r="AZ202" i="12"/>
  <c r="BA202" i="12"/>
  <c r="BB202" i="12"/>
  <c r="BC202" i="12"/>
  <c r="BD202" i="12"/>
  <c r="BE202" i="12"/>
  <c r="BF202" i="12"/>
  <c r="BG202" i="12"/>
  <c r="BH202" i="12"/>
  <c r="BI202" i="12"/>
  <c r="BJ202" i="12"/>
  <c r="BK202" i="12"/>
  <c r="BL202" i="12"/>
  <c r="BM202" i="12"/>
  <c r="BN202" i="12"/>
  <c r="BO202" i="12"/>
  <c r="BP202" i="12"/>
  <c r="BQ202" i="12"/>
  <c r="BR202" i="12"/>
  <c r="BS202" i="12"/>
  <c r="BT202" i="12"/>
  <c r="BU202" i="12"/>
  <c r="BV202" i="12"/>
  <c r="BW202" i="12"/>
  <c r="BX202" i="12"/>
  <c r="BY202" i="12"/>
  <c r="BZ202" i="12"/>
  <c r="CA202" i="12"/>
  <c r="CB202" i="12"/>
  <c r="CC202" i="12"/>
  <c r="CD202" i="12"/>
  <c r="CE202" i="12"/>
  <c r="CF202" i="12"/>
  <c r="CG202" i="12"/>
  <c r="CH202" i="12"/>
  <c r="CI202" i="12"/>
  <c r="CJ202" i="12"/>
  <c r="CK202" i="12"/>
  <c r="CL202" i="12"/>
  <c r="CM202" i="12"/>
  <c r="CN202" i="12"/>
  <c r="CO202" i="12"/>
  <c r="CP202" i="12"/>
  <c r="CQ202" i="12"/>
  <c r="CR202" i="12"/>
  <c r="CS202" i="12"/>
  <c r="CT202" i="12"/>
  <c r="CU202" i="12"/>
  <c r="CV202" i="12"/>
  <c r="CW202" i="12"/>
  <c r="CX202" i="12"/>
  <c r="CY202" i="12"/>
  <c r="CZ202" i="12"/>
  <c r="DA202" i="12"/>
  <c r="DB202" i="12"/>
  <c r="DC202" i="12"/>
  <c r="DD202" i="12"/>
  <c r="DE202" i="12"/>
  <c r="DF202" i="12"/>
  <c r="DG202" i="12"/>
  <c r="DH202" i="12"/>
  <c r="DI202" i="12"/>
  <c r="DJ202" i="12"/>
  <c r="DK202" i="12"/>
  <c r="DL202" i="12"/>
  <c r="DM202" i="12"/>
  <c r="DN202" i="12"/>
  <c r="DO202" i="12"/>
  <c r="DP202" i="12"/>
  <c r="DQ202" i="12"/>
  <c r="DR202" i="12"/>
  <c r="DS202" i="12"/>
  <c r="DT202" i="12"/>
  <c r="DU202" i="12"/>
  <c r="O203" i="12"/>
  <c r="P203" i="12"/>
  <c r="Q203" i="12"/>
  <c r="R203" i="12"/>
  <c r="S203" i="12"/>
  <c r="T203" i="12"/>
  <c r="U203" i="12"/>
  <c r="V203" i="12"/>
  <c r="W203" i="12"/>
  <c r="X203" i="12"/>
  <c r="Y203" i="12"/>
  <c r="Z203" i="12"/>
  <c r="AA203" i="12"/>
  <c r="AB203" i="12"/>
  <c r="AC203" i="12"/>
  <c r="AD203" i="12"/>
  <c r="AE203" i="12"/>
  <c r="AF203" i="12"/>
  <c r="AG203" i="12"/>
  <c r="AH203" i="12"/>
  <c r="AI203" i="12"/>
  <c r="AJ203" i="12"/>
  <c r="AK203" i="12"/>
  <c r="AL203" i="12"/>
  <c r="AM203" i="12"/>
  <c r="AN203" i="12"/>
  <c r="AO203" i="12"/>
  <c r="AP203" i="12"/>
  <c r="AQ203" i="12"/>
  <c r="AR203" i="12"/>
  <c r="AS203" i="12"/>
  <c r="AT203" i="12"/>
  <c r="AU203" i="12"/>
  <c r="AV203" i="12"/>
  <c r="AW203" i="12"/>
  <c r="AX203" i="12"/>
  <c r="AY203" i="12"/>
  <c r="AZ203" i="12"/>
  <c r="BA203" i="12"/>
  <c r="BB203" i="12"/>
  <c r="BC203" i="12"/>
  <c r="BD203" i="12"/>
  <c r="BE203" i="12"/>
  <c r="BF203" i="12"/>
  <c r="BG203" i="12"/>
  <c r="BH203" i="12"/>
  <c r="BI203" i="12"/>
  <c r="BJ203" i="12"/>
  <c r="BK203" i="12"/>
  <c r="BL203" i="12"/>
  <c r="BM203" i="12"/>
  <c r="BN203" i="12"/>
  <c r="BO203" i="12"/>
  <c r="BP203" i="12"/>
  <c r="BQ203" i="12"/>
  <c r="BR203" i="12"/>
  <c r="BS203" i="12"/>
  <c r="BT203" i="12"/>
  <c r="BU203" i="12"/>
  <c r="BV203" i="12"/>
  <c r="BW203" i="12"/>
  <c r="BX203" i="12"/>
  <c r="BY203" i="12"/>
  <c r="BZ203" i="12"/>
  <c r="CA203" i="12"/>
  <c r="CB203" i="12"/>
  <c r="CC203" i="12"/>
  <c r="CD203" i="12"/>
  <c r="CE203" i="12"/>
  <c r="CF203" i="12"/>
  <c r="CG203" i="12"/>
  <c r="CH203" i="12"/>
  <c r="CI203" i="12"/>
  <c r="CJ203" i="12"/>
  <c r="CK203" i="12"/>
  <c r="CL203" i="12"/>
  <c r="CM203" i="12"/>
  <c r="CN203" i="12"/>
  <c r="CO203" i="12"/>
  <c r="CP203" i="12"/>
  <c r="CQ203" i="12"/>
  <c r="CR203" i="12"/>
  <c r="CS203" i="12"/>
  <c r="CT203" i="12"/>
  <c r="CU203" i="12"/>
  <c r="CV203" i="12"/>
  <c r="CW203" i="12"/>
  <c r="CX203" i="12"/>
  <c r="CY203" i="12"/>
  <c r="CZ203" i="12"/>
  <c r="DA203" i="12"/>
  <c r="DB203" i="12"/>
  <c r="DC203" i="12"/>
  <c r="DD203" i="12"/>
  <c r="DE203" i="12"/>
  <c r="DF203" i="12"/>
  <c r="DG203" i="12"/>
  <c r="DH203" i="12"/>
  <c r="DI203" i="12"/>
  <c r="DJ203" i="12"/>
  <c r="DK203" i="12"/>
  <c r="DL203" i="12"/>
  <c r="DM203" i="12"/>
  <c r="DN203" i="12"/>
  <c r="DO203" i="12"/>
  <c r="DP203" i="12"/>
  <c r="DQ203" i="12"/>
  <c r="DR203" i="12"/>
  <c r="DS203" i="12"/>
  <c r="DT203" i="12"/>
  <c r="DU203" i="12"/>
  <c r="O204" i="12"/>
  <c r="P204" i="12"/>
  <c r="Q204" i="12"/>
  <c r="R204" i="12"/>
  <c r="S204" i="12"/>
  <c r="T204" i="12"/>
  <c r="U204" i="12"/>
  <c r="V204" i="12"/>
  <c r="W204" i="12"/>
  <c r="X204" i="12"/>
  <c r="Y204" i="12"/>
  <c r="Z204" i="12"/>
  <c r="AA204" i="12"/>
  <c r="AB204" i="12"/>
  <c r="AC204" i="12"/>
  <c r="AD204" i="12"/>
  <c r="AE204" i="12"/>
  <c r="AF204" i="12"/>
  <c r="AG204" i="12"/>
  <c r="AH204" i="12"/>
  <c r="AI204" i="12"/>
  <c r="AJ204" i="12"/>
  <c r="AK204" i="12"/>
  <c r="AL204" i="12"/>
  <c r="AM204" i="12"/>
  <c r="AN204" i="12"/>
  <c r="AO204" i="12"/>
  <c r="AP204" i="12"/>
  <c r="AQ204" i="12"/>
  <c r="AR204" i="12"/>
  <c r="AS204" i="12"/>
  <c r="AT204" i="12"/>
  <c r="AU204" i="12"/>
  <c r="AV204" i="12"/>
  <c r="AW204" i="12"/>
  <c r="AX204" i="12"/>
  <c r="AY204" i="12"/>
  <c r="AZ204" i="12"/>
  <c r="BA204" i="12"/>
  <c r="BB204" i="12"/>
  <c r="BC204" i="12"/>
  <c r="BD204" i="12"/>
  <c r="BE204" i="12"/>
  <c r="BF204" i="12"/>
  <c r="BG204" i="12"/>
  <c r="BH204" i="12"/>
  <c r="BI204" i="12"/>
  <c r="BJ204" i="12"/>
  <c r="BK204" i="12"/>
  <c r="BL204" i="12"/>
  <c r="BM204" i="12"/>
  <c r="BN204" i="12"/>
  <c r="BO204" i="12"/>
  <c r="BP204" i="12"/>
  <c r="BQ204" i="12"/>
  <c r="BR204" i="12"/>
  <c r="BS204" i="12"/>
  <c r="BT204" i="12"/>
  <c r="BU204" i="12"/>
  <c r="BV204" i="12"/>
  <c r="BW204" i="12"/>
  <c r="BX204" i="12"/>
  <c r="BY204" i="12"/>
  <c r="BZ204" i="12"/>
  <c r="CA204" i="12"/>
  <c r="CB204" i="12"/>
  <c r="CC204" i="12"/>
  <c r="CD204" i="12"/>
  <c r="CE204" i="12"/>
  <c r="CF204" i="12"/>
  <c r="CG204" i="12"/>
  <c r="CH204" i="12"/>
  <c r="CI204" i="12"/>
  <c r="CJ204" i="12"/>
  <c r="CK204" i="12"/>
  <c r="CL204" i="12"/>
  <c r="CM204" i="12"/>
  <c r="CN204" i="12"/>
  <c r="CO204" i="12"/>
  <c r="CP204" i="12"/>
  <c r="CQ204" i="12"/>
  <c r="CR204" i="12"/>
  <c r="CS204" i="12"/>
  <c r="CT204" i="12"/>
  <c r="CU204" i="12"/>
  <c r="CV204" i="12"/>
  <c r="CW204" i="12"/>
  <c r="CX204" i="12"/>
  <c r="CY204" i="12"/>
  <c r="CZ204" i="12"/>
  <c r="DA204" i="12"/>
  <c r="DB204" i="12"/>
  <c r="DC204" i="12"/>
  <c r="DD204" i="12"/>
  <c r="DE204" i="12"/>
  <c r="DF204" i="12"/>
  <c r="DG204" i="12"/>
  <c r="DH204" i="12"/>
  <c r="DI204" i="12"/>
  <c r="DJ204" i="12"/>
  <c r="DK204" i="12"/>
  <c r="DL204" i="12"/>
  <c r="DM204" i="12"/>
  <c r="DN204" i="12"/>
  <c r="DO204" i="12"/>
  <c r="DP204" i="12"/>
  <c r="DQ204" i="12"/>
  <c r="DR204" i="12"/>
  <c r="DS204" i="12"/>
  <c r="DT204" i="12"/>
  <c r="DU204" i="12"/>
  <c r="O205" i="12"/>
  <c r="P205" i="12"/>
  <c r="Q205" i="12"/>
  <c r="R205" i="12"/>
  <c r="S205" i="12"/>
  <c r="T205" i="12"/>
  <c r="U205" i="12"/>
  <c r="V205" i="12"/>
  <c r="W205" i="12"/>
  <c r="X205" i="12"/>
  <c r="Y205" i="12"/>
  <c r="Z205" i="12"/>
  <c r="AA205" i="12"/>
  <c r="AB205" i="12"/>
  <c r="AC205" i="12"/>
  <c r="AD205" i="12"/>
  <c r="AE205" i="12"/>
  <c r="AF205" i="12"/>
  <c r="AG205" i="12"/>
  <c r="AH205" i="12"/>
  <c r="AI205" i="12"/>
  <c r="AJ205" i="12"/>
  <c r="AK205" i="12"/>
  <c r="AL205" i="12"/>
  <c r="AM205" i="12"/>
  <c r="AN205" i="12"/>
  <c r="AO205" i="12"/>
  <c r="AP205" i="12"/>
  <c r="AQ205" i="12"/>
  <c r="AR205" i="12"/>
  <c r="AS205" i="12"/>
  <c r="AT205" i="12"/>
  <c r="AU205" i="12"/>
  <c r="AV205" i="12"/>
  <c r="AW205" i="12"/>
  <c r="AX205" i="12"/>
  <c r="AY205" i="12"/>
  <c r="AZ205" i="12"/>
  <c r="BA205" i="12"/>
  <c r="BB205" i="12"/>
  <c r="BC205" i="12"/>
  <c r="BD205" i="12"/>
  <c r="BE205" i="12"/>
  <c r="BF205" i="12"/>
  <c r="BG205" i="12"/>
  <c r="BH205" i="12"/>
  <c r="BI205" i="12"/>
  <c r="BJ205" i="12"/>
  <c r="BK205" i="12"/>
  <c r="BL205" i="12"/>
  <c r="BM205" i="12"/>
  <c r="BN205" i="12"/>
  <c r="BO205" i="12"/>
  <c r="BP205" i="12"/>
  <c r="BQ205" i="12"/>
  <c r="BR205" i="12"/>
  <c r="BS205" i="12"/>
  <c r="BT205" i="12"/>
  <c r="BU205" i="12"/>
  <c r="BV205" i="12"/>
  <c r="BW205" i="12"/>
  <c r="BX205" i="12"/>
  <c r="BY205" i="12"/>
  <c r="BZ205" i="12"/>
  <c r="CA205" i="12"/>
  <c r="CB205" i="12"/>
  <c r="CC205" i="12"/>
  <c r="CD205" i="12"/>
  <c r="CE205" i="12"/>
  <c r="CF205" i="12"/>
  <c r="CG205" i="12"/>
  <c r="CH205" i="12"/>
  <c r="CI205" i="12"/>
  <c r="CJ205" i="12"/>
  <c r="CK205" i="12"/>
  <c r="CL205" i="12"/>
  <c r="CM205" i="12"/>
  <c r="CN205" i="12"/>
  <c r="CO205" i="12"/>
  <c r="CP205" i="12"/>
  <c r="CQ205" i="12"/>
  <c r="CR205" i="12"/>
  <c r="CS205" i="12"/>
  <c r="CT205" i="12"/>
  <c r="CU205" i="12"/>
  <c r="CV205" i="12"/>
  <c r="CW205" i="12"/>
  <c r="CX205" i="12"/>
  <c r="CY205" i="12"/>
  <c r="CZ205" i="12"/>
  <c r="DA205" i="12"/>
  <c r="DB205" i="12"/>
  <c r="DC205" i="12"/>
  <c r="DD205" i="12"/>
  <c r="DE205" i="12"/>
  <c r="DF205" i="12"/>
  <c r="DG205" i="12"/>
  <c r="DH205" i="12"/>
  <c r="DI205" i="12"/>
  <c r="DJ205" i="12"/>
  <c r="DK205" i="12"/>
  <c r="DL205" i="12"/>
  <c r="DM205" i="12"/>
  <c r="DN205" i="12"/>
  <c r="DO205" i="12"/>
  <c r="DP205" i="12"/>
  <c r="DQ205" i="12"/>
  <c r="DR205" i="12"/>
  <c r="DS205" i="12"/>
  <c r="DT205" i="12"/>
  <c r="DU205" i="12"/>
  <c r="O206" i="12"/>
  <c r="P206" i="12"/>
  <c r="Q206" i="12"/>
  <c r="R206" i="12"/>
  <c r="S206" i="12"/>
  <c r="T206" i="12"/>
  <c r="U206" i="12"/>
  <c r="V206" i="12"/>
  <c r="W206" i="12"/>
  <c r="X206" i="12"/>
  <c r="Y206" i="12"/>
  <c r="Z206" i="12"/>
  <c r="AA206" i="12"/>
  <c r="AB206" i="12"/>
  <c r="AC206" i="12"/>
  <c r="AD206" i="12"/>
  <c r="AE206" i="12"/>
  <c r="AF206" i="12"/>
  <c r="AG206" i="12"/>
  <c r="AH206" i="12"/>
  <c r="AI206" i="12"/>
  <c r="AJ206" i="12"/>
  <c r="AK206" i="12"/>
  <c r="AL206" i="12"/>
  <c r="AM206" i="12"/>
  <c r="AN206" i="12"/>
  <c r="AO206" i="12"/>
  <c r="AP206" i="12"/>
  <c r="AQ206" i="12"/>
  <c r="AR206" i="12"/>
  <c r="AS206" i="12"/>
  <c r="AT206" i="12"/>
  <c r="AU206" i="12"/>
  <c r="AV206" i="12"/>
  <c r="AW206" i="12"/>
  <c r="AX206" i="12"/>
  <c r="AY206" i="12"/>
  <c r="AZ206" i="12"/>
  <c r="BA206" i="12"/>
  <c r="BB206" i="12"/>
  <c r="BC206" i="12"/>
  <c r="BD206" i="12"/>
  <c r="BE206" i="12"/>
  <c r="BF206" i="12"/>
  <c r="BG206" i="12"/>
  <c r="BH206" i="12"/>
  <c r="BI206" i="12"/>
  <c r="BJ206" i="12"/>
  <c r="BK206" i="12"/>
  <c r="BL206" i="12"/>
  <c r="BM206" i="12"/>
  <c r="BN206" i="12"/>
  <c r="BO206" i="12"/>
  <c r="BP206" i="12"/>
  <c r="BQ206" i="12"/>
  <c r="BR206" i="12"/>
  <c r="BS206" i="12"/>
  <c r="BT206" i="12"/>
  <c r="BU206" i="12"/>
  <c r="BV206" i="12"/>
  <c r="BW206" i="12"/>
  <c r="BX206" i="12"/>
  <c r="BY206" i="12"/>
  <c r="BZ206" i="12"/>
  <c r="CA206" i="12"/>
  <c r="CB206" i="12"/>
  <c r="CC206" i="12"/>
  <c r="CD206" i="12"/>
  <c r="CE206" i="12"/>
  <c r="CF206" i="12"/>
  <c r="CG206" i="12"/>
  <c r="CH206" i="12"/>
  <c r="CI206" i="12"/>
  <c r="CJ206" i="12"/>
  <c r="CK206" i="12"/>
  <c r="CL206" i="12"/>
  <c r="CM206" i="12"/>
  <c r="CN206" i="12"/>
  <c r="CO206" i="12"/>
  <c r="CP206" i="12"/>
  <c r="CQ206" i="12"/>
  <c r="CR206" i="12"/>
  <c r="CS206" i="12"/>
  <c r="CT206" i="12"/>
  <c r="CU206" i="12"/>
  <c r="CV206" i="12"/>
  <c r="CW206" i="12"/>
  <c r="CX206" i="12"/>
  <c r="CY206" i="12"/>
  <c r="CZ206" i="12"/>
  <c r="DA206" i="12"/>
  <c r="DB206" i="12"/>
  <c r="DC206" i="12"/>
  <c r="DD206" i="12"/>
  <c r="DE206" i="12"/>
  <c r="DF206" i="12"/>
  <c r="DG206" i="12"/>
  <c r="DH206" i="12"/>
  <c r="DI206" i="12"/>
  <c r="DJ206" i="12"/>
  <c r="DK206" i="12"/>
  <c r="DL206" i="12"/>
  <c r="DM206" i="12"/>
  <c r="DN206" i="12"/>
  <c r="DO206" i="12"/>
  <c r="DP206" i="12"/>
  <c r="DQ206" i="12"/>
  <c r="DR206" i="12"/>
  <c r="DS206" i="12"/>
  <c r="DT206" i="12"/>
  <c r="DU206" i="12"/>
  <c r="O207" i="12"/>
  <c r="P207" i="12"/>
  <c r="Q207" i="12"/>
  <c r="R207" i="12"/>
  <c r="S207" i="12"/>
  <c r="T207" i="12"/>
  <c r="U207" i="12"/>
  <c r="V207" i="12"/>
  <c r="W207" i="12"/>
  <c r="X207" i="12"/>
  <c r="Y207" i="12"/>
  <c r="Z207" i="12"/>
  <c r="AA207" i="12"/>
  <c r="AB207" i="12"/>
  <c r="AC207" i="12"/>
  <c r="AD207" i="12"/>
  <c r="AE207" i="12"/>
  <c r="AF207" i="12"/>
  <c r="AG207" i="12"/>
  <c r="AH207" i="12"/>
  <c r="AI207" i="12"/>
  <c r="AJ207" i="12"/>
  <c r="AK207" i="12"/>
  <c r="AL207" i="12"/>
  <c r="AM207" i="12"/>
  <c r="AN207" i="12"/>
  <c r="AO207" i="12"/>
  <c r="AP207" i="12"/>
  <c r="AQ207" i="12"/>
  <c r="AR207" i="12"/>
  <c r="AS207" i="12"/>
  <c r="AT207" i="12"/>
  <c r="AU207" i="12"/>
  <c r="AV207" i="12"/>
  <c r="AW207" i="12"/>
  <c r="AX207" i="12"/>
  <c r="AY207" i="12"/>
  <c r="AZ207" i="12"/>
  <c r="BA207" i="12"/>
  <c r="BB207" i="12"/>
  <c r="BC207" i="12"/>
  <c r="BD207" i="12"/>
  <c r="BE207" i="12"/>
  <c r="BF207" i="12"/>
  <c r="BG207" i="12"/>
  <c r="BH207" i="12"/>
  <c r="BI207" i="12"/>
  <c r="BJ207" i="12"/>
  <c r="BK207" i="12"/>
  <c r="BL207" i="12"/>
  <c r="BM207" i="12"/>
  <c r="BN207" i="12"/>
  <c r="BO207" i="12"/>
  <c r="BP207" i="12"/>
  <c r="BQ207" i="12"/>
  <c r="BR207" i="12"/>
  <c r="BS207" i="12"/>
  <c r="BT207" i="12"/>
  <c r="BU207" i="12"/>
  <c r="BV207" i="12"/>
  <c r="BW207" i="12"/>
  <c r="BX207" i="12"/>
  <c r="BY207" i="12"/>
  <c r="BZ207" i="12"/>
  <c r="CA207" i="12"/>
  <c r="CB207" i="12"/>
  <c r="CC207" i="12"/>
  <c r="CD207" i="12"/>
  <c r="CE207" i="12"/>
  <c r="CF207" i="12"/>
  <c r="CG207" i="12"/>
  <c r="CH207" i="12"/>
  <c r="CI207" i="12"/>
  <c r="CJ207" i="12"/>
  <c r="CK207" i="12"/>
  <c r="CL207" i="12"/>
  <c r="CM207" i="12"/>
  <c r="CN207" i="12"/>
  <c r="CO207" i="12"/>
  <c r="CP207" i="12"/>
  <c r="CQ207" i="12"/>
  <c r="CR207" i="12"/>
  <c r="CS207" i="12"/>
  <c r="CT207" i="12"/>
  <c r="CU207" i="12"/>
  <c r="CV207" i="12"/>
  <c r="CW207" i="12"/>
  <c r="CX207" i="12"/>
  <c r="CY207" i="12"/>
  <c r="CZ207" i="12"/>
  <c r="DA207" i="12"/>
  <c r="DB207" i="12"/>
  <c r="DC207" i="12"/>
  <c r="DD207" i="12"/>
  <c r="DE207" i="12"/>
  <c r="DF207" i="12"/>
  <c r="DG207" i="12"/>
  <c r="DH207" i="12"/>
  <c r="DI207" i="12"/>
  <c r="DJ207" i="12"/>
  <c r="DK207" i="12"/>
  <c r="DL207" i="12"/>
  <c r="DM207" i="12"/>
  <c r="DN207" i="12"/>
  <c r="DO207" i="12"/>
  <c r="DP207" i="12"/>
  <c r="DQ207" i="12"/>
  <c r="DR207" i="12"/>
  <c r="DS207" i="12"/>
  <c r="DT207" i="12"/>
  <c r="DU207" i="12"/>
  <c r="O208" i="12"/>
  <c r="P208" i="12"/>
  <c r="Q208" i="12"/>
  <c r="R208" i="12"/>
  <c r="S208" i="12"/>
  <c r="T208" i="12"/>
  <c r="U208" i="12"/>
  <c r="V208" i="12"/>
  <c r="W208" i="12"/>
  <c r="X208" i="12"/>
  <c r="Y208" i="12"/>
  <c r="Z208" i="12"/>
  <c r="AA208" i="12"/>
  <c r="AB208" i="12"/>
  <c r="AC208" i="12"/>
  <c r="AD208" i="12"/>
  <c r="AE208" i="12"/>
  <c r="AF208" i="12"/>
  <c r="AG208" i="12"/>
  <c r="AH208" i="12"/>
  <c r="AI208" i="12"/>
  <c r="AJ208" i="12"/>
  <c r="AK208" i="12"/>
  <c r="AL208" i="12"/>
  <c r="AM208" i="12"/>
  <c r="AN208" i="12"/>
  <c r="AO208" i="12"/>
  <c r="AP208" i="12"/>
  <c r="AQ208" i="12"/>
  <c r="AR208" i="12"/>
  <c r="AS208" i="12"/>
  <c r="AT208" i="12"/>
  <c r="AU208" i="12"/>
  <c r="AV208" i="12"/>
  <c r="AW208" i="12"/>
  <c r="AX208" i="12"/>
  <c r="AY208" i="12"/>
  <c r="AZ208" i="12"/>
  <c r="BA208" i="12"/>
  <c r="BB208" i="12"/>
  <c r="BC208" i="12"/>
  <c r="BD208" i="12"/>
  <c r="BE208" i="12"/>
  <c r="BF208" i="12"/>
  <c r="BG208" i="12"/>
  <c r="BH208" i="12"/>
  <c r="BI208" i="12"/>
  <c r="BJ208" i="12"/>
  <c r="BK208" i="12"/>
  <c r="BL208" i="12"/>
  <c r="BM208" i="12"/>
  <c r="BN208" i="12"/>
  <c r="BO208" i="12"/>
  <c r="BP208" i="12"/>
  <c r="BQ208" i="12"/>
  <c r="BR208" i="12"/>
  <c r="BS208" i="12"/>
  <c r="BT208" i="12"/>
  <c r="BU208" i="12"/>
  <c r="BV208" i="12"/>
  <c r="BW208" i="12"/>
  <c r="BX208" i="12"/>
  <c r="BY208" i="12"/>
  <c r="BZ208" i="12"/>
  <c r="CA208" i="12"/>
  <c r="CB208" i="12"/>
  <c r="CC208" i="12"/>
  <c r="CD208" i="12"/>
  <c r="CE208" i="12"/>
  <c r="CF208" i="12"/>
  <c r="CG208" i="12"/>
  <c r="CH208" i="12"/>
  <c r="CI208" i="12"/>
  <c r="CJ208" i="12"/>
  <c r="CK208" i="12"/>
  <c r="CL208" i="12"/>
  <c r="CM208" i="12"/>
  <c r="CN208" i="12"/>
  <c r="CO208" i="12"/>
  <c r="CP208" i="12"/>
  <c r="CQ208" i="12"/>
  <c r="CR208" i="12"/>
  <c r="CS208" i="12"/>
  <c r="CT208" i="12"/>
  <c r="CU208" i="12"/>
  <c r="CV208" i="12"/>
  <c r="CW208" i="12"/>
  <c r="CX208" i="12"/>
  <c r="CY208" i="12"/>
  <c r="CZ208" i="12"/>
  <c r="DA208" i="12"/>
  <c r="DB208" i="12"/>
  <c r="DC208" i="12"/>
  <c r="DD208" i="12"/>
  <c r="DE208" i="12"/>
  <c r="DF208" i="12"/>
  <c r="DG208" i="12"/>
  <c r="DH208" i="12"/>
  <c r="DI208" i="12"/>
  <c r="DJ208" i="12"/>
  <c r="DK208" i="12"/>
  <c r="DL208" i="12"/>
  <c r="DM208" i="12"/>
  <c r="DN208" i="12"/>
  <c r="DO208" i="12"/>
  <c r="DP208" i="12"/>
  <c r="DQ208" i="12"/>
  <c r="DR208" i="12"/>
  <c r="DS208" i="12"/>
  <c r="DT208" i="12"/>
  <c r="DU208" i="12"/>
  <c r="O209" i="12"/>
  <c r="P209" i="12"/>
  <c r="Q209" i="12"/>
  <c r="R209" i="12"/>
  <c r="S209" i="12"/>
  <c r="T209" i="12"/>
  <c r="U209" i="12"/>
  <c r="V209" i="12"/>
  <c r="W209" i="12"/>
  <c r="X209" i="12"/>
  <c r="Y209" i="12"/>
  <c r="Z209" i="12"/>
  <c r="AA209" i="12"/>
  <c r="AB209" i="12"/>
  <c r="AC209" i="12"/>
  <c r="AD209" i="12"/>
  <c r="AE209" i="12"/>
  <c r="AF209" i="12"/>
  <c r="AG209" i="12"/>
  <c r="AH209" i="12"/>
  <c r="AI209" i="12"/>
  <c r="AJ209" i="12"/>
  <c r="AK209" i="12"/>
  <c r="AL209" i="12"/>
  <c r="AM209" i="12"/>
  <c r="AN209" i="12"/>
  <c r="AO209" i="12"/>
  <c r="AP209" i="12"/>
  <c r="AQ209" i="12"/>
  <c r="AR209" i="12"/>
  <c r="AS209" i="12"/>
  <c r="AT209" i="12"/>
  <c r="AU209" i="12"/>
  <c r="AV209" i="12"/>
  <c r="AW209" i="12"/>
  <c r="AX209" i="12"/>
  <c r="AY209" i="12"/>
  <c r="AZ209" i="12"/>
  <c r="BA209" i="12"/>
  <c r="BB209" i="12"/>
  <c r="BC209" i="12"/>
  <c r="BD209" i="12"/>
  <c r="BE209" i="12"/>
  <c r="BF209" i="12"/>
  <c r="BG209" i="12"/>
  <c r="BH209" i="12"/>
  <c r="BI209" i="12"/>
  <c r="BJ209" i="12"/>
  <c r="BK209" i="12"/>
  <c r="BL209" i="12"/>
  <c r="BM209" i="12"/>
  <c r="BN209" i="12"/>
  <c r="BO209" i="12"/>
  <c r="BP209" i="12"/>
  <c r="BQ209" i="12"/>
  <c r="BR209" i="12"/>
  <c r="BS209" i="12"/>
  <c r="BT209" i="12"/>
  <c r="BU209" i="12"/>
  <c r="BV209" i="12"/>
  <c r="BW209" i="12"/>
  <c r="BX209" i="12"/>
  <c r="BY209" i="12"/>
  <c r="BZ209" i="12"/>
  <c r="CA209" i="12"/>
  <c r="CB209" i="12"/>
  <c r="CC209" i="12"/>
  <c r="CD209" i="12"/>
  <c r="CE209" i="12"/>
  <c r="CF209" i="12"/>
  <c r="CG209" i="12"/>
  <c r="CH209" i="12"/>
  <c r="CI209" i="12"/>
  <c r="CJ209" i="12"/>
  <c r="CK209" i="12"/>
  <c r="CL209" i="12"/>
  <c r="CM209" i="12"/>
  <c r="CN209" i="12"/>
  <c r="CO209" i="12"/>
  <c r="CP209" i="12"/>
  <c r="CQ209" i="12"/>
  <c r="CR209" i="12"/>
  <c r="CS209" i="12"/>
  <c r="CT209" i="12"/>
  <c r="CU209" i="12"/>
  <c r="CV209" i="12"/>
  <c r="CW209" i="12"/>
  <c r="CX209" i="12"/>
  <c r="CY209" i="12"/>
  <c r="CZ209" i="12"/>
  <c r="DA209" i="12"/>
  <c r="DB209" i="12"/>
  <c r="DC209" i="12"/>
  <c r="DD209" i="12"/>
  <c r="DE209" i="12"/>
  <c r="DF209" i="12"/>
  <c r="DG209" i="12"/>
  <c r="DH209" i="12"/>
  <c r="DI209" i="12"/>
  <c r="DJ209" i="12"/>
  <c r="DK209" i="12"/>
  <c r="DL209" i="12"/>
  <c r="DM209" i="12"/>
  <c r="DN209" i="12"/>
  <c r="DO209" i="12"/>
  <c r="DP209" i="12"/>
  <c r="DQ209" i="12"/>
  <c r="DR209" i="12"/>
  <c r="DS209" i="12"/>
  <c r="DT209" i="12"/>
  <c r="DU209" i="12"/>
  <c r="O210" i="12"/>
  <c r="P210" i="12"/>
  <c r="Q210" i="12"/>
  <c r="R210" i="12"/>
  <c r="S210" i="12"/>
  <c r="T210" i="12"/>
  <c r="U210" i="12"/>
  <c r="V210" i="12"/>
  <c r="W210" i="12"/>
  <c r="X210" i="12"/>
  <c r="Y210" i="12"/>
  <c r="Z210" i="12"/>
  <c r="AA210" i="12"/>
  <c r="AB210" i="12"/>
  <c r="AC210" i="12"/>
  <c r="AD210" i="12"/>
  <c r="AE210" i="12"/>
  <c r="AF210" i="12"/>
  <c r="AG210" i="12"/>
  <c r="AH210" i="12"/>
  <c r="AI210" i="12"/>
  <c r="AJ210" i="12"/>
  <c r="AK210" i="12"/>
  <c r="AL210" i="12"/>
  <c r="AM210" i="12"/>
  <c r="AN210" i="12"/>
  <c r="AO210" i="12"/>
  <c r="AP210" i="12"/>
  <c r="AQ210" i="12"/>
  <c r="AR210" i="12"/>
  <c r="AS210" i="12"/>
  <c r="AT210" i="12"/>
  <c r="AU210" i="12"/>
  <c r="AV210" i="12"/>
  <c r="AW210" i="12"/>
  <c r="AX210" i="12"/>
  <c r="AY210" i="12"/>
  <c r="AZ210" i="12"/>
  <c r="BA210" i="12"/>
  <c r="BB210" i="12"/>
  <c r="BC210" i="12"/>
  <c r="BD210" i="12"/>
  <c r="BE210" i="12"/>
  <c r="BF210" i="12"/>
  <c r="BG210" i="12"/>
  <c r="BH210" i="12"/>
  <c r="BI210" i="12"/>
  <c r="BJ210" i="12"/>
  <c r="BK210" i="12"/>
  <c r="BL210" i="12"/>
  <c r="BM210" i="12"/>
  <c r="BN210" i="12"/>
  <c r="BO210" i="12"/>
  <c r="BP210" i="12"/>
  <c r="BQ210" i="12"/>
  <c r="BR210" i="12"/>
  <c r="BS210" i="12"/>
  <c r="BT210" i="12"/>
  <c r="BU210" i="12"/>
  <c r="BV210" i="12"/>
  <c r="BW210" i="12"/>
  <c r="BX210" i="12"/>
  <c r="BY210" i="12"/>
  <c r="BZ210" i="12"/>
  <c r="CA210" i="12"/>
  <c r="CB210" i="12"/>
  <c r="CC210" i="12"/>
  <c r="CD210" i="12"/>
  <c r="CE210" i="12"/>
  <c r="CF210" i="12"/>
  <c r="CG210" i="12"/>
  <c r="CH210" i="12"/>
  <c r="CI210" i="12"/>
  <c r="CJ210" i="12"/>
  <c r="CK210" i="12"/>
  <c r="CL210" i="12"/>
  <c r="CM210" i="12"/>
  <c r="CN210" i="12"/>
  <c r="CO210" i="12"/>
  <c r="CP210" i="12"/>
  <c r="CQ210" i="12"/>
  <c r="CR210" i="12"/>
  <c r="CS210" i="12"/>
  <c r="CT210" i="12"/>
  <c r="CU210" i="12"/>
  <c r="CV210" i="12"/>
  <c r="CW210" i="12"/>
  <c r="CX210" i="12"/>
  <c r="CY210" i="12"/>
  <c r="CZ210" i="12"/>
  <c r="DA210" i="12"/>
  <c r="DB210" i="12"/>
  <c r="DC210" i="12"/>
  <c r="DD210" i="12"/>
  <c r="DE210" i="12"/>
  <c r="DF210" i="12"/>
  <c r="DG210" i="12"/>
  <c r="DH210" i="12"/>
  <c r="DI210" i="12"/>
  <c r="DJ210" i="12"/>
  <c r="DK210" i="12"/>
  <c r="DL210" i="12"/>
  <c r="DM210" i="12"/>
  <c r="DN210" i="12"/>
  <c r="DO210" i="12"/>
  <c r="DP210" i="12"/>
  <c r="DQ210" i="12"/>
  <c r="DR210" i="12"/>
  <c r="DS210" i="12"/>
  <c r="DT210" i="12"/>
  <c r="DU210" i="12"/>
  <c r="O211" i="12"/>
  <c r="P211" i="12"/>
  <c r="Q211" i="12"/>
  <c r="R211" i="12"/>
  <c r="S211" i="12"/>
  <c r="T211" i="12"/>
  <c r="U211" i="12"/>
  <c r="V211" i="12"/>
  <c r="W211" i="12"/>
  <c r="X211" i="12"/>
  <c r="Y211" i="12"/>
  <c r="Z211" i="12"/>
  <c r="AA211" i="12"/>
  <c r="AB211" i="12"/>
  <c r="AC211" i="12"/>
  <c r="AD211" i="12"/>
  <c r="AE211" i="12"/>
  <c r="AF211" i="12"/>
  <c r="AG211" i="12"/>
  <c r="AH211" i="12"/>
  <c r="AI211" i="12"/>
  <c r="AJ211" i="12"/>
  <c r="AK211" i="12"/>
  <c r="AL211" i="12"/>
  <c r="AM211" i="12"/>
  <c r="AN211" i="12"/>
  <c r="AO211" i="12"/>
  <c r="AP211" i="12"/>
  <c r="AQ211" i="12"/>
  <c r="AR211" i="12"/>
  <c r="AS211" i="12"/>
  <c r="AT211" i="12"/>
  <c r="AU211" i="12"/>
  <c r="AV211" i="12"/>
  <c r="AW211" i="12"/>
  <c r="AX211" i="12"/>
  <c r="AY211" i="12"/>
  <c r="AZ211" i="12"/>
  <c r="BA211" i="12"/>
  <c r="BB211" i="12"/>
  <c r="BC211" i="12"/>
  <c r="BD211" i="12"/>
  <c r="BE211" i="12"/>
  <c r="BF211" i="12"/>
  <c r="BG211" i="12"/>
  <c r="BH211" i="12"/>
  <c r="BI211" i="12"/>
  <c r="BJ211" i="12"/>
  <c r="BK211" i="12"/>
  <c r="BL211" i="12"/>
  <c r="BM211" i="12"/>
  <c r="BN211" i="12"/>
  <c r="BO211" i="12"/>
  <c r="BP211" i="12"/>
  <c r="BQ211" i="12"/>
  <c r="BR211" i="12"/>
  <c r="BS211" i="12"/>
  <c r="BT211" i="12"/>
  <c r="BU211" i="12"/>
  <c r="BV211" i="12"/>
  <c r="BW211" i="12"/>
  <c r="BX211" i="12"/>
  <c r="BY211" i="12"/>
  <c r="BZ211" i="12"/>
  <c r="CA211" i="12"/>
  <c r="CB211" i="12"/>
  <c r="CC211" i="12"/>
  <c r="CD211" i="12"/>
  <c r="CE211" i="12"/>
  <c r="CF211" i="12"/>
  <c r="CG211" i="12"/>
  <c r="CH211" i="12"/>
  <c r="CI211" i="12"/>
  <c r="CJ211" i="12"/>
  <c r="CK211" i="12"/>
  <c r="CL211" i="12"/>
  <c r="CM211" i="12"/>
  <c r="CN211" i="12"/>
  <c r="CO211" i="12"/>
  <c r="CP211" i="12"/>
  <c r="CQ211" i="12"/>
  <c r="CR211" i="12"/>
  <c r="CS211" i="12"/>
  <c r="CT211" i="12"/>
  <c r="CU211" i="12"/>
  <c r="CV211" i="12"/>
  <c r="CW211" i="12"/>
  <c r="CX211" i="12"/>
  <c r="CY211" i="12"/>
  <c r="CZ211" i="12"/>
  <c r="DA211" i="12"/>
  <c r="DB211" i="12"/>
  <c r="DC211" i="12"/>
  <c r="DD211" i="12"/>
  <c r="DE211" i="12"/>
  <c r="DF211" i="12"/>
  <c r="DG211" i="12"/>
  <c r="DH211" i="12"/>
  <c r="DI211" i="12"/>
  <c r="DJ211" i="12"/>
  <c r="DK211" i="12"/>
  <c r="DL211" i="12"/>
  <c r="DM211" i="12"/>
  <c r="DN211" i="12"/>
  <c r="DO211" i="12"/>
  <c r="DP211" i="12"/>
  <c r="DQ211" i="12"/>
  <c r="DR211" i="12"/>
  <c r="DS211" i="12"/>
  <c r="DT211" i="12"/>
  <c r="DU211" i="12"/>
  <c r="O212" i="12"/>
  <c r="P212" i="12"/>
  <c r="Q212" i="12"/>
  <c r="R212" i="12"/>
  <c r="S212" i="12"/>
  <c r="T212" i="12"/>
  <c r="U212" i="12"/>
  <c r="V212" i="12"/>
  <c r="W212" i="12"/>
  <c r="X212" i="12"/>
  <c r="Y212" i="12"/>
  <c r="Z212" i="12"/>
  <c r="AA212" i="12"/>
  <c r="AB212" i="12"/>
  <c r="AC212" i="12"/>
  <c r="AD212" i="12"/>
  <c r="AE212" i="12"/>
  <c r="AF212" i="12"/>
  <c r="AG212" i="12"/>
  <c r="AH212" i="12"/>
  <c r="AI212" i="12"/>
  <c r="AJ212" i="12"/>
  <c r="AK212" i="12"/>
  <c r="AL212" i="12"/>
  <c r="AM212" i="12"/>
  <c r="AN212" i="12"/>
  <c r="AO212" i="12"/>
  <c r="AP212" i="12"/>
  <c r="AQ212" i="12"/>
  <c r="AR212" i="12"/>
  <c r="AS212" i="12"/>
  <c r="AT212" i="12"/>
  <c r="AU212" i="12"/>
  <c r="AV212" i="12"/>
  <c r="AW212" i="12"/>
  <c r="AX212" i="12"/>
  <c r="AY212" i="12"/>
  <c r="AZ212" i="12"/>
  <c r="BA212" i="12"/>
  <c r="BB212" i="12"/>
  <c r="BC212" i="12"/>
  <c r="BD212" i="12"/>
  <c r="BE212" i="12"/>
  <c r="BF212" i="12"/>
  <c r="BG212" i="12"/>
  <c r="BH212" i="12"/>
  <c r="BI212" i="12"/>
  <c r="BJ212" i="12"/>
  <c r="BK212" i="12"/>
  <c r="BL212" i="12"/>
  <c r="BM212" i="12"/>
  <c r="BN212" i="12"/>
  <c r="BO212" i="12"/>
  <c r="BP212" i="12"/>
  <c r="BQ212" i="12"/>
  <c r="BR212" i="12"/>
  <c r="BS212" i="12"/>
  <c r="BT212" i="12"/>
  <c r="BU212" i="12"/>
  <c r="BV212" i="12"/>
  <c r="BW212" i="12"/>
  <c r="BX212" i="12"/>
  <c r="BY212" i="12"/>
  <c r="BZ212" i="12"/>
  <c r="CA212" i="12"/>
  <c r="CB212" i="12"/>
  <c r="CC212" i="12"/>
  <c r="CD212" i="12"/>
  <c r="CE212" i="12"/>
  <c r="CF212" i="12"/>
  <c r="CG212" i="12"/>
  <c r="CH212" i="12"/>
  <c r="CI212" i="12"/>
  <c r="CJ212" i="12"/>
  <c r="CK212" i="12"/>
  <c r="CL212" i="12"/>
  <c r="CM212" i="12"/>
  <c r="CN212" i="12"/>
  <c r="CO212" i="12"/>
  <c r="CP212" i="12"/>
  <c r="CQ212" i="12"/>
  <c r="CR212" i="12"/>
  <c r="CS212" i="12"/>
  <c r="CT212" i="12"/>
  <c r="CU212" i="12"/>
  <c r="CV212" i="12"/>
  <c r="CW212" i="12"/>
  <c r="CX212" i="12"/>
  <c r="CY212" i="12"/>
  <c r="CZ212" i="12"/>
  <c r="DA212" i="12"/>
  <c r="DB212" i="12"/>
  <c r="DC212" i="12"/>
  <c r="DD212" i="12"/>
  <c r="DE212" i="12"/>
  <c r="DF212" i="12"/>
  <c r="DG212" i="12"/>
  <c r="DH212" i="12"/>
  <c r="DI212" i="12"/>
  <c r="DJ212" i="12"/>
  <c r="DK212" i="12"/>
  <c r="DL212" i="12"/>
  <c r="DM212" i="12"/>
  <c r="DN212" i="12"/>
  <c r="DO212" i="12"/>
  <c r="DP212" i="12"/>
  <c r="DQ212" i="12"/>
  <c r="DR212" i="12"/>
  <c r="DS212" i="12"/>
  <c r="DT212" i="12"/>
  <c r="DU212" i="12"/>
  <c r="O213" i="12"/>
  <c r="P213" i="12"/>
  <c r="Q213" i="12"/>
  <c r="R213" i="12"/>
  <c r="S213" i="12"/>
  <c r="T213" i="12"/>
  <c r="U213" i="12"/>
  <c r="V213" i="12"/>
  <c r="W213" i="12"/>
  <c r="X213" i="12"/>
  <c r="Y213" i="12"/>
  <c r="Z213" i="12"/>
  <c r="AA213" i="12"/>
  <c r="AB213" i="12"/>
  <c r="AC213" i="12"/>
  <c r="AD213" i="12"/>
  <c r="AE213" i="12"/>
  <c r="AF213" i="12"/>
  <c r="AG213" i="12"/>
  <c r="AH213" i="12"/>
  <c r="AI213" i="12"/>
  <c r="AJ213" i="12"/>
  <c r="AK213" i="12"/>
  <c r="AL213" i="12"/>
  <c r="AM213" i="12"/>
  <c r="AN213" i="12"/>
  <c r="AO213" i="12"/>
  <c r="AP213" i="12"/>
  <c r="AQ213" i="12"/>
  <c r="AR213" i="12"/>
  <c r="AS213" i="12"/>
  <c r="AT213" i="12"/>
  <c r="AU213" i="12"/>
  <c r="AV213" i="12"/>
  <c r="AW213" i="12"/>
  <c r="AX213" i="12"/>
  <c r="AY213" i="12"/>
  <c r="AZ213" i="12"/>
  <c r="BA213" i="12"/>
  <c r="BB213" i="12"/>
  <c r="BC213" i="12"/>
  <c r="BD213" i="12"/>
  <c r="BE213" i="12"/>
  <c r="BF213" i="12"/>
  <c r="BG213" i="12"/>
  <c r="BH213" i="12"/>
  <c r="BI213" i="12"/>
  <c r="BJ213" i="12"/>
  <c r="BK213" i="12"/>
  <c r="BL213" i="12"/>
  <c r="BM213" i="12"/>
  <c r="BN213" i="12"/>
  <c r="BO213" i="12"/>
  <c r="BP213" i="12"/>
  <c r="BQ213" i="12"/>
  <c r="BR213" i="12"/>
  <c r="BS213" i="12"/>
  <c r="BT213" i="12"/>
  <c r="BU213" i="12"/>
  <c r="BV213" i="12"/>
  <c r="BW213" i="12"/>
  <c r="BX213" i="12"/>
  <c r="BY213" i="12"/>
  <c r="BZ213" i="12"/>
  <c r="CA213" i="12"/>
  <c r="CB213" i="12"/>
  <c r="CC213" i="12"/>
  <c r="CD213" i="12"/>
  <c r="CE213" i="12"/>
  <c r="CF213" i="12"/>
  <c r="CG213" i="12"/>
  <c r="CH213" i="12"/>
  <c r="CI213" i="12"/>
  <c r="CJ213" i="12"/>
  <c r="CK213" i="12"/>
  <c r="CL213" i="12"/>
  <c r="CM213" i="12"/>
  <c r="CN213" i="12"/>
  <c r="CO213" i="12"/>
  <c r="CP213" i="12"/>
  <c r="CQ213" i="12"/>
  <c r="CR213" i="12"/>
  <c r="CS213" i="12"/>
  <c r="CT213" i="12"/>
  <c r="CU213" i="12"/>
  <c r="CV213" i="12"/>
  <c r="CW213" i="12"/>
  <c r="CX213" i="12"/>
  <c r="CY213" i="12"/>
  <c r="CZ213" i="12"/>
  <c r="DA213" i="12"/>
  <c r="DB213" i="12"/>
  <c r="DC213" i="12"/>
  <c r="DD213" i="12"/>
  <c r="DE213" i="12"/>
  <c r="DF213" i="12"/>
  <c r="DG213" i="12"/>
  <c r="DH213" i="12"/>
  <c r="DI213" i="12"/>
  <c r="DJ213" i="12"/>
  <c r="DK213" i="12"/>
  <c r="DL213" i="12"/>
  <c r="DM213" i="12"/>
  <c r="DN213" i="12"/>
  <c r="DO213" i="12"/>
  <c r="DP213" i="12"/>
  <c r="DQ213" i="12"/>
  <c r="DR213" i="12"/>
  <c r="DS213" i="12"/>
  <c r="DT213" i="12"/>
  <c r="DU213" i="12"/>
  <c r="O214" i="12"/>
  <c r="P214" i="12"/>
  <c r="Q214" i="12"/>
  <c r="R214" i="12"/>
  <c r="S214" i="12"/>
  <c r="T214" i="12"/>
  <c r="U214" i="12"/>
  <c r="V214" i="12"/>
  <c r="W214" i="12"/>
  <c r="X214" i="12"/>
  <c r="Y214" i="12"/>
  <c r="Z214" i="12"/>
  <c r="AA214" i="12"/>
  <c r="AB214" i="12"/>
  <c r="AC214" i="12"/>
  <c r="AD214" i="12"/>
  <c r="AE214" i="12"/>
  <c r="AF214" i="12"/>
  <c r="AG214" i="12"/>
  <c r="AH214" i="12"/>
  <c r="AI214" i="12"/>
  <c r="AJ214" i="12"/>
  <c r="AK214" i="12"/>
  <c r="AL214" i="12"/>
  <c r="AM214" i="12"/>
  <c r="AN214" i="12"/>
  <c r="AO214" i="12"/>
  <c r="AP214" i="12"/>
  <c r="AQ214" i="12"/>
  <c r="AR214" i="12"/>
  <c r="AS214" i="12"/>
  <c r="AT214" i="12"/>
  <c r="AU214" i="12"/>
  <c r="AV214" i="12"/>
  <c r="AW214" i="12"/>
  <c r="AX214" i="12"/>
  <c r="AY214" i="12"/>
  <c r="AZ214" i="12"/>
  <c r="BA214" i="12"/>
  <c r="BB214" i="12"/>
  <c r="BC214" i="12"/>
  <c r="BD214" i="12"/>
  <c r="BE214" i="12"/>
  <c r="BF214" i="12"/>
  <c r="BG214" i="12"/>
  <c r="BH214" i="12"/>
  <c r="BI214" i="12"/>
  <c r="BJ214" i="12"/>
  <c r="BK214" i="12"/>
  <c r="BL214" i="12"/>
  <c r="BM214" i="12"/>
  <c r="BN214" i="12"/>
  <c r="BO214" i="12"/>
  <c r="BP214" i="12"/>
  <c r="BQ214" i="12"/>
  <c r="BR214" i="12"/>
  <c r="BS214" i="12"/>
  <c r="BT214" i="12"/>
  <c r="BU214" i="12"/>
  <c r="BV214" i="12"/>
  <c r="BW214" i="12"/>
  <c r="BX214" i="12"/>
  <c r="BY214" i="12"/>
  <c r="BZ214" i="12"/>
  <c r="CA214" i="12"/>
  <c r="CB214" i="12"/>
  <c r="CC214" i="12"/>
  <c r="CD214" i="12"/>
  <c r="CE214" i="12"/>
  <c r="CF214" i="12"/>
  <c r="CG214" i="12"/>
  <c r="CH214" i="12"/>
  <c r="CI214" i="12"/>
  <c r="CJ214" i="12"/>
  <c r="CK214" i="12"/>
  <c r="CL214" i="12"/>
  <c r="CM214" i="12"/>
  <c r="CN214" i="12"/>
  <c r="CO214" i="12"/>
  <c r="CP214" i="12"/>
  <c r="CQ214" i="12"/>
  <c r="CR214" i="12"/>
  <c r="CS214" i="12"/>
  <c r="CT214" i="12"/>
  <c r="CU214" i="12"/>
  <c r="CV214" i="12"/>
  <c r="CW214" i="12"/>
  <c r="CX214" i="12"/>
  <c r="CY214" i="12"/>
  <c r="CZ214" i="12"/>
  <c r="DA214" i="12"/>
  <c r="DB214" i="12"/>
  <c r="DC214" i="12"/>
  <c r="DD214" i="12"/>
  <c r="DE214" i="12"/>
  <c r="DF214" i="12"/>
  <c r="DG214" i="12"/>
  <c r="DH214" i="12"/>
  <c r="DI214" i="12"/>
  <c r="DJ214" i="12"/>
  <c r="DK214" i="12"/>
  <c r="DL214" i="12"/>
  <c r="DM214" i="12"/>
  <c r="DN214" i="12"/>
  <c r="DO214" i="12"/>
  <c r="DP214" i="12"/>
  <c r="DQ214" i="12"/>
  <c r="DR214" i="12"/>
  <c r="DS214" i="12"/>
  <c r="DT214" i="12"/>
  <c r="DU214" i="12"/>
  <c r="O215" i="12"/>
  <c r="P215" i="12"/>
  <c r="Q215" i="12"/>
  <c r="R215" i="12"/>
  <c r="S215" i="12"/>
  <c r="T215" i="12"/>
  <c r="U215" i="12"/>
  <c r="V215" i="12"/>
  <c r="W215" i="12"/>
  <c r="X215" i="12"/>
  <c r="Y215" i="12"/>
  <c r="Z215" i="12"/>
  <c r="AA215" i="12"/>
  <c r="AB215" i="12"/>
  <c r="AC215" i="12"/>
  <c r="AD215" i="12"/>
  <c r="AE215" i="12"/>
  <c r="AF215" i="12"/>
  <c r="AG215" i="12"/>
  <c r="AH215" i="12"/>
  <c r="AI215" i="12"/>
  <c r="AJ215" i="12"/>
  <c r="AK215" i="12"/>
  <c r="AL215" i="12"/>
  <c r="AM215" i="12"/>
  <c r="AN215" i="12"/>
  <c r="AO215" i="12"/>
  <c r="AP215" i="12"/>
  <c r="AQ215" i="12"/>
  <c r="AR215" i="12"/>
  <c r="AS215" i="12"/>
  <c r="AT215" i="12"/>
  <c r="AU215" i="12"/>
  <c r="AV215" i="12"/>
  <c r="AW215" i="12"/>
  <c r="AX215" i="12"/>
  <c r="AY215" i="12"/>
  <c r="AZ215" i="12"/>
  <c r="BA215" i="12"/>
  <c r="BB215" i="12"/>
  <c r="BC215" i="12"/>
  <c r="BD215" i="12"/>
  <c r="BE215" i="12"/>
  <c r="BF215" i="12"/>
  <c r="BG215" i="12"/>
  <c r="BH215" i="12"/>
  <c r="BI215" i="12"/>
  <c r="BJ215" i="12"/>
  <c r="BK215" i="12"/>
  <c r="BL215" i="12"/>
  <c r="BM215" i="12"/>
  <c r="BN215" i="12"/>
  <c r="BO215" i="12"/>
  <c r="BP215" i="12"/>
  <c r="BQ215" i="12"/>
  <c r="BR215" i="12"/>
  <c r="BS215" i="12"/>
  <c r="BT215" i="12"/>
  <c r="BU215" i="12"/>
  <c r="BV215" i="12"/>
  <c r="BW215" i="12"/>
  <c r="BX215" i="12"/>
  <c r="BY215" i="12"/>
  <c r="BZ215" i="12"/>
  <c r="CA215" i="12"/>
  <c r="CB215" i="12"/>
  <c r="CC215" i="12"/>
  <c r="CD215" i="12"/>
  <c r="CE215" i="12"/>
  <c r="CF215" i="12"/>
  <c r="CG215" i="12"/>
  <c r="CH215" i="12"/>
  <c r="CI215" i="12"/>
  <c r="CJ215" i="12"/>
  <c r="CK215" i="12"/>
  <c r="CL215" i="12"/>
  <c r="CM215" i="12"/>
  <c r="CN215" i="12"/>
  <c r="CO215" i="12"/>
  <c r="CP215" i="12"/>
  <c r="CQ215" i="12"/>
  <c r="CR215" i="12"/>
  <c r="CS215" i="12"/>
  <c r="CT215" i="12"/>
  <c r="CU215" i="12"/>
  <c r="CV215" i="12"/>
  <c r="CW215" i="12"/>
  <c r="CX215" i="12"/>
  <c r="CY215" i="12"/>
  <c r="CZ215" i="12"/>
  <c r="DA215" i="12"/>
  <c r="DB215" i="12"/>
  <c r="DC215" i="12"/>
  <c r="DD215" i="12"/>
  <c r="DE215" i="12"/>
  <c r="DF215" i="12"/>
  <c r="DG215" i="12"/>
  <c r="DH215" i="12"/>
  <c r="DI215" i="12"/>
  <c r="DJ215" i="12"/>
  <c r="DK215" i="12"/>
  <c r="DL215" i="12"/>
  <c r="DM215" i="12"/>
  <c r="DN215" i="12"/>
  <c r="DO215" i="12"/>
  <c r="DP215" i="12"/>
  <c r="DQ215" i="12"/>
  <c r="DR215" i="12"/>
  <c r="DS215" i="12"/>
  <c r="DT215" i="12"/>
  <c r="DU215" i="12"/>
  <c r="O216" i="12"/>
  <c r="P216" i="12"/>
  <c r="Q216" i="12"/>
  <c r="R216" i="12"/>
  <c r="S216" i="12"/>
  <c r="T216" i="12"/>
  <c r="U216" i="12"/>
  <c r="V216" i="12"/>
  <c r="W216" i="12"/>
  <c r="X216" i="12"/>
  <c r="Y216" i="12"/>
  <c r="Z216" i="12"/>
  <c r="AA216" i="12"/>
  <c r="AB216" i="12"/>
  <c r="AC216" i="12"/>
  <c r="AD216" i="12"/>
  <c r="AE216" i="12"/>
  <c r="AF216" i="12"/>
  <c r="AG216" i="12"/>
  <c r="AH216" i="12"/>
  <c r="AI216" i="12"/>
  <c r="AJ216" i="12"/>
  <c r="AK216" i="12"/>
  <c r="AL216" i="12"/>
  <c r="AM216" i="12"/>
  <c r="AN216" i="12"/>
  <c r="AO216" i="12"/>
  <c r="AP216" i="12"/>
  <c r="AQ216" i="12"/>
  <c r="AR216" i="12"/>
  <c r="AS216" i="12"/>
  <c r="AT216" i="12"/>
  <c r="AU216" i="12"/>
  <c r="AV216" i="12"/>
  <c r="AW216" i="12"/>
  <c r="AX216" i="12"/>
  <c r="AY216" i="12"/>
  <c r="AZ216" i="12"/>
  <c r="BA216" i="12"/>
  <c r="BB216" i="12"/>
  <c r="BC216" i="12"/>
  <c r="BD216" i="12"/>
  <c r="BE216" i="12"/>
  <c r="BF216" i="12"/>
  <c r="BG216" i="12"/>
  <c r="BH216" i="12"/>
  <c r="BI216" i="12"/>
  <c r="BJ216" i="12"/>
  <c r="BK216" i="12"/>
  <c r="BL216" i="12"/>
  <c r="BM216" i="12"/>
  <c r="BN216" i="12"/>
  <c r="BO216" i="12"/>
  <c r="BP216" i="12"/>
  <c r="BQ216" i="12"/>
  <c r="BR216" i="12"/>
  <c r="BS216" i="12"/>
  <c r="BT216" i="12"/>
  <c r="BU216" i="12"/>
  <c r="BV216" i="12"/>
  <c r="BW216" i="12"/>
  <c r="BX216" i="12"/>
  <c r="BY216" i="12"/>
  <c r="BZ216" i="12"/>
  <c r="CA216" i="12"/>
  <c r="CB216" i="12"/>
  <c r="CC216" i="12"/>
  <c r="CD216" i="12"/>
  <c r="CE216" i="12"/>
  <c r="CF216" i="12"/>
  <c r="CG216" i="12"/>
  <c r="CH216" i="12"/>
  <c r="CI216" i="12"/>
  <c r="CJ216" i="12"/>
  <c r="CK216" i="12"/>
  <c r="CL216" i="12"/>
  <c r="CM216" i="12"/>
  <c r="CN216" i="12"/>
  <c r="CO216" i="12"/>
  <c r="CP216" i="12"/>
  <c r="CQ216" i="12"/>
  <c r="CR216" i="12"/>
  <c r="CS216" i="12"/>
  <c r="CT216" i="12"/>
  <c r="CU216" i="12"/>
  <c r="CV216" i="12"/>
  <c r="CW216" i="12"/>
  <c r="CX216" i="12"/>
  <c r="CY216" i="12"/>
  <c r="CZ216" i="12"/>
  <c r="DA216" i="12"/>
  <c r="DB216" i="12"/>
  <c r="DC216" i="12"/>
  <c r="DD216" i="12"/>
  <c r="DE216" i="12"/>
  <c r="DF216" i="12"/>
  <c r="DG216" i="12"/>
  <c r="DH216" i="12"/>
  <c r="DI216" i="12"/>
  <c r="DJ216" i="12"/>
  <c r="DK216" i="12"/>
  <c r="DL216" i="12"/>
  <c r="DM216" i="12"/>
  <c r="DN216" i="12"/>
  <c r="DO216" i="12"/>
  <c r="DP216" i="12"/>
  <c r="DQ216" i="12"/>
  <c r="DR216" i="12"/>
  <c r="DS216" i="12"/>
  <c r="DT216" i="12"/>
  <c r="DU216" i="12"/>
  <c r="O217" i="12"/>
  <c r="P217" i="12"/>
  <c r="Q217" i="12"/>
  <c r="R217" i="12"/>
  <c r="S217" i="12"/>
  <c r="T217" i="12"/>
  <c r="U217" i="12"/>
  <c r="V217" i="12"/>
  <c r="W217" i="12"/>
  <c r="X217" i="12"/>
  <c r="Y217" i="12"/>
  <c r="Z217" i="12"/>
  <c r="AA217" i="12"/>
  <c r="AB217" i="12"/>
  <c r="AC217" i="12"/>
  <c r="AD217" i="12"/>
  <c r="AE217" i="12"/>
  <c r="AF217" i="12"/>
  <c r="AG217" i="12"/>
  <c r="AH217" i="12"/>
  <c r="AI217" i="12"/>
  <c r="AJ217" i="12"/>
  <c r="AK217" i="12"/>
  <c r="AL217" i="12"/>
  <c r="AM217" i="12"/>
  <c r="AN217" i="12"/>
  <c r="AO217" i="12"/>
  <c r="AP217" i="12"/>
  <c r="AQ217" i="12"/>
  <c r="AR217" i="12"/>
  <c r="AS217" i="12"/>
  <c r="AT217" i="12"/>
  <c r="AU217" i="12"/>
  <c r="AV217" i="12"/>
  <c r="AW217" i="12"/>
  <c r="AX217" i="12"/>
  <c r="AY217" i="12"/>
  <c r="AZ217" i="12"/>
  <c r="BA217" i="12"/>
  <c r="BB217" i="12"/>
  <c r="BC217" i="12"/>
  <c r="BD217" i="12"/>
  <c r="BE217" i="12"/>
  <c r="BF217" i="12"/>
  <c r="BG217" i="12"/>
  <c r="BH217" i="12"/>
  <c r="BI217" i="12"/>
  <c r="BJ217" i="12"/>
  <c r="BK217" i="12"/>
  <c r="BL217" i="12"/>
  <c r="BM217" i="12"/>
  <c r="BN217" i="12"/>
  <c r="BO217" i="12"/>
  <c r="BP217" i="12"/>
  <c r="BQ217" i="12"/>
  <c r="BR217" i="12"/>
  <c r="BS217" i="12"/>
  <c r="BT217" i="12"/>
  <c r="BU217" i="12"/>
  <c r="BV217" i="12"/>
  <c r="BW217" i="12"/>
  <c r="BX217" i="12"/>
  <c r="BY217" i="12"/>
  <c r="BZ217" i="12"/>
  <c r="CA217" i="12"/>
  <c r="CB217" i="12"/>
  <c r="CC217" i="12"/>
  <c r="CD217" i="12"/>
  <c r="CE217" i="12"/>
  <c r="CF217" i="12"/>
  <c r="CG217" i="12"/>
  <c r="CH217" i="12"/>
  <c r="CI217" i="12"/>
  <c r="CJ217" i="12"/>
  <c r="CK217" i="12"/>
  <c r="CL217" i="12"/>
  <c r="CM217" i="12"/>
  <c r="CN217" i="12"/>
  <c r="CO217" i="12"/>
  <c r="CP217" i="12"/>
  <c r="CQ217" i="12"/>
  <c r="CR217" i="12"/>
  <c r="CS217" i="12"/>
  <c r="CT217" i="12"/>
  <c r="CU217" i="12"/>
  <c r="CV217" i="12"/>
  <c r="CW217" i="12"/>
  <c r="CX217" i="12"/>
  <c r="CY217" i="12"/>
  <c r="CZ217" i="12"/>
  <c r="DA217" i="12"/>
  <c r="DB217" i="12"/>
  <c r="DC217" i="12"/>
  <c r="DD217" i="12"/>
  <c r="DE217" i="12"/>
  <c r="DF217" i="12"/>
  <c r="DG217" i="12"/>
  <c r="DH217" i="12"/>
  <c r="DI217" i="12"/>
  <c r="DJ217" i="12"/>
  <c r="DK217" i="12"/>
  <c r="DL217" i="12"/>
  <c r="DM217" i="12"/>
  <c r="DN217" i="12"/>
  <c r="DO217" i="12"/>
  <c r="DP217" i="12"/>
  <c r="DQ217" i="12"/>
  <c r="DR217" i="12"/>
  <c r="DS217" i="12"/>
  <c r="DT217" i="12"/>
  <c r="DU217" i="12"/>
  <c r="O218" i="12"/>
  <c r="P218" i="12"/>
  <c r="Q218" i="12"/>
  <c r="R218" i="12"/>
  <c r="S218" i="12"/>
  <c r="T218" i="12"/>
  <c r="U218" i="12"/>
  <c r="V218" i="12"/>
  <c r="W218" i="12"/>
  <c r="X218" i="12"/>
  <c r="Y218" i="12"/>
  <c r="Z218" i="12"/>
  <c r="AA218" i="12"/>
  <c r="AB218" i="12"/>
  <c r="AC218" i="12"/>
  <c r="AD218" i="12"/>
  <c r="AE218" i="12"/>
  <c r="AF218" i="12"/>
  <c r="AG218" i="12"/>
  <c r="AH218" i="12"/>
  <c r="AI218" i="12"/>
  <c r="AJ218" i="12"/>
  <c r="AK218" i="12"/>
  <c r="AL218" i="12"/>
  <c r="AM218" i="12"/>
  <c r="AN218" i="12"/>
  <c r="AO218" i="12"/>
  <c r="AP218" i="12"/>
  <c r="AQ218" i="12"/>
  <c r="AR218" i="12"/>
  <c r="AS218" i="12"/>
  <c r="AT218" i="12"/>
  <c r="AU218" i="12"/>
  <c r="AV218" i="12"/>
  <c r="AW218" i="12"/>
  <c r="AX218" i="12"/>
  <c r="AY218" i="12"/>
  <c r="AZ218" i="12"/>
  <c r="BA218" i="12"/>
  <c r="BB218" i="12"/>
  <c r="BC218" i="12"/>
  <c r="BD218" i="12"/>
  <c r="BE218" i="12"/>
  <c r="BF218" i="12"/>
  <c r="BG218" i="12"/>
  <c r="BH218" i="12"/>
  <c r="BI218" i="12"/>
  <c r="BJ218" i="12"/>
  <c r="BK218" i="12"/>
  <c r="BL218" i="12"/>
  <c r="BM218" i="12"/>
  <c r="BN218" i="12"/>
  <c r="BO218" i="12"/>
  <c r="BP218" i="12"/>
  <c r="BQ218" i="12"/>
  <c r="BR218" i="12"/>
  <c r="BS218" i="12"/>
  <c r="BT218" i="12"/>
  <c r="BU218" i="12"/>
  <c r="BV218" i="12"/>
  <c r="BW218" i="12"/>
  <c r="BX218" i="12"/>
  <c r="BY218" i="12"/>
  <c r="BZ218" i="12"/>
  <c r="CA218" i="12"/>
  <c r="CB218" i="12"/>
  <c r="CC218" i="12"/>
  <c r="CD218" i="12"/>
  <c r="CE218" i="12"/>
  <c r="CF218" i="12"/>
  <c r="CG218" i="12"/>
  <c r="CH218" i="12"/>
  <c r="CI218" i="12"/>
  <c r="CJ218" i="12"/>
  <c r="CK218" i="12"/>
  <c r="CL218" i="12"/>
  <c r="CM218" i="12"/>
  <c r="CN218" i="12"/>
  <c r="CO218" i="12"/>
  <c r="CP218" i="12"/>
  <c r="CQ218" i="12"/>
  <c r="CR218" i="12"/>
  <c r="CS218" i="12"/>
  <c r="CT218" i="12"/>
  <c r="CU218" i="12"/>
  <c r="CV218" i="12"/>
  <c r="CW218" i="12"/>
  <c r="CX218" i="12"/>
  <c r="CY218" i="12"/>
  <c r="CZ218" i="12"/>
  <c r="DA218" i="12"/>
  <c r="DB218" i="12"/>
  <c r="DC218" i="12"/>
  <c r="DD218" i="12"/>
  <c r="DE218" i="12"/>
  <c r="DF218" i="12"/>
  <c r="DG218" i="12"/>
  <c r="DH218" i="12"/>
  <c r="DI218" i="12"/>
  <c r="DJ218" i="12"/>
  <c r="DK218" i="12"/>
  <c r="DL218" i="12"/>
  <c r="DM218" i="12"/>
  <c r="DN218" i="12"/>
  <c r="DO218" i="12"/>
  <c r="DP218" i="12"/>
  <c r="DQ218" i="12"/>
  <c r="DR218" i="12"/>
  <c r="DS218" i="12"/>
  <c r="DT218" i="12"/>
  <c r="DU218" i="12"/>
  <c r="O219" i="12"/>
  <c r="P219" i="12"/>
  <c r="Q219" i="12"/>
  <c r="R219" i="12"/>
  <c r="S219" i="12"/>
  <c r="T219" i="12"/>
  <c r="U219" i="12"/>
  <c r="V219" i="12"/>
  <c r="W219" i="12"/>
  <c r="X219" i="12"/>
  <c r="Y219" i="12"/>
  <c r="Z219" i="12"/>
  <c r="AA219" i="12"/>
  <c r="AB219" i="12"/>
  <c r="AC219" i="12"/>
  <c r="AD219" i="12"/>
  <c r="AE219" i="12"/>
  <c r="AF219" i="12"/>
  <c r="AG219" i="12"/>
  <c r="AH219" i="12"/>
  <c r="AI219" i="12"/>
  <c r="AJ219" i="12"/>
  <c r="AK219" i="12"/>
  <c r="AL219" i="12"/>
  <c r="AM219" i="12"/>
  <c r="AN219" i="12"/>
  <c r="AO219" i="12"/>
  <c r="AP219" i="12"/>
  <c r="AQ219" i="12"/>
  <c r="AR219" i="12"/>
  <c r="AS219" i="12"/>
  <c r="AT219" i="12"/>
  <c r="AU219" i="12"/>
  <c r="AV219" i="12"/>
  <c r="AW219" i="12"/>
  <c r="AX219" i="12"/>
  <c r="AY219" i="12"/>
  <c r="AZ219" i="12"/>
  <c r="BA219" i="12"/>
  <c r="BB219" i="12"/>
  <c r="BC219" i="12"/>
  <c r="BD219" i="12"/>
  <c r="BE219" i="12"/>
  <c r="BF219" i="12"/>
  <c r="BG219" i="12"/>
  <c r="BH219" i="12"/>
  <c r="BI219" i="12"/>
  <c r="BJ219" i="12"/>
  <c r="BK219" i="12"/>
  <c r="BL219" i="12"/>
  <c r="BM219" i="12"/>
  <c r="BN219" i="12"/>
  <c r="BO219" i="12"/>
  <c r="BP219" i="12"/>
  <c r="BQ219" i="12"/>
  <c r="BR219" i="12"/>
  <c r="BS219" i="12"/>
  <c r="BT219" i="12"/>
  <c r="BU219" i="12"/>
  <c r="BV219" i="12"/>
  <c r="BW219" i="12"/>
  <c r="BX219" i="12"/>
  <c r="BY219" i="12"/>
  <c r="BZ219" i="12"/>
  <c r="CA219" i="12"/>
  <c r="CB219" i="12"/>
  <c r="CC219" i="12"/>
  <c r="CD219" i="12"/>
  <c r="CE219" i="12"/>
  <c r="CF219" i="12"/>
  <c r="CG219" i="12"/>
  <c r="CH219" i="12"/>
  <c r="CI219" i="12"/>
  <c r="CJ219" i="12"/>
  <c r="CK219" i="12"/>
  <c r="CL219" i="12"/>
  <c r="CM219" i="12"/>
  <c r="CN219" i="12"/>
  <c r="CO219" i="12"/>
  <c r="CP219" i="12"/>
  <c r="CQ219" i="12"/>
  <c r="CR219" i="12"/>
  <c r="CS219" i="12"/>
  <c r="CT219" i="12"/>
  <c r="CU219" i="12"/>
  <c r="CV219" i="12"/>
  <c r="CW219" i="12"/>
  <c r="CX219" i="12"/>
  <c r="CY219" i="12"/>
  <c r="CZ219" i="12"/>
  <c r="DA219" i="12"/>
  <c r="DB219" i="12"/>
  <c r="DC219" i="12"/>
  <c r="DD219" i="12"/>
  <c r="DE219" i="12"/>
  <c r="DF219" i="12"/>
  <c r="DG219" i="12"/>
  <c r="DH219" i="12"/>
  <c r="DI219" i="12"/>
  <c r="DJ219" i="12"/>
  <c r="DK219" i="12"/>
  <c r="DL219" i="12"/>
  <c r="DM219" i="12"/>
  <c r="DN219" i="12"/>
  <c r="DO219" i="12"/>
  <c r="DP219" i="12"/>
  <c r="DQ219" i="12"/>
  <c r="DR219" i="12"/>
  <c r="DS219" i="12"/>
  <c r="DT219" i="12"/>
  <c r="DU219" i="12"/>
  <c r="O220" i="12"/>
  <c r="P220" i="12"/>
  <c r="Q220" i="12"/>
  <c r="R220" i="12"/>
  <c r="S220" i="12"/>
  <c r="T220" i="12"/>
  <c r="U220" i="12"/>
  <c r="V220" i="12"/>
  <c r="W220" i="12"/>
  <c r="X220" i="12"/>
  <c r="Y220" i="12"/>
  <c r="Z220" i="12"/>
  <c r="AA220" i="12"/>
  <c r="AB220" i="12"/>
  <c r="AC220" i="12"/>
  <c r="AD220" i="12"/>
  <c r="AE220" i="12"/>
  <c r="AF220" i="12"/>
  <c r="AG220" i="12"/>
  <c r="AH220" i="12"/>
  <c r="AI220" i="12"/>
  <c r="AJ220" i="12"/>
  <c r="AK220" i="12"/>
  <c r="AL220" i="12"/>
  <c r="AM220" i="12"/>
  <c r="AN220" i="12"/>
  <c r="AO220" i="12"/>
  <c r="AP220" i="12"/>
  <c r="AQ220" i="12"/>
  <c r="AR220" i="12"/>
  <c r="AS220" i="12"/>
  <c r="AT220" i="12"/>
  <c r="AU220" i="12"/>
  <c r="AV220" i="12"/>
  <c r="AW220" i="12"/>
  <c r="AX220" i="12"/>
  <c r="AY220" i="12"/>
  <c r="AZ220" i="12"/>
  <c r="BA220" i="12"/>
  <c r="BB220" i="12"/>
  <c r="BC220" i="12"/>
  <c r="BD220" i="12"/>
  <c r="BE220" i="12"/>
  <c r="BF220" i="12"/>
  <c r="BG220" i="12"/>
  <c r="BH220" i="12"/>
  <c r="BI220" i="12"/>
  <c r="BJ220" i="12"/>
  <c r="BK220" i="12"/>
  <c r="BL220" i="12"/>
  <c r="BM220" i="12"/>
  <c r="BN220" i="12"/>
  <c r="BO220" i="12"/>
  <c r="BP220" i="12"/>
  <c r="BQ220" i="12"/>
  <c r="BR220" i="12"/>
  <c r="BS220" i="12"/>
  <c r="BT220" i="12"/>
  <c r="BU220" i="12"/>
  <c r="BV220" i="12"/>
  <c r="BW220" i="12"/>
  <c r="BX220" i="12"/>
  <c r="BY220" i="12"/>
  <c r="BZ220" i="12"/>
  <c r="CA220" i="12"/>
  <c r="CB220" i="12"/>
  <c r="CC220" i="12"/>
  <c r="CD220" i="12"/>
  <c r="CE220" i="12"/>
  <c r="CF220" i="12"/>
  <c r="CG220" i="12"/>
  <c r="CH220" i="12"/>
  <c r="CI220" i="12"/>
  <c r="CJ220" i="12"/>
  <c r="CK220" i="12"/>
  <c r="CL220" i="12"/>
  <c r="CM220" i="12"/>
  <c r="CN220" i="12"/>
  <c r="CO220" i="12"/>
  <c r="CP220" i="12"/>
  <c r="CQ220" i="12"/>
  <c r="CR220" i="12"/>
  <c r="CS220" i="12"/>
  <c r="CT220" i="12"/>
  <c r="CU220" i="12"/>
  <c r="CV220" i="12"/>
  <c r="CW220" i="12"/>
  <c r="CX220" i="12"/>
  <c r="CY220" i="12"/>
  <c r="CZ220" i="12"/>
  <c r="DA220" i="12"/>
  <c r="DB220" i="12"/>
  <c r="DC220" i="12"/>
  <c r="DD220" i="12"/>
  <c r="DE220" i="12"/>
  <c r="DF220" i="12"/>
  <c r="DG220" i="12"/>
  <c r="DH220" i="12"/>
  <c r="DI220" i="12"/>
  <c r="DJ220" i="12"/>
  <c r="DK220" i="12"/>
  <c r="DL220" i="12"/>
  <c r="DM220" i="12"/>
  <c r="DN220" i="12"/>
  <c r="DO220" i="12"/>
  <c r="DP220" i="12"/>
  <c r="DQ220" i="12"/>
  <c r="DR220" i="12"/>
  <c r="DS220" i="12"/>
  <c r="DT220" i="12"/>
  <c r="DU220" i="12"/>
  <c r="O221" i="12"/>
  <c r="P221" i="12"/>
  <c r="Q221" i="12"/>
  <c r="R221" i="12"/>
  <c r="S221" i="12"/>
  <c r="T221" i="12"/>
  <c r="U221" i="12"/>
  <c r="V221" i="12"/>
  <c r="W221" i="12"/>
  <c r="X221" i="12"/>
  <c r="Y221" i="12"/>
  <c r="Z221" i="12"/>
  <c r="AA221" i="12"/>
  <c r="AB221" i="12"/>
  <c r="AC221" i="12"/>
  <c r="AD221" i="12"/>
  <c r="AE221" i="12"/>
  <c r="AF221" i="12"/>
  <c r="AG221" i="12"/>
  <c r="AH221" i="12"/>
  <c r="AI221" i="12"/>
  <c r="AJ221" i="12"/>
  <c r="AK221" i="12"/>
  <c r="AL221" i="12"/>
  <c r="AM221" i="12"/>
  <c r="AN221" i="12"/>
  <c r="AO221" i="12"/>
  <c r="AP221" i="12"/>
  <c r="AQ221" i="12"/>
  <c r="AR221" i="12"/>
  <c r="AS221" i="12"/>
  <c r="AT221" i="12"/>
  <c r="AU221" i="12"/>
  <c r="AV221" i="12"/>
  <c r="AW221" i="12"/>
  <c r="AX221" i="12"/>
  <c r="AY221" i="12"/>
  <c r="AZ221" i="12"/>
  <c r="BA221" i="12"/>
  <c r="BB221" i="12"/>
  <c r="BC221" i="12"/>
  <c r="BD221" i="12"/>
  <c r="BE221" i="12"/>
  <c r="BF221" i="12"/>
  <c r="BG221" i="12"/>
  <c r="BH221" i="12"/>
  <c r="BI221" i="12"/>
  <c r="BJ221" i="12"/>
  <c r="BK221" i="12"/>
  <c r="BL221" i="12"/>
  <c r="BM221" i="12"/>
  <c r="BN221" i="12"/>
  <c r="BO221" i="12"/>
  <c r="BP221" i="12"/>
  <c r="BQ221" i="12"/>
  <c r="BR221" i="12"/>
  <c r="BS221" i="12"/>
  <c r="BT221" i="12"/>
  <c r="BU221" i="12"/>
  <c r="BV221" i="12"/>
  <c r="BW221" i="12"/>
  <c r="BX221" i="12"/>
  <c r="BY221" i="12"/>
  <c r="BZ221" i="12"/>
  <c r="CA221" i="12"/>
  <c r="CB221" i="12"/>
  <c r="CC221" i="12"/>
  <c r="CD221" i="12"/>
  <c r="CE221" i="12"/>
  <c r="CF221" i="12"/>
  <c r="CG221" i="12"/>
  <c r="CH221" i="12"/>
  <c r="CI221" i="12"/>
  <c r="CJ221" i="12"/>
  <c r="CK221" i="12"/>
  <c r="CL221" i="12"/>
  <c r="CM221" i="12"/>
  <c r="CN221" i="12"/>
  <c r="CO221" i="12"/>
  <c r="CP221" i="12"/>
  <c r="CQ221" i="12"/>
  <c r="CR221" i="12"/>
  <c r="CS221" i="12"/>
  <c r="CT221" i="12"/>
  <c r="CU221" i="12"/>
  <c r="CV221" i="12"/>
  <c r="CW221" i="12"/>
  <c r="CX221" i="12"/>
  <c r="CY221" i="12"/>
  <c r="CZ221" i="12"/>
  <c r="DA221" i="12"/>
  <c r="DB221" i="12"/>
  <c r="DC221" i="12"/>
  <c r="DD221" i="12"/>
  <c r="DE221" i="12"/>
  <c r="DF221" i="12"/>
  <c r="DG221" i="12"/>
  <c r="DH221" i="12"/>
  <c r="DI221" i="12"/>
  <c r="DJ221" i="12"/>
  <c r="DK221" i="12"/>
  <c r="DL221" i="12"/>
  <c r="DM221" i="12"/>
  <c r="DN221" i="12"/>
  <c r="DO221" i="12"/>
  <c r="DP221" i="12"/>
  <c r="DQ221" i="12"/>
  <c r="DR221" i="12"/>
  <c r="DS221" i="12"/>
  <c r="DT221" i="12"/>
  <c r="DU221" i="12"/>
  <c r="O222" i="12"/>
  <c r="P222" i="12"/>
  <c r="Q222" i="12"/>
  <c r="R222" i="12"/>
  <c r="S222" i="12"/>
  <c r="T222" i="12"/>
  <c r="U222" i="12"/>
  <c r="V222" i="12"/>
  <c r="W222" i="12"/>
  <c r="X222" i="12"/>
  <c r="Y222" i="12"/>
  <c r="Z222" i="12"/>
  <c r="AA222" i="12"/>
  <c r="AB222" i="12"/>
  <c r="AC222" i="12"/>
  <c r="AD222" i="12"/>
  <c r="AE222" i="12"/>
  <c r="AF222" i="12"/>
  <c r="AG222" i="12"/>
  <c r="AH222" i="12"/>
  <c r="AI222" i="12"/>
  <c r="AJ222" i="12"/>
  <c r="AK222" i="12"/>
  <c r="AL222" i="12"/>
  <c r="AM222" i="12"/>
  <c r="AN222" i="12"/>
  <c r="AO222" i="12"/>
  <c r="AP222" i="12"/>
  <c r="AQ222" i="12"/>
  <c r="AR222" i="12"/>
  <c r="AS222" i="12"/>
  <c r="AT222" i="12"/>
  <c r="AU222" i="12"/>
  <c r="AV222" i="12"/>
  <c r="AW222" i="12"/>
  <c r="AX222" i="12"/>
  <c r="AY222" i="12"/>
  <c r="AZ222" i="12"/>
  <c r="BA222" i="12"/>
  <c r="BB222" i="12"/>
  <c r="BC222" i="12"/>
  <c r="BD222" i="12"/>
  <c r="BE222" i="12"/>
  <c r="BF222" i="12"/>
  <c r="BG222" i="12"/>
  <c r="BH222" i="12"/>
  <c r="BI222" i="12"/>
  <c r="BJ222" i="12"/>
  <c r="BK222" i="12"/>
  <c r="BL222" i="12"/>
  <c r="BM222" i="12"/>
  <c r="BN222" i="12"/>
  <c r="BO222" i="12"/>
  <c r="BP222" i="12"/>
  <c r="BQ222" i="12"/>
  <c r="BR222" i="12"/>
  <c r="BS222" i="12"/>
  <c r="BT222" i="12"/>
  <c r="BU222" i="12"/>
  <c r="BV222" i="12"/>
  <c r="BW222" i="12"/>
  <c r="BX222" i="12"/>
  <c r="BY222" i="12"/>
  <c r="BZ222" i="12"/>
  <c r="CA222" i="12"/>
  <c r="CB222" i="12"/>
  <c r="CC222" i="12"/>
  <c r="CD222" i="12"/>
  <c r="CE222" i="12"/>
  <c r="CF222" i="12"/>
  <c r="CG222" i="12"/>
  <c r="CH222" i="12"/>
  <c r="CI222" i="12"/>
  <c r="CJ222" i="12"/>
  <c r="CK222" i="12"/>
  <c r="CL222" i="12"/>
  <c r="CM222" i="12"/>
  <c r="CN222" i="12"/>
  <c r="CO222" i="12"/>
  <c r="CP222" i="12"/>
  <c r="CQ222" i="12"/>
  <c r="CR222" i="12"/>
  <c r="CS222" i="12"/>
  <c r="CT222" i="12"/>
  <c r="CU222" i="12"/>
  <c r="CV222" i="12"/>
  <c r="CW222" i="12"/>
  <c r="CX222" i="12"/>
  <c r="CY222" i="12"/>
  <c r="CZ222" i="12"/>
  <c r="DA222" i="12"/>
  <c r="DB222" i="12"/>
  <c r="DC222" i="12"/>
  <c r="DD222" i="12"/>
  <c r="DE222" i="12"/>
  <c r="DF222" i="12"/>
  <c r="DG222" i="12"/>
  <c r="DH222" i="12"/>
  <c r="DI222" i="12"/>
  <c r="DJ222" i="12"/>
  <c r="DK222" i="12"/>
  <c r="DL222" i="12"/>
  <c r="DM222" i="12"/>
  <c r="DN222" i="12"/>
  <c r="DO222" i="12"/>
  <c r="DP222" i="12"/>
  <c r="DQ222" i="12"/>
  <c r="DR222" i="12"/>
  <c r="DS222" i="12"/>
  <c r="DT222" i="12"/>
  <c r="DU222" i="12"/>
  <c r="O223" i="12"/>
  <c r="P223" i="12"/>
  <c r="Q223" i="12"/>
  <c r="R223" i="12"/>
  <c r="S223" i="12"/>
  <c r="T223" i="12"/>
  <c r="U223" i="12"/>
  <c r="V223" i="12"/>
  <c r="W223" i="12"/>
  <c r="X223" i="12"/>
  <c r="Y223" i="12"/>
  <c r="Z223" i="12"/>
  <c r="AA223" i="12"/>
  <c r="AB223" i="12"/>
  <c r="AC223" i="12"/>
  <c r="AD223" i="12"/>
  <c r="AE223" i="12"/>
  <c r="AF223" i="12"/>
  <c r="AG223" i="12"/>
  <c r="AH223" i="12"/>
  <c r="AI223" i="12"/>
  <c r="AJ223" i="12"/>
  <c r="AK223" i="12"/>
  <c r="AL223" i="12"/>
  <c r="AM223" i="12"/>
  <c r="AN223" i="12"/>
  <c r="AO223" i="12"/>
  <c r="AP223" i="12"/>
  <c r="AQ223" i="12"/>
  <c r="AR223" i="12"/>
  <c r="AS223" i="12"/>
  <c r="AT223" i="12"/>
  <c r="AU223" i="12"/>
  <c r="AV223" i="12"/>
  <c r="AW223" i="12"/>
  <c r="AX223" i="12"/>
  <c r="AY223" i="12"/>
  <c r="AZ223" i="12"/>
  <c r="BA223" i="12"/>
  <c r="BB223" i="12"/>
  <c r="BC223" i="12"/>
  <c r="BD223" i="12"/>
  <c r="BE223" i="12"/>
  <c r="BF223" i="12"/>
  <c r="BG223" i="12"/>
  <c r="BH223" i="12"/>
  <c r="BI223" i="12"/>
  <c r="BJ223" i="12"/>
  <c r="BK223" i="12"/>
  <c r="BL223" i="12"/>
  <c r="BM223" i="12"/>
  <c r="BN223" i="12"/>
  <c r="BO223" i="12"/>
  <c r="BP223" i="12"/>
  <c r="BQ223" i="12"/>
  <c r="BR223" i="12"/>
  <c r="BS223" i="12"/>
  <c r="BT223" i="12"/>
  <c r="BU223" i="12"/>
  <c r="BV223" i="12"/>
  <c r="BW223" i="12"/>
  <c r="BX223" i="12"/>
  <c r="BY223" i="12"/>
  <c r="BZ223" i="12"/>
  <c r="CA223" i="12"/>
  <c r="CB223" i="12"/>
  <c r="CC223" i="12"/>
  <c r="CD223" i="12"/>
  <c r="CE223" i="12"/>
  <c r="CF223" i="12"/>
  <c r="CG223" i="12"/>
  <c r="CH223" i="12"/>
  <c r="CI223" i="12"/>
  <c r="CJ223" i="12"/>
  <c r="CK223" i="12"/>
  <c r="CL223" i="12"/>
  <c r="CM223" i="12"/>
  <c r="CN223" i="12"/>
  <c r="CO223" i="12"/>
  <c r="CP223" i="12"/>
  <c r="CQ223" i="12"/>
  <c r="CR223" i="12"/>
  <c r="CS223" i="12"/>
  <c r="CT223" i="12"/>
  <c r="CU223" i="12"/>
  <c r="CV223" i="12"/>
  <c r="CW223" i="12"/>
  <c r="CX223" i="12"/>
  <c r="CY223" i="12"/>
  <c r="CZ223" i="12"/>
  <c r="DA223" i="12"/>
  <c r="DB223" i="12"/>
  <c r="DC223" i="12"/>
  <c r="DD223" i="12"/>
  <c r="DE223" i="12"/>
  <c r="DF223" i="12"/>
  <c r="DG223" i="12"/>
  <c r="DH223" i="12"/>
  <c r="DI223" i="12"/>
  <c r="DJ223" i="12"/>
  <c r="DK223" i="12"/>
  <c r="DL223" i="12"/>
  <c r="DM223" i="12"/>
  <c r="DN223" i="12"/>
  <c r="DO223" i="12"/>
  <c r="DP223" i="12"/>
  <c r="DQ223" i="12"/>
  <c r="DR223" i="12"/>
  <c r="DS223" i="12"/>
  <c r="DT223" i="12"/>
  <c r="DU223" i="12"/>
  <c r="O224" i="12"/>
  <c r="P224" i="12"/>
  <c r="Q224" i="12"/>
  <c r="R224" i="12"/>
  <c r="S224" i="12"/>
  <c r="T224" i="12"/>
  <c r="U224" i="12"/>
  <c r="V224" i="12"/>
  <c r="W224" i="12"/>
  <c r="X224" i="12"/>
  <c r="Y224" i="12"/>
  <c r="Z224" i="12"/>
  <c r="AA224" i="12"/>
  <c r="AB224" i="12"/>
  <c r="AC224" i="12"/>
  <c r="AD224" i="12"/>
  <c r="AE224" i="12"/>
  <c r="AF224" i="12"/>
  <c r="AG224" i="12"/>
  <c r="AH224" i="12"/>
  <c r="AI224" i="12"/>
  <c r="AJ224" i="12"/>
  <c r="AK224" i="12"/>
  <c r="AL224" i="12"/>
  <c r="AM224" i="12"/>
  <c r="AN224" i="12"/>
  <c r="AO224" i="12"/>
  <c r="AP224" i="12"/>
  <c r="AQ224" i="12"/>
  <c r="AR224" i="12"/>
  <c r="AS224" i="12"/>
  <c r="AT224" i="12"/>
  <c r="AU224" i="12"/>
  <c r="AV224" i="12"/>
  <c r="AW224" i="12"/>
  <c r="AX224" i="12"/>
  <c r="AY224" i="12"/>
  <c r="AZ224" i="12"/>
  <c r="BA224" i="12"/>
  <c r="BB224" i="12"/>
  <c r="BC224" i="12"/>
  <c r="BD224" i="12"/>
  <c r="BE224" i="12"/>
  <c r="BF224" i="12"/>
  <c r="BG224" i="12"/>
  <c r="BH224" i="12"/>
  <c r="BI224" i="12"/>
  <c r="BJ224" i="12"/>
  <c r="BK224" i="12"/>
  <c r="BL224" i="12"/>
  <c r="BM224" i="12"/>
  <c r="BN224" i="12"/>
  <c r="BO224" i="12"/>
  <c r="BP224" i="12"/>
  <c r="BQ224" i="12"/>
  <c r="BR224" i="12"/>
  <c r="BS224" i="12"/>
  <c r="BT224" i="12"/>
  <c r="BU224" i="12"/>
  <c r="BV224" i="12"/>
  <c r="BW224" i="12"/>
  <c r="BX224" i="12"/>
  <c r="BY224" i="12"/>
  <c r="BZ224" i="12"/>
  <c r="CA224" i="12"/>
  <c r="CB224" i="12"/>
  <c r="CC224" i="12"/>
  <c r="CD224" i="12"/>
  <c r="CE224" i="12"/>
  <c r="CF224" i="12"/>
  <c r="CG224" i="12"/>
  <c r="CH224" i="12"/>
  <c r="CI224" i="12"/>
  <c r="CJ224" i="12"/>
  <c r="CK224" i="12"/>
  <c r="CL224" i="12"/>
  <c r="CM224" i="12"/>
  <c r="CN224" i="12"/>
  <c r="CO224" i="12"/>
  <c r="CP224" i="12"/>
  <c r="CQ224" i="12"/>
  <c r="CR224" i="12"/>
  <c r="CS224" i="12"/>
  <c r="CT224" i="12"/>
  <c r="CU224" i="12"/>
  <c r="CV224" i="12"/>
  <c r="CW224" i="12"/>
  <c r="CX224" i="12"/>
  <c r="CY224" i="12"/>
  <c r="CZ224" i="12"/>
  <c r="DA224" i="12"/>
  <c r="DB224" i="12"/>
  <c r="DC224" i="12"/>
  <c r="DD224" i="12"/>
  <c r="DE224" i="12"/>
  <c r="DF224" i="12"/>
  <c r="DG224" i="12"/>
  <c r="DH224" i="12"/>
  <c r="DI224" i="12"/>
  <c r="DJ224" i="12"/>
  <c r="DK224" i="12"/>
  <c r="DL224" i="12"/>
  <c r="DM224" i="12"/>
  <c r="DN224" i="12"/>
  <c r="DO224" i="12"/>
  <c r="DP224" i="12"/>
  <c r="DQ224" i="12"/>
  <c r="DR224" i="12"/>
  <c r="DS224" i="12"/>
  <c r="DT224" i="12"/>
  <c r="DU224" i="12"/>
  <c r="O225" i="12"/>
  <c r="P225" i="12"/>
  <c r="Q225" i="12"/>
  <c r="R225" i="12"/>
  <c r="S225" i="12"/>
  <c r="T225" i="12"/>
  <c r="U225" i="12"/>
  <c r="V225" i="12"/>
  <c r="W225" i="12"/>
  <c r="X225" i="12"/>
  <c r="Y225" i="12"/>
  <c r="Z225" i="12"/>
  <c r="AA225" i="12"/>
  <c r="AB225" i="12"/>
  <c r="AC225" i="12"/>
  <c r="AD225" i="12"/>
  <c r="AE225" i="12"/>
  <c r="AF225" i="12"/>
  <c r="AG225" i="12"/>
  <c r="AH225" i="12"/>
  <c r="AI225" i="12"/>
  <c r="AJ225" i="12"/>
  <c r="AK225" i="12"/>
  <c r="AL225" i="12"/>
  <c r="AM225" i="12"/>
  <c r="AN225" i="12"/>
  <c r="AO225" i="12"/>
  <c r="AP225" i="12"/>
  <c r="AQ225" i="12"/>
  <c r="AR225" i="12"/>
  <c r="AS225" i="12"/>
  <c r="AT225" i="12"/>
  <c r="AU225" i="12"/>
  <c r="AV225" i="12"/>
  <c r="AW225" i="12"/>
  <c r="AX225" i="12"/>
  <c r="AY225" i="12"/>
  <c r="AZ225" i="12"/>
  <c r="BA225" i="12"/>
  <c r="BB225" i="12"/>
  <c r="BC225" i="12"/>
  <c r="BD225" i="12"/>
  <c r="BE225" i="12"/>
  <c r="BF225" i="12"/>
  <c r="BG225" i="12"/>
  <c r="BH225" i="12"/>
  <c r="BI225" i="12"/>
  <c r="BJ225" i="12"/>
  <c r="BK225" i="12"/>
  <c r="BL225" i="12"/>
  <c r="BM225" i="12"/>
  <c r="BN225" i="12"/>
  <c r="BO225" i="12"/>
  <c r="BP225" i="12"/>
  <c r="BQ225" i="12"/>
  <c r="BR225" i="12"/>
  <c r="BS225" i="12"/>
  <c r="BT225" i="12"/>
  <c r="BU225" i="12"/>
  <c r="BV225" i="12"/>
  <c r="BW225" i="12"/>
  <c r="BX225" i="12"/>
  <c r="BY225" i="12"/>
  <c r="BZ225" i="12"/>
  <c r="CA225" i="12"/>
  <c r="CB225" i="12"/>
  <c r="CC225" i="12"/>
  <c r="CD225" i="12"/>
  <c r="CE225" i="12"/>
  <c r="CF225" i="12"/>
  <c r="CG225" i="12"/>
  <c r="CH225" i="12"/>
  <c r="CI225" i="12"/>
  <c r="CJ225" i="12"/>
  <c r="CK225" i="12"/>
  <c r="CL225" i="12"/>
  <c r="CM225" i="12"/>
  <c r="CN225" i="12"/>
  <c r="CO225" i="12"/>
  <c r="CP225" i="12"/>
  <c r="CQ225" i="12"/>
  <c r="CR225" i="12"/>
  <c r="CS225" i="12"/>
  <c r="CT225" i="12"/>
  <c r="CU225" i="12"/>
  <c r="CV225" i="12"/>
  <c r="CW225" i="12"/>
  <c r="CX225" i="12"/>
  <c r="CY225" i="12"/>
  <c r="CZ225" i="12"/>
  <c r="DA225" i="12"/>
  <c r="DB225" i="12"/>
  <c r="DC225" i="12"/>
  <c r="DD225" i="12"/>
  <c r="DE225" i="12"/>
  <c r="DF225" i="12"/>
  <c r="DG225" i="12"/>
  <c r="DH225" i="12"/>
  <c r="DI225" i="12"/>
  <c r="DJ225" i="12"/>
  <c r="DK225" i="12"/>
  <c r="DL225" i="12"/>
  <c r="DM225" i="12"/>
  <c r="DN225" i="12"/>
  <c r="DO225" i="12"/>
  <c r="DP225" i="12"/>
  <c r="DQ225" i="12"/>
  <c r="DR225" i="12"/>
  <c r="DS225" i="12"/>
  <c r="DT225" i="12"/>
  <c r="DU225" i="12"/>
  <c r="O226" i="12"/>
  <c r="P226" i="12"/>
  <c r="Q226" i="12"/>
  <c r="R226" i="12"/>
  <c r="S226" i="12"/>
  <c r="T226" i="12"/>
  <c r="U226" i="12"/>
  <c r="V226" i="12"/>
  <c r="W226" i="12"/>
  <c r="X226" i="12"/>
  <c r="Y226" i="12"/>
  <c r="Z226" i="12"/>
  <c r="AA226" i="12"/>
  <c r="AB226" i="12"/>
  <c r="AC226" i="12"/>
  <c r="AD226" i="12"/>
  <c r="AE226" i="12"/>
  <c r="AF226" i="12"/>
  <c r="AG226" i="12"/>
  <c r="AH226" i="12"/>
  <c r="AI226" i="12"/>
  <c r="AJ226" i="12"/>
  <c r="AK226" i="12"/>
  <c r="AL226" i="12"/>
  <c r="AM226" i="12"/>
  <c r="AN226" i="12"/>
  <c r="AO226" i="12"/>
  <c r="AP226" i="12"/>
  <c r="AQ226" i="12"/>
  <c r="AR226" i="12"/>
  <c r="AS226" i="12"/>
  <c r="AT226" i="12"/>
  <c r="AU226" i="12"/>
  <c r="AV226" i="12"/>
  <c r="AW226" i="12"/>
  <c r="AX226" i="12"/>
  <c r="AY226" i="12"/>
  <c r="AZ226" i="12"/>
  <c r="BA226" i="12"/>
  <c r="BB226" i="12"/>
  <c r="BC226" i="12"/>
  <c r="BD226" i="12"/>
  <c r="BE226" i="12"/>
  <c r="BF226" i="12"/>
  <c r="BG226" i="12"/>
  <c r="BH226" i="12"/>
  <c r="BI226" i="12"/>
  <c r="BJ226" i="12"/>
  <c r="BK226" i="12"/>
  <c r="BL226" i="12"/>
  <c r="BM226" i="12"/>
  <c r="BN226" i="12"/>
  <c r="BO226" i="12"/>
  <c r="BP226" i="12"/>
  <c r="BQ226" i="12"/>
  <c r="BR226" i="12"/>
  <c r="BS226" i="12"/>
  <c r="BT226" i="12"/>
  <c r="BU226" i="12"/>
  <c r="BV226" i="12"/>
  <c r="BW226" i="12"/>
  <c r="BX226" i="12"/>
  <c r="BY226" i="12"/>
  <c r="BZ226" i="12"/>
  <c r="CA226" i="12"/>
  <c r="CB226" i="12"/>
  <c r="CC226" i="12"/>
  <c r="CD226" i="12"/>
  <c r="CE226" i="12"/>
  <c r="CF226" i="12"/>
  <c r="CG226" i="12"/>
  <c r="CH226" i="12"/>
  <c r="CI226" i="12"/>
  <c r="CJ226" i="12"/>
  <c r="CK226" i="12"/>
  <c r="CL226" i="12"/>
  <c r="CM226" i="12"/>
  <c r="CN226" i="12"/>
  <c r="CO226" i="12"/>
  <c r="CP226" i="12"/>
  <c r="CQ226" i="12"/>
  <c r="CR226" i="12"/>
  <c r="CS226" i="12"/>
  <c r="CT226" i="12"/>
  <c r="CU226" i="12"/>
  <c r="CV226" i="12"/>
  <c r="CW226" i="12"/>
  <c r="CX226" i="12"/>
  <c r="CY226" i="12"/>
  <c r="CZ226" i="12"/>
  <c r="DA226" i="12"/>
  <c r="DB226" i="12"/>
  <c r="DC226" i="12"/>
  <c r="DD226" i="12"/>
  <c r="DE226" i="12"/>
  <c r="DF226" i="12"/>
  <c r="DG226" i="12"/>
  <c r="DH226" i="12"/>
  <c r="DI226" i="12"/>
  <c r="DJ226" i="12"/>
  <c r="DK226" i="12"/>
  <c r="DL226" i="12"/>
  <c r="DM226" i="12"/>
  <c r="DN226" i="12"/>
  <c r="DO226" i="12"/>
  <c r="DP226" i="12"/>
  <c r="DQ226" i="12"/>
  <c r="DR226" i="12"/>
  <c r="DS226" i="12"/>
  <c r="DT226" i="12"/>
  <c r="DU226" i="12"/>
  <c r="O227" i="12"/>
  <c r="P227" i="12"/>
  <c r="Q227" i="12"/>
  <c r="R227" i="12"/>
  <c r="S227" i="12"/>
  <c r="T227" i="12"/>
  <c r="U227" i="12"/>
  <c r="V227" i="12"/>
  <c r="W227" i="12"/>
  <c r="X227" i="12"/>
  <c r="Y227" i="12"/>
  <c r="Z227" i="12"/>
  <c r="AA227" i="12"/>
  <c r="AB227" i="12"/>
  <c r="AC227" i="12"/>
  <c r="AD227" i="12"/>
  <c r="AE227" i="12"/>
  <c r="AF227" i="12"/>
  <c r="AG227" i="12"/>
  <c r="AH227" i="12"/>
  <c r="AI227" i="12"/>
  <c r="AJ227" i="12"/>
  <c r="AK227" i="12"/>
  <c r="AL227" i="12"/>
  <c r="AM227" i="12"/>
  <c r="AN227" i="12"/>
  <c r="AO227" i="12"/>
  <c r="AP227" i="12"/>
  <c r="AQ227" i="12"/>
  <c r="AR227" i="12"/>
  <c r="AS227" i="12"/>
  <c r="AT227" i="12"/>
  <c r="AU227" i="12"/>
  <c r="AV227" i="12"/>
  <c r="AW227" i="12"/>
  <c r="AX227" i="12"/>
  <c r="AY227" i="12"/>
  <c r="AZ227" i="12"/>
  <c r="BA227" i="12"/>
  <c r="BB227" i="12"/>
  <c r="BC227" i="12"/>
  <c r="BD227" i="12"/>
  <c r="BE227" i="12"/>
  <c r="BF227" i="12"/>
  <c r="BG227" i="12"/>
  <c r="BH227" i="12"/>
  <c r="BI227" i="12"/>
  <c r="BJ227" i="12"/>
  <c r="BK227" i="12"/>
  <c r="BL227" i="12"/>
  <c r="BM227" i="12"/>
  <c r="BN227" i="12"/>
  <c r="BO227" i="12"/>
  <c r="BP227" i="12"/>
  <c r="BQ227" i="12"/>
  <c r="BR227" i="12"/>
  <c r="BS227" i="12"/>
  <c r="BT227" i="12"/>
  <c r="BU227" i="12"/>
  <c r="BV227" i="12"/>
  <c r="BW227" i="12"/>
  <c r="BX227" i="12"/>
  <c r="BY227" i="12"/>
  <c r="BZ227" i="12"/>
  <c r="CA227" i="12"/>
  <c r="CB227" i="12"/>
  <c r="CC227" i="12"/>
  <c r="CD227" i="12"/>
  <c r="CE227" i="12"/>
  <c r="CF227" i="12"/>
  <c r="CG227" i="12"/>
  <c r="CH227" i="12"/>
  <c r="CI227" i="12"/>
  <c r="CJ227" i="12"/>
  <c r="CK227" i="12"/>
  <c r="CL227" i="12"/>
  <c r="CM227" i="12"/>
  <c r="CN227" i="12"/>
  <c r="CO227" i="12"/>
  <c r="CP227" i="12"/>
  <c r="CQ227" i="12"/>
  <c r="CR227" i="12"/>
  <c r="CS227" i="12"/>
  <c r="CT227" i="12"/>
  <c r="CU227" i="12"/>
  <c r="CV227" i="12"/>
  <c r="CW227" i="12"/>
  <c r="CX227" i="12"/>
  <c r="CY227" i="12"/>
  <c r="CZ227" i="12"/>
  <c r="DA227" i="12"/>
  <c r="DB227" i="12"/>
  <c r="DC227" i="12"/>
  <c r="DD227" i="12"/>
  <c r="DE227" i="12"/>
  <c r="DF227" i="12"/>
  <c r="DG227" i="12"/>
  <c r="DH227" i="12"/>
  <c r="DI227" i="12"/>
  <c r="DJ227" i="12"/>
  <c r="DK227" i="12"/>
  <c r="DL227" i="12"/>
  <c r="DM227" i="12"/>
  <c r="DN227" i="12"/>
  <c r="DO227" i="12"/>
  <c r="DP227" i="12"/>
  <c r="DQ227" i="12"/>
  <c r="DR227" i="12"/>
  <c r="DS227" i="12"/>
  <c r="DT227" i="12"/>
  <c r="DU227" i="12"/>
  <c r="O228" i="12"/>
  <c r="P228" i="12"/>
  <c r="Q228" i="12"/>
  <c r="R228" i="12"/>
  <c r="S228" i="12"/>
  <c r="T228" i="12"/>
  <c r="U228" i="12"/>
  <c r="V228" i="12"/>
  <c r="W228" i="12"/>
  <c r="X228" i="12"/>
  <c r="Y228" i="12"/>
  <c r="Z228" i="12"/>
  <c r="AA228" i="12"/>
  <c r="AB228" i="12"/>
  <c r="AC228" i="12"/>
  <c r="AD228" i="12"/>
  <c r="AE228" i="12"/>
  <c r="AF228" i="12"/>
  <c r="AG228" i="12"/>
  <c r="AH228" i="12"/>
  <c r="AI228" i="12"/>
  <c r="AJ228" i="12"/>
  <c r="AK228" i="12"/>
  <c r="AL228" i="12"/>
  <c r="AM228" i="12"/>
  <c r="AN228" i="12"/>
  <c r="AO228" i="12"/>
  <c r="AP228" i="12"/>
  <c r="AQ228" i="12"/>
  <c r="AR228" i="12"/>
  <c r="AS228" i="12"/>
  <c r="AT228" i="12"/>
  <c r="AU228" i="12"/>
  <c r="AV228" i="12"/>
  <c r="AW228" i="12"/>
  <c r="AX228" i="12"/>
  <c r="AY228" i="12"/>
  <c r="AZ228" i="12"/>
  <c r="BA228" i="12"/>
  <c r="BB228" i="12"/>
  <c r="BC228" i="12"/>
  <c r="BD228" i="12"/>
  <c r="BE228" i="12"/>
  <c r="BF228" i="12"/>
  <c r="BG228" i="12"/>
  <c r="BH228" i="12"/>
  <c r="BI228" i="12"/>
  <c r="BJ228" i="12"/>
  <c r="BK228" i="12"/>
  <c r="BL228" i="12"/>
  <c r="BM228" i="12"/>
  <c r="BN228" i="12"/>
  <c r="BO228" i="12"/>
  <c r="BP228" i="12"/>
  <c r="BQ228" i="12"/>
  <c r="BR228" i="12"/>
  <c r="BS228" i="12"/>
  <c r="BT228" i="12"/>
  <c r="BU228" i="12"/>
  <c r="BV228" i="12"/>
  <c r="BW228" i="12"/>
  <c r="BX228" i="12"/>
  <c r="BY228" i="12"/>
  <c r="BZ228" i="12"/>
  <c r="CA228" i="12"/>
  <c r="CB228" i="12"/>
  <c r="CC228" i="12"/>
  <c r="CD228" i="12"/>
  <c r="CE228" i="12"/>
  <c r="CF228" i="12"/>
  <c r="CG228" i="12"/>
  <c r="CH228" i="12"/>
  <c r="CI228" i="12"/>
  <c r="CJ228" i="12"/>
  <c r="CK228" i="12"/>
  <c r="CL228" i="12"/>
  <c r="CM228" i="12"/>
  <c r="CN228" i="12"/>
  <c r="CO228" i="12"/>
  <c r="CP228" i="12"/>
  <c r="CQ228" i="12"/>
  <c r="CR228" i="12"/>
  <c r="CS228" i="12"/>
  <c r="CT228" i="12"/>
  <c r="CU228" i="12"/>
  <c r="CV228" i="12"/>
  <c r="CW228" i="12"/>
  <c r="CX228" i="12"/>
  <c r="CY228" i="12"/>
  <c r="CZ228" i="12"/>
  <c r="DA228" i="12"/>
  <c r="DB228" i="12"/>
  <c r="DC228" i="12"/>
  <c r="DD228" i="12"/>
  <c r="DE228" i="12"/>
  <c r="DF228" i="12"/>
  <c r="DG228" i="12"/>
  <c r="DH228" i="12"/>
  <c r="DI228" i="12"/>
  <c r="DJ228" i="12"/>
  <c r="DK228" i="12"/>
  <c r="DL228" i="12"/>
  <c r="DM228" i="12"/>
  <c r="DN228" i="12"/>
  <c r="DO228" i="12"/>
  <c r="DP228" i="12"/>
  <c r="DQ228" i="12"/>
  <c r="DR228" i="12"/>
  <c r="DS228" i="12"/>
  <c r="DT228" i="12"/>
  <c r="DU228" i="12"/>
  <c r="O229" i="12"/>
  <c r="P229" i="12"/>
  <c r="Q229" i="12"/>
  <c r="R229" i="12"/>
  <c r="S229" i="12"/>
  <c r="T229" i="12"/>
  <c r="U229" i="12"/>
  <c r="V229" i="12"/>
  <c r="W229" i="12"/>
  <c r="X229" i="12"/>
  <c r="Y229" i="12"/>
  <c r="Z229" i="12"/>
  <c r="AA229" i="12"/>
  <c r="AB229" i="12"/>
  <c r="AC229" i="12"/>
  <c r="AD229" i="12"/>
  <c r="AE229" i="12"/>
  <c r="AF229" i="12"/>
  <c r="AG229" i="12"/>
  <c r="AH229" i="12"/>
  <c r="AI229" i="12"/>
  <c r="AJ229" i="12"/>
  <c r="AK229" i="12"/>
  <c r="AL229" i="12"/>
  <c r="AM229" i="12"/>
  <c r="AN229" i="12"/>
  <c r="AO229" i="12"/>
  <c r="AP229" i="12"/>
  <c r="AQ229" i="12"/>
  <c r="AR229" i="12"/>
  <c r="AS229" i="12"/>
  <c r="AT229" i="12"/>
  <c r="AU229" i="12"/>
  <c r="AV229" i="12"/>
  <c r="AW229" i="12"/>
  <c r="AX229" i="12"/>
  <c r="AY229" i="12"/>
  <c r="AZ229" i="12"/>
  <c r="BA229" i="12"/>
  <c r="BB229" i="12"/>
  <c r="BC229" i="12"/>
  <c r="BD229" i="12"/>
  <c r="BE229" i="12"/>
  <c r="BF229" i="12"/>
  <c r="BG229" i="12"/>
  <c r="BH229" i="12"/>
  <c r="BI229" i="12"/>
  <c r="BJ229" i="12"/>
  <c r="BK229" i="12"/>
  <c r="BL229" i="12"/>
  <c r="BM229" i="12"/>
  <c r="BN229" i="12"/>
  <c r="BO229" i="12"/>
  <c r="BP229" i="12"/>
  <c r="BQ229" i="12"/>
  <c r="BR229" i="12"/>
  <c r="BS229" i="12"/>
  <c r="BT229" i="12"/>
  <c r="BU229" i="12"/>
  <c r="BV229" i="12"/>
  <c r="BW229" i="12"/>
  <c r="BX229" i="12"/>
  <c r="BY229" i="12"/>
  <c r="BZ229" i="12"/>
  <c r="CA229" i="12"/>
  <c r="CB229" i="12"/>
  <c r="CC229" i="12"/>
  <c r="CD229" i="12"/>
  <c r="CE229" i="12"/>
  <c r="CF229" i="12"/>
  <c r="CG229" i="12"/>
  <c r="CH229" i="12"/>
  <c r="CI229" i="12"/>
  <c r="CJ229" i="12"/>
  <c r="CK229" i="12"/>
  <c r="CL229" i="12"/>
  <c r="CM229" i="12"/>
  <c r="CN229" i="12"/>
  <c r="CO229" i="12"/>
  <c r="CP229" i="12"/>
  <c r="CQ229" i="12"/>
  <c r="CR229" i="12"/>
  <c r="CS229" i="12"/>
  <c r="CT229" i="12"/>
  <c r="CU229" i="12"/>
  <c r="CV229" i="12"/>
  <c r="CW229" i="12"/>
  <c r="CX229" i="12"/>
  <c r="CY229" i="12"/>
  <c r="CZ229" i="12"/>
  <c r="DA229" i="12"/>
  <c r="DB229" i="12"/>
  <c r="DC229" i="12"/>
  <c r="DD229" i="12"/>
  <c r="DE229" i="12"/>
  <c r="DF229" i="12"/>
  <c r="DG229" i="12"/>
  <c r="DH229" i="12"/>
  <c r="DI229" i="12"/>
  <c r="DJ229" i="12"/>
  <c r="DK229" i="12"/>
  <c r="DL229" i="12"/>
  <c r="DM229" i="12"/>
  <c r="DN229" i="12"/>
  <c r="DO229" i="12"/>
  <c r="DP229" i="12"/>
  <c r="DQ229" i="12"/>
  <c r="DR229" i="12"/>
  <c r="DS229" i="12"/>
  <c r="DT229" i="12"/>
  <c r="DU229" i="12"/>
  <c r="O230" i="12"/>
  <c r="P230" i="12"/>
  <c r="Q230" i="12"/>
  <c r="R230" i="12"/>
  <c r="S230" i="12"/>
  <c r="T230" i="12"/>
  <c r="U230" i="12"/>
  <c r="V230" i="12"/>
  <c r="W230" i="12"/>
  <c r="X230" i="12"/>
  <c r="Y230" i="12"/>
  <c r="Z230" i="12"/>
  <c r="AA230" i="12"/>
  <c r="AB230" i="12"/>
  <c r="AC230" i="12"/>
  <c r="AD230" i="12"/>
  <c r="AE230" i="12"/>
  <c r="AF230" i="12"/>
  <c r="AG230" i="12"/>
  <c r="AH230" i="12"/>
  <c r="AI230" i="12"/>
  <c r="AJ230" i="12"/>
  <c r="AK230" i="12"/>
  <c r="AL230" i="12"/>
  <c r="AM230" i="12"/>
  <c r="AN230" i="12"/>
  <c r="AO230" i="12"/>
  <c r="AP230" i="12"/>
  <c r="AQ230" i="12"/>
  <c r="AR230" i="12"/>
  <c r="AS230" i="12"/>
  <c r="AT230" i="12"/>
  <c r="AU230" i="12"/>
  <c r="AV230" i="12"/>
  <c r="AW230" i="12"/>
  <c r="AX230" i="12"/>
  <c r="AY230" i="12"/>
  <c r="AZ230" i="12"/>
  <c r="BA230" i="12"/>
  <c r="BB230" i="12"/>
  <c r="BC230" i="12"/>
  <c r="BD230" i="12"/>
  <c r="BE230" i="12"/>
  <c r="BF230" i="12"/>
  <c r="BG230" i="12"/>
  <c r="BH230" i="12"/>
  <c r="BI230" i="12"/>
  <c r="BJ230" i="12"/>
  <c r="BK230" i="12"/>
  <c r="BL230" i="12"/>
  <c r="BM230" i="12"/>
  <c r="BN230" i="12"/>
  <c r="BO230" i="12"/>
  <c r="BP230" i="12"/>
  <c r="BQ230" i="12"/>
  <c r="BR230" i="12"/>
  <c r="BS230" i="12"/>
  <c r="BT230" i="12"/>
  <c r="BU230" i="12"/>
  <c r="BV230" i="12"/>
  <c r="BW230" i="12"/>
  <c r="BX230" i="12"/>
  <c r="BY230" i="12"/>
  <c r="BZ230" i="12"/>
  <c r="CA230" i="12"/>
  <c r="CB230" i="12"/>
  <c r="CC230" i="12"/>
  <c r="CD230" i="12"/>
  <c r="CE230" i="12"/>
  <c r="CF230" i="12"/>
  <c r="CG230" i="12"/>
  <c r="CH230" i="12"/>
  <c r="CI230" i="12"/>
  <c r="CJ230" i="12"/>
  <c r="CK230" i="12"/>
  <c r="CL230" i="12"/>
  <c r="CM230" i="12"/>
  <c r="CN230" i="12"/>
  <c r="CO230" i="12"/>
  <c r="CP230" i="12"/>
  <c r="CQ230" i="12"/>
  <c r="CR230" i="12"/>
  <c r="CS230" i="12"/>
  <c r="CT230" i="12"/>
  <c r="CU230" i="12"/>
  <c r="CV230" i="12"/>
  <c r="CW230" i="12"/>
  <c r="CX230" i="12"/>
  <c r="CY230" i="12"/>
  <c r="CZ230" i="12"/>
  <c r="DA230" i="12"/>
  <c r="DB230" i="12"/>
  <c r="DC230" i="12"/>
  <c r="DD230" i="12"/>
  <c r="DE230" i="12"/>
  <c r="DF230" i="12"/>
  <c r="DG230" i="12"/>
  <c r="DH230" i="12"/>
  <c r="DI230" i="12"/>
  <c r="DJ230" i="12"/>
  <c r="DK230" i="12"/>
  <c r="DL230" i="12"/>
  <c r="DM230" i="12"/>
  <c r="DN230" i="12"/>
  <c r="DO230" i="12"/>
  <c r="DP230" i="12"/>
  <c r="DQ230" i="12"/>
  <c r="DR230" i="12"/>
  <c r="DS230" i="12"/>
  <c r="DT230" i="12"/>
  <c r="DU230" i="12"/>
  <c r="O231" i="12"/>
  <c r="P231" i="12"/>
  <c r="Q231" i="12"/>
  <c r="R231" i="12"/>
  <c r="S231" i="12"/>
  <c r="T231" i="12"/>
  <c r="U231" i="12"/>
  <c r="V231" i="12"/>
  <c r="W231" i="12"/>
  <c r="X231" i="12"/>
  <c r="Y231" i="12"/>
  <c r="Z231" i="12"/>
  <c r="AA231" i="12"/>
  <c r="AB231" i="12"/>
  <c r="AC231" i="12"/>
  <c r="AD231" i="12"/>
  <c r="AE231" i="12"/>
  <c r="AF231" i="12"/>
  <c r="AG231" i="12"/>
  <c r="AH231" i="12"/>
  <c r="AI231" i="12"/>
  <c r="AJ231" i="12"/>
  <c r="AK231" i="12"/>
  <c r="AL231" i="12"/>
  <c r="AM231" i="12"/>
  <c r="AN231" i="12"/>
  <c r="AO231" i="12"/>
  <c r="AP231" i="12"/>
  <c r="AQ231" i="12"/>
  <c r="AR231" i="12"/>
  <c r="AS231" i="12"/>
  <c r="AT231" i="12"/>
  <c r="AU231" i="12"/>
  <c r="AV231" i="12"/>
  <c r="AW231" i="12"/>
  <c r="AX231" i="12"/>
  <c r="AY231" i="12"/>
  <c r="AZ231" i="12"/>
  <c r="BA231" i="12"/>
  <c r="BB231" i="12"/>
  <c r="BC231" i="12"/>
  <c r="BD231" i="12"/>
  <c r="BE231" i="12"/>
  <c r="BF231" i="12"/>
  <c r="BG231" i="12"/>
  <c r="BH231" i="12"/>
  <c r="BI231" i="12"/>
  <c r="BJ231" i="12"/>
  <c r="BK231" i="12"/>
  <c r="BL231" i="12"/>
  <c r="BM231" i="12"/>
  <c r="BN231" i="12"/>
  <c r="BO231" i="12"/>
  <c r="BP231" i="12"/>
  <c r="BQ231" i="12"/>
  <c r="BR231" i="12"/>
  <c r="BS231" i="12"/>
  <c r="BT231" i="12"/>
  <c r="BU231" i="12"/>
  <c r="BV231" i="12"/>
  <c r="BW231" i="12"/>
  <c r="BX231" i="12"/>
  <c r="BY231" i="12"/>
  <c r="BZ231" i="12"/>
  <c r="CA231" i="12"/>
  <c r="CB231" i="12"/>
  <c r="CC231" i="12"/>
  <c r="CD231" i="12"/>
  <c r="CE231" i="12"/>
  <c r="CF231" i="12"/>
  <c r="CG231" i="12"/>
  <c r="CH231" i="12"/>
  <c r="CI231" i="12"/>
  <c r="CJ231" i="12"/>
  <c r="CK231" i="12"/>
  <c r="CL231" i="12"/>
  <c r="CM231" i="12"/>
  <c r="CN231" i="12"/>
  <c r="CO231" i="12"/>
  <c r="CP231" i="12"/>
  <c r="CQ231" i="12"/>
  <c r="CR231" i="12"/>
  <c r="CS231" i="12"/>
  <c r="CT231" i="12"/>
  <c r="CU231" i="12"/>
  <c r="CV231" i="12"/>
  <c r="CW231" i="12"/>
  <c r="CX231" i="12"/>
  <c r="CY231" i="12"/>
  <c r="CZ231" i="12"/>
  <c r="DA231" i="12"/>
  <c r="DB231" i="12"/>
  <c r="DC231" i="12"/>
  <c r="DD231" i="12"/>
  <c r="DE231" i="12"/>
  <c r="DF231" i="12"/>
  <c r="DG231" i="12"/>
  <c r="DH231" i="12"/>
  <c r="DI231" i="12"/>
  <c r="DJ231" i="12"/>
  <c r="DK231" i="12"/>
  <c r="DL231" i="12"/>
  <c r="DM231" i="12"/>
  <c r="DN231" i="12"/>
  <c r="DO231" i="12"/>
  <c r="DP231" i="12"/>
  <c r="DQ231" i="12"/>
  <c r="DR231" i="12"/>
  <c r="DS231" i="12"/>
  <c r="DT231" i="12"/>
  <c r="DU231" i="12"/>
  <c r="O232" i="12"/>
  <c r="P232" i="12"/>
  <c r="Q232" i="12"/>
  <c r="R232" i="12"/>
  <c r="S232" i="12"/>
  <c r="T232" i="12"/>
  <c r="U232" i="12"/>
  <c r="V232" i="12"/>
  <c r="W232" i="12"/>
  <c r="X232" i="12"/>
  <c r="Y232" i="12"/>
  <c r="Z232" i="12"/>
  <c r="AA232" i="12"/>
  <c r="AB232" i="12"/>
  <c r="AC232" i="12"/>
  <c r="AD232" i="12"/>
  <c r="AE232" i="12"/>
  <c r="AF232" i="12"/>
  <c r="AG232" i="12"/>
  <c r="AH232" i="12"/>
  <c r="AI232" i="12"/>
  <c r="AJ232" i="12"/>
  <c r="AK232" i="12"/>
  <c r="AL232" i="12"/>
  <c r="AM232" i="12"/>
  <c r="AN232" i="12"/>
  <c r="AO232" i="12"/>
  <c r="AP232" i="12"/>
  <c r="AQ232" i="12"/>
  <c r="AR232" i="12"/>
  <c r="AS232" i="12"/>
  <c r="AT232" i="12"/>
  <c r="AU232" i="12"/>
  <c r="AV232" i="12"/>
  <c r="AW232" i="12"/>
  <c r="AX232" i="12"/>
  <c r="AY232" i="12"/>
  <c r="AZ232" i="12"/>
  <c r="BA232" i="12"/>
  <c r="BB232" i="12"/>
  <c r="BC232" i="12"/>
  <c r="BD232" i="12"/>
  <c r="BE232" i="12"/>
  <c r="BF232" i="12"/>
  <c r="BG232" i="12"/>
  <c r="BH232" i="12"/>
  <c r="BI232" i="12"/>
  <c r="BJ232" i="12"/>
  <c r="BK232" i="12"/>
  <c r="BL232" i="12"/>
  <c r="BM232" i="12"/>
  <c r="BN232" i="12"/>
  <c r="BO232" i="12"/>
  <c r="BP232" i="12"/>
  <c r="BQ232" i="12"/>
  <c r="BR232" i="12"/>
  <c r="BS232" i="12"/>
  <c r="BT232" i="12"/>
  <c r="BU232" i="12"/>
  <c r="BV232" i="12"/>
  <c r="BW232" i="12"/>
  <c r="BX232" i="12"/>
  <c r="BY232" i="12"/>
  <c r="BZ232" i="12"/>
  <c r="CA232" i="12"/>
  <c r="CB232" i="12"/>
  <c r="CC232" i="12"/>
  <c r="CD232" i="12"/>
  <c r="CE232" i="12"/>
  <c r="CF232" i="12"/>
  <c r="CG232" i="12"/>
  <c r="CH232" i="12"/>
  <c r="CI232" i="12"/>
  <c r="CJ232" i="12"/>
  <c r="CK232" i="12"/>
  <c r="CL232" i="12"/>
  <c r="CM232" i="12"/>
  <c r="CN232" i="12"/>
  <c r="CO232" i="12"/>
  <c r="CP232" i="12"/>
  <c r="CQ232" i="12"/>
  <c r="CR232" i="12"/>
  <c r="CS232" i="12"/>
  <c r="CT232" i="12"/>
  <c r="CU232" i="12"/>
  <c r="CV232" i="12"/>
  <c r="CW232" i="12"/>
  <c r="CX232" i="12"/>
  <c r="CY232" i="12"/>
  <c r="CZ232" i="12"/>
  <c r="DA232" i="12"/>
  <c r="DB232" i="12"/>
  <c r="DC232" i="12"/>
  <c r="DD232" i="12"/>
  <c r="DE232" i="12"/>
  <c r="DF232" i="12"/>
  <c r="DG232" i="12"/>
  <c r="DH232" i="12"/>
  <c r="DI232" i="12"/>
  <c r="DJ232" i="12"/>
  <c r="DK232" i="12"/>
  <c r="DL232" i="12"/>
  <c r="DM232" i="12"/>
  <c r="DN232" i="12"/>
  <c r="DO232" i="12"/>
  <c r="DP232" i="12"/>
  <c r="DQ232" i="12"/>
  <c r="DR232" i="12"/>
  <c r="DS232" i="12"/>
  <c r="DT232" i="12"/>
  <c r="DU232" i="12"/>
  <c r="O233" i="12"/>
  <c r="P233" i="12"/>
  <c r="Q233" i="12"/>
  <c r="R233" i="12"/>
  <c r="S233" i="12"/>
  <c r="T233" i="12"/>
  <c r="U233" i="12"/>
  <c r="V233" i="12"/>
  <c r="W233" i="12"/>
  <c r="X233" i="12"/>
  <c r="Y233" i="12"/>
  <c r="Z233" i="12"/>
  <c r="AA233" i="12"/>
  <c r="AB233" i="12"/>
  <c r="AC233" i="12"/>
  <c r="AD233" i="12"/>
  <c r="AE233" i="12"/>
  <c r="AF233" i="12"/>
  <c r="AG233" i="12"/>
  <c r="AH233" i="12"/>
  <c r="AI233" i="12"/>
  <c r="AJ233" i="12"/>
  <c r="AK233" i="12"/>
  <c r="AL233" i="12"/>
  <c r="AM233" i="12"/>
  <c r="AN233" i="12"/>
  <c r="AO233" i="12"/>
  <c r="AP233" i="12"/>
  <c r="AQ233" i="12"/>
  <c r="AR233" i="12"/>
  <c r="AS233" i="12"/>
  <c r="AT233" i="12"/>
  <c r="AU233" i="12"/>
  <c r="AV233" i="12"/>
  <c r="AW233" i="12"/>
  <c r="AX233" i="12"/>
  <c r="AY233" i="12"/>
  <c r="AZ233" i="12"/>
  <c r="BA233" i="12"/>
  <c r="BB233" i="12"/>
  <c r="BC233" i="12"/>
  <c r="BD233" i="12"/>
  <c r="BE233" i="12"/>
  <c r="BF233" i="12"/>
  <c r="BG233" i="12"/>
  <c r="BH233" i="12"/>
  <c r="BI233" i="12"/>
  <c r="BJ233" i="12"/>
  <c r="BK233" i="12"/>
  <c r="BL233" i="12"/>
  <c r="BM233" i="12"/>
  <c r="BN233" i="12"/>
  <c r="BO233" i="12"/>
  <c r="BP233" i="12"/>
  <c r="BQ233" i="12"/>
  <c r="BR233" i="12"/>
  <c r="BS233" i="12"/>
  <c r="BT233" i="12"/>
  <c r="BU233" i="12"/>
  <c r="BV233" i="12"/>
  <c r="BW233" i="12"/>
  <c r="BX233" i="12"/>
  <c r="BY233" i="12"/>
  <c r="BZ233" i="12"/>
  <c r="CA233" i="12"/>
  <c r="CB233" i="12"/>
  <c r="CC233" i="12"/>
  <c r="CD233" i="12"/>
  <c r="CE233" i="12"/>
  <c r="CF233" i="12"/>
  <c r="CG233" i="12"/>
  <c r="CH233" i="12"/>
  <c r="CI233" i="12"/>
  <c r="CJ233" i="12"/>
  <c r="CK233" i="12"/>
  <c r="CL233" i="12"/>
  <c r="CM233" i="12"/>
  <c r="CN233" i="12"/>
  <c r="CO233" i="12"/>
  <c r="CP233" i="12"/>
  <c r="CQ233" i="12"/>
  <c r="CR233" i="12"/>
  <c r="CS233" i="12"/>
  <c r="CT233" i="12"/>
  <c r="CU233" i="12"/>
  <c r="CV233" i="12"/>
  <c r="CW233" i="12"/>
  <c r="CX233" i="12"/>
  <c r="CY233" i="12"/>
  <c r="CZ233" i="12"/>
  <c r="DA233" i="12"/>
  <c r="DB233" i="12"/>
  <c r="DC233" i="12"/>
  <c r="DD233" i="12"/>
  <c r="DE233" i="12"/>
  <c r="DF233" i="12"/>
  <c r="DG233" i="12"/>
  <c r="DH233" i="12"/>
  <c r="DI233" i="12"/>
  <c r="DJ233" i="12"/>
  <c r="DK233" i="12"/>
  <c r="DL233" i="12"/>
  <c r="DM233" i="12"/>
  <c r="DN233" i="12"/>
  <c r="DO233" i="12"/>
  <c r="DP233" i="12"/>
  <c r="DQ233" i="12"/>
  <c r="DR233" i="12"/>
  <c r="DS233" i="12"/>
  <c r="DT233" i="12"/>
  <c r="DU233" i="12"/>
  <c r="O234" i="12"/>
  <c r="P234" i="12"/>
  <c r="Q234" i="12"/>
  <c r="R234" i="12"/>
  <c r="S234" i="12"/>
  <c r="T234" i="12"/>
  <c r="U234" i="12"/>
  <c r="V234" i="12"/>
  <c r="W234" i="12"/>
  <c r="X234" i="12"/>
  <c r="Y234" i="12"/>
  <c r="Z234" i="12"/>
  <c r="AA234" i="12"/>
  <c r="AB234" i="12"/>
  <c r="AC234" i="12"/>
  <c r="AD234" i="12"/>
  <c r="AE234" i="12"/>
  <c r="AF234" i="12"/>
  <c r="AG234" i="12"/>
  <c r="AH234" i="12"/>
  <c r="AI234" i="12"/>
  <c r="AJ234" i="12"/>
  <c r="AK234" i="12"/>
  <c r="AL234" i="12"/>
  <c r="AM234" i="12"/>
  <c r="AN234" i="12"/>
  <c r="AO234" i="12"/>
  <c r="AP234" i="12"/>
  <c r="AQ234" i="12"/>
  <c r="AR234" i="12"/>
  <c r="AS234" i="12"/>
  <c r="AT234" i="12"/>
  <c r="AU234" i="12"/>
  <c r="AV234" i="12"/>
  <c r="AW234" i="12"/>
  <c r="AX234" i="12"/>
  <c r="AY234" i="12"/>
  <c r="AZ234" i="12"/>
  <c r="BA234" i="12"/>
  <c r="BB234" i="12"/>
  <c r="BC234" i="12"/>
  <c r="BD234" i="12"/>
  <c r="BE234" i="12"/>
  <c r="BF234" i="12"/>
  <c r="BG234" i="12"/>
  <c r="BH234" i="12"/>
  <c r="BI234" i="12"/>
  <c r="BJ234" i="12"/>
  <c r="BK234" i="12"/>
  <c r="BL234" i="12"/>
  <c r="BM234" i="12"/>
  <c r="BN234" i="12"/>
  <c r="BO234" i="12"/>
  <c r="BP234" i="12"/>
  <c r="BQ234" i="12"/>
  <c r="BR234" i="12"/>
  <c r="BS234" i="12"/>
  <c r="BT234" i="12"/>
  <c r="BU234" i="12"/>
  <c r="BV234" i="12"/>
  <c r="BW234" i="12"/>
  <c r="BX234" i="12"/>
  <c r="BY234" i="12"/>
  <c r="BZ234" i="12"/>
  <c r="CA234" i="12"/>
  <c r="CB234" i="12"/>
  <c r="CC234" i="12"/>
  <c r="CD234" i="12"/>
  <c r="CE234" i="12"/>
  <c r="CF234" i="12"/>
  <c r="CG234" i="12"/>
  <c r="CH234" i="12"/>
  <c r="CI234" i="12"/>
  <c r="CJ234" i="12"/>
  <c r="CK234" i="12"/>
  <c r="CL234" i="12"/>
  <c r="CM234" i="12"/>
  <c r="CN234" i="12"/>
  <c r="CO234" i="12"/>
  <c r="CP234" i="12"/>
  <c r="CQ234" i="12"/>
  <c r="CR234" i="12"/>
  <c r="CS234" i="12"/>
  <c r="CT234" i="12"/>
  <c r="CU234" i="12"/>
  <c r="CV234" i="12"/>
  <c r="CW234" i="12"/>
  <c r="CX234" i="12"/>
  <c r="CY234" i="12"/>
  <c r="CZ234" i="12"/>
  <c r="DA234" i="12"/>
  <c r="DB234" i="12"/>
  <c r="DC234" i="12"/>
  <c r="DD234" i="12"/>
  <c r="DE234" i="12"/>
  <c r="DF234" i="12"/>
  <c r="DG234" i="12"/>
  <c r="DH234" i="12"/>
  <c r="DI234" i="12"/>
  <c r="DJ234" i="12"/>
  <c r="DK234" i="12"/>
  <c r="DL234" i="12"/>
  <c r="DM234" i="12"/>
  <c r="DN234" i="12"/>
  <c r="DO234" i="12"/>
  <c r="DP234" i="12"/>
  <c r="DQ234" i="12"/>
  <c r="DR234" i="12"/>
  <c r="DS234" i="12"/>
  <c r="DT234" i="12"/>
  <c r="DU234" i="12"/>
  <c r="O235" i="12"/>
  <c r="P235" i="12"/>
  <c r="Q235" i="12"/>
  <c r="R235" i="12"/>
  <c r="S235" i="12"/>
  <c r="T235" i="12"/>
  <c r="U235" i="12"/>
  <c r="V235" i="12"/>
  <c r="W235" i="12"/>
  <c r="X235" i="12"/>
  <c r="Y235" i="12"/>
  <c r="Z235" i="12"/>
  <c r="AA235" i="12"/>
  <c r="AB235" i="12"/>
  <c r="AC235" i="12"/>
  <c r="AD235" i="12"/>
  <c r="AE235" i="12"/>
  <c r="AF235" i="12"/>
  <c r="AG235" i="12"/>
  <c r="AH235" i="12"/>
  <c r="AI235" i="12"/>
  <c r="AJ235" i="12"/>
  <c r="AK235" i="12"/>
  <c r="AL235" i="12"/>
  <c r="AM235" i="12"/>
  <c r="AN235" i="12"/>
  <c r="AO235" i="12"/>
  <c r="AP235" i="12"/>
  <c r="AQ235" i="12"/>
  <c r="AR235" i="12"/>
  <c r="AS235" i="12"/>
  <c r="AT235" i="12"/>
  <c r="AU235" i="12"/>
  <c r="AV235" i="12"/>
  <c r="AW235" i="12"/>
  <c r="AX235" i="12"/>
  <c r="AY235" i="12"/>
  <c r="AZ235" i="12"/>
  <c r="BA235" i="12"/>
  <c r="BB235" i="12"/>
  <c r="BC235" i="12"/>
  <c r="BD235" i="12"/>
  <c r="BE235" i="12"/>
  <c r="BF235" i="12"/>
  <c r="BG235" i="12"/>
  <c r="BH235" i="12"/>
  <c r="BI235" i="12"/>
  <c r="BJ235" i="12"/>
  <c r="BK235" i="12"/>
  <c r="BL235" i="12"/>
  <c r="BM235" i="12"/>
  <c r="BN235" i="12"/>
  <c r="BO235" i="12"/>
  <c r="BP235" i="12"/>
  <c r="BQ235" i="12"/>
  <c r="BR235" i="12"/>
  <c r="BS235" i="12"/>
  <c r="BT235" i="12"/>
  <c r="BU235" i="12"/>
  <c r="BV235" i="12"/>
  <c r="BW235" i="12"/>
  <c r="BX235" i="12"/>
  <c r="BY235" i="12"/>
  <c r="BZ235" i="12"/>
  <c r="CA235" i="12"/>
  <c r="CB235" i="12"/>
  <c r="CC235" i="12"/>
  <c r="CD235" i="12"/>
  <c r="CE235" i="12"/>
  <c r="CF235" i="12"/>
  <c r="CG235" i="12"/>
  <c r="CH235" i="12"/>
  <c r="CI235" i="12"/>
  <c r="CJ235" i="12"/>
  <c r="CK235" i="12"/>
  <c r="CL235" i="12"/>
  <c r="CM235" i="12"/>
  <c r="CN235" i="12"/>
  <c r="CO235" i="12"/>
  <c r="CP235" i="12"/>
  <c r="CQ235" i="12"/>
  <c r="CR235" i="12"/>
  <c r="CS235" i="12"/>
  <c r="CT235" i="12"/>
  <c r="CU235" i="12"/>
  <c r="CV235" i="12"/>
  <c r="CW235" i="12"/>
  <c r="CX235" i="12"/>
  <c r="CY235" i="12"/>
  <c r="CZ235" i="12"/>
  <c r="DA235" i="12"/>
  <c r="DB235" i="12"/>
  <c r="DC235" i="12"/>
  <c r="DD235" i="12"/>
  <c r="DE235" i="12"/>
  <c r="DF235" i="12"/>
  <c r="DG235" i="12"/>
  <c r="DH235" i="12"/>
  <c r="DI235" i="12"/>
  <c r="DJ235" i="12"/>
  <c r="DK235" i="12"/>
  <c r="DL235" i="12"/>
  <c r="DM235" i="12"/>
  <c r="DN235" i="12"/>
  <c r="DO235" i="12"/>
  <c r="DP235" i="12"/>
  <c r="DQ235" i="12"/>
  <c r="DR235" i="12"/>
  <c r="DS235" i="12"/>
  <c r="DT235" i="12"/>
  <c r="DU235" i="12"/>
  <c r="O236" i="12"/>
  <c r="P236" i="12"/>
  <c r="Q236" i="12"/>
  <c r="R236" i="12"/>
  <c r="S236" i="12"/>
  <c r="T236" i="12"/>
  <c r="U236" i="12"/>
  <c r="V236" i="12"/>
  <c r="W236" i="12"/>
  <c r="X236" i="12"/>
  <c r="Y236" i="12"/>
  <c r="Z236" i="12"/>
  <c r="AA236" i="12"/>
  <c r="AB236" i="12"/>
  <c r="AC236" i="12"/>
  <c r="AD236" i="12"/>
  <c r="AE236" i="12"/>
  <c r="AF236" i="12"/>
  <c r="AG236" i="12"/>
  <c r="AH236" i="12"/>
  <c r="AI236" i="12"/>
  <c r="AJ236" i="12"/>
  <c r="AK236" i="12"/>
  <c r="AL236" i="12"/>
  <c r="AM236" i="12"/>
  <c r="AN236" i="12"/>
  <c r="AO236" i="12"/>
  <c r="AP236" i="12"/>
  <c r="AQ236" i="12"/>
  <c r="AR236" i="12"/>
  <c r="AS236" i="12"/>
  <c r="AT236" i="12"/>
  <c r="AU236" i="12"/>
  <c r="AV236" i="12"/>
  <c r="AW236" i="12"/>
  <c r="AX236" i="12"/>
  <c r="AY236" i="12"/>
  <c r="AZ236" i="12"/>
  <c r="BA236" i="12"/>
  <c r="BB236" i="12"/>
  <c r="BC236" i="12"/>
  <c r="BD236" i="12"/>
  <c r="BE236" i="12"/>
  <c r="BF236" i="12"/>
  <c r="BG236" i="12"/>
  <c r="BH236" i="12"/>
  <c r="BI236" i="12"/>
  <c r="BJ236" i="12"/>
  <c r="BK236" i="12"/>
  <c r="BL236" i="12"/>
  <c r="BM236" i="12"/>
  <c r="BN236" i="12"/>
  <c r="BO236" i="12"/>
  <c r="BP236" i="12"/>
  <c r="BQ236" i="12"/>
  <c r="BR236" i="12"/>
  <c r="BS236" i="12"/>
  <c r="BT236" i="12"/>
  <c r="BU236" i="12"/>
  <c r="BV236" i="12"/>
  <c r="BW236" i="12"/>
  <c r="BX236" i="12"/>
  <c r="BY236" i="12"/>
  <c r="BZ236" i="12"/>
  <c r="CA236" i="12"/>
  <c r="CB236" i="12"/>
  <c r="CC236" i="12"/>
  <c r="CD236" i="12"/>
  <c r="CE236" i="12"/>
  <c r="CF236" i="12"/>
  <c r="CG236" i="12"/>
  <c r="CH236" i="12"/>
  <c r="CI236" i="12"/>
  <c r="CJ236" i="12"/>
  <c r="CK236" i="12"/>
  <c r="CL236" i="12"/>
  <c r="CM236" i="12"/>
  <c r="CN236" i="12"/>
  <c r="CO236" i="12"/>
  <c r="CP236" i="12"/>
  <c r="CQ236" i="12"/>
  <c r="CR236" i="12"/>
  <c r="CS236" i="12"/>
  <c r="CT236" i="12"/>
  <c r="CU236" i="12"/>
  <c r="CV236" i="12"/>
  <c r="CW236" i="12"/>
  <c r="CX236" i="12"/>
  <c r="CY236" i="12"/>
  <c r="CZ236" i="12"/>
  <c r="DA236" i="12"/>
  <c r="DB236" i="12"/>
  <c r="DC236" i="12"/>
  <c r="DD236" i="12"/>
  <c r="DE236" i="12"/>
  <c r="DF236" i="12"/>
  <c r="DG236" i="12"/>
  <c r="DH236" i="12"/>
  <c r="DI236" i="12"/>
  <c r="DJ236" i="12"/>
  <c r="DK236" i="12"/>
  <c r="DL236" i="12"/>
  <c r="DM236" i="12"/>
  <c r="DN236" i="12"/>
  <c r="DO236" i="12"/>
  <c r="DP236" i="12"/>
  <c r="DQ236" i="12"/>
  <c r="DR236" i="12"/>
  <c r="DS236" i="12"/>
  <c r="DT236" i="12"/>
  <c r="DU236" i="12"/>
  <c r="O237" i="12"/>
  <c r="P237" i="12"/>
  <c r="Q237" i="12"/>
  <c r="R237" i="12"/>
  <c r="S237" i="12"/>
  <c r="T237" i="12"/>
  <c r="U237" i="12"/>
  <c r="V237" i="12"/>
  <c r="W237" i="12"/>
  <c r="X237" i="12"/>
  <c r="Y237" i="12"/>
  <c r="Z237" i="12"/>
  <c r="AA237" i="12"/>
  <c r="AB237" i="12"/>
  <c r="AC237" i="12"/>
  <c r="AD237" i="12"/>
  <c r="AE237" i="12"/>
  <c r="AF237" i="12"/>
  <c r="AG237" i="12"/>
  <c r="AH237" i="12"/>
  <c r="AI237" i="12"/>
  <c r="AJ237" i="12"/>
  <c r="AK237" i="12"/>
  <c r="AL237" i="12"/>
  <c r="AM237" i="12"/>
  <c r="AN237" i="12"/>
  <c r="AO237" i="12"/>
  <c r="AP237" i="12"/>
  <c r="AQ237" i="12"/>
  <c r="AR237" i="12"/>
  <c r="AS237" i="12"/>
  <c r="AT237" i="12"/>
  <c r="AU237" i="12"/>
  <c r="AV237" i="12"/>
  <c r="AW237" i="12"/>
  <c r="AX237" i="12"/>
  <c r="AY237" i="12"/>
  <c r="AZ237" i="12"/>
  <c r="BA237" i="12"/>
  <c r="BB237" i="12"/>
  <c r="BC237" i="12"/>
  <c r="BD237" i="12"/>
  <c r="BE237" i="12"/>
  <c r="BF237" i="12"/>
  <c r="BG237" i="12"/>
  <c r="BH237" i="12"/>
  <c r="BI237" i="12"/>
  <c r="BJ237" i="12"/>
  <c r="BK237" i="12"/>
  <c r="BL237" i="12"/>
  <c r="BM237" i="12"/>
  <c r="BN237" i="12"/>
  <c r="BO237" i="12"/>
  <c r="BP237" i="12"/>
  <c r="BQ237" i="12"/>
  <c r="BR237" i="12"/>
  <c r="BS237" i="12"/>
  <c r="BT237" i="12"/>
  <c r="BU237" i="12"/>
  <c r="BV237" i="12"/>
  <c r="BW237" i="12"/>
  <c r="BX237" i="12"/>
  <c r="BY237" i="12"/>
  <c r="BZ237" i="12"/>
  <c r="CA237" i="12"/>
  <c r="CB237" i="12"/>
  <c r="CC237" i="12"/>
  <c r="CD237" i="12"/>
  <c r="CE237" i="12"/>
  <c r="CF237" i="12"/>
  <c r="CG237" i="12"/>
  <c r="CH237" i="12"/>
  <c r="CI237" i="12"/>
  <c r="CJ237" i="12"/>
  <c r="CK237" i="12"/>
  <c r="CL237" i="12"/>
  <c r="CM237" i="12"/>
  <c r="CN237" i="12"/>
  <c r="CO237" i="12"/>
  <c r="CP237" i="12"/>
  <c r="CQ237" i="12"/>
  <c r="CR237" i="12"/>
  <c r="CS237" i="12"/>
  <c r="CT237" i="12"/>
  <c r="CU237" i="12"/>
  <c r="CV237" i="12"/>
  <c r="CW237" i="12"/>
  <c r="CX237" i="12"/>
  <c r="CY237" i="12"/>
  <c r="CZ237" i="12"/>
  <c r="DA237" i="12"/>
  <c r="DB237" i="12"/>
  <c r="DC237" i="12"/>
  <c r="DD237" i="12"/>
  <c r="DE237" i="12"/>
  <c r="DF237" i="12"/>
  <c r="DG237" i="12"/>
  <c r="DH237" i="12"/>
  <c r="DI237" i="12"/>
  <c r="DJ237" i="12"/>
  <c r="DK237" i="12"/>
  <c r="DL237" i="12"/>
  <c r="DM237" i="12"/>
  <c r="DN237" i="12"/>
  <c r="DO237" i="12"/>
  <c r="DP237" i="12"/>
  <c r="DQ237" i="12"/>
  <c r="DR237" i="12"/>
  <c r="DS237" i="12"/>
  <c r="DT237" i="12"/>
  <c r="DU237" i="12"/>
  <c r="O238" i="12"/>
  <c r="P238" i="12"/>
  <c r="Q238" i="12"/>
  <c r="R238" i="12"/>
  <c r="S238" i="12"/>
  <c r="T238" i="12"/>
  <c r="U238" i="12"/>
  <c r="V238" i="12"/>
  <c r="W238" i="12"/>
  <c r="X238" i="12"/>
  <c r="Y238" i="12"/>
  <c r="Z238" i="12"/>
  <c r="AA238" i="12"/>
  <c r="AB238" i="12"/>
  <c r="AC238" i="12"/>
  <c r="AD238" i="12"/>
  <c r="AE238" i="12"/>
  <c r="AF238" i="12"/>
  <c r="AG238" i="12"/>
  <c r="AH238" i="12"/>
  <c r="AI238" i="12"/>
  <c r="AJ238" i="12"/>
  <c r="AK238" i="12"/>
  <c r="AL238" i="12"/>
  <c r="AM238" i="12"/>
  <c r="AN238" i="12"/>
  <c r="AO238" i="12"/>
  <c r="AP238" i="12"/>
  <c r="AQ238" i="12"/>
  <c r="AR238" i="12"/>
  <c r="AS238" i="12"/>
  <c r="AT238" i="12"/>
  <c r="AU238" i="12"/>
  <c r="AV238" i="12"/>
  <c r="AW238" i="12"/>
  <c r="AX238" i="12"/>
  <c r="AY238" i="12"/>
  <c r="AZ238" i="12"/>
  <c r="BA238" i="12"/>
  <c r="BB238" i="12"/>
  <c r="BC238" i="12"/>
  <c r="BD238" i="12"/>
  <c r="BE238" i="12"/>
  <c r="BF238" i="12"/>
  <c r="BG238" i="12"/>
  <c r="BH238" i="12"/>
  <c r="BI238" i="12"/>
  <c r="BJ238" i="12"/>
  <c r="BK238" i="12"/>
  <c r="BL238" i="12"/>
  <c r="BM238" i="12"/>
  <c r="BN238" i="12"/>
  <c r="BO238" i="12"/>
  <c r="BP238" i="12"/>
  <c r="BQ238" i="12"/>
  <c r="BR238" i="12"/>
  <c r="BS238" i="12"/>
  <c r="BT238" i="12"/>
  <c r="BU238" i="12"/>
  <c r="BV238" i="12"/>
  <c r="BW238" i="12"/>
  <c r="BX238" i="12"/>
  <c r="BY238" i="12"/>
  <c r="BZ238" i="12"/>
  <c r="CA238" i="12"/>
  <c r="CB238" i="12"/>
  <c r="CC238" i="12"/>
  <c r="CD238" i="12"/>
  <c r="CE238" i="12"/>
  <c r="CF238" i="12"/>
  <c r="CG238" i="12"/>
  <c r="CH238" i="12"/>
  <c r="CI238" i="12"/>
  <c r="CJ238" i="12"/>
  <c r="CK238" i="12"/>
  <c r="CL238" i="12"/>
  <c r="CM238" i="12"/>
  <c r="CN238" i="12"/>
  <c r="CO238" i="12"/>
  <c r="CP238" i="12"/>
  <c r="CQ238" i="12"/>
  <c r="CR238" i="12"/>
  <c r="CS238" i="12"/>
  <c r="CT238" i="12"/>
  <c r="CU238" i="12"/>
  <c r="CV238" i="12"/>
  <c r="CW238" i="12"/>
  <c r="CX238" i="12"/>
  <c r="CY238" i="12"/>
  <c r="CZ238" i="12"/>
  <c r="DA238" i="12"/>
  <c r="DB238" i="12"/>
  <c r="DC238" i="12"/>
  <c r="DD238" i="12"/>
  <c r="DE238" i="12"/>
  <c r="DF238" i="12"/>
  <c r="DG238" i="12"/>
  <c r="DH238" i="12"/>
  <c r="DI238" i="12"/>
  <c r="DJ238" i="12"/>
  <c r="DK238" i="12"/>
  <c r="DL238" i="12"/>
  <c r="DM238" i="12"/>
  <c r="DN238" i="12"/>
  <c r="DO238" i="12"/>
  <c r="DP238" i="12"/>
  <c r="DQ238" i="12"/>
  <c r="DR238" i="12"/>
  <c r="DS238" i="12"/>
  <c r="DT238" i="12"/>
  <c r="DU238" i="12"/>
  <c r="O239" i="12"/>
  <c r="P239" i="12"/>
  <c r="Q239" i="12"/>
  <c r="R239" i="12"/>
  <c r="S239" i="12"/>
  <c r="T239" i="12"/>
  <c r="U239" i="12"/>
  <c r="V239" i="12"/>
  <c r="W239" i="12"/>
  <c r="X239" i="12"/>
  <c r="Y239" i="12"/>
  <c r="Z239" i="12"/>
  <c r="AA239" i="12"/>
  <c r="AB239" i="12"/>
  <c r="AC239" i="12"/>
  <c r="AD239" i="12"/>
  <c r="AE239" i="12"/>
  <c r="AF239" i="12"/>
  <c r="AG239" i="12"/>
  <c r="AH239" i="12"/>
  <c r="AI239" i="12"/>
  <c r="AJ239" i="12"/>
  <c r="AK239" i="12"/>
  <c r="AL239" i="12"/>
  <c r="AM239" i="12"/>
  <c r="AN239" i="12"/>
  <c r="AO239" i="12"/>
  <c r="AP239" i="12"/>
  <c r="AQ239" i="12"/>
  <c r="AR239" i="12"/>
  <c r="AS239" i="12"/>
  <c r="AT239" i="12"/>
  <c r="AU239" i="12"/>
  <c r="AV239" i="12"/>
  <c r="AW239" i="12"/>
  <c r="AX239" i="12"/>
  <c r="AY239" i="12"/>
  <c r="AZ239" i="12"/>
  <c r="BA239" i="12"/>
  <c r="BB239" i="12"/>
  <c r="BC239" i="12"/>
  <c r="BD239" i="12"/>
  <c r="BE239" i="12"/>
  <c r="BF239" i="12"/>
  <c r="BG239" i="12"/>
  <c r="BH239" i="12"/>
  <c r="BI239" i="12"/>
  <c r="BJ239" i="12"/>
  <c r="BK239" i="12"/>
  <c r="BL239" i="12"/>
  <c r="BM239" i="12"/>
  <c r="BN239" i="12"/>
  <c r="BO239" i="12"/>
  <c r="BP239" i="12"/>
  <c r="BQ239" i="12"/>
  <c r="BR239" i="12"/>
  <c r="BS239" i="12"/>
  <c r="BT239" i="12"/>
  <c r="BU239" i="12"/>
  <c r="BV239" i="12"/>
  <c r="BW239" i="12"/>
  <c r="BX239" i="12"/>
  <c r="BY239" i="12"/>
  <c r="BZ239" i="12"/>
  <c r="CA239" i="12"/>
  <c r="CB239" i="12"/>
  <c r="CC239" i="12"/>
  <c r="CD239" i="12"/>
  <c r="CE239" i="12"/>
  <c r="CF239" i="12"/>
  <c r="CG239" i="12"/>
  <c r="CH239" i="12"/>
  <c r="CI239" i="12"/>
  <c r="CJ239" i="12"/>
  <c r="CK239" i="12"/>
  <c r="CL239" i="12"/>
  <c r="CM239" i="12"/>
  <c r="CN239" i="12"/>
  <c r="CO239" i="12"/>
  <c r="CP239" i="12"/>
  <c r="CQ239" i="12"/>
  <c r="CR239" i="12"/>
  <c r="CS239" i="12"/>
  <c r="CT239" i="12"/>
  <c r="CU239" i="12"/>
  <c r="CV239" i="12"/>
  <c r="CW239" i="12"/>
  <c r="CX239" i="12"/>
  <c r="CY239" i="12"/>
  <c r="CZ239" i="12"/>
  <c r="DA239" i="12"/>
  <c r="DB239" i="12"/>
  <c r="DC239" i="12"/>
  <c r="DD239" i="12"/>
  <c r="DE239" i="12"/>
  <c r="DF239" i="12"/>
  <c r="DG239" i="12"/>
  <c r="DH239" i="12"/>
  <c r="DI239" i="12"/>
  <c r="DJ239" i="12"/>
  <c r="DK239" i="12"/>
  <c r="DL239" i="12"/>
  <c r="DM239" i="12"/>
  <c r="DN239" i="12"/>
  <c r="DO239" i="12"/>
  <c r="DP239" i="12"/>
  <c r="DQ239" i="12"/>
  <c r="DR239" i="12"/>
  <c r="DS239" i="12"/>
  <c r="DT239" i="12"/>
  <c r="DU239" i="12"/>
  <c r="O240" i="12"/>
  <c r="P240" i="12"/>
  <c r="Q240" i="12"/>
  <c r="R240" i="12"/>
  <c r="S240" i="12"/>
  <c r="T240" i="12"/>
  <c r="U240" i="12"/>
  <c r="V240" i="12"/>
  <c r="W240" i="12"/>
  <c r="X240" i="12"/>
  <c r="Y240" i="12"/>
  <c r="Z240" i="12"/>
  <c r="AA240" i="12"/>
  <c r="AB240" i="12"/>
  <c r="AC240" i="12"/>
  <c r="AD240" i="12"/>
  <c r="AE240" i="12"/>
  <c r="AF240" i="12"/>
  <c r="AG240" i="12"/>
  <c r="AH240" i="12"/>
  <c r="AI240" i="12"/>
  <c r="AJ240" i="12"/>
  <c r="AK240" i="12"/>
  <c r="AL240" i="12"/>
  <c r="AM240" i="12"/>
  <c r="AN240" i="12"/>
  <c r="AO240" i="12"/>
  <c r="AP240" i="12"/>
  <c r="AQ240" i="12"/>
  <c r="AR240" i="12"/>
  <c r="AS240" i="12"/>
  <c r="AT240" i="12"/>
  <c r="AU240" i="12"/>
  <c r="AV240" i="12"/>
  <c r="AW240" i="12"/>
  <c r="AX240" i="12"/>
  <c r="AY240" i="12"/>
  <c r="AZ240" i="12"/>
  <c r="BA240" i="12"/>
  <c r="BB240" i="12"/>
  <c r="BC240" i="12"/>
  <c r="BD240" i="12"/>
  <c r="BE240" i="12"/>
  <c r="BF240" i="12"/>
  <c r="BG240" i="12"/>
  <c r="BH240" i="12"/>
  <c r="BI240" i="12"/>
  <c r="BJ240" i="12"/>
  <c r="BK240" i="12"/>
  <c r="BL240" i="12"/>
  <c r="BM240" i="12"/>
  <c r="BN240" i="12"/>
  <c r="BO240" i="12"/>
  <c r="BP240" i="12"/>
  <c r="BQ240" i="12"/>
  <c r="BR240" i="12"/>
  <c r="BS240" i="12"/>
  <c r="BT240" i="12"/>
  <c r="BU240" i="12"/>
  <c r="BV240" i="12"/>
  <c r="BW240" i="12"/>
  <c r="BX240" i="12"/>
  <c r="BY240" i="12"/>
  <c r="BZ240" i="12"/>
  <c r="CA240" i="12"/>
  <c r="CB240" i="12"/>
  <c r="CC240" i="12"/>
  <c r="CD240" i="12"/>
  <c r="CE240" i="12"/>
  <c r="CF240" i="12"/>
  <c r="CG240" i="12"/>
  <c r="CH240" i="12"/>
  <c r="CI240" i="12"/>
  <c r="CJ240" i="12"/>
  <c r="CK240" i="12"/>
  <c r="CL240" i="12"/>
  <c r="CM240" i="12"/>
  <c r="CN240" i="12"/>
  <c r="CO240" i="12"/>
  <c r="CP240" i="12"/>
  <c r="CQ240" i="12"/>
  <c r="CR240" i="12"/>
  <c r="CS240" i="12"/>
  <c r="CT240" i="12"/>
  <c r="CU240" i="12"/>
  <c r="CV240" i="12"/>
  <c r="CW240" i="12"/>
  <c r="CX240" i="12"/>
  <c r="CY240" i="12"/>
  <c r="CZ240" i="12"/>
  <c r="DA240" i="12"/>
  <c r="DB240" i="12"/>
  <c r="DC240" i="12"/>
  <c r="DD240" i="12"/>
  <c r="DE240" i="12"/>
  <c r="DF240" i="12"/>
  <c r="DG240" i="12"/>
  <c r="DH240" i="12"/>
  <c r="DI240" i="12"/>
  <c r="DJ240" i="12"/>
  <c r="DK240" i="12"/>
  <c r="DL240" i="12"/>
  <c r="DM240" i="12"/>
  <c r="DN240" i="12"/>
  <c r="DO240" i="12"/>
  <c r="DP240" i="12"/>
  <c r="DQ240" i="12"/>
  <c r="DR240" i="12"/>
  <c r="DS240" i="12"/>
  <c r="DT240" i="12"/>
  <c r="DU240" i="12"/>
  <c r="O241" i="12"/>
  <c r="P241" i="12"/>
  <c r="Q241" i="12"/>
  <c r="R241" i="12"/>
  <c r="S241" i="12"/>
  <c r="T241" i="12"/>
  <c r="U241" i="12"/>
  <c r="V241" i="12"/>
  <c r="W241" i="12"/>
  <c r="X241" i="12"/>
  <c r="Y241" i="12"/>
  <c r="Z241" i="12"/>
  <c r="AA241" i="12"/>
  <c r="AB241" i="12"/>
  <c r="AC241" i="12"/>
  <c r="AD241" i="12"/>
  <c r="AE241" i="12"/>
  <c r="AF241" i="12"/>
  <c r="AG241" i="12"/>
  <c r="AH241" i="12"/>
  <c r="AI241" i="12"/>
  <c r="AJ241" i="12"/>
  <c r="AK241" i="12"/>
  <c r="AL241" i="12"/>
  <c r="AM241" i="12"/>
  <c r="AN241" i="12"/>
  <c r="AO241" i="12"/>
  <c r="AP241" i="12"/>
  <c r="AQ241" i="12"/>
  <c r="AR241" i="12"/>
  <c r="AS241" i="12"/>
  <c r="AT241" i="12"/>
  <c r="AU241" i="12"/>
  <c r="AV241" i="12"/>
  <c r="AW241" i="12"/>
  <c r="AX241" i="12"/>
  <c r="AY241" i="12"/>
  <c r="AZ241" i="12"/>
  <c r="BA241" i="12"/>
  <c r="BB241" i="12"/>
  <c r="BC241" i="12"/>
  <c r="BD241" i="12"/>
  <c r="BE241" i="12"/>
  <c r="BF241" i="12"/>
  <c r="BG241" i="12"/>
  <c r="BH241" i="12"/>
  <c r="BI241" i="12"/>
  <c r="BJ241" i="12"/>
  <c r="BK241" i="12"/>
  <c r="BL241" i="12"/>
  <c r="BM241" i="12"/>
  <c r="BN241" i="12"/>
  <c r="BO241" i="12"/>
  <c r="BP241" i="12"/>
  <c r="BQ241" i="12"/>
  <c r="BR241" i="12"/>
  <c r="BS241" i="12"/>
  <c r="BT241" i="12"/>
  <c r="BU241" i="12"/>
  <c r="BV241" i="12"/>
  <c r="BW241" i="12"/>
  <c r="BX241" i="12"/>
  <c r="BY241" i="12"/>
  <c r="BZ241" i="12"/>
  <c r="CA241" i="12"/>
  <c r="CB241" i="12"/>
  <c r="CC241" i="12"/>
  <c r="CD241" i="12"/>
  <c r="CE241" i="12"/>
  <c r="CF241" i="12"/>
  <c r="CG241" i="12"/>
  <c r="CH241" i="12"/>
  <c r="CI241" i="12"/>
  <c r="CJ241" i="12"/>
  <c r="CK241" i="12"/>
  <c r="CL241" i="12"/>
  <c r="CM241" i="12"/>
  <c r="CN241" i="12"/>
  <c r="CO241" i="12"/>
  <c r="CP241" i="12"/>
  <c r="CQ241" i="12"/>
  <c r="CR241" i="12"/>
  <c r="CS241" i="12"/>
  <c r="CT241" i="12"/>
  <c r="CU241" i="12"/>
  <c r="CV241" i="12"/>
  <c r="CW241" i="12"/>
  <c r="CX241" i="12"/>
  <c r="CY241" i="12"/>
  <c r="CZ241" i="12"/>
  <c r="DA241" i="12"/>
  <c r="DB241" i="12"/>
  <c r="DC241" i="12"/>
  <c r="DD241" i="12"/>
  <c r="DE241" i="12"/>
  <c r="DF241" i="12"/>
  <c r="DG241" i="12"/>
  <c r="DH241" i="12"/>
  <c r="DI241" i="12"/>
  <c r="DJ241" i="12"/>
  <c r="DK241" i="12"/>
  <c r="DL241" i="12"/>
  <c r="DM241" i="12"/>
  <c r="DN241" i="12"/>
  <c r="DO241" i="12"/>
  <c r="DP241" i="12"/>
  <c r="DQ241" i="12"/>
  <c r="DR241" i="12"/>
  <c r="DS241" i="12"/>
  <c r="DT241" i="12"/>
  <c r="DU241" i="12"/>
  <c r="O242" i="12"/>
  <c r="P242" i="12"/>
  <c r="Q242" i="12"/>
  <c r="R242" i="12"/>
  <c r="S242" i="12"/>
  <c r="T242" i="12"/>
  <c r="U242" i="12"/>
  <c r="V242" i="12"/>
  <c r="W242" i="12"/>
  <c r="X242" i="12"/>
  <c r="Y242" i="12"/>
  <c r="Z242" i="12"/>
  <c r="AA242" i="12"/>
  <c r="AB242" i="12"/>
  <c r="AC242" i="12"/>
  <c r="AD242" i="12"/>
  <c r="AE242" i="12"/>
  <c r="AF242" i="12"/>
  <c r="AG242" i="12"/>
  <c r="AH242" i="12"/>
  <c r="AI242" i="12"/>
  <c r="AJ242" i="12"/>
  <c r="AK242" i="12"/>
  <c r="AL242" i="12"/>
  <c r="AM242" i="12"/>
  <c r="AN242" i="12"/>
  <c r="AO242" i="12"/>
  <c r="AP242" i="12"/>
  <c r="AQ242" i="12"/>
  <c r="AR242" i="12"/>
  <c r="AS242" i="12"/>
  <c r="AT242" i="12"/>
  <c r="AU242" i="12"/>
  <c r="AV242" i="12"/>
  <c r="AW242" i="12"/>
  <c r="AX242" i="12"/>
  <c r="AY242" i="12"/>
  <c r="AZ242" i="12"/>
  <c r="BA242" i="12"/>
  <c r="BB242" i="12"/>
  <c r="BC242" i="12"/>
  <c r="BD242" i="12"/>
  <c r="BE242" i="12"/>
  <c r="BF242" i="12"/>
  <c r="BG242" i="12"/>
  <c r="BH242" i="12"/>
  <c r="BI242" i="12"/>
  <c r="BJ242" i="12"/>
  <c r="BK242" i="12"/>
  <c r="BL242" i="12"/>
  <c r="BM242" i="12"/>
  <c r="BN242" i="12"/>
  <c r="BO242" i="12"/>
  <c r="BP242" i="12"/>
  <c r="BQ242" i="12"/>
  <c r="BR242" i="12"/>
  <c r="BS242" i="12"/>
  <c r="BT242" i="12"/>
  <c r="BU242" i="12"/>
  <c r="BV242" i="12"/>
  <c r="BW242" i="12"/>
  <c r="BX242" i="12"/>
  <c r="BY242" i="12"/>
  <c r="BZ242" i="12"/>
  <c r="CA242" i="12"/>
  <c r="CB242" i="12"/>
  <c r="CC242" i="12"/>
  <c r="CD242" i="12"/>
  <c r="CE242" i="12"/>
  <c r="CF242" i="12"/>
  <c r="CG242" i="12"/>
  <c r="CH242" i="12"/>
  <c r="CI242" i="12"/>
  <c r="CJ242" i="12"/>
  <c r="CK242" i="12"/>
  <c r="CL242" i="12"/>
  <c r="CM242" i="12"/>
  <c r="CN242" i="12"/>
  <c r="CO242" i="12"/>
  <c r="CP242" i="12"/>
  <c r="CQ242" i="12"/>
  <c r="CR242" i="12"/>
  <c r="CS242" i="12"/>
  <c r="CT242" i="12"/>
  <c r="CU242" i="12"/>
  <c r="CV242" i="12"/>
  <c r="CW242" i="12"/>
  <c r="CX242" i="12"/>
  <c r="CY242" i="12"/>
  <c r="CZ242" i="12"/>
  <c r="DA242" i="12"/>
  <c r="DB242" i="12"/>
  <c r="DC242" i="12"/>
  <c r="DD242" i="12"/>
  <c r="DE242" i="12"/>
  <c r="DF242" i="12"/>
  <c r="DG242" i="12"/>
  <c r="DH242" i="12"/>
  <c r="DI242" i="12"/>
  <c r="DJ242" i="12"/>
  <c r="DK242" i="12"/>
  <c r="DL242" i="12"/>
  <c r="DM242" i="12"/>
  <c r="DN242" i="12"/>
  <c r="DO242" i="12"/>
  <c r="DP242" i="12"/>
  <c r="DQ242" i="12"/>
  <c r="DR242" i="12"/>
  <c r="DS242" i="12"/>
  <c r="DT242" i="12"/>
  <c r="DU242" i="12"/>
  <c r="O243" i="12"/>
  <c r="P243" i="12"/>
  <c r="Q243" i="12"/>
  <c r="R243" i="12"/>
  <c r="S243" i="12"/>
  <c r="T243" i="12"/>
  <c r="U243" i="12"/>
  <c r="V243" i="12"/>
  <c r="W243" i="12"/>
  <c r="X243" i="12"/>
  <c r="Y243" i="12"/>
  <c r="Z243" i="12"/>
  <c r="AA243" i="12"/>
  <c r="AB243" i="12"/>
  <c r="AC243" i="12"/>
  <c r="AD243" i="12"/>
  <c r="AE243" i="12"/>
  <c r="AF243" i="12"/>
  <c r="AG243" i="12"/>
  <c r="AH243" i="12"/>
  <c r="AI243" i="12"/>
  <c r="AJ243" i="12"/>
  <c r="AK243" i="12"/>
  <c r="AL243" i="12"/>
  <c r="AM243" i="12"/>
  <c r="AN243" i="12"/>
  <c r="AO243" i="12"/>
  <c r="AP243" i="12"/>
  <c r="AQ243" i="12"/>
  <c r="AR243" i="12"/>
  <c r="AS243" i="12"/>
  <c r="AT243" i="12"/>
  <c r="AU243" i="12"/>
  <c r="AV243" i="12"/>
  <c r="AW243" i="12"/>
  <c r="AX243" i="12"/>
  <c r="AY243" i="12"/>
  <c r="AZ243" i="12"/>
  <c r="BA243" i="12"/>
  <c r="BB243" i="12"/>
  <c r="BC243" i="12"/>
  <c r="BD243" i="12"/>
  <c r="BE243" i="12"/>
  <c r="BF243" i="12"/>
  <c r="BG243" i="12"/>
  <c r="BH243" i="12"/>
  <c r="BI243" i="12"/>
  <c r="BJ243" i="12"/>
  <c r="BK243" i="12"/>
  <c r="BL243" i="12"/>
  <c r="BM243" i="12"/>
  <c r="BN243" i="12"/>
  <c r="BO243" i="12"/>
  <c r="BP243" i="12"/>
  <c r="BQ243" i="12"/>
  <c r="BR243" i="12"/>
  <c r="BS243" i="12"/>
  <c r="BT243" i="12"/>
  <c r="BU243" i="12"/>
  <c r="BV243" i="12"/>
  <c r="BW243" i="12"/>
  <c r="BX243" i="12"/>
  <c r="BY243" i="12"/>
  <c r="BZ243" i="12"/>
  <c r="CA243" i="12"/>
  <c r="CB243" i="12"/>
  <c r="CC243" i="12"/>
  <c r="CD243" i="12"/>
  <c r="CE243" i="12"/>
  <c r="CF243" i="12"/>
  <c r="CG243" i="12"/>
  <c r="CH243" i="12"/>
  <c r="CI243" i="12"/>
  <c r="CJ243" i="12"/>
  <c r="CK243" i="12"/>
  <c r="CL243" i="12"/>
  <c r="CM243" i="12"/>
  <c r="CN243" i="12"/>
  <c r="CO243" i="12"/>
  <c r="CP243" i="12"/>
  <c r="CQ243" i="12"/>
  <c r="CR243" i="12"/>
  <c r="CS243" i="12"/>
  <c r="CT243" i="12"/>
  <c r="CU243" i="12"/>
  <c r="CV243" i="12"/>
  <c r="CW243" i="12"/>
  <c r="CX243" i="12"/>
  <c r="CY243" i="12"/>
  <c r="CZ243" i="12"/>
  <c r="DA243" i="12"/>
  <c r="DB243" i="12"/>
  <c r="DC243" i="12"/>
  <c r="DD243" i="12"/>
  <c r="DE243" i="12"/>
  <c r="DF243" i="12"/>
  <c r="DG243" i="12"/>
  <c r="DH243" i="12"/>
  <c r="DI243" i="12"/>
  <c r="DJ243" i="12"/>
  <c r="DK243" i="12"/>
  <c r="DL243" i="12"/>
  <c r="DM243" i="12"/>
  <c r="DN243" i="12"/>
  <c r="DO243" i="12"/>
  <c r="DP243" i="12"/>
  <c r="DQ243" i="12"/>
  <c r="DR243" i="12"/>
  <c r="DS243" i="12"/>
  <c r="DT243" i="12"/>
  <c r="DU243" i="12"/>
  <c r="O244" i="12"/>
  <c r="P244" i="12"/>
  <c r="Q244" i="12"/>
  <c r="R244" i="12"/>
  <c r="S244" i="12"/>
  <c r="T244" i="12"/>
  <c r="U244" i="12"/>
  <c r="V244" i="12"/>
  <c r="W244" i="12"/>
  <c r="X244" i="12"/>
  <c r="Y244" i="12"/>
  <c r="Z244" i="12"/>
  <c r="AA244" i="12"/>
  <c r="AB244" i="12"/>
  <c r="AC244" i="12"/>
  <c r="AD244" i="12"/>
  <c r="AE244" i="12"/>
  <c r="AF244" i="12"/>
  <c r="AG244" i="12"/>
  <c r="AH244" i="12"/>
  <c r="AI244" i="12"/>
  <c r="AJ244" i="12"/>
  <c r="AK244" i="12"/>
  <c r="AL244" i="12"/>
  <c r="AM244" i="12"/>
  <c r="AN244" i="12"/>
  <c r="AO244" i="12"/>
  <c r="AP244" i="12"/>
  <c r="AQ244" i="12"/>
  <c r="AR244" i="12"/>
  <c r="AS244" i="12"/>
  <c r="AT244" i="12"/>
  <c r="AU244" i="12"/>
  <c r="AV244" i="12"/>
  <c r="AW244" i="12"/>
  <c r="AX244" i="12"/>
  <c r="AY244" i="12"/>
  <c r="AZ244" i="12"/>
  <c r="BA244" i="12"/>
  <c r="BB244" i="12"/>
  <c r="BC244" i="12"/>
  <c r="BD244" i="12"/>
  <c r="BE244" i="12"/>
  <c r="BF244" i="12"/>
  <c r="BG244" i="12"/>
  <c r="BH244" i="12"/>
  <c r="BI244" i="12"/>
  <c r="BJ244" i="12"/>
  <c r="BK244" i="12"/>
  <c r="BL244" i="12"/>
  <c r="BM244" i="12"/>
  <c r="BN244" i="12"/>
  <c r="BO244" i="12"/>
  <c r="BP244" i="12"/>
  <c r="BQ244" i="12"/>
  <c r="BR244" i="12"/>
  <c r="BS244" i="12"/>
  <c r="BT244" i="12"/>
  <c r="BU244" i="12"/>
  <c r="BV244" i="12"/>
  <c r="BW244" i="12"/>
  <c r="BX244" i="12"/>
  <c r="BY244" i="12"/>
  <c r="BZ244" i="12"/>
  <c r="CA244" i="12"/>
  <c r="CB244" i="12"/>
  <c r="CC244" i="12"/>
  <c r="CD244" i="12"/>
  <c r="CE244" i="12"/>
  <c r="CF244" i="12"/>
  <c r="CG244" i="12"/>
  <c r="CH244" i="12"/>
  <c r="CI244" i="12"/>
  <c r="CJ244" i="12"/>
  <c r="CK244" i="12"/>
  <c r="CL244" i="12"/>
  <c r="CM244" i="12"/>
  <c r="CN244" i="12"/>
  <c r="CO244" i="12"/>
  <c r="CP244" i="12"/>
  <c r="CQ244" i="12"/>
  <c r="CR244" i="12"/>
  <c r="CS244" i="12"/>
  <c r="CT244" i="12"/>
  <c r="CU244" i="12"/>
  <c r="CV244" i="12"/>
  <c r="CW244" i="12"/>
  <c r="CX244" i="12"/>
  <c r="CY244" i="12"/>
  <c r="CZ244" i="12"/>
  <c r="DA244" i="12"/>
  <c r="DB244" i="12"/>
  <c r="DC244" i="12"/>
  <c r="DD244" i="12"/>
  <c r="DE244" i="12"/>
  <c r="DF244" i="12"/>
  <c r="DG244" i="12"/>
  <c r="DH244" i="12"/>
  <c r="DI244" i="12"/>
  <c r="DJ244" i="12"/>
  <c r="DK244" i="12"/>
  <c r="DL244" i="12"/>
  <c r="DM244" i="12"/>
  <c r="DN244" i="12"/>
  <c r="DO244" i="12"/>
  <c r="DP244" i="12"/>
  <c r="DQ244" i="12"/>
  <c r="DR244" i="12"/>
  <c r="DS244" i="12"/>
  <c r="DT244" i="12"/>
  <c r="DU244" i="12"/>
  <c r="O245" i="12"/>
  <c r="P245" i="12"/>
  <c r="Q245" i="12"/>
  <c r="R245" i="12"/>
  <c r="S245" i="12"/>
  <c r="T245" i="12"/>
  <c r="U245" i="12"/>
  <c r="V245" i="12"/>
  <c r="W245" i="12"/>
  <c r="X245" i="12"/>
  <c r="Y245" i="12"/>
  <c r="Z245" i="12"/>
  <c r="AA245" i="12"/>
  <c r="AB245" i="12"/>
  <c r="AC245" i="12"/>
  <c r="AD245" i="12"/>
  <c r="AE245" i="12"/>
  <c r="AF245" i="12"/>
  <c r="AG245" i="12"/>
  <c r="AH245" i="12"/>
  <c r="AI245" i="12"/>
  <c r="AJ245" i="12"/>
  <c r="AK245" i="12"/>
  <c r="AL245" i="12"/>
  <c r="AM245" i="12"/>
  <c r="AN245" i="12"/>
  <c r="AO245" i="12"/>
  <c r="AP245" i="12"/>
  <c r="AQ245" i="12"/>
  <c r="AR245" i="12"/>
  <c r="AS245" i="12"/>
  <c r="AT245" i="12"/>
  <c r="AU245" i="12"/>
  <c r="AV245" i="12"/>
  <c r="AW245" i="12"/>
  <c r="AX245" i="12"/>
  <c r="AY245" i="12"/>
  <c r="AZ245" i="12"/>
  <c r="BA245" i="12"/>
  <c r="BB245" i="12"/>
  <c r="BC245" i="12"/>
  <c r="BD245" i="12"/>
  <c r="BE245" i="12"/>
  <c r="BF245" i="12"/>
  <c r="BG245" i="12"/>
  <c r="BH245" i="12"/>
  <c r="BI245" i="12"/>
  <c r="BJ245" i="12"/>
  <c r="BK245" i="12"/>
  <c r="BL245" i="12"/>
  <c r="BM245" i="12"/>
  <c r="BN245" i="12"/>
  <c r="BO245" i="12"/>
  <c r="BP245" i="12"/>
  <c r="BQ245" i="12"/>
  <c r="BR245" i="12"/>
  <c r="BS245" i="12"/>
  <c r="BT245" i="12"/>
  <c r="BU245" i="12"/>
  <c r="BV245" i="12"/>
  <c r="BW245" i="12"/>
  <c r="BX245" i="12"/>
  <c r="BY245" i="12"/>
  <c r="BZ245" i="12"/>
  <c r="CA245" i="12"/>
  <c r="CB245" i="12"/>
  <c r="CC245" i="12"/>
  <c r="CD245" i="12"/>
  <c r="CE245" i="12"/>
  <c r="CF245" i="12"/>
  <c r="CG245" i="12"/>
  <c r="CH245" i="12"/>
  <c r="CI245" i="12"/>
  <c r="CJ245" i="12"/>
  <c r="CK245" i="12"/>
  <c r="CL245" i="12"/>
  <c r="CM245" i="12"/>
  <c r="CN245" i="12"/>
  <c r="CO245" i="12"/>
  <c r="CP245" i="12"/>
  <c r="CQ245" i="12"/>
  <c r="CR245" i="12"/>
  <c r="CS245" i="12"/>
  <c r="CT245" i="12"/>
  <c r="CU245" i="12"/>
  <c r="CV245" i="12"/>
  <c r="CW245" i="12"/>
  <c r="CX245" i="12"/>
  <c r="CY245" i="12"/>
  <c r="CZ245" i="12"/>
  <c r="DA245" i="12"/>
  <c r="DB245" i="12"/>
  <c r="DC245" i="12"/>
  <c r="DD245" i="12"/>
  <c r="DE245" i="12"/>
  <c r="DF245" i="12"/>
  <c r="DG245" i="12"/>
  <c r="DH245" i="12"/>
  <c r="DI245" i="12"/>
  <c r="DJ245" i="12"/>
  <c r="DK245" i="12"/>
  <c r="DL245" i="12"/>
  <c r="DM245" i="12"/>
  <c r="DN245" i="12"/>
  <c r="DO245" i="12"/>
  <c r="DP245" i="12"/>
  <c r="DQ245" i="12"/>
  <c r="DR245" i="12"/>
  <c r="DS245" i="12"/>
  <c r="DT245" i="12"/>
  <c r="DU245" i="12"/>
  <c r="O246" i="12"/>
  <c r="P246" i="12"/>
  <c r="Q246" i="12"/>
  <c r="R246" i="12"/>
  <c r="S246" i="12"/>
  <c r="T246" i="12"/>
  <c r="U246" i="12"/>
  <c r="V246" i="12"/>
  <c r="W246" i="12"/>
  <c r="X246" i="12"/>
  <c r="Y246" i="12"/>
  <c r="Z246" i="12"/>
  <c r="AA246" i="12"/>
  <c r="AB246" i="12"/>
  <c r="AC246" i="12"/>
  <c r="AD246" i="12"/>
  <c r="AE246" i="12"/>
  <c r="AF246" i="12"/>
  <c r="AG246" i="12"/>
  <c r="AH246" i="12"/>
  <c r="AI246" i="12"/>
  <c r="AJ246" i="12"/>
  <c r="AK246" i="12"/>
  <c r="AL246" i="12"/>
  <c r="AM246" i="12"/>
  <c r="AN246" i="12"/>
  <c r="AO246" i="12"/>
  <c r="AP246" i="12"/>
  <c r="AQ246" i="12"/>
  <c r="AR246" i="12"/>
  <c r="AS246" i="12"/>
  <c r="AT246" i="12"/>
  <c r="AU246" i="12"/>
  <c r="AV246" i="12"/>
  <c r="AW246" i="12"/>
  <c r="AX246" i="12"/>
  <c r="AY246" i="12"/>
  <c r="AZ246" i="12"/>
  <c r="BA246" i="12"/>
  <c r="BB246" i="12"/>
  <c r="BC246" i="12"/>
  <c r="BD246" i="12"/>
  <c r="BE246" i="12"/>
  <c r="BF246" i="12"/>
  <c r="BG246" i="12"/>
  <c r="BH246" i="12"/>
  <c r="BI246" i="12"/>
  <c r="BJ246" i="12"/>
  <c r="BK246" i="12"/>
  <c r="BL246" i="12"/>
  <c r="BM246" i="12"/>
  <c r="BN246" i="12"/>
  <c r="BO246" i="12"/>
  <c r="BP246" i="12"/>
  <c r="BQ246" i="12"/>
  <c r="BR246" i="12"/>
  <c r="BS246" i="12"/>
  <c r="BT246" i="12"/>
  <c r="BU246" i="12"/>
  <c r="BV246" i="12"/>
  <c r="BW246" i="12"/>
  <c r="BX246" i="12"/>
  <c r="BY246" i="12"/>
  <c r="BZ246" i="12"/>
  <c r="CA246" i="12"/>
  <c r="CB246" i="12"/>
  <c r="CC246" i="12"/>
  <c r="CD246" i="12"/>
  <c r="CE246" i="12"/>
  <c r="CF246" i="12"/>
  <c r="CG246" i="12"/>
  <c r="CH246" i="12"/>
  <c r="CI246" i="12"/>
  <c r="CJ246" i="12"/>
  <c r="CK246" i="12"/>
  <c r="CL246" i="12"/>
  <c r="CM246" i="12"/>
  <c r="CN246" i="12"/>
  <c r="CO246" i="12"/>
  <c r="CP246" i="12"/>
  <c r="CQ246" i="12"/>
  <c r="CR246" i="12"/>
  <c r="CS246" i="12"/>
  <c r="CT246" i="12"/>
  <c r="CU246" i="12"/>
  <c r="CV246" i="12"/>
  <c r="CW246" i="12"/>
  <c r="CX246" i="12"/>
  <c r="CY246" i="12"/>
  <c r="CZ246" i="12"/>
  <c r="DA246" i="12"/>
  <c r="DB246" i="12"/>
  <c r="DC246" i="12"/>
  <c r="DD246" i="12"/>
  <c r="DE246" i="12"/>
  <c r="DF246" i="12"/>
  <c r="DG246" i="12"/>
  <c r="DH246" i="12"/>
  <c r="DI246" i="12"/>
  <c r="DJ246" i="12"/>
  <c r="DK246" i="12"/>
  <c r="DL246" i="12"/>
  <c r="DM246" i="12"/>
  <c r="DN246" i="12"/>
  <c r="DO246" i="12"/>
  <c r="DP246" i="12"/>
  <c r="DQ246" i="12"/>
  <c r="DR246" i="12"/>
  <c r="DS246" i="12"/>
  <c r="DT246" i="12"/>
  <c r="DU246" i="12"/>
  <c r="O247" i="12"/>
  <c r="P247" i="12"/>
  <c r="Q247" i="12"/>
  <c r="R247" i="12"/>
  <c r="S247" i="12"/>
  <c r="T247" i="12"/>
  <c r="U247" i="12"/>
  <c r="V247" i="12"/>
  <c r="W247" i="12"/>
  <c r="X247" i="12"/>
  <c r="Y247" i="12"/>
  <c r="Z247" i="12"/>
  <c r="AA247" i="12"/>
  <c r="AB247" i="12"/>
  <c r="AC247" i="12"/>
  <c r="AD247" i="12"/>
  <c r="AE247" i="12"/>
  <c r="AF247" i="12"/>
  <c r="AG247" i="12"/>
  <c r="AH247" i="12"/>
  <c r="AI247" i="12"/>
  <c r="AJ247" i="12"/>
  <c r="AK247" i="12"/>
  <c r="AL247" i="12"/>
  <c r="AM247" i="12"/>
  <c r="AN247" i="12"/>
  <c r="AO247" i="12"/>
  <c r="AP247" i="12"/>
  <c r="AQ247" i="12"/>
  <c r="AR247" i="12"/>
  <c r="AS247" i="12"/>
  <c r="AT247" i="12"/>
  <c r="AU247" i="12"/>
  <c r="AV247" i="12"/>
  <c r="AW247" i="12"/>
  <c r="AX247" i="12"/>
  <c r="AY247" i="12"/>
  <c r="AZ247" i="12"/>
  <c r="BA247" i="12"/>
  <c r="BB247" i="12"/>
  <c r="BC247" i="12"/>
  <c r="BD247" i="12"/>
  <c r="BE247" i="12"/>
  <c r="BF247" i="12"/>
  <c r="BG247" i="12"/>
  <c r="BH247" i="12"/>
  <c r="BI247" i="12"/>
  <c r="BJ247" i="12"/>
  <c r="BK247" i="12"/>
  <c r="BL247" i="12"/>
  <c r="BM247" i="12"/>
  <c r="BN247" i="12"/>
  <c r="BO247" i="12"/>
  <c r="BP247" i="12"/>
  <c r="BQ247" i="12"/>
  <c r="BR247" i="12"/>
  <c r="BS247" i="12"/>
  <c r="BT247" i="12"/>
  <c r="BU247" i="12"/>
  <c r="BV247" i="12"/>
  <c r="BW247" i="12"/>
  <c r="BX247" i="12"/>
  <c r="BY247" i="12"/>
  <c r="BZ247" i="12"/>
  <c r="CA247" i="12"/>
  <c r="CB247" i="12"/>
  <c r="CC247" i="12"/>
  <c r="CD247" i="12"/>
  <c r="CE247" i="12"/>
  <c r="CF247" i="12"/>
  <c r="CG247" i="12"/>
  <c r="CH247" i="12"/>
  <c r="CI247" i="12"/>
  <c r="CJ247" i="12"/>
  <c r="CK247" i="12"/>
  <c r="CL247" i="12"/>
  <c r="CM247" i="12"/>
  <c r="CN247" i="12"/>
  <c r="CO247" i="12"/>
  <c r="CP247" i="12"/>
  <c r="CQ247" i="12"/>
  <c r="CR247" i="12"/>
  <c r="CS247" i="12"/>
  <c r="CT247" i="12"/>
  <c r="CU247" i="12"/>
  <c r="CV247" i="12"/>
  <c r="CW247" i="12"/>
  <c r="CX247" i="12"/>
  <c r="CY247" i="12"/>
  <c r="CZ247" i="12"/>
  <c r="DA247" i="12"/>
  <c r="DB247" i="12"/>
  <c r="DC247" i="12"/>
  <c r="DD247" i="12"/>
  <c r="DE247" i="12"/>
  <c r="DF247" i="12"/>
  <c r="DG247" i="12"/>
  <c r="DH247" i="12"/>
  <c r="DI247" i="12"/>
  <c r="DJ247" i="12"/>
  <c r="DK247" i="12"/>
  <c r="DL247" i="12"/>
  <c r="DM247" i="12"/>
  <c r="DN247" i="12"/>
  <c r="DO247" i="12"/>
  <c r="DP247" i="12"/>
  <c r="DQ247" i="12"/>
  <c r="DR247" i="12"/>
  <c r="DS247" i="12"/>
  <c r="DT247" i="12"/>
  <c r="DU247" i="12"/>
  <c r="O248" i="12"/>
  <c r="P248" i="12"/>
  <c r="Q248" i="12"/>
  <c r="R248" i="12"/>
  <c r="S248" i="12"/>
  <c r="T248" i="12"/>
  <c r="U248" i="12"/>
  <c r="V248" i="12"/>
  <c r="W248" i="12"/>
  <c r="X248" i="12"/>
  <c r="Y248" i="12"/>
  <c r="Z248" i="12"/>
  <c r="AA248" i="12"/>
  <c r="AB248" i="12"/>
  <c r="AC248" i="12"/>
  <c r="AD248" i="12"/>
  <c r="AE248" i="12"/>
  <c r="AF248" i="12"/>
  <c r="AG248" i="12"/>
  <c r="AH248" i="12"/>
  <c r="AI248" i="12"/>
  <c r="AJ248" i="12"/>
  <c r="AK248" i="12"/>
  <c r="AL248" i="12"/>
  <c r="AM248" i="12"/>
  <c r="AN248" i="12"/>
  <c r="AO248" i="12"/>
  <c r="AP248" i="12"/>
  <c r="AQ248" i="12"/>
  <c r="AR248" i="12"/>
  <c r="AS248" i="12"/>
  <c r="AT248" i="12"/>
  <c r="AU248" i="12"/>
  <c r="AV248" i="12"/>
  <c r="AW248" i="12"/>
  <c r="AX248" i="12"/>
  <c r="AY248" i="12"/>
  <c r="AZ248" i="12"/>
  <c r="BA248" i="12"/>
  <c r="BB248" i="12"/>
  <c r="BC248" i="12"/>
  <c r="BD248" i="12"/>
  <c r="BE248" i="12"/>
  <c r="BF248" i="12"/>
  <c r="BG248" i="12"/>
  <c r="BH248" i="12"/>
  <c r="BI248" i="12"/>
  <c r="BJ248" i="12"/>
  <c r="BK248" i="12"/>
  <c r="BL248" i="12"/>
  <c r="BM248" i="12"/>
  <c r="BN248" i="12"/>
  <c r="BO248" i="12"/>
  <c r="BP248" i="12"/>
  <c r="BQ248" i="12"/>
  <c r="BR248" i="12"/>
  <c r="BS248" i="12"/>
  <c r="BT248" i="12"/>
  <c r="BU248" i="12"/>
  <c r="BV248" i="12"/>
  <c r="BW248" i="12"/>
  <c r="BX248" i="12"/>
  <c r="BY248" i="12"/>
  <c r="BZ248" i="12"/>
  <c r="CA248" i="12"/>
  <c r="CB248" i="12"/>
  <c r="CC248" i="12"/>
  <c r="CD248" i="12"/>
  <c r="CE248" i="12"/>
  <c r="CF248" i="12"/>
  <c r="CG248" i="12"/>
  <c r="CH248" i="12"/>
  <c r="CI248" i="12"/>
  <c r="CJ248" i="12"/>
  <c r="CK248" i="12"/>
  <c r="CL248" i="12"/>
  <c r="CM248" i="12"/>
  <c r="CN248" i="12"/>
  <c r="CO248" i="12"/>
  <c r="CP248" i="12"/>
  <c r="CQ248" i="12"/>
  <c r="CR248" i="12"/>
  <c r="CS248" i="12"/>
  <c r="CT248" i="12"/>
  <c r="CU248" i="12"/>
  <c r="CV248" i="12"/>
  <c r="CW248" i="12"/>
  <c r="CX248" i="12"/>
  <c r="CY248" i="12"/>
  <c r="CZ248" i="12"/>
  <c r="DA248" i="12"/>
  <c r="DB248" i="12"/>
  <c r="DC248" i="12"/>
  <c r="DD248" i="12"/>
  <c r="DE248" i="12"/>
  <c r="DF248" i="12"/>
  <c r="DG248" i="12"/>
  <c r="DH248" i="12"/>
  <c r="DI248" i="12"/>
  <c r="DJ248" i="12"/>
  <c r="DK248" i="12"/>
  <c r="DL248" i="12"/>
  <c r="DM248" i="12"/>
  <c r="DN248" i="12"/>
  <c r="DO248" i="12"/>
  <c r="DP248" i="12"/>
  <c r="DQ248" i="12"/>
  <c r="DR248" i="12"/>
  <c r="DS248" i="12"/>
  <c r="DT248" i="12"/>
  <c r="DU248" i="12"/>
  <c r="O249" i="12"/>
  <c r="P249" i="12"/>
  <c r="Q249" i="12"/>
  <c r="R249" i="12"/>
  <c r="S249" i="12"/>
  <c r="T249" i="12"/>
  <c r="U249" i="12"/>
  <c r="V249" i="12"/>
  <c r="W249" i="12"/>
  <c r="X249" i="12"/>
  <c r="Y249" i="12"/>
  <c r="Z249" i="12"/>
  <c r="AA249" i="12"/>
  <c r="AB249" i="12"/>
  <c r="AC249" i="12"/>
  <c r="AD249" i="12"/>
  <c r="AE249" i="12"/>
  <c r="AF249" i="12"/>
  <c r="AG249" i="12"/>
  <c r="AH249" i="12"/>
  <c r="AI249" i="12"/>
  <c r="AJ249" i="12"/>
  <c r="AK249" i="12"/>
  <c r="AL249" i="12"/>
  <c r="AM249" i="12"/>
  <c r="AN249" i="12"/>
  <c r="AO249" i="12"/>
  <c r="AP249" i="12"/>
  <c r="AQ249" i="12"/>
  <c r="AR249" i="12"/>
  <c r="AS249" i="12"/>
  <c r="AT249" i="12"/>
  <c r="AU249" i="12"/>
  <c r="AV249" i="12"/>
  <c r="AW249" i="12"/>
  <c r="AX249" i="12"/>
  <c r="AY249" i="12"/>
  <c r="AZ249" i="12"/>
  <c r="BA249" i="12"/>
  <c r="BB249" i="12"/>
  <c r="BC249" i="12"/>
  <c r="BD249" i="12"/>
  <c r="BE249" i="12"/>
  <c r="BF249" i="12"/>
  <c r="BG249" i="12"/>
  <c r="BH249" i="12"/>
  <c r="BI249" i="12"/>
  <c r="BJ249" i="12"/>
  <c r="BK249" i="12"/>
  <c r="BL249" i="12"/>
  <c r="BM249" i="12"/>
  <c r="BN249" i="12"/>
  <c r="BO249" i="12"/>
  <c r="BP249" i="12"/>
  <c r="BQ249" i="12"/>
  <c r="BR249" i="12"/>
  <c r="BS249" i="12"/>
  <c r="BT249" i="12"/>
  <c r="BU249" i="12"/>
  <c r="BV249" i="12"/>
  <c r="BW249" i="12"/>
  <c r="BX249" i="12"/>
  <c r="BY249" i="12"/>
  <c r="BZ249" i="12"/>
  <c r="CA249" i="12"/>
  <c r="CB249" i="12"/>
  <c r="CC249" i="12"/>
  <c r="CD249" i="12"/>
  <c r="CE249" i="12"/>
  <c r="CF249" i="12"/>
  <c r="CG249" i="12"/>
  <c r="CH249" i="12"/>
  <c r="CI249" i="12"/>
  <c r="CJ249" i="12"/>
  <c r="CK249" i="12"/>
  <c r="CL249" i="12"/>
  <c r="CM249" i="12"/>
  <c r="CN249" i="12"/>
  <c r="CO249" i="12"/>
  <c r="CP249" i="12"/>
  <c r="CQ249" i="12"/>
  <c r="CR249" i="12"/>
  <c r="CS249" i="12"/>
  <c r="CT249" i="12"/>
  <c r="CU249" i="12"/>
  <c r="CV249" i="12"/>
  <c r="CW249" i="12"/>
  <c r="CX249" i="12"/>
  <c r="CY249" i="12"/>
  <c r="CZ249" i="12"/>
  <c r="DA249" i="12"/>
  <c r="DB249" i="12"/>
  <c r="DC249" i="12"/>
  <c r="DD249" i="12"/>
  <c r="DE249" i="12"/>
  <c r="DF249" i="12"/>
  <c r="DG249" i="12"/>
  <c r="DH249" i="12"/>
  <c r="DI249" i="12"/>
  <c r="DJ249" i="12"/>
  <c r="DK249" i="12"/>
  <c r="DL249" i="12"/>
  <c r="DM249" i="12"/>
  <c r="DN249" i="12"/>
  <c r="DO249" i="12"/>
  <c r="DP249" i="12"/>
  <c r="DQ249" i="12"/>
  <c r="DR249" i="12"/>
  <c r="DS249" i="12"/>
  <c r="DT249" i="12"/>
  <c r="DU249" i="12"/>
  <c r="O250" i="12"/>
  <c r="P250" i="12"/>
  <c r="Q250" i="12"/>
  <c r="R250" i="12"/>
  <c r="S250" i="12"/>
  <c r="T250" i="12"/>
  <c r="U250" i="12"/>
  <c r="V250" i="12"/>
  <c r="W250" i="12"/>
  <c r="X250" i="12"/>
  <c r="Y250" i="12"/>
  <c r="Z250" i="12"/>
  <c r="AA250" i="12"/>
  <c r="AB250" i="12"/>
  <c r="AC250" i="12"/>
  <c r="AD250" i="12"/>
  <c r="AE250" i="12"/>
  <c r="AF250" i="12"/>
  <c r="AG250" i="12"/>
  <c r="AH250" i="12"/>
  <c r="AI250" i="12"/>
  <c r="AJ250" i="12"/>
  <c r="AK250" i="12"/>
  <c r="AL250" i="12"/>
  <c r="AM250" i="12"/>
  <c r="AN250" i="12"/>
  <c r="AO250" i="12"/>
  <c r="AP250" i="12"/>
  <c r="AQ250" i="12"/>
  <c r="AR250" i="12"/>
  <c r="AS250" i="12"/>
  <c r="AT250" i="12"/>
  <c r="AU250" i="12"/>
  <c r="AV250" i="12"/>
  <c r="AW250" i="12"/>
  <c r="AX250" i="12"/>
  <c r="AY250" i="12"/>
  <c r="AZ250" i="12"/>
  <c r="BA250" i="12"/>
  <c r="BB250" i="12"/>
  <c r="BC250" i="12"/>
  <c r="BD250" i="12"/>
  <c r="BE250" i="12"/>
  <c r="BF250" i="12"/>
  <c r="BG250" i="12"/>
  <c r="BH250" i="12"/>
  <c r="BI250" i="12"/>
  <c r="BJ250" i="12"/>
  <c r="BK250" i="12"/>
  <c r="BL250" i="12"/>
  <c r="BM250" i="12"/>
  <c r="BN250" i="12"/>
  <c r="BO250" i="12"/>
  <c r="BP250" i="12"/>
  <c r="BQ250" i="12"/>
  <c r="BR250" i="12"/>
  <c r="BS250" i="12"/>
  <c r="BT250" i="12"/>
  <c r="BU250" i="12"/>
  <c r="BV250" i="12"/>
  <c r="BW250" i="12"/>
  <c r="BX250" i="12"/>
  <c r="BY250" i="12"/>
  <c r="BZ250" i="12"/>
  <c r="CA250" i="12"/>
  <c r="CB250" i="12"/>
  <c r="CC250" i="12"/>
  <c r="CD250" i="12"/>
  <c r="CE250" i="12"/>
  <c r="CF250" i="12"/>
  <c r="CG250" i="12"/>
  <c r="CH250" i="12"/>
  <c r="CI250" i="12"/>
  <c r="CJ250" i="12"/>
  <c r="CK250" i="12"/>
  <c r="CL250" i="12"/>
  <c r="CM250" i="12"/>
  <c r="CN250" i="12"/>
  <c r="CO250" i="12"/>
  <c r="CP250" i="12"/>
  <c r="CQ250" i="12"/>
  <c r="CR250" i="12"/>
  <c r="CS250" i="12"/>
  <c r="CT250" i="12"/>
  <c r="CU250" i="12"/>
  <c r="CV250" i="12"/>
  <c r="CW250" i="12"/>
  <c r="CX250" i="12"/>
  <c r="CY250" i="12"/>
  <c r="CZ250" i="12"/>
  <c r="DA250" i="12"/>
  <c r="DB250" i="12"/>
  <c r="DC250" i="12"/>
  <c r="DD250" i="12"/>
  <c r="DE250" i="12"/>
  <c r="DF250" i="12"/>
  <c r="DG250" i="12"/>
  <c r="DH250" i="12"/>
  <c r="DI250" i="12"/>
  <c r="DJ250" i="12"/>
  <c r="DK250" i="12"/>
  <c r="DL250" i="12"/>
  <c r="DM250" i="12"/>
  <c r="DN250" i="12"/>
  <c r="DO250" i="12"/>
  <c r="DP250" i="12"/>
  <c r="DQ250" i="12"/>
  <c r="DR250" i="12"/>
  <c r="DS250" i="12"/>
  <c r="DT250" i="12"/>
  <c r="DU250" i="12"/>
  <c r="DU2" i="12"/>
  <c r="CR2" i="12"/>
  <c r="CO2" i="12"/>
  <c r="CN2" i="12"/>
  <c r="BM156" i="13" l="1"/>
  <c r="AI131" i="13"/>
  <c r="AC137" i="13"/>
  <c r="BM126" i="13"/>
  <c r="AO148" i="13"/>
  <c r="BM130" i="13"/>
  <c r="AI128" i="13"/>
  <c r="AO110" i="13"/>
  <c r="Z98" i="13"/>
  <c r="W90" i="13"/>
  <c r="Z130" i="13"/>
  <c r="AC122" i="13"/>
  <c r="Z115" i="13"/>
  <c r="W93" i="13"/>
  <c r="AC97" i="13"/>
  <c r="Z105" i="13"/>
  <c r="W128" i="13"/>
  <c r="AC94" i="13"/>
  <c r="Z126" i="13"/>
  <c r="W158" i="13"/>
  <c r="AC160" i="13"/>
  <c r="Z82" i="13"/>
  <c r="W140" i="13"/>
  <c r="AC134" i="13"/>
  <c r="Z86" i="13"/>
  <c r="AI139" i="13"/>
  <c r="AO123" i="13"/>
  <c r="AC141" i="13"/>
  <c r="BM99" i="13"/>
  <c r="BM97" i="13"/>
  <c r="AO96" i="13"/>
  <c r="AC89" i="13"/>
  <c r="Z87" i="13"/>
  <c r="Z91" i="13"/>
  <c r="Z136" i="13"/>
  <c r="BM109" i="13"/>
  <c r="AE2" i="13"/>
  <c r="AE1" i="13"/>
  <c r="A5" i="13"/>
  <c r="B5" i="13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S5" i="13"/>
  <c r="T5" i="13"/>
  <c r="U5" i="13"/>
  <c r="V5" i="13"/>
  <c r="W5" i="13"/>
  <c r="X5" i="13"/>
  <c r="Y5" i="13"/>
  <c r="Z5" i="13"/>
  <c r="AA5" i="13"/>
  <c r="AB5" i="13"/>
  <c r="AC5" i="13"/>
  <c r="AD5" i="13"/>
  <c r="AE5" i="13"/>
  <c r="AF5" i="13"/>
  <c r="AG5" i="13"/>
  <c r="AH5" i="13"/>
  <c r="AI5" i="13"/>
  <c r="AJ5" i="13"/>
  <c r="AK5" i="13"/>
  <c r="AL5" i="13"/>
  <c r="AM5" i="13"/>
  <c r="AN5" i="13"/>
  <c r="AO5" i="13"/>
  <c r="AP5" i="13"/>
  <c r="AQ5" i="13"/>
  <c r="AR5" i="13"/>
  <c r="AS5" i="13"/>
  <c r="AT5" i="13"/>
  <c r="AU5" i="13"/>
  <c r="AV5" i="13"/>
  <c r="AW5" i="13"/>
  <c r="AX5" i="13"/>
  <c r="AY5" i="13"/>
  <c r="AZ5" i="13"/>
  <c r="BA5" i="13"/>
  <c r="BB5" i="13"/>
  <c r="BC5" i="13"/>
  <c r="BD5" i="13"/>
  <c r="BE5" i="13"/>
  <c r="BF5" i="13"/>
  <c r="BG5" i="13"/>
  <c r="BH5" i="13"/>
  <c r="BI5" i="13"/>
  <c r="BJ5" i="13"/>
  <c r="BK5" i="13"/>
  <c r="BL5" i="13"/>
  <c r="BM5" i="13"/>
  <c r="BN5" i="13"/>
  <c r="BO5" i="13"/>
  <c r="A6" i="13"/>
  <c r="B6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S6" i="13"/>
  <c r="T6" i="13"/>
  <c r="U6" i="13"/>
  <c r="V6" i="13"/>
  <c r="W6" i="13"/>
  <c r="X6" i="13"/>
  <c r="Y6" i="13"/>
  <c r="Z6" i="13"/>
  <c r="AA6" i="13"/>
  <c r="AB6" i="13"/>
  <c r="AC6" i="13"/>
  <c r="AD6" i="13"/>
  <c r="AE6" i="13"/>
  <c r="AF6" i="13"/>
  <c r="AG6" i="13"/>
  <c r="AH6" i="13"/>
  <c r="AI6" i="13"/>
  <c r="AJ6" i="13"/>
  <c r="AK6" i="13"/>
  <c r="AL6" i="13"/>
  <c r="AM6" i="13"/>
  <c r="AN6" i="13"/>
  <c r="AO6" i="13"/>
  <c r="AP6" i="13"/>
  <c r="AQ6" i="13"/>
  <c r="AR6" i="13"/>
  <c r="AS6" i="13"/>
  <c r="AT6" i="13"/>
  <c r="AU6" i="13"/>
  <c r="AV6" i="13"/>
  <c r="AW6" i="13"/>
  <c r="AX6" i="13"/>
  <c r="AY6" i="13"/>
  <c r="AZ6" i="13"/>
  <c r="BA6" i="13"/>
  <c r="BB6" i="13"/>
  <c r="BC6" i="13"/>
  <c r="BD6" i="13"/>
  <c r="BE6" i="13"/>
  <c r="BF6" i="13"/>
  <c r="BG6" i="13"/>
  <c r="BH6" i="13"/>
  <c r="BI6" i="13"/>
  <c r="BJ6" i="13"/>
  <c r="BK6" i="13"/>
  <c r="BL6" i="13"/>
  <c r="BM6" i="13"/>
  <c r="BN6" i="13"/>
  <c r="BO6" i="13"/>
  <c r="A7" i="13"/>
  <c r="B7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AM7" i="13"/>
  <c r="AN7" i="13"/>
  <c r="AO7" i="13"/>
  <c r="AP7" i="13"/>
  <c r="AQ7" i="13"/>
  <c r="AR7" i="13"/>
  <c r="AS7" i="13"/>
  <c r="AT7" i="13"/>
  <c r="AU7" i="13"/>
  <c r="AV7" i="13"/>
  <c r="AW7" i="13"/>
  <c r="AX7" i="13"/>
  <c r="AY7" i="13"/>
  <c r="AZ7" i="13"/>
  <c r="BA7" i="13"/>
  <c r="BB7" i="13"/>
  <c r="BC7" i="13"/>
  <c r="BD7" i="13"/>
  <c r="BE7" i="13"/>
  <c r="BF7" i="13"/>
  <c r="BG7" i="13"/>
  <c r="BH7" i="13"/>
  <c r="BI7" i="13"/>
  <c r="BJ7" i="13"/>
  <c r="BK7" i="13"/>
  <c r="BL7" i="13"/>
  <c r="BM7" i="13"/>
  <c r="BN7" i="13"/>
  <c r="BO7" i="13"/>
  <c r="A8" i="13"/>
  <c r="B8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S8" i="13"/>
  <c r="T8" i="13"/>
  <c r="U8" i="13"/>
  <c r="V8" i="13"/>
  <c r="W8" i="13"/>
  <c r="X8" i="13"/>
  <c r="Y8" i="13"/>
  <c r="Z8" i="13"/>
  <c r="AA8" i="13"/>
  <c r="AB8" i="13"/>
  <c r="AC8" i="13"/>
  <c r="AD8" i="13"/>
  <c r="AE8" i="13"/>
  <c r="AF8" i="13"/>
  <c r="AG8" i="13"/>
  <c r="AH8" i="13"/>
  <c r="AI8" i="13"/>
  <c r="AJ8" i="13"/>
  <c r="AK8" i="13"/>
  <c r="AL8" i="13"/>
  <c r="AM8" i="13"/>
  <c r="AN8" i="13"/>
  <c r="AO8" i="13"/>
  <c r="AP8" i="13"/>
  <c r="AQ8" i="13"/>
  <c r="AR8" i="13"/>
  <c r="AS8" i="13"/>
  <c r="AT8" i="13"/>
  <c r="AU8" i="13"/>
  <c r="AV8" i="13"/>
  <c r="AW8" i="13"/>
  <c r="AX8" i="13"/>
  <c r="AY8" i="13"/>
  <c r="AZ8" i="13"/>
  <c r="BA8" i="13"/>
  <c r="BB8" i="13"/>
  <c r="BC8" i="13"/>
  <c r="BD8" i="13"/>
  <c r="BE8" i="13"/>
  <c r="BF8" i="13"/>
  <c r="BG8" i="13"/>
  <c r="BH8" i="13"/>
  <c r="BI8" i="13"/>
  <c r="BJ8" i="13"/>
  <c r="BK8" i="13"/>
  <c r="BL8" i="13"/>
  <c r="BM8" i="13"/>
  <c r="BN8" i="13"/>
  <c r="BO8" i="13"/>
  <c r="A9" i="13"/>
  <c r="B9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AM9" i="13"/>
  <c r="AN9" i="13"/>
  <c r="AO9" i="13"/>
  <c r="AP9" i="13"/>
  <c r="AQ9" i="13"/>
  <c r="AR9" i="13"/>
  <c r="AS9" i="13"/>
  <c r="AT9" i="13"/>
  <c r="AU9" i="13"/>
  <c r="AV9" i="13"/>
  <c r="AW9" i="13"/>
  <c r="AX9" i="13"/>
  <c r="AY9" i="13"/>
  <c r="AZ9" i="13"/>
  <c r="BA9" i="13"/>
  <c r="BB9" i="13"/>
  <c r="BC9" i="13"/>
  <c r="BD9" i="13"/>
  <c r="BE9" i="13"/>
  <c r="BF9" i="13"/>
  <c r="BG9" i="13"/>
  <c r="BH9" i="13"/>
  <c r="BI9" i="13"/>
  <c r="BJ9" i="13"/>
  <c r="BK9" i="13"/>
  <c r="BL9" i="13"/>
  <c r="BM9" i="13"/>
  <c r="BN9" i="13"/>
  <c r="BO9" i="13"/>
  <c r="A10" i="13"/>
  <c r="B10" i="13"/>
  <c r="C10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AM10" i="13"/>
  <c r="AN10" i="13"/>
  <c r="AO10" i="13"/>
  <c r="AP10" i="13"/>
  <c r="AQ10" i="13"/>
  <c r="AR10" i="13"/>
  <c r="AS10" i="13"/>
  <c r="AT10" i="13"/>
  <c r="AU10" i="13"/>
  <c r="AV10" i="13"/>
  <c r="AW10" i="13"/>
  <c r="AX10" i="13"/>
  <c r="AY10" i="13"/>
  <c r="AZ10" i="13"/>
  <c r="BA10" i="13"/>
  <c r="BB10" i="13"/>
  <c r="BC10" i="13"/>
  <c r="BD10" i="13"/>
  <c r="BE10" i="13"/>
  <c r="BF10" i="13"/>
  <c r="BG10" i="13"/>
  <c r="BH10" i="13"/>
  <c r="BI10" i="13"/>
  <c r="BJ10" i="13"/>
  <c r="BK10" i="13"/>
  <c r="BL10" i="13"/>
  <c r="BM10" i="13"/>
  <c r="BN10" i="13"/>
  <c r="BO10" i="13"/>
  <c r="A11" i="13"/>
  <c r="B11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X11" i="13"/>
  <c r="Y11" i="13"/>
  <c r="Z11" i="13"/>
  <c r="AA11" i="13"/>
  <c r="AB11" i="13"/>
  <c r="AC11" i="13"/>
  <c r="AD11" i="13"/>
  <c r="AE11" i="13"/>
  <c r="AF11" i="13"/>
  <c r="AG11" i="13"/>
  <c r="AH11" i="13"/>
  <c r="AI11" i="13"/>
  <c r="AJ11" i="13"/>
  <c r="AK11" i="13"/>
  <c r="AL11" i="13"/>
  <c r="AM11" i="13"/>
  <c r="AN11" i="13"/>
  <c r="AO11" i="13"/>
  <c r="AP11" i="13"/>
  <c r="AQ11" i="13"/>
  <c r="AR11" i="13"/>
  <c r="AS11" i="13"/>
  <c r="AT11" i="13"/>
  <c r="AU11" i="13"/>
  <c r="AV11" i="13"/>
  <c r="AW11" i="13"/>
  <c r="AX11" i="13"/>
  <c r="AY11" i="13"/>
  <c r="AZ11" i="13"/>
  <c r="BA11" i="13"/>
  <c r="BB11" i="13"/>
  <c r="BC11" i="13"/>
  <c r="BD11" i="13"/>
  <c r="BE11" i="13"/>
  <c r="BF11" i="13"/>
  <c r="BG11" i="13"/>
  <c r="BH11" i="13"/>
  <c r="BI11" i="13"/>
  <c r="BJ11" i="13"/>
  <c r="BK11" i="13"/>
  <c r="BL11" i="13"/>
  <c r="BM11" i="13"/>
  <c r="BN11" i="13"/>
  <c r="BO11" i="13"/>
  <c r="A12" i="13"/>
  <c r="B12" i="13"/>
  <c r="C12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AM12" i="13"/>
  <c r="AN12" i="13"/>
  <c r="AO12" i="13"/>
  <c r="AP12" i="13"/>
  <c r="AQ12" i="13"/>
  <c r="AR12" i="13"/>
  <c r="AS12" i="13"/>
  <c r="AT12" i="13"/>
  <c r="AU12" i="13"/>
  <c r="AV12" i="13"/>
  <c r="AW12" i="13"/>
  <c r="AX12" i="13"/>
  <c r="AY12" i="13"/>
  <c r="AZ12" i="13"/>
  <c r="BA12" i="13"/>
  <c r="BB12" i="13"/>
  <c r="BC12" i="13"/>
  <c r="BD12" i="13"/>
  <c r="BE12" i="13"/>
  <c r="BF12" i="13"/>
  <c r="BG12" i="13"/>
  <c r="BH12" i="13"/>
  <c r="BI12" i="13"/>
  <c r="BJ12" i="13"/>
  <c r="BK12" i="13"/>
  <c r="BL12" i="13"/>
  <c r="BM12" i="13"/>
  <c r="BN12" i="13"/>
  <c r="BO12" i="13"/>
  <c r="A13" i="13"/>
  <c r="B13" i="13"/>
  <c r="C13" i="13"/>
  <c r="D13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U13" i="13"/>
  <c r="V13" i="13"/>
  <c r="W13" i="13"/>
  <c r="X13" i="13"/>
  <c r="Y13" i="13"/>
  <c r="Z13" i="13"/>
  <c r="AA13" i="13"/>
  <c r="AB13" i="13"/>
  <c r="AC13" i="13"/>
  <c r="AD13" i="13"/>
  <c r="AE13" i="13"/>
  <c r="AF13" i="13"/>
  <c r="AG13" i="13"/>
  <c r="AH13" i="13"/>
  <c r="AI13" i="13"/>
  <c r="AJ13" i="13"/>
  <c r="AK13" i="13"/>
  <c r="AL13" i="13"/>
  <c r="AM13" i="13"/>
  <c r="AN13" i="13"/>
  <c r="AO13" i="13"/>
  <c r="AP13" i="13"/>
  <c r="AQ13" i="13"/>
  <c r="AR13" i="13"/>
  <c r="AS13" i="13"/>
  <c r="AT13" i="13"/>
  <c r="AU13" i="13"/>
  <c r="AV13" i="13"/>
  <c r="AW13" i="13"/>
  <c r="AX13" i="13"/>
  <c r="AY13" i="13"/>
  <c r="AZ13" i="13"/>
  <c r="BA13" i="13"/>
  <c r="BB13" i="13"/>
  <c r="BC13" i="13"/>
  <c r="BD13" i="13"/>
  <c r="BE13" i="13"/>
  <c r="BF13" i="13"/>
  <c r="BG13" i="13"/>
  <c r="BH13" i="13"/>
  <c r="BI13" i="13"/>
  <c r="BJ13" i="13"/>
  <c r="BK13" i="13"/>
  <c r="BL13" i="13"/>
  <c r="BM13" i="13"/>
  <c r="BN13" i="13"/>
  <c r="BO13" i="13"/>
  <c r="A14" i="13"/>
  <c r="B14" i="13"/>
  <c r="C14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AM14" i="13"/>
  <c r="AN14" i="13"/>
  <c r="AO14" i="13"/>
  <c r="AP14" i="13"/>
  <c r="AQ14" i="13"/>
  <c r="AR14" i="13"/>
  <c r="AS14" i="13"/>
  <c r="AT14" i="13"/>
  <c r="AU14" i="13"/>
  <c r="AV14" i="13"/>
  <c r="AW14" i="13"/>
  <c r="AX14" i="13"/>
  <c r="AY14" i="13"/>
  <c r="AZ14" i="13"/>
  <c r="BA14" i="13"/>
  <c r="BB14" i="13"/>
  <c r="BC14" i="13"/>
  <c r="BD14" i="13"/>
  <c r="BE14" i="13"/>
  <c r="BF14" i="13"/>
  <c r="BG14" i="13"/>
  <c r="BH14" i="13"/>
  <c r="BI14" i="13"/>
  <c r="BJ14" i="13"/>
  <c r="BK14" i="13"/>
  <c r="BL14" i="13"/>
  <c r="BM14" i="13"/>
  <c r="BN14" i="13"/>
  <c r="BO14" i="13"/>
  <c r="A15" i="13"/>
  <c r="B15" i="13"/>
  <c r="C15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AM15" i="13"/>
  <c r="AN15" i="13"/>
  <c r="AO15" i="13"/>
  <c r="AP15" i="13"/>
  <c r="AQ15" i="13"/>
  <c r="AR15" i="13"/>
  <c r="AS15" i="13"/>
  <c r="AT15" i="13"/>
  <c r="AU15" i="13"/>
  <c r="AV15" i="13"/>
  <c r="AW15" i="13"/>
  <c r="AX15" i="13"/>
  <c r="AY15" i="13"/>
  <c r="AZ15" i="13"/>
  <c r="BA15" i="13"/>
  <c r="BB15" i="13"/>
  <c r="BC15" i="13"/>
  <c r="BD15" i="13"/>
  <c r="BE15" i="13"/>
  <c r="BF15" i="13"/>
  <c r="BG15" i="13"/>
  <c r="BH15" i="13"/>
  <c r="BI15" i="13"/>
  <c r="BJ15" i="13"/>
  <c r="BK15" i="13"/>
  <c r="BL15" i="13"/>
  <c r="BM15" i="13"/>
  <c r="BN15" i="13"/>
  <c r="BO15" i="13"/>
  <c r="A16" i="13"/>
  <c r="B16" i="13"/>
  <c r="C16" i="13"/>
  <c r="D16" i="13"/>
  <c r="E16" i="13"/>
  <c r="F16" i="13"/>
  <c r="G16" i="13"/>
  <c r="H16" i="13"/>
  <c r="I16" i="13"/>
  <c r="J16" i="13"/>
  <c r="K16" i="13"/>
  <c r="L16" i="13"/>
  <c r="M16" i="13"/>
  <c r="N16" i="13"/>
  <c r="O16" i="13"/>
  <c r="P16" i="13"/>
  <c r="Q16" i="13"/>
  <c r="R16" i="13"/>
  <c r="S16" i="13"/>
  <c r="T16" i="13"/>
  <c r="U16" i="13"/>
  <c r="V16" i="13"/>
  <c r="W16" i="13"/>
  <c r="X16" i="13"/>
  <c r="Y16" i="13"/>
  <c r="Z16" i="13"/>
  <c r="AA16" i="13"/>
  <c r="AB16" i="13"/>
  <c r="AC16" i="13"/>
  <c r="AD16" i="13"/>
  <c r="AE16" i="13"/>
  <c r="AF16" i="13"/>
  <c r="AG16" i="13"/>
  <c r="AH16" i="13"/>
  <c r="AI16" i="13"/>
  <c r="AJ16" i="13"/>
  <c r="AK16" i="13"/>
  <c r="AL16" i="13"/>
  <c r="AM16" i="13"/>
  <c r="AN16" i="13"/>
  <c r="AO16" i="13"/>
  <c r="AP16" i="13"/>
  <c r="AQ16" i="13"/>
  <c r="AR16" i="13"/>
  <c r="AS16" i="13"/>
  <c r="AT16" i="13"/>
  <c r="AU16" i="13"/>
  <c r="AV16" i="13"/>
  <c r="AW16" i="13"/>
  <c r="AX16" i="13"/>
  <c r="AY16" i="13"/>
  <c r="AZ16" i="13"/>
  <c r="BA16" i="13"/>
  <c r="BB16" i="13"/>
  <c r="BC16" i="13"/>
  <c r="BD16" i="13"/>
  <c r="BE16" i="13"/>
  <c r="BF16" i="13"/>
  <c r="BG16" i="13"/>
  <c r="BH16" i="13"/>
  <c r="BI16" i="13"/>
  <c r="BJ16" i="13"/>
  <c r="BK16" i="13"/>
  <c r="BL16" i="13"/>
  <c r="BM16" i="13"/>
  <c r="BN16" i="13"/>
  <c r="BO16" i="13"/>
  <c r="A17" i="13"/>
  <c r="B17" i="13"/>
  <c r="C17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AM17" i="13"/>
  <c r="AN17" i="13"/>
  <c r="AO17" i="13"/>
  <c r="AP17" i="13"/>
  <c r="AQ17" i="13"/>
  <c r="AR17" i="13"/>
  <c r="AS17" i="13"/>
  <c r="AT17" i="13"/>
  <c r="AU17" i="13"/>
  <c r="AV17" i="13"/>
  <c r="AW17" i="13"/>
  <c r="AX17" i="13"/>
  <c r="AY17" i="13"/>
  <c r="AZ17" i="13"/>
  <c r="BA17" i="13"/>
  <c r="BB17" i="13"/>
  <c r="BC17" i="13"/>
  <c r="BD17" i="13"/>
  <c r="BE17" i="13"/>
  <c r="BF17" i="13"/>
  <c r="BG17" i="13"/>
  <c r="BH17" i="13"/>
  <c r="BI17" i="13"/>
  <c r="BJ17" i="13"/>
  <c r="BK17" i="13"/>
  <c r="BL17" i="13"/>
  <c r="BM17" i="13"/>
  <c r="BN17" i="13"/>
  <c r="BO17" i="13"/>
  <c r="A18" i="13"/>
  <c r="B18" i="13"/>
  <c r="C18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AM18" i="13"/>
  <c r="AN18" i="13"/>
  <c r="AO18" i="13"/>
  <c r="AP18" i="13"/>
  <c r="AQ18" i="13"/>
  <c r="AR18" i="13"/>
  <c r="AS18" i="13"/>
  <c r="AT18" i="13"/>
  <c r="AU18" i="13"/>
  <c r="AV18" i="13"/>
  <c r="AW18" i="13"/>
  <c r="AX18" i="13"/>
  <c r="AY18" i="13"/>
  <c r="AZ18" i="13"/>
  <c r="BA18" i="13"/>
  <c r="BB18" i="13"/>
  <c r="BC18" i="13"/>
  <c r="BD18" i="13"/>
  <c r="BE18" i="13"/>
  <c r="BF18" i="13"/>
  <c r="BG18" i="13"/>
  <c r="BH18" i="13"/>
  <c r="BI18" i="13"/>
  <c r="BJ18" i="13"/>
  <c r="BK18" i="13"/>
  <c r="BL18" i="13"/>
  <c r="BM18" i="13"/>
  <c r="BN18" i="13"/>
  <c r="BO18" i="13"/>
  <c r="A19" i="13"/>
  <c r="B19" i="13"/>
  <c r="C19" i="13"/>
  <c r="D19" i="13"/>
  <c r="E19" i="13"/>
  <c r="F19" i="13"/>
  <c r="G19" i="13"/>
  <c r="H19" i="13"/>
  <c r="I19" i="13"/>
  <c r="J19" i="13"/>
  <c r="K19" i="13"/>
  <c r="L19" i="13"/>
  <c r="M19" i="13"/>
  <c r="N19" i="13"/>
  <c r="O19" i="13"/>
  <c r="P19" i="13"/>
  <c r="Q19" i="13"/>
  <c r="R19" i="13"/>
  <c r="S19" i="13"/>
  <c r="T19" i="13"/>
  <c r="U19" i="13"/>
  <c r="V19" i="13"/>
  <c r="W19" i="13"/>
  <c r="X19" i="13"/>
  <c r="Y19" i="13"/>
  <c r="Z19" i="13"/>
  <c r="AA19" i="13"/>
  <c r="AB19" i="13"/>
  <c r="AC19" i="13"/>
  <c r="AD19" i="13"/>
  <c r="AE19" i="13"/>
  <c r="AF19" i="13"/>
  <c r="AG19" i="13"/>
  <c r="AH19" i="13"/>
  <c r="AI19" i="13"/>
  <c r="AJ19" i="13"/>
  <c r="AK19" i="13"/>
  <c r="AL19" i="13"/>
  <c r="AM19" i="13"/>
  <c r="AN19" i="13"/>
  <c r="AO19" i="13"/>
  <c r="AP19" i="13"/>
  <c r="AQ19" i="13"/>
  <c r="AR19" i="13"/>
  <c r="AS19" i="13"/>
  <c r="AT19" i="13"/>
  <c r="AU19" i="13"/>
  <c r="AV19" i="13"/>
  <c r="AW19" i="13"/>
  <c r="AX19" i="13"/>
  <c r="AY19" i="13"/>
  <c r="AZ19" i="13"/>
  <c r="BA19" i="13"/>
  <c r="BB19" i="13"/>
  <c r="BC19" i="13"/>
  <c r="BD19" i="13"/>
  <c r="BE19" i="13"/>
  <c r="BF19" i="13"/>
  <c r="BG19" i="13"/>
  <c r="BH19" i="13"/>
  <c r="BI19" i="13"/>
  <c r="BJ19" i="13"/>
  <c r="BK19" i="13"/>
  <c r="BL19" i="13"/>
  <c r="BM19" i="13"/>
  <c r="BN19" i="13"/>
  <c r="BO19" i="13"/>
  <c r="A20" i="13"/>
  <c r="B20" i="13"/>
  <c r="C20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AM20" i="13"/>
  <c r="AN20" i="13"/>
  <c r="AO20" i="13"/>
  <c r="AP20" i="13"/>
  <c r="AQ20" i="13"/>
  <c r="AR20" i="13"/>
  <c r="AS20" i="13"/>
  <c r="AT20" i="13"/>
  <c r="AU20" i="13"/>
  <c r="AV20" i="13"/>
  <c r="AW20" i="13"/>
  <c r="AX20" i="13"/>
  <c r="AY20" i="13"/>
  <c r="AZ20" i="13"/>
  <c r="BA20" i="13"/>
  <c r="BB20" i="13"/>
  <c r="BC20" i="13"/>
  <c r="BD20" i="13"/>
  <c r="BE20" i="13"/>
  <c r="BF20" i="13"/>
  <c r="BG20" i="13"/>
  <c r="BH20" i="13"/>
  <c r="BI20" i="13"/>
  <c r="BJ20" i="13"/>
  <c r="BK20" i="13"/>
  <c r="BL20" i="13"/>
  <c r="BM20" i="13"/>
  <c r="BN20" i="13"/>
  <c r="BO20" i="13"/>
  <c r="A21" i="13"/>
  <c r="B21" i="13"/>
  <c r="C21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AM21" i="13"/>
  <c r="AN21" i="13"/>
  <c r="AO21" i="13"/>
  <c r="AP21" i="13"/>
  <c r="AQ21" i="13"/>
  <c r="AR21" i="13"/>
  <c r="AS21" i="13"/>
  <c r="AT21" i="13"/>
  <c r="AU21" i="13"/>
  <c r="AV21" i="13"/>
  <c r="AW21" i="13"/>
  <c r="AX21" i="13"/>
  <c r="AY21" i="13"/>
  <c r="AZ21" i="13"/>
  <c r="BA21" i="13"/>
  <c r="BB21" i="13"/>
  <c r="BC21" i="13"/>
  <c r="BD21" i="13"/>
  <c r="BE21" i="13"/>
  <c r="BF21" i="13"/>
  <c r="BG21" i="13"/>
  <c r="BH21" i="13"/>
  <c r="BI21" i="13"/>
  <c r="BJ21" i="13"/>
  <c r="BK21" i="13"/>
  <c r="BL21" i="13"/>
  <c r="BM21" i="13"/>
  <c r="BN21" i="13"/>
  <c r="BO21" i="13"/>
  <c r="A22" i="13"/>
  <c r="B22" i="13"/>
  <c r="C22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AM22" i="13"/>
  <c r="AN22" i="13"/>
  <c r="AO22" i="13"/>
  <c r="AP22" i="13"/>
  <c r="AQ22" i="13"/>
  <c r="AR22" i="13"/>
  <c r="AS22" i="13"/>
  <c r="AT22" i="13"/>
  <c r="AU22" i="13"/>
  <c r="AV22" i="13"/>
  <c r="AW22" i="13"/>
  <c r="AX22" i="13"/>
  <c r="AY22" i="13"/>
  <c r="AZ22" i="13"/>
  <c r="BA22" i="13"/>
  <c r="BB22" i="13"/>
  <c r="BC22" i="13"/>
  <c r="BD22" i="13"/>
  <c r="BE22" i="13"/>
  <c r="BF22" i="13"/>
  <c r="BG22" i="13"/>
  <c r="BH22" i="13"/>
  <c r="BI22" i="13"/>
  <c r="BJ22" i="13"/>
  <c r="BK22" i="13"/>
  <c r="BL22" i="13"/>
  <c r="BM22" i="13"/>
  <c r="BN22" i="13"/>
  <c r="BO22" i="13"/>
  <c r="A23" i="13"/>
  <c r="B23" i="13"/>
  <c r="C23" i="13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AM23" i="13"/>
  <c r="AN23" i="13"/>
  <c r="AO23" i="13"/>
  <c r="AP23" i="13"/>
  <c r="AQ23" i="13"/>
  <c r="AR23" i="13"/>
  <c r="AS23" i="13"/>
  <c r="AT23" i="13"/>
  <c r="AU23" i="13"/>
  <c r="AV23" i="13"/>
  <c r="AW23" i="13"/>
  <c r="AX23" i="13"/>
  <c r="AY23" i="13"/>
  <c r="AZ23" i="13"/>
  <c r="BA23" i="13"/>
  <c r="BB23" i="13"/>
  <c r="BC23" i="13"/>
  <c r="BD23" i="13"/>
  <c r="BE23" i="13"/>
  <c r="BF23" i="13"/>
  <c r="BG23" i="13"/>
  <c r="BH23" i="13"/>
  <c r="BI23" i="13"/>
  <c r="BJ23" i="13"/>
  <c r="BK23" i="13"/>
  <c r="BL23" i="13"/>
  <c r="BM23" i="13"/>
  <c r="BN23" i="13"/>
  <c r="BO23" i="13"/>
  <c r="A24" i="13"/>
  <c r="B24" i="13"/>
  <c r="C24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AH24" i="13"/>
  <c r="AI24" i="13"/>
  <c r="AJ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BB24" i="13"/>
  <c r="BC24" i="13"/>
  <c r="BD24" i="13"/>
  <c r="BE24" i="13"/>
  <c r="BF24" i="13"/>
  <c r="BG24" i="13"/>
  <c r="BH24" i="13"/>
  <c r="BI24" i="13"/>
  <c r="BJ24" i="13"/>
  <c r="BK24" i="13"/>
  <c r="BL24" i="13"/>
  <c r="BM24" i="13"/>
  <c r="BN24" i="13"/>
  <c r="BO24" i="13"/>
  <c r="A25" i="13"/>
  <c r="B25" i="13"/>
  <c r="C25" i="13"/>
  <c r="D25" i="13"/>
  <c r="E25" i="13"/>
  <c r="F25" i="13"/>
  <c r="G25" i="13"/>
  <c r="H25" i="13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AC25" i="13"/>
  <c r="AD25" i="13"/>
  <c r="AE25" i="13"/>
  <c r="AF25" i="13"/>
  <c r="AG25" i="13"/>
  <c r="AH25" i="13"/>
  <c r="AI25" i="13"/>
  <c r="AJ25" i="13"/>
  <c r="AK25" i="13"/>
  <c r="AL25" i="13"/>
  <c r="AM25" i="13"/>
  <c r="AN25" i="13"/>
  <c r="AO25" i="13"/>
  <c r="AP25" i="13"/>
  <c r="AQ25" i="13"/>
  <c r="AR25" i="13"/>
  <c r="AS25" i="13"/>
  <c r="AT25" i="13"/>
  <c r="AU25" i="13"/>
  <c r="AV25" i="13"/>
  <c r="AW25" i="13"/>
  <c r="AX25" i="13"/>
  <c r="AY25" i="13"/>
  <c r="AZ25" i="13"/>
  <c r="BA25" i="13"/>
  <c r="BB25" i="13"/>
  <c r="BC25" i="13"/>
  <c r="BD25" i="13"/>
  <c r="BE25" i="13"/>
  <c r="BF25" i="13"/>
  <c r="BG25" i="13"/>
  <c r="BH25" i="13"/>
  <c r="BI25" i="13"/>
  <c r="BJ25" i="13"/>
  <c r="BK25" i="13"/>
  <c r="BL25" i="13"/>
  <c r="BM25" i="13"/>
  <c r="BN25" i="13"/>
  <c r="BO25" i="13"/>
  <c r="A26" i="13"/>
  <c r="B26" i="13"/>
  <c r="C26" i="13"/>
  <c r="D26" i="13"/>
  <c r="E26" i="13"/>
  <c r="F26" i="13"/>
  <c r="G26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AC26" i="13"/>
  <c r="AD26" i="13"/>
  <c r="AE26" i="13"/>
  <c r="AF26" i="13"/>
  <c r="AG26" i="13"/>
  <c r="AH26" i="13"/>
  <c r="AI26" i="13"/>
  <c r="AJ26" i="13"/>
  <c r="AK26" i="13"/>
  <c r="AL26" i="13"/>
  <c r="AM26" i="13"/>
  <c r="AN26" i="13"/>
  <c r="AO26" i="13"/>
  <c r="AP26" i="13"/>
  <c r="AQ26" i="13"/>
  <c r="AR26" i="13"/>
  <c r="AS26" i="13"/>
  <c r="AT26" i="13"/>
  <c r="AU26" i="13"/>
  <c r="AV26" i="13"/>
  <c r="AW26" i="13"/>
  <c r="AX26" i="13"/>
  <c r="AY26" i="13"/>
  <c r="AZ26" i="13"/>
  <c r="BA26" i="13"/>
  <c r="BB26" i="13"/>
  <c r="BC26" i="13"/>
  <c r="BD26" i="13"/>
  <c r="BE26" i="13"/>
  <c r="BF26" i="13"/>
  <c r="BG26" i="13"/>
  <c r="BH26" i="13"/>
  <c r="BI26" i="13"/>
  <c r="BJ26" i="13"/>
  <c r="BK26" i="13"/>
  <c r="BL26" i="13"/>
  <c r="BM26" i="13"/>
  <c r="BN26" i="13"/>
  <c r="BO26" i="13"/>
  <c r="A27" i="13"/>
  <c r="B27" i="13"/>
  <c r="C27" i="13"/>
  <c r="D27" i="13"/>
  <c r="E27" i="13"/>
  <c r="F27" i="13"/>
  <c r="G27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AC27" i="13"/>
  <c r="AD27" i="13"/>
  <c r="AE27" i="13"/>
  <c r="AF27" i="13"/>
  <c r="AG27" i="13"/>
  <c r="AH27" i="13"/>
  <c r="AI27" i="13"/>
  <c r="AJ27" i="13"/>
  <c r="AK27" i="13"/>
  <c r="AL27" i="13"/>
  <c r="AM27" i="13"/>
  <c r="AN27" i="13"/>
  <c r="AO27" i="13"/>
  <c r="AP27" i="13"/>
  <c r="AQ27" i="13"/>
  <c r="AR27" i="13"/>
  <c r="AS27" i="13"/>
  <c r="AT27" i="13"/>
  <c r="AU27" i="13"/>
  <c r="AV27" i="13"/>
  <c r="AW27" i="13"/>
  <c r="AX27" i="13"/>
  <c r="AY27" i="13"/>
  <c r="AZ27" i="13"/>
  <c r="BA27" i="13"/>
  <c r="BB27" i="13"/>
  <c r="BC27" i="13"/>
  <c r="BD27" i="13"/>
  <c r="BE27" i="13"/>
  <c r="BF27" i="13"/>
  <c r="BG27" i="13"/>
  <c r="BH27" i="13"/>
  <c r="BI27" i="13"/>
  <c r="BJ27" i="13"/>
  <c r="BK27" i="13"/>
  <c r="BL27" i="13"/>
  <c r="BM27" i="13"/>
  <c r="BN27" i="13"/>
  <c r="BO27" i="13"/>
  <c r="A28" i="13"/>
  <c r="B28" i="13"/>
  <c r="C28" i="13"/>
  <c r="D28" i="13"/>
  <c r="E28" i="13"/>
  <c r="F28" i="13"/>
  <c r="G28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AC28" i="13"/>
  <c r="AD28" i="13"/>
  <c r="AE28" i="13"/>
  <c r="AF28" i="13"/>
  <c r="AG28" i="13"/>
  <c r="AH28" i="13"/>
  <c r="AI28" i="13"/>
  <c r="AJ28" i="13"/>
  <c r="AK28" i="13"/>
  <c r="AL28" i="13"/>
  <c r="AM28" i="13"/>
  <c r="AN28" i="13"/>
  <c r="AO28" i="13"/>
  <c r="AP28" i="13"/>
  <c r="AQ28" i="13"/>
  <c r="AR28" i="13"/>
  <c r="AS28" i="13"/>
  <c r="AT28" i="13"/>
  <c r="AU28" i="13"/>
  <c r="AV28" i="13"/>
  <c r="AW28" i="13"/>
  <c r="AX28" i="13"/>
  <c r="AY28" i="13"/>
  <c r="AZ28" i="13"/>
  <c r="BA28" i="13"/>
  <c r="BB28" i="13"/>
  <c r="BC28" i="13"/>
  <c r="BD28" i="13"/>
  <c r="BE28" i="13"/>
  <c r="BF28" i="13"/>
  <c r="BG28" i="13"/>
  <c r="BH28" i="13"/>
  <c r="BI28" i="13"/>
  <c r="BJ28" i="13"/>
  <c r="BK28" i="13"/>
  <c r="BL28" i="13"/>
  <c r="BM28" i="13"/>
  <c r="BN28" i="13"/>
  <c r="BO28" i="13"/>
  <c r="A29" i="13"/>
  <c r="B29" i="13"/>
  <c r="C29" i="13"/>
  <c r="D29" i="13"/>
  <c r="E29" i="13"/>
  <c r="F29" i="13"/>
  <c r="G29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AC29" i="13"/>
  <c r="AD29" i="13"/>
  <c r="AE29" i="13"/>
  <c r="AF29" i="13"/>
  <c r="AG29" i="13"/>
  <c r="AH29" i="13"/>
  <c r="AI29" i="13"/>
  <c r="AJ29" i="13"/>
  <c r="AK29" i="13"/>
  <c r="AL29" i="13"/>
  <c r="AM29" i="13"/>
  <c r="AN29" i="13"/>
  <c r="AO29" i="13"/>
  <c r="AP29" i="13"/>
  <c r="AQ29" i="13"/>
  <c r="AR29" i="13"/>
  <c r="AS29" i="13"/>
  <c r="AT29" i="13"/>
  <c r="AU29" i="13"/>
  <c r="AV29" i="13"/>
  <c r="AW29" i="13"/>
  <c r="AX29" i="13"/>
  <c r="AY29" i="13"/>
  <c r="AZ29" i="13"/>
  <c r="BA29" i="13"/>
  <c r="BB29" i="13"/>
  <c r="BC29" i="13"/>
  <c r="BD29" i="13"/>
  <c r="BE29" i="13"/>
  <c r="BF29" i="13"/>
  <c r="BG29" i="13"/>
  <c r="BH29" i="13"/>
  <c r="BI29" i="13"/>
  <c r="BJ29" i="13"/>
  <c r="BK29" i="13"/>
  <c r="BL29" i="13"/>
  <c r="BM29" i="13"/>
  <c r="BN29" i="13"/>
  <c r="BO29" i="13"/>
  <c r="A30" i="13"/>
  <c r="B30" i="13"/>
  <c r="C30" i="13"/>
  <c r="D30" i="13"/>
  <c r="E30" i="13"/>
  <c r="F30" i="13"/>
  <c r="G30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AC30" i="13"/>
  <c r="AD30" i="13"/>
  <c r="AE30" i="13"/>
  <c r="AF30" i="13"/>
  <c r="AG30" i="13"/>
  <c r="AH30" i="13"/>
  <c r="AI30" i="13"/>
  <c r="AJ30" i="13"/>
  <c r="AK30" i="13"/>
  <c r="AL30" i="13"/>
  <c r="AM30" i="13"/>
  <c r="AN30" i="13"/>
  <c r="AO30" i="13"/>
  <c r="AP30" i="13"/>
  <c r="AQ30" i="13"/>
  <c r="AR30" i="13"/>
  <c r="AS30" i="13"/>
  <c r="AT30" i="13"/>
  <c r="AU30" i="13"/>
  <c r="AV30" i="13"/>
  <c r="AW30" i="13"/>
  <c r="AX30" i="13"/>
  <c r="AY30" i="13"/>
  <c r="AZ30" i="13"/>
  <c r="BA30" i="13"/>
  <c r="BB30" i="13"/>
  <c r="BC30" i="13"/>
  <c r="BD30" i="13"/>
  <c r="BE30" i="13"/>
  <c r="BF30" i="13"/>
  <c r="BG30" i="13"/>
  <c r="BH30" i="13"/>
  <c r="BI30" i="13"/>
  <c r="BJ30" i="13"/>
  <c r="BK30" i="13"/>
  <c r="BL30" i="13"/>
  <c r="BM30" i="13"/>
  <c r="BN30" i="13"/>
  <c r="BO30" i="13"/>
  <c r="A31" i="13"/>
  <c r="B31" i="13"/>
  <c r="C31" i="13"/>
  <c r="D31" i="13"/>
  <c r="E31" i="13"/>
  <c r="F31" i="13"/>
  <c r="G31" i="13"/>
  <c r="H31" i="13"/>
  <c r="I31" i="13"/>
  <c r="J31" i="13"/>
  <c r="K31" i="13"/>
  <c r="L31" i="13"/>
  <c r="M31" i="13"/>
  <c r="N31" i="13"/>
  <c r="O31" i="13"/>
  <c r="P31" i="13"/>
  <c r="Q31" i="13"/>
  <c r="R31" i="13"/>
  <c r="S31" i="13"/>
  <c r="T31" i="13"/>
  <c r="U31" i="13"/>
  <c r="V31" i="13"/>
  <c r="W31" i="13"/>
  <c r="X31" i="13"/>
  <c r="Y31" i="13"/>
  <c r="Z31" i="13"/>
  <c r="AA31" i="13"/>
  <c r="AB31" i="13"/>
  <c r="AC31" i="13"/>
  <c r="AD31" i="13"/>
  <c r="AE31" i="13"/>
  <c r="AF31" i="13"/>
  <c r="AG31" i="13"/>
  <c r="AH31" i="13"/>
  <c r="AI31" i="13"/>
  <c r="AJ31" i="13"/>
  <c r="AK31" i="13"/>
  <c r="AL31" i="13"/>
  <c r="AM31" i="13"/>
  <c r="AN31" i="13"/>
  <c r="AO31" i="13"/>
  <c r="AP31" i="13"/>
  <c r="AQ31" i="13"/>
  <c r="AR31" i="13"/>
  <c r="AS31" i="13"/>
  <c r="AT31" i="13"/>
  <c r="AU31" i="13"/>
  <c r="AV31" i="13"/>
  <c r="AW31" i="13"/>
  <c r="AX31" i="13"/>
  <c r="AY31" i="13"/>
  <c r="AZ31" i="13"/>
  <c r="BA31" i="13"/>
  <c r="BB31" i="13"/>
  <c r="BC31" i="13"/>
  <c r="BD31" i="13"/>
  <c r="BE31" i="13"/>
  <c r="BF31" i="13"/>
  <c r="BG31" i="13"/>
  <c r="BH31" i="13"/>
  <c r="BI31" i="13"/>
  <c r="BJ31" i="13"/>
  <c r="BK31" i="13"/>
  <c r="BL31" i="13"/>
  <c r="BM31" i="13"/>
  <c r="BN31" i="13"/>
  <c r="BO31" i="13"/>
  <c r="A32" i="13"/>
  <c r="B32" i="13"/>
  <c r="C32" i="13"/>
  <c r="D32" i="13"/>
  <c r="E32" i="13"/>
  <c r="F32" i="13"/>
  <c r="G32" i="13"/>
  <c r="H32" i="13"/>
  <c r="I32" i="13"/>
  <c r="J32" i="13"/>
  <c r="K32" i="13"/>
  <c r="L32" i="13"/>
  <c r="M32" i="13"/>
  <c r="N32" i="13"/>
  <c r="O32" i="13"/>
  <c r="P32" i="13"/>
  <c r="Q32" i="13"/>
  <c r="R32" i="13"/>
  <c r="S32" i="13"/>
  <c r="T32" i="13"/>
  <c r="U32" i="13"/>
  <c r="V32" i="13"/>
  <c r="W32" i="13"/>
  <c r="X32" i="13"/>
  <c r="Y32" i="13"/>
  <c r="Z32" i="13"/>
  <c r="AA32" i="13"/>
  <c r="AB32" i="13"/>
  <c r="AC32" i="13"/>
  <c r="AD32" i="13"/>
  <c r="AE32" i="13"/>
  <c r="AF32" i="13"/>
  <c r="AG32" i="13"/>
  <c r="AH32" i="13"/>
  <c r="AI32" i="13"/>
  <c r="AJ32" i="13"/>
  <c r="AK32" i="13"/>
  <c r="AL32" i="13"/>
  <c r="AM32" i="13"/>
  <c r="AN32" i="13"/>
  <c r="AO32" i="13"/>
  <c r="AP32" i="13"/>
  <c r="AQ32" i="13"/>
  <c r="AR32" i="13"/>
  <c r="AS32" i="13"/>
  <c r="AT32" i="13"/>
  <c r="AU32" i="13"/>
  <c r="AV32" i="13"/>
  <c r="AW32" i="13"/>
  <c r="AX32" i="13"/>
  <c r="AY32" i="13"/>
  <c r="AZ32" i="13"/>
  <c r="BA32" i="13"/>
  <c r="BB32" i="13"/>
  <c r="BC32" i="13"/>
  <c r="BD32" i="13"/>
  <c r="BE32" i="13"/>
  <c r="BF32" i="13"/>
  <c r="BG32" i="13"/>
  <c r="BH32" i="13"/>
  <c r="BI32" i="13"/>
  <c r="BJ32" i="13"/>
  <c r="BK32" i="13"/>
  <c r="BL32" i="13"/>
  <c r="BM32" i="13"/>
  <c r="BN32" i="13"/>
  <c r="BO32" i="13"/>
  <c r="A33" i="13"/>
  <c r="B33" i="13"/>
  <c r="C33" i="13"/>
  <c r="D33" i="13"/>
  <c r="E33" i="13"/>
  <c r="F33" i="13"/>
  <c r="G33" i="13"/>
  <c r="H33" i="13"/>
  <c r="I33" i="13"/>
  <c r="J33" i="13"/>
  <c r="K33" i="13"/>
  <c r="L33" i="13"/>
  <c r="M33" i="13"/>
  <c r="N33" i="13"/>
  <c r="O33" i="13"/>
  <c r="P33" i="13"/>
  <c r="Q33" i="13"/>
  <c r="R33" i="13"/>
  <c r="S33" i="13"/>
  <c r="T33" i="13"/>
  <c r="U33" i="13"/>
  <c r="V33" i="13"/>
  <c r="W33" i="13"/>
  <c r="X33" i="13"/>
  <c r="Y33" i="13"/>
  <c r="Z33" i="13"/>
  <c r="AA33" i="13"/>
  <c r="AB33" i="13"/>
  <c r="AC33" i="13"/>
  <c r="AD33" i="13"/>
  <c r="AE33" i="13"/>
  <c r="AF33" i="13"/>
  <c r="AG33" i="13"/>
  <c r="AH33" i="13"/>
  <c r="AI33" i="13"/>
  <c r="AJ33" i="13"/>
  <c r="AK33" i="13"/>
  <c r="AL33" i="13"/>
  <c r="AM33" i="13"/>
  <c r="AN33" i="13"/>
  <c r="AO33" i="13"/>
  <c r="AP33" i="13"/>
  <c r="AQ33" i="13"/>
  <c r="AR33" i="13"/>
  <c r="AS33" i="13"/>
  <c r="AT33" i="13"/>
  <c r="AU33" i="13"/>
  <c r="AV33" i="13"/>
  <c r="AW33" i="13"/>
  <c r="AX33" i="13"/>
  <c r="AY33" i="13"/>
  <c r="AZ33" i="13"/>
  <c r="BA33" i="13"/>
  <c r="BB33" i="13"/>
  <c r="BC33" i="13"/>
  <c r="BD33" i="13"/>
  <c r="BE33" i="13"/>
  <c r="BF33" i="13"/>
  <c r="BG33" i="13"/>
  <c r="BH33" i="13"/>
  <c r="BI33" i="13"/>
  <c r="BJ33" i="13"/>
  <c r="BK33" i="13"/>
  <c r="BL33" i="13"/>
  <c r="BM33" i="13"/>
  <c r="BN33" i="13"/>
  <c r="BO33" i="13"/>
  <c r="A34" i="13"/>
  <c r="B34" i="13"/>
  <c r="C34" i="13"/>
  <c r="D34" i="13"/>
  <c r="E34" i="13"/>
  <c r="F34" i="13"/>
  <c r="G34" i="13"/>
  <c r="H34" i="13"/>
  <c r="I34" i="13"/>
  <c r="J34" i="13"/>
  <c r="K34" i="13"/>
  <c r="L34" i="13"/>
  <c r="M34" i="13"/>
  <c r="N34" i="13"/>
  <c r="O34" i="13"/>
  <c r="P34" i="13"/>
  <c r="Q34" i="13"/>
  <c r="R34" i="13"/>
  <c r="S34" i="13"/>
  <c r="T34" i="13"/>
  <c r="U34" i="13"/>
  <c r="V34" i="13"/>
  <c r="W34" i="13"/>
  <c r="X34" i="13"/>
  <c r="Y34" i="13"/>
  <c r="Z34" i="13"/>
  <c r="AA34" i="13"/>
  <c r="AB34" i="13"/>
  <c r="AC34" i="13"/>
  <c r="AD34" i="13"/>
  <c r="AE34" i="13"/>
  <c r="AF34" i="13"/>
  <c r="AG34" i="13"/>
  <c r="AH34" i="13"/>
  <c r="AI34" i="13"/>
  <c r="AJ34" i="13"/>
  <c r="AK34" i="13"/>
  <c r="AL34" i="13"/>
  <c r="AM34" i="13"/>
  <c r="AN34" i="13"/>
  <c r="AO34" i="13"/>
  <c r="AP34" i="13"/>
  <c r="AQ34" i="13"/>
  <c r="AR34" i="13"/>
  <c r="AS34" i="13"/>
  <c r="AT34" i="13"/>
  <c r="AU34" i="13"/>
  <c r="AV34" i="13"/>
  <c r="AW34" i="13"/>
  <c r="AX34" i="13"/>
  <c r="AY34" i="13"/>
  <c r="AZ34" i="13"/>
  <c r="BA34" i="13"/>
  <c r="BB34" i="13"/>
  <c r="BC34" i="13"/>
  <c r="BD34" i="13"/>
  <c r="BE34" i="13"/>
  <c r="BF34" i="13"/>
  <c r="BG34" i="13"/>
  <c r="BH34" i="13"/>
  <c r="BI34" i="13"/>
  <c r="BJ34" i="13"/>
  <c r="BK34" i="13"/>
  <c r="BL34" i="13"/>
  <c r="BM34" i="13"/>
  <c r="BN34" i="13"/>
  <c r="BO34" i="13"/>
  <c r="A35" i="13"/>
  <c r="B35" i="13"/>
  <c r="C35" i="13"/>
  <c r="D35" i="13"/>
  <c r="E35" i="13"/>
  <c r="F35" i="13"/>
  <c r="G35" i="13"/>
  <c r="H35" i="13"/>
  <c r="I35" i="13"/>
  <c r="J35" i="13"/>
  <c r="K35" i="13"/>
  <c r="L35" i="13"/>
  <c r="M35" i="13"/>
  <c r="N35" i="13"/>
  <c r="O35" i="13"/>
  <c r="P35" i="13"/>
  <c r="Q35" i="13"/>
  <c r="R35" i="13"/>
  <c r="S35" i="13"/>
  <c r="T35" i="13"/>
  <c r="U35" i="13"/>
  <c r="V35" i="13"/>
  <c r="W35" i="13"/>
  <c r="X35" i="13"/>
  <c r="Y35" i="13"/>
  <c r="Z35" i="13"/>
  <c r="AA35" i="13"/>
  <c r="AB35" i="13"/>
  <c r="AC35" i="13"/>
  <c r="AD35" i="13"/>
  <c r="AE35" i="13"/>
  <c r="AF35" i="13"/>
  <c r="AG35" i="13"/>
  <c r="AH35" i="13"/>
  <c r="AI35" i="13"/>
  <c r="AJ35" i="13"/>
  <c r="AK35" i="13"/>
  <c r="AL35" i="13"/>
  <c r="AM35" i="13"/>
  <c r="AN35" i="13"/>
  <c r="AO35" i="13"/>
  <c r="AP35" i="13"/>
  <c r="AQ35" i="13"/>
  <c r="AR35" i="13"/>
  <c r="AS35" i="13"/>
  <c r="AT35" i="13"/>
  <c r="AU35" i="13"/>
  <c r="AV35" i="13"/>
  <c r="AW35" i="13"/>
  <c r="AX35" i="13"/>
  <c r="AY35" i="13"/>
  <c r="AZ35" i="13"/>
  <c r="BA35" i="13"/>
  <c r="BB35" i="13"/>
  <c r="BC35" i="13"/>
  <c r="BD35" i="13"/>
  <c r="BE35" i="13"/>
  <c r="BF35" i="13"/>
  <c r="BG35" i="13"/>
  <c r="BH35" i="13"/>
  <c r="BI35" i="13"/>
  <c r="BJ35" i="13"/>
  <c r="BK35" i="13"/>
  <c r="BL35" i="13"/>
  <c r="BM35" i="13"/>
  <c r="BN35" i="13"/>
  <c r="BO35" i="13"/>
  <c r="A36" i="13"/>
  <c r="B36" i="13"/>
  <c r="C36" i="13"/>
  <c r="D36" i="13"/>
  <c r="E36" i="13"/>
  <c r="F36" i="13"/>
  <c r="G36" i="13"/>
  <c r="H36" i="13"/>
  <c r="I36" i="13"/>
  <c r="J36" i="13"/>
  <c r="K36" i="13"/>
  <c r="L36" i="13"/>
  <c r="M36" i="13"/>
  <c r="N36" i="13"/>
  <c r="O36" i="13"/>
  <c r="P36" i="13"/>
  <c r="Q36" i="13"/>
  <c r="R36" i="13"/>
  <c r="S36" i="13"/>
  <c r="T36" i="13"/>
  <c r="U36" i="13"/>
  <c r="V36" i="13"/>
  <c r="W36" i="13"/>
  <c r="X36" i="13"/>
  <c r="Y36" i="13"/>
  <c r="Z36" i="13"/>
  <c r="AA36" i="13"/>
  <c r="AB36" i="13"/>
  <c r="AC36" i="13"/>
  <c r="AD36" i="13"/>
  <c r="AE36" i="13"/>
  <c r="AF36" i="13"/>
  <c r="AG36" i="13"/>
  <c r="AH36" i="13"/>
  <c r="AI36" i="13"/>
  <c r="AJ36" i="13"/>
  <c r="AK36" i="13"/>
  <c r="AL36" i="13"/>
  <c r="AM36" i="13"/>
  <c r="AN36" i="13"/>
  <c r="AO36" i="13"/>
  <c r="AP36" i="13"/>
  <c r="AQ36" i="13"/>
  <c r="AR36" i="13"/>
  <c r="AS36" i="13"/>
  <c r="AT36" i="13"/>
  <c r="AU36" i="13"/>
  <c r="AV36" i="13"/>
  <c r="AW36" i="13"/>
  <c r="AX36" i="13"/>
  <c r="AY36" i="13"/>
  <c r="AZ36" i="13"/>
  <c r="BA36" i="13"/>
  <c r="BB36" i="13"/>
  <c r="BC36" i="13"/>
  <c r="BD36" i="13"/>
  <c r="BE36" i="13"/>
  <c r="BF36" i="13"/>
  <c r="BG36" i="13"/>
  <c r="BH36" i="13"/>
  <c r="BI36" i="13"/>
  <c r="BJ36" i="13"/>
  <c r="BK36" i="13"/>
  <c r="BL36" i="13"/>
  <c r="BM36" i="13"/>
  <c r="BN36" i="13"/>
  <c r="BO36" i="13"/>
  <c r="A37" i="13"/>
  <c r="B37" i="13"/>
  <c r="C37" i="13"/>
  <c r="D37" i="13"/>
  <c r="E37" i="13"/>
  <c r="F37" i="13"/>
  <c r="G37" i="13"/>
  <c r="H37" i="13"/>
  <c r="I37" i="13"/>
  <c r="J37" i="13"/>
  <c r="K37" i="13"/>
  <c r="L37" i="13"/>
  <c r="M37" i="13"/>
  <c r="N37" i="13"/>
  <c r="O37" i="13"/>
  <c r="P37" i="13"/>
  <c r="Q37" i="13"/>
  <c r="R37" i="13"/>
  <c r="S37" i="13"/>
  <c r="T37" i="13"/>
  <c r="U37" i="13"/>
  <c r="V37" i="13"/>
  <c r="W37" i="13"/>
  <c r="X37" i="13"/>
  <c r="Y37" i="13"/>
  <c r="Z37" i="13"/>
  <c r="AA37" i="13"/>
  <c r="AB37" i="13"/>
  <c r="AC37" i="13"/>
  <c r="AD37" i="13"/>
  <c r="AE37" i="13"/>
  <c r="AF37" i="13"/>
  <c r="AG37" i="13"/>
  <c r="AH37" i="13"/>
  <c r="AI37" i="13"/>
  <c r="AJ37" i="13"/>
  <c r="AK37" i="13"/>
  <c r="AL37" i="13"/>
  <c r="AM37" i="13"/>
  <c r="AN37" i="13"/>
  <c r="AO37" i="13"/>
  <c r="AP37" i="13"/>
  <c r="AQ37" i="13"/>
  <c r="AR37" i="13"/>
  <c r="AS37" i="13"/>
  <c r="AT37" i="13"/>
  <c r="AU37" i="13"/>
  <c r="AV37" i="13"/>
  <c r="AW37" i="13"/>
  <c r="AX37" i="13"/>
  <c r="AY37" i="13"/>
  <c r="AZ37" i="13"/>
  <c r="BA37" i="13"/>
  <c r="BB37" i="13"/>
  <c r="BC37" i="13"/>
  <c r="BD37" i="13"/>
  <c r="BE37" i="13"/>
  <c r="BF37" i="13"/>
  <c r="BG37" i="13"/>
  <c r="BH37" i="13"/>
  <c r="BI37" i="13"/>
  <c r="BJ37" i="13"/>
  <c r="BK37" i="13"/>
  <c r="BL37" i="13"/>
  <c r="BM37" i="13"/>
  <c r="BN37" i="13"/>
  <c r="BO37" i="13"/>
  <c r="A38" i="13"/>
  <c r="B38" i="13"/>
  <c r="C38" i="13"/>
  <c r="D38" i="13"/>
  <c r="E38" i="13"/>
  <c r="F38" i="13"/>
  <c r="G38" i="13"/>
  <c r="H38" i="13"/>
  <c r="I38" i="13"/>
  <c r="J38" i="13"/>
  <c r="K38" i="13"/>
  <c r="L38" i="13"/>
  <c r="M38" i="13"/>
  <c r="N38" i="13"/>
  <c r="O38" i="13"/>
  <c r="P38" i="13"/>
  <c r="Q38" i="13"/>
  <c r="R38" i="13"/>
  <c r="S38" i="13"/>
  <c r="T38" i="13"/>
  <c r="U38" i="13"/>
  <c r="V38" i="13"/>
  <c r="W38" i="13"/>
  <c r="X38" i="13"/>
  <c r="Y38" i="13"/>
  <c r="Z38" i="13"/>
  <c r="AA38" i="13"/>
  <c r="AB38" i="13"/>
  <c r="AC38" i="13"/>
  <c r="AD38" i="13"/>
  <c r="AE38" i="13"/>
  <c r="AF38" i="13"/>
  <c r="AG38" i="13"/>
  <c r="AH38" i="13"/>
  <c r="AI38" i="13"/>
  <c r="AJ38" i="13"/>
  <c r="AK38" i="13"/>
  <c r="AL38" i="13"/>
  <c r="AM38" i="13"/>
  <c r="AN38" i="13"/>
  <c r="AO38" i="13"/>
  <c r="AP38" i="13"/>
  <c r="AQ38" i="13"/>
  <c r="AR38" i="13"/>
  <c r="AS38" i="13"/>
  <c r="AT38" i="13"/>
  <c r="AU38" i="13"/>
  <c r="AV38" i="13"/>
  <c r="AW38" i="13"/>
  <c r="AX38" i="13"/>
  <c r="AY38" i="13"/>
  <c r="AZ38" i="13"/>
  <c r="BA38" i="13"/>
  <c r="BB38" i="13"/>
  <c r="BC38" i="13"/>
  <c r="BD38" i="13"/>
  <c r="BE38" i="13"/>
  <c r="BF38" i="13"/>
  <c r="BG38" i="13"/>
  <c r="BH38" i="13"/>
  <c r="BI38" i="13"/>
  <c r="BJ38" i="13"/>
  <c r="BK38" i="13"/>
  <c r="BL38" i="13"/>
  <c r="BM38" i="13"/>
  <c r="BN38" i="13"/>
  <c r="BO38" i="13"/>
  <c r="A39" i="13"/>
  <c r="B39" i="13"/>
  <c r="C39" i="13"/>
  <c r="D39" i="13"/>
  <c r="E39" i="13"/>
  <c r="F39" i="13"/>
  <c r="G39" i="13"/>
  <c r="H39" i="13"/>
  <c r="I39" i="13"/>
  <c r="J39" i="13"/>
  <c r="K39" i="13"/>
  <c r="L39" i="13"/>
  <c r="M39" i="13"/>
  <c r="N39" i="13"/>
  <c r="O39" i="13"/>
  <c r="P39" i="13"/>
  <c r="Q39" i="13"/>
  <c r="R39" i="13"/>
  <c r="S39" i="13"/>
  <c r="T39" i="13"/>
  <c r="U39" i="13"/>
  <c r="V39" i="13"/>
  <c r="W39" i="13"/>
  <c r="X39" i="13"/>
  <c r="Y39" i="13"/>
  <c r="Z39" i="13"/>
  <c r="AA39" i="13"/>
  <c r="AB39" i="13"/>
  <c r="AC39" i="13"/>
  <c r="AD39" i="13"/>
  <c r="AE39" i="13"/>
  <c r="AF39" i="13"/>
  <c r="AG39" i="13"/>
  <c r="AH39" i="13"/>
  <c r="AI39" i="13"/>
  <c r="AJ39" i="13"/>
  <c r="AK39" i="13"/>
  <c r="AL39" i="13"/>
  <c r="AM39" i="13"/>
  <c r="AN39" i="13"/>
  <c r="AO39" i="13"/>
  <c r="AP39" i="13"/>
  <c r="AQ39" i="13"/>
  <c r="AR39" i="13"/>
  <c r="AS39" i="13"/>
  <c r="AT39" i="13"/>
  <c r="AU39" i="13"/>
  <c r="AV39" i="13"/>
  <c r="AW39" i="13"/>
  <c r="AX39" i="13"/>
  <c r="AY39" i="13"/>
  <c r="AZ39" i="13"/>
  <c r="BA39" i="13"/>
  <c r="BB39" i="13"/>
  <c r="BC39" i="13"/>
  <c r="BD39" i="13"/>
  <c r="BE39" i="13"/>
  <c r="BF39" i="13"/>
  <c r="BG39" i="13"/>
  <c r="BH39" i="13"/>
  <c r="BI39" i="13"/>
  <c r="BJ39" i="13"/>
  <c r="BK39" i="13"/>
  <c r="BL39" i="13"/>
  <c r="BM39" i="13"/>
  <c r="BN39" i="13"/>
  <c r="BO39" i="13"/>
  <c r="A40" i="13"/>
  <c r="B40" i="13"/>
  <c r="C40" i="13"/>
  <c r="D40" i="13"/>
  <c r="E40" i="13"/>
  <c r="F40" i="13"/>
  <c r="G40" i="13"/>
  <c r="H40" i="13"/>
  <c r="I40" i="13"/>
  <c r="J40" i="13"/>
  <c r="K40" i="13"/>
  <c r="L40" i="13"/>
  <c r="M40" i="13"/>
  <c r="N40" i="13"/>
  <c r="O40" i="13"/>
  <c r="P40" i="13"/>
  <c r="Q40" i="13"/>
  <c r="R40" i="13"/>
  <c r="S40" i="13"/>
  <c r="T40" i="13"/>
  <c r="U40" i="13"/>
  <c r="V40" i="13"/>
  <c r="W40" i="13"/>
  <c r="X40" i="13"/>
  <c r="Y40" i="13"/>
  <c r="Z40" i="13"/>
  <c r="AA40" i="13"/>
  <c r="AB40" i="13"/>
  <c r="AC40" i="13"/>
  <c r="AD40" i="13"/>
  <c r="AE40" i="13"/>
  <c r="AF40" i="13"/>
  <c r="AG40" i="13"/>
  <c r="AH40" i="13"/>
  <c r="AI40" i="13"/>
  <c r="AJ40" i="13"/>
  <c r="AK40" i="13"/>
  <c r="AL40" i="13"/>
  <c r="AM40" i="13"/>
  <c r="AN40" i="13"/>
  <c r="AO40" i="13"/>
  <c r="AP40" i="13"/>
  <c r="AQ40" i="13"/>
  <c r="AR40" i="13"/>
  <c r="AS40" i="13"/>
  <c r="AT40" i="13"/>
  <c r="AU40" i="13"/>
  <c r="AV40" i="13"/>
  <c r="AW40" i="13"/>
  <c r="AX40" i="13"/>
  <c r="AY40" i="13"/>
  <c r="AZ40" i="13"/>
  <c r="BA40" i="13"/>
  <c r="BB40" i="13"/>
  <c r="BC40" i="13"/>
  <c r="BD40" i="13"/>
  <c r="BE40" i="13"/>
  <c r="BF40" i="13"/>
  <c r="BG40" i="13"/>
  <c r="BH40" i="13"/>
  <c r="BI40" i="13"/>
  <c r="BJ40" i="13"/>
  <c r="BK40" i="13"/>
  <c r="BL40" i="13"/>
  <c r="BM40" i="13"/>
  <c r="BN40" i="13"/>
  <c r="BO40" i="13"/>
  <c r="A41" i="13"/>
  <c r="B41" i="13"/>
  <c r="C41" i="13"/>
  <c r="D41" i="13"/>
  <c r="E41" i="13"/>
  <c r="F41" i="13"/>
  <c r="G41" i="13"/>
  <c r="H41" i="13"/>
  <c r="I41" i="13"/>
  <c r="J41" i="13"/>
  <c r="K41" i="13"/>
  <c r="L41" i="13"/>
  <c r="M41" i="13"/>
  <c r="N41" i="13"/>
  <c r="O41" i="13"/>
  <c r="P41" i="13"/>
  <c r="Q41" i="13"/>
  <c r="R41" i="13"/>
  <c r="S41" i="13"/>
  <c r="T41" i="13"/>
  <c r="U41" i="13"/>
  <c r="V41" i="13"/>
  <c r="W41" i="13"/>
  <c r="X41" i="13"/>
  <c r="Y41" i="13"/>
  <c r="Z41" i="13"/>
  <c r="AA41" i="13"/>
  <c r="AB41" i="13"/>
  <c r="AC41" i="13"/>
  <c r="AD41" i="13"/>
  <c r="AE41" i="13"/>
  <c r="AF41" i="13"/>
  <c r="AG41" i="13"/>
  <c r="AH41" i="13"/>
  <c r="AI41" i="13"/>
  <c r="AJ41" i="13"/>
  <c r="AK41" i="13"/>
  <c r="AL41" i="13"/>
  <c r="AM41" i="13"/>
  <c r="AN41" i="13"/>
  <c r="AO41" i="13"/>
  <c r="AP41" i="13"/>
  <c r="AQ41" i="13"/>
  <c r="AR41" i="13"/>
  <c r="AS41" i="13"/>
  <c r="AT41" i="13"/>
  <c r="AU41" i="13"/>
  <c r="AV41" i="13"/>
  <c r="AW41" i="13"/>
  <c r="AX41" i="13"/>
  <c r="AY41" i="13"/>
  <c r="AZ41" i="13"/>
  <c r="BA41" i="13"/>
  <c r="BB41" i="13"/>
  <c r="BC41" i="13"/>
  <c r="BD41" i="13"/>
  <c r="BE41" i="13"/>
  <c r="BF41" i="13"/>
  <c r="BG41" i="13"/>
  <c r="BH41" i="13"/>
  <c r="BI41" i="13"/>
  <c r="BJ41" i="13"/>
  <c r="BK41" i="13"/>
  <c r="BL41" i="13"/>
  <c r="BM41" i="13"/>
  <c r="BN41" i="13"/>
  <c r="BO41" i="13"/>
  <c r="A42" i="13"/>
  <c r="B42" i="13"/>
  <c r="C42" i="13"/>
  <c r="D42" i="13"/>
  <c r="E42" i="13"/>
  <c r="F42" i="13"/>
  <c r="G42" i="13"/>
  <c r="H42" i="13"/>
  <c r="I42" i="13"/>
  <c r="J42" i="13"/>
  <c r="K42" i="13"/>
  <c r="L42" i="13"/>
  <c r="M42" i="13"/>
  <c r="N42" i="13"/>
  <c r="O42" i="13"/>
  <c r="P42" i="13"/>
  <c r="Q42" i="13"/>
  <c r="R42" i="13"/>
  <c r="S42" i="13"/>
  <c r="T42" i="13"/>
  <c r="U42" i="13"/>
  <c r="V42" i="13"/>
  <c r="W42" i="13"/>
  <c r="X42" i="13"/>
  <c r="Y42" i="13"/>
  <c r="Z42" i="13"/>
  <c r="AA42" i="13"/>
  <c r="AB42" i="13"/>
  <c r="AC42" i="13"/>
  <c r="AD42" i="13"/>
  <c r="AE42" i="13"/>
  <c r="AF42" i="13"/>
  <c r="AG42" i="13"/>
  <c r="AH42" i="13"/>
  <c r="AI42" i="13"/>
  <c r="AJ42" i="13"/>
  <c r="AK42" i="13"/>
  <c r="AL42" i="13"/>
  <c r="AM42" i="13"/>
  <c r="AN42" i="13"/>
  <c r="AO42" i="13"/>
  <c r="AP42" i="13"/>
  <c r="AQ42" i="13"/>
  <c r="AR42" i="13"/>
  <c r="AS42" i="13"/>
  <c r="AT42" i="13"/>
  <c r="AU42" i="13"/>
  <c r="AV42" i="13"/>
  <c r="AW42" i="13"/>
  <c r="AX42" i="13"/>
  <c r="AY42" i="13"/>
  <c r="AZ42" i="13"/>
  <c r="BA42" i="13"/>
  <c r="BB42" i="13"/>
  <c r="BC42" i="13"/>
  <c r="BD42" i="13"/>
  <c r="BE42" i="13"/>
  <c r="BF42" i="13"/>
  <c r="BG42" i="13"/>
  <c r="BH42" i="13"/>
  <c r="BI42" i="13"/>
  <c r="BJ42" i="13"/>
  <c r="BK42" i="13"/>
  <c r="BL42" i="13"/>
  <c r="BM42" i="13"/>
  <c r="BN42" i="13"/>
  <c r="BO42" i="13"/>
  <c r="A43" i="13"/>
  <c r="B43" i="13"/>
  <c r="C43" i="13"/>
  <c r="D43" i="13"/>
  <c r="E43" i="13"/>
  <c r="F43" i="13"/>
  <c r="G43" i="13"/>
  <c r="H43" i="13"/>
  <c r="I43" i="13"/>
  <c r="J43" i="13"/>
  <c r="K43" i="13"/>
  <c r="L43" i="13"/>
  <c r="M43" i="13"/>
  <c r="N43" i="13"/>
  <c r="O43" i="13"/>
  <c r="P43" i="13"/>
  <c r="Q43" i="13"/>
  <c r="R43" i="13"/>
  <c r="S43" i="13"/>
  <c r="T43" i="13"/>
  <c r="U43" i="13"/>
  <c r="V43" i="13"/>
  <c r="W43" i="13"/>
  <c r="X43" i="13"/>
  <c r="Y43" i="13"/>
  <c r="Z43" i="13"/>
  <c r="AA43" i="13"/>
  <c r="AB43" i="13"/>
  <c r="AC43" i="13"/>
  <c r="AD43" i="13"/>
  <c r="AE43" i="13"/>
  <c r="AF43" i="13"/>
  <c r="AG43" i="13"/>
  <c r="AH43" i="13"/>
  <c r="AI43" i="13"/>
  <c r="AJ43" i="13"/>
  <c r="AK43" i="13"/>
  <c r="AL43" i="13"/>
  <c r="AM43" i="13"/>
  <c r="AN43" i="13"/>
  <c r="AO43" i="13"/>
  <c r="AP43" i="13"/>
  <c r="AQ43" i="13"/>
  <c r="AR43" i="13"/>
  <c r="AS43" i="13"/>
  <c r="AT43" i="13"/>
  <c r="AU43" i="13"/>
  <c r="AV43" i="13"/>
  <c r="AW43" i="13"/>
  <c r="AX43" i="13"/>
  <c r="AY43" i="13"/>
  <c r="AZ43" i="13"/>
  <c r="BA43" i="13"/>
  <c r="BB43" i="13"/>
  <c r="BC43" i="13"/>
  <c r="BD43" i="13"/>
  <c r="BE43" i="13"/>
  <c r="BF43" i="13"/>
  <c r="BG43" i="13"/>
  <c r="BH43" i="13"/>
  <c r="BI43" i="13"/>
  <c r="BJ43" i="13"/>
  <c r="BK43" i="13"/>
  <c r="BL43" i="13"/>
  <c r="BM43" i="13"/>
  <c r="BN43" i="13"/>
  <c r="BO43" i="13"/>
  <c r="A44" i="13"/>
  <c r="B44" i="13"/>
  <c r="C44" i="13"/>
  <c r="D44" i="13"/>
  <c r="E44" i="13"/>
  <c r="F44" i="13"/>
  <c r="G44" i="13"/>
  <c r="H44" i="13"/>
  <c r="I44" i="13"/>
  <c r="J44" i="13"/>
  <c r="K44" i="13"/>
  <c r="L44" i="13"/>
  <c r="M44" i="13"/>
  <c r="N44" i="13"/>
  <c r="O44" i="13"/>
  <c r="P44" i="13"/>
  <c r="Q44" i="13"/>
  <c r="R44" i="13"/>
  <c r="S44" i="13"/>
  <c r="T44" i="13"/>
  <c r="U44" i="13"/>
  <c r="V44" i="13"/>
  <c r="W44" i="13"/>
  <c r="X44" i="13"/>
  <c r="Y44" i="13"/>
  <c r="Z44" i="13"/>
  <c r="AA44" i="13"/>
  <c r="AB44" i="13"/>
  <c r="AC44" i="13"/>
  <c r="AD44" i="13"/>
  <c r="AE44" i="13"/>
  <c r="AF44" i="13"/>
  <c r="AG44" i="13"/>
  <c r="AH44" i="13"/>
  <c r="AI44" i="13"/>
  <c r="AJ44" i="13"/>
  <c r="AK44" i="13"/>
  <c r="AL44" i="13"/>
  <c r="AM44" i="13"/>
  <c r="AN44" i="13"/>
  <c r="AO44" i="13"/>
  <c r="AP44" i="13"/>
  <c r="AQ44" i="13"/>
  <c r="AR44" i="13"/>
  <c r="AS44" i="13"/>
  <c r="AT44" i="13"/>
  <c r="AU44" i="13"/>
  <c r="AV44" i="13"/>
  <c r="AW44" i="13"/>
  <c r="AX44" i="13"/>
  <c r="AY44" i="13"/>
  <c r="AZ44" i="13"/>
  <c r="BA44" i="13"/>
  <c r="BB44" i="13"/>
  <c r="BC44" i="13"/>
  <c r="BD44" i="13"/>
  <c r="BE44" i="13"/>
  <c r="BF44" i="13"/>
  <c r="BG44" i="13"/>
  <c r="BH44" i="13"/>
  <c r="BI44" i="13"/>
  <c r="BJ44" i="13"/>
  <c r="BK44" i="13"/>
  <c r="BL44" i="13"/>
  <c r="BM44" i="13"/>
  <c r="BN44" i="13"/>
  <c r="BO44" i="13"/>
  <c r="A45" i="13"/>
  <c r="B45" i="13"/>
  <c r="C45" i="13"/>
  <c r="D45" i="13"/>
  <c r="E45" i="13"/>
  <c r="F45" i="13"/>
  <c r="G45" i="13"/>
  <c r="H45" i="13"/>
  <c r="I45" i="13"/>
  <c r="J45" i="13"/>
  <c r="K45" i="13"/>
  <c r="L45" i="13"/>
  <c r="M45" i="13"/>
  <c r="N45" i="13"/>
  <c r="O45" i="13"/>
  <c r="P45" i="13"/>
  <c r="Q45" i="13"/>
  <c r="R45" i="13"/>
  <c r="S45" i="13"/>
  <c r="T45" i="13"/>
  <c r="U45" i="13"/>
  <c r="V45" i="13"/>
  <c r="W45" i="13"/>
  <c r="X45" i="13"/>
  <c r="Y45" i="13"/>
  <c r="Z45" i="13"/>
  <c r="AA45" i="13"/>
  <c r="AB45" i="13"/>
  <c r="AC45" i="13"/>
  <c r="AD45" i="13"/>
  <c r="AE45" i="13"/>
  <c r="AF45" i="13"/>
  <c r="AG45" i="13"/>
  <c r="AH45" i="13"/>
  <c r="AI45" i="13"/>
  <c r="AJ45" i="13"/>
  <c r="AK45" i="13"/>
  <c r="AL45" i="13"/>
  <c r="AM45" i="13"/>
  <c r="AN45" i="13"/>
  <c r="AO45" i="13"/>
  <c r="AP45" i="13"/>
  <c r="AQ45" i="13"/>
  <c r="AR45" i="13"/>
  <c r="AS45" i="13"/>
  <c r="AT45" i="13"/>
  <c r="AU45" i="13"/>
  <c r="AV45" i="13"/>
  <c r="AW45" i="13"/>
  <c r="AX45" i="13"/>
  <c r="AY45" i="13"/>
  <c r="AZ45" i="13"/>
  <c r="BA45" i="13"/>
  <c r="BB45" i="13"/>
  <c r="BC45" i="13"/>
  <c r="BD45" i="13"/>
  <c r="BE45" i="13"/>
  <c r="BF45" i="13"/>
  <c r="BG45" i="13"/>
  <c r="BH45" i="13"/>
  <c r="BI45" i="13"/>
  <c r="BJ45" i="13"/>
  <c r="BK45" i="13"/>
  <c r="BL45" i="13"/>
  <c r="BM45" i="13"/>
  <c r="BN45" i="13"/>
  <c r="BO45" i="13"/>
  <c r="A46" i="13"/>
  <c r="B46" i="13"/>
  <c r="C46" i="13"/>
  <c r="D46" i="13"/>
  <c r="E46" i="13"/>
  <c r="F46" i="13"/>
  <c r="G46" i="13"/>
  <c r="H46" i="13"/>
  <c r="I46" i="13"/>
  <c r="J46" i="13"/>
  <c r="K46" i="13"/>
  <c r="L46" i="13"/>
  <c r="M46" i="13"/>
  <c r="N46" i="13"/>
  <c r="O46" i="13"/>
  <c r="P46" i="13"/>
  <c r="Q46" i="13"/>
  <c r="R46" i="13"/>
  <c r="S46" i="13"/>
  <c r="T46" i="13"/>
  <c r="U46" i="13"/>
  <c r="V46" i="13"/>
  <c r="W46" i="13"/>
  <c r="X46" i="13"/>
  <c r="Y46" i="13"/>
  <c r="Z46" i="13"/>
  <c r="AA46" i="13"/>
  <c r="AB46" i="13"/>
  <c r="AC46" i="13"/>
  <c r="AD46" i="13"/>
  <c r="AE46" i="13"/>
  <c r="AF46" i="13"/>
  <c r="AG46" i="13"/>
  <c r="AH46" i="13"/>
  <c r="AI46" i="13"/>
  <c r="AJ46" i="13"/>
  <c r="AK46" i="13"/>
  <c r="AL46" i="13"/>
  <c r="AM46" i="13"/>
  <c r="AN46" i="13"/>
  <c r="AO46" i="13"/>
  <c r="AP46" i="13"/>
  <c r="AQ46" i="13"/>
  <c r="AR46" i="13"/>
  <c r="AS46" i="13"/>
  <c r="AT46" i="13"/>
  <c r="AU46" i="13"/>
  <c r="AV46" i="13"/>
  <c r="AW46" i="13"/>
  <c r="AX46" i="13"/>
  <c r="AY46" i="13"/>
  <c r="AZ46" i="13"/>
  <c r="BA46" i="13"/>
  <c r="BB46" i="13"/>
  <c r="BC46" i="13"/>
  <c r="BD46" i="13"/>
  <c r="BE46" i="13"/>
  <c r="BF46" i="13"/>
  <c r="BG46" i="13"/>
  <c r="BH46" i="13"/>
  <c r="BI46" i="13"/>
  <c r="BJ46" i="13"/>
  <c r="BK46" i="13"/>
  <c r="BL46" i="13"/>
  <c r="BM46" i="13"/>
  <c r="BN46" i="13"/>
  <c r="BO46" i="13"/>
  <c r="A47" i="13"/>
  <c r="B47" i="13"/>
  <c r="C47" i="13"/>
  <c r="D47" i="13"/>
  <c r="E47" i="13"/>
  <c r="F47" i="13"/>
  <c r="G47" i="13"/>
  <c r="H47" i="13"/>
  <c r="I47" i="13"/>
  <c r="J47" i="13"/>
  <c r="K47" i="13"/>
  <c r="L47" i="13"/>
  <c r="M47" i="13"/>
  <c r="N47" i="13"/>
  <c r="O47" i="13"/>
  <c r="P47" i="13"/>
  <c r="Q47" i="13"/>
  <c r="R47" i="13"/>
  <c r="S47" i="13"/>
  <c r="T47" i="13"/>
  <c r="U47" i="13"/>
  <c r="V47" i="13"/>
  <c r="W47" i="13"/>
  <c r="X47" i="13"/>
  <c r="Y47" i="13"/>
  <c r="Z47" i="13"/>
  <c r="AA47" i="13"/>
  <c r="AB47" i="13"/>
  <c r="AC47" i="13"/>
  <c r="AD47" i="13"/>
  <c r="AE47" i="13"/>
  <c r="AF47" i="13"/>
  <c r="AG47" i="13"/>
  <c r="AH47" i="13"/>
  <c r="AI47" i="13"/>
  <c r="AJ47" i="13"/>
  <c r="AK47" i="13"/>
  <c r="AL47" i="13"/>
  <c r="AM47" i="13"/>
  <c r="AN47" i="13"/>
  <c r="AO47" i="13"/>
  <c r="AP47" i="13"/>
  <c r="AQ47" i="13"/>
  <c r="AR47" i="13"/>
  <c r="AS47" i="13"/>
  <c r="AT47" i="13"/>
  <c r="AU47" i="13"/>
  <c r="AV47" i="13"/>
  <c r="AW47" i="13"/>
  <c r="AX47" i="13"/>
  <c r="AY47" i="13"/>
  <c r="AZ47" i="13"/>
  <c r="BA47" i="13"/>
  <c r="BB47" i="13"/>
  <c r="BC47" i="13"/>
  <c r="BD47" i="13"/>
  <c r="BE47" i="13"/>
  <c r="BF47" i="13"/>
  <c r="BG47" i="13"/>
  <c r="BH47" i="13"/>
  <c r="BI47" i="13"/>
  <c r="BJ47" i="13"/>
  <c r="BK47" i="13"/>
  <c r="BL47" i="13"/>
  <c r="BM47" i="13"/>
  <c r="BN47" i="13"/>
  <c r="BO47" i="13"/>
  <c r="A48" i="13"/>
  <c r="B48" i="13"/>
  <c r="C48" i="13"/>
  <c r="D48" i="13"/>
  <c r="E48" i="13"/>
  <c r="F48" i="13"/>
  <c r="G48" i="13"/>
  <c r="H48" i="13"/>
  <c r="I48" i="13"/>
  <c r="J48" i="13"/>
  <c r="K48" i="13"/>
  <c r="L48" i="13"/>
  <c r="M48" i="13"/>
  <c r="N48" i="13"/>
  <c r="O48" i="13"/>
  <c r="P48" i="13"/>
  <c r="Q48" i="13"/>
  <c r="R48" i="13"/>
  <c r="S48" i="13"/>
  <c r="T48" i="13"/>
  <c r="U48" i="13"/>
  <c r="V48" i="13"/>
  <c r="W48" i="13"/>
  <c r="X48" i="13"/>
  <c r="Y48" i="13"/>
  <c r="Z48" i="13"/>
  <c r="AA48" i="13"/>
  <c r="AB48" i="13"/>
  <c r="AC48" i="13"/>
  <c r="AD48" i="13"/>
  <c r="AE48" i="13"/>
  <c r="AF48" i="13"/>
  <c r="AG48" i="13"/>
  <c r="AH48" i="13"/>
  <c r="AI48" i="13"/>
  <c r="AJ48" i="13"/>
  <c r="AK48" i="13"/>
  <c r="AL48" i="13"/>
  <c r="AM48" i="13"/>
  <c r="AN48" i="13"/>
  <c r="AO48" i="13"/>
  <c r="AP48" i="13"/>
  <c r="AQ48" i="13"/>
  <c r="AR48" i="13"/>
  <c r="AS48" i="13"/>
  <c r="AT48" i="13"/>
  <c r="AU48" i="13"/>
  <c r="AV48" i="13"/>
  <c r="AW48" i="13"/>
  <c r="AX48" i="13"/>
  <c r="AY48" i="13"/>
  <c r="AZ48" i="13"/>
  <c r="BA48" i="13"/>
  <c r="BB48" i="13"/>
  <c r="BC48" i="13"/>
  <c r="BD48" i="13"/>
  <c r="BE48" i="13"/>
  <c r="BF48" i="13"/>
  <c r="BG48" i="13"/>
  <c r="BH48" i="13"/>
  <c r="BI48" i="13"/>
  <c r="BJ48" i="13"/>
  <c r="BK48" i="13"/>
  <c r="BL48" i="13"/>
  <c r="BM48" i="13"/>
  <c r="BN48" i="13"/>
  <c r="BO48" i="13"/>
  <c r="A49" i="13"/>
  <c r="B49" i="13"/>
  <c r="C49" i="13"/>
  <c r="D49" i="13"/>
  <c r="E49" i="13"/>
  <c r="F49" i="13"/>
  <c r="G49" i="13"/>
  <c r="H49" i="13"/>
  <c r="I49" i="13"/>
  <c r="J49" i="13"/>
  <c r="K49" i="13"/>
  <c r="L49" i="13"/>
  <c r="M49" i="13"/>
  <c r="N49" i="13"/>
  <c r="O49" i="13"/>
  <c r="P49" i="13"/>
  <c r="Q49" i="13"/>
  <c r="R49" i="13"/>
  <c r="S49" i="13"/>
  <c r="T49" i="13"/>
  <c r="U49" i="13"/>
  <c r="V49" i="13"/>
  <c r="W49" i="13"/>
  <c r="X49" i="13"/>
  <c r="Y49" i="13"/>
  <c r="Z49" i="13"/>
  <c r="AA49" i="13"/>
  <c r="AB49" i="13"/>
  <c r="AC49" i="13"/>
  <c r="AD49" i="13"/>
  <c r="AE49" i="13"/>
  <c r="AF49" i="13"/>
  <c r="AG49" i="13"/>
  <c r="AH49" i="13"/>
  <c r="AI49" i="13"/>
  <c r="AJ49" i="13"/>
  <c r="AK49" i="13"/>
  <c r="AL49" i="13"/>
  <c r="AM49" i="13"/>
  <c r="AN49" i="13"/>
  <c r="AO49" i="13"/>
  <c r="AP49" i="13"/>
  <c r="AQ49" i="13"/>
  <c r="AR49" i="13"/>
  <c r="AS49" i="13"/>
  <c r="AT49" i="13"/>
  <c r="AU49" i="13"/>
  <c r="AV49" i="13"/>
  <c r="AW49" i="13"/>
  <c r="AX49" i="13"/>
  <c r="AY49" i="13"/>
  <c r="AZ49" i="13"/>
  <c r="BA49" i="13"/>
  <c r="BB49" i="13"/>
  <c r="BC49" i="13"/>
  <c r="BD49" i="13"/>
  <c r="BE49" i="13"/>
  <c r="BF49" i="13"/>
  <c r="BG49" i="13"/>
  <c r="BH49" i="13"/>
  <c r="BI49" i="13"/>
  <c r="BJ49" i="13"/>
  <c r="BK49" i="13"/>
  <c r="BL49" i="13"/>
  <c r="BM49" i="13"/>
  <c r="BN49" i="13"/>
  <c r="BO49" i="13"/>
  <c r="A50" i="13"/>
  <c r="B50" i="13"/>
  <c r="C50" i="13"/>
  <c r="D50" i="13"/>
  <c r="E50" i="13"/>
  <c r="F50" i="13"/>
  <c r="G50" i="13"/>
  <c r="H50" i="13"/>
  <c r="I50" i="13"/>
  <c r="J50" i="13"/>
  <c r="K50" i="13"/>
  <c r="L50" i="13"/>
  <c r="M50" i="13"/>
  <c r="N50" i="13"/>
  <c r="O50" i="13"/>
  <c r="P50" i="13"/>
  <c r="Q50" i="13"/>
  <c r="R50" i="13"/>
  <c r="S50" i="13"/>
  <c r="T50" i="13"/>
  <c r="U50" i="13"/>
  <c r="V50" i="13"/>
  <c r="W50" i="13"/>
  <c r="X50" i="13"/>
  <c r="Y50" i="13"/>
  <c r="Z50" i="13"/>
  <c r="AA50" i="13"/>
  <c r="AB50" i="13"/>
  <c r="AC50" i="13"/>
  <c r="AD50" i="13"/>
  <c r="AE50" i="13"/>
  <c r="AF50" i="13"/>
  <c r="AG50" i="13"/>
  <c r="AH50" i="13"/>
  <c r="AI50" i="13"/>
  <c r="AJ50" i="13"/>
  <c r="AK50" i="13"/>
  <c r="AL50" i="13"/>
  <c r="AM50" i="13"/>
  <c r="AN50" i="13"/>
  <c r="AO50" i="13"/>
  <c r="AP50" i="13"/>
  <c r="AQ50" i="13"/>
  <c r="AR50" i="13"/>
  <c r="AS50" i="13"/>
  <c r="AT50" i="13"/>
  <c r="AU50" i="13"/>
  <c r="AV50" i="13"/>
  <c r="AW50" i="13"/>
  <c r="AX50" i="13"/>
  <c r="AY50" i="13"/>
  <c r="AZ50" i="13"/>
  <c r="BA50" i="13"/>
  <c r="BB50" i="13"/>
  <c r="BC50" i="13"/>
  <c r="BD50" i="13"/>
  <c r="BE50" i="13"/>
  <c r="BF50" i="13"/>
  <c r="BG50" i="13"/>
  <c r="BH50" i="13"/>
  <c r="BI50" i="13"/>
  <c r="BJ50" i="13"/>
  <c r="BK50" i="13"/>
  <c r="BL50" i="13"/>
  <c r="BM50" i="13"/>
  <c r="BN50" i="13"/>
  <c r="BO50" i="13"/>
  <c r="A51" i="13"/>
  <c r="B51" i="13"/>
  <c r="C51" i="13"/>
  <c r="D51" i="13"/>
  <c r="E51" i="13"/>
  <c r="F51" i="13"/>
  <c r="G51" i="13"/>
  <c r="H51" i="13"/>
  <c r="I51" i="13"/>
  <c r="J51" i="13"/>
  <c r="K51" i="13"/>
  <c r="L51" i="13"/>
  <c r="M51" i="13"/>
  <c r="N51" i="13"/>
  <c r="O51" i="13"/>
  <c r="P51" i="13"/>
  <c r="Q51" i="13"/>
  <c r="R51" i="13"/>
  <c r="S51" i="13"/>
  <c r="T51" i="13"/>
  <c r="U51" i="13"/>
  <c r="V51" i="13"/>
  <c r="W51" i="13"/>
  <c r="X51" i="13"/>
  <c r="Y51" i="13"/>
  <c r="Z51" i="13"/>
  <c r="AA51" i="13"/>
  <c r="AB51" i="13"/>
  <c r="AC51" i="13"/>
  <c r="AD51" i="13"/>
  <c r="AE51" i="13"/>
  <c r="AF51" i="13"/>
  <c r="AG51" i="13"/>
  <c r="AH51" i="13"/>
  <c r="AI51" i="13"/>
  <c r="AJ51" i="13"/>
  <c r="AK51" i="13"/>
  <c r="AL51" i="13"/>
  <c r="AM51" i="13"/>
  <c r="AN51" i="13"/>
  <c r="AO51" i="13"/>
  <c r="AP51" i="13"/>
  <c r="AQ51" i="13"/>
  <c r="AR51" i="13"/>
  <c r="AS51" i="13"/>
  <c r="AT51" i="13"/>
  <c r="AU51" i="13"/>
  <c r="AV51" i="13"/>
  <c r="AW51" i="13"/>
  <c r="AX51" i="13"/>
  <c r="AY51" i="13"/>
  <c r="AZ51" i="13"/>
  <c r="BA51" i="13"/>
  <c r="BB51" i="13"/>
  <c r="BC51" i="13"/>
  <c r="BD51" i="13"/>
  <c r="BE51" i="13"/>
  <c r="BF51" i="13"/>
  <c r="BG51" i="13"/>
  <c r="BH51" i="13"/>
  <c r="BI51" i="13"/>
  <c r="BJ51" i="13"/>
  <c r="BK51" i="13"/>
  <c r="BL51" i="13"/>
  <c r="BM51" i="13"/>
  <c r="BN51" i="13"/>
  <c r="BO51" i="13"/>
  <c r="A52" i="13"/>
  <c r="B52" i="13"/>
  <c r="C52" i="13"/>
  <c r="D52" i="13"/>
  <c r="E52" i="13"/>
  <c r="F52" i="13"/>
  <c r="G52" i="13"/>
  <c r="H52" i="13"/>
  <c r="I52" i="13"/>
  <c r="J52" i="13"/>
  <c r="K52" i="13"/>
  <c r="L52" i="13"/>
  <c r="M52" i="13"/>
  <c r="N52" i="13"/>
  <c r="O52" i="13"/>
  <c r="P52" i="13"/>
  <c r="Q52" i="13"/>
  <c r="R52" i="13"/>
  <c r="S52" i="13"/>
  <c r="T52" i="13"/>
  <c r="U52" i="13"/>
  <c r="V52" i="13"/>
  <c r="W52" i="13"/>
  <c r="X52" i="13"/>
  <c r="Y52" i="13"/>
  <c r="Z52" i="13"/>
  <c r="AA52" i="13"/>
  <c r="AB52" i="13"/>
  <c r="AC52" i="13"/>
  <c r="AD52" i="13"/>
  <c r="AE52" i="13"/>
  <c r="AF52" i="13"/>
  <c r="AG52" i="13"/>
  <c r="AH52" i="13"/>
  <c r="AI52" i="13"/>
  <c r="AJ52" i="13"/>
  <c r="AK52" i="13"/>
  <c r="AL52" i="13"/>
  <c r="AM52" i="13"/>
  <c r="AN52" i="13"/>
  <c r="AO52" i="13"/>
  <c r="AP52" i="13"/>
  <c r="AQ52" i="13"/>
  <c r="AR52" i="13"/>
  <c r="AS52" i="13"/>
  <c r="AT52" i="13"/>
  <c r="AU52" i="13"/>
  <c r="AV52" i="13"/>
  <c r="AW52" i="13"/>
  <c r="AX52" i="13"/>
  <c r="AY52" i="13"/>
  <c r="AZ52" i="13"/>
  <c r="BA52" i="13"/>
  <c r="BB52" i="13"/>
  <c r="BC52" i="13"/>
  <c r="BD52" i="13"/>
  <c r="BE52" i="13"/>
  <c r="BF52" i="13"/>
  <c r="BG52" i="13"/>
  <c r="BH52" i="13"/>
  <c r="BI52" i="13"/>
  <c r="BJ52" i="13"/>
  <c r="BK52" i="13"/>
  <c r="BL52" i="13"/>
  <c r="BM52" i="13"/>
  <c r="BN52" i="13"/>
  <c r="BO52" i="13"/>
  <c r="A53" i="13"/>
  <c r="B53" i="13"/>
  <c r="C53" i="13"/>
  <c r="D53" i="13"/>
  <c r="E53" i="13"/>
  <c r="F53" i="13"/>
  <c r="G53" i="13"/>
  <c r="H53" i="13"/>
  <c r="I53" i="13"/>
  <c r="J53" i="13"/>
  <c r="K53" i="13"/>
  <c r="L53" i="13"/>
  <c r="M53" i="13"/>
  <c r="N53" i="13"/>
  <c r="O53" i="13"/>
  <c r="P53" i="13"/>
  <c r="Q53" i="13"/>
  <c r="R53" i="13"/>
  <c r="S53" i="13"/>
  <c r="T53" i="13"/>
  <c r="U53" i="13"/>
  <c r="V53" i="13"/>
  <c r="W53" i="13"/>
  <c r="X53" i="13"/>
  <c r="Y53" i="13"/>
  <c r="Z53" i="13"/>
  <c r="AA53" i="13"/>
  <c r="AB53" i="13"/>
  <c r="AC53" i="13"/>
  <c r="AD53" i="13"/>
  <c r="AE53" i="13"/>
  <c r="AF53" i="13"/>
  <c r="AG53" i="13"/>
  <c r="AH53" i="13"/>
  <c r="AI53" i="13"/>
  <c r="AJ53" i="13"/>
  <c r="AK53" i="13"/>
  <c r="AL53" i="13"/>
  <c r="AM53" i="13"/>
  <c r="AN53" i="13"/>
  <c r="AO53" i="13"/>
  <c r="AP53" i="13"/>
  <c r="AQ53" i="13"/>
  <c r="AR53" i="13"/>
  <c r="AS53" i="13"/>
  <c r="AT53" i="13"/>
  <c r="AU53" i="13"/>
  <c r="AV53" i="13"/>
  <c r="AW53" i="13"/>
  <c r="AX53" i="13"/>
  <c r="AY53" i="13"/>
  <c r="AZ53" i="13"/>
  <c r="BA53" i="13"/>
  <c r="BB53" i="13"/>
  <c r="BC53" i="13"/>
  <c r="BD53" i="13"/>
  <c r="BE53" i="13"/>
  <c r="BF53" i="13"/>
  <c r="BG53" i="13"/>
  <c r="BH53" i="13"/>
  <c r="BI53" i="13"/>
  <c r="BJ53" i="13"/>
  <c r="BK53" i="13"/>
  <c r="BL53" i="13"/>
  <c r="BM53" i="13"/>
  <c r="BN53" i="13"/>
  <c r="BO53" i="13"/>
  <c r="A54" i="13"/>
  <c r="B54" i="13"/>
  <c r="C54" i="13"/>
  <c r="D54" i="13"/>
  <c r="E54" i="13"/>
  <c r="F54" i="13"/>
  <c r="G54" i="13"/>
  <c r="H54" i="13"/>
  <c r="I54" i="13"/>
  <c r="J54" i="13"/>
  <c r="K54" i="13"/>
  <c r="L54" i="13"/>
  <c r="M54" i="13"/>
  <c r="N54" i="13"/>
  <c r="O54" i="13"/>
  <c r="P54" i="13"/>
  <c r="Q54" i="13"/>
  <c r="R54" i="13"/>
  <c r="S54" i="13"/>
  <c r="T54" i="13"/>
  <c r="U54" i="13"/>
  <c r="V54" i="13"/>
  <c r="W54" i="13"/>
  <c r="X54" i="13"/>
  <c r="Y54" i="13"/>
  <c r="Z54" i="13"/>
  <c r="AA54" i="13"/>
  <c r="AB54" i="13"/>
  <c r="AC54" i="13"/>
  <c r="AD54" i="13"/>
  <c r="AE54" i="13"/>
  <c r="AF54" i="13"/>
  <c r="AG54" i="13"/>
  <c r="AH54" i="13"/>
  <c r="AI54" i="13"/>
  <c r="AJ54" i="13"/>
  <c r="AK54" i="13"/>
  <c r="AL54" i="13"/>
  <c r="AM54" i="13"/>
  <c r="AN54" i="13"/>
  <c r="AO54" i="13"/>
  <c r="AP54" i="13"/>
  <c r="AQ54" i="13"/>
  <c r="AR54" i="13"/>
  <c r="AS54" i="13"/>
  <c r="AT54" i="13"/>
  <c r="AU54" i="13"/>
  <c r="AV54" i="13"/>
  <c r="AW54" i="13"/>
  <c r="AX54" i="13"/>
  <c r="AY54" i="13"/>
  <c r="AZ54" i="13"/>
  <c r="BA54" i="13"/>
  <c r="BB54" i="13"/>
  <c r="BC54" i="13"/>
  <c r="BD54" i="13"/>
  <c r="BE54" i="13"/>
  <c r="BF54" i="13"/>
  <c r="BG54" i="13"/>
  <c r="BH54" i="13"/>
  <c r="BI54" i="13"/>
  <c r="BJ54" i="13"/>
  <c r="BK54" i="13"/>
  <c r="BL54" i="13"/>
  <c r="BM54" i="13"/>
  <c r="BN54" i="13"/>
  <c r="BO54" i="13"/>
  <c r="A55" i="13"/>
  <c r="B55" i="13"/>
  <c r="C55" i="13"/>
  <c r="D55" i="13"/>
  <c r="E55" i="13"/>
  <c r="F55" i="13"/>
  <c r="G55" i="13"/>
  <c r="H55" i="13"/>
  <c r="I55" i="13"/>
  <c r="J55" i="13"/>
  <c r="K55" i="13"/>
  <c r="L55" i="13"/>
  <c r="M55" i="13"/>
  <c r="N55" i="13"/>
  <c r="O55" i="13"/>
  <c r="P55" i="13"/>
  <c r="Q55" i="13"/>
  <c r="R55" i="13"/>
  <c r="S55" i="13"/>
  <c r="T55" i="13"/>
  <c r="U55" i="13"/>
  <c r="V55" i="13"/>
  <c r="W55" i="13"/>
  <c r="X55" i="13"/>
  <c r="Y55" i="13"/>
  <c r="Z55" i="13"/>
  <c r="AA55" i="13"/>
  <c r="AB55" i="13"/>
  <c r="AC55" i="13"/>
  <c r="AD55" i="13"/>
  <c r="AE55" i="13"/>
  <c r="AF55" i="13"/>
  <c r="AG55" i="13"/>
  <c r="AH55" i="13"/>
  <c r="AI55" i="13"/>
  <c r="AJ55" i="13"/>
  <c r="AK55" i="13"/>
  <c r="AL55" i="13"/>
  <c r="AM55" i="13"/>
  <c r="AN55" i="13"/>
  <c r="AO55" i="13"/>
  <c r="AP55" i="13"/>
  <c r="AQ55" i="13"/>
  <c r="AR55" i="13"/>
  <c r="AS55" i="13"/>
  <c r="AT55" i="13"/>
  <c r="AU55" i="13"/>
  <c r="AV55" i="13"/>
  <c r="AW55" i="13"/>
  <c r="AX55" i="13"/>
  <c r="AY55" i="13"/>
  <c r="AZ55" i="13"/>
  <c r="BA55" i="13"/>
  <c r="BB55" i="13"/>
  <c r="BC55" i="13"/>
  <c r="BD55" i="13"/>
  <c r="BE55" i="13"/>
  <c r="BF55" i="13"/>
  <c r="BG55" i="13"/>
  <c r="BH55" i="13"/>
  <c r="BI55" i="13"/>
  <c r="BJ55" i="13"/>
  <c r="BK55" i="13"/>
  <c r="BL55" i="13"/>
  <c r="BM55" i="13"/>
  <c r="BN55" i="13"/>
  <c r="BO55" i="13"/>
  <c r="A56" i="13"/>
  <c r="B56" i="13"/>
  <c r="C56" i="13"/>
  <c r="D56" i="13"/>
  <c r="E56" i="13"/>
  <c r="F56" i="13"/>
  <c r="G56" i="13"/>
  <c r="H56" i="13"/>
  <c r="I56" i="13"/>
  <c r="J56" i="13"/>
  <c r="K56" i="13"/>
  <c r="L56" i="13"/>
  <c r="M56" i="13"/>
  <c r="N56" i="13"/>
  <c r="O56" i="13"/>
  <c r="P56" i="13"/>
  <c r="Q56" i="13"/>
  <c r="R56" i="13"/>
  <c r="S56" i="13"/>
  <c r="T56" i="13"/>
  <c r="U56" i="13"/>
  <c r="V56" i="13"/>
  <c r="W56" i="13"/>
  <c r="X56" i="13"/>
  <c r="Y56" i="13"/>
  <c r="Z56" i="13"/>
  <c r="AA56" i="13"/>
  <c r="AB56" i="13"/>
  <c r="AC56" i="13"/>
  <c r="AD56" i="13"/>
  <c r="AE56" i="13"/>
  <c r="AF56" i="13"/>
  <c r="AG56" i="13"/>
  <c r="AH56" i="13"/>
  <c r="AI56" i="13"/>
  <c r="AJ56" i="13"/>
  <c r="AK56" i="13"/>
  <c r="AL56" i="13"/>
  <c r="AM56" i="13"/>
  <c r="AN56" i="13"/>
  <c r="AO56" i="13"/>
  <c r="AP56" i="13"/>
  <c r="AQ56" i="13"/>
  <c r="AR56" i="13"/>
  <c r="AS56" i="13"/>
  <c r="AT56" i="13"/>
  <c r="AU56" i="13"/>
  <c r="AV56" i="13"/>
  <c r="AW56" i="13"/>
  <c r="AX56" i="13"/>
  <c r="AY56" i="13"/>
  <c r="AZ56" i="13"/>
  <c r="BA56" i="13"/>
  <c r="BB56" i="13"/>
  <c r="BC56" i="13"/>
  <c r="BD56" i="13"/>
  <c r="BE56" i="13"/>
  <c r="BF56" i="13"/>
  <c r="BG56" i="13"/>
  <c r="BH56" i="13"/>
  <c r="BI56" i="13"/>
  <c r="BJ56" i="13"/>
  <c r="BK56" i="13"/>
  <c r="BL56" i="13"/>
  <c r="BM56" i="13"/>
  <c r="BN56" i="13"/>
  <c r="BO56" i="13"/>
  <c r="A57" i="13"/>
  <c r="B57" i="13"/>
  <c r="C57" i="13"/>
  <c r="D57" i="13"/>
  <c r="E57" i="13"/>
  <c r="F57" i="13"/>
  <c r="G57" i="13"/>
  <c r="H57" i="13"/>
  <c r="I57" i="13"/>
  <c r="J57" i="13"/>
  <c r="K57" i="13"/>
  <c r="L57" i="13"/>
  <c r="M57" i="13"/>
  <c r="N57" i="13"/>
  <c r="O57" i="13"/>
  <c r="P57" i="13"/>
  <c r="Q57" i="13"/>
  <c r="R57" i="13"/>
  <c r="S57" i="13"/>
  <c r="T57" i="13"/>
  <c r="U57" i="13"/>
  <c r="V57" i="13"/>
  <c r="W57" i="13"/>
  <c r="X57" i="13"/>
  <c r="Y57" i="13"/>
  <c r="Z57" i="13"/>
  <c r="AA57" i="13"/>
  <c r="AB57" i="13"/>
  <c r="AC57" i="13"/>
  <c r="AD57" i="13"/>
  <c r="AE57" i="13"/>
  <c r="AF57" i="13"/>
  <c r="AG57" i="13"/>
  <c r="AH57" i="13"/>
  <c r="AI57" i="13"/>
  <c r="AJ57" i="13"/>
  <c r="AK57" i="13"/>
  <c r="AL57" i="13"/>
  <c r="AM57" i="13"/>
  <c r="AN57" i="13"/>
  <c r="AO57" i="13"/>
  <c r="AP57" i="13"/>
  <c r="AQ57" i="13"/>
  <c r="AR57" i="13"/>
  <c r="AS57" i="13"/>
  <c r="AT57" i="13"/>
  <c r="AU57" i="13"/>
  <c r="AV57" i="13"/>
  <c r="AW57" i="13"/>
  <c r="AX57" i="13"/>
  <c r="AY57" i="13"/>
  <c r="AZ57" i="13"/>
  <c r="BA57" i="13"/>
  <c r="BB57" i="13"/>
  <c r="BC57" i="13"/>
  <c r="BD57" i="13"/>
  <c r="BE57" i="13"/>
  <c r="BF57" i="13"/>
  <c r="BG57" i="13"/>
  <c r="BH57" i="13"/>
  <c r="BI57" i="13"/>
  <c r="BJ57" i="13"/>
  <c r="BK57" i="13"/>
  <c r="BL57" i="13"/>
  <c r="BM57" i="13"/>
  <c r="BN57" i="13"/>
  <c r="BO57" i="13"/>
  <c r="A58" i="13"/>
  <c r="B58" i="13"/>
  <c r="C58" i="13"/>
  <c r="D58" i="13"/>
  <c r="E58" i="13"/>
  <c r="F58" i="13"/>
  <c r="G58" i="13"/>
  <c r="H58" i="13"/>
  <c r="I58" i="13"/>
  <c r="J58" i="13"/>
  <c r="K58" i="13"/>
  <c r="L58" i="13"/>
  <c r="M58" i="13"/>
  <c r="N58" i="13"/>
  <c r="O58" i="13"/>
  <c r="P58" i="13"/>
  <c r="Q58" i="13"/>
  <c r="R58" i="13"/>
  <c r="S58" i="13"/>
  <c r="T58" i="13"/>
  <c r="U58" i="13"/>
  <c r="V58" i="13"/>
  <c r="W58" i="13"/>
  <c r="X58" i="13"/>
  <c r="Y58" i="13"/>
  <c r="Z58" i="13"/>
  <c r="AA58" i="13"/>
  <c r="AB58" i="13"/>
  <c r="AC58" i="13"/>
  <c r="AD58" i="13"/>
  <c r="AE58" i="13"/>
  <c r="AF58" i="13"/>
  <c r="AG58" i="13"/>
  <c r="AH58" i="13"/>
  <c r="AI58" i="13"/>
  <c r="AJ58" i="13"/>
  <c r="AK58" i="13"/>
  <c r="AL58" i="13"/>
  <c r="AM58" i="13"/>
  <c r="AN58" i="13"/>
  <c r="AO58" i="13"/>
  <c r="AP58" i="13"/>
  <c r="AQ58" i="13"/>
  <c r="AR58" i="13"/>
  <c r="AS58" i="13"/>
  <c r="AT58" i="13"/>
  <c r="AU58" i="13"/>
  <c r="AV58" i="13"/>
  <c r="AW58" i="13"/>
  <c r="AX58" i="13"/>
  <c r="AY58" i="13"/>
  <c r="AZ58" i="13"/>
  <c r="BA58" i="13"/>
  <c r="BB58" i="13"/>
  <c r="BC58" i="13"/>
  <c r="BD58" i="13"/>
  <c r="BE58" i="13"/>
  <c r="BF58" i="13"/>
  <c r="BG58" i="13"/>
  <c r="BH58" i="13"/>
  <c r="BI58" i="13"/>
  <c r="BJ58" i="13"/>
  <c r="BK58" i="13"/>
  <c r="BL58" i="13"/>
  <c r="BM58" i="13"/>
  <c r="BN58" i="13"/>
  <c r="BO58" i="13"/>
  <c r="A59" i="13"/>
  <c r="B59" i="13"/>
  <c r="C59" i="13"/>
  <c r="D59" i="13"/>
  <c r="E59" i="13"/>
  <c r="F59" i="13"/>
  <c r="G59" i="13"/>
  <c r="H59" i="13"/>
  <c r="I59" i="13"/>
  <c r="J59" i="13"/>
  <c r="K59" i="13"/>
  <c r="L59" i="13"/>
  <c r="M59" i="13"/>
  <c r="N59" i="13"/>
  <c r="O59" i="13"/>
  <c r="P59" i="13"/>
  <c r="Q59" i="13"/>
  <c r="R59" i="13"/>
  <c r="S59" i="13"/>
  <c r="T59" i="13"/>
  <c r="U59" i="13"/>
  <c r="V59" i="13"/>
  <c r="W59" i="13"/>
  <c r="X59" i="13"/>
  <c r="Y59" i="13"/>
  <c r="Z59" i="13"/>
  <c r="AA59" i="13"/>
  <c r="AB59" i="13"/>
  <c r="AC59" i="13"/>
  <c r="AD59" i="13"/>
  <c r="AE59" i="13"/>
  <c r="AF59" i="13"/>
  <c r="AG59" i="13"/>
  <c r="AH59" i="13"/>
  <c r="AI59" i="13"/>
  <c r="AJ59" i="13"/>
  <c r="AK59" i="13"/>
  <c r="AL59" i="13"/>
  <c r="AM59" i="13"/>
  <c r="AN59" i="13"/>
  <c r="AO59" i="13"/>
  <c r="AP59" i="13"/>
  <c r="AQ59" i="13"/>
  <c r="AR59" i="13"/>
  <c r="AS59" i="13"/>
  <c r="AT59" i="13"/>
  <c r="AU59" i="13"/>
  <c r="AV59" i="13"/>
  <c r="AW59" i="13"/>
  <c r="AX59" i="13"/>
  <c r="AY59" i="13"/>
  <c r="AZ59" i="13"/>
  <c r="BA59" i="13"/>
  <c r="BB59" i="13"/>
  <c r="BC59" i="13"/>
  <c r="BD59" i="13"/>
  <c r="BE59" i="13"/>
  <c r="BF59" i="13"/>
  <c r="BG59" i="13"/>
  <c r="BH59" i="13"/>
  <c r="BI59" i="13"/>
  <c r="BJ59" i="13"/>
  <c r="BK59" i="13"/>
  <c r="BL59" i="13"/>
  <c r="BM59" i="13"/>
  <c r="BN59" i="13"/>
  <c r="BO59" i="13"/>
  <c r="A60" i="13"/>
  <c r="B60" i="13"/>
  <c r="C60" i="13"/>
  <c r="D60" i="13"/>
  <c r="E60" i="13"/>
  <c r="F60" i="13"/>
  <c r="G60" i="13"/>
  <c r="H60" i="13"/>
  <c r="I60" i="13"/>
  <c r="J60" i="13"/>
  <c r="K60" i="13"/>
  <c r="L60" i="13"/>
  <c r="M60" i="13"/>
  <c r="N60" i="13"/>
  <c r="O60" i="13"/>
  <c r="P60" i="13"/>
  <c r="Q60" i="13"/>
  <c r="R60" i="13"/>
  <c r="S60" i="13"/>
  <c r="T60" i="13"/>
  <c r="U60" i="13"/>
  <c r="V60" i="13"/>
  <c r="W60" i="13"/>
  <c r="X60" i="13"/>
  <c r="Y60" i="13"/>
  <c r="Z60" i="13"/>
  <c r="AA60" i="13"/>
  <c r="AB60" i="13"/>
  <c r="AC60" i="13"/>
  <c r="AD60" i="13"/>
  <c r="AE60" i="13"/>
  <c r="AF60" i="13"/>
  <c r="AG60" i="13"/>
  <c r="AH60" i="13"/>
  <c r="AI60" i="13"/>
  <c r="AJ60" i="13"/>
  <c r="AK60" i="13"/>
  <c r="AL60" i="13"/>
  <c r="AM60" i="13"/>
  <c r="AN60" i="13"/>
  <c r="AO60" i="13"/>
  <c r="AP60" i="13"/>
  <c r="AQ60" i="13"/>
  <c r="AR60" i="13"/>
  <c r="AS60" i="13"/>
  <c r="AT60" i="13"/>
  <c r="AU60" i="13"/>
  <c r="AV60" i="13"/>
  <c r="AW60" i="13"/>
  <c r="AX60" i="13"/>
  <c r="AY60" i="13"/>
  <c r="AZ60" i="13"/>
  <c r="BA60" i="13"/>
  <c r="BB60" i="13"/>
  <c r="BC60" i="13"/>
  <c r="BD60" i="13"/>
  <c r="BE60" i="13"/>
  <c r="BF60" i="13"/>
  <c r="BG60" i="13"/>
  <c r="BH60" i="13"/>
  <c r="BI60" i="13"/>
  <c r="BJ60" i="13"/>
  <c r="BK60" i="13"/>
  <c r="BL60" i="13"/>
  <c r="BM60" i="13"/>
  <c r="BN60" i="13"/>
  <c r="BO60" i="13"/>
  <c r="A61" i="13"/>
  <c r="B61" i="13"/>
  <c r="C61" i="13"/>
  <c r="D61" i="13"/>
  <c r="E61" i="13"/>
  <c r="F61" i="13"/>
  <c r="G61" i="13"/>
  <c r="H61" i="13"/>
  <c r="I61" i="13"/>
  <c r="J61" i="13"/>
  <c r="K61" i="13"/>
  <c r="L61" i="13"/>
  <c r="M61" i="13"/>
  <c r="N61" i="13"/>
  <c r="O61" i="13"/>
  <c r="P61" i="13"/>
  <c r="Q61" i="13"/>
  <c r="R61" i="13"/>
  <c r="S61" i="13"/>
  <c r="T61" i="13"/>
  <c r="U61" i="13"/>
  <c r="V61" i="13"/>
  <c r="W61" i="13"/>
  <c r="X61" i="13"/>
  <c r="Y61" i="13"/>
  <c r="Z61" i="13"/>
  <c r="AA61" i="13"/>
  <c r="AB61" i="13"/>
  <c r="AC61" i="13"/>
  <c r="AD61" i="13"/>
  <c r="AE61" i="13"/>
  <c r="AF61" i="13"/>
  <c r="AG61" i="13"/>
  <c r="AH61" i="13"/>
  <c r="AI61" i="13"/>
  <c r="AJ61" i="13"/>
  <c r="AK61" i="13"/>
  <c r="AL61" i="13"/>
  <c r="AM61" i="13"/>
  <c r="AN61" i="13"/>
  <c r="AO61" i="13"/>
  <c r="AP61" i="13"/>
  <c r="AQ61" i="13"/>
  <c r="AR61" i="13"/>
  <c r="AS61" i="13"/>
  <c r="AT61" i="13"/>
  <c r="AU61" i="13"/>
  <c r="AV61" i="13"/>
  <c r="AW61" i="13"/>
  <c r="AX61" i="13"/>
  <c r="AY61" i="13"/>
  <c r="AZ61" i="13"/>
  <c r="BA61" i="13"/>
  <c r="BB61" i="13"/>
  <c r="BC61" i="13"/>
  <c r="BD61" i="13"/>
  <c r="BE61" i="13"/>
  <c r="BF61" i="13"/>
  <c r="BG61" i="13"/>
  <c r="BH61" i="13"/>
  <c r="BI61" i="13"/>
  <c r="BJ61" i="13"/>
  <c r="BK61" i="13"/>
  <c r="BL61" i="13"/>
  <c r="BM61" i="13"/>
  <c r="BN61" i="13"/>
  <c r="BO61" i="13"/>
  <c r="A62" i="13"/>
  <c r="B62" i="13"/>
  <c r="C62" i="13"/>
  <c r="D62" i="13"/>
  <c r="E62" i="13"/>
  <c r="F62" i="13"/>
  <c r="G62" i="13"/>
  <c r="H62" i="13"/>
  <c r="I62" i="13"/>
  <c r="J62" i="13"/>
  <c r="K62" i="13"/>
  <c r="L62" i="13"/>
  <c r="M62" i="13"/>
  <c r="N62" i="13"/>
  <c r="O62" i="13"/>
  <c r="P62" i="13"/>
  <c r="Q62" i="13"/>
  <c r="R62" i="13"/>
  <c r="S62" i="13"/>
  <c r="T62" i="13"/>
  <c r="U62" i="13"/>
  <c r="V62" i="13"/>
  <c r="W62" i="13"/>
  <c r="X62" i="13"/>
  <c r="Y62" i="13"/>
  <c r="Z62" i="13"/>
  <c r="AA62" i="13"/>
  <c r="AB62" i="13"/>
  <c r="AC62" i="13"/>
  <c r="AD62" i="13"/>
  <c r="AE62" i="13"/>
  <c r="AF62" i="13"/>
  <c r="AG62" i="13"/>
  <c r="AH62" i="13"/>
  <c r="AI62" i="13"/>
  <c r="AJ62" i="13"/>
  <c r="AK62" i="13"/>
  <c r="AL62" i="13"/>
  <c r="AM62" i="13"/>
  <c r="AN62" i="13"/>
  <c r="AO62" i="13"/>
  <c r="AP62" i="13"/>
  <c r="AQ62" i="13"/>
  <c r="AR62" i="13"/>
  <c r="AS62" i="13"/>
  <c r="AT62" i="13"/>
  <c r="AU62" i="13"/>
  <c r="AV62" i="13"/>
  <c r="AW62" i="13"/>
  <c r="AX62" i="13"/>
  <c r="AY62" i="13"/>
  <c r="AZ62" i="13"/>
  <c r="BA62" i="13"/>
  <c r="BB62" i="13"/>
  <c r="BC62" i="13"/>
  <c r="BD62" i="13"/>
  <c r="BE62" i="13"/>
  <c r="BF62" i="13"/>
  <c r="BG62" i="13"/>
  <c r="BH62" i="13"/>
  <c r="BI62" i="13"/>
  <c r="BJ62" i="13"/>
  <c r="BK62" i="13"/>
  <c r="BL62" i="13"/>
  <c r="BM62" i="13"/>
  <c r="BN62" i="13"/>
  <c r="BO62" i="13"/>
  <c r="A63" i="13"/>
  <c r="B63" i="13"/>
  <c r="C63" i="13"/>
  <c r="D63" i="13"/>
  <c r="E63" i="13"/>
  <c r="F63" i="13"/>
  <c r="G63" i="13"/>
  <c r="H63" i="13"/>
  <c r="I63" i="13"/>
  <c r="J63" i="13"/>
  <c r="K63" i="13"/>
  <c r="L63" i="13"/>
  <c r="M63" i="13"/>
  <c r="N63" i="13"/>
  <c r="O63" i="13"/>
  <c r="P63" i="13"/>
  <c r="Q63" i="13"/>
  <c r="R63" i="13"/>
  <c r="S63" i="13"/>
  <c r="T63" i="13"/>
  <c r="U63" i="13"/>
  <c r="V63" i="13"/>
  <c r="W63" i="13"/>
  <c r="X63" i="13"/>
  <c r="Y63" i="13"/>
  <c r="Z63" i="13"/>
  <c r="AA63" i="13"/>
  <c r="AB63" i="13"/>
  <c r="AC63" i="13"/>
  <c r="AD63" i="13"/>
  <c r="AE63" i="13"/>
  <c r="AF63" i="13"/>
  <c r="AG63" i="13"/>
  <c r="AH63" i="13"/>
  <c r="AI63" i="13"/>
  <c r="AJ63" i="13"/>
  <c r="AK63" i="13"/>
  <c r="AL63" i="13"/>
  <c r="AM63" i="13"/>
  <c r="AN63" i="13"/>
  <c r="AO63" i="13"/>
  <c r="AP63" i="13"/>
  <c r="AQ63" i="13"/>
  <c r="AR63" i="13"/>
  <c r="AS63" i="13"/>
  <c r="AT63" i="13"/>
  <c r="AU63" i="13"/>
  <c r="AV63" i="13"/>
  <c r="AW63" i="13"/>
  <c r="AX63" i="13"/>
  <c r="AY63" i="13"/>
  <c r="AZ63" i="13"/>
  <c r="BA63" i="13"/>
  <c r="BB63" i="13"/>
  <c r="BC63" i="13"/>
  <c r="BD63" i="13"/>
  <c r="BE63" i="13"/>
  <c r="BF63" i="13"/>
  <c r="BG63" i="13"/>
  <c r="BH63" i="13"/>
  <c r="BI63" i="13"/>
  <c r="BJ63" i="13"/>
  <c r="BK63" i="13"/>
  <c r="BL63" i="13"/>
  <c r="BM63" i="13"/>
  <c r="BN63" i="13"/>
  <c r="BO63" i="13"/>
  <c r="A64" i="13"/>
  <c r="B64" i="13"/>
  <c r="C64" i="13"/>
  <c r="D64" i="13"/>
  <c r="E64" i="13"/>
  <c r="F64" i="13"/>
  <c r="G64" i="13"/>
  <c r="H64" i="13"/>
  <c r="I64" i="13"/>
  <c r="J64" i="13"/>
  <c r="K64" i="13"/>
  <c r="L64" i="13"/>
  <c r="M64" i="13"/>
  <c r="N64" i="13"/>
  <c r="O64" i="13"/>
  <c r="P64" i="13"/>
  <c r="Q64" i="13"/>
  <c r="R64" i="13"/>
  <c r="S64" i="13"/>
  <c r="T64" i="13"/>
  <c r="U64" i="13"/>
  <c r="V64" i="13"/>
  <c r="W64" i="13"/>
  <c r="X64" i="13"/>
  <c r="Y64" i="13"/>
  <c r="Z64" i="13"/>
  <c r="AA64" i="13"/>
  <c r="AB64" i="13"/>
  <c r="AC64" i="13"/>
  <c r="AD64" i="13"/>
  <c r="AE64" i="13"/>
  <c r="AF64" i="13"/>
  <c r="AG64" i="13"/>
  <c r="AH64" i="13"/>
  <c r="AI64" i="13"/>
  <c r="AJ64" i="13"/>
  <c r="AK64" i="13"/>
  <c r="AL64" i="13"/>
  <c r="AM64" i="13"/>
  <c r="AN64" i="13"/>
  <c r="AO64" i="13"/>
  <c r="AP64" i="13"/>
  <c r="AQ64" i="13"/>
  <c r="AR64" i="13"/>
  <c r="AS64" i="13"/>
  <c r="AT64" i="13"/>
  <c r="AU64" i="13"/>
  <c r="AV64" i="13"/>
  <c r="AW64" i="13"/>
  <c r="AX64" i="13"/>
  <c r="AY64" i="13"/>
  <c r="AZ64" i="13"/>
  <c r="BA64" i="13"/>
  <c r="BB64" i="13"/>
  <c r="BC64" i="13"/>
  <c r="BD64" i="13"/>
  <c r="BE64" i="13"/>
  <c r="BF64" i="13"/>
  <c r="BG64" i="13"/>
  <c r="BH64" i="13"/>
  <c r="BI64" i="13"/>
  <c r="BJ64" i="13"/>
  <c r="BK64" i="13"/>
  <c r="BL64" i="13"/>
  <c r="BM64" i="13"/>
  <c r="BN64" i="13"/>
  <c r="BO64" i="13"/>
  <c r="A65" i="13"/>
  <c r="B65" i="13"/>
  <c r="C65" i="13"/>
  <c r="D65" i="13"/>
  <c r="E65" i="13"/>
  <c r="F65" i="13"/>
  <c r="G65" i="13"/>
  <c r="H65" i="13"/>
  <c r="I65" i="13"/>
  <c r="J65" i="13"/>
  <c r="K65" i="13"/>
  <c r="L65" i="13"/>
  <c r="M65" i="13"/>
  <c r="N65" i="13"/>
  <c r="O65" i="13"/>
  <c r="P65" i="13"/>
  <c r="Q65" i="13"/>
  <c r="R65" i="13"/>
  <c r="S65" i="13"/>
  <c r="T65" i="13"/>
  <c r="U65" i="13"/>
  <c r="V65" i="13"/>
  <c r="W65" i="13"/>
  <c r="X65" i="13"/>
  <c r="Y65" i="13"/>
  <c r="Z65" i="13"/>
  <c r="AA65" i="13"/>
  <c r="AB65" i="13"/>
  <c r="AC65" i="13"/>
  <c r="AD65" i="13"/>
  <c r="AE65" i="13"/>
  <c r="AF65" i="13"/>
  <c r="AG65" i="13"/>
  <c r="AH65" i="13"/>
  <c r="AI65" i="13"/>
  <c r="AJ65" i="13"/>
  <c r="AK65" i="13"/>
  <c r="AL65" i="13"/>
  <c r="AM65" i="13"/>
  <c r="AN65" i="13"/>
  <c r="AO65" i="13"/>
  <c r="AP65" i="13"/>
  <c r="AQ65" i="13"/>
  <c r="AR65" i="13"/>
  <c r="AS65" i="13"/>
  <c r="AT65" i="13"/>
  <c r="AU65" i="13"/>
  <c r="AV65" i="13"/>
  <c r="AW65" i="13"/>
  <c r="AX65" i="13"/>
  <c r="AY65" i="13"/>
  <c r="AZ65" i="13"/>
  <c r="BA65" i="13"/>
  <c r="BB65" i="13"/>
  <c r="BC65" i="13"/>
  <c r="BD65" i="13"/>
  <c r="BE65" i="13"/>
  <c r="BF65" i="13"/>
  <c r="BG65" i="13"/>
  <c r="BH65" i="13"/>
  <c r="BI65" i="13"/>
  <c r="BJ65" i="13"/>
  <c r="BK65" i="13"/>
  <c r="BL65" i="13"/>
  <c r="BM65" i="13"/>
  <c r="BN65" i="13"/>
  <c r="BO65" i="13"/>
  <c r="A66" i="13"/>
  <c r="B66" i="13"/>
  <c r="C66" i="13"/>
  <c r="D66" i="13"/>
  <c r="E66" i="13"/>
  <c r="F66" i="13"/>
  <c r="G66" i="13"/>
  <c r="H66" i="13"/>
  <c r="I66" i="13"/>
  <c r="J66" i="13"/>
  <c r="K66" i="13"/>
  <c r="L66" i="13"/>
  <c r="M66" i="13"/>
  <c r="N66" i="13"/>
  <c r="O66" i="13"/>
  <c r="P66" i="13"/>
  <c r="Q66" i="13"/>
  <c r="R66" i="13"/>
  <c r="S66" i="13"/>
  <c r="T66" i="13"/>
  <c r="U66" i="13"/>
  <c r="V66" i="13"/>
  <c r="W66" i="13"/>
  <c r="X66" i="13"/>
  <c r="Y66" i="13"/>
  <c r="Z66" i="13"/>
  <c r="AA66" i="13"/>
  <c r="AB66" i="13"/>
  <c r="AC66" i="13"/>
  <c r="AD66" i="13"/>
  <c r="AE66" i="13"/>
  <c r="AF66" i="13"/>
  <c r="AG66" i="13"/>
  <c r="AH66" i="13"/>
  <c r="AI66" i="13"/>
  <c r="AJ66" i="13"/>
  <c r="AK66" i="13"/>
  <c r="AL66" i="13"/>
  <c r="AM66" i="13"/>
  <c r="AN66" i="13"/>
  <c r="AO66" i="13"/>
  <c r="AP66" i="13"/>
  <c r="AQ66" i="13"/>
  <c r="AR66" i="13"/>
  <c r="AS66" i="13"/>
  <c r="AT66" i="13"/>
  <c r="AU66" i="13"/>
  <c r="AV66" i="13"/>
  <c r="AW66" i="13"/>
  <c r="AX66" i="13"/>
  <c r="AY66" i="13"/>
  <c r="AZ66" i="13"/>
  <c r="BA66" i="13"/>
  <c r="BB66" i="13"/>
  <c r="BC66" i="13"/>
  <c r="BD66" i="13"/>
  <c r="BE66" i="13"/>
  <c r="BF66" i="13"/>
  <c r="BG66" i="13"/>
  <c r="BH66" i="13"/>
  <c r="BI66" i="13"/>
  <c r="BJ66" i="13"/>
  <c r="BK66" i="13"/>
  <c r="BL66" i="13"/>
  <c r="BM66" i="13"/>
  <c r="BN66" i="13"/>
  <c r="BO66" i="13"/>
  <c r="A67" i="13"/>
  <c r="B67" i="13"/>
  <c r="C67" i="13"/>
  <c r="D67" i="13"/>
  <c r="E67" i="13"/>
  <c r="F67" i="13"/>
  <c r="G67" i="13"/>
  <c r="H67" i="13"/>
  <c r="I67" i="13"/>
  <c r="J67" i="13"/>
  <c r="K67" i="13"/>
  <c r="L67" i="13"/>
  <c r="M67" i="13"/>
  <c r="N67" i="13"/>
  <c r="O67" i="13"/>
  <c r="P67" i="13"/>
  <c r="Q67" i="13"/>
  <c r="R67" i="13"/>
  <c r="S67" i="13"/>
  <c r="T67" i="13"/>
  <c r="U67" i="13"/>
  <c r="V67" i="13"/>
  <c r="W67" i="13"/>
  <c r="X67" i="13"/>
  <c r="Y67" i="13"/>
  <c r="Z67" i="13"/>
  <c r="AA67" i="13"/>
  <c r="AB67" i="13"/>
  <c r="AC67" i="13"/>
  <c r="AD67" i="13"/>
  <c r="AE67" i="13"/>
  <c r="AF67" i="13"/>
  <c r="AG67" i="13"/>
  <c r="AH67" i="13"/>
  <c r="AI67" i="13"/>
  <c r="AJ67" i="13"/>
  <c r="AK67" i="13"/>
  <c r="AL67" i="13"/>
  <c r="AM67" i="13"/>
  <c r="AN67" i="13"/>
  <c r="AO67" i="13"/>
  <c r="AP67" i="13"/>
  <c r="AQ67" i="13"/>
  <c r="AR67" i="13"/>
  <c r="AS67" i="13"/>
  <c r="AT67" i="13"/>
  <c r="AU67" i="13"/>
  <c r="AV67" i="13"/>
  <c r="AW67" i="13"/>
  <c r="AX67" i="13"/>
  <c r="AY67" i="13"/>
  <c r="AZ67" i="13"/>
  <c r="BA67" i="13"/>
  <c r="BB67" i="13"/>
  <c r="BC67" i="13"/>
  <c r="BD67" i="13"/>
  <c r="BE67" i="13"/>
  <c r="BF67" i="13"/>
  <c r="BG67" i="13"/>
  <c r="BH67" i="13"/>
  <c r="BI67" i="13"/>
  <c r="BJ67" i="13"/>
  <c r="BK67" i="13"/>
  <c r="BL67" i="13"/>
  <c r="BM67" i="13"/>
  <c r="BN67" i="13"/>
  <c r="BO67" i="13"/>
  <c r="A68" i="13"/>
  <c r="B68" i="13"/>
  <c r="C68" i="13"/>
  <c r="D68" i="13"/>
  <c r="E68" i="13"/>
  <c r="F68" i="13"/>
  <c r="G68" i="13"/>
  <c r="H68" i="13"/>
  <c r="I68" i="13"/>
  <c r="J68" i="13"/>
  <c r="K68" i="13"/>
  <c r="L68" i="13"/>
  <c r="M68" i="13"/>
  <c r="N68" i="13"/>
  <c r="O68" i="13"/>
  <c r="P68" i="13"/>
  <c r="Q68" i="13"/>
  <c r="R68" i="13"/>
  <c r="S68" i="13"/>
  <c r="T68" i="13"/>
  <c r="U68" i="13"/>
  <c r="V68" i="13"/>
  <c r="W68" i="13"/>
  <c r="X68" i="13"/>
  <c r="Y68" i="13"/>
  <c r="Z68" i="13"/>
  <c r="AA68" i="13"/>
  <c r="AB68" i="13"/>
  <c r="AC68" i="13"/>
  <c r="AD68" i="13"/>
  <c r="AE68" i="13"/>
  <c r="AF68" i="13"/>
  <c r="AG68" i="13"/>
  <c r="AH68" i="13"/>
  <c r="AI68" i="13"/>
  <c r="AJ68" i="13"/>
  <c r="AK68" i="13"/>
  <c r="AL68" i="13"/>
  <c r="AM68" i="13"/>
  <c r="AN68" i="13"/>
  <c r="AO68" i="13"/>
  <c r="AP68" i="13"/>
  <c r="AQ68" i="13"/>
  <c r="AR68" i="13"/>
  <c r="AS68" i="13"/>
  <c r="AT68" i="13"/>
  <c r="AU68" i="13"/>
  <c r="AV68" i="13"/>
  <c r="AW68" i="13"/>
  <c r="AX68" i="13"/>
  <c r="AY68" i="13"/>
  <c r="AZ68" i="13"/>
  <c r="BA68" i="13"/>
  <c r="BB68" i="13"/>
  <c r="BC68" i="13"/>
  <c r="BD68" i="13"/>
  <c r="BE68" i="13"/>
  <c r="BF68" i="13"/>
  <c r="BG68" i="13"/>
  <c r="BH68" i="13"/>
  <c r="BI68" i="13"/>
  <c r="BJ68" i="13"/>
  <c r="BK68" i="13"/>
  <c r="BL68" i="13"/>
  <c r="BM68" i="13"/>
  <c r="BN68" i="13"/>
  <c r="BO68" i="13"/>
  <c r="A69" i="13"/>
  <c r="B69" i="13"/>
  <c r="C69" i="13"/>
  <c r="D69" i="13"/>
  <c r="E69" i="13"/>
  <c r="F69" i="13"/>
  <c r="G69" i="13"/>
  <c r="H69" i="13"/>
  <c r="I69" i="13"/>
  <c r="J69" i="13"/>
  <c r="K69" i="13"/>
  <c r="L69" i="13"/>
  <c r="M69" i="13"/>
  <c r="N69" i="13"/>
  <c r="O69" i="13"/>
  <c r="P69" i="13"/>
  <c r="Q69" i="13"/>
  <c r="R69" i="13"/>
  <c r="S69" i="13"/>
  <c r="T69" i="13"/>
  <c r="U69" i="13"/>
  <c r="V69" i="13"/>
  <c r="W69" i="13"/>
  <c r="X69" i="13"/>
  <c r="Y69" i="13"/>
  <c r="Z69" i="13"/>
  <c r="AA69" i="13"/>
  <c r="AB69" i="13"/>
  <c r="AC69" i="13"/>
  <c r="AD69" i="13"/>
  <c r="AE69" i="13"/>
  <c r="AF69" i="13"/>
  <c r="AG69" i="13"/>
  <c r="AH69" i="13"/>
  <c r="AI69" i="13"/>
  <c r="AJ69" i="13"/>
  <c r="AK69" i="13"/>
  <c r="AL69" i="13"/>
  <c r="AM69" i="13"/>
  <c r="AN69" i="13"/>
  <c r="AO69" i="13"/>
  <c r="AP69" i="13"/>
  <c r="AQ69" i="13"/>
  <c r="AR69" i="13"/>
  <c r="AS69" i="13"/>
  <c r="AT69" i="13"/>
  <c r="AU69" i="13"/>
  <c r="AV69" i="13"/>
  <c r="AW69" i="13"/>
  <c r="AX69" i="13"/>
  <c r="AY69" i="13"/>
  <c r="AZ69" i="13"/>
  <c r="BA69" i="13"/>
  <c r="BB69" i="13"/>
  <c r="BC69" i="13"/>
  <c r="BD69" i="13"/>
  <c r="BE69" i="13"/>
  <c r="BF69" i="13"/>
  <c r="BG69" i="13"/>
  <c r="BH69" i="13"/>
  <c r="BI69" i="13"/>
  <c r="BJ69" i="13"/>
  <c r="BK69" i="13"/>
  <c r="BL69" i="13"/>
  <c r="BM69" i="13"/>
  <c r="BN69" i="13"/>
  <c r="BO69" i="13"/>
  <c r="A70" i="13"/>
  <c r="B70" i="13"/>
  <c r="C70" i="13"/>
  <c r="D70" i="13"/>
  <c r="E70" i="13"/>
  <c r="F70" i="13"/>
  <c r="G70" i="13"/>
  <c r="H70" i="13"/>
  <c r="I70" i="13"/>
  <c r="J70" i="13"/>
  <c r="K70" i="13"/>
  <c r="L70" i="13"/>
  <c r="M70" i="13"/>
  <c r="N70" i="13"/>
  <c r="O70" i="13"/>
  <c r="P70" i="13"/>
  <c r="Q70" i="13"/>
  <c r="R70" i="13"/>
  <c r="S70" i="13"/>
  <c r="T70" i="13"/>
  <c r="U70" i="13"/>
  <c r="V70" i="13"/>
  <c r="W70" i="13"/>
  <c r="X70" i="13"/>
  <c r="Y70" i="13"/>
  <c r="Z70" i="13"/>
  <c r="AA70" i="13"/>
  <c r="AB70" i="13"/>
  <c r="AC70" i="13"/>
  <c r="AD70" i="13"/>
  <c r="AE70" i="13"/>
  <c r="AF70" i="13"/>
  <c r="AG70" i="13"/>
  <c r="AH70" i="13"/>
  <c r="AI70" i="13"/>
  <c r="AJ70" i="13"/>
  <c r="AK70" i="13"/>
  <c r="AL70" i="13"/>
  <c r="AM70" i="13"/>
  <c r="AN70" i="13"/>
  <c r="AO70" i="13"/>
  <c r="AP70" i="13"/>
  <c r="AQ70" i="13"/>
  <c r="AR70" i="13"/>
  <c r="AS70" i="13"/>
  <c r="AT70" i="13"/>
  <c r="AU70" i="13"/>
  <c r="AV70" i="13"/>
  <c r="AW70" i="13"/>
  <c r="AX70" i="13"/>
  <c r="AY70" i="13"/>
  <c r="AZ70" i="13"/>
  <c r="BA70" i="13"/>
  <c r="BB70" i="13"/>
  <c r="BC70" i="13"/>
  <c r="BD70" i="13"/>
  <c r="BE70" i="13"/>
  <c r="BF70" i="13"/>
  <c r="BG70" i="13"/>
  <c r="BH70" i="13"/>
  <c r="BI70" i="13"/>
  <c r="BJ70" i="13"/>
  <c r="BK70" i="13"/>
  <c r="BL70" i="13"/>
  <c r="BM70" i="13"/>
  <c r="BN70" i="13"/>
  <c r="BO70" i="13"/>
  <c r="A71" i="13"/>
  <c r="B71" i="13"/>
  <c r="C71" i="13"/>
  <c r="D71" i="13"/>
  <c r="E71" i="13"/>
  <c r="F71" i="13"/>
  <c r="G71" i="13"/>
  <c r="H71" i="13"/>
  <c r="I71" i="13"/>
  <c r="J71" i="13"/>
  <c r="K71" i="13"/>
  <c r="L71" i="13"/>
  <c r="M71" i="13"/>
  <c r="N71" i="13"/>
  <c r="O71" i="13"/>
  <c r="P71" i="13"/>
  <c r="Q71" i="13"/>
  <c r="R71" i="13"/>
  <c r="S71" i="13"/>
  <c r="T71" i="13"/>
  <c r="U71" i="13"/>
  <c r="V71" i="13"/>
  <c r="W71" i="13"/>
  <c r="X71" i="13"/>
  <c r="Y71" i="13"/>
  <c r="Z71" i="13"/>
  <c r="AA71" i="13"/>
  <c r="AB71" i="13"/>
  <c r="AC71" i="13"/>
  <c r="AD71" i="13"/>
  <c r="AE71" i="13"/>
  <c r="AF71" i="13"/>
  <c r="AG71" i="13"/>
  <c r="AH71" i="13"/>
  <c r="AI71" i="13"/>
  <c r="AJ71" i="13"/>
  <c r="AK71" i="13"/>
  <c r="AL71" i="13"/>
  <c r="AM71" i="13"/>
  <c r="AN71" i="13"/>
  <c r="AO71" i="13"/>
  <c r="AP71" i="13"/>
  <c r="AQ71" i="13"/>
  <c r="AR71" i="13"/>
  <c r="AS71" i="13"/>
  <c r="AT71" i="13"/>
  <c r="AU71" i="13"/>
  <c r="AV71" i="13"/>
  <c r="AW71" i="13"/>
  <c r="AX71" i="13"/>
  <c r="AY71" i="13"/>
  <c r="AZ71" i="13"/>
  <c r="BA71" i="13"/>
  <c r="BB71" i="13"/>
  <c r="BC71" i="13"/>
  <c r="BD71" i="13"/>
  <c r="BE71" i="13"/>
  <c r="BF71" i="13"/>
  <c r="BG71" i="13"/>
  <c r="BH71" i="13"/>
  <c r="BI71" i="13"/>
  <c r="BJ71" i="13"/>
  <c r="BK71" i="13"/>
  <c r="BL71" i="13"/>
  <c r="BM71" i="13"/>
  <c r="BN71" i="13"/>
  <c r="BO71" i="13"/>
  <c r="A72" i="13"/>
  <c r="B72" i="13"/>
  <c r="C72" i="13"/>
  <c r="D72" i="13"/>
  <c r="E72" i="13"/>
  <c r="F72" i="13"/>
  <c r="G72" i="13"/>
  <c r="H72" i="13"/>
  <c r="I72" i="13"/>
  <c r="J72" i="13"/>
  <c r="K72" i="13"/>
  <c r="L72" i="13"/>
  <c r="M72" i="13"/>
  <c r="N72" i="13"/>
  <c r="O72" i="13"/>
  <c r="P72" i="13"/>
  <c r="Q72" i="13"/>
  <c r="R72" i="13"/>
  <c r="S72" i="13"/>
  <c r="T72" i="13"/>
  <c r="U72" i="13"/>
  <c r="V72" i="13"/>
  <c r="W72" i="13"/>
  <c r="X72" i="13"/>
  <c r="Y72" i="13"/>
  <c r="Z72" i="13"/>
  <c r="AA72" i="13"/>
  <c r="AB72" i="13"/>
  <c r="AC72" i="13"/>
  <c r="AD72" i="13"/>
  <c r="AE72" i="13"/>
  <c r="AF72" i="13"/>
  <c r="AG72" i="13"/>
  <c r="AH72" i="13"/>
  <c r="AI72" i="13"/>
  <c r="AJ72" i="13"/>
  <c r="AK72" i="13"/>
  <c r="AL72" i="13"/>
  <c r="AM72" i="13"/>
  <c r="AN72" i="13"/>
  <c r="AO72" i="13"/>
  <c r="AP72" i="13"/>
  <c r="AQ72" i="13"/>
  <c r="AR72" i="13"/>
  <c r="AS72" i="13"/>
  <c r="AT72" i="13"/>
  <c r="AU72" i="13"/>
  <c r="AV72" i="13"/>
  <c r="AW72" i="13"/>
  <c r="AX72" i="13"/>
  <c r="AY72" i="13"/>
  <c r="AZ72" i="13"/>
  <c r="BA72" i="13"/>
  <c r="BB72" i="13"/>
  <c r="BC72" i="13"/>
  <c r="BD72" i="13"/>
  <c r="BE72" i="13"/>
  <c r="BF72" i="13"/>
  <c r="BG72" i="13"/>
  <c r="BH72" i="13"/>
  <c r="BI72" i="13"/>
  <c r="BJ72" i="13"/>
  <c r="BK72" i="13"/>
  <c r="BL72" i="13"/>
  <c r="BM72" i="13"/>
  <c r="BN72" i="13"/>
  <c r="BO72" i="13"/>
  <c r="A73" i="13"/>
  <c r="B73" i="13"/>
  <c r="C73" i="13"/>
  <c r="D73" i="13"/>
  <c r="E73" i="13"/>
  <c r="F73" i="13"/>
  <c r="G73" i="13"/>
  <c r="H73" i="13"/>
  <c r="I73" i="13"/>
  <c r="J73" i="13"/>
  <c r="K73" i="13"/>
  <c r="L73" i="13"/>
  <c r="M73" i="13"/>
  <c r="N73" i="13"/>
  <c r="O73" i="13"/>
  <c r="P73" i="13"/>
  <c r="Q73" i="13"/>
  <c r="R73" i="13"/>
  <c r="S73" i="13"/>
  <c r="T73" i="13"/>
  <c r="U73" i="13"/>
  <c r="V73" i="13"/>
  <c r="W73" i="13"/>
  <c r="X73" i="13"/>
  <c r="Y73" i="13"/>
  <c r="Z73" i="13"/>
  <c r="AA73" i="13"/>
  <c r="AB73" i="13"/>
  <c r="AC73" i="13"/>
  <c r="AD73" i="13"/>
  <c r="AE73" i="13"/>
  <c r="AF73" i="13"/>
  <c r="AG73" i="13"/>
  <c r="AH73" i="13"/>
  <c r="AI73" i="13"/>
  <c r="AJ73" i="13"/>
  <c r="AK73" i="13"/>
  <c r="AL73" i="13"/>
  <c r="AM73" i="13"/>
  <c r="AN73" i="13"/>
  <c r="AO73" i="13"/>
  <c r="AP73" i="13"/>
  <c r="AQ73" i="13"/>
  <c r="AR73" i="13"/>
  <c r="AS73" i="13"/>
  <c r="AT73" i="13"/>
  <c r="AU73" i="13"/>
  <c r="AV73" i="13"/>
  <c r="AW73" i="13"/>
  <c r="AX73" i="13"/>
  <c r="AY73" i="13"/>
  <c r="AZ73" i="13"/>
  <c r="BA73" i="13"/>
  <c r="BB73" i="13"/>
  <c r="BC73" i="13"/>
  <c r="BD73" i="13"/>
  <c r="BE73" i="13"/>
  <c r="BF73" i="13"/>
  <c r="BG73" i="13"/>
  <c r="BH73" i="13"/>
  <c r="BI73" i="13"/>
  <c r="BJ73" i="13"/>
  <c r="BK73" i="13"/>
  <c r="BL73" i="13"/>
  <c r="BM73" i="13"/>
  <c r="BN73" i="13"/>
  <c r="BO73" i="13"/>
  <c r="A74" i="13"/>
  <c r="B74" i="13"/>
  <c r="C74" i="13"/>
  <c r="D74" i="13"/>
  <c r="E74" i="13"/>
  <c r="F74" i="13"/>
  <c r="G74" i="13"/>
  <c r="H74" i="13"/>
  <c r="I74" i="13"/>
  <c r="J74" i="13"/>
  <c r="K74" i="13"/>
  <c r="L74" i="13"/>
  <c r="M74" i="13"/>
  <c r="N74" i="13"/>
  <c r="O74" i="13"/>
  <c r="P74" i="13"/>
  <c r="Q74" i="13"/>
  <c r="R74" i="13"/>
  <c r="S74" i="13"/>
  <c r="T74" i="13"/>
  <c r="U74" i="13"/>
  <c r="V74" i="13"/>
  <c r="W74" i="13"/>
  <c r="X74" i="13"/>
  <c r="Y74" i="13"/>
  <c r="Z74" i="13"/>
  <c r="AA74" i="13"/>
  <c r="AB74" i="13"/>
  <c r="AC74" i="13"/>
  <c r="AD74" i="13"/>
  <c r="AE74" i="13"/>
  <c r="AF74" i="13"/>
  <c r="AG74" i="13"/>
  <c r="AH74" i="13"/>
  <c r="AI74" i="13"/>
  <c r="AJ74" i="13"/>
  <c r="AK74" i="13"/>
  <c r="AL74" i="13"/>
  <c r="AM74" i="13"/>
  <c r="AN74" i="13"/>
  <c r="AO74" i="13"/>
  <c r="AP74" i="13"/>
  <c r="AQ74" i="13"/>
  <c r="AR74" i="13"/>
  <c r="AS74" i="13"/>
  <c r="AT74" i="13"/>
  <c r="AU74" i="13"/>
  <c r="AV74" i="13"/>
  <c r="AW74" i="13"/>
  <c r="AX74" i="13"/>
  <c r="AY74" i="13"/>
  <c r="AZ74" i="13"/>
  <c r="BA74" i="13"/>
  <c r="BB74" i="13"/>
  <c r="BC74" i="13"/>
  <c r="BD74" i="13"/>
  <c r="BE74" i="13"/>
  <c r="BF74" i="13"/>
  <c r="BG74" i="13"/>
  <c r="BH74" i="13"/>
  <c r="BI74" i="13"/>
  <c r="BJ74" i="13"/>
  <c r="BK74" i="13"/>
  <c r="BL74" i="13"/>
  <c r="BM74" i="13"/>
  <c r="BN74" i="13"/>
  <c r="BO74" i="13"/>
  <c r="A75" i="13"/>
  <c r="B75" i="13"/>
  <c r="C75" i="13"/>
  <c r="D75" i="13"/>
  <c r="E75" i="13"/>
  <c r="F75" i="13"/>
  <c r="G75" i="13"/>
  <c r="H75" i="13"/>
  <c r="I75" i="13"/>
  <c r="J75" i="13"/>
  <c r="K75" i="13"/>
  <c r="L75" i="13"/>
  <c r="M75" i="13"/>
  <c r="N75" i="13"/>
  <c r="O75" i="13"/>
  <c r="P75" i="13"/>
  <c r="Q75" i="13"/>
  <c r="R75" i="13"/>
  <c r="S75" i="13"/>
  <c r="T75" i="13"/>
  <c r="U75" i="13"/>
  <c r="V75" i="13"/>
  <c r="W75" i="13"/>
  <c r="X75" i="13"/>
  <c r="Y75" i="13"/>
  <c r="Z75" i="13"/>
  <c r="AA75" i="13"/>
  <c r="AB75" i="13"/>
  <c r="AC75" i="13"/>
  <c r="AD75" i="13"/>
  <c r="AE75" i="13"/>
  <c r="AF75" i="13"/>
  <c r="AG75" i="13"/>
  <c r="AH75" i="13"/>
  <c r="AI75" i="13"/>
  <c r="AJ75" i="13"/>
  <c r="AK75" i="13"/>
  <c r="AL75" i="13"/>
  <c r="AM75" i="13"/>
  <c r="AN75" i="13"/>
  <c r="AO75" i="13"/>
  <c r="AP75" i="13"/>
  <c r="AQ75" i="13"/>
  <c r="AR75" i="13"/>
  <c r="AS75" i="13"/>
  <c r="AT75" i="13"/>
  <c r="AU75" i="13"/>
  <c r="AV75" i="13"/>
  <c r="AW75" i="13"/>
  <c r="AX75" i="13"/>
  <c r="AY75" i="13"/>
  <c r="AZ75" i="13"/>
  <c r="BA75" i="13"/>
  <c r="BB75" i="13"/>
  <c r="BC75" i="13"/>
  <c r="BD75" i="13"/>
  <c r="BE75" i="13"/>
  <c r="BF75" i="13"/>
  <c r="BG75" i="13"/>
  <c r="BH75" i="13"/>
  <c r="BI75" i="13"/>
  <c r="BJ75" i="13"/>
  <c r="BK75" i="13"/>
  <c r="BL75" i="13"/>
  <c r="BM75" i="13"/>
  <c r="BN75" i="13"/>
  <c r="BO75" i="13"/>
  <c r="A76" i="13"/>
  <c r="B76" i="13"/>
  <c r="C76" i="13"/>
  <c r="D76" i="13"/>
  <c r="E76" i="13"/>
  <c r="F76" i="13"/>
  <c r="G76" i="13"/>
  <c r="H76" i="13"/>
  <c r="I76" i="13"/>
  <c r="J76" i="13"/>
  <c r="K76" i="13"/>
  <c r="L76" i="13"/>
  <c r="M76" i="13"/>
  <c r="N76" i="13"/>
  <c r="O76" i="13"/>
  <c r="P76" i="13"/>
  <c r="Q76" i="13"/>
  <c r="R76" i="13"/>
  <c r="S76" i="13"/>
  <c r="T76" i="13"/>
  <c r="U76" i="13"/>
  <c r="V76" i="13"/>
  <c r="W76" i="13"/>
  <c r="X76" i="13"/>
  <c r="Y76" i="13"/>
  <c r="Z76" i="13"/>
  <c r="AA76" i="13"/>
  <c r="AB76" i="13"/>
  <c r="AC76" i="13"/>
  <c r="AD76" i="13"/>
  <c r="AE76" i="13"/>
  <c r="AF76" i="13"/>
  <c r="AG76" i="13"/>
  <c r="AH76" i="13"/>
  <c r="AI76" i="13"/>
  <c r="AJ76" i="13"/>
  <c r="AK76" i="13"/>
  <c r="AL76" i="13"/>
  <c r="AM76" i="13"/>
  <c r="AN76" i="13"/>
  <c r="AO76" i="13"/>
  <c r="AP76" i="13"/>
  <c r="AQ76" i="13"/>
  <c r="AR76" i="13"/>
  <c r="AS76" i="13"/>
  <c r="AT76" i="13"/>
  <c r="AU76" i="13"/>
  <c r="AV76" i="13"/>
  <c r="AW76" i="13"/>
  <c r="AX76" i="13"/>
  <c r="AY76" i="13"/>
  <c r="AZ76" i="13"/>
  <c r="BA76" i="13"/>
  <c r="BB76" i="13"/>
  <c r="BC76" i="13"/>
  <c r="BD76" i="13"/>
  <c r="BE76" i="13"/>
  <c r="BF76" i="13"/>
  <c r="BG76" i="13"/>
  <c r="BH76" i="13"/>
  <c r="BI76" i="13"/>
  <c r="BJ76" i="13"/>
  <c r="BK76" i="13"/>
  <c r="BL76" i="13"/>
  <c r="BM76" i="13"/>
  <c r="BN76" i="13"/>
  <c r="BO76" i="13"/>
  <c r="A77" i="13"/>
  <c r="B77" i="13"/>
  <c r="C77" i="13"/>
  <c r="D77" i="13"/>
  <c r="E77" i="13"/>
  <c r="F77" i="13"/>
  <c r="G77" i="13"/>
  <c r="H77" i="13"/>
  <c r="I77" i="13"/>
  <c r="J77" i="13"/>
  <c r="K77" i="13"/>
  <c r="L77" i="13"/>
  <c r="M77" i="13"/>
  <c r="N77" i="13"/>
  <c r="O77" i="13"/>
  <c r="P77" i="13"/>
  <c r="Q77" i="13"/>
  <c r="R77" i="13"/>
  <c r="S77" i="13"/>
  <c r="T77" i="13"/>
  <c r="U77" i="13"/>
  <c r="V77" i="13"/>
  <c r="W77" i="13"/>
  <c r="X77" i="13"/>
  <c r="Y77" i="13"/>
  <c r="Z77" i="13"/>
  <c r="AA77" i="13"/>
  <c r="AB77" i="13"/>
  <c r="AC77" i="13"/>
  <c r="AD77" i="13"/>
  <c r="AE77" i="13"/>
  <c r="AF77" i="13"/>
  <c r="AG77" i="13"/>
  <c r="AH77" i="13"/>
  <c r="AI77" i="13"/>
  <c r="AJ77" i="13"/>
  <c r="AK77" i="13"/>
  <c r="AL77" i="13"/>
  <c r="AM77" i="13"/>
  <c r="AN77" i="13"/>
  <c r="AO77" i="13"/>
  <c r="AP77" i="13"/>
  <c r="AQ77" i="13"/>
  <c r="AR77" i="13"/>
  <c r="AS77" i="13"/>
  <c r="AT77" i="13"/>
  <c r="AU77" i="13"/>
  <c r="AV77" i="13"/>
  <c r="AW77" i="13"/>
  <c r="AX77" i="13"/>
  <c r="AY77" i="13"/>
  <c r="AZ77" i="13"/>
  <c r="BA77" i="13"/>
  <c r="BB77" i="13"/>
  <c r="BC77" i="13"/>
  <c r="BD77" i="13"/>
  <c r="BE77" i="13"/>
  <c r="BF77" i="13"/>
  <c r="BG77" i="13"/>
  <c r="BH77" i="13"/>
  <c r="BI77" i="13"/>
  <c r="BJ77" i="13"/>
  <c r="BK77" i="13"/>
  <c r="BL77" i="13"/>
  <c r="BM77" i="13"/>
  <c r="BN77" i="13"/>
  <c r="BO77" i="13"/>
  <c r="A78" i="13"/>
  <c r="B78" i="13"/>
  <c r="C78" i="13"/>
  <c r="D78" i="13"/>
  <c r="E78" i="13"/>
  <c r="F78" i="13"/>
  <c r="G78" i="13"/>
  <c r="H78" i="13"/>
  <c r="I78" i="13"/>
  <c r="J78" i="13"/>
  <c r="K78" i="13"/>
  <c r="L78" i="13"/>
  <c r="M78" i="13"/>
  <c r="N78" i="13"/>
  <c r="O78" i="13"/>
  <c r="P78" i="13"/>
  <c r="Q78" i="13"/>
  <c r="R78" i="13"/>
  <c r="S78" i="13"/>
  <c r="T78" i="13"/>
  <c r="U78" i="13"/>
  <c r="V78" i="13"/>
  <c r="W78" i="13"/>
  <c r="X78" i="13"/>
  <c r="Y78" i="13"/>
  <c r="Z78" i="13"/>
  <c r="AA78" i="13"/>
  <c r="AB78" i="13"/>
  <c r="AC78" i="13"/>
  <c r="AD78" i="13"/>
  <c r="AE78" i="13"/>
  <c r="AF78" i="13"/>
  <c r="AG78" i="13"/>
  <c r="AH78" i="13"/>
  <c r="AI78" i="13"/>
  <c r="AJ78" i="13"/>
  <c r="AK78" i="13"/>
  <c r="AL78" i="13"/>
  <c r="AM78" i="13"/>
  <c r="AN78" i="13"/>
  <c r="AO78" i="13"/>
  <c r="AP78" i="13"/>
  <c r="AQ78" i="13"/>
  <c r="AR78" i="13"/>
  <c r="AS78" i="13"/>
  <c r="AT78" i="13"/>
  <c r="AU78" i="13"/>
  <c r="AV78" i="13"/>
  <c r="AW78" i="13"/>
  <c r="AX78" i="13"/>
  <c r="AY78" i="13"/>
  <c r="AZ78" i="13"/>
  <c r="BA78" i="13"/>
  <c r="BB78" i="13"/>
  <c r="BC78" i="13"/>
  <c r="BD78" i="13"/>
  <c r="BE78" i="13"/>
  <c r="BF78" i="13"/>
  <c r="BG78" i="13"/>
  <c r="BH78" i="13"/>
  <c r="BI78" i="13"/>
  <c r="BJ78" i="13"/>
  <c r="BK78" i="13"/>
  <c r="BL78" i="13"/>
  <c r="BM78" i="13"/>
  <c r="BN78" i="13"/>
  <c r="BO78" i="13"/>
  <c r="A79" i="13"/>
  <c r="B79" i="13"/>
  <c r="C79" i="13"/>
  <c r="D79" i="13"/>
  <c r="E79" i="13"/>
  <c r="F79" i="13"/>
  <c r="G79" i="13"/>
  <c r="H79" i="13"/>
  <c r="I79" i="13"/>
  <c r="J79" i="13"/>
  <c r="K79" i="13"/>
  <c r="L79" i="13"/>
  <c r="M79" i="13"/>
  <c r="N79" i="13"/>
  <c r="O79" i="13"/>
  <c r="P79" i="13"/>
  <c r="Q79" i="13"/>
  <c r="R79" i="13"/>
  <c r="S79" i="13"/>
  <c r="T79" i="13"/>
  <c r="U79" i="13"/>
  <c r="V79" i="13"/>
  <c r="W79" i="13"/>
  <c r="X79" i="13"/>
  <c r="Y79" i="13"/>
  <c r="Z79" i="13"/>
  <c r="AA79" i="13"/>
  <c r="AB79" i="13"/>
  <c r="AC79" i="13"/>
  <c r="AD79" i="13"/>
  <c r="AE79" i="13"/>
  <c r="AF79" i="13"/>
  <c r="AG79" i="13"/>
  <c r="AH79" i="13"/>
  <c r="AI79" i="13"/>
  <c r="AJ79" i="13"/>
  <c r="AK79" i="13"/>
  <c r="AL79" i="13"/>
  <c r="AM79" i="13"/>
  <c r="AN79" i="13"/>
  <c r="AO79" i="13"/>
  <c r="AP79" i="13"/>
  <c r="AQ79" i="13"/>
  <c r="AR79" i="13"/>
  <c r="AS79" i="13"/>
  <c r="AT79" i="13"/>
  <c r="AU79" i="13"/>
  <c r="AV79" i="13"/>
  <c r="AW79" i="13"/>
  <c r="AX79" i="13"/>
  <c r="AY79" i="13"/>
  <c r="AZ79" i="13"/>
  <c r="BA79" i="13"/>
  <c r="BB79" i="13"/>
  <c r="BC79" i="13"/>
  <c r="BD79" i="13"/>
  <c r="BE79" i="13"/>
  <c r="BF79" i="13"/>
  <c r="BG79" i="13"/>
  <c r="BH79" i="13"/>
  <c r="BI79" i="13"/>
  <c r="BJ79" i="13"/>
  <c r="BK79" i="13"/>
  <c r="BL79" i="13"/>
  <c r="BM79" i="13"/>
  <c r="BN79" i="13"/>
  <c r="BO79" i="13"/>
  <c r="A80" i="13"/>
  <c r="B80" i="13"/>
  <c r="C80" i="13"/>
  <c r="D80" i="13"/>
  <c r="E80" i="13"/>
  <c r="F80" i="13"/>
  <c r="G80" i="13"/>
  <c r="H80" i="13"/>
  <c r="I80" i="13"/>
  <c r="J80" i="13"/>
  <c r="K80" i="13"/>
  <c r="L80" i="13"/>
  <c r="M80" i="13"/>
  <c r="N80" i="13"/>
  <c r="O80" i="13"/>
  <c r="P80" i="13"/>
  <c r="Q80" i="13"/>
  <c r="R80" i="13"/>
  <c r="S80" i="13"/>
  <c r="T80" i="13"/>
  <c r="U80" i="13"/>
  <c r="V80" i="13"/>
  <c r="W80" i="13"/>
  <c r="X80" i="13"/>
  <c r="Y80" i="13"/>
  <c r="Z80" i="13"/>
  <c r="AA80" i="13"/>
  <c r="AB80" i="13"/>
  <c r="AC80" i="13"/>
  <c r="AD80" i="13"/>
  <c r="AE80" i="13"/>
  <c r="AF80" i="13"/>
  <c r="AG80" i="13"/>
  <c r="AH80" i="13"/>
  <c r="AI80" i="13"/>
  <c r="AJ80" i="13"/>
  <c r="AK80" i="13"/>
  <c r="AL80" i="13"/>
  <c r="AM80" i="13"/>
  <c r="AN80" i="13"/>
  <c r="AO80" i="13"/>
  <c r="AP80" i="13"/>
  <c r="AQ80" i="13"/>
  <c r="AR80" i="13"/>
  <c r="AS80" i="13"/>
  <c r="AT80" i="13"/>
  <c r="AU80" i="13"/>
  <c r="AV80" i="13"/>
  <c r="AW80" i="13"/>
  <c r="AX80" i="13"/>
  <c r="AY80" i="13"/>
  <c r="AZ80" i="13"/>
  <c r="BA80" i="13"/>
  <c r="BB80" i="13"/>
  <c r="BC80" i="13"/>
  <c r="BD80" i="13"/>
  <c r="BE80" i="13"/>
  <c r="BF80" i="13"/>
  <c r="BG80" i="13"/>
  <c r="BH80" i="13"/>
  <c r="BI80" i="13"/>
  <c r="BJ80" i="13"/>
  <c r="BK80" i="13"/>
  <c r="BL80" i="13"/>
  <c r="BM80" i="13"/>
  <c r="BN80" i="13"/>
  <c r="BO80" i="13"/>
  <c r="A81" i="13"/>
  <c r="B81" i="13"/>
  <c r="C81" i="13"/>
  <c r="D81" i="13"/>
  <c r="E81" i="13"/>
  <c r="F81" i="13"/>
  <c r="G81" i="13"/>
  <c r="H81" i="13"/>
  <c r="I81" i="13"/>
  <c r="J81" i="13"/>
  <c r="K81" i="13"/>
  <c r="L81" i="13"/>
  <c r="M81" i="13"/>
  <c r="N81" i="13"/>
  <c r="O81" i="13"/>
  <c r="P81" i="13"/>
  <c r="Q81" i="13"/>
  <c r="R81" i="13"/>
  <c r="S81" i="13"/>
  <c r="T81" i="13"/>
  <c r="U81" i="13"/>
  <c r="V81" i="13"/>
  <c r="W81" i="13"/>
  <c r="X81" i="13"/>
  <c r="Y81" i="13"/>
  <c r="Z81" i="13"/>
  <c r="AA81" i="13"/>
  <c r="AB81" i="13"/>
  <c r="AC81" i="13"/>
  <c r="AD81" i="13"/>
  <c r="AE81" i="13"/>
  <c r="AF81" i="13"/>
  <c r="AG81" i="13"/>
  <c r="AH81" i="13"/>
  <c r="AI81" i="13"/>
  <c r="AJ81" i="13"/>
  <c r="AK81" i="13"/>
  <c r="AL81" i="13"/>
  <c r="AM81" i="13"/>
  <c r="AN81" i="13"/>
  <c r="AO81" i="13"/>
  <c r="AP81" i="13"/>
  <c r="AQ81" i="13"/>
  <c r="AR81" i="13"/>
  <c r="AS81" i="13"/>
  <c r="AT81" i="13"/>
  <c r="AU81" i="13"/>
  <c r="AV81" i="13"/>
  <c r="AW81" i="13"/>
  <c r="AX81" i="13"/>
  <c r="AY81" i="13"/>
  <c r="AZ81" i="13"/>
  <c r="BA81" i="13"/>
  <c r="BB81" i="13"/>
  <c r="BC81" i="13"/>
  <c r="BD81" i="13"/>
  <c r="BE81" i="13"/>
  <c r="BF81" i="13"/>
  <c r="BG81" i="13"/>
  <c r="BH81" i="13"/>
  <c r="BI81" i="13"/>
  <c r="BJ81" i="13"/>
  <c r="BK81" i="13"/>
  <c r="BL81" i="13"/>
  <c r="BM81" i="13"/>
  <c r="BN81" i="13"/>
  <c r="BO81" i="13"/>
  <c r="A82" i="13"/>
  <c r="B82" i="13"/>
  <c r="C82" i="13"/>
  <c r="D82" i="13"/>
  <c r="E82" i="13"/>
  <c r="F82" i="13"/>
  <c r="G82" i="13"/>
  <c r="H82" i="13"/>
  <c r="I82" i="13"/>
  <c r="J82" i="13"/>
  <c r="K82" i="13"/>
  <c r="L82" i="13"/>
  <c r="M82" i="13"/>
  <c r="N82" i="13"/>
  <c r="O82" i="13"/>
  <c r="P82" i="13"/>
  <c r="Q82" i="13"/>
  <c r="R82" i="13"/>
  <c r="S82" i="13"/>
  <c r="T82" i="13"/>
  <c r="U82" i="13"/>
  <c r="V82" i="13"/>
  <c r="W82" i="13"/>
  <c r="X82" i="13"/>
  <c r="Y82" i="13"/>
  <c r="AA82" i="13"/>
  <c r="AB82" i="13"/>
  <c r="AC82" i="13"/>
  <c r="AD82" i="13"/>
  <c r="AE82" i="13"/>
  <c r="AF82" i="13"/>
  <c r="AG82" i="13"/>
  <c r="AH82" i="13"/>
  <c r="AI82" i="13"/>
  <c r="AJ82" i="13"/>
  <c r="AK82" i="13"/>
  <c r="AL82" i="13"/>
  <c r="AM82" i="13"/>
  <c r="AN82" i="13"/>
  <c r="AO82" i="13"/>
  <c r="AP82" i="13"/>
  <c r="AQ82" i="13"/>
  <c r="AR82" i="13"/>
  <c r="AS82" i="13"/>
  <c r="AT82" i="13"/>
  <c r="AU82" i="13"/>
  <c r="AV82" i="13"/>
  <c r="AW82" i="13"/>
  <c r="AX82" i="13"/>
  <c r="AY82" i="13"/>
  <c r="AZ82" i="13"/>
  <c r="BA82" i="13"/>
  <c r="BB82" i="13"/>
  <c r="BC82" i="13"/>
  <c r="BD82" i="13"/>
  <c r="BE82" i="13"/>
  <c r="BF82" i="13"/>
  <c r="BG82" i="13"/>
  <c r="BH82" i="13"/>
  <c r="BI82" i="13"/>
  <c r="BJ82" i="13"/>
  <c r="BK82" i="13"/>
  <c r="BL82" i="13"/>
  <c r="BM82" i="13"/>
  <c r="BN82" i="13"/>
  <c r="BO82" i="13"/>
  <c r="A83" i="13"/>
  <c r="B83" i="13"/>
  <c r="C83" i="13"/>
  <c r="D83" i="13"/>
  <c r="E83" i="13"/>
  <c r="F83" i="13"/>
  <c r="G83" i="13"/>
  <c r="H83" i="13"/>
  <c r="I83" i="13"/>
  <c r="J83" i="13"/>
  <c r="K83" i="13"/>
  <c r="L83" i="13"/>
  <c r="M83" i="13"/>
  <c r="N83" i="13"/>
  <c r="O83" i="13"/>
  <c r="P83" i="13"/>
  <c r="Q83" i="13"/>
  <c r="R83" i="13"/>
  <c r="S83" i="13"/>
  <c r="T83" i="13"/>
  <c r="U83" i="13"/>
  <c r="V83" i="13"/>
  <c r="W83" i="13"/>
  <c r="X83" i="13"/>
  <c r="Y83" i="13"/>
  <c r="Z83" i="13"/>
  <c r="AA83" i="13"/>
  <c r="AB83" i="13"/>
  <c r="AC83" i="13"/>
  <c r="AD83" i="13"/>
  <c r="AE83" i="13"/>
  <c r="AF83" i="13"/>
  <c r="AG83" i="13"/>
  <c r="AH83" i="13"/>
  <c r="AI83" i="13"/>
  <c r="AJ83" i="13"/>
  <c r="AK83" i="13"/>
  <c r="AL83" i="13"/>
  <c r="AM83" i="13"/>
  <c r="AN83" i="13"/>
  <c r="AO83" i="13"/>
  <c r="AP83" i="13"/>
  <c r="AQ83" i="13"/>
  <c r="AR83" i="13"/>
  <c r="AS83" i="13"/>
  <c r="AT83" i="13"/>
  <c r="AU83" i="13"/>
  <c r="AV83" i="13"/>
  <c r="AW83" i="13"/>
  <c r="AX83" i="13"/>
  <c r="AY83" i="13"/>
  <c r="AZ83" i="13"/>
  <c r="BA83" i="13"/>
  <c r="BB83" i="13"/>
  <c r="BC83" i="13"/>
  <c r="BD83" i="13"/>
  <c r="BE83" i="13"/>
  <c r="BF83" i="13"/>
  <c r="BG83" i="13"/>
  <c r="BH83" i="13"/>
  <c r="BI83" i="13"/>
  <c r="BJ83" i="13"/>
  <c r="BK83" i="13"/>
  <c r="BL83" i="13"/>
  <c r="BM83" i="13"/>
  <c r="BN83" i="13"/>
  <c r="BO83" i="13"/>
  <c r="A84" i="13"/>
  <c r="B84" i="13"/>
  <c r="C84" i="13"/>
  <c r="D84" i="13"/>
  <c r="E84" i="13"/>
  <c r="F84" i="13"/>
  <c r="G84" i="13"/>
  <c r="H84" i="13"/>
  <c r="I84" i="13"/>
  <c r="J84" i="13"/>
  <c r="K84" i="13"/>
  <c r="L84" i="13"/>
  <c r="M84" i="13"/>
  <c r="N84" i="13"/>
  <c r="O84" i="13"/>
  <c r="P84" i="13"/>
  <c r="Q84" i="13"/>
  <c r="R84" i="13"/>
  <c r="S84" i="13"/>
  <c r="T84" i="13"/>
  <c r="U84" i="13"/>
  <c r="V84" i="13"/>
  <c r="W84" i="13"/>
  <c r="X84" i="13"/>
  <c r="Y84" i="13"/>
  <c r="Z84" i="13"/>
  <c r="AA84" i="13"/>
  <c r="AB84" i="13"/>
  <c r="AC84" i="13"/>
  <c r="AD84" i="13"/>
  <c r="AE84" i="13"/>
  <c r="AF84" i="13"/>
  <c r="AG84" i="13"/>
  <c r="AH84" i="13"/>
  <c r="AI84" i="13"/>
  <c r="AJ84" i="13"/>
  <c r="AK84" i="13"/>
  <c r="AL84" i="13"/>
  <c r="AM84" i="13"/>
  <c r="AN84" i="13"/>
  <c r="AO84" i="13"/>
  <c r="AP84" i="13"/>
  <c r="AQ84" i="13"/>
  <c r="AR84" i="13"/>
  <c r="AS84" i="13"/>
  <c r="AT84" i="13"/>
  <c r="AU84" i="13"/>
  <c r="AV84" i="13"/>
  <c r="AW84" i="13"/>
  <c r="AX84" i="13"/>
  <c r="AY84" i="13"/>
  <c r="AZ84" i="13"/>
  <c r="BA84" i="13"/>
  <c r="BB84" i="13"/>
  <c r="BC84" i="13"/>
  <c r="BD84" i="13"/>
  <c r="BE84" i="13"/>
  <c r="BF84" i="13"/>
  <c r="BG84" i="13"/>
  <c r="BH84" i="13"/>
  <c r="BI84" i="13"/>
  <c r="BJ84" i="13"/>
  <c r="BK84" i="13"/>
  <c r="BL84" i="13"/>
  <c r="BM84" i="13"/>
  <c r="BN84" i="13"/>
  <c r="BO84" i="13"/>
  <c r="A85" i="13"/>
  <c r="B85" i="13"/>
  <c r="C85" i="13"/>
  <c r="D85" i="13"/>
  <c r="E85" i="13"/>
  <c r="F85" i="13"/>
  <c r="G85" i="13"/>
  <c r="H85" i="13"/>
  <c r="I85" i="13"/>
  <c r="J85" i="13"/>
  <c r="K85" i="13"/>
  <c r="L85" i="13"/>
  <c r="M85" i="13"/>
  <c r="N85" i="13"/>
  <c r="O85" i="13"/>
  <c r="P85" i="13"/>
  <c r="Q85" i="13"/>
  <c r="R85" i="13"/>
  <c r="S85" i="13"/>
  <c r="T85" i="13"/>
  <c r="U85" i="13"/>
  <c r="V85" i="13"/>
  <c r="W85" i="13"/>
  <c r="X85" i="13"/>
  <c r="Y85" i="13"/>
  <c r="Z85" i="13"/>
  <c r="AA85" i="13"/>
  <c r="AB85" i="13"/>
  <c r="AC85" i="13"/>
  <c r="AD85" i="13"/>
  <c r="AE85" i="13"/>
  <c r="AF85" i="13"/>
  <c r="AG85" i="13"/>
  <c r="AH85" i="13"/>
  <c r="AI85" i="13"/>
  <c r="AJ85" i="13"/>
  <c r="AK85" i="13"/>
  <c r="AL85" i="13"/>
  <c r="AM85" i="13"/>
  <c r="AN85" i="13"/>
  <c r="AO85" i="13"/>
  <c r="AP85" i="13"/>
  <c r="AQ85" i="13"/>
  <c r="AR85" i="13"/>
  <c r="AS85" i="13"/>
  <c r="AT85" i="13"/>
  <c r="AU85" i="13"/>
  <c r="AV85" i="13"/>
  <c r="AW85" i="13"/>
  <c r="AX85" i="13"/>
  <c r="AY85" i="13"/>
  <c r="AZ85" i="13"/>
  <c r="BA85" i="13"/>
  <c r="BB85" i="13"/>
  <c r="BC85" i="13"/>
  <c r="BD85" i="13"/>
  <c r="BE85" i="13"/>
  <c r="BF85" i="13"/>
  <c r="BG85" i="13"/>
  <c r="BH85" i="13"/>
  <c r="BI85" i="13"/>
  <c r="BJ85" i="13"/>
  <c r="BK85" i="13"/>
  <c r="BL85" i="13"/>
  <c r="BM85" i="13"/>
  <c r="BN85" i="13"/>
  <c r="BO85" i="13"/>
  <c r="A86" i="13"/>
  <c r="B86" i="13"/>
  <c r="C86" i="13"/>
  <c r="D86" i="13"/>
  <c r="E86" i="13"/>
  <c r="F86" i="13"/>
  <c r="G86" i="13"/>
  <c r="H86" i="13"/>
  <c r="I86" i="13"/>
  <c r="J86" i="13"/>
  <c r="K86" i="13"/>
  <c r="L86" i="13"/>
  <c r="M86" i="13"/>
  <c r="N86" i="13"/>
  <c r="O86" i="13"/>
  <c r="P86" i="13"/>
  <c r="Q86" i="13"/>
  <c r="R86" i="13"/>
  <c r="S86" i="13"/>
  <c r="T86" i="13"/>
  <c r="U86" i="13"/>
  <c r="V86" i="13"/>
  <c r="W86" i="13"/>
  <c r="X86" i="13"/>
  <c r="Y86" i="13"/>
  <c r="AA86" i="13"/>
  <c r="AB86" i="13"/>
  <c r="AC86" i="13"/>
  <c r="AD86" i="13"/>
  <c r="AE86" i="13"/>
  <c r="AF86" i="13"/>
  <c r="AG86" i="13"/>
  <c r="AH86" i="13"/>
  <c r="AI86" i="13"/>
  <c r="AJ86" i="13"/>
  <c r="AK86" i="13"/>
  <c r="AL86" i="13"/>
  <c r="AM86" i="13"/>
  <c r="AN86" i="13"/>
  <c r="AO86" i="13"/>
  <c r="AP86" i="13"/>
  <c r="AQ86" i="13"/>
  <c r="AR86" i="13"/>
  <c r="AS86" i="13"/>
  <c r="AT86" i="13"/>
  <c r="AU86" i="13"/>
  <c r="AV86" i="13"/>
  <c r="AW86" i="13"/>
  <c r="AX86" i="13"/>
  <c r="AY86" i="13"/>
  <c r="AZ86" i="13"/>
  <c r="BA86" i="13"/>
  <c r="BB86" i="13"/>
  <c r="BC86" i="13"/>
  <c r="BD86" i="13"/>
  <c r="BE86" i="13"/>
  <c r="BF86" i="13"/>
  <c r="BG86" i="13"/>
  <c r="BH86" i="13"/>
  <c r="BI86" i="13"/>
  <c r="BJ86" i="13"/>
  <c r="BK86" i="13"/>
  <c r="BL86" i="13"/>
  <c r="BM86" i="13"/>
  <c r="BN86" i="13"/>
  <c r="BO86" i="13"/>
  <c r="A87" i="13"/>
  <c r="B87" i="13"/>
  <c r="C87" i="13"/>
  <c r="D87" i="13"/>
  <c r="E87" i="13"/>
  <c r="F87" i="13"/>
  <c r="G87" i="13"/>
  <c r="H87" i="13"/>
  <c r="I87" i="13"/>
  <c r="J87" i="13"/>
  <c r="K87" i="13"/>
  <c r="L87" i="13"/>
  <c r="M87" i="13"/>
  <c r="N87" i="13"/>
  <c r="O87" i="13"/>
  <c r="P87" i="13"/>
  <c r="Q87" i="13"/>
  <c r="R87" i="13"/>
  <c r="S87" i="13"/>
  <c r="T87" i="13"/>
  <c r="U87" i="13"/>
  <c r="V87" i="13"/>
  <c r="W87" i="13"/>
  <c r="X87" i="13"/>
  <c r="Y87" i="13"/>
  <c r="AA87" i="13"/>
  <c r="AB87" i="13"/>
  <c r="AC87" i="13"/>
  <c r="AD87" i="13"/>
  <c r="AE87" i="13"/>
  <c r="AF87" i="13"/>
  <c r="AG87" i="13"/>
  <c r="AH87" i="13"/>
  <c r="AI87" i="13"/>
  <c r="AJ87" i="13"/>
  <c r="AK87" i="13"/>
  <c r="AL87" i="13"/>
  <c r="AM87" i="13"/>
  <c r="AN87" i="13"/>
  <c r="AO87" i="13"/>
  <c r="AP87" i="13"/>
  <c r="AQ87" i="13"/>
  <c r="AR87" i="13"/>
  <c r="AS87" i="13"/>
  <c r="AT87" i="13"/>
  <c r="AU87" i="13"/>
  <c r="AV87" i="13"/>
  <c r="AW87" i="13"/>
  <c r="AX87" i="13"/>
  <c r="AY87" i="13"/>
  <c r="AZ87" i="13"/>
  <c r="BA87" i="13"/>
  <c r="BB87" i="13"/>
  <c r="BC87" i="13"/>
  <c r="BD87" i="13"/>
  <c r="BE87" i="13"/>
  <c r="BF87" i="13"/>
  <c r="BG87" i="13"/>
  <c r="BH87" i="13"/>
  <c r="BI87" i="13"/>
  <c r="BJ87" i="13"/>
  <c r="BK87" i="13"/>
  <c r="BL87" i="13"/>
  <c r="BM87" i="13"/>
  <c r="BN87" i="13"/>
  <c r="BO87" i="13"/>
  <c r="A88" i="13"/>
  <c r="B88" i="13"/>
  <c r="C88" i="13"/>
  <c r="D88" i="13"/>
  <c r="E88" i="13"/>
  <c r="F88" i="13"/>
  <c r="G88" i="13"/>
  <c r="H88" i="13"/>
  <c r="I88" i="13"/>
  <c r="J88" i="13"/>
  <c r="K88" i="13"/>
  <c r="L88" i="13"/>
  <c r="M88" i="13"/>
  <c r="N88" i="13"/>
  <c r="O88" i="13"/>
  <c r="P88" i="13"/>
  <c r="Q88" i="13"/>
  <c r="R88" i="13"/>
  <c r="S88" i="13"/>
  <c r="T88" i="13"/>
  <c r="U88" i="13"/>
  <c r="V88" i="13"/>
  <c r="W88" i="13"/>
  <c r="X88" i="13"/>
  <c r="Y88" i="13"/>
  <c r="Z88" i="13"/>
  <c r="AA88" i="13"/>
  <c r="AB88" i="13"/>
  <c r="AC88" i="13"/>
  <c r="AD88" i="13"/>
  <c r="AE88" i="13"/>
  <c r="AF88" i="13"/>
  <c r="AG88" i="13"/>
  <c r="AH88" i="13"/>
  <c r="AI88" i="13"/>
  <c r="AJ88" i="13"/>
  <c r="AK88" i="13"/>
  <c r="AL88" i="13"/>
  <c r="AM88" i="13"/>
  <c r="AN88" i="13"/>
  <c r="AO88" i="13"/>
  <c r="AP88" i="13"/>
  <c r="AQ88" i="13"/>
  <c r="AR88" i="13"/>
  <c r="AS88" i="13"/>
  <c r="AT88" i="13"/>
  <c r="AU88" i="13"/>
  <c r="AV88" i="13"/>
  <c r="AW88" i="13"/>
  <c r="AX88" i="13"/>
  <c r="AY88" i="13"/>
  <c r="AZ88" i="13"/>
  <c r="BA88" i="13"/>
  <c r="BB88" i="13"/>
  <c r="BC88" i="13"/>
  <c r="BD88" i="13"/>
  <c r="BE88" i="13"/>
  <c r="BF88" i="13"/>
  <c r="BG88" i="13"/>
  <c r="BH88" i="13"/>
  <c r="BI88" i="13"/>
  <c r="BJ88" i="13"/>
  <c r="BK88" i="13"/>
  <c r="BL88" i="13"/>
  <c r="BM88" i="13"/>
  <c r="BN88" i="13"/>
  <c r="BO88" i="13"/>
  <c r="A89" i="13"/>
  <c r="B89" i="13"/>
  <c r="C89" i="13"/>
  <c r="D89" i="13"/>
  <c r="E89" i="13"/>
  <c r="F89" i="13"/>
  <c r="G89" i="13"/>
  <c r="H89" i="13"/>
  <c r="I89" i="13"/>
  <c r="J89" i="13"/>
  <c r="K89" i="13"/>
  <c r="L89" i="13"/>
  <c r="M89" i="13"/>
  <c r="N89" i="13"/>
  <c r="O89" i="13"/>
  <c r="P89" i="13"/>
  <c r="Q89" i="13"/>
  <c r="R89" i="13"/>
  <c r="S89" i="13"/>
  <c r="T89" i="13"/>
  <c r="U89" i="13"/>
  <c r="V89" i="13"/>
  <c r="W89" i="13"/>
  <c r="X89" i="13"/>
  <c r="Y89" i="13"/>
  <c r="Z89" i="13"/>
  <c r="AA89" i="13"/>
  <c r="AB89" i="13"/>
  <c r="AD89" i="13"/>
  <c r="AE89" i="13"/>
  <c r="AF89" i="13"/>
  <c r="AG89" i="13"/>
  <c r="AH89" i="13"/>
  <c r="AI89" i="13"/>
  <c r="AJ89" i="13"/>
  <c r="AK89" i="13"/>
  <c r="AL89" i="13"/>
  <c r="AM89" i="13"/>
  <c r="AN89" i="13"/>
  <c r="AO89" i="13"/>
  <c r="AP89" i="13"/>
  <c r="AQ89" i="13"/>
  <c r="AR89" i="13"/>
  <c r="AS89" i="13"/>
  <c r="AT89" i="13"/>
  <c r="AU89" i="13"/>
  <c r="AV89" i="13"/>
  <c r="AW89" i="13"/>
  <c r="AX89" i="13"/>
  <c r="AY89" i="13"/>
  <c r="AZ89" i="13"/>
  <c r="BA89" i="13"/>
  <c r="BB89" i="13"/>
  <c r="BC89" i="13"/>
  <c r="BD89" i="13"/>
  <c r="BE89" i="13"/>
  <c r="BF89" i="13"/>
  <c r="BG89" i="13"/>
  <c r="BH89" i="13"/>
  <c r="BI89" i="13"/>
  <c r="BJ89" i="13"/>
  <c r="BK89" i="13"/>
  <c r="BL89" i="13"/>
  <c r="BM89" i="13"/>
  <c r="BN89" i="13"/>
  <c r="BO89" i="13"/>
  <c r="A90" i="13"/>
  <c r="B90" i="13"/>
  <c r="C90" i="13"/>
  <c r="D90" i="13"/>
  <c r="E90" i="13"/>
  <c r="F90" i="13"/>
  <c r="G90" i="13"/>
  <c r="H90" i="13"/>
  <c r="I90" i="13"/>
  <c r="J90" i="13"/>
  <c r="K90" i="13"/>
  <c r="L90" i="13"/>
  <c r="M90" i="13"/>
  <c r="N90" i="13"/>
  <c r="O90" i="13"/>
  <c r="P90" i="13"/>
  <c r="Q90" i="13"/>
  <c r="R90" i="13"/>
  <c r="S90" i="13"/>
  <c r="T90" i="13"/>
  <c r="U90" i="13"/>
  <c r="V90" i="13"/>
  <c r="X90" i="13"/>
  <c r="Y90" i="13"/>
  <c r="Z90" i="13"/>
  <c r="AA90" i="13"/>
  <c r="AB90" i="13"/>
  <c r="AC90" i="13"/>
  <c r="AD90" i="13"/>
  <c r="AE90" i="13"/>
  <c r="AF90" i="13"/>
  <c r="AG90" i="13"/>
  <c r="AH90" i="13"/>
  <c r="AI90" i="13"/>
  <c r="AJ90" i="13"/>
  <c r="AK90" i="13"/>
  <c r="AL90" i="13"/>
  <c r="AM90" i="13"/>
  <c r="AN90" i="13"/>
  <c r="AO90" i="13"/>
  <c r="AP90" i="13"/>
  <c r="AQ90" i="13"/>
  <c r="AR90" i="13"/>
  <c r="AS90" i="13"/>
  <c r="AT90" i="13"/>
  <c r="AU90" i="13"/>
  <c r="AV90" i="13"/>
  <c r="AW90" i="13"/>
  <c r="AX90" i="13"/>
  <c r="AY90" i="13"/>
  <c r="AZ90" i="13"/>
  <c r="BA90" i="13"/>
  <c r="BB90" i="13"/>
  <c r="BC90" i="13"/>
  <c r="BD90" i="13"/>
  <c r="BE90" i="13"/>
  <c r="BF90" i="13"/>
  <c r="BG90" i="13"/>
  <c r="BH90" i="13"/>
  <c r="BI90" i="13"/>
  <c r="BJ90" i="13"/>
  <c r="BK90" i="13"/>
  <c r="BL90" i="13"/>
  <c r="BM90" i="13"/>
  <c r="BN90" i="13"/>
  <c r="BO90" i="13"/>
  <c r="A91" i="13"/>
  <c r="B91" i="13"/>
  <c r="C91" i="13"/>
  <c r="D91" i="13"/>
  <c r="E91" i="13"/>
  <c r="F91" i="13"/>
  <c r="G91" i="13"/>
  <c r="H91" i="13"/>
  <c r="I91" i="13"/>
  <c r="J91" i="13"/>
  <c r="K91" i="13"/>
  <c r="L91" i="13"/>
  <c r="M91" i="13"/>
  <c r="N91" i="13"/>
  <c r="O91" i="13"/>
  <c r="P91" i="13"/>
  <c r="Q91" i="13"/>
  <c r="R91" i="13"/>
  <c r="S91" i="13"/>
  <c r="T91" i="13"/>
  <c r="U91" i="13"/>
  <c r="V91" i="13"/>
  <c r="W91" i="13"/>
  <c r="X91" i="13"/>
  <c r="Y91" i="13"/>
  <c r="AA91" i="13"/>
  <c r="AB91" i="13"/>
  <c r="AC91" i="13"/>
  <c r="AD91" i="13"/>
  <c r="AE91" i="13"/>
  <c r="AF91" i="13"/>
  <c r="AG91" i="13"/>
  <c r="AH91" i="13"/>
  <c r="AI91" i="13"/>
  <c r="AJ91" i="13"/>
  <c r="AK91" i="13"/>
  <c r="AL91" i="13"/>
  <c r="AM91" i="13"/>
  <c r="AN91" i="13"/>
  <c r="AO91" i="13"/>
  <c r="AP91" i="13"/>
  <c r="AQ91" i="13"/>
  <c r="AR91" i="13"/>
  <c r="AS91" i="13"/>
  <c r="AT91" i="13"/>
  <c r="AU91" i="13"/>
  <c r="AV91" i="13"/>
  <c r="AW91" i="13"/>
  <c r="AX91" i="13"/>
  <c r="AY91" i="13"/>
  <c r="AZ91" i="13"/>
  <c r="BA91" i="13"/>
  <c r="BB91" i="13"/>
  <c r="BC91" i="13"/>
  <c r="BD91" i="13"/>
  <c r="BE91" i="13"/>
  <c r="BF91" i="13"/>
  <c r="BG91" i="13"/>
  <c r="BH91" i="13"/>
  <c r="BI91" i="13"/>
  <c r="BJ91" i="13"/>
  <c r="BK91" i="13"/>
  <c r="BL91" i="13"/>
  <c r="BM91" i="13"/>
  <c r="BN91" i="13"/>
  <c r="BO91" i="13"/>
  <c r="A92" i="13"/>
  <c r="B92" i="13"/>
  <c r="C92" i="13"/>
  <c r="D92" i="13"/>
  <c r="E92" i="13"/>
  <c r="F92" i="13"/>
  <c r="G92" i="13"/>
  <c r="H92" i="13"/>
  <c r="I92" i="13"/>
  <c r="J92" i="13"/>
  <c r="K92" i="13"/>
  <c r="L92" i="13"/>
  <c r="M92" i="13"/>
  <c r="N92" i="13"/>
  <c r="O92" i="13"/>
  <c r="P92" i="13"/>
  <c r="Q92" i="13"/>
  <c r="R92" i="13"/>
  <c r="S92" i="13"/>
  <c r="T92" i="13"/>
  <c r="U92" i="13"/>
  <c r="V92" i="13"/>
  <c r="W92" i="13"/>
  <c r="X92" i="13"/>
  <c r="Y92" i="13"/>
  <c r="Z92" i="13"/>
  <c r="AA92" i="13"/>
  <c r="AB92" i="13"/>
  <c r="AC92" i="13"/>
  <c r="AD92" i="13"/>
  <c r="AE92" i="13"/>
  <c r="AF92" i="13"/>
  <c r="AG92" i="13"/>
  <c r="AH92" i="13"/>
  <c r="AI92" i="13"/>
  <c r="AJ92" i="13"/>
  <c r="AK92" i="13"/>
  <c r="AL92" i="13"/>
  <c r="AM92" i="13"/>
  <c r="AN92" i="13"/>
  <c r="AO92" i="13"/>
  <c r="AP92" i="13"/>
  <c r="AQ92" i="13"/>
  <c r="AR92" i="13"/>
  <c r="AS92" i="13"/>
  <c r="AT92" i="13"/>
  <c r="AU92" i="13"/>
  <c r="AV92" i="13"/>
  <c r="AW92" i="13"/>
  <c r="AX92" i="13"/>
  <c r="AY92" i="13"/>
  <c r="AZ92" i="13"/>
  <c r="BA92" i="13"/>
  <c r="BB92" i="13"/>
  <c r="BC92" i="13"/>
  <c r="BD92" i="13"/>
  <c r="BE92" i="13"/>
  <c r="BF92" i="13"/>
  <c r="BG92" i="13"/>
  <c r="BH92" i="13"/>
  <c r="BI92" i="13"/>
  <c r="BJ92" i="13"/>
  <c r="BK92" i="13"/>
  <c r="BL92" i="13"/>
  <c r="BM92" i="13"/>
  <c r="BN92" i="13"/>
  <c r="BO92" i="13"/>
  <c r="A93" i="13"/>
  <c r="B93" i="13"/>
  <c r="C93" i="13"/>
  <c r="D93" i="13"/>
  <c r="E93" i="13"/>
  <c r="F93" i="13"/>
  <c r="G93" i="13"/>
  <c r="H93" i="13"/>
  <c r="I93" i="13"/>
  <c r="J93" i="13"/>
  <c r="K93" i="13"/>
  <c r="L93" i="13"/>
  <c r="M93" i="13"/>
  <c r="N93" i="13"/>
  <c r="O93" i="13"/>
  <c r="P93" i="13"/>
  <c r="Q93" i="13"/>
  <c r="R93" i="13"/>
  <c r="S93" i="13"/>
  <c r="T93" i="13"/>
  <c r="U93" i="13"/>
  <c r="V93" i="13"/>
  <c r="X93" i="13"/>
  <c r="Y93" i="13"/>
  <c r="Z93" i="13"/>
  <c r="AA93" i="13"/>
  <c r="AB93" i="13"/>
  <c r="AC93" i="13"/>
  <c r="AD93" i="13"/>
  <c r="AE93" i="13"/>
  <c r="AF93" i="13"/>
  <c r="AG93" i="13"/>
  <c r="AH93" i="13"/>
  <c r="AI93" i="13"/>
  <c r="AJ93" i="13"/>
  <c r="AK93" i="13"/>
  <c r="AL93" i="13"/>
  <c r="AM93" i="13"/>
  <c r="AN93" i="13"/>
  <c r="AO93" i="13"/>
  <c r="AP93" i="13"/>
  <c r="AQ93" i="13"/>
  <c r="AR93" i="13"/>
  <c r="AS93" i="13"/>
  <c r="AT93" i="13"/>
  <c r="AU93" i="13"/>
  <c r="AV93" i="13"/>
  <c r="AW93" i="13"/>
  <c r="AX93" i="13"/>
  <c r="AY93" i="13"/>
  <c r="AZ93" i="13"/>
  <c r="BA93" i="13"/>
  <c r="BB93" i="13"/>
  <c r="BC93" i="13"/>
  <c r="BD93" i="13"/>
  <c r="BE93" i="13"/>
  <c r="BF93" i="13"/>
  <c r="BG93" i="13"/>
  <c r="BH93" i="13"/>
  <c r="BI93" i="13"/>
  <c r="BJ93" i="13"/>
  <c r="BK93" i="13"/>
  <c r="BL93" i="13"/>
  <c r="BM93" i="13"/>
  <c r="BN93" i="13"/>
  <c r="BO93" i="13"/>
  <c r="A94" i="13"/>
  <c r="B94" i="13"/>
  <c r="C94" i="13"/>
  <c r="D94" i="13"/>
  <c r="E94" i="13"/>
  <c r="F94" i="13"/>
  <c r="G94" i="13"/>
  <c r="H94" i="13"/>
  <c r="I94" i="13"/>
  <c r="J94" i="13"/>
  <c r="K94" i="13"/>
  <c r="L94" i="13"/>
  <c r="M94" i="13"/>
  <c r="N94" i="13"/>
  <c r="O94" i="13"/>
  <c r="P94" i="13"/>
  <c r="Q94" i="13"/>
  <c r="R94" i="13"/>
  <c r="S94" i="13"/>
  <c r="T94" i="13"/>
  <c r="U94" i="13"/>
  <c r="V94" i="13"/>
  <c r="W94" i="13"/>
  <c r="X94" i="13"/>
  <c r="Y94" i="13"/>
  <c r="Z94" i="13"/>
  <c r="AA94" i="13"/>
  <c r="AB94" i="13"/>
  <c r="AD94" i="13"/>
  <c r="AE94" i="13"/>
  <c r="AF94" i="13"/>
  <c r="AG94" i="13"/>
  <c r="AH94" i="13"/>
  <c r="AI94" i="13"/>
  <c r="AJ94" i="13"/>
  <c r="AK94" i="13"/>
  <c r="AL94" i="13"/>
  <c r="AM94" i="13"/>
  <c r="AN94" i="13"/>
  <c r="AO94" i="13"/>
  <c r="AP94" i="13"/>
  <c r="AQ94" i="13"/>
  <c r="AR94" i="13"/>
  <c r="AS94" i="13"/>
  <c r="AT94" i="13"/>
  <c r="AU94" i="13"/>
  <c r="AV94" i="13"/>
  <c r="AW94" i="13"/>
  <c r="AX94" i="13"/>
  <c r="AY94" i="13"/>
  <c r="AZ94" i="13"/>
  <c r="BA94" i="13"/>
  <c r="BB94" i="13"/>
  <c r="BC94" i="13"/>
  <c r="BD94" i="13"/>
  <c r="BE94" i="13"/>
  <c r="BF94" i="13"/>
  <c r="BG94" i="13"/>
  <c r="BH94" i="13"/>
  <c r="BI94" i="13"/>
  <c r="BJ94" i="13"/>
  <c r="BK94" i="13"/>
  <c r="BL94" i="13"/>
  <c r="BM94" i="13"/>
  <c r="BN94" i="13"/>
  <c r="BO94" i="13"/>
  <c r="A95" i="13"/>
  <c r="B95" i="13"/>
  <c r="C95" i="13"/>
  <c r="D95" i="13"/>
  <c r="E95" i="13"/>
  <c r="F95" i="13"/>
  <c r="G95" i="13"/>
  <c r="H95" i="13"/>
  <c r="I95" i="13"/>
  <c r="J95" i="13"/>
  <c r="K95" i="13"/>
  <c r="L95" i="13"/>
  <c r="M95" i="13"/>
  <c r="N95" i="13"/>
  <c r="O95" i="13"/>
  <c r="P95" i="13"/>
  <c r="Q95" i="13"/>
  <c r="R95" i="13"/>
  <c r="S95" i="13"/>
  <c r="T95" i="13"/>
  <c r="U95" i="13"/>
  <c r="V95" i="13"/>
  <c r="W95" i="13"/>
  <c r="X95" i="13"/>
  <c r="Y95" i="13"/>
  <c r="Z95" i="13"/>
  <c r="AA95" i="13"/>
  <c r="AB95" i="13"/>
  <c r="AC95" i="13"/>
  <c r="AD95" i="13"/>
  <c r="AE95" i="13"/>
  <c r="AF95" i="13"/>
  <c r="AG95" i="13"/>
  <c r="AH95" i="13"/>
  <c r="AI95" i="13"/>
  <c r="AJ95" i="13"/>
  <c r="AK95" i="13"/>
  <c r="AL95" i="13"/>
  <c r="AM95" i="13"/>
  <c r="AN95" i="13"/>
  <c r="AO95" i="13"/>
  <c r="AP95" i="13"/>
  <c r="AQ95" i="13"/>
  <c r="AR95" i="13"/>
  <c r="AS95" i="13"/>
  <c r="AT95" i="13"/>
  <c r="AU95" i="13"/>
  <c r="AV95" i="13"/>
  <c r="AW95" i="13"/>
  <c r="AX95" i="13"/>
  <c r="AY95" i="13"/>
  <c r="AZ95" i="13"/>
  <c r="BA95" i="13"/>
  <c r="BB95" i="13"/>
  <c r="BC95" i="13"/>
  <c r="BD95" i="13"/>
  <c r="BE95" i="13"/>
  <c r="BF95" i="13"/>
  <c r="BG95" i="13"/>
  <c r="BH95" i="13"/>
  <c r="BI95" i="13"/>
  <c r="BJ95" i="13"/>
  <c r="BK95" i="13"/>
  <c r="BL95" i="13"/>
  <c r="BM95" i="13"/>
  <c r="BN95" i="13"/>
  <c r="BO95" i="13"/>
  <c r="A96" i="13"/>
  <c r="B96" i="13"/>
  <c r="C96" i="13"/>
  <c r="D96" i="13"/>
  <c r="E96" i="13"/>
  <c r="F96" i="13"/>
  <c r="G96" i="13"/>
  <c r="H96" i="13"/>
  <c r="I96" i="13"/>
  <c r="J96" i="13"/>
  <c r="K96" i="13"/>
  <c r="L96" i="13"/>
  <c r="M96" i="13"/>
  <c r="N96" i="13"/>
  <c r="O96" i="13"/>
  <c r="P96" i="13"/>
  <c r="Q96" i="13"/>
  <c r="R96" i="13"/>
  <c r="S96" i="13"/>
  <c r="T96" i="13"/>
  <c r="U96" i="13"/>
  <c r="V96" i="13"/>
  <c r="W96" i="13"/>
  <c r="X96" i="13"/>
  <c r="Y96" i="13"/>
  <c r="Z96" i="13"/>
  <c r="AA96" i="13"/>
  <c r="AB96" i="13"/>
  <c r="AC96" i="13"/>
  <c r="AD96" i="13"/>
  <c r="AE96" i="13"/>
  <c r="AF96" i="13"/>
  <c r="AG96" i="13"/>
  <c r="AH96" i="13"/>
  <c r="AI96" i="13"/>
  <c r="AJ96" i="13"/>
  <c r="AK96" i="13"/>
  <c r="AL96" i="13"/>
  <c r="AM96" i="13"/>
  <c r="AN96" i="13"/>
  <c r="AP96" i="13"/>
  <c r="AQ96" i="13"/>
  <c r="AR96" i="13"/>
  <c r="AS96" i="13"/>
  <c r="AT96" i="13"/>
  <c r="AU96" i="13"/>
  <c r="AV96" i="13"/>
  <c r="AW96" i="13"/>
  <c r="AX96" i="13"/>
  <c r="AY96" i="13"/>
  <c r="AZ96" i="13"/>
  <c r="BA96" i="13"/>
  <c r="BB96" i="13"/>
  <c r="BC96" i="13"/>
  <c r="BD96" i="13"/>
  <c r="BE96" i="13"/>
  <c r="BF96" i="13"/>
  <c r="BG96" i="13"/>
  <c r="BH96" i="13"/>
  <c r="BI96" i="13"/>
  <c r="BJ96" i="13"/>
  <c r="BK96" i="13"/>
  <c r="BL96" i="13"/>
  <c r="BM96" i="13"/>
  <c r="BN96" i="13"/>
  <c r="BO96" i="13"/>
  <c r="A97" i="13"/>
  <c r="B97" i="13"/>
  <c r="C97" i="13"/>
  <c r="D97" i="13"/>
  <c r="E97" i="13"/>
  <c r="F97" i="13"/>
  <c r="G97" i="13"/>
  <c r="H97" i="13"/>
  <c r="I97" i="13"/>
  <c r="J97" i="13"/>
  <c r="K97" i="13"/>
  <c r="L97" i="13"/>
  <c r="M97" i="13"/>
  <c r="N97" i="13"/>
  <c r="O97" i="13"/>
  <c r="P97" i="13"/>
  <c r="Q97" i="13"/>
  <c r="R97" i="13"/>
  <c r="S97" i="13"/>
  <c r="T97" i="13"/>
  <c r="U97" i="13"/>
  <c r="V97" i="13"/>
  <c r="W97" i="13"/>
  <c r="X97" i="13"/>
  <c r="Y97" i="13"/>
  <c r="Z97" i="13"/>
  <c r="AA97" i="13"/>
  <c r="AB97" i="13"/>
  <c r="AD97" i="13"/>
  <c r="AE97" i="13"/>
  <c r="AF97" i="13"/>
  <c r="AG97" i="13"/>
  <c r="AH97" i="13"/>
  <c r="AI97" i="13"/>
  <c r="AJ97" i="13"/>
  <c r="AK97" i="13"/>
  <c r="AL97" i="13"/>
  <c r="AM97" i="13"/>
  <c r="AN97" i="13"/>
  <c r="AO97" i="13"/>
  <c r="AP97" i="13"/>
  <c r="AQ97" i="13"/>
  <c r="AR97" i="13"/>
  <c r="AS97" i="13"/>
  <c r="AT97" i="13"/>
  <c r="AU97" i="13"/>
  <c r="AV97" i="13"/>
  <c r="AW97" i="13"/>
  <c r="AX97" i="13"/>
  <c r="AY97" i="13"/>
  <c r="AZ97" i="13"/>
  <c r="BA97" i="13"/>
  <c r="BB97" i="13"/>
  <c r="BC97" i="13"/>
  <c r="BD97" i="13"/>
  <c r="BE97" i="13"/>
  <c r="BF97" i="13"/>
  <c r="BG97" i="13"/>
  <c r="BH97" i="13"/>
  <c r="BI97" i="13"/>
  <c r="BJ97" i="13"/>
  <c r="BK97" i="13"/>
  <c r="BL97" i="13"/>
  <c r="BN97" i="13"/>
  <c r="BO97" i="13"/>
  <c r="A98" i="13"/>
  <c r="B98" i="13"/>
  <c r="C98" i="13"/>
  <c r="D98" i="13"/>
  <c r="E98" i="13"/>
  <c r="F98" i="13"/>
  <c r="G98" i="13"/>
  <c r="H98" i="13"/>
  <c r="I98" i="13"/>
  <c r="J98" i="13"/>
  <c r="K98" i="13"/>
  <c r="L98" i="13"/>
  <c r="M98" i="13"/>
  <c r="N98" i="13"/>
  <c r="O98" i="13"/>
  <c r="P98" i="13"/>
  <c r="Q98" i="13"/>
  <c r="R98" i="13"/>
  <c r="S98" i="13"/>
  <c r="T98" i="13"/>
  <c r="U98" i="13"/>
  <c r="V98" i="13"/>
  <c r="W98" i="13"/>
  <c r="X98" i="13"/>
  <c r="Y98" i="13"/>
  <c r="AA98" i="13"/>
  <c r="AB98" i="13"/>
  <c r="AC98" i="13"/>
  <c r="AD98" i="13"/>
  <c r="AE98" i="13"/>
  <c r="AF98" i="13"/>
  <c r="AG98" i="13"/>
  <c r="AH98" i="13"/>
  <c r="AI98" i="13"/>
  <c r="AJ98" i="13"/>
  <c r="AK98" i="13"/>
  <c r="AL98" i="13"/>
  <c r="AM98" i="13"/>
  <c r="AN98" i="13"/>
  <c r="AO98" i="13"/>
  <c r="AP98" i="13"/>
  <c r="AQ98" i="13"/>
  <c r="AR98" i="13"/>
  <c r="AS98" i="13"/>
  <c r="AT98" i="13"/>
  <c r="AU98" i="13"/>
  <c r="AV98" i="13"/>
  <c r="AW98" i="13"/>
  <c r="AX98" i="13"/>
  <c r="AY98" i="13"/>
  <c r="AZ98" i="13"/>
  <c r="BA98" i="13"/>
  <c r="BB98" i="13"/>
  <c r="BC98" i="13"/>
  <c r="BD98" i="13"/>
  <c r="BE98" i="13"/>
  <c r="BF98" i="13"/>
  <c r="BG98" i="13"/>
  <c r="BH98" i="13"/>
  <c r="BI98" i="13"/>
  <c r="BJ98" i="13"/>
  <c r="BK98" i="13"/>
  <c r="BL98" i="13"/>
  <c r="BM98" i="13"/>
  <c r="BN98" i="13"/>
  <c r="BO98" i="13"/>
  <c r="A99" i="13"/>
  <c r="B99" i="13"/>
  <c r="C99" i="13"/>
  <c r="D99" i="13"/>
  <c r="E99" i="13"/>
  <c r="F99" i="13"/>
  <c r="G99" i="13"/>
  <c r="H99" i="13"/>
  <c r="I99" i="13"/>
  <c r="J99" i="13"/>
  <c r="K99" i="13"/>
  <c r="L99" i="13"/>
  <c r="M99" i="13"/>
  <c r="N99" i="13"/>
  <c r="O99" i="13"/>
  <c r="P99" i="13"/>
  <c r="Q99" i="13"/>
  <c r="R99" i="13"/>
  <c r="S99" i="13"/>
  <c r="T99" i="13"/>
  <c r="U99" i="13"/>
  <c r="V99" i="13"/>
  <c r="W99" i="13"/>
  <c r="X99" i="13"/>
  <c r="Y99" i="13"/>
  <c r="Z99" i="13"/>
  <c r="AA99" i="13"/>
  <c r="AB99" i="13"/>
  <c r="AC99" i="13"/>
  <c r="AD99" i="13"/>
  <c r="AE99" i="13"/>
  <c r="AF99" i="13"/>
  <c r="AG99" i="13"/>
  <c r="AH99" i="13"/>
  <c r="AI99" i="13"/>
  <c r="AJ99" i="13"/>
  <c r="AK99" i="13"/>
  <c r="AL99" i="13"/>
  <c r="AM99" i="13"/>
  <c r="AN99" i="13"/>
  <c r="AO99" i="13"/>
  <c r="AP99" i="13"/>
  <c r="AQ99" i="13"/>
  <c r="AR99" i="13"/>
  <c r="AS99" i="13"/>
  <c r="AT99" i="13"/>
  <c r="AU99" i="13"/>
  <c r="AV99" i="13"/>
  <c r="AW99" i="13"/>
  <c r="AX99" i="13"/>
  <c r="AY99" i="13"/>
  <c r="AZ99" i="13"/>
  <c r="BA99" i="13"/>
  <c r="BB99" i="13"/>
  <c r="BC99" i="13"/>
  <c r="BD99" i="13"/>
  <c r="BE99" i="13"/>
  <c r="BF99" i="13"/>
  <c r="BG99" i="13"/>
  <c r="BH99" i="13"/>
  <c r="BI99" i="13"/>
  <c r="BJ99" i="13"/>
  <c r="BK99" i="13"/>
  <c r="BL99" i="13"/>
  <c r="BN99" i="13"/>
  <c r="BO99" i="13"/>
  <c r="A100" i="13"/>
  <c r="B100" i="13"/>
  <c r="C100" i="13"/>
  <c r="D100" i="13"/>
  <c r="E100" i="13"/>
  <c r="F100" i="13"/>
  <c r="G100" i="13"/>
  <c r="H100" i="13"/>
  <c r="I100" i="13"/>
  <c r="J100" i="13"/>
  <c r="K100" i="13"/>
  <c r="L100" i="13"/>
  <c r="M100" i="13"/>
  <c r="N100" i="13"/>
  <c r="O100" i="13"/>
  <c r="P100" i="13"/>
  <c r="Q100" i="13"/>
  <c r="R100" i="13"/>
  <c r="S100" i="13"/>
  <c r="T100" i="13"/>
  <c r="U100" i="13"/>
  <c r="V100" i="13"/>
  <c r="W100" i="13"/>
  <c r="X100" i="13"/>
  <c r="Y100" i="13"/>
  <c r="Z100" i="13"/>
  <c r="AA100" i="13"/>
  <c r="AB100" i="13"/>
  <c r="AC100" i="13"/>
  <c r="AD100" i="13"/>
  <c r="AE100" i="13"/>
  <c r="AF100" i="13"/>
  <c r="AG100" i="13"/>
  <c r="AH100" i="13"/>
  <c r="AI100" i="13"/>
  <c r="AJ100" i="13"/>
  <c r="AK100" i="13"/>
  <c r="AL100" i="13"/>
  <c r="AM100" i="13"/>
  <c r="AN100" i="13"/>
  <c r="AO100" i="13"/>
  <c r="AP100" i="13"/>
  <c r="AQ100" i="13"/>
  <c r="AR100" i="13"/>
  <c r="AS100" i="13"/>
  <c r="AT100" i="13"/>
  <c r="AU100" i="13"/>
  <c r="AV100" i="13"/>
  <c r="AW100" i="13"/>
  <c r="AX100" i="13"/>
  <c r="AY100" i="13"/>
  <c r="AZ100" i="13"/>
  <c r="BA100" i="13"/>
  <c r="BB100" i="13"/>
  <c r="BC100" i="13"/>
  <c r="BD100" i="13"/>
  <c r="BE100" i="13"/>
  <c r="BF100" i="13"/>
  <c r="BG100" i="13"/>
  <c r="BH100" i="13"/>
  <c r="BI100" i="13"/>
  <c r="BJ100" i="13"/>
  <c r="BK100" i="13"/>
  <c r="BL100" i="13"/>
  <c r="BM100" i="13"/>
  <c r="BN100" i="13"/>
  <c r="BO100" i="13"/>
  <c r="A101" i="13"/>
  <c r="B101" i="13"/>
  <c r="C101" i="13"/>
  <c r="D101" i="13"/>
  <c r="E101" i="13"/>
  <c r="F101" i="13"/>
  <c r="G101" i="13"/>
  <c r="H101" i="13"/>
  <c r="I101" i="13"/>
  <c r="J101" i="13"/>
  <c r="K101" i="13"/>
  <c r="L101" i="13"/>
  <c r="M101" i="13"/>
  <c r="N101" i="13"/>
  <c r="O101" i="13"/>
  <c r="P101" i="13"/>
  <c r="Q101" i="13"/>
  <c r="R101" i="13"/>
  <c r="S101" i="13"/>
  <c r="T101" i="13"/>
  <c r="U101" i="13"/>
  <c r="V101" i="13"/>
  <c r="W101" i="13"/>
  <c r="X101" i="13"/>
  <c r="Y101" i="13"/>
  <c r="Z101" i="13"/>
  <c r="AA101" i="13"/>
  <c r="AB101" i="13"/>
  <c r="AC101" i="13"/>
  <c r="AD101" i="13"/>
  <c r="AE101" i="13"/>
  <c r="AF101" i="13"/>
  <c r="AG101" i="13"/>
  <c r="AH101" i="13"/>
  <c r="AI101" i="13"/>
  <c r="AJ101" i="13"/>
  <c r="AK101" i="13"/>
  <c r="AL101" i="13"/>
  <c r="AM101" i="13"/>
  <c r="AN101" i="13"/>
  <c r="AO101" i="13"/>
  <c r="AP101" i="13"/>
  <c r="AQ101" i="13"/>
  <c r="AR101" i="13"/>
  <c r="AS101" i="13"/>
  <c r="AT101" i="13"/>
  <c r="AU101" i="13"/>
  <c r="AV101" i="13"/>
  <c r="AW101" i="13"/>
  <c r="AX101" i="13"/>
  <c r="AY101" i="13"/>
  <c r="AZ101" i="13"/>
  <c r="BA101" i="13"/>
  <c r="BB101" i="13"/>
  <c r="BC101" i="13"/>
  <c r="BD101" i="13"/>
  <c r="BE101" i="13"/>
  <c r="BF101" i="13"/>
  <c r="BG101" i="13"/>
  <c r="BH101" i="13"/>
  <c r="BI101" i="13"/>
  <c r="BJ101" i="13"/>
  <c r="BK101" i="13"/>
  <c r="BL101" i="13"/>
  <c r="BM101" i="13"/>
  <c r="BN101" i="13"/>
  <c r="BO101" i="13"/>
  <c r="A102" i="13"/>
  <c r="B102" i="13"/>
  <c r="C102" i="13"/>
  <c r="D102" i="13"/>
  <c r="E102" i="13"/>
  <c r="F102" i="13"/>
  <c r="G102" i="13"/>
  <c r="H102" i="13"/>
  <c r="I102" i="13"/>
  <c r="J102" i="13"/>
  <c r="K102" i="13"/>
  <c r="L102" i="13"/>
  <c r="M102" i="13"/>
  <c r="N102" i="13"/>
  <c r="O102" i="13"/>
  <c r="P102" i="13"/>
  <c r="Q102" i="13"/>
  <c r="R102" i="13"/>
  <c r="S102" i="13"/>
  <c r="T102" i="13"/>
  <c r="U102" i="13"/>
  <c r="V102" i="13"/>
  <c r="W102" i="13"/>
  <c r="X102" i="13"/>
  <c r="Y102" i="13"/>
  <c r="Z102" i="13"/>
  <c r="AA102" i="13"/>
  <c r="AB102" i="13"/>
  <c r="AC102" i="13"/>
  <c r="AD102" i="13"/>
  <c r="AE102" i="13"/>
  <c r="AF102" i="13"/>
  <c r="AG102" i="13"/>
  <c r="AH102" i="13"/>
  <c r="AI102" i="13"/>
  <c r="AJ102" i="13"/>
  <c r="AK102" i="13"/>
  <c r="AL102" i="13"/>
  <c r="AM102" i="13"/>
  <c r="AN102" i="13"/>
  <c r="AO102" i="13"/>
  <c r="AP102" i="13"/>
  <c r="AQ102" i="13"/>
  <c r="AR102" i="13"/>
  <c r="AS102" i="13"/>
  <c r="AT102" i="13"/>
  <c r="AU102" i="13"/>
  <c r="AV102" i="13"/>
  <c r="AW102" i="13"/>
  <c r="AX102" i="13"/>
  <c r="AY102" i="13"/>
  <c r="AZ102" i="13"/>
  <c r="BA102" i="13"/>
  <c r="BB102" i="13"/>
  <c r="BC102" i="13"/>
  <c r="BD102" i="13"/>
  <c r="BE102" i="13"/>
  <c r="BF102" i="13"/>
  <c r="BG102" i="13"/>
  <c r="BH102" i="13"/>
  <c r="BI102" i="13"/>
  <c r="BJ102" i="13"/>
  <c r="BK102" i="13"/>
  <c r="BL102" i="13"/>
  <c r="BM102" i="13"/>
  <c r="BN102" i="13"/>
  <c r="BO102" i="13"/>
  <c r="A103" i="13"/>
  <c r="B103" i="13"/>
  <c r="C103" i="13"/>
  <c r="D103" i="13"/>
  <c r="E103" i="13"/>
  <c r="F103" i="13"/>
  <c r="G103" i="13"/>
  <c r="H103" i="13"/>
  <c r="I103" i="13"/>
  <c r="J103" i="13"/>
  <c r="K103" i="13"/>
  <c r="L103" i="13"/>
  <c r="M103" i="13"/>
  <c r="N103" i="13"/>
  <c r="O103" i="13"/>
  <c r="P103" i="13"/>
  <c r="Q103" i="13"/>
  <c r="R103" i="13"/>
  <c r="S103" i="13"/>
  <c r="T103" i="13"/>
  <c r="U103" i="13"/>
  <c r="V103" i="13"/>
  <c r="W103" i="13"/>
  <c r="X103" i="13"/>
  <c r="Y103" i="13"/>
  <c r="Z103" i="13"/>
  <c r="AA103" i="13"/>
  <c r="AB103" i="13"/>
  <c r="AC103" i="13"/>
  <c r="AD103" i="13"/>
  <c r="AE103" i="13"/>
  <c r="AF103" i="13"/>
  <c r="AG103" i="13"/>
  <c r="AH103" i="13"/>
  <c r="AI103" i="13"/>
  <c r="AJ103" i="13"/>
  <c r="AK103" i="13"/>
  <c r="AL103" i="13"/>
  <c r="AM103" i="13"/>
  <c r="AN103" i="13"/>
  <c r="AO103" i="13"/>
  <c r="AP103" i="13"/>
  <c r="AQ103" i="13"/>
  <c r="AR103" i="13"/>
  <c r="AS103" i="13"/>
  <c r="AT103" i="13"/>
  <c r="AU103" i="13"/>
  <c r="AV103" i="13"/>
  <c r="AW103" i="13"/>
  <c r="AX103" i="13"/>
  <c r="AY103" i="13"/>
  <c r="AZ103" i="13"/>
  <c r="BA103" i="13"/>
  <c r="BB103" i="13"/>
  <c r="BC103" i="13"/>
  <c r="BD103" i="13"/>
  <c r="BE103" i="13"/>
  <c r="BF103" i="13"/>
  <c r="BG103" i="13"/>
  <c r="BH103" i="13"/>
  <c r="BI103" i="13"/>
  <c r="BJ103" i="13"/>
  <c r="BK103" i="13"/>
  <c r="BL103" i="13"/>
  <c r="BM103" i="13"/>
  <c r="BN103" i="13"/>
  <c r="BO103" i="13"/>
  <c r="A104" i="13"/>
  <c r="B104" i="13"/>
  <c r="C104" i="13"/>
  <c r="D104" i="13"/>
  <c r="E104" i="13"/>
  <c r="F104" i="13"/>
  <c r="G104" i="13"/>
  <c r="H104" i="13"/>
  <c r="I104" i="13"/>
  <c r="J104" i="13"/>
  <c r="K104" i="13"/>
  <c r="L104" i="13"/>
  <c r="M104" i="13"/>
  <c r="N104" i="13"/>
  <c r="O104" i="13"/>
  <c r="P104" i="13"/>
  <c r="Q104" i="13"/>
  <c r="R104" i="13"/>
  <c r="S104" i="13"/>
  <c r="T104" i="13"/>
  <c r="U104" i="13"/>
  <c r="V104" i="13"/>
  <c r="W104" i="13"/>
  <c r="X104" i="13"/>
  <c r="Y104" i="13"/>
  <c r="Z104" i="13"/>
  <c r="AA104" i="13"/>
  <c r="AB104" i="13"/>
  <c r="AC104" i="13"/>
  <c r="AD104" i="13"/>
  <c r="AE104" i="13"/>
  <c r="AF104" i="13"/>
  <c r="AG104" i="13"/>
  <c r="AH104" i="13"/>
  <c r="AI104" i="13"/>
  <c r="AJ104" i="13"/>
  <c r="AK104" i="13"/>
  <c r="AL104" i="13"/>
  <c r="AM104" i="13"/>
  <c r="AN104" i="13"/>
  <c r="AO104" i="13"/>
  <c r="AP104" i="13"/>
  <c r="AQ104" i="13"/>
  <c r="AR104" i="13"/>
  <c r="AS104" i="13"/>
  <c r="AT104" i="13"/>
  <c r="AU104" i="13"/>
  <c r="AV104" i="13"/>
  <c r="AW104" i="13"/>
  <c r="AX104" i="13"/>
  <c r="AY104" i="13"/>
  <c r="AZ104" i="13"/>
  <c r="BA104" i="13"/>
  <c r="BB104" i="13"/>
  <c r="BC104" i="13"/>
  <c r="BD104" i="13"/>
  <c r="BE104" i="13"/>
  <c r="BF104" i="13"/>
  <c r="BG104" i="13"/>
  <c r="BH104" i="13"/>
  <c r="BI104" i="13"/>
  <c r="BJ104" i="13"/>
  <c r="BK104" i="13"/>
  <c r="BL104" i="13"/>
  <c r="BM104" i="13"/>
  <c r="BN104" i="13"/>
  <c r="BO104" i="13"/>
  <c r="A105" i="13"/>
  <c r="B105" i="13"/>
  <c r="C105" i="13"/>
  <c r="D105" i="13"/>
  <c r="E105" i="13"/>
  <c r="F105" i="13"/>
  <c r="G105" i="13"/>
  <c r="H105" i="13"/>
  <c r="I105" i="13"/>
  <c r="J105" i="13"/>
  <c r="K105" i="13"/>
  <c r="L105" i="13"/>
  <c r="M105" i="13"/>
  <c r="N105" i="13"/>
  <c r="O105" i="13"/>
  <c r="P105" i="13"/>
  <c r="Q105" i="13"/>
  <c r="R105" i="13"/>
  <c r="S105" i="13"/>
  <c r="T105" i="13"/>
  <c r="U105" i="13"/>
  <c r="V105" i="13"/>
  <c r="W105" i="13"/>
  <c r="X105" i="13"/>
  <c r="Y105" i="13"/>
  <c r="AA105" i="13"/>
  <c r="AB105" i="13"/>
  <c r="AC105" i="13"/>
  <c r="AD105" i="13"/>
  <c r="AE105" i="13"/>
  <c r="AF105" i="13"/>
  <c r="AG105" i="13"/>
  <c r="AH105" i="13"/>
  <c r="AI105" i="13"/>
  <c r="AJ105" i="13"/>
  <c r="AK105" i="13"/>
  <c r="AL105" i="13"/>
  <c r="AM105" i="13"/>
  <c r="AN105" i="13"/>
  <c r="AO105" i="13"/>
  <c r="AP105" i="13"/>
  <c r="AQ105" i="13"/>
  <c r="AR105" i="13"/>
  <c r="AS105" i="13"/>
  <c r="AT105" i="13"/>
  <c r="AU105" i="13"/>
  <c r="AV105" i="13"/>
  <c r="AW105" i="13"/>
  <c r="AX105" i="13"/>
  <c r="AY105" i="13"/>
  <c r="AZ105" i="13"/>
  <c r="BA105" i="13"/>
  <c r="BB105" i="13"/>
  <c r="BC105" i="13"/>
  <c r="BD105" i="13"/>
  <c r="BE105" i="13"/>
  <c r="BF105" i="13"/>
  <c r="BG105" i="13"/>
  <c r="BH105" i="13"/>
  <c r="BI105" i="13"/>
  <c r="BJ105" i="13"/>
  <c r="BK105" i="13"/>
  <c r="BL105" i="13"/>
  <c r="BM105" i="13"/>
  <c r="BN105" i="13"/>
  <c r="BO105" i="13"/>
  <c r="A106" i="13"/>
  <c r="B106" i="13"/>
  <c r="C106" i="13"/>
  <c r="D106" i="13"/>
  <c r="E106" i="13"/>
  <c r="F106" i="13"/>
  <c r="G106" i="13"/>
  <c r="H106" i="13"/>
  <c r="I106" i="13"/>
  <c r="J106" i="13"/>
  <c r="K106" i="13"/>
  <c r="L106" i="13"/>
  <c r="M106" i="13"/>
  <c r="N106" i="13"/>
  <c r="O106" i="13"/>
  <c r="P106" i="13"/>
  <c r="Q106" i="13"/>
  <c r="R106" i="13"/>
  <c r="S106" i="13"/>
  <c r="T106" i="13"/>
  <c r="U106" i="13"/>
  <c r="V106" i="13"/>
  <c r="W106" i="13"/>
  <c r="X106" i="13"/>
  <c r="Y106" i="13"/>
  <c r="Z106" i="13"/>
  <c r="AA106" i="13"/>
  <c r="AB106" i="13"/>
  <c r="AC106" i="13"/>
  <c r="AD106" i="13"/>
  <c r="AE106" i="13"/>
  <c r="AF106" i="13"/>
  <c r="AG106" i="13"/>
  <c r="AH106" i="13"/>
  <c r="AI106" i="13"/>
  <c r="AJ106" i="13"/>
  <c r="AK106" i="13"/>
  <c r="AL106" i="13"/>
  <c r="AM106" i="13"/>
  <c r="AN106" i="13"/>
  <c r="AO106" i="13"/>
  <c r="AP106" i="13"/>
  <c r="AQ106" i="13"/>
  <c r="AR106" i="13"/>
  <c r="AS106" i="13"/>
  <c r="AT106" i="13"/>
  <c r="AU106" i="13"/>
  <c r="AV106" i="13"/>
  <c r="AW106" i="13"/>
  <c r="AX106" i="13"/>
  <c r="AY106" i="13"/>
  <c r="AZ106" i="13"/>
  <c r="BA106" i="13"/>
  <c r="BB106" i="13"/>
  <c r="BC106" i="13"/>
  <c r="BD106" i="13"/>
  <c r="BE106" i="13"/>
  <c r="BF106" i="13"/>
  <c r="BG106" i="13"/>
  <c r="BH106" i="13"/>
  <c r="BI106" i="13"/>
  <c r="BJ106" i="13"/>
  <c r="BK106" i="13"/>
  <c r="BL106" i="13"/>
  <c r="BM106" i="13"/>
  <c r="BN106" i="13"/>
  <c r="BO106" i="13"/>
  <c r="A107" i="13"/>
  <c r="B107" i="13"/>
  <c r="C107" i="13"/>
  <c r="D107" i="13"/>
  <c r="E107" i="13"/>
  <c r="F107" i="13"/>
  <c r="G107" i="13"/>
  <c r="H107" i="13"/>
  <c r="I107" i="13"/>
  <c r="J107" i="13"/>
  <c r="K107" i="13"/>
  <c r="L107" i="13"/>
  <c r="M107" i="13"/>
  <c r="N107" i="13"/>
  <c r="O107" i="13"/>
  <c r="P107" i="13"/>
  <c r="Q107" i="13"/>
  <c r="R107" i="13"/>
  <c r="S107" i="13"/>
  <c r="T107" i="13"/>
  <c r="U107" i="13"/>
  <c r="V107" i="13"/>
  <c r="W107" i="13"/>
  <c r="X107" i="13"/>
  <c r="Y107" i="13"/>
  <c r="Z107" i="13"/>
  <c r="AA107" i="13"/>
  <c r="AB107" i="13"/>
  <c r="AC107" i="13"/>
  <c r="AD107" i="13"/>
  <c r="AE107" i="13"/>
  <c r="AF107" i="13"/>
  <c r="AG107" i="13"/>
  <c r="AH107" i="13"/>
  <c r="AI107" i="13"/>
  <c r="AJ107" i="13"/>
  <c r="AK107" i="13"/>
  <c r="AL107" i="13"/>
  <c r="AM107" i="13"/>
  <c r="AN107" i="13"/>
  <c r="AO107" i="13"/>
  <c r="AP107" i="13"/>
  <c r="AQ107" i="13"/>
  <c r="AR107" i="13"/>
  <c r="AS107" i="13"/>
  <c r="AT107" i="13"/>
  <c r="AU107" i="13"/>
  <c r="AV107" i="13"/>
  <c r="AW107" i="13"/>
  <c r="AX107" i="13"/>
  <c r="AY107" i="13"/>
  <c r="AZ107" i="13"/>
  <c r="BA107" i="13"/>
  <c r="BB107" i="13"/>
  <c r="BC107" i="13"/>
  <c r="BD107" i="13"/>
  <c r="BE107" i="13"/>
  <c r="BF107" i="13"/>
  <c r="BG107" i="13"/>
  <c r="BH107" i="13"/>
  <c r="BI107" i="13"/>
  <c r="BJ107" i="13"/>
  <c r="BK107" i="13"/>
  <c r="BL107" i="13"/>
  <c r="BM107" i="13"/>
  <c r="BN107" i="13"/>
  <c r="BO107" i="13"/>
  <c r="A108" i="13"/>
  <c r="B108" i="13"/>
  <c r="C108" i="13"/>
  <c r="D108" i="13"/>
  <c r="E108" i="13"/>
  <c r="F108" i="13"/>
  <c r="G108" i="13"/>
  <c r="H108" i="13"/>
  <c r="I108" i="13"/>
  <c r="J108" i="13"/>
  <c r="K108" i="13"/>
  <c r="L108" i="13"/>
  <c r="M108" i="13"/>
  <c r="N108" i="13"/>
  <c r="O108" i="13"/>
  <c r="P108" i="13"/>
  <c r="Q108" i="13"/>
  <c r="R108" i="13"/>
  <c r="S108" i="13"/>
  <c r="T108" i="13"/>
  <c r="U108" i="13"/>
  <c r="V108" i="13"/>
  <c r="W108" i="13"/>
  <c r="X108" i="13"/>
  <c r="Y108" i="13"/>
  <c r="Z108" i="13"/>
  <c r="AA108" i="13"/>
  <c r="AB108" i="13"/>
  <c r="AC108" i="13"/>
  <c r="AD108" i="13"/>
  <c r="AE108" i="13"/>
  <c r="AF108" i="13"/>
  <c r="AG108" i="13"/>
  <c r="AH108" i="13"/>
  <c r="AI108" i="13"/>
  <c r="AJ108" i="13"/>
  <c r="AK108" i="13"/>
  <c r="AL108" i="13"/>
  <c r="AM108" i="13"/>
  <c r="AN108" i="13"/>
  <c r="AO108" i="13"/>
  <c r="AP108" i="13"/>
  <c r="AQ108" i="13"/>
  <c r="AR108" i="13"/>
  <c r="AS108" i="13"/>
  <c r="AT108" i="13"/>
  <c r="AU108" i="13"/>
  <c r="AV108" i="13"/>
  <c r="AW108" i="13"/>
  <c r="AX108" i="13"/>
  <c r="AY108" i="13"/>
  <c r="AZ108" i="13"/>
  <c r="BA108" i="13"/>
  <c r="BB108" i="13"/>
  <c r="BC108" i="13"/>
  <c r="BD108" i="13"/>
  <c r="BE108" i="13"/>
  <c r="BF108" i="13"/>
  <c r="BG108" i="13"/>
  <c r="BH108" i="13"/>
  <c r="BI108" i="13"/>
  <c r="BJ108" i="13"/>
  <c r="BK108" i="13"/>
  <c r="BL108" i="13"/>
  <c r="BM108" i="13"/>
  <c r="BN108" i="13"/>
  <c r="BO108" i="13"/>
  <c r="A109" i="13"/>
  <c r="B109" i="13"/>
  <c r="C109" i="13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P109" i="13"/>
  <c r="Q109" i="13"/>
  <c r="R109" i="13"/>
  <c r="S109" i="13"/>
  <c r="T109" i="13"/>
  <c r="U109" i="13"/>
  <c r="V109" i="13"/>
  <c r="W109" i="13"/>
  <c r="X109" i="13"/>
  <c r="Y109" i="13"/>
  <c r="Z109" i="13"/>
  <c r="AA109" i="13"/>
  <c r="AB109" i="13"/>
  <c r="AC109" i="13"/>
  <c r="AD109" i="13"/>
  <c r="AE109" i="13"/>
  <c r="AF109" i="13"/>
  <c r="AG109" i="13"/>
  <c r="AH109" i="13"/>
  <c r="AI109" i="13"/>
  <c r="AJ109" i="13"/>
  <c r="AK109" i="13"/>
  <c r="AL109" i="13"/>
  <c r="AM109" i="13"/>
  <c r="AN109" i="13"/>
  <c r="AO109" i="13"/>
  <c r="AP109" i="13"/>
  <c r="AQ109" i="13"/>
  <c r="AR109" i="13"/>
  <c r="AS109" i="13"/>
  <c r="AT109" i="13"/>
  <c r="AU109" i="13"/>
  <c r="AV109" i="13"/>
  <c r="AW109" i="13"/>
  <c r="AX109" i="13"/>
  <c r="AY109" i="13"/>
  <c r="AZ109" i="13"/>
  <c r="BA109" i="13"/>
  <c r="BB109" i="13"/>
  <c r="BC109" i="13"/>
  <c r="BD109" i="13"/>
  <c r="BE109" i="13"/>
  <c r="BF109" i="13"/>
  <c r="BG109" i="13"/>
  <c r="BH109" i="13"/>
  <c r="BI109" i="13"/>
  <c r="BJ109" i="13"/>
  <c r="BK109" i="13"/>
  <c r="BL109" i="13"/>
  <c r="BN109" i="13"/>
  <c r="BO109" i="13"/>
  <c r="A110" i="13"/>
  <c r="B110" i="13"/>
  <c r="C110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P110" i="13"/>
  <c r="Q110" i="13"/>
  <c r="R110" i="13"/>
  <c r="S110" i="13"/>
  <c r="T110" i="13"/>
  <c r="U110" i="13"/>
  <c r="V110" i="13"/>
  <c r="W110" i="13"/>
  <c r="X110" i="13"/>
  <c r="Y110" i="13"/>
  <c r="Z110" i="13"/>
  <c r="AA110" i="13"/>
  <c r="AB110" i="13"/>
  <c r="AC110" i="13"/>
  <c r="AD110" i="13"/>
  <c r="AE110" i="13"/>
  <c r="AF110" i="13"/>
  <c r="AG110" i="13"/>
  <c r="AH110" i="13"/>
  <c r="AI110" i="13"/>
  <c r="AJ110" i="13"/>
  <c r="AK110" i="13"/>
  <c r="AL110" i="13"/>
  <c r="AM110" i="13"/>
  <c r="AN110" i="13"/>
  <c r="AP110" i="13"/>
  <c r="AQ110" i="13"/>
  <c r="AR110" i="13"/>
  <c r="AS110" i="13"/>
  <c r="AT110" i="13"/>
  <c r="AU110" i="13"/>
  <c r="AV110" i="13"/>
  <c r="AW110" i="13"/>
  <c r="AX110" i="13"/>
  <c r="AY110" i="13"/>
  <c r="AZ110" i="13"/>
  <c r="BA110" i="13"/>
  <c r="BB110" i="13"/>
  <c r="BC110" i="13"/>
  <c r="BD110" i="13"/>
  <c r="BE110" i="13"/>
  <c r="BF110" i="13"/>
  <c r="BG110" i="13"/>
  <c r="BH110" i="13"/>
  <c r="BI110" i="13"/>
  <c r="BJ110" i="13"/>
  <c r="BK110" i="13"/>
  <c r="BL110" i="13"/>
  <c r="BM110" i="13"/>
  <c r="BN110" i="13"/>
  <c r="BO110" i="13"/>
  <c r="A111" i="13"/>
  <c r="B111" i="13"/>
  <c r="C111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P111" i="13"/>
  <c r="Q111" i="13"/>
  <c r="R111" i="13"/>
  <c r="S111" i="13"/>
  <c r="T111" i="13"/>
  <c r="U111" i="13"/>
  <c r="V111" i="13"/>
  <c r="W111" i="13"/>
  <c r="X111" i="13"/>
  <c r="Y111" i="13"/>
  <c r="Z111" i="13"/>
  <c r="AA111" i="13"/>
  <c r="AB111" i="13"/>
  <c r="AC111" i="13"/>
  <c r="AD111" i="13"/>
  <c r="AE111" i="13"/>
  <c r="AF111" i="13"/>
  <c r="AG111" i="13"/>
  <c r="AH111" i="13"/>
  <c r="AI111" i="13"/>
  <c r="AJ111" i="13"/>
  <c r="AK111" i="13"/>
  <c r="AL111" i="13"/>
  <c r="AM111" i="13"/>
  <c r="AN111" i="13"/>
  <c r="AO111" i="13"/>
  <c r="AP111" i="13"/>
  <c r="AQ111" i="13"/>
  <c r="AR111" i="13"/>
  <c r="AS111" i="13"/>
  <c r="AT111" i="13"/>
  <c r="AU111" i="13"/>
  <c r="AV111" i="13"/>
  <c r="AW111" i="13"/>
  <c r="AX111" i="13"/>
  <c r="AY111" i="13"/>
  <c r="AZ111" i="13"/>
  <c r="BA111" i="13"/>
  <c r="BB111" i="13"/>
  <c r="BC111" i="13"/>
  <c r="BD111" i="13"/>
  <c r="BE111" i="13"/>
  <c r="BF111" i="13"/>
  <c r="BG111" i="13"/>
  <c r="BH111" i="13"/>
  <c r="BI111" i="13"/>
  <c r="BJ111" i="13"/>
  <c r="BK111" i="13"/>
  <c r="BL111" i="13"/>
  <c r="BM111" i="13"/>
  <c r="BN111" i="13"/>
  <c r="BO111" i="13"/>
  <c r="A112" i="13"/>
  <c r="B112" i="13"/>
  <c r="C112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P112" i="13"/>
  <c r="Q112" i="13"/>
  <c r="R112" i="13"/>
  <c r="S112" i="13"/>
  <c r="T112" i="13"/>
  <c r="U112" i="13"/>
  <c r="V112" i="13"/>
  <c r="W112" i="13"/>
  <c r="X112" i="13"/>
  <c r="Y112" i="13"/>
  <c r="Z112" i="13"/>
  <c r="AA112" i="13"/>
  <c r="AB112" i="13"/>
  <c r="AC112" i="13"/>
  <c r="AD112" i="13"/>
  <c r="AE112" i="13"/>
  <c r="AF112" i="13"/>
  <c r="AG112" i="13"/>
  <c r="AH112" i="13"/>
  <c r="AI112" i="13"/>
  <c r="AJ112" i="13"/>
  <c r="AK112" i="13"/>
  <c r="AL112" i="13"/>
  <c r="AM112" i="13"/>
  <c r="AN112" i="13"/>
  <c r="AO112" i="13"/>
  <c r="AP112" i="13"/>
  <c r="AQ112" i="13"/>
  <c r="AR112" i="13"/>
  <c r="AS112" i="13"/>
  <c r="AT112" i="13"/>
  <c r="AU112" i="13"/>
  <c r="AV112" i="13"/>
  <c r="AW112" i="13"/>
  <c r="AX112" i="13"/>
  <c r="AY112" i="13"/>
  <c r="AZ112" i="13"/>
  <c r="BA112" i="13"/>
  <c r="BB112" i="13"/>
  <c r="BC112" i="13"/>
  <c r="BD112" i="13"/>
  <c r="BE112" i="13"/>
  <c r="BF112" i="13"/>
  <c r="BG112" i="13"/>
  <c r="BH112" i="13"/>
  <c r="BI112" i="13"/>
  <c r="BJ112" i="13"/>
  <c r="BK112" i="13"/>
  <c r="BL112" i="13"/>
  <c r="BM112" i="13"/>
  <c r="BN112" i="13"/>
  <c r="BO112" i="13"/>
  <c r="A113" i="13"/>
  <c r="B113" i="13"/>
  <c r="C113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P113" i="13"/>
  <c r="Q113" i="13"/>
  <c r="R113" i="13"/>
  <c r="S113" i="13"/>
  <c r="T113" i="13"/>
  <c r="U113" i="13"/>
  <c r="V113" i="13"/>
  <c r="W113" i="13"/>
  <c r="X113" i="13"/>
  <c r="Y113" i="13"/>
  <c r="Z113" i="13"/>
  <c r="AA113" i="13"/>
  <c r="AB113" i="13"/>
  <c r="AC113" i="13"/>
  <c r="AD113" i="13"/>
  <c r="AE113" i="13"/>
  <c r="AF113" i="13"/>
  <c r="AG113" i="13"/>
  <c r="AH113" i="13"/>
  <c r="AI113" i="13"/>
  <c r="AJ113" i="13"/>
  <c r="AK113" i="13"/>
  <c r="AL113" i="13"/>
  <c r="AM113" i="13"/>
  <c r="AN113" i="13"/>
  <c r="AO113" i="13"/>
  <c r="AP113" i="13"/>
  <c r="AQ113" i="13"/>
  <c r="AR113" i="13"/>
  <c r="AS113" i="13"/>
  <c r="AT113" i="13"/>
  <c r="AU113" i="13"/>
  <c r="AV113" i="13"/>
  <c r="AW113" i="13"/>
  <c r="AX113" i="13"/>
  <c r="AY113" i="13"/>
  <c r="AZ113" i="13"/>
  <c r="BA113" i="13"/>
  <c r="BB113" i="13"/>
  <c r="BC113" i="13"/>
  <c r="BD113" i="13"/>
  <c r="BE113" i="13"/>
  <c r="BF113" i="13"/>
  <c r="BG113" i="13"/>
  <c r="BH113" i="13"/>
  <c r="BI113" i="13"/>
  <c r="BJ113" i="13"/>
  <c r="BK113" i="13"/>
  <c r="BL113" i="13"/>
  <c r="BM113" i="13"/>
  <c r="BN113" i="13"/>
  <c r="BO113" i="13"/>
  <c r="A114" i="13"/>
  <c r="B114" i="13"/>
  <c r="C114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P114" i="13"/>
  <c r="Q114" i="13"/>
  <c r="R114" i="13"/>
  <c r="S114" i="13"/>
  <c r="T114" i="13"/>
  <c r="U114" i="13"/>
  <c r="V114" i="13"/>
  <c r="W114" i="13"/>
  <c r="X114" i="13"/>
  <c r="Y114" i="13"/>
  <c r="Z114" i="13"/>
  <c r="AA114" i="13"/>
  <c r="AB114" i="13"/>
  <c r="AC114" i="13"/>
  <c r="AD114" i="13"/>
  <c r="AE114" i="13"/>
  <c r="AF114" i="13"/>
  <c r="AG114" i="13"/>
  <c r="AH114" i="13"/>
  <c r="AI114" i="13"/>
  <c r="AJ114" i="13"/>
  <c r="AK114" i="13"/>
  <c r="AL114" i="13"/>
  <c r="AM114" i="13"/>
  <c r="AN114" i="13"/>
  <c r="AO114" i="13"/>
  <c r="AP114" i="13"/>
  <c r="AQ114" i="13"/>
  <c r="AR114" i="13"/>
  <c r="AS114" i="13"/>
  <c r="AT114" i="13"/>
  <c r="AU114" i="13"/>
  <c r="AV114" i="13"/>
  <c r="AW114" i="13"/>
  <c r="AX114" i="13"/>
  <c r="AY114" i="13"/>
  <c r="AZ114" i="13"/>
  <c r="BA114" i="13"/>
  <c r="BB114" i="13"/>
  <c r="BC114" i="13"/>
  <c r="BD114" i="13"/>
  <c r="BE114" i="13"/>
  <c r="BF114" i="13"/>
  <c r="BG114" i="13"/>
  <c r="BH114" i="13"/>
  <c r="BI114" i="13"/>
  <c r="BJ114" i="13"/>
  <c r="BK114" i="13"/>
  <c r="BL114" i="13"/>
  <c r="BM114" i="13"/>
  <c r="BN114" i="13"/>
  <c r="BO114" i="13"/>
  <c r="A115" i="13"/>
  <c r="B115" i="13"/>
  <c r="C115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P115" i="13"/>
  <c r="Q115" i="13"/>
  <c r="R115" i="13"/>
  <c r="S115" i="13"/>
  <c r="T115" i="13"/>
  <c r="U115" i="13"/>
  <c r="V115" i="13"/>
  <c r="W115" i="13"/>
  <c r="X115" i="13"/>
  <c r="Y115" i="13"/>
  <c r="AA115" i="13"/>
  <c r="AB115" i="13"/>
  <c r="AC115" i="13"/>
  <c r="AD115" i="13"/>
  <c r="AE115" i="13"/>
  <c r="AF115" i="13"/>
  <c r="AG115" i="13"/>
  <c r="AH115" i="13"/>
  <c r="AI115" i="13"/>
  <c r="AJ115" i="13"/>
  <c r="AK115" i="13"/>
  <c r="AL115" i="13"/>
  <c r="AM115" i="13"/>
  <c r="AN115" i="13"/>
  <c r="AO115" i="13"/>
  <c r="AP115" i="13"/>
  <c r="AQ115" i="13"/>
  <c r="AR115" i="13"/>
  <c r="AS115" i="13"/>
  <c r="AT115" i="13"/>
  <c r="AU115" i="13"/>
  <c r="AV115" i="13"/>
  <c r="AW115" i="13"/>
  <c r="AX115" i="13"/>
  <c r="AY115" i="13"/>
  <c r="AZ115" i="13"/>
  <c r="BA115" i="13"/>
  <c r="BB115" i="13"/>
  <c r="BC115" i="13"/>
  <c r="BD115" i="13"/>
  <c r="BE115" i="13"/>
  <c r="BF115" i="13"/>
  <c r="BG115" i="13"/>
  <c r="BH115" i="13"/>
  <c r="BI115" i="13"/>
  <c r="BJ115" i="13"/>
  <c r="BK115" i="13"/>
  <c r="BL115" i="13"/>
  <c r="BM115" i="13"/>
  <c r="BN115" i="13"/>
  <c r="BO115" i="13"/>
  <c r="A116" i="13"/>
  <c r="B116" i="13"/>
  <c r="C116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P116" i="13"/>
  <c r="Q116" i="13"/>
  <c r="R116" i="13"/>
  <c r="S116" i="13"/>
  <c r="T116" i="13"/>
  <c r="U116" i="13"/>
  <c r="V116" i="13"/>
  <c r="W116" i="13"/>
  <c r="X116" i="13"/>
  <c r="Y116" i="13"/>
  <c r="Z116" i="13"/>
  <c r="AA116" i="13"/>
  <c r="AB116" i="13"/>
  <c r="AC116" i="13"/>
  <c r="AD116" i="13"/>
  <c r="AE116" i="13"/>
  <c r="AF116" i="13"/>
  <c r="AG116" i="13"/>
  <c r="AH116" i="13"/>
  <c r="AI116" i="13"/>
  <c r="AJ116" i="13"/>
  <c r="AK116" i="13"/>
  <c r="AL116" i="13"/>
  <c r="AM116" i="13"/>
  <c r="AN116" i="13"/>
  <c r="AO116" i="13"/>
  <c r="AP116" i="13"/>
  <c r="AQ116" i="13"/>
  <c r="AR116" i="13"/>
  <c r="AS116" i="13"/>
  <c r="AT116" i="13"/>
  <c r="AU116" i="13"/>
  <c r="AV116" i="13"/>
  <c r="AW116" i="13"/>
  <c r="AX116" i="13"/>
  <c r="AY116" i="13"/>
  <c r="AZ116" i="13"/>
  <c r="BA116" i="13"/>
  <c r="BB116" i="13"/>
  <c r="BC116" i="13"/>
  <c r="BD116" i="13"/>
  <c r="BE116" i="13"/>
  <c r="BF116" i="13"/>
  <c r="BG116" i="13"/>
  <c r="BH116" i="13"/>
  <c r="BI116" i="13"/>
  <c r="BJ116" i="13"/>
  <c r="BK116" i="13"/>
  <c r="BL116" i="13"/>
  <c r="BM116" i="13"/>
  <c r="BN116" i="13"/>
  <c r="BO116" i="13"/>
  <c r="A117" i="13"/>
  <c r="B117" i="13"/>
  <c r="C117" i="13"/>
  <c r="D117" i="13"/>
  <c r="E117" i="13"/>
  <c r="F117" i="13"/>
  <c r="G117" i="13"/>
  <c r="H117" i="13"/>
  <c r="I117" i="13"/>
  <c r="J117" i="13"/>
  <c r="K117" i="13"/>
  <c r="L117" i="13"/>
  <c r="M117" i="13"/>
  <c r="N117" i="13"/>
  <c r="O117" i="13"/>
  <c r="P117" i="13"/>
  <c r="Q117" i="13"/>
  <c r="R117" i="13"/>
  <c r="S117" i="13"/>
  <c r="T117" i="13"/>
  <c r="U117" i="13"/>
  <c r="V117" i="13"/>
  <c r="W117" i="13"/>
  <c r="X117" i="13"/>
  <c r="Y117" i="13"/>
  <c r="Z117" i="13"/>
  <c r="AA117" i="13"/>
  <c r="AB117" i="13"/>
  <c r="AC117" i="13"/>
  <c r="AD117" i="13"/>
  <c r="AE117" i="13"/>
  <c r="AF117" i="13"/>
  <c r="AG117" i="13"/>
  <c r="AH117" i="13"/>
  <c r="AI117" i="13"/>
  <c r="AJ117" i="13"/>
  <c r="AK117" i="13"/>
  <c r="AL117" i="13"/>
  <c r="AM117" i="13"/>
  <c r="AN117" i="13"/>
  <c r="AO117" i="13"/>
  <c r="AP117" i="13"/>
  <c r="AQ117" i="13"/>
  <c r="AR117" i="13"/>
  <c r="AS117" i="13"/>
  <c r="AT117" i="13"/>
  <c r="AU117" i="13"/>
  <c r="AV117" i="13"/>
  <c r="AW117" i="13"/>
  <c r="AX117" i="13"/>
  <c r="AY117" i="13"/>
  <c r="AZ117" i="13"/>
  <c r="BA117" i="13"/>
  <c r="BB117" i="13"/>
  <c r="BC117" i="13"/>
  <c r="BD117" i="13"/>
  <c r="BE117" i="13"/>
  <c r="BF117" i="13"/>
  <c r="BG117" i="13"/>
  <c r="BH117" i="13"/>
  <c r="BI117" i="13"/>
  <c r="BJ117" i="13"/>
  <c r="BK117" i="13"/>
  <c r="BL117" i="13"/>
  <c r="BM117" i="13"/>
  <c r="BN117" i="13"/>
  <c r="BO117" i="13"/>
  <c r="A118" i="13"/>
  <c r="B118" i="13"/>
  <c r="C118" i="13"/>
  <c r="D118" i="13"/>
  <c r="E118" i="13"/>
  <c r="F118" i="13"/>
  <c r="G118" i="13"/>
  <c r="H118" i="13"/>
  <c r="I118" i="13"/>
  <c r="J118" i="13"/>
  <c r="K118" i="13"/>
  <c r="L118" i="13"/>
  <c r="M118" i="13"/>
  <c r="N118" i="13"/>
  <c r="O118" i="13"/>
  <c r="P118" i="13"/>
  <c r="Q118" i="13"/>
  <c r="R118" i="13"/>
  <c r="S118" i="13"/>
  <c r="T118" i="13"/>
  <c r="U118" i="13"/>
  <c r="V118" i="13"/>
  <c r="W118" i="13"/>
  <c r="X118" i="13"/>
  <c r="Y118" i="13"/>
  <c r="Z118" i="13"/>
  <c r="AA118" i="13"/>
  <c r="AB118" i="13"/>
  <c r="AC118" i="13"/>
  <c r="AD118" i="13"/>
  <c r="AE118" i="13"/>
  <c r="AF118" i="13"/>
  <c r="AG118" i="13"/>
  <c r="AH118" i="13"/>
  <c r="AI118" i="13"/>
  <c r="AJ118" i="13"/>
  <c r="AK118" i="13"/>
  <c r="AL118" i="13"/>
  <c r="AM118" i="13"/>
  <c r="AN118" i="13"/>
  <c r="AO118" i="13"/>
  <c r="AP118" i="13"/>
  <c r="AQ118" i="13"/>
  <c r="AR118" i="13"/>
  <c r="AS118" i="13"/>
  <c r="AT118" i="13"/>
  <c r="AU118" i="13"/>
  <c r="AV118" i="13"/>
  <c r="AW118" i="13"/>
  <c r="AX118" i="13"/>
  <c r="AY118" i="13"/>
  <c r="AZ118" i="13"/>
  <c r="BA118" i="13"/>
  <c r="BB118" i="13"/>
  <c r="BC118" i="13"/>
  <c r="BD118" i="13"/>
  <c r="BE118" i="13"/>
  <c r="BF118" i="13"/>
  <c r="BG118" i="13"/>
  <c r="BH118" i="13"/>
  <c r="BI118" i="13"/>
  <c r="BJ118" i="13"/>
  <c r="BK118" i="13"/>
  <c r="BL118" i="13"/>
  <c r="BM118" i="13"/>
  <c r="BN118" i="13"/>
  <c r="BO118" i="13"/>
  <c r="A119" i="13"/>
  <c r="B119" i="13"/>
  <c r="C119" i="13"/>
  <c r="D119" i="13"/>
  <c r="E119" i="13"/>
  <c r="F119" i="13"/>
  <c r="G119" i="13"/>
  <c r="H119" i="13"/>
  <c r="I119" i="13"/>
  <c r="J119" i="13"/>
  <c r="K119" i="13"/>
  <c r="L119" i="13"/>
  <c r="M119" i="13"/>
  <c r="N119" i="13"/>
  <c r="O119" i="13"/>
  <c r="P119" i="13"/>
  <c r="Q119" i="13"/>
  <c r="R119" i="13"/>
  <c r="S119" i="13"/>
  <c r="T119" i="13"/>
  <c r="U119" i="13"/>
  <c r="V119" i="13"/>
  <c r="W119" i="13"/>
  <c r="X119" i="13"/>
  <c r="Y119" i="13"/>
  <c r="Z119" i="13"/>
  <c r="AA119" i="13"/>
  <c r="AB119" i="13"/>
  <c r="AC119" i="13"/>
  <c r="AD119" i="13"/>
  <c r="AE119" i="13"/>
  <c r="AF119" i="13"/>
  <c r="AG119" i="13"/>
  <c r="AH119" i="13"/>
  <c r="AI119" i="13"/>
  <c r="AJ119" i="13"/>
  <c r="AK119" i="13"/>
  <c r="AL119" i="13"/>
  <c r="AM119" i="13"/>
  <c r="AN119" i="13"/>
  <c r="AO119" i="13"/>
  <c r="AP119" i="13"/>
  <c r="AQ119" i="13"/>
  <c r="AR119" i="13"/>
  <c r="AS119" i="13"/>
  <c r="AT119" i="13"/>
  <c r="AU119" i="13"/>
  <c r="AV119" i="13"/>
  <c r="AW119" i="13"/>
  <c r="AX119" i="13"/>
  <c r="AY119" i="13"/>
  <c r="AZ119" i="13"/>
  <c r="BA119" i="13"/>
  <c r="BB119" i="13"/>
  <c r="BC119" i="13"/>
  <c r="BD119" i="13"/>
  <c r="BE119" i="13"/>
  <c r="BF119" i="13"/>
  <c r="BG119" i="13"/>
  <c r="BH119" i="13"/>
  <c r="BI119" i="13"/>
  <c r="BJ119" i="13"/>
  <c r="BK119" i="13"/>
  <c r="BL119" i="13"/>
  <c r="BM119" i="13"/>
  <c r="BN119" i="13"/>
  <c r="BO119" i="13"/>
  <c r="A120" i="13"/>
  <c r="B120" i="13"/>
  <c r="C120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P120" i="13"/>
  <c r="Q120" i="13"/>
  <c r="R120" i="13"/>
  <c r="S120" i="13"/>
  <c r="T120" i="13"/>
  <c r="U120" i="13"/>
  <c r="V120" i="13"/>
  <c r="W120" i="13"/>
  <c r="X120" i="13"/>
  <c r="Y120" i="13"/>
  <c r="Z120" i="13"/>
  <c r="AA120" i="13"/>
  <c r="AB120" i="13"/>
  <c r="AC120" i="13"/>
  <c r="AD120" i="13"/>
  <c r="AE120" i="13"/>
  <c r="AF120" i="13"/>
  <c r="AG120" i="13"/>
  <c r="AH120" i="13"/>
  <c r="AI120" i="13"/>
  <c r="AJ120" i="13"/>
  <c r="AK120" i="13"/>
  <c r="AL120" i="13"/>
  <c r="AM120" i="13"/>
  <c r="AN120" i="13"/>
  <c r="AO120" i="13"/>
  <c r="AP120" i="13"/>
  <c r="AQ120" i="13"/>
  <c r="AR120" i="13"/>
  <c r="AS120" i="13"/>
  <c r="AT120" i="13"/>
  <c r="AU120" i="13"/>
  <c r="AV120" i="13"/>
  <c r="AW120" i="13"/>
  <c r="AX120" i="13"/>
  <c r="AY120" i="13"/>
  <c r="AZ120" i="13"/>
  <c r="BA120" i="13"/>
  <c r="BB120" i="13"/>
  <c r="BC120" i="13"/>
  <c r="BD120" i="13"/>
  <c r="BE120" i="13"/>
  <c r="BF120" i="13"/>
  <c r="BG120" i="13"/>
  <c r="BH120" i="13"/>
  <c r="BI120" i="13"/>
  <c r="BJ120" i="13"/>
  <c r="BK120" i="13"/>
  <c r="BL120" i="13"/>
  <c r="BM120" i="13"/>
  <c r="BN120" i="13"/>
  <c r="BO120" i="13"/>
  <c r="A121" i="13"/>
  <c r="B121" i="13"/>
  <c r="C121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P121" i="13"/>
  <c r="Q121" i="13"/>
  <c r="R121" i="13"/>
  <c r="S121" i="13"/>
  <c r="T121" i="13"/>
  <c r="U121" i="13"/>
  <c r="V121" i="13"/>
  <c r="W121" i="13"/>
  <c r="X121" i="13"/>
  <c r="Y121" i="13"/>
  <c r="Z121" i="13"/>
  <c r="AA121" i="13"/>
  <c r="AB121" i="13"/>
  <c r="AC121" i="13"/>
  <c r="AD121" i="13"/>
  <c r="AE121" i="13"/>
  <c r="AF121" i="13"/>
  <c r="AG121" i="13"/>
  <c r="AH121" i="13"/>
  <c r="AI121" i="13"/>
  <c r="AJ121" i="13"/>
  <c r="AK121" i="13"/>
  <c r="AL121" i="13"/>
  <c r="AM121" i="13"/>
  <c r="AN121" i="13"/>
  <c r="AO121" i="13"/>
  <c r="AP121" i="13"/>
  <c r="AQ121" i="13"/>
  <c r="AR121" i="13"/>
  <c r="AS121" i="13"/>
  <c r="AT121" i="13"/>
  <c r="AU121" i="13"/>
  <c r="AV121" i="13"/>
  <c r="AW121" i="13"/>
  <c r="AX121" i="13"/>
  <c r="AY121" i="13"/>
  <c r="AZ121" i="13"/>
  <c r="BA121" i="13"/>
  <c r="BB121" i="13"/>
  <c r="BC121" i="13"/>
  <c r="BD121" i="13"/>
  <c r="BE121" i="13"/>
  <c r="BF121" i="13"/>
  <c r="BG121" i="13"/>
  <c r="BH121" i="13"/>
  <c r="BI121" i="13"/>
  <c r="BJ121" i="13"/>
  <c r="BK121" i="13"/>
  <c r="BL121" i="13"/>
  <c r="BM121" i="13"/>
  <c r="BN121" i="13"/>
  <c r="BO121" i="13"/>
  <c r="A122" i="13"/>
  <c r="B122" i="13"/>
  <c r="C122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P122" i="13"/>
  <c r="Q122" i="13"/>
  <c r="R122" i="13"/>
  <c r="S122" i="13"/>
  <c r="T122" i="13"/>
  <c r="U122" i="13"/>
  <c r="V122" i="13"/>
  <c r="W122" i="13"/>
  <c r="X122" i="13"/>
  <c r="Y122" i="13"/>
  <c r="Z122" i="13"/>
  <c r="AA122" i="13"/>
  <c r="AB122" i="13"/>
  <c r="AD122" i="13"/>
  <c r="AE122" i="13"/>
  <c r="AF122" i="13"/>
  <c r="AG122" i="13"/>
  <c r="AH122" i="13"/>
  <c r="AI122" i="13"/>
  <c r="AJ122" i="13"/>
  <c r="AK122" i="13"/>
  <c r="AL122" i="13"/>
  <c r="AM122" i="13"/>
  <c r="AN122" i="13"/>
  <c r="AO122" i="13"/>
  <c r="AP122" i="13"/>
  <c r="AQ122" i="13"/>
  <c r="AR122" i="13"/>
  <c r="AS122" i="13"/>
  <c r="AT122" i="13"/>
  <c r="AU122" i="13"/>
  <c r="AV122" i="13"/>
  <c r="AW122" i="13"/>
  <c r="AX122" i="13"/>
  <c r="AY122" i="13"/>
  <c r="AZ122" i="13"/>
  <c r="BA122" i="13"/>
  <c r="BB122" i="13"/>
  <c r="BC122" i="13"/>
  <c r="BD122" i="13"/>
  <c r="BE122" i="13"/>
  <c r="BF122" i="13"/>
  <c r="BG122" i="13"/>
  <c r="BH122" i="13"/>
  <c r="BI122" i="13"/>
  <c r="BJ122" i="13"/>
  <c r="BK122" i="13"/>
  <c r="BL122" i="13"/>
  <c r="BM122" i="13"/>
  <c r="BN122" i="13"/>
  <c r="BO122" i="13"/>
  <c r="A123" i="13"/>
  <c r="B123" i="13"/>
  <c r="C123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P123" i="13"/>
  <c r="Q123" i="13"/>
  <c r="R123" i="13"/>
  <c r="S123" i="13"/>
  <c r="T123" i="13"/>
  <c r="U123" i="13"/>
  <c r="V123" i="13"/>
  <c r="W123" i="13"/>
  <c r="X123" i="13"/>
  <c r="Y123" i="13"/>
  <c r="Z123" i="13"/>
  <c r="AA123" i="13"/>
  <c r="AB123" i="13"/>
  <c r="AC123" i="13"/>
  <c r="AD123" i="13"/>
  <c r="AE123" i="13"/>
  <c r="AF123" i="13"/>
  <c r="AG123" i="13"/>
  <c r="AH123" i="13"/>
  <c r="AI123" i="13"/>
  <c r="AJ123" i="13"/>
  <c r="AK123" i="13"/>
  <c r="AL123" i="13"/>
  <c r="AM123" i="13"/>
  <c r="AN123" i="13"/>
  <c r="AP123" i="13"/>
  <c r="AQ123" i="13"/>
  <c r="AR123" i="13"/>
  <c r="AS123" i="13"/>
  <c r="AT123" i="13"/>
  <c r="AU123" i="13"/>
  <c r="AV123" i="13"/>
  <c r="AW123" i="13"/>
  <c r="AX123" i="13"/>
  <c r="AY123" i="13"/>
  <c r="AZ123" i="13"/>
  <c r="BA123" i="13"/>
  <c r="BB123" i="13"/>
  <c r="BC123" i="13"/>
  <c r="BD123" i="13"/>
  <c r="BE123" i="13"/>
  <c r="BF123" i="13"/>
  <c r="BG123" i="13"/>
  <c r="BH123" i="13"/>
  <c r="BI123" i="13"/>
  <c r="BJ123" i="13"/>
  <c r="BK123" i="13"/>
  <c r="BL123" i="13"/>
  <c r="BM123" i="13"/>
  <c r="BN123" i="13"/>
  <c r="BO123" i="13"/>
  <c r="A124" i="13"/>
  <c r="B124" i="13"/>
  <c r="C124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P124" i="13"/>
  <c r="Q124" i="13"/>
  <c r="R124" i="13"/>
  <c r="S124" i="13"/>
  <c r="T124" i="13"/>
  <c r="U124" i="13"/>
  <c r="V124" i="13"/>
  <c r="W124" i="13"/>
  <c r="X124" i="13"/>
  <c r="Y124" i="13"/>
  <c r="Z124" i="13"/>
  <c r="AA124" i="13"/>
  <c r="AB124" i="13"/>
  <c r="AC124" i="13"/>
  <c r="AD124" i="13"/>
  <c r="AE124" i="13"/>
  <c r="AF124" i="13"/>
  <c r="AG124" i="13"/>
  <c r="AH124" i="13"/>
  <c r="AI124" i="13"/>
  <c r="AJ124" i="13"/>
  <c r="AK124" i="13"/>
  <c r="AL124" i="13"/>
  <c r="AM124" i="13"/>
  <c r="AN124" i="13"/>
  <c r="AO124" i="13"/>
  <c r="AP124" i="13"/>
  <c r="AQ124" i="13"/>
  <c r="AR124" i="13"/>
  <c r="AS124" i="13"/>
  <c r="AT124" i="13"/>
  <c r="AU124" i="13"/>
  <c r="AV124" i="13"/>
  <c r="AW124" i="13"/>
  <c r="AX124" i="13"/>
  <c r="AY124" i="13"/>
  <c r="AZ124" i="13"/>
  <c r="BA124" i="13"/>
  <c r="BB124" i="13"/>
  <c r="BC124" i="13"/>
  <c r="BD124" i="13"/>
  <c r="BE124" i="13"/>
  <c r="BF124" i="13"/>
  <c r="BG124" i="13"/>
  <c r="BH124" i="13"/>
  <c r="BI124" i="13"/>
  <c r="BJ124" i="13"/>
  <c r="BK124" i="13"/>
  <c r="BL124" i="13"/>
  <c r="BM124" i="13"/>
  <c r="BN124" i="13"/>
  <c r="BO124" i="13"/>
  <c r="A125" i="13"/>
  <c r="B125" i="13"/>
  <c r="C125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P125" i="13"/>
  <c r="Q125" i="13"/>
  <c r="R125" i="13"/>
  <c r="S125" i="13"/>
  <c r="T125" i="13"/>
  <c r="U125" i="13"/>
  <c r="V125" i="13"/>
  <c r="W125" i="13"/>
  <c r="X125" i="13"/>
  <c r="Y125" i="13"/>
  <c r="Z125" i="13"/>
  <c r="AA125" i="13"/>
  <c r="AB125" i="13"/>
  <c r="AC125" i="13"/>
  <c r="AD125" i="13"/>
  <c r="AE125" i="13"/>
  <c r="AF125" i="13"/>
  <c r="AG125" i="13"/>
  <c r="AH125" i="13"/>
  <c r="AI125" i="13"/>
  <c r="AJ125" i="13"/>
  <c r="AK125" i="13"/>
  <c r="AL125" i="13"/>
  <c r="AM125" i="13"/>
  <c r="AN125" i="13"/>
  <c r="AO125" i="13"/>
  <c r="AP125" i="13"/>
  <c r="AQ125" i="13"/>
  <c r="AR125" i="13"/>
  <c r="AS125" i="13"/>
  <c r="AT125" i="13"/>
  <c r="AU125" i="13"/>
  <c r="AV125" i="13"/>
  <c r="AW125" i="13"/>
  <c r="AX125" i="13"/>
  <c r="AY125" i="13"/>
  <c r="AZ125" i="13"/>
  <c r="BA125" i="13"/>
  <c r="BB125" i="13"/>
  <c r="BC125" i="13"/>
  <c r="BD125" i="13"/>
  <c r="BE125" i="13"/>
  <c r="BF125" i="13"/>
  <c r="BG125" i="13"/>
  <c r="BH125" i="13"/>
  <c r="BI125" i="13"/>
  <c r="BJ125" i="13"/>
  <c r="BK125" i="13"/>
  <c r="BL125" i="13"/>
  <c r="BM125" i="13"/>
  <c r="BN125" i="13"/>
  <c r="BO125" i="13"/>
  <c r="A126" i="13"/>
  <c r="B126" i="13"/>
  <c r="C126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P126" i="13"/>
  <c r="Q126" i="13"/>
  <c r="R126" i="13"/>
  <c r="S126" i="13"/>
  <c r="T126" i="13"/>
  <c r="U126" i="13"/>
  <c r="V126" i="13"/>
  <c r="W126" i="13"/>
  <c r="X126" i="13"/>
  <c r="Y126" i="13"/>
  <c r="AA126" i="13"/>
  <c r="AB126" i="13"/>
  <c r="AC126" i="13"/>
  <c r="AD126" i="13"/>
  <c r="AE126" i="13"/>
  <c r="AF126" i="13"/>
  <c r="AG126" i="13"/>
  <c r="AH126" i="13"/>
  <c r="AI126" i="13"/>
  <c r="AJ126" i="13"/>
  <c r="AK126" i="13"/>
  <c r="AL126" i="13"/>
  <c r="AM126" i="13"/>
  <c r="AN126" i="13"/>
  <c r="AO126" i="13"/>
  <c r="AP126" i="13"/>
  <c r="AQ126" i="13"/>
  <c r="AR126" i="13"/>
  <c r="AS126" i="13"/>
  <c r="AT126" i="13"/>
  <c r="AU126" i="13"/>
  <c r="AV126" i="13"/>
  <c r="AW126" i="13"/>
  <c r="AX126" i="13"/>
  <c r="AY126" i="13"/>
  <c r="AZ126" i="13"/>
  <c r="BA126" i="13"/>
  <c r="BB126" i="13"/>
  <c r="BC126" i="13"/>
  <c r="BD126" i="13"/>
  <c r="BE126" i="13"/>
  <c r="BF126" i="13"/>
  <c r="BG126" i="13"/>
  <c r="BH126" i="13"/>
  <c r="BI126" i="13"/>
  <c r="BJ126" i="13"/>
  <c r="BK126" i="13"/>
  <c r="BL126" i="13"/>
  <c r="BN126" i="13"/>
  <c r="BO126" i="13"/>
  <c r="A127" i="13"/>
  <c r="B127" i="13"/>
  <c r="C127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P127" i="13"/>
  <c r="Q127" i="13"/>
  <c r="R127" i="13"/>
  <c r="S127" i="13"/>
  <c r="T127" i="13"/>
  <c r="U127" i="13"/>
  <c r="V127" i="13"/>
  <c r="W127" i="13"/>
  <c r="X127" i="13"/>
  <c r="Y127" i="13"/>
  <c r="Z127" i="13"/>
  <c r="AA127" i="13"/>
  <c r="AB127" i="13"/>
  <c r="AC127" i="13"/>
  <c r="AD127" i="13"/>
  <c r="AE127" i="13"/>
  <c r="AF127" i="13"/>
  <c r="AG127" i="13"/>
  <c r="AH127" i="13"/>
  <c r="AI127" i="13"/>
  <c r="AJ127" i="13"/>
  <c r="AK127" i="13"/>
  <c r="AL127" i="13"/>
  <c r="AM127" i="13"/>
  <c r="AN127" i="13"/>
  <c r="AO127" i="13"/>
  <c r="AP127" i="13"/>
  <c r="AQ127" i="13"/>
  <c r="AR127" i="13"/>
  <c r="AS127" i="13"/>
  <c r="AT127" i="13"/>
  <c r="AU127" i="13"/>
  <c r="AV127" i="13"/>
  <c r="AW127" i="13"/>
  <c r="AX127" i="13"/>
  <c r="AY127" i="13"/>
  <c r="AZ127" i="13"/>
  <c r="BA127" i="13"/>
  <c r="BB127" i="13"/>
  <c r="BC127" i="13"/>
  <c r="BD127" i="13"/>
  <c r="BE127" i="13"/>
  <c r="BF127" i="13"/>
  <c r="BG127" i="13"/>
  <c r="BH127" i="13"/>
  <c r="BI127" i="13"/>
  <c r="BJ127" i="13"/>
  <c r="BK127" i="13"/>
  <c r="BL127" i="13"/>
  <c r="BM127" i="13"/>
  <c r="BN127" i="13"/>
  <c r="BO127" i="13"/>
  <c r="A128" i="13"/>
  <c r="B128" i="13"/>
  <c r="C128" i="13"/>
  <c r="D128" i="13"/>
  <c r="E128" i="13"/>
  <c r="F128" i="13"/>
  <c r="G128" i="13"/>
  <c r="H128" i="13"/>
  <c r="I128" i="13"/>
  <c r="J128" i="13"/>
  <c r="K128" i="13"/>
  <c r="L128" i="13"/>
  <c r="M128" i="13"/>
  <c r="N128" i="13"/>
  <c r="O128" i="13"/>
  <c r="P128" i="13"/>
  <c r="Q128" i="13"/>
  <c r="R128" i="13"/>
  <c r="S128" i="13"/>
  <c r="T128" i="13"/>
  <c r="U128" i="13"/>
  <c r="V128" i="13"/>
  <c r="X128" i="13"/>
  <c r="Y128" i="13"/>
  <c r="Z128" i="13"/>
  <c r="AA128" i="13"/>
  <c r="AB128" i="13"/>
  <c r="AC128" i="13"/>
  <c r="AD128" i="13"/>
  <c r="AE128" i="13"/>
  <c r="AF128" i="13"/>
  <c r="AG128" i="13"/>
  <c r="AH128" i="13"/>
  <c r="AJ128" i="13"/>
  <c r="AK128" i="13"/>
  <c r="AL128" i="13"/>
  <c r="AM128" i="13"/>
  <c r="AN128" i="13"/>
  <c r="AO128" i="13"/>
  <c r="AP128" i="13"/>
  <c r="AQ128" i="13"/>
  <c r="AR128" i="13"/>
  <c r="AS128" i="13"/>
  <c r="AT128" i="13"/>
  <c r="AU128" i="13"/>
  <c r="AV128" i="13"/>
  <c r="AW128" i="13"/>
  <c r="AX128" i="13"/>
  <c r="AY128" i="13"/>
  <c r="AZ128" i="13"/>
  <c r="BA128" i="13"/>
  <c r="BB128" i="13"/>
  <c r="BC128" i="13"/>
  <c r="BD128" i="13"/>
  <c r="BE128" i="13"/>
  <c r="BF128" i="13"/>
  <c r="BG128" i="13"/>
  <c r="BH128" i="13"/>
  <c r="BI128" i="13"/>
  <c r="BJ128" i="13"/>
  <c r="BK128" i="13"/>
  <c r="BL128" i="13"/>
  <c r="BM128" i="13"/>
  <c r="BN128" i="13"/>
  <c r="BO128" i="13"/>
  <c r="A129" i="13"/>
  <c r="B129" i="13"/>
  <c r="C129" i="13"/>
  <c r="D129" i="13"/>
  <c r="E129" i="13"/>
  <c r="F129" i="13"/>
  <c r="G129" i="13"/>
  <c r="H129" i="13"/>
  <c r="I129" i="13"/>
  <c r="J129" i="13"/>
  <c r="K129" i="13"/>
  <c r="L129" i="13"/>
  <c r="M129" i="13"/>
  <c r="N129" i="13"/>
  <c r="O129" i="13"/>
  <c r="P129" i="13"/>
  <c r="Q129" i="13"/>
  <c r="R129" i="13"/>
  <c r="S129" i="13"/>
  <c r="T129" i="13"/>
  <c r="U129" i="13"/>
  <c r="V129" i="13"/>
  <c r="W129" i="13"/>
  <c r="X129" i="13"/>
  <c r="Y129" i="13"/>
  <c r="Z129" i="13"/>
  <c r="AA129" i="13"/>
  <c r="AB129" i="13"/>
  <c r="AC129" i="13"/>
  <c r="AD129" i="13"/>
  <c r="AE129" i="13"/>
  <c r="AF129" i="13"/>
  <c r="AG129" i="13"/>
  <c r="AH129" i="13"/>
  <c r="AI129" i="13"/>
  <c r="AJ129" i="13"/>
  <c r="AK129" i="13"/>
  <c r="AL129" i="13"/>
  <c r="AM129" i="13"/>
  <c r="AN129" i="13"/>
  <c r="AO129" i="13"/>
  <c r="AP129" i="13"/>
  <c r="AQ129" i="13"/>
  <c r="AR129" i="13"/>
  <c r="AS129" i="13"/>
  <c r="AT129" i="13"/>
  <c r="AU129" i="13"/>
  <c r="AV129" i="13"/>
  <c r="AW129" i="13"/>
  <c r="AX129" i="13"/>
  <c r="AY129" i="13"/>
  <c r="AZ129" i="13"/>
  <c r="BA129" i="13"/>
  <c r="BB129" i="13"/>
  <c r="BC129" i="13"/>
  <c r="BD129" i="13"/>
  <c r="BE129" i="13"/>
  <c r="BF129" i="13"/>
  <c r="BG129" i="13"/>
  <c r="BH129" i="13"/>
  <c r="BI129" i="13"/>
  <c r="BJ129" i="13"/>
  <c r="BK129" i="13"/>
  <c r="BL129" i="13"/>
  <c r="BM129" i="13"/>
  <c r="BN129" i="13"/>
  <c r="BO129" i="13"/>
  <c r="A130" i="13"/>
  <c r="B130" i="13"/>
  <c r="C130" i="13"/>
  <c r="D130" i="13"/>
  <c r="E130" i="13"/>
  <c r="F130" i="13"/>
  <c r="G130" i="13"/>
  <c r="H130" i="13"/>
  <c r="I130" i="13"/>
  <c r="J130" i="13"/>
  <c r="K130" i="13"/>
  <c r="L130" i="13"/>
  <c r="M130" i="13"/>
  <c r="N130" i="13"/>
  <c r="O130" i="13"/>
  <c r="P130" i="13"/>
  <c r="Q130" i="13"/>
  <c r="R130" i="13"/>
  <c r="S130" i="13"/>
  <c r="T130" i="13"/>
  <c r="U130" i="13"/>
  <c r="V130" i="13"/>
  <c r="W130" i="13"/>
  <c r="X130" i="13"/>
  <c r="Y130" i="13"/>
  <c r="AA130" i="13"/>
  <c r="AB130" i="13"/>
  <c r="AC130" i="13"/>
  <c r="AD130" i="13"/>
  <c r="AE130" i="13"/>
  <c r="AF130" i="13"/>
  <c r="AG130" i="13"/>
  <c r="AH130" i="13"/>
  <c r="AI130" i="13"/>
  <c r="AJ130" i="13"/>
  <c r="AK130" i="13"/>
  <c r="AL130" i="13"/>
  <c r="AM130" i="13"/>
  <c r="AN130" i="13"/>
  <c r="AO130" i="13"/>
  <c r="AP130" i="13"/>
  <c r="AQ130" i="13"/>
  <c r="AR130" i="13"/>
  <c r="AS130" i="13"/>
  <c r="AT130" i="13"/>
  <c r="AU130" i="13"/>
  <c r="AV130" i="13"/>
  <c r="AW130" i="13"/>
  <c r="AX130" i="13"/>
  <c r="AY130" i="13"/>
  <c r="AZ130" i="13"/>
  <c r="BA130" i="13"/>
  <c r="BB130" i="13"/>
  <c r="BC130" i="13"/>
  <c r="BD130" i="13"/>
  <c r="BE130" i="13"/>
  <c r="BF130" i="13"/>
  <c r="BG130" i="13"/>
  <c r="BH130" i="13"/>
  <c r="BI130" i="13"/>
  <c r="BJ130" i="13"/>
  <c r="BK130" i="13"/>
  <c r="BL130" i="13"/>
  <c r="BN130" i="13"/>
  <c r="BO130" i="13"/>
  <c r="A131" i="13"/>
  <c r="B131" i="13"/>
  <c r="C131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P131" i="13"/>
  <c r="Q131" i="13"/>
  <c r="R131" i="13"/>
  <c r="S131" i="13"/>
  <c r="T131" i="13"/>
  <c r="U131" i="13"/>
  <c r="V131" i="13"/>
  <c r="W131" i="13"/>
  <c r="X131" i="13"/>
  <c r="Y131" i="13"/>
  <c r="Z131" i="13"/>
  <c r="AA131" i="13"/>
  <c r="AB131" i="13"/>
  <c r="AC131" i="13"/>
  <c r="AD131" i="13"/>
  <c r="AE131" i="13"/>
  <c r="AF131" i="13"/>
  <c r="AG131" i="13"/>
  <c r="AH131" i="13"/>
  <c r="AJ131" i="13"/>
  <c r="AK131" i="13"/>
  <c r="AL131" i="13"/>
  <c r="AM131" i="13"/>
  <c r="AN131" i="13"/>
  <c r="AO131" i="13"/>
  <c r="AP131" i="13"/>
  <c r="AQ131" i="13"/>
  <c r="AR131" i="13"/>
  <c r="AS131" i="13"/>
  <c r="AT131" i="13"/>
  <c r="AU131" i="13"/>
  <c r="AV131" i="13"/>
  <c r="AW131" i="13"/>
  <c r="AX131" i="13"/>
  <c r="AY131" i="13"/>
  <c r="AZ131" i="13"/>
  <c r="BA131" i="13"/>
  <c r="BB131" i="13"/>
  <c r="BC131" i="13"/>
  <c r="BD131" i="13"/>
  <c r="BE131" i="13"/>
  <c r="BF131" i="13"/>
  <c r="BG131" i="13"/>
  <c r="BH131" i="13"/>
  <c r="BI131" i="13"/>
  <c r="BJ131" i="13"/>
  <c r="BK131" i="13"/>
  <c r="BL131" i="13"/>
  <c r="BM131" i="13"/>
  <c r="BN131" i="13"/>
  <c r="BO131" i="13"/>
  <c r="A132" i="13"/>
  <c r="B132" i="13"/>
  <c r="C132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P132" i="13"/>
  <c r="Q132" i="13"/>
  <c r="R132" i="13"/>
  <c r="S132" i="13"/>
  <c r="T132" i="13"/>
  <c r="U132" i="13"/>
  <c r="V132" i="13"/>
  <c r="W132" i="13"/>
  <c r="X132" i="13"/>
  <c r="Y132" i="13"/>
  <c r="Z132" i="13"/>
  <c r="AA132" i="13"/>
  <c r="AB132" i="13"/>
  <c r="AC132" i="13"/>
  <c r="AD132" i="13"/>
  <c r="AE132" i="13"/>
  <c r="AF132" i="13"/>
  <c r="AG132" i="13"/>
  <c r="AH132" i="13"/>
  <c r="AI132" i="13"/>
  <c r="AJ132" i="13"/>
  <c r="AK132" i="13"/>
  <c r="AL132" i="13"/>
  <c r="AM132" i="13"/>
  <c r="AN132" i="13"/>
  <c r="AO132" i="13"/>
  <c r="AP132" i="13"/>
  <c r="AQ132" i="13"/>
  <c r="AR132" i="13"/>
  <c r="AS132" i="13"/>
  <c r="AT132" i="13"/>
  <c r="AU132" i="13"/>
  <c r="AV132" i="13"/>
  <c r="AW132" i="13"/>
  <c r="AX132" i="13"/>
  <c r="AY132" i="13"/>
  <c r="AZ132" i="13"/>
  <c r="BA132" i="13"/>
  <c r="BB132" i="13"/>
  <c r="BC132" i="13"/>
  <c r="BD132" i="13"/>
  <c r="BE132" i="13"/>
  <c r="BF132" i="13"/>
  <c r="BG132" i="13"/>
  <c r="BH132" i="13"/>
  <c r="BI132" i="13"/>
  <c r="BJ132" i="13"/>
  <c r="BK132" i="13"/>
  <c r="BL132" i="13"/>
  <c r="BM132" i="13"/>
  <c r="BN132" i="13"/>
  <c r="BO132" i="13"/>
  <c r="A133" i="13"/>
  <c r="B133" i="13"/>
  <c r="C133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P133" i="13"/>
  <c r="Q133" i="13"/>
  <c r="R133" i="13"/>
  <c r="S133" i="13"/>
  <c r="T133" i="13"/>
  <c r="U133" i="13"/>
  <c r="V133" i="13"/>
  <c r="W133" i="13"/>
  <c r="X133" i="13"/>
  <c r="Y133" i="13"/>
  <c r="Z133" i="13"/>
  <c r="AA133" i="13"/>
  <c r="AB133" i="13"/>
  <c r="AC133" i="13"/>
  <c r="AD133" i="13"/>
  <c r="AE133" i="13"/>
  <c r="AF133" i="13"/>
  <c r="AG133" i="13"/>
  <c r="AH133" i="13"/>
  <c r="AI133" i="13"/>
  <c r="AJ133" i="13"/>
  <c r="AK133" i="13"/>
  <c r="AL133" i="13"/>
  <c r="AM133" i="13"/>
  <c r="AN133" i="13"/>
  <c r="AO133" i="13"/>
  <c r="AP133" i="13"/>
  <c r="AQ133" i="13"/>
  <c r="AR133" i="13"/>
  <c r="AS133" i="13"/>
  <c r="AT133" i="13"/>
  <c r="AU133" i="13"/>
  <c r="AV133" i="13"/>
  <c r="AW133" i="13"/>
  <c r="AX133" i="13"/>
  <c r="AY133" i="13"/>
  <c r="AZ133" i="13"/>
  <c r="BA133" i="13"/>
  <c r="BB133" i="13"/>
  <c r="BC133" i="13"/>
  <c r="BD133" i="13"/>
  <c r="BE133" i="13"/>
  <c r="BF133" i="13"/>
  <c r="BG133" i="13"/>
  <c r="BH133" i="13"/>
  <c r="BI133" i="13"/>
  <c r="BJ133" i="13"/>
  <c r="BK133" i="13"/>
  <c r="BL133" i="13"/>
  <c r="BM133" i="13"/>
  <c r="BN133" i="13"/>
  <c r="BO133" i="13"/>
  <c r="A134" i="13"/>
  <c r="B134" i="13"/>
  <c r="C134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P134" i="13"/>
  <c r="Q134" i="13"/>
  <c r="R134" i="13"/>
  <c r="S134" i="13"/>
  <c r="T134" i="13"/>
  <c r="U134" i="13"/>
  <c r="V134" i="13"/>
  <c r="W134" i="13"/>
  <c r="X134" i="13"/>
  <c r="Y134" i="13"/>
  <c r="Z134" i="13"/>
  <c r="AA134" i="13"/>
  <c r="AB134" i="13"/>
  <c r="AD134" i="13"/>
  <c r="AE134" i="13"/>
  <c r="AF134" i="13"/>
  <c r="AG134" i="13"/>
  <c r="AH134" i="13"/>
  <c r="AI134" i="13"/>
  <c r="AJ134" i="13"/>
  <c r="AK134" i="13"/>
  <c r="AL134" i="13"/>
  <c r="AM134" i="13"/>
  <c r="AN134" i="13"/>
  <c r="AO134" i="13"/>
  <c r="AP134" i="13"/>
  <c r="AQ134" i="13"/>
  <c r="AR134" i="13"/>
  <c r="AS134" i="13"/>
  <c r="AT134" i="13"/>
  <c r="AU134" i="13"/>
  <c r="AV134" i="13"/>
  <c r="AW134" i="13"/>
  <c r="AX134" i="13"/>
  <c r="AY134" i="13"/>
  <c r="AZ134" i="13"/>
  <c r="BA134" i="13"/>
  <c r="BB134" i="13"/>
  <c r="BC134" i="13"/>
  <c r="BD134" i="13"/>
  <c r="BE134" i="13"/>
  <c r="BF134" i="13"/>
  <c r="BG134" i="13"/>
  <c r="BH134" i="13"/>
  <c r="BI134" i="13"/>
  <c r="BJ134" i="13"/>
  <c r="BK134" i="13"/>
  <c r="BL134" i="13"/>
  <c r="BM134" i="13"/>
  <c r="BN134" i="13"/>
  <c r="BO134" i="13"/>
  <c r="A135" i="13"/>
  <c r="B135" i="13"/>
  <c r="C135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P135" i="13"/>
  <c r="Q135" i="13"/>
  <c r="R135" i="13"/>
  <c r="S135" i="13"/>
  <c r="T135" i="13"/>
  <c r="U135" i="13"/>
  <c r="V135" i="13"/>
  <c r="W135" i="13"/>
  <c r="X135" i="13"/>
  <c r="Y135" i="13"/>
  <c r="Z135" i="13"/>
  <c r="AA135" i="13"/>
  <c r="AB135" i="13"/>
  <c r="AC135" i="13"/>
  <c r="AD135" i="13"/>
  <c r="AE135" i="13"/>
  <c r="AF135" i="13"/>
  <c r="AG135" i="13"/>
  <c r="AH135" i="13"/>
  <c r="AI135" i="13"/>
  <c r="AJ135" i="13"/>
  <c r="AK135" i="13"/>
  <c r="AL135" i="13"/>
  <c r="AM135" i="13"/>
  <c r="AN135" i="13"/>
  <c r="AO135" i="13"/>
  <c r="AP135" i="13"/>
  <c r="AQ135" i="13"/>
  <c r="AR135" i="13"/>
  <c r="AS135" i="13"/>
  <c r="AT135" i="13"/>
  <c r="AU135" i="13"/>
  <c r="AV135" i="13"/>
  <c r="AW135" i="13"/>
  <c r="AX135" i="13"/>
  <c r="AY135" i="13"/>
  <c r="AZ135" i="13"/>
  <c r="BA135" i="13"/>
  <c r="BB135" i="13"/>
  <c r="BC135" i="13"/>
  <c r="BD135" i="13"/>
  <c r="BE135" i="13"/>
  <c r="BF135" i="13"/>
  <c r="BG135" i="13"/>
  <c r="BH135" i="13"/>
  <c r="BI135" i="13"/>
  <c r="BJ135" i="13"/>
  <c r="BK135" i="13"/>
  <c r="BL135" i="13"/>
  <c r="BM135" i="13"/>
  <c r="BN135" i="13"/>
  <c r="BO135" i="13"/>
  <c r="A136" i="13"/>
  <c r="B136" i="13"/>
  <c r="C136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P136" i="13"/>
  <c r="Q136" i="13"/>
  <c r="R136" i="13"/>
  <c r="S136" i="13"/>
  <c r="T136" i="13"/>
  <c r="U136" i="13"/>
  <c r="V136" i="13"/>
  <c r="W136" i="13"/>
  <c r="X136" i="13"/>
  <c r="Y136" i="13"/>
  <c r="AA136" i="13"/>
  <c r="AB136" i="13"/>
  <c r="AC136" i="13"/>
  <c r="AD136" i="13"/>
  <c r="AE136" i="13"/>
  <c r="AF136" i="13"/>
  <c r="AG136" i="13"/>
  <c r="AH136" i="13"/>
  <c r="AI136" i="13"/>
  <c r="AJ136" i="13"/>
  <c r="AK136" i="13"/>
  <c r="AL136" i="13"/>
  <c r="AM136" i="13"/>
  <c r="AN136" i="13"/>
  <c r="AO136" i="13"/>
  <c r="AP136" i="13"/>
  <c r="AQ136" i="13"/>
  <c r="AR136" i="13"/>
  <c r="AS136" i="13"/>
  <c r="AT136" i="13"/>
  <c r="AU136" i="13"/>
  <c r="AV136" i="13"/>
  <c r="AW136" i="13"/>
  <c r="AX136" i="13"/>
  <c r="AY136" i="13"/>
  <c r="AZ136" i="13"/>
  <c r="BA136" i="13"/>
  <c r="BB136" i="13"/>
  <c r="BC136" i="13"/>
  <c r="BD136" i="13"/>
  <c r="BE136" i="13"/>
  <c r="BF136" i="13"/>
  <c r="BG136" i="13"/>
  <c r="BH136" i="13"/>
  <c r="BI136" i="13"/>
  <c r="BJ136" i="13"/>
  <c r="BK136" i="13"/>
  <c r="BL136" i="13"/>
  <c r="BM136" i="13"/>
  <c r="BN136" i="13"/>
  <c r="BO136" i="13"/>
  <c r="A137" i="13"/>
  <c r="B137" i="13"/>
  <c r="C137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P137" i="13"/>
  <c r="Q137" i="13"/>
  <c r="R137" i="13"/>
  <c r="S137" i="13"/>
  <c r="T137" i="13"/>
  <c r="U137" i="13"/>
  <c r="V137" i="13"/>
  <c r="W137" i="13"/>
  <c r="X137" i="13"/>
  <c r="Y137" i="13"/>
  <c r="Z137" i="13"/>
  <c r="AA137" i="13"/>
  <c r="AB137" i="13"/>
  <c r="AD137" i="13"/>
  <c r="AE137" i="13"/>
  <c r="AF137" i="13"/>
  <c r="AG137" i="13"/>
  <c r="AH137" i="13"/>
  <c r="AI137" i="13"/>
  <c r="AJ137" i="13"/>
  <c r="AK137" i="13"/>
  <c r="AL137" i="13"/>
  <c r="AM137" i="13"/>
  <c r="AN137" i="13"/>
  <c r="AO137" i="13"/>
  <c r="AP137" i="13"/>
  <c r="AQ137" i="13"/>
  <c r="AR137" i="13"/>
  <c r="AS137" i="13"/>
  <c r="AT137" i="13"/>
  <c r="AU137" i="13"/>
  <c r="AV137" i="13"/>
  <c r="AW137" i="13"/>
  <c r="AX137" i="13"/>
  <c r="AY137" i="13"/>
  <c r="AZ137" i="13"/>
  <c r="BA137" i="13"/>
  <c r="BB137" i="13"/>
  <c r="BC137" i="13"/>
  <c r="BD137" i="13"/>
  <c r="BE137" i="13"/>
  <c r="BF137" i="13"/>
  <c r="BG137" i="13"/>
  <c r="BH137" i="13"/>
  <c r="BI137" i="13"/>
  <c r="BJ137" i="13"/>
  <c r="BK137" i="13"/>
  <c r="BL137" i="13"/>
  <c r="BM137" i="13"/>
  <c r="BN137" i="13"/>
  <c r="BO137" i="13"/>
  <c r="A138" i="13"/>
  <c r="B138" i="13"/>
  <c r="C138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P138" i="13"/>
  <c r="Q138" i="13"/>
  <c r="R138" i="13"/>
  <c r="S138" i="13"/>
  <c r="T138" i="13"/>
  <c r="U138" i="13"/>
  <c r="V138" i="13"/>
  <c r="W138" i="13"/>
  <c r="X138" i="13"/>
  <c r="Y138" i="13"/>
  <c r="Z138" i="13"/>
  <c r="AA138" i="13"/>
  <c r="AB138" i="13"/>
  <c r="AC138" i="13"/>
  <c r="AD138" i="13"/>
  <c r="AE138" i="13"/>
  <c r="AF138" i="13"/>
  <c r="AG138" i="13"/>
  <c r="AH138" i="13"/>
  <c r="AI138" i="13"/>
  <c r="AJ138" i="13"/>
  <c r="AK138" i="13"/>
  <c r="AL138" i="13"/>
  <c r="AM138" i="13"/>
  <c r="AN138" i="13"/>
  <c r="AO138" i="13"/>
  <c r="AP138" i="13"/>
  <c r="AQ138" i="13"/>
  <c r="AR138" i="13"/>
  <c r="AS138" i="13"/>
  <c r="AT138" i="13"/>
  <c r="AU138" i="13"/>
  <c r="AV138" i="13"/>
  <c r="AW138" i="13"/>
  <c r="AX138" i="13"/>
  <c r="AY138" i="13"/>
  <c r="AZ138" i="13"/>
  <c r="BA138" i="13"/>
  <c r="BB138" i="13"/>
  <c r="BC138" i="13"/>
  <c r="BD138" i="13"/>
  <c r="BE138" i="13"/>
  <c r="BF138" i="13"/>
  <c r="BG138" i="13"/>
  <c r="BH138" i="13"/>
  <c r="BI138" i="13"/>
  <c r="BJ138" i="13"/>
  <c r="BK138" i="13"/>
  <c r="BL138" i="13"/>
  <c r="BM138" i="13"/>
  <c r="BN138" i="13"/>
  <c r="BO138" i="13"/>
  <c r="A139" i="13"/>
  <c r="B139" i="13"/>
  <c r="C139" i="13"/>
  <c r="D139" i="13"/>
  <c r="E139" i="13"/>
  <c r="F139" i="13"/>
  <c r="G139" i="13"/>
  <c r="H139" i="13"/>
  <c r="I139" i="13"/>
  <c r="J139" i="13"/>
  <c r="K139" i="13"/>
  <c r="L139" i="13"/>
  <c r="M139" i="13"/>
  <c r="N139" i="13"/>
  <c r="O139" i="13"/>
  <c r="P139" i="13"/>
  <c r="Q139" i="13"/>
  <c r="R139" i="13"/>
  <c r="S139" i="13"/>
  <c r="T139" i="13"/>
  <c r="U139" i="13"/>
  <c r="V139" i="13"/>
  <c r="W139" i="13"/>
  <c r="X139" i="13"/>
  <c r="Y139" i="13"/>
  <c r="Z139" i="13"/>
  <c r="AA139" i="13"/>
  <c r="AB139" i="13"/>
  <c r="AC139" i="13"/>
  <c r="AD139" i="13"/>
  <c r="AE139" i="13"/>
  <c r="AF139" i="13"/>
  <c r="AG139" i="13"/>
  <c r="AH139" i="13"/>
  <c r="AJ139" i="13"/>
  <c r="AK139" i="13"/>
  <c r="AL139" i="13"/>
  <c r="AM139" i="13"/>
  <c r="AN139" i="13"/>
  <c r="AO139" i="13"/>
  <c r="AP139" i="13"/>
  <c r="AQ139" i="13"/>
  <c r="AR139" i="13"/>
  <c r="AS139" i="13"/>
  <c r="AT139" i="13"/>
  <c r="AU139" i="13"/>
  <c r="AV139" i="13"/>
  <c r="AW139" i="13"/>
  <c r="AX139" i="13"/>
  <c r="AY139" i="13"/>
  <c r="AZ139" i="13"/>
  <c r="BA139" i="13"/>
  <c r="BB139" i="13"/>
  <c r="BC139" i="13"/>
  <c r="BD139" i="13"/>
  <c r="BE139" i="13"/>
  <c r="BF139" i="13"/>
  <c r="BG139" i="13"/>
  <c r="BH139" i="13"/>
  <c r="BI139" i="13"/>
  <c r="BJ139" i="13"/>
  <c r="BK139" i="13"/>
  <c r="BL139" i="13"/>
  <c r="BM139" i="13"/>
  <c r="BN139" i="13"/>
  <c r="BO139" i="13"/>
  <c r="A140" i="13"/>
  <c r="B140" i="13"/>
  <c r="C140" i="13"/>
  <c r="D140" i="13"/>
  <c r="E140" i="13"/>
  <c r="F140" i="13"/>
  <c r="G140" i="13"/>
  <c r="H140" i="13"/>
  <c r="I140" i="13"/>
  <c r="J140" i="13"/>
  <c r="K140" i="13"/>
  <c r="L140" i="13"/>
  <c r="M140" i="13"/>
  <c r="N140" i="13"/>
  <c r="O140" i="13"/>
  <c r="P140" i="13"/>
  <c r="Q140" i="13"/>
  <c r="R140" i="13"/>
  <c r="S140" i="13"/>
  <c r="T140" i="13"/>
  <c r="U140" i="13"/>
  <c r="V140" i="13"/>
  <c r="X140" i="13"/>
  <c r="Y140" i="13"/>
  <c r="Z140" i="13"/>
  <c r="AA140" i="13"/>
  <c r="AB140" i="13"/>
  <c r="AC140" i="13"/>
  <c r="AD140" i="13"/>
  <c r="AE140" i="13"/>
  <c r="AF140" i="13"/>
  <c r="AG140" i="13"/>
  <c r="AH140" i="13"/>
  <c r="AI140" i="13"/>
  <c r="AJ140" i="13"/>
  <c r="AK140" i="13"/>
  <c r="AL140" i="13"/>
  <c r="AM140" i="13"/>
  <c r="AN140" i="13"/>
  <c r="AO140" i="13"/>
  <c r="AP140" i="13"/>
  <c r="AQ140" i="13"/>
  <c r="AR140" i="13"/>
  <c r="AS140" i="13"/>
  <c r="AT140" i="13"/>
  <c r="AU140" i="13"/>
  <c r="AV140" i="13"/>
  <c r="AW140" i="13"/>
  <c r="AX140" i="13"/>
  <c r="AY140" i="13"/>
  <c r="AZ140" i="13"/>
  <c r="BA140" i="13"/>
  <c r="BB140" i="13"/>
  <c r="BC140" i="13"/>
  <c r="BD140" i="13"/>
  <c r="BE140" i="13"/>
  <c r="BF140" i="13"/>
  <c r="BG140" i="13"/>
  <c r="BH140" i="13"/>
  <c r="BI140" i="13"/>
  <c r="BJ140" i="13"/>
  <c r="BK140" i="13"/>
  <c r="BL140" i="13"/>
  <c r="BM140" i="13"/>
  <c r="BN140" i="13"/>
  <c r="BO140" i="13"/>
  <c r="A141" i="13"/>
  <c r="B141" i="13"/>
  <c r="C141" i="13"/>
  <c r="D141" i="13"/>
  <c r="E141" i="13"/>
  <c r="F141" i="13"/>
  <c r="G141" i="13"/>
  <c r="H141" i="13"/>
  <c r="I141" i="13"/>
  <c r="J141" i="13"/>
  <c r="K141" i="13"/>
  <c r="L141" i="13"/>
  <c r="M141" i="13"/>
  <c r="N141" i="13"/>
  <c r="O141" i="13"/>
  <c r="P141" i="13"/>
  <c r="Q141" i="13"/>
  <c r="R141" i="13"/>
  <c r="S141" i="13"/>
  <c r="T141" i="13"/>
  <c r="U141" i="13"/>
  <c r="V141" i="13"/>
  <c r="W141" i="13"/>
  <c r="X141" i="13"/>
  <c r="Y141" i="13"/>
  <c r="Z141" i="13"/>
  <c r="AA141" i="13"/>
  <c r="AB141" i="13"/>
  <c r="AD141" i="13"/>
  <c r="AE141" i="13"/>
  <c r="AF141" i="13"/>
  <c r="AG141" i="13"/>
  <c r="AH141" i="13"/>
  <c r="AI141" i="13"/>
  <c r="AJ141" i="13"/>
  <c r="AK141" i="13"/>
  <c r="AL141" i="13"/>
  <c r="AM141" i="13"/>
  <c r="AN141" i="13"/>
  <c r="AO141" i="13"/>
  <c r="AP141" i="13"/>
  <c r="AQ141" i="13"/>
  <c r="AR141" i="13"/>
  <c r="AS141" i="13"/>
  <c r="AT141" i="13"/>
  <c r="AU141" i="13"/>
  <c r="AV141" i="13"/>
  <c r="AW141" i="13"/>
  <c r="AX141" i="13"/>
  <c r="AY141" i="13"/>
  <c r="AZ141" i="13"/>
  <c r="BA141" i="13"/>
  <c r="BB141" i="13"/>
  <c r="BC141" i="13"/>
  <c r="BD141" i="13"/>
  <c r="BE141" i="13"/>
  <c r="BF141" i="13"/>
  <c r="BG141" i="13"/>
  <c r="BH141" i="13"/>
  <c r="BI141" i="13"/>
  <c r="BJ141" i="13"/>
  <c r="BK141" i="13"/>
  <c r="BL141" i="13"/>
  <c r="BM141" i="13"/>
  <c r="BN141" i="13"/>
  <c r="BO141" i="13"/>
  <c r="A142" i="13"/>
  <c r="B142" i="13"/>
  <c r="C142" i="13"/>
  <c r="D142" i="13"/>
  <c r="E142" i="13"/>
  <c r="F142" i="13"/>
  <c r="G142" i="13"/>
  <c r="H142" i="13"/>
  <c r="I142" i="13"/>
  <c r="J142" i="13"/>
  <c r="K142" i="13"/>
  <c r="L142" i="13"/>
  <c r="M142" i="13"/>
  <c r="N142" i="13"/>
  <c r="O142" i="13"/>
  <c r="P142" i="13"/>
  <c r="Q142" i="13"/>
  <c r="R142" i="13"/>
  <c r="S142" i="13"/>
  <c r="T142" i="13"/>
  <c r="U142" i="13"/>
  <c r="V142" i="13"/>
  <c r="W142" i="13"/>
  <c r="X142" i="13"/>
  <c r="Y142" i="13"/>
  <c r="Z142" i="13"/>
  <c r="AA142" i="13"/>
  <c r="AB142" i="13"/>
  <c r="AC142" i="13"/>
  <c r="AD142" i="13"/>
  <c r="AE142" i="13"/>
  <c r="AF142" i="13"/>
  <c r="AG142" i="13"/>
  <c r="AH142" i="13"/>
  <c r="AI142" i="13"/>
  <c r="AJ142" i="13"/>
  <c r="AK142" i="13"/>
  <c r="AL142" i="13"/>
  <c r="AM142" i="13"/>
  <c r="AN142" i="13"/>
  <c r="AO142" i="13"/>
  <c r="AP142" i="13"/>
  <c r="AQ142" i="13"/>
  <c r="AR142" i="13"/>
  <c r="AS142" i="13"/>
  <c r="AT142" i="13"/>
  <c r="AU142" i="13"/>
  <c r="AV142" i="13"/>
  <c r="AW142" i="13"/>
  <c r="AX142" i="13"/>
  <c r="AY142" i="13"/>
  <c r="AZ142" i="13"/>
  <c r="BA142" i="13"/>
  <c r="BB142" i="13"/>
  <c r="BC142" i="13"/>
  <c r="BD142" i="13"/>
  <c r="BE142" i="13"/>
  <c r="BF142" i="13"/>
  <c r="BG142" i="13"/>
  <c r="BH142" i="13"/>
  <c r="BI142" i="13"/>
  <c r="BJ142" i="13"/>
  <c r="BK142" i="13"/>
  <c r="BL142" i="13"/>
  <c r="BM142" i="13"/>
  <c r="BN142" i="13"/>
  <c r="BO142" i="13"/>
  <c r="A143" i="13"/>
  <c r="B143" i="13"/>
  <c r="C143" i="13"/>
  <c r="D143" i="13"/>
  <c r="E143" i="13"/>
  <c r="F143" i="13"/>
  <c r="G143" i="13"/>
  <c r="H143" i="13"/>
  <c r="I143" i="13"/>
  <c r="J143" i="13"/>
  <c r="K143" i="13"/>
  <c r="L143" i="13"/>
  <c r="M143" i="13"/>
  <c r="N143" i="13"/>
  <c r="O143" i="13"/>
  <c r="P143" i="13"/>
  <c r="Q143" i="13"/>
  <c r="R143" i="13"/>
  <c r="S143" i="13"/>
  <c r="T143" i="13"/>
  <c r="U143" i="13"/>
  <c r="V143" i="13"/>
  <c r="W143" i="13"/>
  <c r="X143" i="13"/>
  <c r="Y143" i="13"/>
  <c r="Z143" i="13"/>
  <c r="AA143" i="13"/>
  <c r="AB143" i="13"/>
  <c r="AC143" i="13"/>
  <c r="AD143" i="13"/>
  <c r="AE143" i="13"/>
  <c r="AF143" i="13"/>
  <c r="AG143" i="13"/>
  <c r="AH143" i="13"/>
  <c r="AI143" i="13"/>
  <c r="AJ143" i="13"/>
  <c r="AK143" i="13"/>
  <c r="AL143" i="13"/>
  <c r="AM143" i="13"/>
  <c r="AN143" i="13"/>
  <c r="AO143" i="13"/>
  <c r="AP143" i="13"/>
  <c r="AQ143" i="13"/>
  <c r="AR143" i="13"/>
  <c r="AS143" i="13"/>
  <c r="AT143" i="13"/>
  <c r="AU143" i="13"/>
  <c r="AV143" i="13"/>
  <c r="AW143" i="13"/>
  <c r="AX143" i="13"/>
  <c r="AY143" i="13"/>
  <c r="AZ143" i="13"/>
  <c r="BA143" i="13"/>
  <c r="BB143" i="13"/>
  <c r="BC143" i="13"/>
  <c r="BD143" i="13"/>
  <c r="BE143" i="13"/>
  <c r="BF143" i="13"/>
  <c r="BG143" i="13"/>
  <c r="BH143" i="13"/>
  <c r="BI143" i="13"/>
  <c r="BJ143" i="13"/>
  <c r="BK143" i="13"/>
  <c r="BL143" i="13"/>
  <c r="BM143" i="13"/>
  <c r="BN143" i="13"/>
  <c r="BO143" i="13"/>
  <c r="A144" i="13"/>
  <c r="B144" i="13"/>
  <c r="C144" i="13"/>
  <c r="D144" i="13"/>
  <c r="E144" i="13"/>
  <c r="F144" i="13"/>
  <c r="G144" i="13"/>
  <c r="H144" i="13"/>
  <c r="I144" i="13"/>
  <c r="J144" i="13"/>
  <c r="K144" i="13"/>
  <c r="L144" i="13"/>
  <c r="M144" i="13"/>
  <c r="N144" i="13"/>
  <c r="O144" i="13"/>
  <c r="P144" i="13"/>
  <c r="Q144" i="13"/>
  <c r="R144" i="13"/>
  <c r="S144" i="13"/>
  <c r="T144" i="13"/>
  <c r="U144" i="13"/>
  <c r="V144" i="13"/>
  <c r="W144" i="13"/>
  <c r="X144" i="13"/>
  <c r="Y144" i="13"/>
  <c r="Z144" i="13"/>
  <c r="AA144" i="13"/>
  <c r="AB144" i="13"/>
  <c r="AC144" i="13"/>
  <c r="AD144" i="13"/>
  <c r="AE144" i="13"/>
  <c r="AF144" i="13"/>
  <c r="AG144" i="13"/>
  <c r="AH144" i="13"/>
  <c r="AI144" i="13"/>
  <c r="AJ144" i="13"/>
  <c r="AK144" i="13"/>
  <c r="AL144" i="13"/>
  <c r="AM144" i="13"/>
  <c r="AN144" i="13"/>
  <c r="AO144" i="13"/>
  <c r="AP144" i="13"/>
  <c r="AQ144" i="13"/>
  <c r="AR144" i="13"/>
  <c r="AS144" i="13"/>
  <c r="AT144" i="13"/>
  <c r="AU144" i="13"/>
  <c r="AV144" i="13"/>
  <c r="AW144" i="13"/>
  <c r="AX144" i="13"/>
  <c r="AY144" i="13"/>
  <c r="AZ144" i="13"/>
  <c r="BA144" i="13"/>
  <c r="BB144" i="13"/>
  <c r="BC144" i="13"/>
  <c r="BD144" i="13"/>
  <c r="BE144" i="13"/>
  <c r="BF144" i="13"/>
  <c r="BG144" i="13"/>
  <c r="BH144" i="13"/>
  <c r="BI144" i="13"/>
  <c r="BJ144" i="13"/>
  <c r="BK144" i="13"/>
  <c r="BL144" i="13"/>
  <c r="BM144" i="13"/>
  <c r="BN144" i="13"/>
  <c r="BO144" i="13"/>
  <c r="A145" i="13"/>
  <c r="B145" i="13"/>
  <c r="C145" i="13"/>
  <c r="D145" i="13"/>
  <c r="E145" i="13"/>
  <c r="F145" i="13"/>
  <c r="G145" i="13"/>
  <c r="H145" i="13"/>
  <c r="I145" i="13"/>
  <c r="J145" i="13"/>
  <c r="K145" i="13"/>
  <c r="L145" i="13"/>
  <c r="M145" i="13"/>
  <c r="N145" i="13"/>
  <c r="O145" i="13"/>
  <c r="P145" i="13"/>
  <c r="Q145" i="13"/>
  <c r="R145" i="13"/>
  <c r="S145" i="13"/>
  <c r="T145" i="13"/>
  <c r="U145" i="13"/>
  <c r="V145" i="13"/>
  <c r="W145" i="13"/>
  <c r="X145" i="13"/>
  <c r="Y145" i="13"/>
  <c r="Z145" i="13"/>
  <c r="AA145" i="13"/>
  <c r="AB145" i="13"/>
  <c r="AC145" i="13"/>
  <c r="AD145" i="13"/>
  <c r="AE145" i="13"/>
  <c r="AF145" i="13"/>
  <c r="AG145" i="13"/>
  <c r="AH145" i="13"/>
  <c r="AI145" i="13"/>
  <c r="AJ145" i="13"/>
  <c r="AK145" i="13"/>
  <c r="AL145" i="13"/>
  <c r="AM145" i="13"/>
  <c r="AN145" i="13"/>
  <c r="AO145" i="13"/>
  <c r="AP145" i="13"/>
  <c r="AQ145" i="13"/>
  <c r="AR145" i="13"/>
  <c r="AS145" i="13"/>
  <c r="AT145" i="13"/>
  <c r="AU145" i="13"/>
  <c r="AV145" i="13"/>
  <c r="AW145" i="13"/>
  <c r="AX145" i="13"/>
  <c r="AY145" i="13"/>
  <c r="AZ145" i="13"/>
  <c r="BA145" i="13"/>
  <c r="BB145" i="13"/>
  <c r="BC145" i="13"/>
  <c r="BD145" i="13"/>
  <c r="BE145" i="13"/>
  <c r="BF145" i="13"/>
  <c r="BG145" i="13"/>
  <c r="BH145" i="13"/>
  <c r="BI145" i="13"/>
  <c r="BJ145" i="13"/>
  <c r="BK145" i="13"/>
  <c r="BL145" i="13"/>
  <c r="BM145" i="13"/>
  <c r="BN145" i="13"/>
  <c r="BO145" i="13"/>
  <c r="A146" i="13"/>
  <c r="B146" i="13"/>
  <c r="C146" i="13"/>
  <c r="D146" i="13"/>
  <c r="E146" i="13"/>
  <c r="F146" i="13"/>
  <c r="G146" i="13"/>
  <c r="H146" i="13"/>
  <c r="I146" i="13"/>
  <c r="J146" i="13"/>
  <c r="K146" i="13"/>
  <c r="L146" i="13"/>
  <c r="M146" i="13"/>
  <c r="N146" i="13"/>
  <c r="O146" i="13"/>
  <c r="P146" i="13"/>
  <c r="Q146" i="13"/>
  <c r="R146" i="13"/>
  <c r="S146" i="13"/>
  <c r="T146" i="13"/>
  <c r="U146" i="13"/>
  <c r="V146" i="13"/>
  <c r="W146" i="13"/>
  <c r="X146" i="13"/>
  <c r="Y146" i="13"/>
  <c r="Z146" i="13"/>
  <c r="AA146" i="13"/>
  <c r="AB146" i="13"/>
  <c r="AC146" i="13"/>
  <c r="AD146" i="13"/>
  <c r="AE146" i="13"/>
  <c r="AF146" i="13"/>
  <c r="AG146" i="13"/>
  <c r="AH146" i="13"/>
  <c r="AI146" i="13"/>
  <c r="AJ146" i="13"/>
  <c r="AK146" i="13"/>
  <c r="AL146" i="13"/>
  <c r="AM146" i="13"/>
  <c r="AN146" i="13"/>
  <c r="AO146" i="13"/>
  <c r="AP146" i="13"/>
  <c r="AQ146" i="13"/>
  <c r="AR146" i="13"/>
  <c r="AS146" i="13"/>
  <c r="AT146" i="13"/>
  <c r="AU146" i="13"/>
  <c r="AV146" i="13"/>
  <c r="AW146" i="13"/>
  <c r="AX146" i="13"/>
  <c r="AY146" i="13"/>
  <c r="AZ146" i="13"/>
  <c r="BA146" i="13"/>
  <c r="BB146" i="13"/>
  <c r="BC146" i="13"/>
  <c r="BD146" i="13"/>
  <c r="BE146" i="13"/>
  <c r="BF146" i="13"/>
  <c r="BG146" i="13"/>
  <c r="BH146" i="13"/>
  <c r="BI146" i="13"/>
  <c r="BJ146" i="13"/>
  <c r="BK146" i="13"/>
  <c r="BL146" i="13"/>
  <c r="BM146" i="13"/>
  <c r="BN146" i="13"/>
  <c r="BO146" i="13"/>
  <c r="A147" i="13"/>
  <c r="B147" i="13"/>
  <c r="C147" i="13"/>
  <c r="D147" i="13"/>
  <c r="E147" i="13"/>
  <c r="F147" i="13"/>
  <c r="G147" i="13"/>
  <c r="H147" i="13"/>
  <c r="I147" i="13"/>
  <c r="J147" i="13"/>
  <c r="K147" i="13"/>
  <c r="L147" i="13"/>
  <c r="M147" i="13"/>
  <c r="N147" i="13"/>
  <c r="O147" i="13"/>
  <c r="P147" i="13"/>
  <c r="Q147" i="13"/>
  <c r="R147" i="13"/>
  <c r="S147" i="13"/>
  <c r="T147" i="13"/>
  <c r="U147" i="13"/>
  <c r="V147" i="13"/>
  <c r="W147" i="13"/>
  <c r="X147" i="13"/>
  <c r="Y147" i="13"/>
  <c r="Z147" i="13"/>
  <c r="AA147" i="13"/>
  <c r="AB147" i="13"/>
  <c r="AC147" i="13"/>
  <c r="AD147" i="13"/>
  <c r="AE147" i="13"/>
  <c r="AF147" i="13"/>
  <c r="AG147" i="13"/>
  <c r="AH147" i="13"/>
  <c r="AI147" i="13"/>
  <c r="AJ147" i="13"/>
  <c r="AK147" i="13"/>
  <c r="AL147" i="13"/>
  <c r="AM147" i="13"/>
  <c r="AN147" i="13"/>
  <c r="AO147" i="13"/>
  <c r="AP147" i="13"/>
  <c r="AQ147" i="13"/>
  <c r="AR147" i="13"/>
  <c r="AS147" i="13"/>
  <c r="AT147" i="13"/>
  <c r="AU147" i="13"/>
  <c r="AV147" i="13"/>
  <c r="AW147" i="13"/>
  <c r="AX147" i="13"/>
  <c r="AY147" i="13"/>
  <c r="AZ147" i="13"/>
  <c r="BA147" i="13"/>
  <c r="BB147" i="13"/>
  <c r="BC147" i="13"/>
  <c r="BD147" i="13"/>
  <c r="BE147" i="13"/>
  <c r="BF147" i="13"/>
  <c r="BG147" i="13"/>
  <c r="BH147" i="13"/>
  <c r="BI147" i="13"/>
  <c r="BJ147" i="13"/>
  <c r="BK147" i="13"/>
  <c r="BL147" i="13"/>
  <c r="BM147" i="13"/>
  <c r="BN147" i="13"/>
  <c r="BO147" i="13"/>
  <c r="A148" i="13"/>
  <c r="B148" i="13"/>
  <c r="C148" i="13"/>
  <c r="D148" i="13"/>
  <c r="E148" i="13"/>
  <c r="F148" i="13"/>
  <c r="G148" i="13"/>
  <c r="H148" i="13"/>
  <c r="I148" i="13"/>
  <c r="J148" i="13"/>
  <c r="K148" i="13"/>
  <c r="L148" i="13"/>
  <c r="M148" i="13"/>
  <c r="N148" i="13"/>
  <c r="O148" i="13"/>
  <c r="P148" i="13"/>
  <c r="Q148" i="13"/>
  <c r="R148" i="13"/>
  <c r="S148" i="13"/>
  <c r="T148" i="13"/>
  <c r="U148" i="13"/>
  <c r="V148" i="13"/>
  <c r="W148" i="13"/>
  <c r="X148" i="13"/>
  <c r="Y148" i="13"/>
  <c r="Z148" i="13"/>
  <c r="AA148" i="13"/>
  <c r="AB148" i="13"/>
  <c r="AC148" i="13"/>
  <c r="AD148" i="13"/>
  <c r="AE148" i="13"/>
  <c r="AF148" i="13"/>
  <c r="AG148" i="13"/>
  <c r="AH148" i="13"/>
  <c r="AI148" i="13"/>
  <c r="AJ148" i="13"/>
  <c r="AK148" i="13"/>
  <c r="AL148" i="13"/>
  <c r="AM148" i="13"/>
  <c r="AN148" i="13"/>
  <c r="AP148" i="13"/>
  <c r="AQ148" i="13"/>
  <c r="AR148" i="13"/>
  <c r="AS148" i="13"/>
  <c r="AT148" i="13"/>
  <c r="AU148" i="13"/>
  <c r="AV148" i="13"/>
  <c r="AW148" i="13"/>
  <c r="AX148" i="13"/>
  <c r="AY148" i="13"/>
  <c r="AZ148" i="13"/>
  <c r="BA148" i="13"/>
  <c r="BB148" i="13"/>
  <c r="BC148" i="13"/>
  <c r="BD148" i="13"/>
  <c r="BE148" i="13"/>
  <c r="BF148" i="13"/>
  <c r="BG148" i="13"/>
  <c r="BH148" i="13"/>
  <c r="BI148" i="13"/>
  <c r="BJ148" i="13"/>
  <c r="BK148" i="13"/>
  <c r="BL148" i="13"/>
  <c r="BM148" i="13"/>
  <c r="BN148" i="13"/>
  <c r="BO148" i="13"/>
  <c r="A149" i="13"/>
  <c r="B149" i="13"/>
  <c r="C149" i="13"/>
  <c r="D149" i="13"/>
  <c r="E149" i="13"/>
  <c r="F149" i="13"/>
  <c r="G149" i="13"/>
  <c r="H149" i="13"/>
  <c r="I149" i="13"/>
  <c r="J149" i="13"/>
  <c r="K149" i="13"/>
  <c r="L149" i="13"/>
  <c r="M149" i="13"/>
  <c r="N149" i="13"/>
  <c r="O149" i="13"/>
  <c r="P149" i="13"/>
  <c r="Q149" i="13"/>
  <c r="R149" i="13"/>
  <c r="S149" i="13"/>
  <c r="T149" i="13"/>
  <c r="U149" i="13"/>
  <c r="V149" i="13"/>
  <c r="W149" i="13"/>
  <c r="X149" i="13"/>
  <c r="Y149" i="13"/>
  <c r="Z149" i="13"/>
  <c r="AA149" i="13"/>
  <c r="AB149" i="13"/>
  <c r="AC149" i="13"/>
  <c r="AD149" i="13"/>
  <c r="AE149" i="13"/>
  <c r="AF149" i="13"/>
  <c r="AG149" i="13"/>
  <c r="AH149" i="13"/>
  <c r="AI149" i="13"/>
  <c r="AJ149" i="13"/>
  <c r="AK149" i="13"/>
  <c r="AL149" i="13"/>
  <c r="AM149" i="13"/>
  <c r="AN149" i="13"/>
  <c r="AO149" i="13"/>
  <c r="AP149" i="13"/>
  <c r="AQ149" i="13"/>
  <c r="AR149" i="13"/>
  <c r="AS149" i="13"/>
  <c r="AT149" i="13"/>
  <c r="AU149" i="13"/>
  <c r="AV149" i="13"/>
  <c r="AW149" i="13"/>
  <c r="AX149" i="13"/>
  <c r="AY149" i="13"/>
  <c r="AZ149" i="13"/>
  <c r="BA149" i="13"/>
  <c r="BB149" i="13"/>
  <c r="BC149" i="13"/>
  <c r="BD149" i="13"/>
  <c r="BE149" i="13"/>
  <c r="BF149" i="13"/>
  <c r="BG149" i="13"/>
  <c r="BH149" i="13"/>
  <c r="BI149" i="13"/>
  <c r="BJ149" i="13"/>
  <c r="BK149" i="13"/>
  <c r="BL149" i="13"/>
  <c r="BM149" i="13"/>
  <c r="BN149" i="13"/>
  <c r="BO149" i="13"/>
  <c r="A150" i="13"/>
  <c r="B150" i="13"/>
  <c r="C150" i="13"/>
  <c r="D150" i="13"/>
  <c r="E150" i="13"/>
  <c r="F150" i="13"/>
  <c r="G150" i="13"/>
  <c r="H150" i="13"/>
  <c r="I150" i="13"/>
  <c r="J150" i="13"/>
  <c r="K150" i="13"/>
  <c r="L150" i="13"/>
  <c r="M150" i="13"/>
  <c r="N150" i="13"/>
  <c r="O150" i="13"/>
  <c r="P150" i="13"/>
  <c r="Q150" i="13"/>
  <c r="R150" i="13"/>
  <c r="S150" i="13"/>
  <c r="T150" i="13"/>
  <c r="U150" i="13"/>
  <c r="V150" i="13"/>
  <c r="W150" i="13"/>
  <c r="X150" i="13"/>
  <c r="Y150" i="13"/>
  <c r="Z150" i="13"/>
  <c r="AA150" i="13"/>
  <c r="AB150" i="13"/>
  <c r="AC150" i="13"/>
  <c r="AD150" i="13"/>
  <c r="AE150" i="13"/>
  <c r="AF150" i="13"/>
  <c r="AG150" i="13"/>
  <c r="AH150" i="13"/>
  <c r="AI150" i="13"/>
  <c r="AJ150" i="13"/>
  <c r="AK150" i="13"/>
  <c r="AL150" i="13"/>
  <c r="AM150" i="13"/>
  <c r="AN150" i="13"/>
  <c r="AO150" i="13"/>
  <c r="AP150" i="13"/>
  <c r="AQ150" i="13"/>
  <c r="AR150" i="13"/>
  <c r="AS150" i="13"/>
  <c r="AT150" i="13"/>
  <c r="AU150" i="13"/>
  <c r="AV150" i="13"/>
  <c r="AW150" i="13"/>
  <c r="AX150" i="13"/>
  <c r="AY150" i="13"/>
  <c r="AZ150" i="13"/>
  <c r="BA150" i="13"/>
  <c r="BB150" i="13"/>
  <c r="BC150" i="13"/>
  <c r="BD150" i="13"/>
  <c r="BE150" i="13"/>
  <c r="BF150" i="13"/>
  <c r="BG150" i="13"/>
  <c r="BH150" i="13"/>
  <c r="BI150" i="13"/>
  <c r="BJ150" i="13"/>
  <c r="BK150" i="13"/>
  <c r="BL150" i="13"/>
  <c r="BM150" i="13"/>
  <c r="BN150" i="13"/>
  <c r="BO150" i="13"/>
  <c r="A151" i="13"/>
  <c r="B151" i="13"/>
  <c r="C151" i="13"/>
  <c r="D151" i="13"/>
  <c r="E151" i="13"/>
  <c r="F151" i="13"/>
  <c r="G151" i="13"/>
  <c r="H151" i="13"/>
  <c r="I151" i="13"/>
  <c r="J151" i="13"/>
  <c r="K151" i="13"/>
  <c r="L151" i="13"/>
  <c r="M151" i="13"/>
  <c r="N151" i="13"/>
  <c r="O151" i="13"/>
  <c r="P151" i="13"/>
  <c r="Q151" i="13"/>
  <c r="R151" i="13"/>
  <c r="S151" i="13"/>
  <c r="T151" i="13"/>
  <c r="U151" i="13"/>
  <c r="V151" i="13"/>
  <c r="W151" i="13"/>
  <c r="X151" i="13"/>
  <c r="Y151" i="13"/>
  <c r="Z151" i="13"/>
  <c r="AA151" i="13"/>
  <c r="AB151" i="13"/>
  <c r="AC151" i="13"/>
  <c r="AD151" i="13"/>
  <c r="AE151" i="13"/>
  <c r="AF151" i="13"/>
  <c r="AG151" i="13"/>
  <c r="AH151" i="13"/>
  <c r="AI151" i="13"/>
  <c r="AJ151" i="13"/>
  <c r="AK151" i="13"/>
  <c r="AL151" i="13"/>
  <c r="AM151" i="13"/>
  <c r="AN151" i="13"/>
  <c r="AO151" i="13"/>
  <c r="AP151" i="13"/>
  <c r="AQ151" i="13"/>
  <c r="AR151" i="13"/>
  <c r="AS151" i="13"/>
  <c r="AT151" i="13"/>
  <c r="AU151" i="13"/>
  <c r="AV151" i="13"/>
  <c r="AW151" i="13"/>
  <c r="AX151" i="13"/>
  <c r="AY151" i="13"/>
  <c r="AZ151" i="13"/>
  <c r="BA151" i="13"/>
  <c r="BB151" i="13"/>
  <c r="BC151" i="13"/>
  <c r="BD151" i="13"/>
  <c r="BE151" i="13"/>
  <c r="BF151" i="13"/>
  <c r="BG151" i="13"/>
  <c r="BH151" i="13"/>
  <c r="BI151" i="13"/>
  <c r="BJ151" i="13"/>
  <c r="BK151" i="13"/>
  <c r="BL151" i="13"/>
  <c r="BM151" i="13"/>
  <c r="BN151" i="13"/>
  <c r="BO151" i="13"/>
  <c r="A152" i="13"/>
  <c r="B152" i="13"/>
  <c r="C152" i="13"/>
  <c r="D152" i="13"/>
  <c r="E152" i="13"/>
  <c r="F152" i="13"/>
  <c r="G152" i="13"/>
  <c r="H152" i="13"/>
  <c r="I152" i="13"/>
  <c r="J152" i="13"/>
  <c r="K152" i="13"/>
  <c r="L152" i="13"/>
  <c r="M152" i="13"/>
  <c r="N152" i="13"/>
  <c r="O152" i="13"/>
  <c r="P152" i="13"/>
  <c r="Q152" i="13"/>
  <c r="R152" i="13"/>
  <c r="S152" i="13"/>
  <c r="T152" i="13"/>
  <c r="U152" i="13"/>
  <c r="V152" i="13"/>
  <c r="W152" i="13"/>
  <c r="X152" i="13"/>
  <c r="Y152" i="13"/>
  <c r="Z152" i="13"/>
  <c r="AA152" i="13"/>
  <c r="AB152" i="13"/>
  <c r="AC152" i="13"/>
  <c r="AD152" i="13"/>
  <c r="AE152" i="13"/>
  <c r="AF152" i="13"/>
  <c r="AG152" i="13"/>
  <c r="AH152" i="13"/>
  <c r="AI152" i="13"/>
  <c r="AJ152" i="13"/>
  <c r="AK152" i="13"/>
  <c r="AL152" i="13"/>
  <c r="AM152" i="13"/>
  <c r="AN152" i="13"/>
  <c r="AO152" i="13"/>
  <c r="AP152" i="13"/>
  <c r="AQ152" i="13"/>
  <c r="AR152" i="13"/>
  <c r="AS152" i="13"/>
  <c r="AT152" i="13"/>
  <c r="AU152" i="13"/>
  <c r="AV152" i="13"/>
  <c r="AW152" i="13"/>
  <c r="AX152" i="13"/>
  <c r="AY152" i="13"/>
  <c r="AZ152" i="13"/>
  <c r="BA152" i="13"/>
  <c r="BB152" i="13"/>
  <c r="BC152" i="13"/>
  <c r="BD152" i="13"/>
  <c r="BE152" i="13"/>
  <c r="BF152" i="13"/>
  <c r="BG152" i="13"/>
  <c r="BH152" i="13"/>
  <c r="BI152" i="13"/>
  <c r="BJ152" i="13"/>
  <c r="BK152" i="13"/>
  <c r="BL152" i="13"/>
  <c r="BM152" i="13"/>
  <c r="BN152" i="13"/>
  <c r="BO152" i="13"/>
  <c r="A153" i="13"/>
  <c r="B153" i="13"/>
  <c r="C153" i="13"/>
  <c r="D153" i="13"/>
  <c r="E153" i="13"/>
  <c r="F153" i="13"/>
  <c r="G153" i="13"/>
  <c r="H153" i="13"/>
  <c r="I153" i="13"/>
  <c r="J153" i="13"/>
  <c r="K153" i="13"/>
  <c r="L153" i="13"/>
  <c r="M153" i="13"/>
  <c r="N153" i="13"/>
  <c r="O153" i="13"/>
  <c r="P153" i="13"/>
  <c r="Q153" i="13"/>
  <c r="R153" i="13"/>
  <c r="S153" i="13"/>
  <c r="T153" i="13"/>
  <c r="U153" i="13"/>
  <c r="V153" i="13"/>
  <c r="W153" i="13"/>
  <c r="X153" i="13"/>
  <c r="Y153" i="13"/>
  <c r="Z153" i="13"/>
  <c r="AA153" i="13"/>
  <c r="AB153" i="13"/>
  <c r="AC153" i="13"/>
  <c r="AD153" i="13"/>
  <c r="AE153" i="13"/>
  <c r="AF153" i="13"/>
  <c r="AG153" i="13"/>
  <c r="AH153" i="13"/>
  <c r="AI153" i="13"/>
  <c r="AJ153" i="13"/>
  <c r="AK153" i="13"/>
  <c r="AL153" i="13"/>
  <c r="AM153" i="13"/>
  <c r="AN153" i="13"/>
  <c r="AO153" i="13"/>
  <c r="AP153" i="13"/>
  <c r="AQ153" i="13"/>
  <c r="AR153" i="13"/>
  <c r="AS153" i="13"/>
  <c r="AT153" i="13"/>
  <c r="AU153" i="13"/>
  <c r="AV153" i="13"/>
  <c r="AW153" i="13"/>
  <c r="AX153" i="13"/>
  <c r="AY153" i="13"/>
  <c r="AZ153" i="13"/>
  <c r="BA153" i="13"/>
  <c r="BB153" i="13"/>
  <c r="BC153" i="13"/>
  <c r="BD153" i="13"/>
  <c r="BE153" i="13"/>
  <c r="BF153" i="13"/>
  <c r="BG153" i="13"/>
  <c r="BH153" i="13"/>
  <c r="BI153" i="13"/>
  <c r="BJ153" i="13"/>
  <c r="BK153" i="13"/>
  <c r="BL153" i="13"/>
  <c r="BM153" i="13"/>
  <c r="BN153" i="13"/>
  <c r="BO153" i="13"/>
  <c r="A154" i="13"/>
  <c r="B154" i="13"/>
  <c r="C154" i="13"/>
  <c r="D154" i="13"/>
  <c r="E154" i="13"/>
  <c r="F154" i="13"/>
  <c r="G154" i="13"/>
  <c r="H154" i="13"/>
  <c r="I154" i="13"/>
  <c r="J154" i="13"/>
  <c r="K154" i="13"/>
  <c r="L154" i="13"/>
  <c r="M154" i="13"/>
  <c r="N154" i="13"/>
  <c r="O154" i="13"/>
  <c r="P154" i="13"/>
  <c r="Q154" i="13"/>
  <c r="R154" i="13"/>
  <c r="S154" i="13"/>
  <c r="T154" i="13"/>
  <c r="U154" i="13"/>
  <c r="V154" i="13"/>
  <c r="W154" i="13"/>
  <c r="X154" i="13"/>
  <c r="Y154" i="13"/>
  <c r="Z154" i="13"/>
  <c r="AA154" i="13"/>
  <c r="AB154" i="13"/>
  <c r="AC154" i="13"/>
  <c r="AD154" i="13"/>
  <c r="AE154" i="13"/>
  <c r="AF154" i="13"/>
  <c r="AG154" i="13"/>
  <c r="AH154" i="13"/>
  <c r="AI154" i="13"/>
  <c r="AJ154" i="13"/>
  <c r="AK154" i="13"/>
  <c r="AL154" i="13"/>
  <c r="AM154" i="13"/>
  <c r="AN154" i="13"/>
  <c r="AO154" i="13"/>
  <c r="AP154" i="13"/>
  <c r="AQ154" i="13"/>
  <c r="AR154" i="13"/>
  <c r="AS154" i="13"/>
  <c r="AT154" i="13"/>
  <c r="AU154" i="13"/>
  <c r="AV154" i="13"/>
  <c r="AW154" i="13"/>
  <c r="AX154" i="13"/>
  <c r="AY154" i="13"/>
  <c r="AZ154" i="13"/>
  <c r="BA154" i="13"/>
  <c r="BB154" i="13"/>
  <c r="BC154" i="13"/>
  <c r="BD154" i="13"/>
  <c r="BE154" i="13"/>
  <c r="BF154" i="13"/>
  <c r="BG154" i="13"/>
  <c r="BH154" i="13"/>
  <c r="BI154" i="13"/>
  <c r="BJ154" i="13"/>
  <c r="BK154" i="13"/>
  <c r="BL154" i="13"/>
  <c r="BM154" i="13"/>
  <c r="BN154" i="13"/>
  <c r="BO154" i="13"/>
  <c r="A155" i="13"/>
  <c r="B155" i="13"/>
  <c r="C155" i="13"/>
  <c r="D155" i="13"/>
  <c r="E155" i="13"/>
  <c r="F155" i="13"/>
  <c r="G155" i="13"/>
  <c r="H155" i="13"/>
  <c r="I155" i="13"/>
  <c r="J155" i="13"/>
  <c r="K155" i="13"/>
  <c r="L155" i="13"/>
  <c r="M155" i="13"/>
  <c r="N155" i="13"/>
  <c r="O155" i="13"/>
  <c r="P155" i="13"/>
  <c r="Q155" i="13"/>
  <c r="R155" i="13"/>
  <c r="S155" i="13"/>
  <c r="T155" i="13"/>
  <c r="U155" i="13"/>
  <c r="V155" i="13"/>
  <c r="W155" i="13"/>
  <c r="X155" i="13"/>
  <c r="Y155" i="13"/>
  <c r="Z155" i="13"/>
  <c r="AA155" i="13"/>
  <c r="AB155" i="13"/>
  <c r="AC155" i="13"/>
  <c r="AD155" i="13"/>
  <c r="AE155" i="13"/>
  <c r="AF155" i="13"/>
  <c r="AG155" i="13"/>
  <c r="AH155" i="13"/>
  <c r="AI155" i="13"/>
  <c r="AJ155" i="13"/>
  <c r="AK155" i="13"/>
  <c r="AL155" i="13"/>
  <c r="AM155" i="13"/>
  <c r="AN155" i="13"/>
  <c r="AO155" i="13"/>
  <c r="AP155" i="13"/>
  <c r="AQ155" i="13"/>
  <c r="AR155" i="13"/>
  <c r="AS155" i="13"/>
  <c r="AT155" i="13"/>
  <c r="AU155" i="13"/>
  <c r="AV155" i="13"/>
  <c r="AW155" i="13"/>
  <c r="AX155" i="13"/>
  <c r="AY155" i="13"/>
  <c r="AZ155" i="13"/>
  <c r="BA155" i="13"/>
  <c r="BB155" i="13"/>
  <c r="BC155" i="13"/>
  <c r="BD155" i="13"/>
  <c r="BE155" i="13"/>
  <c r="BF155" i="13"/>
  <c r="BG155" i="13"/>
  <c r="BH155" i="13"/>
  <c r="BI155" i="13"/>
  <c r="BJ155" i="13"/>
  <c r="BK155" i="13"/>
  <c r="BL155" i="13"/>
  <c r="BM155" i="13"/>
  <c r="BN155" i="13"/>
  <c r="BO155" i="13"/>
  <c r="A156" i="13"/>
  <c r="B156" i="13"/>
  <c r="C156" i="13"/>
  <c r="D156" i="13"/>
  <c r="E156" i="13"/>
  <c r="F156" i="13"/>
  <c r="G156" i="13"/>
  <c r="H156" i="13"/>
  <c r="I156" i="13"/>
  <c r="J156" i="13"/>
  <c r="K156" i="13"/>
  <c r="L156" i="13"/>
  <c r="M156" i="13"/>
  <c r="N156" i="13"/>
  <c r="O156" i="13"/>
  <c r="P156" i="13"/>
  <c r="Q156" i="13"/>
  <c r="R156" i="13"/>
  <c r="S156" i="13"/>
  <c r="T156" i="13"/>
  <c r="U156" i="13"/>
  <c r="V156" i="13"/>
  <c r="W156" i="13"/>
  <c r="X156" i="13"/>
  <c r="Y156" i="13"/>
  <c r="Z156" i="13"/>
  <c r="AA156" i="13"/>
  <c r="AB156" i="13"/>
  <c r="AC156" i="13"/>
  <c r="AD156" i="13"/>
  <c r="AE156" i="13"/>
  <c r="AF156" i="13"/>
  <c r="AG156" i="13"/>
  <c r="AH156" i="13"/>
  <c r="AI156" i="13"/>
  <c r="AJ156" i="13"/>
  <c r="AK156" i="13"/>
  <c r="AL156" i="13"/>
  <c r="AM156" i="13"/>
  <c r="AN156" i="13"/>
  <c r="AO156" i="13"/>
  <c r="AP156" i="13"/>
  <c r="AQ156" i="13"/>
  <c r="AR156" i="13"/>
  <c r="AS156" i="13"/>
  <c r="AT156" i="13"/>
  <c r="AU156" i="13"/>
  <c r="AV156" i="13"/>
  <c r="AW156" i="13"/>
  <c r="AX156" i="13"/>
  <c r="AY156" i="13"/>
  <c r="AZ156" i="13"/>
  <c r="BA156" i="13"/>
  <c r="BB156" i="13"/>
  <c r="BC156" i="13"/>
  <c r="BD156" i="13"/>
  <c r="BE156" i="13"/>
  <c r="BF156" i="13"/>
  <c r="BG156" i="13"/>
  <c r="BH156" i="13"/>
  <c r="BI156" i="13"/>
  <c r="BJ156" i="13"/>
  <c r="BK156" i="13"/>
  <c r="BL156" i="13"/>
  <c r="BN156" i="13"/>
  <c r="BO156" i="13"/>
  <c r="A157" i="13"/>
  <c r="B157" i="13"/>
  <c r="C157" i="13"/>
  <c r="D157" i="13"/>
  <c r="E157" i="13"/>
  <c r="F157" i="13"/>
  <c r="G157" i="13"/>
  <c r="H157" i="13"/>
  <c r="I157" i="13"/>
  <c r="J157" i="13"/>
  <c r="K157" i="13"/>
  <c r="L157" i="13"/>
  <c r="M157" i="13"/>
  <c r="N157" i="13"/>
  <c r="O157" i="13"/>
  <c r="P157" i="13"/>
  <c r="Q157" i="13"/>
  <c r="R157" i="13"/>
  <c r="S157" i="13"/>
  <c r="T157" i="13"/>
  <c r="U157" i="13"/>
  <c r="V157" i="13"/>
  <c r="W157" i="13"/>
  <c r="X157" i="13"/>
  <c r="Y157" i="13"/>
  <c r="Z157" i="13"/>
  <c r="AA157" i="13"/>
  <c r="AB157" i="13"/>
  <c r="AC157" i="13"/>
  <c r="AD157" i="13"/>
  <c r="AE157" i="13"/>
  <c r="AF157" i="13"/>
  <c r="AG157" i="13"/>
  <c r="AH157" i="13"/>
  <c r="AI157" i="13"/>
  <c r="AJ157" i="13"/>
  <c r="AK157" i="13"/>
  <c r="AL157" i="13"/>
  <c r="AM157" i="13"/>
  <c r="AN157" i="13"/>
  <c r="AO157" i="13"/>
  <c r="AP157" i="13"/>
  <c r="AQ157" i="13"/>
  <c r="AR157" i="13"/>
  <c r="AS157" i="13"/>
  <c r="AT157" i="13"/>
  <c r="AU157" i="13"/>
  <c r="AV157" i="13"/>
  <c r="AW157" i="13"/>
  <c r="AX157" i="13"/>
  <c r="AY157" i="13"/>
  <c r="AZ157" i="13"/>
  <c r="BA157" i="13"/>
  <c r="BB157" i="13"/>
  <c r="BC157" i="13"/>
  <c r="BD157" i="13"/>
  <c r="BE157" i="13"/>
  <c r="BF157" i="13"/>
  <c r="BG157" i="13"/>
  <c r="BH157" i="13"/>
  <c r="BI157" i="13"/>
  <c r="BJ157" i="13"/>
  <c r="BK157" i="13"/>
  <c r="BL157" i="13"/>
  <c r="BM157" i="13"/>
  <c r="BN157" i="13"/>
  <c r="BO157" i="13"/>
  <c r="A158" i="13"/>
  <c r="B158" i="13"/>
  <c r="C158" i="13"/>
  <c r="D158" i="13"/>
  <c r="E158" i="13"/>
  <c r="F158" i="13"/>
  <c r="G158" i="13"/>
  <c r="H158" i="13"/>
  <c r="I158" i="13"/>
  <c r="J158" i="13"/>
  <c r="K158" i="13"/>
  <c r="L158" i="13"/>
  <c r="M158" i="13"/>
  <c r="N158" i="13"/>
  <c r="O158" i="13"/>
  <c r="P158" i="13"/>
  <c r="Q158" i="13"/>
  <c r="R158" i="13"/>
  <c r="S158" i="13"/>
  <c r="T158" i="13"/>
  <c r="U158" i="13"/>
  <c r="V158" i="13"/>
  <c r="X158" i="13"/>
  <c r="Y158" i="13"/>
  <c r="Z158" i="13"/>
  <c r="AA158" i="13"/>
  <c r="AB158" i="13"/>
  <c r="AC158" i="13"/>
  <c r="AD158" i="13"/>
  <c r="AE158" i="13"/>
  <c r="AF158" i="13"/>
  <c r="AG158" i="13"/>
  <c r="AH158" i="13"/>
  <c r="AI158" i="13"/>
  <c r="AJ158" i="13"/>
  <c r="AK158" i="13"/>
  <c r="AL158" i="13"/>
  <c r="AM158" i="13"/>
  <c r="AN158" i="13"/>
  <c r="AO158" i="13"/>
  <c r="AP158" i="13"/>
  <c r="AQ158" i="13"/>
  <c r="AR158" i="13"/>
  <c r="AS158" i="13"/>
  <c r="AT158" i="13"/>
  <c r="AU158" i="13"/>
  <c r="AV158" i="13"/>
  <c r="AW158" i="13"/>
  <c r="AX158" i="13"/>
  <c r="AY158" i="13"/>
  <c r="AZ158" i="13"/>
  <c r="BA158" i="13"/>
  <c r="BB158" i="13"/>
  <c r="BC158" i="13"/>
  <c r="BD158" i="13"/>
  <c r="BE158" i="13"/>
  <c r="BF158" i="13"/>
  <c r="BG158" i="13"/>
  <c r="BH158" i="13"/>
  <c r="BI158" i="13"/>
  <c r="BJ158" i="13"/>
  <c r="BK158" i="13"/>
  <c r="BL158" i="13"/>
  <c r="BM158" i="13"/>
  <c r="BN158" i="13"/>
  <c r="BO158" i="13"/>
  <c r="A159" i="13"/>
  <c r="B159" i="13"/>
  <c r="C159" i="13"/>
  <c r="D159" i="13"/>
  <c r="E159" i="13"/>
  <c r="F159" i="13"/>
  <c r="G159" i="13"/>
  <c r="H159" i="13"/>
  <c r="I159" i="13"/>
  <c r="J159" i="13"/>
  <c r="K159" i="13"/>
  <c r="L159" i="13"/>
  <c r="M159" i="13"/>
  <c r="N159" i="13"/>
  <c r="O159" i="13"/>
  <c r="P159" i="13"/>
  <c r="Q159" i="13"/>
  <c r="R159" i="13"/>
  <c r="S159" i="13"/>
  <c r="T159" i="13"/>
  <c r="U159" i="13"/>
  <c r="V159" i="13"/>
  <c r="W159" i="13"/>
  <c r="X159" i="13"/>
  <c r="Y159" i="13"/>
  <c r="Z159" i="13"/>
  <c r="AA159" i="13"/>
  <c r="AB159" i="13"/>
  <c r="AC159" i="13"/>
  <c r="AD159" i="13"/>
  <c r="AE159" i="13"/>
  <c r="AF159" i="13"/>
  <c r="AG159" i="13"/>
  <c r="AH159" i="13"/>
  <c r="AI159" i="13"/>
  <c r="AJ159" i="13"/>
  <c r="AK159" i="13"/>
  <c r="AL159" i="13"/>
  <c r="AM159" i="13"/>
  <c r="AN159" i="13"/>
  <c r="AO159" i="13"/>
  <c r="AP159" i="13"/>
  <c r="AQ159" i="13"/>
  <c r="AR159" i="13"/>
  <c r="AS159" i="13"/>
  <c r="AT159" i="13"/>
  <c r="AU159" i="13"/>
  <c r="AV159" i="13"/>
  <c r="AW159" i="13"/>
  <c r="AX159" i="13"/>
  <c r="AY159" i="13"/>
  <c r="AZ159" i="13"/>
  <c r="BA159" i="13"/>
  <c r="BB159" i="13"/>
  <c r="BC159" i="13"/>
  <c r="BD159" i="13"/>
  <c r="BE159" i="13"/>
  <c r="BF159" i="13"/>
  <c r="BG159" i="13"/>
  <c r="BH159" i="13"/>
  <c r="BI159" i="13"/>
  <c r="BJ159" i="13"/>
  <c r="BK159" i="13"/>
  <c r="BL159" i="13"/>
  <c r="BM159" i="13"/>
  <c r="BN159" i="13"/>
  <c r="BO159" i="13"/>
  <c r="A160" i="13"/>
  <c r="B160" i="13"/>
  <c r="C160" i="13"/>
  <c r="D160" i="13"/>
  <c r="E160" i="13"/>
  <c r="F160" i="13"/>
  <c r="G160" i="13"/>
  <c r="H160" i="13"/>
  <c r="I160" i="13"/>
  <c r="J160" i="13"/>
  <c r="K160" i="13"/>
  <c r="L160" i="13"/>
  <c r="M160" i="13"/>
  <c r="N160" i="13"/>
  <c r="O160" i="13"/>
  <c r="P160" i="13"/>
  <c r="Q160" i="13"/>
  <c r="R160" i="13"/>
  <c r="S160" i="13"/>
  <c r="T160" i="13"/>
  <c r="U160" i="13"/>
  <c r="V160" i="13"/>
  <c r="W160" i="13"/>
  <c r="X160" i="13"/>
  <c r="Y160" i="13"/>
  <c r="Z160" i="13"/>
  <c r="AA160" i="13"/>
  <c r="AB160" i="13"/>
  <c r="AD160" i="13"/>
  <c r="AE160" i="13"/>
  <c r="AF160" i="13"/>
  <c r="AG160" i="13"/>
  <c r="AH160" i="13"/>
  <c r="AI160" i="13"/>
  <c r="AJ160" i="13"/>
  <c r="AK160" i="13"/>
  <c r="AL160" i="13"/>
  <c r="AM160" i="13"/>
  <c r="AN160" i="13"/>
  <c r="AO160" i="13"/>
  <c r="AP160" i="13"/>
  <c r="AQ160" i="13"/>
  <c r="AR160" i="13"/>
  <c r="AS160" i="13"/>
  <c r="AT160" i="13"/>
  <c r="AU160" i="13"/>
  <c r="AV160" i="13"/>
  <c r="AW160" i="13"/>
  <c r="AX160" i="13"/>
  <c r="AY160" i="13"/>
  <c r="AZ160" i="13"/>
  <c r="BA160" i="13"/>
  <c r="BB160" i="13"/>
  <c r="BC160" i="13"/>
  <c r="BD160" i="13"/>
  <c r="BE160" i="13"/>
  <c r="BF160" i="13"/>
  <c r="BG160" i="13"/>
  <c r="BH160" i="13"/>
  <c r="BI160" i="13"/>
  <c r="BJ160" i="13"/>
  <c r="BK160" i="13"/>
  <c r="BL160" i="13"/>
  <c r="BM160" i="13"/>
  <c r="BN160" i="13"/>
  <c r="BO160" i="13"/>
  <c r="A161" i="13"/>
  <c r="B161" i="13"/>
  <c r="C161" i="13"/>
  <c r="D161" i="13"/>
  <c r="E161" i="13"/>
  <c r="F161" i="13"/>
  <c r="G161" i="13"/>
  <c r="H161" i="13"/>
  <c r="I161" i="13"/>
  <c r="J161" i="13"/>
  <c r="K161" i="13"/>
  <c r="L161" i="13"/>
  <c r="M161" i="13"/>
  <c r="N161" i="13"/>
  <c r="O161" i="13"/>
  <c r="P161" i="13"/>
  <c r="Q161" i="13"/>
  <c r="R161" i="13"/>
  <c r="S161" i="13"/>
  <c r="T161" i="13"/>
  <c r="U161" i="13"/>
  <c r="V161" i="13"/>
  <c r="W161" i="13"/>
  <c r="X161" i="13"/>
  <c r="Y161" i="13"/>
  <c r="Z161" i="13"/>
  <c r="AA161" i="13"/>
  <c r="AB161" i="13"/>
  <c r="AC161" i="13"/>
  <c r="AD161" i="13"/>
  <c r="AE161" i="13"/>
  <c r="AF161" i="13"/>
  <c r="AG161" i="13"/>
  <c r="AH161" i="13"/>
  <c r="AI161" i="13"/>
  <c r="AJ161" i="13"/>
  <c r="AK161" i="13"/>
  <c r="AL161" i="13"/>
  <c r="AM161" i="13"/>
  <c r="AN161" i="13"/>
  <c r="AO161" i="13"/>
  <c r="AP161" i="13"/>
  <c r="AQ161" i="13"/>
  <c r="AR161" i="13"/>
  <c r="AS161" i="13"/>
  <c r="AT161" i="13"/>
  <c r="AU161" i="13"/>
  <c r="AV161" i="13"/>
  <c r="AW161" i="13"/>
  <c r="AX161" i="13"/>
  <c r="AY161" i="13"/>
  <c r="AZ161" i="13"/>
  <c r="BA161" i="13"/>
  <c r="BB161" i="13"/>
  <c r="BC161" i="13"/>
  <c r="BD161" i="13"/>
  <c r="BE161" i="13"/>
  <c r="BF161" i="13"/>
  <c r="BG161" i="13"/>
  <c r="BH161" i="13"/>
  <c r="BI161" i="13"/>
  <c r="BJ161" i="13"/>
  <c r="BK161" i="13"/>
  <c r="BL161" i="13"/>
  <c r="BM161" i="13"/>
  <c r="BN161" i="13"/>
  <c r="BO161" i="13"/>
  <c r="A162" i="13"/>
  <c r="B162" i="13"/>
  <c r="C162" i="13"/>
  <c r="D162" i="13"/>
  <c r="E162" i="13"/>
  <c r="F162" i="13"/>
  <c r="G162" i="13"/>
  <c r="H162" i="13"/>
  <c r="I162" i="13"/>
  <c r="J162" i="13"/>
  <c r="K162" i="13"/>
  <c r="L162" i="13"/>
  <c r="M162" i="13"/>
  <c r="N162" i="13"/>
  <c r="O162" i="13"/>
  <c r="P162" i="13"/>
  <c r="Q162" i="13"/>
  <c r="R162" i="13"/>
  <c r="S162" i="13"/>
  <c r="T162" i="13"/>
  <c r="U162" i="13"/>
  <c r="V162" i="13"/>
  <c r="W162" i="13"/>
  <c r="X162" i="13"/>
  <c r="Y162" i="13"/>
  <c r="Z162" i="13"/>
  <c r="AA162" i="13"/>
  <c r="AB162" i="13"/>
  <c r="AC162" i="13"/>
  <c r="AD162" i="13"/>
  <c r="AE162" i="13"/>
  <c r="AF162" i="13"/>
  <c r="AG162" i="13"/>
  <c r="AH162" i="13"/>
  <c r="AI162" i="13"/>
  <c r="AJ162" i="13"/>
  <c r="AK162" i="13"/>
  <c r="AL162" i="13"/>
  <c r="AM162" i="13"/>
  <c r="AN162" i="13"/>
  <c r="AO162" i="13"/>
  <c r="AP162" i="13"/>
  <c r="AQ162" i="13"/>
  <c r="AR162" i="13"/>
  <c r="AS162" i="13"/>
  <c r="AT162" i="13"/>
  <c r="AU162" i="13"/>
  <c r="AV162" i="13"/>
  <c r="AW162" i="13"/>
  <c r="AX162" i="13"/>
  <c r="AY162" i="13"/>
  <c r="AZ162" i="13"/>
  <c r="BA162" i="13"/>
  <c r="BB162" i="13"/>
  <c r="BC162" i="13"/>
  <c r="BD162" i="13"/>
  <c r="BE162" i="13"/>
  <c r="BF162" i="13"/>
  <c r="BG162" i="13"/>
  <c r="BH162" i="13"/>
  <c r="BI162" i="13"/>
  <c r="BJ162" i="13"/>
  <c r="BK162" i="13"/>
  <c r="BL162" i="13"/>
  <c r="BM162" i="13"/>
  <c r="BN162" i="13"/>
  <c r="BO162" i="13"/>
  <c r="A163" i="13"/>
  <c r="B163" i="13"/>
  <c r="C163" i="13"/>
  <c r="D163" i="13"/>
  <c r="E163" i="13"/>
  <c r="F163" i="13"/>
  <c r="G163" i="13"/>
  <c r="H163" i="13"/>
  <c r="I163" i="13"/>
  <c r="J163" i="13"/>
  <c r="K163" i="13"/>
  <c r="L163" i="13"/>
  <c r="M163" i="13"/>
  <c r="N163" i="13"/>
  <c r="O163" i="13"/>
  <c r="P163" i="13"/>
  <c r="Q163" i="13"/>
  <c r="R163" i="13"/>
  <c r="S163" i="13"/>
  <c r="T163" i="13"/>
  <c r="U163" i="13"/>
  <c r="V163" i="13"/>
  <c r="W163" i="13"/>
  <c r="X163" i="13"/>
  <c r="Y163" i="13"/>
  <c r="Z163" i="13"/>
  <c r="AA163" i="13"/>
  <c r="AB163" i="13"/>
  <c r="AC163" i="13"/>
  <c r="AD163" i="13"/>
  <c r="AE163" i="13"/>
  <c r="AF163" i="13"/>
  <c r="AG163" i="13"/>
  <c r="AH163" i="13"/>
  <c r="AI163" i="13"/>
  <c r="AJ163" i="13"/>
  <c r="AK163" i="13"/>
  <c r="AL163" i="13"/>
  <c r="AM163" i="13"/>
  <c r="AN163" i="13"/>
  <c r="AO163" i="13"/>
  <c r="AP163" i="13"/>
  <c r="AQ163" i="13"/>
  <c r="AR163" i="13"/>
  <c r="AS163" i="13"/>
  <c r="AT163" i="13"/>
  <c r="AU163" i="13"/>
  <c r="AV163" i="13"/>
  <c r="AW163" i="13"/>
  <c r="AX163" i="13"/>
  <c r="AY163" i="13"/>
  <c r="AZ163" i="13"/>
  <c r="BA163" i="13"/>
  <c r="BB163" i="13"/>
  <c r="BC163" i="13"/>
  <c r="BD163" i="13"/>
  <c r="BE163" i="13"/>
  <c r="BF163" i="13"/>
  <c r="BG163" i="13"/>
  <c r="BH163" i="13"/>
  <c r="BI163" i="13"/>
  <c r="BJ163" i="13"/>
  <c r="BK163" i="13"/>
  <c r="BL163" i="13"/>
  <c r="BM163" i="13"/>
  <c r="BN163" i="13"/>
  <c r="BO163" i="13"/>
  <c r="A164" i="13"/>
  <c r="B164" i="13"/>
  <c r="C164" i="13"/>
  <c r="D164" i="13"/>
  <c r="E164" i="13"/>
  <c r="F164" i="13"/>
  <c r="G164" i="13"/>
  <c r="H164" i="13"/>
  <c r="I164" i="13"/>
  <c r="J164" i="13"/>
  <c r="K164" i="13"/>
  <c r="L164" i="13"/>
  <c r="M164" i="13"/>
  <c r="N164" i="13"/>
  <c r="O164" i="13"/>
  <c r="P164" i="13"/>
  <c r="Q164" i="13"/>
  <c r="R164" i="13"/>
  <c r="S164" i="13"/>
  <c r="T164" i="13"/>
  <c r="U164" i="13"/>
  <c r="V164" i="13"/>
  <c r="W164" i="13"/>
  <c r="X164" i="13"/>
  <c r="Y164" i="13"/>
  <c r="Z164" i="13"/>
  <c r="AA164" i="13"/>
  <c r="AB164" i="13"/>
  <c r="AC164" i="13"/>
  <c r="AD164" i="13"/>
  <c r="AE164" i="13"/>
  <c r="AF164" i="13"/>
  <c r="AG164" i="13"/>
  <c r="AH164" i="13"/>
  <c r="AI164" i="13"/>
  <c r="AJ164" i="13"/>
  <c r="AK164" i="13"/>
  <c r="AL164" i="13"/>
  <c r="AM164" i="13"/>
  <c r="AN164" i="13"/>
  <c r="AO164" i="13"/>
  <c r="AP164" i="13"/>
  <c r="AQ164" i="13"/>
  <c r="AR164" i="13"/>
  <c r="AS164" i="13"/>
  <c r="AT164" i="13"/>
  <c r="AU164" i="13"/>
  <c r="AV164" i="13"/>
  <c r="AW164" i="13"/>
  <c r="AX164" i="13"/>
  <c r="AY164" i="13"/>
  <c r="AZ164" i="13"/>
  <c r="BA164" i="13"/>
  <c r="BB164" i="13"/>
  <c r="BC164" i="13"/>
  <c r="BD164" i="13"/>
  <c r="BE164" i="13"/>
  <c r="BF164" i="13"/>
  <c r="BG164" i="13"/>
  <c r="BH164" i="13"/>
  <c r="BI164" i="13"/>
  <c r="BJ164" i="13"/>
  <c r="BK164" i="13"/>
  <c r="BL164" i="13"/>
  <c r="BM164" i="13"/>
  <c r="BN164" i="13"/>
  <c r="BO164" i="13"/>
  <c r="A165" i="13"/>
  <c r="B165" i="13"/>
  <c r="C165" i="13"/>
  <c r="D165" i="13"/>
  <c r="E165" i="13"/>
  <c r="F165" i="13"/>
  <c r="G165" i="13"/>
  <c r="H165" i="13"/>
  <c r="I165" i="13"/>
  <c r="J165" i="13"/>
  <c r="K165" i="13"/>
  <c r="L165" i="13"/>
  <c r="M165" i="13"/>
  <c r="N165" i="13"/>
  <c r="O165" i="13"/>
  <c r="P165" i="13"/>
  <c r="Q165" i="13"/>
  <c r="R165" i="13"/>
  <c r="S165" i="13"/>
  <c r="T165" i="13"/>
  <c r="U165" i="13"/>
  <c r="V165" i="13"/>
  <c r="W165" i="13"/>
  <c r="X165" i="13"/>
  <c r="Y165" i="13"/>
  <c r="Z165" i="13"/>
  <c r="AA165" i="13"/>
  <c r="AB165" i="13"/>
  <c r="AC165" i="13"/>
  <c r="AD165" i="13"/>
  <c r="AE165" i="13"/>
  <c r="AF165" i="13"/>
  <c r="AG165" i="13"/>
  <c r="AH165" i="13"/>
  <c r="AI165" i="13"/>
  <c r="AJ165" i="13"/>
  <c r="AK165" i="13"/>
  <c r="AL165" i="13"/>
  <c r="AM165" i="13"/>
  <c r="AN165" i="13"/>
  <c r="AO165" i="13"/>
  <c r="AP165" i="13"/>
  <c r="AQ165" i="13"/>
  <c r="AR165" i="13"/>
  <c r="AS165" i="13"/>
  <c r="AT165" i="13"/>
  <c r="AU165" i="13"/>
  <c r="AV165" i="13"/>
  <c r="AW165" i="13"/>
  <c r="AX165" i="13"/>
  <c r="AY165" i="13"/>
  <c r="AZ165" i="13"/>
  <c r="BA165" i="13"/>
  <c r="BB165" i="13"/>
  <c r="BC165" i="13"/>
  <c r="BD165" i="13"/>
  <c r="BE165" i="13"/>
  <c r="BF165" i="13"/>
  <c r="BG165" i="13"/>
  <c r="BH165" i="13"/>
  <c r="BI165" i="13"/>
  <c r="BJ165" i="13"/>
  <c r="BK165" i="13"/>
  <c r="BL165" i="13"/>
  <c r="BM165" i="13"/>
  <c r="BN165" i="13"/>
  <c r="BO165" i="13"/>
  <c r="A166" i="13"/>
  <c r="B166" i="13"/>
  <c r="C166" i="13"/>
  <c r="D166" i="13"/>
  <c r="E166" i="13"/>
  <c r="F166" i="13"/>
  <c r="G166" i="13"/>
  <c r="H166" i="13"/>
  <c r="I166" i="13"/>
  <c r="J166" i="13"/>
  <c r="K166" i="13"/>
  <c r="L166" i="13"/>
  <c r="M166" i="13"/>
  <c r="N166" i="13"/>
  <c r="O166" i="13"/>
  <c r="P166" i="13"/>
  <c r="Q166" i="13"/>
  <c r="R166" i="13"/>
  <c r="S166" i="13"/>
  <c r="T166" i="13"/>
  <c r="U166" i="13"/>
  <c r="V166" i="13"/>
  <c r="W166" i="13"/>
  <c r="X166" i="13"/>
  <c r="Y166" i="13"/>
  <c r="Z166" i="13"/>
  <c r="AA166" i="13"/>
  <c r="AB166" i="13"/>
  <c r="AC166" i="13"/>
  <c r="AD166" i="13"/>
  <c r="AE166" i="13"/>
  <c r="AF166" i="13"/>
  <c r="AG166" i="13"/>
  <c r="AH166" i="13"/>
  <c r="AI166" i="13"/>
  <c r="AJ166" i="13"/>
  <c r="AK166" i="13"/>
  <c r="AL166" i="13"/>
  <c r="AM166" i="13"/>
  <c r="AN166" i="13"/>
  <c r="AO166" i="13"/>
  <c r="AP166" i="13"/>
  <c r="AQ166" i="13"/>
  <c r="AR166" i="13"/>
  <c r="AS166" i="13"/>
  <c r="AT166" i="13"/>
  <c r="AU166" i="13"/>
  <c r="AV166" i="13"/>
  <c r="AW166" i="13"/>
  <c r="AX166" i="13"/>
  <c r="AY166" i="13"/>
  <c r="AZ166" i="13"/>
  <c r="BA166" i="13"/>
  <c r="BB166" i="13"/>
  <c r="BC166" i="13"/>
  <c r="BD166" i="13"/>
  <c r="BE166" i="13"/>
  <c r="BF166" i="13"/>
  <c r="BG166" i="13"/>
  <c r="BH166" i="13"/>
  <c r="BI166" i="13"/>
  <c r="BJ166" i="13"/>
  <c r="BK166" i="13"/>
  <c r="BL166" i="13"/>
  <c r="BM166" i="13"/>
  <c r="BN166" i="13"/>
  <c r="BO166" i="13"/>
  <c r="A167" i="13"/>
  <c r="B167" i="13"/>
  <c r="C167" i="13"/>
  <c r="D167" i="13"/>
  <c r="E167" i="13"/>
  <c r="F167" i="13"/>
  <c r="G167" i="13"/>
  <c r="H167" i="13"/>
  <c r="I167" i="13"/>
  <c r="J167" i="13"/>
  <c r="K167" i="13"/>
  <c r="L167" i="13"/>
  <c r="M167" i="13"/>
  <c r="N167" i="13"/>
  <c r="O167" i="13"/>
  <c r="P167" i="13"/>
  <c r="Q167" i="13"/>
  <c r="R167" i="13"/>
  <c r="S167" i="13"/>
  <c r="T167" i="13"/>
  <c r="U167" i="13"/>
  <c r="V167" i="13"/>
  <c r="W167" i="13"/>
  <c r="X167" i="13"/>
  <c r="Y167" i="13"/>
  <c r="Z167" i="13"/>
  <c r="AA167" i="13"/>
  <c r="AB167" i="13"/>
  <c r="AC167" i="13"/>
  <c r="AD167" i="13"/>
  <c r="AE167" i="13"/>
  <c r="AF167" i="13"/>
  <c r="AG167" i="13"/>
  <c r="AH167" i="13"/>
  <c r="AI167" i="13"/>
  <c r="AJ167" i="13"/>
  <c r="AK167" i="13"/>
  <c r="AL167" i="13"/>
  <c r="AM167" i="13"/>
  <c r="AN167" i="13"/>
  <c r="AO167" i="13"/>
  <c r="AP167" i="13"/>
  <c r="AQ167" i="13"/>
  <c r="AR167" i="13"/>
  <c r="AS167" i="13"/>
  <c r="AT167" i="13"/>
  <c r="AU167" i="13"/>
  <c r="AV167" i="13"/>
  <c r="AW167" i="13"/>
  <c r="AX167" i="13"/>
  <c r="AY167" i="13"/>
  <c r="AZ167" i="13"/>
  <c r="BA167" i="13"/>
  <c r="BB167" i="13"/>
  <c r="BC167" i="13"/>
  <c r="BD167" i="13"/>
  <c r="BE167" i="13"/>
  <c r="BF167" i="13"/>
  <c r="BG167" i="13"/>
  <c r="BH167" i="13"/>
  <c r="BI167" i="13"/>
  <c r="BJ167" i="13"/>
  <c r="BK167" i="13"/>
  <c r="BL167" i="13"/>
  <c r="BM167" i="13"/>
  <c r="BN167" i="13"/>
  <c r="BO167" i="13"/>
  <c r="A168" i="13"/>
  <c r="B168" i="13"/>
  <c r="C168" i="13"/>
  <c r="D168" i="13"/>
  <c r="E168" i="13"/>
  <c r="F168" i="13"/>
  <c r="G168" i="13"/>
  <c r="H168" i="13"/>
  <c r="I168" i="13"/>
  <c r="J168" i="13"/>
  <c r="K168" i="13"/>
  <c r="L168" i="13"/>
  <c r="M168" i="13"/>
  <c r="N168" i="13"/>
  <c r="O168" i="13"/>
  <c r="P168" i="13"/>
  <c r="Q168" i="13"/>
  <c r="R168" i="13"/>
  <c r="S168" i="13"/>
  <c r="T168" i="13"/>
  <c r="U168" i="13"/>
  <c r="V168" i="13"/>
  <c r="W168" i="13"/>
  <c r="X168" i="13"/>
  <c r="Y168" i="13"/>
  <c r="Z168" i="13"/>
  <c r="AA168" i="13"/>
  <c r="AB168" i="13"/>
  <c r="AC168" i="13"/>
  <c r="AD168" i="13"/>
  <c r="AE168" i="13"/>
  <c r="AF168" i="13"/>
  <c r="AG168" i="13"/>
  <c r="AH168" i="13"/>
  <c r="AI168" i="13"/>
  <c r="AJ168" i="13"/>
  <c r="AK168" i="13"/>
  <c r="AL168" i="13"/>
  <c r="AM168" i="13"/>
  <c r="AN168" i="13"/>
  <c r="AO168" i="13"/>
  <c r="AP168" i="13"/>
  <c r="AQ168" i="13"/>
  <c r="AR168" i="13"/>
  <c r="AS168" i="13"/>
  <c r="AT168" i="13"/>
  <c r="AU168" i="13"/>
  <c r="AV168" i="13"/>
  <c r="AW168" i="13"/>
  <c r="AX168" i="13"/>
  <c r="AY168" i="13"/>
  <c r="AZ168" i="13"/>
  <c r="BA168" i="13"/>
  <c r="BB168" i="13"/>
  <c r="BC168" i="13"/>
  <c r="BD168" i="13"/>
  <c r="BE168" i="13"/>
  <c r="BF168" i="13"/>
  <c r="BG168" i="13"/>
  <c r="BH168" i="13"/>
  <c r="BI168" i="13"/>
  <c r="BJ168" i="13"/>
  <c r="BK168" i="13"/>
  <c r="BL168" i="13"/>
  <c r="BM168" i="13"/>
  <c r="BN168" i="13"/>
  <c r="BO168" i="13"/>
  <c r="A169" i="13"/>
  <c r="B169" i="13"/>
  <c r="C169" i="13"/>
  <c r="D169" i="13"/>
  <c r="E169" i="13"/>
  <c r="F169" i="13"/>
  <c r="G169" i="13"/>
  <c r="H169" i="13"/>
  <c r="I169" i="13"/>
  <c r="J169" i="13"/>
  <c r="K169" i="13"/>
  <c r="L169" i="13"/>
  <c r="M169" i="13"/>
  <c r="N169" i="13"/>
  <c r="O169" i="13"/>
  <c r="P169" i="13"/>
  <c r="Q169" i="13"/>
  <c r="R169" i="13"/>
  <c r="S169" i="13"/>
  <c r="T169" i="13"/>
  <c r="U169" i="13"/>
  <c r="V169" i="13"/>
  <c r="W169" i="13"/>
  <c r="X169" i="13"/>
  <c r="Y169" i="13"/>
  <c r="Z169" i="13"/>
  <c r="AA169" i="13"/>
  <c r="AB169" i="13"/>
  <c r="AC169" i="13"/>
  <c r="AD169" i="13"/>
  <c r="AE169" i="13"/>
  <c r="AF169" i="13"/>
  <c r="AG169" i="13"/>
  <c r="AH169" i="13"/>
  <c r="AI169" i="13"/>
  <c r="AJ169" i="13"/>
  <c r="AK169" i="13"/>
  <c r="AL169" i="13"/>
  <c r="AM169" i="13"/>
  <c r="AN169" i="13"/>
  <c r="AO169" i="13"/>
  <c r="AP169" i="13"/>
  <c r="AQ169" i="13"/>
  <c r="AR169" i="13"/>
  <c r="AS169" i="13"/>
  <c r="AT169" i="13"/>
  <c r="AU169" i="13"/>
  <c r="AV169" i="13"/>
  <c r="AW169" i="13"/>
  <c r="AX169" i="13"/>
  <c r="AY169" i="13"/>
  <c r="AZ169" i="13"/>
  <c r="BA169" i="13"/>
  <c r="BB169" i="13"/>
  <c r="BC169" i="13"/>
  <c r="BD169" i="13"/>
  <c r="BE169" i="13"/>
  <c r="BF169" i="13"/>
  <c r="BG169" i="13"/>
  <c r="BH169" i="13"/>
  <c r="BI169" i="13"/>
  <c r="BJ169" i="13"/>
  <c r="BK169" i="13"/>
  <c r="BL169" i="13"/>
  <c r="BM169" i="13"/>
  <c r="BN169" i="13"/>
  <c r="BO169" i="13"/>
  <c r="A170" i="13"/>
  <c r="B170" i="13"/>
  <c r="C170" i="13"/>
  <c r="D170" i="13"/>
  <c r="E170" i="13"/>
  <c r="F170" i="13"/>
  <c r="G170" i="13"/>
  <c r="H170" i="13"/>
  <c r="I170" i="13"/>
  <c r="J170" i="13"/>
  <c r="K170" i="13"/>
  <c r="L170" i="13"/>
  <c r="M170" i="13"/>
  <c r="N170" i="13"/>
  <c r="O170" i="13"/>
  <c r="P170" i="13"/>
  <c r="Q170" i="13"/>
  <c r="R170" i="13"/>
  <c r="S170" i="13"/>
  <c r="T170" i="13"/>
  <c r="U170" i="13"/>
  <c r="V170" i="13"/>
  <c r="W170" i="13"/>
  <c r="X170" i="13"/>
  <c r="Y170" i="13"/>
  <c r="Z170" i="13"/>
  <c r="AA170" i="13"/>
  <c r="AB170" i="13"/>
  <c r="AC170" i="13"/>
  <c r="AD170" i="13"/>
  <c r="AE170" i="13"/>
  <c r="AF170" i="13"/>
  <c r="AG170" i="13"/>
  <c r="AH170" i="13"/>
  <c r="AI170" i="13"/>
  <c r="AJ170" i="13"/>
  <c r="AK170" i="13"/>
  <c r="AL170" i="13"/>
  <c r="AM170" i="13"/>
  <c r="AN170" i="13"/>
  <c r="AO170" i="13"/>
  <c r="AP170" i="13"/>
  <c r="AQ170" i="13"/>
  <c r="AR170" i="13"/>
  <c r="AS170" i="13"/>
  <c r="AT170" i="13"/>
  <c r="AU170" i="13"/>
  <c r="AV170" i="13"/>
  <c r="AW170" i="13"/>
  <c r="AX170" i="13"/>
  <c r="AY170" i="13"/>
  <c r="AZ170" i="13"/>
  <c r="BA170" i="13"/>
  <c r="BB170" i="13"/>
  <c r="BC170" i="13"/>
  <c r="BD170" i="13"/>
  <c r="BE170" i="13"/>
  <c r="BF170" i="13"/>
  <c r="BG170" i="13"/>
  <c r="BH170" i="13"/>
  <c r="BI170" i="13"/>
  <c r="BJ170" i="13"/>
  <c r="BK170" i="13"/>
  <c r="BL170" i="13"/>
  <c r="BM170" i="13"/>
  <c r="BN170" i="13"/>
  <c r="BO170" i="13"/>
  <c r="A171" i="13"/>
  <c r="B171" i="13"/>
  <c r="C171" i="13"/>
  <c r="D171" i="13"/>
  <c r="E171" i="13"/>
  <c r="F171" i="13"/>
  <c r="G171" i="13"/>
  <c r="H171" i="13"/>
  <c r="I171" i="13"/>
  <c r="J171" i="13"/>
  <c r="K171" i="13"/>
  <c r="L171" i="13"/>
  <c r="M171" i="13"/>
  <c r="N171" i="13"/>
  <c r="O171" i="13"/>
  <c r="P171" i="13"/>
  <c r="Q171" i="13"/>
  <c r="R171" i="13"/>
  <c r="S171" i="13"/>
  <c r="T171" i="13"/>
  <c r="U171" i="13"/>
  <c r="V171" i="13"/>
  <c r="W171" i="13"/>
  <c r="X171" i="13"/>
  <c r="Y171" i="13"/>
  <c r="Z171" i="13"/>
  <c r="AA171" i="13"/>
  <c r="AB171" i="13"/>
  <c r="AC171" i="13"/>
  <c r="AD171" i="13"/>
  <c r="AE171" i="13"/>
  <c r="AF171" i="13"/>
  <c r="AG171" i="13"/>
  <c r="AH171" i="13"/>
  <c r="AI171" i="13"/>
  <c r="AJ171" i="13"/>
  <c r="AK171" i="13"/>
  <c r="AL171" i="13"/>
  <c r="AM171" i="13"/>
  <c r="AN171" i="13"/>
  <c r="AO171" i="13"/>
  <c r="AP171" i="13"/>
  <c r="AQ171" i="13"/>
  <c r="AR171" i="13"/>
  <c r="AS171" i="13"/>
  <c r="AT171" i="13"/>
  <c r="AU171" i="13"/>
  <c r="AV171" i="13"/>
  <c r="AW171" i="13"/>
  <c r="AX171" i="13"/>
  <c r="AY171" i="13"/>
  <c r="AZ171" i="13"/>
  <c r="BA171" i="13"/>
  <c r="BB171" i="13"/>
  <c r="BC171" i="13"/>
  <c r="BD171" i="13"/>
  <c r="BE171" i="13"/>
  <c r="BF171" i="13"/>
  <c r="BG171" i="13"/>
  <c r="BH171" i="13"/>
  <c r="BI171" i="13"/>
  <c r="BJ171" i="13"/>
  <c r="BK171" i="13"/>
  <c r="BL171" i="13"/>
  <c r="BM171" i="13"/>
  <c r="BN171" i="13"/>
  <c r="BO171" i="13"/>
  <c r="A172" i="13"/>
  <c r="B172" i="13"/>
  <c r="C172" i="13"/>
  <c r="D172" i="13"/>
  <c r="E172" i="13"/>
  <c r="F172" i="13"/>
  <c r="G172" i="13"/>
  <c r="H172" i="13"/>
  <c r="I172" i="13"/>
  <c r="J172" i="13"/>
  <c r="K172" i="13"/>
  <c r="L172" i="13"/>
  <c r="M172" i="13"/>
  <c r="N172" i="13"/>
  <c r="O172" i="13"/>
  <c r="P172" i="13"/>
  <c r="Q172" i="13"/>
  <c r="R172" i="13"/>
  <c r="S172" i="13"/>
  <c r="T172" i="13"/>
  <c r="U172" i="13"/>
  <c r="V172" i="13"/>
  <c r="W172" i="13"/>
  <c r="X172" i="13"/>
  <c r="Y172" i="13"/>
  <c r="Z172" i="13"/>
  <c r="AA172" i="13"/>
  <c r="AB172" i="13"/>
  <c r="AC172" i="13"/>
  <c r="AD172" i="13"/>
  <c r="AE172" i="13"/>
  <c r="AF172" i="13"/>
  <c r="AG172" i="13"/>
  <c r="AH172" i="13"/>
  <c r="AI172" i="13"/>
  <c r="AJ172" i="13"/>
  <c r="AK172" i="13"/>
  <c r="AL172" i="13"/>
  <c r="AM172" i="13"/>
  <c r="AN172" i="13"/>
  <c r="AO172" i="13"/>
  <c r="AP172" i="13"/>
  <c r="AQ172" i="13"/>
  <c r="AR172" i="13"/>
  <c r="AS172" i="13"/>
  <c r="AT172" i="13"/>
  <c r="AU172" i="13"/>
  <c r="AV172" i="13"/>
  <c r="AW172" i="13"/>
  <c r="AX172" i="13"/>
  <c r="AY172" i="13"/>
  <c r="AZ172" i="13"/>
  <c r="BA172" i="13"/>
  <c r="BB172" i="13"/>
  <c r="BC172" i="13"/>
  <c r="BD172" i="13"/>
  <c r="BE172" i="13"/>
  <c r="BF172" i="13"/>
  <c r="BG172" i="13"/>
  <c r="BH172" i="13"/>
  <c r="BI172" i="13"/>
  <c r="BJ172" i="13"/>
  <c r="BK172" i="13"/>
  <c r="BL172" i="13"/>
  <c r="BM172" i="13"/>
  <c r="BN172" i="13"/>
  <c r="BO172" i="13"/>
  <c r="A173" i="13"/>
  <c r="B173" i="13"/>
  <c r="C173" i="13"/>
  <c r="D173" i="13"/>
  <c r="E173" i="13"/>
  <c r="F173" i="13"/>
  <c r="G173" i="13"/>
  <c r="H173" i="13"/>
  <c r="I173" i="13"/>
  <c r="J173" i="13"/>
  <c r="K173" i="13"/>
  <c r="L173" i="13"/>
  <c r="M173" i="13"/>
  <c r="N173" i="13"/>
  <c r="O173" i="13"/>
  <c r="P173" i="13"/>
  <c r="Q173" i="13"/>
  <c r="R173" i="13"/>
  <c r="S173" i="13"/>
  <c r="T173" i="13"/>
  <c r="U173" i="13"/>
  <c r="V173" i="13"/>
  <c r="W173" i="13"/>
  <c r="X173" i="13"/>
  <c r="Y173" i="13"/>
  <c r="Z173" i="13"/>
  <c r="AA173" i="13"/>
  <c r="AB173" i="13"/>
  <c r="AC173" i="13"/>
  <c r="AD173" i="13"/>
  <c r="AE173" i="13"/>
  <c r="AF173" i="13"/>
  <c r="AG173" i="13"/>
  <c r="AH173" i="13"/>
  <c r="AI173" i="13"/>
  <c r="AJ173" i="13"/>
  <c r="AK173" i="13"/>
  <c r="AL173" i="13"/>
  <c r="AM173" i="13"/>
  <c r="AN173" i="13"/>
  <c r="AO173" i="13"/>
  <c r="AP173" i="13"/>
  <c r="AQ173" i="13"/>
  <c r="AR173" i="13"/>
  <c r="AS173" i="13"/>
  <c r="AT173" i="13"/>
  <c r="AU173" i="13"/>
  <c r="AV173" i="13"/>
  <c r="AW173" i="13"/>
  <c r="AX173" i="13"/>
  <c r="AY173" i="13"/>
  <c r="AZ173" i="13"/>
  <c r="BA173" i="13"/>
  <c r="BB173" i="13"/>
  <c r="BC173" i="13"/>
  <c r="BD173" i="13"/>
  <c r="BE173" i="13"/>
  <c r="BF173" i="13"/>
  <c r="BG173" i="13"/>
  <c r="BH173" i="13"/>
  <c r="BI173" i="13"/>
  <c r="BJ173" i="13"/>
  <c r="BK173" i="13"/>
  <c r="BL173" i="13"/>
  <c r="BM173" i="13"/>
  <c r="BN173" i="13"/>
  <c r="BO173" i="13"/>
  <c r="A174" i="13"/>
  <c r="B174" i="13"/>
  <c r="C174" i="13"/>
  <c r="D174" i="13"/>
  <c r="E174" i="13"/>
  <c r="F174" i="13"/>
  <c r="G174" i="13"/>
  <c r="H174" i="13"/>
  <c r="I174" i="13"/>
  <c r="J174" i="13"/>
  <c r="K174" i="13"/>
  <c r="L174" i="13"/>
  <c r="M174" i="13"/>
  <c r="N174" i="13"/>
  <c r="O174" i="13"/>
  <c r="P174" i="13"/>
  <c r="Q174" i="13"/>
  <c r="R174" i="13"/>
  <c r="S174" i="13"/>
  <c r="T174" i="13"/>
  <c r="U174" i="13"/>
  <c r="V174" i="13"/>
  <c r="W174" i="13"/>
  <c r="X174" i="13"/>
  <c r="Y174" i="13"/>
  <c r="Z174" i="13"/>
  <c r="AA174" i="13"/>
  <c r="AB174" i="13"/>
  <c r="AC174" i="13"/>
  <c r="AD174" i="13"/>
  <c r="AE174" i="13"/>
  <c r="AF174" i="13"/>
  <c r="AG174" i="13"/>
  <c r="AH174" i="13"/>
  <c r="AI174" i="13"/>
  <c r="AJ174" i="13"/>
  <c r="AK174" i="13"/>
  <c r="AL174" i="13"/>
  <c r="AM174" i="13"/>
  <c r="AN174" i="13"/>
  <c r="AO174" i="13"/>
  <c r="AP174" i="13"/>
  <c r="AQ174" i="13"/>
  <c r="AR174" i="13"/>
  <c r="AS174" i="13"/>
  <c r="AT174" i="13"/>
  <c r="AU174" i="13"/>
  <c r="AV174" i="13"/>
  <c r="AW174" i="13"/>
  <c r="AX174" i="13"/>
  <c r="AY174" i="13"/>
  <c r="AZ174" i="13"/>
  <c r="BA174" i="13"/>
  <c r="BB174" i="13"/>
  <c r="BC174" i="13"/>
  <c r="BD174" i="13"/>
  <c r="BE174" i="13"/>
  <c r="BF174" i="13"/>
  <c r="BG174" i="13"/>
  <c r="BH174" i="13"/>
  <c r="BI174" i="13"/>
  <c r="BJ174" i="13"/>
  <c r="BK174" i="13"/>
  <c r="BL174" i="13"/>
  <c r="BM174" i="13"/>
  <c r="BN174" i="13"/>
  <c r="BO174" i="13"/>
  <c r="A175" i="13"/>
  <c r="B175" i="13"/>
  <c r="C175" i="13"/>
  <c r="D175" i="13"/>
  <c r="E175" i="13"/>
  <c r="F175" i="13"/>
  <c r="G175" i="13"/>
  <c r="H175" i="13"/>
  <c r="I175" i="13"/>
  <c r="J175" i="13"/>
  <c r="K175" i="13"/>
  <c r="L175" i="13"/>
  <c r="M175" i="13"/>
  <c r="N175" i="13"/>
  <c r="O175" i="13"/>
  <c r="P175" i="13"/>
  <c r="Q175" i="13"/>
  <c r="R175" i="13"/>
  <c r="S175" i="13"/>
  <c r="T175" i="13"/>
  <c r="U175" i="13"/>
  <c r="V175" i="13"/>
  <c r="W175" i="13"/>
  <c r="X175" i="13"/>
  <c r="Y175" i="13"/>
  <c r="Z175" i="13"/>
  <c r="AA175" i="13"/>
  <c r="AB175" i="13"/>
  <c r="AC175" i="13"/>
  <c r="AD175" i="13"/>
  <c r="AE175" i="13"/>
  <c r="AF175" i="13"/>
  <c r="AG175" i="13"/>
  <c r="AH175" i="13"/>
  <c r="AI175" i="13"/>
  <c r="AJ175" i="13"/>
  <c r="AK175" i="13"/>
  <c r="AL175" i="13"/>
  <c r="AM175" i="13"/>
  <c r="AN175" i="13"/>
  <c r="AO175" i="13"/>
  <c r="AP175" i="13"/>
  <c r="AQ175" i="13"/>
  <c r="AR175" i="13"/>
  <c r="AS175" i="13"/>
  <c r="AT175" i="13"/>
  <c r="AU175" i="13"/>
  <c r="AV175" i="13"/>
  <c r="AW175" i="13"/>
  <c r="AX175" i="13"/>
  <c r="AY175" i="13"/>
  <c r="AZ175" i="13"/>
  <c r="BA175" i="13"/>
  <c r="BB175" i="13"/>
  <c r="BC175" i="13"/>
  <c r="BD175" i="13"/>
  <c r="BE175" i="13"/>
  <c r="BF175" i="13"/>
  <c r="BG175" i="13"/>
  <c r="BH175" i="13"/>
  <c r="BI175" i="13"/>
  <c r="BJ175" i="13"/>
  <c r="BK175" i="13"/>
  <c r="BL175" i="13"/>
  <c r="BM175" i="13"/>
  <c r="BN175" i="13"/>
  <c r="BO175" i="13"/>
  <c r="A176" i="13"/>
  <c r="B176" i="13"/>
  <c r="C176" i="13"/>
  <c r="D176" i="13"/>
  <c r="E176" i="13"/>
  <c r="F176" i="13"/>
  <c r="G176" i="13"/>
  <c r="H176" i="13"/>
  <c r="I176" i="13"/>
  <c r="J176" i="13"/>
  <c r="K176" i="13"/>
  <c r="L176" i="13"/>
  <c r="M176" i="13"/>
  <c r="N176" i="13"/>
  <c r="O176" i="13"/>
  <c r="P176" i="13"/>
  <c r="Q176" i="13"/>
  <c r="R176" i="13"/>
  <c r="S176" i="13"/>
  <c r="T176" i="13"/>
  <c r="U176" i="13"/>
  <c r="V176" i="13"/>
  <c r="W176" i="13"/>
  <c r="X176" i="13"/>
  <c r="Y176" i="13"/>
  <c r="Z176" i="13"/>
  <c r="AA176" i="13"/>
  <c r="AB176" i="13"/>
  <c r="AC176" i="13"/>
  <c r="AD176" i="13"/>
  <c r="AE176" i="13"/>
  <c r="AF176" i="13"/>
  <c r="AG176" i="13"/>
  <c r="AH176" i="13"/>
  <c r="AI176" i="13"/>
  <c r="AJ176" i="13"/>
  <c r="AK176" i="13"/>
  <c r="AL176" i="13"/>
  <c r="AM176" i="13"/>
  <c r="AN176" i="13"/>
  <c r="AO176" i="13"/>
  <c r="AP176" i="13"/>
  <c r="AQ176" i="13"/>
  <c r="AR176" i="13"/>
  <c r="AS176" i="13"/>
  <c r="AT176" i="13"/>
  <c r="AU176" i="13"/>
  <c r="AV176" i="13"/>
  <c r="AW176" i="13"/>
  <c r="AX176" i="13"/>
  <c r="AY176" i="13"/>
  <c r="AZ176" i="13"/>
  <c r="BA176" i="13"/>
  <c r="BB176" i="13"/>
  <c r="BC176" i="13"/>
  <c r="BD176" i="13"/>
  <c r="BE176" i="13"/>
  <c r="BF176" i="13"/>
  <c r="BG176" i="13"/>
  <c r="BH176" i="13"/>
  <c r="BI176" i="13"/>
  <c r="BJ176" i="13"/>
  <c r="BK176" i="13"/>
  <c r="BL176" i="13"/>
  <c r="BM176" i="13"/>
  <c r="BN176" i="13"/>
  <c r="BO176" i="13"/>
  <c r="A177" i="13"/>
  <c r="B177" i="13"/>
  <c r="C177" i="13"/>
  <c r="D177" i="13"/>
  <c r="E177" i="13"/>
  <c r="F177" i="13"/>
  <c r="G177" i="13"/>
  <c r="H177" i="13"/>
  <c r="I177" i="13"/>
  <c r="J177" i="13"/>
  <c r="K177" i="13"/>
  <c r="L177" i="13"/>
  <c r="M177" i="13"/>
  <c r="N177" i="13"/>
  <c r="O177" i="13"/>
  <c r="P177" i="13"/>
  <c r="Q177" i="13"/>
  <c r="R177" i="13"/>
  <c r="S177" i="13"/>
  <c r="T177" i="13"/>
  <c r="U177" i="13"/>
  <c r="V177" i="13"/>
  <c r="W177" i="13"/>
  <c r="X177" i="13"/>
  <c r="Y177" i="13"/>
  <c r="Z177" i="13"/>
  <c r="AA177" i="13"/>
  <c r="AB177" i="13"/>
  <c r="AC177" i="13"/>
  <c r="AD177" i="13"/>
  <c r="AE177" i="13"/>
  <c r="AF177" i="13"/>
  <c r="AG177" i="13"/>
  <c r="AH177" i="13"/>
  <c r="AI177" i="13"/>
  <c r="AJ177" i="13"/>
  <c r="AK177" i="13"/>
  <c r="AL177" i="13"/>
  <c r="AM177" i="13"/>
  <c r="AN177" i="13"/>
  <c r="AO177" i="13"/>
  <c r="AP177" i="13"/>
  <c r="AQ177" i="13"/>
  <c r="AR177" i="13"/>
  <c r="AS177" i="13"/>
  <c r="AT177" i="13"/>
  <c r="AU177" i="13"/>
  <c r="AV177" i="13"/>
  <c r="AW177" i="13"/>
  <c r="AX177" i="13"/>
  <c r="AY177" i="13"/>
  <c r="AZ177" i="13"/>
  <c r="BA177" i="13"/>
  <c r="BB177" i="13"/>
  <c r="BC177" i="13"/>
  <c r="BD177" i="13"/>
  <c r="BE177" i="13"/>
  <c r="BF177" i="13"/>
  <c r="BG177" i="13"/>
  <c r="BH177" i="13"/>
  <c r="BI177" i="13"/>
  <c r="BJ177" i="13"/>
  <c r="BK177" i="13"/>
  <c r="BL177" i="13"/>
  <c r="BM177" i="13"/>
  <c r="BN177" i="13"/>
  <c r="BO177" i="13"/>
  <c r="A178" i="13"/>
  <c r="B178" i="13"/>
  <c r="C178" i="13"/>
  <c r="D178" i="13"/>
  <c r="E178" i="13"/>
  <c r="F178" i="13"/>
  <c r="G178" i="13"/>
  <c r="H178" i="13"/>
  <c r="I178" i="13"/>
  <c r="J178" i="13"/>
  <c r="K178" i="13"/>
  <c r="L178" i="13"/>
  <c r="M178" i="13"/>
  <c r="N178" i="13"/>
  <c r="O178" i="13"/>
  <c r="P178" i="13"/>
  <c r="Q178" i="13"/>
  <c r="R178" i="13"/>
  <c r="S178" i="13"/>
  <c r="T178" i="13"/>
  <c r="U178" i="13"/>
  <c r="V178" i="13"/>
  <c r="W178" i="13"/>
  <c r="X178" i="13"/>
  <c r="Y178" i="13"/>
  <c r="Z178" i="13"/>
  <c r="AA178" i="13"/>
  <c r="AB178" i="13"/>
  <c r="AC178" i="13"/>
  <c r="AD178" i="13"/>
  <c r="AE178" i="13"/>
  <c r="AF178" i="13"/>
  <c r="AG178" i="13"/>
  <c r="AH178" i="13"/>
  <c r="AI178" i="13"/>
  <c r="AJ178" i="13"/>
  <c r="AK178" i="13"/>
  <c r="AL178" i="13"/>
  <c r="AM178" i="13"/>
  <c r="AN178" i="13"/>
  <c r="AO178" i="13"/>
  <c r="AP178" i="13"/>
  <c r="AQ178" i="13"/>
  <c r="AR178" i="13"/>
  <c r="AS178" i="13"/>
  <c r="AT178" i="13"/>
  <c r="AU178" i="13"/>
  <c r="AV178" i="13"/>
  <c r="AW178" i="13"/>
  <c r="AX178" i="13"/>
  <c r="AY178" i="13"/>
  <c r="AZ178" i="13"/>
  <c r="BA178" i="13"/>
  <c r="BB178" i="13"/>
  <c r="BC178" i="13"/>
  <c r="BD178" i="13"/>
  <c r="BE178" i="13"/>
  <c r="BF178" i="13"/>
  <c r="BG178" i="13"/>
  <c r="BH178" i="13"/>
  <c r="BI178" i="13"/>
  <c r="BJ178" i="13"/>
  <c r="BK178" i="13"/>
  <c r="BL178" i="13"/>
  <c r="BM178" i="13"/>
  <c r="BN178" i="13"/>
  <c r="BO178" i="13"/>
  <c r="A179" i="13"/>
  <c r="B179" i="13"/>
  <c r="C179" i="13"/>
  <c r="D179" i="13"/>
  <c r="E179" i="13"/>
  <c r="F179" i="13"/>
  <c r="G179" i="13"/>
  <c r="H179" i="13"/>
  <c r="I179" i="13"/>
  <c r="J179" i="13"/>
  <c r="K179" i="13"/>
  <c r="L179" i="13"/>
  <c r="M179" i="13"/>
  <c r="N179" i="13"/>
  <c r="O179" i="13"/>
  <c r="P179" i="13"/>
  <c r="Q179" i="13"/>
  <c r="R179" i="13"/>
  <c r="S179" i="13"/>
  <c r="T179" i="13"/>
  <c r="U179" i="13"/>
  <c r="V179" i="13"/>
  <c r="W179" i="13"/>
  <c r="X179" i="13"/>
  <c r="Y179" i="13"/>
  <c r="Z179" i="13"/>
  <c r="AA179" i="13"/>
  <c r="AB179" i="13"/>
  <c r="AC179" i="13"/>
  <c r="AD179" i="13"/>
  <c r="AE179" i="13"/>
  <c r="AF179" i="13"/>
  <c r="AG179" i="13"/>
  <c r="AH179" i="13"/>
  <c r="AI179" i="13"/>
  <c r="AJ179" i="13"/>
  <c r="AK179" i="13"/>
  <c r="AL179" i="13"/>
  <c r="AM179" i="13"/>
  <c r="AN179" i="13"/>
  <c r="AO179" i="13"/>
  <c r="AP179" i="13"/>
  <c r="AQ179" i="13"/>
  <c r="AR179" i="13"/>
  <c r="AS179" i="13"/>
  <c r="AT179" i="13"/>
  <c r="AU179" i="13"/>
  <c r="AV179" i="13"/>
  <c r="AW179" i="13"/>
  <c r="AX179" i="13"/>
  <c r="AY179" i="13"/>
  <c r="AZ179" i="13"/>
  <c r="BA179" i="13"/>
  <c r="BB179" i="13"/>
  <c r="BC179" i="13"/>
  <c r="BD179" i="13"/>
  <c r="BE179" i="13"/>
  <c r="BF179" i="13"/>
  <c r="BG179" i="13"/>
  <c r="BH179" i="13"/>
  <c r="BI179" i="13"/>
  <c r="BJ179" i="13"/>
  <c r="BK179" i="13"/>
  <c r="BL179" i="13"/>
  <c r="BM179" i="13"/>
  <c r="BN179" i="13"/>
  <c r="BO179" i="13"/>
  <c r="A180" i="13"/>
  <c r="B180" i="13"/>
  <c r="C180" i="13"/>
  <c r="D180" i="13"/>
  <c r="E180" i="13"/>
  <c r="F180" i="13"/>
  <c r="G180" i="13"/>
  <c r="H180" i="13"/>
  <c r="I180" i="13"/>
  <c r="J180" i="13"/>
  <c r="K180" i="13"/>
  <c r="L180" i="13"/>
  <c r="M180" i="13"/>
  <c r="N180" i="13"/>
  <c r="O180" i="13"/>
  <c r="P180" i="13"/>
  <c r="Q180" i="13"/>
  <c r="R180" i="13"/>
  <c r="S180" i="13"/>
  <c r="T180" i="13"/>
  <c r="U180" i="13"/>
  <c r="V180" i="13"/>
  <c r="W180" i="13"/>
  <c r="X180" i="13"/>
  <c r="Y180" i="13"/>
  <c r="Z180" i="13"/>
  <c r="AA180" i="13"/>
  <c r="AB180" i="13"/>
  <c r="AC180" i="13"/>
  <c r="AD180" i="13"/>
  <c r="AE180" i="13"/>
  <c r="AF180" i="13"/>
  <c r="AG180" i="13"/>
  <c r="AH180" i="13"/>
  <c r="AI180" i="13"/>
  <c r="AJ180" i="13"/>
  <c r="AK180" i="13"/>
  <c r="AL180" i="13"/>
  <c r="AM180" i="13"/>
  <c r="AN180" i="13"/>
  <c r="AO180" i="13"/>
  <c r="AP180" i="13"/>
  <c r="AQ180" i="13"/>
  <c r="AR180" i="13"/>
  <c r="AS180" i="13"/>
  <c r="AT180" i="13"/>
  <c r="AU180" i="13"/>
  <c r="AV180" i="13"/>
  <c r="AW180" i="13"/>
  <c r="AX180" i="13"/>
  <c r="AY180" i="13"/>
  <c r="AZ180" i="13"/>
  <c r="BA180" i="13"/>
  <c r="BB180" i="13"/>
  <c r="BC180" i="13"/>
  <c r="BD180" i="13"/>
  <c r="BE180" i="13"/>
  <c r="BF180" i="13"/>
  <c r="BG180" i="13"/>
  <c r="BH180" i="13"/>
  <c r="BI180" i="13"/>
  <c r="BJ180" i="13"/>
  <c r="BK180" i="13"/>
  <c r="BL180" i="13"/>
  <c r="BM180" i="13"/>
  <c r="BN180" i="13"/>
  <c r="BO180" i="13"/>
  <c r="A181" i="13"/>
  <c r="B181" i="13"/>
  <c r="C181" i="13"/>
  <c r="D181" i="13"/>
  <c r="E181" i="13"/>
  <c r="F181" i="13"/>
  <c r="G181" i="13"/>
  <c r="H181" i="13"/>
  <c r="I181" i="13"/>
  <c r="J181" i="13"/>
  <c r="K181" i="13"/>
  <c r="L181" i="13"/>
  <c r="M181" i="13"/>
  <c r="N181" i="13"/>
  <c r="O181" i="13"/>
  <c r="P181" i="13"/>
  <c r="Q181" i="13"/>
  <c r="R181" i="13"/>
  <c r="S181" i="13"/>
  <c r="T181" i="13"/>
  <c r="U181" i="13"/>
  <c r="V181" i="13"/>
  <c r="W181" i="13"/>
  <c r="X181" i="13"/>
  <c r="Y181" i="13"/>
  <c r="Z181" i="13"/>
  <c r="AA181" i="13"/>
  <c r="AB181" i="13"/>
  <c r="AC181" i="13"/>
  <c r="AD181" i="13"/>
  <c r="AE181" i="13"/>
  <c r="AF181" i="13"/>
  <c r="AG181" i="13"/>
  <c r="AH181" i="13"/>
  <c r="AI181" i="13"/>
  <c r="AJ181" i="13"/>
  <c r="AK181" i="13"/>
  <c r="AL181" i="13"/>
  <c r="AM181" i="13"/>
  <c r="AN181" i="13"/>
  <c r="AO181" i="13"/>
  <c r="AP181" i="13"/>
  <c r="AQ181" i="13"/>
  <c r="AR181" i="13"/>
  <c r="AS181" i="13"/>
  <c r="AT181" i="13"/>
  <c r="AU181" i="13"/>
  <c r="AV181" i="13"/>
  <c r="AW181" i="13"/>
  <c r="AX181" i="13"/>
  <c r="AY181" i="13"/>
  <c r="AZ181" i="13"/>
  <c r="BA181" i="13"/>
  <c r="BB181" i="13"/>
  <c r="BC181" i="13"/>
  <c r="BD181" i="13"/>
  <c r="BE181" i="13"/>
  <c r="BF181" i="13"/>
  <c r="BG181" i="13"/>
  <c r="BH181" i="13"/>
  <c r="BI181" i="13"/>
  <c r="BJ181" i="13"/>
  <c r="BK181" i="13"/>
  <c r="BL181" i="13"/>
  <c r="BM181" i="13"/>
  <c r="BN181" i="13"/>
  <c r="BO181" i="13"/>
  <c r="A182" i="13"/>
  <c r="B182" i="13"/>
  <c r="C182" i="13"/>
  <c r="D182" i="13"/>
  <c r="E182" i="13"/>
  <c r="F182" i="13"/>
  <c r="G182" i="13"/>
  <c r="H182" i="13"/>
  <c r="I182" i="13"/>
  <c r="J182" i="13"/>
  <c r="K182" i="13"/>
  <c r="L182" i="13"/>
  <c r="M182" i="13"/>
  <c r="N182" i="13"/>
  <c r="O182" i="13"/>
  <c r="P182" i="13"/>
  <c r="Q182" i="13"/>
  <c r="R182" i="13"/>
  <c r="S182" i="13"/>
  <c r="T182" i="13"/>
  <c r="U182" i="13"/>
  <c r="V182" i="13"/>
  <c r="W182" i="13"/>
  <c r="X182" i="13"/>
  <c r="Y182" i="13"/>
  <c r="Z182" i="13"/>
  <c r="AA182" i="13"/>
  <c r="AB182" i="13"/>
  <c r="AC182" i="13"/>
  <c r="AD182" i="13"/>
  <c r="AE182" i="13"/>
  <c r="AF182" i="13"/>
  <c r="AG182" i="13"/>
  <c r="AH182" i="13"/>
  <c r="AI182" i="13"/>
  <c r="AJ182" i="13"/>
  <c r="AK182" i="13"/>
  <c r="AL182" i="13"/>
  <c r="AM182" i="13"/>
  <c r="AN182" i="13"/>
  <c r="AO182" i="13"/>
  <c r="AP182" i="13"/>
  <c r="AQ182" i="13"/>
  <c r="AR182" i="13"/>
  <c r="AS182" i="13"/>
  <c r="AT182" i="13"/>
  <c r="AU182" i="13"/>
  <c r="AV182" i="13"/>
  <c r="AW182" i="13"/>
  <c r="AX182" i="13"/>
  <c r="AY182" i="13"/>
  <c r="AZ182" i="13"/>
  <c r="BA182" i="13"/>
  <c r="BB182" i="13"/>
  <c r="BC182" i="13"/>
  <c r="BD182" i="13"/>
  <c r="BE182" i="13"/>
  <c r="BF182" i="13"/>
  <c r="BG182" i="13"/>
  <c r="BH182" i="13"/>
  <c r="BI182" i="13"/>
  <c r="BJ182" i="13"/>
  <c r="BK182" i="13"/>
  <c r="BL182" i="13"/>
  <c r="BM182" i="13"/>
  <c r="BN182" i="13"/>
  <c r="BO182" i="13"/>
  <c r="A183" i="13"/>
  <c r="B183" i="13"/>
  <c r="C183" i="13"/>
  <c r="D183" i="13"/>
  <c r="E183" i="13"/>
  <c r="F183" i="13"/>
  <c r="G183" i="13"/>
  <c r="H183" i="13"/>
  <c r="I183" i="13"/>
  <c r="J183" i="13"/>
  <c r="K183" i="13"/>
  <c r="L183" i="13"/>
  <c r="M183" i="13"/>
  <c r="N183" i="13"/>
  <c r="O183" i="13"/>
  <c r="P183" i="13"/>
  <c r="Q183" i="13"/>
  <c r="R183" i="13"/>
  <c r="S183" i="13"/>
  <c r="T183" i="13"/>
  <c r="U183" i="13"/>
  <c r="V183" i="13"/>
  <c r="W183" i="13"/>
  <c r="X183" i="13"/>
  <c r="Y183" i="13"/>
  <c r="Z183" i="13"/>
  <c r="AA183" i="13"/>
  <c r="AB183" i="13"/>
  <c r="AC183" i="13"/>
  <c r="AD183" i="13"/>
  <c r="AE183" i="13"/>
  <c r="AF183" i="13"/>
  <c r="AG183" i="13"/>
  <c r="AH183" i="13"/>
  <c r="AI183" i="13"/>
  <c r="AJ183" i="13"/>
  <c r="AK183" i="13"/>
  <c r="AL183" i="13"/>
  <c r="AM183" i="13"/>
  <c r="AN183" i="13"/>
  <c r="AO183" i="13"/>
  <c r="AP183" i="13"/>
  <c r="AQ183" i="13"/>
  <c r="AR183" i="13"/>
  <c r="AS183" i="13"/>
  <c r="AT183" i="13"/>
  <c r="AU183" i="13"/>
  <c r="AV183" i="13"/>
  <c r="AW183" i="13"/>
  <c r="AX183" i="13"/>
  <c r="AY183" i="13"/>
  <c r="AZ183" i="13"/>
  <c r="BA183" i="13"/>
  <c r="BB183" i="13"/>
  <c r="BC183" i="13"/>
  <c r="BD183" i="13"/>
  <c r="BE183" i="13"/>
  <c r="BF183" i="13"/>
  <c r="BG183" i="13"/>
  <c r="BH183" i="13"/>
  <c r="BI183" i="13"/>
  <c r="BJ183" i="13"/>
  <c r="BK183" i="13"/>
  <c r="BL183" i="13"/>
  <c r="BM183" i="13"/>
  <c r="BN183" i="13"/>
  <c r="BO183" i="13"/>
  <c r="A184" i="13"/>
  <c r="B184" i="13"/>
  <c r="C184" i="13"/>
  <c r="D184" i="13"/>
  <c r="E184" i="13"/>
  <c r="F184" i="13"/>
  <c r="G184" i="13"/>
  <c r="H184" i="13"/>
  <c r="I184" i="13"/>
  <c r="J184" i="13"/>
  <c r="K184" i="13"/>
  <c r="L184" i="13"/>
  <c r="M184" i="13"/>
  <c r="N184" i="13"/>
  <c r="O184" i="13"/>
  <c r="P184" i="13"/>
  <c r="Q184" i="13"/>
  <c r="R184" i="13"/>
  <c r="S184" i="13"/>
  <c r="T184" i="13"/>
  <c r="U184" i="13"/>
  <c r="V184" i="13"/>
  <c r="W184" i="13"/>
  <c r="X184" i="13"/>
  <c r="Y184" i="13"/>
  <c r="Z184" i="13"/>
  <c r="AA184" i="13"/>
  <c r="AB184" i="13"/>
  <c r="AC184" i="13"/>
  <c r="AD184" i="13"/>
  <c r="AE184" i="13"/>
  <c r="AF184" i="13"/>
  <c r="AG184" i="13"/>
  <c r="AH184" i="13"/>
  <c r="AI184" i="13"/>
  <c r="AJ184" i="13"/>
  <c r="AK184" i="13"/>
  <c r="AL184" i="13"/>
  <c r="AM184" i="13"/>
  <c r="AN184" i="13"/>
  <c r="AO184" i="13"/>
  <c r="AP184" i="13"/>
  <c r="AQ184" i="13"/>
  <c r="AR184" i="13"/>
  <c r="AS184" i="13"/>
  <c r="AT184" i="13"/>
  <c r="AU184" i="13"/>
  <c r="AV184" i="13"/>
  <c r="AW184" i="13"/>
  <c r="AX184" i="13"/>
  <c r="AY184" i="13"/>
  <c r="AZ184" i="13"/>
  <c r="BA184" i="13"/>
  <c r="BB184" i="13"/>
  <c r="BC184" i="13"/>
  <c r="BD184" i="13"/>
  <c r="BE184" i="13"/>
  <c r="BF184" i="13"/>
  <c r="BG184" i="13"/>
  <c r="BH184" i="13"/>
  <c r="BI184" i="13"/>
  <c r="BJ184" i="13"/>
  <c r="BK184" i="13"/>
  <c r="BL184" i="13"/>
  <c r="BM184" i="13"/>
  <c r="BN184" i="13"/>
  <c r="BO184" i="13"/>
  <c r="A185" i="13"/>
  <c r="B185" i="13"/>
  <c r="C185" i="13"/>
  <c r="D185" i="13"/>
  <c r="E185" i="13"/>
  <c r="F185" i="13"/>
  <c r="G185" i="13"/>
  <c r="H185" i="13"/>
  <c r="I185" i="13"/>
  <c r="J185" i="13"/>
  <c r="K185" i="13"/>
  <c r="L185" i="13"/>
  <c r="M185" i="13"/>
  <c r="N185" i="13"/>
  <c r="O185" i="13"/>
  <c r="P185" i="13"/>
  <c r="Q185" i="13"/>
  <c r="R185" i="13"/>
  <c r="S185" i="13"/>
  <c r="T185" i="13"/>
  <c r="U185" i="13"/>
  <c r="V185" i="13"/>
  <c r="W185" i="13"/>
  <c r="X185" i="13"/>
  <c r="Y185" i="13"/>
  <c r="Z185" i="13"/>
  <c r="AA185" i="13"/>
  <c r="AB185" i="13"/>
  <c r="AC185" i="13"/>
  <c r="AD185" i="13"/>
  <c r="AE185" i="13"/>
  <c r="AF185" i="13"/>
  <c r="AG185" i="13"/>
  <c r="AH185" i="13"/>
  <c r="AI185" i="13"/>
  <c r="AJ185" i="13"/>
  <c r="AK185" i="13"/>
  <c r="AL185" i="13"/>
  <c r="AM185" i="13"/>
  <c r="AN185" i="13"/>
  <c r="AO185" i="13"/>
  <c r="AP185" i="13"/>
  <c r="AQ185" i="13"/>
  <c r="AR185" i="13"/>
  <c r="AS185" i="13"/>
  <c r="AT185" i="13"/>
  <c r="AU185" i="13"/>
  <c r="AV185" i="13"/>
  <c r="AW185" i="13"/>
  <c r="AX185" i="13"/>
  <c r="AY185" i="13"/>
  <c r="AZ185" i="13"/>
  <c r="BA185" i="13"/>
  <c r="BB185" i="13"/>
  <c r="BC185" i="13"/>
  <c r="BD185" i="13"/>
  <c r="BE185" i="13"/>
  <c r="BF185" i="13"/>
  <c r="BG185" i="13"/>
  <c r="BH185" i="13"/>
  <c r="BI185" i="13"/>
  <c r="BJ185" i="13"/>
  <c r="BK185" i="13"/>
  <c r="BL185" i="13"/>
  <c r="BM185" i="13"/>
  <c r="BN185" i="13"/>
  <c r="BO185" i="13"/>
  <c r="A186" i="13"/>
  <c r="B186" i="13"/>
  <c r="C186" i="13"/>
  <c r="D186" i="13"/>
  <c r="E186" i="13"/>
  <c r="F186" i="13"/>
  <c r="G186" i="13"/>
  <c r="H186" i="13"/>
  <c r="I186" i="13"/>
  <c r="J186" i="13"/>
  <c r="K186" i="13"/>
  <c r="L186" i="13"/>
  <c r="M186" i="13"/>
  <c r="N186" i="13"/>
  <c r="O186" i="13"/>
  <c r="P186" i="13"/>
  <c r="Q186" i="13"/>
  <c r="R186" i="13"/>
  <c r="S186" i="13"/>
  <c r="T186" i="13"/>
  <c r="U186" i="13"/>
  <c r="V186" i="13"/>
  <c r="W186" i="13"/>
  <c r="X186" i="13"/>
  <c r="Y186" i="13"/>
  <c r="Z186" i="13"/>
  <c r="AA186" i="13"/>
  <c r="AB186" i="13"/>
  <c r="AC186" i="13"/>
  <c r="AD186" i="13"/>
  <c r="AE186" i="13"/>
  <c r="AF186" i="13"/>
  <c r="AG186" i="13"/>
  <c r="AH186" i="13"/>
  <c r="AI186" i="13"/>
  <c r="AJ186" i="13"/>
  <c r="AK186" i="13"/>
  <c r="AL186" i="13"/>
  <c r="AM186" i="13"/>
  <c r="AN186" i="13"/>
  <c r="AO186" i="13"/>
  <c r="AP186" i="13"/>
  <c r="AQ186" i="13"/>
  <c r="AR186" i="13"/>
  <c r="AS186" i="13"/>
  <c r="AT186" i="13"/>
  <c r="AU186" i="13"/>
  <c r="AV186" i="13"/>
  <c r="AW186" i="13"/>
  <c r="AX186" i="13"/>
  <c r="AY186" i="13"/>
  <c r="AZ186" i="13"/>
  <c r="BA186" i="13"/>
  <c r="BB186" i="13"/>
  <c r="BC186" i="13"/>
  <c r="BD186" i="13"/>
  <c r="BE186" i="13"/>
  <c r="BF186" i="13"/>
  <c r="BG186" i="13"/>
  <c r="BH186" i="13"/>
  <c r="BI186" i="13"/>
  <c r="BJ186" i="13"/>
  <c r="BK186" i="13"/>
  <c r="BL186" i="13"/>
  <c r="BM186" i="13"/>
  <c r="BN186" i="13"/>
  <c r="BO186" i="13"/>
  <c r="A187" i="13"/>
  <c r="B187" i="13"/>
  <c r="C187" i="13"/>
  <c r="D187" i="13"/>
  <c r="E187" i="13"/>
  <c r="F187" i="13"/>
  <c r="G187" i="13"/>
  <c r="H187" i="13"/>
  <c r="I187" i="13"/>
  <c r="J187" i="13"/>
  <c r="K187" i="13"/>
  <c r="L187" i="13"/>
  <c r="M187" i="13"/>
  <c r="N187" i="13"/>
  <c r="O187" i="13"/>
  <c r="P187" i="13"/>
  <c r="Q187" i="13"/>
  <c r="R187" i="13"/>
  <c r="S187" i="13"/>
  <c r="T187" i="13"/>
  <c r="U187" i="13"/>
  <c r="V187" i="13"/>
  <c r="W187" i="13"/>
  <c r="X187" i="13"/>
  <c r="Y187" i="13"/>
  <c r="Z187" i="13"/>
  <c r="AA187" i="13"/>
  <c r="AB187" i="13"/>
  <c r="AC187" i="13"/>
  <c r="AD187" i="13"/>
  <c r="AE187" i="13"/>
  <c r="AF187" i="13"/>
  <c r="AG187" i="13"/>
  <c r="AH187" i="13"/>
  <c r="AI187" i="13"/>
  <c r="AJ187" i="13"/>
  <c r="AK187" i="13"/>
  <c r="AL187" i="13"/>
  <c r="AM187" i="13"/>
  <c r="AN187" i="13"/>
  <c r="AO187" i="13"/>
  <c r="AP187" i="13"/>
  <c r="AQ187" i="13"/>
  <c r="AR187" i="13"/>
  <c r="AS187" i="13"/>
  <c r="AT187" i="13"/>
  <c r="AU187" i="13"/>
  <c r="AV187" i="13"/>
  <c r="AW187" i="13"/>
  <c r="AX187" i="13"/>
  <c r="AY187" i="13"/>
  <c r="AZ187" i="13"/>
  <c r="BA187" i="13"/>
  <c r="BB187" i="13"/>
  <c r="BC187" i="13"/>
  <c r="BD187" i="13"/>
  <c r="BE187" i="13"/>
  <c r="BF187" i="13"/>
  <c r="BG187" i="13"/>
  <c r="BH187" i="13"/>
  <c r="BI187" i="13"/>
  <c r="BJ187" i="13"/>
  <c r="BK187" i="13"/>
  <c r="BL187" i="13"/>
  <c r="BM187" i="13"/>
  <c r="BN187" i="13"/>
  <c r="BO187" i="13"/>
  <c r="A188" i="13"/>
  <c r="B188" i="13"/>
  <c r="C188" i="13"/>
  <c r="D188" i="13"/>
  <c r="E188" i="13"/>
  <c r="F188" i="13"/>
  <c r="G188" i="13"/>
  <c r="H188" i="13"/>
  <c r="I188" i="13"/>
  <c r="J188" i="13"/>
  <c r="K188" i="13"/>
  <c r="L188" i="13"/>
  <c r="M188" i="13"/>
  <c r="N188" i="13"/>
  <c r="O188" i="13"/>
  <c r="P188" i="13"/>
  <c r="Q188" i="13"/>
  <c r="R188" i="13"/>
  <c r="S188" i="13"/>
  <c r="T188" i="13"/>
  <c r="U188" i="13"/>
  <c r="V188" i="13"/>
  <c r="W188" i="13"/>
  <c r="X188" i="13"/>
  <c r="Y188" i="13"/>
  <c r="Z188" i="13"/>
  <c r="AA188" i="13"/>
  <c r="AB188" i="13"/>
  <c r="AC188" i="13"/>
  <c r="AD188" i="13"/>
  <c r="AE188" i="13"/>
  <c r="AF188" i="13"/>
  <c r="AG188" i="13"/>
  <c r="AH188" i="13"/>
  <c r="AI188" i="13"/>
  <c r="AJ188" i="13"/>
  <c r="AK188" i="13"/>
  <c r="AL188" i="13"/>
  <c r="AM188" i="13"/>
  <c r="AN188" i="13"/>
  <c r="AO188" i="13"/>
  <c r="AP188" i="13"/>
  <c r="AQ188" i="13"/>
  <c r="AR188" i="13"/>
  <c r="AS188" i="13"/>
  <c r="AT188" i="13"/>
  <c r="AU188" i="13"/>
  <c r="AV188" i="13"/>
  <c r="AW188" i="13"/>
  <c r="AX188" i="13"/>
  <c r="AY188" i="13"/>
  <c r="AZ188" i="13"/>
  <c r="BA188" i="13"/>
  <c r="BB188" i="13"/>
  <c r="BC188" i="13"/>
  <c r="BD188" i="13"/>
  <c r="BE188" i="13"/>
  <c r="BF188" i="13"/>
  <c r="BG188" i="13"/>
  <c r="BH188" i="13"/>
  <c r="BI188" i="13"/>
  <c r="BJ188" i="13"/>
  <c r="BK188" i="13"/>
  <c r="BL188" i="13"/>
  <c r="BM188" i="13"/>
  <c r="BN188" i="13"/>
  <c r="BO188" i="13"/>
  <c r="A189" i="13"/>
  <c r="B189" i="13"/>
  <c r="C189" i="13"/>
  <c r="D189" i="13"/>
  <c r="E189" i="13"/>
  <c r="F189" i="13"/>
  <c r="G189" i="13"/>
  <c r="H189" i="13"/>
  <c r="I189" i="13"/>
  <c r="J189" i="13"/>
  <c r="K189" i="13"/>
  <c r="L189" i="13"/>
  <c r="M189" i="13"/>
  <c r="N189" i="13"/>
  <c r="O189" i="13"/>
  <c r="P189" i="13"/>
  <c r="Q189" i="13"/>
  <c r="R189" i="13"/>
  <c r="S189" i="13"/>
  <c r="T189" i="13"/>
  <c r="U189" i="13"/>
  <c r="V189" i="13"/>
  <c r="W189" i="13"/>
  <c r="X189" i="13"/>
  <c r="Y189" i="13"/>
  <c r="Z189" i="13"/>
  <c r="AA189" i="13"/>
  <c r="AB189" i="13"/>
  <c r="AC189" i="13"/>
  <c r="AD189" i="13"/>
  <c r="AE189" i="13"/>
  <c r="AF189" i="13"/>
  <c r="AG189" i="13"/>
  <c r="AH189" i="13"/>
  <c r="AI189" i="13"/>
  <c r="AJ189" i="13"/>
  <c r="AK189" i="13"/>
  <c r="AL189" i="13"/>
  <c r="AM189" i="13"/>
  <c r="AN189" i="13"/>
  <c r="AO189" i="13"/>
  <c r="AP189" i="13"/>
  <c r="AQ189" i="13"/>
  <c r="AR189" i="13"/>
  <c r="AS189" i="13"/>
  <c r="AT189" i="13"/>
  <c r="AU189" i="13"/>
  <c r="AV189" i="13"/>
  <c r="AW189" i="13"/>
  <c r="AX189" i="13"/>
  <c r="AY189" i="13"/>
  <c r="AZ189" i="13"/>
  <c r="BA189" i="13"/>
  <c r="BB189" i="13"/>
  <c r="BC189" i="13"/>
  <c r="BD189" i="13"/>
  <c r="BE189" i="13"/>
  <c r="BF189" i="13"/>
  <c r="BG189" i="13"/>
  <c r="BH189" i="13"/>
  <c r="BI189" i="13"/>
  <c r="BJ189" i="13"/>
  <c r="BK189" i="13"/>
  <c r="BL189" i="13"/>
  <c r="BM189" i="13"/>
  <c r="BN189" i="13"/>
  <c r="BO189" i="13"/>
  <c r="A190" i="13"/>
  <c r="B190" i="13"/>
  <c r="C190" i="13"/>
  <c r="D190" i="13"/>
  <c r="E190" i="13"/>
  <c r="F190" i="13"/>
  <c r="G190" i="13"/>
  <c r="H190" i="13"/>
  <c r="I190" i="13"/>
  <c r="J190" i="13"/>
  <c r="K190" i="13"/>
  <c r="L190" i="13"/>
  <c r="M190" i="13"/>
  <c r="N190" i="13"/>
  <c r="O190" i="13"/>
  <c r="P190" i="13"/>
  <c r="Q190" i="13"/>
  <c r="R190" i="13"/>
  <c r="S190" i="13"/>
  <c r="T190" i="13"/>
  <c r="U190" i="13"/>
  <c r="V190" i="13"/>
  <c r="W190" i="13"/>
  <c r="X190" i="13"/>
  <c r="Y190" i="13"/>
  <c r="Z190" i="13"/>
  <c r="AA190" i="13"/>
  <c r="AB190" i="13"/>
  <c r="AC190" i="13"/>
  <c r="AD190" i="13"/>
  <c r="AE190" i="13"/>
  <c r="AF190" i="13"/>
  <c r="AG190" i="13"/>
  <c r="AH190" i="13"/>
  <c r="AI190" i="13"/>
  <c r="AJ190" i="13"/>
  <c r="AK190" i="13"/>
  <c r="AL190" i="13"/>
  <c r="AM190" i="13"/>
  <c r="AN190" i="13"/>
  <c r="AO190" i="13"/>
  <c r="AP190" i="13"/>
  <c r="AQ190" i="13"/>
  <c r="AR190" i="13"/>
  <c r="AS190" i="13"/>
  <c r="AT190" i="13"/>
  <c r="AU190" i="13"/>
  <c r="AV190" i="13"/>
  <c r="AW190" i="13"/>
  <c r="AX190" i="13"/>
  <c r="AY190" i="13"/>
  <c r="AZ190" i="13"/>
  <c r="BA190" i="13"/>
  <c r="BB190" i="13"/>
  <c r="BC190" i="13"/>
  <c r="BD190" i="13"/>
  <c r="BE190" i="13"/>
  <c r="BF190" i="13"/>
  <c r="BG190" i="13"/>
  <c r="BH190" i="13"/>
  <c r="BI190" i="13"/>
  <c r="BJ190" i="13"/>
  <c r="BK190" i="13"/>
  <c r="BL190" i="13"/>
  <c r="BM190" i="13"/>
  <c r="BN190" i="13"/>
  <c r="BO190" i="13"/>
  <c r="A191" i="13"/>
  <c r="B191" i="13"/>
  <c r="C191" i="13"/>
  <c r="D191" i="13"/>
  <c r="E191" i="13"/>
  <c r="F191" i="13"/>
  <c r="G191" i="13"/>
  <c r="H191" i="13"/>
  <c r="I191" i="13"/>
  <c r="J191" i="13"/>
  <c r="K191" i="13"/>
  <c r="L191" i="13"/>
  <c r="M191" i="13"/>
  <c r="N191" i="13"/>
  <c r="O191" i="13"/>
  <c r="P191" i="13"/>
  <c r="Q191" i="13"/>
  <c r="R191" i="13"/>
  <c r="S191" i="13"/>
  <c r="T191" i="13"/>
  <c r="U191" i="13"/>
  <c r="V191" i="13"/>
  <c r="W191" i="13"/>
  <c r="X191" i="13"/>
  <c r="Y191" i="13"/>
  <c r="Z191" i="13"/>
  <c r="AA191" i="13"/>
  <c r="AB191" i="13"/>
  <c r="AC191" i="13"/>
  <c r="AD191" i="13"/>
  <c r="AE191" i="13"/>
  <c r="AF191" i="13"/>
  <c r="AG191" i="13"/>
  <c r="AH191" i="13"/>
  <c r="AI191" i="13"/>
  <c r="AJ191" i="13"/>
  <c r="AK191" i="13"/>
  <c r="AL191" i="13"/>
  <c r="AM191" i="13"/>
  <c r="AN191" i="13"/>
  <c r="AO191" i="13"/>
  <c r="AP191" i="13"/>
  <c r="AQ191" i="13"/>
  <c r="AR191" i="13"/>
  <c r="AS191" i="13"/>
  <c r="AT191" i="13"/>
  <c r="AU191" i="13"/>
  <c r="AV191" i="13"/>
  <c r="AW191" i="13"/>
  <c r="AX191" i="13"/>
  <c r="AY191" i="13"/>
  <c r="AZ191" i="13"/>
  <c r="BA191" i="13"/>
  <c r="BB191" i="13"/>
  <c r="BC191" i="13"/>
  <c r="BD191" i="13"/>
  <c r="BE191" i="13"/>
  <c r="BF191" i="13"/>
  <c r="BG191" i="13"/>
  <c r="BH191" i="13"/>
  <c r="BI191" i="13"/>
  <c r="BJ191" i="13"/>
  <c r="BK191" i="13"/>
  <c r="BL191" i="13"/>
  <c r="BM191" i="13"/>
  <c r="BN191" i="13"/>
  <c r="BO191" i="13"/>
  <c r="A192" i="13"/>
  <c r="B192" i="13"/>
  <c r="C192" i="13"/>
  <c r="D192" i="13"/>
  <c r="E192" i="13"/>
  <c r="F192" i="13"/>
  <c r="G192" i="13"/>
  <c r="H192" i="13"/>
  <c r="I192" i="13"/>
  <c r="J192" i="13"/>
  <c r="K192" i="13"/>
  <c r="L192" i="13"/>
  <c r="M192" i="13"/>
  <c r="N192" i="13"/>
  <c r="O192" i="13"/>
  <c r="P192" i="13"/>
  <c r="Q192" i="13"/>
  <c r="R192" i="13"/>
  <c r="S192" i="13"/>
  <c r="T192" i="13"/>
  <c r="U192" i="13"/>
  <c r="V192" i="13"/>
  <c r="W192" i="13"/>
  <c r="X192" i="13"/>
  <c r="Y192" i="13"/>
  <c r="Z192" i="13"/>
  <c r="AA192" i="13"/>
  <c r="AB192" i="13"/>
  <c r="AC192" i="13"/>
  <c r="AD192" i="13"/>
  <c r="AE192" i="13"/>
  <c r="AF192" i="13"/>
  <c r="AG192" i="13"/>
  <c r="AH192" i="13"/>
  <c r="AI192" i="13"/>
  <c r="AJ192" i="13"/>
  <c r="AK192" i="13"/>
  <c r="AL192" i="13"/>
  <c r="AM192" i="13"/>
  <c r="AN192" i="13"/>
  <c r="AO192" i="13"/>
  <c r="AP192" i="13"/>
  <c r="AQ192" i="13"/>
  <c r="AR192" i="13"/>
  <c r="AS192" i="13"/>
  <c r="AT192" i="13"/>
  <c r="AU192" i="13"/>
  <c r="AV192" i="13"/>
  <c r="AW192" i="13"/>
  <c r="AX192" i="13"/>
  <c r="AY192" i="13"/>
  <c r="AZ192" i="13"/>
  <c r="BA192" i="13"/>
  <c r="BB192" i="13"/>
  <c r="BC192" i="13"/>
  <c r="BD192" i="13"/>
  <c r="BE192" i="13"/>
  <c r="BF192" i="13"/>
  <c r="BG192" i="13"/>
  <c r="BH192" i="13"/>
  <c r="BI192" i="13"/>
  <c r="BJ192" i="13"/>
  <c r="BK192" i="13"/>
  <c r="BL192" i="13"/>
  <c r="BM192" i="13"/>
  <c r="BN192" i="13"/>
  <c r="BO192" i="13"/>
  <c r="A193" i="13"/>
  <c r="B193" i="13"/>
  <c r="C193" i="13"/>
  <c r="D193" i="13"/>
  <c r="E193" i="13"/>
  <c r="F193" i="13"/>
  <c r="G193" i="13"/>
  <c r="H193" i="13"/>
  <c r="I193" i="13"/>
  <c r="J193" i="13"/>
  <c r="K193" i="13"/>
  <c r="L193" i="13"/>
  <c r="M193" i="13"/>
  <c r="N193" i="13"/>
  <c r="O193" i="13"/>
  <c r="P193" i="13"/>
  <c r="Q193" i="13"/>
  <c r="R193" i="13"/>
  <c r="S193" i="13"/>
  <c r="T193" i="13"/>
  <c r="U193" i="13"/>
  <c r="V193" i="13"/>
  <c r="W193" i="13"/>
  <c r="X193" i="13"/>
  <c r="Y193" i="13"/>
  <c r="Z193" i="13"/>
  <c r="AA193" i="13"/>
  <c r="AB193" i="13"/>
  <c r="AC193" i="13"/>
  <c r="AD193" i="13"/>
  <c r="AE193" i="13"/>
  <c r="AF193" i="13"/>
  <c r="AG193" i="13"/>
  <c r="AH193" i="13"/>
  <c r="AI193" i="13"/>
  <c r="AJ193" i="13"/>
  <c r="AK193" i="13"/>
  <c r="AL193" i="13"/>
  <c r="AM193" i="13"/>
  <c r="AN193" i="13"/>
  <c r="AO193" i="13"/>
  <c r="AP193" i="13"/>
  <c r="AQ193" i="13"/>
  <c r="AR193" i="13"/>
  <c r="AS193" i="13"/>
  <c r="AT193" i="13"/>
  <c r="AU193" i="13"/>
  <c r="AV193" i="13"/>
  <c r="AW193" i="13"/>
  <c r="AX193" i="13"/>
  <c r="AY193" i="13"/>
  <c r="AZ193" i="13"/>
  <c r="BA193" i="13"/>
  <c r="BB193" i="13"/>
  <c r="BC193" i="13"/>
  <c r="BD193" i="13"/>
  <c r="BE193" i="13"/>
  <c r="BF193" i="13"/>
  <c r="BG193" i="13"/>
  <c r="BH193" i="13"/>
  <c r="BI193" i="13"/>
  <c r="BJ193" i="13"/>
  <c r="BK193" i="13"/>
  <c r="BL193" i="13"/>
  <c r="BM193" i="13"/>
  <c r="BN193" i="13"/>
  <c r="BO193" i="13"/>
  <c r="A194" i="13"/>
  <c r="B194" i="13"/>
  <c r="C194" i="13"/>
  <c r="D194" i="13"/>
  <c r="E194" i="13"/>
  <c r="F194" i="13"/>
  <c r="G194" i="13"/>
  <c r="H194" i="13"/>
  <c r="I194" i="13"/>
  <c r="J194" i="13"/>
  <c r="K194" i="13"/>
  <c r="L194" i="13"/>
  <c r="M194" i="13"/>
  <c r="N194" i="13"/>
  <c r="O194" i="13"/>
  <c r="P194" i="13"/>
  <c r="Q194" i="13"/>
  <c r="R194" i="13"/>
  <c r="S194" i="13"/>
  <c r="T194" i="13"/>
  <c r="U194" i="13"/>
  <c r="V194" i="13"/>
  <c r="W194" i="13"/>
  <c r="X194" i="13"/>
  <c r="Y194" i="13"/>
  <c r="Z194" i="13"/>
  <c r="AA194" i="13"/>
  <c r="AB194" i="13"/>
  <c r="AC194" i="13"/>
  <c r="AD194" i="13"/>
  <c r="AE194" i="13"/>
  <c r="AF194" i="13"/>
  <c r="AG194" i="13"/>
  <c r="AH194" i="13"/>
  <c r="AI194" i="13"/>
  <c r="AJ194" i="13"/>
  <c r="AK194" i="13"/>
  <c r="AL194" i="13"/>
  <c r="AM194" i="13"/>
  <c r="AN194" i="13"/>
  <c r="AO194" i="13"/>
  <c r="AP194" i="13"/>
  <c r="AQ194" i="13"/>
  <c r="AR194" i="13"/>
  <c r="AS194" i="13"/>
  <c r="AT194" i="13"/>
  <c r="AU194" i="13"/>
  <c r="AV194" i="13"/>
  <c r="AW194" i="13"/>
  <c r="AX194" i="13"/>
  <c r="AY194" i="13"/>
  <c r="AZ194" i="13"/>
  <c r="BA194" i="13"/>
  <c r="BB194" i="13"/>
  <c r="BC194" i="13"/>
  <c r="BD194" i="13"/>
  <c r="BE194" i="13"/>
  <c r="BF194" i="13"/>
  <c r="BG194" i="13"/>
  <c r="BH194" i="13"/>
  <c r="BI194" i="13"/>
  <c r="BJ194" i="13"/>
  <c r="BK194" i="13"/>
  <c r="BL194" i="13"/>
  <c r="BM194" i="13"/>
  <c r="BN194" i="13"/>
  <c r="BO194" i="13"/>
  <c r="A195" i="13"/>
  <c r="B195" i="13"/>
  <c r="C195" i="13"/>
  <c r="D195" i="13"/>
  <c r="E195" i="13"/>
  <c r="F195" i="13"/>
  <c r="G195" i="13"/>
  <c r="H195" i="13"/>
  <c r="I195" i="13"/>
  <c r="J195" i="13"/>
  <c r="K195" i="13"/>
  <c r="L195" i="13"/>
  <c r="M195" i="13"/>
  <c r="N195" i="13"/>
  <c r="O195" i="13"/>
  <c r="P195" i="13"/>
  <c r="Q195" i="13"/>
  <c r="R195" i="13"/>
  <c r="S195" i="13"/>
  <c r="T195" i="13"/>
  <c r="U195" i="13"/>
  <c r="V195" i="13"/>
  <c r="W195" i="13"/>
  <c r="X195" i="13"/>
  <c r="Y195" i="13"/>
  <c r="Z195" i="13"/>
  <c r="AA195" i="13"/>
  <c r="AB195" i="13"/>
  <c r="AC195" i="13"/>
  <c r="AD195" i="13"/>
  <c r="AE195" i="13"/>
  <c r="AF195" i="13"/>
  <c r="AG195" i="13"/>
  <c r="AH195" i="13"/>
  <c r="AI195" i="13"/>
  <c r="AJ195" i="13"/>
  <c r="AK195" i="13"/>
  <c r="AL195" i="13"/>
  <c r="AM195" i="13"/>
  <c r="AN195" i="13"/>
  <c r="AO195" i="13"/>
  <c r="AP195" i="13"/>
  <c r="AQ195" i="13"/>
  <c r="AR195" i="13"/>
  <c r="AS195" i="13"/>
  <c r="AT195" i="13"/>
  <c r="AU195" i="13"/>
  <c r="AV195" i="13"/>
  <c r="AW195" i="13"/>
  <c r="AX195" i="13"/>
  <c r="AY195" i="13"/>
  <c r="AZ195" i="13"/>
  <c r="BA195" i="13"/>
  <c r="BB195" i="13"/>
  <c r="BC195" i="13"/>
  <c r="BD195" i="13"/>
  <c r="BE195" i="13"/>
  <c r="BF195" i="13"/>
  <c r="BG195" i="13"/>
  <c r="BH195" i="13"/>
  <c r="BI195" i="13"/>
  <c r="BJ195" i="13"/>
  <c r="BK195" i="13"/>
  <c r="BL195" i="13"/>
  <c r="BM195" i="13"/>
  <c r="BN195" i="13"/>
  <c r="BO195" i="13"/>
  <c r="A196" i="13"/>
  <c r="B196" i="13"/>
  <c r="C196" i="13"/>
  <c r="D196" i="13"/>
  <c r="E196" i="13"/>
  <c r="F196" i="13"/>
  <c r="G196" i="13"/>
  <c r="H196" i="13"/>
  <c r="I196" i="13"/>
  <c r="J196" i="13"/>
  <c r="K196" i="13"/>
  <c r="L196" i="13"/>
  <c r="M196" i="13"/>
  <c r="N196" i="13"/>
  <c r="O196" i="13"/>
  <c r="P196" i="13"/>
  <c r="Q196" i="13"/>
  <c r="R196" i="13"/>
  <c r="S196" i="13"/>
  <c r="T196" i="13"/>
  <c r="U196" i="13"/>
  <c r="V196" i="13"/>
  <c r="W196" i="13"/>
  <c r="X196" i="13"/>
  <c r="Y196" i="13"/>
  <c r="Z196" i="13"/>
  <c r="AA196" i="13"/>
  <c r="AB196" i="13"/>
  <c r="AC196" i="13"/>
  <c r="AD196" i="13"/>
  <c r="AE196" i="13"/>
  <c r="AF196" i="13"/>
  <c r="AG196" i="13"/>
  <c r="AH196" i="13"/>
  <c r="AI196" i="13"/>
  <c r="AJ196" i="13"/>
  <c r="AK196" i="13"/>
  <c r="AL196" i="13"/>
  <c r="AM196" i="13"/>
  <c r="AN196" i="13"/>
  <c r="AO196" i="13"/>
  <c r="AP196" i="13"/>
  <c r="AQ196" i="13"/>
  <c r="AR196" i="13"/>
  <c r="AS196" i="13"/>
  <c r="AT196" i="13"/>
  <c r="AU196" i="13"/>
  <c r="AV196" i="13"/>
  <c r="AW196" i="13"/>
  <c r="AX196" i="13"/>
  <c r="AY196" i="13"/>
  <c r="AZ196" i="13"/>
  <c r="BA196" i="13"/>
  <c r="BB196" i="13"/>
  <c r="BC196" i="13"/>
  <c r="BD196" i="13"/>
  <c r="BE196" i="13"/>
  <c r="BF196" i="13"/>
  <c r="BG196" i="13"/>
  <c r="BH196" i="13"/>
  <c r="BI196" i="13"/>
  <c r="BJ196" i="13"/>
  <c r="BK196" i="13"/>
  <c r="BL196" i="13"/>
  <c r="BM196" i="13"/>
  <c r="BN196" i="13"/>
  <c r="BO196" i="13"/>
  <c r="A197" i="13"/>
  <c r="B197" i="13"/>
  <c r="C197" i="13"/>
  <c r="D197" i="13"/>
  <c r="E197" i="13"/>
  <c r="F197" i="13"/>
  <c r="G197" i="13"/>
  <c r="H197" i="13"/>
  <c r="I197" i="13"/>
  <c r="J197" i="13"/>
  <c r="K197" i="13"/>
  <c r="L197" i="13"/>
  <c r="M197" i="13"/>
  <c r="N197" i="13"/>
  <c r="O197" i="13"/>
  <c r="P197" i="13"/>
  <c r="Q197" i="13"/>
  <c r="R197" i="13"/>
  <c r="S197" i="13"/>
  <c r="T197" i="13"/>
  <c r="U197" i="13"/>
  <c r="V197" i="13"/>
  <c r="W197" i="13"/>
  <c r="X197" i="13"/>
  <c r="Y197" i="13"/>
  <c r="Z197" i="13"/>
  <c r="AA197" i="13"/>
  <c r="AB197" i="13"/>
  <c r="AC197" i="13"/>
  <c r="AD197" i="13"/>
  <c r="AE197" i="13"/>
  <c r="AF197" i="13"/>
  <c r="AG197" i="13"/>
  <c r="AH197" i="13"/>
  <c r="AI197" i="13"/>
  <c r="AJ197" i="13"/>
  <c r="AK197" i="13"/>
  <c r="AL197" i="13"/>
  <c r="AM197" i="13"/>
  <c r="AN197" i="13"/>
  <c r="AO197" i="13"/>
  <c r="AP197" i="13"/>
  <c r="AQ197" i="13"/>
  <c r="AR197" i="13"/>
  <c r="AS197" i="13"/>
  <c r="AT197" i="13"/>
  <c r="AU197" i="13"/>
  <c r="AV197" i="13"/>
  <c r="AW197" i="13"/>
  <c r="AX197" i="13"/>
  <c r="AY197" i="13"/>
  <c r="AZ197" i="13"/>
  <c r="BA197" i="13"/>
  <c r="BB197" i="13"/>
  <c r="BC197" i="13"/>
  <c r="BD197" i="13"/>
  <c r="BE197" i="13"/>
  <c r="BF197" i="13"/>
  <c r="BG197" i="13"/>
  <c r="BH197" i="13"/>
  <c r="BI197" i="13"/>
  <c r="BJ197" i="13"/>
  <c r="BK197" i="13"/>
  <c r="BL197" i="13"/>
  <c r="BM197" i="13"/>
  <c r="BN197" i="13"/>
  <c r="BO197" i="13"/>
  <c r="A198" i="13"/>
  <c r="B198" i="13"/>
  <c r="C198" i="13"/>
  <c r="D198" i="13"/>
  <c r="E198" i="13"/>
  <c r="F198" i="13"/>
  <c r="G198" i="13"/>
  <c r="H198" i="13"/>
  <c r="I198" i="13"/>
  <c r="J198" i="13"/>
  <c r="K198" i="13"/>
  <c r="L198" i="13"/>
  <c r="M198" i="13"/>
  <c r="N198" i="13"/>
  <c r="O198" i="13"/>
  <c r="P198" i="13"/>
  <c r="Q198" i="13"/>
  <c r="R198" i="13"/>
  <c r="S198" i="13"/>
  <c r="T198" i="13"/>
  <c r="U198" i="13"/>
  <c r="V198" i="13"/>
  <c r="W198" i="13"/>
  <c r="X198" i="13"/>
  <c r="Y198" i="13"/>
  <c r="Z198" i="13"/>
  <c r="AA198" i="13"/>
  <c r="AB198" i="13"/>
  <c r="AC198" i="13"/>
  <c r="AD198" i="13"/>
  <c r="AE198" i="13"/>
  <c r="AF198" i="13"/>
  <c r="AG198" i="13"/>
  <c r="AH198" i="13"/>
  <c r="AI198" i="13"/>
  <c r="AJ198" i="13"/>
  <c r="AK198" i="13"/>
  <c r="AL198" i="13"/>
  <c r="AM198" i="13"/>
  <c r="AN198" i="13"/>
  <c r="AO198" i="13"/>
  <c r="AP198" i="13"/>
  <c r="AQ198" i="13"/>
  <c r="AR198" i="13"/>
  <c r="AS198" i="13"/>
  <c r="AT198" i="13"/>
  <c r="AU198" i="13"/>
  <c r="AV198" i="13"/>
  <c r="AW198" i="13"/>
  <c r="AX198" i="13"/>
  <c r="AY198" i="13"/>
  <c r="AZ198" i="13"/>
  <c r="BA198" i="13"/>
  <c r="BB198" i="13"/>
  <c r="BC198" i="13"/>
  <c r="BD198" i="13"/>
  <c r="BE198" i="13"/>
  <c r="BF198" i="13"/>
  <c r="BG198" i="13"/>
  <c r="BH198" i="13"/>
  <c r="BI198" i="13"/>
  <c r="BJ198" i="13"/>
  <c r="BK198" i="13"/>
  <c r="BL198" i="13"/>
  <c r="BM198" i="13"/>
  <c r="BN198" i="13"/>
  <c r="BO198" i="13"/>
  <c r="A199" i="13"/>
  <c r="B199" i="13"/>
  <c r="C199" i="13"/>
  <c r="D199" i="13"/>
  <c r="E199" i="13"/>
  <c r="F199" i="13"/>
  <c r="G199" i="13"/>
  <c r="H199" i="13"/>
  <c r="I199" i="13"/>
  <c r="J199" i="13"/>
  <c r="K199" i="13"/>
  <c r="L199" i="13"/>
  <c r="M199" i="13"/>
  <c r="N199" i="13"/>
  <c r="O199" i="13"/>
  <c r="P199" i="13"/>
  <c r="Q199" i="13"/>
  <c r="R199" i="13"/>
  <c r="S199" i="13"/>
  <c r="T199" i="13"/>
  <c r="U199" i="13"/>
  <c r="V199" i="13"/>
  <c r="W199" i="13"/>
  <c r="X199" i="13"/>
  <c r="Y199" i="13"/>
  <c r="Z199" i="13"/>
  <c r="AA199" i="13"/>
  <c r="AB199" i="13"/>
  <c r="AC199" i="13"/>
  <c r="AD199" i="13"/>
  <c r="AE199" i="13"/>
  <c r="AF199" i="13"/>
  <c r="AG199" i="13"/>
  <c r="AH199" i="13"/>
  <c r="AI199" i="13"/>
  <c r="AJ199" i="13"/>
  <c r="AK199" i="13"/>
  <c r="AL199" i="13"/>
  <c r="AM199" i="13"/>
  <c r="AN199" i="13"/>
  <c r="AO199" i="13"/>
  <c r="AP199" i="13"/>
  <c r="AQ199" i="13"/>
  <c r="AR199" i="13"/>
  <c r="AS199" i="13"/>
  <c r="AT199" i="13"/>
  <c r="AU199" i="13"/>
  <c r="AV199" i="13"/>
  <c r="AW199" i="13"/>
  <c r="AX199" i="13"/>
  <c r="AY199" i="13"/>
  <c r="AZ199" i="13"/>
  <c r="BA199" i="13"/>
  <c r="BB199" i="13"/>
  <c r="BC199" i="13"/>
  <c r="BD199" i="13"/>
  <c r="BE199" i="13"/>
  <c r="BF199" i="13"/>
  <c r="BG199" i="13"/>
  <c r="BH199" i="13"/>
  <c r="BI199" i="13"/>
  <c r="BJ199" i="13"/>
  <c r="BK199" i="13"/>
  <c r="BL199" i="13"/>
  <c r="BM199" i="13"/>
  <c r="BN199" i="13"/>
  <c r="BO199" i="13"/>
  <c r="A200" i="13"/>
  <c r="B200" i="13"/>
  <c r="C200" i="13"/>
  <c r="D200" i="13"/>
  <c r="E200" i="13"/>
  <c r="F200" i="13"/>
  <c r="G200" i="13"/>
  <c r="H200" i="13"/>
  <c r="I200" i="13"/>
  <c r="J200" i="13"/>
  <c r="K200" i="13"/>
  <c r="L200" i="13"/>
  <c r="M200" i="13"/>
  <c r="N200" i="13"/>
  <c r="O200" i="13"/>
  <c r="P200" i="13"/>
  <c r="Q200" i="13"/>
  <c r="R200" i="13"/>
  <c r="S200" i="13"/>
  <c r="T200" i="13"/>
  <c r="U200" i="13"/>
  <c r="V200" i="13"/>
  <c r="W200" i="13"/>
  <c r="X200" i="13"/>
  <c r="Y200" i="13"/>
  <c r="Z200" i="13"/>
  <c r="AA200" i="13"/>
  <c r="AB200" i="13"/>
  <c r="AC200" i="13"/>
  <c r="AD200" i="13"/>
  <c r="AE200" i="13"/>
  <c r="AF200" i="13"/>
  <c r="AG200" i="13"/>
  <c r="AH200" i="13"/>
  <c r="AI200" i="13"/>
  <c r="AJ200" i="13"/>
  <c r="AK200" i="13"/>
  <c r="AL200" i="13"/>
  <c r="AM200" i="13"/>
  <c r="AN200" i="13"/>
  <c r="AO200" i="13"/>
  <c r="AP200" i="13"/>
  <c r="AQ200" i="13"/>
  <c r="AR200" i="13"/>
  <c r="AS200" i="13"/>
  <c r="AT200" i="13"/>
  <c r="AU200" i="13"/>
  <c r="AV200" i="13"/>
  <c r="AW200" i="13"/>
  <c r="AX200" i="13"/>
  <c r="AY200" i="13"/>
  <c r="AZ200" i="13"/>
  <c r="BA200" i="13"/>
  <c r="BB200" i="13"/>
  <c r="BC200" i="13"/>
  <c r="BD200" i="13"/>
  <c r="BE200" i="13"/>
  <c r="BF200" i="13"/>
  <c r="BG200" i="13"/>
  <c r="BH200" i="13"/>
  <c r="BI200" i="13"/>
  <c r="BJ200" i="13"/>
  <c r="BK200" i="13"/>
  <c r="BL200" i="13"/>
  <c r="BM200" i="13"/>
  <c r="BN200" i="13"/>
  <c r="BO200" i="13"/>
  <c r="A201" i="13"/>
  <c r="B201" i="13"/>
  <c r="C201" i="13"/>
  <c r="D201" i="13"/>
  <c r="E201" i="13"/>
  <c r="F201" i="13"/>
  <c r="G201" i="13"/>
  <c r="H201" i="13"/>
  <c r="I201" i="13"/>
  <c r="J201" i="13"/>
  <c r="K201" i="13"/>
  <c r="L201" i="13"/>
  <c r="M201" i="13"/>
  <c r="N201" i="13"/>
  <c r="O201" i="13"/>
  <c r="P201" i="13"/>
  <c r="Q201" i="13"/>
  <c r="R201" i="13"/>
  <c r="S201" i="13"/>
  <c r="T201" i="13"/>
  <c r="U201" i="13"/>
  <c r="V201" i="13"/>
  <c r="W201" i="13"/>
  <c r="X201" i="13"/>
  <c r="Y201" i="13"/>
  <c r="Z201" i="13"/>
  <c r="AA201" i="13"/>
  <c r="AB201" i="13"/>
  <c r="AC201" i="13"/>
  <c r="AD201" i="13"/>
  <c r="AE201" i="13"/>
  <c r="AF201" i="13"/>
  <c r="AG201" i="13"/>
  <c r="AH201" i="13"/>
  <c r="AI201" i="13"/>
  <c r="AJ201" i="13"/>
  <c r="AK201" i="13"/>
  <c r="AL201" i="13"/>
  <c r="AM201" i="13"/>
  <c r="AN201" i="13"/>
  <c r="AO201" i="13"/>
  <c r="AP201" i="13"/>
  <c r="AQ201" i="13"/>
  <c r="AR201" i="13"/>
  <c r="AS201" i="13"/>
  <c r="AT201" i="13"/>
  <c r="AU201" i="13"/>
  <c r="AV201" i="13"/>
  <c r="AW201" i="13"/>
  <c r="AX201" i="13"/>
  <c r="AY201" i="13"/>
  <c r="AZ201" i="13"/>
  <c r="BA201" i="13"/>
  <c r="BB201" i="13"/>
  <c r="BC201" i="13"/>
  <c r="BD201" i="13"/>
  <c r="BE201" i="13"/>
  <c r="BF201" i="13"/>
  <c r="BG201" i="13"/>
  <c r="BH201" i="13"/>
  <c r="BI201" i="13"/>
  <c r="BJ201" i="13"/>
  <c r="BK201" i="13"/>
  <c r="BL201" i="13"/>
  <c r="BM201" i="13"/>
  <c r="BN201" i="13"/>
  <c r="BO201" i="13"/>
  <c r="A202" i="13"/>
  <c r="B202" i="13"/>
  <c r="C202" i="13"/>
  <c r="D202" i="13"/>
  <c r="E202" i="13"/>
  <c r="F202" i="13"/>
  <c r="G202" i="13"/>
  <c r="H202" i="13"/>
  <c r="I202" i="13"/>
  <c r="J202" i="13"/>
  <c r="K202" i="13"/>
  <c r="L202" i="13"/>
  <c r="M202" i="13"/>
  <c r="N202" i="13"/>
  <c r="O202" i="13"/>
  <c r="P202" i="13"/>
  <c r="Q202" i="13"/>
  <c r="R202" i="13"/>
  <c r="S202" i="13"/>
  <c r="T202" i="13"/>
  <c r="U202" i="13"/>
  <c r="V202" i="13"/>
  <c r="W202" i="13"/>
  <c r="X202" i="13"/>
  <c r="Y202" i="13"/>
  <c r="Z202" i="13"/>
  <c r="AA202" i="13"/>
  <c r="AB202" i="13"/>
  <c r="AC202" i="13"/>
  <c r="AD202" i="13"/>
  <c r="AE202" i="13"/>
  <c r="AF202" i="13"/>
  <c r="AG202" i="13"/>
  <c r="AH202" i="13"/>
  <c r="AI202" i="13"/>
  <c r="AJ202" i="13"/>
  <c r="AK202" i="13"/>
  <c r="AL202" i="13"/>
  <c r="AM202" i="13"/>
  <c r="AN202" i="13"/>
  <c r="AO202" i="13"/>
  <c r="AP202" i="13"/>
  <c r="AQ202" i="13"/>
  <c r="AR202" i="13"/>
  <c r="AS202" i="13"/>
  <c r="AT202" i="13"/>
  <c r="AU202" i="13"/>
  <c r="AV202" i="13"/>
  <c r="AW202" i="13"/>
  <c r="AX202" i="13"/>
  <c r="AY202" i="13"/>
  <c r="AZ202" i="13"/>
  <c r="BA202" i="13"/>
  <c r="BB202" i="13"/>
  <c r="BC202" i="13"/>
  <c r="BD202" i="13"/>
  <c r="BE202" i="13"/>
  <c r="BF202" i="13"/>
  <c r="BG202" i="13"/>
  <c r="BH202" i="13"/>
  <c r="BI202" i="13"/>
  <c r="BJ202" i="13"/>
  <c r="BK202" i="13"/>
  <c r="BL202" i="13"/>
  <c r="BM202" i="13"/>
  <c r="BN202" i="13"/>
  <c r="BO202" i="13"/>
  <c r="A203" i="13"/>
  <c r="B203" i="13"/>
  <c r="C203" i="13"/>
  <c r="D203" i="13"/>
  <c r="E203" i="13"/>
  <c r="F203" i="13"/>
  <c r="G203" i="13"/>
  <c r="H203" i="13"/>
  <c r="I203" i="13"/>
  <c r="J203" i="13"/>
  <c r="K203" i="13"/>
  <c r="L203" i="13"/>
  <c r="M203" i="13"/>
  <c r="N203" i="13"/>
  <c r="O203" i="13"/>
  <c r="P203" i="13"/>
  <c r="Q203" i="13"/>
  <c r="R203" i="13"/>
  <c r="S203" i="13"/>
  <c r="T203" i="13"/>
  <c r="U203" i="13"/>
  <c r="V203" i="13"/>
  <c r="W203" i="13"/>
  <c r="X203" i="13"/>
  <c r="Y203" i="13"/>
  <c r="Z203" i="13"/>
  <c r="AA203" i="13"/>
  <c r="AB203" i="13"/>
  <c r="AC203" i="13"/>
  <c r="AD203" i="13"/>
  <c r="AE203" i="13"/>
  <c r="AF203" i="13"/>
  <c r="AG203" i="13"/>
  <c r="AH203" i="13"/>
  <c r="AI203" i="13"/>
  <c r="AJ203" i="13"/>
  <c r="AK203" i="13"/>
  <c r="AL203" i="13"/>
  <c r="AM203" i="13"/>
  <c r="AN203" i="13"/>
  <c r="AO203" i="13"/>
  <c r="AP203" i="13"/>
  <c r="AQ203" i="13"/>
  <c r="AR203" i="13"/>
  <c r="AS203" i="13"/>
  <c r="AT203" i="13"/>
  <c r="AU203" i="13"/>
  <c r="AV203" i="13"/>
  <c r="AW203" i="13"/>
  <c r="AX203" i="13"/>
  <c r="AY203" i="13"/>
  <c r="AZ203" i="13"/>
  <c r="BA203" i="13"/>
  <c r="BB203" i="13"/>
  <c r="BC203" i="13"/>
  <c r="BD203" i="13"/>
  <c r="BE203" i="13"/>
  <c r="BF203" i="13"/>
  <c r="BG203" i="13"/>
  <c r="BH203" i="13"/>
  <c r="BI203" i="13"/>
  <c r="BJ203" i="13"/>
  <c r="BK203" i="13"/>
  <c r="BL203" i="13"/>
  <c r="BM203" i="13"/>
  <c r="BN203" i="13"/>
  <c r="BO203" i="13"/>
  <c r="A204" i="13"/>
  <c r="B204" i="13"/>
  <c r="C204" i="13"/>
  <c r="D204" i="13"/>
  <c r="E204" i="13"/>
  <c r="F204" i="13"/>
  <c r="G204" i="13"/>
  <c r="H204" i="13"/>
  <c r="I204" i="13"/>
  <c r="J204" i="13"/>
  <c r="K204" i="13"/>
  <c r="L204" i="13"/>
  <c r="M204" i="13"/>
  <c r="N204" i="13"/>
  <c r="O204" i="13"/>
  <c r="P204" i="13"/>
  <c r="Q204" i="13"/>
  <c r="R204" i="13"/>
  <c r="S204" i="13"/>
  <c r="T204" i="13"/>
  <c r="U204" i="13"/>
  <c r="V204" i="13"/>
  <c r="W204" i="13"/>
  <c r="X204" i="13"/>
  <c r="Y204" i="13"/>
  <c r="Z204" i="13"/>
  <c r="AA204" i="13"/>
  <c r="AB204" i="13"/>
  <c r="AC204" i="13"/>
  <c r="AD204" i="13"/>
  <c r="AE204" i="13"/>
  <c r="AF204" i="13"/>
  <c r="AG204" i="13"/>
  <c r="AH204" i="13"/>
  <c r="AI204" i="13"/>
  <c r="AJ204" i="13"/>
  <c r="AK204" i="13"/>
  <c r="AL204" i="13"/>
  <c r="AM204" i="13"/>
  <c r="AN204" i="13"/>
  <c r="AO204" i="13"/>
  <c r="AP204" i="13"/>
  <c r="AQ204" i="13"/>
  <c r="AR204" i="13"/>
  <c r="AS204" i="13"/>
  <c r="AT204" i="13"/>
  <c r="AU204" i="13"/>
  <c r="AV204" i="13"/>
  <c r="AW204" i="13"/>
  <c r="AX204" i="13"/>
  <c r="AY204" i="13"/>
  <c r="AZ204" i="13"/>
  <c r="BA204" i="13"/>
  <c r="BB204" i="13"/>
  <c r="BC204" i="13"/>
  <c r="BD204" i="13"/>
  <c r="BE204" i="13"/>
  <c r="BF204" i="13"/>
  <c r="BG204" i="13"/>
  <c r="BH204" i="13"/>
  <c r="BI204" i="13"/>
  <c r="BJ204" i="13"/>
  <c r="BK204" i="13"/>
  <c r="BL204" i="13"/>
  <c r="BM204" i="13"/>
  <c r="BN204" i="13"/>
  <c r="BO204" i="13"/>
  <c r="A205" i="13"/>
  <c r="B205" i="13"/>
  <c r="C205" i="13"/>
  <c r="D205" i="13"/>
  <c r="E205" i="13"/>
  <c r="F205" i="13"/>
  <c r="G205" i="13"/>
  <c r="H205" i="13"/>
  <c r="I205" i="13"/>
  <c r="J205" i="13"/>
  <c r="K205" i="13"/>
  <c r="L205" i="13"/>
  <c r="M205" i="13"/>
  <c r="N205" i="13"/>
  <c r="O205" i="13"/>
  <c r="P205" i="13"/>
  <c r="Q205" i="13"/>
  <c r="R205" i="13"/>
  <c r="S205" i="13"/>
  <c r="T205" i="13"/>
  <c r="U205" i="13"/>
  <c r="V205" i="13"/>
  <c r="W205" i="13"/>
  <c r="X205" i="13"/>
  <c r="Y205" i="13"/>
  <c r="Z205" i="13"/>
  <c r="AA205" i="13"/>
  <c r="AB205" i="13"/>
  <c r="AC205" i="13"/>
  <c r="AD205" i="13"/>
  <c r="AE205" i="13"/>
  <c r="AF205" i="13"/>
  <c r="AG205" i="13"/>
  <c r="AH205" i="13"/>
  <c r="AI205" i="13"/>
  <c r="AJ205" i="13"/>
  <c r="AK205" i="13"/>
  <c r="AL205" i="13"/>
  <c r="AM205" i="13"/>
  <c r="AN205" i="13"/>
  <c r="AO205" i="13"/>
  <c r="AP205" i="13"/>
  <c r="AQ205" i="13"/>
  <c r="AR205" i="13"/>
  <c r="AS205" i="13"/>
  <c r="AT205" i="13"/>
  <c r="AU205" i="13"/>
  <c r="AV205" i="13"/>
  <c r="AW205" i="13"/>
  <c r="AX205" i="13"/>
  <c r="AY205" i="13"/>
  <c r="AZ205" i="13"/>
  <c r="BA205" i="13"/>
  <c r="BB205" i="13"/>
  <c r="BC205" i="13"/>
  <c r="BD205" i="13"/>
  <c r="BE205" i="13"/>
  <c r="BF205" i="13"/>
  <c r="BG205" i="13"/>
  <c r="BH205" i="13"/>
  <c r="BI205" i="13"/>
  <c r="BJ205" i="13"/>
  <c r="BK205" i="13"/>
  <c r="BL205" i="13"/>
  <c r="BM205" i="13"/>
  <c r="BN205" i="13"/>
  <c r="BO205" i="13"/>
  <c r="A206" i="13"/>
  <c r="B206" i="13"/>
  <c r="C206" i="13"/>
  <c r="D206" i="13"/>
  <c r="E206" i="13"/>
  <c r="F206" i="13"/>
  <c r="G206" i="13"/>
  <c r="H206" i="13"/>
  <c r="I206" i="13"/>
  <c r="J206" i="13"/>
  <c r="K206" i="13"/>
  <c r="L206" i="13"/>
  <c r="M206" i="13"/>
  <c r="N206" i="13"/>
  <c r="O206" i="13"/>
  <c r="P206" i="13"/>
  <c r="Q206" i="13"/>
  <c r="R206" i="13"/>
  <c r="S206" i="13"/>
  <c r="T206" i="13"/>
  <c r="U206" i="13"/>
  <c r="V206" i="13"/>
  <c r="W206" i="13"/>
  <c r="X206" i="13"/>
  <c r="Y206" i="13"/>
  <c r="Z206" i="13"/>
  <c r="AA206" i="13"/>
  <c r="AB206" i="13"/>
  <c r="AC206" i="13"/>
  <c r="AD206" i="13"/>
  <c r="AE206" i="13"/>
  <c r="AF206" i="13"/>
  <c r="AG206" i="13"/>
  <c r="AH206" i="13"/>
  <c r="AI206" i="13"/>
  <c r="AJ206" i="13"/>
  <c r="AK206" i="13"/>
  <c r="AL206" i="13"/>
  <c r="AM206" i="13"/>
  <c r="AN206" i="13"/>
  <c r="AO206" i="13"/>
  <c r="AP206" i="13"/>
  <c r="AQ206" i="13"/>
  <c r="AR206" i="13"/>
  <c r="AS206" i="13"/>
  <c r="AT206" i="13"/>
  <c r="AU206" i="13"/>
  <c r="AV206" i="13"/>
  <c r="AW206" i="13"/>
  <c r="AX206" i="13"/>
  <c r="AY206" i="13"/>
  <c r="AZ206" i="13"/>
  <c r="BA206" i="13"/>
  <c r="BB206" i="13"/>
  <c r="BC206" i="13"/>
  <c r="BD206" i="13"/>
  <c r="BE206" i="13"/>
  <c r="BF206" i="13"/>
  <c r="BG206" i="13"/>
  <c r="BH206" i="13"/>
  <c r="BI206" i="13"/>
  <c r="BJ206" i="13"/>
  <c r="BK206" i="13"/>
  <c r="BL206" i="13"/>
  <c r="BM206" i="13"/>
  <c r="BN206" i="13"/>
  <c r="BO206" i="13"/>
  <c r="A207" i="13"/>
  <c r="B207" i="13"/>
  <c r="C207" i="13"/>
  <c r="D207" i="13"/>
  <c r="E207" i="13"/>
  <c r="F207" i="13"/>
  <c r="G207" i="13"/>
  <c r="H207" i="13"/>
  <c r="I207" i="13"/>
  <c r="J207" i="13"/>
  <c r="K207" i="13"/>
  <c r="L207" i="13"/>
  <c r="M207" i="13"/>
  <c r="N207" i="13"/>
  <c r="O207" i="13"/>
  <c r="P207" i="13"/>
  <c r="Q207" i="13"/>
  <c r="R207" i="13"/>
  <c r="S207" i="13"/>
  <c r="T207" i="13"/>
  <c r="U207" i="13"/>
  <c r="V207" i="13"/>
  <c r="W207" i="13"/>
  <c r="X207" i="13"/>
  <c r="Y207" i="13"/>
  <c r="Z207" i="13"/>
  <c r="AA207" i="13"/>
  <c r="AB207" i="13"/>
  <c r="AC207" i="13"/>
  <c r="AD207" i="13"/>
  <c r="AE207" i="13"/>
  <c r="AF207" i="13"/>
  <c r="AG207" i="13"/>
  <c r="AH207" i="13"/>
  <c r="AI207" i="13"/>
  <c r="AJ207" i="13"/>
  <c r="AK207" i="13"/>
  <c r="AL207" i="13"/>
  <c r="AM207" i="13"/>
  <c r="AN207" i="13"/>
  <c r="AO207" i="13"/>
  <c r="AP207" i="13"/>
  <c r="AQ207" i="13"/>
  <c r="AR207" i="13"/>
  <c r="AS207" i="13"/>
  <c r="AT207" i="13"/>
  <c r="AU207" i="13"/>
  <c r="AV207" i="13"/>
  <c r="AW207" i="13"/>
  <c r="AX207" i="13"/>
  <c r="AY207" i="13"/>
  <c r="AZ207" i="13"/>
  <c r="BA207" i="13"/>
  <c r="BB207" i="13"/>
  <c r="BC207" i="13"/>
  <c r="BD207" i="13"/>
  <c r="BE207" i="13"/>
  <c r="BF207" i="13"/>
  <c r="BG207" i="13"/>
  <c r="BH207" i="13"/>
  <c r="BI207" i="13"/>
  <c r="BJ207" i="13"/>
  <c r="BK207" i="13"/>
  <c r="BL207" i="13"/>
  <c r="BM207" i="13"/>
  <c r="BN207" i="13"/>
  <c r="BO207" i="13"/>
  <c r="A208" i="13"/>
  <c r="B208" i="13"/>
  <c r="C208" i="13"/>
  <c r="D208" i="13"/>
  <c r="E208" i="13"/>
  <c r="F208" i="13"/>
  <c r="G208" i="13"/>
  <c r="H208" i="13"/>
  <c r="I208" i="13"/>
  <c r="J208" i="13"/>
  <c r="K208" i="13"/>
  <c r="L208" i="13"/>
  <c r="M208" i="13"/>
  <c r="N208" i="13"/>
  <c r="O208" i="13"/>
  <c r="P208" i="13"/>
  <c r="Q208" i="13"/>
  <c r="R208" i="13"/>
  <c r="S208" i="13"/>
  <c r="T208" i="13"/>
  <c r="U208" i="13"/>
  <c r="V208" i="13"/>
  <c r="W208" i="13"/>
  <c r="X208" i="13"/>
  <c r="Y208" i="13"/>
  <c r="Z208" i="13"/>
  <c r="AA208" i="13"/>
  <c r="AB208" i="13"/>
  <c r="AC208" i="13"/>
  <c r="AD208" i="13"/>
  <c r="AE208" i="13"/>
  <c r="AF208" i="13"/>
  <c r="AG208" i="13"/>
  <c r="AH208" i="13"/>
  <c r="AI208" i="13"/>
  <c r="AJ208" i="13"/>
  <c r="AK208" i="13"/>
  <c r="AL208" i="13"/>
  <c r="AM208" i="13"/>
  <c r="AN208" i="13"/>
  <c r="AO208" i="13"/>
  <c r="AP208" i="13"/>
  <c r="AQ208" i="13"/>
  <c r="AR208" i="13"/>
  <c r="AS208" i="13"/>
  <c r="AT208" i="13"/>
  <c r="AU208" i="13"/>
  <c r="AV208" i="13"/>
  <c r="AW208" i="13"/>
  <c r="AX208" i="13"/>
  <c r="AY208" i="13"/>
  <c r="AZ208" i="13"/>
  <c r="BA208" i="13"/>
  <c r="BB208" i="13"/>
  <c r="BC208" i="13"/>
  <c r="BD208" i="13"/>
  <c r="BE208" i="13"/>
  <c r="BF208" i="13"/>
  <c r="BG208" i="13"/>
  <c r="BH208" i="13"/>
  <c r="BI208" i="13"/>
  <c r="BJ208" i="13"/>
  <c r="BK208" i="13"/>
  <c r="BL208" i="13"/>
  <c r="BM208" i="13"/>
  <c r="BN208" i="13"/>
  <c r="BO208" i="13"/>
  <c r="A209" i="13"/>
  <c r="B209" i="13"/>
  <c r="C209" i="13"/>
  <c r="D209" i="13"/>
  <c r="E209" i="13"/>
  <c r="F209" i="13"/>
  <c r="G209" i="13"/>
  <c r="H209" i="13"/>
  <c r="I209" i="13"/>
  <c r="J209" i="13"/>
  <c r="K209" i="13"/>
  <c r="L209" i="13"/>
  <c r="M209" i="13"/>
  <c r="N209" i="13"/>
  <c r="O209" i="13"/>
  <c r="P209" i="13"/>
  <c r="Q209" i="13"/>
  <c r="R209" i="13"/>
  <c r="S209" i="13"/>
  <c r="T209" i="13"/>
  <c r="U209" i="13"/>
  <c r="V209" i="13"/>
  <c r="W209" i="13"/>
  <c r="X209" i="13"/>
  <c r="Y209" i="13"/>
  <c r="Z209" i="13"/>
  <c r="AA209" i="13"/>
  <c r="AB209" i="13"/>
  <c r="AC209" i="13"/>
  <c r="AD209" i="13"/>
  <c r="AE209" i="13"/>
  <c r="AF209" i="13"/>
  <c r="AG209" i="13"/>
  <c r="AH209" i="13"/>
  <c r="AI209" i="13"/>
  <c r="AJ209" i="13"/>
  <c r="AK209" i="13"/>
  <c r="AL209" i="13"/>
  <c r="AM209" i="13"/>
  <c r="AN209" i="13"/>
  <c r="AO209" i="13"/>
  <c r="AP209" i="13"/>
  <c r="AQ209" i="13"/>
  <c r="AR209" i="13"/>
  <c r="AS209" i="13"/>
  <c r="AT209" i="13"/>
  <c r="AU209" i="13"/>
  <c r="AV209" i="13"/>
  <c r="AW209" i="13"/>
  <c r="AX209" i="13"/>
  <c r="AY209" i="13"/>
  <c r="AZ209" i="13"/>
  <c r="BA209" i="13"/>
  <c r="BB209" i="13"/>
  <c r="BC209" i="13"/>
  <c r="BD209" i="13"/>
  <c r="BE209" i="13"/>
  <c r="BF209" i="13"/>
  <c r="BG209" i="13"/>
  <c r="BH209" i="13"/>
  <c r="BI209" i="13"/>
  <c r="BJ209" i="13"/>
  <c r="BK209" i="13"/>
  <c r="BL209" i="13"/>
  <c r="BM209" i="13"/>
  <c r="BN209" i="13"/>
  <c r="BO209" i="13"/>
  <c r="A210" i="13"/>
  <c r="B210" i="13"/>
  <c r="C210" i="13"/>
  <c r="D210" i="13"/>
  <c r="E210" i="13"/>
  <c r="F210" i="13"/>
  <c r="G210" i="13"/>
  <c r="H210" i="13"/>
  <c r="I210" i="13"/>
  <c r="J210" i="13"/>
  <c r="K210" i="13"/>
  <c r="L210" i="13"/>
  <c r="M210" i="13"/>
  <c r="N210" i="13"/>
  <c r="O210" i="13"/>
  <c r="P210" i="13"/>
  <c r="Q210" i="13"/>
  <c r="R210" i="13"/>
  <c r="S210" i="13"/>
  <c r="T210" i="13"/>
  <c r="U210" i="13"/>
  <c r="V210" i="13"/>
  <c r="W210" i="13"/>
  <c r="X210" i="13"/>
  <c r="Y210" i="13"/>
  <c r="Z210" i="13"/>
  <c r="AA210" i="13"/>
  <c r="AB210" i="13"/>
  <c r="AC210" i="13"/>
  <c r="AD210" i="13"/>
  <c r="AE210" i="13"/>
  <c r="AF210" i="13"/>
  <c r="AG210" i="13"/>
  <c r="AH210" i="13"/>
  <c r="AI210" i="13"/>
  <c r="AJ210" i="13"/>
  <c r="AK210" i="13"/>
  <c r="AL210" i="13"/>
  <c r="AM210" i="13"/>
  <c r="AN210" i="13"/>
  <c r="AO210" i="13"/>
  <c r="AP210" i="13"/>
  <c r="AQ210" i="13"/>
  <c r="AR210" i="13"/>
  <c r="AS210" i="13"/>
  <c r="AT210" i="13"/>
  <c r="AU210" i="13"/>
  <c r="AV210" i="13"/>
  <c r="AW210" i="13"/>
  <c r="AX210" i="13"/>
  <c r="AY210" i="13"/>
  <c r="AZ210" i="13"/>
  <c r="BA210" i="13"/>
  <c r="BB210" i="13"/>
  <c r="BC210" i="13"/>
  <c r="BD210" i="13"/>
  <c r="BE210" i="13"/>
  <c r="BF210" i="13"/>
  <c r="BG210" i="13"/>
  <c r="BH210" i="13"/>
  <c r="BI210" i="13"/>
  <c r="BJ210" i="13"/>
  <c r="BK210" i="13"/>
  <c r="BL210" i="13"/>
  <c r="BM210" i="13"/>
  <c r="BN210" i="13"/>
  <c r="BO210" i="13"/>
  <c r="A211" i="13"/>
  <c r="B211" i="13"/>
  <c r="C211" i="13"/>
  <c r="D211" i="13"/>
  <c r="E211" i="13"/>
  <c r="F211" i="13"/>
  <c r="G211" i="13"/>
  <c r="H211" i="13"/>
  <c r="I211" i="13"/>
  <c r="J211" i="13"/>
  <c r="K211" i="13"/>
  <c r="L211" i="13"/>
  <c r="M211" i="13"/>
  <c r="N211" i="13"/>
  <c r="O211" i="13"/>
  <c r="P211" i="13"/>
  <c r="Q211" i="13"/>
  <c r="R211" i="13"/>
  <c r="S211" i="13"/>
  <c r="T211" i="13"/>
  <c r="U211" i="13"/>
  <c r="V211" i="13"/>
  <c r="W211" i="13"/>
  <c r="X211" i="13"/>
  <c r="Y211" i="13"/>
  <c r="Z211" i="13"/>
  <c r="AA211" i="13"/>
  <c r="AB211" i="13"/>
  <c r="AC211" i="13"/>
  <c r="AD211" i="13"/>
  <c r="AE211" i="13"/>
  <c r="AF211" i="13"/>
  <c r="AG211" i="13"/>
  <c r="AH211" i="13"/>
  <c r="AI211" i="13"/>
  <c r="AJ211" i="13"/>
  <c r="AK211" i="13"/>
  <c r="AL211" i="13"/>
  <c r="AM211" i="13"/>
  <c r="AN211" i="13"/>
  <c r="AO211" i="13"/>
  <c r="AP211" i="13"/>
  <c r="AQ211" i="13"/>
  <c r="AR211" i="13"/>
  <c r="AS211" i="13"/>
  <c r="AT211" i="13"/>
  <c r="AU211" i="13"/>
  <c r="AV211" i="13"/>
  <c r="AW211" i="13"/>
  <c r="AX211" i="13"/>
  <c r="AY211" i="13"/>
  <c r="AZ211" i="13"/>
  <c r="BA211" i="13"/>
  <c r="BB211" i="13"/>
  <c r="BC211" i="13"/>
  <c r="BD211" i="13"/>
  <c r="BE211" i="13"/>
  <c r="BF211" i="13"/>
  <c r="BG211" i="13"/>
  <c r="BH211" i="13"/>
  <c r="BI211" i="13"/>
  <c r="BJ211" i="13"/>
  <c r="BK211" i="13"/>
  <c r="BL211" i="13"/>
  <c r="BM211" i="13"/>
  <c r="BN211" i="13"/>
  <c r="BO211" i="13"/>
  <c r="A212" i="13"/>
  <c r="B212" i="13"/>
  <c r="C212" i="13"/>
  <c r="D212" i="13"/>
  <c r="E212" i="13"/>
  <c r="F212" i="13"/>
  <c r="G212" i="13"/>
  <c r="H212" i="13"/>
  <c r="I212" i="13"/>
  <c r="J212" i="13"/>
  <c r="K212" i="13"/>
  <c r="L212" i="13"/>
  <c r="M212" i="13"/>
  <c r="N212" i="13"/>
  <c r="O212" i="13"/>
  <c r="P212" i="13"/>
  <c r="Q212" i="13"/>
  <c r="R212" i="13"/>
  <c r="S212" i="13"/>
  <c r="T212" i="13"/>
  <c r="U212" i="13"/>
  <c r="V212" i="13"/>
  <c r="W212" i="13"/>
  <c r="X212" i="13"/>
  <c r="Y212" i="13"/>
  <c r="Z212" i="13"/>
  <c r="AA212" i="13"/>
  <c r="AB212" i="13"/>
  <c r="AC212" i="13"/>
  <c r="AD212" i="13"/>
  <c r="AE212" i="13"/>
  <c r="AF212" i="13"/>
  <c r="AG212" i="13"/>
  <c r="AH212" i="13"/>
  <c r="AI212" i="13"/>
  <c r="AJ212" i="13"/>
  <c r="AK212" i="13"/>
  <c r="AL212" i="13"/>
  <c r="AM212" i="13"/>
  <c r="AN212" i="13"/>
  <c r="AO212" i="13"/>
  <c r="AP212" i="13"/>
  <c r="AQ212" i="13"/>
  <c r="AR212" i="13"/>
  <c r="AS212" i="13"/>
  <c r="AT212" i="13"/>
  <c r="AU212" i="13"/>
  <c r="AV212" i="13"/>
  <c r="AW212" i="13"/>
  <c r="AX212" i="13"/>
  <c r="AY212" i="13"/>
  <c r="AZ212" i="13"/>
  <c r="BA212" i="13"/>
  <c r="BB212" i="13"/>
  <c r="BC212" i="13"/>
  <c r="BD212" i="13"/>
  <c r="BE212" i="13"/>
  <c r="BF212" i="13"/>
  <c r="BG212" i="13"/>
  <c r="BH212" i="13"/>
  <c r="BI212" i="13"/>
  <c r="BJ212" i="13"/>
  <c r="BK212" i="13"/>
  <c r="BL212" i="13"/>
  <c r="BM212" i="13"/>
  <c r="BN212" i="13"/>
  <c r="BO212" i="13"/>
  <c r="A213" i="13"/>
  <c r="B213" i="13"/>
  <c r="C213" i="13"/>
  <c r="D213" i="13"/>
  <c r="E213" i="13"/>
  <c r="F213" i="13"/>
  <c r="G213" i="13"/>
  <c r="H213" i="13"/>
  <c r="I213" i="13"/>
  <c r="J213" i="13"/>
  <c r="K213" i="13"/>
  <c r="L213" i="13"/>
  <c r="M213" i="13"/>
  <c r="N213" i="13"/>
  <c r="O213" i="13"/>
  <c r="P213" i="13"/>
  <c r="Q213" i="13"/>
  <c r="R213" i="13"/>
  <c r="S213" i="13"/>
  <c r="T213" i="13"/>
  <c r="U213" i="13"/>
  <c r="V213" i="13"/>
  <c r="W213" i="13"/>
  <c r="X213" i="13"/>
  <c r="Y213" i="13"/>
  <c r="Z213" i="13"/>
  <c r="AA213" i="13"/>
  <c r="AB213" i="13"/>
  <c r="AC213" i="13"/>
  <c r="AD213" i="13"/>
  <c r="AE213" i="13"/>
  <c r="AF213" i="13"/>
  <c r="BQ213" i="13" s="1"/>
  <c r="AG213" i="13"/>
  <c r="AH213" i="13"/>
  <c r="AI213" i="13"/>
  <c r="AJ213" i="13"/>
  <c r="AK213" i="13"/>
  <c r="AL213" i="13"/>
  <c r="AM213" i="13"/>
  <c r="AN213" i="13"/>
  <c r="AO213" i="13"/>
  <c r="AP213" i="13"/>
  <c r="AQ213" i="13"/>
  <c r="AR213" i="13"/>
  <c r="AS213" i="13"/>
  <c r="AT213" i="13"/>
  <c r="AU213" i="13"/>
  <c r="AV213" i="13"/>
  <c r="AW213" i="13"/>
  <c r="AX213" i="13"/>
  <c r="AY213" i="13"/>
  <c r="AZ213" i="13"/>
  <c r="BA213" i="13"/>
  <c r="BB213" i="13"/>
  <c r="BC213" i="13"/>
  <c r="BD213" i="13"/>
  <c r="BE213" i="13"/>
  <c r="BF213" i="13"/>
  <c r="BG213" i="13"/>
  <c r="BH213" i="13"/>
  <c r="BI213" i="13"/>
  <c r="BJ213" i="13"/>
  <c r="BK213" i="13"/>
  <c r="BL213" i="13"/>
  <c r="BM213" i="13"/>
  <c r="BN213" i="13"/>
  <c r="BO213" i="13"/>
  <c r="A214" i="13"/>
  <c r="B214" i="13"/>
  <c r="C214" i="13"/>
  <c r="D214" i="13"/>
  <c r="E214" i="13"/>
  <c r="F214" i="13"/>
  <c r="G214" i="13"/>
  <c r="H214" i="13"/>
  <c r="I214" i="13"/>
  <c r="J214" i="13"/>
  <c r="K214" i="13"/>
  <c r="L214" i="13"/>
  <c r="M214" i="13"/>
  <c r="N214" i="13"/>
  <c r="O214" i="13"/>
  <c r="P214" i="13"/>
  <c r="Q214" i="13"/>
  <c r="R214" i="13"/>
  <c r="S214" i="13"/>
  <c r="T214" i="13"/>
  <c r="U214" i="13"/>
  <c r="V214" i="13"/>
  <c r="W214" i="13"/>
  <c r="X214" i="13"/>
  <c r="Y214" i="13"/>
  <c r="Z214" i="13"/>
  <c r="AA214" i="13"/>
  <c r="AB214" i="13"/>
  <c r="AC214" i="13"/>
  <c r="AD214" i="13"/>
  <c r="AE214" i="13"/>
  <c r="AF214" i="13"/>
  <c r="BQ214" i="13" s="1"/>
  <c r="AG214" i="13"/>
  <c r="AH214" i="13"/>
  <c r="AI214" i="13"/>
  <c r="AJ214" i="13"/>
  <c r="AK214" i="13"/>
  <c r="AL214" i="13"/>
  <c r="AM214" i="13"/>
  <c r="AN214" i="13"/>
  <c r="AO214" i="13"/>
  <c r="AP214" i="13"/>
  <c r="AQ214" i="13"/>
  <c r="AR214" i="13"/>
  <c r="AS214" i="13"/>
  <c r="AT214" i="13"/>
  <c r="AU214" i="13"/>
  <c r="AV214" i="13"/>
  <c r="AW214" i="13"/>
  <c r="AX214" i="13"/>
  <c r="AY214" i="13"/>
  <c r="AZ214" i="13"/>
  <c r="BA214" i="13"/>
  <c r="BB214" i="13"/>
  <c r="BC214" i="13"/>
  <c r="BD214" i="13"/>
  <c r="BE214" i="13"/>
  <c r="BF214" i="13"/>
  <c r="BG214" i="13"/>
  <c r="BH214" i="13"/>
  <c r="BI214" i="13"/>
  <c r="BJ214" i="13"/>
  <c r="BK214" i="13"/>
  <c r="BL214" i="13"/>
  <c r="BM214" i="13"/>
  <c r="BN214" i="13"/>
  <c r="BO214" i="13"/>
  <c r="A215" i="13"/>
  <c r="B215" i="13"/>
  <c r="C215" i="13"/>
  <c r="D215" i="13"/>
  <c r="E215" i="13"/>
  <c r="F215" i="13"/>
  <c r="G215" i="13"/>
  <c r="H215" i="13"/>
  <c r="I215" i="13"/>
  <c r="J215" i="13"/>
  <c r="K215" i="13"/>
  <c r="L215" i="13"/>
  <c r="M215" i="13"/>
  <c r="N215" i="13"/>
  <c r="O215" i="13"/>
  <c r="P215" i="13"/>
  <c r="Q215" i="13"/>
  <c r="R215" i="13"/>
  <c r="S215" i="13"/>
  <c r="T215" i="13"/>
  <c r="U215" i="13"/>
  <c r="V215" i="13"/>
  <c r="W215" i="13"/>
  <c r="X215" i="13"/>
  <c r="Y215" i="13"/>
  <c r="Z215" i="13"/>
  <c r="AA215" i="13"/>
  <c r="AB215" i="13"/>
  <c r="AC215" i="13"/>
  <c r="AD215" i="13"/>
  <c r="AE215" i="13"/>
  <c r="AF215" i="13"/>
  <c r="AG215" i="13"/>
  <c r="AH215" i="13"/>
  <c r="AI215" i="13"/>
  <c r="AJ215" i="13"/>
  <c r="AK215" i="13"/>
  <c r="AL215" i="13"/>
  <c r="AM215" i="13"/>
  <c r="AN215" i="13"/>
  <c r="AO215" i="13"/>
  <c r="AP215" i="13"/>
  <c r="AQ215" i="13"/>
  <c r="AR215" i="13"/>
  <c r="AS215" i="13"/>
  <c r="AT215" i="13"/>
  <c r="AU215" i="13"/>
  <c r="AV215" i="13"/>
  <c r="AW215" i="13"/>
  <c r="AX215" i="13"/>
  <c r="AY215" i="13"/>
  <c r="AZ215" i="13"/>
  <c r="BA215" i="13"/>
  <c r="BB215" i="13"/>
  <c r="BC215" i="13"/>
  <c r="BD215" i="13"/>
  <c r="BE215" i="13"/>
  <c r="BF215" i="13"/>
  <c r="BG215" i="13"/>
  <c r="BH215" i="13"/>
  <c r="BI215" i="13"/>
  <c r="BJ215" i="13"/>
  <c r="BK215" i="13"/>
  <c r="BL215" i="13"/>
  <c r="BM215" i="13"/>
  <c r="BN215" i="13"/>
  <c r="BO215" i="13"/>
  <c r="A216" i="13"/>
  <c r="B216" i="13"/>
  <c r="C216" i="13"/>
  <c r="D216" i="13"/>
  <c r="E216" i="13"/>
  <c r="F216" i="13"/>
  <c r="G216" i="13"/>
  <c r="H216" i="13"/>
  <c r="I216" i="13"/>
  <c r="J216" i="13"/>
  <c r="K216" i="13"/>
  <c r="L216" i="13"/>
  <c r="M216" i="13"/>
  <c r="N216" i="13"/>
  <c r="O216" i="13"/>
  <c r="P216" i="13"/>
  <c r="Q216" i="13"/>
  <c r="R216" i="13"/>
  <c r="S216" i="13"/>
  <c r="T216" i="13"/>
  <c r="U216" i="13"/>
  <c r="V216" i="13"/>
  <c r="W216" i="13"/>
  <c r="X216" i="13"/>
  <c r="Y216" i="13"/>
  <c r="Z216" i="13"/>
  <c r="AA216" i="13"/>
  <c r="AB216" i="13"/>
  <c r="AC216" i="13"/>
  <c r="AD216" i="13"/>
  <c r="AE216" i="13"/>
  <c r="AF216" i="13"/>
  <c r="AG216" i="13"/>
  <c r="AH216" i="13"/>
  <c r="AI216" i="13"/>
  <c r="AJ216" i="13"/>
  <c r="AK216" i="13"/>
  <c r="AL216" i="13"/>
  <c r="AM216" i="13"/>
  <c r="AN216" i="13"/>
  <c r="AO216" i="13"/>
  <c r="AP216" i="13"/>
  <c r="AQ216" i="13"/>
  <c r="AR216" i="13"/>
  <c r="AS216" i="13"/>
  <c r="AT216" i="13"/>
  <c r="AU216" i="13"/>
  <c r="AV216" i="13"/>
  <c r="AW216" i="13"/>
  <c r="AX216" i="13"/>
  <c r="AY216" i="13"/>
  <c r="AZ216" i="13"/>
  <c r="BA216" i="13"/>
  <c r="BB216" i="13"/>
  <c r="BC216" i="13"/>
  <c r="BD216" i="13"/>
  <c r="BE216" i="13"/>
  <c r="BF216" i="13"/>
  <c r="BG216" i="13"/>
  <c r="BH216" i="13"/>
  <c r="BI216" i="13"/>
  <c r="BJ216" i="13"/>
  <c r="BK216" i="13"/>
  <c r="BL216" i="13"/>
  <c r="BM216" i="13"/>
  <c r="BN216" i="13"/>
  <c r="BO216" i="13"/>
  <c r="A217" i="13"/>
  <c r="B217" i="13"/>
  <c r="C217" i="13"/>
  <c r="D217" i="13"/>
  <c r="E217" i="13"/>
  <c r="F217" i="13"/>
  <c r="G217" i="13"/>
  <c r="H217" i="13"/>
  <c r="I217" i="13"/>
  <c r="J217" i="13"/>
  <c r="K217" i="13"/>
  <c r="L217" i="13"/>
  <c r="M217" i="13"/>
  <c r="N217" i="13"/>
  <c r="O217" i="13"/>
  <c r="P217" i="13"/>
  <c r="Q217" i="13"/>
  <c r="R217" i="13"/>
  <c r="S217" i="13"/>
  <c r="T217" i="13"/>
  <c r="U217" i="13"/>
  <c r="V217" i="13"/>
  <c r="W217" i="13"/>
  <c r="X217" i="13"/>
  <c r="Y217" i="13"/>
  <c r="Z217" i="13"/>
  <c r="AA217" i="13"/>
  <c r="AB217" i="13"/>
  <c r="AC217" i="13"/>
  <c r="AD217" i="13"/>
  <c r="AE217" i="13"/>
  <c r="AF217" i="13"/>
  <c r="BQ217" i="13" s="1"/>
  <c r="AG217" i="13"/>
  <c r="AH217" i="13"/>
  <c r="AI217" i="13"/>
  <c r="AJ217" i="13"/>
  <c r="AK217" i="13"/>
  <c r="AL217" i="13"/>
  <c r="AM217" i="13"/>
  <c r="AN217" i="13"/>
  <c r="AO217" i="13"/>
  <c r="AP217" i="13"/>
  <c r="AQ217" i="13"/>
  <c r="AR217" i="13"/>
  <c r="AS217" i="13"/>
  <c r="AT217" i="13"/>
  <c r="AU217" i="13"/>
  <c r="AV217" i="13"/>
  <c r="AW217" i="13"/>
  <c r="AX217" i="13"/>
  <c r="AY217" i="13"/>
  <c r="AZ217" i="13"/>
  <c r="BA217" i="13"/>
  <c r="BB217" i="13"/>
  <c r="BC217" i="13"/>
  <c r="BD217" i="13"/>
  <c r="BE217" i="13"/>
  <c r="BF217" i="13"/>
  <c r="BG217" i="13"/>
  <c r="BH217" i="13"/>
  <c r="BI217" i="13"/>
  <c r="BJ217" i="13"/>
  <c r="BK217" i="13"/>
  <c r="BL217" i="13"/>
  <c r="BM217" i="13"/>
  <c r="BN217" i="13"/>
  <c r="BO217" i="13"/>
  <c r="A218" i="13"/>
  <c r="B218" i="13"/>
  <c r="C218" i="13"/>
  <c r="D218" i="13"/>
  <c r="E218" i="13"/>
  <c r="F218" i="13"/>
  <c r="G218" i="13"/>
  <c r="H218" i="13"/>
  <c r="I218" i="13"/>
  <c r="J218" i="13"/>
  <c r="K218" i="13"/>
  <c r="L218" i="13"/>
  <c r="M218" i="13"/>
  <c r="N218" i="13"/>
  <c r="O218" i="13"/>
  <c r="P218" i="13"/>
  <c r="Q218" i="13"/>
  <c r="R218" i="13"/>
  <c r="S218" i="13"/>
  <c r="T218" i="13"/>
  <c r="U218" i="13"/>
  <c r="V218" i="13"/>
  <c r="W218" i="13"/>
  <c r="X218" i="13"/>
  <c r="Y218" i="13"/>
  <c r="Z218" i="13"/>
  <c r="AA218" i="13"/>
  <c r="AB218" i="13"/>
  <c r="AC218" i="13"/>
  <c r="AD218" i="13"/>
  <c r="AE218" i="13"/>
  <c r="AF218" i="13"/>
  <c r="BQ218" i="13" s="1"/>
  <c r="AG218" i="13"/>
  <c r="AH218" i="13"/>
  <c r="AI218" i="13"/>
  <c r="AJ218" i="13"/>
  <c r="AK218" i="13"/>
  <c r="AL218" i="13"/>
  <c r="AM218" i="13"/>
  <c r="AN218" i="13"/>
  <c r="AO218" i="13"/>
  <c r="AP218" i="13"/>
  <c r="AQ218" i="13"/>
  <c r="AR218" i="13"/>
  <c r="AS218" i="13"/>
  <c r="AT218" i="13"/>
  <c r="AU218" i="13"/>
  <c r="AV218" i="13"/>
  <c r="AW218" i="13"/>
  <c r="AX218" i="13"/>
  <c r="AY218" i="13"/>
  <c r="AZ218" i="13"/>
  <c r="BA218" i="13"/>
  <c r="BB218" i="13"/>
  <c r="BC218" i="13"/>
  <c r="BD218" i="13"/>
  <c r="BE218" i="13"/>
  <c r="BF218" i="13"/>
  <c r="BG218" i="13"/>
  <c r="BH218" i="13"/>
  <c r="BI218" i="13"/>
  <c r="BJ218" i="13"/>
  <c r="BK218" i="13"/>
  <c r="BL218" i="13"/>
  <c r="BM218" i="13"/>
  <c r="BN218" i="13"/>
  <c r="BO218" i="13"/>
  <c r="A219" i="13"/>
  <c r="B219" i="13"/>
  <c r="C219" i="13"/>
  <c r="D219" i="13"/>
  <c r="E219" i="13"/>
  <c r="F219" i="13"/>
  <c r="G219" i="13"/>
  <c r="H219" i="13"/>
  <c r="I219" i="13"/>
  <c r="J219" i="13"/>
  <c r="K219" i="13"/>
  <c r="L219" i="13"/>
  <c r="M219" i="13"/>
  <c r="N219" i="13"/>
  <c r="O219" i="13"/>
  <c r="P219" i="13"/>
  <c r="Q219" i="13"/>
  <c r="R219" i="13"/>
  <c r="S219" i="13"/>
  <c r="T219" i="13"/>
  <c r="U219" i="13"/>
  <c r="V219" i="13"/>
  <c r="W219" i="13"/>
  <c r="X219" i="13"/>
  <c r="Y219" i="13"/>
  <c r="Z219" i="13"/>
  <c r="AA219" i="13"/>
  <c r="AB219" i="13"/>
  <c r="AC219" i="13"/>
  <c r="AD219" i="13"/>
  <c r="AE219" i="13"/>
  <c r="AF219" i="13"/>
  <c r="AG219" i="13"/>
  <c r="AH219" i="13"/>
  <c r="AI219" i="13"/>
  <c r="AJ219" i="13"/>
  <c r="AK219" i="13"/>
  <c r="AL219" i="13"/>
  <c r="AM219" i="13"/>
  <c r="AN219" i="13"/>
  <c r="AO219" i="13"/>
  <c r="AP219" i="13"/>
  <c r="AQ219" i="13"/>
  <c r="AR219" i="13"/>
  <c r="AS219" i="13"/>
  <c r="AT219" i="13"/>
  <c r="AU219" i="13"/>
  <c r="AV219" i="13"/>
  <c r="AW219" i="13"/>
  <c r="AX219" i="13"/>
  <c r="AY219" i="13"/>
  <c r="AZ219" i="13"/>
  <c r="BA219" i="13"/>
  <c r="BB219" i="13"/>
  <c r="BC219" i="13"/>
  <c r="BD219" i="13"/>
  <c r="BE219" i="13"/>
  <c r="BF219" i="13"/>
  <c r="BG219" i="13"/>
  <c r="BH219" i="13"/>
  <c r="BI219" i="13"/>
  <c r="BJ219" i="13"/>
  <c r="BK219" i="13"/>
  <c r="BL219" i="13"/>
  <c r="BM219" i="13"/>
  <c r="BN219" i="13"/>
  <c r="BO219" i="13"/>
  <c r="A220" i="13"/>
  <c r="B220" i="13"/>
  <c r="C220" i="13"/>
  <c r="D220" i="13"/>
  <c r="E220" i="13"/>
  <c r="F220" i="13"/>
  <c r="G220" i="13"/>
  <c r="H220" i="13"/>
  <c r="I220" i="13"/>
  <c r="J220" i="13"/>
  <c r="K220" i="13"/>
  <c r="L220" i="13"/>
  <c r="M220" i="13"/>
  <c r="N220" i="13"/>
  <c r="O220" i="13"/>
  <c r="P220" i="13"/>
  <c r="Q220" i="13"/>
  <c r="R220" i="13"/>
  <c r="S220" i="13"/>
  <c r="T220" i="13"/>
  <c r="U220" i="13"/>
  <c r="V220" i="13"/>
  <c r="W220" i="13"/>
  <c r="X220" i="13"/>
  <c r="Y220" i="13"/>
  <c r="Z220" i="13"/>
  <c r="AA220" i="13"/>
  <c r="AB220" i="13"/>
  <c r="AC220" i="13"/>
  <c r="AD220" i="13"/>
  <c r="AE220" i="13"/>
  <c r="AF220" i="13"/>
  <c r="AG220" i="13"/>
  <c r="AH220" i="13"/>
  <c r="AI220" i="13"/>
  <c r="AJ220" i="13"/>
  <c r="AK220" i="13"/>
  <c r="AL220" i="13"/>
  <c r="AM220" i="13"/>
  <c r="AN220" i="13"/>
  <c r="AO220" i="13"/>
  <c r="AP220" i="13"/>
  <c r="AQ220" i="13"/>
  <c r="AR220" i="13"/>
  <c r="AS220" i="13"/>
  <c r="AT220" i="13"/>
  <c r="AU220" i="13"/>
  <c r="AV220" i="13"/>
  <c r="AW220" i="13"/>
  <c r="AX220" i="13"/>
  <c r="AY220" i="13"/>
  <c r="AZ220" i="13"/>
  <c r="BA220" i="13"/>
  <c r="BB220" i="13"/>
  <c r="BC220" i="13"/>
  <c r="BD220" i="13"/>
  <c r="BE220" i="13"/>
  <c r="BF220" i="13"/>
  <c r="BG220" i="13"/>
  <c r="BH220" i="13"/>
  <c r="BI220" i="13"/>
  <c r="BJ220" i="13"/>
  <c r="BK220" i="13"/>
  <c r="BL220" i="13"/>
  <c r="BM220" i="13"/>
  <c r="BN220" i="13"/>
  <c r="BO220" i="13"/>
  <c r="A221" i="13"/>
  <c r="B221" i="13"/>
  <c r="C221" i="13"/>
  <c r="D221" i="13"/>
  <c r="E221" i="13"/>
  <c r="F221" i="13"/>
  <c r="G221" i="13"/>
  <c r="H221" i="13"/>
  <c r="I221" i="13"/>
  <c r="J221" i="13"/>
  <c r="K221" i="13"/>
  <c r="L221" i="13"/>
  <c r="M221" i="13"/>
  <c r="N221" i="13"/>
  <c r="O221" i="13"/>
  <c r="P221" i="13"/>
  <c r="Q221" i="13"/>
  <c r="R221" i="13"/>
  <c r="S221" i="13"/>
  <c r="T221" i="13"/>
  <c r="U221" i="13"/>
  <c r="V221" i="13"/>
  <c r="W221" i="13"/>
  <c r="X221" i="13"/>
  <c r="Y221" i="13"/>
  <c r="Z221" i="13"/>
  <c r="AA221" i="13"/>
  <c r="AB221" i="13"/>
  <c r="AC221" i="13"/>
  <c r="AD221" i="13"/>
  <c r="AE221" i="13"/>
  <c r="AF221" i="13"/>
  <c r="BQ221" i="13" s="1"/>
  <c r="AG221" i="13"/>
  <c r="AH221" i="13"/>
  <c r="AI221" i="13"/>
  <c r="AJ221" i="13"/>
  <c r="AK221" i="13"/>
  <c r="AL221" i="13"/>
  <c r="AM221" i="13"/>
  <c r="AN221" i="13"/>
  <c r="AO221" i="13"/>
  <c r="AP221" i="13"/>
  <c r="AQ221" i="13"/>
  <c r="AR221" i="13"/>
  <c r="AS221" i="13"/>
  <c r="AT221" i="13"/>
  <c r="AU221" i="13"/>
  <c r="AV221" i="13"/>
  <c r="AW221" i="13"/>
  <c r="AX221" i="13"/>
  <c r="AY221" i="13"/>
  <c r="AZ221" i="13"/>
  <c r="BA221" i="13"/>
  <c r="BB221" i="13"/>
  <c r="BC221" i="13"/>
  <c r="BD221" i="13"/>
  <c r="BE221" i="13"/>
  <c r="BF221" i="13"/>
  <c r="BG221" i="13"/>
  <c r="BH221" i="13"/>
  <c r="BI221" i="13"/>
  <c r="BJ221" i="13"/>
  <c r="BK221" i="13"/>
  <c r="BL221" i="13"/>
  <c r="BM221" i="13"/>
  <c r="BN221" i="13"/>
  <c r="BO221" i="13"/>
  <c r="A222" i="13"/>
  <c r="B222" i="13"/>
  <c r="C222" i="13"/>
  <c r="D222" i="13"/>
  <c r="E222" i="13"/>
  <c r="F222" i="13"/>
  <c r="G222" i="13"/>
  <c r="H222" i="13"/>
  <c r="I222" i="13"/>
  <c r="J222" i="13"/>
  <c r="K222" i="13"/>
  <c r="L222" i="13"/>
  <c r="M222" i="13"/>
  <c r="N222" i="13"/>
  <c r="O222" i="13"/>
  <c r="P222" i="13"/>
  <c r="Q222" i="13"/>
  <c r="R222" i="13"/>
  <c r="S222" i="13"/>
  <c r="T222" i="13"/>
  <c r="U222" i="13"/>
  <c r="V222" i="13"/>
  <c r="W222" i="13"/>
  <c r="X222" i="13"/>
  <c r="Y222" i="13"/>
  <c r="Z222" i="13"/>
  <c r="AA222" i="13"/>
  <c r="AB222" i="13"/>
  <c r="AC222" i="13"/>
  <c r="AD222" i="13"/>
  <c r="AE222" i="13"/>
  <c r="AF222" i="13"/>
  <c r="AG222" i="13"/>
  <c r="AH222" i="13"/>
  <c r="AI222" i="13"/>
  <c r="AJ222" i="13"/>
  <c r="AK222" i="13"/>
  <c r="AL222" i="13"/>
  <c r="AM222" i="13"/>
  <c r="AN222" i="13"/>
  <c r="AO222" i="13"/>
  <c r="AP222" i="13"/>
  <c r="AQ222" i="13"/>
  <c r="AR222" i="13"/>
  <c r="AS222" i="13"/>
  <c r="AT222" i="13"/>
  <c r="AU222" i="13"/>
  <c r="AV222" i="13"/>
  <c r="AW222" i="13"/>
  <c r="AX222" i="13"/>
  <c r="AY222" i="13"/>
  <c r="AZ222" i="13"/>
  <c r="BA222" i="13"/>
  <c r="BB222" i="13"/>
  <c r="BC222" i="13"/>
  <c r="BD222" i="13"/>
  <c r="BE222" i="13"/>
  <c r="BF222" i="13"/>
  <c r="BG222" i="13"/>
  <c r="BH222" i="13"/>
  <c r="BI222" i="13"/>
  <c r="BJ222" i="13"/>
  <c r="BK222" i="13"/>
  <c r="BL222" i="13"/>
  <c r="BM222" i="13"/>
  <c r="BN222" i="13"/>
  <c r="BO222" i="13"/>
  <c r="A223" i="13"/>
  <c r="B223" i="13"/>
  <c r="C223" i="13"/>
  <c r="D223" i="13"/>
  <c r="E223" i="13"/>
  <c r="F223" i="13"/>
  <c r="G223" i="13"/>
  <c r="H223" i="13"/>
  <c r="I223" i="13"/>
  <c r="J223" i="13"/>
  <c r="K223" i="13"/>
  <c r="L223" i="13"/>
  <c r="M223" i="13"/>
  <c r="N223" i="13"/>
  <c r="O223" i="13"/>
  <c r="P223" i="13"/>
  <c r="Q223" i="13"/>
  <c r="R223" i="13"/>
  <c r="S223" i="13"/>
  <c r="T223" i="13"/>
  <c r="U223" i="13"/>
  <c r="V223" i="13"/>
  <c r="W223" i="13"/>
  <c r="X223" i="13"/>
  <c r="Y223" i="13"/>
  <c r="Z223" i="13"/>
  <c r="AA223" i="13"/>
  <c r="AB223" i="13"/>
  <c r="AC223" i="13"/>
  <c r="AD223" i="13"/>
  <c r="AE223" i="13"/>
  <c r="AF223" i="13"/>
  <c r="AG223" i="13"/>
  <c r="AH223" i="13"/>
  <c r="AI223" i="13"/>
  <c r="AJ223" i="13"/>
  <c r="AK223" i="13"/>
  <c r="AL223" i="13"/>
  <c r="AM223" i="13"/>
  <c r="AN223" i="13"/>
  <c r="AO223" i="13"/>
  <c r="AP223" i="13"/>
  <c r="AQ223" i="13"/>
  <c r="AR223" i="13"/>
  <c r="AS223" i="13"/>
  <c r="AT223" i="13"/>
  <c r="AU223" i="13"/>
  <c r="AV223" i="13"/>
  <c r="AW223" i="13"/>
  <c r="AX223" i="13"/>
  <c r="AY223" i="13"/>
  <c r="AZ223" i="13"/>
  <c r="BA223" i="13"/>
  <c r="BB223" i="13"/>
  <c r="BC223" i="13"/>
  <c r="BD223" i="13"/>
  <c r="BE223" i="13"/>
  <c r="BF223" i="13"/>
  <c r="BG223" i="13"/>
  <c r="BH223" i="13"/>
  <c r="BI223" i="13"/>
  <c r="BJ223" i="13"/>
  <c r="BK223" i="13"/>
  <c r="BL223" i="13"/>
  <c r="BM223" i="13"/>
  <c r="BN223" i="13"/>
  <c r="BO223" i="13"/>
  <c r="A224" i="13"/>
  <c r="B224" i="13"/>
  <c r="C224" i="13"/>
  <c r="D224" i="13"/>
  <c r="E224" i="13"/>
  <c r="F224" i="13"/>
  <c r="G224" i="13"/>
  <c r="H224" i="13"/>
  <c r="I224" i="13"/>
  <c r="J224" i="13"/>
  <c r="K224" i="13"/>
  <c r="L224" i="13"/>
  <c r="M224" i="13"/>
  <c r="N224" i="13"/>
  <c r="O224" i="13"/>
  <c r="P224" i="13"/>
  <c r="Q224" i="13"/>
  <c r="R224" i="13"/>
  <c r="S224" i="13"/>
  <c r="T224" i="13"/>
  <c r="U224" i="13"/>
  <c r="V224" i="13"/>
  <c r="W224" i="13"/>
  <c r="X224" i="13"/>
  <c r="Y224" i="13"/>
  <c r="Z224" i="13"/>
  <c r="AA224" i="13"/>
  <c r="AB224" i="13"/>
  <c r="AC224" i="13"/>
  <c r="AD224" i="13"/>
  <c r="AE224" i="13"/>
  <c r="AF224" i="13"/>
  <c r="AG224" i="13"/>
  <c r="AH224" i="13"/>
  <c r="AI224" i="13"/>
  <c r="AJ224" i="13"/>
  <c r="AK224" i="13"/>
  <c r="AL224" i="13"/>
  <c r="AM224" i="13"/>
  <c r="AN224" i="13"/>
  <c r="AO224" i="13"/>
  <c r="AP224" i="13"/>
  <c r="AQ224" i="13"/>
  <c r="AR224" i="13"/>
  <c r="AS224" i="13"/>
  <c r="AT224" i="13"/>
  <c r="AU224" i="13"/>
  <c r="AV224" i="13"/>
  <c r="AW224" i="13"/>
  <c r="AX224" i="13"/>
  <c r="AY224" i="13"/>
  <c r="AZ224" i="13"/>
  <c r="BA224" i="13"/>
  <c r="BB224" i="13"/>
  <c r="BC224" i="13"/>
  <c r="BD224" i="13"/>
  <c r="BE224" i="13"/>
  <c r="BF224" i="13"/>
  <c r="BG224" i="13"/>
  <c r="BH224" i="13"/>
  <c r="BI224" i="13"/>
  <c r="BJ224" i="13"/>
  <c r="BK224" i="13"/>
  <c r="BL224" i="13"/>
  <c r="BM224" i="13"/>
  <c r="BN224" i="13"/>
  <c r="BO224" i="13"/>
  <c r="A225" i="13"/>
  <c r="B225" i="13"/>
  <c r="C225" i="13"/>
  <c r="D225" i="13"/>
  <c r="E225" i="13"/>
  <c r="F225" i="13"/>
  <c r="G225" i="13"/>
  <c r="H225" i="13"/>
  <c r="I225" i="13"/>
  <c r="J225" i="13"/>
  <c r="K225" i="13"/>
  <c r="L225" i="13"/>
  <c r="M225" i="13"/>
  <c r="N225" i="13"/>
  <c r="O225" i="13"/>
  <c r="P225" i="13"/>
  <c r="Q225" i="13"/>
  <c r="R225" i="13"/>
  <c r="S225" i="13"/>
  <c r="T225" i="13"/>
  <c r="U225" i="13"/>
  <c r="V225" i="13"/>
  <c r="W225" i="13"/>
  <c r="X225" i="13"/>
  <c r="Y225" i="13"/>
  <c r="Z225" i="13"/>
  <c r="AA225" i="13"/>
  <c r="AB225" i="13"/>
  <c r="AC225" i="13"/>
  <c r="AD225" i="13"/>
  <c r="AE225" i="13"/>
  <c r="AF225" i="13"/>
  <c r="BQ225" i="13" s="1"/>
  <c r="AG225" i="13"/>
  <c r="AH225" i="13"/>
  <c r="AI225" i="13"/>
  <c r="AJ225" i="13"/>
  <c r="AK225" i="13"/>
  <c r="AL225" i="13"/>
  <c r="AM225" i="13"/>
  <c r="AN225" i="13"/>
  <c r="AO225" i="13"/>
  <c r="AP225" i="13"/>
  <c r="AQ225" i="13"/>
  <c r="AR225" i="13"/>
  <c r="AS225" i="13"/>
  <c r="AT225" i="13"/>
  <c r="AU225" i="13"/>
  <c r="AV225" i="13"/>
  <c r="AW225" i="13"/>
  <c r="AX225" i="13"/>
  <c r="AY225" i="13"/>
  <c r="AZ225" i="13"/>
  <c r="BA225" i="13"/>
  <c r="BB225" i="13"/>
  <c r="BC225" i="13"/>
  <c r="BD225" i="13"/>
  <c r="BE225" i="13"/>
  <c r="BF225" i="13"/>
  <c r="BG225" i="13"/>
  <c r="BH225" i="13"/>
  <c r="BI225" i="13"/>
  <c r="BJ225" i="13"/>
  <c r="BK225" i="13"/>
  <c r="BL225" i="13"/>
  <c r="BM225" i="13"/>
  <c r="BN225" i="13"/>
  <c r="BO225" i="13"/>
  <c r="A226" i="13"/>
  <c r="B226" i="13"/>
  <c r="C226" i="13"/>
  <c r="D226" i="13"/>
  <c r="E226" i="13"/>
  <c r="F226" i="13"/>
  <c r="G226" i="13"/>
  <c r="H226" i="13"/>
  <c r="I226" i="13"/>
  <c r="J226" i="13"/>
  <c r="K226" i="13"/>
  <c r="L226" i="13"/>
  <c r="M226" i="13"/>
  <c r="N226" i="13"/>
  <c r="O226" i="13"/>
  <c r="P226" i="13"/>
  <c r="Q226" i="13"/>
  <c r="R226" i="13"/>
  <c r="S226" i="13"/>
  <c r="T226" i="13"/>
  <c r="U226" i="13"/>
  <c r="V226" i="13"/>
  <c r="W226" i="13"/>
  <c r="X226" i="13"/>
  <c r="Y226" i="13"/>
  <c r="Z226" i="13"/>
  <c r="AA226" i="13"/>
  <c r="AB226" i="13"/>
  <c r="AC226" i="13"/>
  <c r="AD226" i="13"/>
  <c r="AE226" i="13"/>
  <c r="AF226" i="13"/>
  <c r="BQ226" i="13" s="1"/>
  <c r="AG226" i="13"/>
  <c r="AH226" i="13"/>
  <c r="AI226" i="13"/>
  <c r="AJ226" i="13"/>
  <c r="AK226" i="13"/>
  <c r="AL226" i="13"/>
  <c r="AM226" i="13"/>
  <c r="AN226" i="13"/>
  <c r="AO226" i="13"/>
  <c r="AP226" i="13"/>
  <c r="AQ226" i="13"/>
  <c r="AR226" i="13"/>
  <c r="AS226" i="13"/>
  <c r="AT226" i="13"/>
  <c r="AU226" i="13"/>
  <c r="AV226" i="13"/>
  <c r="AW226" i="13"/>
  <c r="AX226" i="13"/>
  <c r="AY226" i="13"/>
  <c r="AZ226" i="13"/>
  <c r="BA226" i="13"/>
  <c r="BB226" i="13"/>
  <c r="BC226" i="13"/>
  <c r="BD226" i="13"/>
  <c r="BE226" i="13"/>
  <c r="BF226" i="13"/>
  <c r="BG226" i="13"/>
  <c r="BH226" i="13"/>
  <c r="BI226" i="13"/>
  <c r="BJ226" i="13"/>
  <c r="BK226" i="13"/>
  <c r="BL226" i="13"/>
  <c r="BM226" i="13"/>
  <c r="BN226" i="13"/>
  <c r="BO226" i="13"/>
  <c r="A227" i="13"/>
  <c r="B227" i="13"/>
  <c r="C227" i="13"/>
  <c r="D227" i="13"/>
  <c r="E227" i="13"/>
  <c r="F227" i="13"/>
  <c r="G227" i="13"/>
  <c r="H227" i="13"/>
  <c r="I227" i="13"/>
  <c r="J227" i="13"/>
  <c r="K227" i="13"/>
  <c r="L227" i="13"/>
  <c r="M227" i="13"/>
  <c r="N227" i="13"/>
  <c r="O227" i="13"/>
  <c r="P227" i="13"/>
  <c r="Q227" i="13"/>
  <c r="R227" i="13"/>
  <c r="S227" i="13"/>
  <c r="T227" i="13"/>
  <c r="U227" i="13"/>
  <c r="V227" i="13"/>
  <c r="W227" i="13"/>
  <c r="X227" i="13"/>
  <c r="Y227" i="13"/>
  <c r="Z227" i="13"/>
  <c r="AA227" i="13"/>
  <c r="AB227" i="13"/>
  <c r="AC227" i="13"/>
  <c r="AD227" i="13"/>
  <c r="AE227" i="13"/>
  <c r="AF227" i="13"/>
  <c r="AG227" i="13"/>
  <c r="AH227" i="13"/>
  <c r="AI227" i="13"/>
  <c r="AJ227" i="13"/>
  <c r="AK227" i="13"/>
  <c r="AL227" i="13"/>
  <c r="AM227" i="13"/>
  <c r="AN227" i="13"/>
  <c r="AO227" i="13"/>
  <c r="AP227" i="13"/>
  <c r="AQ227" i="13"/>
  <c r="AR227" i="13"/>
  <c r="AS227" i="13"/>
  <c r="AT227" i="13"/>
  <c r="AU227" i="13"/>
  <c r="AV227" i="13"/>
  <c r="AW227" i="13"/>
  <c r="AX227" i="13"/>
  <c r="AY227" i="13"/>
  <c r="AZ227" i="13"/>
  <c r="BA227" i="13"/>
  <c r="BB227" i="13"/>
  <c r="BC227" i="13"/>
  <c r="BD227" i="13"/>
  <c r="BE227" i="13"/>
  <c r="BF227" i="13"/>
  <c r="BG227" i="13"/>
  <c r="BH227" i="13"/>
  <c r="BI227" i="13"/>
  <c r="BJ227" i="13"/>
  <c r="BK227" i="13"/>
  <c r="BL227" i="13"/>
  <c r="BM227" i="13"/>
  <c r="BN227" i="13"/>
  <c r="BO227" i="13"/>
  <c r="A228" i="13"/>
  <c r="B228" i="13"/>
  <c r="C228" i="13"/>
  <c r="D228" i="13"/>
  <c r="E228" i="13"/>
  <c r="F228" i="13"/>
  <c r="G228" i="13"/>
  <c r="H228" i="13"/>
  <c r="I228" i="13"/>
  <c r="J228" i="13"/>
  <c r="K228" i="13"/>
  <c r="L228" i="13"/>
  <c r="M228" i="13"/>
  <c r="N228" i="13"/>
  <c r="O228" i="13"/>
  <c r="P228" i="13"/>
  <c r="Q228" i="13"/>
  <c r="R228" i="13"/>
  <c r="S228" i="13"/>
  <c r="T228" i="13"/>
  <c r="U228" i="13"/>
  <c r="V228" i="13"/>
  <c r="W228" i="13"/>
  <c r="X228" i="13"/>
  <c r="Y228" i="13"/>
  <c r="Z228" i="13"/>
  <c r="AA228" i="13"/>
  <c r="AB228" i="13"/>
  <c r="AC228" i="13"/>
  <c r="AD228" i="13"/>
  <c r="AE228" i="13"/>
  <c r="AF228" i="13"/>
  <c r="AG228" i="13"/>
  <c r="AH228" i="13"/>
  <c r="AI228" i="13"/>
  <c r="AJ228" i="13"/>
  <c r="AK228" i="13"/>
  <c r="AL228" i="13"/>
  <c r="AM228" i="13"/>
  <c r="AN228" i="13"/>
  <c r="AO228" i="13"/>
  <c r="AP228" i="13"/>
  <c r="AQ228" i="13"/>
  <c r="AR228" i="13"/>
  <c r="AS228" i="13"/>
  <c r="AT228" i="13"/>
  <c r="AU228" i="13"/>
  <c r="AV228" i="13"/>
  <c r="AW228" i="13"/>
  <c r="AX228" i="13"/>
  <c r="AY228" i="13"/>
  <c r="AZ228" i="13"/>
  <c r="BA228" i="13"/>
  <c r="BB228" i="13"/>
  <c r="BC228" i="13"/>
  <c r="BD228" i="13"/>
  <c r="BE228" i="13"/>
  <c r="BF228" i="13"/>
  <c r="BG228" i="13"/>
  <c r="BH228" i="13"/>
  <c r="BI228" i="13"/>
  <c r="BJ228" i="13"/>
  <c r="BK228" i="13"/>
  <c r="BL228" i="13"/>
  <c r="BM228" i="13"/>
  <c r="BN228" i="13"/>
  <c r="BO228" i="13"/>
  <c r="A229" i="13"/>
  <c r="B229" i="13"/>
  <c r="C229" i="13"/>
  <c r="D229" i="13"/>
  <c r="E229" i="13"/>
  <c r="F229" i="13"/>
  <c r="G229" i="13"/>
  <c r="H229" i="13"/>
  <c r="I229" i="13"/>
  <c r="J229" i="13"/>
  <c r="K229" i="13"/>
  <c r="L229" i="13"/>
  <c r="M229" i="13"/>
  <c r="N229" i="13"/>
  <c r="O229" i="13"/>
  <c r="P229" i="13"/>
  <c r="Q229" i="13"/>
  <c r="R229" i="13"/>
  <c r="S229" i="13"/>
  <c r="T229" i="13"/>
  <c r="U229" i="13"/>
  <c r="V229" i="13"/>
  <c r="W229" i="13"/>
  <c r="X229" i="13"/>
  <c r="Y229" i="13"/>
  <c r="Z229" i="13"/>
  <c r="AA229" i="13"/>
  <c r="AB229" i="13"/>
  <c r="AC229" i="13"/>
  <c r="AD229" i="13"/>
  <c r="AE229" i="13"/>
  <c r="AF229" i="13"/>
  <c r="BQ229" i="13" s="1"/>
  <c r="AG229" i="13"/>
  <c r="AH229" i="13"/>
  <c r="AI229" i="13"/>
  <c r="AJ229" i="13"/>
  <c r="AK229" i="13"/>
  <c r="AL229" i="13"/>
  <c r="AM229" i="13"/>
  <c r="AN229" i="13"/>
  <c r="AO229" i="13"/>
  <c r="AP229" i="13"/>
  <c r="AQ229" i="13"/>
  <c r="AR229" i="13"/>
  <c r="AS229" i="13"/>
  <c r="AT229" i="13"/>
  <c r="AU229" i="13"/>
  <c r="AV229" i="13"/>
  <c r="AW229" i="13"/>
  <c r="AX229" i="13"/>
  <c r="AY229" i="13"/>
  <c r="AZ229" i="13"/>
  <c r="BA229" i="13"/>
  <c r="BB229" i="13"/>
  <c r="BC229" i="13"/>
  <c r="BD229" i="13"/>
  <c r="BE229" i="13"/>
  <c r="BF229" i="13"/>
  <c r="BG229" i="13"/>
  <c r="BH229" i="13"/>
  <c r="BI229" i="13"/>
  <c r="BJ229" i="13"/>
  <c r="BK229" i="13"/>
  <c r="BL229" i="13"/>
  <c r="BM229" i="13"/>
  <c r="BN229" i="13"/>
  <c r="BO229" i="13"/>
  <c r="A230" i="13"/>
  <c r="B230" i="13"/>
  <c r="C230" i="13"/>
  <c r="D230" i="13"/>
  <c r="E230" i="13"/>
  <c r="F230" i="13"/>
  <c r="G230" i="13"/>
  <c r="H230" i="13"/>
  <c r="I230" i="13"/>
  <c r="J230" i="13"/>
  <c r="K230" i="13"/>
  <c r="L230" i="13"/>
  <c r="M230" i="13"/>
  <c r="N230" i="13"/>
  <c r="O230" i="13"/>
  <c r="P230" i="13"/>
  <c r="Q230" i="13"/>
  <c r="R230" i="13"/>
  <c r="S230" i="13"/>
  <c r="T230" i="13"/>
  <c r="U230" i="13"/>
  <c r="V230" i="13"/>
  <c r="W230" i="13"/>
  <c r="X230" i="13"/>
  <c r="Y230" i="13"/>
  <c r="Z230" i="13"/>
  <c r="AA230" i="13"/>
  <c r="AB230" i="13"/>
  <c r="AC230" i="13"/>
  <c r="AD230" i="13"/>
  <c r="AE230" i="13"/>
  <c r="AF230" i="13"/>
  <c r="BQ230" i="13" s="1"/>
  <c r="AG230" i="13"/>
  <c r="AH230" i="13"/>
  <c r="AI230" i="13"/>
  <c r="AJ230" i="13"/>
  <c r="AK230" i="13"/>
  <c r="AL230" i="13"/>
  <c r="AM230" i="13"/>
  <c r="AN230" i="13"/>
  <c r="AO230" i="13"/>
  <c r="AP230" i="13"/>
  <c r="AQ230" i="13"/>
  <c r="AR230" i="13"/>
  <c r="AS230" i="13"/>
  <c r="AT230" i="13"/>
  <c r="AU230" i="13"/>
  <c r="AV230" i="13"/>
  <c r="AW230" i="13"/>
  <c r="AX230" i="13"/>
  <c r="AY230" i="13"/>
  <c r="AZ230" i="13"/>
  <c r="BA230" i="13"/>
  <c r="BB230" i="13"/>
  <c r="BC230" i="13"/>
  <c r="BD230" i="13"/>
  <c r="BE230" i="13"/>
  <c r="BF230" i="13"/>
  <c r="BG230" i="13"/>
  <c r="BH230" i="13"/>
  <c r="BI230" i="13"/>
  <c r="BJ230" i="13"/>
  <c r="BK230" i="13"/>
  <c r="BL230" i="13"/>
  <c r="BM230" i="13"/>
  <c r="BN230" i="13"/>
  <c r="BO230" i="13"/>
  <c r="A231" i="13"/>
  <c r="B231" i="13"/>
  <c r="C231" i="13"/>
  <c r="D231" i="13"/>
  <c r="E231" i="13"/>
  <c r="F231" i="13"/>
  <c r="G231" i="13"/>
  <c r="H231" i="13"/>
  <c r="I231" i="13"/>
  <c r="J231" i="13"/>
  <c r="K231" i="13"/>
  <c r="L231" i="13"/>
  <c r="M231" i="13"/>
  <c r="N231" i="13"/>
  <c r="O231" i="13"/>
  <c r="P231" i="13"/>
  <c r="Q231" i="13"/>
  <c r="R231" i="13"/>
  <c r="S231" i="13"/>
  <c r="T231" i="13"/>
  <c r="U231" i="13"/>
  <c r="V231" i="13"/>
  <c r="W231" i="13"/>
  <c r="X231" i="13"/>
  <c r="Y231" i="13"/>
  <c r="Z231" i="13"/>
  <c r="AA231" i="13"/>
  <c r="AB231" i="13"/>
  <c r="AC231" i="13"/>
  <c r="AD231" i="13"/>
  <c r="AE231" i="13"/>
  <c r="AF231" i="13"/>
  <c r="AG231" i="13"/>
  <c r="AH231" i="13"/>
  <c r="AI231" i="13"/>
  <c r="AJ231" i="13"/>
  <c r="AK231" i="13"/>
  <c r="AL231" i="13"/>
  <c r="AM231" i="13"/>
  <c r="AN231" i="13"/>
  <c r="AO231" i="13"/>
  <c r="AP231" i="13"/>
  <c r="AQ231" i="13"/>
  <c r="AR231" i="13"/>
  <c r="AS231" i="13"/>
  <c r="AT231" i="13"/>
  <c r="AU231" i="13"/>
  <c r="AV231" i="13"/>
  <c r="AW231" i="13"/>
  <c r="AX231" i="13"/>
  <c r="AY231" i="13"/>
  <c r="AZ231" i="13"/>
  <c r="BA231" i="13"/>
  <c r="BB231" i="13"/>
  <c r="BC231" i="13"/>
  <c r="BD231" i="13"/>
  <c r="BE231" i="13"/>
  <c r="BF231" i="13"/>
  <c r="BG231" i="13"/>
  <c r="BH231" i="13"/>
  <c r="BI231" i="13"/>
  <c r="BJ231" i="13"/>
  <c r="BK231" i="13"/>
  <c r="BL231" i="13"/>
  <c r="BM231" i="13"/>
  <c r="BN231" i="13"/>
  <c r="BO231" i="13"/>
  <c r="A232" i="13"/>
  <c r="B232" i="13"/>
  <c r="C232" i="13"/>
  <c r="D232" i="13"/>
  <c r="E232" i="13"/>
  <c r="F232" i="13"/>
  <c r="G232" i="13"/>
  <c r="H232" i="13"/>
  <c r="I232" i="13"/>
  <c r="J232" i="13"/>
  <c r="K232" i="13"/>
  <c r="L232" i="13"/>
  <c r="M232" i="13"/>
  <c r="N232" i="13"/>
  <c r="O232" i="13"/>
  <c r="P232" i="13"/>
  <c r="Q232" i="13"/>
  <c r="R232" i="13"/>
  <c r="S232" i="13"/>
  <c r="T232" i="13"/>
  <c r="U232" i="13"/>
  <c r="V232" i="13"/>
  <c r="W232" i="13"/>
  <c r="X232" i="13"/>
  <c r="Y232" i="13"/>
  <c r="Z232" i="13"/>
  <c r="AA232" i="13"/>
  <c r="AB232" i="13"/>
  <c r="AC232" i="13"/>
  <c r="AD232" i="13"/>
  <c r="AE232" i="13"/>
  <c r="AF232" i="13"/>
  <c r="AG232" i="13"/>
  <c r="AH232" i="13"/>
  <c r="AI232" i="13"/>
  <c r="AJ232" i="13"/>
  <c r="AK232" i="13"/>
  <c r="AL232" i="13"/>
  <c r="AM232" i="13"/>
  <c r="AN232" i="13"/>
  <c r="AO232" i="13"/>
  <c r="AP232" i="13"/>
  <c r="AQ232" i="13"/>
  <c r="AR232" i="13"/>
  <c r="AS232" i="13"/>
  <c r="AT232" i="13"/>
  <c r="AU232" i="13"/>
  <c r="AV232" i="13"/>
  <c r="AW232" i="13"/>
  <c r="AX232" i="13"/>
  <c r="AY232" i="13"/>
  <c r="AZ232" i="13"/>
  <c r="BA232" i="13"/>
  <c r="BB232" i="13"/>
  <c r="BC232" i="13"/>
  <c r="BD232" i="13"/>
  <c r="BE232" i="13"/>
  <c r="BF232" i="13"/>
  <c r="BG232" i="13"/>
  <c r="BH232" i="13"/>
  <c r="BI232" i="13"/>
  <c r="BJ232" i="13"/>
  <c r="BK232" i="13"/>
  <c r="BL232" i="13"/>
  <c r="BM232" i="13"/>
  <c r="BN232" i="13"/>
  <c r="BO232" i="13"/>
  <c r="A233" i="13"/>
  <c r="B233" i="13"/>
  <c r="C233" i="13"/>
  <c r="D233" i="13"/>
  <c r="E233" i="13"/>
  <c r="F233" i="13"/>
  <c r="G233" i="13"/>
  <c r="H233" i="13"/>
  <c r="I233" i="13"/>
  <c r="J233" i="13"/>
  <c r="K233" i="13"/>
  <c r="L233" i="13"/>
  <c r="M233" i="13"/>
  <c r="N233" i="13"/>
  <c r="O233" i="13"/>
  <c r="P233" i="13"/>
  <c r="Q233" i="13"/>
  <c r="R233" i="13"/>
  <c r="S233" i="13"/>
  <c r="T233" i="13"/>
  <c r="U233" i="13"/>
  <c r="V233" i="13"/>
  <c r="W233" i="13"/>
  <c r="X233" i="13"/>
  <c r="Y233" i="13"/>
  <c r="Z233" i="13"/>
  <c r="AA233" i="13"/>
  <c r="AB233" i="13"/>
  <c r="AC233" i="13"/>
  <c r="AD233" i="13"/>
  <c r="AE233" i="13"/>
  <c r="AF233" i="13"/>
  <c r="BQ233" i="13" s="1"/>
  <c r="AG233" i="13"/>
  <c r="AH233" i="13"/>
  <c r="AI233" i="13"/>
  <c r="AJ233" i="13"/>
  <c r="AK233" i="13"/>
  <c r="AL233" i="13"/>
  <c r="AM233" i="13"/>
  <c r="AN233" i="13"/>
  <c r="AO233" i="13"/>
  <c r="AP233" i="13"/>
  <c r="AQ233" i="13"/>
  <c r="AR233" i="13"/>
  <c r="AS233" i="13"/>
  <c r="AT233" i="13"/>
  <c r="AU233" i="13"/>
  <c r="AV233" i="13"/>
  <c r="AW233" i="13"/>
  <c r="AX233" i="13"/>
  <c r="AY233" i="13"/>
  <c r="AZ233" i="13"/>
  <c r="BA233" i="13"/>
  <c r="BB233" i="13"/>
  <c r="BC233" i="13"/>
  <c r="BD233" i="13"/>
  <c r="BE233" i="13"/>
  <c r="BF233" i="13"/>
  <c r="BG233" i="13"/>
  <c r="BH233" i="13"/>
  <c r="BI233" i="13"/>
  <c r="BJ233" i="13"/>
  <c r="BK233" i="13"/>
  <c r="BL233" i="13"/>
  <c r="BM233" i="13"/>
  <c r="BN233" i="13"/>
  <c r="BO233" i="13"/>
  <c r="A234" i="13"/>
  <c r="B234" i="13"/>
  <c r="C234" i="13"/>
  <c r="D234" i="13"/>
  <c r="E234" i="13"/>
  <c r="F234" i="13"/>
  <c r="G234" i="13"/>
  <c r="H234" i="13"/>
  <c r="I234" i="13"/>
  <c r="J234" i="13"/>
  <c r="K234" i="13"/>
  <c r="L234" i="13"/>
  <c r="M234" i="13"/>
  <c r="N234" i="13"/>
  <c r="O234" i="13"/>
  <c r="P234" i="13"/>
  <c r="Q234" i="13"/>
  <c r="R234" i="13"/>
  <c r="S234" i="13"/>
  <c r="T234" i="13"/>
  <c r="U234" i="13"/>
  <c r="V234" i="13"/>
  <c r="W234" i="13"/>
  <c r="X234" i="13"/>
  <c r="Y234" i="13"/>
  <c r="Z234" i="13"/>
  <c r="AA234" i="13"/>
  <c r="AB234" i="13"/>
  <c r="AC234" i="13"/>
  <c r="AD234" i="13"/>
  <c r="AE234" i="13"/>
  <c r="AF234" i="13"/>
  <c r="BQ234" i="13" s="1"/>
  <c r="AG234" i="13"/>
  <c r="AH234" i="13"/>
  <c r="AI234" i="13"/>
  <c r="AJ234" i="13"/>
  <c r="AK234" i="13"/>
  <c r="AL234" i="13"/>
  <c r="AM234" i="13"/>
  <c r="AN234" i="13"/>
  <c r="AO234" i="13"/>
  <c r="AP234" i="13"/>
  <c r="AQ234" i="13"/>
  <c r="AR234" i="13"/>
  <c r="AS234" i="13"/>
  <c r="AT234" i="13"/>
  <c r="AU234" i="13"/>
  <c r="AV234" i="13"/>
  <c r="AW234" i="13"/>
  <c r="AX234" i="13"/>
  <c r="AY234" i="13"/>
  <c r="AZ234" i="13"/>
  <c r="BA234" i="13"/>
  <c r="BB234" i="13"/>
  <c r="BC234" i="13"/>
  <c r="BD234" i="13"/>
  <c r="BE234" i="13"/>
  <c r="BF234" i="13"/>
  <c r="BG234" i="13"/>
  <c r="BH234" i="13"/>
  <c r="BI234" i="13"/>
  <c r="BJ234" i="13"/>
  <c r="BK234" i="13"/>
  <c r="BL234" i="13"/>
  <c r="BM234" i="13"/>
  <c r="BN234" i="13"/>
  <c r="BO234" i="13"/>
  <c r="A235" i="13"/>
  <c r="B235" i="13"/>
  <c r="C235" i="13"/>
  <c r="D235" i="13"/>
  <c r="E235" i="13"/>
  <c r="F235" i="13"/>
  <c r="G235" i="13"/>
  <c r="H235" i="13"/>
  <c r="I235" i="13"/>
  <c r="J235" i="13"/>
  <c r="K235" i="13"/>
  <c r="L235" i="13"/>
  <c r="M235" i="13"/>
  <c r="N235" i="13"/>
  <c r="O235" i="13"/>
  <c r="P235" i="13"/>
  <c r="Q235" i="13"/>
  <c r="R235" i="13"/>
  <c r="S235" i="13"/>
  <c r="T235" i="13"/>
  <c r="U235" i="13"/>
  <c r="V235" i="13"/>
  <c r="W235" i="13"/>
  <c r="X235" i="13"/>
  <c r="Y235" i="13"/>
  <c r="Z235" i="13"/>
  <c r="AA235" i="13"/>
  <c r="AB235" i="13"/>
  <c r="AC235" i="13"/>
  <c r="AD235" i="13"/>
  <c r="AE235" i="13"/>
  <c r="AF235" i="13"/>
  <c r="AG235" i="13"/>
  <c r="AH235" i="13"/>
  <c r="AI235" i="13"/>
  <c r="AJ235" i="13"/>
  <c r="AK235" i="13"/>
  <c r="AL235" i="13"/>
  <c r="AM235" i="13"/>
  <c r="AN235" i="13"/>
  <c r="AO235" i="13"/>
  <c r="AP235" i="13"/>
  <c r="AQ235" i="13"/>
  <c r="AR235" i="13"/>
  <c r="AS235" i="13"/>
  <c r="AT235" i="13"/>
  <c r="AU235" i="13"/>
  <c r="AV235" i="13"/>
  <c r="AW235" i="13"/>
  <c r="AX235" i="13"/>
  <c r="AY235" i="13"/>
  <c r="AZ235" i="13"/>
  <c r="BA235" i="13"/>
  <c r="BB235" i="13"/>
  <c r="BC235" i="13"/>
  <c r="BD235" i="13"/>
  <c r="BE235" i="13"/>
  <c r="BF235" i="13"/>
  <c r="BG235" i="13"/>
  <c r="BH235" i="13"/>
  <c r="BI235" i="13"/>
  <c r="BJ235" i="13"/>
  <c r="BK235" i="13"/>
  <c r="BL235" i="13"/>
  <c r="BM235" i="13"/>
  <c r="BN235" i="13"/>
  <c r="BO235" i="13"/>
  <c r="A236" i="13"/>
  <c r="B236" i="13"/>
  <c r="C236" i="13"/>
  <c r="D236" i="13"/>
  <c r="E236" i="13"/>
  <c r="F236" i="13"/>
  <c r="G236" i="13"/>
  <c r="H236" i="13"/>
  <c r="I236" i="13"/>
  <c r="J236" i="13"/>
  <c r="K236" i="13"/>
  <c r="L236" i="13"/>
  <c r="M236" i="13"/>
  <c r="N236" i="13"/>
  <c r="O236" i="13"/>
  <c r="P236" i="13"/>
  <c r="Q236" i="13"/>
  <c r="R236" i="13"/>
  <c r="S236" i="13"/>
  <c r="T236" i="13"/>
  <c r="U236" i="13"/>
  <c r="V236" i="13"/>
  <c r="W236" i="13"/>
  <c r="X236" i="13"/>
  <c r="Y236" i="13"/>
  <c r="Z236" i="13"/>
  <c r="AA236" i="13"/>
  <c r="AB236" i="13"/>
  <c r="AC236" i="13"/>
  <c r="AD236" i="13"/>
  <c r="AE236" i="13"/>
  <c r="AF236" i="13"/>
  <c r="AG236" i="13"/>
  <c r="AH236" i="13"/>
  <c r="AI236" i="13"/>
  <c r="AJ236" i="13"/>
  <c r="AK236" i="13"/>
  <c r="AL236" i="13"/>
  <c r="AM236" i="13"/>
  <c r="AN236" i="13"/>
  <c r="AO236" i="13"/>
  <c r="AP236" i="13"/>
  <c r="AQ236" i="13"/>
  <c r="AR236" i="13"/>
  <c r="AS236" i="13"/>
  <c r="AT236" i="13"/>
  <c r="AU236" i="13"/>
  <c r="AV236" i="13"/>
  <c r="AW236" i="13"/>
  <c r="AX236" i="13"/>
  <c r="AY236" i="13"/>
  <c r="AZ236" i="13"/>
  <c r="BA236" i="13"/>
  <c r="BB236" i="13"/>
  <c r="BC236" i="13"/>
  <c r="BD236" i="13"/>
  <c r="BE236" i="13"/>
  <c r="BF236" i="13"/>
  <c r="BG236" i="13"/>
  <c r="BH236" i="13"/>
  <c r="BI236" i="13"/>
  <c r="BJ236" i="13"/>
  <c r="BK236" i="13"/>
  <c r="BL236" i="13"/>
  <c r="BM236" i="13"/>
  <c r="BN236" i="13"/>
  <c r="BO236" i="13"/>
  <c r="A237" i="13"/>
  <c r="B237" i="13"/>
  <c r="C237" i="13"/>
  <c r="D237" i="13"/>
  <c r="E237" i="13"/>
  <c r="F237" i="13"/>
  <c r="G237" i="13"/>
  <c r="H237" i="13"/>
  <c r="I237" i="13"/>
  <c r="J237" i="13"/>
  <c r="K237" i="13"/>
  <c r="L237" i="13"/>
  <c r="M237" i="13"/>
  <c r="N237" i="13"/>
  <c r="O237" i="13"/>
  <c r="P237" i="13"/>
  <c r="Q237" i="13"/>
  <c r="R237" i="13"/>
  <c r="S237" i="13"/>
  <c r="T237" i="13"/>
  <c r="U237" i="13"/>
  <c r="V237" i="13"/>
  <c r="W237" i="13"/>
  <c r="X237" i="13"/>
  <c r="Y237" i="13"/>
  <c r="Z237" i="13"/>
  <c r="AA237" i="13"/>
  <c r="AB237" i="13"/>
  <c r="AC237" i="13"/>
  <c r="AD237" i="13"/>
  <c r="AE237" i="13"/>
  <c r="AF237" i="13"/>
  <c r="BQ237" i="13" s="1"/>
  <c r="AG237" i="13"/>
  <c r="AH237" i="13"/>
  <c r="AI237" i="13"/>
  <c r="AJ237" i="13"/>
  <c r="AK237" i="13"/>
  <c r="AL237" i="13"/>
  <c r="AM237" i="13"/>
  <c r="AN237" i="13"/>
  <c r="AO237" i="13"/>
  <c r="AP237" i="13"/>
  <c r="AQ237" i="13"/>
  <c r="AR237" i="13"/>
  <c r="AS237" i="13"/>
  <c r="AT237" i="13"/>
  <c r="AU237" i="13"/>
  <c r="AV237" i="13"/>
  <c r="AW237" i="13"/>
  <c r="AX237" i="13"/>
  <c r="AY237" i="13"/>
  <c r="AZ237" i="13"/>
  <c r="BA237" i="13"/>
  <c r="BB237" i="13"/>
  <c r="BC237" i="13"/>
  <c r="BD237" i="13"/>
  <c r="BE237" i="13"/>
  <c r="BF237" i="13"/>
  <c r="BG237" i="13"/>
  <c r="BH237" i="13"/>
  <c r="BI237" i="13"/>
  <c r="BJ237" i="13"/>
  <c r="BK237" i="13"/>
  <c r="BL237" i="13"/>
  <c r="BM237" i="13"/>
  <c r="BN237" i="13"/>
  <c r="BO237" i="13"/>
  <c r="A238" i="13"/>
  <c r="B238" i="13"/>
  <c r="C238" i="13"/>
  <c r="D238" i="13"/>
  <c r="E238" i="13"/>
  <c r="F238" i="13"/>
  <c r="G238" i="13"/>
  <c r="H238" i="13"/>
  <c r="I238" i="13"/>
  <c r="J238" i="13"/>
  <c r="K238" i="13"/>
  <c r="L238" i="13"/>
  <c r="M238" i="13"/>
  <c r="N238" i="13"/>
  <c r="O238" i="13"/>
  <c r="P238" i="13"/>
  <c r="Q238" i="13"/>
  <c r="R238" i="13"/>
  <c r="S238" i="13"/>
  <c r="T238" i="13"/>
  <c r="U238" i="13"/>
  <c r="V238" i="13"/>
  <c r="W238" i="13"/>
  <c r="X238" i="13"/>
  <c r="Y238" i="13"/>
  <c r="Z238" i="13"/>
  <c r="AA238" i="13"/>
  <c r="AB238" i="13"/>
  <c r="AC238" i="13"/>
  <c r="AD238" i="13"/>
  <c r="AE238" i="13"/>
  <c r="AF238" i="13"/>
  <c r="BQ238" i="13" s="1"/>
  <c r="AG238" i="13"/>
  <c r="AH238" i="13"/>
  <c r="AI238" i="13"/>
  <c r="AJ238" i="13"/>
  <c r="AK238" i="13"/>
  <c r="AL238" i="13"/>
  <c r="AM238" i="13"/>
  <c r="AN238" i="13"/>
  <c r="AO238" i="13"/>
  <c r="AP238" i="13"/>
  <c r="AQ238" i="13"/>
  <c r="AR238" i="13"/>
  <c r="AS238" i="13"/>
  <c r="AT238" i="13"/>
  <c r="AU238" i="13"/>
  <c r="AV238" i="13"/>
  <c r="AW238" i="13"/>
  <c r="AX238" i="13"/>
  <c r="AY238" i="13"/>
  <c r="AZ238" i="13"/>
  <c r="BA238" i="13"/>
  <c r="BB238" i="13"/>
  <c r="BC238" i="13"/>
  <c r="BD238" i="13"/>
  <c r="BE238" i="13"/>
  <c r="BF238" i="13"/>
  <c r="BG238" i="13"/>
  <c r="BH238" i="13"/>
  <c r="BI238" i="13"/>
  <c r="BJ238" i="13"/>
  <c r="BK238" i="13"/>
  <c r="BL238" i="13"/>
  <c r="BM238" i="13"/>
  <c r="BN238" i="13"/>
  <c r="BO238" i="13"/>
  <c r="A239" i="13"/>
  <c r="B239" i="13"/>
  <c r="C239" i="13"/>
  <c r="D239" i="13"/>
  <c r="E239" i="13"/>
  <c r="F239" i="13"/>
  <c r="G239" i="13"/>
  <c r="H239" i="13"/>
  <c r="I239" i="13"/>
  <c r="J239" i="13"/>
  <c r="K239" i="13"/>
  <c r="L239" i="13"/>
  <c r="M239" i="13"/>
  <c r="N239" i="13"/>
  <c r="O239" i="13"/>
  <c r="P239" i="13"/>
  <c r="Q239" i="13"/>
  <c r="R239" i="13"/>
  <c r="S239" i="13"/>
  <c r="T239" i="13"/>
  <c r="U239" i="13"/>
  <c r="V239" i="13"/>
  <c r="W239" i="13"/>
  <c r="X239" i="13"/>
  <c r="Y239" i="13"/>
  <c r="Z239" i="13"/>
  <c r="AA239" i="13"/>
  <c r="AB239" i="13"/>
  <c r="AC239" i="13"/>
  <c r="AD239" i="13"/>
  <c r="AE239" i="13"/>
  <c r="AF239" i="13"/>
  <c r="AG239" i="13"/>
  <c r="AH239" i="13"/>
  <c r="AI239" i="13"/>
  <c r="AJ239" i="13"/>
  <c r="AK239" i="13"/>
  <c r="AL239" i="13"/>
  <c r="AM239" i="13"/>
  <c r="AN239" i="13"/>
  <c r="AO239" i="13"/>
  <c r="AP239" i="13"/>
  <c r="AQ239" i="13"/>
  <c r="AR239" i="13"/>
  <c r="AS239" i="13"/>
  <c r="AT239" i="13"/>
  <c r="AU239" i="13"/>
  <c r="AV239" i="13"/>
  <c r="AW239" i="13"/>
  <c r="AX239" i="13"/>
  <c r="AY239" i="13"/>
  <c r="AZ239" i="13"/>
  <c r="BA239" i="13"/>
  <c r="BB239" i="13"/>
  <c r="BC239" i="13"/>
  <c r="BD239" i="13"/>
  <c r="BE239" i="13"/>
  <c r="BF239" i="13"/>
  <c r="BG239" i="13"/>
  <c r="BH239" i="13"/>
  <c r="BI239" i="13"/>
  <c r="BJ239" i="13"/>
  <c r="BK239" i="13"/>
  <c r="BL239" i="13"/>
  <c r="BM239" i="13"/>
  <c r="BN239" i="13"/>
  <c r="BO239" i="13"/>
  <c r="A240" i="13"/>
  <c r="B240" i="13"/>
  <c r="C240" i="13"/>
  <c r="D240" i="13"/>
  <c r="E240" i="13"/>
  <c r="F240" i="13"/>
  <c r="G240" i="13"/>
  <c r="H240" i="13"/>
  <c r="I240" i="13"/>
  <c r="J240" i="13"/>
  <c r="K240" i="13"/>
  <c r="L240" i="13"/>
  <c r="M240" i="13"/>
  <c r="N240" i="13"/>
  <c r="O240" i="13"/>
  <c r="P240" i="13"/>
  <c r="Q240" i="13"/>
  <c r="R240" i="13"/>
  <c r="S240" i="13"/>
  <c r="T240" i="13"/>
  <c r="U240" i="13"/>
  <c r="V240" i="13"/>
  <c r="W240" i="13"/>
  <c r="X240" i="13"/>
  <c r="Y240" i="13"/>
  <c r="Z240" i="13"/>
  <c r="AA240" i="13"/>
  <c r="AB240" i="13"/>
  <c r="AC240" i="13"/>
  <c r="AD240" i="13"/>
  <c r="AE240" i="13"/>
  <c r="AF240" i="13"/>
  <c r="AG240" i="13"/>
  <c r="AH240" i="13"/>
  <c r="AI240" i="13"/>
  <c r="AJ240" i="13"/>
  <c r="AK240" i="13"/>
  <c r="AL240" i="13"/>
  <c r="AM240" i="13"/>
  <c r="AN240" i="13"/>
  <c r="AO240" i="13"/>
  <c r="AP240" i="13"/>
  <c r="AQ240" i="13"/>
  <c r="AR240" i="13"/>
  <c r="AS240" i="13"/>
  <c r="AT240" i="13"/>
  <c r="AU240" i="13"/>
  <c r="AV240" i="13"/>
  <c r="AW240" i="13"/>
  <c r="AX240" i="13"/>
  <c r="AY240" i="13"/>
  <c r="AZ240" i="13"/>
  <c r="BA240" i="13"/>
  <c r="BB240" i="13"/>
  <c r="BC240" i="13"/>
  <c r="BD240" i="13"/>
  <c r="BE240" i="13"/>
  <c r="BF240" i="13"/>
  <c r="BG240" i="13"/>
  <c r="BH240" i="13"/>
  <c r="BI240" i="13"/>
  <c r="BJ240" i="13"/>
  <c r="BK240" i="13"/>
  <c r="BL240" i="13"/>
  <c r="BM240" i="13"/>
  <c r="BN240" i="13"/>
  <c r="BO240" i="13"/>
  <c r="A241" i="13"/>
  <c r="B241" i="13"/>
  <c r="C241" i="13"/>
  <c r="D241" i="13"/>
  <c r="E241" i="13"/>
  <c r="F241" i="13"/>
  <c r="G241" i="13"/>
  <c r="H241" i="13"/>
  <c r="I241" i="13"/>
  <c r="J241" i="13"/>
  <c r="K241" i="13"/>
  <c r="L241" i="13"/>
  <c r="M241" i="13"/>
  <c r="N241" i="13"/>
  <c r="O241" i="13"/>
  <c r="P241" i="13"/>
  <c r="Q241" i="13"/>
  <c r="R241" i="13"/>
  <c r="S241" i="13"/>
  <c r="T241" i="13"/>
  <c r="U241" i="13"/>
  <c r="V241" i="13"/>
  <c r="W241" i="13"/>
  <c r="X241" i="13"/>
  <c r="Y241" i="13"/>
  <c r="Z241" i="13"/>
  <c r="AA241" i="13"/>
  <c r="AB241" i="13"/>
  <c r="AC241" i="13"/>
  <c r="AD241" i="13"/>
  <c r="AE241" i="13"/>
  <c r="AF241" i="13"/>
  <c r="BQ241" i="13" s="1"/>
  <c r="AG241" i="13"/>
  <c r="AH241" i="13"/>
  <c r="AI241" i="13"/>
  <c r="AJ241" i="13"/>
  <c r="AK241" i="13"/>
  <c r="AL241" i="13"/>
  <c r="AM241" i="13"/>
  <c r="AN241" i="13"/>
  <c r="AO241" i="13"/>
  <c r="AP241" i="13"/>
  <c r="AQ241" i="13"/>
  <c r="AR241" i="13"/>
  <c r="AS241" i="13"/>
  <c r="AT241" i="13"/>
  <c r="AU241" i="13"/>
  <c r="AV241" i="13"/>
  <c r="AW241" i="13"/>
  <c r="AX241" i="13"/>
  <c r="AY241" i="13"/>
  <c r="AZ241" i="13"/>
  <c r="BA241" i="13"/>
  <c r="BB241" i="13"/>
  <c r="BC241" i="13"/>
  <c r="BD241" i="13"/>
  <c r="BE241" i="13"/>
  <c r="BF241" i="13"/>
  <c r="BG241" i="13"/>
  <c r="BH241" i="13"/>
  <c r="BI241" i="13"/>
  <c r="BJ241" i="13"/>
  <c r="BK241" i="13"/>
  <c r="BL241" i="13"/>
  <c r="BM241" i="13"/>
  <c r="BN241" i="13"/>
  <c r="BO241" i="13"/>
  <c r="A242" i="13"/>
  <c r="B242" i="13"/>
  <c r="C242" i="13"/>
  <c r="D242" i="13"/>
  <c r="E242" i="13"/>
  <c r="F242" i="13"/>
  <c r="G242" i="13"/>
  <c r="H242" i="13"/>
  <c r="I242" i="13"/>
  <c r="J242" i="13"/>
  <c r="K242" i="13"/>
  <c r="L242" i="13"/>
  <c r="M242" i="13"/>
  <c r="N242" i="13"/>
  <c r="O242" i="13"/>
  <c r="P242" i="13"/>
  <c r="Q242" i="13"/>
  <c r="R242" i="13"/>
  <c r="S242" i="13"/>
  <c r="T242" i="13"/>
  <c r="U242" i="13"/>
  <c r="V242" i="13"/>
  <c r="W242" i="13"/>
  <c r="X242" i="13"/>
  <c r="Y242" i="13"/>
  <c r="Z242" i="13"/>
  <c r="AA242" i="13"/>
  <c r="AB242" i="13"/>
  <c r="AC242" i="13"/>
  <c r="AD242" i="13"/>
  <c r="AE242" i="13"/>
  <c r="AF242" i="13"/>
  <c r="BQ242" i="13" s="1"/>
  <c r="AG242" i="13"/>
  <c r="AH242" i="13"/>
  <c r="AI242" i="13"/>
  <c r="AJ242" i="13"/>
  <c r="AK242" i="13"/>
  <c r="AL242" i="13"/>
  <c r="AM242" i="13"/>
  <c r="AN242" i="13"/>
  <c r="AO242" i="13"/>
  <c r="AP242" i="13"/>
  <c r="AQ242" i="13"/>
  <c r="AR242" i="13"/>
  <c r="AS242" i="13"/>
  <c r="AT242" i="13"/>
  <c r="AU242" i="13"/>
  <c r="AV242" i="13"/>
  <c r="AW242" i="13"/>
  <c r="AX242" i="13"/>
  <c r="AY242" i="13"/>
  <c r="AZ242" i="13"/>
  <c r="BA242" i="13"/>
  <c r="BB242" i="13"/>
  <c r="BC242" i="13"/>
  <c r="BD242" i="13"/>
  <c r="BE242" i="13"/>
  <c r="BF242" i="13"/>
  <c r="BG242" i="13"/>
  <c r="BH242" i="13"/>
  <c r="BI242" i="13"/>
  <c r="BJ242" i="13"/>
  <c r="BK242" i="13"/>
  <c r="BL242" i="13"/>
  <c r="BM242" i="13"/>
  <c r="BN242" i="13"/>
  <c r="BO242" i="13"/>
  <c r="A243" i="13"/>
  <c r="B243" i="13"/>
  <c r="C243" i="13"/>
  <c r="D243" i="13"/>
  <c r="E243" i="13"/>
  <c r="F243" i="13"/>
  <c r="G243" i="13"/>
  <c r="H243" i="13"/>
  <c r="I243" i="13"/>
  <c r="J243" i="13"/>
  <c r="K243" i="13"/>
  <c r="L243" i="13"/>
  <c r="M243" i="13"/>
  <c r="N243" i="13"/>
  <c r="O243" i="13"/>
  <c r="P243" i="13"/>
  <c r="Q243" i="13"/>
  <c r="R243" i="13"/>
  <c r="S243" i="13"/>
  <c r="T243" i="13"/>
  <c r="U243" i="13"/>
  <c r="V243" i="13"/>
  <c r="W243" i="13"/>
  <c r="X243" i="13"/>
  <c r="Y243" i="13"/>
  <c r="Z243" i="13"/>
  <c r="AA243" i="13"/>
  <c r="AB243" i="13"/>
  <c r="AC243" i="13"/>
  <c r="AD243" i="13"/>
  <c r="AE243" i="13"/>
  <c r="AF243" i="13"/>
  <c r="AG243" i="13"/>
  <c r="AH243" i="13"/>
  <c r="AI243" i="13"/>
  <c r="AJ243" i="13"/>
  <c r="AK243" i="13"/>
  <c r="AL243" i="13"/>
  <c r="AM243" i="13"/>
  <c r="AN243" i="13"/>
  <c r="AO243" i="13"/>
  <c r="AP243" i="13"/>
  <c r="AQ243" i="13"/>
  <c r="AR243" i="13"/>
  <c r="AS243" i="13"/>
  <c r="AT243" i="13"/>
  <c r="AU243" i="13"/>
  <c r="AV243" i="13"/>
  <c r="AW243" i="13"/>
  <c r="AX243" i="13"/>
  <c r="AY243" i="13"/>
  <c r="AZ243" i="13"/>
  <c r="BA243" i="13"/>
  <c r="BB243" i="13"/>
  <c r="BC243" i="13"/>
  <c r="BD243" i="13"/>
  <c r="BE243" i="13"/>
  <c r="BF243" i="13"/>
  <c r="BG243" i="13"/>
  <c r="BH243" i="13"/>
  <c r="BI243" i="13"/>
  <c r="BJ243" i="13"/>
  <c r="BK243" i="13"/>
  <c r="BL243" i="13"/>
  <c r="BM243" i="13"/>
  <c r="BN243" i="13"/>
  <c r="BO243" i="13"/>
  <c r="A244" i="13"/>
  <c r="B244" i="13"/>
  <c r="C244" i="13"/>
  <c r="D244" i="13"/>
  <c r="E244" i="13"/>
  <c r="F244" i="13"/>
  <c r="G244" i="13"/>
  <c r="H244" i="13"/>
  <c r="I244" i="13"/>
  <c r="J244" i="13"/>
  <c r="K244" i="13"/>
  <c r="L244" i="13"/>
  <c r="M244" i="13"/>
  <c r="N244" i="13"/>
  <c r="O244" i="13"/>
  <c r="P244" i="13"/>
  <c r="Q244" i="13"/>
  <c r="R244" i="13"/>
  <c r="S244" i="13"/>
  <c r="T244" i="13"/>
  <c r="U244" i="13"/>
  <c r="V244" i="13"/>
  <c r="W244" i="13"/>
  <c r="X244" i="13"/>
  <c r="Y244" i="13"/>
  <c r="Z244" i="13"/>
  <c r="AA244" i="13"/>
  <c r="AB244" i="13"/>
  <c r="AC244" i="13"/>
  <c r="AD244" i="13"/>
  <c r="AE244" i="13"/>
  <c r="AF244" i="13"/>
  <c r="BQ244" i="13" s="1"/>
  <c r="AG244" i="13"/>
  <c r="AH244" i="13"/>
  <c r="AI244" i="13"/>
  <c r="AJ244" i="13"/>
  <c r="AK244" i="13"/>
  <c r="AL244" i="13"/>
  <c r="AM244" i="13"/>
  <c r="AN244" i="13"/>
  <c r="AO244" i="13"/>
  <c r="AP244" i="13"/>
  <c r="AQ244" i="13"/>
  <c r="AR244" i="13"/>
  <c r="AS244" i="13"/>
  <c r="AT244" i="13"/>
  <c r="AU244" i="13"/>
  <c r="AV244" i="13"/>
  <c r="AW244" i="13"/>
  <c r="AX244" i="13"/>
  <c r="AY244" i="13"/>
  <c r="AZ244" i="13"/>
  <c r="BA244" i="13"/>
  <c r="BB244" i="13"/>
  <c r="BC244" i="13"/>
  <c r="BD244" i="13"/>
  <c r="BE244" i="13"/>
  <c r="BF244" i="13"/>
  <c r="BG244" i="13"/>
  <c r="BH244" i="13"/>
  <c r="BI244" i="13"/>
  <c r="BJ244" i="13"/>
  <c r="BK244" i="13"/>
  <c r="BL244" i="13"/>
  <c r="BM244" i="13"/>
  <c r="BN244" i="13"/>
  <c r="BO244" i="13"/>
  <c r="A245" i="13"/>
  <c r="B245" i="13"/>
  <c r="C245" i="13"/>
  <c r="D245" i="13"/>
  <c r="E245" i="13"/>
  <c r="F245" i="13"/>
  <c r="G245" i="13"/>
  <c r="H245" i="13"/>
  <c r="I245" i="13"/>
  <c r="J245" i="13"/>
  <c r="K245" i="13"/>
  <c r="L245" i="13"/>
  <c r="M245" i="13"/>
  <c r="N245" i="13"/>
  <c r="O245" i="13"/>
  <c r="P245" i="13"/>
  <c r="Q245" i="13"/>
  <c r="R245" i="13"/>
  <c r="S245" i="13"/>
  <c r="T245" i="13"/>
  <c r="U245" i="13"/>
  <c r="V245" i="13"/>
  <c r="W245" i="13"/>
  <c r="X245" i="13"/>
  <c r="Y245" i="13"/>
  <c r="Z245" i="13"/>
  <c r="AA245" i="13"/>
  <c r="AB245" i="13"/>
  <c r="AC245" i="13"/>
  <c r="AD245" i="13"/>
  <c r="AE245" i="13"/>
  <c r="AF245" i="13"/>
  <c r="BQ245" i="13" s="1"/>
  <c r="AG245" i="13"/>
  <c r="AH245" i="13"/>
  <c r="AI245" i="13"/>
  <c r="AJ245" i="13"/>
  <c r="AK245" i="13"/>
  <c r="AL245" i="13"/>
  <c r="AM245" i="13"/>
  <c r="AN245" i="13"/>
  <c r="AO245" i="13"/>
  <c r="AP245" i="13"/>
  <c r="AQ245" i="13"/>
  <c r="AR245" i="13"/>
  <c r="AS245" i="13"/>
  <c r="AT245" i="13"/>
  <c r="AU245" i="13"/>
  <c r="AV245" i="13"/>
  <c r="AW245" i="13"/>
  <c r="AX245" i="13"/>
  <c r="AY245" i="13"/>
  <c r="AZ245" i="13"/>
  <c r="BA245" i="13"/>
  <c r="BB245" i="13"/>
  <c r="BC245" i="13"/>
  <c r="BD245" i="13"/>
  <c r="BE245" i="13"/>
  <c r="BF245" i="13"/>
  <c r="BG245" i="13"/>
  <c r="BH245" i="13"/>
  <c r="BI245" i="13"/>
  <c r="BJ245" i="13"/>
  <c r="BK245" i="13"/>
  <c r="BL245" i="13"/>
  <c r="BM245" i="13"/>
  <c r="BN245" i="13"/>
  <c r="BO245" i="13"/>
  <c r="A246" i="13"/>
  <c r="B246" i="13"/>
  <c r="C246" i="13"/>
  <c r="D246" i="13"/>
  <c r="E246" i="13"/>
  <c r="F246" i="13"/>
  <c r="G246" i="13"/>
  <c r="H246" i="13"/>
  <c r="I246" i="13"/>
  <c r="J246" i="13"/>
  <c r="K246" i="13"/>
  <c r="L246" i="13"/>
  <c r="M246" i="13"/>
  <c r="N246" i="13"/>
  <c r="O246" i="13"/>
  <c r="P246" i="13"/>
  <c r="Q246" i="13"/>
  <c r="R246" i="13"/>
  <c r="S246" i="13"/>
  <c r="T246" i="13"/>
  <c r="U246" i="13"/>
  <c r="V246" i="13"/>
  <c r="W246" i="13"/>
  <c r="X246" i="13"/>
  <c r="Y246" i="13"/>
  <c r="Z246" i="13"/>
  <c r="AA246" i="13"/>
  <c r="AB246" i="13"/>
  <c r="AC246" i="13"/>
  <c r="AD246" i="13"/>
  <c r="AE246" i="13"/>
  <c r="AF246" i="13"/>
  <c r="AG246" i="13"/>
  <c r="AH246" i="13"/>
  <c r="AI246" i="13"/>
  <c r="AJ246" i="13"/>
  <c r="AK246" i="13"/>
  <c r="AL246" i="13"/>
  <c r="AM246" i="13"/>
  <c r="AN246" i="13"/>
  <c r="AO246" i="13"/>
  <c r="AP246" i="13"/>
  <c r="AQ246" i="13"/>
  <c r="AR246" i="13"/>
  <c r="AS246" i="13"/>
  <c r="AT246" i="13"/>
  <c r="AU246" i="13"/>
  <c r="AV246" i="13"/>
  <c r="AW246" i="13"/>
  <c r="AX246" i="13"/>
  <c r="AY246" i="13"/>
  <c r="AZ246" i="13"/>
  <c r="BA246" i="13"/>
  <c r="BB246" i="13"/>
  <c r="BC246" i="13"/>
  <c r="BD246" i="13"/>
  <c r="BE246" i="13"/>
  <c r="BF246" i="13"/>
  <c r="BG246" i="13"/>
  <c r="BH246" i="13"/>
  <c r="BI246" i="13"/>
  <c r="BJ246" i="13"/>
  <c r="BK246" i="13"/>
  <c r="BL246" i="13"/>
  <c r="BM246" i="13"/>
  <c r="BN246" i="13"/>
  <c r="BO246" i="13"/>
  <c r="A247" i="13"/>
  <c r="B247" i="13"/>
  <c r="C247" i="13"/>
  <c r="D247" i="13"/>
  <c r="E247" i="13"/>
  <c r="F247" i="13"/>
  <c r="G247" i="13"/>
  <c r="H247" i="13"/>
  <c r="I247" i="13"/>
  <c r="J247" i="13"/>
  <c r="K247" i="13"/>
  <c r="L247" i="13"/>
  <c r="M247" i="13"/>
  <c r="N247" i="13"/>
  <c r="O247" i="13"/>
  <c r="P247" i="13"/>
  <c r="Q247" i="13"/>
  <c r="R247" i="13"/>
  <c r="S247" i="13"/>
  <c r="T247" i="13"/>
  <c r="U247" i="13"/>
  <c r="V247" i="13"/>
  <c r="W247" i="13"/>
  <c r="X247" i="13"/>
  <c r="Y247" i="13"/>
  <c r="Z247" i="13"/>
  <c r="AA247" i="13"/>
  <c r="AB247" i="13"/>
  <c r="AC247" i="13"/>
  <c r="AD247" i="13"/>
  <c r="AE247" i="13"/>
  <c r="AF247" i="13"/>
  <c r="AG247" i="13"/>
  <c r="AH247" i="13"/>
  <c r="AI247" i="13"/>
  <c r="AJ247" i="13"/>
  <c r="AK247" i="13"/>
  <c r="AL247" i="13"/>
  <c r="AM247" i="13"/>
  <c r="AN247" i="13"/>
  <c r="AO247" i="13"/>
  <c r="AP247" i="13"/>
  <c r="AQ247" i="13"/>
  <c r="AR247" i="13"/>
  <c r="AS247" i="13"/>
  <c r="AT247" i="13"/>
  <c r="AU247" i="13"/>
  <c r="AV247" i="13"/>
  <c r="AW247" i="13"/>
  <c r="AX247" i="13"/>
  <c r="AY247" i="13"/>
  <c r="AZ247" i="13"/>
  <c r="BA247" i="13"/>
  <c r="BB247" i="13"/>
  <c r="BC247" i="13"/>
  <c r="BD247" i="13"/>
  <c r="BE247" i="13"/>
  <c r="BF247" i="13"/>
  <c r="BG247" i="13"/>
  <c r="BH247" i="13"/>
  <c r="BI247" i="13"/>
  <c r="BJ247" i="13"/>
  <c r="BK247" i="13"/>
  <c r="BL247" i="13"/>
  <c r="BM247" i="13"/>
  <c r="BN247" i="13"/>
  <c r="BO247" i="13"/>
  <c r="A248" i="13"/>
  <c r="B248" i="13"/>
  <c r="C248" i="13"/>
  <c r="D248" i="13"/>
  <c r="E248" i="13"/>
  <c r="F248" i="13"/>
  <c r="G248" i="13"/>
  <c r="H248" i="13"/>
  <c r="I248" i="13"/>
  <c r="J248" i="13"/>
  <c r="K248" i="13"/>
  <c r="L248" i="13"/>
  <c r="M248" i="13"/>
  <c r="N248" i="13"/>
  <c r="O248" i="13"/>
  <c r="P248" i="13"/>
  <c r="Q248" i="13"/>
  <c r="R248" i="13"/>
  <c r="S248" i="13"/>
  <c r="T248" i="13"/>
  <c r="U248" i="13"/>
  <c r="V248" i="13"/>
  <c r="W248" i="13"/>
  <c r="X248" i="13"/>
  <c r="Y248" i="13"/>
  <c r="Z248" i="13"/>
  <c r="AA248" i="13"/>
  <c r="AB248" i="13"/>
  <c r="AC248" i="13"/>
  <c r="AD248" i="13"/>
  <c r="AE248" i="13"/>
  <c r="AF248" i="13"/>
  <c r="BQ248" i="13" s="1"/>
  <c r="AG248" i="13"/>
  <c r="AH248" i="13"/>
  <c r="AI248" i="13"/>
  <c r="AJ248" i="13"/>
  <c r="AK248" i="13"/>
  <c r="AL248" i="13"/>
  <c r="AM248" i="13"/>
  <c r="AN248" i="13"/>
  <c r="AO248" i="13"/>
  <c r="AP248" i="13"/>
  <c r="AQ248" i="13"/>
  <c r="AR248" i="13"/>
  <c r="AS248" i="13"/>
  <c r="AT248" i="13"/>
  <c r="AU248" i="13"/>
  <c r="AV248" i="13"/>
  <c r="AW248" i="13"/>
  <c r="AX248" i="13"/>
  <c r="AY248" i="13"/>
  <c r="AZ248" i="13"/>
  <c r="BA248" i="13"/>
  <c r="BB248" i="13"/>
  <c r="BC248" i="13"/>
  <c r="BD248" i="13"/>
  <c r="BE248" i="13"/>
  <c r="BF248" i="13"/>
  <c r="BG248" i="13"/>
  <c r="BH248" i="13"/>
  <c r="BI248" i="13"/>
  <c r="BJ248" i="13"/>
  <c r="BK248" i="13"/>
  <c r="BL248" i="13"/>
  <c r="BM248" i="13"/>
  <c r="BN248" i="13"/>
  <c r="BO248" i="13"/>
  <c r="A249" i="13"/>
  <c r="B249" i="13"/>
  <c r="C249" i="13"/>
  <c r="D249" i="13"/>
  <c r="E249" i="13"/>
  <c r="F249" i="13"/>
  <c r="G249" i="13"/>
  <c r="H249" i="13"/>
  <c r="I249" i="13"/>
  <c r="J249" i="13"/>
  <c r="K249" i="13"/>
  <c r="L249" i="13"/>
  <c r="M249" i="13"/>
  <c r="N249" i="13"/>
  <c r="O249" i="13"/>
  <c r="P249" i="13"/>
  <c r="Q249" i="13"/>
  <c r="R249" i="13"/>
  <c r="S249" i="13"/>
  <c r="T249" i="13"/>
  <c r="U249" i="13"/>
  <c r="V249" i="13"/>
  <c r="W249" i="13"/>
  <c r="X249" i="13"/>
  <c r="Y249" i="13"/>
  <c r="Z249" i="13"/>
  <c r="AA249" i="13"/>
  <c r="AB249" i="13"/>
  <c r="AC249" i="13"/>
  <c r="AD249" i="13"/>
  <c r="AE249" i="13"/>
  <c r="AF249" i="13"/>
  <c r="BQ249" i="13" s="1"/>
  <c r="AG249" i="13"/>
  <c r="AH249" i="13"/>
  <c r="AI249" i="13"/>
  <c r="AJ249" i="13"/>
  <c r="AK249" i="13"/>
  <c r="AL249" i="13"/>
  <c r="AM249" i="13"/>
  <c r="AN249" i="13"/>
  <c r="AO249" i="13"/>
  <c r="AP249" i="13"/>
  <c r="AQ249" i="13"/>
  <c r="AR249" i="13"/>
  <c r="AS249" i="13"/>
  <c r="AT249" i="13"/>
  <c r="AU249" i="13"/>
  <c r="AV249" i="13"/>
  <c r="AW249" i="13"/>
  <c r="AX249" i="13"/>
  <c r="AY249" i="13"/>
  <c r="AZ249" i="13"/>
  <c r="BA249" i="13"/>
  <c r="BB249" i="13"/>
  <c r="BC249" i="13"/>
  <c r="BD249" i="13"/>
  <c r="BE249" i="13"/>
  <c r="BF249" i="13"/>
  <c r="BG249" i="13"/>
  <c r="BH249" i="13"/>
  <c r="BI249" i="13"/>
  <c r="BJ249" i="13"/>
  <c r="BK249" i="13"/>
  <c r="BL249" i="13"/>
  <c r="BM249" i="13"/>
  <c r="BN249" i="13"/>
  <c r="BO249" i="13"/>
  <c r="A250" i="13"/>
  <c r="B250" i="13"/>
  <c r="C250" i="13"/>
  <c r="D250" i="13"/>
  <c r="E250" i="13"/>
  <c r="F250" i="13"/>
  <c r="G250" i="13"/>
  <c r="H250" i="13"/>
  <c r="I250" i="13"/>
  <c r="J250" i="13"/>
  <c r="K250" i="13"/>
  <c r="L250" i="13"/>
  <c r="M250" i="13"/>
  <c r="N250" i="13"/>
  <c r="O250" i="13"/>
  <c r="P250" i="13"/>
  <c r="Q250" i="13"/>
  <c r="R250" i="13"/>
  <c r="S250" i="13"/>
  <c r="T250" i="13"/>
  <c r="U250" i="13"/>
  <c r="V250" i="13"/>
  <c r="W250" i="13"/>
  <c r="X250" i="13"/>
  <c r="Y250" i="13"/>
  <c r="Z250" i="13"/>
  <c r="AA250" i="13"/>
  <c r="AB250" i="13"/>
  <c r="AC250" i="13"/>
  <c r="AD250" i="13"/>
  <c r="AE250" i="13"/>
  <c r="AF250" i="13"/>
  <c r="BQ250" i="13" s="1"/>
  <c r="AG250" i="13"/>
  <c r="AH250" i="13"/>
  <c r="AI250" i="13"/>
  <c r="AJ250" i="13"/>
  <c r="AK250" i="13"/>
  <c r="AL250" i="13"/>
  <c r="AM250" i="13"/>
  <c r="AN250" i="13"/>
  <c r="AO250" i="13"/>
  <c r="AP250" i="13"/>
  <c r="AQ250" i="13"/>
  <c r="AR250" i="13"/>
  <c r="AS250" i="13"/>
  <c r="AT250" i="13"/>
  <c r="AU250" i="13"/>
  <c r="AV250" i="13"/>
  <c r="AW250" i="13"/>
  <c r="AX250" i="13"/>
  <c r="AY250" i="13"/>
  <c r="AZ250" i="13"/>
  <c r="BA250" i="13"/>
  <c r="BB250" i="13"/>
  <c r="BC250" i="13"/>
  <c r="BD250" i="13"/>
  <c r="BE250" i="13"/>
  <c r="BF250" i="13"/>
  <c r="BG250" i="13"/>
  <c r="BH250" i="13"/>
  <c r="BI250" i="13"/>
  <c r="BJ250" i="13"/>
  <c r="BK250" i="13"/>
  <c r="BL250" i="13"/>
  <c r="BM250" i="13"/>
  <c r="BN250" i="13"/>
  <c r="BO250" i="13"/>
  <c r="BO4" i="13"/>
  <c r="BN4" i="13"/>
  <c r="BM4" i="13"/>
  <c r="BL4" i="13"/>
  <c r="BK4" i="13"/>
  <c r="BJ4" i="13"/>
  <c r="BI4" i="13"/>
  <c r="BH4" i="13"/>
  <c r="BG4" i="13"/>
  <c r="BF4" i="13"/>
  <c r="BE4" i="13"/>
  <c r="BD4" i="13"/>
  <c r="BC4" i="13"/>
  <c r="BB4" i="13"/>
  <c r="BA4" i="13"/>
  <c r="AZ4" i="13"/>
  <c r="AY4" i="13"/>
  <c r="AX4" i="13"/>
  <c r="AW4" i="13"/>
  <c r="AV4" i="13"/>
  <c r="AU4" i="13"/>
  <c r="AT4" i="13"/>
  <c r="AS4" i="13"/>
  <c r="AR4" i="13"/>
  <c r="AQ4" i="13"/>
  <c r="AP4" i="13"/>
  <c r="AM4" i="13"/>
  <c r="AO4" i="13"/>
  <c r="AN4" i="13"/>
  <c r="AL4" i="13"/>
  <c r="AK4" i="13"/>
  <c r="AJ4" i="13"/>
  <c r="AI4" i="13"/>
  <c r="AH4" i="13"/>
  <c r="AG4" i="13"/>
  <c r="AF4" i="13"/>
  <c r="AE4" i="13"/>
  <c r="AD4" i="13"/>
  <c r="AC4" i="13"/>
  <c r="AB4" i="13"/>
  <c r="AA4" i="13"/>
  <c r="Z4" i="13"/>
  <c r="Y4" i="13"/>
  <c r="X4" i="13"/>
  <c r="W4" i="13"/>
  <c r="V4" i="13"/>
  <c r="U4" i="13"/>
  <c r="T4" i="13"/>
  <c r="S4" i="13"/>
  <c r="R4" i="13"/>
  <c r="Q4" i="13"/>
  <c r="P4" i="13"/>
  <c r="O4" i="13"/>
  <c r="N4" i="13"/>
  <c r="M4" i="13"/>
  <c r="L4" i="13"/>
  <c r="K4" i="13"/>
  <c r="J4" i="13"/>
  <c r="I4" i="13"/>
  <c r="H4" i="13"/>
  <c r="G4" i="13"/>
  <c r="F4" i="13"/>
  <c r="E4" i="13"/>
  <c r="D4" i="13"/>
  <c r="C4" i="13"/>
  <c r="B4" i="13"/>
  <c r="A4" i="13"/>
  <c r="BQ247" i="13"/>
  <c r="BQ246" i="13"/>
  <c r="BQ243" i="13"/>
  <c r="BQ240" i="13"/>
  <c r="BQ239" i="13"/>
  <c r="BQ236" i="13"/>
  <c r="BQ235" i="13"/>
  <c r="BQ232" i="13"/>
  <c r="BQ231" i="13"/>
  <c r="BQ228" i="13"/>
  <c r="BQ227" i="13"/>
  <c r="BQ224" i="13"/>
  <c r="BQ223" i="13"/>
  <c r="BQ222" i="13"/>
  <c r="BQ220" i="13"/>
  <c r="BQ219" i="13"/>
  <c r="BQ216" i="13"/>
  <c r="BQ215" i="13"/>
  <c r="BQ212" i="13"/>
  <c r="BQ211" i="13"/>
  <c r="T2" i="13"/>
  <c r="AV79" i="5"/>
  <c r="O2" i="12"/>
  <c r="AV60" i="5"/>
  <c r="AV77" i="5"/>
  <c r="AV81" i="5"/>
  <c r="AV74" i="5"/>
  <c r="AV55" i="5"/>
  <c r="AV63" i="5"/>
  <c r="AV72" i="5"/>
  <c r="AV69" i="5"/>
  <c r="AV78" i="5"/>
  <c r="AD2" i="5"/>
  <c r="AV46" i="5"/>
  <c r="AV43" i="5"/>
  <c r="AV44" i="5"/>
  <c r="AV47" i="5"/>
  <c r="AV45" i="5"/>
  <c r="AV76" i="5"/>
  <c r="AV61" i="5"/>
  <c r="DA173" i="5"/>
  <c r="CZ177" i="5"/>
  <c r="CY181" i="5"/>
  <c r="CW185" i="5"/>
  <c r="DG187" i="5"/>
  <c r="DG188" i="5"/>
  <c r="CW189" i="5"/>
  <c r="DF190" i="5"/>
  <c r="DF191" i="5"/>
  <c r="DG191" i="5"/>
  <c r="DG192" i="5"/>
  <c r="DE193" i="5"/>
  <c r="CW196" i="5"/>
  <c r="DE196" i="5"/>
  <c r="DD199" i="5"/>
  <c r="DC202" i="5"/>
  <c r="CW204" i="5"/>
  <c r="DF206" i="5"/>
  <c r="DF207" i="5"/>
  <c r="DG207" i="5"/>
  <c r="CY208" i="5"/>
  <c r="DG208" i="5"/>
  <c r="CW209" i="5"/>
  <c r="CZ209" i="5"/>
  <c r="DE210" i="5"/>
  <c r="DF210" i="5"/>
  <c r="DF211" i="5"/>
  <c r="DG211" i="5"/>
  <c r="DG212" i="5"/>
  <c r="CW213" i="5"/>
  <c r="DF214" i="5"/>
  <c r="DF215" i="5"/>
  <c r="DG215" i="5"/>
  <c r="CY216" i="5"/>
  <c r="DG216" i="5"/>
  <c r="CW217" i="5"/>
  <c r="CZ217" i="5"/>
  <c r="DE218" i="5"/>
  <c r="DF218" i="5"/>
  <c r="DF219" i="5"/>
  <c r="DG219" i="5"/>
  <c r="DG220" i="5"/>
  <c r="CW221" i="5"/>
  <c r="DF222" i="5"/>
  <c r="DF223" i="5"/>
  <c r="DG223" i="5"/>
  <c r="CY224" i="5"/>
  <c r="DG224" i="5"/>
  <c r="CW225" i="5"/>
  <c r="CZ225" i="5"/>
  <c r="DE226" i="5"/>
  <c r="DF226" i="5"/>
  <c r="DF227" i="5"/>
  <c r="DG227" i="5"/>
  <c r="DG228" i="5"/>
  <c r="CW229" i="5"/>
  <c r="DF230" i="5"/>
  <c r="DC231" i="5"/>
  <c r="DF231" i="5"/>
  <c r="DG231" i="5"/>
  <c r="CZ232" i="5"/>
  <c r="DG232" i="5"/>
  <c r="CW233" i="5"/>
  <c r="DE233" i="5"/>
  <c r="DF234" i="5"/>
  <c r="CY235" i="5"/>
  <c r="DF235" i="5"/>
  <c r="DG235" i="5"/>
  <c r="DD236" i="5"/>
  <c r="DG236" i="5"/>
  <c r="CW237" i="5"/>
  <c r="DA237" i="5"/>
  <c r="DF238" i="5"/>
  <c r="DC239" i="5"/>
  <c r="DF239" i="5"/>
  <c r="DG239" i="5"/>
  <c r="CZ240" i="5"/>
  <c r="DG240" i="5"/>
  <c r="CW241" i="5"/>
  <c r="DE241" i="5"/>
  <c r="DF242" i="5"/>
  <c r="CY243" i="5"/>
  <c r="DF243" i="5"/>
  <c r="DG243" i="5"/>
  <c r="DD244" i="5"/>
  <c r="DG244" i="5"/>
  <c r="CW245" i="5"/>
  <c r="DA245" i="5"/>
  <c r="DF246" i="5"/>
  <c r="DC247" i="5"/>
  <c r="DF247" i="5"/>
  <c r="DG247" i="5"/>
  <c r="CZ248" i="5"/>
  <c r="DG248" i="5"/>
  <c r="CW249" i="5"/>
  <c r="DE249" i="5"/>
  <c r="DF250" i="5"/>
  <c r="DG6" i="5"/>
  <c r="DG7" i="5"/>
  <c r="DG8" i="5"/>
  <c r="DG9" i="5"/>
  <c r="DG10" i="5"/>
  <c r="DG11" i="5"/>
  <c r="DG12" i="5"/>
  <c r="DG13" i="5"/>
  <c r="DG14" i="5"/>
  <c r="DG15" i="5"/>
  <c r="DG16" i="5"/>
  <c r="DG17" i="5"/>
  <c r="DG18" i="5"/>
  <c r="DG19" i="5"/>
  <c r="DG20" i="5"/>
  <c r="DG21" i="5"/>
  <c r="DG22" i="5"/>
  <c r="DG23" i="5"/>
  <c r="DG24" i="5"/>
  <c r="DG25" i="5"/>
  <c r="DG26" i="5"/>
  <c r="DG27" i="5"/>
  <c r="DG28" i="5"/>
  <c r="DG29" i="5"/>
  <c r="DG30" i="5"/>
  <c r="DG31" i="5"/>
  <c r="DG32" i="5"/>
  <c r="DG33" i="5"/>
  <c r="DG34" i="5"/>
  <c r="DG35" i="5"/>
  <c r="DG36" i="5"/>
  <c r="DG37" i="5"/>
  <c r="DG38" i="5"/>
  <c r="DG39" i="5"/>
  <c r="DG40" i="5"/>
  <c r="DG42" i="5"/>
  <c r="DG43" i="5"/>
  <c r="DG45" i="5"/>
  <c r="DG46" i="5"/>
  <c r="DG48" i="5"/>
  <c r="DG49" i="5"/>
  <c r="DG51" i="5"/>
  <c r="DG52" i="5"/>
  <c r="DG53" i="5"/>
  <c r="DG54" i="5"/>
  <c r="DG55" i="5"/>
  <c r="DG56" i="5"/>
  <c r="DG57" i="5"/>
  <c r="DG58" i="5"/>
  <c r="DG59" i="5"/>
  <c r="DG61" i="5"/>
  <c r="DG62" i="5"/>
  <c r="DG63" i="5"/>
  <c r="DG64" i="5"/>
  <c r="DG66" i="5"/>
  <c r="DG67" i="5"/>
  <c r="DG68" i="5"/>
  <c r="DG69" i="5"/>
  <c r="DG71" i="5"/>
  <c r="DG72" i="5"/>
  <c r="DG73" i="5"/>
  <c r="DG74" i="5"/>
  <c r="DG76" i="5"/>
  <c r="DG77" i="5"/>
  <c r="DG78" i="5"/>
  <c r="DG79" i="5"/>
  <c r="DG81" i="5"/>
  <c r="DG84" i="5"/>
  <c r="DG161" i="5"/>
  <c r="DG162" i="5"/>
  <c r="DG167" i="5"/>
  <c r="DG171" i="5"/>
  <c r="DG172" i="5"/>
  <c r="DG173" i="5"/>
  <c r="DG174" i="5"/>
  <c r="DG175" i="5"/>
  <c r="DG176" i="5"/>
  <c r="DG177" i="5"/>
  <c r="DG178" i="5"/>
  <c r="DG179" i="5"/>
  <c r="DG180" i="5"/>
  <c r="DG181" i="5"/>
  <c r="DG182" i="5"/>
  <c r="DG183" i="5"/>
  <c r="DG184" i="5"/>
  <c r="DG185" i="5"/>
  <c r="DG186" i="5"/>
  <c r="DG189" i="5"/>
  <c r="DG190" i="5"/>
  <c r="DG193" i="5"/>
  <c r="DG194" i="5"/>
  <c r="DG195" i="5"/>
  <c r="DG196" i="5"/>
  <c r="DG197" i="5"/>
  <c r="DG198" i="5"/>
  <c r="DG199" i="5"/>
  <c r="DG200" i="5"/>
  <c r="DG201" i="5"/>
  <c r="DG202" i="5"/>
  <c r="DG203" i="5"/>
  <c r="DG204" i="5"/>
  <c r="DG205" i="5"/>
  <c r="DG206" i="5"/>
  <c r="DG209" i="5"/>
  <c r="DG210" i="5"/>
  <c r="DG213" i="5"/>
  <c r="DG214" i="5"/>
  <c r="DG217" i="5"/>
  <c r="DG218" i="5"/>
  <c r="DG221" i="5"/>
  <c r="DG222" i="5"/>
  <c r="DG225" i="5"/>
  <c r="DG226" i="5"/>
  <c r="DG229" i="5"/>
  <c r="DG230" i="5"/>
  <c r="DG233" i="5"/>
  <c r="DG234" i="5"/>
  <c r="DG237" i="5"/>
  <c r="DG238" i="5"/>
  <c r="DG241" i="5"/>
  <c r="DG242" i="5"/>
  <c r="DG245" i="5"/>
  <c r="DG246" i="5"/>
  <c r="DG249" i="5"/>
  <c r="DG250" i="5"/>
  <c r="DG5" i="5"/>
  <c r="DF5" i="5"/>
  <c r="DF6" i="5"/>
  <c r="DF7" i="5"/>
  <c r="DF8" i="5"/>
  <c r="DF9" i="5"/>
  <c r="DF10" i="5"/>
  <c r="DF11" i="5"/>
  <c r="DF12" i="5"/>
  <c r="DF13" i="5"/>
  <c r="DF14" i="5"/>
  <c r="DF15" i="5"/>
  <c r="DF16" i="5"/>
  <c r="DF17" i="5"/>
  <c r="DF18" i="5"/>
  <c r="DF19" i="5"/>
  <c r="DF20" i="5"/>
  <c r="DF21" i="5"/>
  <c r="DF22" i="5"/>
  <c r="DF23" i="5"/>
  <c r="DF24" i="5"/>
  <c r="DF25" i="5"/>
  <c r="DF26" i="5"/>
  <c r="DF27" i="5"/>
  <c r="DF28" i="5"/>
  <c r="DF29" i="5"/>
  <c r="DF30" i="5"/>
  <c r="DF31" i="5"/>
  <c r="DF32" i="5"/>
  <c r="DF33" i="5"/>
  <c r="DF34" i="5"/>
  <c r="DF35" i="5"/>
  <c r="DF36" i="5"/>
  <c r="DF37" i="5"/>
  <c r="DF38" i="5"/>
  <c r="DF39" i="5"/>
  <c r="DF40" i="5"/>
  <c r="DF42" i="5"/>
  <c r="DF43" i="5"/>
  <c r="DF46" i="5"/>
  <c r="DF48" i="5"/>
  <c r="DF49" i="5"/>
  <c r="DF51" i="5"/>
  <c r="DF52" i="5"/>
  <c r="DF53" i="5"/>
  <c r="DF54" i="5"/>
  <c r="DF55" i="5"/>
  <c r="DF56" i="5"/>
  <c r="DF57" i="5"/>
  <c r="DF58" i="5"/>
  <c r="DF59" i="5"/>
  <c r="DF60" i="5"/>
  <c r="DF61" i="5"/>
  <c r="DF62" i="5"/>
  <c r="DF63" i="5"/>
  <c r="DF64" i="5"/>
  <c r="DF66" i="5"/>
  <c r="DF67" i="5"/>
  <c r="DF68" i="5"/>
  <c r="DF69" i="5"/>
  <c r="DF71" i="5"/>
  <c r="DF72" i="5"/>
  <c r="DF73" i="5"/>
  <c r="DF74" i="5"/>
  <c r="DF76" i="5"/>
  <c r="DF77" i="5"/>
  <c r="DF78" i="5"/>
  <c r="DF79" i="5"/>
  <c r="DF81" i="5"/>
  <c r="DF84" i="5"/>
  <c r="DF87" i="5"/>
  <c r="DF161" i="5"/>
  <c r="DF163" i="5"/>
  <c r="DF164" i="5"/>
  <c r="DF166" i="5"/>
  <c r="DF171" i="5"/>
  <c r="DF172" i="5"/>
  <c r="DF173" i="5"/>
  <c r="DF174" i="5"/>
  <c r="DF175" i="5"/>
  <c r="DF176" i="5"/>
  <c r="DF177" i="5"/>
  <c r="DF178" i="5"/>
  <c r="DF179" i="5"/>
  <c r="DF180" i="5"/>
  <c r="DF181" i="5"/>
  <c r="DF182" i="5"/>
  <c r="DF183" i="5"/>
  <c r="DF184" i="5"/>
  <c r="DF185" i="5"/>
  <c r="DF186" i="5"/>
  <c r="DF187" i="5"/>
  <c r="DF188" i="5"/>
  <c r="DF189" i="5"/>
  <c r="DF192" i="5"/>
  <c r="DF193" i="5"/>
  <c r="DF194" i="5"/>
  <c r="DF195" i="5"/>
  <c r="DF196" i="5"/>
  <c r="DF197" i="5"/>
  <c r="DF198" i="5"/>
  <c r="DF199" i="5"/>
  <c r="DF200" i="5"/>
  <c r="DF201" i="5"/>
  <c r="DF202" i="5"/>
  <c r="DF203" i="5"/>
  <c r="DF204" i="5"/>
  <c r="DF205" i="5"/>
  <c r="DF208" i="5"/>
  <c r="DF209" i="5"/>
  <c r="DF212" i="5"/>
  <c r="DF213" i="5"/>
  <c r="DF216" i="5"/>
  <c r="DF217" i="5"/>
  <c r="DF220" i="5"/>
  <c r="DF221" i="5"/>
  <c r="DF224" i="5"/>
  <c r="DF225" i="5"/>
  <c r="DF228" i="5"/>
  <c r="DF229" i="5"/>
  <c r="DF232" i="5"/>
  <c r="DF233" i="5"/>
  <c r="DF236" i="5"/>
  <c r="DF237" i="5"/>
  <c r="DF240" i="5"/>
  <c r="DF241" i="5"/>
  <c r="DF244" i="5"/>
  <c r="DF245" i="5"/>
  <c r="DF248" i="5"/>
  <c r="DF249" i="5"/>
  <c r="CW5" i="5"/>
  <c r="CW6" i="5"/>
  <c r="CW7" i="5"/>
  <c r="CW8" i="5"/>
  <c r="CW9" i="5"/>
  <c r="CW10" i="5"/>
  <c r="CW11" i="5"/>
  <c r="CW12" i="5"/>
  <c r="CW13" i="5"/>
  <c r="CW14" i="5"/>
  <c r="CW15" i="5"/>
  <c r="CW16" i="5"/>
  <c r="CW17" i="5"/>
  <c r="CW18" i="5"/>
  <c r="CW19" i="5"/>
  <c r="CW20" i="5"/>
  <c r="CW21" i="5"/>
  <c r="CW22" i="5"/>
  <c r="CW23" i="5"/>
  <c r="CW24" i="5"/>
  <c r="CW25" i="5"/>
  <c r="CW26" i="5"/>
  <c r="CW27" i="5"/>
  <c r="CW28" i="5"/>
  <c r="CW29" i="5"/>
  <c r="CW30" i="5"/>
  <c r="CW31" i="5"/>
  <c r="CW32" i="5"/>
  <c r="CW33" i="5"/>
  <c r="CW34" i="5"/>
  <c r="CW35" i="5"/>
  <c r="CW36" i="5"/>
  <c r="CW37" i="5"/>
  <c r="CW38" i="5"/>
  <c r="CW39" i="5"/>
  <c r="CW40" i="5"/>
  <c r="CW42" i="5"/>
  <c r="CW43" i="5"/>
  <c r="CW45" i="5"/>
  <c r="CW46" i="5"/>
  <c r="CW48" i="5"/>
  <c r="CW49" i="5"/>
  <c r="CW51" i="5"/>
  <c r="CW52" i="5"/>
  <c r="CW53" i="5"/>
  <c r="CW54" i="5"/>
  <c r="CW55" i="5"/>
  <c r="CW56" i="5"/>
  <c r="CW57" i="5"/>
  <c r="CW58" i="5"/>
  <c r="CW59" i="5"/>
  <c r="CW61" i="5"/>
  <c r="CW62" i="5"/>
  <c r="CW63" i="5"/>
  <c r="CW64" i="5"/>
  <c r="CW66" i="5"/>
  <c r="CW67" i="5"/>
  <c r="CW68" i="5"/>
  <c r="CW69" i="5"/>
  <c r="CW71" i="5"/>
  <c r="CW72" i="5"/>
  <c r="CW73" i="5"/>
  <c r="CW74" i="5"/>
  <c r="CW76" i="5"/>
  <c r="CW77" i="5"/>
  <c r="CW78" i="5"/>
  <c r="CW79" i="5"/>
  <c r="CW81" i="5"/>
  <c r="CW84" i="5"/>
  <c r="CW87" i="5"/>
  <c r="CW91" i="5"/>
  <c r="CW161" i="5"/>
  <c r="CW171" i="5"/>
  <c r="CW172" i="5"/>
  <c r="CW173" i="5"/>
  <c r="CW174" i="5"/>
  <c r="CW175" i="5"/>
  <c r="CW176" i="5"/>
  <c r="CW177" i="5"/>
  <c r="CW178" i="5"/>
  <c r="CW179" i="5"/>
  <c r="CW180" i="5"/>
  <c r="CW181" i="5"/>
  <c r="CW182" i="5"/>
  <c r="CW183" i="5"/>
  <c r="CW184" i="5"/>
  <c r="CW186" i="5"/>
  <c r="CW187" i="5"/>
  <c r="CW188" i="5"/>
  <c r="CW190" i="5"/>
  <c r="CW191" i="5"/>
  <c r="CW192" i="5"/>
  <c r="CW193" i="5"/>
  <c r="CW194" i="5"/>
  <c r="CW195" i="5"/>
  <c r="CW197" i="5"/>
  <c r="CW198" i="5"/>
  <c r="CW199" i="5"/>
  <c r="CW200" i="5"/>
  <c r="CW201" i="5"/>
  <c r="CW202" i="5"/>
  <c r="CW203" i="5"/>
  <c r="CW205" i="5"/>
  <c r="CW206" i="5"/>
  <c r="CW207" i="5"/>
  <c r="CW208" i="5"/>
  <c r="CW210" i="5"/>
  <c r="CW211" i="5"/>
  <c r="CW212" i="5"/>
  <c r="CW214" i="5"/>
  <c r="CW215" i="5"/>
  <c r="CW216" i="5"/>
  <c r="CW218" i="5"/>
  <c r="CW219" i="5"/>
  <c r="CW220" i="5"/>
  <c r="CW222" i="5"/>
  <c r="CW223" i="5"/>
  <c r="CW224" i="5"/>
  <c r="CW226" i="5"/>
  <c r="CW227" i="5"/>
  <c r="CW228" i="5"/>
  <c r="CW230" i="5"/>
  <c r="CW231" i="5"/>
  <c r="CW232" i="5"/>
  <c r="CW234" i="5"/>
  <c r="CW235" i="5"/>
  <c r="CW236" i="5"/>
  <c r="CW238" i="5"/>
  <c r="CW239" i="5"/>
  <c r="CW240" i="5"/>
  <c r="CW242" i="5"/>
  <c r="CW243" i="5"/>
  <c r="CW244" i="5"/>
  <c r="CW246" i="5"/>
  <c r="CW247" i="5"/>
  <c r="CW248" i="5"/>
  <c r="CW250" i="5"/>
  <c r="CX5" i="5"/>
  <c r="CY5" i="5"/>
  <c r="CZ5" i="5"/>
  <c r="DA5" i="5"/>
  <c r="DB5" i="5"/>
  <c r="DC5" i="5"/>
  <c r="DD5" i="5"/>
  <c r="DE5" i="5"/>
  <c r="CX6" i="5"/>
  <c r="CY6" i="5"/>
  <c r="CZ6" i="5"/>
  <c r="DA6" i="5"/>
  <c r="DB6" i="5"/>
  <c r="DC6" i="5"/>
  <c r="DD6" i="5"/>
  <c r="DE6" i="5"/>
  <c r="CX7" i="5"/>
  <c r="CY7" i="5"/>
  <c r="CZ7" i="5"/>
  <c r="DA7" i="5"/>
  <c r="DB7" i="5"/>
  <c r="DC7" i="5"/>
  <c r="DD7" i="5"/>
  <c r="DE7" i="5"/>
  <c r="CX8" i="5"/>
  <c r="CY8" i="5"/>
  <c r="CZ8" i="5"/>
  <c r="DA8" i="5"/>
  <c r="DB8" i="5"/>
  <c r="DC8" i="5"/>
  <c r="DD8" i="5"/>
  <c r="DE8" i="5"/>
  <c r="CX9" i="5"/>
  <c r="CY9" i="5"/>
  <c r="CZ9" i="5"/>
  <c r="DA9" i="5"/>
  <c r="DB9" i="5"/>
  <c r="DC9" i="5"/>
  <c r="DD9" i="5"/>
  <c r="DE9" i="5"/>
  <c r="CX10" i="5"/>
  <c r="CY10" i="5"/>
  <c r="CZ10" i="5"/>
  <c r="DA10" i="5"/>
  <c r="DB10" i="5"/>
  <c r="DC10" i="5"/>
  <c r="DD10" i="5"/>
  <c r="DE10" i="5"/>
  <c r="CX11" i="5"/>
  <c r="CY11" i="5"/>
  <c r="CZ11" i="5"/>
  <c r="DA11" i="5"/>
  <c r="DB11" i="5"/>
  <c r="DC11" i="5"/>
  <c r="DD11" i="5"/>
  <c r="DE11" i="5"/>
  <c r="CX12" i="5"/>
  <c r="CY12" i="5"/>
  <c r="CZ12" i="5"/>
  <c r="DA12" i="5"/>
  <c r="DB12" i="5"/>
  <c r="DC12" i="5"/>
  <c r="DD12" i="5"/>
  <c r="DE12" i="5"/>
  <c r="CX13" i="5"/>
  <c r="CY13" i="5"/>
  <c r="CZ13" i="5"/>
  <c r="DA13" i="5"/>
  <c r="DB13" i="5"/>
  <c r="DC13" i="5"/>
  <c r="DD13" i="5"/>
  <c r="DE13" i="5"/>
  <c r="CX14" i="5"/>
  <c r="CY14" i="5"/>
  <c r="CZ14" i="5"/>
  <c r="DA14" i="5"/>
  <c r="DB14" i="5"/>
  <c r="DC14" i="5"/>
  <c r="DD14" i="5"/>
  <c r="DE14" i="5"/>
  <c r="CX15" i="5"/>
  <c r="CY15" i="5"/>
  <c r="CZ15" i="5"/>
  <c r="DA15" i="5"/>
  <c r="DB15" i="5"/>
  <c r="DC15" i="5"/>
  <c r="DD15" i="5"/>
  <c r="DE15" i="5"/>
  <c r="CX16" i="5"/>
  <c r="CY16" i="5"/>
  <c r="CZ16" i="5"/>
  <c r="DA16" i="5"/>
  <c r="DB16" i="5"/>
  <c r="DC16" i="5"/>
  <c r="DD16" i="5"/>
  <c r="DE16" i="5"/>
  <c r="CX17" i="5"/>
  <c r="CY17" i="5"/>
  <c r="CZ17" i="5"/>
  <c r="DA17" i="5"/>
  <c r="DB17" i="5"/>
  <c r="DC17" i="5"/>
  <c r="DD17" i="5"/>
  <c r="DE17" i="5"/>
  <c r="CX18" i="5"/>
  <c r="CY18" i="5"/>
  <c r="CZ18" i="5"/>
  <c r="DA18" i="5"/>
  <c r="DB18" i="5"/>
  <c r="DC18" i="5"/>
  <c r="DD18" i="5"/>
  <c r="DE18" i="5"/>
  <c r="CX19" i="5"/>
  <c r="CY19" i="5"/>
  <c r="CZ19" i="5"/>
  <c r="DA19" i="5"/>
  <c r="DB19" i="5"/>
  <c r="DC19" i="5"/>
  <c r="DD19" i="5"/>
  <c r="DE19" i="5"/>
  <c r="CX20" i="5"/>
  <c r="CY20" i="5"/>
  <c r="CZ20" i="5"/>
  <c r="DA20" i="5"/>
  <c r="DB20" i="5"/>
  <c r="DC20" i="5"/>
  <c r="DD20" i="5"/>
  <c r="DE20" i="5"/>
  <c r="CX21" i="5"/>
  <c r="CY21" i="5"/>
  <c r="CZ21" i="5"/>
  <c r="DA21" i="5"/>
  <c r="DB21" i="5"/>
  <c r="DC21" i="5"/>
  <c r="DD21" i="5"/>
  <c r="DE21" i="5"/>
  <c r="CX22" i="5"/>
  <c r="CY22" i="5"/>
  <c r="CZ22" i="5"/>
  <c r="DA22" i="5"/>
  <c r="DB22" i="5"/>
  <c r="DC22" i="5"/>
  <c r="DD22" i="5"/>
  <c r="DE22" i="5"/>
  <c r="CX23" i="5"/>
  <c r="CY23" i="5"/>
  <c r="CZ23" i="5"/>
  <c r="DA23" i="5"/>
  <c r="DB23" i="5"/>
  <c r="DC23" i="5"/>
  <c r="DD23" i="5"/>
  <c r="DE23" i="5"/>
  <c r="CX24" i="5"/>
  <c r="CY24" i="5"/>
  <c r="CZ24" i="5"/>
  <c r="DA24" i="5"/>
  <c r="DB24" i="5"/>
  <c r="DC24" i="5"/>
  <c r="DD24" i="5"/>
  <c r="DE24" i="5"/>
  <c r="CX25" i="5"/>
  <c r="CY25" i="5"/>
  <c r="CZ25" i="5"/>
  <c r="DA25" i="5"/>
  <c r="DB25" i="5"/>
  <c r="DC25" i="5"/>
  <c r="DD25" i="5"/>
  <c r="DE25" i="5"/>
  <c r="CX26" i="5"/>
  <c r="CY26" i="5"/>
  <c r="CZ26" i="5"/>
  <c r="DA26" i="5"/>
  <c r="DB26" i="5"/>
  <c r="DC26" i="5"/>
  <c r="DD26" i="5"/>
  <c r="DE26" i="5"/>
  <c r="CX27" i="5"/>
  <c r="CY27" i="5"/>
  <c r="CZ27" i="5"/>
  <c r="DA27" i="5"/>
  <c r="DB27" i="5"/>
  <c r="DC27" i="5"/>
  <c r="DD27" i="5"/>
  <c r="DE27" i="5"/>
  <c r="CX28" i="5"/>
  <c r="CY28" i="5"/>
  <c r="CZ28" i="5"/>
  <c r="DA28" i="5"/>
  <c r="DB28" i="5"/>
  <c r="DC28" i="5"/>
  <c r="DD28" i="5"/>
  <c r="DE28" i="5"/>
  <c r="CX29" i="5"/>
  <c r="CY29" i="5"/>
  <c r="CZ29" i="5"/>
  <c r="DA29" i="5"/>
  <c r="DB29" i="5"/>
  <c r="DC29" i="5"/>
  <c r="DD29" i="5"/>
  <c r="DE29" i="5"/>
  <c r="CX30" i="5"/>
  <c r="CY30" i="5"/>
  <c r="CZ30" i="5"/>
  <c r="DA30" i="5"/>
  <c r="DB30" i="5"/>
  <c r="DC30" i="5"/>
  <c r="DD30" i="5"/>
  <c r="DE30" i="5"/>
  <c r="CX31" i="5"/>
  <c r="CY31" i="5"/>
  <c r="CZ31" i="5"/>
  <c r="DA31" i="5"/>
  <c r="DB31" i="5"/>
  <c r="DC31" i="5"/>
  <c r="DD31" i="5"/>
  <c r="DE31" i="5"/>
  <c r="CX32" i="5"/>
  <c r="CY32" i="5"/>
  <c r="CZ32" i="5"/>
  <c r="DA32" i="5"/>
  <c r="DB32" i="5"/>
  <c r="DC32" i="5"/>
  <c r="DD32" i="5"/>
  <c r="DE32" i="5"/>
  <c r="CX33" i="5"/>
  <c r="CY33" i="5"/>
  <c r="CZ33" i="5"/>
  <c r="DA33" i="5"/>
  <c r="DB33" i="5"/>
  <c r="DC33" i="5"/>
  <c r="DD33" i="5"/>
  <c r="DE33" i="5"/>
  <c r="CX34" i="5"/>
  <c r="CY34" i="5"/>
  <c r="CZ34" i="5"/>
  <c r="DA34" i="5"/>
  <c r="DB34" i="5"/>
  <c r="DC34" i="5"/>
  <c r="DD34" i="5"/>
  <c r="DE34" i="5"/>
  <c r="CX35" i="5"/>
  <c r="CY35" i="5"/>
  <c r="CZ35" i="5"/>
  <c r="DA35" i="5"/>
  <c r="DB35" i="5"/>
  <c r="DC35" i="5"/>
  <c r="DD35" i="5"/>
  <c r="DE35" i="5"/>
  <c r="CX36" i="5"/>
  <c r="CY36" i="5"/>
  <c r="CZ36" i="5"/>
  <c r="DA36" i="5"/>
  <c r="DB36" i="5"/>
  <c r="DC36" i="5"/>
  <c r="DD36" i="5"/>
  <c r="DE36" i="5"/>
  <c r="CX37" i="5"/>
  <c r="CY37" i="5"/>
  <c r="CZ37" i="5"/>
  <c r="DA37" i="5"/>
  <c r="DB37" i="5"/>
  <c r="DC37" i="5"/>
  <c r="DD37" i="5"/>
  <c r="DE37" i="5"/>
  <c r="CX38" i="5"/>
  <c r="CY38" i="5"/>
  <c r="CZ38" i="5"/>
  <c r="DA38" i="5"/>
  <c r="DB38" i="5"/>
  <c r="DC38" i="5"/>
  <c r="DD38" i="5"/>
  <c r="DE38" i="5"/>
  <c r="CX39" i="5"/>
  <c r="CY39" i="5"/>
  <c r="CZ39" i="5"/>
  <c r="DA39" i="5"/>
  <c r="DB39" i="5"/>
  <c r="DC39" i="5"/>
  <c r="DD39" i="5"/>
  <c r="DE39" i="5"/>
  <c r="CX40" i="5"/>
  <c r="CY40" i="5"/>
  <c r="CZ40" i="5"/>
  <c r="DA40" i="5"/>
  <c r="DB40" i="5"/>
  <c r="DC40" i="5"/>
  <c r="DD40" i="5"/>
  <c r="DE40" i="5"/>
  <c r="CX42" i="5"/>
  <c r="CY42" i="5"/>
  <c r="CZ42" i="5"/>
  <c r="DA42" i="5"/>
  <c r="DB42" i="5"/>
  <c r="DC42" i="5"/>
  <c r="DD42" i="5"/>
  <c r="DE42" i="5"/>
  <c r="CX43" i="5"/>
  <c r="CY43" i="5"/>
  <c r="CZ43" i="5"/>
  <c r="DA43" i="5"/>
  <c r="DB43" i="5"/>
  <c r="DC43" i="5"/>
  <c r="DD43" i="5"/>
  <c r="DE43" i="5"/>
  <c r="CX45" i="5"/>
  <c r="DB45" i="5"/>
  <c r="CX46" i="5"/>
  <c r="CY46" i="5"/>
  <c r="CZ46" i="5"/>
  <c r="DA46" i="5"/>
  <c r="DB46" i="5"/>
  <c r="DC46" i="5"/>
  <c r="DD46" i="5"/>
  <c r="DE46" i="5"/>
  <c r="CX48" i="5"/>
  <c r="CY48" i="5"/>
  <c r="CZ48" i="5"/>
  <c r="DA48" i="5"/>
  <c r="DB48" i="5"/>
  <c r="DC48" i="5"/>
  <c r="DD48" i="5"/>
  <c r="DE48" i="5"/>
  <c r="CX49" i="5"/>
  <c r="CY49" i="5"/>
  <c r="CZ49" i="5"/>
  <c r="DA49" i="5"/>
  <c r="DB49" i="5"/>
  <c r="DC49" i="5"/>
  <c r="DD49" i="5"/>
  <c r="DE49" i="5"/>
  <c r="CX51" i="5"/>
  <c r="CY51" i="5"/>
  <c r="CZ51" i="5"/>
  <c r="DA51" i="5"/>
  <c r="DB51" i="5"/>
  <c r="DC51" i="5"/>
  <c r="DD51" i="5"/>
  <c r="DE51" i="5"/>
  <c r="CX52" i="5"/>
  <c r="CY52" i="5"/>
  <c r="CZ52" i="5"/>
  <c r="DA52" i="5"/>
  <c r="DB52" i="5"/>
  <c r="DC52" i="5"/>
  <c r="DD52" i="5"/>
  <c r="DE52" i="5"/>
  <c r="CX53" i="5"/>
  <c r="CY53" i="5"/>
  <c r="CZ53" i="5"/>
  <c r="DA53" i="5"/>
  <c r="DB53" i="5"/>
  <c r="DC53" i="5"/>
  <c r="DD53" i="5"/>
  <c r="DE53" i="5"/>
  <c r="CX54" i="5"/>
  <c r="CY54" i="5"/>
  <c r="CZ54" i="5"/>
  <c r="DA54" i="5"/>
  <c r="DB54" i="5"/>
  <c r="DC54" i="5"/>
  <c r="DD54" i="5"/>
  <c r="DE54" i="5"/>
  <c r="CX55" i="5"/>
  <c r="CY55" i="5"/>
  <c r="CZ55" i="5"/>
  <c r="DA55" i="5"/>
  <c r="DB55" i="5"/>
  <c r="DC55" i="5"/>
  <c r="DD55" i="5"/>
  <c r="DE55" i="5"/>
  <c r="CX56" i="5"/>
  <c r="CY56" i="5"/>
  <c r="CZ56" i="5"/>
  <c r="DA56" i="5"/>
  <c r="DB56" i="5"/>
  <c r="DC56" i="5"/>
  <c r="DD56" i="5"/>
  <c r="DE56" i="5"/>
  <c r="CX57" i="5"/>
  <c r="CY57" i="5"/>
  <c r="CZ57" i="5"/>
  <c r="DA57" i="5"/>
  <c r="DB57" i="5"/>
  <c r="DC57" i="5"/>
  <c r="DD57" i="5"/>
  <c r="DE57" i="5"/>
  <c r="CX58" i="5"/>
  <c r="CY58" i="5"/>
  <c r="CZ58" i="5"/>
  <c r="DA58" i="5"/>
  <c r="DB58" i="5"/>
  <c r="DC58" i="5"/>
  <c r="DD58" i="5"/>
  <c r="DE58" i="5"/>
  <c r="CX59" i="5"/>
  <c r="CY59" i="5"/>
  <c r="CZ59" i="5"/>
  <c r="DA59" i="5"/>
  <c r="DB59" i="5"/>
  <c r="DC59" i="5"/>
  <c r="DD59" i="5"/>
  <c r="DE59" i="5"/>
  <c r="CZ60" i="5"/>
  <c r="DE60" i="5"/>
  <c r="CX61" i="5"/>
  <c r="CY61" i="5"/>
  <c r="CZ61" i="5"/>
  <c r="DA61" i="5"/>
  <c r="DB61" i="5"/>
  <c r="DC61" i="5"/>
  <c r="DD61" i="5"/>
  <c r="DE61" i="5"/>
  <c r="CX62" i="5"/>
  <c r="CY62" i="5"/>
  <c r="CZ62" i="5"/>
  <c r="DA62" i="5"/>
  <c r="DB62" i="5"/>
  <c r="DC62" i="5"/>
  <c r="DD62" i="5"/>
  <c r="DE62" i="5"/>
  <c r="CX63" i="5"/>
  <c r="CY63" i="5"/>
  <c r="CZ63" i="5"/>
  <c r="DA63" i="5"/>
  <c r="DB63" i="5"/>
  <c r="DC63" i="5"/>
  <c r="DD63" i="5"/>
  <c r="DE63" i="5"/>
  <c r="CX64" i="5"/>
  <c r="CY64" i="5"/>
  <c r="CZ64" i="5"/>
  <c r="DA64" i="5"/>
  <c r="DB64" i="5"/>
  <c r="DC64" i="5"/>
  <c r="DD64" i="5"/>
  <c r="DE64" i="5"/>
  <c r="CX66" i="5"/>
  <c r="CY66" i="5"/>
  <c r="CZ66" i="5"/>
  <c r="DA66" i="5"/>
  <c r="DB66" i="5"/>
  <c r="DC66" i="5"/>
  <c r="DD66" i="5"/>
  <c r="DE66" i="5"/>
  <c r="CX67" i="5"/>
  <c r="CY67" i="5"/>
  <c r="CZ67" i="5"/>
  <c r="DA67" i="5"/>
  <c r="DB67" i="5"/>
  <c r="DC67" i="5"/>
  <c r="DD67" i="5"/>
  <c r="DE67" i="5"/>
  <c r="CX68" i="5"/>
  <c r="CY68" i="5"/>
  <c r="CZ68" i="5"/>
  <c r="DA68" i="5"/>
  <c r="DB68" i="5"/>
  <c r="DC68" i="5"/>
  <c r="DD68" i="5"/>
  <c r="DE68" i="5"/>
  <c r="CX69" i="5"/>
  <c r="CY69" i="5"/>
  <c r="CZ69" i="5"/>
  <c r="DA69" i="5"/>
  <c r="DB69" i="5"/>
  <c r="DC69" i="5"/>
  <c r="DD69" i="5"/>
  <c r="DE69" i="5"/>
  <c r="CX71" i="5"/>
  <c r="CY71" i="5"/>
  <c r="CZ71" i="5"/>
  <c r="DA71" i="5"/>
  <c r="DB71" i="5"/>
  <c r="DC71" i="5"/>
  <c r="DD71" i="5"/>
  <c r="DE71" i="5"/>
  <c r="CX72" i="5"/>
  <c r="CY72" i="5"/>
  <c r="CZ72" i="5"/>
  <c r="DA72" i="5"/>
  <c r="DB72" i="5"/>
  <c r="DC72" i="5"/>
  <c r="DD72" i="5"/>
  <c r="DE72" i="5"/>
  <c r="CX73" i="5"/>
  <c r="CY73" i="5"/>
  <c r="CZ73" i="5"/>
  <c r="DA73" i="5"/>
  <c r="DB73" i="5"/>
  <c r="DC73" i="5"/>
  <c r="DD73" i="5"/>
  <c r="DE73" i="5"/>
  <c r="CX74" i="5"/>
  <c r="CY74" i="5"/>
  <c r="CZ74" i="5"/>
  <c r="DA74" i="5"/>
  <c r="DB74" i="5"/>
  <c r="DC74" i="5"/>
  <c r="DD74" i="5"/>
  <c r="DE74" i="5"/>
  <c r="CY75" i="5"/>
  <c r="CZ75" i="5"/>
  <c r="DC75" i="5"/>
  <c r="DD75" i="5"/>
  <c r="CX76" i="5"/>
  <c r="CY76" i="5"/>
  <c r="CZ76" i="5"/>
  <c r="DA76" i="5"/>
  <c r="DB76" i="5"/>
  <c r="DC76" i="5"/>
  <c r="DD76" i="5"/>
  <c r="DE76" i="5"/>
  <c r="CX77" i="5"/>
  <c r="CY77" i="5"/>
  <c r="CZ77" i="5"/>
  <c r="DA77" i="5"/>
  <c r="DB77" i="5"/>
  <c r="DC77" i="5"/>
  <c r="DD77" i="5"/>
  <c r="DE77" i="5"/>
  <c r="CY78" i="5"/>
  <c r="DA78" i="5"/>
  <c r="DC78" i="5"/>
  <c r="DE78" i="5"/>
  <c r="CX79" i="5"/>
  <c r="CY79" i="5"/>
  <c r="CZ79" i="5"/>
  <c r="DA79" i="5"/>
  <c r="DB79" i="5"/>
  <c r="DC79" i="5"/>
  <c r="DD79" i="5"/>
  <c r="DE79" i="5"/>
  <c r="CX81" i="5"/>
  <c r="CY81" i="5"/>
  <c r="CZ81" i="5"/>
  <c r="DA81" i="5"/>
  <c r="DB81" i="5"/>
  <c r="DC81" i="5"/>
  <c r="DD81" i="5"/>
  <c r="DE81" i="5"/>
  <c r="CX84" i="5"/>
  <c r="CY84" i="5"/>
  <c r="CZ84" i="5"/>
  <c r="DA84" i="5"/>
  <c r="DB84" i="5"/>
  <c r="DC84" i="5"/>
  <c r="DD84" i="5"/>
  <c r="DE84" i="5"/>
  <c r="DD87" i="5"/>
  <c r="DE87" i="5"/>
  <c r="DC90" i="5"/>
  <c r="DD91" i="5"/>
  <c r="DC92" i="5"/>
  <c r="DC154" i="5"/>
  <c r="CY156" i="5"/>
  <c r="CX161" i="5"/>
  <c r="CY161" i="5"/>
  <c r="CZ161" i="5"/>
  <c r="DA161" i="5"/>
  <c r="DB161" i="5"/>
  <c r="DC161" i="5"/>
  <c r="DD161" i="5"/>
  <c r="DE161" i="5"/>
  <c r="CX163" i="5"/>
  <c r="CY163" i="5"/>
  <c r="DB163" i="5"/>
  <c r="DC163" i="5"/>
  <c r="CX164" i="5"/>
  <c r="CY164" i="5"/>
  <c r="DB164" i="5"/>
  <c r="DC164" i="5"/>
  <c r="DA166" i="5"/>
  <c r="DE166" i="5"/>
  <c r="CX167" i="5"/>
  <c r="CZ167" i="5"/>
  <c r="DD167" i="5"/>
  <c r="DE167" i="5"/>
  <c r="CX168" i="5"/>
  <c r="CY168" i="5"/>
  <c r="DB168" i="5"/>
  <c r="DC168" i="5"/>
  <c r="CX171" i="5"/>
  <c r="CY171" i="5"/>
  <c r="CZ171" i="5"/>
  <c r="DA171" i="5"/>
  <c r="DB171" i="5"/>
  <c r="DC171" i="5"/>
  <c r="DD171" i="5"/>
  <c r="DE171" i="5"/>
  <c r="CX172" i="5"/>
  <c r="CY172" i="5"/>
  <c r="CZ172" i="5"/>
  <c r="DA172" i="5"/>
  <c r="DB172" i="5"/>
  <c r="DC172" i="5"/>
  <c r="DD172" i="5"/>
  <c r="DE172" i="5"/>
  <c r="CX173" i="5"/>
  <c r="CY173" i="5"/>
  <c r="CZ173" i="5"/>
  <c r="DB173" i="5"/>
  <c r="DC173" i="5"/>
  <c r="DD173" i="5"/>
  <c r="DE173" i="5"/>
  <c r="CX174" i="5"/>
  <c r="CY174" i="5"/>
  <c r="CZ174" i="5"/>
  <c r="DA174" i="5"/>
  <c r="DB174" i="5"/>
  <c r="DC174" i="5"/>
  <c r="DD174" i="5"/>
  <c r="DE174" i="5"/>
  <c r="CX175" i="5"/>
  <c r="CY175" i="5"/>
  <c r="CZ175" i="5"/>
  <c r="DA175" i="5"/>
  <c r="DB175" i="5"/>
  <c r="DC175" i="5"/>
  <c r="DD175" i="5"/>
  <c r="DE175" i="5"/>
  <c r="CX176" i="5"/>
  <c r="CY176" i="5"/>
  <c r="CZ176" i="5"/>
  <c r="DA176" i="5"/>
  <c r="DB176" i="5"/>
  <c r="DC176" i="5"/>
  <c r="DD176" i="5"/>
  <c r="DE176" i="5"/>
  <c r="CX177" i="5"/>
  <c r="CY177" i="5"/>
  <c r="DA177" i="5"/>
  <c r="DB177" i="5"/>
  <c r="DC177" i="5"/>
  <c r="DD177" i="5"/>
  <c r="DE177" i="5"/>
  <c r="CX178" i="5"/>
  <c r="CY178" i="5"/>
  <c r="CZ178" i="5"/>
  <c r="DA178" i="5"/>
  <c r="DB178" i="5"/>
  <c r="DC178" i="5"/>
  <c r="DD178" i="5"/>
  <c r="DE178" i="5"/>
  <c r="CX179" i="5"/>
  <c r="CY179" i="5"/>
  <c r="CZ179" i="5"/>
  <c r="DA179" i="5"/>
  <c r="DB179" i="5"/>
  <c r="DC179" i="5"/>
  <c r="DD179" i="5"/>
  <c r="DE179" i="5"/>
  <c r="CX180" i="5"/>
  <c r="CY180" i="5"/>
  <c r="CZ180" i="5"/>
  <c r="DA180" i="5"/>
  <c r="DB180" i="5"/>
  <c r="DC180" i="5"/>
  <c r="DD180" i="5"/>
  <c r="DE180" i="5"/>
  <c r="CX181" i="5"/>
  <c r="CZ181" i="5"/>
  <c r="DA181" i="5"/>
  <c r="DB181" i="5"/>
  <c r="DC181" i="5"/>
  <c r="DD181" i="5"/>
  <c r="DE181" i="5"/>
  <c r="CX182" i="5"/>
  <c r="CY182" i="5"/>
  <c r="CZ182" i="5"/>
  <c r="DA182" i="5"/>
  <c r="DB182" i="5"/>
  <c r="DC182" i="5"/>
  <c r="DD182" i="5"/>
  <c r="DE182" i="5"/>
  <c r="CX183" i="5"/>
  <c r="CY183" i="5"/>
  <c r="CZ183" i="5"/>
  <c r="DA183" i="5"/>
  <c r="DB183" i="5"/>
  <c r="DC183" i="5"/>
  <c r="DD183" i="5"/>
  <c r="DE183" i="5"/>
  <c r="CX184" i="5"/>
  <c r="CY184" i="5"/>
  <c r="CZ184" i="5"/>
  <c r="DA184" i="5"/>
  <c r="DB184" i="5"/>
  <c r="DC184" i="5"/>
  <c r="DD184" i="5"/>
  <c r="DE184" i="5"/>
  <c r="CX185" i="5"/>
  <c r="CY185" i="5"/>
  <c r="CZ185" i="5"/>
  <c r="DA185" i="5"/>
  <c r="DB185" i="5"/>
  <c r="DC185" i="5"/>
  <c r="DD185" i="5"/>
  <c r="DE185" i="5"/>
  <c r="CX186" i="5"/>
  <c r="CY186" i="5"/>
  <c r="CZ186" i="5"/>
  <c r="DA186" i="5"/>
  <c r="DB186" i="5"/>
  <c r="DC186" i="5"/>
  <c r="DD186" i="5"/>
  <c r="DE186" i="5"/>
  <c r="CX187" i="5"/>
  <c r="CY187" i="5"/>
  <c r="CZ187" i="5"/>
  <c r="DA187" i="5"/>
  <c r="DB187" i="5"/>
  <c r="DC187" i="5"/>
  <c r="DD187" i="5"/>
  <c r="DE187" i="5"/>
  <c r="CX188" i="5"/>
  <c r="CY188" i="5"/>
  <c r="CZ188" i="5"/>
  <c r="DA188" i="5"/>
  <c r="DB188" i="5"/>
  <c r="DC188" i="5"/>
  <c r="DD188" i="5"/>
  <c r="DE188" i="5"/>
  <c r="CX189" i="5"/>
  <c r="CY189" i="5"/>
  <c r="CZ189" i="5"/>
  <c r="DA189" i="5"/>
  <c r="DB189" i="5"/>
  <c r="DC189" i="5"/>
  <c r="DD189" i="5"/>
  <c r="DE189" i="5"/>
  <c r="CX190" i="5"/>
  <c r="CY190" i="5"/>
  <c r="CZ190" i="5"/>
  <c r="DA190" i="5"/>
  <c r="DB190" i="5"/>
  <c r="DC190" i="5"/>
  <c r="DD190" i="5"/>
  <c r="DE190" i="5"/>
  <c r="CX191" i="5"/>
  <c r="CY191" i="5"/>
  <c r="CZ191" i="5"/>
  <c r="DA191" i="5"/>
  <c r="DB191" i="5"/>
  <c r="DC191" i="5"/>
  <c r="DD191" i="5"/>
  <c r="DE191" i="5"/>
  <c r="CX192" i="5"/>
  <c r="CY192" i="5"/>
  <c r="CZ192" i="5"/>
  <c r="DA192" i="5"/>
  <c r="DB192" i="5"/>
  <c r="DC192" i="5"/>
  <c r="DD192" i="5"/>
  <c r="DE192" i="5"/>
  <c r="CX193" i="5"/>
  <c r="CY193" i="5"/>
  <c r="CZ193" i="5"/>
  <c r="DA193" i="5"/>
  <c r="DB193" i="5"/>
  <c r="DC193" i="5"/>
  <c r="DD193" i="5"/>
  <c r="CX194" i="5"/>
  <c r="CY194" i="5"/>
  <c r="CZ194" i="5"/>
  <c r="DA194" i="5"/>
  <c r="DB194" i="5"/>
  <c r="DC194" i="5"/>
  <c r="DD194" i="5"/>
  <c r="DE194" i="5"/>
  <c r="CX195" i="5"/>
  <c r="CY195" i="5"/>
  <c r="CZ195" i="5"/>
  <c r="DA195" i="5"/>
  <c r="DB195" i="5"/>
  <c r="DC195" i="5"/>
  <c r="DD195" i="5"/>
  <c r="DE195" i="5"/>
  <c r="CX196" i="5"/>
  <c r="CY196" i="5"/>
  <c r="CZ196" i="5"/>
  <c r="DA196" i="5"/>
  <c r="DB196" i="5"/>
  <c r="DC196" i="5"/>
  <c r="DD196" i="5"/>
  <c r="CX197" i="5"/>
  <c r="CY197" i="5"/>
  <c r="CZ197" i="5"/>
  <c r="DA197" i="5"/>
  <c r="DB197" i="5"/>
  <c r="DC197" i="5"/>
  <c r="DD197" i="5"/>
  <c r="DE197" i="5"/>
  <c r="CX198" i="5"/>
  <c r="CY198" i="5"/>
  <c r="CZ198" i="5"/>
  <c r="DA198" i="5"/>
  <c r="DB198" i="5"/>
  <c r="DC198" i="5"/>
  <c r="DD198" i="5"/>
  <c r="DE198" i="5"/>
  <c r="CX199" i="5"/>
  <c r="CY199" i="5"/>
  <c r="CZ199" i="5"/>
  <c r="DA199" i="5"/>
  <c r="DB199" i="5"/>
  <c r="DC199" i="5"/>
  <c r="DE199" i="5"/>
  <c r="CX200" i="5"/>
  <c r="CY200" i="5"/>
  <c r="CZ200" i="5"/>
  <c r="DA200" i="5"/>
  <c r="DB200" i="5"/>
  <c r="DC200" i="5"/>
  <c r="DD200" i="5"/>
  <c r="DE200" i="5"/>
  <c r="CX201" i="5"/>
  <c r="CY201" i="5"/>
  <c r="CZ201" i="5"/>
  <c r="DA201" i="5"/>
  <c r="DB201" i="5"/>
  <c r="DC201" i="5"/>
  <c r="DD201" i="5"/>
  <c r="DE201" i="5"/>
  <c r="CX202" i="5"/>
  <c r="CY202" i="5"/>
  <c r="CZ202" i="5"/>
  <c r="DA202" i="5"/>
  <c r="DB202" i="5"/>
  <c r="DD202" i="5"/>
  <c r="DE202" i="5"/>
  <c r="CX203" i="5"/>
  <c r="CY203" i="5"/>
  <c r="CZ203" i="5"/>
  <c r="DA203" i="5"/>
  <c r="DB203" i="5"/>
  <c r="DC203" i="5"/>
  <c r="DD203" i="5"/>
  <c r="DE203" i="5"/>
  <c r="CX204" i="5"/>
  <c r="CY204" i="5"/>
  <c r="CZ204" i="5"/>
  <c r="DA204" i="5"/>
  <c r="DB204" i="5"/>
  <c r="DC204" i="5"/>
  <c r="DD204" i="5"/>
  <c r="DE204" i="5"/>
  <c r="CX205" i="5"/>
  <c r="CY205" i="5"/>
  <c r="CZ205" i="5"/>
  <c r="DA205" i="5"/>
  <c r="DB205" i="5"/>
  <c r="DC205" i="5"/>
  <c r="DD205" i="5"/>
  <c r="DE205" i="5"/>
  <c r="CX206" i="5"/>
  <c r="CY206" i="5"/>
  <c r="CZ206" i="5"/>
  <c r="DA206" i="5"/>
  <c r="DB206" i="5"/>
  <c r="DC206" i="5"/>
  <c r="DD206" i="5"/>
  <c r="DE206" i="5"/>
  <c r="CX207" i="5"/>
  <c r="CY207" i="5"/>
  <c r="CZ207" i="5"/>
  <c r="DA207" i="5"/>
  <c r="DB207" i="5"/>
  <c r="DC207" i="5"/>
  <c r="DD207" i="5"/>
  <c r="DE207" i="5"/>
  <c r="CX208" i="5"/>
  <c r="CZ208" i="5"/>
  <c r="DA208" i="5"/>
  <c r="DB208" i="5"/>
  <c r="DC208" i="5"/>
  <c r="DD208" i="5"/>
  <c r="DE208" i="5"/>
  <c r="CX209" i="5"/>
  <c r="CY209" i="5"/>
  <c r="DA209" i="5"/>
  <c r="DB209" i="5"/>
  <c r="DC209" i="5"/>
  <c r="DD209" i="5"/>
  <c r="DE209" i="5"/>
  <c r="CX210" i="5"/>
  <c r="CY210" i="5"/>
  <c r="CZ210" i="5"/>
  <c r="DA210" i="5"/>
  <c r="DB210" i="5"/>
  <c r="DC210" i="5"/>
  <c r="DD210" i="5"/>
  <c r="CX211" i="5"/>
  <c r="CY211" i="5"/>
  <c r="CZ211" i="5"/>
  <c r="DA211" i="5"/>
  <c r="DB211" i="5"/>
  <c r="DC211" i="5"/>
  <c r="DD211" i="5"/>
  <c r="DE211" i="5"/>
  <c r="CX212" i="5"/>
  <c r="CY212" i="5"/>
  <c r="CZ212" i="5"/>
  <c r="DA212" i="5"/>
  <c r="DB212" i="5"/>
  <c r="DC212" i="5"/>
  <c r="DD212" i="5"/>
  <c r="DE212" i="5"/>
  <c r="CX213" i="5"/>
  <c r="CY213" i="5"/>
  <c r="CZ213" i="5"/>
  <c r="DA213" i="5"/>
  <c r="DB213" i="5"/>
  <c r="DC213" i="5"/>
  <c r="DD213" i="5"/>
  <c r="DE213" i="5"/>
  <c r="CX214" i="5"/>
  <c r="CY214" i="5"/>
  <c r="CZ214" i="5"/>
  <c r="DA214" i="5"/>
  <c r="DB214" i="5"/>
  <c r="DC214" i="5"/>
  <c r="DD214" i="5"/>
  <c r="DE214" i="5"/>
  <c r="CX215" i="5"/>
  <c r="CY215" i="5"/>
  <c r="CZ215" i="5"/>
  <c r="DA215" i="5"/>
  <c r="DB215" i="5"/>
  <c r="DC215" i="5"/>
  <c r="DD215" i="5"/>
  <c r="DE215" i="5"/>
  <c r="CX216" i="5"/>
  <c r="CZ216" i="5"/>
  <c r="DA216" i="5"/>
  <c r="DB216" i="5"/>
  <c r="DC216" i="5"/>
  <c r="DD216" i="5"/>
  <c r="DE216" i="5"/>
  <c r="CX217" i="5"/>
  <c r="CY217" i="5"/>
  <c r="DA217" i="5"/>
  <c r="DB217" i="5"/>
  <c r="DC217" i="5"/>
  <c r="DD217" i="5"/>
  <c r="DE217" i="5"/>
  <c r="CX218" i="5"/>
  <c r="CY218" i="5"/>
  <c r="CZ218" i="5"/>
  <c r="DA218" i="5"/>
  <c r="DB218" i="5"/>
  <c r="DC218" i="5"/>
  <c r="DD218" i="5"/>
  <c r="CX219" i="5"/>
  <c r="CY219" i="5"/>
  <c r="CZ219" i="5"/>
  <c r="DA219" i="5"/>
  <c r="DB219" i="5"/>
  <c r="DC219" i="5"/>
  <c r="DD219" i="5"/>
  <c r="DE219" i="5"/>
  <c r="CX220" i="5"/>
  <c r="CY220" i="5"/>
  <c r="CZ220" i="5"/>
  <c r="DA220" i="5"/>
  <c r="DB220" i="5"/>
  <c r="DC220" i="5"/>
  <c r="DD220" i="5"/>
  <c r="DE220" i="5"/>
  <c r="CX221" i="5"/>
  <c r="CY221" i="5"/>
  <c r="CZ221" i="5"/>
  <c r="DA221" i="5"/>
  <c r="DB221" i="5"/>
  <c r="DC221" i="5"/>
  <c r="DD221" i="5"/>
  <c r="DE221" i="5"/>
  <c r="CX222" i="5"/>
  <c r="CY222" i="5"/>
  <c r="CZ222" i="5"/>
  <c r="DA222" i="5"/>
  <c r="DB222" i="5"/>
  <c r="DC222" i="5"/>
  <c r="DD222" i="5"/>
  <c r="DE222" i="5"/>
  <c r="CX223" i="5"/>
  <c r="CY223" i="5"/>
  <c r="CZ223" i="5"/>
  <c r="DA223" i="5"/>
  <c r="DB223" i="5"/>
  <c r="DC223" i="5"/>
  <c r="DD223" i="5"/>
  <c r="DE223" i="5"/>
  <c r="CX224" i="5"/>
  <c r="CZ224" i="5"/>
  <c r="DA224" i="5"/>
  <c r="DB224" i="5"/>
  <c r="DC224" i="5"/>
  <c r="DD224" i="5"/>
  <c r="DE224" i="5"/>
  <c r="CX225" i="5"/>
  <c r="CY225" i="5"/>
  <c r="DA225" i="5"/>
  <c r="DB225" i="5"/>
  <c r="DC225" i="5"/>
  <c r="DD225" i="5"/>
  <c r="DE225" i="5"/>
  <c r="CX226" i="5"/>
  <c r="CY226" i="5"/>
  <c r="CZ226" i="5"/>
  <c r="DA226" i="5"/>
  <c r="DB226" i="5"/>
  <c r="DC226" i="5"/>
  <c r="DD226" i="5"/>
  <c r="CX227" i="5"/>
  <c r="CY227" i="5"/>
  <c r="CZ227" i="5"/>
  <c r="DA227" i="5"/>
  <c r="DB227" i="5"/>
  <c r="DC227" i="5"/>
  <c r="DD227" i="5"/>
  <c r="DE227" i="5"/>
  <c r="CX228" i="5"/>
  <c r="CY228" i="5"/>
  <c r="CZ228" i="5"/>
  <c r="DA228" i="5"/>
  <c r="DB228" i="5"/>
  <c r="DC228" i="5"/>
  <c r="DD228" i="5"/>
  <c r="DE228" i="5"/>
  <c r="CX229" i="5"/>
  <c r="CY229" i="5"/>
  <c r="CZ229" i="5"/>
  <c r="DA229" i="5"/>
  <c r="DB229" i="5"/>
  <c r="DC229" i="5"/>
  <c r="DD229" i="5"/>
  <c r="DE229" i="5"/>
  <c r="CX230" i="5"/>
  <c r="CY230" i="5"/>
  <c r="CZ230" i="5"/>
  <c r="DA230" i="5"/>
  <c r="DB230" i="5"/>
  <c r="DC230" i="5"/>
  <c r="DD230" i="5"/>
  <c r="DE230" i="5"/>
  <c r="CX231" i="5"/>
  <c r="CY231" i="5"/>
  <c r="CZ231" i="5"/>
  <c r="DA231" i="5"/>
  <c r="DB231" i="5"/>
  <c r="DD231" i="5"/>
  <c r="DE231" i="5"/>
  <c r="CX232" i="5"/>
  <c r="CY232" i="5"/>
  <c r="DA232" i="5"/>
  <c r="DB232" i="5"/>
  <c r="DC232" i="5"/>
  <c r="DD232" i="5"/>
  <c r="DE232" i="5"/>
  <c r="CX233" i="5"/>
  <c r="CY233" i="5"/>
  <c r="CZ233" i="5"/>
  <c r="DA233" i="5"/>
  <c r="DB233" i="5"/>
  <c r="DC233" i="5"/>
  <c r="DD233" i="5"/>
  <c r="CX234" i="5"/>
  <c r="CY234" i="5"/>
  <c r="CZ234" i="5"/>
  <c r="DA234" i="5"/>
  <c r="DB234" i="5"/>
  <c r="DC234" i="5"/>
  <c r="DD234" i="5"/>
  <c r="DE234" i="5"/>
  <c r="CX235" i="5"/>
  <c r="CZ235" i="5"/>
  <c r="DA235" i="5"/>
  <c r="DB235" i="5"/>
  <c r="DC235" i="5"/>
  <c r="DD235" i="5"/>
  <c r="DE235" i="5"/>
  <c r="CX236" i="5"/>
  <c r="CY236" i="5"/>
  <c r="CZ236" i="5"/>
  <c r="DA236" i="5"/>
  <c r="DB236" i="5"/>
  <c r="DC236" i="5"/>
  <c r="DE236" i="5"/>
  <c r="CX237" i="5"/>
  <c r="CY237" i="5"/>
  <c r="CZ237" i="5"/>
  <c r="DB237" i="5"/>
  <c r="DC237" i="5"/>
  <c r="DD237" i="5"/>
  <c r="DE237" i="5"/>
  <c r="CX238" i="5"/>
  <c r="CY238" i="5"/>
  <c r="CZ238" i="5"/>
  <c r="DA238" i="5"/>
  <c r="DB238" i="5"/>
  <c r="DC238" i="5"/>
  <c r="DD238" i="5"/>
  <c r="DE238" i="5"/>
  <c r="CX239" i="5"/>
  <c r="CY239" i="5"/>
  <c r="CZ239" i="5"/>
  <c r="DA239" i="5"/>
  <c r="DB239" i="5"/>
  <c r="DD239" i="5"/>
  <c r="DE239" i="5"/>
  <c r="CX240" i="5"/>
  <c r="CY240" i="5"/>
  <c r="DA240" i="5"/>
  <c r="DB240" i="5"/>
  <c r="DC240" i="5"/>
  <c r="DD240" i="5"/>
  <c r="DE240" i="5"/>
  <c r="CX241" i="5"/>
  <c r="CY241" i="5"/>
  <c r="CZ241" i="5"/>
  <c r="DA241" i="5"/>
  <c r="DB241" i="5"/>
  <c r="DC241" i="5"/>
  <c r="DD241" i="5"/>
  <c r="CX242" i="5"/>
  <c r="CY242" i="5"/>
  <c r="CZ242" i="5"/>
  <c r="DA242" i="5"/>
  <c r="DB242" i="5"/>
  <c r="DC242" i="5"/>
  <c r="DD242" i="5"/>
  <c r="DE242" i="5"/>
  <c r="CX243" i="5"/>
  <c r="CZ243" i="5"/>
  <c r="DA243" i="5"/>
  <c r="DB243" i="5"/>
  <c r="DC243" i="5"/>
  <c r="DD243" i="5"/>
  <c r="DE243" i="5"/>
  <c r="CX244" i="5"/>
  <c r="CY244" i="5"/>
  <c r="CZ244" i="5"/>
  <c r="DA244" i="5"/>
  <c r="DB244" i="5"/>
  <c r="DC244" i="5"/>
  <c r="DE244" i="5"/>
  <c r="CX245" i="5"/>
  <c r="CY245" i="5"/>
  <c r="CZ245" i="5"/>
  <c r="DB245" i="5"/>
  <c r="DC245" i="5"/>
  <c r="DD245" i="5"/>
  <c r="DE245" i="5"/>
  <c r="CX246" i="5"/>
  <c r="CY246" i="5"/>
  <c r="CZ246" i="5"/>
  <c r="DA246" i="5"/>
  <c r="DB246" i="5"/>
  <c r="DC246" i="5"/>
  <c r="DD246" i="5"/>
  <c r="DE246" i="5"/>
  <c r="CX247" i="5"/>
  <c r="CY247" i="5"/>
  <c r="CZ247" i="5"/>
  <c r="DA247" i="5"/>
  <c r="DB247" i="5"/>
  <c r="DD247" i="5"/>
  <c r="DE247" i="5"/>
  <c r="CX248" i="5"/>
  <c r="CY248" i="5"/>
  <c r="DA248" i="5"/>
  <c r="DB248" i="5"/>
  <c r="DC248" i="5"/>
  <c r="DD248" i="5"/>
  <c r="DE248" i="5"/>
  <c r="CX249" i="5"/>
  <c r="CY249" i="5"/>
  <c r="CZ249" i="5"/>
  <c r="DA249" i="5"/>
  <c r="DB249" i="5"/>
  <c r="DC249" i="5"/>
  <c r="DD249" i="5"/>
  <c r="CX250" i="5"/>
  <c r="CY250" i="5"/>
  <c r="CZ250" i="5"/>
  <c r="DA250" i="5"/>
  <c r="DB250" i="5"/>
  <c r="DC250" i="5"/>
  <c r="DD250" i="5"/>
  <c r="DE250" i="5"/>
  <c r="DH2" i="12"/>
  <c r="BE5" i="5"/>
  <c r="BF5" i="5"/>
  <c r="BH5" i="5"/>
  <c r="BJ5" i="5"/>
  <c r="AX5" i="5"/>
  <c r="AZ5" i="5"/>
  <c r="AT5" i="5"/>
  <c r="AR5" i="5"/>
  <c r="AJ5" i="5"/>
  <c r="AH5" i="5"/>
  <c r="AM5" i="5"/>
  <c r="AL5" i="5"/>
  <c r="AQ5" i="5"/>
  <c r="BA5" i="5"/>
  <c r="CS5" i="5"/>
  <c r="BE6" i="5"/>
  <c r="BF6" i="5"/>
  <c r="BH6" i="5"/>
  <c r="BJ6" i="5"/>
  <c r="AX6" i="5"/>
  <c r="AZ6" i="5"/>
  <c r="AT6" i="5"/>
  <c r="AR6" i="5"/>
  <c r="AJ6" i="5"/>
  <c r="AH6" i="5"/>
  <c r="AM6" i="5"/>
  <c r="AL6" i="5"/>
  <c r="AQ6" i="5"/>
  <c r="BA6" i="5"/>
  <c r="CS6" i="5"/>
  <c r="BE7" i="5"/>
  <c r="BF7" i="5"/>
  <c r="BH7" i="5"/>
  <c r="BJ7" i="5"/>
  <c r="AX7" i="5"/>
  <c r="AZ7" i="5"/>
  <c r="AT7" i="5"/>
  <c r="AR7" i="5"/>
  <c r="AJ7" i="5"/>
  <c r="AH7" i="5"/>
  <c r="AM7" i="5"/>
  <c r="AL7" i="5"/>
  <c r="AQ7" i="5"/>
  <c r="BA7" i="5"/>
  <c r="CS7" i="5"/>
  <c r="BE8" i="5"/>
  <c r="BF8" i="5"/>
  <c r="BH8" i="5"/>
  <c r="BJ8" i="5"/>
  <c r="AX8" i="5"/>
  <c r="AZ8" i="5"/>
  <c r="AT8" i="5"/>
  <c r="AR8" i="5"/>
  <c r="AJ8" i="5"/>
  <c r="AH8" i="5"/>
  <c r="AM8" i="5"/>
  <c r="AL8" i="5"/>
  <c r="AQ8" i="5"/>
  <c r="BA8" i="5"/>
  <c r="CS8" i="5"/>
  <c r="BE9" i="5"/>
  <c r="BF9" i="5"/>
  <c r="BH9" i="5"/>
  <c r="BJ9" i="5"/>
  <c r="AX9" i="5"/>
  <c r="AZ9" i="5"/>
  <c r="AT9" i="5"/>
  <c r="AR9" i="5"/>
  <c r="AJ9" i="5"/>
  <c r="AH9" i="5"/>
  <c r="AM9" i="5"/>
  <c r="AL9" i="5"/>
  <c r="AQ9" i="5"/>
  <c r="BA9" i="5"/>
  <c r="CS9" i="5"/>
  <c r="BE10" i="5"/>
  <c r="BF10" i="5"/>
  <c r="BH10" i="5"/>
  <c r="BJ10" i="5"/>
  <c r="AX10" i="5"/>
  <c r="AZ10" i="5"/>
  <c r="AT10" i="5"/>
  <c r="AR10" i="5"/>
  <c r="AJ10" i="5"/>
  <c r="AH10" i="5"/>
  <c r="AM10" i="5"/>
  <c r="AL10" i="5"/>
  <c r="AQ10" i="5"/>
  <c r="BA10" i="5"/>
  <c r="CS10" i="5"/>
  <c r="BE11" i="5"/>
  <c r="BF11" i="5"/>
  <c r="BH11" i="5"/>
  <c r="BJ11" i="5"/>
  <c r="AX11" i="5"/>
  <c r="AZ11" i="5"/>
  <c r="AT11" i="5"/>
  <c r="AR11" i="5"/>
  <c r="AJ11" i="5"/>
  <c r="AH11" i="5"/>
  <c r="AM11" i="5"/>
  <c r="AL11" i="5"/>
  <c r="AQ11" i="5"/>
  <c r="BA11" i="5"/>
  <c r="CS11" i="5"/>
  <c r="BE12" i="5"/>
  <c r="BF12" i="5"/>
  <c r="BH12" i="5"/>
  <c r="BJ12" i="5"/>
  <c r="AX12" i="5"/>
  <c r="AZ12" i="5"/>
  <c r="AT12" i="5"/>
  <c r="AR12" i="5"/>
  <c r="AJ12" i="5"/>
  <c r="AH12" i="5"/>
  <c r="AM12" i="5"/>
  <c r="AL12" i="5"/>
  <c r="AQ12" i="5"/>
  <c r="BA12" i="5"/>
  <c r="CS12" i="5"/>
  <c r="BE13" i="5"/>
  <c r="BF13" i="5"/>
  <c r="BH13" i="5"/>
  <c r="BJ13" i="5"/>
  <c r="AX13" i="5"/>
  <c r="AZ13" i="5"/>
  <c r="AT13" i="5"/>
  <c r="AR13" i="5"/>
  <c r="AJ13" i="5"/>
  <c r="AH13" i="5"/>
  <c r="AM13" i="5"/>
  <c r="AL13" i="5"/>
  <c r="AQ13" i="5"/>
  <c r="BA13" i="5"/>
  <c r="CS13" i="5"/>
  <c r="BE14" i="5"/>
  <c r="BF14" i="5"/>
  <c r="BH14" i="5"/>
  <c r="BJ14" i="5"/>
  <c r="AX14" i="5"/>
  <c r="AZ14" i="5"/>
  <c r="AT14" i="5"/>
  <c r="AR14" i="5"/>
  <c r="AJ14" i="5"/>
  <c r="AH14" i="5"/>
  <c r="AM14" i="5"/>
  <c r="AL14" i="5"/>
  <c r="AQ14" i="5"/>
  <c r="BA14" i="5"/>
  <c r="CS14" i="5"/>
  <c r="BE15" i="5"/>
  <c r="BF15" i="5"/>
  <c r="BH15" i="5"/>
  <c r="BJ15" i="5"/>
  <c r="AX15" i="5"/>
  <c r="AZ15" i="5"/>
  <c r="AT15" i="5"/>
  <c r="AR15" i="5"/>
  <c r="AJ15" i="5"/>
  <c r="AH15" i="5"/>
  <c r="AM15" i="5"/>
  <c r="AL15" i="5"/>
  <c r="AQ15" i="5"/>
  <c r="BA15" i="5"/>
  <c r="CS15" i="5"/>
  <c r="BE16" i="5"/>
  <c r="BF16" i="5"/>
  <c r="BH16" i="5"/>
  <c r="BJ16" i="5"/>
  <c r="AX16" i="5"/>
  <c r="AZ16" i="5"/>
  <c r="AT16" i="5"/>
  <c r="AR16" i="5"/>
  <c r="AJ16" i="5"/>
  <c r="AH16" i="5"/>
  <c r="AM16" i="5"/>
  <c r="AL16" i="5"/>
  <c r="AQ16" i="5"/>
  <c r="BA16" i="5"/>
  <c r="CS16" i="5"/>
  <c r="BE17" i="5"/>
  <c r="BF17" i="5"/>
  <c r="BH17" i="5"/>
  <c r="BJ17" i="5"/>
  <c r="AX17" i="5"/>
  <c r="AZ17" i="5"/>
  <c r="AT17" i="5"/>
  <c r="AR17" i="5"/>
  <c r="AJ17" i="5"/>
  <c r="AH17" i="5"/>
  <c r="AM17" i="5"/>
  <c r="AL17" i="5"/>
  <c r="AQ17" i="5"/>
  <c r="BA17" i="5"/>
  <c r="CS17" i="5"/>
  <c r="BE18" i="5"/>
  <c r="BF18" i="5"/>
  <c r="BH18" i="5"/>
  <c r="BJ18" i="5"/>
  <c r="AX18" i="5"/>
  <c r="AZ18" i="5"/>
  <c r="AT18" i="5"/>
  <c r="AR18" i="5"/>
  <c r="AJ18" i="5"/>
  <c r="AH18" i="5"/>
  <c r="AM18" i="5"/>
  <c r="AL18" i="5"/>
  <c r="AQ18" i="5"/>
  <c r="BA18" i="5"/>
  <c r="CS18" i="5"/>
  <c r="BE19" i="5"/>
  <c r="BF19" i="5"/>
  <c r="BH19" i="5"/>
  <c r="BJ19" i="5"/>
  <c r="AX19" i="5"/>
  <c r="AZ19" i="5"/>
  <c r="AT19" i="5"/>
  <c r="AR19" i="5"/>
  <c r="AJ19" i="5"/>
  <c r="AH19" i="5"/>
  <c r="AM19" i="5"/>
  <c r="AL19" i="5"/>
  <c r="AQ19" i="5"/>
  <c r="BA19" i="5"/>
  <c r="CS19" i="5"/>
  <c r="BE20" i="5"/>
  <c r="BF20" i="5"/>
  <c r="BH20" i="5"/>
  <c r="BJ20" i="5"/>
  <c r="AX20" i="5"/>
  <c r="AZ20" i="5"/>
  <c r="AT20" i="5"/>
  <c r="AR20" i="5"/>
  <c r="AJ20" i="5"/>
  <c r="AH20" i="5"/>
  <c r="AM20" i="5"/>
  <c r="AL20" i="5"/>
  <c r="AQ20" i="5"/>
  <c r="BA20" i="5"/>
  <c r="CS20" i="5"/>
  <c r="BE21" i="5"/>
  <c r="BF21" i="5"/>
  <c r="BH21" i="5"/>
  <c r="BJ21" i="5"/>
  <c r="AX21" i="5"/>
  <c r="AZ21" i="5"/>
  <c r="AT21" i="5"/>
  <c r="AR21" i="5"/>
  <c r="AJ21" i="5"/>
  <c r="AH21" i="5"/>
  <c r="AM21" i="5"/>
  <c r="AL21" i="5"/>
  <c r="AQ21" i="5"/>
  <c r="BA21" i="5"/>
  <c r="CS21" i="5"/>
  <c r="BE22" i="5"/>
  <c r="BF22" i="5"/>
  <c r="BH22" i="5"/>
  <c r="BJ22" i="5"/>
  <c r="AX22" i="5"/>
  <c r="AZ22" i="5"/>
  <c r="AT22" i="5"/>
  <c r="AR22" i="5"/>
  <c r="AJ22" i="5"/>
  <c r="AH22" i="5"/>
  <c r="AM22" i="5"/>
  <c r="AL22" i="5"/>
  <c r="AQ22" i="5"/>
  <c r="BA22" i="5"/>
  <c r="CS22" i="5"/>
  <c r="BE23" i="5"/>
  <c r="BF23" i="5"/>
  <c r="BH23" i="5"/>
  <c r="BJ23" i="5"/>
  <c r="AX23" i="5"/>
  <c r="AZ23" i="5"/>
  <c r="AT23" i="5"/>
  <c r="AR23" i="5"/>
  <c r="AJ23" i="5"/>
  <c r="AH23" i="5"/>
  <c r="AM23" i="5"/>
  <c r="AL23" i="5"/>
  <c r="AQ23" i="5"/>
  <c r="BA23" i="5"/>
  <c r="CS23" i="5"/>
  <c r="BE24" i="5"/>
  <c r="BF24" i="5"/>
  <c r="BH24" i="5"/>
  <c r="BJ24" i="5"/>
  <c r="AX24" i="5"/>
  <c r="AZ24" i="5"/>
  <c r="AT24" i="5"/>
  <c r="AR24" i="5"/>
  <c r="AJ24" i="5"/>
  <c r="AH24" i="5"/>
  <c r="AM24" i="5"/>
  <c r="AL24" i="5"/>
  <c r="AQ24" i="5"/>
  <c r="BA24" i="5"/>
  <c r="CS24" i="5"/>
  <c r="BE25" i="5"/>
  <c r="BF25" i="5"/>
  <c r="BH25" i="5"/>
  <c r="BJ25" i="5"/>
  <c r="AX25" i="5"/>
  <c r="AZ25" i="5"/>
  <c r="AT25" i="5"/>
  <c r="AR25" i="5"/>
  <c r="AJ25" i="5"/>
  <c r="AH25" i="5"/>
  <c r="AM25" i="5"/>
  <c r="AL25" i="5"/>
  <c r="AQ25" i="5"/>
  <c r="BA25" i="5"/>
  <c r="CS25" i="5"/>
  <c r="BE26" i="5"/>
  <c r="BF26" i="5"/>
  <c r="BH26" i="5"/>
  <c r="BJ26" i="5"/>
  <c r="AX26" i="5"/>
  <c r="AZ26" i="5"/>
  <c r="AT26" i="5"/>
  <c r="AR26" i="5"/>
  <c r="AJ26" i="5"/>
  <c r="AH26" i="5"/>
  <c r="AM26" i="5"/>
  <c r="AL26" i="5"/>
  <c r="AQ26" i="5"/>
  <c r="BA26" i="5"/>
  <c r="CS26" i="5"/>
  <c r="BE27" i="5"/>
  <c r="BF27" i="5"/>
  <c r="BH27" i="5"/>
  <c r="BJ27" i="5"/>
  <c r="AX27" i="5"/>
  <c r="AZ27" i="5"/>
  <c r="AT27" i="5"/>
  <c r="AR27" i="5"/>
  <c r="AJ27" i="5"/>
  <c r="AH27" i="5"/>
  <c r="AM27" i="5"/>
  <c r="AL27" i="5"/>
  <c r="AQ27" i="5"/>
  <c r="BA27" i="5"/>
  <c r="CS27" i="5"/>
  <c r="BE28" i="5"/>
  <c r="BF28" i="5"/>
  <c r="BH28" i="5"/>
  <c r="BJ28" i="5"/>
  <c r="AX28" i="5"/>
  <c r="AZ28" i="5"/>
  <c r="AT28" i="5"/>
  <c r="AR28" i="5"/>
  <c r="AJ28" i="5"/>
  <c r="AH28" i="5"/>
  <c r="AM28" i="5"/>
  <c r="AL28" i="5"/>
  <c r="AQ28" i="5"/>
  <c r="BA28" i="5"/>
  <c r="CS28" i="5"/>
  <c r="BE29" i="5"/>
  <c r="BF29" i="5"/>
  <c r="BH29" i="5"/>
  <c r="BJ29" i="5"/>
  <c r="AX29" i="5"/>
  <c r="AZ29" i="5"/>
  <c r="AT29" i="5"/>
  <c r="AR29" i="5"/>
  <c r="AJ29" i="5"/>
  <c r="AH29" i="5"/>
  <c r="AM29" i="5"/>
  <c r="AL29" i="5"/>
  <c r="AQ29" i="5"/>
  <c r="BA29" i="5"/>
  <c r="CS29" i="5"/>
  <c r="BE30" i="5"/>
  <c r="BF30" i="5"/>
  <c r="BH30" i="5"/>
  <c r="BJ30" i="5"/>
  <c r="AX30" i="5"/>
  <c r="AZ30" i="5"/>
  <c r="AT30" i="5"/>
  <c r="AR30" i="5"/>
  <c r="AJ30" i="5"/>
  <c r="AH30" i="5"/>
  <c r="AM30" i="5"/>
  <c r="AL30" i="5"/>
  <c r="AQ30" i="5"/>
  <c r="BA30" i="5"/>
  <c r="CS30" i="5"/>
  <c r="BE31" i="5"/>
  <c r="BF31" i="5"/>
  <c r="BH31" i="5"/>
  <c r="BJ31" i="5"/>
  <c r="AX31" i="5"/>
  <c r="AZ31" i="5"/>
  <c r="AT31" i="5"/>
  <c r="AR31" i="5"/>
  <c r="AJ31" i="5"/>
  <c r="AH31" i="5"/>
  <c r="AM31" i="5"/>
  <c r="AL31" i="5"/>
  <c r="AQ31" i="5"/>
  <c r="BA31" i="5"/>
  <c r="CS31" i="5"/>
  <c r="BE32" i="5"/>
  <c r="BF32" i="5"/>
  <c r="BH32" i="5"/>
  <c r="BJ32" i="5"/>
  <c r="AX32" i="5"/>
  <c r="AZ32" i="5"/>
  <c r="AT32" i="5"/>
  <c r="AR32" i="5"/>
  <c r="AJ32" i="5"/>
  <c r="AH32" i="5"/>
  <c r="AM32" i="5"/>
  <c r="AL32" i="5"/>
  <c r="AQ32" i="5"/>
  <c r="BA32" i="5"/>
  <c r="CS32" i="5"/>
  <c r="BE33" i="5"/>
  <c r="BF33" i="5"/>
  <c r="BH33" i="5"/>
  <c r="BJ33" i="5"/>
  <c r="AX33" i="5"/>
  <c r="AZ33" i="5"/>
  <c r="AT33" i="5"/>
  <c r="AR33" i="5"/>
  <c r="AJ33" i="5"/>
  <c r="AH33" i="5"/>
  <c r="AM33" i="5"/>
  <c r="AL33" i="5"/>
  <c r="AQ33" i="5"/>
  <c r="BA33" i="5"/>
  <c r="CS33" i="5"/>
  <c r="BE34" i="5"/>
  <c r="BF34" i="5"/>
  <c r="BH34" i="5"/>
  <c r="BJ34" i="5"/>
  <c r="AX34" i="5"/>
  <c r="AZ34" i="5"/>
  <c r="AT34" i="5"/>
  <c r="AR34" i="5"/>
  <c r="AJ34" i="5"/>
  <c r="AH34" i="5"/>
  <c r="AM34" i="5"/>
  <c r="AL34" i="5"/>
  <c r="AQ34" i="5"/>
  <c r="BA34" i="5"/>
  <c r="CS34" i="5"/>
  <c r="BE35" i="5"/>
  <c r="BF35" i="5"/>
  <c r="BH35" i="5"/>
  <c r="BJ35" i="5"/>
  <c r="AX35" i="5"/>
  <c r="AZ35" i="5"/>
  <c r="AT35" i="5"/>
  <c r="AR35" i="5"/>
  <c r="AJ35" i="5"/>
  <c r="AH35" i="5"/>
  <c r="AM35" i="5"/>
  <c r="AL35" i="5"/>
  <c r="AQ35" i="5"/>
  <c r="BA35" i="5"/>
  <c r="CS35" i="5"/>
  <c r="BE36" i="5"/>
  <c r="BF36" i="5"/>
  <c r="BH36" i="5"/>
  <c r="BJ36" i="5"/>
  <c r="AX36" i="5"/>
  <c r="AZ36" i="5"/>
  <c r="AT36" i="5"/>
  <c r="AR36" i="5"/>
  <c r="AJ36" i="5"/>
  <c r="AH36" i="5"/>
  <c r="AM36" i="5"/>
  <c r="AL36" i="5"/>
  <c r="AQ36" i="5"/>
  <c r="BA36" i="5"/>
  <c r="CS36" i="5"/>
  <c r="BE37" i="5"/>
  <c r="BF37" i="5"/>
  <c r="BH37" i="5"/>
  <c r="BJ37" i="5"/>
  <c r="AX37" i="5"/>
  <c r="AZ37" i="5"/>
  <c r="AT37" i="5"/>
  <c r="AR37" i="5"/>
  <c r="AJ37" i="5"/>
  <c r="AH37" i="5"/>
  <c r="AM37" i="5"/>
  <c r="AL37" i="5"/>
  <c r="AQ37" i="5"/>
  <c r="BA37" i="5"/>
  <c r="CS37" i="5"/>
  <c r="BE38" i="5"/>
  <c r="BF38" i="5"/>
  <c r="BH38" i="5"/>
  <c r="BJ38" i="5"/>
  <c r="AX38" i="5"/>
  <c r="AZ38" i="5"/>
  <c r="AT38" i="5"/>
  <c r="AR38" i="5"/>
  <c r="AJ38" i="5"/>
  <c r="AH38" i="5"/>
  <c r="AM38" i="5"/>
  <c r="AL38" i="5"/>
  <c r="AQ38" i="5"/>
  <c r="BA38" i="5"/>
  <c r="CS38" i="5"/>
  <c r="BE39" i="5"/>
  <c r="BF39" i="5"/>
  <c r="BH39" i="5"/>
  <c r="BJ39" i="5"/>
  <c r="AX39" i="5"/>
  <c r="AZ39" i="5"/>
  <c r="AT39" i="5"/>
  <c r="AR39" i="5"/>
  <c r="AJ39" i="5"/>
  <c r="AH39" i="5"/>
  <c r="AM39" i="5"/>
  <c r="AL39" i="5"/>
  <c r="AQ39" i="5"/>
  <c r="BA39" i="5"/>
  <c r="CS39" i="5"/>
  <c r="BE40" i="5"/>
  <c r="BF40" i="5"/>
  <c r="BH40" i="5"/>
  <c r="BJ40" i="5"/>
  <c r="AX40" i="5"/>
  <c r="AZ40" i="5"/>
  <c r="AT40" i="5"/>
  <c r="AR40" i="5"/>
  <c r="AJ40" i="5"/>
  <c r="AH40" i="5"/>
  <c r="AM40" i="5"/>
  <c r="AL40" i="5"/>
  <c r="AQ40" i="5"/>
  <c r="BA40" i="5"/>
  <c r="CS40" i="5"/>
  <c r="BE42" i="5"/>
  <c r="BF42" i="5"/>
  <c r="BH42" i="5"/>
  <c r="BJ42" i="5"/>
  <c r="AX42" i="5"/>
  <c r="AZ42" i="5"/>
  <c r="AT42" i="5"/>
  <c r="AR42" i="5"/>
  <c r="AJ42" i="5"/>
  <c r="AH42" i="5"/>
  <c r="AM42" i="5"/>
  <c r="AL42" i="5"/>
  <c r="AQ42" i="5"/>
  <c r="BA42" i="5"/>
  <c r="CS42" i="5"/>
  <c r="BE43" i="5"/>
  <c r="BF43" i="5"/>
  <c r="BH43" i="5"/>
  <c r="BJ43" i="5"/>
  <c r="AX43" i="5"/>
  <c r="AZ43" i="5"/>
  <c r="AT43" i="5"/>
  <c r="AR43" i="5"/>
  <c r="AJ43" i="5"/>
  <c r="AH43" i="5"/>
  <c r="AM43" i="5"/>
  <c r="AL43" i="5"/>
  <c r="AQ43" i="5"/>
  <c r="BA43" i="5"/>
  <c r="CS43" i="5"/>
  <c r="BF45" i="5"/>
  <c r="AZ45" i="5"/>
  <c r="AH45" i="5"/>
  <c r="BA45" i="5"/>
  <c r="BE46" i="5"/>
  <c r="BF46" i="5"/>
  <c r="BH46" i="5"/>
  <c r="BJ46" i="5"/>
  <c r="AX46" i="5"/>
  <c r="AZ46" i="5"/>
  <c r="AT46" i="5"/>
  <c r="AR46" i="5"/>
  <c r="AJ46" i="5"/>
  <c r="AH46" i="5"/>
  <c r="AM46" i="5"/>
  <c r="AL46" i="5"/>
  <c r="AQ46" i="5"/>
  <c r="BA46" i="5"/>
  <c r="CS46" i="5"/>
  <c r="BE48" i="5"/>
  <c r="BF48" i="5"/>
  <c r="BH48" i="5"/>
  <c r="BJ48" i="5"/>
  <c r="AX48" i="5"/>
  <c r="AZ48" i="5"/>
  <c r="AT48" i="5"/>
  <c r="AR48" i="5"/>
  <c r="AJ48" i="5"/>
  <c r="AH48" i="5"/>
  <c r="AM48" i="5"/>
  <c r="AL48" i="5"/>
  <c r="AQ48" i="5"/>
  <c r="BA48" i="5"/>
  <c r="CS48" i="5"/>
  <c r="BE53" i="5"/>
  <c r="BF53" i="5"/>
  <c r="BH53" i="5"/>
  <c r="BJ53" i="5"/>
  <c r="AX53" i="5"/>
  <c r="AZ53" i="5"/>
  <c r="AT53" i="5"/>
  <c r="AR53" i="5"/>
  <c r="AJ53" i="5"/>
  <c r="AH53" i="5"/>
  <c r="AM53" i="5"/>
  <c r="AL53" i="5"/>
  <c r="AQ53" i="5"/>
  <c r="BA53" i="5"/>
  <c r="CS53" i="5"/>
  <c r="BE54" i="5"/>
  <c r="BF54" i="5"/>
  <c r="BH54" i="5"/>
  <c r="BJ54" i="5"/>
  <c r="AX54" i="5"/>
  <c r="AZ54" i="5"/>
  <c r="AT54" i="5"/>
  <c r="AR54" i="5"/>
  <c r="AJ54" i="5"/>
  <c r="AH54" i="5"/>
  <c r="AM54" i="5"/>
  <c r="AL54" i="5"/>
  <c r="AQ54" i="5"/>
  <c r="BA54" i="5"/>
  <c r="CS54" i="5"/>
  <c r="BE55" i="5"/>
  <c r="BF55" i="5"/>
  <c r="BH55" i="5"/>
  <c r="BJ55" i="5"/>
  <c r="AX55" i="5"/>
  <c r="AZ55" i="5"/>
  <c r="AT55" i="5"/>
  <c r="AR55" i="5"/>
  <c r="AJ55" i="5"/>
  <c r="AH55" i="5"/>
  <c r="AM55" i="5"/>
  <c r="AL55" i="5"/>
  <c r="AQ55" i="5"/>
  <c r="BA55" i="5"/>
  <c r="CS55" i="5"/>
  <c r="BE56" i="5"/>
  <c r="BF56" i="5"/>
  <c r="BH56" i="5"/>
  <c r="BJ56" i="5"/>
  <c r="AX56" i="5"/>
  <c r="AZ56" i="5"/>
  <c r="AT56" i="5"/>
  <c r="AR56" i="5"/>
  <c r="AJ56" i="5"/>
  <c r="AH56" i="5"/>
  <c r="AM56" i="5"/>
  <c r="AL56" i="5"/>
  <c r="AQ56" i="5"/>
  <c r="BA56" i="5"/>
  <c r="CS56" i="5"/>
  <c r="BE57" i="5"/>
  <c r="BF57" i="5"/>
  <c r="BH57" i="5"/>
  <c r="BJ57" i="5"/>
  <c r="AX57" i="5"/>
  <c r="AZ57" i="5"/>
  <c r="AT57" i="5"/>
  <c r="AR57" i="5"/>
  <c r="AJ57" i="5"/>
  <c r="AH57" i="5"/>
  <c r="AM57" i="5"/>
  <c r="AL57" i="5"/>
  <c r="AQ57" i="5"/>
  <c r="BA57" i="5"/>
  <c r="CS57" i="5"/>
  <c r="BE58" i="5"/>
  <c r="BF58" i="5"/>
  <c r="BH58" i="5"/>
  <c r="BJ58" i="5"/>
  <c r="AX58" i="5"/>
  <c r="AZ58" i="5"/>
  <c r="AT58" i="5"/>
  <c r="AR58" i="5"/>
  <c r="AJ58" i="5"/>
  <c r="AH58" i="5"/>
  <c r="AM58" i="5"/>
  <c r="AL58" i="5"/>
  <c r="AQ58" i="5"/>
  <c r="BA58" i="5"/>
  <c r="CS58" i="5"/>
  <c r="BE59" i="5"/>
  <c r="BF59" i="5"/>
  <c r="BH59" i="5"/>
  <c r="BJ59" i="5"/>
  <c r="AX59" i="5"/>
  <c r="AZ59" i="5"/>
  <c r="AT59" i="5"/>
  <c r="AR59" i="5"/>
  <c r="AJ59" i="5"/>
  <c r="AH59" i="5"/>
  <c r="AM59" i="5"/>
  <c r="AL59" i="5"/>
  <c r="AQ59" i="5"/>
  <c r="BA59" i="5"/>
  <c r="CS59" i="5"/>
  <c r="BE60" i="5"/>
  <c r="BF60" i="5"/>
  <c r="BH60" i="5"/>
  <c r="BJ60" i="5"/>
  <c r="AX60" i="5"/>
  <c r="AZ60" i="5"/>
  <c r="AT60" i="5"/>
  <c r="AR60" i="5"/>
  <c r="AJ60" i="5"/>
  <c r="AH60" i="5"/>
  <c r="AM60" i="5"/>
  <c r="AL60" i="5"/>
  <c r="AQ60" i="5"/>
  <c r="BA60" i="5"/>
  <c r="CS60" i="5"/>
  <c r="BE61" i="5"/>
  <c r="BF61" i="5"/>
  <c r="BH61" i="5"/>
  <c r="BJ61" i="5"/>
  <c r="AX61" i="5"/>
  <c r="AZ61" i="5"/>
  <c r="AT61" i="5"/>
  <c r="AR61" i="5"/>
  <c r="AJ61" i="5"/>
  <c r="AH61" i="5"/>
  <c r="AM61" i="5"/>
  <c r="AL61" i="5"/>
  <c r="AQ61" i="5"/>
  <c r="BA61" i="5"/>
  <c r="CS61" i="5"/>
  <c r="BE62" i="5"/>
  <c r="BF62" i="5"/>
  <c r="BH62" i="5"/>
  <c r="BJ62" i="5"/>
  <c r="AX62" i="5"/>
  <c r="AZ62" i="5"/>
  <c r="AT62" i="5"/>
  <c r="AR62" i="5"/>
  <c r="AJ62" i="5"/>
  <c r="AH62" i="5"/>
  <c r="AM62" i="5"/>
  <c r="AL62" i="5"/>
  <c r="AQ62" i="5"/>
  <c r="BA62" i="5"/>
  <c r="CS62" i="5"/>
  <c r="BE63" i="5"/>
  <c r="BF63" i="5"/>
  <c r="BH63" i="5"/>
  <c r="BJ63" i="5"/>
  <c r="AX63" i="5"/>
  <c r="AZ63" i="5"/>
  <c r="AT63" i="5"/>
  <c r="AR63" i="5"/>
  <c r="AJ63" i="5"/>
  <c r="AH63" i="5"/>
  <c r="AM63" i="5"/>
  <c r="AL63" i="5"/>
  <c r="AQ63" i="5"/>
  <c r="BA63" i="5"/>
  <c r="CS63" i="5"/>
  <c r="BE64" i="5"/>
  <c r="BF64" i="5"/>
  <c r="BH64" i="5"/>
  <c r="BJ64" i="5"/>
  <c r="AX64" i="5"/>
  <c r="AZ64" i="5"/>
  <c r="AT64" i="5"/>
  <c r="AR64" i="5"/>
  <c r="AJ64" i="5"/>
  <c r="AH64" i="5"/>
  <c r="AM64" i="5"/>
  <c r="AL64" i="5"/>
  <c r="AQ64" i="5"/>
  <c r="BA64" i="5"/>
  <c r="CS64" i="5"/>
  <c r="BH65" i="5"/>
  <c r="AT65" i="5"/>
  <c r="AM65" i="5"/>
  <c r="CS65" i="5"/>
  <c r="BE66" i="5"/>
  <c r="BF66" i="5"/>
  <c r="BH66" i="5"/>
  <c r="BJ66" i="5"/>
  <c r="AX66" i="5"/>
  <c r="AZ66" i="5"/>
  <c r="AT66" i="5"/>
  <c r="AR66" i="5"/>
  <c r="AJ66" i="5"/>
  <c r="AH66" i="5"/>
  <c r="AM66" i="5"/>
  <c r="AL66" i="5"/>
  <c r="AQ66" i="5"/>
  <c r="BA66" i="5"/>
  <c r="CS66" i="5"/>
  <c r="BE67" i="5"/>
  <c r="BF67" i="5"/>
  <c r="BH67" i="5"/>
  <c r="BJ67" i="5"/>
  <c r="AX67" i="5"/>
  <c r="AZ67" i="5"/>
  <c r="AT67" i="5"/>
  <c r="AR67" i="5"/>
  <c r="AJ67" i="5"/>
  <c r="AH67" i="5"/>
  <c r="AM67" i="5"/>
  <c r="AL67" i="5"/>
  <c r="AQ67" i="5"/>
  <c r="BA67" i="5"/>
  <c r="CS67" i="5"/>
  <c r="BE68" i="5"/>
  <c r="BF68" i="5"/>
  <c r="BH68" i="5"/>
  <c r="BJ68" i="5"/>
  <c r="AX68" i="5"/>
  <c r="AZ68" i="5"/>
  <c r="AT68" i="5"/>
  <c r="AR68" i="5"/>
  <c r="AJ68" i="5"/>
  <c r="AH68" i="5"/>
  <c r="AM68" i="5"/>
  <c r="AL68" i="5"/>
  <c r="AQ68" i="5"/>
  <c r="BA68" i="5"/>
  <c r="CS68" i="5"/>
  <c r="BE69" i="5"/>
  <c r="BF69" i="5"/>
  <c r="BH69" i="5"/>
  <c r="BJ69" i="5"/>
  <c r="AX69" i="5"/>
  <c r="AZ69" i="5"/>
  <c r="AT69" i="5"/>
  <c r="AR69" i="5"/>
  <c r="AJ69" i="5"/>
  <c r="AH69" i="5"/>
  <c r="AM69" i="5"/>
  <c r="AL69" i="5"/>
  <c r="AQ69" i="5"/>
  <c r="BA69" i="5"/>
  <c r="CS69" i="5"/>
  <c r="BE71" i="5"/>
  <c r="BF71" i="5"/>
  <c r="BH71" i="5"/>
  <c r="BJ71" i="5"/>
  <c r="AX71" i="5"/>
  <c r="AZ71" i="5"/>
  <c r="AT71" i="5"/>
  <c r="AR71" i="5"/>
  <c r="AJ71" i="5"/>
  <c r="AH71" i="5"/>
  <c r="AM71" i="5"/>
  <c r="AL71" i="5"/>
  <c r="AQ71" i="5"/>
  <c r="BA71" i="5"/>
  <c r="CS71" i="5"/>
  <c r="BE72" i="5"/>
  <c r="BF72" i="5"/>
  <c r="BH72" i="5"/>
  <c r="BJ72" i="5"/>
  <c r="AX72" i="5"/>
  <c r="AZ72" i="5"/>
  <c r="AT72" i="5"/>
  <c r="AR72" i="5"/>
  <c r="AJ72" i="5"/>
  <c r="AH72" i="5"/>
  <c r="AM72" i="5"/>
  <c r="AL72" i="5"/>
  <c r="AQ72" i="5"/>
  <c r="BA72" i="5"/>
  <c r="CS72" i="5"/>
  <c r="BE73" i="5"/>
  <c r="BF73" i="5"/>
  <c r="BH73" i="5"/>
  <c r="BJ73" i="5"/>
  <c r="AX73" i="5"/>
  <c r="AZ73" i="5"/>
  <c r="AT73" i="5"/>
  <c r="AR73" i="5"/>
  <c r="AJ73" i="5"/>
  <c r="AH73" i="5"/>
  <c r="AM73" i="5"/>
  <c r="AL73" i="5"/>
  <c r="AQ73" i="5"/>
  <c r="BA73" i="5"/>
  <c r="CS73" i="5"/>
  <c r="BE74" i="5"/>
  <c r="BF74" i="5"/>
  <c r="BH74" i="5"/>
  <c r="BJ74" i="5"/>
  <c r="AX74" i="5"/>
  <c r="AZ74" i="5"/>
  <c r="AT74" i="5"/>
  <c r="AR74" i="5"/>
  <c r="AJ74" i="5"/>
  <c r="AH74" i="5"/>
  <c r="AM74" i="5"/>
  <c r="AL74" i="5"/>
  <c r="AQ74" i="5"/>
  <c r="BA74" i="5"/>
  <c r="CS74" i="5"/>
  <c r="BE76" i="5"/>
  <c r="BF76" i="5"/>
  <c r="BH76" i="5"/>
  <c r="BJ76" i="5"/>
  <c r="AX76" i="5"/>
  <c r="AZ76" i="5"/>
  <c r="AT76" i="5"/>
  <c r="AR76" i="5"/>
  <c r="AJ76" i="5"/>
  <c r="AH76" i="5"/>
  <c r="AM76" i="5"/>
  <c r="AL76" i="5"/>
  <c r="AQ76" i="5"/>
  <c r="BA76" i="5"/>
  <c r="CS76" i="5"/>
  <c r="BE77" i="5"/>
  <c r="BF77" i="5"/>
  <c r="BH77" i="5"/>
  <c r="BJ77" i="5"/>
  <c r="AX77" i="5"/>
  <c r="AZ77" i="5"/>
  <c r="AT77" i="5"/>
  <c r="AR77" i="5"/>
  <c r="AJ77" i="5"/>
  <c r="AH77" i="5"/>
  <c r="AM77" i="5"/>
  <c r="AL77" i="5"/>
  <c r="AQ77" i="5"/>
  <c r="BA77" i="5"/>
  <c r="CS77" i="5"/>
  <c r="BE78" i="5"/>
  <c r="BF78" i="5"/>
  <c r="BH78" i="5"/>
  <c r="BJ78" i="5"/>
  <c r="AX78" i="5"/>
  <c r="AZ78" i="5"/>
  <c r="AT78" i="5"/>
  <c r="AR78" i="5"/>
  <c r="AJ78" i="5"/>
  <c r="AH78" i="5"/>
  <c r="AM78" i="5"/>
  <c r="AL78" i="5"/>
  <c r="AQ78" i="5"/>
  <c r="BA78" i="5"/>
  <c r="CS78" i="5"/>
  <c r="BE79" i="5"/>
  <c r="BF79" i="5"/>
  <c r="BH79" i="5"/>
  <c r="BJ79" i="5"/>
  <c r="AX79" i="5"/>
  <c r="AZ79" i="5"/>
  <c r="AT79" i="5"/>
  <c r="AR79" i="5"/>
  <c r="AJ79" i="5"/>
  <c r="AH79" i="5"/>
  <c r="AM79" i="5"/>
  <c r="AL79" i="5"/>
  <c r="AQ79" i="5"/>
  <c r="BA79" i="5"/>
  <c r="CS79" i="5"/>
  <c r="BE81" i="5"/>
  <c r="BF81" i="5"/>
  <c r="BH81" i="5"/>
  <c r="BJ81" i="5"/>
  <c r="AX81" i="5"/>
  <c r="AZ81" i="5"/>
  <c r="AT81" i="5"/>
  <c r="AR81" i="5"/>
  <c r="AJ81" i="5"/>
  <c r="AH81" i="5"/>
  <c r="AM81" i="5"/>
  <c r="AL81" i="5"/>
  <c r="AQ81" i="5"/>
  <c r="BA81" i="5"/>
  <c r="CS81" i="5"/>
  <c r="BE84" i="5"/>
  <c r="BF84" i="5"/>
  <c r="BH84" i="5"/>
  <c r="BJ84" i="5"/>
  <c r="AX84" i="5"/>
  <c r="AZ84" i="5"/>
  <c r="AT84" i="5"/>
  <c r="AR84" i="5"/>
  <c r="AJ84" i="5"/>
  <c r="AH84" i="5"/>
  <c r="AM84" i="5"/>
  <c r="AL84" i="5"/>
  <c r="AQ84" i="5"/>
  <c r="BA84" i="5"/>
  <c r="CS84" i="5"/>
  <c r="BE171" i="5"/>
  <c r="BF171" i="5"/>
  <c r="BH171" i="5"/>
  <c r="BJ171" i="5"/>
  <c r="AX171" i="5"/>
  <c r="AZ171" i="5"/>
  <c r="AT171" i="5"/>
  <c r="AR171" i="5"/>
  <c r="AJ171" i="5"/>
  <c r="AH171" i="5"/>
  <c r="AM171" i="5"/>
  <c r="AL171" i="5"/>
  <c r="AQ171" i="5"/>
  <c r="BA171" i="5"/>
  <c r="CS171" i="5"/>
  <c r="BE172" i="5"/>
  <c r="BF172" i="5"/>
  <c r="BH172" i="5"/>
  <c r="BJ172" i="5"/>
  <c r="AX172" i="5"/>
  <c r="AZ172" i="5"/>
  <c r="AT172" i="5"/>
  <c r="AR172" i="5"/>
  <c r="AJ172" i="5"/>
  <c r="AH172" i="5"/>
  <c r="AM172" i="5"/>
  <c r="AL172" i="5"/>
  <c r="AQ172" i="5"/>
  <c r="BA172" i="5"/>
  <c r="CS172" i="5"/>
  <c r="BE173" i="5"/>
  <c r="BF173" i="5"/>
  <c r="BH173" i="5"/>
  <c r="BJ173" i="5"/>
  <c r="AX173" i="5"/>
  <c r="AZ173" i="5"/>
  <c r="AT173" i="5"/>
  <c r="AR173" i="5"/>
  <c r="AJ173" i="5"/>
  <c r="AH173" i="5"/>
  <c r="AM173" i="5"/>
  <c r="AL173" i="5"/>
  <c r="AQ173" i="5"/>
  <c r="BA173" i="5"/>
  <c r="CS173" i="5"/>
  <c r="BE174" i="5"/>
  <c r="BF174" i="5"/>
  <c r="BH174" i="5"/>
  <c r="BJ174" i="5"/>
  <c r="AX174" i="5"/>
  <c r="AZ174" i="5"/>
  <c r="AT174" i="5"/>
  <c r="AR174" i="5"/>
  <c r="AJ174" i="5"/>
  <c r="AH174" i="5"/>
  <c r="AM174" i="5"/>
  <c r="AL174" i="5"/>
  <c r="AQ174" i="5"/>
  <c r="BA174" i="5"/>
  <c r="CS174" i="5"/>
  <c r="BE175" i="5"/>
  <c r="BF175" i="5"/>
  <c r="BH175" i="5"/>
  <c r="BJ175" i="5"/>
  <c r="AX175" i="5"/>
  <c r="AZ175" i="5"/>
  <c r="AT175" i="5"/>
  <c r="AR175" i="5"/>
  <c r="AJ175" i="5"/>
  <c r="AH175" i="5"/>
  <c r="AM175" i="5"/>
  <c r="AL175" i="5"/>
  <c r="AQ175" i="5"/>
  <c r="BA175" i="5"/>
  <c r="CS175" i="5"/>
  <c r="BE176" i="5"/>
  <c r="BF176" i="5"/>
  <c r="BH176" i="5"/>
  <c r="BJ176" i="5"/>
  <c r="AX176" i="5"/>
  <c r="AZ176" i="5"/>
  <c r="AT176" i="5"/>
  <c r="AR176" i="5"/>
  <c r="AJ176" i="5"/>
  <c r="AH176" i="5"/>
  <c r="AM176" i="5"/>
  <c r="AL176" i="5"/>
  <c r="AQ176" i="5"/>
  <c r="BA176" i="5"/>
  <c r="CS176" i="5"/>
  <c r="BE177" i="5"/>
  <c r="BF177" i="5"/>
  <c r="BH177" i="5"/>
  <c r="BJ177" i="5"/>
  <c r="AX177" i="5"/>
  <c r="AZ177" i="5"/>
  <c r="AT177" i="5"/>
  <c r="AR177" i="5"/>
  <c r="AJ177" i="5"/>
  <c r="AH177" i="5"/>
  <c r="AM177" i="5"/>
  <c r="AL177" i="5"/>
  <c r="AQ177" i="5"/>
  <c r="BA177" i="5"/>
  <c r="CS177" i="5"/>
  <c r="BE178" i="5"/>
  <c r="BF178" i="5"/>
  <c r="BH178" i="5"/>
  <c r="BJ178" i="5"/>
  <c r="AX178" i="5"/>
  <c r="AZ178" i="5"/>
  <c r="AT178" i="5"/>
  <c r="AR178" i="5"/>
  <c r="AJ178" i="5"/>
  <c r="AH178" i="5"/>
  <c r="AM178" i="5"/>
  <c r="AL178" i="5"/>
  <c r="AQ178" i="5"/>
  <c r="BA178" i="5"/>
  <c r="CS178" i="5"/>
  <c r="BE179" i="5"/>
  <c r="BF179" i="5"/>
  <c r="BH179" i="5"/>
  <c r="BJ179" i="5"/>
  <c r="AX179" i="5"/>
  <c r="AZ179" i="5"/>
  <c r="AT179" i="5"/>
  <c r="AR179" i="5"/>
  <c r="AJ179" i="5"/>
  <c r="AH179" i="5"/>
  <c r="AM179" i="5"/>
  <c r="AL179" i="5"/>
  <c r="AQ179" i="5"/>
  <c r="BA179" i="5"/>
  <c r="CS179" i="5"/>
  <c r="BE180" i="5"/>
  <c r="BF180" i="5"/>
  <c r="BH180" i="5"/>
  <c r="BJ180" i="5"/>
  <c r="AX180" i="5"/>
  <c r="AZ180" i="5"/>
  <c r="AT180" i="5"/>
  <c r="AR180" i="5"/>
  <c r="AJ180" i="5"/>
  <c r="AH180" i="5"/>
  <c r="AM180" i="5"/>
  <c r="AL180" i="5"/>
  <c r="AQ180" i="5"/>
  <c r="BA180" i="5"/>
  <c r="CS180" i="5"/>
  <c r="BE181" i="5"/>
  <c r="BF181" i="5"/>
  <c r="BH181" i="5"/>
  <c r="BJ181" i="5"/>
  <c r="AX181" i="5"/>
  <c r="AZ181" i="5"/>
  <c r="AT181" i="5"/>
  <c r="AR181" i="5"/>
  <c r="AJ181" i="5"/>
  <c r="AH181" i="5"/>
  <c r="AM181" i="5"/>
  <c r="AL181" i="5"/>
  <c r="AQ181" i="5"/>
  <c r="BA181" i="5"/>
  <c r="CS181" i="5"/>
  <c r="BE182" i="5"/>
  <c r="BF182" i="5"/>
  <c r="BH182" i="5"/>
  <c r="BJ182" i="5"/>
  <c r="AX182" i="5"/>
  <c r="AZ182" i="5"/>
  <c r="AT182" i="5"/>
  <c r="AR182" i="5"/>
  <c r="AJ182" i="5"/>
  <c r="AH182" i="5"/>
  <c r="AM182" i="5"/>
  <c r="AL182" i="5"/>
  <c r="AQ182" i="5"/>
  <c r="BA182" i="5"/>
  <c r="CS182" i="5"/>
  <c r="BE183" i="5"/>
  <c r="BF183" i="5"/>
  <c r="BH183" i="5"/>
  <c r="BJ183" i="5"/>
  <c r="AX183" i="5"/>
  <c r="AZ183" i="5"/>
  <c r="AT183" i="5"/>
  <c r="AR183" i="5"/>
  <c r="AJ183" i="5"/>
  <c r="AH183" i="5"/>
  <c r="AM183" i="5"/>
  <c r="AL183" i="5"/>
  <c r="AQ183" i="5"/>
  <c r="BA183" i="5"/>
  <c r="CS183" i="5"/>
  <c r="BE184" i="5"/>
  <c r="BF184" i="5"/>
  <c r="BH184" i="5"/>
  <c r="BJ184" i="5"/>
  <c r="AX184" i="5"/>
  <c r="AZ184" i="5"/>
  <c r="AT184" i="5"/>
  <c r="AR184" i="5"/>
  <c r="AJ184" i="5"/>
  <c r="AH184" i="5"/>
  <c r="AM184" i="5"/>
  <c r="AL184" i="5"/>
  <c r="AQ184" i="5"/>
  <c r="BA184" i="5"/>
  <c r="CS184" i="5"/>
  <c r="BE185" i="5"/>
  <c r="BF185" i="5"/>
  <c r="BH185" i="5"/>
  <c r="BJ185" i="5"/>
  <c r="AX185" i="5"/>
  <c r="AZ185" i="5"/>
  <c r="AT185" i="5"/>
  <c r="AR185" i="5"/>
  <c r="AJ185" i="5"/>
  <c r="AH185" i="5"/>
  <c r="AM185" i="5"/>
  <c r="AL185" i="5"/>
  <c r="AQ185" i="5"/>
  <c r="BA185" i="5"/>
  <c r="CS185" i="5"/>
  <c r="BE186" i="5"/>
  <c r="BF186" i="5"/>
  <c r="BH186" i="5"/>
  <c r="BJ186" i="5"/>
  <c r="AX186" i="5"/>
  <c r="AZ186" i="5"/>
  <c r="AT186" i="5"/>
  <c r="AR186" i="5"/>
  <c r="AJ186" i="5"/>
  <c r="AH186" i="5"/>
  <c r="AM186" i="5"/>
  <c r="AL186" i="5"/>
  <c r="AQ186" i="5"/>
  <c r="BA186" i="5"/>
  <c r="CS186" i="5"/>
  <c r="BE187" i="5"/>
  <c r="BF187" i="5"/>
  <c r="BH187" i="5"/>
  <c r="BJ187" i="5"/>
  <c r="AX187" i="5"/>
  <c r="AZ187" i="5"/>
  <c r="AT187" i="5"/>
  <c r="AR187" i="5"/>
  <c r="AJ187" i="5"/>
  <c r="AH187" i="5"/>
  <c r="AM187" i="5"/>
  <c r="AL187" i="5"/>
  <c r="AQ187" i="5"/>
  <c r="BA187" i="5"/>
  <c r="CS187" i="5"/>
  <c r="BE188" i="5"/>
  <c r="BF188" i="5"/>
  <c r="BH188" i="5"/>
  <c r="BJ188" i="5"/>
  <c r="AX188" i="5"/>
  <c r="AZ188" i="5"/>
  <c r="AT188" i="5"/>
  <c r="AR188" i="5"/>
  <c r="AJ188" i="5"/>
  <c r="AH188" i="5"/>
  <c r="AM188" i="5"/>
  <c r="AL188" i="5"/>
  <c r="AQ188" i="5"/>
  <c r="BA188" i="5"/>
  <c r="CS188" i="5"/>
  <c r="BE189" i="5"/>
  <c r="BF189" i="5"/>
  <c r="BH189" i="5"/>
  <c r="BJ189" i="5"/>
  <c r="AX189" i="5"/>
  <c r="AZ189" i="5"/>
  <c r="AT189" i="5"/>
  <c r="AR189" i="5"/>
  <c r="AJ189" i="5"/>
  <c r="AH189" i="5"/>
  <c r="AM189" i="5"/>
  <c r="AL189" i="5"/>
  <c r="AQ189" i="5"/>
  <c r="BA189" i="5"/>
  <c r="CS189" i="5"/>
  <c r="BE190" i="5"/>
  <c r="BF190" i="5"/>
  <c r="BH190" i="5"/>
  <c r="BJ190" i="5"/>
  <c r="AX190" i="5"/>
  <c r="AZ190" i="5"/>
  <c r="AT190" i="5"/>
  <c r="AR190" i="5"/>
  <c r="AJ190" i="5"/>
  <c r="AH190" i="5"/>
  <c r="AM190" i="5"/>
  <c r="AL190" i="5"/>
  <c r="AQ190" i="5"/>
  <c r="BA190" i="5"/>
  <c r="CS190" i="5"/>
  <c r="BE191" i="5"/>
  <c r="BF191" i="5"/>
  <c r="BH191" i="5"/>
  <c r="BJ191" i="5"/>
  <c r="AX191" i="5"/>
  <c r="AZ191" i="5"/>
  <c r="AT191" i="5"/>
  <c r="AR191" i="5"/>
  <c r="AJ191" i="5"/>
  <c r="AH191" i="5"/>
  <c r="AM191" i="5"/>
  <c r="AL191" i="5"/>
  <c r="AQ191" i="5"/>
  <c r="BA191" i="5"/>
  <c r="CS191" i="5"/>
  <c r="BE192" i="5"/>
  <c r="BF192" i="5"/>
  <c r="BH192" i="5"/>
  <c r="BJ192" i="5"/>
  <c r="AX192" i="5"/>
  <c r="AZ192" i="5"/>
  <c r="AT192" i="5"/>
  <c r="AR192" i="5"/>
  <c r="AJ192" i="5"/>
  <c r="AH192" i="5"/>
  <c r="AM192" i="5"/>
  <c r="AL192" i="5"/>
  <c r="AQ192" i="5"/>
  <c r="BA192" i="5"/>
  <c r="CS192" i="5"/>
  <c r="BE193" i="5"/>
  <c r="BF193" i="5"/>
  <c r="BH193" i="5"/>
  <c r="BJ193" i="5"/>
  <c r="AX193" i="5"/>
  <c r="AZ193" i="5"/>
  <c r="AT193" i="5"/>
  <c r="AR193" i="5"/>
  <c r="AJ193" i="5"/>
  <c r="AH193" i="5"/>
  <c r="AM193" i="5"/>
  <c r="AL193" i="5"/>
  <c r="AQ193" i="5"/>
  <c r="BA193" i="5"/>
  <c r="CS193" i="5"/>
  <c r="BE194" i="5"/>
  <c r="BF194" i="5"/>
  <c r="BH194" i="5"/>
  <c r="BJ194" i="5"/>
  <c r="AX194" i="5"/>
  <c r="AZ194" i="5"/>
  <c r="AT194" i="5"/>
  <c r="AR194" i="5"/>
  <c r="AJ194" i="5"/>
  <c r="AH194" i="5"/>
  <c r="AM194" i="5"/>
  <c r="AL194" i="5"/>
  <c r="AQ194" i="5"/>
  <c r="BA194" i="5"/>
  <c r="CS194" i="5"/>
  <c r="BE195" i="5"/>
  <c r="BF195" i="5"/>
  <c r="BH195" i="5"/>
  <c r="BJ195" i="5"/>
  <c r="AX195" i="5"/>
  <c r="AZ195" i="5"/>
  <c r="AT195" i="5"/>
  <c r="AR195" i="5"/>
  <c r="AJ195" i="5"/>
  <c r="AH195" i="5"/>
  <c r="AM195" i="5"/>
  <c r="AL195" i="5"/>
  <c r="AQ195" i="5"/>
  <c r="BA195" i="5"/>
  <c r="CS195" i="5"/>
  <c r="BE196" i="5"/>
  <c r="BF196" i="5"/>
  <c r="BH196" i="5"/>
  <c r="BJ196" i="5"/>
  <c r="AX196" i="5"/>
  <c r="AZ196" i="5"/>
  <c r="AT196" i="5"/>
  <c r="AR196" i="5"/>
  <c r="AJ196" i="5"/>
  <c r="AH196" i="5"/>
  <c r="AM196" i="5"/>
  <c r="AL196" i="5"/>
  <c r="AQ196" i="5"/>
  <c r="BA196" i="5"/>
  <c r="CS196" i="5"/>
  <c r="BE197" i="5"/>
  <c r="BF197" i="5"/>
  <c r="BH197" i="5"/>
  <c r="BJ197" i="5"/>
  <c r="AX197" i="5"/>
  <c r="AZ197" i="5"/>
  <c r="AT197" i="5"/>
  <c r="AR197" i="5"/>
  <c r="AJ197" i="5"/>
  <c r="AH197" i="5"/>
  <c r="AM197" i="5"/>
  <c r="AL197" i="5"/>
  <c r="AQ197" i="5"/>
  <c r="BA197" i="5"/>
  <c r="CS197" i="5"/>
  <c r="BE198" i="5"/>
  <c r="BF198" i="5"/>
  <c r="BH198" i="5"/>
  <c r="BJ198" i="5"/>
  <c r="AX198" i="5"/>
  <c r="AZ198" i="5"/>
  <c r="AT198" i="5"/>
  <c r="AR198" i="5"/>
  <c r="AJ198" i="5"/>
  <c r="AH198" i="5"/>
  <c r="AM198" i="5"/>
  <c r="AL198" i="5"/>
  <c r="AQ198" i="5"/>
  <c r="BA198" i="5"/>
  <c r="CS198" i="5"/>
  <c r="BE199" i="5"/>
  <c r="BF199" i="5"/>
  <c r="BH199" i="5"/>
  <c r="BJ199" i="5"/>
  <c r="AX199" i="5"/>
  <c r="AZ199" i="5"/>
  <c r="AT199" i="5"/>
  <c r="AR199" i="5"/>
  <c r="AJ199" i="5"/>
  <c r="AH199" i="5"/>
  <c r="AM199" i="5"/>
  <c r="AL199" i="5"/>
  <c r="AQ199" i="5"/>
  <c r="BA199" i="5"/>
  <c r="CS199" i="5"/>
  <c r="BE200" i="5"/>
  <c r="BF200" i="5"/>
  <c r="BH200" i="5"/>
  <c r="BJ200" i="5"/>
  <c r="AX200" i="5"/>
  <c r="AZ200" i="5"/>
  <c r="AT200" i="5"/>
  <c r="AR200" i="5"/>
  <c r="AJ200" i="5"/>
  <c r="AH200" i="5"/>
  <c r="AM200" i="5"/>
  <c r="AL200" i="5"/>
  <c r="AQ200" i="5"/>
  <c r="BA200" i="5"/>
  <c r="CS200" i="5"/>
  <c r="BE201" i="5"/>
  <c r="BF201" i="5"/>
  <c r="BH201" i="5"/>
  <c r="BJ201" i="5"/>
  <c r="AX201" i="5"/>
  <c r="AZ201" i="5"/>
  <c r="AT201" i="5"/>
  <c r="AR201" i="5"/>
  <c r="AJ201" i="5"/>
  <c r="AH201" i="5"/>
  <c r="AM201" i="5"/>
  <c r="AL201" i="5"/>
  <c r="AQ201" i="5"/>
  <c r="BA201" i="5"/>
  <c r="CS201" i="5"/>
  <c r="BE202" i="5"/>
  <c r="BF202" i="5"/>
  <c r="BH202" i="5"/>
  <c r="BJ202" i="5"/>
  <c r="AX202" i="5"/>
  <c r="AZ202" i="5"/>
  <c r="AT202" i="5"/>
  <c r="AR202" i="5"/>
  <c r="AJ202" i="5"/>
  <c r="AH202" i="5"/>
  <c r="AM202" i="5"/>
  <c r="AL202" i="5"/>
  <c r="AQ202" i="5"/>
  <c r="BA202" i="5"/>
  <c r="CS202" i="5"/>
  <c r="BE203" i="5"/>
  <c r="BF203" i="5"/>
  <c r="BH203" i="5"/>
  <c r="BJ203" i="5"/>
  <c r="AX203" i="5"/>
  <c r="AZ203" i="5"/>
  <c r="AT203" i="5"/>
  <c r="AR203" i="5"/>
  <c r="AJ203" i="5"/>
  <c r="AH203" i="5"/>
  <c r="AM203" i="5"/>
  <c r="AL203" i="5"/>
  <c r="AQ203" i="5"/>
  <c r="BA203" i="5"/>
  <c r="CS203" i="5"/>
  <c r="BE204" i="5"/>
  <c r="BF204" i="5"/>
  <c r="BH204" i="5"/>
  <c r="BJ204" i="5"/>
  <c r="AX204" i="5"/>
  <c r="AZ204" i="5"/>
  <c r="AT204" i="5"/>
  <c r="AR204" i="5"/>
  <c r="AJ204" i="5"/>
  <c r="AH204" i="5"/>
  <c r="AM204" i="5"/>
  <c r="AL204" i="5"/>
  <c r="AQ204" i="5"/>
  <c r="BA204" i="5"/>
  <c r="CS204" i="5"/>
  <c r="BE205" i="5"/>
  <c r="BF205" i="5"/>
  <c r="BH205" i="5"/>
  <c r="BJ205" i="5"/>
  <c r="AX205" i="5"/>
  <c r="AZ205" i="5"/>
  <c r="AT205" i="5"/>
  <c r="AR205" i="5"/>
  <c r="AJ205" i="5"/>
  <c r="AH205" i="5"/>
  <c r="AM205" i="5"/>
  <c r="AL205" i="5"/>
  <c r="AQ205" i="5"/>
  <c r="BA205" i="5"/>
  <c r="CS205" i="5"/>
  <c r="BE206" i="5"/>
  <c r="BF206" i="5"/>
  <c r="BH206" i="5"/>
  <c r="BJ206" i="5"/>
  <c r="AX206" i="5"/>
  <c r="AZ206" i="5"/>
  <c r="AT206" i="5"/>
  <c r="AR206" i="5"/>
  <c r="AJ206" i="5"/>
  <c r="AH206" i="5"/>
  <c r="AM206" i="5"/>
  <c r="AL206" i="5"/>
  <c r="AQ206" i="5"/>
  <c r="BA206" i="5"/>
  <c r="CS206" i="5"/>
  <c r="BE207" i="5"/>
  <c r="BF207" i="5"/>
  <c r="BH207" i="5"/>
  <c r="BJ207" i="5"/>
  <c r="AX207" i="5"/>
  <c r="AZ207" i="5"/>
  <c r="AT207" i="5"/>
  <c r="AR207" i="5"/>
  <c r="AJ207" i="5"/>
  <c r="AH207" i="5"/>
  <c r="AM207" i="5"/>
  <c r="AL207" i="5"/>
  <c r="AQ207" i="5"/>
  <c r="BA207" i="5"/>
  <c r="CS207" i="5"/>
  <c r="BE208" i="5"/>
  <c r="BF208" i="5"/>
  <c r="BH208" i="5"/>
  <c r="BJ208" i="5"/>
  <c r="AX208" i="5"/>
  <c r="AZ208" i="5"/>
  <c r="AT208" i="5"/>
  <c r="AR208" i="5"/>
  <c r="AJ208" i="5"/>
  <c r="AH208" i="5"/>
  <c r="AM208" i="5"/>
  <c r="AL208" i="5"/>
  <c r="AQ208" i="5"/>
  <c r="BA208" i="5"/>
  <c r="CS208" i="5"/>
  <c r="BE209" i="5"/>
  <c r="BF209" i="5"/>
  <c r="BH209" i="5"/>
  <c r="BJ209" i="5"/>
  <c r="AX209" i="5"/>
  <c r="AZ209" i="5"/>
  <c r="AT209" i="5"/>
  <c r="AR209" i="5"/>
  <c r="AJ209" i="5"/>
  <c r="AH209" i="5"/>
  <c r="AM209" i="5"/>
  <c r="AL209" i="5"/>
  <c r="AQ209" i="5"/>
  <c r="BA209" i="5"/>
  <c r="CS209" i="5"/>
  <c r="BE210" i="5"/>
  <c r="BF210" i="5"/>
  <c r="BH210" i="5"/>
  <c r="BJ210" i="5"/>
  <c r="AX210" i="5"/>
  <c r="AZ210" i="5"/>
  <c r="AT210" i="5"/>
  <c r="AR210" i="5"/>
  <c r="AJ210" i="5"/>
  <c r="AH210" i="5"/>
  <c r="AM210" i="5"/>
  <c r="AL210" i="5"/>
  <c r="AQ210" i="5"/>
  <c r="BA210" i="5"/>
  <c r="CS210" i="5"/>
  <c r="BE211" i="5"/>
  <c r="BF211" i="5"/>
  <c r="BH211" i="5"/>
  <c r="BJ211" i="5"/>
  <c r="AX211" i="5"/>
  <c r="AZ211" i="5"/>
  <c r="AT211" i="5"/>
  <c r="AR211" i="5"/>
  <c r="AJ211" i="5"/>
  <c r="AH211" i="5"/>
  <c r="AM211" i="5"/>
  <c r="AL211" i="5"/>
  <c r="AQ211" i="5"/>
  <c r="BA211" i="5"/>
  <c r="CS211" i="5"/>
  <c r="BE212" i="5"/>
  <c r="BF212" i="5"/>
  <c r="BH212" i="5"/>
  <c r="BJ212" i="5"/>
  <c r="AX212" i="5"/>
  <c r="AZ212" i="5"/>
  <c r="AT212" i="5"/>
  <c r="AR212" i="5"/>
  <c r="AJ212" i="5"/>
  <c r="AH212" i="5"/>
  <c r="AM212" i="5"/>
  <c r="AL212" i="5"/>
  <c r="AQ212" i="5"/>
  <c r="BA212" i="5"/>
  <c r="CS212" i="5"/>
  <c r="BE213" i="5"/>
  <c r="BH213" i="5"/>
  <c r="BJ213" i="5"/>
  <c r="AX213" i="5"/>
  <c r="AZ213" i="5"/>
  <c r="AT213" i="5"/>
  <c r="AR213" i="5"/>
  <c r="AJ213" i="5"/>
  <c r="AH213" i="5"/>
  <c r="AM213" i="5"/>
  <c r="AL213" i="5"/>
  <c r="AQ213" i="5"/>
  <c r="BA213" i="5"/>
  <c r="CS213" i="5"/>
  <c r="BE214" i="5"/>
  <c r="BF214" i="5"/>
  <c r="BH214" i="5"/>
  <c r="BJ214" i="5"/>
  <c r="AX214" i="5"/>
  <c r="AZ214" i="5"/>
  <c r="AT214" i="5"/>
  <c r="AR214" i="5"/>
  <c r="AJ214" i="5"/>
  <c r="AH214" i="5"/>
  <c r="AM214" i="5"/>
  <c r="AL214" i="5"/>
  <c r="AQ214" i="5"/>
  <c r="BA214" i="5"/>
  <c r="CS214" i="5"/>
  <c r="BE215" i="5"/>
  <c r="BF215" i="5"/>
  <c r="BH215" i="5"/>
  <c r="AX215" i="5"/>
  <c r="AZ215" i="5"/>
  <c r="AT215" i="5"/>
  <c r="AR215" i="5"/>
  <c r="AJ215" i="5"/>
  <c r="AH215" i="5"/>
  <c r="AM215" i="5"/>
  <c r="AL215" i="5"/>
  <c r="AQ215" i="5"/>
  <c r="BA215" i="5"/>
  <c r="CS215" i="5"/>
  <c r="BE216" i="5"/>
  <c r="BF216" i="5"/>
  <c r="BH216" i="5"/>
  <c r="BJ216" i="5"/>
  <c r="AX216" i="5"/>
  <c r="AZ216" i="5"/>
  <c r="AT216" i="5"/>
  <c r="AR216" i="5"/>
  <c r="AH216" i="5"/>
  <c r="AM216" i="5"/>
  <c r="AL216" i="5"/>
  <c r="AQ216" i="5"/>
  <c r="BA216" i="5"/>
  <c r="CS216" i="5"/>
  <c r="BE217" i="5"/>
  <c r="BF217" i="5"/>
  <c r="BH217" i="5"/>
  <c r="BJ217" i="5"/>
  <c r="AX217" i="5"/>
  <c r="AZ217" i="5"/>
  <c r="AT217" i="5"/>
  <c r="AR217" i="5"/>
  <c r="AJ217" i="5"/>
  <c r="AM217" i="5"/>
  <c r="AL217" i="5"/>
  <c r="AQ217" i="5"/>
  <c r="BA217" i="5"/>
  <c r="CS217" i="5"/>
  <c r="BE218" i="5"/>
  <c r="BF218" i="5"/>
  <c r="BH218" i="5"/>
  <c r="BJ218" i="5"/>
  <c r="AX218" i="5"/>
  <c r="AZ218" i="5"/>
  <c r="AT218" i="5"/>
  <c r="AR218" i="5"/>
  <c r="AJ218" i="5"/>
  <c r="AH218" i="5"/>
  <c r="AM218" i="5"/>
  <c r="AL218" i="5"/>
  <c r="AQ218" i="5"/>
  <c r="BA218" i="5"/>
  <c r="BE219" i="5"/>
  <c r="BF219" i="5"/>
  <c r="BH219" i="5"/>
  <c r="BJ219" i="5"/>
  <c r="AX219" i="5"/>
  <c r="AZ219" i="5"/>
  <c r="AT219" i="5"/>
  <c r="AR219" i="5"/>
  <c r="AJ219" i="5"/>
  <c r="AH219" i="5"/>
  <c r="AM219" i="5"/>
  <c r="AL219" i="5"/>
  <c r="AQ219" i="5"/>
  <c r="BA219" i="5"/>
  <c r="CS219" i="5"/>
  <c r="BE220" i="5"/>
  <c r="BF220" i="5"/>
  <c r="BH220" i="5"/>
  <c r="BJ220" i="5"/>
  <c r="AZ220" i="5"/>
  <c r="AT220" i="5"/>
  <c r="AR220" i="5"/>
  <c r="AJ220" i="5"/>
  <c r="AH220" i="5"/>
  <c r="AM220" i="5"/>
  <c r="AL220" i="5"/>
  <c r="BA220" i="5"/>
  <c r="CS220" i="5"/>
  <c r="BE221" i="5"/>
  <c r="BF221" i="5"/>
  <c r="BJ221" i="5"/>
  <c r="AX221" i="5"/>
  <c r="AZ221" i="5"/>
  <c r="AT221" i="5"/>
  <c r="AR221" i="5"/>
  <c r="AJ221" i="5"/>
  <c r="AH221" i="5"/>
  <c r="AM221" i="5"/>
  <c r="AL221" i="5"/>
  <c r="AQ221" i="5"/>
  <c r="BA221" i="5"/>
  <c r="CS221" i="5"/>
  <c r="BE222" i="5"/>
  <c r="BF222" i="5"/>
  <c r="BJ222" i="5"/>
  <c r="AX222" i="5"/>
  <c r="AZ222" i="5"/>
  <c r="AT222" i="5"/>
  <c r="AR222" i="5"/>
  <c r="AJ222" i="5"/>
  <c r="AH222" i="5"/>
  <c r="AM222" i="5"/>
  <c r="AL222" i="5"/>
  <c r="AQ222" i="5"/>
  <c r="BA222" i="5"/>
  <c r="BE223" i="5"/>
  <c r="BF223" i="5"/>
  <c r="BH223" i="5"/>
  <c r="BJ223" i="5"/>
  <c r="AX223" i="5"/>
  <c r="AZ223" i="5"/>
  <c r="AT223" i="5"/>
  <c r="AR223" i="5"/>
  <c r="AJ223" i="5"/>
  <c r="AH223" i="5"/>
  <c r="AM223" i="5"/>
  <c r="AL223" i="5"/>
  <c r="AQ223" i="5"/>
  <c r="BA223" i="5"/>
  <c r="CS223" i="5"/>
  <c r="BE224" i="5"/>
  <c r="BF224" i="5"/>
  <c r="BH224" i="5"/>
  <c r="BJ224" i="5"/>
  <c r="AZ224" i="5"/>
  <c r="AT224" i="5"/>
  <c r="AR224" i="5"/>
  <c r="AH224" i="5"/>
  <c r="AM224" i="5"/>
  <c r="AL224" i="5"/>
  <c r="AQ224" i="5"/>
  <c r="BA224" i="5"/>
  <c r="CS224" i="5"/>
  <c r="BE225" i="5"/>
  <c r="BF225" i="5"/>
  <c r="BH225" i="5"/>
  <c r="BJ225" i="5"/>
  <c r="AX225" i="5"/>
  <c r="AZ225" i="5"/>
  <c r="AT225" i="5"/>
  <c r="AR225" i="5"/>
  <c r="AJ225" i="5"/>
  <c r="AH225" i="5"/>
  <c r="AM225" i="5"/>
  <c r="AL225" i="5"/>
  <c r="AQ225" i="5"/>
  <c r="CS225" i="5"/>
  <c r="BE226" i="5"/>
  <c r="BF226" i="5"/>
  <c r="BH226" i="5"/>
  <c r="AX226" i="5"/>
  <c r="AZ226" i="5"/>
  <c r="AT226" i="5"/>
  <c r="AR226" i="5"/>
  <c r="AJ226" i="5"/>
  <c r="AH226" i="5"/>
  <c r="AM226" i="5"/>
  <c r="AL226" i="5"/>
  <c r="AQ226" i="5"/>
  <c r="BA226" i="5"/>
  <c r="CS226" i="5"/>
  <c r="BE227" i="5"/>
  <c r="BF227" i="5"/>
  <c r="BH227" i="5"/>
  <c r="BJ227" i="5"/>
  <c r="AX227" i="5"/>
  <c r="AZ227" i="5"/>
  <c r="AT227" i="5"/>
  <c r="AR227" i="5"/>
  <c r="AJ227" i="5"/>
  <c r="AH227" i="5"/>
  <c r="AM227" i="5"/>
  <c r="AQ227" i="5"/>
  <c r="BA227" i="5"/>
  <c r="CS227" i="5"/>
  <c r="BF228" i="5"/>
  <c r="BH228" i="5"/>
  <c r="BJ228" i="5"/>
  <c r="AX228" i="5"/>
  <c r="AZ228" i="5"/>
  <c r="AT228" i="5"/>
  <c r="AR228" i="5"/>
  <c r="AJ228" i="5"/>
  <c r="AH228" i="5"/>
  <c r="AM228" i="5"/>
  <c r="AL228" i="5"/>
  <c r="AQ228" i="5"/>
  <c r="BA228" i="5"/>
  <c r="CS228" i="5"/>
  <c r="BE229" i="5"/>
  <c r="BF229" i="5"/>
  <c r="BH229" i="5"/>
  <c r="BJ229" i="5"/>
  <c r="AX229" i="5"/>
  <c r="AZ229" i="5"/>
  <c r="AT229" i="5"/>
  <c r="AR229" i="5"/>
  <c r="AJ229" i="5"/>
  <c r="AH229" i="5"/>
  <c r="AM229" i="5"/>
  <c r="AL229" i="5"/>
  <c r="AQ229" i="5"/>
  <c r="BA229" i="5"/>
  <c r="CS229" i="5"/>
  <c r="BE230" i="5"/>
  <c r="BF230" i="5"/>
  <c r="BH230" i="5"/>
  <c r="BJ230" i="5"/>
  <c r="AX230" i="5"/>
  <c r="AZ230" i="5"/>
  <c r="AR230" i="5"/>
  <c r="AJ230" i="5"/>
  <c r="AH230" i="5"/>
  <c r="AM230" i="5"/>
  <c r="AL230" i="5"/>
  <c r="AQ230" i="5"/>
  <c r="BA230" i="5"/>
  <c r="CS230" i="5"/>
  <c r="BE231" i="5"/>
  <c r="BF231" i="5"/>
  <c r="BH231" i="5"/>
  <c r="BJ231" i="5"/>
  <c r="AX231" i="5"/>
  <c r="AZ231" i="5"/>
  <c r="AT231" i="5"/>
  <c r="AR231" i="5"/>
  <c r="AJ231" i="5"/>
  <c r="AH231" i="5"/>
  <c r="AM231" i="5"/>
  <c r="AL231" i="5"/>
  <c r="AQ231" i="5"/>
  <c r="BA231" i="5"/>
  <c r="CS231" i="5"/>
  <c r="BE232" i="5"/>
  <c r="BF232" i="5"/>
  <c r="BH232" i="5"/>
  <c r="BJ232" i="5"/>
  <c r="AZ232" i="5"/>
  <c r="AT232" i="5"/>
  <c r="AR232" i="5"/>
  <c r="AH232" i="5"/>
  <c r="AM232" i="5"/>
  <c r="AL232" i="5"/>
  <c r="AQ232" i="5"/>
  <c r="BA232" i="5"/>
  <c r="CS232" i="5"/>
  <c r="BE233" i="5"/>
  <c r="BH233" i="5"/>
  <c r="BJ233" i="5"/>
  <c r="AX233" i="5"/>
  <c r="AZ233" i="5"/>
  <c r="AT233" i="5"/>
  <c r="AR233" i="5"/>
  <c r="AJ233" i="5"/>
  <c r="AM233" i="5"/>
  <c r="AL233" i="5"/>
  <c r="AQ233" i="5"/>
  <c r="BA233" i="5"/>
  <c r="CS233" i="5"/>
  <c r="BE234" i="5"/>
  <c r="BF234" i="5"/>
  <c r="BH234" i="5"/>
  <c r="BJ234" i="5"/>
  <c r="AX234" i="5"/>
  <c r="AZ234" i="5"/>
  <c r="AR234" i="5"/>
  <c r="AJ234" i="5"/>
  <c r="AH234" i="5"/>
  <c r="AM234" i="5"/>
  <c r="AL234" i="5"/>
  <c r="AQ234" i="5"/>
  <c r="BA234" i="5"/>
  <c r="CS234" i="5"/>
  <c r="BE235" i="5"/>
  <c r="BF235" i="5"/>
  <c r="BH235" i="5"/>
  <c r="AX235" i="5"/>
  <c r="AZ235" i="5"/>
  <c r="AT235" i="5"/>
  <c r="AR235" i="5"/>
  <c r="AJ235" i="5"/>
  <c r="AH235" i="5"/>
  <c r="AM235" i="5"/>
  <c r="AL235" i="5"/>
  <c r="AQ235" i="5"/>
  <c r="BA235" i="5"/>
  <c r="CS235" i="5"/>
  <c r="BE236" i="5"/>
  <c r="BF236" i="5"/>
  <c r="BH236" i="5"/>
  <c r="BJ236" i="5"/>
  <c r="AZ236" i="5"/>
  <c r="AT236" i="5"/>
  <c r="AR236" i="5"/>
  <c r="AJ236" i="5"/>
  <c r="AH236" i="5"/>
  <c r="AM236" i="5"/>
  <c r="AL236" i="5"/>
  <c r="AQ236" i="5"/>
  <c r="BA236" i="5"/>
  <c r="CS236" i="5"/>
  <c r="BE237" i="5"/>
  <c r="BF237" i="5"/>
  <c r="BH237" i="5"/>
  <c r="BJ237" i="5"/>
  <c r="AX237" i="5"/>
  <c r="AT237" i="5"/>
  <c r="AR237" i="5"/>
  <c r="AJ237" i="5"/>
  <c r="AH237" i="5"/>
  <c r="AM237" i="5"/>
  <c r="AL237" i="5"/>
  <c r="AQ237" i="5"/>
  <c r="BA237" i="5"/>
  <c r="CS237" i="5"/>
  <c r="BE238" i="5"/>
  <c r="BF238" i="5"/>
  <c r="BH238" i="5"/>
  <c r="BJ238" i="5"/>
  <c r="AX238" i="5"/>
  <c r="AZ238" i="5"/>
  <c r="AT238" i="5"/>
  <c r="AR238" i="5"/>
  <c r="AJ238" i="5"/>
  <c r="AH238" i="5"/>
  <c r="AM238" i="5"/>
  <c r="AL238" i="5"/>
  <c r="AQ238" i="5"/>
  <c r="BA238" i="5"/>
  <c r="CS238" i="5"/>
  <c r="BE239" i="5"/>
  <c r="BF239" i="5"/>
  <c r="BH239" i="5"/>
  <c r="BJ239" i="5"/>
  <c r="AX239" i="5"/>
  <c r="AZ239" i="5"/>
  <c r="AT239" i="5"/>
  <c r="AJ239" i="5"/>
  <c r="AH239" i="5"/>
  <c r="AM239" i="5"/>
  <c r="AL239" i="5"/>
  <c r="AQ239" i="5"/>
  <c r="BA239" i="5"/>
  <c r="CS239" i="5"/>
  <c r="BE240" i="5"/>
  <c r="BF240" i="5"/>
  <c r="BH240" i="5"/>
  <c r="BJ240" i="5"/>
  <c r="AX240" i="5"/>
  <c r="AZ240" i="5"/>
  <c r="AT240" i="5"/>
  <c r="AR240" i="5"/>
  <c r="AJ240" i="5"/>
  <c r="AH240" i="5"/>
  <c r="AM240" i="5"/>
  <c r="AL240" i="5"/>
  <c r="AQ240" i="5"/>
  <c r="BA240" i="5"/>
  <c r="CS240" i="5"/>
  <c r="BE241" i="5"/>
  <c r="BF241" i="5"/>
  <c r="BH241" i="5"/>
  <c r="BJ241" i="5"/>
  <c r="AX241" i="5"/>
  <c r="AT241" i="5"/>
  <c r="AR241" i="5"/>
  <c r="AJ241" i="5"/>
  <c r="AH241" i="5"/>
  <c r="AM241" i="5"/>
  <c r="AL241" i="5"/>
  <c r="AQ241" i="5"/>
  <c r="BA241" i="5"/>
  <c r="CS241" i="5"/>
  <c r="BE242" i="5"/>
  <c r="BF242" i="5"/>
  <c r="BH242" i="5"/>
  <c r="BJ242" i="5"/>
  <c r="AX242" i="5"/>
  <c r="AZ242" i="5"/>
  <c r="AT242" i="5"/>
  <c r="AR242" i="5"/>
  <c r="AJ242" i="5"/>
  <c r="AH242" i="5"/>
  <c r="AL242" i="5"/>
  <c r="AQ242" i="5"/>
  <c r="BA242" i="5"/>
  <c r="CS242" i="5"/>
  <c r="BE243" i="5"/>
  <c r="BF243" i="5"/>
  <c r="BH243" i="5"/>
  <c r="BJ243" i="5"/>
  <c r="AX243" i="5"/>
  <c r="AZ243" i="5"/>
  <c r="AT243" i="5"/>
  <c r="AR243" i="5"/>
  <c r="AJ243" i="5"/>
  <c r="AH243" i="5"/>
  <c r="AM243" i="5"/>
  <c r="AL243" i="5"/>
  <c r="AQ243" i="5"/>
  <c r="BA243" i="5"/>
  <c r="CS243" i="5"/>
  <c r="BE244" i="5"/>
  <c r="BF244" i="5"/>
  <c r="BH244" i="5"/>
  <c r="BJ244" i="5"/>
  <c r="AX244" i="5"/>
  <c r="AZ244" i="5"/>
  <c r="AT244" i="5"/>
  <c r="AR244" i="5"/>
  <c r="AJ244" i="5"/>
  <c r="AH244" i="5"/>
  <c r="AM244" i="5"/>
  <c r="AL244" i="5"/>
  <c r="AQ244" i="5"/>
  <c r="BA244" i="5"/>
  <c r="CS244" i="5"/>
  <c r="BE245" i="5"/>
  <c r="BF245" i="5"/>
  <c r="BH245" i="5"/>
  <c r="BJ245" i="5"/>
  <c r="AX245" i="5"/>
  <c r="AZ245" i="5"/>
  <c r="AT245" i="5"/>
  <c r="AR245" i="5"/>
  <c r="AJ245" i="5"/>
  <c r="AH245" i="5"/>
  <c r="AM245" i="5"/>
  <c r="AL245" i="5"/>
  <c r="AQ245" i="5"/>
  <c r="BA245" i="5"/>
  <c r="CS245" i="5"/>
  <c r="BE246" i="5"/>
  <c r="BF246" i="5"/>
  <c r="BJ246" i="5"/>
  <c r="AX246" i="5"/>
  <c r="AZ246" i="5"/>
  <c r="AT246" i="5"/>
  <c r="AR246" i="5"/>
  <c r="AJ246" i="5"/>
  <c r="AH246" i="5"/>
  <c r="AM246" i="5"/>
  <c r="AL246" i="5"/>
  <c r="AQ246" i="5"/>
  <c r="BA246" i="5"/>
  <c r="CS246" i="5"/>
  <c r="BE247" i="5"/>
  <c r="BF247" i="5"/>
  <c r="BH247" i="5"/>
  <c r="BJ247" i="5"/>
  <c r="AX247" i="5"/>
  <c r="AZ247" i="5"/>
  <c r="AT247" i="5"/>
  <c r="AR247" i="5"/>
  <c r="AJ247" i="5"/>
  <c r="AH247" i="5"/>
  <c r="AM247" i="5"/>
  <c r="AQ247" i="5"/>
  <c r="BA247" i="5"/>
  <c r="CS247" i="5"/>
  <c r="BE248" i="5"/>
  <c r="BF248" i="5"/>
  <c r="BH248" i="5"/>
  <c r="BJ248" i="5"/>
  <c r="AX248" i="5"/>
  <c r="AZ248" i="5"/>
  <c r="AT248" i="5"/>
  <c r="AR248" i="5"/>
  <c r="AH248" i="5"/>
  <c r="AM248" i="5"/>
  <c r="AL248" i="5"/>
  <c r="AQ248" i="5"/>
  <c r="BA248" i="5"/>
  <c r="CS248" i="5"/>
  <c r="BE249" i="5"/>
  <c r="BF249" i="5"/>
  <c r="BH249" i="5"/>
  <c r="BJ249" i="5"/>
  <c r="AX249" i="5"/>
  <c r="AT249" i="5"/>
  <c r="AR249" i="5"/>
  <c r="AJ249" i="5"/>
  <c r="AH249" i="5"/>
  <c r="AM249" i="5"/>
  <c r="AL249" i="5"/>
  <c r="AQ249" i="5"/>
  <c r="BA249" i="5"/>
  <c r="CS249" i="5"/>
  <c r="BE250" i="5"/>
  <c r="BF250" i="5"/>
  <c r="BH250" i="5"/>
  <c r="BJ250" i="5"/>
  <c r="AX250" i="5"/>
  <c r="AZ250" i="5"/>
  <c r="AT250" i="5"/>
  <c r="AR250" i="5"/>
  <c r="AJ250" i="5"/>
  <c r="AH250" i="5"/>
  <c r="AM250" i="5"/>
  <c r="AL250" i="5"/>
  <c r="AQ250" i="5"/>
  <c r="BA250" i="5"/>
  <c r="DF2" i="12"/>
  <c r="DE2" i="12"/>
  <c r="DB2" i="12"/>
  <c r="DA2" i="12"/>
  <c r="CX2" i="12"/>
  <c r="CW2" i="12"/>
  <c r="CT2" i="12"/>
  <c r="CS2" i="12"/>
  <c r="CV5" i="5"/>
  <c r="CV6" i="5"/>
  <c r="CV7" i="5"/>
  <c r="CV8" i="5"/>
  <c r="CV9" i="5"/>
  <c r="CV10" i="5"/>
  <c r="CV11" i="5"/>
  <c r="CV12" i="5"/>
  <c r="CV13" i="5"/>
  <c r="CV14" i="5"/>
  <c r="CV15" i="5"/>
  <c r="CV16" i="5"/>
  <c r="CV17" i="5"/>
  <c r="CV18" i="5"/>
  <c r="CV19" i="5"/>
  <c r="CV20" i="5"/>
  <c r="CV21" i="5"/>
  <c r="CV22" i="5"/>
  <c r="CV23" i="5"/>
  <c r="CV24" i="5"/>
  <c r="CV25" i="5"/>
  <c r="CV26" i="5"/>
  <c r="CV27" i="5"/>
  <c r="CV28" i="5"/>
  <c r="CV29" i="5"/>
  <c r="CV30" i="5"/>
  <c r="CV31" i="5"/>
  <c r="CV32" i="5"/>
  <c r="CV33" i="5"/>
  <c r="CV34" i="5"/>
  <c r="CV35" i="5"/>
  <c r="CV36" i="5"/>
  <c r="CV37" i="5"/>
  <c r="CV38" i="5"/>
  <c r="CV39" i="5"/>
  <c r="CV40" i="5"/>
  <c r="CV42" i="5"/>
  <c r="CV43" i="5"/>
  <c r="CV45" i="5"/>
  <c r="CV46" i="5"/>
  <c r="CV47" i="5"/>
  <c r="CV48" i="5"/>
  <c r="CV53" i="5"/>
  <c r="CV54" i="5"/>
  <c r="CV55" i="5"/>
  <c r="CV56" i="5"/>
  <c r="CV57" i="5"/>
  <c r="CV58" i="5"/>
  <c r="CV59" i="5"/>
  <c r="CV60" i="5"/>
  <c r="CV61" i="5"/>
  <c r="CV62" i="5"/>
  <c r="CV63" i="5"/>
  <c r="CV64" i="5"/>
  <c r="CV65" i="5"/>
  <c r="CV66" i="5"/>
  <c r="CV67" i="5"/>
  <c r="CV68" i="5"/>
  <c r="CV69" i="5"/>
  <c r="CV71" i="5"/>
  <c r="CV72" i="5"/>
  <c r="CV73" i="5"/>
  <c r="CV74" i="5"/>
  <c r="CV76" i="5"/>
  <c r="CV77" i="5"/>
  <c r="CV78" i="5"/>
  <c r="CV79" i="5"/>
  <c r="CV81" i="5"/>
  <c r="CV84" i="5"/>
  <c r="CV171" i="5"/>
  <c r="CV172" i="5"/>
  <c r="CV173" i="5"/>
  <c r="CV174" i="5"/>
  <c r="CV175" i="5"/>
  <c r="CV176" i="5"/>
  <c r="CV177" i="5"/>
  <c r="CV178" i="5"/>
  <c r="CV179" i="5"/>
  <c r="CV180" i="5"/>
  <c r="CV181" i="5"/>
  <c r="CV182" i="5"/>
  <c r="CV183" i="5"/>
  <c r="CV184" i="5"/>
  <c r="CV185" i="5"/>
  <c r="CV186" i="5"/>
  <c r="CV187" i="5"/>
  <c r="CV188" i="5"/>
  <c r="CV189" i="5"/>
  <c r="CV190" i="5"/>
  <c r="CV191" i="5"/>
  <c r="CV192" i="5"/>
  <c r="CV193" i="5"/>
  <c r="CV194" i="5"/>
  <c r="CV195" i="5"/>
  <c r="CV196" i="5"/>
  <c r="CV198" i="5"/>
  <c r="CV199" i="5"/>
  <c r="CV200" i="5"/>
  <c r="CV201" i="5"/>
  <c r="CV202" i="5"/>
  <c r="CV203" i="5"/>
  <c r="CV204" i="5"/>
  <c r="CV205" i="5"/>
  <c r="CV206" i="5"/>
  <c r="CV207" i="5"/>
  <c r="CV208" i="5"/>
  <c r="CV209" i="5"/>
  <c r="CV210" i="5"/>
  <c r="CV211" i="5"/>
  <c r="CV212" i="5"/>
  <c r="CV213" i="5"/>
  <c r="CV214" i="5"/>
  <c r="CV215" i="5"/>
  <c r="CV216" i="5"/>
  <c r="CV217" i="5"/>
  <c r="CV218" i="5"/>
  <c r="CV219" i="5"/>
  <c r="CV220" i="5"/>
  <c r="CV221" i="5"/>
  <c r="CV222" i="5"/>
  <c r="CV223" i="5"/>
  <c r="CV224" i="5"/>
  <c r="CV225" i="5"/>
  <c r="CV226" i="5"/>
  <c r="CV227" i="5"/>
  <c r="CV228" i="5"/>
  <c r="CV229" i="5"/>
  <c r="CV230" i="5"/>
  <c r="CV231" i="5"/>
  <c r="CV232" i="5"/>
  <c r="CV233" i="5"/>
  <c r="CV234" i="5"/>
  <c r="CV235" i="5"/>
  <c r="CV236" i="5"/>
  <c r="CV237" i="5"/>
  <c r="CV238" i="5"/>
  <c r="CV239" i="5"/>
  <c r="CV240" i="5"/>
  <c r="CV241" i="5"/>
  <c r="CV242" i="5"/>
  <c r="CV243" i="5"/>
  <c r="CV244" i="5"/>
  <c r="CV245" i="5"/>
  <c r="CV246" i="5"/>
  <c r="CV247" i="5"/>
  <c r="CV248" i="5"/>
  <c r="CV249" i="5"/>
  <c r="CV250" i="5"/>
  <c r="CR5" i="5"/>
  <c r="CR6" i="5"/>
  <c r="CR7" i="5"/>
  <c r="CR8" i="5"/>
  <c r="CR9" i="5"/>
  <c r="CR10" i="5"/>
  <c r="CR11" i="5"/>
  <c r="CR12" i="5"/>
  <c r="CR13" i="5"/>
  <c r="CR14" i="5"/>
  <c r="CR15" i="5"/>
  <c r="CR16" i="5"/>
  <c r="CR17" i="5"/>
  <c r="CR18" i="5"/>
  <c r="CR19" i="5"/>
  <c r="CR20" i="5"/>
  <c r="CR21" i="5"/>
  <c r="CR22" i="5"/>
  <c r="CR23" i="5"/>
  <c r="CR24" i="5"/>
  <c r="CR25" i="5"/>
  <c r="CR26" i="5"/>
  <c r="CR27" i="5"/>
  <c r="CR28" i="5"/>
  <c r="CR29" i="5"/>
  <c r="CR30" i="5"/>
  <c r="CR31" i="5"/>
  <c r="CR32" i="5"/>
  <c r="CR33" i="5"/>
  <c r="CR34" i="5"/>
  <c r="CR35" i="5"/>
  <c r="CR36" i="5"/>
  <c r="CR37" i="5"/>
  <c r="CR38" i="5"/>
  <c r="CR39" i="5"/>
  <c r="CR40" i="5"/>
  <c r="CR42" i="5"/>
  <c r="CR43" i="5"/>
  <c r="CR46" i="5"/>
  <c r="CR48" i="5"/>
  <c r="CR53" i="5"/>
  <c r="CR54" i="5"/>
  <c r="CR55" i="5"/>
  <c r="CR56" i="5"/>
  <c r="CR57" i="5"/>
  <c r="CR58" i="5"/>
  <c r="CR59" i="5"/>
  <c r="CR60" i="5"/>
  <c r="CR61" i="5"/>
  <c r="CR62" i="5"/>
  <c r="CR63" i="5"/>
  <c r="CR64" i="5"/>
  <c r="CR65" i="5"/>
  <c r="CR66" i="5"/>
  <c r="CR67" i="5"/>
  <c r="CR68" i="5"/>
  <c r="CR69" i="5"/>
  <c r="CR71" i="5"/>
  <c r="CR72" i="5"/>
  <c r="CR73" i="5"/>
  <c r="CR74" i="5"/>
  <c r="CR76" i="5"/>
  <c r="CR77" i="5"/>
  <c r="CR78" i="5"/>
  <c r="CR79" i="5"/>
  <c r="CR81" i="5"/>
  <c r="CR84" i="5"/>
  <c r="CR171" i="5"/>
  <c r="CR172" i="5"/>
  <c r="CR173" i="5"/>
  <c r="CR174" i="5"/>
  <c r="CR175" i="5"/>
  <c r="CR176" i="5"/>
  <c r="CR177" i="5"/>
  <c r="CR178" i="5"/>
  <c r="CR179" i="5"/>
  <c r="CR180" i="5"/>
  <c r="CR181" i="5"/>
  <c r="CR182" i="5"/>
  <c r="CR183" i="5"/>
  <c r="CR184" i="5"/>
  <c r="CR185" i="5"/>
  <c r="CR186" i="5"/>
  <c r="CR187" i="5"/>
  <c r="CR188" i="5"/>
  <c r="CR189" i="5"/>
  <c r="CR190" i="5"/>
  <c r="CR191" i="5"/>
  <c r="CR192" i="5"/>
  <c r="CR193" i="5"/>
  <c r="CR194" i="5"/>
  <c r="CR195" i="5"/>
  <c r="CR196" i="5"/>
  <c r="CR197" i="5"/>
  <c r="CR198" i="5"/>
  <c r="CR199" i="5"/>
  <c r="CR200" i="5"/>
  <c r="CR201" i="5"/>
  <c r="CR202" i="5"/>
  <c r="CR203" i="5"/>
  <c r="CR204" i="5"/>
  <c r="CR205" i="5"/>
  <c r="CR206" i="5"/>
  <c r="CR207" i="5"/>
  <c r="CR208" i="5"/>
  <c r="CR209" i="5"/>
  <c r="CR210" i="5"/>
  <c r="CR211" i="5"/>
  <c r="CR212" i="5"/>
  <c r="CR213" i="5"/>
  <c r="CR214" i="5"/>
  <c r="CR215" i="5"/>
  <c r="CR216" i="5"/>
  <c r="CR217" i="5"/>
  <c r="CR218" i="5"/>
  <c r="CR219" i="5"/>
  <c r="CR220" i="5"/>
  <c r="CR221" i="5"/>
  <c r="CR222" i="5"/>
  <c r="CR223" i="5"/>
  <c r="CR224" i="5"/>
  <c r="CR225" i="5"/>
  <c r="CR226" i="5"/>
  <c r="CR227" i="5"/>
  <c r="CR228" i="5"/>
  <c r="CR229" i="5"/>
  <c r="CR230" i="5"/>
  <c r="CR231" i="5"/>
  <c r="CR232" i="5"/>
  <c r="CR233" i="5"/>
  <c r="CR234" i="5"/>
  <c r="CR235" i="5"/>
  <c r="CR236" i="5"/>
  <c r="CR237" i="5"/>
  <c r="CR238" i="5"/>
  <c r="CR239" i="5"/>
  <c r="CR240" i="5"/>
  <c r="CR241" i="5"/>
  <c r="CR242" i="5"/>
  <c r="CR243" i="5"/>
  <c r="CR244" i="5"/>
  <c r="CR245" i="5"/>
  <c r="CR246" i="5"/>
  <c r="CR247" i="5"/>
  <c r="CR248" i="5"/>
  <c r="CR249" i="5"/>
  <c r="CR250" i="5"/>
  <c r="CP2" i="12"/>
  <c r="A5" i="5"/>
  <c r="CQ5" i="5"/>
  <c r="A6" i="5"/>
  <c r="CQ6" i="5"/>
  <c r="A7" i="5"/>
  <c r="CQ7" i="5"/>
  <c r="A8" i="5"/>
  <c r="CQ8" i="5"/>
  <c r="A9" i="5"/>
  <c r="CQ9" i="5"/>
  <c r="A10" i="5"/>
  <c r="CQ10" i="5"/>
  <c r="A11" i="5"/>
  <c r="CQ11" i="5"/>
  <c r="A12" i="5"/>
  <c r="CQ12" i="5"/>
  <c r="A13" i="5"/>
  <c r="CQ13" i="5"/>
  <c r="A14" i="5"/>
  <c r="CQ14" i="5"/>
  <c r="A15" i="5"/>
  <c r="CQ15" i="5"/>
  <c r="A16" i="5"/>
  <c r="CQ16" i="5"/>
  <c r="A17" i="5"/>
  <c r="CQ17" i="5"/>
  <c r="A18" i="5"/>
  <c r="CQ18" i="5"/>
  <c r="A19" i="5"/>
  <c r="CQ19" i="5"/>
  <c r="A20" i="5"/>
  <c r="CQ20" i="5"/>
  <c r="A21" i="5"/>
  <c r="CQ21" i="5"/>
  <c r="A22" i="5"/>
  <c r="CQ22" i="5"/>
  <c r="A23" i="5"/>
  <c r="CQ23" i="5"/>
  <c r="A24" i="5"/>
  <c r="CQ24" i="5"/>
  <c r="A25" i="5"/>
  <c r="CQ25" i="5"/>
  <c r="A26" i="5"/>
  <c r="CQ26" i="5"/>
  <c r="A27" i="5"/>
  <c r="CQ27" i="5"/>
  <c r="A28" i="5"/>
  <c r="CQ28" i="5"/>
  <c r="A29" i="5"/>
  <c r="CQ29" i="5"/>
  <c r="A30" i="5"/>
  <c r="CQ30" i="5"/>
  <c r="A31" i="5"/>
  <c r="CQ31" i="5"/>
  <c r="A32" i="5"/>
  <c r="CQ32" i="5"/>
  <c r="A33" i="5"/>
  <c r="CQ33" i="5"/>
  <c r="A34" i="5"/>
  <c r="CQ34" i="5"/>
  <c r="A35" i="5"/>
  <c r="CQ35" i="5"/>
  <c r="A36" i="5"/>
  <c r="CQ36" i="5"/>
  <c r="A37" i="5"/>
  <c r="CQ37" i="5"/>
  <c r="A38" i="5"/>
  <c r="CQ38" i="5"/>
  <c r="A39" i="5"/>
  <c r="CQ39" i="5"/>
  <c r="A40" i="5"/>
  <c r="CQ40" i="5"/>
  <c r="A42" i="5"/>
  <c r="CQ42" i="5"/>
  <c r="A43" i="5"/>
  <c r="CQ43" i="5"/>
  <c r="A44" i="5"/>
  <c r="A45" i="5"/>
  <c r="CQ45" i="5"/>
  <c r="A46" i="5"/>
  <c r="CQ46" i="5"/>
  <c r="A47" i="5"/>
  <c r="A48" i="5"/>
  <c r="CQ48" i="5"/>
  <c r="A53" i="5"/>
  <c r="CQ53" i="5"/>
  <c r="A54" i="5"/>
  <c r="CQ54" i="5"/>
  <c r="A55" i="5"/>
  <c r="CQ55" i="5"/>
  <c r="A56" i="5"/>
  <c r="CQ56" i="5"/>
  <c r="A57" i="5"/>
  <c r="CQ57" i="5"/>
  <c r="A58" i="5"/>
  <c r="CQ58" i="5"/>
  <c r="A59" i="5"/>
  <c r="CQ59" i="5"/>
  <c r="A60" i="5"/>
  <c r="CQ60" i="5"/>
  <c r="A61" i="5"/>
  <c r="CQ61" i="5"/>
  <c r="A62" i="5"/>
  <c r="CQ62" i="5"/>
  <c r="A63" i="5"/>
  <c r="CQ63" i="5"/>
  <c r="A64" i="5"/>
  <c r="CQ64" i="5"/>
  <c r="A65" i="5"/>
  <c r="CQ65" i="5"/>
  <c r="A66" i="5"/>
  <c r="CQ66" i="5"/>
  <c r="A67" i="5"/>
  <c r="CQ67" i="5"/>
  <c r="A68" i="5"/>
  <c r="CQ68" i="5"/>
  <c r="A69" i="5"/>
  <c r="CQ69" i="5"/>
  <c r="A71" i="5"/>
  <c r="CQ71" i="5"/>
  <c r="A72" i="5"/>
  <c r="CQ72" i="5"/>
  <c r="A73" i="5"/>
  <c r="CQ73" i="5"/>
  <c r="A74" i="5"/>
  <c r="CQ74" i="5"/>
  <c r="A76" i="5"/>
  <c r="CQ76" i="5"/>
  <c r="A77" i="5"/>
  <c r="CQ77" i="5"/>
  <c r="A78" i="5"/>
  <c r="CQ78" i="5"/>
  <c r="A79" i="5"/>
  <c r="CQ79" i="5"/>
  <c r="A81" i="5"/>
  <c r="CQ81" i="5"/>
  <c r="A84" i="5"/>
  <c r="CQ84" i="5"/>
  <c r="A171" i="5"/>
  <c r="CQ171" i="5"/>
  <c r="A172" i="5"/>
  <c r="CQ172" i="5"/>
  <c r="A173" i="5"/>
  <c r="CQ173" i="5"/>
  <c r="A174" i="5"/>
  <c r="CQ174" i="5"/>
  <c r="A175" i="5"/>
  <c r="CQ175" i="5"/>
  <c r="A176" i="5"/>
  <c r="CQ176" i="5"/>
  <c r="A177" i="5"/>
  <c r="CQ177" i="5"/>
  <c r="A178" i="5"/>
  <c r="CQ178" i="5"/>
  <c r="A179" i="5"/>
  <c r="CQ179" i="5"/>
  <c r="A180" i="5"/>
  <c r="CQ180" i="5"/>
  <c r="A181" i="5"/>
  <c r="CQ181" i="5"/>
  <c r="A182" i="5"/>
  <c r="CQ182" i="5"/>
  <c r="A183" i="5"/>
  <c r="CQ183" i="5"/>
  <c r="A184" i="5"/>
  <c r="CQ184" i="5"/>
  <c r="A185" i="5"/>
  <c r="CQ185" i="5"/>
  <c r="A186" i="5"/>
  <c r="CQ186" i="5"/>
  <c r="A187" i="5"/>
  <c r="CQ187" i="5"/>
  <c r="A188" i="5"/>
  <c r="CQ188" i="5"/>
  <c r="A189" i="5"/>
  <c r="CQ189" i="5"/>
  <c r="A190" i="5"/>
  <c r="CQ190" i="5"/>
  <c r="A191" i="5"/>
  <c r="CQ191" i="5"/>
  <c r="A192" i="5"/>
  <c r="CQ192" i="5"/>
  <c r="A193" i="5"/>
  <c r="CQ193" i="5"/>
  <c r="A194" i="5"/>
  <c r="CQ194" i="5"/>
  <c r="A195" i="5"/>
  <c r="CQ195" i="5"/>
  <c r="A196" i="5"/>
  <c r="CQ196" i="5"/>
  <c r="A197" i="5"/>
  <c r="CQ197" i="5"/>
  <c r="A198" i="5"/>
  <c r="CQ198" i="5"/>
  <c r="A199" i="5"/>
  <c r="CQ199" i="5"/>
  <c r="A200" i="5"/>
  <c r="CQ200" i="5"/>
  <c r="A201" i="5"/>
  <c r="CQ201" i="5"/>
  <c r="A202" i="5"/>
  <c r="CQ202" i="5"/>
  <c r="A203" i="5"/>
  <c r="CQ203" i="5"/>
  <c r="A204" i="5"/>
  <c r="CQ204" i="5"/>
  <c r="A205" i="5"/>
  <c r="CQ205" i="5"/>
  <c r="A206" i="5"/>
  <c r="CQ206" i="5"/>
  <c r="A207" i="5"/>
  <c r="CQ207" i="5"/>
  <c r="A208" i="5"/>
  <c r="CQ208" i="5"/>
  <c r="A209" i="5"/>
  <c r="CQ209" i="5"/>
  <c r="A210" i="5"/>
  <c r="CQ210" i="5"/>
  <c r="A211" i="5"/>
  <c r="CQ211" i="5"/>
  <c r="A212" i="5"/>
  <c r="CQ212" i="5"/>
  <c r="A213" i="5"/>
  <c r="CQ213" i="5"/>
  <c r="A214" i="5"/>
  <c r="CQ214" i="5"/>
  <c r="A215" i="5"/>
  <c r="CQ215" i="5"/>
  <c r="A216" i="5"/>
  <c r="CQ216" i="5"/>
  <c r="A217" i="5"/>
  <c r="CQ217" i="5"/>
  <c r="A218" i="5"/>
  <c r="CQ218" i="5"/>
  <c r="A219" i="5"/>
  <c r="CQ219" i="5"/>
  <c r="A220" i="5"/>
  <c r="CQ220" i="5"/>
  <c r="A221" i="5"/>
  <c r="CQ221" i="5"/>
  <c r="A222" i="5"/>
  <c r="CQ222" i="5"/>
  <c r="A223" i="5"/>
  <c r="CQ223" i="5"/>
  <c r="A224" i="5"/>
  <c r="CQ224" i="5"/>
  <c r="A225" i="5"/>
  <c r="CQ225" i="5"/>
  <c r="A226" i="5"/>
  <c r="CQ226" i="5"/>
  <c r="A227" i="5"/>
  <c r="CQ227" i="5"/>
  <c r="A228" i="5"/>
  <c r="CQ228" i="5"/>
  <c r="A229" i="5"/>
  <c r="CQ229" i="5"/>
  <c r="A230" i="5"/>
  <c r="CQ230" i="5"/>
  <c r="A231" i="5"/>
  <c r="CQ231" i="5"/>
  <c r="A232" i="5"/>
  <c r="CQ232" i="5"/>
  <c r="A233" i="5"/>
  <c r="CQ233" i="5"/>
  <c r="A234" i="5"/>
  <c r="CQ234" i="5"/>
  <c r="A235" i="5"/>
  <c r="CQ235" i="5"/>
  <c r="A236" i="5"/>
  <c r="CQ236" i="5"/>
  <c r="A237" i="5"/>
  <c r="CQ237" i="5"/>
  <c r="A238" i="5"/>
  <c r="CQ238" i="5"/>
  <c r="A239" i="5"/>
  <c r="CQ239" i="5"/>
  <c r="A240" i="5"/>
  <c r="CQ240" i="5"/>
  <c r="A241" i="5"/>
  <c r="CQ241" i="5"/>
  <c r="A242" i="5"/>
  <c r="CQ242" i="5"/>
  <c r="A243" i="5"/>
  <c r="CQ243" i="5"/>
  <c r="A244" i="5"/>
  <c r="CQ244" i="5"/>
  <c r="A245" i="5"/>
  <c r="CQ245" i="5"/>
  <c r="A246" i="5"/>
  <c r="CQ246" i="5"/>
  <c r="A247" i="5"/>
  <c r="CQ247" i="5"/>
  <c r="A248" i="5"/>
  <c r="CQ248" i="5"/>
  <c r="CQ249" i="5"/>
  <c r="A250" i="5"/>
  <c r="CQ250" i="5"/>
  <c r="CP250" i="5"/>
  <c r="CN250" i="5"/>
  <c r="CO250" i="5"/>
  <c r="CL250" i="5"/>
  <c r="CM250" i="5"/>
  <c r="B250" i="5"/>
  <c r="C250" i="5"/>
  <c r="D250" i="5"/>
  <c r="E250" i="5"/>
  <c r="F250" i="5"/>
  <c r="G250" i="5"/>
  <c r="H250" i="5"/>
  <c r="I250" i="5"/>
  <c r="J250" i="5"/>
  <c r="K250" i="5"/>
  <c r="L250" i="5"/>
  <c r="M250" i="5"/>
  <c r="N250" i="5"/>
  <c r="O250" i="5"/>
  <c r="P250" i="5"/>
  <c r="Q250" i="5"/>
  <c r="R250" i="5"/>
  <c r="S250" i="5"/>
  <c r="T250" i="5"/>
  <c r="U250" i="5"/>
  <c r="V250" i="5"/>
  <c r="W250" i="5"/>
  <c r="X250" i="5"/>
  <c r="AN250" i="5"/>
  <c r="Y250" i="5"/>
  <c r="Z250" i="5"/>
  <c r="AA250" i="5"/>
  <c r="AB250" i="5"/>
  <c r="AC250" i="5"/>
  <c r="AD250" i="5"/>
  <c r="AE250" i="5"/>
  <c r="AF250" i="5"/>
  <c r="AG250" i="5"/>
  <c r="AI250" i="5"/>
  <c r="AK250" i="5"/>
  <c r="AO250" i="5"/>
  <c r="AS250" i="5"/>
  <c r="AU250" i="5"/>
  <c r="AW250" i="5"/>
  <c r="AY250" i="5"/>
  <c r="BC250" i="5"/>
  <c r="BG250" i="5"/>
  <c r="BI250" i="5"/>
  <c r="BK250" i="5"/>
  <c r="BD250" i="5"/>
  <c r="BL250" i="5"/>
  <c r="BM250" i="5"/>
  <c r="BN250" i="5"/>
  <c r="BO250" i="5"/>
  <c r="BP250" i="5"/>
  <c r="BQ250" i="5"/>
  <c r="BR250" i="5"/>
  <c r="BS250" i="5"/>
  <c r="BT250" i="5"/>
  <c r="BU250" i="5"/>
  <c r="BV250" i="5"/>
  <c r="BW250" i="5"/>
  <c r="BX250" i="5"/>
  <c r="BY250" i="5"/>
  <c r="BZ250" i="5"/>
  <c r="CA250" i="5"/>
  <c r="CB250" i="5"/>
  <c r="CC250" i="5"/>
  <c r="CD250" i="5"/>
  <c r="CE250" i="5"/>
  <c r="CF250" i="5"/>
  <c r="CG250" i="5"/>
  <c r="CP249" i="5"/>
  <c r="CN249" i="5"/>
  <c r="CO249" i="5"/>
  <c r="CL249" i="5"/>
  <c r="CM249" i="5"/>
  <c r="B249" i="5"/>
  <c r="C249" i="5"/>
  <c r="D249" i="5"/>
  <c r="E249" i="5"/>
  <c r="F249" i="5"/>
  <c r="G249" i="5"/>
  <c r="H249" i="5"/>
  <c r="I249" i="5"/>
  <c r="J249" i="5"/>
  <c r="K249" i="5"/>
  <c r="L249" i="5"/>
  <c r="M249" i="5"/>
  <c r="N249" i="5"/>
  <c r="O249" i="5"/>
  <c r="P249" i="5"/>
  <c r="Q249" i="5"/>
  <c r="R249" i="5"/>
  <c r="S249" i="5"/>
  <c r="T249" i="5"/>
  <c r="U249" i="5"/>
  <c r="V249" i="5"/>
  <c r="W249" i="5"/>
  <c r="X249" i="5"/>
  <c r="AN249" i="5"/>
  <c r="Y249" i="5"/>
  <c r="Z249" i="5"/>
  <c r="AA249" i="5"/>
  <c r="AB249" i="5"/>
  <c r="AC249" i="5"/>
  <c r="AD249" i="5"/>
  <c r="AE249" i="5"/>
  <c r="AF249" i="5"/>
  <c r="AG249" i="5"/>
  <c r="AI249" i="5"/>
  <c r="AK249" i="5"/>
  <c r="AO249" i="5"/>
  <c r="AS249" i="5"/>
  <c r="AU249" i="5"/>
  <c r="AW249" i="5"/>
  <c r="AY249" i="5"/>
  <c r="BC249" i="5"/>
  <c r="BG249" i="5"/>
  <c r="BI249" i="5"/>
  <c r="BK249" i="5"/>
  <c r="BD249" i="5"/>
  <c r="BL249" i="5"/>
  <c r="BM249" i="5"/>
  <c r="BN249" i="5"/>
  <c r="BO249" i="5"/>
  <c r="BP249" i="5"/>
  <c r="BQ249" i="5"/>
  <c r="BR249" i="5"/>
  <c r="BS249" i="5"/>
  <c r="BT249" i="5"/>
  <c r="BU249" i="5"/>
  <c r="BV249" i="5"/>
  <c r="BW249" i="5"/>
  <c r="BX249" i="5"/>
  <c r="BY249" i="5"/>
  <c r="BZ249" i="5"/>
  <c r="CA249" i="5"/>
  <c r="CB249" i="5"/>
  <c r="CC249" i="5"/>
  <c r="CD249" i="5"/>
  <c r="CE249" i="5"/>
  <c r="CF249" i="5"/>
  <c r="CG249" i="5"/>
  <c r="CP248" i="5"/>
  <c r="CO248" i="5"/>
  <c r="CL248" i="5"/>
  <c r="CM248" i="5"/>
  <c r="B248" i="5"/>
  <c r="D248" i="5"/>
  <c r="E248" i="5"/>
  <c r="F248" i="5"/>
  <c r="G248" i="5"/>
  <c r="H248" i="5"/>
  <c r="I248" i="5"/>
  <c r="J248" i="5"/>
  <c r="K248" i="5"/>
  <c r="L248" i="5"/>
  <c r="M248" i="5"/>
  <c r="N248" i="5"/>
  <c r="O248" i="5"/>
  <c r="P248" i="5"/>
  <c r="Q248" i="5"/>
  <c r="R248" i="5"/>
  <c r="S248" i="5"/>
  <c r="T248" i="5"/>
  <c r="U248" i="5"/>
  <c r="V248" i="5"/>
  <c r="W248" i="5"/>
  <c r="X248" i="5"/>
  <c r="AN248" i="5"/>
  <c r="Y248" i="5"/>
  <c r="Z248" i="5"/>
  <c r="AA248" i="5"/>
  <c r="AB248" i="5"/>
  <c r="AC248" i="5"/>
  <c r="AD248" i="5"/>
  <c r="AE248" i="5"/>
  <c r="AF248" i="5"/>
  <c r="AG248" i="5"/>
  <c r="AI248" i="5"/>
  <c r="AK248" i="5"/>
  <c r="AO248" i="5"/>
  <c r="AS248" i="5"/>
  <c r="AU248" i="5"/>
  <c r="AW248" i="5"/>
  <c r="AY248" i="5"/>
  <c r="BC248" i="5"/>
  <c r="BG248" i="5"/>
  <c r="BI248" i="5"/>
  <c r="BK248" i="5"/>
  <c r="BD248" i="5"/>
  <c r="BL248" i="5"/>
  <c r="BM248" i="5"/>
  <c r="BN248" i="5"/>
  <c r="BO248" i="5"/>
  <c r="BP248" i="5"/>
  <c r="BQ248" i="5"/>
  <c r="BR248" i="5"/>
  <c r="BS248" i="5"/>
  <c r="BT248" i="5"/>
  <c r="BU248" i="5"/>
  <c r="BV248" i="5"/>
  <c r="BW248" i="5"/>
  <c r="BX248" i="5"/>
  <c r="BY248" i="5"/>
  <c r="BZ248" i="5"/>
  <c r="CA248" i="5"/>
  <c r="CB248" i="5"/>
  <c r="CC248" i="5"/>
  <c r="CD248" i="5"/>
  <c r="CE248" i="5"/>
  <c r="CF248" i="5"/>
  <c r="CG248" i="5"/>
  <c r="CP247" i="5"/>
  <c r="CN247" i="5"/>
  <c r="CO247" i="5"/>
  <c r="CL247" i="5"/>
  <c r="CM247" i="5"/>
  <c r="B247" i="5"/>
  <c r="C247" i="5"/>
  <c r="D247" i="5"/>
  <c r="E247" i="5"/>
  <c r="F247" i="5"/>
  <c r="G247" i="5"/>
  <c r="H247" i="5"/>
  <c r="I247" i="5"/>
  <c r="J247" i="5"/>
  <c r="K247" i="5"/>
  <c r="L247" i="5"/>
  <c r="M247" i="5"/>
  <c r="N247" i="5"/>
  <c r="O247" i="5"/>
  <c r="P247" i="5"/>
  <c r="Q247" i="5"/>
  <c r="R247" i="5"/>
  <c r="S247" i="5"/>
  <c r="T247" i="5"/>
  <c r="U247" i="5"/>
  <c r="V247" i="5"/>
  <c r="W247" i="5"/>
  <c r="X247" i="5"/>
  <c r="AN247" i="5"/>
  <c r="Y247" i="5"/>
  <c r="Z247" i="5"/>
  <c r="AA247" i="5"/>
  <c r="AB247" i="5"/>
  <c r="AC247" i="5"/>
  <c r="AD247" i="5"/>
  <c r="AE247" i="5"/>
  <c r="AF247" i="5"/>
  <c r="AG247" i="5"/>
  <c r="AI247" i="5"/>
  <c r="AK247" i="5"/>
  <c r="AO247" i="5"/>
  <c r="AS247" i="5"/>
  <c r="AU247" i="5"/>
  <c r="AW247" i="5"/>
  <c r="AY247" i="5"/>
  <c r="BC247" i="5"/>
  <c r="BG247" i="5"/>
  <c r="BI247" i="5"/>
  <c r="BK247" i="5"/>
  <c r="BD247" i="5"/>
  <c r="BL247" i="5"/>
  <c r="BM247" i="5"/>
  <c r="BN247" i="5"/>
  <c r="BO247" i="5"/>
  <c r="BP247" i="5"/>
  <c r="BQ247" i="5"/>
  <c r="BR247" i="5"/>
  <c r="BS247" i="5"/>
  <c r="BT247" i="5"/>
  <c r="BU247" i="5"/>
  <c r="BV247" i="5"/>
  <c r="BW247" i="5"/>
  <c r="BX247" i="5"/>
  <c r="BY247" i="5"/>
  <c r="BZ247" i="5"/>
  <c r="CA247" i="5"/>
  <c r="CB247" i="5"/>
  <c r="CC247" i="5"/>
  <c r="CD247" i="5"/>
  <c r="CE247" i="5"/>
  <c r="CF247" i="5"/>
  <c r="CG247" i="5"/>
  <c r="CP246" i="5"/>
  <c r="CN246" i="5"/>
  <c r="CO246" i="5"/>
  <c r="CL246" i="5"/>
  <c r="CM246" i="5"/>
  <c r="B246" i="5"/>
  <c r="C246" i="5"/>
  <c r="D246" i="5"/>
  <c r="E246" i="5"/>
  <c r="F246" i="5"/>
  <c r="G246" i="5"/>
  <c r="H246" i="5"/>
  <c r="I246" i="5"/>
  <c r="J246" i="5"/>
  <c r="K246" i="5"/>
  <c r="L246" i="5"/>
  <c r="M246" i="5"/>
  <c r="N246" i="5"/>
  <c r="O246" i="5"/>
  <c r="P246" i="5"/>
  <c r="Q246" i="5"/>
  <c r="R246" i="5"/>
  <c r="S246" i="5"/>
  <c r="T246" i="5"/>
  <c r="U246" i="5"/>
  <c r="V246" i="5"/>
  <c r="W246" i="5"/>
  <c r="X246" i="5"/>
  <c r="AN246" i="5"/>
  <c r="Y246" i="5"/>
  <c r="Z246" i="5"/>
  <c r="AA246" i="5"/>
  <c r="AB246" i="5"/>
  <c r="AC246" i="5"/>
  <c r="AD246" i="5"/>
  <c r="AE246" i="5"/>
  <c r="AF246" i="5"/>
  <c r="AG246" i="5"/>
  <c r="AI246" i="5"/>
  <c r="AK246" i="5"/>
  <c r="AO246" i="5"/>
  <c r="AS246" i="5"/>
  <c r="AU246" i="5"/>
  <c r="AW246" i="5"/>
  <c r="AY246" i="5"/>
  <c r="BC246" i="5"/>
  <c r="BG246" i="5"/>
  <c r="BI246" i="5"/>
  <c r="BK246" i="5"/>
  <c r="BD246" i="5"/>
  <c r="BL246" i="5"/>
  <c r="BM246" i="5"/>
  <c r="BN246" i="5"/>
  <c r="BO246" i="5"/>
  <c r="BP246" i="5"/>
  <c r="BQ246" i="5"/>
  <c r="BR246" i="5"/>
  <c r="BS246" i="5"/>
  <c r="BT246" i="5"/>
  <c r="BU246" i="5"/>
  <c r="BV246" i="5"/>
  <c r="BW246" i="5"/>
  <c r="BX246" i="5"/>
  <c r="BY246" i="5"/>
  <c r="BZ246" i="5"/>
  <c r="CA246" i="5"/>
  <c r="CB246" i="5"/>
  <c r="CC246" i="5"/>
  <c r="CD246" i="5"/>
  <c r="CE246" i="5"/>
  <c r="CF246" i="5"/>
  <c r="CG246" i="5"/>
  <c r="CP245" i="5"/>
  <c r="CN245" i="5"/>
  <c r="CO245" i="5"/>
  <c r="CL245" i="5"/>
  <c r="CM245" i="5"/>
  <c r="B245" i="5"/>
  <c r="C245" i="5"/>
  <c r="D245" i="5"/>
  <c r="E245" i="5"/>
  <c r="F245" i="5"/>
  <c r="G245" i="5"/>
  <c r="H245" i="5"/>
  <c r="I245" i="5"/>
  <c r="J245" i="5"/>
  <c r="K245" i="5"/>
  <c r="L245" i="5"/>
  <c r="M245" i="5"/>
  <c r="N245" i="5"/>
  <c r="O245" i="5"/>
  <c r="P245" i="5"/>
  <c r="Q245" i="5"/>
  <c r="R245" i="5"/>
  <c r="S245" i="5"/>
  <c r="T245" i="5"/>
  <c r="U245" i="5"/>
  <c r="V245" i="5"/>
  <c r="W245" i="5"/>
  <c r="X245" i="5"/>
  <c r="AN245" i="5"/>
  <c r="Y245" i="5"/>
  <c r="Z245" i="5"/>
  <c r="AA245" i="5"/>
  <c r="AB245" i="5"/>
  <c r="AC245" i="5"/>
  <c r="AD245" i="5"/>
  <c r="AE245" i="5"/>
  <c r="AF245" i="5"/>
  <c r="AG245" i="5"/>
  <c r="AI245" i="5"/>
  <c r="AK245" i="5"/>
  <c r="AO245" i="5"/>
  <c r="AS245" i="5"/>
  <c r="AU245" i="5"/>
  <c r="AW245" i="5"/>
  <c r="AY245" i="5"/>
  <c r="BC245" i="5"/>
  <c r="BG245" i="5"/>
  <c r="BI245" i="5"/>
  <c r="BK245" i="5"/>
  <c r="BD245" i="5"/>
  <c r="BL245" i="5"/>
  <c r="BM245" i="5"/>
  <c r="BN245" i="5"/>
  <c r="BO245" i="5"/>
  <c r="BP245" i="5"/>
  <c r="BQ245" i="5"/>
  <c r="BR245" i="5"/>
  <c r="BS245" i="5"/>
  <c r="BT245" i="5"/>
  <c r="BU245" i="5"/>
  <c r="BV245" i="5"/>
  <c r="BW245" i="5"/>
  <c r="BX245" i="5"/>
  <c r="BY245" i="5"/>
  <c r="BZ245" i="5"/>
  <c r="CA245" i="5"/>
  <c r="CB245" i="5"/>
  <c r="CC245" i="5"/>
  <c r="CD245" i="5"/>
  <c r="CE245" i="5"/>
  <c r="CF245" i="5"/>
  <c r="CG245" i="5"/>
  <c r="CP244" i="5"/>
  <c r="CN244" i="5"/>
  <c r="CO244" i="5"/>
  <c r="CL244" i="5"/>
  <c r="CM244" i="5"/>
  <c r="B244" i="5"/>
  <c r="C244" i="5"/>
  <c r="D244" i="5"/>
  <c r="E244" i="5"/>
  <c r="F244" i="5"/>
  <c r="G244" i="5"/>
  <c r="H244" i="5"/>
  <c r="I244" i="5"/>
  <c r="J244" i="5"/>
  <c r="K244" i="5"/>
  <c r="L244" i="5"/>
  <c r="M244" i="5"/>
  <c r="N244" i="5"/>
  <c r="O244" i="5"/>
  <c r="P244" i="5"/>
  <c r="Q244" i="5"/>
  <c r="R244" i="5"/>
  <c r="S244" i="5"/>
  <c r="T244" i="5"/>
  <c r="U244" i="5"/>
  <c r="V244" i="5"/>
  <c r="W244" i="5"/>
  <c r="X244" i="5"/>
  <c r="AN244" i="5"/>
  <c r="Y244" i="5"/>
  <c r="Z244" i="5"/>
  <c r="AA244" i="5"/>
  <c r="AB244" i="5"/>
  <c r="AC244" i="5"/>
  <c r="AD244" i="5"/>
  <c r="AE244" i="5"/>
  <c r="AF244" i="5"/>
  <c r="AG244" i="5"/>
  <c r="AI244" i="5"/>
  <c r="AK244" i="5"/>
  <c r="AO244" i="5"/>
  <c r="AS244" i="5"/>
  <c r="AU244" i="5"/>
  <c r="AW244" i="5"/>
  <c r="AY244" i="5"/>
  <c r="BC244" i="5"/>
  <c r="BG244" i="5"/>
  <c r="BI244" i="5"/>
  <c r="BK244" i="5"/>
  <c r="BD244" i="5"/>
  <c r="BL244" i="5"/>
  <c r="BM244" i="5"/>
  <c r="BN244" i="5"/>
  <c r="BO244" i="5"/>
  <c r="BP244" i="5"/>
  <c r="BQ244" i="5"/>
  <c r="BR244" i="5"/>
  <c r="BS244" i="5"/>
  <c r="BT244" i="5"/>
  <c r="BU244" i="5"/>
  <c r="BV244" i="5"/>
  <c r="BW244" i="5"/>
  <c r="BX244" i="5"/>
  <c r="BY244" i="5"/>
  <c r="BZ244" i="5"/>
  <c r="CA244" i="5"/>
  <c r="CB244" i="5"/>
  <c r="CC244" i="5"/>
  <c r="CD244" i="5"/>
  <c r="CE244" i="5"/>
  <c r="CF244" i="5"/>
  <c r="CG244" i="5"/>
  <c r="CP243" i="5"/>
  <c r="CN243" i="5"/>
  <c r="CO243" i="5"/>
  <c r="CL243" i="5"/>
  <c r="CM243" i="5"/>
  <c r="B243" i="5"/>
  <c r="C243" i="5"/>
  <c r="D243" i="5"/>
  <c r="E243" i="5"/>
  <c r="F243" i="5"/>
  <c r="G243" i="5"/>
  <c r="H243" i="5"/>
  <c r="I243" i="5"/>
  <c r="J243" i="5"/>
  <c r="K243" i="5"/>
  <c r="L243" i="5"/>
  <c r="M243" i="5"/>
  <c r="N243" i="5"/>
  <c r="O243" i="5"/>
  <c r="P243" i="5"/>
  <c r="Q243" i="5"/>
  <c r="R243" i="5"/>
  <c r="S243" i="5"/>
  <c r="T243" i="5"/>
  <c r="U243" i="5"/>
  <c r="V243" i="5"/>
  <c r="X243" i="5"/>
  <c r="AN243" i="5"/>
  <c r="Y243" i="5"/>
  <c r="Z243" i="5"/>
  <c r="AA243" i="5"/>
  <c r="AB243" i="5"/>
  <c r="AC243" i="5"/>
  <c r="AD243" i="5"/>
  <c r="AE243" i="5"/>
  <c r="AF243" i="5"/>
  <c r="AG243" i="5"/>
  <c r="AI243" i="5"/>
  <c r="AK243" i="5"/>
  <c r="AO243" i="5"/>
  <c r="AS243" i="5"/>
  <c r="AU243" i="5"/>
  <c r="AW243" i="5"/>
  <c r="AY243" i="5"/>
  <c r="BC243" i="5"/>
  <c r="BG243" i="5"/>
  <c r="BI243" i="5"/>
  <c r="BK243" i="5"/>
  <c r="BD243" i="5"/>
  <c r="BL243" i="5"/>
  <c r="BM243" i="5"/>
  <c r="BN243" i="5"/>
  <c r="BO243" i="5"/>
  <c r="BP243" i="5"/>
  <c r="BQ243" i="5"/>
  <c r="BR243" i="5"/>
  <c r="BS243" i="5"/>
  <c r="BT243" i="5"/>
  <c r="BU243" i="5"/>
  <c r="BV243" i="5"/>
  <c r="BW243" i="5"/>
  <c r="BX243" i="5"/>
  <c r="BY243" i="5"/>
  <c r="BZ243" i="5"/>
  <c r="CA243" i="5"/>
  <c r="CB243" i="5"/>
  <c r="CC243" i="5"/>
  <c r="CD243" i="5"/>
  <c r="CE243" i="5"/>
  <c r="CF243" i="5"/>
  <c r="CG243" i="5"/>
  <c r="CP242" i="5"/>
  <c r="CN242" i="5"/>
  <c r="CO242" i="5"/>
  <c r="CL242" i="5"/>
  <c r="CM242" i="5"/>
  <c r="B242" i="5"/>
  <c r="C242" i="5"/>
  <c r="D242" i="5"/>
  <c r="E242" i="5"/>
  <c r="F242" i="5"/>
  <c r="G242" i="5"/>
  <c r="H242" i="5"/>
  <c r="I242" i="5"/>
  <c r="J242" i="5"/>
  <c r="K242" i="5"/>
  <c r="L242" i="5"/>
  <c r="M242" i="5"/>
  <c r="N242" i="5"/>
  <c r="O242" i="5"/>
  <c r="P242" i="5"/>
  <c r="Q242" i="5"/>
  <c r="R242" i="5"/>
  <c r="S242" i="5"/>
  <c r="T242" i="5"/>
  <c r="U242" i="5"/>
  <c r="V242" i="5"/>
  <c r="W242" i="5"/>
  <c r="X242" i="5"/>
  <c r="AN242" i="5"/>
  <c r="Y242" i="5"/>
  <c r="Z242" i="5"/>
  <c r="AA242" i="5"/>
  <c r="AB242" i="5"/>
  <c r="AC242" i="5"/>
  <c r="AD242" i="5"/>
  <c r="AE242" i="5"/>
  <c r="AF242" i="5"/>
  <c r="AG242" i="5"/>
  <c r="AI242" i="5"/>
  <c r="AK242" i="5"/>
  <c r="AO242" i="5"/>
  <c r="AS242" i="5"/>
  <c r="AU242" i="5"/>
  <c r="AW242" i="5"/>
  <c r="AY242" i="5"/>
  <c r="BC242" i="5"/>
  <c r="BG242" i="5"/>
  <c r="BI242" i="5"/>
  <c r="BK242" i="5"/>
  <c r="BD242" i="5"/>
  <c r="BL242" i="5"/>
  <c r="BM242" i="5"/>
  <c r="BN242" i="5"/>
  <c r="BO242" i="5"/>
  <c r="BP242" i="5"/>
  <c r="BQ242" i="5"/>
  <c r="BR242" i="5"/>
  <c r="BS242" i="5"/>
  <c r="BT242" i="5"/>
  <c r="BU242" i="5"/>
  <c r="BV242" i="5"/>
  <c r="BW242" i="5"/>
  <c r="BX242" i="5"/>
  <c r="BY242" i="5"/>
  <c r="BZ242" i="5"/>
  <c r="CA242" i="5"/>
  <c r="CB242" i="5"/>
  <c r="CC242" i="5"/>
  <c r="CD242" i="5"/>
  <c r="CE242" i="5"/>
  <c r="CF242" i="5"/>
  <c r="CG242" i="5"/>
  <c r="CP241" i="5"/>
  <c r="CN241" i="5"/>
  <c r="CO241" i="5"/>
  <c r="CL241" i="5"/>
  <c r="CM241" i="5"/>
  <c r="B241" i="5"/>
  <c r="C241" i="5"/>
  <c r="D241" i="5"/>
  <c r="E241" i="5"/>
  <c r="F241" i="5"/>
  <c r="G241" i="5"/>
  <c r="H241" i="5"/>
  <c r="I241" i="5"/>
  <c r="J241" i="5"/>
  <c r="K241" i="5"/>
  <c r="L241" i="5"/>
  <c r="M241" i="5"/>
  <c r="N241" i="5"/>
  <c r="O241" i="5"/>
  <c r="P241" i="5"/>
  <c r="Q241" i="5"/>
  <c r="R241" i="5"/>
  <c r="S241" i="5"/>
  <c r="T241" i="5"/>
  <c r="U241" i="5"/>
  <c r="V241" i="5"/>
  <c r="W241" i="5"/>
  <c r="X241" i="5"/>
  <c r="AN241" i="5"/>
  <c r="Y241" i="5"/>
  <c r="Z241" i="5"/>
  <c r="AA241" i="5"/>
  <c r="AB241" i="5"/>
  <c r="AC241" i="5"/>
  <c r="AD241" i="5"/>
  <c r="AE241" i="5"/>
  <c r="AF241" i="5"/>
  <c r="AG241" i="5"/>
  <c r="AI241" i="5"/>
  <c r="AK241" i="5"/>
  <c r="AO241" i="5"/>
  <c r="AS241" i="5"/>
  <c r="AU241" i="5"/>
  <c r="AW241" i="5"/>
  <c r="AY241" i="5"/>
  <c r="BC241" i="5"/>
  <c r="BG241" i="5"/>
  <c r="BI241" i="5"/>
  <c r="BK241" i="5"/>
  <c r="BD241" i="5"/>
  <c r="BL241" i="5"/>
  <c r="BM241" i="5"/>
  <c r="BN241" i="5"/>
  <c r="BO241" i="5"/>
  <c r="BP241" i="5"/>
  <c r="BQ241" i="5"/>
  <c r="BR241" i="5"/>
  <c r="BS241" i="5"/>
  <c r="BT241" i="5"/>
  <c r="BU241" i="5"/>
  <c r="BV241" i="5"/>
  <c r="BW241" i="5"/>
  <c r="BX241" i="5"/>
  <c r="BY241" i="5"/>
  <c r="BZ241" i="5"/>
  <c r="CA241" i="5"/>
  <c r="CB241" i="5"/>
  <c r="CC241" i="5"/>
  <c r="CD241" i="5"/>
  <c r="CE241" i="5"/>
  <c r="CF241" i="5"/>
  <c r="CG241" i="5"/>
  <c r="CP240" i="5"/>
  <c r="CN240" i="5"/>
  <c r="CO240" i="5"/>
  <c r="CL240" i="5"/>
  <c r="CM240" i="5"/>
  <c r="B240" i="5"/>
  <c r="C240" i="5"/>
  <c r="D240" i="5"/>
  <c r="E240" i="5"/>
  <c r="F240" i="5"/>
  <c r="G240" i="5"/>
  <c r="H240" i="5"/>
  <c r="I240" i="5"/>
  <c r="J240" i="5"/>
  <c r="K240" i="5"/>
  <c r="L240" i="5"/>
  <c r="M240" i="5"/>
  <c r="N240" i="5"/>
  <c r="O240" i="5"/>
  <c r="P240" i="5"/>
  <c r="Q240" i="5"/>
  <c r="R240" i="5"/>
  <c r="S240" i="5"/>
  <c r="T240" i="5"/>
  <c r="U240" i="5"/>
  <c r="V240" i="5"/>
  <c r="W240" i="5"/>
  <c r="X240" i="5"/>
  <c r="AN240" i="5"/>
  <c r="Y240" i="5"/>
  <c r="Z240" i="5"/>
  <c r="AA240" i="5"/>
  <c r="AB240" i="5"/>
  <c r="AC240" i="5"/>
  <c r="AD240" i="5"/>
  <c r="AE240" i="5"/>
  <c r="AF240" i="5"/>
  <c r="AG240" i="5"/>
  <c r="AI240" i="5"/>
  <c r="AK240" i="5"/>
  <c r="AO240" i="5"/>
  <c r="AS240" i="5"/>
  <c r="AU240" i="5"/>
  <c r="AW240" i="5"/>
  <c r="AY240" i="5"/>
  <c r="BC240" i="5"/>
  <c r="BG240" i="5"/>
  <c r="BI240" i="5"/>
  <c r="BK240" i="5"/>
  <c r="BD240" i="5"/>
  <c r="BL240" i="5"/>
  <c r="BM240" i="5"/>
  <c r="BN240" i="5"/>
  <c r="BO240" i="5"/>
  <c r="BP240" i="5"/>
  <c r="BQ240" i="5"/>
  <c r="BR240" i="5"/>
  <c r="BS240" i="5"/>
  <c r="BT240" i="5"/>
  <c r="BU240" i="5"/>
  <c r="BV240" i="5"/>
  <c r="BW240" i="5"/>
  <c r="BX240" i="5"/>
  <c r="BY240" i="5"/>
  <c r="BZ240" i="5"/>
  <c r="CA240" i="5"/>
  <c r="CB240" i="5"/>
  <c r="CC240" i="5"/>
  <c r="CD240" i="5"/>
  <c r="CE240" i="5"/>
  <c r="CF240" i="5"/>
  <c r="CG240" i="5"/>
  <c r="CP239" i="5"/>
  <c r="CN239" i="5"/>
  <c r="CO239" i="5"/>
  <c r="CL239" i="5"/>
  <c r="CM239" i="5"/>
  <c r="B239" i="5"/>
  <c r="C239" i="5"/>
  <c r="D239" i="5"/>
  <c r="E239" i="5"/>
  <c r="F239" i="5"/>
  <c r="G239" i="5"/>
  <c r="H239" i="5"/>
  <c r="I239" i="5"/>
  <c r="J239" i="5"/>
  <c r="K239" i="5"/>
  <c r="L239" i="5"/>
  <c r="M239" i="5"/>
  <c r="N239" i="5"/>
  <c r="O239" i="5"/>
  <c r="P239" i="5"/>
  <c r="Q239" i="5"/>
  <c r="R239" i="5"/>
  <c r="S239" i="5"/>
  <c r="T239" i="5"/>
  <c r="U239" i="5"/>
  <c r="V239" i="5"/>
  <c r="W239" i="5"/>
  <c r="X239" i="5"/>
  <c r="AN239" i="5"/>
  <c r="Y239" i="5"/>
  <c r="Z239" i="5"/>
  <c r="AA239" i="5"/>
  <c r="AB239" i="5"/>
  <c r="AC239" i="5"/>
  <c r="AE239" i="5"/>
  <c r="AF239" i="5"/>
  <c r="AG239" i="5"/>
  <c r="AI239" i="5"/>
  <c r="AK239" i="5"/>
  <c r="AO239" i="5"/>
  <c r="AS239" i="5"/>
  <c r="AU239" i="5"/>
  <c r="AW239" i="5"/>
  <c r="AY239" i="5"/>
  <c r="BC239" i="5"/>
  <c r="BG239" i="5"/>
  <c r="BI239" i="5"/>
  <c r="BK239" i="5"/>
  <c r="BD239" i="5"/>
  <c r="BL239" i="5"/>
  <c r="BM239" i="5"/>
  <c r="BN239" i="5"/>
  <c r="BO239" i="5"/>
  <c r="BP239" i="5"/>
  <c r="BQ239" i="5"/>
  <c r="BR239" i="5"/>
  <c r="BS239" i="5"/>
  <c r="BT239" i="5"/>
  <c r="BU239" i="5"/>
  <c r="BV239" i="5"/>
  <c r="BW239" i="5"/>
  <c r="BX239" i="5"/>
  <c r="BY239" i="5"/>
  <c r="BZ239" i="5"/>
  <c r="CA239" i="5"/>
  <c r="CB239" i="5"/>
  <c r="CC239" i="5"/>
  <c r="CD239" i="5"/>
  <c r="CE239" i="5"/>
  <c r="CF239" i="5"/>
  <c r="CG239" i="5"/>
  <c r="CP238" i="5"/>
  <c r="CN238" i="5"/>
  <c r="CO238" i="5"/>
  <c r="CL238" i="5"/>
  <c r="CM238" i="5"/>
  <c r="B238" i="5"/>
  <c r="C238" i="5"/>
  <c r="D238" i="5"/>
  <c r="E238" i="5"/>
  <c r="F238" i="5"/>
  <c r="G238" i="5"/>
  <c r="H238" i="5"/>
  <c r="I238" i="5"/>
  <c r="J238" i="5"/>
  <c r="K238" i="5"/>
  <c r="L238" i="5"/>
  <c r="M238" i="5"/>
  <c r="N238" i="5"/>
  <c r="O238" i="5"/>
  <c r="P238" i="5"/>
  <c r="Q238" i="5"/>
  <c r="R238" i="5"/>
  <c r="S238" i="5"/>
  <c r="T238" i="5"/>
  <c r="U238" i="5"/>
  <c r="V238" i="5"/>
  <c r="W238" i="5"/>
  <c r="X238" i="5"/>
  <c r="AN238" i="5"/>
  <c r="Y238" i="5"/>
  <c r="Z238" i="5"/>
  <c r="AA238" i="5"/>
  <c r="AB238" i="5"/>
  <c r="AC238" i="5"/>
  <c r="AD238" i="5"/>
  <c r="AE238" i="5"/>
  <c r="AF238" i="5"/>
  <c r="AG238" i="5"/>
  <c r="AI238" i="5"/>
  <c r="AK238" i="5"/>
  <c r="AO238" i="5"/>
  <c r="AS238" i="5"/>
  <c r="AU238" i="5"/>
  <c r="AW238" i="5"/>
  <c r="AY238" i="5"/>
  <c r="BC238" i="5"/>
  <c r="BG238" i="5"/>
  <c r="BI238" i="5"/>
  <c r="BK238" i="5"/>
  <c r="BD238" i="5"/>
  <c r="BL238" i="5"/>
  <c r="BM238" i="5"/>
  <c r="BN238" i="5"/>
  <c r="BO238" i="5"/>
  <c r="BP238" i="5"/>
  <c r="BQ238" i="5"/>
  <c r="BR238" i="5"/>
  <c r="BS238" i="5"/>
  <c r="BT238" i="5"/>
  <c r="BU238" i="5"/>
  <c r="BV238" i="5"/>
  <c r="BW238" i="5"/>
  <c r="BX238" i="5"/>
  <c r="BY238" i="5"/>
  <c r="BZ238" i="5"/>
  <c r="CA238" i="5"/>
  <c r="CB238" i="5"/>
  <c r="CC238" i="5"/>
  <c r="CD238" i="5"/>
  <c r="CE238" i="5"/>
  <c r="CF238" i="5"/>
  <c r="CG238" i="5"/>
  <c r="CP237" i="5"/>
  <c r="CN237" i="5"/>
  <c r="CO237" i="5"/>
  <c r="CL237" i="5"/>
  <c r="CM237" i="5"/>
  <c r="B237" i="5"/>
  <c r="C237" i="5"/>
  <c r="D237" i="5"/>
  <c r="E237" i="5"/>
  <c r="F237" i="5"/>
  <c r="G237" i="5"/>
  <c r="H237" i="5"/>
  <c r="I237" i="5"/>
  <c r="J237" i="5"/>
  <c r="K237" i="5"/>
  <c r="L237" i="5"/>
  <c r="M237" i="5"/>
  <c r="N237" i="5"/>
  <c r="O237" i="5"/>
  <c r="P237" i="5"/>
  <c r="Q237" i="5"/>
  <c r="R237" i="5"/>
  <c r="S237" i="5"/>
  <c r="T237" i="5"/>
  <c r="U237" i="5"/>
  <c r="V237" i="5"/>
  <c r="W237" i="5"/>
  <c r="X237" i="5"/>
  <c r="AN237" i="5"/>
  <c r="Y237" i="5"/>
  <c r="Z237" i="5"/>
  <c r="AA237" i="5"/>
  <c r="AB237" i="5"/>
  <c r="AC237" i="5"/>
  <c r="AD237" i="5"/>
  <c r="AE237" i="5"/>
  <c r="AF237" i="5"/>
  <c r="AG237" i="5"/>
  <c r="AI237" i="5"/>
  <c r="AK237" i="5"/>
  <c r="AO237" i="5"/>
  <c r="AS237" i="5"/>
  <c r="AU237" i="5"/>
  <c r="AW237" i="5"/>
  <c r="AY237" i="5"/>
  <c r="BC237" i="5"/>
  <c r="BG237" i="5"/>
  <c r="BI237" i="5"/>
  <c r="BK237" i="5"/>
  <c r="BD237" i="5"/>
  <c r="BL237" i="5"/>
  <c r="BM237" i="5"/>
  <c r="BN237" i="5"/>
  <c r="BO237" i="5"/>
  <c r="BP237" i="5"/>
  <c r="BQ237" i="5"/>
  <c r="BR237" i="5"/>
  <c r="BS237" i="5"/>
  <c r="BT237" i="5"/>
  <c r="BU237" i="5"/>
  <c r="BV237" i="5"/>
  <c r="BW237" i="5"/>
  <c r="BX237" i="5"/>
  <c r="BY237" i="5"/>
  <c r="BZ237" i="5"/>
  <c r="CA237" i="5"/>
  <c r="CB237" i="5"/>
  <c r="CC237" i="5"/>
  <c r="CD237" i="5"/>
  <c r="CE237" i="5"/>
  <c r="CF237" i="5"/>
  <c r="CG237" i="5"/>
  <c r="CP236" i="5"/>
  <c r="CN236" i="5"/>
  <c r="CO236" i="5"/>
  <c r="CL236" i="5"/>
  <c r="CM236" i="5"/>
  <c r="B236" i="5"/>
  <c r="C236" i="5"/>
  <c r="D236" i="5"/>
  <c r="E236" i="5"/>
  <c r="F236" i="5"/>
  <c r="G236" i="5"/>
  <c r="H236" i="5"/>
  <c r="I236" i="5"/>
  <c r="J236" i="5"/>
  <c r="K236" i="5"/>
  <c r="L236" i="5"/>
  <c r="M236" i="5"/>
  <c r="N236" i="5"/>
  <c r="O236" i="5"/>
  <c r="P236" i="5"/>
  <c r="Q236" i="5"/>
  <c r="R236" i="5"/>
  <c r="S236" i="5"/>
  <c r="T236" i="5"/>
  <c r="U236" i="5"/>
  <c r="V236" i="5"/>
  <c r="W236" i="5"/>
  <c r="X236" i="5"/>
  <c r="AN236" i="5"/>
  <c r="Y236" i="5"/>
  <c r="Z236" i="5"/>
  <c r="AA236" i="5"/>
  <c r="AB236" i="5"/>
  <c r="AC236" i="5"/>
  <c r="AD236" i="5"/>
  <c r="AE236" i="5"/>
  <c r="AF236" i="5"/>
  <c r="AG236" i="5"/>
  <c r="AI236" i="5"/>
  <c r="AK236" i="5"/>
  <c r="AO236" i="5"/>
  <c r="AS236" i="5"/>
  <c r="AU236" i="5"/>
  <c r="AW236" i="5"/>
  <c r="AY236" i="5"/>
  <c r="BC236" i="5"/>
  <c r="BG236" i="5"/>
  <c r="BI236" i="5"/>
  <c r="BK236" i="5"/>
  <c r="BD236" i="5"/>
  <c r="BL236" i="5"/>
  <c r="BM236" i="5"/>
  <c r="BN236" i="5"/>
  <c r="BO236" i="5"/>
  <c r="BP236" i="5"/>
  <c r="BQ236" i="5"/>
  <c r="BR236" i="5"/>
  <c r="BS236" i="5"/>
  <c r="BT236" i="5"/>
  <c r="BU236" i="5"/>
  <c r="BV236" i="5"/>
  <c r="BW236" i="5"/>
  <c r="BX236" i="5"/>
  <c r="BY236" i="5"/>
  <c r="BZ236" i="5"/>
  <c r="CA236" i="5"/>
  <c r="CB236" i="5"/>
  <c r="CC236" i="5"/>
  <c r="CD236" i="5"/>
  <c r="CE236" i="5"/>
  <c r="CF236" i="5"/>
  <c r="CG236" i="5"/>
  <c r="CP235" i="5"/>
  <c r="CN235" i="5"/>
  <c r="CO235" i="5"/>
  <c r="CL235" i="5"/>
  <c r="CM235" i="5"/>
  <c r="B235" i="5"/>
  <c r="C235" i="5"/>
  <c r="D235" i="5"/>
  <c r="E235" i="5"/>
  <c r="F235" i="5"/>
  <c r="G235" i="5"/>
  <c r="H235" i="5"/>
  <c r="I235" i="5"/>
  <c r="J235" i="5"/>
  <c r="K235" i="5"/>
  <c r="L235" i="5"/>
  <c r="M235" i="5"/>
  <c r="N235" i="5"/>
  <c r="O235" i="5"/>
  <c r="P235" i="5"/>
  <c r="Q235" i="5"/>
  <c r="R235" i="5"/>
  <c r="S235" i="5"/>
  <c r="T235" i="5"/>
  <c r="U235" i="5"/>
  <c r="V235" i="5"/>
  <c r="W235" i="5"/>
  <c r="X235" i="5"/>
  <c r="AN235" i="5"/>
  <c r="Y235" i="5"/>
  <c r="Z235" i="5"/>
  <c r="AA235" i="5"/>
  <c r="AB235" i="5"/>
  <c r="AC235" i="5"/>
  <c r="AD235" i="5"/>
  <c r="AE235" i="5"/>
  <c r="AF235" i="5"/>
  <c r="AG235" i="5"/>
  <c r="AI235" i="5"/>
  <c r="AK235" i="5"/>
  <c r="AO235" i="5"/>
  <c r="AS235" i="5"/>
  <c r="AU235" i="5"/>
  <c r="AW235" i="5"/>
  <c r="AY235" i="5"/>
  <c r="BC235" i="5"/>
  <c r="BI235" i="5"/>
  <c r="BK235" i="5"/>
  <c r="BD235" i="5"/>
  <c r="BL235" i="5"/>
  <c r="BM235" i="5"/>
  <c r="BN235" i="5"/>
  <c r="BO235" i="5"/>
  <c r="BP235" i="5"/>
  <c r="BQ235" i="5"/>
  <c r="BR235" i="5"/>
  <c r="BS235" i="5"/>
  <c r="BT235" i="5"/>
  <c r="BU235" i="5"/>
  <c r="BV235" i="5"/>
  <c r="BW235" i="5"/>
  <c r="BX235" i="5"/>
  <c r="BY235" i="5"/>
  <c r="BZ235" i="5"/>
  <c r="CA235" i="5"/>
  <c r="CB235" i="5"/>
  <c r="CC235" i="5"/>
  <c r="CD235" i="5"/>
  <c r="CE235" i="5"/>
  <c r="CF235" i="5"/>
  <c r="CG235" i="5"/>
  <c r="CP234" i="5"/>
  <c r="CN234" i="5"/>
  <c r="CO234" i="5"/>
  <c r="CL234" i="5"/>
  <c r="CM234" i="5"/>
  <c r="B234" i="5"/>
  <c r="C234" i="5"/>
  <c r="D234" i="5"/>
  <c r="E234" i="5"/>
  <c r="F234" i="5"/>
  <c r="G234" i="5"/>
  <c r="H234" i="5"/>
  <c r="I234" i="5"/>
  <c r="J234" i="5"/>
  <c r="K234" i="5"/>
  <c r="L234" i="5"/>
  <c r="M234" i="5"/>
  <c r="N234" i="5"/>
  <c r="O234" i="5"/>
  <c r="P234" i="5"/>
  <c r="Q234" i="5"/>
  <c r="R234" i="5"/>
  <c r="S234" i="5"/>
  <c r="T234" i="5"/>
  <c r="U234" i="5"/>
  <c r="V234" i="5"/>
  <c r="W234" i="5"/>
  <c r="X234" i="5"/>
  <c r="AN234" i="5"/>
  <c r="Y234" i="5"/>
  <c r="Z234" i="5"/>
  <c r="AA234" i="5"/>
  <c r="AB234" i="5"/>
  <c r="AC234" i="5"/>
  <c r="AD234" i="5"/>
  <c r="AE234" i="5"/>
  <c r="AF234" i="5"/>
  <c r="AG234" i="5"/>
  <c r="AI234" i="5"/>
  <c r="AK234" i="5"/>
  <c r="AO234" i="5"/>
  <c r="AS234" i="5"/>
  <c r="AU234" i="5"/>
  <c r="AW234" i="5"/>
  <c r="AY234" i="5"/>
  <c r="BC234" i="5"/>
  <c r="BG234" i="5"/>
  <c r="BI234" i="5"/>
  <c r="BK234" i="5"/>
  <c r="BD234" i="5"/>
  <c r="BL234" i="5"/>
  <c r="BM234" i="5"/>
  <c r="BN234" i="5"/>
  <c r="BO234" i="5"/>
  <c r="BP234" i="5"/>
  <c r="BQ234" i="5"/>
  <c r="BR234" i="5"/>
  <c r="BS234" i="5"/>
  <c r="BU234" i="5"/>
  <c r="BV234" i="5"/>
  <c r="BW234" i="5"/>
  <c r="BX234" i="5"/>
  <c r="BY234" i="5"/>
  <c r="BZ234" i="5"/>
  <c r="CA234" i="5"/>
  <c r="CB234" i="5"/>
  <c r="CC234" i="5"/>
  <c r="CD234" i="5"/>
  <c r="CE234" i="5"/>
  <c r="CF234" i="5"/>
  <c r="CG234" i="5"/>
  <c r="CP233" i="5"/>
  <c r="CN233" i="5"/>
  <c r="CO233" i="5"/>
  <c r="CL233" i="5"/>
  <c r="CM233" i="5"/>
  <c r="B233" i="5"/>
  <c r="C233" i="5"/>
  <c r="D233" i="5"/>
  <c r="E233" i="5"/>
  <c r="F233" i="5"/>
  <c r="G233" i="5"/>
  <c r="H233" i="5"/>
  <c r="I233" i="5"/>
  <c r="J233" i="5"/>
  <c r="K233" i="5"/>
  <c r="L233" i="5"/>
  <c r="M233" i="5"/>
  <c r="N233" i="5"/>
  <c r="O233" i="5"/>
  <c r="P233" i="5"/>
  <c r="Q233" i="5"/>
  <c r="R233" i="5"/>
  <c r="S233" i="5"/>
  <c r="T233" i="5"/>
  <c r="U233" i="5"/>
  <c r="V233" i="5"/>
  <c r="W233" i="5"/>
  <c r="X233" i="5"/>
  <c r="AN233" i="5"/>
  <c r="Y233" i="5"/>
  <c r="Z233" i="5"/>
  <c r="AA233" i="5"/>
  <c r="AB233" i="5"/>
  <c r="AC233" i="5"/>
  <c r="AD233" i="5"/>
  <c r="AE233" i="5"/>
  <c r="AF233" i="5"/>
  <c r="AG233" i="5"/>
  <c r="AI233" i="5"/>
  <c r="AK233" i="5"/>
  <c r="AO233" i="5"/>
  <c r="AS233" i="5"/>
  <c r="AU233" i="5"/>
  <c r="AW233" i="5"/>
  <c r="AY233" i="5"/>
  <c r="BC233" i="5"/>
  <c r="BG233" i="5"/>
  <c r="BI233" i="5"/>
  <c r="BK233" i="5"/>
  <c r="BD233" i="5"/>
  <c r="BL233" i="5"/>
  <c r="BM233" i="5"/>
  <c r="BN233" i="5"/>
  <c r="BO233" i="5"/>
  <c r="BP233" i="5"/>
  <c r="BQ233" i="5"/>
  <c r="BR233" i="5"/>
  <c r="BS233" i="5"/>
  <c r="BT233" i="5"/>
  <c r="BU233" i="5"/>
  <c r="BV233" i="5"/>
  <c r="BW233" i="5"/>
  <c r="BX233" i="5"/>
  <c r="BY233" i="5"/>
  <c r="BZ233" i="5"/>
  <c r="CB233" i="5"/>
  <c r="CC233" i="5"/>
  <c r="CD233" i="5"/>
  <c r="CE233" i="5"/>
  <c r="CF233" i="5"/>
  <c r="CG233" i="5"/>
  <c r="CP232" i="5"/>
  <c r="CN232" i="5"/>
  <c r="CO232" i="5"/>
  <c r="CL232" i="5"/>
  <c r="CM232" i="5"/>
  <c r="B232" i="5"/>
  <c r="C232" i="5"/>
  <c r="D232" i="5"/>
  <c r="E232" i="5"/>
  <c r="F232" i="5"/>
  <c r="G232" i="5"/>
  <c r="H232" i="5"/>
  <c r="I232" i="5"/>
  <c r="J232" i="5"/>
  <c r="K232" i="5"/>
  <c r="L232" i="5"/>
  <c r="M232" i="5"/>
  <c r="N232" i="5"/>
  <c r="O232" i="5"/>
  <c r="P232" i="5"/>
  <c r="Q232" i="5"/>
  <c r="R232" i="5"/>
  <c r="S232" i="5"/>
  <c r="T232" i="5"/>
  <c r="U232" i="5"/>
  <c r="V232" i="5"/>
  <c r="W232" i="5"/>
  <c r="X232" i="5"/>
  <c r="AN232" i="5"/>
  <c r="Y232" i="5"/>
  <c r="Z232" i="5"/>
  <c r="AA232" i="5"/>
  <c r="AB232" i="5"/>
  <c r="AC232" i="5"/>
  <c r="AD232" i="5"/>
  <c r="AE232" i="5"/>
  <c r="AF232" i="5"/>
  <c r="AG232" i="5"/>
  <c r="AI232" i="5"/>
  <c r="AK232" i="5"/>
  <c r="AO232" i="5"/>
  <c r="AS232" i="5"/>
  <c r="AU232" i="5"/>
  <c r="AW232" i="5"/>
  <c r="AY232" i="5"/>
  <c r="BC232" i="5"/>
  <c r="BG232" i="5"/>
  <c r="BI232" i="5"/>
  <c r="BK232" i="5"/>
  <c r="BD232" i="5"/>
  <c r="BL232" i="5"/>
  <c r="BM232" i="5"/>
  <c r="BN232" i="5"/>
  <c r="BO232" i="5"/>
  <c r="BP232" i="5"/>
  <c r="BQ232" i="5"/>
  <c r="BR232" i="5"/>
  <c r="BS232" i="5"/>
  <c r="BT232" i="5"/>
  <c r="BU232" i="5"/>
  <c r="BV232" i="5"/>
  <c r="BW232" i="5"/>
  <c r="BX232" i="5"/>
  <c r="BY232" i="5"/>
  <c r="BZ232" i="5"/>
  <c r="CA232" i="5"/>
  <c r="CB232" i="5"/>
  <c r="CC232" i="5"/>
  <c r="CD232" i="5"/>
  <c r="CE232" i="5"/>
  <c r="CF232" i="5"/>
  <c r="CG232" i="5"/>
  <c r="CP231" i="5"/>
  <c r="CN231" i="5"/>
  <c r="CO231" i="5"/>
  <c r="CL231" i="5"/>
  <c r="CM231" i="5"/>
  <c r="B231" i="5"/>
  <c r="C231" i="5"/>
  <c r="D231" i="5"/>
  <c r="E231" i="5"/>
  <c r="F231" i="5"/>
  <c r="G231" i="5"/>
  <c r="H231" i="5"/>
  <c r="I231" i="5"/>
  <c r="J231" i="5"/>
  <c r="K231" i="5"/>
  <c r="L231" i="5"/>
  <c r="M231" i="5"/>
  <c r="N231" i="5"/>
  <c r="O231" i="5"/>
  <c r="P231" i="5"/>
  <c r="Q231" i="5"/>
  <c r="R231" i="5"/>
  <c r="S231" i="5"/>
  <c r="T231" i="5"/>
  <c r="U231" i="5"/>
  <c r="V231" i="5"/>
  <c r="W231" i="5"/>
  <c r="X231" i="5"/>
  <c r="AN231" i="5"/>
  <c r="Y231" i="5"/>
  <c r="Z231" i="5"/>
  <c r="AA231" i="5"/>
  <c r="AB231" i="5"/>
  <c r="AC231" i="5"/>
  <c r="AD231" i="5"/>
  <c r="AE231" i="5"/>
  <c r="AF231" i="5"/>
  <c r="AG231" i="5"/>
  <c r="AI231" i="5"/>
  <c r="AK231" i="5"/>
  <c r="AO231" i="5"/>
  <c r="AS231" i="5"/>
  <c r="AU231" i="5"/>
  <c r="AW231" i="5"/>
  <c r="AY231" i="5"/>
  <c r="BC231" i="5"/>
  <c r="BG231" i="5"/>
  <c r="BI231" i="5"/>
  <c r="BK231" i="5"/>
  <c r="BD231" i="5"/>
  <c r="BL231" i="5"/>
  <c r="BM231" i="5"/>
  <c r="BN231" i="5"/>
  <c r="BO231" i="5"/>
  <c r="BP231" i="5"/>
  <c r="BQ231" i="5"/>
  <c r="BR231" i="5"/>
  <c r="BS231" i="5"/>
  <c r="BT231" i="5"/>
  <c r="BU231" i="5"/>
  <c r="BV231" i="5"/>
  <c r="BW231" i="5"/>
  <c r="BX231" i="5"/>
  <c r="BY231" i="5"/>
  <c r="BZ231" i="5"/>
  <c r="CA231" i="5"/>
  <c r="CB231" i="5"/>
  <c r="CC231" i="5"/>
  <c r="CD231" i="5"/>
  <c r="CE231" i="5"/>
  <c r="CF231" i="5"/>
  <c r="CG231" i="5"/>
  <c r="CP230" i="5"/>
  <c r="CN230" i="5"/>
  <c r="CO230" i="5"/>
  <c r="CL230" i="5"/>
  <c r="CM230" i="5"/>
  <c r="B230" i="5"/>
  <c r="C230" i="5"/>
  <c r="D230" i="5"/>
  <c r="E230" i="5"/>
  <c r="F230" i="5"/>
  <c r="G230" i="5"/>
  <c r="H230" i="5"/>
  <c r="I230" i="5"/>
  <c r="J230" i="5"/>
  <c r="K230" i="5"/>
  <c r="L230" i="5"/>
  <c r="M230" i="5"/>
  <c r="N230" i="5"/>
  <c r="O230" i="5"/>
  <c r="P230" i="5"/>
  <c r="Q230" i="5"/>
  <c r="R230" i="5"/>
  <c r="S230" i="5"/>
  <c r="T230" i="5"/>
  <c r="U230" i="5"/>
  <c r="V230" i="5"/>
  <c r="W230" i="5"/>
  <c r="X230" i="5"/>
  <c r="AN230" i="5"/>
  <c r="Y230" i="5"/>
  <c r="Z230" i="5"/>
  <c r="AA230" i="5"/>
  <c r="AB230" i="5"/>
  <c r="AC230" i="5"/>
  <c r="AD230" i="5"/>
  <c r="AE230" i="5"/>
  <c r="AF230" i="5"/>
  <c r="AG230" i="5"/>
  <c r="AI230" i="5"/>
  <c r="AK230" i="5"/>
  <c r="AO230" i="5"/>
  <c r="AS230" i="5"/>
  <c r="AU230" i="5"/>
  <c r="AW230" i="5"/>
  <c r="AY230" i="5"/>
  <c r="BC230" i="5"/>
  <c r="BG230" i="5"/>
  <c r="BI230" i="5"/>
  <c r="BK230" i="5"/>
  <c r="BD230" i="5"/>
  <c r="BL230" i="5"/>
  <c r="BM230" i="5"/>
  <c r="BN230" i="5"/>
  <c r="BO230" i="5"/>
  <c r="BP230" i="5"/>
  <c r="BQ230" i="5"/>
  <c r="BR230" i="5"/>
  <c r="BS230" i="5"/>
  <c r="BT230" i="5"/>
  <c r="BU230" i="5"/>
  <c r="BV230" i="5"/>
  <c r="BW230" i="5"/>
  <c r="BX230" i="5"/>
  <c r="BY230" i="5"/>
  <c r="BZ230" i="5"/>
  <c r="CA230" i="5"/>
  <c r="CB230" i="5"/>
  <c r="CC230" i="5"/>
  <c r="CD230" i="5"/>
  <c r="CE230" i="5"/>
  <c r="CF230" i="5"/>
  <c r="CG230" i="5"/>
  <c r="CP229" i="5"/>
  <c r="CN229" i="5"/>
  <c r="CO229" i="5"/>
  <c r="CL229" i="5"/>
  <c r="CM229" i="5"/>
  <c r="B229" i="5"/>
  <c r="C229" i="5"/>
  <c r="D229" i="5"/>
  <c r="E229" i="5"/>
  <c r="F229" i="5"/>
  <c r="G229" i="5"/>
  <c r="H229" i="5"/>
  <c r="I229" i="5"/>
  <c r="J229" i="5"/>
  <c r="K229" i="5"/>
  <c r="L229" i="5"/>
  <c r="M229" i="5"/>
  <c r="N229" i="5"/>
  <c r="O229" i="5"/>
  <c r="P229" i="5"/>
  <c r="Q229" i="5"/>
  <c r="R229" i="5"/>
  <c r="S229" i="5"/>
  <c r="T229" i="5"/>
  <c r="U229" i="5"/>
  <c r="V229" i="5"/>
  <c r="W229" i="5"/>
  <c r="X229" i="5"/>
  <c r="AN229" i="5"/>
  <c r="Y229" i="5"/>
  <c r="Z229" i="5"/>
  <c r="AA229" i="5"/>
  <c r="AB229" i="5"/>
  <c r="AC229" i="5"/>
  <c r="AD229" i="5"/>
  <c r="AE229" i="5"/>
  <c r="AF229" i="5"/>
  <c r="AG229" i="5"/>
  <c r="AI229" i="5"/>
  <c r="AK229" i="5"/>
  <c r="AO229" i="5"/>
  <c r="AS229" i="5"/>
  <c r="AU229" i="5"/>
  <c r="AW229" i="5"/>
  <c r="AY229" i="5"/>
  <c r="BC229" i="5"/>
  <c r="BG229" i="5"/>
  <c r="BI229" i="5"/>
  <c r="BK229" i="5"/>
  <c r="BD229" i="5"/>
  <c r="BL229" i="5"/>
  <c r="BM229" i="5"/>
  <c r="BN229" i="5"/>
  <c r="BO229" i="5"/>
  <c r="BP229" i="5"/>
  <c r="BQ229" i="5"/>
  <c r="BR229" i="5"/>
  <c r="BS229" i="5"/>
  <c r="BT229" i="5"/>
  <c r="BU229" i="5"/>
  <c r="BV229" i="5"/>
  <c r="BW229" i="5"/>
  <c r="BX229" i="5"/>
  <c r="BY229" i="5"/>
  <c r="BZ229" i="5"/>
  <c r="CA229" i="5"/>
  <c r="CB229" i="5"/>
  <c r="CC229" i="5"/>
  <c r="CD229" i="5"/>
  <c r="CE229" i="5"/>
  <c r="CF229" i="5"/>
  <c r="CG229" i="5"/>
  <c r="CP228" i="5"/>
  <c r="CN228" i="5"/>
  <c r="CO228" i="5"/>
  <c r="CL228" i="5"/>
  <c r="CM228" i="5"/>
  <c r="B228" i="5"/>
  <c r="C228" i="5"/>
  <c r="D228" i="5"/>
  <c r="E228" i="5"/>
  <c r="F228" i="5"/>
  <c r="G228" i="5"/>
  <c r="H228" i="5"/>
  <c r="I228" i="5"/>
  <c r="J228" i="5"/>
  <c r="K228" i="5"/>
  <c r="L228" i="5"/>
  <c r="M228" i="5"/>
  <c r="N228" i="5"/>
  <c r="O228" i="5"/>
  <c r="P228" i="5"/>
  <c r="Q228" i="5"/>
  <c r="R228" i="5"/>
  <c r="S228" i="5"/>
  <c r="T228" i="5"/>
  <c r="U228" i="5"/>
  <c r="V228" i="5"/>
  <c r="W228" i="5"/>
  <c r="X228" i="5"/>
  <c r="AN228" i="5"/>
  <c r="Y228" i="5"/>
  <c r="Z228" i="5"/>
  <c r="AA228" i="5"/>
  <c r="AB228" i="5"/>
  <c r="AC228" i="5"/>
  <c r="AD228" i="5"/>
  <c r="AE228" i="5"/>
  <c r="AF228" i="5"/>
  <c r="AG228" i="5"/>
  <c r="AI228" i="5"/>
  <c r="AK228" i="5"/>
  <c r="AO228" i="5"/>
  <c r="AS228" i="5"/>
  <c r="AU228" i="5"/>
  <c r="AW228" i="5"/>
  <c r="AY228" i="5"/>
  <c r="BC228" i="5"/>
  <c r="BG228" i="5"/>
  <c r="BI228" i="5"/>
  <c r="BK228" i="5"/>
  <c r="BD228" i="5"/>
  <c r="BL228" i="5"/>
  <c r="BM228" i="5"/>
  <c r="BN228" i="5"/>
  <c r="BO228" i="5"/>
  <c r="BP228" i="5"/>
  <c r="BQ228" i="5"/>
  <c r="BR228" i="5"/>
  <c r="BS228" i="5"/>
  <c r="BT228" i="5"/>
  <c r="BU228" i="5"/>
  <c r="BV228" i="5"/>
  <c r="BW228" i="5"/>
  <c r="BX228" i="5"/>
  <c r="BY228" i="5"/>
  <c r="BZ228" i="5"/>
  <c r="CA228" i="5"/>
  <c r="CB228" i="5"/>
  <c r="CC228" i="5"/>
  <c r="CD228" i="5"/>
  <c r="CE228" i="5"/>
  <c r="CF228" i="5"/>
  <c r="CG228" i="5"/>
  <c r="CP227" i="5"/>
  <c r="CN227" i="5"/>
  <c r="CO227" i="5"/>
  <c r="CL227" i="5"/>
  <c r="CM227" i="5"/>
  <c r="B227" i="5"/>
  <c r="C227" i="5"/>
  <c r="D227" i="5"/>
  <c r="E227" i="5"/>
  <c r="F227" i="5"/>
  <c r="G227" i="5"/>
  <c r="H227" i="5"/>
  <c r="I227" i="5"/>
  <c r="J227" i="5"/>
  <c r="K227" i="5"/>
  <c r="L227" i="5"/>
  <c r="M227" i="5"/>
  <c r="N227" i="5"/>
  <c r="O227" i="5"/>
  <c r="P227" i="5"/>
  <c r="Q227" i="5"/>
  <c r="R227" i="5"/>
  <c r="S227" i="5"/>
  <c r="T227" i="5"/>
  <c r="U227" i="5"/>
  <c r="V227" i="5"/>
  <c r="W227" i="5"/>
  <c r="X227" i="5"/>
  <c r="AN227" i="5"/>
  <c r="Y227" i="5"/>
  <c r="Z227" i="5"/>
  <c r="AA227" i="5"/>
  <c r="AB227" i="5"/>
  <c r="AC227" i="5"/>
  <c r="AD227" i="5"/>
  <c r="AE227" i="5"/>
  <c r="AF227" i="5"/>
  <c r="AG227" i="5"/>
  <c r="AI227" i="5"/>
  <c r="AK227" i="5"/>
  <c r="AO227" i="5"/>
  <c r="AS227" i="5"/>
  <c r="AU227" i="5"/>
  <c r="AW227" i="5"/>
  <c r="AY227" i="5"/>
  <c r="BC227" i="5"/>
  <c r="BG227" i="5"/>
  <c r="BI227" i="5"/>
  <c r="BK227" i="5"/>
  <c r="BD227" i="5"/>
  <c r="BL227" i="5"/>
  <c r="BM227" i="5"/>
  <c r="BN227" i="5"/>
  <c r="BO227" i="5"/>
  <c r="BP227" i="5"/>
  <c r="BQ227" i="5"/>
  <c r="BR227" i="5"/>
  <c r="BS227" i="5"/>
  <c r="BT227" i="5"/>
  <c r="BU227" i="5"/>
  <c r="BV227" i="5"/>
  <c r="BW227" i="5"/>
  <c r="BX227" i="5"/>
  <c r="BY227" i="5"/>
  <c r="BZ227" i="5"/>
  <c r="CA227" i="5"/>
  <c r="CB227" i="5"/>
  <c r="CC227" i="5"/>
  <c r="CD227" i="5"/>
  <c r="CE227" i="5"/>
  <c r="CF227" i="5"/>
  <c r="CG227" i="5"/>
  <c r="CP226" i="5"/>
  <c r="CN226" i="5"/>
  <c r="CO226" i="5"/>
  <c r="CL226" i="5"/>
  <c r="CM226" i="5"/>
  <c r="B226" i="5"/>
  <c r="C226" i="5"/>
  <c r="D226" i="5"/>
  <c r="E226" i="5"/>
  <c r="F226" i="5"/>
  <c r="G226" i="5"/>
  <c r="H226" i="5"/>
  <c r="I226" i="5"/>
  <c r="J226" i="5"/>
  <c r="K226" i="5"/>
  <c r="L226" i="5"/>
  <c r="M226" i="5"/>
  <c r="N226" i="5"/>
  <c r="O226" i="5"/>
  <c r="P226" i="5"/>
  <c r="Q226" i="5"/>
  <c r="R226" i="5"/>
  <c r="S226" i="5"/>
  <c r="T226" i="5"/>
  <c r="U226" i="5"/>
  <c r="V226" i="5"/>
  <c r="W226" i="5"/>
  <c r="X226" i="5"/>
  <c r="AN226" i="5"/>
  <c r="Y226" i="5"/>
  <c r="Z226" i="5"/>
  <c r="AA226" i="5"/>
  <c r="AB226" i="5"/>
  <c r="AC226" i="5"/>
  <c r="AD226" i="5"/>
  <c r="AE226" i="5"/>
  <c r="AF226" i="5"/>
  <c r="AG226" i="5"/>
  <c r="AI226" i="5"/>
  <c r="AK226" i="5"/>
  <c r="AO226" i="5"/>
  <c r="AS226" i="5"/>
  <c r="AU226" i="5"/>
  <c r="AW226" i="5"/>
  <c r="AY226" i="5"/>
  <c r="BC226" i="5"/>
  <c r="BG226" i="5"/>
  <c r="BI226" i="5"/>
  <c r="BK226" i="5"/>
  <c r="BD226" i="5"/>
  <c r="BL226" i="5"/>
  <c r="BM226" i="5"/>
  <c r="BN226" i="5"/>
  <c r="BO226" i="5"/>
  <c r="BP226" i="5"/>
  <c r="BQ226" i="5"/>
  <c r="BR226" i="5"/>
  <c r="BS226" i="5"/>
  <c r="BT226" i="5"/>
  <c r="BU226" i="5"/>
  <c r="BV226" i="5"/>
  <c r="BW226" i="5"/>
  <c r="BX226" i="5"/>
  <c r="BY226" i="5"/>
  <c r="BZ226" i="5"/>
  <c r="CA226" i="5"/>
  <c r="CB226" i="5"/>
  <c r="CC226" i="5"/>
  <c r="CD226" i="5"/>
  <c r="CE226" i="5"/>
  <c r="CF226" i="5"/>
  <c r="CG226" i="5"/>
  <c r="CP225" i="5"/>
  <c r="CN225" i="5"/>
  <c r="CO225" i="5"/>
  <c r="CL225" i="5"/>
  <c r="CM225" i="5"/>
  <c r="B225" i="5"/>
  <c r="C225" i="5"/>
  <c r="D225" i="5"/>
  <c r="E225" i="5"/>
  <c r="F225" i="5"/>
  <c r="G225" i="5"/>
  <c r="H225" i="5"/>
  <c r="I225" i="5"/>
  <c r="J225" i="5"/>
  <c r="K225" i="5"/>
  <c r="L225" i="5"/>
  <c r="M225" i="5"/>
  <c r="N225" i="5"/>
  <c r="P225" i="5"/>
  <c r="Q225" i="5"/>
  <c r="R225" i="5"/>
  <c r="S225" i="5"/>
  <c r="T225" i="5"/>
  <c r="U225" i="5"/>
  <c r="V225" i="5"/>
  <c r="W225" i="5"/>
  <c r="X225" i="5"/>
  <c r="AN225" i="5"/>
  <c r="Y225" i="5"/>
  <c r="Z225" i="5"/>
  <c r="AA225" i="5"/>
  <c r="AB225" i="5"/>
  <c r="AC225" i="5"/>
  <c r="AD225" i="5"/>
  <c r="AE225" i="5"/>
  <c r="AF225" i="5"/>
  <c r="AG225" i="5"/>
  <c r="AI225" i="5"/>
  <c r="AK225" i="5"/>
  <c r="AO225" i="5"/>
  <c r="AS225" i="5"/>
  <c r="AU225" i="5"/>
  <c r="AW225" i="5"/>
  <c r="AY225" i="5"/>
  <c r="BC225" i="5"/>
  <c r="BG225" i="5"/>
  <c r="BI225" i="5"/>
  <c r="BK225" i="5"/>
  <c r="BD225" i="5"/>
  <c r="BL225" i="5"/>
  <c r="BM225" i="5"/>
  <c r="BN225" i="5"/>
  <c r="BO225" i="5"/>
  <c r="BP225" i="5"/>
  <c r="BQ225" i="5"/>
  <c r="BR225" i="5"/>
  <c r="BS225" i="5"/>
  <c r="BT225" i="5"/>
  <c r="BU225" i="5"/>
  <c r="BV225" i="5"/>
  <c r="BW225" i="5"/>
  <c r="BX225" i="5"/>
  <c r="BY225" i="5"/>
  <c r="BZ225" i="5"/>
  <c r="CA225" i="5"/>
  <c r="CB225" i="5"/>
  <c r="CC225" i="5"/>
  <c r="CD225" i="5"/>
  <c r="CE225" i="5"/>
  <c r="CF225" i="5"/>
  <c r="CG225" i="5"/>
  <c r="CP224" i="5"/>
  <c r="CN224" i="5"/>
  <c r="CO224" i="5"/>
  <c r="CL224" i="5"/>
  <c r="CM224" i="5"/>
  <c r="B224" i="5"/>
  <c r="C224" i="5"/>
  <c r="D224" i="5"/>
  <c r="E224" i="5"/>
  <c r="F224" i="5"/>
  <c r="G224" i="5"/>
  <c r="H224" i="5"/>
  <c r="I224" i="5"/>
  <c r="J224" i="5"/>
  <c r="K224" i="5"/>
  <c r="L224" i="5"/>
  <c r="M224" i="5"/>
  <c r="N224" i="5"/>
  <c r="O224" i="5"/>
  <c r="P224" i="5"/>
  <c r="Q224" i="5"/>
  <c r="R224" i="5"/>
  <c r="S224" i="5"/>
  <c r="T224" i="5"/>
  <c r="U224" i="5"/>
  <c r="V224" i="5"/>
  <c r="W224" i="5"/>
  <c r="X224" i="5"/>
  <c r="AN224" i="5"/>
  <c r="Y224" i="5"/>
  <c r="Z224" i="5"/>
  <c r="AA224" i="5"/>
  <c r="AB224" i="5"/>
  <c r="AC224" i="5"/>
  <c r="AD224" i="5"/>
  <c r="AE224" i="5"/>
  <c r="AF224" i="5"/>
  <c r="AG224" i="5"/>
  <c r="AI224" i="5"/>
  <c r="AK224" i="5"/>
  <c r="AO224" i="5"/>
  <c r="AS224" i="5"/>
  <c r="AU224" i="5"/>
  <c r="AW224" i="5"/>
  <c r="AY224" i="5"/>
  <c r="BG224" i="5"/>
  <c r="BI224" i="5"/>
  <c r="BK224" i="5"/>
  <c r="BD224" i="5"/>
  <c r="BL224" i="5"/>
  <c r="BM224" i="5"/>
  <c r="BN224" i="5"/>
  <c r="BO224" i="5"/>
  <c r="BP224" i="5"/>
  <c r="BQ224" i="5"/>
  <c r="BR224" i="5"/>
  <c r="BS224" i="5"/>
  <c r="BT224" i="5"/>
  <c r="BU224" i="5"/>
  <c r="BV224" i="5"/>
  <c r="BW224" i="5"/>
  <c r="BX224" i="5"/>
  <c r="BY224" i="5"/>
  <c r="BZ224" i="5"/>
  <c r="CA224" i="5"/>
  <c r="CB224" i="5"/>
  <c r="CC224" i="5"/>
  <c r="CD224" i="5"/>
  <c r="CE224" i="5"/>
  <c r="CF224" i="5"/>
  <c r="CG224" i="5"/>
  <c r="CP223" i="5"/>
  <c r="CN223" i="5"/>
  <c r="CO223" i="5"/>
  <c r="CL223" i="5"/>
  <c r="CM223" i="5"/>
  <c r="B223" i="5"/>
  <c r="C223" i="5"/>
  <c r="D223" i="5"/>
  <c r="E223" i="5"/>
  <c r="F223" i="5"/>
  <c r="G223" i="5"/>
  <c r="H223" i="5"/>
  <c r="I223" i="5"/>
  <c r="J223" i="5"/>
  <c r="K223" i="5"/>
  <c r="L223" i="5"/>
  <c r="M223" i="5"/>
  <c r="N223" i="5"/>
  <c r="O223" i="5"/>
  <c r="P223" i="5"/>
  <c r="Q223" i="5"/>
  <c r="R223" i="5"/>
  <c r="S223" i="5"/>
  <c r="T223" i="5"/>
  <c r="U223" i="5"/>
  <c r="V223" i="5"/>
  <c r="W223" i="5"/>
  <c r="X223" i="5"/>
  <c r="AN223" i="5"/>
  <c r="Y223" i="5"/>
  <c r="Z223" i="5"/>
  <c r="AA223" i="5"/>
  <c r="AB223" i="5"/>
  <c r="AC223" i="5"/>
  <c r="AD223" i="5"/>
  <c r="AE223" i="5"/>
  <c r="AF223" i="5"/>
  <c r="AG223" i="5"/>
  <c r="AI223" i="5"/>
  <c r="AK223" i="5"/>
  <c r="AO223" i="5"/>
  <c r="AS223" i="5"/>
  <c r="AU223" i="5"/>
  <c r="AW223" i="5"/>
  <c r="AY223" i="5"/>
  <c r="BC223" i="5"/>
  <c r="BG223" i="5"/>
  <c r="BI223" i="5"/>
  <c r="BK223" i="5"/>
  <c r="BD223" i="5"/>
  <c r="BL223" i="5"/>
  <c r="BM223" i="5"/>
  <c r="BN223" i="5"/>
  <c r="BO223" i="5"/>
  <c r="BP223" i="5"/>
  <c r="BQ223" i="5"/>
  <c r="BR223" i="5"/>
  <c r="BS223" i="5"/>
  <c r="BT223" i="5"/>
  <c r="BU223" i="5"/>
  <c r="BV223" i="5"/>
  <c r="BW223" i="5"/>
  <c r="BX223" i="5"/>
  <c r="BY223" i="5"/>
  <c r="BZ223" i="5"/>
  <c r="CA223" i="5"/>
  <c r="CB223" i="5"/>
  <c r="CC223" i="5"/>
  <c r="CD223" i="5"/>
  <c r="CE223" i="5"/>
  <c r="CF223" i="5"/>
  <c r="CG223" i="5"/>
  <c r="CP222" i="5"/>
  <c r="CN222" i="5"/>
  <c r="CO222" i="5"/>
  <c r="CL222" i="5"/>
  <c r="CM222" i="5"/>
  <c r="B222" i="5"/>
  <c r="C222" i="5"/>
  <c r="D222" i="5"/>
  <c r="E222" i="5"/>
  <c r="F222" i="5"/>
  <c r="G222" i="5"/>
  <c r="H222" i="5"/>
  <c r="I222" i="5"/>
  <c r="J222" i="5"/>
  <c r="K222" i="5"/>
  <c r="L222" i="5"/>
  <c r="M222" i="5"/>
  <c r="N222" i="5"/>
  <c r="O222" i="5"/>
  <c r="P222" i="5"/>
  <c r="Q222" i="5"/>
  <c r="R222" i="5"/>
  <c r="S222" i="5"/>
  <c r="T222" i="5"/>
  <c r="U222" i="5"/>
  <c r="V222" i="5"/>
  <c r="W222" i="5"/>
  <c r="X222" i="5"/>
  <c r="AN222" i="5"/>
  <c r="Y222" i="5"/>
  <c r="Z222" i="5"/>
  <c r="AA222" i="5"/>
  <c r="AB222" i="5"/>
  <c r="AC222" i="5"/>
  <c r="AD222" i="5"/>
  <c r="AE222" i="5"/>
  <c r="AF222" i="5"/>
  <c r="AG222" i="5"/>
  <c r="AI222" i="5"/>
  <c r="AK222" i="5"/>
  <c r="AO222" i="5"/>
  <c r="AS222" i="5"/>
  <c r="AU222" i="5"/>
  <c r="AW222" i="5"/>
  <c r="AY222" i="5"/>
  <c r="BC222" i="5"/>
  <c r="BG222" i="5"/>
  <c r="BI222" i="5"/>
  <c r="BK222" i="5"/>
  <c r="BD222" i="5"/>
  <c r="BL222" i="5"/>
  <c r="BM222" i="5"/>
  <c r="BN222" i="5"/>
  <c r="BO222" i="5"/>
  <c r="BP222" i="5"/>
  <c r="BQ222" i="5"/>
  <c r="BR222" i="5"/>
  <c r="BS222" i="5"/>
  <c r="BT222" i="5"/>
  <c r="BU222" i="5"/>
  <c r="BV222" i="5"/>
  <c r="BW222" i="5"/>
  <c r="BX222" i="5"/>
  <c r="BY222" i="5"/>
  <c r="BZ222" i="5"/>
  <c r="CA222" i="5"/>
  <c r="CB222" i="5"/>
  <c r="CC222" i="5"/>
  <c r="CD222" i="5"/>
  <c r="CE222" i="5"/>
  <c r="CF222" i="5"/>
  <c r="CG222" i="5"/>
  <c r="CP221" i="5"/>
  <c r="CN221" i="5"/>
  <c r="CO221" i="5"/>
  <c r="CL221" i="5"/>
  <c r="CM221" i="5"/>
  <c r="B221" i="5"/>
  <c r="C221" i="5"/>
  <c r="D221" i="5"/>
  <c r="E221" i="5"/>
  <c r="F221" i="5"/>
  <c r="G221" i="5"/>
  <c r="H221" i="5"/>
  <c r="I221" i="5"/>
  <c r="J221" i="5"/>
  <c r="K221" i="5"/>
  <c r="L221" i="5"/>
  <c r="M221" i="5"/>
  <c r="N221" i="5"/>
  <c r="O221" i="5"/>
  <c r="P221" i="5"/>
  <c r="Q221" i="5"/>
  <c r="R221" i="5"/>
  <c r="S221" i="5"/>
  <c r="T221" i="5"/>
  <c r="U221" i="5"/>
  <c r="V221" i="5"/>
  <c r="W221" i="5"/>
  <c r="X221" i="5"/>
  <c r="AN221" i="5"/>
  <c r="Y221" i="5"/>
  <c r="Z221" i="5"/>
  <c r="AA221" i="5"/>
  <c r="AB221" i="5"/>
  <c r="AC221" i="5"/>
  <c r="AD221" i="5"/>
  <c r="AE221" i="5"/>
  <c r="AF221" i="5"/>
  <c r="AG221" i="5"/>
  <c r="AI221" i="5"/>
  <c r="AK221" i="5"/>
  <c r="AO221" i="5"/>
  <c r="AS221" i="5"/>
  <c r="AU221" i="5"/>
  <c r="AW221" i="5"/>
  <c r="AY221" i="5"/>
  <c r="BC221" i="5"/>
  <c r="BG221" i="5"/>
  <c r="BI221" i="5"/>
  <c r="BK221" i="5"/>
  <c r="BD221" i="5"/>
  <c r="BL221" i="5"/>
  <c r="BM221" i="5"/>
  <c r="BN221" i="5"/>
  <c r="BO221" i="5"/>
  <c r="BP221" i="5"/>
  <c r="BQ221" i="5"/>
  <c r="BR221" i="5"/>
  <c r="BS221" i="5"/>
  <c r="BT221" i="5"/>
  <c r="BU221" i="5"/>
  <c r="BV221" i="5"/>
  <c r="BW221" i="5"/>
  <c r="BX221" i="5"/>
  <c r="BY221" i="5"/>
  <c r="BZ221" i="5"/>
  <c r="CA221" i="5"/>
  <c r="CB221" i="5"/>
  <c r="CC221" i="5"/>
  <c r="CD221" i="5"/>
  <c r="CE221" i="5"/>
  <c r="CF221" i="5"/>
  <c r="CG221" i="5"/>
  <c r="CP220" i="5"/>
  <c r="CN220" i="5"/>
  <c r="CO220" i="5"/>
  <c r="CL220" i="5"/>
  <c r="CM220" i="5"/>
  <c r="B220" i="5"/>
  <c r="C220" i="5"/>
  <c r="D220" i="5"/>
  <c r="E220" i="5"/>
  <c r="F220" i="5"/>
  <c r="G220" i="5"/>
  <c r="H220" i="5"/>
  <c r="I220" i="5"/>
  <c r="J220" i="5"/>
  <c r="K220" i="5"/>
  <c r="L220" i="5"/>
  <c r="M220" i="5"/>
  <c r="N220" i="5"/>
  <c r="O220" i="5"/>
  <c r="P220" i="5"/>
  <c r="Q220" i="5"/>
  <c r="R220" i="5"/>
  <c r="S220" i="5"/>
  <c r="T220" i="5"/>
  <c r="U220" i="5"/>
  <c r="V220" i="5"/>
  <c r="W220" i="5"/>
  <c r="X220" i="5"/>
  <c r="AN220" i="5"/>
  <c r="Y220" i="5"/>
  <c r="Z220" i="5"/>
  <c r="AA220" i="5"/>
  <c r="AB220" i="5"/>
  <c r="AC220" i="5"/>
  <c r="AD220" i="5"/>
  <c r="AE220" i="5"/>
  <c r="AF220" i="5"/>
  <c r="AG220" i="5"/>
  <c r="AI220" i="5"/>
  <c r="AK220" i="5"/>
  <c r="AO220" i="5"/>
  <c r="AS220" i="5"/>
  <c r="AU220" i="5"/>
  <c r="AW220" i="5"/>
  <c r="AY220" i="5"/>
  <c r="BC220" i="5"/>
  <c r="BG220" i="5"/>
  <c r="BI220" i="5"/>
  <c r="BK220" i="5"/>
  <c r="BD220" i="5"/>
  <c r="BL220" i="5"/>
  <c r="BM220" i="5"/>
  <c r="BN220" i="5"/>
  <c r="BO220" i="5"/>
  <c r="BP220" i="5"/>
  <c r="BQ220" i="5"/>
  <c r="BR220" i="5"/>
  <c r="BS220" i="5"/>
  <c r="BT220" i="5"/>
  <c r="BU220" i="5"/>
  <c r="BV220" i="5"/>
  <c r="BX220" i="5"/>
  <c r="BY220" i="5"/>
  <c r="BZ220" i="5"/>
  <c r="CA220" i="5"/>
  <c r="CB220" i="5"/>
  <c r="CC220" i="5"/>
  <c r="CD220" i="5"/>
  <c r="CE220" i="5"/>
  <c r="CF220" i="5"/>
  <c r="CG220" i="5"/>
  <c r="CP219" i="5"/>
  <c r="CN219" i="5"/>
  <c r="CO219" i="5"/>
  <c r="CL219" i="5"/>
  <c r="CM219" i="5"/>
  <c r="B219" i="5"/>
  <c r="C219" i="5"/>
  <c r="D219" i="5"/>
  <c r="E219" i="5"/>
  <c r="F219" i="5"/>
  <c r="G219" i="5"/>
  <c r="H219" i="5"/>
  <c r="I219" i="5"/>
  <c r="J219" i="5"/>
  <c r="K219" i="5"/>
  <c r="L219" i="5"/>
  <c r="M219" i="5"/>
  <c r="N219" i="5"/>
  <c r="O219" i="5"/>
  <c r="P219" i="5"/>
  <c r="Q219" i="5"/>
  <c r="R219" i="5"/>
  <c r="S219" i="5"/>
  <c r="T219" i="5"/>
  <c r="U219" i="5"/>
  <c r="V219" i="5"/>
  <c r="W219" i="5"/>
  <c r="X219" i="5"/>
  <c r="AN219" i="5"/>
  <c r="Y219" i="5"/>
  <c r="Z219" i="5"/>
  <c r="AA219" i="5"/>
  <c r="AB219" i="5"/>
  <c r="AC219" i="5"/>
  <c r="AD219" i="5"/>
  <c r="AE219" i="5"/>
  <c r="AF219" i="5"/>
  <c r="AG219" i="5"/>
  <c r="AI219" i="5"/>
  <c r="AK219" i="5"/>
  <c r="AO219" i="5"/>
  <c r="AS219" i="5"/>
  <c r="AU219" i="5"/>
  <c r="AW219" i="5"/>
  <c r="AY219" i="5"/>
  <c r="BC219" i="5"/>
  <c r="BG219" i="5"/>
  <c r="BI219" i="5"/>
  <c r="BK219" i="5"/>
  <c r="BD219" i="5"/>
  <c r="BL219" i="5"/>
  <c r="BM219" i="5"/>
  <c r="BN219" i="5"/>
  <c r="BO219" i="5"/>
  <c r="BP219" i="5"/>
  <c r="BQ219" i="5"/>
  <c r="BR219" i="5"/>
  <c r="BS219" i="5"/>
  <c r="BT219" i="5"/>
  <c r="BU219" i="5"/>
  <c r="BV219" i="5"/>
  <c r="BW219" i="5"/>
  <c r="BX219" i="5"/>
  <c r="BY219" i="5"/>
  <c r="BZ219" i="5"/>
  <c r="CA219" i="5"/>
  <c r="CB219" i="5"/>
  <c r="CC219" i="5"/>
  <c r="CD219" i="5"/>
  <c r="CE219" i="5"/>
  <c r="CF219" i="5"/>
  <c r="CG219" i="5"/>
  <c r="CP218" i="5"/>
  <c r="CN218" i="5"/>
  <c r="CO218" i="5"/>
  <c r="CL218" i="5"/>
  <c r="CM218" i="5"/>
  <c r="B218" i="5"/>
  <c r="C218" i="5"/>
  <c r="D218" i="5"/>
  <c r="E218" i="5"/>
  <c r="F218" i="5"/>
  <c r="G218" i="5"/>
  <c r="H218" i="5"/>
  <c r="I218" i="5"/>
  <c r="J218" i="5"/>
  <c r="K218" i="5"/>
  <c r="L218" i="5"/>
  <c r="M218" i="5"/>
  <c r="N218" i="5"/>
  <c r="O218" i="5"/>
  <c r="P218" i="5"/>
  <c r="Q218" i="5"/>
  <c r="R218" i="5"/>
  <c r="S218" i="5"/>
  <c r="T218" i="5"/>
  <c r="U218" i="5"/>
  <c r="V218" i="5"/>
  <c r="W218" i="5"/>
  <c r="X218" i="5"/>
  <c r="AN218" i="5"/>
  <c r="Y218" i="5"/>
  <c r="Z218" i="5"/>
  <c r="AA218" i="5"/>
  <c r="AB218" i="5"/>
  <c r="AC218" i="5"/>
  <c r="AD218" i="5"/>
  <c r="AE218" i="5"/>
  <c r="AF218" i="5"/>
  <c r="AG218" i="5"/>
  <c r="AI218" i="5"/>
  <c r="AK218" i="5"/>
  <c r="AO218" i="5"/>
  <c r="AS218" i="5"/>
  <c r="AU218" i="5"/>
  <c r="AW218" i="5"/>
  <c r="AY218" i="5"/>
  <c r="BC218" i="5"/>
  <c r="BG218" i="5"/>
  <c r="BI218" i="5"/>
  <c r="BK218" i="5"/>
  <c r="BD218" i="5"/>
  <c r="BL218" i="5"/>
  <c r="BM218" i="5"/>
  <c r="BN218" i="5"/>
  <c r="BO218" i="5"/>
  <c r="BP218" i="5"/>
  <c r="BQ218" i="5"/>
  <c r="BR218" i="5"/>
  <c r="BS218" i="5"/>
  <c r="BT218" i="5"/>
  <c r="BU218" i="5"/>
  <c r="BV218" i="5"/>
  <c r="BW218" i="5"/>
  <c r="BX218" i="5"/>
  <c r="BY218" i="5"/>
  <c r="BZ218" i="5"/>
  <c r="CA218" i="5"/>
  <c r="CB218" i="5"/>
  <c r="CC218" i="5"/>
  <c r="CD218" i="5"/>
  <c r="CE218" i="5"/>
  <c r="CF218" i="5"/>
  <c r="CG218" i="5"/>
  <c r="CP217" i="5"/>
  <c r="CN217" i="5"/>
  <c r="CO217" i="5"/>
  <c r="CL217" i="5"/>
  <c r="CM217" i="5"/>
  <c r="B217" i="5"/>
  <c r="C217" i="5"/>
  <c r="D217" i="5"/>
  <c r="E217" i="5"/>
  <c r="F217" i="5"/>
  <c r="G217" i="5"/>
  <c r="H217" i="5"/>
  <c r="I217" i="5"/>
  <c r="J217" i="5"/>
  <c r="K217" i="5"/>
  <c r="L217" i="5"/>
  <c r="M217" i="5"/>
  <c r="N217" i="5"/>
  <c r="O217" i="5"/>
  <c r="P217" i="5"/>
  <c r="Q217" i="5"/>
  <c r="R217" i="5"/>
  <c r="S217" i="5"/>
  <c r="T217" i="5"/>
  <c r="U217" i="5"/>
  <c r="V217" i="5"/>
  <c r="W217" i="5"/>
  <c r="X217" i="5"/>
  <c r="AN217" i="5"/>
  <c r="Y217" i="5"/>
  <c r="Z217" i="5"/>
  <c r="AA217" i="5"/>
  <c r="AB217" i="5"/>
  <c r="AC217" i="5"/>
  <c r="AD217" i="5"/>
  <c r="AE217" i="5"/>
  <c r="AF217" i="5"/>
  <c r="AG217" i="5"/>
  <c r="AI217" i="5"/>
  <c r="AK217" i="5"/>
  <c r="AO217" i="5"/>
  <c r="AS217" i="5"/>
  <c r="AU217" i="5"/>
  <c r="AW217" i="5"/>
  <c r="AY217" i="5"/>
  <c r="BC217" i="5"/>
  <c r="BG217" i="5"/>
  <c r="BI217" i="5"/>
  <c r="BK217" i="5"/>
  <c r="BD217" i="5"/>
  <c r="BL217" i="5"/>
  <c r="BM217" i="5"/>
  <c r="BN217" i="5"/>
  <c r="BO217" i="5"/>
  <c r="BP217" i="5"/>
  <c r="BQ217" i="5"/>
  <c r="BR217" i="5"/>
  <c r="BS217" i="5"/>
  <c r="BT217" i="5"/>
  <c r="BU217" i="5"/>
  <c r="BV217" i="5"/>
  <c r="BW217" i="5"/>
  <c r="BX217" i="5"/>
  <c r="BY217" i="5"/>
  <c r="BZ217" i="5"/>
  <c r="CA217" i="5"/>
  <c r="CB217" i="5"/>
  <c r="CC217" i="5"/>
  <c r="CD217" i="5"/>
  <c r="CE217" i="5"/>
  <c r="CF217" i="5"/>
  <c r="CG217" i="5"/>
  <c r="CP216" i="5"/>
  <c r="CN216" i="5"/>
  <c r="CO216" i="5"/>
  <c r="CL216" i="5"/>
  <c r="CM216" i="5"/>
  <c r="B216" i="5"/>
  <c r="C216" i="5"/>
  <c r="D216" i="5"/>
  <c r="E216" i="5"/>
  <c r="F216" i="5"/>
  <c r="G216" i="5"/>
  <c r="H216" i="5"/>
  <c r="I216" i="5"/>
  <c r="J216" i="5"/>
  <c r="K216" i="5"/>
  <c r="L216" i="5"/>
  <c r="M216" i="5"/>
  <c r="N216" i="5"/>
  <c r="O216" i="5"/>
  <c r="P216" i="5"/>
  <c r="Q216" i="5"/>
  <c r="R216" i="5"/>
  <c r="S216" i="5"/>
  <c r="T216" i="5"/>
  <c r="U216" i="5"/>
  <c r="V216" i="5"/>
  <c r="W216" i="5"/>
  <c r="X216" i="5"/>
  <c r="AN216" i="5"/>
  <c r="Y216" i="5"/>
  <c r="Z216" i="5"/>
  <c r="AA216" i="5"/>
  <c r="AB216" i="5"/>
  <c r="AC216" i="5"/>
  <c r="AD216" i="5"/>
  <c r="AE216" i="5"/>
  <c r="AF216" i="5"/>
  <c r="AI216" i="5"/>
  <c r="AK216" i="5"/>
  <c r="AO216" i="5"/>
  <c r="AS216" i="5"/>
  <c r="AU216" i="5"/>
  <c r="AW216" i="5"/>
  <c r="AY216" i="5"/>
  <c r="BC216" i="5"/>
  <c r="BG216" i="5"/>
  <c r="BI216" i="5"/>
  <c r="BK216" i="5"/>
  <c r="BD216" i="5"/>
  <c r="BL216" i="5"/>
  <c r="BM216" i="5"/>
  <c r="BN216" i="5"/>
  <c r="BO216" i="5"/>
  <c r="BP216" i="5"/>
  <c r="BQ216" i="5"/>
  <c r="BR216" i="5"/>
  <c r="BS216" i="5"/>
  <c r="BT216" i="5"/>
  <c r="BU216" i="5"/>
  <c r="BV216" i="5"/>
  <c r="BW216" i="5"/>
  <c r="BX216" i="5"/>
  <c r="BY216" i="5"/>
  <c r="BZ216" i="5"/>
  <c r="CA216" i="5"/>
  <c r="CB216" i="5"/>
  <c r="CC216" i="5"/>
  <c r="CD216" i="5"/>
  <c r="CE216" i="5"/>
  <c r="CF216" i="5"/>
  <c r="CG216" i="5"/>
  <c r="CP215" i="5"/>
  <c r="CN215" i="5"/>
  <c r="CO215" i="5"/>
  <c r="CL215" i="5"/>
  <c r="CM215" i="5"/>
  <c r="B215" i="5"/>
  <c r="C215" i="5"/>
  <c r="D215" i="5"/>
  <c r="E215" i="5"/>
  <c r="F215" i="5"/>
  <c r="G215" i="5"/>
  <c r="H215" i="5"/>
  <c r="I215" i="5"/>
  <c r="J215" i="5"/>
  <c r="K215" i="5"/>
  <c r="L215" i="5"/>
  <c r="M215" i="5"/>
  <c r="N215" i="5"/>
  <c r="O215" i="5"/>
  <c r="P215" i="5"/>
  <c r="Q215" i="5"/>
  <c r="R215" i="5"/>
  <c r="S215" i="5"/>
  <c r="T215" i="5"/>
  <c r="U215" i="5"/>
  <c r="V215" i="5"/>
  <c r="W215" i="5"/>
  <c r="X215" i="5"/>
  <c r="AN215" i="5"/>
  <c r="Y215" i="5"/>
  <c r="Z215" i="5"/>
  <c r="AA215" i="5"/>
  <c r="AB215" i="5"/>
  <c r="AC215" i="5"/>
  <c r="AD215" i="5"/>
  <c r="AE215" i="5"/>
  <c r="AF215" i="5"/>
  <c r="AG215" i="5"/>
  <c r="AI215" i="5"/>
  <c r="AK215" i="5"/>
  <c r="AO215" i="5"/>
  <c r="AS215" i="5"/>
  <c r="AU215" i="5"/>
  <c r="AW215" i="5"/>
  <c r="AY215" i="5"/>
  <c r="BC215" i="5"/>
  <c r="BG215" i="5"/>
  <c r="BI215" i="5"/>
  <c r="BK215" i="5"/>
  <c r="BD215" i="5"/>
  <c r="BL215" i="5"/>
  <c r="BM215" i="5"/>
  <c r="BN215" i="5"/>
  <c r="BO215" i="5"/>
  <c r="BP215" i="5"/>
  <c r="BQ215" i="5"/>
  <c r="BR215" i="5"/>
  <c r="BS215" i="5"/>
  <c r="BT215" i="5"/>
  <c r="BU215" i="5"/>
  <c r="BV215" i="5"/>
  <c r="BW215" i="5"/>
  <c r="BX215" i="5"/>
  <c r="BY215" i="5"/>
  <c r="BZ215" i="5"/>
  <c r="CA215" i="5"/>
  <c r="CB215" i="5"/>
  <c r="CC215" i="5"/>
  <c r="CD215" i="5"/>
  <c r="CE215" i="5"/>
  <c r="CF215" i="5"/>
  <c r="CG215" i="5"/>
  <c r="CP214" i="5"/>
  <c r="CN214" i="5"/>
  <c r="CO214" i="5"/>
  <c r="CL214" i="5"/>
  <c r="CM214" i="5"/>
  <c r="B214" i="5"/>
  <c r="C214" i="5"/>
  <c r="D214" i="5"/>
  <c r="E214" i="5"/>
  <c r="F214" i="5"/>
  <c r="G214" i="5"/>
  <c r="H214" i="5"/>
  <c r="I214" i="5"/>
  <c r="J214" i="5"/>
  <c r="K214" i="5"/>
  <c r="L214" i="5"/>
  <c r="M214" i="5"/>
  <c r="N214" i="5"/>
  <c r="O214" i="5"/>
  <c r="P214" i="5"/>
  <c r="Q214" i="5"/>
  <c r="R214" i="5"/>
  <c r="S214" i="5"/>
  <c r="T214" i="5"/>
  <c r="U214" i="5"/>
  <c r="V214" i="5"/>
  <c r="W214" i="5"/>
  <c r="X214" i="5"/>
  <c r="AN214" i="5"/>
  <c r="Y214" i="5"/>
  <c r="Z214" i="5"/>
  <c r="AA214" i="5"/>
  <c r="AB214" i="5"/>
  <c r="AC214" i="5"/>
  <c r="AD214" i="5"/>
  <c r="AE214" i="5"/>
  <c r="AF214" i="5"/>
  <c r="AG214" i="5"/>
  <c r="AI214" i="5"/>
  <c r="AK214" i="5"/>
  <c r="AO214" i="5"/>
  <c r="AS214" i="5"/>
  <c r="AU214" i="5"/>
  <c r="AW214" i="5"/>
  <c r="AY214" i="5"/>
  <c r="BC214" i="5"/>
  <c r="BG214" i="5"/>
  <c r="BI214" i="5"/>
  <c r="BK214" i="5"/>
  <c r="BD214" i="5"/>
  <c r="BL214" i="5"/>
  <c r="BM214" i="5"/>
  <c r="BN214" i="5"/>
  <c r="BO214" i="5"/>
  <c r="BP214" i="5"/>
  <c r="BQ214" i="5"/>
  <c r="BR214" i="5"/>
  <c r="BS214" i="5"/>
  <c r="BT214" i="5"/>
  <c r="BU214" i="5"/>
  <c r="BV214" i="5"/>
  <c r="BW214" i="5"/>
  <c r="BX214" i="5"/>
  <c r="BY214" i="5"/>
  <c r="BZ214" i="5"/>
  <c r="CA214" i="5"/>
  <c r="CB214" i="5"/>
  <c r="CC214" i="5"/>
  <c r="CD214" i="5"/>
  <c r="CE214" i="5"/>
  <c r="CF214" i="5"/>
  <c r="CG214" i="5"/>
  <c r="CP213" i="5"/>
  <c r="CN213" i="5"/>
  <c r="CO213" i="5"/>
  <c r="CL213" i="5"/>
  <c r="CM213" i="5"/>
  <c r="B213" i="5"/>
  <c r="C213" i="5"/>
  <c r="D213" i="5"/>
  <c r="E213" i="5"/>
  <c r="F213" i="5"/>
  <c r="G213" i="5"/>
  <c r="H213" i="5"/>
  <c r="I213" i="5"/>
  <c r="J213" i="5"/>
  <c r="K213" i="5"/>
  <c r="L213" i="5"/>
  <c r="M213" i="5"/>
  <c r="N213" i="5"/>
  <c r="O213" i="5"/>
  <c r="P213" i="5"/>
  <c r="Q213" i="5"/>
  <c r="R213" i="5"/>
  <c r="S213" i="5"/>
  <c r="T213" i="5"/>
  <c r="U213" i="5"/>
  <c r="V213" i="5"/>
  <c r="W213" i="5"/>
  <c r="X213" i="5"/>
  <c r="AN213" i="5"/>
  <c r="Y213" i="5"/>
  <c r="Z213" i="5"/>
  <c r="AA213" i="5"/>
  <c r="AB213" i="5"/>
  <c r="AC213" i="5"/>
  <c r="AD213" i="5"/>
  <c r="AE213" i="5"/>
  <c r="AF213" i="5"/>
  <c r="AG213" i="5"/>
  <c r="AI213" i="5"/>
  <c r="AK213" i="5"/>
  <c r="AO213" i="5"/>
  <c r="AS213" i="5"/>
  <c r="AU213" i="5"/>
  <c r="AW213" i="5"/>
  <c r="AY213" i="5"/>
  <c r="BC213" i="5"/>
  <c r="BG213" i="5"/>
  <c r="BI213" i="5"/>
  <c r="BK213" i="5"/>
  <c r="BD213" i="5"/>
  <c r="BL213" i="5"/>
  <c r="BM213" i="5"/>
  <c r="BN213" i="5"/>
  <c r="BO213" i="5"/>
  <c r="BP213" i="5"/>
  <c r="BQ213" i="5"/>
  <c r="BR213" i="5"/>
  <c r="BS213" i="5"/>
  <c r="BT213" i="5"/>
  <c r="BU213" i="5"/>
  <c r="BV213" i="5"/>
  <c r="BW213" i="5"/>
  <c r="BX213" i="5"/>
  <c r="BY213" i="5"/>
  <c r="BZ213" i="5"/>
  <c r="CA213" i="5"/>
  <c r="CB213" i="5"/>
  <c r="CC213" i="5"/>
  <c r="CD213" i="5"/>
  <c r="CE213" i="5"/>
  <c r="CF213" i="5"/>
  <c r="CG213" i="5"/>
  <c r="CP212" i="5"/>
  <c r="CN212" i="5"/>
  <c r="CO212" i="5"/>
  <c r="CL212" i="5"/>
  <c r="CM212" i="5"/>
  <c r="B212" i="5"/>
  <c r="C212" i="5"/>
  <c r="D212" i="5"/>
  <c r="E212" i="5"/>
  <c r="F212" i="5"/>
  <c r="G212" i="5"/>
  <c r="H212" i="5"/>
  <c r="I212" i="5"/>
  <c r="J212" i="5"/>
  <c r="K212" i="5"/>
  <c r="L212" i="5"/>
  <c r="M212" i="5"/>
  <c r="N212" i="5"/>
  <c r="O212" i="5"/>
  <c r="P212" i="5"/>
  <c r="Q212" i="5"/>
  <c r="R212" i="5"/>
  <c r="S212" i="5"/>
  <c r="T212" i="5"/>
  <c r="U212" i="5"/>
  <c r="V212" i="5"/>
  <c r="W212" i="5"/>
  <c r="X212" i="5"/>
  <c r="AN212" i="5"/>
  <c r="Y212" i="5"/>
  <c r="Z212" i="5"/>
  <c r="AA212" i="5"/>
  <c r="AB212" i="5"/>
  <c r="AC212" i="5"/>
  <c r="AD212" i="5"/>
  <c r="AE212" i="5"/>
  <c r="AF212" i="5"/>
  <c r="AG212" i="5"/>
  <c r="AI212" i="5"/>
  <c r="AK212" i="5"/>
  <c r="AO212" i="5"/>
  <c r="AS212" i="5"/>
  <c r="AU212" i="5"/>
  <c r="AW212" i="5"/>
  <c r="AY212" i="5"/>
  <c r="BC212" i="5"/>
  <c r="BG212" i="5"/>
  <c r="BI212" i="5"/>
  <c r="BK212" i="5"/>
  <c r="BD212" i="5"/>
  <c r="BL212" i="5"/>
  <c r="BM212" i="5"/>
  <c r="BN212" i="5"/>
  <c r="BO212" i="5"/>
  <c r="BP212" i="5"/>
  <c r="BQ212" i="5"/>
  <c r="BR212" i="5"/>
  <c r="BS212" i="5"/>
  <c r="BT212" i="5"/>
  <c r="BU212" i="5"/>
  <c r="BV212" i="5"/>
  <c r="BW212" i="5"/>
  <c r="BX212" i="5"/>
  <c r="BY212" i="5"/>
  <c r="BZ212" i="5"/>
  <c r="CA212" i="5"/>
  <c r="CB212" i="5"/>
  <c r="CC212" i="5"/>
  <c r="CD212" i="5"/>
  <c r="CE212" i="5"/>
  <c r="CF212" i="5"/>
  <c r="CG212" i="5"/>
  <c r="CP211" i="5"/>
  <c r="CN211" i="5"/>
  <c r="CO211" i="5"/>
  <c r="CL211" i="5"/>
  <c r="CM211" i="5"/>
  <c r="B211" i="5"/>
  <c r="C211" i="5"/>
  <c r="D211" i="5"/>
  <c r="E211" i="5"/>
  <c r="F211" i="5"/>
  <c r="G211" i="5"/>
  <c r="H211" i="5"/>
  <c r="I211" i="5"/>
  <c r="J211" i="5"/>
  <c r="L211" i="5"/>
  <c r="M211" i="5"/>
  <c r="N211" i="5"/>
  <c r="O211" i="5"/>
  <c r="P211" i="5"/>
  <c r="Q211" i="5"/>
  <c r="R211" i="5"/>
  <c r="S211" i="5"/>
  <c r="T211" i="5"/>
  <c r="U211" i="5"/>
  <c r="V211" i="5"/>
  <c r="W211" i="5"/>
  <c r="X211" i="5"/>
  <c r="AN211" i="5"/>
  <c r="Y211" i="5"/>
  <c r="Z211" i="5"/>
  <c r="AA211" i="5"/>
  <c r="AB211" i="5"/>
  <c r="AC211" i="5"/>
  <c r="AD211" i="5"/>
  <c r="AE211" i="5"/>
  <c r="AF211" i="5"/>
  <c r="AG211" i="5"/>
  <c r="AI211" i="5"/>
  <c r="AK211" i="5"/>
  <c r="AO211" i="5"/>
  <c r="AS211" i="5"/>
  <c r="AU211" i="5"/>
  <c r="AW211" i="5"/>
  <c r="AY211" i="5"/>
  <c r="BC211" i="5"/>
  <c r="BG211" i="5"/>
  <c r="BI211" i="5"/>
  <c r="BK211" i="5"/>
  <c r="BD211" i="5"/>
  <c r="BL211" i="5"/>
  <c r="BM211" i="5"/>
  <c r="BN211" i="5"/>
  <c r="BO211" i="5"/>
  <c r="BP211" i="5"/>
  <c r="BQ211" i="5"/>
  <c r="BR211" i="5"/>
  <c r="BS211" i="5"/>
  <c r="BT211" i="5"/>
  <c r="BU211" i="5"/>
  <c r="BV211" i="5"/>
  <c r="BW211" i="5"/>
  <c r="BX211" i="5"/>
  <c r="BY211" i="5"/>
  <c r="BZ211" i="5"/>
  <c r="CA211" i="5"/>
  <c r="CB211" i="5"/>
  <c r="CC211" i="5"/>
  <c r="CD211" i="5"/>
  <c r="CE211" i="5"/>
  <c r="CF211" i="5"/>
  <c r="CG211" i="5"/>
  <c r="CP210" i="5"/>
  <c r="CN210" i="5"/>
  <c r="CO210" i="5"/>
  <c r="CL210" i="5"/>
  <c r="CM210" i="5"/>
  <c r="B210" i="5"/>
  <c r="C210" i="5"/>
  <c r="D210" i="5"/>
  <c r="E210" i="5"/>
  <c r="F210" i="5"/>
  <c r="G210" i="5"/>
  <c r="H210" i="5"/>
  <c r="I210" i="5"/>
  <c r="J210" i="5"/>
  <c r="K210" i="5"/>
  <c r="L210" i="5"/>
  <c r="M210" i="5"/>
  <c r="N210" i="5"/>
  <c r="O210" i="5"/>
  <c r="P210" i="5"/>
  <c r="Q210" i="5"/>
  <c r="R210" i="5"/>
  <c r="S210" i="5"/>
  <c r="T210" i="5"/>
  <c r="U210" i="5"/>
  <c r="V210" i="5"/>
  <c r="W210" i="5"/>
  <c r="X210" i="5"/>
  <c r="AN210" i="5"/>
  <c r="Y210" i="5"/>
  <c r="Z210" i="5"/>
  <c r="AA210" i="5"/>
  <c r="AB210" i="5"/>
  <c r="AC210" i="5"/>
  <c r="AD210" i="5"/>
  <c r="AE210" i="5"/>
  <c r="AF210" i="5"/>
  <c r="AG210" i="5"/>
  <c r="AI210" i="5"/>
  <c r="AK210" i="5"/>
  <c r="AO210" i="5"/>
  <c r="AS210" i="5"/>
  <c r="AU210" i="5"/>
  <c r="AW210" i="5"/>
  <c r="AY210" i="5"/>
  <c r="BC210" i="5"/>
  <c r="BG210" i="5"/>
  <c r="BI210" i="5"/>
  <c r="BK210" i="5"/>
  <c r="BD210" i="5"/>
  <c r="BL210" i="5"/>
  <c r="BM210" i="5"/>
  <c r="BN210" i="5"/>
  <c r="BO210" i="5"/>
  <c r="BP210" i="5"/>
  <c r="BQ210" i="5"/>
  <c r="BR210" i="5"/>
  <c r="BS210" i="5"/>
  <c r="BT210" i="5"/>
  <c r="BU210" i="5"/>
  <c r="BV210" i="5"/>
  <c r="BW210" i="5"/>
  <c r="BX210" i="5"/>
  <c r="BY210" i="5"/>
  <c r="BZ210" i="5"/>
  <c r="CA210" i="5"/>
  <c r="CB210" i="5"/>
  <c r="CC210" i="5"/>
  <c r="CD210" i="5"/>
  <c r="CE210" i="5"/>
  <c r="CF210" i="5"/>
  <c r="CG210" i="5"/>
  <c r="CP209" i="5"/>
  <c r="CN209" i="5"/>
  <c r="CO209" i="5"/>
  <c r="CL209" i="5"/>
  <c r="CM209" i="5"/>
  <c r="B209" i="5"/>
  <c r="C209" i="5"/>
  <c r="D209" i="5"/>
  <c r="E209" i="5"/>
  <c r="F209" i="5"/>
  <c r="G209" i="5"/>
  <c r="H209" i="5"/>
  <c r="I209" i="5"/>
  <c r="J209" i="5"/>
  <c r="K209" i="5"/>
  <c r="L209" i="5"/>
  <c r="M209" i="5"/>
  <c r="N209" i="5"/>
  <c r="O209" i="5"/>
  <c r="P209" i="5"/>
  <c r="Q209" i="5"/>
  <c r="R209" i="5"/>
  <c r="S209" i="5"/>
  <c r="T209" i="5"/>
  <c r="U209" i="5"/>
  <c r="V209" i="5"/>
  <c r="W209" i="5"/>
  <c r="X209" i="5"/>
  <c r="AN209" i="5"/>
  <c r="Y209" i="5"/>
  <c r="Z209" i="5"/>
  <c r="AA209" i="5"/>
  <c r="AB209" i="5"/>
  <c r="AC209" i="5"/>
  <c r="AD209" i="5"/>
  <c r="AE209" i="5"/>
  <c r="AF209" i="5"/>
  <c r="AG209" i="5"/>
  <c r="AI209" i="5"/>
  <c r="AK209" i="5"/>
  <c r="AO209" i="5"/>
  <c r="AS209" i="5"/>
  <c r="AU209" i="5"/>
  <c r="AW209" i="5"/>
  <c r="AY209" i="5"/>
  <c r="BC209" i="5"/>
  <c r="BG209" i="5"/>
  <c r="BI209" i="5"/>
  <c r="BK209" i="5"/>
  <c r="BD209" i="5"/>
  <c r="BL209" i="5"/>
  <c r="BM209" i="5"/>
  <c r="BN209" i="5"/>
  <c r="BO209" i="5"/>
  <c r="BP209" i="5"/>
  <c r="BQ209" i="5"/>
  <c r="BR209" i="5"/>
  <c r="BS209" i="5"/>
  <c r="BT209" i="5"/>
  <c r="BU209" i="5"/>
  <c r="BV209" i="5"/>
  <c r="BW209" i="5"/>
  <c r="BX209" i="5"/>
  <c r="BY209" i="5"/>
  <c r="BZ209" i="5"/>
  <c r="CA209" i="5"/>
  <c r="CB209" i="5"/>
  <c r="CC209" i="5"/>
  <c r="CD209" i="5"/>
  <c r="CE209" i="5"/>
  <c r="CF209" i="5"/>
  <c r="CG209" i="5"/>
  <c r="CP208" i="5"/>
  <c r="CN208" i="5"/>
  <c r="CO208" i="5"/>
  <c r="CL208" i="5"/>
  <c r="CM208" i="5"/>
  <c r="B208" i="5"/>
  <c r="C208" i="5"/>
  <c r="D208" i="5"/>
  <c r="E208" i="5"/>
  <c r="F208" i="5"/>
  <c r="G208" i="5"/>
  <c r="H208" i="5"/>
  <c r="I208" i="5"/>
  <c r="J208" i="5"/>
  <c r="K208" i="5"/>
  <c r="L208" i="5"/>
  <c r="M208" i="5"/>
  <c r="N208" i="5"/>
  <c r="O208" i="5"/>
  <c r="P208" i="5"/>
  <c r="Q208" i="5"/>
  <c r="R208" i="5"/>
  <c r="S208" i="5"/>
  <c r="T208" i="5"/>
  <c r="U208" i="5"/>
  <c r="V208" i="5"/>
  <c r="W208" i="5"/>
  <c r="X208" i="5"/>
  <c r="AN208" i="5"/>
  <c r="Y208" i="5"/>
  <c r="Z208" i="5"/>
  <c r="AA208" i="5"/>
  <c r="AB208" i="5"/>
  <c r="AC208" i="5"/>
  <c r="AD208" i="5"/>
  <c r="AE208" i="5"/>
  <c r="AF208" i="5"/>
  <c r="AG208" i="5"/>
  <c r="AI208" i="5"/>
  <c r="AK208" i="5"/>
  <c r="AO208" i="5"/>
  <c r="AS208" i="5"/>
  <c r="AU208" i="5"/>
  <c r="AW208" i="5"/>
  <c r="AY208" i="5"/>
  <c r="BC208" i="5"/>
  <c r="BG208" i="5"/>
  <c r="BI208" i="5"/>
  <c r="BK208" i="5"/>
  <c r="BD208" i="5"/>
  <c r="BL208" i="5"/>
  <c r="BM208" i="5"/>
  <c r="BN208" i="5"/>
  <c r="BO208" i="5"/>
  <c r="BP208" i="5"/>
  <c r="BQ208" i="5"/>
  <c r="BR208" i="5"/>
  <c r="BS208" i="5"/>
  <c r="BT208" i="5"/>
  <c r="BU208" i="5"/>
  <c r="BV208" i="5"/>
  <c r="BW208" i="5"/>
  <c r="BX208" i="5"/>
  <c r="BY208" i="5"/>
  <c r="BZ208" i="5"/>
  <c r="CA208" i="5"/>
  <c r="CB208" i="5"/>
  <c r="CC208" i="5"/>
  <c r="CD208" i="5"/>
  <c r="CE208" i="5"/>
  <c r="CF208" i="5"/>
  <c r="CG208" i="5"/>
  <c r="CP207" i="5"/>
  <c r="CN207" i="5"/>
  <c r="CO207" i="5"/>
  <c r="CL207" i="5"/>
  <c r="CM207" i="5"/>
  <c r="B207" i="5"/>
  <c r="C207" i="5"/>
  <c r="D207" i="5"/>
  <c r="E207" i="5"/>
  <c r="F207" i="5"/>
  <c r="G207" i="5"/>
  <c r="H207" i="5"/>
  <c r="I207" i="5"/>
  <c r="J207" i="5"/>
  <c r="K207" i="5"/>
  <c r="L207" i="5"/>
  <c r="M207" i="5"/>
  <c r="N207" i="5"/>
  <c r="O207" i="5"/>
  <c r="P207" i="5"/>
  <c r="Q207" i="5"/>
  <c r="R207" i="5"/>
  <c r="S207" i="5"/>
  <c r="T207" i="5"/>
  <c r="U207" i="5"/>
  <c r="V207" i="5"/>
  <c r="W207" i="5"/>
  <c r="X207" i="5"/>
  <c r="AN207" i="5"/>
  <c r="Y207" i="5"/>
  <c r="Z207" i="5"/>
  <c r="AA207" i="5"/>
  <c r="AB207" i="5"/>
  <c r="AC207" i="5"/>
  <c r="AD207" i="5"/>
  <c r="AE207" i="5"/>
  <c r="AF207" i="5"/>
  <c r="AG207" i="5"/>
  <c r="AI207" i="5"/>
  <c r="AK207" i="5"/>
  <c r="AO207" i="5"/>
  <c r="AS207" i="5"/>
  <c r="AU207" i="5"/>
  <c r="AW207" i="5"/>
  <c r="AY207" i="5"/>
  <c r="BC207" i="5"/>
  <c r="BG207" i="5"/>
  <c r="BI207" i="5"/>
  <c r="BK207" i="5"/>
  <c r="BD207" i="5"/>
  <c r="BL207" i="5"/>
  <c r="BM207" i="5"/>
  <c r="BN207" i="5"/>
  <c r="BO207" i="5"/>
  <c r="BP207" i="5"/>
  <c r="BQ207" i="5"/>
  <c r="BR207" i="5"/>
  <c r="BS207" i="5"/>
  <c r="BT207" i="5"/>
  <c r="BU207" i="5"/>
  <c r="BV207" i="5"/>
  <c r="BW207" i="5"/>
  <c r="BX207" i="5"/>
  <c r="BY207" i="5"/>
  <c r="BZ207" i="5"/>
  <c r="CA207" i="5"/>
  <c r="CB207" i="5"/>
  <c r="CC207" i="5"/>
  <c r="CD207" i="5"/>
  <c r="CE207" i="5"/>
  <c r="CF207" i="5"/>
  <c r="CG207" i="5"/>
  <c r="CP206" i="5"/>
  <c r="CN206" i="5"/>
  <c r="CO206" i="5"/>
  <c r="CL206" i="5"/>
  <c r="CM206" i="5"/>
  <c r="B206" i="5"/>
  <c r="C206" i="5"/>
  <c r="D206" i="5"/>
  <c r="E206" i="5"/>
  <c r="F206" i="5"/>
  <c r="G206" i="5"/>
  <c r="H206" i="5"/>
  <c r="I206" i="5"/>
  <c r="J206" i="5"/>
  <c r="K206" i="5"/>
  <c r="L206" i="5"/>
  <c r="M206" i="5"/>
  <c r="N206" i="5"/>
  <c r="O206" i="5"/>
  <c r="P206" i="5"/>
  <c r="Q206" i="5"/>
  <c r="R206" i="5"/>
  <c r="S206" i="5"/>
  <c r="T206" i="5"/>
  <c r="U206" i="5"/>
  <c r="V206" i="5"/>
  <c r="W206" i="5"/>
  <c r="X206" i="5"/>
  <c r="AN206" i="5"/>
  <c r="Y206" i="5"/>
  <c r="Z206" i="5"/>
  <c r="AA206" i="5"/>
  <c r="AB206" i="5"/>
  <c r="AC206" i="5"/>
  <c r="AD206" i="5"/>
  <c r="AE206" i="5"/>
  <c r="AF206" i="5"/>
  <c r="AG206" i="5"/>
  <c r="AI206" i="5"/>
  <c r="AK206" i="5"/>
  <c r="AO206" i="5"/>
  <c r="AS206" i="5"/>
  <c r="AU206" i="5"/>
  <c r="AW206" i="5"/>
  <c r="AY206" i="5"/>
  <c r="BC206" i="5"/>
  <c r="BG206" i="5"/>
  <c r="BI206" i="5"/>
  <c r="BK206" i="5"/>
  <c r="BD206" i="5"/>
  <c r="BL206" i="5"/>
  <c r="BM206" i="5"/>
  <c r="BN206" i="5"/>
  <c r="BO206" i="5"/>
  <c r="BP206" i="5"/>
  <c r="BQ206" i="5"/>
  <c r="BR206" i="5"/>
  <c r="BS206" i="5"/>
  <c r="BT206" i="5"/>
  <c r="BU206" i="5"/>
  <c r="BV206" i="5"/>
  <c r="BW206" i="5"/>
  <c r="BX206" i="5"/>
  <c r="BY206" i="5"/>
  <c r="BZ206" i="5"/>
  <c r="CA206" i="5"/>
  <c r="CB206" i="5"/>
  <c r="CC206" i="5"/>
  <c r="CD206" i="5"/>
  <c r="CE206" i="5"/>
  <c r="CF206" i="5"/>
  <c r="CG206" i="5"/>
  <c r="CP205" i="5"/>
  <c r="CN205" i="5"/>
  <c r="CO205" i="5"/>
  <c r="CL205" i="5"/>
  <c r="CM205" i="5"/>
  <c r="B205" i="5"/>
  <c r="C205" i="5"/>
  <c r="D205" i="5"/>
  <c r="E205" i="5"/>
  <c r="F205" i="5"/>
  <c r="G205" i="5"/>
  <c r="H205" i="5"/>
  <c r="I205" i="5"/>
  <c r="J205" i="5"/>
  <c r="K205" i="5"/>
  <c r="L205" i="5"/>
  <c r="M205" i="5"/>
  <c r="N205" i="5"/>
  <c r="O205" i="5"/>
  <c r="P205" i="5"/>
  <c r="Q205" i="5"/>
  <c r="R205" i="5"/>
  <c r="S205" i="5"/>
  <c r="T205" i="5"/>
  <c r="U205" i="5"/>
  <c r="V205" i="5"/>
  <c r="W205" i="5"/>
  <c r="X205" i="5"/>
  <c r="AN205" i="5"/>
  <c r="Y205" i="5"/>
  <c r="Z205" i="5"/>
  <c r="AA205" i="5"/>
  <c r="AB205" i="5"/>
  <c r="AC205" i="5"/>
  <c r="AD205" i="5"/>
  <c r="AE205" i="5"/>
  <c r="AF205" i="5"/>
  <c r="AG205" i="5"/>
  <c r="AI205" i="5"/>
  <c r="AK205" i="5"/>
  <c r="AO205" i="5"/>
  <c r="AS205" i="5"/>
  <c r="AU205" i="5"/>
  <c r="AW205" i="5"/>
  <c r="AY205" i="5"/>
  <c r="BC205" i="5"/>
  <c r="BG205" i="5"/>
  <c r="BI205" i="5"/>
  <c r="BK205" i="5"/>
  <c r="BD205" i="5"/>
  <c r="BL205" i="5"/>
  <c r="BM205" i="5"/>
  <c r="BN205" i="5"/>
  <c r="BO205" i="5"/>
  <c r="BP205" i="5"/>
  <c r="BQ205" i="5"/>
  <c r="BR205" i="5"/>
  <c r="BS205" i="5"/>
  <c r="BT205" i="5"/>
  <c r="BU205" i="5"/>
  <c r="BV205" i="5"/>
  <c r="BW205" i="5"/>
  <c r="BX205" i="5"/>
  <c r="BY205" i="5"/>
  <c r="BZ205" i="5"/>
  <c r="CA205" i="5"/>
  <c r="CB205" i="5"/>
  <c r="CC205" i="5"/>
  <c r="CD205" i="5"/>
  <c r="CE205" i="5"/>
  <c r="CF205" i="5"/>
  <c r="CG205" i="5"/>
  <c r="CP204" i="5"/>
  <c r="CN204" i="5"/>
  <c r="CO204" i="5"/>
  <c r="CL204" i="5"/>
  <c r="CM204" i="5"/>
  <c r="B204" i="5"/>
  <c r="C204" i="5"/>
  <c r="D204" i="5"/>
  <c r="E204" i="5"/>
  <c r="F204" i="5"/>
  <c r="G204" i="5"/>
  <c r="H204" i="5"/>
  <c r="I204" i="5"/>
  <c r="J204" i="5"/>
  <c r="K204" i="5"/>
  <c r="L204" i="5"/>
  <c r="M204" i="5"/>
  <c r="N204" i="5"/>
  <c r="O204" i="5"/>
  <c r="P204" i="5"/>
  <c r="Q204" i="5"/>
  <c r="R204" i="5"/>
  <c r="S204" i="5"/>
  <c r="T204" i="5"/>
  <c r="U204" i="5"/>
  <c r="V204" i="5"/>
  <c r="W204" i="5"/>
  <c r="X204" i="5"/>
  <c r="AN204" i="5"/>
  <c r="Y204" i="5"/>
  <c r="Z204" i="5"/>
  <c r="AA204" i="5"/>
  <c r="AB204" i="5"/>
  <c r="AC204" i="5"/>
  <c r="AD204" i="5"/>
  <c r="AE204" i="5"/>
  <c r="AF204" i="5"/>
  <c r="AG204" i="5"/>
  <c r="AI204" i="5"/>
  <c r="AK204" i="5"/>
  <c r="AO204" i="5"/>
  <c r="AS204" i="5"/>
  <c r="AU204" i="5"/>
  <c r="AW204" i="5"/>
  <c r="AY204" i="5"/>
  <c r="BC204" i="5"/>
  <c r="BG204" i="5"/>
  <c r="BI204" i="5"/>
  <c r="BK204" i="5"/>
  <c r="BD204" i="5"/>
  <c r="BL204" i="5"/>
  <c r="BM204" i="5"/>
  <c r="BN204" i="5"/>
  <c r="BO204" i="5"/>
  <c r="BP204" i="5"/>
  <c r="BQ204" i="5"/>
  <c r="BR204" i="5"/>
  <c r="BS204" i="5"/>
  <c r="BT204" i="5"/>
  <c r="BU204" i="5"/>
  <c r="BV204" i="5"/>
  <c r="BW204" i="5"/>
  <c r="BX204" i="5"/>
  <c r="BY204" i="5"/>
  <c r="BZ204" i="5"/>
  <c r="CA204" i="5"/>
  <c r="CB204" i="5"/>
  <c r="CC204" i="5"/>
  <c r="CD204" i="5"/>
  <c r="CE204" i="5"/>
  <c r="CF204" i="5"/>
  <c r="CG204" i="5"/>
  <c r="CP203" i="5"/>
  <c r="CN203" i="5"/>
  <c r="CO203" i="5"/>
  <c r="CL203" i="5"/>
  <c r="CM203" i="5"/>
  <c r="B203" i="5"/>
  <c r="C203" i="5"/>
  <c r="D203" i="5"/>
  <c r="E203" i="5"/>
  <c r="F203" i="5"/>
  <c r="G203" i="5"/>
  <c r="H203" i="5"/>
  <c r="I203" i="5"/>
  <c r="J203" i="5"/>
  <c r="K203" i="5"/>
  <c r="L203" i="5"/>
  <c r="M203" i="5"/>
  <c r="N203" i="5"/>
  <c r="O203" i="5"/>
  <c r="P203" i="5"/>
  <c r="Q203" i="5"/>
  <c r="R203" i="5"/>
  <c r="S203" i="5"/>
  <c r="T203" i="5"/>
  <c r="U203" i="5"/>
  <c r="V203" i="5"/>
  <c r="W203" i="5"/>
  <c r="X203" i="5"/>
  <c r="AN203" i="5"/>
  <c r="Y203" i="5"/>
  <c r="Z203" i="5"/>
  <c r="AA203" i="5"/>
  <c r="AB203" i="5"/>
  <c r="AC203" i="5"/>
  <c r="AD203" i="5"/>
  <c r="AE203" i="5"/>
  <c r="AF203" i="5"/>
  <c r="AG203" i="5"/>
  <c r="AI203" i="5"/>
  <c r="AK203" i="5"/>
  <c r="AO203" i="5"/>
  <c r="AS203" i="5"/>
  <c r="AU203" i="5"/>
  <c r="AW203" i="5"/>
  <c r="AY203" i="5"/>
  <c r="BC203" i="5"/>
  <c r="BG203" i="5"/>
  <c r="BI203" i="5"/>
  <c r="BK203" i="5"/>
  <c r="BD203" i="5"/>
  <c r="BL203" i="5"/>
  <c r="BM203" i="5"/>
  <c r="BN203" i="5"/>
  <c r="BO203" i="5"/>
  <c r="BP203" i="5"/>
  <c r="BQ203" i="5"/>
  <c r="BR203" i="5"/>
  <c r="BS203" i="5"/>
  <c r="BT203" i="5"/>
  <c r="BU203" i="5"/>
  <c r="BV203" i="5"/>
  <c r="BW203" i="5"/>
  <c r="BX203" i="5"/>
  <c r="BY203" i="5"/>
  <c r="BZ203" i="5"/>
  <c r="CA203" i="5"/>
  <c r="CB203" i="5"/>
  <c r="CC203" i="5"/>
  <c r="CD203" i="5"/>
  <c r="CE203" i="5"/>
  <c r="CF203" i="5"/>
  <c r="CG203" i="5"/>
  <c r="CP202" i="5"/>
  <c r="CN202" i="5"/>
  <c r="CO202" i="5"/>
  <c r="CL202" i="5"/>
  <c r="CM202" i="5"/>
  <c r="B202" i="5"/>
  <c r="C202" i="5"/>
  <c r="D202" i="5"/>
  <c r="E202" i="5"/>
  <c r="F202" i="5"/>
  <c r="G202" i="5"/>
  <c r="H202" i="5"/>
  <c r="I202" i="5"/>
  <c r="J202" i="5"/>
  <c r="K202" i="5"/>
  <c r="L202" i="5"/>
  <c r="M202" i="5"/>
  <c r="N202" i="5"/>
  <c r="O202" i="5"/>
  <c r="P202" i="5"/>
  <c r="Q202" i="5"/>
  <c r="R202" i="5"/>
  <c r="S202" i="5"/>
  <c r="T202" i="5"/>
  <c r="U202" i="5"/>
  <c r="V202" i="5"/>
  <c r="W202" i="5"/>
  <c r="X202" i="5"/>
  <c r="AN202" i="5"/>
  <c r="Y202" i="5"/>
  <c r="Z202" i="5"/>
  <c r="AA202" i="5"/>
  <c r="AB202" i="5"/>
  <c r="AC202" i="5"/>
  <c r="AD202" i="5"/>
  <c r="AE202" i="5"/>
  <c r="AF202" i="5"/>
  <c r="AG202" i="5"/>
  <c r="AI202" i="5"/>
  <c r="AK202" i="5"/>
  <c r="AO202" i="5"/>
  <c r="AS202" i="5"/>
  <c r="AU202" i="5"/>
  <c r="AW202" i="5"/>
  <c r="AY202" i="5"/>
  <c r="BC202" i="5"/>
  <c r="BG202" i="5"/>
  <c r="BI202" i="5"/>
  <c r="BK202" i="5"/>
  <c r="BD202" i="5"/>
  <c r="BL202" i="5"/>
  <c r="BM202" i="5"/>
  <c r="BN202" i="5"/>
  <c r="BO202" i="5"/>
  <c r="BP202" i="5"/>
  <c r="BQ202" i="5"/>
  <c r="BR202" i="5"/>
  <c r="BS202" i="5"/>
  <c r="BT202" i="5"/>
  <c r="BU202" i="5"/>
  <c r="BV202" i="5"/>
  <c r="BW202" i="5"/>
  <c r="BX202" i="5"/>
  <c r="BY202" i="5"/>
  <c r="BZ202" i="5"/>
  <c r="CA202" i="5"/>
  <c r="CB202" i="5"/>
  <c r="CC202" i="5"/>
  <c r="CD202" i="5"/>
  <c r="CE202" i="5"/>
  <c r="CF202" i="5"/>
  <c r="CG202" i="5"/>
  <c r="CP201" i="5"/>
  <c r="CN201" i="5"/>
  <c r="CO201" i="5"/>
  <c r="CL201" i="5"/>
  <c r="CM201" i="5"/>
  <c r="B201" i="5"/>
  <c r="C201" i="5"/>
  <c r="D201" i="5"/>
  <c r="E201" i="5"/>
  <c r="F201" i="5"/>
  <c r="G201" i="5"/>
  <c r="H201" i="5"/>
  <c r="I201" i="5"/>
  <c r="J201" i="5"/>
  <c r="K201" i="5"/>
  <c r="L201" i="5"/>
  <c r="M201" i="5"/>
  <c r="N201" i="5"/>
  <c r="O201" i="5"/>
  <c r="P201" i="5"/>
  <c r="Q201" i="5"/>
  <c r="R201" i="5"/>
  <c r="S201" i="5"/>
  <c r="T201" i="5"/>
  <c r="U201" i="5"/>
  <c r="V201" i="5"/>
  <c r="W201" i="5"/>
  <c r="X201" i="5"/>
  <c r="AN201" i="5"/>
  <c r="Y201" i="5"/>
  <c r="Z201" i="5"/>
  <c r="AA201" i="5"/>
  <c r="AB201" i="5"/>
  <c r="AC201" i="5"/>
  <c r="AD201" i="5"/>
  <c r="AE201" i="5"/>
  <c r="AF201" i="5"/>
  <c r="AG201" i="5"/>
  <c r="AI201" i="5"/>
  <c r="AK201" i="5"/>
  <c r="AO201" i="5"/>
  <c r="AS201" i="5"/>
  <c r="AU201" i="5"/>
  <c r="AW201" i="5"/>
  <c r="AY201" i="5"/>
  <c r="BC201" i="5"/>
  <c r="BG201" i="5"/>
  <c r="BI201" i="5"/>
  <c r="BK201" i="5"/>
  <c r="BD201" i="5"/>
  <c r="BL201" i="5"/>
  <c r="BM201" i="5"/>
  <c r="BN201" i="5"/>
  <c r="BO201" i="5"/>
  <c r="BP201" i="5"/>
  <c r="BQ201" i="5"/>
  <c r="BR201" i="5"/>
  <c r="BS201" i="5"/>
  <c r="BT201" i="5"/>
  <c r="BU201" i="5"/>
  <c r="BV201" i="5"/>
  <c r="BW201" i="5"/>
  <c r="BX201" i="5"/>
  <c r="BY201" i="5"/>
  <c r="BZ201" i="5"/>
  <c r="CA201" i="5"/>
  <c r="CB201" i="5"/>
  <c r="CC201" i="5"/>
  <c r="CD201" i="5"/>
  <c r="CE201" i="5"/>
  <c r="CF201" i="5"/>
  <c r="CG201" i="5"/>
  <c r="CP200" i="5"/>
  <c r="CN200" i="5"/>
  <c r="CO200" i="5"/>
  <c r="CL200" i="5"/>
  <c r="CM200" i="5"/>
  <c r="B200" i="5"/>
  <c r="C200" i="5"/>
  <c r="D200" i="5"/>
  <c r="E200" i="5"/>
  <c r="F200" i="5"/>
  <c r="G200" i="5"/>
  <c r="H200" i="5"/>
  <c r="I200" i="5"/>
  <c r="J200" i="5"/>
  <c r="K200" i="5"/>
  <c r="L200" i="5"/>
  <c r="M200" i="5"/>
  <c r="N200" i="5"/>
  <c r="O200" i="5"/>
  <c r="P200" i="5"/>
  <c r="Q200" i="5"/>
  <c r="R200" i="5"/>
  <c r="S200" i="5"/>
  <c r="T200" i="5"/>
  <c r="U200" i="5"/>
  <c r="V200" i="5"/>
  <c r="W200" i="5"/>
  <c r="X200" i="5"/>
  <c r="AN200" i="5"/>
  <c r="Y200" i="5"/>
  <c r="Z200" i="5"/>
  <c r="AA200" i="5"/>
  <c r="AB200" i="5"/>
  <c r="AC200" i="5"/>
  <c r="AD200" i="5"/>
  <c r="AE200" i="5"/>
  <c r="AF200" i="5"/>
  <c r="AG200" i="5"/>
  <c r="AI200" i="5"/>
  <c r="AK200" i="5"/>
  <c r="AO200" i="5"/>
  <c r="AS200" i="5"/>
  <c r="AU200" i="5"/>
  <c r="AW200" i="5"/>
  <c r="AY200" i="5"/>
  <c r="BC200" i="5"/>
  <c r="BG200" i="5"/>
  <c r="BI200" i="5"/>
  <c r="BK200" i="5"/>
  <c r="BD200" i="5"/>
  <c r="BL200" i="5"/>
  <c r="BM200" i="5"/>
  <c r="BN200" i="5"/>
  <c r="BO200" i="5"/>
  <c r="BP200" i="5"/>
  <c r="BQ200" i="5"/>
  <c r="BR200" i="5"/>
  <c r="BS200" i="5"/>
  <c r="BT200" i="5"/>
  <c r="BU200" i="5"/>
  <c r="BV200" i="5"/>
  <c r="BW200" i="5"/>
  <c r="BX200" i="5"/>
  <c r="BY200" i="5"/>
  <c r="BZ200" i="5"/>
  <c r="CA200" i="5"/>
  <c r="CB200" i="5"/>
  <c r="CC200" i="5"/>
  <c r="CD200" i="5"/>
  <c r="CE200" i="5"/>
  <c r="CF200" i="5"/>
  <c r="CG200" i="5"/>
  <c r="CP199" i="5"/>
  <c r="CN199" i="5"/>
  <c r="CO199" i="5"/>
  <c r="CL199" i="5"/>
  <c r="CM199" i="5"/>
  <c r="B199" i="5"/>
  <c r="C199" i="5"/>
  <c r="D199" i="5"/>
  <c r="E199" i="5"/>
  <c r="F199" i="5"/>
  <c r="G199" i="5"/>
  <c r="H199" i="5"/>
  <c r="I199" i="5"/>
  <c r="J199" i="5"/>
  <c r="K199" i="5"/>
  <c r="L199" i="5"/>
  <c r="M199" i="5"/>
  <c r="N199" i="5"/>
  <c r="O199" i="5"/>
  <c r="P199" i="5"/>
  <c r="Q199" i="5"/>
  <c r="R199" i="5"/>
  <c r="S199" i="5"/>
  <c r="T199" i="5"/>
  <c r="U199" i="5"/>
  <c r="V199" i="5"/>
  <c r="W199" i="5"/>
  <c r="X199" i="5"/>
  <c r="AN199" i="5"/>
  <c r="Y199" i="5"/>
  <c r="Z199" i="5"/>
  <c r="AA199" i="5"/>
  <c r="AB199" i="5"/>
  <c r="AC199" i="5"/>
  <c r="AD199" i="5"/>
  <c r="AE199" i="5"/>
  <c r="AF199" i="5"/>
  <c r="AG199" i="5"/>
  <c r="AI199" i="5"/>
  <c r="AK199" i="5"/>
  <c r="AO199" i="5"/>
  <c r="AS199" i="5"/>
  <c r="AU199" i="5"/>
  <c r="AW199" i="5"/>
  <c r="AY199" i="5"/>
  <c r="BC199" i="5"/>
  <c r="BG199" i="5"/>
  <c r="BI199" i="5"/>
  <c r="BK199" i="5"/>
  <c r="BD199" i="5"/>
  <c r="BL199" i="5"/>
  <c r="BM199" i="5"/>
  <c r="BN199" i="5"/>
  <c r="BO199" i="5"/>
  <c r="BP199" i="5"/>
  <c r="BQ199" i="5"/>
  <c r="BR199" i="5"/>
  <c r="BS199" i="5"/>
  <c r="BT199" i="5"/>
  <c r="BU199" i="5"/>
  <c r="BV199" i="5"/>
  <c r="BW199" i="5"/>
  <c r="BX199" i="5"/>
  <c r="BY199" i="5"/>
  <c r="BZ199" i="5"/>
  <c r="CA199" i="5"/>
  <c r="CB199" i="5"/>
  <c r="CC199" i="5"/>
  <c r="CD199" i="5"/>
  <c r="CE199" i="5"/>
  <c r="CF199" i="5"/>
  <c r="CG199" i="5"/>
  <c r="CP198" i="5"/>
  <c r="CN198" i="5"/>
  <c r="CO198" i="5"/>
  <c r="CL198" i="5"/>
  <c r="CM198" i="5"/>
  <c r="B198" i="5"/>
  <c r="C198" i="5"/>
  <c r="D198" i="5"/>
  <c r="E198" i="5"/>
  <c r="F198" i="5"/>
  <c r="G198" i="5"/>
  <c r="H198" i="5"/>
  <c r="I198" i="5"/>
  <c r="J198" i="5"/>
  <c r="K198" i="5"/>
  <c r="L198" i="5"/>
  <c r="M198" i="5"/>
  <c r="N198" i="5"/>
  <c r="O198" i="5"/>
  <c r="P198" i="5"/>
  <c r="Q198" i="5"/>
  <c r="R198" i="5"/>
  <c r="S198" i="5"/>
  <c r="T198" i="5"/>
  <c r="U198" i="5"/>
  <c r="V198" i="5"/>
  <c r="W198" i="5"/>
  <c r="X198" i="5"/>
  <c r="AN198" i="5"/>
  <c r="Y198" i="5"/>
  <c r="Z198" i="5"/>
  <c r="AA198" i="5"/>
  <c r="AB198" i="5"/>
  <c r="AC198" i="5"/>
  <c r="AD198" i="5"/>
  <c r="AE198" i="5"/>
  <c r="AF198" i="5"/>
  <c r="AG198" i="5"/>
  <c r="AI198" i="5"/>
  <c r="AK198" i="5"/>
  <c r="AO198" i="5"/>
  <c r="AS198" i="5"/>
  <c r="AU198" i="5"/>
  <c r="AW198" i="5"/>
  <c r="AY198" i="5"/>
  <c r="BC198" i="5"/>
  <c r="BG198" i="5"/>
  <c r="BI198" i="5"/>
  <c r="BK198" i="5"/>
  <c r="BD198" i="5"/>
  <c r="BL198" i="5"/>
  <c r="BM198" i="5"/>
  <c r="BN198" i="5"/>
  <c r="BO198" i="5"/>
  <c r="BP198" i="5"/>
  <c r="BQ198" i="5"/>
  <c r="BR198" i="5"/>
  <c r="BS198" i="5"/>
  <c r="BT198" i="5"/>
  <c r="BU198" i="5"/>
  <c r="BV198" i="5"/>
  <c r="BW198" i="5"/>
  <c r="BX198" i="5"/>
  <c r="BY198" i="5"/>
  <c r="BZ198" i="5"/>
  <c r="CA198" i="5"/>
  <c r="CB198" i="5"/>
  <c r="CC198" i="5"/>
  <c r="CD198" i="5"/>
  <c r="CE198" i="5"/>
  <c r="CF198" i="5"/>
  <c r="CG198" i="5"/>
  <c r="CP197" i="5"/>
  <c r="CN197" i="5"/>
  <c r="CO197" i="5"/>
  <c r="CL197" i="5"/>
  <c r="CM197" i="5"/>
  <c r="B197" i="5"/>
  <c r="C197" i="5"/>
  <c r="D197" i="5"/>
  <c r="E197" i="5"/>
  <c r="F197" i="5"/>
  <c r="G197" i="5"/>
  <c r="H197" i="5"/>
  <c r="I197" i="5"/>
  <c r="J197" i="5"/>
  <c r="K197" i="5"/>
  <c r="L197" i="5"/>
  <c r="M197" i="5"/>
  <c r="N197" i="5"/>
  <c r="O197" i="5"/>
  <c r="P197" i="5"/>
  <c r="Q197" i="5"/>
  <c r="R197" i="5"/>
  <c r="S197" i="5"/>
  <c r="T197" i="5"/>
  <c r="U197" i="5"/>
  <c r="V197" i="5"/>
  <c r="W197" i="5"/>
  <c r="X197" i="5"/>
  <c r="AN197" i="5"/>
  <c r="Y197" i="5"/>
  <c r="Z197" i="5"/>
  <c r="AA197" i="5"/>
  <c r="AB197" i="5"/>
  <c r="AC197" i="5"/>
  <c r="AD197" i="5"/>
  <c r="AE197" i="5"/>
  <c r="AF197" i="5"/>
  <c r="AG197" i="5"/>
  <c r="AI197" i="5"/>
  <c r="AK197" i="5"/>
  <c r="AO197" i="5"/>
  <c r="AS197" i="5"/>
  <c r="AU197" i="5"/>
  <c r="AW197" i="5"/>
  <c r="AY197" i="5"/>
  <c r="BC197" i="5"/>
  <c r="BG197" i="5"/>
  <c r="BI197" i="5"/>
  <c r="BK197" i="5"/>
  <c r="BD197" i="5"/>
  <c r="BL197" i="5"/>
  <c r="BM197" i="5"/>
  <c r="BN197" i="5"/>
  <c r="BO197" i="5"/>
  <c r="BP197" i="5"/>
  <c r="BQ197" i="5"/>
  <c r="BR197" i="5"/>
  <c r="BS197" i="5"/>
  <c r="BT197" i="5"/>
  <c r="BU197" i="5"/>
  <c r="BV197" i="5"/>
  <c r="BW197" i="5"/>
  <c r="BX197" i="5"/>
  <c r="BY197" i="5"/>
  <c r="BZ197" i="5"/>
  <c r="CA197" i="5"/>
  <c r="CB197" i="5"/>
  <c r="CC197" i="5"/>
  <c r="CD197" i="5"/>
  <c r="CE197" i="5"/>
  <c r="CF197" i="5"/>
  <c r="CG197" i="5"/>
  <c r="CP196" i="5"/>
  <c r="CN196" i="5"/>
  <c r="CO196" i="5"/>
  <c r="CL196" i="5"/>
  <c r="CM196" i="5"/>
  <c r="B196" i="5"/>
  <c r="C196" i="5"/>
  <c r="D196" i="5"/>
  <c r="E196" i="5"/>
  <c r="F196" i="5"/>
  <c r="G196" i="5"/>
  <c r="H196" i="5"/>
  <c r="I196" i="5"/>
  <c r="J196" i="5"/>
  <c r="K196" i="5"/>
  <c r="L196" i="5"/>
  <c r="M196" i="5"/>
  <c r="N196" i="5"/>
  <c r="O196" i="5"/>
  <c r="P196" i="5"/>
  <c r="Q196" i="5"/>
  <c r="R196" i="5"/>
  <c r="S196" i="5"/>
  <c r="T196" i="5"/>
  <c r="U196" i="5"/>
  <c r="V196" i="5"/>
  <c r="W196" i="5"/>
  <c r="X196" i="5"/>
  <c r="AN196" i="5"/>
  <c r="Y196" i="5"/>
  <c r="Z196" i="5"/>
  <c r="AA196" i="5"/>
  <c r="AB196" i="5"/>
  <c r="AC196" i="5"/>
  <c r="AD196" i="5"/>
  <c r="AE196" i="5"/>
  <c r="AF196" i="5"/>
  <c r="AG196" i="5"/>
  <c r="AI196" i="5"/>
  <c r="AK196" i="5"/>
  <c r="AO196" i="5"/>
  <c r="AS196" i="5"/>
  <c r="AU196" i="5"/>
  <c r="AW196" i="5"/>
  <c r="AY196" i="5"/>
  <c r="BC196" i="5"/>
  <c r="BG196" i="5"/>
  <c r="BI196" i="5"/>
  <c r="BK196" i="5"/>
  <c r="BD196" i="5"/>
  <c r="BL196" i="5"/>
  <c r="BM196" i="5"/>
  <c r="BN196" i="5"/>
  <c r="BO196" i="5"/>
  <c r="BP196" i="5"/>
  <c r="BQ196" i="5"/>
  <c r="BR196" i="5"/>
  <c r="BS196" i="5"/>
  <c r="BT196" i="5"/>
  <c r="BU196" i="5"/>
  <c r="BV196" i="5"/>
  <c r="BW196" i="5"/>
  <c r="BX196" i="5"/>
  <c r="BY196" i="5"/>
  <c r="BZ196" i="5"/>
  <c r="CA196" i="5"/>
  <c r="CB196" i="5"/>
  <c r="CC196" i="5"/>
  <c r="CD196" i="5"/>
  <c r="CE196" i="5"/>
  <c r="CF196" i="5"/>
  <c r="CG196" i="5"/>
  <c r="CP195" i="5"/>
  <c r="CN195" i="5"/>
  <c r="CO195" i="5"/>
  <c r="CL195" i="5"/>
  <c r="CM195" i="5"/>
  <c r="B195" i="5"/>
  <c r="C195" i="5"/>
  <c r="D195" i="5"/>
  <c r="E195" i="5"/>
  <c r="F195" i="5"/>
  <c r="G195" i="5"/>
  <c r="H195" i="5"/>
  <c r="I195" i="5"/>
  <c r="J195" i="5"/>
  <c r="K195" i="5"/>
  <c r="L195" i="5"/>
  <c r="M195" i="5"/>
  <c r="N195" i="5"/>
  <c r="O195" i="5"/>
  <c r="P195" i="5"/>
  <c r="Q195" i="5"/>
  <c r="R195" i="5"/>
  <c r="S195" i="5"/>
  <c r="T195" i="5"/>
  <c r="U195" i="5"/>
  <c r="V195" i="5"/>
  <c r="W195" i="5"/>
  <c r="X195" i="5"/>
  <c r="AN195" i="5"/>
  <c r="Y195" i="5"/>
  <c r="Z195" i="5"/>
  <c r="AA195" i="5"/>
  <c r="AB195" i="5"/>
  <c r="AC195" i="5"/>
  <c r="AD195" i="5"/>
  <c r="AE195" i="5"/>
  <c r="AF195" i="5"/>
  <c r="AG195" i="5"/>
  <c r="AI195" i="5"/>
  <c r="AK195" i="5"/>
  <c r="AO195" i="5"/>
  <c r="AS195" i="5"/>
  <c r="AU195" i="5"/>
  <c r="AW195" i="5"/>
  <c r="AY195" i="5"/>
  <c r="BC195" i="5"/>
  <c r="BG195" i="5"/>
  <c r="BI195" i="5"/>
  <c r="BK195" i="5"/>
  <c r="BD195" i="5"/>
  <c r="BL195" i="5"/>
  <c r="BM195" i="5"/>
  <c r="BN195" i="5"/>
  <c r="BO195" i="5"/>
  <c r="BP195" i="5"/>
  <c r="BQ195" i="5"/>
  <c r="BR195" i="5"/>
  <c r="BS195" i="5"/>
  <c r="BT195" i="5"/>
  <c r="BU195" i="5"/>
  <c r="BV195" i="5"/>
  <c r="BW195" i="5"/>
  <c r="BX195" i="5"/>
  <c r="BY195" i="5"/>
  <c r="BZ195" i="5"/>
  <c r="CA195" i="5"/>
  <c r="CB195" i="5"/>
  <c r="CC195" i="5"/>
  <c r="CD195" i="5"/>
  <c r="CE195" i="5"/>
  <c r="CF195" i="5"/>
  <c r="CG195" i="5"/>
  <c r="CP194" i="5"/>
  <c r="CN194" i="5"/>
  <c r="CO194" i="5"/>
  <c r="CL194" i="5"/>
  <c r="CM194" i="5"/>
  <c r="B194" i="5"/>
  <c r="C194" i="5"/>
  <c r="D194" i="5"/>
  <c r="E194" i="5"/>
  <c r="F194" i="5"/>
  <c r="G194" i="5"/>
  <c r="H194" i="5"/>
  <c r="I194" i="5"/>
  <c r="J194" i="5"/>
  <c r="K194" i="5"/>
  <c r="L194" i="5"/>
  <c r="M194" i="5"/>
  <c r="N194" i="5"/>
  <c r="O194" i="5"/>
  <c r="P194" i="5"/>
  <c r="Q194" i="5"/>
  <c r="R194" i="5"/>
  <c r="S194" i="5"/>
  <c r="T194" i="5"/>
  <c r="U194" i="5"/>
  <c r="V194" i="5"/>
  <c r="W194" i="5"/>
  <c r="X194" i="5"/>
  <c r="AN194" i="5"/>
  <c r="Y194" i="5"/>
  <c r="Z194" i="5"/>
  <c r="AA194" i="5"/>
  <c r="AB194" i="5"/>
  <c r="AC194" i="5"/>
  <c r="AD194" i="5"/>
  <c r="AE194" i="5"/>
  <c r="AF194" i="5"/>
  <c r="AG194" i="5"/>
  <c r="AI194" i="5"/>
  <c r="AK194" i="5"/>
  <c r="AO194" i="5"/>
  <c r="AS194" i="5"/>
  <c r="AU194" i="5"/>
  <c r="AW194" i="5"/>
  <c r="AY194" i="5"/>
  <c r="BC194" i="5"/>
  <c r="BG194" i="5"/>
  <c r="BI194" i="5"/>
  <c r="BK194" i="5"/>
  <c r="BD194" i="5"/>
  <c r="BL194" i="5"/>
  <c r="BM194" i="5"/>
  <c r="BN194" i="5"/>
  <c r="BO194" i="5"/>
  <c r="BP194" i="5"/>
  <c r="BQ194" i="5"/>
  <c r="BR194" i="5"/>
  <c r="BS194" i="5"/>
  <c r="BT194" i="5"/>
  <c r="BU194" i="5"/>
  <c r="BV194" i="5"/>
  <c r="BW194" i="5"/>
  <c r="BX194" i="5"/>
  <c r="BY194" i="5"/>
  <c r="BZ194" i="5"/>
  <c r="CA194" i="5"/>
  <c r="CB194" i="5"/>
  <c r="CC194" i="5"/>
  <c r="CD194" i="5"/>
  <c r="CE194" i="5"/>
  <c r="CF194" i="5"/>
  <c r="CG194" i="5"/>
  <c r="CP193" i="5"/>
  <c r="CN193" i="5"/>
  <c r="CO193" i="5"/>
  <c r="CL193" i="5"/>
  <c r="CM193" i="5"/>
  <c r="B193" i="5"/>
  <c r="C193" i="5"/>
  <c r="D193" i="5"/>
  <c r="E193" i="5"/>
  <c r="F193" i="5"/>
  <c r="G193" i="5"/>
  <c r="H193" i="5"/>
  <c r="I193" i="5"/>
  <c r="J193" i="5"/>
  <c r="K193" i="5"/>
  <c r="L193" i="5"/>
  <c r="M193" i="5"/>
  <c r="N193" i="5"/>
  <c r="O193" i="5"/>
  <c r="P193" i="5"/>
  <c r="Q193" i="5"/>
  <c r="R193" i="5"/>
  <c r="S193" i="5"/>
  <c r="T193" i="5"/>
  <c r="U193" i="5"/>
  <c r="V193" i="5"/>
  <c r="W193" i="5"/>
  <c r="X193" i="5"/>
  <c r="AN193" i="5"/>
  <c r="Y193" i="5"/>
  <c r="Z193" i="5"/>
  <c r="AA193" i="5"/>
  <c r="AB193" i="5"/>
  <c r="AC193" i="5"/>
  <c r="AD193" i="5"/>
  <c r="AE193" i="5"/>
  <c r="AF193" i="5"/>
  <c r="AG193" i="5"/>
  <c r="AI193" i="5"/>
  <c r="AK193" i="5"/>
  <c r="AO193" i="5"/>
  <c r="AS193" i="5"/>
  <c r="AU193" i="5"/>
  <c r="AW193" i="5"/>
  <c r="AY193" i="5"/>
  <c r="BC193" i="5"/>
  <c r="BG193" i="5"/>
  <c r="BI193" i="5"/>
  <c r="BK193" i="5"/>
  <c r="BD193" i="5"/>
  <c r="BL193" i="5"/>
  <c r="BM193" i="5"/>
  <c r="BN193" i="5"/>
  <c r="BO193" i="5"/>
  <c r="BP193" i="5"/>
  <c r="BQ193" i="5"/>
  <c r="BR193" i="5"/>
  <c r="BS193" i="5"/>
  <c r="BT193" i="5"/>
  <c r="BU193" i="5"/>
  <c r="BV193" i="5"/>
  <c r="BW193" i="5"/>
  <c r="BX193" i="5"/>
  <c r="BY193" i="5"/>
  <c r="BZ193" i="5"/>
  <c r="CA193" i="5"/>
  <c r="CB193" i="5"/>
  <c r="CC193" i="5"/>
  <c r="CD193" i="5"/>
  <c r="CE193" i="5"/>
  <c r="CF193" i="5"/>
  <c r="CG193" i="5"/>
  <c r="CP192" i="5"/>
  <c r="CN192" i="5"/>
  <c r="CO192" i="5"/>
  <c r="CL192" i="5"/>
  <c r="CM192" i="5"/>
  <c r="B192" i="5"/>
  <c r="C192" i="5"/>
  <c r="D192" i="5"/>
  <c r="E192" i="5"/>
  <c r="F192" i="5"/>
  <c r="G192" i="5"/>
  <c r="H192" i="5"/>
  <c r="I192" i="5"/>
  <c r="J192" i="5"/>
  <c r="K192" i="5"/>
  <c r="L192" i="5"/>
  <c r="M192" i="5"/>
  <c r="N192" i="5"/>
  <c r="O192" i="5"/>
  <c r="P192" i="5"/>
  <c r="Q192" i="5"/>
  <c r="R192" i="5"/>
  <c r="S192" i="5"/>
  <c r="T192" i="5"/>
  <c r="U192" i="5"/>
  <c r="V192" i="5"/>
  <c r="W192" i="5"/>
  <c r="X192" i="5"/>
  <c r="AN192" i="5"/>
  <c r="Y192" i="5"/>
  <c r="Z192" i="5"/>
  <c r="AA192" i="5"/>
  <c r="AB192" i="5"/>
  <c r="AC192" i="5"/>
  <c r="AD192" i="5"/>
  <c r="AE192" i="5"/>
  <c r="AF192" i="5"/>
  <c r="AG192" i="5"/>
  <c r="AI192" i="5"/>
  <c r="AK192" i="5"/>
  <c r="AO192" i="5"/>
  <c r="AS192" i="5"/>
  <c r="AU192" i="5"/>
  <c r="AW192" i="5"/>
  <c r="AY192" i="5"/>
  <c r="BC192" i="5"/>
  <c r="BG192" i="5"/>
  <c r="BI192" i="5"/>
  <c r="BK192" i="5"/>
  <c r="BD192" i="5"/>
  <c r="BL192" i="5"/>
  <c r="BM192" i="5"/>
  <c r="BN192" i="5"/>
  <c r="BO192" i="5"/>
  <c r="BP192" i="5"/>
  <c r="BQ192" i="5"/>
  <c r="BR192" i="5"/>
  <c r="BS192" i="5"/>
  <c r="BT192" i="5"/>
  <c r="BU192" i="5"/>
  <c r="BV192" i="5"/>
  <c r="BW192" i="5"/>
  <c r="BX192" i="5"/>
  <c r="BY192" i="5"/>
  <c r="BZ192" i="5"/>
  <c r="CA192" i="5"/>
  <c r="CB192" i="5"/>
  <c r="CC192" i="5"/>
  <c r="CD192" i="5"/>
  <c r="CE192" i="5"/>
  <c r="CF192" i="5"/>
  <c r="CG192" i="5"/>
  <c r="CP191" i="5"/>
  <c r="CN191" i="5"/>
  <c r="CO191" i="5"/>
  <c r="CL191" i="5"/>
  <c r="CM191" i="5"/>
  <c r="B191" i="5"/>
  <c r="C191" i="5"/>
  <c r="D191" i="5"/>
  <c r="E191" i="5"/>
  <c r="F191" i="5"/>
  <c r="G191" i="5"/>
  <c r="H191" i="5"/>
  <c r="I191" i="5"/>
  <c r="J191" i="5"/>
  <c r="K191" i="5"/>
  <c r="L191" i="5"/>
  <c r="M191" i="5"/>
  <c r="N191" i="5"/>
  <c r="O191" i="5"/>
  <c r="P191" i="5"/>
  <c r="Q191" i="5"/>
  <c r="R191" i="5"/>
  <c r="S191" i="5"/>
  <c r="T191" i="5"/>
  <c r="U191" i="5"/>
  <c r="V191" i="5"/>
  <c r="W191" i="5"/>
  <c r="X191" i="5"/>
  <c r="AN191" i="5"/>
  <c r="Y191" i="5"/>
  <c r="Z191" i="5"/>
  <c r="AA191" i="5"/>
  <c r="AB191" i="5"/>
  <c r="AC191" i="5"/>
  <c r="AD191" i="5"/>
  <c r="AE191" i="5"/>
  <c r="AF191" i="5"/>
  <c r="AG191" i="5"/>
  <c r="AI191" i="5"/>
  <c r="AK191" i="5"/>
  <c r="AO191" i="5"/>
  <c r="AS191" i="5"/>
  <c r="AU191" i="5"/>
  <c r="AW191" i="5"/>
  <c r="AY191" i="5"/>
  <c r="BC191" i="5"/>
  <c r="BG191" i="5"/>
  <c r="BI191" i="5"/>
  <c r="BK191" i="5"/>
  <c r="BD191" i="5"/>
  <c r="BL191" i="5"/>
  <c r="BM191" i="5"/>
  <c r="BN191" i="5"/>
  <c r="BO191" i="5"/>
  <c r="BP191" i="5"/>
  <c r="BQ191" i="5"/>
  <c r="BR191" i="5"/>
  <c r="BS191" i="5"/>
  <c r="BT191" i="5"/>
  <c r="BU191" i="5"/>
  <c r="BV191" i="5"/>
  <c r="BW191" i="5"/>
  <c r="BX191" i="5"/>
  <c r="BY191" i="5"/>
  <c r="BZ191" i="5"/>
  <c r="CA191" i="5"/>
  <c r="CB191" i="5"/>
  <c r="CC191" i="5"/>
  <c r="CD191" i="5"/>
  <c r="CE191" i="5"/>
  <c r="CF191" i="5"/>
  <c r="CG191" i="5"/>
  <c r="CP190" i="5"/>
  <c r="CN190" i="5"/>
  <c r="CO190" i="5"/>
  <c r="CL190" i="5"/>
  <c r="CM190" i="5"/>
  <c r="B190" i="5"/>
  <c r="C190" i="5"/>
  <c r="D190" i="5"/>
  <c r="E190" i="5"/>
  <c r="F190" i="5"/>
  <c r="G190" i="5"/>
  <c r="H190" i="5"/>
  <c r="I190" i="5"/>
  <c r="J190" i="5"/>
  <c r="K190" i="5"/>
  <c r="L190" i="5"/>
  <c r="M190" i="5"/>
  <c r="N190" i="5"/>
  <c r="O190" i="5"/>
  <c r="P190" i="5"/>
  <c r="Q190" i="5"/>
  <c r="R190" i="5"/>
  <c r="S190" i="5"/>
  <c r="T190" i="5"/>
  <c r="U190" i="5"/>
  <c r="V190" i="5"/>
  <c r="W190" i="5"/>
  <c r="X190" i="5"/>
  <c r="AN190" i="5"/>
  <c r="Y190" i="5"/>
  <c r="Z190" i="5"/>
  <c r="AA190" i="5"/>
  <c r="AB190" i="5"/>
  <c r="AC190" i="5"/>
  <c r="AD190" i="5"/>
  <c r="AE190" i="5"/>
  <c r="AF190" i="5"/>
  <c r="AG190" i="5"/>
  <c r="AI190" i="5"/>
  <c r="AK190" i="5"/>
  <c r="AO190" i="5"/>
  <c r="AS190" i="5"/>
  <c r="AU190" i="5"/>
  <c r="AW190" i="5"/>
  <c r="AY190" i="5"/>
  <c r="BC190" i="5"/>
  <c r="BG190" i="5"/>
  <c r="BI190" i="5"/>
  <c r="BK190" i="5"/>
  <c r="BD190" i="5"/>
  <c r="BL190" i="5"/>
  <c r="BM190" i="5"/>
  <c r="BN190" i="5"/>
  <c r="BO190" i="5"/>
  <c r="BP190" i="5"/>
  <c r="BQ190" i="5"/>
  <c r="BR190" i="5"/>
  <c r="BS190" i="5"/>
  <c r="BT190" i="5"/>
  <c r="BU190" i="5"/>
  <c r="BV190" i="5"/>
  <c r="BW190" i="5"/>
  <c r="BX190" i="5"/>
  <c r="BY190" i="5"/>
  <c r="BZ190" i="5"/>
  <c r="CA190" i="5"/>
  <c r="CB190" i="5"/>
  <c r="CC190" i="5"/>
  <c r="CD190" i="5"/>
  <c r="CE190" i="5"/>
  <c r="CF190" i="5"/>
  <c r="CG190" i="5"/>
  <c r="CP189" i="5"/>
  <c r="CN189" i="5"/>
  <c r="CO189" i="5"/>
  <c r="CL189" i="5"/>
  <c r="CM189" i="5"/>
  <c r="B189" i="5"/>
  <c r="C189" i="5"/>
  <c r="D189" i="5"/>
  <c r="E189" i="5"/>
  <c r="F189" i="5"/>
  <c r="G189" i="5"/>
  <c r="H189" i="5"/>
  <c r="I189" i="5"/>
  <c r="J189" i="5"/>
  <c r="K189" i="5"/>
  <c r="L189" i="5"/>
  <c r="M189" i="5"/>
  <c r="N189" i="5"/>
  <c r="O189" i="5"/>
  <c r="P189" i="5"/>
  <c r="Q189" i="5"/>
  <c r="R189" i="5"/>
  <c r="S189" i="5"/>
  <c r="T189" i="5"/>
  <c r="U189" i="5"/>
  <c r="V189" i="5"/>
  <c r="W189" i="5"/>
  <c r="X189" i="5"/>
  <c r="AN189" i="5"/>
  <c r="Y189" i="5"/>
  <c r="Z189" i="5"/>
  <c r="AA189" i="5"/>
  <c r="AB189" i="5"/>
  <c r="AC189" i="5"/>
  <c r="AD189" i="5"/>
  <c r="AE189" i="5"/>
  <c r="AF189" i="5"/>
  <c r="AG189" i="5"/>
  <c r="AI189" i="5"/>
  <c r="AK189" i="5"/>
  <c r="AO189" i="5"/>
  <c r="AS189" i="5"/>
  <c r="AU189" i="5"/>
  <c r="AW189" i="5"/>
  <c r="AY189" i="5"/>
  <c r="BC189" i="5"/>
  <c r="BG189" i="5"/>
  <c r="BI189" i="5"/>
  <c r="BK189" i="5"/>
  <c r="BD189" i="5"/>
  <c r="BL189" i="5"/>
  <c r="BM189" i="5"/>
  <c r="BN189" i="5"/>
  <c r="BO189" i="5"/>
  <c r="BP189" i="5"/>
  <c r="BQ189" i="5"/>
  <c r="BR189" i="5"/>
  <c r="BS189" i="5"/>
  <c r="BT189" i="5"/>
  <c r="BU189" i="5"/>
  <c r="BV189" i="5"/>
  <c r="BW189" i="5"/>
  <c r="BX189" i="5"/>
  <c r="BY189" i="5"/>
  <c r="BZ189" i="5"/>
  <c r="CA189" i="5"/>
  <c r="CB189" i="5"/>
  <c r="CC189" i="5"/>
  <c r="CD189" i="5"/>
  <c r="CE189" i="5"/>
  <c r="CF189" i="5"/>
  <c r="CG189" i="5"/>
  <c r="CP188" i="5"/>
  <c r="CN188" i="5"/>
  <c r="CO188" i="5"/>
  <c r="CL188" i="5"/>
  <c r="CM188" i="5"/>
  <c r="B188" i="5"/>
  <c r="C188" i="5"/>
  <c r="D188" i="5"/>
  <c r="E188" i="5"/>
  <c r="F188" i="5"/>
  <c r="G188" i="5"/>
  <c r="H188" i="5"/>
  <c r="I188" i="5"/>
  <c r="J188" i="5"/>
  <c r="K188" i="5"/>
  <c r="L188" i="5"/>
  <c r="M188" i="5"/>
  <c r="N188" i="5"/>
  <c r="O188" i="5"/>
  <c r="P188" i="5"/>
  <c r="Q188" i="5"/>
  <c r="R188" i="5"/>
  <c r="S188" i="5"/>
  <c r="T188" i="5"/>
  <c r="U188" i="5"/>
  <c r="V188" i="5"/>
  <c r="W188" i="5"/>
  <c r="X188" i="5"/>
  <c r="AN188" i="5"/>
  <c r="Y188" i="5"/>
  <c r="Z188" i="5"/>
  <c r="AA188" i="5"/>
  <c r="AB188" i="5"/>
  <c r="AC188" i="5"/>
  <c r="AD188" i="5"/>
  <c r="AE188" i="5"/>
  <c r="AF188" i="5"/>
  <c r="AG188" i="5"/>
  <c r="AI188" i="5"/>
  <c r="AK188" i="5"/>
  <c r="AO188" i="5"/>
  <c r="AS188" i="5"/>
  <c r="AU188" i="5"/>
  <c r="AW188" i="5"/>
  <c r="AY188" i="5"/>
  <c r="BC188" i="5"/>
  <c r="BG188" i="5"/>
  <c r="BI188" i="5"/>
  <c r="BK188" i="5"/>
  <c r="BD188" i="5"/>
  <c r="BL188" i="5"/>
  <c r="BM188" i="5"/>
  <c r="BN188" i="5"/>
  <c r="BO188" i="5"/>
  <c r="BP188" i="5"/>
  <c r="BQ188" i="5"/>
  <c r="BR188" i="5"/>
  <c r="BS188" i="5"/>
  <c r="BT188" i="5"/>
  <c r="BU188" i="5"/>
  <c r="BV188" i="5"/>
  <c r="BW188" i="5"/>
  <c r="BX188" i="5"/>
  <c r="BY188" i="5"/>
  <c r="BZ188" i="5"/>
  <c r="CA188" i="5"/>
  <c r="CB188" i="5"/>
  <c r="CC188" i="5"/>
  <c r="CD188" i="5"/>
  <c r="CE188" i="5"/>
  <c r="CF188" i="5"/>
  <c r="CG188" i="5"/>
  <c r="CP187" i="5"/>
  <c r="CN187" i="5"/>
  <c r="CO187" i="5"/>
  <c r="CL187" i="5"/>
  <c r="CM187" i="5"/>
  <c r="B187" i="5"/>
  <c r="C187" i="5"/>
  <c r="D187" i="5"/>
  <c r="E187" i="5"/>
  <c r="F187" i="5"/>
  <c r="G187" i="5"/>
  <c r="H187" i="5"/>
  <c r="I187" i="5"/>
  <c r="J187" i="5"/>
  <c r="K187" i="5"/>
  <c r="L187" i="5"/>
  <c r="M187" i="5"/>
  <c r="N187" i="5"/>
  <c r="O187" i="5"/>
  <c r="P187" i="5"/>
  <c r="Q187" i="5"/>
  <c r="R187" i="5"/>
  <c r="S187" i="5"/>
  <c r="T187" i="5"/>
  <c r="U187" i="5"/>
  <c r="V187" i="5"/>
  <c r="W187" i="5"/>
  <c r="X187" i="5"/>
  <c r="AN187" i="5"/>
  <c r="Y187" i="5"/>
  <c r="Z187" i="5"/>
  <c r="AA187" i="5"/>
  <c r="AB187" i="5"/>
  <c r="AC187" i="5"/>
  <c r="AD187" i="5"/>
  <c r="AE187" i="5"/>
  <c r="AF187" i="5"/>
  <c r="AG187" i="5"/>
  <c r="AI187" i="5"/>
  <c r="AK187" i="5"/>
  <c r="AO187" i="5"/>
  <c r="AS187" i="5"/>
  <c r="AU187" i="5"/>
  <c r="AW187" i="5"/>
  <c r="AY187" i="5"/>
  <c r="BC187" i="5"/>
  <c r="BG187" i="5"/>
  <c r="BI187" i="5"/>
  <c r="BK187" i="5"/>
  <c r="BD187" i="5"/>
  <c r="BL187" i="5"/>
  <c r="BM187" i="5"/>
  <c r="BN187" i="5"/>
  <c r="BO187" i="5"/>
  <c r="BP187" i="5"/>
  <c r="BQ187" i="5"/>
  <c r="BR187" i="5"/>
  <c r="BS187" i="5"/>
  <c r="BT187" i="5"/>
  <c r="BU187" i="5"/>
  <c r="BV187" i="5"/>
  <c r="BW187" i="5"/>
  <c r="BX187" i="5"/>
  <c r="BY187" i="5"/>
  <c r="BZ187" i="5"/>
  <c r="CA187" i="5"/>
  <c r="CB187" i="5"/>
  <c r="CC187" i="5"/>
  <c r="CD187" i="5"/>
  <c r="CE187" i="5"/>
  <c r="CF187" i="5"/>
  <c r="CG187" i="5"/>
  <c r="CP186" i="5"/>
  <c r="CN186" i="5"/>
  <c r="CO186" i="5"/>
  <c r="CL186" i="5"/>
  <c r="CM186" i="5"/>
  <c r="B186" i="5"/>
  <c r="C186" i="5"/>
  <c r="D186" i="5"/>
  <c r="E186" i="5"/>
  <c r="F186" i="5"/>
  <c r="G186" i="5"/>
  <c r="H186" i="5"/>
  <c r="I186" i="5"/>
  <c r="J186" i="5"/>
  <c r="K186" i="5"/>
  <c r="L186" i="5"/>
  <c r="M186" i="5"/>
  <c r="N186" i="5"/>
  <c r="O186" i="5"/>
  <c r="P186" i="5"/>
  <c r="Q186" i="5"/>
  <c r="R186" i="5"/>
  <c r="S186" i="5"/>
  <c r="T186" i="5"/>
  <c r="U186" i="5"/>
  <c r="V186" i="5"/>
  <c r="W186" i="5"/>
  <c r="X186" i="5"/>
  <c r="AN186" i="5"/>
  <c r="Y186" i="5"/>
  <c r="Z186" i="5"/>
  <c r="AA186" i="5"/>
  <c r="AB186" i="5"/>
  <c r="AC186" i="5"/>
  <c r="AD186" i="5"/>
  <c r="AE186" i="5"/>
  <c r="AF186" i="5"/>
  <c r="AG186" i="5"/>
  <c r="AI186" i="5"/>
  <c r="AK186" i="5"/>
  <c r="AO186" i="5"/>
  <c r="AS186" i="5"/>
  <c r="AU186" i="5"/>
  <c r="AW186" i="5"/>
  <c r="AY186" i="5"/>
  <c r="BC186" i="5"/>
  <c r="BG186" i="5"/>
  <c r="BI186" i="5"/>
  <c r="BK186" i="5"/>
  <c r="BD186" i="5"/>
  <c r="BL186" i="5"/>
  <c r="BM186" i="5"/>
  <c r="BN186" i="5"/>
  <c r="BO186" i="5"/>
  <c r="BP186" i="5"/>
  <c r="BQ186" i="5"/>
  <c r="BR186" i="5"/>
  <c r="BS186" i="5"/>
  <c r="BT186" i="5"/>
  <c r="BU186" i="5"/>
  <c r="BV186" i="5"/>
  <c r="BW186" i="5"/>
  <c r="BX186" i="5"/>
  <c r="BY186" i="5"/>
  <c r="BZ186" i="5"/>
  <c r="CA186" i="5"/>
  <c r="CB186" i="5"/>
  <c r="CC186" i="5"/>
  <c r="CD186" i="5"/>
  <c r="CE186" i="5"/>
  <c r="CF186" i="5"/>
  <c r="CG186" i="5"/>
  <c r="CP185" i="5"/>
  <c r="CN185" i="5"/>
  <c r="CO185" i="5"/>
  <c r="CL185" i="5"/>
  <c r="CM185" i="5"/>
  <c r="B185" i="5"/>
  <c r="C185" i="5"/>
  <c r="D185" i="5"/>
  <c r="E185" i="5"/>
  <c r="F185" i="5"/>
  <c r="G185" i="5"/>
  <c r="H185" i="5"/>
  <c r="I185" i="5"/>
  <c r="J185" i="5"/>
  <c r="K185" i="5"/>
  <c r="L185" i="5"/>
  <c r="M185" i="5"/>
  <c r="N185" i="5"/>
  <c r="O185" i="5"/>
  <c r="P185" i="5"/>
  <c r="Q185" i="5"/>
  <c r="R185" i="5"/>
  <c r="S185" i="5"/>
  <c r="T185" i="5"/>
  <c r="U185" i="5"/>
  <c r="V185" i="5"/>
  <c r="W185" i="5"/>
  <c r="X185" i="5"/>
  <c r="AN185" i="5"/>
  <c r="Y185" i="5"/>
  <c r="Z185" i="5"/>
  <c r="AA185" i="5"/>
  <c r="AB185" i="5"/>
  <c r="AC185" i="5"/>
  <c r="AD185" i="5"/>
  <c r="AE185" i="5"/>
  <c r="AF185" i="5"/>
  <c r="AG185" i="5"/>
  <c r="AI185" i="5"/>
  <c r="AK185" i="5"/>
  <c r="AO185" i="5"/>
  <c r="AS185" i="5"/>
  <c r="AU185" i="5"/>
  <c r="AW185" i="5"/>
  <c r="AY185" i="5"/>
  <c r="BC185" i="5"/>
  <c r="BG185" i="5"/>
  <c r="BI185" i="5"/>
  <c r="BK185" i="5"/>
  <c r="BD185" i="5"/>
  <c r="BL185" i="5"/>
  <c r="BM185" i="5"/>
  <c r="BN185" i="5"/>
  <c r="BO185" i="5"/>
  <c r="BP185" i="5"/>
  <c r="BQ185" i="5"/>
  <c r="BR185" i="5"/>
  <c r="BS185" i="5"/>
  <c r="BT185" i="5"/>
  <c r="BU185" i="5"/>
  <c r="BV185" i="5"/>
  <c r="BW185" i="5"/>
  <c r="BX185" i="5"/>
  <c r="BY185" i="5"/>
  <c r="BZ185" i="5"/>
  <c r="CA185" i="5"/>
  <c r="CB185" i="5"/>
  <c r="CC185" i="5"/>
  <c r="CD185" i="5"/>
  <c r="CE185" i="5"/>
  <c r="CF185" i="5"/>
  <c r="CG185" i="5"/>
  <c r="CP184" i="5"/>
  <c r="CN184" i="5"/>
  <c r="CO184" i="5"/>
  <c r="CL184" i="5"/>
  <c r="CM184" i="5"/>
  <c r="B184" i="5"/>
  <c r="C184" i="5"/>
  <c r="D184" i="5"/>
  <c r="E184" i="5"/>
  <c r="F184" i="5"/>
  <c r="G184" i="5"/>
  <c r="H184" i="5"/>
  <c r="I184" i="5"/>
  <c r="J184" i="5"/>
  <c r="K184" i="5"/>
  <c r="L184" i="5"/>
  <c r="M184" i="5"/>
  <c r="N184" i="5"/>
  <c r="O184" i="5"/>
  <c r="P184" i="5"/>
  <c r="Q184" i="5"/>
  <c r="R184" i="5"/>
  <c r="S184" i="5"/>
  <c r="T184" i="5"/>
  <c r="U184" i="5"/>
  <c r="V184" i="5"/>
  <c r="W184" i="5"/>
  <c r="X184" i="5"/>
  <c r="AN184" i="5"/>
  <c r="Y184" i="5"/>
  <c r="Z184" i="5"/>
  <c r="AA184" i="5"/>
  <c r="AB184" i="5"/>
  <c r="AC184" i="5"/>
  <c r="AD184" i="5"/>
  <c r="AE184" i="5"/>
  <c r="AF184" i="5"/>
  <c r="AG184" i="5"/>
  <c r="AI184" i="5"/>
  <c r="AK184" i="5"/>
  <c r="AO184" i="5"/>
  <c r="AS184" i="5"/>
  <c r="AU184" i="5"/>
  <c r="AW184" i="5"/>
  <c r="AY184" i="5"/>
  <c r="BC184" i="5"/>
  <c r="BG184" i="5"/>
  <c r="BI184" i="5"/>
  <c r="BK184" i="5"/>
  <c r="BD184" i="5"/>
  <c r="BL184" i="5"/>
  <c r="BM184" i="5"/>
  <c r="BN184" i="5"/>
  <c r="BO184" i="5"/>
  <c r="BP184" i="5"/>
  <c r="BQ184" i="5"/>
  <c r="BR184" i="5"/>
  <c r="BS184" i="5"/>
  <c r="BT184" i="5"/>
  <c r="BU184" i="5"/>
  <c r="BV184" i="5"/>
  <c r="BW184" i="5"/>
  <c r="BX184" i="5"/>
  <c r="BY184" i="5"/>
  <c r="BZ184" i="5"/>
  <c r="CA184" i="5"/>
  <c r="CB184" i="5"/>
  <c r="CC184" i="5"/>
  <c r="CD184" i="5"/>
  <c r="CE184" i="5"/>
  <c r="CF184" i="5"/>
  <c r="CG184" i="5"/>
  <c r="CP183" i="5"/>
  <c r="CN183" i="5"/>
  <c r="CO183" i="5"/>
  <c r="CL183" i="5"/>
  <c r="CM183" i="5"/>
  <c r="B183" i="5"/>
  <c r="C183" i="5"/>
  <c r="D183" i="5"/>
  <c r="E183" i="5"/>
  <c r="F183" i="5"/>
  <c r="G183" i="5"/>
  <c r="H183" i="5"/>
  <c r="I183" i="5"/>
  <c r="J183" i="5"/>
  <c r="K183" i="5"/>
  <c r="L183" i="5"/>
  <c r="M183" i="5"/>
  <c r="N183" i="5"/>
  <c r="O183" i="5"/>
  <c r="P183" i="5"/>
  <c r="Q183" i="5"/>
  <c r="R183" i="5"/>
  <c r="S183" i="5"/>
  <c r="T183" i="5"/>
  <c r="U183" i="5"/>
  <c r="V183" i="5"/>
  <c r="W183" i="5"/>
  <c r="X183" i="5"/>
  <c r="AN183" i="5"/>
  <c r="Y183" i="5"/>
  <c r="Z183" i="5"/>
  <c r="AA183" i="5"/>
  <c r="AB183" i="5"/>
  <c r="AC183" i="5"/>
  <c r="AD183" i="5"/>
  <c r="AE183" i="5"/>
  <c r="AF183" i="5"/>
  <c r="AG183" i="5"/>
  <c r="AI183" i="5"/>
  <c r="AK183" i="5"/>
  <c r="AO183" i="5"/>
  <c r="AS183" i="5"/>
  <c r="AU183" i="5"/>
  <c r="AW183" i="5"/>
  <c r="AY183" i="5"/>
  <c r="BC183" i="5"/>
  <c r="BG183" i="5"/>
  <c r="BI183" i="5"/>
  <c r="BK183" i="5"/>
  <c r="BD183" i="5"/>
  <c r="BL183" i="5"/>
  <c r="BM183" i="5"/>
  <c r="BN183" i="5"/>
  <c r="BO183" i="5"/>
  <c r="BP183" i="5"/>
  <c r="BQ183" i="5"/>
  <c r="BR183" i="5"/>
  <c r="BS183" i="5"/>
  <c r="BT183" i="5"/>
  <c r="BU183" i="5"/>
  <c r="BV183" i="5"/>
  <c r="BW183" i="5"/>
  <c r="BX183" i="5"/>
  <c r="BY183" i="5"/>
  <c r="BZ183" i="5"/>
  <c r="CA183" i="5"/>
  <c r="CB183" i="5"/>
  <c r="CC183" i="5"/>
  <c r="CD183" i="5"/>
  <c r="CE183" i="5"/>
  <c r="CF183" i="5"/>
  <c r="CG183" i="5"/>
  <c r="CP182" i="5"/>
  <c r="CN182" i="5"/>
  <c r="CO182" i="5"/>
  <c r="CL182" i="5"/>
  <c r="CM182" i="5"/>
  <c r="B182" i="5"/>
  <c r="C182" i="5"/>
  <c r="D182" i="5"/>
  <c r="E182" i="5"/>
  <c r="F182" i="5"/>
  <c r="G182" i="5"/>
  <c r="H182" i="5"/>
  <c r="I182" i="5"/>
  <c r="J182" i="5"/>
  <c r="K182" i="5"/>
  <c r="L182" i="5"/>
  <c r="M182" i="5"/>
  <c r="N182" i="5"/>
  <c r="O182" i="5"/>
  <c r="P182" i="5"/>
  <c r="Q182" i="5"/>
  <c r="R182" i="5"/>
  <c r="S182" i="5"/>
  <c r="T182" i="5"/>
  <c r="U182" i="5"/>
  <c r="V182" i="5"/>
  <c r="W182" i="5"/>
  <c r="X182" i="5"/>
  <c r="AN182" i="5"/>
  <c r="Y182" i="5"/>
  <c r="Z182" i="5"/>
  <c r="AA182" i="5"/>
  <c r="AB182" i="5"/>
  <c r="AC182" i="5"/>
  <c r="AD182" i="5"/>
  <c r="AE182" i="5"/>
  <c r="AF182" i="5"/>
  <c r="AG182" i="5"/>
  <c r="AI182" i="5"/>
  <c r="AK182" i="5"/>
  <c r="AO182" i="5"/>
  <c r="AS182" i="5"/>
  <c r="AU182" i="5"/>
  <c r="AW182" i="5"/>
  <c r="AY182" i="5"/>
  <c r="BC182" i="5"/>
  <c r="BG182" i="5"/>
  <c r="BI182" i="5"/>
  <c r="BK182" i="5"/>
  <c r="BD182" i="5"/>
  <c r="BL182" i="5"/>
  <c r="BM182" i="5"/>
  <c r="BN182" i="5"/>
  <c r="BO182" i="5"/>
  <c r="BP182" i="5"/>
  <c r="BQ182" i="5"/>
  <c r="BR182" i="5"/>
  <c r="BS182" i="5"/>
  <c r="BT182" i="5"/>
  <c r="BU182" i="5"/>
  <c r="BV182" i="5"/>
  <c r="BW182" i="5"/>
  <c r="BX182" i="5"/>
  <c r="BY182" i="5"/>
  <c r="BZ182" i="5"/>
  <c r="CA182" i="5"/>
  <c r="CB182" i="5"/>
  <c r="CC182" i="5"/>
  <c r="CD182" i="5"/>
  <c r="CE182" i="5"/>
  <c r="CF182" i="5"/>
  <c r="CG182" i="5"/>
  <c r="CP181" i="5"/>
  <c r="CN181" i="5"/>
  <c r="CO181" i="5"/>
  <c r="CL181" i="5"/>
  <c r="CM181" i="5"/>
  <c r="B181" i="5"/>
  <c r="C181" i="5"/>
  <c r="D181" i="5"/>
  <c r="E181" i="5"/>
  <c r="F181" i="5"/>
  <c r="G181" i="5"/>
  <c r="H181" i="5"/>
  <c r="I181" i="5"/>
  <c r="J181" i="5"/>
  <c r="K181" i="5"/>
  <c r="L181" i="5"/>
  <c r="M181" i="5"/>
  <c r="N181" i="5"/>
  <c r="O181" i="5"/>
  <c r="P181" i="5"/>
  <c r="Q181" i="5"/>
  <c r="R181" i="5"/>
  <c r="S181" i="5"/>
  <c r="T181" i="5"/>
  <c r="U181" i="5"/>
  <c r="V181" i="5"/>
  <c r="W181" i="5"/>
  <c r="X181" i="5"/>
  <c r="AN181" i="5"/>
  <c r="Y181" i="5"/>
  <c r="Z181" i="5"/>
  <c r="AA181" i="5"/>
  <c r="AB181" i="5"/>
  <c r="AC181" i="5"/>
  <c r="AD181" i="5"/>
  <c r="AE181" i="5"/>
  <c r="AF181" i="5"/>
  <c r="AG181" i="5"/>
  <c r="AI181" i="5"/>
  <c r="AK181" i="5"/>
  <c r="AO181" i="5"/>
  <c r="AS181" i="5"/>
  <c r="AU181" i="5"/>
  <c r="AW181" i="5"/>
  <c r="AY181" i="5"/>
  <c r="BC181" i="5"/>
  <c r="BG181" i="5"/>
  <c r="BI181" i="5"/>
  <c r="BK181" i="5"/>
  <c r="BD181" i="5"/>
  <c r="BL181" i="5"/>
  <c r="BM181" i="5"/>
  <c r="BN181" i="5"/>
  <c r="BO181" i="5"/>
  <c r="BP181" i="5"/>
  <c r="BQ181" i="5"/>
  <c r="BR181" i="5"/>
  <c r="BS181" i="5"/>
  <c r="BT181" i="5"/>
  <c r="BU181" i="5"/>
  <c r="BV181" i="5"/>
  <c r="BW181" i="5"/>
  <c r="BX181" i="5"/>
  <c r="BY181" i="5"/>
  <c r="BZ181" i="5"/>
  <c r="CA181" i="5"/>
  <c r="CB181" i="5"/>
  <c r="CC181" i="5"/>
  <c r="CD181" i="5"/>
  <c r="CE181" i="5"/>
  <c r="CF181" i="5"/>
  <c r="CG181" i="5"/>
  <c r="CP180" i="5"/>
  <c r="CN180" i="5"/>
  <c r="CO180" i="5"/>
  <c r="CL180" i="5"/>
  <c r="CM180" i="5"/>
  <c r="B180" i="5"/>
  <c r="C180" i="5"/>
  <c r="D180" i="5"/>
  <c r="E180" i="5"/>
  <c r="F180" i="5"/>
  <c r="G180" i="5"/>
  <c r="H180" i="5"/>
  <c r="I180" i="5"/>
  <c r="J180" i="5"/>
  <c r="K180" i="5"/>
  <c r="L180" i="5"/>
  <c r="M180" i="5"/>
  <c r="N180" i="5"/>
  <c r="O180" i="5"/>
  <c r="P180" i="5"/>
  <c r="Q180" i="5"/>
  <c r="R180" i="5"/>
  <c r="S180" i="5"/>
  <c r="T180" i="5"/>
  <c r="U180" i="5"/>
  <c r="V180" i="5"/>
  <c r="W180" i="5"/>
  <c r="X180" i="5"/>
  <c r="AN180" i="5"/>
  <c r="Y180" i="5"/>
  <c r="Z180" i="5"/>
  <c r="AA180" i="5"/>
  <c r="AB180" i="5"/>
  <c r="AC180" i="5"/>
  <c r="AD180" i="5"/>
  <c r="AE180" i="5"/>
  <c r="AF180" i="5"/>
  <c r="AG180" i="5"/>
  <c r="AI180" i="5"/>
  <c r="AK180" i="5"/>
  <c r="AO180" i="5"/>
  <c r="AS180" i="5"/>
  <c r="AU180" i="5"/>
  <c r="AW180" i="5"/>
  <c r="AY180" i="5"/>
  <c r="BC180" i="5"/>
  <c r="BG180" i="5"/>
  <c r="BI180" i="5"/>
  <c r="BK180" i="5"/>
  <c r="BD180" i="5"/>
  <c r="BL180" i="5"/>
  <c r="BM180" i="5"/>
  <c r="BN180" i="5"/>
  <c r="BO180" i="5"/>
  <c r="BP180" i="5"/>
  <c r="BQ180" i="5"/>
  <c r="BR180" i="5"/>
  <c r="BS180" i="5"/>
  <c r="BT180" i="5"/>
  <c r="BU180" i="5"/>
  <c r="BV180" i="5"/>
  <c r="BW180" i="5"/>
  <c r="BX180" i="5"/>
  <c r="BY180" i="5"/>
  <c r="BZ180" i="5"/>
  <c r="CA180" i="5"/>
  <c r="CB180" i="5"/>
  <c r="CC180" i="5"/>
  <c r="CD180" i="5"/>
  <c r="CE180" i="5"/>
  <c r="CF180" i="5"/>
  <c r="CG180" i="5"/>
  <c r="CP179" i="5"/>
  <c r="CN179" i="5"/>
  <c r="CO179" i="5"/>
  <c r="CL179" i="5"/>
  <c r="CM179" i="5"/>
  <c r="B179" i="5"/>
  <c r="C179" i="5"/>
  <c r="D179" i="5"/>
  <c r="E179" i="5"/>
  <c r="F179" i="5"/>
  <c r="G179" i="5"/>
  <c r="H179" i="5"/>
  <c r="I179" i="5"/>
  <c r="J179" i="5"/>
  <c r="K179" i="5"/>
  <c r="L179" i="5"/>
  <c r="M179" i="5"/>
  <c r="N179" i="5"/>
  <c r="O179" i="5"/>
  <c r="P179" i="5"/>
  <c r="Q179" i="5"/>
  <c r="R179" i="5"/>
  <c r="S179" i="5"/>
  <c r="T179" i="5"/>
  <c r="U179" i="5"/>
  <c r="V179" i="5"/>
  <c r="W179" i="5"/>
  <c r="X179" i="5"/>
  <c r="AN179" i="5"/>
  <c r="Y179" i="5"/>
  <c r="Z179" i="5"/>
  <c r="AA179" i="5"/>
  <c r="AB179" i="5"/>
  <c r="AC179" i="5"/>
  <c r="AD179" i="5"/>
  <c r="AE179" i="5"/>
  <c r="AF179" i="5"/>
  <c r="AG179" i="5"/>
  <c r="AI179" i="5"/>
  <c r="AK179" i="5"/>
  <c r="AO179" i="5"/>
  <c r="AS179" i="5"/>
  <c r="AU179" i="5"/>
  <c r="AW179" i="5"/>
  <c r="AY179" i="5"/>
  <c r="BC179" i="5"/>
  <c r="BG179" i="5"/>
  <c r="BI179" i="5"/>
  <c r="BK179" i="5"/>
  <c r="BD179" i="5"/>
  <c r="BL179" i="5"/>
  <c r="BM179" i="5"/>
  <c r="BN179" i="5"/>
  <c r="BO179" i="5"/>
  <c r="BP179" i="5"/>
  <c r="BQ179" i="5"/>
  <c r="BR179" i="5"/>
  <c r="BS179" i="5"/>
  <c r="BT179" i="5"/>
  <c r="BU179" i="5"/>
  <c r="BV179" i="5"/>
  <c r="BW179" i="5"/>
  <c r="BX179" i="5"/>
  <c r="BY179" i="5"/>
  <c r="BZ179" i="5"/>
  <c r="CA179" i="5"/>
  <c r="CB179" i="5"/>
  <c r="CC179" i="5"/>
  <c r="CD179" i="5"/>
  <c r="CE179" i="5"/>
  <c r="CF179" i="5"/>
  <c r="CG179" i="5"/>
  <c r="CP178" i="5"/>
  <c r="CN178" i="5"/>
  <c r="CO178" i="5"/>
  <c r="CL178" i="5"/>
  <c r="CM178" i="5"/>
  <c r="B178" i="5"/>
  <c r="C178" i="5"/>
  <c r="D178" i="5"/>
  <c r="E178" i="5"/>
  <c r="F178" i="5"/>
  <c r="G178" i="5"/>
  <c r="H178" i="5"/>
  <c r="I178" i="5"/>
  <c r="J178" i="5"/>
  <c r="K178" i="5"/>
  <c r="L178" i="5"/>
  <c r="M178" i="5"/>
  <c r="N178" i="5"/>
  <c r="O178" i="5"/>
  <c r="P178" i="5"/>
  <c r="Q178" i="5"/>
  <c r="R178" i="5"/>
  <c r="S178" i="5"/>
  <c r="T178" i="5"/>
  <c r="U178" i="5"/>
  <c r="V178" i="5"/>
  <c r="W178" i="5"/>
  <c r="X178" i="5"/>
  <c r="AN178" i="5"/>
  <c r="Y178" i="5"/>
  <c r="Z178" i="5"/>
  <c r="AA178" i="5"/>
  <c r="AB178" i="5"/>
  <c r="AC178" i="5"/>
  <c r="AD178" i="5"/>
  <c r="AE178" i="5"/>
  <c r="AF178" i="5"/>
  <c r="AG178" i="5"/>
  <c r="AI178" i="5"/>
  <c r="AK178" i="5"/>
  <c r="AO178" i="5"/>
  <c r="AS178" i="5"/>
  <c r="AU178" i="5"/>
  <c r="AW178" i="5"/>
  <c r="AY178" i="5"/>
  <c r="BC178" i="5"/>
  <c r="BG178" i="5"/>
  <c r="BI178" i="5"/>
  <c r="BK178" i="5"/>
  <c r="BD178" i="5"/>
  <c r="BL178" i="5"/>
  <c r="BM178" i="5"/>
  <c r="BN178" i="5"/>
  <c r="BO178" i="5"/>
  <c r="BP178" i="5"/>
  <c r="BQ178" i="5"/>
  <c r="BR178" i="5"/>
  <c r="BS178" i="5"/>
  <c r="BT178" i="5"/>
  <c r="BU178" i="5"/>
  <c r="BV178" i="5"/>
  <c r="BW178" i="5"/>
  <c r="BX178" i="5"/>
  <c r="BY178" i="5"/>
  <c r="BZ178" i="5"/>
  <c r="CA178" i="5"/>
  <c r="CB178" i="5"/>
  <c r="CC178" i="5"/>
  <c r="CD178" i="5"/>
  <c r="CE178" i="5"/>
  <c r="CF178" i="5"/>
  <c r="CG178" i="5"/>
  <c r="CP177" i="5"/>
  <c r="CN177" i="5"/>
  <c r="CO177" i="5"/>
  <c r="CL177" i="5"/>
  <c r="CM177" i="5"/>
  <c r="B177" i="5"/>
  <c r="C177" i="5"/>
  <c r="D177" i="5"/>
  <c r="E177" i="5"/>
  <c r="F177" i="5"/>
  <c r="G177" i="5"/>
  <c r="H177" i="5"/>
  <c r="I177" i="5"/>
  <c r="J177" i="5"/>
  <c r="K177" i="5"/>
  <c r="L177" i="5"/>
  <c r="M177" i="5"/>
  <c r="N177" i="5"/>
  <c r="O177" i="5"/>
  <c r="P177" i="5"/>
  <c r="Q177" i="5"/>
  <c r="R177" i="5"/>
  <c r="S177" i="5"/>
  <c r="T177" i="5"/>
  <c r="U177" i="5"/>
  <c r="V177" i="5"/>
  <c r="W177" i="5"/>
  <c r="X177" i="5"/>
  <c r="AN177" i="5"/>
  <c r="Y177" i="5"/>
  <c r="Z177" i="5"/>
  <c r="AA177" i="5"/>
  <c r="AB177" i="5"/>
  <c r="AC177" i="5"/>
  <c r="AD177" i="5"/>
  <c r="AE177" i="5"/>
  <c r="AF177" i="5"/>
  <c r="AG177" i="5"/>
  <c r="AI177" i="5"/>
  <c r="AK177" i="5"/>
  <c r="AO177" i="5"/>
  <c r="AS177" i="5"/>
  <c r="AU177" i="5"/>
  <c r="AW177" i="5"/>
  <c r="AY177" i="5"/>
  <c r="BC177" i="5"/>
  <c r="BG177" i="5"/>
  <c r="BI177" i="5"/>
  <c r="BK177" i="5"/>
  <c r="BD177" i="5"/>
  <c r="BL177" i="5"/>
  <c r="BM177" i="5"/>
  <c r="BN177" i="5"/>
  <c r="BO177" i="5"/>
  <c r="BP177" i="5"/>
  <c r="BQ177" i="5"/>
  <c r="BR177" i="5"/>
  <c r="BS177" i="5"/>
  <c r="BT177" i="5"/>
  <c r="BU177" i="5"/>
  <c r="BV177" i="5"/>
  <c r="BW177" i="5"/>
  <c r="BX177" i="5"/>
  <c r="BY177" i="5"/>
  <c r="BZ177" i="5"/>
  <c r="CA177" i="5"/>
  <c r="CB177" i="5"/>
  <c r="CC177" i="5"/>
  <c r="CD177" i="5"/>
  <c r="CE177" i="5"/>
  <c r="CF177" i="5"/>
  <c r="CG177" i="5"/>
  <c r="CP176" i="5"/>
  <c r="CN176" i="5"/>
  <c r="CO176" i="5"/>
  <c r="CL176" i="5"/>
  <c r="CM176" i="5"/>
  <c r="B176" i="5"/>
  <c r="C176" i="5"/>
  <c r="D176" i="5"/>
  <c r="E176" i="5"/>
  <c r="F176" i="5"/>
  <c r="G176" i="5"/>
  <c r="H176" i="5"/>
  <c r="I176" i="5"/>
  <c r="J176" i="5"/>
  <c r="K176" i="5"/>
  <c r="L176" i="5"/>
  <c r="M176" i="5"/>
  <c r="N176" i="5"/>
  <c r="O176" i="5"/>
  <c r="P176" i="5"/>
  <c r="Q176" i="5"/>
  <c r="R176" i="5"/>
  <c r="S176" i="5"/>
  <c r="T176" i="5"/>
  <c r="U176" i="5"/>
  <c r="V176" i="5"/>
  <c r="W176" i="5"/>
  <c r="X176" i="5"/>
  <c r="AN176" i="5"/>
  <c r="Y176" i="5"/>
  <c r="Z176" i="5"/>
  <c r="AA176" i="5"/>
  <c r="AB176" i="5"/>
  <c r="AC176" i="5"/>
  <c r="AD176" i="5"/>
  <c r="AE176" i="5"/>
  <c r="AF176" i="5"/>
  <c r="AG176" i="5"/>
  <c r="AI176" i="5"/>
  <c r="AK176" i="5"/>
  <c r="AO176" i="5"/>
  <c r="AS176" i="5"/>
  <c r="AU176" i="5"/>
  <c r="AW176" i="5"/>
  <c r="AY176" i="5"/>
  <c r="BC176" i="5"/>
  <c r="BG176" i="5"/>
  <c r="BI176" i="5"/>
  <c r="BK176" i="5"/>
  <c r="BD176" i="5"/>
  <c r="BL176" i="5"/>
  <c r="BM176" i="5"/>
  <c r="BN176" i="5"/>
  <c r="BO176" i="5"/>
  <c r="BP176" i="5"/>
  <c r="BQ176" i="5"/>
  <c r="BR176" i="5"/>
  <c r="BS176" i="5"/>
  <c r="BT176" i="5"/>
  <c r="BU176" i="5"/>
  <c r="BV176" i="5"/>
  <c r="BW176" i="5"/>
  <c r="BX176" i="5"/>
  <c r="BY176" i="5"/>
  <c r="BZ176" i="5"/>
  <c r="CA176" i="5"/>
  <c r="CB176" i="5"/>
  <c r="CC176" i="5"/>
  <c r="CD176" i="5"/>
  <c r="CE176" i="5"/>
  <c r="CF176" i="5"/>
  <c r="CG176" i="5"/>
  <c r="CP175" i="5"/>
  <c r="CN175" i="5"/>
  <c r="CO175" i="5"/>
  <c r="CL175" i="5"/>
  <c r="CM175" i="5"/>
  <c r="B175" i="5"/>
  <c r="C175" i="5"/>
  <c r="D175" i="5"/>
  <c r="E175" i="5"/>
  <c r="F175" i="5"/>
  <c r="G175" i="5"/>
  <c r="H175" i="5"/>
  <c r="I175" i="5"/>
  <c r="J175" i="5"/>
  <c r="K175" i="5"/>
  <c r="L175" i="5"/>
  <c r="M175" i="5"/>
  <c r="N175" i="5"/>
  <c r="O175" i="5"/>
  <c r="P175" i="5"/>
  <c r="Q175" i="5"/>
  <c r="R175" i="5"/>
  <c r="S175" i="5"/>
  <c r="T175" i="5"/>
  <c r="U175" i="5"/>
  <c r="V175" i="5"/>
  <c r="W175" i="5"/>
  <c r="X175" i="5"/>
  <c r="AN175" i="5"/>
  <c r="Y175" i="5"/>
  <c r="Z175" i="5"/>
  <c r="AA175" i="5"/>
  <c r="AB175" i="5"/>
  <c r="AC175" i="5"/>
  <c r="AD175" i="5"/>
  <c r="AE175" i="5"/>
  <c r="AF175" i="5"/>
  <c r="AG175" i="5"/>
  <c r="AI175" i="5"/>
  <c r="AK175" i="5"/>
  <c r="AO175" i="5"/>
  <c r="AS175" i="5"/>
  <c r="AU175" i="5"/>
  <c r="AW175" i="5"/>
  <c r="AY175" i="5"/>
  <c r="BC175" i="5"/>
  <c r="BG175" i="5"/>
  <c r="BI175" i="5"/>
  <c r="BK175" i="5"/>
  <c r="BD175" i="5"/>
  <c r="BL175" i="5"/>
  <c r="BM175" i="5"/>
  <c r="BN175" i="5"/>
  <c r="BO175" i="5"/>
  <c r="BP175" i="5"/>
  <c r="BQ175" i="5"/>
  <c r="BR175" i="5"/>
  <c r="BS175" i="5"/>
  <c r="BT175" i="5"/>
  <c r="BU175" i="5"/>
  <c r="BV175" i="5"/>
  <c r="BW175" i="5"/>
  <c r="BX175" i="5"/>
  <c r="BY175" i="5"/>
  <c r="BZ175" i="5"/>
  <c r="CA175" i="5"/>
  <c r="CB175" i="5"/>
  <c r="CC175" i="5"/>
  <c r="CD175" i="5"/>
  <c r="CE175" i="5"/>
  <c r="CF175" i="5"/>
  <c r="CG175" i="5"/>
  <c r="CP174" i="5"/>
  <c r="CN174" i="5"/>
  <c r="CO174" i="5"/>
  <c r="CL174" i="5"/>
  <c r="CM174" i="5"/>
  <c r="B174" i="5"/>
  <c r="C174" i="5"/>
  <c r="D174" i="5"/>
  <c r="E174" i="5"/>
  <c r="F174" i="5"/>
  <c r="G174" i="5"/>
  <c r="H174" i="5"/>
  <c r="I174" i="5"/>
  <c r="J174" i="5"/>
  <c r="K174" i="5"/>
  <c r="L174" i="5"/>
  <c r="M174" i="5"/>
  <c r="N174" i="5"/>
  <c r="O174" i="5"/>
  <c r="P174" i="5"/>
  <c r="Q174" i="5"/>
  <c r="R174" i="5"/>
  <c r="S174" i="5"/>
  <c r="T174" i="5"/>
  <c r="U174" i="5"/>
  <c r="V174" i="5"/>
  <c r="W174" i="5"/>
  <c r="X174" i="5"/>
  <c r="AN174" i="5"/>
  <c r="Y174" i="5"/>
  <c r="Z174" i="5"/>
  <c r="AA174" i="5"/>
  <c r="AB174" i="5"/>
  <c r="AC174" i="5"/>
  <c r="AD174" i="5"/>
  <c r="AE174" i="5"/>
  <c r="AF174" i="5"/>
  <c r="AG174" i="5"/>
  <c r="AI174" i="5"/>
  <c r="AK174" i="5"/>
  <c r="AO174" i="5"/>
  <c r="AS174" i="5"/>
  <c r="AU174" i="5"/>
  <c r="AW174" i="5"/>
  <c r="AY174" i="5"/>
  <c r="BC174" i="5"/>
  <c r="BG174" i="5"/>
  <c r="BI174" i="5"/>
  <c r="BK174" i="5"/>
  <c r="BD174" i="5"/>
  <c r="BL174" i="5"/>
  <c r="BM174" i="5"/>
  <c r="BN174" i="5"/>
  <c r="BO174" i="5"/>
  <c r="BP174" i="5"/>
  <c r="BQ174" i="5"/>
  <c r="BR174" i="5"/>
  <c r="BS174" i="5"/>
  <c r="BT174" i="5"/>
  <c r="BU174" i="5"/>
  <c r="BV174" i="5"/>
  <c r="BW174" i="5"/>
  <c r="BX174" i="5"/>
  <c r="BY174" i="5"/>
  <c r="BZ174" i="5"/>
  <c r="CA174" i="5"/>
  <c r="CB174" i="5"/>
  <c r="CC174" i="5"/>
  <c r="CD174" i="5"/>
  <c r="CE174" i="5"/>
  <c r="CF174" i="5"/>
  <c r="CG174" i="5"/>
  <c r="CP173" i="5"/>
  <c r="CN173" i="5"/>
  <c r="CO173" i="5"/>
  <c r="CL173" i="5"/>
  <c r="CM173" i="5"/>
  <c r="B173" i="5"/>
  <c r="C173" i="5"/>
  <c r="D173" i="5"/>
  <c r="E173" i="5"/>
  <c r="F173" i="5"/>
  <c r="G173" i="5"/>
  <c r="H173" i="5"/>
  <c r="I173" i="5"/>
  <c r="J173" i="5"/>
  <c r="K173" i="5"/>
  <c r="L173" i="5"/>
  <c r="M173" i="5"/>
  <c r="N173" i="5"/>
  <c r="O173" i="5"/>
  <c r="P173" i="5"/>
  <c r="Q173" i="5"/>
  <c r="R173" i="5"/>
  <c r="S173" i="5"/>
  <c r="T173" i="5"/>
  <c r="U173" i="5"/>
  <c r="V173" i="5"/>
  <c r="W173" i="5"/>
  <c r="X173" i="5"/>
  <c r="AN173" i="5"/>
  <c r="Y173" i="5"/>
  <c r="Z173" i="5"/>
  <c r="AA173" i="5"/>
  <c r="AB173" i="5"/>
  <c r="AC173" i="5"/>
  <c r="AD173" i="5"/>
  <c r="AE173" i="5"/>
  <c r="AF173" i="5"/>
  <c r="AG173" i="5"/>
  <c r="AI173" i="5"/>
  <c r="AK173" i="5"/>
  <c r="AO173" i="5"/>
  <c r="AS173" i="5"/>
  <c r="AU173" i="5"/>
  <c r="AW173" i="5"/>
  <c r="AY173" i="5"/>
  <c r="BC173" i="5"/>
  <c r="BG173" i="5"/>
  <c r="BI173" i="5"/>
  <c r="BK173" i="5"/>
  <c r="BD173" i="5"/>
  <c r="BL173" i="5"/>
  <c r="BM173" i="5"/>
  <c r="BN173" i="5"/>
  <c r="BO173" i="5"/>
  <c r="BP173" i="5"/>
  <c r="BQ173" i="5"/>
  <c r="BR173" i="5"/>
  <c r="BS173" i="5"/>
  <c r="BT173" i="5"/>
  <c r="BU173" i="5"/>
  <c r="BV173" i="5"/>
  <c r="BW173" i="5"/>
  <c r="BX173" i="5"/>
  <c r="BY173" i="5"/>
  <c r="BZ173" i="5"/>
  <c r="CA173" i="5"/>
  <c r="CB173" i="5"/>
  <c r="CC173" i="5"/>
  <c r="CD173" i="5"/>
  <c r="CE173" i="5"/>
  <c r="CF173" i="5"/>
  <c r="CG173" i="5"/>
  <c r="CP172" i="5"/>
  <c r="CN172" i="5"/>
  <c r="CO172" i="5"/>
  <c r="CL172" i="5"/>
  <c r="CM172" i="5"/>
  <c r="B172" i="5"/>
  <c r="C172" i="5"/>
  <c r="D172" i="5"/>
  <c r="E172" i="5"/>
  <c r="F172" i="5"/>
  <c r="G172" i="5"/>
  <c r="H172" i="5"/>
  <c r="I172" i="5"/>
  <c r="J172" i="5"/>
  <c r="K172" i="5"/>
  <c r="L172" i="5"/>
  <c r="M172" i="5"/>
  <c r="N172" i="5"/>
  <c r="O172" i="5"/>
  <c r="P172" i="5"/>
  <c r="Q172" i="5"/>
  <c r="R172" i="5"/>
  <c r="S172" i="5"/>
  <c r="T172" i="5"/>
  <c r="U172" i="5"/>
  <c r="V172" i="5"/>
  <c r="W172" i="5"/>
  <c r="X172" i="5"/>
  <c r="AN172" i="5"/>
  <c r="Y172" i="5"/>
  <c r="Z172" i="5"/>
  <c r="AA172" i="5"/>
  <c r="AB172" i="5"/>
  <c r="AC172" i="5"/>
  <c r="AD172" i="5"/>
  <c r="AE172" i="5"/>
  <c r="AF172" i="5"/>
  <c r="AG172" i="5"/>
  <c r="AI172" i="5"/>
  <c r="AK172" i="5"/>
  <c r="AO172" i="5"/>
  <c r="AS172" i="5"/>
  <c r="AU172" i="5"/>
  <c r="AW172" i="5"/>
  <c r="AY172" i="5"/>
  <c r="BC172" i="5"/>
  <c r="BG172" i="5"/>
  <c r="BI172" i="5"/>
  <c r="BK172" i="5"/>
  <c r="BD172" i="5"/>
  <c r="BL172" i="5"/>
  <c r="BM172" i="5"/>
  <c r="BN172" i="5"/>
  <c r="BO172" i="5"/>
  <c r="BP172" i="5"/>
  <c r="BQ172" i="5"/>
  <c r="BR172" i="5"/>
  <c r="BS172" i="5"/>
  <c r="BT172" i="5"/>
  <c r="BU172" i="5"/>
  <c r="BV172" i="5"/>
  <c r="BW172" i="5"/>
  <c r="BX172" i="5"/>
  <c r="BY172" i="5"/>
  <c r="BZ172" i="5"/>
  <c r="CA172" i="5"/>
  <c r="CB172" i="5"/>
  <c r="CC172" i="5"/>
  <c r="CD172" i="5"/>
  <c r="CE172" i="5"/>
  <c r="CF172" i="5"/>
  <c r="CG172" i="5"/>
  <c r="CP171" i="5"/>
  <c r="CN171" i="5"/>
  <c r="CO171" i="5"/>
  <c r="CL171" i="5"/>
  <c r="CM171" i="5"/>
  <c r="B171" i="5"/>
  <c r="C171" i="5"/>
  <c r="D171" i="5"/>
  <c r="E171" i="5"/>
  <c r="F171" i="5"/>
  <c r="G171" i="5"/>
  <c r="H171" i="5"/>
  <c r="I171" i="5"/>
  <c r="J171" i="5"/>
  <c r="K171" i="5"/>
  <c r="L171" i="5"/>
  <c r="M171" i="5"/>
  <c r="N171" i="5"/>
  <c r="O171" i="5"/>
  <c r="P171" i="5"/>
  <c r="Q171" i="5"/>
  <c r="R171" i="5"/>
  <c r="S171" i="5"/>
  <c r="T171" i="5"/>
  <c r="U171" i="5"/>
  <c r="V171" i="5"/>
  <c r="W171" i="5"/>
  <c r="X171" i="5"/>
  <c r="AN171" i="5"/>
  <c r="Y171" i="5"/>
  <c r="Z171" i="5"/>
  <c r="AA171" i="5"/>
  <c r="AB171" i="5"/>
  <c r="AC171" i="5"/>
  <c r="AD171" i="5"/>
  <c r="AE171" i="5"/>
  <c r="AF171" i="5"/>
  <c r="AG171" i="5"/>
  <c r="AI171" i="5"/>
  <c r="AK171" i="5"/>
  <c r="AO171" i="5"/>
  <c r="AS171" i="5"/>
  <c r="AU171" i="5"/>
  <c r="AW171" i="5"/>
  <c r="AY171" i="5"/>
  <c r="BC171" i="5"/>
  <c r="BG171" i="5"/>
  <c r="BI171" i="5"/>
  <c r="BK171" i="5"/>
  <c r="BD171" i="5"/>
  <c r="BL171" i="5"/>
  <c r="BM171" i="5"/>
  <c r="BN171" i="5"/>
  <c r="BO171" i="5"/>
  <c r="BP171" i="5"/>
  <c r="BQ171" i="5"/>
  <c r="BR171" i="5"/>
  <c r="BS171" i="5"/>
  <c r="BT171" i="5"/>
  <c r="BU171" i="5"/>
  <c r="BV171" i="5"/>
  <c r="BW171" i="5"/>
  <c r="BX171" i="5"/>
  <c r="BY171" i="5"/>
  <c r="BZ171" i="5"/>
  <c r="CA171" i="5"/>
  <c r="CB171" i="5"/>
  <c r="CC171" i="5"/>
  <c r="CD171" i="5"/>
  <c r="CE171" i="5"/>
  <c r="CF171" i="5"/>
  <c r="CG171" i="5"/>
  <c r="CN169" i="5"/>
  <c r="B169" i="5"/>
  <c r="F169" i="5"/>
  <c r="J169" i="5"/>
  <c r="N169" i="5"/>
  <c r="R169" i="5"/>
  <c r="V169" i="5"/>
  <c r="Y169" i="5"/>
  <c r="AC169" i="5"/>
  <c r="AG169" i="5"/>
  <c r="AS169" i="5"/>
  <c r="BC169" i="5"/>
  <c r="BD169" i="5"/>
  <c r="BO169" i="5"/>
  <c r="BS169" i="5"/>
  <c r="BW169" i="5"/>
  <c r="CA169" i="5"/>
  <c r="CE169" i="5"/>
  <c r="CP84" i="5"/>
  <c r="CN84" i="5"/>
  <c r="CO84" i="5"/>
  <c r="CL84" i="5"/>
  <c r="CM84" i="5"/>
  <c r="B84" i="5"/>
  <c r="C84" i="5"/>
  <c r="D84" i="5"/>
  <c r="E84" i="5"/>
  <c r="F84" i="5"/>
  <c r="G84" i="5"/>
  <c r="H84" i="5"/>
  <c r="I84" i="5"/>
  <c r="J84" i="5"/>
  <c r="K84" i="5"/>
  <c r="L84" i="5"/>
  <c r="M84" i="5"/>
  <c r="N84" i="5"/>
  <c r="O84" i="5"/>
  <c r="P84" i="5"/>
  <c r="Q84" i="5"/>
  <c r="R84" i="5"/>
  <c r="S84" i="5"/>
  <c r="T84" i="5"/>
  <c r="U84" i="5"/>
  <c r="V84" i="5"/>
  <c r="W84" i="5"/>
  <c r="X84" i="5"/>
  <c r="AN84" i="5"/>
  <c r="Y84" i="5"/>
  <c r="Z84" i="5"/>
  <c r="AA84" i="5"/>
  <c r="AB84" i="5"/>
  <c r="AC84" i="5"/>
  <c r="AD84" i="5"/>
  <c r="AE84" i="5"/>
  <c r="AF84" i="5"/>
  <c r="AG84" i="5"/>
  <c r="AI84" i="5"/>
  <c r="AK84" i="5"/>
  <c r="AO84" i="5"/>
  <c r="AS84" i="5"/>
  <c r="AU84" i="5"/>
  <c r="AW84" i="5"/>
  <c r="AY84" i="5"/>
  <c r="BC84" i="5"/>
  <c r="BG84" i="5"/>
  <c r="BI84" i="5"/>
  <c r="BK84" i="5"/>
  <c r="BD84" i="5"/>
  <c r="BL84" i="5"/>
  <c r="BM84" i="5"/>
  <c r="BN84" i="5"/>
  <c r="BO84" i="5"/>
  <c r="BP84" i="5"/>
  <c r="BQ84" i="5"/>
  <c r="BR84" i="5"/>
  <c r="BS84" i="5"/>
  <c r="BT84" i="5"/>
  <c r="BU84" i="5"/>
  <c r="BV84" i="5"/>
  <c r="BW84" i="5"/>
  <c r="BX84" i="5"/>
  <c r="BY84" i="5"/>
  <c r="BZ84" i="5"/>
  <c r="CA84" i="5"/>
  <c r="CB84" i="5"/>
  <c r="CC84" i="5"/>
  <c r="CD84" i="5"/>
  <c r="CE84" i="5"/>
  <c r="CF84" i="5"/>
  <c r="CG84" i="5"/>
  <c r="CP81" i="5"/>
  <c r="CN81" i="5"/>
  <c r="CO81" i="5"/>
  <c r="CL81" i="5"/>
  <c r="CM81" i="5"/>
  <c r="B81" i="5"/>
  <c r="C81" i="5"/>
  <c r="D81" i="5"/>
  <c r="E81" i="5"/>
  <c r="F81" i="5"/>
  <c r="G81" i="5"/>
  <c r="H81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W81" i="5"/>
  <c r="X81" i="5"/>
  <c r="AN81" i="5"/>
  <c r="Y81" i="5"/>
  <c r="Z81" i="5"/>
  <c r="AA81" i="5"/>
  <c r="AB81" i="5"/>
  <c r="AC81" i="5"/>
  <c r="AD81" i="5"/>
  <c r="AE81" i="5"/>
  <c r="AF81" i="5"/>
  <c r="AG81" i="5"/>
  <c r="AI81" i="5"/>
  <c r="AK81" i="5"/>
  <c r="AO81" i="5"/>
  <c r="AS81" i="5"/>
  <c r="AU81" i="5"/>
  <c r="AW81" i="5"/>
  <c r="AY81" i="5"/>
  <c r="BC81" i="5"/>
  <c r="BG81" i="5"/>
  <c r="BI81" i="5"/>
  <c r="BK81" i="5"/>
  <c r="BD81" i="5"/>
  <c r="BL81" i="5"/>
  <c r="BM81" i="5"/>
  <c r="BN81" i="5"/>
  <c r="BO81" i="5"/>
  <c r="BP81" i="5"/>
  <c r="BQ81" i="5"/>
  <c r="BR81" i="5"/>
  <c r="BS81" i="5"/>
  <c r="BT81" i="5"/>
  <c r="BU81" i="5"/>
  <c r="BV81" i="5"/>
  <c r="BW81" i="5"/>
  <c r="BX81" i="5"/>
  <c r="BY81" i="5"/>
  <c r="BZ81" i="5"/>
  <c r="CA81" i="5"/>
  <c r="CB81" i="5"/>
  <c r="CC81" i="5"/>
  <c r="CD81" i="5"/>
  <c r="CE81" i="5"/>
  <c r="CF81" i="5"/>
  <c r="CG81" i="5"/>
  <c r="CP79" i="5"/>
  <c r="CN79" i="5"/>
  <c r="CO79" i="5"/>
  <c r="CL79" i="5"/>
  <c r="CM79" i="5"/>
  <c r="B79" i="5"/>
  <c r="C79" i="5"/>
  <c r="D79" i="5"/>
  <c r="E79" i="5"/>
  <c r="F79" i="5"/>
  <c r="G79" i="5"/>
  <c r="H79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W79" i="5"/>
  <c r="X79" i="5"/>
  <c r="AN79" i="5"/>
  <c r="Y79" i="5"/>
  <c r="Z79" i="5"/>
  <c r="AA79" i="5"/>
  <c r="AB79" i="5"/>
  <c r="AC79" i="5"/>
  <c r="AD79" i="5"/>
  <c r="AE79" i="5"/>
  <c r="AF79" i="5"/>
  <c r="AG79" i="5"/>
  <c r="AI79" i="5"/>
  <c r="AK79" i="5"/>
  <c r="AO79" i="5"/>
  <c r="AS79" i="5"/>
  <c r="AU79" i="5"/>
  <c r="AW79" i="5"/>
  <c r="AY79" i="5"/>
  <c r="BC79" i="5"/>
  <c r="BG79" i="5"/>
  <c r="BI79" i="5"/>
  <c r="BK79" i="5"/>
  <c r="BD79" i="5"/>
  <c r="BL79" i="5"/>
  <c r="BM79" i="5"/>
  <c r="BN79" i="5"/>
  <c r="BO79" i="5"/>
  <c r="BP79" i="5"/>
  <c r="BQ79" i="5"/>
  <c r="BR79" i="5"/>
  <c r="BS79" i="5"/>
  <c r="BT79" i="5"/>
  <c r="BU79" i="5"/>
  <c r="BV79" i="5"/>
  <c r="BW79" i="5"/>
  <c r="BX79" i="5"/>
  <c r="BY79" i="5"/>
  <c r="BZ79" i="5"/>
  <c r="CA79" i="5"/>
  <c r="CB79" i="5"/>
  <c r="CC79" i="5"/>
  <c r="CD79" i="5"/>
  <c r="CE79" i="5"/>
  <c r="CF79" i="5"/>
  <c r="CG79" i="5"/>
  <c r="CP78" i="5"/>
  <c r="CN78" i="5"/>
  <c r="CO78" i="5"/>
  <c r="CL78" i="5"/>
  <c r="CM78" i="5"/>
  <c r="B78" i="5"/>
  <c r="C78" i="5"/>
  <c r="D78" i="5"/>
  <c r="E78" i="5"/>
  <c r="F78" i="5"/>
  <c r="G78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W78" i="5"/>
  <c r="X78" i="5"/>
  <c r="AN78" i="5"/>
  <c r="Y78" i="5"/>
  <c r="Z78" i="5"/>
  <c r="AA78" i="5"/>
  <c r="AB78" i="5"/>
  <c r="AC78" i="5"/>
  <c r="AD78" i="5"/>
  <c r="AE78" i="5"/>
  <c r="AF78" i="5"/>
  <c r="AG78" i="5"/>
  <c r="AI78" i="5"/>
  <c r="AK78" i="5"/>
  <c r="AO78" i="5"/>
  <c r="AS78" i="5"/>
  <c r="AU78" i="5"/>
  <c r="AW78" i="5"/>
  <c r="AY78" i="5"/>
  <c r="BC78" i="5"/>
  <c r="BG78" i="5"/>
  <c r="BI78" i="5"/>
  <c r="BK78" i="5"/>
  <c r="BD78" i="5"/>
  <c r="BL78" i="5"/>
  <c r="BM78" i="5"/>
  <c r="BN78" i="5"/>
  <c r="BO78" i="5"/>
  <c r="BP78" i="5"/>
  <c r="BQ78" i="5"/>
  <c r="BR78" i="5"/>
  <c r="BS78" i="5"/>
  <c r="BT78" i="5"/>
  <c r="BU78" i="5"/>
  <c r="BV78" i="5"/>
  <c r="BW78" i="5"/>
  <c r="BX78" i="5"/>
  <c r="BY78" i="5"/>
  <c r="BZ78" i="5"/>
  <c r="CA78" i="5"/>
  <c r="CB78" i="5"/>
  <c r="CC78" i="5"/>
  <c r="CD78" i="5"/>
  <c r="CE78" i="5"/>
  <c r="CF78" i="5"/>
  <c r="CG78" i="5"/>
  <c r="CP77" i="5"/>
  <c r="CN77" i="5"/>
  <c r="CO77" i="5"/>
  <c r="CL77" i="5"/>
  <c r="CM77" i="5"/>
  <c r="B77" i="5"/>
  <c r="C77" i="5"/>
  <c r="D77" i="5"/>
  <c r="E77" i="5"/>
  <c r="F77" i="5"/>
  <c r="G77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W77" i="5"/>
  <c r="X77" i="5"/>
  <c r="AN77" i="5"/>
  <c r="Y77" i="5"/>
  <c r="Z77" i="5"/>
  <c r="AA77" i="5"/>
  <c r="AB77" i="5"/>
  <c r="AC77" i="5"/>
  <c r="AD77" i="5"/>
  <c r="AE77" i="5"/>
  <c r="AF77" i="5"/>
  <c r="AG77" i="5"/>
  <c r="AI77" i="5"/>
  <c r="AK77" i="5"/>
  <c r="AO77" i="5"/>
  <c r="AS77" i="5"/>
  <c r="AU77" i="5"/>
  <c r="AW77" i="5"/>
  <c r="AY77" i="5"/>
  <c r="BC77" i="5"/>
  <c r="BG77" i="5"/>
  <c r="BI77" i="5"/>
  <c r="BK77" i="5"/>
  <c r="BD77" i="5"/>
  <c r="BL77" i="5"/>
  <c r="BM77" i="5"/>
  <c r="BN77" i="5"/>
  <c r="BO77" i="5"/>
  <c r="BP77" i="5"/>
  <c r="BQ77" i="5"/>
  <c r="BR77" i="5"/>
  <c r="BS77" i="5"/>
  <c r="BT77" i="5"/>
  <c r="BU77" i="5"/>
  <c r="BV77" i="5"/>
  <c r="BW77" i="5"/>
  <c r="BX77" i="5"/>
  <c r="BY77" i="5"/>
  <c r="BZ77" i="5"/>
  <c r="CA77" i="5"/>
  <c r="CB77" i="5"/>
  <c r="CC77" i="5"/>
  <c r="CD77" i="5"/>
  <c r="CE77" i="5"/>
  <c r="CF77" i="5"/>
  <c r="CG77" i="5"/>
  <c r="CP76" i="5"/>
  <c r="CN76" i="5"/>
  <c r="CO76" i="5"/>
  <c r="CL76" i="5"/>
  <c r="CM76" i="5"/>
  <c r="B76" i="5"/>
  <c r="C76" i="5"/>
  <c r="D76" i="5"/>
  <c r="E76" i="5"/>
  <c r="F76" i="5"/>
  <c r="G76" i="5"/>
  <c r="H76" i="5"/>
  <c r="I76" i="5"/>
  <c r="J76" i="5"/>
  <c r="K76" i="5"/>
  <c r="L76" i="5"/>
  <c r="M76" i="5"/>
  <c r="N76" i="5"/>
  <c r="O76" i="5"/>
  <c r="P76" i="5"/>
  <c r="Q76" i="5"/>
  <c r="R76" i="5"/>
  <c r="S76" i="5"/>
  <c r="T76" i="5"/>
  <c r="U76" i="5"/>
  <c r="V76" i="5"/>
  <c r="W76" i="5"/>
  <c r="X76" i="5"/>
  <c r="AN76" i="5"/>
  <c r="Y76" i="5"/>
  <c r="Z76" i="5"/>
  <c r="AA76" i="5"/>
  <c r="AB76" i="5"/>
  <c r="AC76" i="5"/>
  <c r="AD76" i="5"/>
  <c r="AE76" i="5"/>
  <c r="AF76" i="5"/>
  <c r="AG76" i="5"/>
  <c r="AI76" i="5"/>
  <c r="AK76" i="5"/>
  <c r="AO76" i="5"/>
  <c r="AS76" i="5"/>
  <c r="AU76" i="5"/>
  <c r="AW76" i="5"/>
  <c r="AY76" i="5"/>
  <c r="BC76" i="5"/>
  <c r="BG76" i="5"/>
  <c r="BI76" i="5"/>
  <c r="BK76" i="5"/>
  <c r="BD76" i="5"/>
  <c r="BL76" i="5"/>
  <c r="BM76" i="5"/>
  <c r="BN76" i="5"/>
  <c r="BO76" i="5"/>
  <c r="BP76" i="5"/>
  <c r="BQ76" i="5"/>
  <c r="BR76" i="5"/>
  <c r="BS76" i="5"/>
  <c r="BT76" i="5"/>
  <c r="BU76" i="5"/>
  <c r="BV76" i="5"/>
  <c r="BW76" i="5"/>
  <c r="BX76" i="5"/>
  <c r="BY76" i="5"/>
  <c r="BZ76" i="5"/>
  <c r="CA76" i="5"/>
  <c r="CB76" i="5"/>
  <c r="CC76" i="5"/>
  <c r="CD76" i="5"/>
  <c r="CE76" i="5"/>
  <c r="CF76" i="5"/>
  <c r="CG76" i="5"/>
  <c r="CP74" i="5"/>
  <c r="CN74" i="5"/>
  <c r="CO74" i="5"/>
  <c r="CL74" i="5"/>
  <c r="CM74" i="5"/>
  <c r="B74" i="5"/>
  <c r="C74" i="5"/>
  <c r="D74" i="5"/>
  <c r="E74" i="5"/>
  <c r="F74" i="5"/>
  <c r="G74" i="5"/>
  <c r="H74" i="5"/>
  <c r="I74" i="5"/>
  <c r="J74" i="5"/>
  <c r="K74" i="5"/>
  <c r="L74" i="5"/>
  <c r="M74" i="5"/>
  <c r="N74" i="5"/>
  <c r="O74" i="5"/>
  <c r="P74" i="5"/>
  <c r="Q74" i="5"/>
  <c r="R74" i="5"/>
  <c r="S74" i="5"/>
  <c r="T74" i="5"/>
  <c r="U74" i="5"/>
  <c r="V74" i="5"/>
  <c r="W74" i="5"/>
  <c r="X74" i="5"/>
  <c r="AN74" i="5"/>
  <c r="Y74" i="5"/>
  <c r="Z74" i="5"/>
  <c r="AA74" i="5"/>
  <c r="AB74" i="5"/>
  <c r="AC74" i="5"/>
  <c r="AD74" i="5"/>
  <c r="AE74" i="5"/>
  <c r="AF74" i="5"/>
  <c r="AG74" i="5"/>
  <c r="AI74" i="5"/>
  <c r="AK74" i="5"/>
  <c r="AO74" i="5"/>
  <c r="AS74" i="5"/>
  <c r="AU74" i="5"/>
  <c r="AW74" i="5"/>
  <c r="AY74" i="5"/>
  <c r="BC74" i="5"/>
  <c r="BG74" i="5"/>
  <c r="BI74" i="5"/>
  <c r="BK74" i="5"/>
  <c r="BD74" i="5"/>
  <c r="BL74" i="5"/>
  <c r="BM74" i="5"/>
  <c r="BN74" i="5"/>
  <c r="BO74" i="5"/>
  <c r="BP74" i="5"/>
  <c r="BQ74" i="5"/>
  <c r="BR74" i="5"/>
  <c r="BS74" i="5"/>
  <c r="BT74" i="5"/>
  <c r="BU74" i="5"/>
  <c r="BV74" i="5"/>
  <c r="BW74" i="5"/>
  <c r="BX74" i="5"/>
  <c r="BY74" i="5"/>
  <c r="BZ74" i="5"/>
  <c r="CA74" i="5"/>
  <c r="CB74" i="5"/>
  <c r="CC74" i="5"/>
  <c r="CD74" i="5"/>
  <c r="CE74" i="5"/>
  <c r="CF74" i="5"/>
  <c r="CG74" i="5"/>
  <c r="CP73" i="5"/>
  <c r="CN73" i="5"/>
  <c r="CO73" i="5"/>
  <c r="CL73" i="5"/>
  <c r="CM73" i="5"/>
  <c r="B73" i="5"/>
  <c r="C73" i="5"/>
  <c r="D73" i="5"/>
  <c r="E73" i="5"/>
  <c r="F73" i="5"/>
  <c r="G73" i="5"/>
  <c r="H73" i="5"/>
  <c r="I73" i="5"/>
  <c r="J73" i="5"/>
  <c r="K73" i="5"/>
  <c r="L73" i="5"/>
  <c r="M73" i="5"/>
  <c r="N73" i="5"/>
  <c r="O73" i="5"/>
  <c r="P73" i="5"/>
  <c r="Q73" i="5"/>
  <c r="R73" i="5"/>
  <c r="S73" i="5"/>
  <c r="T73" i="5"/>
  <c r="U73" i="5"/>
  <c r="V73" i="5"/>
  <c r="W73" i="5"/>
  <c r="X73" i="5"/>
  <c r="AN73" i="5"/>
  <c r="Y73" i="5"/>
  <c r="Z73" i="5"/>
  <c r="AA73" i="5"/>
  <c r="AB73" i="5"/>
  <c r="AC73" i="5"/>
  <c r="AD73" i="5"/>
  <c r="AE73" i="5"/>
  <c r="AF73" i="5"/>
  <c r="AG73" i="5"/>
  <c r="AI73" i="5"/>
  <c r="AK73" i="5"/>
  <c r="AO73" i="5"/>
  <c r="AS73" i="5"/>
  <c r="AU73" i="5"/>
  <c r="AW73" i="5"/>
  <c r="AY73" i="5"/>
  <c r="BC73" i="5"/>
  <c r="BG73" i="5"/>
  <c r="BI73" i="5"/>
  <c r="BK73" i="5"/>
  <c r="BD73" i="5"/>
  <c r="BL73" i="5"/>
  <c r="BM73" i="5"/>
  <c r="BN73" i="5"/>
  <c r="BO73" i="5"/>
  <c r="BP73" i="5"/>
  <c r="BQ73" i="5"/>
  <c r="BR73" i="5"/>
  <c r="BS73" i="5"/>
  <c r="BT73" i="5"/>
  <c r="BU73" i="5"/>
  <c r="BV73" i="5"/>
  <c r="BW73" i="5"/>
  <c r="BX73" i="5"/>
  <c r="BY73" i="5"/>
  <c r="BZ73" i="5"/>
  <c r="CA73" i="5"/>
  <c r="CB73" i="5"/>
  <c r="CC73" i="5"/>
  <c r="CD73" i="5"/>
  <c r="CE73" i="5"/>
  <c r="CF73" i="5"/>
  <c r="CG73" i="5"/>
  <c r="CP72" i="5"/>
  <c r="CN72" i="5"/>
  <c r="CO72" i="5"/>
  <c r="CL72" i="5"/>
  <c r="CM72" i="5"/>
  <c r="B72" i="5"/>
  <c r="C72" i="5"/>
  <c r="D72" i="5"/>
  <c r="E72" i="5"/>
  <c r="F72" i="5"/>
  <c r="G72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W72" i="5"/>
  <c r="X72" i="5"/>
  <c r="AN72" i="5"/>
  <c r="Y72" i="5"/>
  <c r="Z72" i="5"/>
  <c r="AA72" i="5"/>
  <c r="AB72" i="5"/>
  <c r="AC72" i="5"/>
  <c r="AD72" i="5"/>
  <c r="AE72" i="5"/>
  <c r="AF72" i="5"/>
  <c r="AG72" i="5"/>
  <c r="AI72" i="5"/>
  <c r="AK72" i="5"/>
  <c r="AO72" i="5"/>
  <c r="AS72" i="5"/>
  <c r="AU72" i="5"/>
  <c r="AW72" i="5"/>
  <c r="AY72" i="5"/>
  <c r="BC72" i="5"/>
  <c r="BG72" i="5"/>
  <c r="BI72" i="5"/>
  <c r="BK72" i="5"/>
  <c r="BD72" i="5"/>
  <c r="BL72" i="5"/>
  <c r="BM72" i="5"/>
  <c r="BN72" i="5"/>
  <c r="BO72" i="5"/>
  <c r="BP72" i="5"/>
  <c r="BQ72" i="5"/>
  <c r="BR72" i="5"/>
  <c r="BS72" i="5"/>
  <c r="BT72" i="5"/>
  <c r="BU72" i="5"/>
  <c r="BV72" i="5"/>
  <c r="BW72" i="5"/>
  <c r="BX72" i="5"/>
  <c r="BY72" i="5"/>
  <c r="BZ72" i="5"/>
  <c r="CA72" i="5"/>
  <c r="CB72" i="5"/>
  <c r="CC72" i="5"/>
  <c r="CD72" i="5"/>
  <c r="CE72" i="5"/>
  <c r="CF72" i="5"/>
  <c r="CG72" i="5"/>
  <c r="CP71" i="5"/>
  <c r="CN71" i="5"/>
  <c r="CO71" i="5"/>
  <c r="CL71" i="5"/>
  <c r="CM71" i="5"/>
  <c r="B71" i="5"/>
  <c r="C71" i="5"/>
  <c r="D71" i="5"/>
  <c r="E71" i="5"/>
  <c r="F71" i="5"/>
  <c r="G71" i="5"/>
  <c r="H71" i="5"/>
  <c r="I71" i="5"/>
  <c r="J71" i="5"/>
  <c r="K71" i="5"/>
  <c r="L71" i="5"/>
  <c r="M71" i="5"/>
  <c r="N71" i="5"/>
  <c r="O71" i="5"/>
  <c r="P71" i="5"/>
  <c r="Q71" i="5"/>
  <c r="R71" i="5"/>
  <c r="S71" i="5"/>
  <c r="T71" i="5"/>
  <c r="U71" i="5"/>
  <c r="V71" i="5"/>
  <c r="W71" i="5"/>
  <c r="X71" i="5"/>
  <c r="AN71" i="5"/>
  <c r="Y71" i="5"/>
  <c r="Z71" i="5"/>
  <c r="AA71" i="5"/>
  <c r="AB71" i="5"/>
  <c r="AC71" i="5"/>
  <c r="AD71" i="5"/>
  <c r="AE71" i="5"/>
  <c r="AF71" i="5"/>
  <c r="AG71" i="5"/>
  <c r="AI71" i="5"/>
  <c r="AK71" i="5"/>
  <c r="AO71" i="5"/>
  <c r="AS71" i="5"/>
  <c r="AU71" i="5"/>
  <c r="AW71" i="5"/>
  <c r="AY71" i="5"/>
  <c r="BC71" i="5"/>
  <c r="BG71" i="5"/>
  <c r="BI71" i="5"/>
  <c r="BK71" i="5"/>
  <c r="BD71" i="5"/>
  <c r="BL71" i="5"/>
  <c r="BM71" i="5"/>
  <c r="BN71" i="5"/>
  <c r="BO71" i="5"/>
  <c r="BP71" i="5"/>
  <c r="BQ71" i="5"/>
  <c r="BR71" i="5"/>
  <c r="BS71" i="5"/>
  <c r="BT71" i="5"/>
  <c r="BU71" i="5"/>
  <c r="BV71" i="5"/>
  <c r="BW71" i="5"/>
  <c r="BX71" i="5"/>
  <c r="BY71" i="5"/>
  <c r="BZ71" i="5"/>
  <c r="CA71" i="5"/>
  <c r="CB71" i="5"/>
  <c r="CC71" i="5"/>
  <c r="CD71" i="5"/>
  <c r="CE71" i="5"/>
  <c r="CF71" i="5"/>
  <c r="CG71" i="5"/>
  <c r="CP69" i="5"/>
  <c r="CN69" i="5"/>
  <c r="CO69" i="5"/>
  <c r="CL69" i="5"/>
  <c r="CM69" i="5"/>
  <c r="B69" i="5"/>
  <c r="C69" i="5"/>
  <c r="D69" i="5"/>
  <c r="E69" i="5"/>
  <c r="F69" i="5"/>
  <c r="G69" i="5"/>
  <c r="H69" i="5"/>
  <c r="I69" i="5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W69" i="5"/>
  <c r="X69" i="5"/>
  <c r="AN69" i="5"/>
  <c r="Y69" i="5"/>
  <c r="Z69" i="5"/>
  <c r="AA69" i="5"/>
  <c r="AB69" i="5"/>
  <c r="AC69" i="5"/>
  <c r="AD69" i="5"/>
  <c r="AE69" i="5"/>
  <c r="AF69" i="5"/>
  <c r="AG69" i="5"/>
  <c r="AI69" i="5"/>
  <c r="AK69" i="5"/>
  <c r="AO69" i="5"/>
  <c r="AS69" i="5"/>
  <c r="AU69" i="5"/>
  <c r="AW69" i="5"/>
  <c r="AY69" i="5"/>
  <c r="BC69" i="5"/>
  <c r="BG69" i="5"/>
  <c r="BI69" i="5"/>
  <c r="BK69" i="5"/>
  <c r="BD69" i="5"/>
  <c r="BL69" i="5"/>
  <c r="BM69" i="5"/>
  <c r="BN69" i="5"/>
  <c r="BO69" i="5"/>
  <c r="BP69" i="5"/>
  <c r="BQ69" i="5"/>
  <c r="BR69" i="5"/>
  <c r="BS69" i="5"/>
  <c r="BT69" i="5"/>
  <c r="BU69" i="5"/>
  <c r="BV69" i="5"/>
  <c r="BW69" i="5"/>
  <c r="BX69" i="5"/>
  <c r="BY69" i="5"/>
  <c r="BZ69" i="5"/>
  <c r="CA69" i="5"/>
  <c r="CB69" i="5"/>
  <c r="CC69" i="5"/>
  <c r="CD69" i="5"/>
  <c r="CE69" i="5"/>
  <c r="CF69" i="5"/>
  <c r="CG69" i="5"/>
  <c r="CP68" i="5"/>
  <c r="CN68" i="5"/>
  <c r="CO68" i="5"/>
  <c r="CL68" i="5"/>
  <c r="CM68" i="5"/>
  <c r="B68" i="5"/>
  <c r="C68" i="5"/>
  <c r="D68" i="5"/>
  <c r="E68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AN68" i="5"/>
  <c r="Y68" i="5"/>
  <c r="Z68" i="5"/>
  <c r="AA68" i="5"/>
  <c r="AB68" i="5"/>
  <c r="AC68" i="5"/>
  <c r="AD68" i="5"/>
  <c r="AE68" i="5"/>
  <c r="AF68" i="5"/>
  <c r="AG68" i="5"/>
  <c r="AI68" i="5"/>
  <c r="AK68" i="5"/>
  <c r="AO68" i="5"/>
  <c r="AS68" i="5"/>
  <c r="AU68" i="5"/>
  <c r="AW68" i="5"/>
  <c r="AY68" i="5"/>
  <c r="BC68" i="5"/>
  <c r="BG68" i="5"/>
  <c r="BI68" i="5"/>
  <c r="BK68" i="5"/>
  <c r="BD68" i="5"/>
  <c r="BL68" i="5"/>
  <c r="BM68" i="5"/>
  <c r="BN68" i="5"/>
  <c r="BO68" i="5"/>
  <c r="BP68" i="5"/>
  <c r="BQ68" i="5"/>
  <c r="BR68" i="5"/>
  <c r="BS68" i="5"/>
  <c r="BT68" i="5"/>
  <c r="BU68" i="5"/>
  <c r="BV68" i="5"/>
  <c r="BW68" i="5"/>
  <c r="BX68" i="5"/>
  <c r="BY68" i="5"/>
  <c r="BZ68" i="5"/>
  <c r="CA68" i="5"/>
  <c r="CB68" i="5"/>
  <c r="CC68" i="5"/>
  <c r="CD68" i="5"/>
  <c r="CE68" i="5"/>
  <c r="CF68" i="5"/>
  <c r="CG68" i="5"/>
  <c r="CP67" i="5"/>
  <c r="CN67" i="5"/>
  <c r="CO67" i="5"/>
  <c r="CL67" i="5"/>
  <c r="CM67" i="5"/>
  <c r="B67" i="5"/>
  <c r="C67" i="5"/>
  <c r="D67" i="5"/>
  <c r="E67" i="5"/>
  <c r="F67" i="5"/>
  <c r="G67" i="5"/>
  <c r="H67" i="5"/>
  <c r="I67" i="5"/>
  <c r="J67" i="5"/>
  <c r="K67" i="5"/>
  <c r="L67" i="5"/>
  <c r="M67" i="5"/>
  <c r="N67" i="5"/>
  <c r="O67" i="5"/>
  <c r="P67" i="5"/>
  <c r="Q67" i="5"/>
  <c r="R67" i="5"/>
  <c r="S67" i="5"/>
  <c r="T67" i="5"/>
  <c r="U67" i="5"/>
  <c r="V67" i="5"/>
  <c r="W67" i="5"/>
  <c r="X67" i="5"/>
  <c r="AN67" i="5"/>
  <c r="Y67" i="5"/>
  <c r="Z67" i="5"/>
  <c r="AA67" i="5"/>
  <c r="AB67" i="5"/>
  <c r="AC67" i="5"/>
  <c r="AD67" i="5"/>
  <c r="AE67" i="5"/>
  <c r="AF67" i="5"/>
  <c r="AG67" i="5"/>
  <c r="AI67" i="5"/>
  <c r="AK67" i="5"/>
  <c r="AO67" i="5"/>
  <c r="AS67" i="5"/>
  <c r="AU67" i="5"/>
  <c r="AW67" i="5"/>
  <c r="AY67" i="5"/>
  <c r="BC67" i="5"/>
  <c r="BG67" i="5"/>
  <c r="BI67" i="5"/>
  <c r="BK67" i="5"/>
  <c r="BD67" i="5"/>
  <c r="BL67" i="5"/>
  <c r="BM67" i="5"/>
  <c r="BN67" i="5"/>
  <c r="BO67" i="5"/>
  <c r="BP67" i="5"/>
  <c r="BQ67" i="5"/>
  <c r="BR67" i="5"/>
  <c r="BS67" i="5"/>
  <c r="BT67" i="5"/>
  <c r="BU67" i="5"/>
  <c r="BV67" i="5"/>
  <c r="BW67" i="5"/>
  <c r="BX67" i="5"/>
  <c r="BY67" i="5"/>
  <c r="BZ67" i="5"/>
  <c r="CA67" i="5"/>
  <c r="CB67" i="5"/>
  <c r="CC67" i="5"/>
  <c r="CD67" i="5"/>
  <c r="CE67" i="5"/>
  <c r="CF67" i="5"/>
  <c r="CG67" i="5"/>
  <c r="CP66" i="5"/>
  <c r="CN66" i="5"/>
  <c r="CO66" i="5"/>
  <c r="CL66" i="5"/>
  <c r="CM66" i="5"/>
  <c r="B66" i="5"/>
  <c r="C66" i="5"/>
  <c r="D66" i="5"/>
  <c r="E66" i="5"/>
  <c r="F66" i="5"/>
  <c r="G66" i="5"/>
  <c r="H66" i="5"/>
  <c r="I66" i="5"/>
  <c r="J66" i="5"/>
  <c r="K66" i="5"/>
  <c r="L66" i="5"/>
  <c r="M66" i="5"/>
  <c r="N66" i="5"/>
  <c r="O66" i="5"/>
  <c r="P66" i="5"/>
  <c r="Q66" i="5"/>
  <c r="R66" i="5"/>
  <c r="S66" i="5"/>
  <c r="T66" i="5"/>
  <c r="U66" i="5"/>
  <c r="V66" i="5"/>
  <c r="W66" i="5"/>
  <c r="X66" i="5"/>
  <c r="AN66" i="5"/>
  <c r="Y66" i="5"/>
  <c r="Z66" i="5"/>
  <c r="AA66" i="5"/>
  <c r="AB66" i="5"/>
  <c r="AC66" i="5"/>
  <c r="AD66" i="5"/>
  <c r="AE66" i="5"/>
  <c r="AF66" i="5"/>
  <c r="AG66" i="5"/>
  <c r="AI66" i="5"/>
  <c r="AK66" i="5"/>
  <c r="AO66" i="5"/>
  <c r="AS66" i="5"/>
  <c r="AU66" i="5"/>
  <c r="AW66" i="5"/>
  <c r="AY66" i="5"/>
  <c r="BC66" i="5"/>
  <c r="BG66" i="5"/>
  <c r="BI66" i="5"/>
  <c r="BK66" i="5"/>
  <c r="BD66" i="5"/>
  <c r="BL66" i="5"/>
  <c r="BM66" i="5"/>
  <c r="BN66" i="5"/>
  <c r="BO66" i="5"/>
  <c r="BP66" i="5"/>
  <c r="BQ66" i="5"/>
  <c r="BR66" i="5"/>
  <c r="BS66" i="5"/>
  <c r="BT66" i="5"/>
  <c r="BU66" i="5"/>
  <c r="BV66" i="5"/>
  <c r="BW66" i="5"/>
  <c r="BX66" i="5"/>
  <c r="BY66" i="5"/>
  <c r="BZ66" i="5"/>
  <c r="CA66" i="5"/>
  <c r="CB66" i="5"/>
  <c r="CC66" i="5"/>
  <c r="CD66" i="5"/>
  <c r="CE66" i="5"/>
  <c r="CF66" i="5"/>
  <c r="CG66" i="5"/>
  <c r="CP65" i="5"/>
  <c r="CN65" i="5"/>
  <c r="CO65" i="5"/>
  <c r="CL65" i="5"/>
  <c r="CM65" i="5"/>
  <c r="B65" i="5"/>
  <c r="C65" i="5"/>
  <c r="D65" i="5"/>
  <c r="E65" i="5"/>
  <c r="F65" i="5"/>
  <c r="G65" i="5"/>
  <c r="H65" i="5"/>
  <c r="I65" i="5"/>
  <c r="J65" i="5"/>
  <c r="K65" i="5"/>
  <c r="L65" i="5"/>
  <c r="M65" i="5"/>
  <c r="N65" i="5"/>
  <c r="O65" i="5"/>
  <c r="P65" i="5"/>
  <c r="Q65" i="5"/>
  <c r="R65" i="5"/>
  <c r="S65" i="5"/>
  <c r="T65" i="5"/>
  <c r="U65" i="5"/>
  <c r="V65" i="5"/>
  <c r="W65" i="5"/>
  <c r="X65" i="5"/>
  <c r="AN65" i="5"/>
  <c r="Y65" i="5"/>
  <c r="Z65" i="5"/>
  <c r="AA65" i="5"/>
  <c r="AB65" i="5"/>
  <c r="AC65" i="5"/>
  <c r="AD65" i="5"/>
  <c r="AE65" i="5"/>
  <c r="AF65" i="5"/>
  <c r="AG65" i="5"/>
  <c r="AI65" i="5"/>
  <c r="AK65" i="5"/>
  <c r="AO65" i="5"/>
  <c r="AS65" i="5"/>
  <c r="AU65" i="5"/>
  <c r="AW65" i="5"/>
  <c r="AY65" i="5"/>
  <c r="BC65" i="5"/>
  <c r="BG65" i="5"/>
  <c r="BI65" i="5"/>
  <c r="BK65" i="5"/>
  <c r="BD65" i="5"/>
  <c r="BL65" i="5"/>
  <c r="BM65" i="5"/>
  <c r="BN65" i="5"/>
  <c r="BO65" i="5"/>
  <c r="BP65" i="5"/>
  <c r="BQ65" i="5"/>
  <c r="BR65" i="5"/>
  <c r="BS65" i="5"/>
  <c r="BT65" i="5"/>
  <c r="BU65" i="5"/>
  <c r="BV65" i="5"/>
  <c r="BW65" i="5"/>
  <c r="BX65" i="5"/>
  <c r="BY65" i="5"/>
  <c r="BZ65" i="5"/>
  <c r="CA65" i="5"/>
  <c r="CB65" i="5"/>
  <c r="CC65" i="5"/>
  <c r="CD65" i="5"/>
  <c r="CE65" i="5"/>
  <c r="CF65" i="5"/>
  <c r="CG65" i="5"/>
  <c r="CP64" i="5"/>
  <c r="CN64" i="5"/>
  <c r="CO64" i="5"/>
  <c r="CL64" i="5"/>
  <c r="CM64" i="5"/>
  <c r="B64" i="5"/>
  <c r="C64" i="5"/>
  <c r="D64" i="5"/>
  <c r="E64" i="5"/>
  <c r="F64" i="5"/>
  <c r="G64" i="5"/>
  <c r="H64" i="5"/>
  <c r="I64" i="5"/>
  <c r="J64" i="5"/>
  <c r="K64" i="5"/>
  <c r="L64" i="5"/>
  <c r="M64" i="5"/>
  <c r="N64" i="5"/>
  <c r="O64" i="5"/>
  <c r="P64" i="5"/>
  <c r="Q64" i="5"/>
  <c r="R64" i="5"/>
  <c r="S64" i="5"/>
  <c r="T64" i="5"/>
  <c r="U64" i="5"/>
  <c r="V64" i="5"/>
  <c r="W64" i="5"/>
  <c r="X64" i="5"/>
  <c r="AN64" i="5"/>
  <c r="Y64" i="5"/>
  <c r="Z64" i="5"/>
  <c r="AA64" i="5"/>
  <c r="AB64" i="5"/>
  <c r="AC64" i="5"/>
  <c r="AD64" i="5"/>
  <c r="AE64" i="5"/>
  <c r="AF64" i="5"/>
  <c r="AG64" i="5"/>
  <c r="AI64" i="5"/>
  <c r="AK64" i="5"/>
  <c r="AO64" i="5"/>
  <c r="AS64" i="5"/>
  <c r="AU64" i="5"/>
  <c r="AW64" i="5"/>
  <c r="AY64" i="5"/>
  <c r="BC64" i="5"/>
  <c r="BG64" i="5"/>
  <c r="BI64" i="5"/>
  <c r="BK64" i="5"/>
  <c r="BD64" i="5"/>
  <c r="BL64" i="5"/>
  <c r="BM64" i="5"/>
  <c r="BN64" i="5"/>
  <c r="BO64" i="5"/>
  <c r="BP64" i="5"/>
  <c r="BQ64" i="5"/>
  <c r="BR64" i="5"/>
  <c r="BS64" i="5"/>
  <c r="BT64" i="5"/>
  <c r="BU64" i="5"/>
  <c r="BV64" i="5"/>
  <c r="BW64" i="5"/>
  <c r="BX64" i="5"/>
  <c r="BY64" i="5"/>
  <c r="BZ64" i="5"/>
  <c r="CA64" i="5"/>
  <c r="CB64" i="5"/>
  <c r="CC64" i="5"/>
  <c r="CD64" i="5"/>
  <c r="CE64" i="5"/>
  <c r="CF64" i="5"/>
  <c r="CG64" i="5"/>
  <c r="CP63" i="5"/>
  <c r="CN63" i="5"/>
  <c r="CO63" i="5"/>
  <c r="CL63" i="5"/>
  <c r="CM63" i="5"/>
  <c r="B63" i="5"/>
  <c r="C63" i="5"/>
  <c r="D63" i="5"/>
  <c r="E63" i="5"/>
  <c r="F63" i="5"/>
  <c r="G63" i="5"/>
  <c r="H63" i="5"/>
  <c r="I63" i="5"/>
  <c r="J63" i="5"/>
  <c r="K63" i="5"/>
  <c r="L63" i="5"/>
  <c r="M63" i="5"/>
  <c r="N63" i="5"/>
  <c r="O63" i="5"/>
  <c r="P63" i="5"/>
  <c r="Q63" i="5"/>
  <c r="R63" i="5"/>
  <c r="S63" i="5"/>
  <c r="T63" i="5"/>
  <c r="U63" i="5"/>
  <c r="V63" i="5"/>
  <c r="W63" i="5"/>
  <c r="X63" i="5"/>
  <c r="AN63" i="5"/>
  <c r="Y63" i="5"/>
  <c r="Z63" i="5"/>
  <c r="AA63" i="5"/>
  <c r="AB63" i="5"/>
  <c r="AC63" i="5"/>
  <c r="AD63" i="5"/>
  <c r="AE63" i="5"/>
  <c r="AF63" i="5"/>
  <c r="AG63" i="5"/>
  <c r="AI63" i="5"/>
  <c r="AK63" i="5"/>
  <c r="AO63" i="5"/>
  <c r="AS63" i="5"/>
  <c r="AU63" i="5"/>
  <c r="AW63" i="5"/>
  <c r="AY63" i="5"/>
  <c r="BC63" i="5"/>
  <c r="BG63" i="5"/>
  <c r="BI63" i="5"/>
  <c r="BK63" i="5"/>
  <c r="BD63" i="5"/>
  <c r="BL63" i="5"/>
  <c r="BM63" i="5"/>
  <c r="BN63" i="5"/>
  <c r="BO63" i="5"/>
  <c r="BP63" i="5"/>
  <c r="BQ63" i="5"/>
  <c r="BR63" i="5"/>
  <c r="BS63" i="5"/>
  <c r="BT63" i="5"/>
  <c r="BU63" i="5"/>
  <c r="BV63" i="5"/>
  <c r="BW63" i="5"/>
  <c r="BX63" i="5"/>
  <c r="BY63" i="5"/>
  <c r="BZ63" i="5"/>
  <c r="CA63" i="5"/>
  <c r="CB63" i="5"/>
  <c r="CC63" i="5"/>
  <c r="CD63" i="5"/>
  <c r="CE63" i="5"/>
  <c r="CF63" i="5"/>
  <c r="CG63" i="5"/>
  <c r="CP62" i="5"/>
  <c r="CN62" i="5"/>
  <c r="CO62" i="5"/>
  <c r="CL62" i="5"/>
  <c r="CM62" i="5"/>
  <c r="B62" i="5"/>
  <c r="C62" i="5"/>
  <c r="D62" i="5"/>
  <c r="E62" i="5"/>
  <c r="F62" i="5"/>
  <c r="G62" i="5"/>
  <c r="H62" i="5"/>
  <c r="I62" i="5"/>
  <c r="J62" i="5"/>
  <c r="K62" i="5"/>
  <c r="L62" i="5"/>
  <c r="M62" i="5"/>
  <c r="N62" i="5"/>
  <c r="O62" i="5"/>
  <c r="P62" i="5"/>
  <c r="Q62" i="5"/>
  <c r="R62" i="5"/>
  <c r="S62" i="5"/>
  <c r="T62" i="5"/>
  <c r="U62" i="5"/>
  <c r="V62" i="5"/>
  <c r="W62" i="5"/>
  <c r="X62" i="5"/>
  <c r="AN62" i="5"/>
  <c r="Y62" i="5"/>
  <c r="Z62" i="5"/>
  <c r="AA62" i="5"/>
  <c r="AB62" i="5"/>
  <c r="AC62" i="5"/>
  <c r="AD62" i="5"/>
  <c r="AE62" i="5"/>
  <c r="AF62" i="5"/>
  <c r="AG62" i="5"/>
  <c r="AI62" i="5"/>
  <c r="AK62" i="5"/>
  <c r="AO62" i="5"/>
  <c r="AS62" i="5"/>
  <c r="AU62" i="5"/>
  <c r="AW62" i="5"/>
  <c r="AY62" i="5"/>
  <c r="BC62" i="5"/>
  <c r="BG62" i="5"/>
  <c r="BI62" i="5"/>
  <c r="BK62" i="5"/>
  <c r="BD62" i="5"/>
  <c r="BL62" i="5"/>
  <c r="BM62" i="5"/>
  <c r="BN62" i="5"/>
  <c r="BO62" i="5"/>
  <c r="BP62" i="5"/>
  <c r="BQ62" i="5"/>
  <c r="BR62" i="5"/>
  <c r="BS62" i="5"/>
  <c r="BT62" i="5"/>
  <c r="BU62" i="5"/>
  <c r="BV62" i="5"/>
  <c r="BW62" i="5"/>
  <c r="BX62" i="5"/>
  <c r="BY62" i="5"/>
  <c r="BZ62" i="5"/>
  <c r="CA62" i="5"/>
  <c r="CB62" i="5"/>
  <c r="CC62" i="5"/>
  <c r="CD62" i="5"/>
  <c r="CE62" i="5"/>
  <c r="CF62" i="5"/>
  <c r="CG62" i="5"/>
  <c r="CP61" i="5"/>
  <c r="CN61" i="5"/>
  <c r="CO61" i="5"/>
  <c r="CL61" i="5"/>
  <c r="CM61" i="5"/>
  <c r="B61" i="5"/>
  <c r="C61" i="5"/>
  <c r="D61" i="5"/>
  <c r="E61" i="5"/>
  <c r="F61" i="5"/>
  <c r="G61" i="5"/>
  <c r="H61" i="5"/>
  <c r="I61" i="5"/>
  <c r="J61" i="5"/>
  <c r="K61" i="5"/>
  <c r="L61" i="5"/>
  <c r="M61" i="5"/>
  <c r="N61" i="5"/>
  <c r="O61" i="5"/>
  <c r="P61" i="5"/>
  <c r="Q61" i="5"/>
  <c r="R61" i="5"/>
  <c r="S61" i="5"/>
  <c r="T61" i="5"/>
  <c r="U61" i="5"/>
  <c r="V61" i="5"/>
  <c r="W61" i="5"/>
  <c r="X61" i="5"/>
  <c r="AN61" i="5"/>
  <c r="Y61" i="5"/>
  <c r="Z61" i="5"/>
  <c r="AA61" i="5"/>
  <c r="AB61" i="5"/>
  <c r="AC61" i="5"/>
  <c r="AD61" i="5"/>
  <c r="AE61" i="5"/>
  <c r="AF61" i="5"/>
  <c r="AG61" i="5"/>
  <c r="AI61" i="5"/>
  <c r="AK61" i="5"/>
  <c r="AO61" i="5"/>
  <c r="AS61" i="5"/>
  <c r="AU61" i="5"/>
  <c r="AW61" i="5"/>
  <c r="AY61" i="5"/>
  <c r="BC61" i="5"/>
  <c r="BG61" i="5"/>
  <c r="BI61" i="5"/>
  <c r="BK61" i="5"/>
  <c r="BD61" i="5"/>
  <c r="BL61" i="5"/>
  <c r="BM61" i="5"/>
  <c r="BN61" i="5"/>
  <c r="BO61" i="5"/>
  <c r="BP61" i="5"/>
  <c r="BQ61" i="5"/>
  <c r="BR61" i="5"/>
  <c r="BS61" i="5"/>
  <c r="BT61" i="5"/>
  <c r="BU61" i="5"/>
  <c r="BV61" i="5"/>
  <c r="BW61" i="5"/>
  <c r="BX61" i="5"/>
  <c r="BY61" i="5"/>
  <c r="BZ61" i="5"/>
  <c r="CA61" i="5"/>
  <c r="CB61" i="5"/>
  <c r="CC61" i="5"/>
  <c r="CD61" i="5"/>
  <c r="CE61" i="5"/>
  <c r="CF61" i="5"/>
  <c r="CG61" i="5"/>
  <c r="CP60" i="5"/>
  <c r="CN60" i="5"/>
  <c r="CO60" i="5"/>
  <c r="CL60" i="5"/>
  <c r="CM60" i="5"/>
  <c r="B60" i="5"/>
  <c r="C60" i="5"/>
  <c r="D60" i="5"/>
  <c r="E60" i="5"/>
  <c r="F60" i="5"/>
  <c r="G60" i="5"/>
  <c r="H60" i="5"/>
  <c r="I60" i="5"/>
  <c r="J60" i="5"/>
  <c r="K60" i="5"/>
  <c r="L60" i="5"/>
  <c r="M60" i="5"/>
  <c r="N60" i="5"/>
  <c r="O60" i="5"/>
  <c r="P60" i="5"/>
  <c r="Q60" i="5"/>
  <c r="R60" i="5"/>
  <c r="S60" i="5"/>
  <c r="T60" i="5"/>
  <c r="U60" i="5"/>
  <c r="V60" i="5"/>
  <c r="W60" i="5"/>
  <c r="X60" i="5"/>
  <c r="AN60" i="5"/>
  <c r="Y60" i="5"/>
  <c r="Z60" i="5"/>
  <c r="AA60" i="5"/>
  <c r="AB60" i="5"/>
  <c r="AC60" i="5"/>
  <c r="AD60" i="5"/>
  <c r="AE60" i="5"/>
  <c r="AF60" i="5"/>
  <c r="AG60" i="5"/>
  <c r="AI60" i="5"/>
  <c r="AK60" i="5"/>
  <c r="AO60" i="5"/>
  <c r="AS60" i="5"/>
  <c r="AU60" i="5"/>
  <c r="AW60" i="5"/>
  <c r="AY60" i="5"/>
  <c r="BC60" i="5"/>
  <c r="BG60" i="5"/>
  <c r="BI60" i="5"/>
  <c r="BK60" i="5"/>
  <c r="BD60" i="5"/>
  <c r="BL60" i="5"/>
  <c r="BM60" i="5"/>
  <c r="BN60" i="5"/>
  <c r="BO60" i="5"/>
  <c r="BP60" i="5"/>
  <c r="BQ60" i="5"/>
  <c r="BR60" i="5"/>
  <c r="BS60" i="5"/>
  <c r="BT60" i="5"/>
  <c r="BU60" i="5"/>
  <c r="BV60" i="5"/>
  <c r="BW60" i="5"/>
  <c r="BX60" i="5"/>
  <c r="BY60" i="5"/>
  <c r="BZ60" i="5"/>
  <c r="CA60" i="5"/>
  <c r="CB60" i="5"/>
  <c r="CC60" i="5"/>
  <c r="CD60" i="5"/>
  <c r="CE60" i="5"/>
  <c r="CF60" i="5"/>
  <c r="CG60" i="5"/>
  <c r="CP59" i="5"/>
  <c r="CN59" i="5"/>
  <c r="CO59" i="5"/>
  <c r="CL59" i="5"/>
  <c r="CM59" i="5"/>
  <c r="B59" i="5"/>
  <c r="C59" i="5"/>
  <c r="D59" i="5"/>
  <c r="E59" i="5"/>
  <c r="F59" i="5"/>
  <c r="G59" i="5"/>
  <c r="H59" i="5"/>
  <c r="I59" i="5"/>
  <c r="J59" i="5"/>
  <c r="K59" i="5"/>
  <c r="L59" i="5"/>
  <c r="M59" i="5"/>
  <c r="N59" i="5"/>
  <c r="O59" i="5"/>
  <c r="P59" i="5"/>
  <c r="Q59" i="5"/>
  <c r="R59" i="5"/>
  <c r="S59" i="5"/>
  <c r="T59" i="5"/>
  <c r="U59" i="5"/>
  <c r="V59" i="5"/>
  <c r="W59" i="5"/>
  <c r="X59" i="5"/>
  <c r="AN59" i="5"/>
  <c r="Y59" i="5"/>
  <c r="Z59" i="5"/>
  <c r="AA59" i="5"/>
  <c r="AB59" i="5"/>
  <c r="AC59" i="5"/>
  <c r="AD59" i="5"/>
  <c r="AE59" i="5"/>
  <c r="AF59" i="5"/>
  <c r="AG59" i="5"/>
  <c r="AI59" i="5"/>
  <c r="AK59" i="5"/>
  <c r="AO59" i="5"/>
  <c r="AS59" i="5"/>
  <c r="AU59" i="5"/>
  <c r="AW59" i="5"/>
  <c r="AY59" i="5"/>
  <c r="BC59" i="5"/>
  <c r="BG59" i="5"/>
  <c r="BI59" i="5"/>
  <c r="BK59" i="5"/>
  <c r="BD59" i="5"/>
  <c r="BL59" i="5"/>
  <c r="BM59" i="5"/>
  <c r="BN59" i="5"/>
  <c r="BO59" i="5"/>
  <c r="BP59" i="5"/>
  <c r="BQ59" i="5"/>
  <c r="BR59" i="5"/>
  <c r="BS59" i="5"/>
  <c r="BT59" i="5"/>
  <c r="BU59" i="5"/>
  <c r="BV59" i="5"/>
  <c r="BW59" i="5"/>
  <c r="BX59" i="5"/>
  <c r="BY59" i="5"/>
  <c r="BZ59" i="5"/>
  <c r="CA59" i="5"/>
  <c r="CB59" i="5"/>
  <c r="CC59" i="5"/>
  <c r="CD59" i="5"/>
  <c r="CE59" i="5"/>
  <c r="CF59" i="5"/>
  <c r="CG59" i="5"/>
  <c r="CP58" i="5"/>
  <c r="CN58" i="5"/>
  <c r="CO58" i="5"/>
  <c r="CL58" i="5"/>
  <c r="CM58" i="5"/>
  <c r="B58" i="5"/>
  <c r="C58" i="5"/>
  <c r="D58" i="5"/>
  <c r="E58" i="5"/>
  <c r="F58" i="5"/>
  <c r="G58" i="5"/>
  <c r="H58" i="5"/>
  <c r="I58" i="5"/>
  <c r="J58" i="5"/>
  <c r="K58" i="5"/>
  <c r="L58" i="5"/>
  <c r="M58" i="5"/>
  <c r="N58" i="5"/>
  <c r="O58" i="5"/>
  <c r="P58" i="5"/>
  <c r="Q58" i="5"/>
  <c r="R58" i="5"/>
  <c r="S58" i="5"/>
  <c r="T58" i="5"/>
  <c r="U58" i="5"/>
  <c r="V58" i="5"/>
  <c r="W58" i="5"/>
  <c r="X58" i="5"/>
  <c r="AN58" i="5"/>
  <c r="Y58" i="5"/>
  <c r="Z58" i="5"/>
  <c r="AA58" i="5"/>
  <c r="AB58" i="5"/>
  <c r="AC58" i="5"/>
  <c r="AD58" i="5"/>
  <c r="AE58" i="5"/>
  <c r="AF58" i="5"/>
  <c r="AG58" i="5"/>
  <c r="AI58" i="5"/>
  <c r="AK58" i="5"/>
  <c r="AO58" i="5"/>
  <c r="AS58" i="5"/>
  <c r="AU58" i="5"/>
  <c r="AW58" i="5"/>
  <c r="AY58" i="5"/>
  <c r="BC58" i="5"/>
  <c r="BG58" i="5"/>
  <c r="BI58" i="5"/>
  <c r="BK58" i="5"/>
  <c r="BD58" i="5"/>
  <c r="BL58" i="5"/>
  <c r="BM58" i="5"/>
  <c r="BN58" i="5"/>
  <c r="BO58" i="5"/>
  <c r="BP58" i="5"/>
  <c r="BQ58" i="5"/>
  <c r="BR58" i="5"/>
  <c r="BS58" i="5"/>
  <c r="BT58" i="5"/>
  <c r="BU58" i="5"/>
  <c r="BV58" i="5"/>
  <c r="BW58" i="5"/>
  <c r="BX58" i="5"/>
  <c r="BY58" i="5"/>
  <c r="BZ58" i="5"/>
  <c r="CA58" i="5"/>
  <c r="CB58" i="5"/>
  <c r="CC58" i="5"/>
  <c r="CD58" i="5"/>
  <c r="CE58" i="5"/>
  <c r="CF58" i="5"/>
  <c r="CG58" i="5"/>
  <c r="CP57" i="5"/>
  <c r="CN57" i="5"/>
  <c r="CO57" i="5"/>
  <c r="CL57" i="5"/>
  <c r="CM57" i="5"/>
  <c r="B57" i="5"/>
  <c r="C57" i="5"/>
  <c r="D57" i="5"/>
  <c r="E57" i="5"/>
  <c r="F57" i="5"/>
  <c r="G57" i="5"/>
  <c r="H57" i="5"/>
  <c r="I57" i="5"/>
  <c r="J57" i="5"/>
  <c r="K57" i="5"/>
  <c r="L57" i="5"/>
  <c r="M57" i="5"/>
  <c r="N57" i="5"/>
  <c r="O57" i="5"/>
  <c r="P57" i="5"/>
  <c r="Q57" i="5"/>
  <c r="R57" i="5"/>
  <c r="S57" i="5"/>
  <c r="T57" i="5"/>
  <c r="U57" i="5"/>
  <c r="V57" i="5"/>
  <c r="W57" i="5"/>
  <c r="X57" i="5"/>
  <c r="AN57" i="5"/>
  <c r="Y57" i="5"/>
  <c r="Z57" i="5"/>
  <c r="AA57" i="5"/>
  <c r="AB57" i="5"/>
  <c r="AC57" i="5"/>
  <c r="AD57" i="5"/>
  <c r="AE57" i="5"/>
  <c r="AF57" i="5"/>
  <c r="AG57" i="5"/>
  <c r="AI57" i="5"/>
  <c r="AK57" i="5"/>
  <c r="AO57" i="5"/>
  <c r="AS57" i="5"/>
  <c r="AU57" i="5"/>
  <c r="AW57" i="5"/>
  <c r="AY57" i="5"/>
  <c r="BC57" i="5"/>
  <c r="BG57" i="5"/>
  <c r="BI57" i="5"/>
  <c r="BK57" i="5"/>
  <c r="BD57" i="5"/>
  <c r="BL57" i="5"/>
  <c r="BM57" i="5"/>
  <c r="BN57" i="5"/>
  <c r="BO57" i="5"/>
  <c r="BP57" i="5"/>
  <c r="BQ57" i="5"/>
  <c r="BR57" i="5"/>
  <c r="BS57" i="5"/>
  <c r="BT57" i="5"/>
  <c r="BU57" i="5"/>
  <c r="BV57" i="5"/>
  <c r="BW57" i="5"/>
  <c r="BX57" i="5"/>
  <c r="BY57" i="5"/>
  <c r="BZ57" i="5"/>
  <c r="CA57" i="5"/>
  <c r="CB57" i="5"/>
  <c r="CC57" i="5"/>
  <c r="CD57" i="5"/>
  <c r="CE57" i="5"/>
  <c r="CF57" i="5"/>
  <c r="CG57" i="5"/>
  <c r="CP56" i="5"/>
  <c r="CN56" i="5"/>
  <c r="CO56" i="5"/>
  <c r="CL56" i="5"/>
  <c r="CM56" i="5"/>
  <c r="B56" i="5"/>
  <c r="C56" i="5"/>
  <c r="D56" i="5"/>
  <c r="E56" i="5"/>
  <c r="F56" i="5"/>
  <c r="G56" i="5"/>
  <c r="H56" i="5"/>
  <c r="I56" i="5"/>
  <c r="J56" i="5"/>
  <c r="K56" i="5"/>
  <c r="L56" i="5"/>
  <c r="M56" i="5"/>
  <c r="N56" i="5"/>
  <c r="O56" i="5"/>
  <c r="P56" i="5"/>
  <c r="Q56" i="5"/>
  <c r="R56" i="5"/>
  <c r="S56" i="5"/>
  <c r="T56" i="5"/>
  <c r="U56" i="5"/>
  <c r="V56" i="5"/>
  <c r="W56" i="5"/>
  <c r="X56" i="5"/>
  <c r="AN56" i="5"/>
  <c r="Y56" i="5"/>
  <c r="Z56" i="5"/>
  <c r="AA56" i="5"/>
  <c r="AB56" i="5"/>
  <c r="AC56" i="5"/>
  <c r="AD56" i="5"/>
  <c r="AE56" i="5"/>
  <c r="AF56" i="5"/>
  <c r="AG56" i="5"/>
  <c r="AI56" i="5"/>
  <c r="AK56" i="5"/>
  <c r="AO56" i="5"/>
  <c r="AS56" i="5"/>
  <c r="AU56" i="5"/>
  <c r="AW56" i="5"/>
  <c r="AY56" i="5"/>
  <c r="BC56" i="5"/>
  <c r="BG56" i="5"/>
  <c r="BI56" i="5"/>
  <c r="BK56" i="5"/>
  <c r="BD56" i="5"/>
  <c r="BL56" i="5"/>
  <c r="BM56" i="5"/>
  <c r="BN56" i="5"/>
  <c r="BO56" i="5"/>
  <c r="BP56" i="5"/>
  <c r="BQ56" i="5"/>
  <c r="BR56" i="5"/>
  <c r="BS56" i="5"/>
  <c r="BT56" i="5"/>
  <c r="BU56" i="5"/>
  <c r="BV56" i="5"/>
  <c r="BW56" i="5"/>
  <c r="BX56" i="5"/>
  <c r="BY56" i="5"/>
  <c r="BZ56" i="5"/>
  <c r="CA56" i="5"/>
  <c r="CB56" i="5"/>
  <c r="CC56" i="5"/>
  <c r="CD56" i="5"/>
  <c r="CE56" i="5"/>
  <c r="CF56" i="5"/>
  <c r="CG56" i="5"/>
  <c r="CP55" i="5"/>
  <c r="CN55" i="5"/>
  <c r="CO55" i="5"/>
  <c r="CL55" i="5"/>
  <c r="CM55" i="5"/>
  <c r="B55" i="5"/>
  <c r="C55" i="5"/>
  <c r="D55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X55" i="5"/>
  <c r="AN55" i="5"/>
  <c r="Y55" i="5"/>
  <c r="Z55" i="5"/>
  <c r="AA55" i="5"/>
  <c r="AB55" i="5"/>
  <c r="AC55" i="5"/>
  <c r="AD55" i="5"/>
  <c r="AE55" i="5"/>
  <c r="AF55" i="5"/>
  <c r="AG55" i="5"/>
  <c r="AI55" i="5"/>
  <c r="AK55" i="5"/>
  <c r="AO55" i="5"/>
  <c r="AS55" i="5"/>
  <c r="AU55" i="5"/>
  <c r="AW55" i="5"/>
  <c r="AY55" i="5"/>
  <c r="BC55" i="5"/>
  <c r="BG55" i="5"/>
  <c r="BI55" i="5"/>
  <c r="BK55" i="5"/>
  <c r="BD55" i="5"/>
  <c r="BL55" i="5"/>
  <c r="BM55" i="5"/>
  <c r="BN55" i="5"/>
  <c r="BO55" i="5"/>
  <c r="BP55" i="5"/>
  <c r="BQ55" i="5"/>
  <c r="BR55" i="5"/>
  <c r="BS55" i="5"/>
  <c r="BT55" i="5"/>
  <c r="BU55" i="5"/>
  <c r="BV55" i="5"/>
  <c r="BW55" i="5"/>
  <c r="BX55" i="5"/>
  <c r="BY55" i="5"/>
  <c r="BZ55" i="5"/>
  <c r="CA55" i="5"/>
  <c r="CB55" i="5"/>
  <c r="CC55" i="5"/>
  <c r="CD55" i="5"/>
  <c r="CE55" i="5"/>
  <c r="CF55" i="5"/>
  <c r="CG55" i="5"/>
  <c r="CP54" i="5"/>
  <c r="CN54" i="5"/>
  <c r="CO54" i="5"/>
  <c r="CL54" i="5"/>
  <c r="CM54" i="5"/>
  <c r="B54" i="5"/>
  <c r="C54" i="5"/>
  <c r="D54" i="5"/>
  <c r="E54" i="5"/>
  <c r="F54" i="5"/>
  <c r="G54" i="5"/>
  <c r="H54" i="5"/>
  <c r="I54" i="5"/>
  <c r="J54" i="5"/>
  <c r="K54" i="5"/>
  <c r="L54" i="5"/>
  <c r="M54" i="5"/>
  <c r="N54" i="5"/>
  <c r="O54" i="5"/>
  <c r="P54" i="5"/>
  <c r="Q54" i="5"/>
  <c r="R54" i="5"/>
  <c r="S54" i="5"/>
  <c r="T54" i="5"/>
  <c r="U54" i="5"/>
  <c r="V54" i="5"/>
  <c r="W54" i="5"/>
  <c r="X54" i="5"/>
  <c r="AN54" i="5"/>
  <c r="Y54" i="5"/>
  <c r="Z54" i="5"/>
  <c r="AA54" i="5"/>
  <c r="AB54" i="5"/>
  <c r="AC54" i="5"/>
  <c r="AD54" i="5"/>
  <c r="AE54" i="5"/>
  <c r="AF54" i="5"/>
  <c r="AG54" i="5"/>
  <c r="AI54" i="5"/>
  <c r="AK54" i="5"/>
  <c r="AO54" i="5"/>
  <c r="AS54" i="5"/>
  <c r="AU54" i="5"/>
  <c r="AW54" i="5"/>
  <c r="AY54" i="5"/>
  <c r="BC54" i="5"/>
  <c r="BG54" i="5"/>
  <c r="BI54" i="5"/>
  <c r="BK54" i="5"/>
  <c r="BD54" i="5"/>
  <c r="BL54" i="5"/>
  <c r="BM54" i="5"/>
  <c r="BN54" i="5"/>
  <c r="BO54" i="5"/>
  <c r="BP54" i="5"/>
  <c r="BQ54" i="5"/>
  <c r="BR54" i="5"/>
  <c r="BS54" i="5"/>
  <c r="BT54" i="5"/>
  <c r="BU54" i="5"/>
  <c r="BV54" i="5"/>
  <c r="BW54" i="5"/>
  <c r="BX54" i="5"/>
  <c r="BY54" i="5"/>
  <c r="BZ54" i="5"/>
  <c r="CA54" i="5"/>
  <c r="CB54" i="5"/>
  <c r="CC54" i="5"/>
  <c r="CD54" i="5"/>
  <c r="CE54" i="5"/>
  <c r="CF54" i="5"/>
  <c r="CG54" i="5"/>
  <c r="CP53" i="5"/>
  <c r="CN53" i="5"/>
  <c r="CO53" i="5"/>
  <c r="CL53" i="5"/>
  <c r="CM53" i="5"/>
  <c r="B53" i="5"/>
  <c r="C53" i="5"/>
  <c r="D53" i="5"/>
  <c r="E53" i="5"/>
  <c r="F53" i="5"/>
  <c r="G53" i="5"/>
  <c r="H53" i="5"/>
  <c r="I53" i="5"/>
  <c r="J53" i="5"/>
  <c r="K53" i="5"/>
  <c r="L53" i="5"/>
  <c r="M53" i="5"/>
  <c r="N53" i="5"/>
  <c r="O53" i="5"/>
  <c r="P53" i="5"/>
  <c r="Q53" i="5"/>
  <c r="R53" i="5"/>
  <c r="S53" i="5"/>
  <c r="T53" i="5"/>
  <c r="U53" i="5"/>
  <c r="V53" i="5"/>
  <c r="W53" i="5"/>
  <c r="X53" i="5"/>
  <c r="AN53" i="5"/>
  <c r="Y53" i="5"/>
  <c r="Z53" i="5"/>
  <c r="AA53" i="5"/>
  <c r="AB53" i="5"/>
  <c r="AC53" i="5"/>
  <c r="AD53" i="5"/>
  <c r="AE53" i="5"/>
  <c r="AF53" i="5"/>
  <c r="AG53" i="5"/>
  <c r="AI53" i="5"/>
  <c r="AK53" i="5"/>
  <c r="AO53" i="5"/>
  <c r="AS53" i="5"/>
  <c r="AU53" i="5"/>
  <c r="AW53" i="5"/>
  <c r="AY53" i="5"/>
  <c r="BC53" i="5"/>
  <c r="BG53" i="5"/>
  <c r="BI53" i="5"/>
  <c r="BK53" i="5"/>
  <c r="BD53" i="5"/>
  <c r="BL53" i="5"/>
  <c r="BM53" i="5"/>
  <c r="BN53" i="5"/>
  <c r="BO53" i="5"/>
  <c r="BP53" i="5"/>
  <c r="BQ53" i="5"/>
  <c r="BR53" i="5"/>
  <c r="BS53" i="5"/>
  <c r="BT53" i="5"/>
  <c r="BU53" i="5"/>
  <c r="BV53" i="5"/>
  <c r="BW53" i="5"/>
  <c r="BX53" i="5"/>
  <c r="BY53" i="5"/>
  <c r="BZ53" i="5"/>
  <c r="CA53" i="5"/>
  <c r="CB53" i="5"/>
  <c r="CC53" i="5"/>
  <c r="CD53" i="5"/>
  <c r="CE53" i="5"/>
  <c r="CF53" i="5"/>
  <c r="CG53" i="5"/>
  <c r="CP48" i="5"/>
  <c r="CN48" i="5"/>
  <c r="CO48" i="5"/>
  <c r="CL48" i="5"/>
  <c r="CM48" i="5"/>
  <c r="B48" i="5"/>
  <c r="C48" i="5"/>
  <c r="D48" i="5"/>
  <c r="E48" i="5"/>
  <c r="F48" i="5"/>
  <c r="G48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X48" i="5"/>
  <c r="AN48" i="5"/>
  <c r="Y48" i="5"/>
  <c r="Z48" i="5"/>
  <c r="AA48" i="5"/>
  <c r="AB48" i="5"/>
  <c r="AC48" i="5"/>
  <c r="AD48" i="5"/>
  <c r="AE48" i="5"/>
  <c r="AF48" i="5"/>
  <c r="AG48" i="5"/>
  <c r="AI48" i="5"/>
  <c r="AK48" i="5"/>
  <c r="AO48" i="5"/>
  <c r="AS48" i="5"/>
  <c r="AU48" i="5"/>
  <c r="AW48" i="5"/>
  <c r="AY48" i="5"/>
  <c r="BC48" i="5"/>
  <c r="BG48" i="5"/>
  <c r="BI48" i="5"/>
  <c r="BK48" i="5"/>
  <c r="BD48" i="5"/>
  <c r="BL48" i="5"/>
  <c r="BM48" i="5"/>
  <c r="BN48" i="5"/>
  <c r="BO48" i="5"/>
  <c r="BP48" i="5"/>
  <c r="BQ48" i="5"/>
  <c r="BR48" i="5"/>
  <c r="BS48" i="5"/>
  <c r="BT48" i="5"/>
  <c r="BU48" i="5"/>
  <c r="BV48" i="5"/>
  <c r="BW48" i="5"/>
  <c r="BX48" i="5"/>
  <c r="BY48" i="5"/>
  <c r="BZ48" i="5"/>
  <c r="CA48" i="5"/>
  <c r="CB48" i="5"/>
  <c r="CC48" i="5"/>
  <c r="CD48" i="5"/>
  <c r="CE48" i="5"/>
  <c r="CF48" i="5"/>
  <c r="CG48" i="5"/>
  <c r="CL47" i="5"/>
  <c r="D47" i="5"/>
  <c r="H47" i="5"/>
  <c r="L47" i="5"/>
  <c r="P47" i="5"/>
  <c r="T47" i="5"/>
  <c r="X47" i="5"/>
  <c r="AA47" i="5"/>
  <c r="AE47" i="5"/>
  <c r="AK47" i="5"/>
  <c r="AW47" i="5"/>
  <c r="BI47" i="5"/>
  <c r="BM47" i="5"/>
  <c r="BQ47" i="5"/>
  <c r="BU47" i="5"/>
  <c r="BY47" i="5"/>
  <c r="CC47" i="5"/>
  <c r="CG47" i="5"/>
  <c r="CP46" i="5"/>
  <c r="CN46" i="5"/>
  <c r="CO46" i="5"/>
  <c r="CL46" i="5"/>
  <c r="CM46" i="5"/>
  <c r="B46" i="5"/>
  <c r="C46" i="5"/>
  <c r="D46" i="5"/>
  <c r="E46" i="5"/>
  <c r="F46" i="5"/>
  <c r="G46" i="5"/>
  <c r="H46" i="5"/>
  <c r="I46" i="5"/>
  <c r="J46" i="5"/>
  <c r="K46" i="5"/>
  <c r="L46" i="5"/>
  <c r="M46" i="5"/>
  <c r="N46" i="5"/>
  <c r="O46" i="5"/>
  <c r="P46" i="5"/>
  <c r="Q46" i="5"/>
  <c r="R46" i="5"/>
  <c r="S46" i="5"/>
  <c r="T46" i="5"/>
  <c r="U46" i="5"/>
  <c r="V46" i="5"/>
  <c r="W46" i="5"/>
  <c r="X46" i="5"/>
  <c r="AN46" i="5"/>
  <c r="Y46" i="5"/>
  <c r="Z46" i="5"/>
  <c r="AA46" i="5"/>
  <c r="AB46" i="5"/>
  <c r="AC46" i="5"/>
  <c r="AD46" i="5"/>
  <c r="AE46" i="5"/>
  <c r="AF46" i="5"/>
  <c r="AG46" i="5"/>
  <c r="AI46" i="5"/>
  <c r="AK46" i="5"/>
  <c r="AO46" i="5"/>
  <c r="AS46" i="5"/>
  <c r="AU46" i="5"/>
  <c r="AW46" i="5"/>
  <c r="AY46" i="5"/>
  <c r="BC46" i="5"/>
  <c r="BG46" i="5"/>
  <c r="BI46" i="5"/>
  <c r="BK46" i="5"/>
  <c r="BD46" i="5"/>
  <c r="BL46" i="5"/>
  <c r="BM46" i="5"/>
  <c r="BN46" i="5"/>
  <c r="BO46" i="5"/>
  <c r="BP46" i="5"/>
  <c r="BQ46" i="5"/>
  <c r="BR46" i="5"/>
  <c r="BS46" i="5"/>
  <c r="BT46" i="5"/>
  <c r="BU46" i="5"/>
  <c r="BV46" i="5"/>
  <c r="BW46" i="5"/>
  <c r="BX46" i="5"/>
  <c r="BY46" i="5"/>
  <c r="BZ46" i="5"/>
  <c r="CA46" i="5"/>
  <c r="CB46" i="5"/>
  <c r="CC46" i="5"/>
  <c r="CD46" i="5"/>
  <c r="CE46" i="5"/>
  <c r="CF46" i="5"/>
  <c r="CG46" i="5"/>
  <c r="CP45" i="5"/>
  <c r="CN45" i="5"/>
  <c r="CM45" i="5"/>
  <c r="B45" i="5"/>
  <c r="E45" i="5"/>
  <c r="F45" i="5"/>
  <c r="I45" i="5"/>
  <c r="J45" i="5"/>
  <c r="M45" i="5"/>
  <c r="N45" i="5"/>
  <c r="Q45" i="5"/>
  <c r="R45" i="5"/>
  <c r="U45" i="5"/>
  <c r="V45" i="5"/>
  <c r="AN45" i="5"/>
  <c r="Y45" i="5"/>
  <c r="AB45" i="5"/>
  <c r="AC45" i="5"/>
  <c r="AF45" i="5"/>
  <c r="AG45" i="5"/>
  <c r="AO45" i="5"/>
  <c r="AS45" i="5"/>
  <c r="AY45" i="5"/>
  <c r="BC45" i="5"/>
  <c r="BK45" i="5"/>
  <c r="BD45" i="5"/>
  <c r="BN45" i="5"/>
  <c r="BO45" i="5"/>
  <c r="BR45" i="5"/>
  <c r="BS45" i="5"/>
  <c r="BV45" i="5"/>
  <c r="BW45" i="5"/>
  <c r="BZ45" i="5"/>
  <c r="CA45" i="5"/>
  <c r="CD45" i="5"/>
  <c r="CE45" i="5"/>
  <c r="CL44" i="5"/>
  <c r="D44" i="5"/>
  <c r="H44" i="5"/>
  <c r="L44" i="5"/>
  <c r="P44" i="5"/>
  <c r="T44" i="5"/>
  <c r="X44" i="5"/>
  <c r="AA44" i="5"/>
  <c r="AE44" i="5"/>
  <c r="AK44" i="5"/>
  <c r="AW44" i="5"/>
  <c r="BI44" i="5"/>
  <c r="BM44" i="5"/>
  <c r="BQ44" i="5"/>
  <c r="BU44" i="5"/>
  <c r="BY44" i="5"/>
  <c r="CC44" i="5"/>
  <c r="CG44" i="5"/>
  <c r="CP43" i="5"/>
  <c r="CN43" i="5"/>
  <c r="CO43" i="5"/>
  <c r="CL43" i="5"/>
  <c r="CM43" i="5"/>
  <c r="B43" i="5"/>
  <c r="C43" i="5"/>
  <c r="D43" i="5"/>
  <c r="E43" i="5"/>
  <c r="F43" i="5"/>
  <c r="G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X43" i="5"/>
  <c r="AN43" i="5"/>
  <c r="Y43" i="5"/>
  <c r="Z43" i="5"/>
  <c r="AA43" i="5"/>
  <c r="AB43" i="5"/>
  <c r="AC43" i="5"/>
  <c r="AD43" i="5"/>
  <c r="AE43" i="5"/>
  <c r="AF43" i="5"/>
  <c r="AG43" i="5"/>
  <c r="AI43" i="5"/>
  <c r="AK43" i="5"/>
  <c r="AO43" i="5"/>
  <c r="AS43" i="5"/>
  <c r="AU43" i="5"/>
  <c r="AW43" i="5"/>
  <c r="AY43" i="5"/>
  <c r="BC43" i="5"/>
  <c r="BG43" i="5"/>
  <c r="BI43" i="5"/>
  <c r="BK43" i="5"/>
  <c r="BD43" i="5"/>
  <c r="BL43" i="5"/>
  <c r="BM43" i="5"/>
  <c r="BN43" i="5"/>
  <c r="BO43" i="5"/>
  <c r="BP43" i="5"/>
  <c r="BQ43" i="5"/>
  <c r="BR43" i="5"/>
  <c r="BS43" i="5"/>
  <c r="BT43" i="5"/>
  <c r="BU43" i="5"/>
  <c r="BV43" i="5"/>
  <c r="BW43" i="5"/>
  <c r="BX43" i="5"/>
  <c r="BY43" i="5"/>
  <c r="BZ43" i="5"/>
  <c r="CA43" i="5"/>
  <c r="CB43" i="5"/>
  <c r="CC43" i="5"/>
  <c r="CD43" i="5"/>
  <c r="CE43" i="5"/>
  <c r="CF43" i="5"/>
  <c r="CG43" i="5"/>
  <c r="CP42" i="5"/>
  <c r="CN42" i="5"/>
  <c r="CO42" i="5"/>
  <c r="CL42" i="5"/>
  <c r="CM42" i="5"/>
  <c r="B42" i="5"/>
  <c r="C42" i="5"/>
  <c r="D42" i="5"/>
  <c r="E42" i="5"/>
  <c r="F42" i="5"/>
  <c r="G42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X42" i="5"/>
  <c r="AN42" i="5"/>
  <c r="Y42" i="5"/>
  <c r="Z42" i="5"/>
  <c r="AA42" i="5"/>
  <c r="AB42" i="5"/>
  <c r="AC42" i="5"/>
  <c r="AD42" i="5"/>
  <c r="AE42" i="5"/>
  <c r="AF42" i="5"/>
  <c r="AG42" i="5"/>
  <c r="AI42" i="5"/>
  <c r="AK42" i="5"/>
  <c r="AO42" i="5"/>
  <c r="AS42" i="5"/>
  <c r="AU42" i="5"/>
  <c r="AW42" i="5"/>
  <c r="AY42" i="5"/>
  <c r="BC42" i="5"/>
  <c r="BG42" i="5"/>
  <c r="BI42" i="5"/>
  <c r="BK42" i="5"/>
  <c r="BD42" i="5"/>
  <c r="BL42" i="5"/>
  <c r="BM42" i="5"/>
  <c r="BN42" i="5"/>
  <c r="BO42" i="5"/>
  <c r="BP42" i="5"/>
  <c r="BQ42" i="5"/>
  <c r="BR42" i="5"/>
  <c r="BS42" i="5"/>
  <c r="BT42" i="5"/>
  <c r="BU42" i="5"/>
  <c r="BV42" i="5"/>
  <c r="BW42" i="5"/>
  <c r="BX42" i="5"/>
  <c r="BY42" i="5"/>
  <c r="BZ42" i="5"/>
  <c r="CA42" i="5"/>
  <c r="CB42" i="5"/>
  <c r="CC42" i="5"/>
  <c r="CD42" i="5"/>
  <c r="CE42" i="5"/>
  <c r="CF42" i="5"/>
  <c r="CG42" i="5"/>
  <c r="CP40" i="5"/>
  <c r="CN40" i="5"/>
  <c r="CO40" i="5"/>
  <c r="CL40" i="5"/>
  <c r="CM40" i="5"/>
  <c r="B40" i="5"/>
  <c r="C40" i="5"/>
  <c r="D40" i="5"/>
  <c r="E40" i="5"/>
  <c r="F40" i="5"/>
  <c r="G40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X40" i="5"/>
  <c r="AN40" i="5"/>
  <c r="Y40" i="5"/>
  <c r="Z40" i="5"/>
  <c r="AA40" i="5"/>
  <c r="AB40" i="5"/>
  <c r="AC40" i="5"/>
  <c r="AD40" i="5"/>
  <c r="AE40" i="5"/>
  <c r="AF40" i="5"/>
  <c r="AG40" i="5"/>
  <c r="AI40" i="5"/>
  <c r="AK40" i="5"/>
  <c r="AO40" i="5"/>
  <c r="AS40" i="5"/>
  <c r="AU40" i="5"/>
  <c r="AW40" i="5"/>
  <c r="AY40" i="5"/>
  <c r="BC40" i="5"/>
  <c r="BG40" i="5"/>
  <c r="BI40" i="5"/>
  <c r="BK40" i="5"/>
  <c r="BD40" i="5"/>
  <c r="BL40" i="5"/>
  <c r="BM40" i="5"/>
  <c r="BN40" i="5"/>
  <c r="BO40" i="5"/>
  <c r="BP40" i="5"/>
  <c r="BQ40" i="5"/>
  <c r="BR40" i="5"/>
  <c r="BS40" i="5"/>
  <c r="BT40" i="5"/>
  <c r="BU40" i="5"/>
  <c r="BV40" i="5"/>
  <c r="BW40" i="5"/>
  <c r="BX40" i="5"/>
  <c r="BY40" i="5"/>
  <c r="BZ40" i="5"/>
  <c r="CA40" i="5"/>
  <c r="CB40" i="5"/>
  <c r="CC40" i="5"/>
  <c r="CD40" i="5"/>
  <c r="CE40" i="5"/>
  <c r="CF40" i="5"/>
  <c r="CG40" i="5"/>
  <c r="CP39" i="5"/>
  <c r="CN39" i="5"/>
  <c r="CO39" i="5"/>
  <c r="CL39" i="5"/>
  <c r="CM39" i="5"/>
  <c r="B39" i="5"/>
  <c r="C39" i="5"/>
  <c r="D39" i="5"/>
  <c r="E39" i="5"/>
  <c r="F39" i="5"/>
  <c r="G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X39" i="5"/>
  <c r="AN39" i="5"/>
  <c r="Y39" i="5"/>
  <c r="Z39" i="5"/>
  <c r="AA39" i="5"/>
  <c r="AB39" i="5"/>
  <c r="AC39" i="5"/>
  <c r="AD39" i="5"/>
  <c r="AE39" i="5"/>
  <c r="AF39" i="5"/>
  <c r="AG39" i="5"/>
  <c r="AI39" i="5"/>
  <c r="AK39" i="5"/>
  <c r="AO39" i="5"/>
  <c r="AS39" i="5"/>
  <c r="AU39" i="5"/>
  <c r="AW39" i="5"/>
  <c r="AY39" i="5"/>
  <c r="BC39" i="5"/>
  <c r="BG39" i="5"/>
  <c r="BI39" i="5"/>
  <c r="BK39" i="5"/>
  <c r="BD39" i="5"/>
  <c r="BL39" i="5"/>
  <c r="BM39" i="5"/>
  <c r="BN39" i="5"/>
  <c r="BO39" i="5"/>
  <c r="BP39" i="5"/>
  <c r="BQ39" i="5"/>
  <c r="BR39" i="5"/>
  <c r="BS39" i="5"/>
  <c r="BT39" i="5"/>
  <c r="BU39" i="5"/>
  <c r="BV39" i="5"/>
  <c r="BW39" i="5"/>
  <c r="BX39" i="5"/>
  <c r="BY39" i="5"/>
  <c r="BZ39" i="5"/>
  <c r="CA39" i="5"/>
  <c r="CB39" i="5"/>
  <c r="CC39" i="5"/>
  <c r="CD39" i="5"/>
  <c r="CE39" i="5"/>
  <c r="CF39" i="5"/>
  <c r="CG39" i="5"/>
  <c r="CP38" i="5"/>
  <c r="CN38" i="5"/>
  <c r="CO38" i="5"/>
  <c r="CL38" i="5"/>
  <c r="CM38" i="5"/>
  <c r="B38" i="5"/>
  <c r="C38" i="5"/>
  <c r="D38" i="5"/>
  <c r="E38" i="5"/>
  <c r="F38" i="5"/>
  <c r="G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X38" i="5"/>
  <c r="AN38" i="5"/>
  <c r="Y38" i="5"/>
  <c r="Z38" i="5"/>
  <c r="AA38" i="5"/>
  <c r="AB38" i="5"/>
  <c r="AC38" i="5"/>
  <c r="AD38" i="5"/>
  <c r="AE38" i="5"/>
  <c r="AF38" i="5"/>
  <c r="AG38" i="5"/>
  <c r="AI38" i="5"/>
  <c r="AK38" i="5"/>
  <c r="AO38" i="5"/>
  <c r="AS38" i="5"/>
  <c r="AU38" i="5"/>
  <c r="AW38" i="5"/>
  <c r="AY38" i="5"/>
  <c r="BC38" i="5"/>
  <c r="BG38" i="5"/>
  <c r="BI38" i="5"/>
  <c r="BK38" i="5"/>
  <c r="BD38" i="5"/>
  <c r="BL38" i="5"/>
  <c r="BM38" i="5"/>
  <c r="BN38" i="5"/>
  <c r="BO38" i="5"/>
  <c r="BP38" i="5"/>
  <c r="BQ38" i="5"/>
  <c r="BR38" i="5"/>
  <c r="BS38" i="5"/>
  <c r="BT38" i="5"/>
  <c r="BU38" i="5"/>
  <c r="BV38" i="5"/>
  <c r="BW38" i="5"/>
  <c r="BX38" i="5"/>
  <c r="BY38" i="5"/>
  <c r="BZ38" i="5"/>
  <c r="CA38" i="5"/>
  <c r="CB38" i="5"/>
  <c r="CC38" i="5"/>
  <c r="CD38" i="5"/>
  <c r="CE38" i="5"/>
  <c r="CF38" i="5"/>
  <c r="CG38" i="5"/>
  <c r="CP37" i="5"/>
  <c r="CN37" i="5"/>
  <c r="CO37" i="5"/>
  <c r="CL37" i="5"/>
  <c r="CM37" i="5"/>
  <c r="B37" i="5"/>
  <c r="C37" i="5"/>
  <c r="D37" i="5"/>
  <c r="E37" i="5"/>
  <c r="F37" i="5"/>
  <c r="G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X37" i="5"/>
  <c r="AN37" i="5"/>
  <c r="Y37" i="5"/>
  <c r="Z37" i="5"/>
  <c r="AA37" i="5"/>
  <c r="AB37" i="5"/>
  <c r="AC37" i="5"/>
  <c r="AD37" i="5"/>
  <c r="AE37" i="5"/>
  <c r="AF37" i="5"/>
  <c r="AG37" i="5"/>
  <c r="AI37" i="5"/>
  <c r="AK37" i="5"/>
  <c r="AO37" i="5"/>
  <c r="AS37" i="5"/>
  <c r="AU37" i="5"/>
  <c r="AW37" i="5"/>
  <c r="AY37" i="5"/>
  <c r="BC37" i="5"/>
  <c r="BG37" i="5"/>
  <c r="BI37" i="5"/>
  <c r="BK37" i="5"/>
  <c r="BD37" i="5"/>
  <c r="BL37" i="5"/>
  <c r="BM37" i="5"/>
  <c r="BN37" i="5"/>
  <c r="BO37" i="5"/>
  <c r="BP37" i="5"/>
  <c r="BQ37" i="5"/>
  <c r="BR37" i="5"/>
  <c r="BS37" i="5"/>
  <c r="BT37" i="5"/>
  <c r="BU37" i="5"/>
  <c r="BV37" i="5"/>
  <c r="BW37" i="5"/>
  <c r="BX37" i="5"/>
  <c r="BY37" i="5"/>
  <c r="BZ37" i="5"/>
  <c r="CA37" i="5"/>
  <c r="CB37" i="5"/>
  <c r="CC37" i="5"/>
  <c r="CD37" i="5"/>
  <c r="CE37" i="5"/>
  <c r="CF37" i="5"/>
  <c r="CG37" i="5"/>
  <c r="CP36" i="5"/>
  <c r="CN36" i="5"/>
  <c r="CO36" i="5"/>
  <c r="CL36" i="5"/>
  <c r="CM36" i="5"/>
  <c r="B36" i="5"/>
  <c r="C36" i="5"/>
  <c r="D36" i="5"/>
  <c r="E36" i="5"/>
  <c r="F36" i="5"/>
  <c r="G36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X36" i="5"/>
  <c r="AN36" i="5"/>
  <c r="Y36" i="5"/>
  <c r="Z36" i="5"/>
  <c r="AA36" i="5"/>
  <c r="AB36" i="5"/>
  <c r="AC36" i="5"/>
  <c r="AD36" i="5"/>
  <c r="AE36" i="5"/>
  <c r="AF36" i="5"/>
  <c r="AG36" i="5"/>
  <c r="AI36" i="5"/>
  <c r="AK36" i="5"/>
  <c r="AO36" i="5"/>
  <c r="AS36" i="5"/>
  <c r="AU36" i="5"/>
  <c r="AW36" i="5"/>
  <c r="AY36" i="5"/>
  <c r="BC36" i="5"/>
  <c r="BG36" i="5"/>
  <c r="BI36" i="5"/>
  <c r="BK36" i="5"/>
  <c r="BD36" i="5"/>
  <c r="BL36" i="5"/>
  <c r="BM36" i="5"/>
  <c r="BN36" i="5"/>
  <c r="BO36" i="5"/>
  <c r="BP36" i="5"/>
  <c r="BQ36" i="5"/>
  <c r="BR36" i="5"/>
  <c r="BS36" i="5"/>
  <c r="BT36" i="5"/>
  <c r="BU36" i="5"/>
  <c r="BV36" i="5"/>
  <c r="BW36" i="5"/>
  <c r="BX36" i="5"/>
  <c r="BY36" i="5"/>
  <c r="BZ36" i="5"/>
  <c r="CA36" i="5"/>
  <c r="CB36" i="5"/>
  <c r="CC36" i="5"/>
  <c r="CD36" i="5"/>
  <c r="CE36" i="5"/>
  <c r="CF36" i="5"/>
  <c r="CG36" i="5"/>
  <c r="CP35" i="5"/>
  <c r="CN35" i="5"/>
  <c r="CO35" i="5"/>
  <c r="CL35" i="5"/>
  <c r="CM35" i="5"/>
  <c r="B35" i="5"/>
  <c r="C35" i="5"/>
  <c r="D35" i="5"/>
  <c r="E35" i="5"/>
  <c r="F35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W35" i="5"/>
  <c r="X35" i="5"/>
  <c r="AN35" i="5"/>
  <c r="Y35" i="5"/>
  <c r="Z35" i="5"/>
  <c r="AA35" i="5"/>
  <c r="AB35" i="5"/>
  <c r="AC35" i="5"/>
  <c r="AD35" i="5"/>
  <c r="AE35" i="5"/>
  <c r="AF35" i="5"/>
  <c r="AG35" i="5"/>
  <c r="AI35" i="5"/>
  <c r="AK35" i="5"/>
  <c r="AO35" i="5"/>
  <c r="AS35" i="5"/>
  <c r="AU35" i="5"/>
  <c r="AW35" i="5"/>
  <c r="AY35" i="5"/>
  <c r="BC35" i="5"/>
  <c r="BG35" i="5"/>
  <c r="BI35" i="5"/>
  <c r="BK35" i="5"/>
  <c r="BD35" i="5"/>
  <c r="BL35" i="5"/>
  <c r="BM35" i="5"/>
  <c r="BN35" i="5"/>
  <c r="BO35" i="5"/>
  <c r="BP35" i="5"/>
  <c r="BQ35" i="5"/>
  <c r="BR35" i="5"/>
  <c r="BS35" i="5"/>
  <c r="BT35" i="5"/>
  <c r="BU35" i="5"/>
  <c r="BV35" i="5"/>
  <c r="BW35" i="5"/>
  <c r="BX35" i="5"/>
  <c r="BY35" i="5"/>
  <c r="BZ35" i="5"/>
  <c r="CA35" i="5"/>
  <c r="CB35" i="5"/>
  <c r="CC35" i="5"/>
  <c r="CD35" i="5"/>
  <c r="CE35" i="5"/>
  <c r="CF35" i="5"/>
  <c r="CG35" i="5"/>
  <c r="CP34" i="5"/>
  <c r="CN34" i="5"/>
  <c r="CO34" i="5"/>
  <c r="CL34" i="5"/>
  <c r="CM34" i="5"/>
  <c r="B34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W34" i="5"/>
  <c r="X34" i="5"/>
  <c r="AN34" i="5"/>
  <c r="Y34" i="5"/>
  <c r="Z34" i="5"/>
  <c r="AA34" i="5"/>
  <c r="AB34" i="5"/>
  <c r="AC34" i="5"/>
  <c r="AD34" i="5"/>
  <c r="AE34" i="5"/>
  <c r="AF34" i="5"/>
  <c r="AG34" i="5"/>
  <c r="AI34" i="5"/>
  <c r="AK34" i="5"/>
  <c r="AO34" i="5"/>
  <c r="AS34" i="5"/>
  <c r="AU34" i="5"/>
  <c r="AW34" i="5"/>
  <c r="AY34" i="5"/>
  <c r="BC34" i="5"/>
  <c r="BG34" i="5"/>
  <c r="BI34" i="5"/>
  <c r="BK34" i="5"/>
  <c r="BD34" i="5"/>
  <c r="BL34" i="5"/>
  <c r="BM34" i="5"/>
  <c r="BN34" i="5"/>
  <c r="BO34" i="5"/>
  <c r="BP34" i="5"/>
  <c r="BQ34" i="5"/>
  <c r="BR34" i="5"/>
  <c r="BS34" i="5"/>
  <c r="BT34" i="5"/>
  <c r="BU34" i="5"/>
  <c r="BV34" i="5"/>
  <c r="BW34" i="5"/>
  <c r="BX34" i="5"/>
  <c r="BY34" i="5"/>
  <c r="BZ34" i="5"/>
  <c r="CA34" i="5"/>
  <c r="CB34" i="5"/>
  <c r="CC34" i="5"/>
  <c r="CD34" i="5"/>
  <c r="CE34" i="5"/>
  <c r="CF34" i="5"/>
  <c r="CG34" i="5"/>
  <c r="CP33" i="5"/>
  <c r="CN33" i="5"/>
  <c r="CO33" i="5"/>
  <c r="CL33" i="5"/>
  <c r="CM33" i="5"/>
  <c r="B33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AN33" i="5"/>
  <c r="Y33" i="5"/>
  <c r="Z33" i="5"/>
  <c r="AA33" i="5"/>
  <c r="AB33" i="5"/>
  <c r="AC33" i="5"/>
  <c r="AD33" i="5"/>
  <c r="AE33" i="5"/>
  <c r="AF33" i="5"/>
  <c r="AG33" i="5"/>
  <c r="AI33" i="5"/>
  <c r="AK33" i="5"/>
  <c r="AO33" i="5"/>
  <c r="AS33" i="5"/>
  <c r="AU33" i="5"/>
  <c r="AW33" i="5"/>
  <c r="AY33" i="5"/>
  <c r="BC33" i="5"/>
  <c r="BG33" i="5"/>
  <c r="BI33" i="5"/>
  <c r="BK33" i="5"/>
  <c r="BD33" i="5"/>
  <c r="BL33" i="5"/>
  <c r="BM33" i="5"/>
  <c r="BN33" i="5"/>
  <c r="BO33" i="5"/>
  <c r="BP33" i="5"/>
  <c r="BQ33" i="5"/>
  <c r="BR33" i="5"/>
  <c r="BS33" i="5"/>
  <c r="BT33" i="5"/>
  <c r="BU33" i="5"/>
  <c r="BV33" i="5"/>
  <c r="BW33" i="5"/>
  <c r="BX33" i="5"/>
  <c r="BY33" i="5"/>
  <c r="BZ33" i="5"/>
  <c r="CA33" i="5"/>
  <c r="CB33" i="5"/>
  <c r="CC33" i="5"/>
  <c r="CD33" i="5"/>
  <c r="CE33" i="5"/>
  <c r="CF33" i="5"/>
  <c r="CG33" i="5"/>
  <c r="CP32" i="5"/>
  <c r="CN32" i="5"/>
  <c r="CO32" i="5"/>
  <c r="CL32" i="5"/>
  <c r="CM32" i="5"/>
  <c r="B32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AN32" i="5"/>
  <c r="Y32" i="5"/>
  <c r="Z32" i="5"/>
  <c r="AA32" i="5"/>
  <c r="AB32" i="5"/>
  <c r="AC32" i="5"/>
  <c r="AD32" i="5"/>
  <c r="AE32" i="5"/>
  <c r="AF32" i="5"/>
  <c r="AG32" i="5"/>
  <c r="AI32" i="5"/>
  <c r="AK32" i="5"/>
  <c r="AO32" i="5"/>
  <c r="AS32" i="5"/>
  <c r="AU32" i="5"/>
  <c r="AW32" i="5"/>
  <c r="AY32" i="5"/>
  <c r="BC32" i="5"/>
  <c r="BG32" i="5"/>
  <c r="BI32" i="5"/>
  <c r="BK32" i="5"/>
  <c r="BD32" i="5"/>
  <c r="BL32" i="5"/>
  <c r="BM32" i="5"/>
  <c r="BN32" i="5"/>
  <c r="BO32" i="5"/>
  <c r="BP32" i="5"/>
  <c r="BQ32" i="5"/>
  <c r="BR32" i="5"/>
  <c r="BS32" i="5"/>
  <c r="BT32" i="5"/>
  <c r="BU32" i="5"/>
  <c r="BV32" i="5"/>
  <c r="BW32" i="5"/>
  <c r="BX32" i="5"/>
  <c r="BY32" i="5"/>
  <c r="BZ32" i="5"/>
  <c r="CA32" i="5"/>
  <c r="CB32" i="5"/>
  <c r="CC32" i="5"/>
  <c r="CD32" i="5"/>
  <c r="CE32" i="5"/>
  <c r="CF32" i="5"/>
  <c r="CG32" i="5"/>
  <c r="CP31" i="5"/>
  <c r="CN31" i="5"/>
  <c r="CO31" i="5"/>
  <c r="CL31" i="5"/>
  <c r="CM31" i="5"/>
  <c r="B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AN31" i="5"/>
  <c r="Y31" i="5"/>
  <c r="Z31" i="5"/>
  <c r="AA31" i="5"/>
  <c r="AB31" i="5"/>
  <c r="AC31" i="5"/>
  <c r="AD31" i="5"/>
  <c r="AE31" i="5"/>
  <c r="AF31" i="5"/>
  <c r="AG31" i="5"/>
  <c r="AI31" i="5"/>
  <c r="AK31" i="5"/>
  <c r="AO31" i="5"/>
  <c r="AS31" i="5"/>
  <c r="AU31" i="5"/>
  <c r="AW31" i="5"/>
  <c r="AY31" i="5"/>
  <c r="BC31" i="5"/>
  <c r="BG31" i="5"/>
  <c r="BI31" i="5"/>
  <c r="BK31" i="5"/>
  <c r="BD31" i="5"/>
  <c r="BL31" i="5"/>
  <c r="BM31" i="5"/>
  <c r="BN31" i="5"/>
  <c r="BO31" i="5"/>
  <c r="BP31" i="5"/>
  <c r="BQ31" i="5"/>
  <c r="BR31" i="5"/>
  <c r="BS31" i="5"/>
  <c r="BT31" i="5"/>
  <c r="BU31" i="5"/>
  <c r="BV31" i="5"/>
  <c r="BW31" i="5"/>
  <c r="BX31" i="5"/>
  <c r="BY31" i="5"/>
  <c r="BZ31" i="5"/>
  <c r="CA31" i="5"/>
  <c r="CB31" i="5"/>
  <c r="CC31" i="5"/>
  <c r="CD31" i="5"/>
  <c r="CE31" i="5"/>
  <c r="CF31" i="5"/>
  <c r="CG31" i="5"/>
  <c r="CP30" i="5"/>
  <c r="CN30" i="5"/>
  <c r="CO30" i="5"/>
  <c r="CL30" i="5"/>
  <c r="CM30" i="5"/>
  <c r="B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AN30" i="5"/>
  <c r="Y30" i="5"/>
  <c r="Z30" i="5"/>
  <c r="AA30" i="5"/>
  <c r="AB30" i="5"/>
  <c r="AC30" i="5"/>
  <c r="AD30" i="5"/>
  <c r="AE30" i="5"/>
  <c r="AF30" i="5"/>
  <c r="AG30" i="5"/>
  <c r="AI30" i="5"/>
  <c r="AK30" i="5"/>
  <c r="AO30" i="5"/>
  <c r="AS30" i="5"/>
  <c r="AU30" i="5"/>
  <c r="AW30" i="5"/>
  <c r="AY30" i="5"/>
  <c r="BC30" i="5"/>
  <c r="BG30" i="5"/>
  <c r="BI30" i="5"/>
  <c r="BK30" i="5"/>
  <c r="BD30" i="5"/>
  <c r="BL30" i="5"/>
  <c r="BM30" i="5"/>
  <c r="BN30" i="5"/>
  <c r="BO30" i="5"/>
  <c r="BP30" i="5"/>
  <c r="BQ30" i="5"/>
  <c r="BR30" i="5"/>
  <c r="BS30" i="5"/>
  <c r="BT30" i="5"/>
  <c r="BU30" i="5"/>
  <c r="BV30" i="5"/>
  <c r="BW30" i="5"/>
  <c r="BX30" i="5"/>
  <c r="BY30" i="5"/>
  <c r="BZ30" i="5"/>
  <c r="CA30" i="5"/>
  <c r="CB30" i="5"/>
  <c r="CC30" i="5"/>
  <c r="CD30" i="5"/>
  <c r="CE30" i="5"/>
  <c r="CF30" i="5"/>
  <c r="CG30" i="5"/>
  <c r="CP29" i="5"/>
  <c r="CN29" i="5"/>
  <c r="CO29" i="5"/>
  <c r="CL29" i="5"/>
  <c r="CM29" i="5"/>
  <c r="B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AN29" i="5"/>
  <c r="Y29" i="5"/>
  <c r="Z29" i="5"/>
  <c r="AA29" i="5"/>
  <c r="AB29" i="5"/>
  <c r="AC29" i="5"/>
  <c r="AD29" i="5"/>
  <c r="AE29" i="5"/>
  <c r="AF29" i="5"/>
  <c r="AG29" i="5"/>
  <c r="AI29" i="5"/>
  <c r="AK29" i="5"/>
  <c r="AO29" i="5"/>
  <c r="AS29" i="5"/>
  <c r="AU29" i="5"/>
  <c r="AW29" i="5"/>
  <c r="AY29" i="5"/>
  <c r="BC29" i="5"/>
  <c r="BG29" i="5"/>
  <c r="BI29" i="5"/>
  <c r="BK29" i="5"/>
  <c r="BD29" i="5"/>
  <c r="BL29" i="5"/>
  <c r="BM29" i="5"/>
  <c r="BN29" i="5"/>
  <c r="BO29" i="5"/>
  <c r="BP29" i="5"/>
  <c r="BQ29" i="5"/>
  <c r="BR29" i="5"/>
  <c r="BS29" i="5"/>
  <c r="BT29" i="5"/>
  <c r="BU29" i="5"/>
  <c r="BV29" i="5"/>
  <c r="BW29" i="5"/>
  <c r="BX29" i="5"/>
  <c r="BY29" i="5"/>
  <c r="BZ29" i="5"/>
  <c r="CA29" i="5"/>
  <c r="CB29" i="5"/>
  <c r="CC29" i="5"/>
  <c r="CD29" i="5"/>
  <c r="CE29" i="5"/>
  <c r="CF29" i="5"/>
  <c r="CG29" i="5"/>
  <c r="CP28" i="5"/>
  <c r="CN28" i="5"/>
  <c r="CO28" i="5"/>
  <c r="CL28" i="5"/>
  <c r="CM28" i="5"/>
  <c r="B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AN28" i="5"/>
  <c r="Y28" i="5"/>
  <c r="Z28" i="5"/>
  <c r="AA28" i="5"/>
  <c r="AB28" i="5"/>
  <c r="AC28" i="5"/>
  <c r="AD28" i="5"/>
  <c r="AE28" i="5"/>
  <c r="AF28" i="5"/>
  <c r="AG28" i="5"/>
  <c r="AI28" i="5"/>
  <c r="AK28" i="5"/>
  <c r="AO28" i="5"/>
  <c r="AS28" i="5"/>
  <c r="AU28" i="5"/>
  <c r="AW28" i="5"/>
  <c r="AY28" i="5"/>
  <c r="BC28" i="5"/>
  <c r="BG28" i="5"/>
  <c r="BI28" i="5"/>
  <c r="BK28" i="5"/>
  <c r="BD28" i="5"/>
  <c r="BL28" i="5"/>
  <c r="BM28" i="5"/>
  <c r="BN28" i="5"/>
  <c r="BO28" i="5"/>
  <c r="BP28" i="5"/>
  <c r="BQ28" i="5"/>
  <c r="BR28" i="5"/>
  <c r="BS28" i="5"/>
  <c r="BT28" i="5"/>
  <c r="BU28" i="5"/>
  <c r="BV28" i="5"/>
  <c r="BW28" i="5"/>
  <c r="BX28" i="5"/>
  <c r="BY28" i="5"/>
  <c r="BZ28" i="5"/>
  <c r="CA28" i="5"/>
  <c r="CB28" i="5"/>
  <c r="CC28" i="5"/>
  <c r="CD28" i="5"/>
  <c r="CE28" i="5"/>
  <c r="CF28" i="5"/>
  <c r="CG28" i="5"/>
  <c r="CP27" i="5"/>
  <c r="CN27" i="5"/>
  <c r="CO27" i="5"/>
  <c r="CL27" i="5"/>
  <c r="CM27" i="5"/>
  <c r="B27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X27" i="5"/>
  <c r="AN27" i="5"/>
  <c r="Y27" i="5"/>
  <c r="Z27" i="5"/>
  <c r="AA27" i="5"/>
  <c r="AB27" i="5"/>
  <c r="AC27" i="5"/>
  <c r="AD27" i="5"/>
  <c r="AE27" i="5"/>
  <c r="AF27" i="5"/>
  <c r="AG27" i="5"/>
  <c r="AI27" i="5"/>
  <c r="AK27" i="5"/>
  <c r="AO27" i="5"/>
  <c r="AS27" i="5"/>
  <c r="AU27" i="5"/>
  <c r="AW27" i="5"/>
  <c r="AY27" i="5"/>
  <c r="BC27" i="5"/>
  <c r="BG27" i="5"/>
  <c r="BI27" i="5"/>
  <c r="BK27" i="5"/>
  <c r="BD27" i="5"/>
  <c r="BL27" i="5"/>
  <c r="BM27" i="5"/>
  <c r="BN27" i="5"/>
  <c r="BO27" i="5"/>
  <c r="BP27" i="5"/>
  <c r="BQ27" i="5"/>
  <c r="BR27" i="5"/>
  <c r="BS27" i="5"/>
  <c r="BT27" i="5"/>
  <c r="BU27" i="5"/>
  <c r="BV27" i="5"/>
  <c r="BW27" i="5"/>
  <c r="BX27" i="5"/>
  <c r="BY27" i="5"/>
  <c r="BZ27" i="5"/>
  <c r="CA27" i="5"/>
  <c r="CB27" i="5"/>
  <c r="CC27" i="5"/>
  <c r="CD27" i="5"/>
  <c r="CE27" i="5"/>
  <c r="CF27" i="5"/>
  <c r="CG27" i="5"/>
  <c r="CP26" i="5"/>
  <c r="CN26" i="5"/>
  <c r="CO26" i="5"/>
  <c r="CL26" i="5"/>
  <c r="CM26" i="5"/>
  <c r="B26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W26" i="5"/>
  <c r="X26" i="5"/>
  <c r="AN26" i="5"/>
  <c r="Y26" i="5"/>
  <c r="Z26" i="5"/>
  <c r="AA26" i="5"/>
  <c r="AB26" i="5"/>
  <c r="AC26" i="5"/>
  <c r="AD26" i="5"/>
  <c r="AE26" i="5"/>
  <c r="AF26" i="5"/>
  <c r="AG26" i="5"/>
  <c r="AI26" i="5"/>
  <c r="AK26" i="5"/>
  <c r="AO26" i="5"/>
  <c r="AS26" i="5"/>
  <c r="AU26" i="5"/>
  <c r="AW26" i="5"/>
  <c r="AY26" i="5"/>
  <c r="BC26" i="5"/>
  <c r="BG26" i="5"/>
  <c r="BI26" i="5"/>
  <c r="BK26" i="5"/>
  <c r="BD26" i="5"/>
  <c r="BL26" i="5"/>
  <c r="BM26" i="5"/>
  <c r="BN26" i="5"/>
  <c r="BO26" i="5"/>
  <c r="BP26" i="5"/>
  <c r="BQ26" i="5"/>
  <c r="BR26" i="5"/>
  <c r="BS26" i="5"/>
  <c r="BT26" i="5"/>
  <c r="BU26" i="5"/>
  <c r="BV26" i="5"/>
  <c r="BW26" i="5"/>
  <c r="BX26" i="5"/>
  <c r="BY26" i="5"/>
  <c r="BZ26" i="5"/>
  <c r="CA26" i="5"/>
  <c r="CB26" i="5"/>
  <c r="CC26" i="5"/>
  <c r="CD26" i="5"/>
  <c r="CE26" i="5"/>
  <c r="CF26" i="5"/>
  <c r="CG26" i="5"/>
  <c r="CP25" i="5"/>
  <c r="CN25" i="5"/>
  <c r="CO25" i="5"/>
  <c r="CL25" i="5"/>
  <c r="CM25" i="5"/>
  <c r="B25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W25" i="5"/>
  <c r="X25" i="5"/>
  <c r="AN25" i="5"/>
  <c r="Y25" i="5"/>
  <c r="Z25" i="5"/>
  <c r="AA25" i="5"/>
  <c r="AB25" i="5"/>
  <c r="AC25" i="5"/>
  <c r="AD25" i="5"/>
  <c r="AE25" i="5"/>
  <c r="AF25" i="5"/>
  <c r="AG25" i="5"/>
  <c r="AI25" i="5"/>
  <c r="AK25" i="5"/>
  <c r="AO25" i="5"/>
  <c r="AS25" i="5"/>
  <c r="AU25" i="5"/>
  <c r="AW25" i="5"/>
  <c r="AY25" i="5"/>
  <c r="BC25" i="5"/>
  <c r="BG25" i="5"/>
  <c r="BI25" i="5"/>
  <c r="BK25" i="5"/>
  <c r="BD25" i="5"/>
  <c r="BL25" i="5"/>
  <c r="BM25" i="5"/>
  <c r="BN25" i="5"/>
  <c r="BO25" i="5"/>
  <c r="BP25" i="5"/>
  <c r="BQ25" i="5"/>
  <c r="BR25" i="5"/>
  <c r="BS25" i="5"/>
  <c r="BT25" i="5"/>
  <c r="BU25" i="5"/>
  <c r="BV25" i="5"/>
  <c r="BW25" i="5"/>
  <c r="BX25" i="5"/>
  <c r="BY25" i="5"/>
  <c r="BZ25" i="5"/>
  <c r="CA25" i="5"/>
  <c r="CB25" i="5"/>
  <c r="CC25" i="5"/>
  <c r="CD25" i="5"/>
  <c r="CE25" i="5"/>
  <c r="CF25" i="5"/>
  <c r="CG25" i="5"/>
  <c r="CP24" i="5"/>
  <c r="CN24" i="5"/>
  <c r="CO24" i="5"/>
  <c r="CL24" i="5"/>
  <c r="CM24" i="5"/>
  <c r="B24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X24" i="5"/>
  <c r="AN24" i="5"/>
  <c r="Y24" i="5"/>
  <c r="Z24" i="5"/>
  <c r="AA24" i="5"/>
  <c r="AB24" i="5"/>
  <c r="AC24" i="5"/>
  <c r="AD24" i="5"/>
  <c r="AE24" i="5"/>
  <c r="AF24" i="5"/>
  <c r="AG24" i="5"/>
  <c r="AI24" i="5"/>
  <c r="AK24" i="5"/>
  <c r="AO24" i="5"/>
  <c r="AS24" i="5"/>
  <c r="AU24" i="5"/>
  <c r="AW24" i="5"/>
  <c r="AY24" i="5"/>
  <c r="BC24" i="5"/>
  <c r="BG24" i="5"/>
  <c r="BI24" i="5"/>
  <c r="BK24" i="5"/>
  <c r="BD24" i="5"/>
  <c r="BL24" i="5"/>
  <c r="BM24" i="5"/>
  <c r="BN24" i="5"/>
  <c r="BO24" i="5"/>
  <c r="BP24" i="5"/>
  <c r="BQ24" i="5"/>
  <c r="BR24" i="5"/>
  <c r="BS24" i="5"/>
  <c r="BT24" i="5"/>
  <c r="BU24" i="5"/>
  <c r="BV24" i="5"/>
  <c r="BW24" i="5"/>
  <c r="BX24" i="5"/>
  <c r="BY24" i="5"/>
  <c r="BZ24" i="5"/>
  <c r="CA24" i="5"/>
  <c r="CB24" i="5"/>
  <c r="CC24" i="5"/>
  <c r="CD24" i="5"/>
  <c r="CE24" i="5"/>
  <c r="CF24" i="5"/>
  <c r="CG24" i="5"/>
  <c r="CP23" i="5"/>
  <c r="CN23" i="5"/>
  <c r="CO23" i="5"/>
  <c r="CL23" i="5"/>
  <c r="CM23" i="5"/>
  <c r="B23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X23" i="5"/>
  <c r="AN23" i="5"/>
  <c r="Y23" i="5"/>
  <c r="Z23" i="5"/>
  <c r="AA23" i="5"/>
  <c r="AB23" i="5"/>
  <c r="AC23" i="5"/>
  <c r="AD23" i="5"/>
  <c r="AE23" i="5"/>
  <c r="AF23" i="5"/>
  <c r="AG23" i="5"/>
  <c r="AI23" i="5"/>
  <c r="AK23" i="5"/>
  <c r="AO23" i="5"/>
  <c r="AS23" i="5"/>
  <c r="AU23" i="5"/>
  <c r="AW23" i="5"/>
  <c r="AY23" i="5"/>
  <c r="BC23" i="5"/>
  <c r="BG23" i="5"/>
  <c r="BI23" i="5"/>
  <c r="BK23" i="5"/>
  <c r="BD23" i="5"/>
  <c r="BL23" i="5"/>
  <c r="BM23" i="5"/>
  <c r="BN23" i="5"/>
  <c r="BO23" i="5"/>
  <c r="BP23" i="5"/>
  <c r="BQ23" i="5"/>
  <c r="BR23" i="5"/>
  <c r="BS23" i="5"/>
  <c r="BT23" i="5"/>
  <c r="BU23" i="5"/>
  <c r="BV23" i="5"/>
  <c r="BW23" i="5"/>
  <c r="BX23" i="5"/>
  <c r="BY23" i="5"/>
  <c r="BZ23" i="5"/>
  <c r="CA23" i="5"/>
  <c r="CB23" i="5"/>
  <c r="CC23" i="5"/>
  <c r="CD23" i="5"/>
  <c r="CE23" i="5"/>
  <c r="CF23" i="5"/>
  <c r="CG23" i="5"/>
  <c r="CP22" i="5"/>
  <c r="CN22" i="5"/>
  <c r="CO22" i="5"/>
  <c r="CL22" i="5"/>
  <c r="CM22" i="5"/>
  <c r="B22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X22" i="5"/>
  <c r="AN22" i="5"/>
  <c r="Y22" i="5"/>
  <c r="Z22" i="5"/>
  <c r="AA22" i="5"/>
  <c r="AB22" i="5"/>
  <c r="AC22" i="5"/>
  <c r="AD22" i="5"/>
  <c r="AE22" i="5"/>
  <c r="AF22" i="5"/>
  <c r="AG22" i="5"/>
  <c r="AI22" i="5"/>
  <c r="AK22" i="5"/>
  <c r="AO22" i="5"/>
  <c r="AS22" i="5"/>
  <c r="AU22" i="5"/>
  <c r="AW22" i="5"/>
  <c r="AY22" i="5"/>
  <c r="BC22" i="5"/>
  <c r="BG22" i="5"/>
  <c r="BI22" i="5"/>
  <c r="BK22" i="5"/>
  <c r="BD22" i="5"/>
  <c r="BL22" i="5"/>
  <c r="BM22" i="5"/>
  <c r="BN22" i="5"/>
  <c r="BO22" i="5"/>
  <c r="BP22" i="5"/>
  <c r="BQ22" i="5"/>
  <c r="BR22" i="5"/>
  <c r="BS22" i="5"/>
  <c r="BT22" i="5"/>
  <c r="BU22" i="5"/>
  <c r="BV22" i="5"/>
  <c r="BW22" i="5"/>
  <c r="BX22" i="5"/>
  <c r="BY22" i="5"/>
  <c r="BZ22" i="5"/>
  <c r="CA22" i="5"/>
  <c r="CB22" i="5"/>
  <c r="CC22" i="5"/>
  <c r="CD22" i="5"/>
  <c r="CE22" i="5"/>
  <c r="CF22" i="5"/>
  <c r="CG22" i="5"/>
  <c r="CP21" i="5"/>
  <c r="CN21" i="5"/>
  <c r="CO21" i="5"/>
  <c r="CL21" i="5"/>
  <c r="CM21" i="5"/>
  <c r="B21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AN21" i="5"/>
  <c r="Y21" i="5"/>
  <c r="Z21" i="5"/>
  <c r="AA21" i="5"/>
  <c r="AB21" i="5"/>
  <c r="AC21" i="5"/>
  <c r="AD21" i="5"/>
  <c r="AE21" i="5"/>
  <c r="AF21" i="5"/>
  <c r="AG21" i="5"/>
  <c r="AI21" i="5"/>
  <c r="AK21" i="5"/>
  <c r="AO21" i="5"/>
  <c r="AS21" i="5"/>
  <c r="AU21" i="5"/>
  <c r="AW21" i="5"/>
  <c r="AY21" i="5"/>
  <c r="BC21" i="5"/>
  <c r="BG21" i="5"/>
  <c r="BI21" i="5"/>
  <c r="BK21" i="5"/>
  <c r="BD21" i="5"/>
  <c r="BL21" i="5"/>
  <c r="BM21" i="5"/>
  <c r="BN21" i="5"/>
  <c r="BO21" i="5"/>
  <c r="BP21" i="5"/>
  <c r="BQ21" i="5"/>
  <c r="BR21" i="5"/>
  <c r="BS21" i="5"/>
  <c r="BT21" i="5"/>
  <c r="BU21" i="5"/>
  <c r="BV21" i="5"/>
  <c r="BW21" i="5"/>
  <c r="BX21" i="5"/>
  <c r="BY21" i="5"/>
  <c r="BZ21" i="5"/>
  <c r="CA21" i="5"/>
  <c r="CB21" i="5"/>
  <c r="CC21" i="5"/>
  <c r="CD21" i="5"/>
  <c r="CE21" i="5"/>
  <c r="CF21" i="5"/>
  <c r="CG21" i="5"/>
  <c r="CP20" i="5"/>
  <c r="CN20" i="5"/>
  <c r="CO20" i="5"/>
  <c r="CL20" i="5"/>
  <c r="CM20" i="5"/>
  <c r="B20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AN20" i="5"/>
  <c r="Y20" i="5"/>
  <c r="Z20" i="5"/>
  <c r="AA20" i="5"/>
  <c r="AB20" i="5"/>
  <c r="AC20" i="5"/>
  <c r="AD20" i="5"/>
  <c r="AE20" i="5"/>
  <c r="AF20" i="5"/>
  <c r="AG20" i="5"/>
  <c r="AI20" i="5"/>
  <c r="AK20" i="5"/>
  <c r="AO20" i="5"/>
  <c r="AS20" i="5"/>
  <c r="AU20" i="5"/>
  <c r="AW20" i="5"/>
  <c r="AY20" i="5"/>
  <c r="BC20" i="5"/>
  <c r="BG20" i="5"/>
  <c r="BI20" i="5"/>
  <c r="BK20" i="5"/>
  <c r="BD20" i="5"/>
  <c r="BL20" i="5"/>
  <c r="BM20" i="5"/>
  <c r="BN20" i="5"/>
  <c r="BO20" i="5"/>
  <c r="BP20" i="5"/>
  <c r="BQ20" i="5"/>
  <c r="BR20" i="5"/>
  <c r="BS20" i="5"/>
  <c r="BT20" i="5"/>
  <c r="BU20" i="5"/>
  <c r="BV20" i="5"/>
  <c r="BW20" i="5"/>
  <c r="BX20" i="5"/>
  <c r="BY20" i="5"/>
  <c r="BZ20" i="5"/>
  <c r="CA20" i="5"/>
  <c r="CB20" i="5"/>
  <c r="CC20" i="5"/>
  <c r="CD20" i="5"/>
  <c r="CE20" i="5"/>
  <c r="CF20" i="5"/>
  <c r="CG20" i="5"/>
  <c r="CP19" i="5"/>
  <c r="CN19" i="5"/>
  <c r="CO19" i="5"/>
  <c r="CL19" i="5"/>
  <c r="CM19" i="5"/>
  <c r="B19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AN19" i="5"/>
  <c r="Y19" i="5"/>
  <c r="Z19" i="5"/>
  <c r="AA19" i="5"/>
  <c r="AB19" i="5"/>
  <c r="AC19" i="5"/>
  <c r="AD19" i="5"/>
  <c r="AE19" i="5"/>
  <c r="AF19" i="5"/>
  <c r="AG19" i="5"/>
  <c r="AI19" i="5"/>
  <c r="AK19" i="5"/>
  <c r="AO19" i="5"/>
  <c r="AS19" i="5"/>
  <c r="AU19" i="5"/>
  <c r="AW19" i="5"/>
  <c r="AY19" i="5"/>
  <c r="BC19" i="5"/>
  <c r="BG19" i="5"/>
  <c r="BI19" i="5"/>
  <c r="BK19" i="5"/>
  <c r="BD19" i="5"/>
  <c r="BL19" i="5"/>
  <c r="BM19" i="5"/>
  <c r="BN19" i="5"/>
  <c r="BO19" i="5"/>
  <c r="BP19" i="5"/>
  <c r="BQ19" i="5"/>
  <c r="BR19" i="5"/>
  <c r="BS19" i="5"/>
  <c r="BT19" i="5"/>
  <c r="BU19" i="5"/>
  <c r="BV19" i="5"/>
  <c r="BW19" i="5"/>
  <c r="BX19" i="5"/>
  <c r="BY19" i="5"/>
  <c r="BZ19" i="5"/>
  <c r="CA19" i="5"/>
  <c r="CB19" i="5"/>
  <c r="CC19" i="5"/>
  <c r="CD19" i="5"/>
  <c r="CE19" i="5"/>
  <c r="CF19" i="5"/>
  <c r="CG19" i="5"/>
  <c r="CP18" i="5"/>
  <c r="CN18" i="5"/>
  <c r="CO18" i="5"/>
  <c r="CL18" i="5"/>
  <c r="CM18" i="5"/>
  <c r="B18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X18" i="5"/>
  <c r="AN18" i="5"/>
  <c r="Y18" i="5"/>
  <c r="Z18" i="5"/>
  <c r="AA18" i="5"/>
  <c r="AB18" i="5"/>
  <c r="AC18" i="5"/>
  <c r="AD18" i="5"/>
  <c r="AE18" i="5"/>
  <c r="AF18" i="5"/>
  <c r="AG18" i="5"/>
  <c r="AI18" i="5"/>
  <c r="AK18" i="5"/>
  <c r="AO18" i="5"/>
  <c r="AS18" i="5"/>
  <c r="AU18" i="5"/>
  <c r="AW18" i="5"/>
  <c r="AY18" i="5"/>
  <c r="BC18" i="5"/>
  <c r="BG18" i="5"/>
  <c r="BI18" i="5"/>
  <c r="BK18" i="5"/>
  <c r="BD18" i="5"/>
  <c r="BL18" i="5"/>
  <c r="BM18" i="5"/>
  <c r="BN18" i="5"/>
  <c r="BO18" i="5"/>
  <c r="BP18" i="5"/>
  <c r="BQ18" i="5"/>
  <c r="BR18" i="5"/>
  <c r="BS18" i="5"/>
  <c r="BT18" i="5"/>
  <c r="BU18" i="5"/>
  <c r="BV18" i="5"/>
  <c r="BW18" i="5"/>
  <c r="BX18" i="5"/>
  <c r="BY18" i="5"/>
  <c r="BZ18" i="5"/>
  <c r="CA18" i="5"/>
  <c r="CB18" i="5"/>
  <c r="CC18" i="5"/>
  <c r="CD18" i="5"/>
  <c r="CE18" i="5"/>
  <c r="CF18" i="5"/>
  <c r="CG18" i="5"/>
  <c r="CP17" i="5"/>
  <c r="CN17" i="5"/>
  <c r="CO17" i="5"/>
  <c r="CL17" i="5"/>
  <c r="CM17" i="5"/>
  <c r="B17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AN17" i="5"/>
  <c r="Y17" i="5"/>
  <c r="Z17" i="5"/>
  <c r="AA17" i="5"/>
  <c r="AB17" i="5"/>
  <c r="AC17" i="5"/>
  <c r="AD17" i="5"/>
  <c r="AE17" i="5"/>
  <c r="AF17" i="5"/>
  <c r="AG17" i="5"/>
  <c r="AI17" i="5"/>
  <c r="AK17" i="5"/>
  <c r="AO17" i="5"/>
  <c r="AS17" i="5"/>
  <c r="AU17" i="5"/>
  <c r="AW17" i="5"/>
  <c r="AY17" i="5"/>
  <c r="BC17" i="5"/>
  <c r="BG17" i="5"/>
  <c r="BI17" i="5"/>
  <c r="BK17" i="5"/>
  <c r="BD17" i="5"/>
  <c r="BL17" i="5"/>
  <c r="BM17" i="5"/>
  <c r="BN17" i="5"/>
  <c r="BO17" i="5"/>
  <c r="BP17" i="5"/>
  <c r="BQ17" i="5"/>
  <c r="BR17" i="5"/>
  <c r="BS17" i="5"/>
  <c r="BT17" i="5"/>
  <c r="BU17" i="5"/>
  <c r="BV17" i="5"/>
  <c r="BW17" i="5"/>
  <c r="BX17" i="5"/>
  <c r="BY17" i="5"/>
  <c r="BZ17" i="5"/>
  <c r="CA17" i="5"/>
  <c r="CB17" i="5"/>
  <c r="CC17" i="5"/>
  <c r="CD17" i="5"/>
  <c r="CE17" i="5"/>
  <c r="CF17" i="5"/>
  <c r="CG17" i="5"/>
  <c r="CP16" i="5"/>
  <c r="CN16" i="5"/>
  <c r="CO16" i="5"/>
  <c r="CL16" i="5"/>
  <c r="CM16" i="5"/>
  <c r="B16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AN16" i="5"/>
  <c r="Y16" i="5"/>
  <c r="Z16" i="5"/>
  <c r="AA16" i="5"/>
  <c r="AB16" i="5"/>
  <c r="AC16" i="5"/>
  <c r="AD16" i="5"/>
  <c r="AE16" i="5"/>
  <c r="AF16" i="5"/>
  <c r="AG16" i="5"/>
  <c r="AI16" i="5"/>
  <c r="AK16" i="5"/>
  <c r="AO16" i="5"/>
  <c r="AS16" i="5"/>
  <c r="AU16" i="5"/>
  <c r="AW16" i="5"/>
  <c r="AY16" i="5"/>
  <c r="BC16" i="5"/>
  <c r="BG16" i="5"/>
  <c r="BI16" i="5"/>
  <c r="BK16" i="5"/>
  <c r="BD16" i="5"/>
  <c r="BL16" i="5"/>
  <c r="BM16" i="5"/>
  <c r="BN16" i="5"/>
  <c r="BO16" i="5"/>
  <c r="BP16" i="5"/>
  <c r="BQ16" i="5"/>
  <c r="BR16" i="5"/>
  <c r="BS16" i="5"/>
  <c r="BT16" i="5"/>
  <c r="BU16" i="5"/>
  <c r="BV16" i="5"/>
  <c r="BW16" i="5"/>
  <c r="BX16" i="5"/>
  <c r="BY16" i="5"/>
  <c r="BZ16" i="5"/>
  <c r="CA16" i="5"/>
  <c r="CB16" i="5"/>
  <c r="CC16" i="5"/>
  <c r="CD16" i="5"/>
  <c r="CE16" i="5"/>
  <c r="CF16" i="5"/>
  <c r="CG16" i="5"/>
  <c r="CP15" i="5"/>
  <c r="CN15" i="5"/>
  <c r="CO15" i="5"/>
  <c r="CL15" i="5"/>
  <c r="CM15" i="5"/>
  <c r="B15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AN15" i="5"/>
  <c r="Y15" i="5"/>
  <c r="Z15" i="5"/>
  <c r="AA15" i="5"/>
  <c r="AB15" i="5"/>
  <c r="AC15" i="5"/>
  <c r="AD15" i="5"/>
  <c r="AE15" i="5"/>
  <c r="AF15" i="5"/>
  <c r="AG15" i="5"/>
  <c r="AI15" i="5"/>
  <c r="AK15" i="5"/>
  <c r="AO15" i="5"/>
  <c r="AS15" i="5"/>
  <c r="AU15" i="5"/>
  <c r="AW15" i="5"/>
  <c r="AY15" i="5"/>
  <c r="BC15" i="5"/>
  <c r="BG15" i="5"/>
  <c r="BI15" i="5"/>
  <c r="BK15" i="5"/>
  <c r="BD15" i="5"/>
  <c r="BL15" i="5"/>
  <c r="BM15" i="5"/>
  <c r="BN15" i="5"/>
  <c r="BO15" i="5"/>
  <c r="BP15" i="5"/>
  <c r="BQ15" i="5"/>
  <c r="BR15" i="5"/>
  <c r="BS15" i="5"/>
  <c r="BT15" i="5"/>
  <c r="BU15" i="5"/>
  <c r="BV15" i="5"/>
  <c r="BW15" i="5"/>
  <c r="BX15" i="5"/>
  <c r="BY15" i="5"/>
  <c r="BZ15" i="5"/>
  <c r="CA15" i="5"/>
  <c r="CB15" i="5"/>
  <c r="CC15" i="5"/>
  <c r="CD15" i="5"/>
  <c r="CE15" i="5"/>
  <c r="CF15" i="5"/>
  <c r="CG15" i="5"/>
  <c r="CP14" i="5"/>
  <c r="CN14" i="5"/>
  <c r="CO14" i="5"/>
  <c r="CL14" i="5"/>
  <c r="CM14" i="5"/>
  <c r="B14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AN14" i="5"/>
  <c r="Y14" i="5"/>
  <c r="Z14" i="5"/>
  <c r="AA14" i="5"/>
  <c r="AB14" i="5"/>
  <c r="AC14" i="5"/>
  <c r="AD14" i="5"/>
  <c r="AE14" i="5"/>
  <c r="AF14" i="5"/>
  <c r="AG14" i="5"/>
  <c r="AI14" i="5"/>
  <c r="AK14" i="5"/>
  <c r="AO14" i="5"/>
  <c r="AS14" i="5"/>
  <c r="AU14" i="5"/>
  <c r="AW14" i="5"/>
  <c r="AY14" i="5"/>
  <c r="BC14" i="5"/>
  <c r="BG14" i="5"/>
  <c r="BI14" i="5"/>
  <c r="BK14" i="5"/>
  <c r="BD14" i="5"/>
  <c r="BL14" i="5"/>
  <c r="BM14" i="5"/>
  <c r="BN14" i="5"/>
  <c r="BO14" i="5"/>
  <c r="BP14" i="5"/>
  <c r="BQ14" i="5"/>
  <c r="BR14" i="5"/>
  <c r="BS14" i="5"/>
  <c r="BT14" i="5"/>
  <c r="BU14" i="5"/>
  <c r="BV14" i="5"/>
  <c r="BW14" i="5"/>
  <c r="BX14" i="5"/>
  <c r="BY14" i="5"/>
  <c r="BZ14" i="5"/>
  <c r="CA14" i="5"/>
  <c r="CB14" i="5"/>
  <c r="CC14" i="5"/>
  <c r="CD14" i="5"/>
  <c r="CE14" i="5"/>
  <c r="CF14" i="5"/>
  <c r="CG14" i="5"/>
  <c r="CP13" i="5"/>
  <c r="CN13" i="5"/>
  <c r="CO13" i="5"/>
  <c r="CL13" i="5"/>
  <c r="CM13" i="5"/>
  <c r="B13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AN13" i="5"/>
  <c r="Y13" i="5"/>
  <c r="Z13" i="5"/>
  <c r="AA13" i="5"/>
  <c r="AB13" i="5"/>
  <c r="AC13" i="5"/>
  <c r="AD13" i="5"/>
  <c r="AE13" i="5"/>
  <c r="AF13" i="5"/>
  <c r="AG13" i="5"/>
  <c r="AI13" i="5"/>
  <c r="AK13" i="5"/>
  <c r="AO13" i="5"/>
  <c r="AS13" i="5"/>
  <c r="AU13" i="5"/>
  <c r="AW13" i="5"/>
  <c r="AY13" i="5"/>
  <c r="BC13" i="5"/>
  <c r="BG13" i="5"/>
  <c r="BI13" i="5"/>
  <c r="BK13" i="5"/>
  <c r="BD13" i="5"/>
  <c r="BL13" i="5"/>
  <c r="BM13" i="5"/>
  <c r="BN13" i="5"/>
  <c r="BO13" i="5"/>
  <c r="BP13" i="5"/>
  <c r="BQ13" i="5"/>
  <c r="BR13" i="5"/>
  <c r="BS13" i="5"/>
  <c r="BT13" i="5"/>
  <c r="BU13" i="5"/>
  <c r="BV13" i="5"/>
  <c r="BW13" i="5"/>
  <c r="BX13" i="5"/>
  <c r="BY13" i="5"/>
  <c r="BZ13" i="5"/>
  <c r="CA13" i="5"/>
  <c r="CB13" i="5"/>
  <c r="CC13" i="5"/>
  <c r="CD13" i="5"/>
  <c r="CE13" i="5"/>
  <c r="CF13" i="5"/>
  <c r="CG13" i="5"/>
  <c r="CP12" i="5"/>
  <c r="CN12" i="5"/>
  <c r="CO12" i="5"/>
  <c r="CL12" i="5"/>
  <c r="CM12" i="5"/>
  <c r="B12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AN12" i="5"/>
  <c r="Y12" i="5"/>
  <c r="Z12" i="5"/>
  <c r="AA12" i="5"/>
  <c r="AB12" i="5"/>
  <c r="AC12" i="5"/>
  <c r="AD12" i="5"/>
  <c r="AE12" i="5"/>
  <c r="AF12" i="5"/>
  <c r="AG12" i="5"/>
  <c r="AI12" i="5"/>
  <c r="AK12" i="5"/>
  <c r="AO12" i="5"/>
  <c r="AS12" i="5"/>
  <c r="AU12" i="5"/>
  <c r="AW12" i="5"/>
  <c r="AY12" i="5"/>
  <c r="BC12" i="5"/>
  <c r="BG12" i="5"/>
  <c r="BI12" i="5"/>
  <c r="BK12" i="5"/>
  <c r="BD12" i="5"/>
  <c r="BL12" i="5"/>
  <c r="BM12" i="5"/>
  <c r="BN12" i="5"/>
  <c r="BO12" i="5"/>
  <c r="BP12" i="5"/>
  <c r="BQ12" i="5"/>
  <c r="BR12" i="5"/>
  <c r="BS12" i="5"/>
  <c r="BT12" i="5"/>
  <c r="BU12" i="5"/>
  <c r="BV12" i="5"/>
  <c r="BW12" i="5"/>
  <c r="BX12" i="5"/>
  <c r="BY12" i="5"/>
  <c r="BZ12" i="5"/>
  <c r="CA12" i="5"/>
  <c r="CB12" i="5"/>
  <c r="CC12" i="5"/>
  <c r="CD12" i="5"/>
  <c r="CE12" i="5"/>
  <c r="CF12" i="5"/>
  <c r="CG12" i="5"/>
  <c r="CP11" i="5"/>
  <c r="CN11" i="5"/>
  <c r="CO11" i="5"/>
  <c r="CL11" i="5"/>
  <c r="CM11" i="5"/>
  <c r="B11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AN11" i="5"/>
  <c r="Y11" i="5"/>
  <c r="Z11" i="5"/>
  <c r="AA11" i="5"/>
  <c r="AB11" i="5"/>
  <c r="AC11" i="5"/>
  <c r="AD11" i="5"/>
  <c r="AE11" i="5"/>
  <c r="AF11" i="5"/>
  <c r="AG11" i="5"/>
  <c r="AI11" i="5"/>
  <c r="AK11" i="5"/>
  <c r="AO11" i="5"/>
  <c r="AS11" i="5"/>
  <c r="AU11" i="5"/>
  <c r="AW11" i="5"/>
  <c r="AY11" i="5"/>
  <c r="BC11" i="5"/>
  <c r="BG11" i="5"/>
  <c r="BI11" i="5"/>
  <c r="BK11" i="5"/>
  <c r="BD11" i="5"/>
  <c r="BL11" i="5"/>
  <c r="BM11" i="5"/>
  <c r="BN11" i="5"/>
  <c r="BO11" i="5"/>
  <c r="BP11" i="5"/>
  <c r="BQ11" i="5"/>
  <c r="BR11" i="5"/>
  <c r="BS11" i="5"/>
  <c r="BT11" i="5"/>
  <c r="BU11" i="5"/>
  <c r="BV11" i="5"/>
  <c r="BW11" i="5"/>
  <c r="BX11" i="5"/>
  <c r="BY11" i="5"/>
  <c r="BZ11" i="5"/>
  <c r="CA11" i="5"/>
  <c r="CB11" i="5"/>
  <c r="CC11" i="5"/>
  <c r="CD11" i="5"/>
  <c r="CE11" i="5"/>
  <c r="CF11" i="5"/>
  <c r="CG11" i="5"/>
  <c r="CP10" i="5"/>
  <c r="CN10" i="5"/>
  <c r="CO10" i="5"/>
  <c r="CL10" i="5"/>
  <c r="CM10" i="5"/>
  <c r="B10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AN10" i="5"/>
  <c r="Y10" i="5"/>
  <c r="Z10" i="5"/>
  <c r="AA10" i="5"/>
  <c r="AB10" i="5"/>
  <c r="AC10" i="5"/>
  <c r="AD10" i="5"/>
  <c r="AE10" i="5"/>
  <c r="AF10" i="5"/>
  <c r="AG10" i="5"/>
  <c r="AI10" i="5"/>
  <c r="AK10" i="5"/>
  <c r="AO10" i="5"/>
  <c r="AS10" i="5"/>
  <c r="AU10" i="5"/>
  <c r="AW10" i="5"/>
  <c r="AY10" i="5"/>
  <c r="BC10" i="5"/>
  <c r="BG10" i="5"/>
  <c r="BI10" i="5"/>
  <c r="BK10" i="5"/>
  <c r="BD10" i="5"/>
  <c r="BL10" i="5"/>
  <c r="BM10" i="5"/>
  <c r="BN10" i="5"/>
  <c r="BO10" i="5"/>
  <c r="BP10" i="5"/>
  <c r="BQ10" i="5"/>
  <c r="BR10" i="5"/>
  <c r="BS10" i="5"/>
  <c r="BT10" i="5"/>
  <c r="BU10" i="5"/>
  <c r="BV10" i="5"/>
  <c r="BW10" i="5"/>
  <c r="BX10" i="5"/>
  <c r="BY10" i="5"/>
  <c r="BZ10" i="5"/>
  <c r="CA10" i="5"/>
  <c r="CB10" i="5"/>
  <c r="CC10" i="5"/>
  <c r="CD10" i="5"/>
  <c r="CE10" i="5"/>
  <c r="CF10" i="5"/>
  <c r="CG10" i="5"/>
  <c r="CP9" i="5"/>
  <c r="CN9" i="5"/>
  <c r="CO9" i="5"/>
  <c r="CL9" i="5"/>
  <c r="CM9" i="5"/>
  <c r="B9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AN9" i="5"/>
  <c r="Y9" i="5"/>
  <c r="Z9" i="5"/>
  <c r="AA9" i="5"/>
  <c r="AB9" i="5"/>
  <c r="AC9" i="5"/>
  <c r="AD9" i="5"/>
  <c r="AE9" i="5"/>
  <c r="AF9" i="5"/>
  <c r="AG9" i="5"/>
  <c r="AI9" i="5"/>
  <c r="AK9" i="5"/>
  <c r="AO9" i="5"/>
  <c r="AS9" i="5"/>
  <c r="AU9" i="5"/>
  <c r="AW9" i="5"/>
  <c r="AY9" i="5"/>
  <c r="BC9" i="5"/>
  <c r="BG9" i="5"/>
  <c r="BI9" i="5"/>
  <c r="BK9" i="5"/>
  <c r="BD9" i="5"/>
  <c r="BL9" i="5"/>
  <c r="BM9" i="5"/>
  <c r="BN9" i="5"/>
  <c r="BO9" i="5"/>
  <c r="BP9" i="5"/>
  <c r="BQ9" i="5"/>
  <c r="BR9" i="5"/>
  <c r="BS9" i="5"/>
  <c r="BT9" i="5"/>
  <c r="BU9" i="5"/>
  <c r="BV9" i="5"/>
  <c r="BW9" i="5"/>
  <c r="BX9" i="5"/>
  <c r="BY9" i="5"/>
  <c r="BZ9" i="5"/>
  <c r="CA9" i="5"/>
  <c r="CB9" i="5"/>
  <c r="CC9" i="5"/>
  <c r="CD9" i="5"/>
  <c r="CE9" i="5"/>
  <c r="CF9" i="5"/>
  <c r="CG9" i="5"/>
  <c r="CP8" i="5"/>
  <c r="CN8" i="5"/>
  <c r="CO8" i="5"/>
  <c r="CL8" i="5"/>
  <c r="CM8" i="5"/>
  <c r="B8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AN8" i="5"/>
  <c r="Y8" i="5"/>
  <c r="Z8" i="5"/>
  <c r="AA8" i="5"/>
  <c r="AB8" i="5"/>
  <c r="AC8" i="5"/>
  <c r="AD8" i="5"/>
  <c r="AE8" i="5"/>
  <c r="AF8" i="5"/>
  <c r="AG8" i="5"/>
  <c r="AI8" i="5"/>
  <c r="AK8" i="5"/>
  <c r="AO8" i="5"/>
  <c r="AS8" i="5"/>
  <c r="AU8" i="5"/>
  <c r="AW8" i="5"/>
  <c r="AY8" i="5"/>
  <c r="BC8" i="5"/>
  <c r="BG8" i="5"/>
  <c r="BI8" i="5"/>
  <c r="BK8" i="5"/>
  <c r="BD8" i="5"/>
  <c r="BL8" i="5"/>
  <c r="BM8" i="5"/>
  <c r="BN8" i="5"/>
  <c r="BO8" i="5"/>
  <c r="BP8" i="5"/>
  <c r="BQ8" i="5"/>
  <c r="BR8" i="5"/>
  <c r="BS8" i="5"/>
  <c r="BT8" i="5"/>
  <c r="BU8" i="5"/>
  <c r="BV8" i="5"/>
  <c r="BW8" i="5"/>
  <c r="BX8" i="5"/>
  <c r="BY8" i="5"/>
  <c r="BZ8" i="5"/>
  <c r="CA8" i="5"/>
  <c r="CB8" i="5"/>
  <c r="CC8" i="5"/>
  <c r="CD8" i="5"/>
  <c r="CE8" i="5"/>
  <c r="CF8" i="5"/>
  <c r="CG8" i="5"/>
  <c r="CP7" i="5"/>
  <c r="CN7" i="5"/>
  <c r="CO7" i="5"/>
  <c r="CL7" i="5"/>
  <c r="CM7" i="5"/>
  <c r="B7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AN7" i="5"/>
  <c r="Y7" i="5"/>
  <c r="Z7" i="5"/>
  <c r="AA7" i="5"/>
  <c r="AB7" i="5"/>
  <c r="AC7" i="5"/>
  <c r="AD7" i="5"/>
  <c r="AE7" i="5"/>
  <c r="AF7" i="5"/>
  <c r="AG7" i="5"/>
  <c r="AI7" i="5"/>
  <c r="AK7" i="5"/>
  <c r="AO7" i="5"/>
  <c r="AS7" i="5"/>
  <c r="AU7" i="5"/>
  <c r="AW7" i="5"/>
  <c r="AY7" i="5"/>
  <c r="BC7" i="5"/>
  <c r="BG7" i="5"/>
  <c r="BI7" i="5"/>
  <c r="BK7" i="5"/>
  <c r="BD7" i="5"/>
  <c r="BL7" i="5"/>
  <c r="BM7" i="5"/>
  <c r="BN7" i="5"/>
  <c r="BO7" i="5"/>
  <c r="BP7" i="5"/>
  <c r="BQ7" i="5"/>
  <c r="BR7" i="5"/>
  <c r="BS7" i="5"/>
  <c r="BT7" i="5"/>
  <c r="BU7" i="5"/>
  <c r="BV7" i="5"/>
  <c r="BW7" i="5"/>
  <c r="BX7" i="5"/>
  <c r="BY7" i="5"/>
  <c r="BZ7" i="5"/>
  <c r="CA7" i="5"/>
  <c r="CB7" i="5"/>
  <c r="CC7" i="5"/>
  <c r="CD7" i="5"/>
  <c r="CE7" i="5"/>
  <c r="CF7" i="5"/>
  <c r="CG7" i="5"/>
  <c r="CP6" i="5"/>
  <c r="CN6" i="5"/>
  <c r="CO6" i="5"/>
  <c r="CL6" i="5"/>
  <c r="CM6" i="5"/>
  <c r="B6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W6" i="5"/>
  <c r="X6" i="5"/>
  <c r="AN6" i="5"/>
  <c r="Y6" i="5"/>
  <c r="Z6" i="5"/>
  <c r="AA6" i="5"/>
  <c r="AB6" i="5"/>
  <c r="AC6" i="5"/>
  <c r="AD6" i="5"/>
  <c r="AE6" i="5"/>
  <c r="AF6" i="5"/>
  <c r="AG6" i="5"/>
  <c r="AI6" i="5"/>
  <c r="AK6" i="5"/>
  <c r="AO6" i="5"/>
  <c r="AS6" i="5"/>
  <c r="AU6" i="5"/>
  <c r="AW6" i="5"/>
  <c r="AY6" i="5"/>
  <c r="BC6" i="5"/>
  <c r="BG6" i="5"/>
  <c r="BI6" i="5"/>
  <c r="BK6" i="5"/>
  <c r="BD6" i="5"/>
  <c r="BL6" i="5"/>
  <c r="BM6" i="5"/>
  <c r="BN6" i="5"/>
  <c r="BO6" i="5"/>
  <c r="BP6" i="5"/>
  <c r="BQ6" i="5"/>
  <c r="BR6" i="5"/>
  <c r="BS6" i="5"/>
  <c r="BT6" i="5"/>
  <c r="BU6" i="5"/>
  <c r="BV6" i="5"/>
  <c r="BW6" i="5"/>
  <c r="BX6" i="5"/>
  <c r="BY6" i="5"/>
  <c r="BZ6" i="5"/>
  <c r="CA6" i="5"/>
  <c r="CB6" i="5"/>
  <c r="CC6" i="5"/>
  <c r="CD6" i="5"/>
  <c r="CE6" i="5"/>
  <c r="CF6" i="5"/>
  <c r="CG6" i="5"/>
  <c r="CP5" i="5"/>
  <c r="CN5" i="5"/>
  <c r="CO5" i="5"/>
  <c r="CL5" i="5"/>
  <c r="CM5" i="5"/>
  <c r="B5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AN5" i="5"/>
  <c r="Y5" i="5"/>
  <c r="Z5" i="5"/>
  <c r="AA5" i="5"/>
  <c r="AB5" i="5"/>
  <c r="AC5" i="5"/>
  <c r="AD5" i="5"/>
  <c r="AE5" i="5"/>
  <c r="AF5" i="5"/>
  <c r="AG5" i="5"/>
  <c r="AI5" i="5"/>
  <c r="AK5" i="5"/>
  <c r="AO5" i="5"/>
  <c r="AS5" i="5"/>
  <c r="AU5" i="5"/>
  <c r="AW5" i="5"/>
  <c r="AY5" i="5"/>
  <c r="BC5" i="5"/>
  <c r="BG5" i="5"/>
  <c r="BI5" i="5"/>
  <c r="BK5" i="5"/>
  <c r="BD5" i="5"/>
  <c r="BL5" i="5"/>
  <c r="BM5" i="5"/>
  <c r="BN5" i="5"/>
  <c r="BO5" i="5"/>
  <c r="BP5" i="5"/>
  <c r="BQ5" i="5"/>
  <c r="BR5" i="5"/>
  <c r="BS5" i="5"/>
  <c r="BT5" i="5"/>
  <c r="BU5" i="5"/>
  <c r="BV5" i="5"/>
  <c r="BW5" i="5"/>
  <c r="BX5" i="5"/>
  <c r="BY5" i="5"/>
  <c r="BZ5" i="5"/>
  <c r="CA5" i="5"/>
  <c r="CB5" i="5"/>
  <c r="CC5" i="5"/>
  <c r="CD5" i="5"/>
  <c r="CE5" i="5"/>
  <c r="CF5" i="5"/>
  <c r="CG5" i="5"/>
  <c r="CM2" i="12"/>
  <c r="CL2" i="12"/>
  <c r="CI2" i="12"/>
  <c r="CH2" i="12"/>
  <c r="CE2" i="12"/>
  <c r="CD2" i="12"/>
  <c r="CA2" i="12"/>
  <c r="BZ2" i="12"/>
  <c r="BW2" i="12"/>
  <c r="BV2" i="12"/>
  <c r="BS2" i="12"/>
  <c r="BR2" i="12"/>
  <c r="BO2" i="12"/>
  <c r="BN2" i="12"/>
  <c r="BK2" i="12"/>
  <c r="BJ2" i="12"/>
  <c r="BG2" i="12"/>
  <c r="BF2" i="12"/>
  <c r="BC2" i="12"/>
  <c r="BB2" i="12"/>
  <c r="AY2" i="12"/>
  <c r="AX2" i="12"/>
  <c r="AU2" i="12"/>
  <c r="AT2" i="12"/>
  <c r="AQ2" i="12"/>
  <c r="AP2" i="12"/>
  <c r="AM2" i="12"/>
  <c r="AL2" i="12"/>
  <c r="AI2" i="12"/>
  <c r="AH2" i="12"/>
  <c r="AE2" i="12"/>
  <c r="AD2" i="12"/>
  <c r="AA2" i="12"/>
  <c r="Z2" i="12"/>
  <c r="W2" i="12"/>
  <c r="V2" i="12"/>
  <c r="AV5" i="5"/>
  <c r="AV6" i="5"/>
  <c r="AV7" i="5"/>
  <c r="AV8" i="5"/>
  <c r="AV9" i="5"/>
  <c r="AV10" i="5"/>
  <c r="AV11" i="5"/>
  <c r="AV12" i="5"/>
  <c r="AV13" i="5"/>
  <c r="AV14" i="5"/>
  <c r="AV15" i="5"/>
  <c r="AV16" i="5"/>
  <c r="AV17" i="5"/>
  <c r="AV18" i="5"/>
  <c r="AV19" i="5"/>
  <c r="AV20" i="5"/>
  <c r="AV21" i="5"/>
  <c r="AV22" i="5"/>
  <c r="AV23" i="5"/>
  <c r="AV24" i="5"/>
  <c r="AV25" i="5"/>
  <c r="AV26" i="5"/>
  <c r="AV27" i="5"/>
  <c r="AV28" i="5"/>
  <c r="AV29" i="5"/>
  <c r="AV30" i="5"/>
  <c r="AV31" i="5"/>
  <c r="AV32" i="5"/>
  <c r="AV33" i="5"/>
  <c r="AV34" i="5"/>
  <c r="AV35" i="5"/>
  <c r="AV36" i="5"/>
  <c r="AV37" i="5"/>
  <c r="AV38" i="5"/>
  <c r="AV39" i="5"/>
  <c r="AV40" i="5"/>
  <c r="AV42" i="5"/>
  <c r="AV48" i="5"/>
  <c r="AV54" i="5"/>
  <c r="AV56" i="5"/>
  <c r="AV57" i="5"/>
  <c r="AV58" i="5"/>
  <c r="AV59" i="5"/>
  <c r="AV62" i="5"/>
  <c r="AV66" i="5"/>
  <c r="AV67" i="5"/>
  <c r="AV68" i="5"/>
  <c r="AV71" i="5"/>
  <c r="AV73" i="5"/>
  <c r="AV171" i="5"/>
  <c r="AV172" i="5"/>
  <c r="AV173" i="5"/>
  <c r="AV174" i="5"/>
  <c r="AV175" i="5"/>
  <c r="AV176" i="5"/>
  <c r="AV177" i="5"/>
  <c r="AV178" i="5"/>
  <c r="AV179" i="5"/>
  <c r="AV180" i="5"/>
  <c r="AV181" i="5"/>
  <c r="AV182" i="5"/>
  <c r="AV183" i="5"/>
  <c r="AV184" i="5"/>
  <c r="AV185" i="5"/>
  <c r="AV186" i="5"/>
  <c r="AV187" i="5"/>
  <c r="AV188" i="5"/>
  <c r="AV189" i="5"/>
  <c r="AV190" i="5"/>
  <c r="AV191" i="5"/>
  <c r="AV192" i="5"/>
  <c r="AV193" i="5"/>
  <c r="AV194" i="5"/>
  <c r="AV195" i="5"/>
  <c r="AV196" i="5"/>
  <c r="AV197" i="5"/>
  <c r="AV198" i="5"/>
  <c r="AV199" i="5"/>
  <c r="AV200" i="5"/>
  <c r="AV201" i="5"/>
  <c r="AV202" i="5"/>
  <c r="AV203" i="5"/>
  <c r="AV204" i="5"/>
  <c r="AV205" i="5"/>
  <c r="AV206" i="5"/>
  <c r="AV207" i="5"/>
  <c r="AV208" i="5"/>
  <c r="AV209" i="5"/>
  <c r="AV210" i="5"/>
  <c r="AV211" i="5"/>
  <c r="AV212" i="5"/>
  <c r="AV213" i="5"/>
  <c r="AV214" i="5"/>
  <c r="AV215" i="5"/>
  <c r="AV216" i="5"/>
  <c r="AV217" i="5"/>
  <c r="AV218" i="5"/>
  <c r="AV219" i="5"/>
  <c r="AV220" i="5"/>
  <c r="AV221" i="5"/>
  <c r="AV222" i="5"/>
  <c r="AV223" i="5"/>
  <c r="AV224" i="5"/>
  <c r="AV225" i="5"/>
  <c r="AV226" i="5"/>
  <c r="AV227" i="5"/>
  <c r="AV228" i="5"/>
  <c r="AV229" i="5"/>
  <c r="AV230" i="5"/>
  <c r="AV231" i="5"/>
  <c r="AV232" i="5"/>
  <c r="AV233" i="5"/>
  <c r="AV234" i="5"/>
  <c r="AV235" i="5"/>
  <c r="AV236" i="5"/>
  <c r="AV237" i="5"/>
  <c r="AV238" i="5"/>
  <c r="AV239" i="5"/>
  <c r="AV240" i="5"/>
  <c r="AV241" i="5"/>
  <c r="AV242" i="5"/>
  <c r="AV243" i="5"/>
  <c r="AV244" i="5"/>
  <c r="AV245" i="5"/>
  <c r="AV246" i="5"/>
  <c r="AV247" i="5"/>
  <c r="AV248" i="5"/>
  <c r="AV249" i="5"/>
  <c r="AV250" i="5"/>
  <c r="CK5" i="5"/>
  <c r="CJ5" i="5"/>
  <c r="CI5" i="5"/>
  <c r="CH5" i="5"/>
  <c r="CK6" i="5"/>
  <c r="CJ6" i="5"/>
  <c r="CI6" i="5"/>
  <c r="CH6" i="5"/>
  <c r="CK7" i="5"/>
  <c r="CJ7" i="5"/>
  <c r="CI7" i="5"/>
  <c r="CH7" i="5"/>
  <c r="CK8" i="5"/>
  <c r="CJ8" i="5"/>
  <c r="CI8" i="5"/>
  <c r="CH8" i="5"/>
  <c r="CK9" i="5"/>
  <c r="CJ9" i="5"/>
  <c r="CI9" i="5"/>
  <c r="CH9" i="5"/>
  <c r="CK10" i="5"/>
  <c r="CJ10" i="5"/>
  <c r="CI10" i="5"/>
  <c r="CH10" i="5"/>
  <c r="CK11" i="5"/>
  <c r="CJ11" i="5"/>
  <c r="CI11" i="5"/>
  <c r="CH11" i="5"/>
  <c r="CK12" i="5"/>
  <c r="CJ12" i="5"/>
  <c r="CI12" i="5"/>
  <c r="CH12" i="5"/>
  <c r="CK13" i="5"/>
  <c r="CJ13" i="5"/>
  <c r="CI13" i="5"/>
  <c r="CH13" i="5"/>
  <c r="CK14" i="5"/>
  <c r="CJ14" i="5"/>
  <c r="CI14" i="5"/>
  <c r="CH14" i="5"/>
  <c r="CK15" i="5"/>
  <c r="CJ15" i="5"/>
  <c r="CI15" i="5"/>
  <c r="CH15" i="5"/>
  <c r="CK16" i="5"/>
  <c r="CJ16" i="5"/>
  <c r="CI16" i="5"/>
  <c r="CH16" i="5"/>
  <c r="CK17" i="5"/>
  <c r="CJ17" i="5"/>
  <c r="CI17" i="5"/>
  <c r="CH17" i="5"/>
  <c r="CK18" i="5"/>
  <c r="CJ18" i="5"/>
  <c r="CI18" i="5"/>
  <c r="CH18" i="5"/>
  <c r="CK19" i="5"/>
  <c r="CJ19" i="5"/>
  <c r="CI19" i="5"/>
  <c r="CH19" i="5"/>
  <c r="CK20" i="5"/>
  <c r="CJ20" i="5"/>
  <c r="CI20" i="5"/>
  <c r="CH20" i="5"/>
  <c r="CK21" i="5"/>
  <c r="CJ21" i="5"/>
  <c r="CI21" i="5"/>
  <c r="CH21" i="5"/>
  <c r="CK22" i="5"/>
  <c r="CJ22" i="5"/>
  <c r="CI22" i="5"/>
  <c r="CH22" i="5"/>
  <c r="CK23" i="5"/>
  <c r="CJ23" i="5"/>
  <c r="CI23" i="5"/>
  <c r="CH23" i="5"/>
  <c r="CK24" i="5"/>
  <c r="CJ24" i="5"/>
  <c r="CI24" i="5"/>
  <c r="CH24" i="5"/>
  <c r="CK25" i="5"/>
  <c r="CJ25" i="5"/>
  <c r="CI25" i="5"/>
  <c r="CH25" i="5"/>
  <c r="CK26" i="5"/>
  <c r="CJ26" i="5"/>
  <c r="CI26" i="5"/>
  <c r="CH26" i="5"/>
  <c r="CK27" i="5"/>
  <c r="CJ27" i="5"/>
  <c r="CI27" i="5"/>
  <c r="CH27" i="5"/>
  <c r="CK28" i="5"/>
  <c r="CJ28" i="5"/>
  <c r="CI28" i="5"/>
  <c r="CH28" i="5"/>
  <c r="CK29" i="5"/>
  <c r="CJ29" i="5"/>
  <c r="CI29" i="5"/>
  <c r="CH29" i="5"/>
  <c r="CK30" i="5"/>
  <c r="CJ30" i="5"/>
  <c r="CI30" i="5"/>
  <c r="CH30" i="5"/>
  <c r="CK31" i="5"/>
  <c r="CJ31" i="5"/>
  <c r="CI31" i="5"/>
  <c r="CH31" i="5"/>
  <c r="CK32" i="5"/>
  <c r="CJ32" i="5"/>
  <c r="CI32" i="5"/>
  <c r="CH32" i="5"/>
  <c r="CK33" i="5"/>
  <c r="CJ33" i="5"/>
  <c r="CI33" i="5"/>
  <c r="CH33" i="5"/>
  <c r="CK34" i="5"/>
  <c r="CJ34" i="5"/>
  <c r="CI34" i="5"/>
  <c r="CH34" i="5"/>
  <c r="CK35" i="5"/>
  <c r="CJ35" i="5"/>
  <c r="CI35" i="5"/>
  <c r="CH35" i="5"/>
  <c r="CK36" i="5"/>
  <c r="CJ36" i="5"/>
  <c r="CI36" i="5"/>
  <c r="CH36" i="5"/>
  <c r="CK37" i="5"/>
  <c r="CJ37" i="5"/>
  <c r="CI37" i="5"/>
  <c r="CH37" i="5"/>
  <c r="CK38" i="5"/>
  <c r="CJ38" i="5"/>
  <c r="CI38" i="5"/>
  <c r="CH38" i="5"/>
  <c r="CK39" i="5"/>
  <c r="CJ39" i="5"/>
  <c r="CI39" i="5"/>
  <c r="CH39" i="5"/>
  <c r="CK40" i="5"/>
  <c r="CJ40" i="5"/>
  <c r="CI40" i="5"/>
  <c r="CH40" i="5"/>
  <c r="CK42" i="5"/>
  <c r="CJ42" i="5"/>
  <c r="CI42" i="5"/>
  <c r="CH42" i="5"/>
  <c r="CK43" i="5"/>
  <c r="CJ43" i="5"/>
  <c r="CI43" i="5"/>
  <c r="CH43" i="5"/>
  <c r="CH44" i="5"/>
  <c r="CJ45" i="5"/>
  <c r="CI45" i="5"/>
  <c r="CK46" i="5"/>
  <c r="CJ46" i="5"/>
  <c r="CI46" i="5"/>
  <c r="CH46" i="5"/>
  <c r="CK47" i="5"/>
  <c r="CK48" i="5"/>
  <c r="CJ48" i="5"/>
  <c r="CI48" i="5"/>
  <c r="CH48" i="5"/>
  <c r="CK53" i="5"/>
  <c r="CJ53" i="5"/>
  <c r="CI53" i="5"/>
  <c r="CH53" i="5"/>
  <c r="CK54" i="5"/>
  <c r="CJ54" i="5"/>
  <c r="CI54" i="5"/>
  <c r="CH54" i="5"/>
  <c r="CK55" i="5"/>
  <c r="CJ55" i="5"/>
  <c r="CI55" i="5"/>
  <c r="CH55" i="5"/>
  <c r="CK56" i="5"/>
  <c r="CJ56" i="5"/>
  <c r="CI56" i="5"/>
  <c r="CH56" i="5"/>
  <c r="CK57" i="5"/>
  <c r="CJ57" i="5"/>
  <c r="CI57" i="5"/>
  <c r="CH57" i="5"/>
  <c r="CK58" i="5"/>
  <c r="CJ58" i="5"/>
  <c r="CI58" i="5"/>
  <c r="CH58" i="5"/>
  <c r="CK59" i="5"/>
  <c r="CJ59" i="5"/>
  <c r="CI59" i="5"/>
  <c r="CH59" i="5"/>
  <c r="CK60" i="5"/>
  <c r="CJ60" i="5"/>
  <c r="CI60" i="5"/>
  <c r="CH60" i="5"/>
  <c r="CK61" i="5"/>
  <c r="CJ61" i="5"/>
  <c r="CI61" i="5"/>
  <c r="CH61" i="5"/>
  <c r="CK62" i="5"/>
  <c r="CJ62" i="5"/>
  <c r="CI62" i="5"/>
  <c r="CH62" i="5"/>
  <c r="CK63" i="5"/>
  <c r="CJ63" i="5"/>
  <c r="CI63" i="5"/>
  <c r="CH63" i="5"/>
  <c r="CK64" i="5"/>
  <c r="CJ64" i="5"/>
  <c r="CI64" i="5"/>
  <c r="CH64" i="5"/>
  <c r="CK65" i="5"/>
  <c r="CJ65" i="5"/>
  <c r="CI65" i="5"/>
  <c r="CH65" i="5"/>
  <c r="CK66" i="5"/>
  <c r="CJ66" i="5"/>
  <c r="CI66" i="5"/>
  <c r="CH66" i="5"/>
  <c r="CK67" i="5"/>
  <c r="CJ67" i="5"/>
  <c r="CI67" i="5"/>
  <c r="CH67" i="5"/>
  <c r="CK68" i="5"/>
  <c r="CJ68" i="5"/>
  <c r="CI68" i="5"/>
  <c r="CH68" i="5"/>
  <c r="CK69" i="5"/>
  <c r="CJ69" i="5"/>
  <c r="CI69" i="5"/>
  <c r="CH69" i="5"/>
  <c r="CK71" i="5"/>
  <c r="CJ71" i="5"/>
  <c r="CI71" i="5"/>
  <c r="CH71" i="5"/>
  <c r="CK72" i="5"/>
  <c r="CJ72" i="5"/>
  <c r="CI72" i="5"/>
  <c r="CH72" i="5"/>
  <c r="CK73" i="5"/>
  <c r="CJ73" i="5"/>
  <c r="CI73" i="5"/>
  <c r="CH73" i="5"/>
  <c r="CK74" i="5"/>
  <c r="CJ74" i="5"/>
  <c r="CI74" i="5"/>
  <c r="CH74" i="5"/>
  <c r="CK76" i="5"/>
  <c r="CJ76" i="5"/>
  <c r="CI76" i="5"/>
  <c r="CH76" i="5"/>
  <c r="CK77" i="5"/>
  <c r="CJ77" i="5"/>
  <c r="CI77" i="5"/>
  <c r="CH77" i="5"/>
  <c r="CK78" i="5"/>
  <c r="CJ78" i="5"/>
  <c r="CI78" i="5"/>
  <c r="CH78" i="5"/>
  <c r="CK79" i="5"/>
  <c r="CJ79" i="5"/>
  <c r="CI79" i="5"/>
  <c r="CH79" i="5"/>
  <c r="CK81" i="5"/>
  <c r="CJ81" i="5"/>
  <c r="CI81" i="5"/>
  <c r="CH81" i="5"/>
  <c r="CK84" i="5"/>
  <c r="CJ84" i="5"/>
  <c r="CI84" i="5"/>
  <c r="CH84" i="5"/>
  <c r="CK169" i="5"/>
  <c r="CK171" i="5"/>
  <c r="CJ171" i="5"/>
  <c r="CI171" i="5"/>
  <c r="CH171" i="5"/>
  <c r="CK172" i="5"/>
  <c r="CJ172" i="5"/>
  <c r="CI172" i="5"/>
  <c r="CH172" i="5"/>
  <c r="CK173" i="5"/>
  <c r="CJ173" i="5"/>
  <c r="CI173" i="5"/>
  <c r="CH173" i="5"/>
  <c r="CK174" i="5"/>
  <c r="CJ174" i="5"/>
  <c r="CI174" i="5"/>
  <c r="CH174" i="5"/>
  <c r="CK175" i="5"/>
  <c r="CJ175" i="5"/>
  <c r="CI175" i="5"/>
  <c r="CH175" i="5"/>
  <c r="CK176" i="5"/>
  <c r="CJ176" i="5"/>
  <c r="CI176" i="5"/>
  <c r="CH176" i="5"/>
  <c r="CK177" i="5"/>
  <c r="CJ177" i="5"/>
  <c r="CI177" i="5"/>
  <c r="CH177" i="5"/>
  <c r="CK178" i="5"/>
  <c r="CJ178" i="5"/>
  <c r="CI178" i="5"/>
  <c r="CH178" i="5"/>
  <c r="CK179" i="5"/>
  <c r="CJ179" i="5"/>
  <c r="CI179" i="5"/>
  <c r="CH179" i="5"/>
  <c r="CK180" i="5"/>
  <c r="CJ180" i="5"/>
  <c r="CI180" i="5"/>
  <c r="CH180" i="5"/>
  <c r="CK181" i="5"/>
  <c r="CJ181" i="5"/>
  <c r="CI181" i="5"/>
  <c r="CH181" i="5"/>
  <c r="CK182" i="5"/>
  <c r="CJ182" i="5"/>
  <c r="CI182" i="5"/>
  <c r="CH182" i="5"/>
  <c r="CK183" i="5"/>
  <c r="CJ183" i="5"/>
  <c r="CI183" i="5"/>
  <c r="CH183" i="5"/>
  <c r="CK184" i="5"/>
  <c r="CJ184" i="5"/>
  <c r="CI184" i="5"/>
  <c r="CH184" i="5"/>
  <c r="CK185" i="5"/>
  <c r="CJ185" i="5"/>
  <c r="CI185" i="5"/>
  <c r="CH185" i="5"/>
  <c r="CK186" i="5"/>
  <c r="CJ186" i="5"/>
  <c r="CI186" i="5"/>
  <c r="CH186" i="5"/>
  <c r="CK187" i="5"/>
  <c r="CJ187" i="5"/>
  <c r="CI187" i="5"/>
  <c r="CH187" i="5"/>
  <c r="CK188" i="5"/>
  <c r="CJ188" i="5"/>
  <c r="CI188" i="5"/>
  <c r="CH188" i="5"/>
  <c r="CK189" i="5"/>
  <c r="CJ189" i="5"/>
  <c r="CI189" i="5"/>
  <c r="CH189" i="5"/>
  <c r="CK190" i="5"/>
  <c r="CJ190" i="5"/>
  <c r="CI190" i="5"/>
  <c r="CH190" i="5"/>
  <c r="CK191" i="5"/>
  <c r="CJ191" i="5"/>
  <c r="CI191" i="5"/>
  <c r="CH191" i="5"/>
  <c r="CK192" i="5"/>
  <c r="CJ192" i="5"/>
  <c r="CI192" i="5"/>
  <c r="CH192" i="5"/>
  <c r="CK193" i="5"/>
  <c r="CJ193" i="5"/>
  <c r="CI193" i="5"/>
  <c r="CH193" i="5"/>
  <c r="CK194" i="5"/>
  <c r="CJ194" i="5"/>
  <c r="CI194" i="5"/>
  <c r="CH194" i="5"/>
  <c r="CK195" i="5"/>
  <c r="CJ195" i="5"/>
  <c r="CI195" i="5"/>
  <c r="CH195" i="5"/>
  <c r="CK196" i="5"/>
  <c r="CJ196" i="5"/>
  <c r="CI196" i="5"/>
  <c r="CH196" i="5"/>
  <c r="CK197" i="5"/>
  <c r="CJ197" i="5"/>
  <c r="CI197" i="5"/>
  <c r="CH197" i="5"/>
  <c r="CK198" i="5"/>
  <c r="CJ198" i="5"/>
  <c r="CI198" i="5"/>
  <c r="CH198" i="5"/>
  <c r="CK199" i="5"/>
  <c r="CJ199" i="5"/>
  <c r="CI199" i="5"/>
  <c r="CH199" i="5"/>
  <c r="CK200" i="5"/>
  <c r="CJ200" i="5"/>
  <c r="CI200" i="5"/>
  <c r="CH200" i="5"/>
  <c r="CK201" i="5"/>
  <c r="CJ201" i="5"/>
  <c r="CI201" i="5"/>
  <c r="CH201" i="5"/>
  <c r="CK202" i="5"/>
  <c r="CJ202" i="5"/>
  <c r="CI202" i="5"/>
  <c r="CH202" i="5"/>
  <c r="CK203" i="5"/>
  <c r="CJ203" i="5"/>
  <c r="CI203" i="5"/>
  <c r="CH203" i="5"/>
  <c r="CK204" i="5"/>
  <c r="CJ204" i="5"/>
  <c r="CI204" i="5"/>
  <c r="CH204" i="5"/>
  <c r="CK205" i="5"/>
  <c r="CJ205" i="5"/>
  <c r="CI205" i="5"/>
  <c r="CH205" i="5"/>
  <c r="CK206" i="5"/>
  <c r="CJ206" i="5"/>
  <c r="CI206" i="5"/>
  <c r="CH206" i="5"/>
  <c r="CK207" i="5"/>
  <c r="CJ207" i="5"/>
  <c r="CI207" i="5"/>
  <c r="CH207" i="5"/>
  <c r="CK208" i="5"/>
  <c r="CJ208" i="5"/>
  <c r="CI208" i="5"/>
  <c r="CH208" i="5"/>
  <c r="CK209" i="5"/>
  <c r="CJ209" i="5"/>
  <c r="CI209" i="5"/>
  <c r="CH209" i="5"/>
  <c r="CK210" i="5"/>
  <c r="CJ210" i="5"/>
  <c r="CI210" i="5"/>
  <c r="CH210" i="5"/>
  <c r="CK211" i="5"/>
  <c r="CJ211" i="5"/>
  <c r="CI211" i="5"/>
  <c r="CH211" i="5"/>
  <c r="CK212" i="5"/>
  <c r="CJ212" i="5"/>
  <c r="CI212" i="5"/>
  <c r="CH212" i="5"/>
  <c r="CK213" i="5"/>
  <c r="CJ213" i="5"/>
  <c r="CI213" i="5"/>
  <c r="CH213" i="5"/>
  <c r="CK214" i="5"/>
  <c r="CJ214" i="5"/>
  <c r="CI214" i="5"/>
  <c r="CH214" i="5"/>
  <c r="CK215" i="5"/>
  <c r="CJ215" i="5"/>
  <c r="CI215" i="5"/>
  <c r="CH215" i="5"/>
  <c r="CK216" i="5"/>
  <c r="CJ216" i="5"/>
  <c r="CI216" i="5"/>
  <c r="CH216" i="5"/>
  <c r="CK217" i="5"/>
  <c r="CJ217" i="5"/>
  <c r="CI217" i="5"/>
  <c r="CH217" i="5"/>
  <c r="CK218" i="5"/>
  <c r="CJ218" i="5"/>
  <c r="CI218" i="5"/>
  <c r="CH218" i="5"/>
  <c r="CK219" i="5"/>
  <c r="CJ219" i="5"/>
  <c r="CI219" i="5"/>
  <c r="CH219" i="5"/>
  <c r="CK220" i="5"/>
  <c r="CJ220" i="5"/>
  <c r="CI220" i="5"/>
  <c r="CH220" i="5"/>
  <c r="CK221" i="5"/>
  <c r="CJ221" i="5"/>
  <c r="CI221" i="5"/>
  <c r="CH221" i="5"/>
  <c r="CK222" i="5"/>
  <c r="CJ222" i="5"/>
  <c r="CI222" i="5"/>
  <c r="CH222" i="5"/>
  <c r="CK223" i="5"/>
  <c r="CJ223" i="5"/>
  <c r="CI223" i="5"/>
  <c r="CH223" i="5"/>
  <c r="CK224" i="5"/>
  <c r="CJ224" i="5"/>
  <c r="CI224" i="5"/>
  <c r="CH224" i="5"/>
  <c r="CK225" i="5"/>
  <c r="CJ225" i="5"/>
  <c r="CI225" i="5"/>
  <c r="CH225" i="5"/>
  <c r="CK226" i="5"/>
  <c r="CJ226" i="5"/>
  <c r="CI226" i="5"/>
  <c r="CH226" i="5"/>
  <c r="CK227" i="5"/>
  <c r="CJ227" i="5"/>
  <c r="CI227" i="5"/>
  <c r="CH227" i="5"/>
  <c r="CK228" i="5"/>
  <c r="CJ228" i="5"/>
  <c r="CI228" i="5"/>
  <c r="CH228" i="5"/>
  <c r="CK229" i="5"/>
  <c r="CJ229" i="5"/>
  <c r="CI229" i="5"/>
  <c r="CH229" i="5"/>
  <c r="CK230" i="5"/>
  <c r="CJ230" i="5"/>
  <c r="CI230" i="5"/>
  <c r="CH230" i="5"/>
  <c r="CK231" i="5"/>
  <c r="CJ231" i="5"/>
  <c r="CI231" i="5"/>
  <c r="CH231" i="5"/>
  <c r="CK232" i="5"/>
  <c r="CJ232" i="5"/>
  <c r="CI232" i="5"/>
  <c r="CH232" i="5"/>
  <c r="CK233" i="5"/>
  <c r="CJ233" i="5"/>
  <c r="CI233" i="5"/>
  <c r="CH233" i="5"/>
  <c r="CK234" i="5"/>
  <c r="CJ234" i="5"/>
  <c r="CI234" i="5"/>
  <c r="CH234" i="5"/>
  <c r="CK235" i="5"/>
  <c r="CJ235" i="5"/>
  <c r="CI235" i="5"/>
  <c r="CH235" i="5"/>
  <c r="CK236" i="5"/>
  <c r="CJ236" i="5"/>
  <c r="CI236" i="5"/>
  <c r="CH236" i="5"/>
  <c r="CK237" i="5"/>
  <c r="CJ237" i="5"/>
  <c r="CI237" i="5"/>
  <c r="CH237" i="5"/>
  <c r="CK238" i="5"/>
  <c r="CJ238" i="5"/>
  <c r="CI238" i="5"/>
  <c r="CH238" i="5"/>
  <c r="CK239" i="5"/>
  <c r="CJ239" i="5"/>
  <c r="CI239" i="5"/>
  <c r="CH239" i="5"/>
  <c r="CK240" i="5"/>
  <c r="CJ240" i="5"/>
  <c r="CI240" i="5"/>
  <c r="CH240" i="5"/>
  <c r="CK241" i="5"/>
  <c r="CJ241" i="5"/>
  <c r="CI241" i="5"/>
  <c r="CH241" i="5"/>
  <c r="CK242" i="5"/>
  <c r="CJ242" i="5"/>
  <c r="CI242" i="5"/>
  <c r="CH242" i="5"/>
  <c r="CK243" i="5"/>
  <c r="CJ243" i="5"/>
  <c r="CI243" i="5"/>
  <c r="CH243" i="5"/>
  <c r="CK244" i="5"/>
  <c r="CJ244" i="5"/>
  <c r="CI244" i="5"/>
  <c r="CH244" i="5"/>
  <c r="CK245" i="5"/>
  <c r="CJ245" i="5"/>
  <c r="CI245" i="5"/>
  <c r="CH245" i="5"/>
  <c r="CK246" i="5"/>
  <c r="CJ246" i="5"/>
  <c r="CI246" i="5"/>
  <c r="CH246" i="5"/>
  <c r="CK247" i="5"/>
  <c r="CJ247" i="5"/>
  <c r="CI247" i="5"/>
  <c r="CH247" i="5"/>
  <c r="CK248" i="5"/>
  <c r="CJ248" i="5"/>
  <c r="CI248" i="5"/>
  <c r="CH248" i="5"/>
  <c r="CK249" i="5"/>
  <c r="CJ249" i="5"/>
  <c r="CI249" i="5"/>
  <c r="CH249" i="5"/>
  <c r="CK250" i="5"/>
  <c r="CJ250" i="5"/>
  <c r="CI250" i="5"/>
  <c r="CH250" i="5"/>
  <c r="S2" i="12"/>
  <c r="P2" i="12"/>
  <c r="CU5" i="5"/>
  <c r="AP5" i="5"/>
  <c r="BB5" i="5"/>
  <c r="CT5" i="5"/>
  <c r="CU6" i="5"/>
  <c r="AP6" i="5"/>
  <c r="BB6" i="5"/>
  <c r="CT6" i="5"/>
  <c r="CU7" i="5"/>
  <c r="AP7" i="5"/>
  <c r="BB7" i="5"/>
  <c r="CT7" i="5"/>
  <c r="CU8" i="5"/>
  <c r="AP8" i="5"/>
  <c r="BB8" i="5"/>
  <c r="CT8" i="5"/>
  <c r="CU9" i="5"/>
  <c r="AP9" i="5"/>
  <c r="BB9" i="5"/>
  <c r="CT9" i="5"/>
  <c r="CU10" i="5"/>
  <c r="AP10" i="5"/>
  <c r="BB10" i="5"/>
  <c r="CT10" i="5"/>
  <c r="CU11" i="5"/>
  <c r="AP11" i="5"/>
  <c r="BB11" i="5"/>
  <c r="CT11" i="5"/>
  <c r="CU12" i="5"/>
  <c r="AP12" i="5"/>
  <c r="BB12" i="5"/>
  <c r="CT12" i="5"/>
  <c r="CU13" i="5"/>
  <c r="AP13" i="5"/>
  <c r="BB13" i="5"/>
  <c r="CT13" i="5"/>
  <c r="CU14" i="5"/>
  <c r="AP14" i="5"/>
  <c r="BB14" i="5"/>
  <c r="CT14" i="5"/>
  <c r="CU15" i="5"/>
  <c r="AP15" i="5"/>
  <c r="BB15" i="5"/>
  <c r="CT15" i="5"/>
  <c r="CU16" i="5"/>
  <c r="AP16" i="5"/>
  <c r="BB16" i="5"/>
  <c r="CT16" i="5"/>
  <c r="CU17" i="5"/>
  <c r="AP17" i="5"/>
  <c r="BB17" i="5"/>
  <c r="CT17" i="5"/>
  <c r="CU18" i="5"/>
  <c r="AP18" i="5"/>
  <c r="BB18" i="5"/>
  <c r="CT18" i="5"/>
  <c r="CU19" i="5"/>
  <c r="AP19" i="5"/>
  <c r="BB19" i="5"/>
  <c r="CT19" i="5"/>
  <c r="CU20" i="5"/>
  <c r="AP20" i="5"/>
  <c r="BB20" i="5"/>
  <c r="CT20" i="5"/>
  <c r="CU21" i="5"/>
  <c r="AP21" i="5"/>
  <c r="BB21" i="5"/>
  <c r="CT21" i="5"/>
  <c r="CU22" i="5"/>
  <c r="AP22" i="5"/>
  <c r="BB22" i="5"/>
  <c r="CT22" i="5"/>
  <c r="CU23" i="5"/>
  <c r="AP23" i="5"/>
  <c r="BB23" i="5"/>
  <c r="CT23" i="5"/>
  <c r="CU24" i="5"/>
  <c r="AP24" i="5"/>
  <c r="BB24" i="5"/>
  <c r="CT24" i="5"/>
  <c r="CU25" i="5"/>
  <c r="AP25" i="5"/>
  <c r="BB25" i="5"/>
  <c r="CT25" i="5"/>
  <c r="CU26" i="5"/>
  <c r="AP26" i="5"/>
  <c r="BB26" i="5"/>
  <c r="CT26" i="5"/>
  <c r="CU27" i="5"/>
  <c r="AP27" i="5"/>
  <c r="BB27" i="5"/>
  <c r="CT27" i="5"/>
  <c r="CU28" i="5"/>
  <c r="AP28" i="5"/>
  <c r="BB28" i="5"/>
  <c r="CT28" i="5"/>
  <c r="CU29" i="5"/>
  <c r="AP29" i="5"/>
  <c r="BB29" i="5"/>
  <c r="CT29" i="5"/>
  <c r="CU30" i="5"/>
  <c r="AP30" i="5"/>
  <c r="BB30" i="5"/>
  <c r="CT30" i="5"/>
  <c r="CU31" i="5"/>
  <c r="AP31" i="5"/>
  <c r="BB31" i="5"/>
  <c r="CT31" i="5"/>
  <c r="CU32" i="5"/>
  <c r="AP32" i="5"/>
  <c r="BB32" i="5"/>
  <c r="CT32" i="5"/>
  <c r="CU33" i="5"/>
  <c r="AP33" i="5"/>
  <c r="BB33" i="5"/>
  <c r="CT33" i="5"/>
  <c r="CU34" i="5"/>
  <c r="AP34" i="5"/>
  <c r="BB34" i="5"/>
  <c r="CT34" i="5"/>
  <c r="CU35" i="5"/>
  <c r="AP35" i="5"/>
  <c r="BB35" i="5"/>
  <c r="CT35" i="5"/>
  <c r="CU36" i="5"/>
  <c r="AP36" i="5"/>
  <c r="BB36" i="5"/>
  <c r="CT36" i="5"/>
  <c r="CU37" i="5"/>
  <c r="AP37" i="5"/>
  <c r="BB37" i="5"/>
  <c r="CT37" i="5"/>
  <c r="CU38" i="5"/>
  <c r="AP38" i="5"/>
  <c r="BB38" i="5"/>
  <c r="CT38" i="5"/>
  <c r="CU39" i="5"/>
  <c r="AP39" i="5"/>
  <c r="BB39" i="5"/>
  <c r="CT39" i="5"/>
  <c r="CU40" i="5"/>
  <c r="AP40" i="5"/>
  <c r="BB40" i="5"/>
  <c r="CT40" i="5"/>
  <c r="CU42" i="5"/>
  <c r="AP42" i="5"/>
  <c r="BB42" i="5"/>
  <c r="CT42" i="5"/>
  <c r="CU43" i="5"/>
  <c r="AP43" i="5"/>
  <c r="BB43" i="5"/>
  <c r="CT43" i="5"/>
  <c r="BB44" i="5"/>
  <c r="AP45" i="5"/>
  <c r="BB45" i="5"/>
  <c r="CU46" i="5"/>
  <c r="AP46" i="5"/>
  <c r="BB46" i="5"/>
  <c r="CT46" i="5"/>
  <c r="CU47" i="5"/>
  <c r="CU48" i="5"/>
  <c r="AP48" i="5"/>
  <c r="BB48" i="5"/>
  <c r="CT48" i="5"/>
  <c r="CU53" i="5"/>
  <c r="AP53" i="5"/>
  <c r="BB53" i="5"/>
  <c r="CT53" i="5"/>
  <c r="CU54" i="5"/>
  <c r="AP54" i="5"/>
  <c r="BB54" i="5"/>
  <c r="CT54" i="5"/>
  <c r="CU55" i="5"/>
  <c r="AP55" i="5"/>
  <c r="BB55" i="5"/>
  <c r="CT55" i="5"/>
  <c r="CU56" i="5"/>
  <c r="AP56" i="5"/>
  <c r="BB56" i="5"/>
  <c r="CT56" i="5"/>
  <c r="CU57" i="5"/>
  <c r="AP57" i="5"/>
  <c r="BB57" i="5"/>
  <c r="CT57" i="5"/>
  <c r="CU58" i="5"/>
  <c r="AP58" i="5"/>
  <c r="BB58" i="5"/>
  <c r="CT58" i="5"/>
  <c r="CU59" i="5"/>
  <c r="AP59" i="5"/>
  <c r="BB59" i="5"/>
  <c r="CT59" i="5"/>
  <c r="CU60" i="5"/>
  <c r="AP60" i="5"/>
  <c r="BB60" i="5"/>
  <c r="CT60" i="5"/>
  <c r="CU61" i="5"/>
  <c r="AP61" i="5"/>
  <c r="BB61" i="5"/>
  <c r="CT61" i="5"/>
  <c r="CU62" i="5"/>
  <c r="AP62" i="5"/>
  <c r="BB62" i="5"/>
  <c r="CT62" i="5"/>
  <c r="CU63" i="5"/>
  <c r="AP63" i="5"/>
  <c r="BB63" i="5"/>
  <c r="CT63" i="5"/>
  <c r="CU64" i="5"/>
  <c r="AP64" i="5"/>
  <c r="BB64" i="5"/>
  <c r="CT64" i="5"/>
  <c r="CU65" i="5"/>
  <c r="AP65" i="5"/>
  <c r="BB65" i="5"/>
  <c r="CT65" i="5"/>
  <c r="CU66" i="5"/>
  <c r="AP66" i="5"/>
  <c r="BB66" i="5"/>
  <c r="CT66" i="5"/>
  <c r="CU67" i="5"/>
  <c r="AP67" i="5"/>
  <c r="BB67" i="5"/>
  <c r="CT67" i="5"/>
  <c r="CU68" i="5"/>
  <c r="AP68" i="5"/>
  <c r="BB68" i="5"/>
  <c r="CT68" i="5"/>
  <c r="CU69" i="5"/>
  <c r="AP69" i="5"/>
  <c r="BB69" i="5"/>
  <c r="CT69" i="5"/>
  <c r="CU71" i="5"/>
  <c r="AP71" i="5"/>
  <c r="BB71" i="5"/>
  <c r="CT71" i="5"/>
  <c r="CU72" i="5"/>
  <c r="AP72" i="5"/>
  <c r="BB72" i="5"/>
  <c r="CT72" i="5"/>
  <c r="CU73" i="5"/>
  <c r="AP73" i="5"/>
  <c r="BB73" i="5"/>
  <c r="CT73" i="5"/>
  <c r="CU74" i="5"/>
  <c r="AP74" i="5"/>
  <c r="BB74" i="5"/>
  <c r="CT74" i="5"/>
  <c r="CU76" i="5"/>
  <c r="AP76" i="5"/>
  <c r="BB76" i="5"/>
  <c r="CT76" i="5"/>
  <c r="CU77" i="5"/>
  <c r="AP77" i="5"/>
  <c r="BB77" i="5"/>
  <c r="CT77" i="5"/>
  <c r="CU78" i="5"/>
  <c r="AP78" i="5"/>
  <c r="BB78" i="5"/>
  <c r="CT78" i="5"/>
  <c r="CU79" i="5"/>
  <c r="AP79" i="5"/>
  <c r="BB79" i="5"/>
  <c r="CT79" i="5"/>
  <c r="CU81" i="5"/>
  <c r="AP81" i="5"/>
  <c r="BB81" i="5"/>
  <c r="CT81" i="5"/>
  <c r="CU84" i="5"/>
  <c r="AP84" i="5"/>
  <c r="BB84" i="5"/>
  <c r="CT84" i="5"/>
  <c r="BB169" i="5"/>
  <c r="CU171" i="5"/>
  <c r="AP171" i="5"/>
  <c r="BB171" i="5"/>
  <c r="CT171" i="5"/>
  <c r="CU172" i="5"/>
  <c r="AP172" i="5"/>
  <c r="BB172" i="5"/>
  <c r="CT172" i="5"/>
  <c r="CU173" i="5"/>
  <c r="AP173" i="5"/>
  <c r="BB173" i="5"/>
  <c r="CT173" i="5"/>
  <c r="CU174" i="5"/>
  <c r="AP174" i="5"/>
  <c r="BB174" i="5"/>
  <c r="CT174" i="5"/>
  <c r="CU175" i="5"/>
  <c r="AP175" i="5"/>
  <c r="BB175" i="5"/>
  <c r="CT175" i="5"/>
  <c r="CU176" i="5"/>
  <c r="AP176" i="5"/>
  <c r="BB176" i="5"/>
  <c r="CT176" i="5"/>
  <c r="CU177" i="5"/>
  <c r="AP177" i="5"/>
  <c r="BB177" i="5"/>
  <c r="CT177" i="5"/>
  <c r="CU178" i="5"/>
  <c r="AP178" i="5"/>
  <c r="BB178" i="5"/>
  <c r="CT178" i="5"/>
  <c r="CU179" i="5"/>
  <c r="AP179" i="5"/>
  <c r="BB179" i="5"/>
  <c r="CT179" i="5"/>
  <c r="CU180" i="5"/>
  <c r="AP180" i="5"/>
  <c r="BB180" i="5"/>
  <c r="CT180" i="5"/>
  <c r="CU181" i="5"/>
  <c r="AP181" i="5"/>
  <c r="BB181" i="5"/>
  <c r="CT181" i="5"/>
  <c r="CU182" i="5"/>
  <c r="AP182" i="5"/>
  <c r="BB182" i="5"/>
  <c r="CT182" i="5"/>
  <c r="CU183" i="5"/>
  <c r="AP183" i="5"/>
  <c r="BB183" i="5"/>
  <c r="CT183" i="5"/>
  <c r="CU184" i="5"/>
  <c r="AP184" i="5"/>
  <c r="BB184" i="5"/>
  <c r="CT184" i="5"/>
  <c r="CU185" i="5"/>
  <c r="AP185" i="5"/>
  <c r="BB185" i="5"/>
  <c r="CT185" i="5"/>
  <c r="CU186" i="5"/>
  <c r="AP186" i="5"/>
  <c r="BB186" i="5"/>
  <c r="CT186" i="5"/>
  <c r="CU187" i="5"/>
  <c r="AP187" i="5"/>
  <c r="BB187" i="5"/>
  <c r="CT187" i="5"/>
  <c r="CU188" i="5"/>
  <c r="AP188" i="5"/>
  <c r="BB188" i="5"/>
  <c r="CT188" i="5"/>
  <c r="CU189" i="5"/>
  <c r="AP189" i="5"/>
  <c r="BB189" i="5"/>
  <c r="CT189" i="5"/>
  <c r="CU190" i="5"/>
  <c r="AP190" i="5"/>
  <c r="BB190" i="5"/>
  <c r="CT190" i="5"/>
  <c r="CU191" i="5"/>
  <c r="AP191" i="5"/>
  <c r="BB191" i="5"/>
  <c r="CT191" i="5"/>
  <c r="CU192" i="5"/>
  <c r="AP192" i="5"/>
  <c r="BB192" i="5"/>
  <c r="CT192" i="5"/>
  <c r="CU193" i="5"/>
  <c r="AP193" i="5"/>
  <c r="BB193" i="5"/>
  <c r="CT193" i="5"/>
  <c r="CU194" i="5"/>
  <c r="AP194" i="5"/>
  <c r="BB194" i="5"/>
  <c r="CT194" i="5"/>
  <c r="CU195" i="5"/>
  <c r="AP195" i="5"/>
  <c r="BB195" i="5"/>
  <c r="CT195" i="5"/>
  <c r="CU196" i="5"/>
  <c r="AP196" i="5"/>
  <c r="BB196" i="5"/>
  <c r="CT196" i="5"/>
  <c r="CU197" i="5"/>
  <c r="CV197" i="5"/>
  <c r="AP197" i="5"/>
  <c r="BB197" i="5"/>
  <c r="CT197" i="5"/>
  <c r="CU198" i="5"/>
  <c r="AP198" i="5"/>
  <c r="BB198" i="5"/>
  <c r="CT198" i="5"/>
  <c r="CU199" i="5"/>
  <c r="AP199" i="5"/>
  <c r="BB199" i="5"/>
  <c r="CT199" i="5"/>
  <c r="CU200" i="5"/>
  <c r="AP200" i="5"/>
  <c r="BB200" i="5"/>
  <c r="CT200" i="5"/>
  <c r="CU201" i="5"/>
  <c r="AP201" i="5"/>
  <c r="BB201" i="5"/>
  <c r="CT201" i="5"/>
  <c r="CU202" i="5"/>
  <c r="AP202" i="5"/>
  <c r="BB202" i="5"/>
  <c r="CT202" i="5"/>
  <c r="CU203" i="5"/>
  <c r="AP203" i="5"/>
  <c r="BB203" i="5"/>
  <c r="CT203" i="5"/>
  <c r="CU204" i="5"/>
  <c r="AP204" i="5"/>
  <c r="BB204" i="5"/>
  <c r="CT204" i="5"/>
  <c r="CU205" i="5"/>
  <c r="AP205" i="5"/>
  <c r="BB205" i="5"/>
  <c r="CT205" i="5"/>
  <c r="CU206" i="5"/>
  <c r="AP206" i="5"/>
  <c r="BB206" i="5"/>
  <c r="CT206" i="5"/>
  <c r="CU207" i="5"/>
  <c r="AP207" i="5"/>
  <c r="BB207" i="5"/>
  <c r="CT207" i="5"/>
  <c r="CU208" i="5"/>
  <c r="AP208" i="5"/>
  <c r="BB208" i="5"/>
  <c r="CT208" i="5"/>
  <c r="CU209" i="5"/>
  <c r="AP209" i="5"/>
  <c r="BB209" i="5"/>
  <c r="CT209" i="5"/>
  <c r="CU210" i="5"/>
  <c r="AP210" i="5"/>
  <c r="BB210" i="5"/>
  <c r="CT210" i="5"/>
  <c r="CU211" i="5"/>
  <c r="AP211" i="5"/>
  <c r="BB211" i="5"/>
  <c r="CT211" i="5"/>
  <c r="CU212" i="5"/>
  <c r="AP212" i="5"/>
  <c r="BB212" i="5"/>
  <c r="CT212" i="5"/>
  <c r="CU213" i="5"/>
  <c r="BF213" i="5"/>
  <c r="AP213" i="5"/>
  <c r="BB213" i="5"/>
  <c r="CT213" i="5"/>
  <c r="CU214" i="5"/>
  <c r="AP214" i="5"/>
  <c r="BB214" i="5"/>
  <c r="CT214" i="5"/>
  <c r="CU215" i="5"/>
  <c r="BJ215" i="5"/>
  <c r="AP215" i="5"/>
  <c r="BB215" i="5"/>
  <c r="CT215" i="5"/>
  <c r="CU216" i="5"/>
  <c r="AJ216" i="5"/>
  <c r="AP216" i="5"/>
  <c r="BB216" i="5"/>
  <c r="CT216" i="5"/>
  <c r="CU217" i="5"/>
  <c r="AH217" i="5"/>
  <c r="AP217" i="5"/>
  <c r="BB217" i="5"/>
  <c r="CT217" i="5"/>
  <c r="CU218" i="5"/>
  <c r="CS218" i="5"/>
  <c r="AP218" i="5"/>
  <c r="BB218" i="5"/>
  <c r="CT218" i="5"/>
  <c r="CU219" i="5"/>
  <c r="AP219" i="5"/>
  <c r="BB219" i="5"/>
  <c r="CT219" i="5"/>
  <c r="CU220" i="5"/>
  <c r="AX220" i="5"/>
  <c r="AQ220" i="5"/>
  <c r="AP220" i="5"/>
  <c r="BB220" i="5"/>
  <c r="CT220" i="5"/>
  <c r="CU221" i="5"/>
  <c r="AP221" i="5"/>
  <c r="BB221" i="5"/>
  <c r="CT221" i="5"/>
  <c r="CU222" i="5"/>
  <c r="BH222" i="5"/>
  <c r="CS222" i="5"/>
  <c r="AP222" i="5"/>
  <c r="BB222" i="5"/>
  <c r="CT222" i="5"/>
  <c r="CU223" i="5"/>
  <c r="AP223" i="5"/>
  <c r="BB223" i="5"/>
  <c r="CT223" i="5"/>
  <c r="CU224" i="5"/>
  <c r="AX224" i="5"/>
  <c r="AJ224" i="5"/>
  <c r="AP224" i="5"/>
  <c r="BB224" i="5"/>
  <c r="CT224" i="5"/>
  <c r="O225" i="5"/>
  <c r="CU225" i="5"/>
  <c r="BA225" i="5"/>
  <c r="AP225" i="5"/>
  <c r="BB225" i="5"/>
  <c r="CT225" i="5"/>
  <c r="CU226" i="5"/>
  <c r="AP226" i="5"/>
  <c r="BB226" i="5"/>
  <c r="CT226" i="5"/>
  <c r="CU227" i="5"/>
  <c r="AL227" i="5"/>
  <c r="AP227" i="5"/>
  <c r="BB227" i="5"/>
  <c r="CT227" i="5"/>
  <c r="CU228" i="5"/>
  <c r="BE228" i="5"/>
  <c r="AP228" i="5"/>
  <c r="BB228" i="5"/>
  <c r="CT228" i="5"/>
  <c r="CU229" i="5"/>
  <c r="AP229" i="5"/>
  <c r="BB229" i="5"/>
  <c r="CT229" i="5"/>
  <c r="CU230" i="5"/>
  <c r="AT230" i="5"/>
  <c r="AP230" i="5"/>
  <c r="BB230" i="5"/>
  <c r="CT230" i="5"/>
  <c r="CU231" i="5"/>
  <c r="AP231" i="5"/>
  <c r="BB231" i="5"/>
  <c r="CT231" i="5"/>
  <c r="CU232" i="5"/>
  <c r="AX232" i="5"/>
  <c r="AJ232" i="5"/>
  <c r="AP232" i="5"/>
  <c r="BB232" i="5"/>
  <c r="CT232" i="5"/>
  <c r="CA233" i="5"/>
  <c r="CU233" i="5"/>
  <c r="BF233" i="5"/>
  <c r="AH233" i="5"/>
  <c r="AP233" i="5"/>
  <c r="BB233" i="5"/>
  <c r="CT233" i="5"/>
  <c r="BT234" i="5"/>
  <c r="CU234" i="5"/>
  <c r="AT234" i="5"/>
  <c r="AP234" i="5"/>
  <c r="BB234" i="5"/>
  <c r="CT234" i="5"/>
  <c r="CU235" i="5"/>
  <c r="BJ235" i="5"/>
  <c r="AP235" i="5"/>
  <c r="BB235" i="5"/>
  <c r="CT235" i="5"/>
  <c r="CU236" i="5"/>
  <c r="AX236" i="5"/>
  <c r="AP236" i="5"/>
  <c r="BB236" i="5"/>
  <c r="CT236" i="5"/>
  <c r="CU237" i="5"/>
  <c r="AZ237" i="5"/>
  <c r="AP237" i="5"/>
  <c r="BB237" i="5"/>
  <c r="CT237" i="5"/>
  <c r="CU238" i="5"/>
  <c r="AP238" i="5"/>
  <c r="BB238" i="5"/>
  <c r="CT238" i="5"/>
  <c r="CU239" i="5"/>
  <c r="AR239" i="5"/>
  <c r="AP239" i="5"/>
  <c r="BB239" i="5"/>
  <c r="CT239" i="5"/>
  <c r="CU240" i="5"/>
  <c r="AP240" i="5"/>
  <c r="BB240" i="5"/>
  <c r="CT240" i="5"/>
  <c r="CU241" i="5"/>
  <c r="AZ241" i="5"/>
  <c r="AP241" i="5"/>
  <c r="BB241" i="5"/>
  <c r="CT241" i="5"/>
  <c r="CU242" i="5"/>
  <c r="AM242" i="5"/>
  <c r="AP242" i="5"/>
  <c r="BB242" i="5"/>
  <c r="CT242" i="5"/>
  <c r="CU243" i="5"/>
  <c r="AP243" i="5"/>
  <c r="BB243" i="5"/>
  <c r="CT243" i="5"/>
  <c r="CU244" i="5"/>
  <c r="AP244" i="5"/>
  <c r="BB244" i="5"/>
  <c r="CT244" i="5"/>
  <c r="CU245" i="5"/>
  <c r="AP245" i="5"/>
  <c r="BB245" i="5"/>
  <c r="CT245" i="5"/>
  <c r="CU246" i="5"/>
  <c r="BH246" i="5"/>
  <c r="AP246" i="5"/>
  <c r="BB246" i="5"/>
  <c r="CT246" i="5"/>
  <c r="CU247" i="5"/>
  <c r="AL247" i="5"/>
  <c r="AP247" i="5"/>
  <c r="BB247" i="5"/>
  <c r="CT247" i="5"/>
  <c r="C248" i="5"/>
  <c r="CU248" i="5"/>
  <c r="AJ248" i="5"/>
  <c r="AP248" i="5"/>
  <c r="BB248" i="5"/>
  <c r="CT248" i="5"/>
  <c r="A249" i="5"/>
  <c r="CU249" i="5"/>
  <c r="AZ249" i="5"/>
  <c r="AP249" i="5"/>
  <c r="BB249" i="5"/>
  <c r="CT249" i="5"/>
  <c r="CU250" i="5"/>
  <c r="CS250" i="5"/>
  <c r="AP250" i="5"/>
  <c r="BB250" i="5"/>
  <c r="CT250" i="5"/>
  <c r="K211" i="5"/>
  <c r="AG216" i="5"/>
  <c r="BW220" i="5"/>
  <c r="BH221" i="5"/>
  <c r="BC224" i="5"/>
  <c r="BJ226" i="5"/>
  <c r="BG235" i="5"/>
  <c r="AD239" i="5"/>
  <c r="W243" i="5"/>
  <c r="CN248" i="5"/>
  <c r="O305" i="12" a="1"/>
  <c r="O305" i="12" s="1"/>
  <c r="K6" i="12"/>
  <c r="K7" i="12"/>
  <c r="K5" i="12"/>
  <c r="J3" i="12"/>
  <c r="E3" i="12" s="1"/>
  <c r="K3" i="12"/>
  <c r="F3" i="12" s="1"/>
  <c r="O304" i="12" a="1"/>
  <c r="BQ4" i="13" l="1"/>
  <c r="BQ6" i="13"/>
  <c r="BQ7" i="13"/>
  <c r="BQ10" i="13"/>
  <c r="BQ11" i="13"/>
  <c r="BQ15" i="13"/>
  <c r="BQ19" i="13"/>
  <c r="BQ23" i="13"/>
  <c r="BQ14" i="13"/>
  <c r="BQ18" i="13"/>
  <c r="BQ22" i="13"/>
  <c r="BQ26" i="13"/>
  <c r="BQ30" i="13"/>
  <c r="BQ34" i="13"/>
  <c r="BQ38" i="13"/>
  <c r="BQ42" i="13"/>
  <c r="BQ46" i="13"/>
  <c r="BQ50" i="13"/>
  <c r="BQ54" i="13"/>
  <c r="BQ58" i="13"/>
  <c r="BQ62" i="13"/>
  <c r="BQ66" i="13"/>
  <c r="BQ70" i="13"/>
  <c r="BQ74" i="13"/>
  <c r="BQ78" i="13"/>
  <c r="BQ82" i="13"/>
  <c r="BQ86" i="13"/>
  <c r="BQ90" i="13"/>
  <c r="BQ5" i="13"/>
  <c r="BQ9" i="13"/>
  <c r="BQ13" i="13"/>
  <c r="BQ17" i="13"/>
  <c r="BQ21" i="13"/>
  <c r="BQ25" i="13"/>
  <c r="BQ29" i="13"/>
  <c r="BQ33" i="13"/>
  <c r="BQ37" i="13"/>
  <c r="BQ41" i="13"/>
  <c r="BQ45" i="13"/>
  <c r="BQ49" i="13"/>
  <c r="BQ53" i="13"/>
  <c r="BQ57" i="13"/>
  <c r="BQ61" i="13"/>
  <c r="BQ65" i="13"/>
  <c r="BQ69" i="13"/>
  <c r="BQ73" i="13"/>
  <c r="BQ77" i="13"/>
  <c r="BQ81" i="13"/>
  <c r="BQ85" i="13"/>
  <c r="BQ89" i="13"/>
  <c r="BQ8" i="13"/>
  <c r="BQ12" i="13"/>
  <c r="BQ16" i="13"/>
  <c r="BQ20" i="13"/>
  <c r="BQ24" i="13"/>
  <c r="BQ28" i="13"/>
  <c r="BQ32" i="13"/>
  <c r="BQ36" i="13"/>
  <c r="BQ40" i="13"/>
  <c r="BQ44" i="13"/>
  <c r="BQ48" i="13"/>
  <c r="BQ52" i="13"/>
  <c r="BQ56" i="13"/>
  <c r="BQ60" i="13"/>
  <c r="BQ64" i="13"/>
  <c r="BQ68" i="13"/>
  <c r="BQ72" i="13"/>
  <c r="BQ76" i="13"/>
  <c r="BQ80" i="13"/>
  <c r="BQ84" i="13"/>
  <c r="BQ88" i="13"/>
  <c r="BQ92" i="13"/>
  <c r="BQ27" i="13"/>
  <c r="BQ31" i="13"/>
  <c r="BQ35" i="13"/>
  <c r="BQ39" i="13"/>
  <c r="BQ43" i="13"/>
  <c r="BQ47" i="13"/>
  <c r="BQ51" i="13"/>
  <c r="BQ55" i="13"/>
  <c r="BQ59" i="13"/>
  <c r="BQ63" i="13"/>
  <c r="BQ67" i="13"/>
  <c r="BQ71" i="13"/>
  <c r="BQ75" i="13"/>
  <c r="BQ79" i="13"/>
  <c r="BQ83" i="13"/>
  <c r="BQ87" i="13"/>
  <c r="BQ91" i="13"/>
  <c r="BQ94" i="13"/>
  <c r="BQ98" i="13"/>
  <c r="BQ102" i="13"/>
  <c r="BQ106" i="13"/>
  <c r="BQ110" i="13"/>
  <c r="BQ114" i="13"/>
  <c r="BQ118" i="13"/>
  <c r="BQ122" i="13"/>
  <c r="BQ126" i="13"/>
  <c r="BQ130" i="13"/>
  <c r="BQ134" i="13"/>
  <c r="BQ138" i="13"/>
  <c r="BQ142" i="13"/>
  <c r="BQ146" i="13"/>
  <c r="BQ150" i="13"/>
  <c r="BQ154" i="13"/>
  <c r="BQ158" i="13"/>
  <c r="BQ162" i="13"/>
  <c r="BQ93" i="13"/>
  <c r="BQ97" i="13"/>
  <c r="BQ101" i="13"/>
  <c r="BQ105" i="13"/>
  <c r="BQ109" i="13"/>
  <c r="BQ113" i="13"/>
  <c r="BQ117" i="13"/>
  <c r="BQ121" i="13"/>
  <c r="BQ125" i="13"/>
  <c r="BQ129" i="13"/>
  <c r="BQ133" i="13"/>
  <c r="BQ137" i="13"/>
  <c r="BQ141" i="13"/>
  <c r="BQ145" i="13"/>
  <c r="BQ149" i="13"/>
  <c r="BQ153" i="13"/>
  <c r="BQ157" i="13"/>
  <c r="BQ161" i="13"/>
  <c r="BQ165" i="13"/>
  <c r="BQ96" i="13"/>
  <c r="BQ100" i="13"/>
  <c r="BQ104" i="13"/>
  <c r="BQ108" i="13"/>
  <c r="BQ112" i="13"/>
  <c r="BQ116" i="13"/>
  <c r="BQ120" i="13"/>
  <c r="BQ124" i="13"/>
  <c r="BQ128" i="13"/>
  <c r="BQ132" i="13"/>
  <c r="BQ136" i="13"/>
  <c r="BQ140" i="13"/>
  <c r="BQ144" i="13"/>
  <c r="BQ148" i="13"/>
  <c r="BQ152" i="13"/>
  <c r="BQ156" i="13"/>
  <c r="BQ160" i="13"/>
  <c r="BQ164" i="13"/>
  <c r="BQ95" i="13"/>
  <c r="BQ99" i="13"/>
  <c r="BQ103" i="13"/>
  <c r="BQ107" i="13"/>
  <c r="BQ111" i="13"/>
  <c r="BQ115" i="13"/>
  <c r="BQ119" i="13"/>
  <c r="BQ123" i="13"/>
  <c r="BQ127" i="13"/>
  <c r="BQ131" i="13"/>
  <c r="BQ135" i="13"/>
  <c r="BQ139" i="13"/>
  <c r="BQ143" i="13"/>
  <c r="BQ147" i="13"/>
  <c r="BQ151" i="13"/>
  <c r="BQ155" i="13"/>
  <c r="BQ159" i="13"/>
  <c r="BQ163" i="13"/>
  <c r="BQ166" i="13"/>
  <c r="BQ170" i="13"/>
  <c r="BQ174" i="13"/>
  <c r="BQ178" i="13"/>
  <c r="BQ182" i="13"/>
  <c r="BQ186" i="13"/>
  <c r="BQ190" i="13"/>
  <c r="BQ194" i="13"/>
  <c r="BQ198" i="13"/>
  <c r="BQ202" i="13"/>
  <c r="BQ206" i="13"/>
  <c r="BQ210" i="13"/>
  <c r="BQ169" i="13"/>
  <c r="BQ173" i="13"/>
  <c r="BQ177" i="13"/>
  <c r="BQ181" i="13"/>
  <c r="BQ185" i="13"/>
  <c r="BQ189" i="13"/>
  <c r="BQ193" i="13"/>
  <c r="BQ197" i="13"/>
  <c r="BQ201" i="13"/>
  <c r="BQ205" i="13"/>
  <c r="BQ209" i="13"/>
  <c r="BQ168" i="13"/>
  <c r="BQ172" i="13"/>
  <c r="BQ176" i="13"/>
  <c r="BQ180" i="13"/>
  <c r="BQ184" i="13"/>
  <c r="BQ188" i="13"/>
  <c r="BQ192" i="13"/>
  <c r="BQ196" i="13"/>
  <c r="BQ200" i="13"/>
  <c r="BQ204" i="13"/>
  <c r="BQ208" i="13"/>
  <c r="BQ167" i="13"/>
  <c r="BQ171" i="13"/>
  <c r="BQ175" i="13"/>
  <c r="BQ179" i="13"/>
  <c r="BQ183" i="13"/>
  <c r="BQ187" i="13"/>
  <c r="BQ191" i="13"/>
  <c r="BQ195" i="13"/>
  <c r="BQ199" i="13"/>
  <c r="BQ203" i="13"/>
  <c r="BQ207" i="13"/>
  <c r="BW150" i="5"/>
  <c r="BZ160" i="5"/>
  <c r="BV160" i="5"/>
  <c r="BR160" i="5"/>
  <c r="BN160" i="5"/>
  <c r="BK160" i="5"/>
  <c r="AY160" i="5"/>
  <c r="AB160" i="5"/>
  <c r="AN160" i="5"/>
  <c r="Q160" i="5"/>
  <c r="M160" i="5"/>
  <c r="I160" i="5"/>
  <c r="E160" i="5"/>
  <c r="CP160" i="5"/>
  <c r="CQ160" i="5"/>
  <c r="CV160" i="5"/>
  <c r="AQ160" i="5"/>
  <c r="AJ160" i="5"/>
  <c r="AX160" i="5"/>
  <c r="CI160" i="5"/>
  <c r="CG160" i="5"/>
  <c r="BU160" i="5"/>
  <c r="BQ160" i="5"/>
  <c r="BM160" i="5"/>
  <c r="BI160" i="5"/>
  <c r="AW160" i="5"/>
  <c r="AK160" i="5"/>
  <c r="X160" i="5"/>
  <c r="T160" i="5"/>
  <c r="P160" i="5"/>
  <c r="H160" i="5"/>
  <c r="D160" i="5"/>
  <c r="AL160" i="5"/>
  <c r="AR160" i="5"/>
  <c r="BJ160" i="5"/>
  <c r="CS83" i="5"/>
  <c r="AM83" i="5"/>
  <c r="AT83" i="5"/>
  <c r="BH83" i="5"/>
  <c r="DC83" i="5"/>
  <c r="CY83" i="5"/>
  <c r="CW83" i="5"/>
  <c r="CE83" i="5"/>
  <c r="CA83" i="5"/>
  <c r="BW83" i="5"/>
  <c r="BS83" i="5"/>
  <c r="BO83" i="5"/>
  <c r="BD83" i="5"/>
  <c r="BC83" i="5"/>
  <c r="AS83" i="5"/>
  <c r="AG83" i="5"/>
  <c r="AC83" i="5"/>
  <c r="Y83" i="5"/>
  <c r="V83" i="5"/>
  <c r="R83" i="5"/>
  <c r="N83" i="5"/>
  <c r="J83" i="5"/>
  <c r="F83" i="5"/>
  <c r="B83" i="5"/>
  <c r="CN83" i="5"/>
  <c r="CQ83" i="5"/>
  <c r="CV83" i="5"/>
  <c r="BA83" i="5"/>
  <c r="AH83" i="5"/>
  <c r="AZ83" i="5"/>
  <c r="BF83" i="5"/>
  <c r="DB83" i="5"/>
  <c r="CX83" i="5"/>
  <c r="DF83" i="5"/>
  <c r="DG83" i="5"/>
  <c r="CD83" i="5"/>
  <c r="BZ83" i="5"/>
  <c r="BV83" i="5"/>
  <c r="BR83" i="5"/>
  <c r="BN83" i="5"/>
  <c r="BK83" i="5"/>
  <c r="AY83" i="5"/>
  <c r="AO83" i="5"/>
  <c r="AF83" i="5"/>
  <c r="AB83" i="5"/>
  <c r="AN83" i="5"/>
  <c r="Q83" i="5"/>
  <c r="M83" i="5"/>
  <c r="I83" i="5"/>
  <c r="E83" i="5"/>
  <c r="CM83" i="5"/>
  <c r="CP83" i="5"/>
  <c r="A83" i="5"/>
  <c r="CR83" i="5"/>
  <c r="AQ83" i="5"/>
  <c r="AJ83" i="5"/>
  <c r="AX83" i="5"/>
  <c r="BE83" i="5"/>
  <c r="DE83" i="5"/>
  <c r="DA83" i="5"/>
  <c r="CK83" i="5"/>
  <c r="CH83" i="5"/>
  <c r="CG83" i="5"/>
  <c r="CC83" i="5"/>
  <c r="BY83" i="5"/>
  <c r="BU83" i="5"/>
  <c r="BQ83" i="5"/>
  <c r="BM83" i="5"/>
  <c r="BI83" i="5"/>
  <c r="AW83" i="5"/>
  <c r="AK83" i="5"/>
  <c r="AE83" i="5"/>
  <c r="AA83" i="5"/>
  <c r="X83" i="5"/>
  <c r="T83" i="5"/>
  <c r="P83" i="5"/>
  <c r="L83" i="5"/>
  <c r="H83" i="5"/>
  <c r="D83" i="5"/>
  <c r="CL83" i="5"/>
  <c r="AL83" i="5"/>
  <c r="AR83" i="5"/>
  <c r="BJ83" i="5"/>
  <c r="DD83" i="5"/>
  <c r="CZ83" i="5"/>
  <c r="CF101" i="5"/>
  <c r="BU101" i="5"/>
  <c r="BK101" i="5"/>
  <c r="AI101" i="5"/>
  <c r="X101" i="5"/>
  <c r="M101" i="5"/>
  <c r="C101" i="5"/>
  <c r="CA94" i="5"/>
  <c r="AC94" i="5"/>
  <c r="CN94" i="5"/>
  <c r="CI94" i="5"/>
  <c r="BS94" i="5"/>
  <c r="V94" i="5"/>
  <c r="BD94" i="5"/>
  <c r="N94" i="5"/>
  <c r="BD102" i="5"/>
  <c r="N102" i="5"/>
  <c r="L149" i="5"/>
  <c r="BI149" i="5"/>
  <c r="AW149" i="5"/>
  <c r="H149" i="5"/>
  <c r="AM149" i="5"/>
  <c r="BY149" i="5"/>
  <c r="AA149" i="5"/>
  <c r="AT149" i="5"/>
  <c r="O97" i="5"/>
  <c r="AD97" i="5"/>
  <c r="CB97" i="5"/>
  <c r="CO97" i="5"/>
  <c r="CK85" i="5"/>
  <c r="CD85" i="5"/>
  <c r="BZ85" i="5"/>
  <c r="BV85" i="5"/>
  <c r="BR85" i="5"/>
  <c r="BN85" i="5"/>
  <c r="BK85" i="5"/>
  <c r="AY85" i="5"/>
  <c r="AO85" i="5"/>
  <c r="AF85" i="5"/>
  <c r="AB85" i="5"/>
  <c r="AN85" i="5"/>
  <c r="U85" i="5"/>
  <c r="Q85" i="5"/>
  <c r="M85" i="5"/>
  <c r="I85" i="5"/>
  <c r="E85" i="5"/>
  <c r="CM85" i="5"/>
  <c r="CP85" i="5"/>
  <c r="CQ85" i="5"/>
  <c r="CR85" i="5"/>
  <c r="CS85" i="5"/>
  <c r="AM85" i="5"/>
  <c r="AT85" i="5"/>
  <c r="BH85" i="5"/>
  <c r="CH85" i="5"/>
  <c r="CG85" i="5"/>
  <c r="CC85" i="5"/>
  <c r="BY85" i="5"/>
  <c r="BU85" i="5"/>
  <c r="BQ85" i="5"/>
  <c r="BM85" i="5"/>
  <c r="BI85" i="5"/>
  <c r="AW85" i="5"/>
  <c r="AK85" i="5"/>
  <c r="AE85" i="5"/>
  <c r="AA85" i="5"/>
  <c r="X85" i="5"/>
  <c r="T85" i="5"/>
  <c r="P85" i="5"/>
  <c r="L85" i="5"/>
  <c r="H85" i="5"/>
  <c r="D85" i="5"/>
  <c r="CL85" i="5"/>
  <c r="A85" i="5"/>
  <c r="BA85" i="5"/>
  <c r="AH85" i="5"/>
  <c r="AZ85" i="5"/>
  <c r="BF85" i="5"/>
  <c r="K99" i="5"/>
  <c r="AU125" i="5"/>
  <c r="G125" i="5"/>
  <c r="BX125" i="5"/>
  <c r="Z125" i="5"/>
  <c r="I105" i="5"/>
  <c r="BV105" i="5"/>
  <c r="AY105" i="5"/>
  <c r="D117" i="5"/>
  <c r="CG117" i="5"/>
  <c r="BU111" i="5"/>
  <c r="AW111" i="5"/>
  <c r="X111" i="5"/>
  <c r="H111" i="5"/>
  <c r="CQ111" i="5"/>
  <c r="CG111" i="5"/>
  <c r="BQ111" i="5"/>
  <c r="AK111" i="5"/>
  <c r="T111" i="5"/>
  <c r="D111" i="5"/>
  <c r="CI111" i="5"/>
  <c r="CC111" i="5"/>
  <c r="BM111" i="5"/>
  <c r="AE111" i="5"/>
  <c r="P111" i="5"/>
  <c r="CL111" i="5"/>
  <c r="DE86" i="5"/>
  <c r="CC117" i="5"/>
  <c r="BI117" i="5"/>
  <c r="T117" i="5"/>
  <c r="AQ117" i="5"/>
  <c r="BY117" i="5"/>
  <c r="AK117" i="5"/>
  <c r="P117" i="5"/>
  <c r="CQ117" i="5"/>
  <c r="BE117" i="5"/>
  <c r="CL117" i="5"/>
  <c r="BQ117" i="5"/>
  <c r="AE117" i="5"/>
  <c r="L117" i="5"/>
  <c r="T153" i="5"/>
  <c r="CG153" i="5"/>
  <c r="D153" i="5"/>
  <c r="BQ153" i="5"/>
  <c r="BZ170" i="5"/>
  <c r="AB170" i="5"/>
  <c r="CP170" i="5"/>
  <c r="BR170" i="5"/>
  <c r="U170" i="5"/>
  <c r="BK170" i="5"/>
  <c r="M170" i="5"/>
  <c r="BV114" i="5"/>
  <c r="U114" i="5"/>
  <c r="BR114" i="5"/>
  <c r="E114" i="5"/>
  <c r="CZ116" i="5"/>
  <c r="CQ132" i="5"/>
  <c r="CB132" i="5"/>
  <c r="BU132" i="5"/>
  <c r="BM132" i="5"/>
  <c r="BC132" i="5"/>
  <c r="AI132" i="5"/>
  <c r="Z132" i="5"/>
  <c r="T132" i="5"/>
  <c r="N132" i="5"/>
  <c r="F132" i="5"/>
  <c r="CO132" i="5"/>
  <c r="BE132" i="5"/>
  <c r="CG132" i="5"/>
  <c r="CA132" i="5"/>
  <c r="BS132" i="5"/>
  <c r="BL132" i="5"/>
  <c r="AW132" i="5"/>
  <c r="AE132" i="5"/>
  <c r="Y132" i="5"/>
  <c r="S132" i="5"/>
  <c r="K132" i="5"/>
  <c r="D132" i="5"/>
  <c r="CN132" i="5"/>
  <c r="CR132" i="5"/>
  <c r="CF132" i="5"/>
  <c r="BX132" i="5"/>
  <c r="BQ132" i="5"/>
  <c r="BD132" i="5"/>
  <c r="AS132" i="5"/>
  <c r="AD132" i="5"/>
  <c r="X132" i="5"/>
  <c r="P132" i="5"/>
  <c r="J132" i="5"/>
  <c r="C132" i="5"/>
  <c r="CV132" i="5"/>
  <c r="DR2" i="12"/>
  <c r="DD4" i="5" s="1"/>
  <c r="CA118" i="5"/>
  <c r="AW118" i="5"/>
  <c r="S118" i="5"/>
  <c r="CN118" i="5"/>
  <c r="BU118" i="5"/>
  <c r="AI118" i="5"/>
  <c r="N118" i="5"/>
  <c r="CQ118" i="5"/>
  <c r="AY98" i="5"/>
  <c r="I98" i="5"/>
  <c r="CD98" i="5"/>
  <c r="AF98" i="5"/>
  <c r="CM98" i="5"/>
  <c r="CI98" i="5"/>
  <c r="BV98" i="5"/>
  <c r="AN98" i="5"/>
  <c r="CC86" i="5"/>
  <c r="BU86" i="5"/>
  <c r="BM86" i="5"/>
  <c r="AW86" i="5"/>
  <c r="AE86" i="5"/>
  <c r="X86" i="5"/>
  <c r="P86" i="5"/>
  <c r="H86" i="5"/>
  <c r="CL86" i="5"/>
  <c r="CH86" i="5"/>
  <c r="CB86" i="5"/>
  <c r="BT86" i="5"/>
  <c r="BL86" i="5"/>
  <c r="AU86" i="5"/>
  <c r="AD86" i="5"/>
  <c r="W86" i="5"/>
  <c r="O86" i="5"/>
  <c r="G86" i="5"/>
  <c r="CO86" i="5"/>
  <c r="CQ86" i="5"/>
  <c r="AL86" i="5"/>
  <c r="AH90" i="5"/>
  <c r="BF90" i="5"/>
  <c r="BX99" i="5"/>
  <c r="CI93" i="5"/>
  <c r="CF93" i="5"/>
  <c r="CB93" i="5"/>
  <c r="BX93" i="5"/>
  <c r="BT93" i="5"/>
  <c r="BP93" i="5"/>
  <c r="BL93" i="5"/>
  <c r="BG93" i="5"/>
  <c r="AU93" i="5"/>
  <c r="AI93" i="5"/>
  <c r="AD93" i="5"/>
  <c r="Z93" i="5"/>
  <c r="W93" i="5"/>
  <c r="S93" i="5"/>
  <c r="O93" i="5"/>
  <c r="K93" i="5"/>
  <c r="G93" i="5"/>
  <c r="C93" i="5"/>
  <c r="CO93" i="5"/>
  <c r="CS93" i="5"/>
  <c r="AM93" i="5"/>
  <c r="AT93" i="5"/>
  <c r="BH93" i="5"/>
  <c r="CZ93" i="5"/>
  <c r="AL93" i="5"/>
  <c r="AR93" i="5"/>
  <c r="BJ93" i="5"/>
  <c r="CJ93" i="5"/>
  <c r="CE93" i="5"/>
  <c r="CA93" i="5"/>
  <c r="BW93" i="5"/>
  <c r="BS93" i="5"/>
  <c r="BO93" i="5"/>
  <c r="BD93" i="5"/>
  <c r="BC93" i="5"/>
  <c r="AS93" i="5"/>
  <c r="AG93" i="5"/>
  <c r="AC93" i="5"/>
  <c r="Y93" i="5"/>
  <c r="V93" i="5"/>
  <c r="R93" i="5"/>
  <c r="N93" i="5"/>
  <c r="J93" i="5"/>
  <c r="F93" i="5"/>
  <c r="B93" i="5"/>
  <c r="CN93" i="5"/>
  <c r="CQ93" i="5"/>
  <c r="CV93" i="5"/>
  <c r="BA93" i="5"/>
  <c r="AH93" i="5"/>
  <c r="AZ93" i="5"/>
  <c r="BF93" i="5"/>
  <c r="CF155" i="5"/>
  <c r="CB155" i="5"/>
  <c r="BX155" i="5"/>
  <c r="BT155" i="5"/>
  <c r="BP155" i="5"/>
  <c r="BL155" i="5"/>
  <c r="BG155" i="5"/>
  <c r="AU155" i="5"/>
  <c r="AI155" i="5"/>
  <c r="AD155" i="5"/>
  <c r="Z155" i="5"/>
  <c r="W155" i="5"/>
  <c r="S155" i="5"/>
  <c r="O155" i="5"/>
  <c r="K155" i="5"/>
  <c r="G155" i="5"/>
  <c r="C155" i="5"/>
  <c r="CO155" i="5"/>
  <c r="CH155" i="5"/>
  <c r="CE155" i="5"/>
  <c r="CA155" i="5"/>
  <c r="BW155" i="5"/>
  <c r="BS155" i="5"/>
  <c r="BO155" i="5"/>
  <c r="BD155" i="5"/>
  <c r="BC155" i="5"/>
  <c r="AS155" i="5"/>
  <c r="AG155" i="5"/>
  <c r="AC155" i="5"/>
  <c r="Y155" i="5"/>
  <c r="V155" i="5"/>
  <c r="R155" i="5"/>
  <c r="N155" i="5"/>
  <c r="J155" i="5"/>
  <c r="F155" i="5"/>
  <c r="B155" i="5"/>
  <c r="CN155" i="5"/>
  <c r="CK155" i="5"/>
  <c r="CI155" i="5"/>
  <c r="CD155" i="5"/>
  <c r="BZ155" i="5"/>
  <c r="BV155" i="5"/>
  <c r="BR155" i="5"/>
  <c r="BN155" i="5"/>
  <c r="BK155" i="5"/>
  <c r="AY155" i="5"/>
  <c r="AO155" i="5"/>
  <c r="AF155" i="5"/>
  <c r="AB155" i="5"/>
  <c r="AN155" i="5"/>
  <c r="U155" i="5"/>
  <c r="Q155" i="5"/>
  <c r="M155" i="5"/>
  <c r="I155" i="5"/>
  <c r="E155" i="5"/>
  <c r="CM155" i="5"/>
  <c r="CP155" i="5"/>
  <c r="CV155" i="5"/>
  <c r="AR155" i="5"/>
  <c r="BT143" i="5"/>
  <c r="CE106" i="5"/>
  <c r="BW106" i="5"/>
  <c r="BO106" i="5"/>
  <c r="BC106" i="5"/>
  <c r="AG106" i="5"/>
  <c r="Y106" i="5"/>
  <c r="R106" i="5"/>
  <c r="J106" i="5"/>
  <c r="B106" i="5"/>
  <c r="AR106" i="5"/>
  <c r="CH106" i="5"/>
  <c r="CD106" i="5"/>
  <c r="BV106" i="5"/>
  <c r="BN106" i="5"/>
  <c r="AY106" i="5"/>
  <c r="AF106" i="5"/>
  <c r="AN106" i="5"/>
  <c r="Q106" i="5"/>
  <c r="I106" i="5"/>
  <c r="CM106" i="5"/>
  <c r="BJ106" i="5"/>
  <c r="CK106" i="5"/>
  <c r="CA106" i="5"/>
  <c r="BS106" i="5"/>
  <c r="BD106" i="5"/>
  <c r="AS106" i="5"/>
  <c r="AC106" i="5"/>
  <c r="V106" i="5"/>
  <c r="N106" i="5"/>
  <c r="F106" i="5"/>
  <c r="CN106" i="5"/>
  <c r="CQ106" i="5"/>
  <c r="AY114" i="5"/>
  <c r="I114" i="5"/>
  <c r="AS110" i="5"/>
  <c r="F110" i="5"/>
  <c r="CE110" i="5"/>
  <c r="AG110" i="5"/>
  <c r="B110" i="5"/>
  <c r="BS110" i="5"/>
  <c r="V110" i="5"/>
  <c r="CJ116" i="5"/>
  <c r="CE116" i="5"/>
  <c r="CA116" i="5"/>
  <c r="BW116" i="5"/>
  <c r="BS116" i="5"/>
  <c r="BO116" i="5"/>
  <c r="BD116" i="5"/>
  <c r="BC116" i="5"/>
  <c r="AS116" i="5"/>
  <c r="AG116" i="5"/>
  <c r="AC116" i="5"/>
  <c r="Y116" i="5"/>
  <c r="V116" i="5"/>
  <c r="R116" i="5"/>
  <c r="N116" i="5"/>
  <c r="J116" i="5"/>
  <c r="F116" i="5"/>
  <c r="B116" i="5"/>
  <c r="CN116" i="5"/>
  <c r="A116" i="5"/>
  <c r="AH116" i="5"/>
  <c r="BF116" i="5"/>
  <c r="CK116" i="5"/>
  <c r="CD116" i="5"/>
  <c r="BZ116" i="5"/>
  <c r="BV116" i="5"/>
  <c r="BR116" i="5"/>
  <c r="BN116" i="5"/>
  <c r="BK116" i="5"/>
  <c r="AY116" i="5"/>
  <c r="AO116" i="5"/>
  <c r="AF116" i="5"/>
  <c r="AB116" i="5"/>
  <c r="AN116" i="5"/>
  <c r="U116" i="5"/>
  <c r="Q116" i="5"/>
  <c r="M116" i="5"/>
  <c r="I116" i="5"/>
  <c r="E116" i="5"/>
  <c r="CM116" i="5"/>
  <c r="CP116" i="5"/>
  <c r="CS116" i="5"/>
  <c r="AT116" i="5"/>
  <c r="CJ117" i="5"/>
  <c r="BU117" i="5"/>
  <c r="AW117" i="5"/>
  <c r="X117" i="5"/>
  <c r="H117" i="5"/>
  <c r="AY137" i="5"/>
  <c r="AN137" i="5"/>
  <c r="CH115" i="5"/>
  <c r="BS115" i="5"/>
  <c r="AS115" i="5"/>
  <c r="V115" i="5"/>
  <c r="F115" i="5"/>
  <c r="A115" i="5"/>
  <c r="CV115" i="5"/>
  <c r="CE115" i="5"/>
  <c r="BO115" i="5"/>
  <c r="AG115" i="5"/>
  <c r="R115" i="5"/>
  <c r="B115" i="5"/>
  <c r="CA115" i="5"/>
  <c r="BD115" i="5"/>
  <c r="AC115" i="5"/>
  <c r="N115" i="5"/>
  <c r="CN115" i="5"/>
  <c r="CE119" i="5"/>
  <c r="BO119" i="5"/>
  <c r="AG119" i="5"/>
  <c r="R119" i="5"/>
  <c r="B119" i="5"/>
  <c r="CA119" i="5"/>
  <c r="BD119" i="5"/>
  <c r="AC119" i="5"/>
  <c r="N119" i="5"/>
  <c r="CN119" i="5"/>
  <c r="CC133" i="5"/>
  <c r="AY133" i="5"/>
  <c r="CL133" i="5"/>
  <c r="BY133" i="5"/>
  <c r="BN133" i="5"/>
  <c r="AW133" i="5"/>
  <c r="AA133" i="5"/>
  <c r="Q133" i="5"/>
  <c r="H133" i="5"/>
  <c r="BE133" i="5"/>
  <c r="CJ133" i="5"/>
  <c r="BQ133" i="5"/>
  <c r="AE133" i="5"/>
  <c r="T133" i="5"/>
  <c r="I133" i="5"/>
  <c r="AX133" i="5"/>
  <c r="CG133" i="5"/>
  <c r="BV133" i="5"/>
  <c r="BM133" i="5"/>
  <c r="AK133" i="5"/>
  <c r="AN133" i="5"/>
  <c r="P133" i="5"/>
  <c r="D133" i="5"/>
  <c r="CV133" i="5"/>
  <c r="BT135" i="5"/>
  <c r="BC139" i="5"/>
  <c r="CJ139" i="5"/>
  <c r="CA139" i="5"/>
  <c r="AC139" i="5"/>
  <c r="CI106" i="5"/>
  <c r="CG106" i="5"/>
  <c r="CC106" i="5"/>
  <c r="BY106" i="5"/>
  <c r="BU106" i="5"/>
  <c r="BQ106" i="5"/>
  <c r="BM106" i="5"/>
  <c r="BI106" i="5"/>
  <c r="AW106" i="5"/>
  <c r="AK106" i="5"/>
  <c r="AE106" i="5"/>
  <c r="AA106" i="5"/>
  <c r="X106" i="5"/>
  <c r="T106" i="5"/>
  <c r="P106" i="5"/>
  <c r="L106" i="5"/>
  <c r="H106" i="5"/>
  <c r="D106" i="5"/>
  <c r="CL106" i="5"/>
  <c r="A106" i="5"/>
  <c r="BA106" i="5"/>
  <c r="AH106" i="5"/>
  <c r="AZ106" i="5"/>
  <c r="BF106" i="5"/>
  <c r="CV106" i="5"/>
  <c r="CS106" i="5"/>
  <c r="AM106" i="5"/>
  <c r="AT106" i="5"/>
  <c r="BH106" i="5"/>
  <c r="CJ106" i="5"/>
  <c r="CF106" i="5"/>
  <c r="CB106" i="5"/>
  <c r="BX106" i="5"/>
  <c r="BT106" i="5"/>
  <c r="BP106" i="5"/>
  <c r="BL106" i="5"/>
  <c r="BG106" i="5"/>
  <c r="AU106" i="5"/>
  <c r="AI106" i="5"/>
  <c r="AD106" i="5"/>
  <c r="Z106" i="5"/>
  <c r="W106" i="5"/>
  <c r="S106" i="5"/>
  <c r="O106" i="5"/>
  <c r="K106" i="5"/>
  <c r="G106" i="5"/>
  <c r="C106" i="5"/>
  <c r="CO106" i="5"/>
  <c r="CR106" i="5"/>
  <c r="AQ106" i="5"/>
  <c r="AJ106" i="5"/>
  <c r="AX106" i="5"/>
  <c r="BE106" i="5"/>
  <c r="DA106" i="5"/>
  <c r="CJ88" i="5"/>
  <c r="CF88" i="5"/>
  <c r="CB88" i="5"/>
  <c r="BX88" i="5"/>
  <c r="BT88" i="5"/>
  <c r="BP88" i="5"/>
  <c r="BL88" i="5"/>
  <c r="BG88" i="5"/>
  <c r="AU88" i="5"/>
  <c r="AI88" i="5"/>
  <c r="AD88" i="5"/>
  <c r="Z88" i="5"/>
  <c r="W88" i="5"/>
  <c r="S88" i="5"/>
  <c r="O88" i="5"/>
  <c r="K88" i="5"/>
  <c r="G88" i="5"/>
  <c r="C88" i="5"/>
  <c r="CO88" i="5"/>
  <c r="A88" i="5"/>
  <c r="CR88" i="5"/>
  <c r="AL88" i="5"/>
  <c r="AR88" i="5"/>
  <c r="BJ88" i="5"/>
  <c r="DB88" i="5"/>
  <c r="CK88" i="5"/>
  <c r="CE88" i="5"/>
  <c r="CA88" i="5"/>
  <c r="BW88" i="5"/>
  <c r="BS88" i="5"/>
  <c r="BO88" i="5"/>
  <c r="BD88" i="5"/>
  <c r="BC88" i="5"/>
  <c r="AS88" i="5"/>
  <c r="AG88" i="5"/>
  <c r="AC88" i="5"/>
  <c r="Y88" i="5"/>
  <c r="V88" i="5"/>
  <c r="R88" i="5"/>
  <c r="N88" i="5"/>
  <c r="J88" i="5"/>
  <c r="F88" i="5"/>
  <c r="B88" i="5"/>
  <c r="CN88" i="5"/>
  <c r="CS88" i="5"/>
  <c r="AM88" i="5"/>
  <c r="AT88" i="5"/>
  <c r="BH88" i="5"/>
  <c r="CX88" i="5"/>
  <c r="CW88" i="5"/>
  <c r="CH88" i="5"/>
  <c r="CD88" i="5"/>
  <c r="BZ88" i="5"/>
  <c r="BV88" i="5"/>
  <c r="BR88" i="5"/>
  <c r="BN88" i="5"/>
  <c r="BK88" i="5"/>
  <c r="AY88" i="5"/>
  <c r="AO88" i="5"/>
  <c r="AF88" i="5"/>
  <c r="AB88" i="5"/>
  <c r="AN88" i="5"/>
  <c r="U88" i="5"/>
  <c r="Q88" i="5"/>
  <c r="M88" i="5"/>
  <c r="I88" i="5"/>
  <c r="E88" i="5"/>
  <c r="CM88" i="5"/>
  <c r="CP88" i="5"/>
  <c r="CV88" i="5"/>
  <c r="BA88" i="5"/>
  <c r="AH88" i="5"/>
  <c r="AZ88" i="5"/>
  <c r="BF88" i="5"/>
  <c r="BU158" i="5"/>
  <c r="AW158" i="5"/>
  <c r="X158" i="5"/>
  <c r="AM158" i="5"/>
  <c r="CK158" i="5"/>
  <c r="CG158" i="5"/>
  <c r="BQ158" i="5"/>
  <c r="AK158" i="5"/>
  <c r="T158" i="5"/>
  <c r="D158" i="5"/>
  <c r="H158" i="5"/>
  <c r="CC158" i="5"/>
  <c r="BM158" i="5"/>
  <c r="P158" i="5"/>
  <c r="CL158" i="5"/>
  <c r="BH158" i="5"/>
  <c r="CQ80" i="5"/>
  <c r="CR80" i="5"/>
  <c r="AZ80" i="5"/>
  <c r="CK80" i="5"/>
  <c r="CD80" i="5"/>
  <c r="BZ80" i="5"/>
  <c r="BV80" i="5"/>
  <c r="BR80" i="5"/>
  <c r="BN80" i="5"/>
  <c r="BK80" i="5"/>
  <c r="AY80" i="5"/>
  <c r="AO80" i="5"/>
  <c r="AF80" i="5"/>
  <c r="AB80" i="5"/>
  <c r="AN80" i="5"/>
  <c r="U80" i="5"/>
  <c r="Q80" i="5"/>
  <c r="M80" i="5"/>
  <c r="I80" i="5"/>
  <c r="E80" i="5"/>
  <c r="CM80" i="5"/>
  <c r="CP80" i="5"/>
  <c r="A80" i="5"/>
  <c r="DD80" i="5"/>
  <c r="CH80" i="5"/>
  <c r="CG80" i="5"/>
  <c r="CC80" i="5"/>
  <c r="BY80" i="5"/>
  <c r="BU80" i="5"/>
  <c r="BQ80" i="5"/>
  <c r="BM80" i="5"/>
  <c r="BI80" i="5"/>
  <c r="AW80" i="5"/>
  <c r="AK80" i="5"/>
  <c r="AE80" i="5"/>
  <c r="AA80" i="5"/>
  <c r="X80" i="5"/>
  <c r="T80" i="5"/>
  <c r="P80" i="5"/>
  <c r="L80" i="5"/>
  <c r="H80" i="5"/>
  <c r="D80" i="5"/>
  <c r="CL80" i="5"/>
  <c r="CI80" i="5"/>
  <c r="CF80" i="5"/>
  <c r="CB80" i="5"/>
  <c r="BX80" i="5"/>
  <c r="BT80" i="5"/>
  <c r="BP80" i="5"/>
  <c r="BL80" i="5"/>
  <c r="BG80" i="5"/>
  <c r="AU80" i="5"/>
  <c r="AI80" i="5"/>
  <c r="AD80" i="5"/>
  <c r="Z80" i="5"/>
  <c r="W80" i="5"/>
  <c r="S80" i="5"/>
  <c r="O80" i="5"/>
  <c r="K80" i="5"/>
  <c r="G80" i="5"/>
  <c r="C80" i="5"/>
  <c r="CO80" i="5"/>
  <c r="CV80" i="5"/>
  <c r="BA80" i="5"/>
  <c r="DE106" i="5"/>
  <c r="CJ170" i="5"/>
  <c r="CE170" i="5"/>
  <c r="BW170" i="5"/>
  <c r="BO170" i="5"/>
  <c r="BC170" i="5"/>
  <c r="AG170" i="5"/>
  <c r="Y170" i="5"/>
  <c r="R170" i="5"/>
  <c r="J170" i="5"/>
  <c r="B170" i="5"/>
  <c r="AL170" i="5"/>
  <c r="CD170" i="5"/>
  <c r="BV170" i="5"/>
  <c r="BN170" i="5"/>
  <c r="AY170" i="5"/>
  <c r="AF170" i="5"/>
  <c r="AN170" i="5"/>
  <c r="Q170" i="5"/>
  <c r="I170" i="5"/>
  <c r="CM170" i="5"/>
  <c r="CR170" i="5"/>
  <c r="AR170" i="5"/>
  <c r="CA170" i="5"/>
  <c r="BS170" i="5"/>
  <c r="BD170" i="5"/>
  <c r="AS170" i="5"/>
  <c r="AC170" i="5"/>
  <c r="V170" i="5"/>
  <c r="N170" i="5"/>
  <c r="F170" i="5"/>
  <c r="CN170" i="5"/>
  <c r="CQ170" i="5"/>
  <c r="BJ170" i="5"/>
  <c r="AR113" i="5"/>
  <c r="BJ113" i="5"/>
  <c r="CR94" i="5"/>
  <c r="AX117" i="5"/>
  <c r="P144" i="5"/>
  <c r="L96" i="5"/>
  <c r="AT145" i="5"/>
  <c r="CJ145" i="5"/>
  <c r="BZ145" i="5"/>
  <c r="BR145" i="5"/>
  <c r="BK145" i="5"/>
  <c r="AO145" i="5"/>
  <c r="AB145" i="5"/>
  <c r="U145" i="5"/>
  <c r="M145" i="5"/>
  <c r="E145" i="5"/>
  <c r="CP145" i="5"/>
  <c r="CS145" i="5"/>
  <c r="BH145" i="5"/>
  <c r="CK145" i="5"/>
  <c r="CE145" i="5"/>
  <c r="BW145" i="5"/>
  <c r="BC145" i="5"/>
  <c r="AG145" i="5"/>
  <c r="Y145" i="5"/>
  <c r="R145" i="5"/>
  <c r="J145" i="5"/>
  <c r="B145" i="5"/>
  <c r="AM145" i="5"/>
  <c r="CJ121" i="5"/>
  <c r="CG121" i="5"/>
  <c r="BQ121" i="5"/>
  <c r="AK121" i="5"/>
  <c r="T121" i="5"/>
  <c r="D121" i="5"/>
  <c r="CC121" i="5"/>
  <c r="BM121" i="5"/>
  <c r="AE121" i="5"/>
  <c r="P121" i="5"/>
  <c r="CL121" i="5"/>
  <c r="CR100" i="5"/>
  <c r="AQ100" i="5"/>
  <c r="AZ100" i="5"/>
  <c r="DG100" i="5"/>
  <c r="CG100" i="5"/>
  <c r="BQ100" i="5"/>
  <c r="BI100" i="5"/>
  <c r="AK100" i="5"/>
  <c r="AA100" i="5"/>
  <c r="T100" i="5"/>
  <c r="P100" i="5"/>
  <c r="H100" i="5"/>
  <c r="CL100" i="5"/>
  <c r="AL100" i="5"/>
  <c r="CJ100" i="5"/>
  <c r="CC100" i="5"/>
  <c r="BU100" i="5"/>
  <c r="BM100" i="5"/>
  <c r="AW100" i="5"/>
  <c r="AE100" i="5"/>
  <c r="X100" i="5"/>
  <c r="L100" i="5"/>
  <c r="D100" i="5"/>
  <c r="AX100" i="5"/>
  <c r="CK100" i="5"/>
  <c r="CF100" i="5"/>
  <c r="CB100" i="5"/>
  <c r="BX100" i="5"/>
  <c r="BT100" i="5"/>
  <c r="BP100" i="5"/>
  <c r="BL100" i="5"/>
  <c r="BG100" i="5"/>
  <c r="AU100" i="5"/>
  <c r="AI100" i="5"/>
  <c r="AD100" i="5"/>
  <c r="Z100" i="5"/>
  <c r="W100" i="5"/>
  <c r="S100" i="5"/>
  <c r="O100" i="5"/>
  <c r="K100" i="5"/>
  <c r="G100" i="5"/>
  <c r="C100" i="5"/>
  <c r="CO100" i="5"/>
  <c r="CQ100" i="5"/>
  <c r="CV100" i="5"/>
  <c r="AH100" i="5"/>
  <c r="BF100" i="5"/>
  <c r="DC100" i="5"/>
  <c r="CH100" i="5"/>
  <c r="CE100" i="5"/>
  <c r="CA100" i="5"/>
  <c r="BW100" i="5"/>
  <c r="BS100" i="5"/>
  <c r="BO100" i="5"/>
  <c r="BD100" i="5"/>
  <c r="BC100" i="5"/>
  <c r="AS100" i="5"/>
  <c r="AG100" i="5"/>
  <c r="AC100" i="5"/>
  <c r="Y100" i="5"/>
  <c r="V100" i="5"/>
  <c r="R100" i="5"/>
  <c r="N100" i="5"/>
  <c r="J100" i="5"/>
  <c r="F100" i="5"/>
  <c r="B100" i="5"/>
  <c r="CN100" i="5"/>
  <c r="A100" i="5"/>
  <c r="AR100" i="5"/>
  <c r="BE100" i="5"/>
  <c r="CY91" i="5"/>
  <c r="CV97" i="5"/>
  <c r="CH101" i="5"/>
  <c r="CC101" i="5"/>
  <c r="BX101" i="5"/>
  <c r="BR101" i="5"/>
  <c r="BM101" i="5"/>
  <c r="BG101" i="5"/>
  <c r="AO101" i="5"/>
  <c r="AE101" i="5"/>
  <c r="Z101" i="5"/>
  <c r="U101" i="5"/>
  <c r="P101" i="5"/>
  <c r="K101" i="5"/>
  <c r="E101" i="5"/>
  <c r="CL101" i="5"/>
  <c r="AL101" i="5"/>
  <c r="CJ101" i="5"/>
  <c r="CG101" i="5"/>
  <c r="CB101" i="5"/>
  <c r="BV101" i="5"/>
  <c r="BQ101" i="5"/>
  <c r="BL101" i="5"/>
  <c r="AY101" i="5"/>
  <c r="AK101" i="5"/>
  <c r="AD101" i="5"/>
  <c r="AN101" i="5"/>
  <c r="T101" i="5"/>
  <c r="O101" i="5"/>
  <c r="I101" i="5"/>
  <c r="D101" i="5"/>
  <c r="CO101" i="5"/>
  <c r="BJ101" i="5"/>
  <c r="CV103" i="5"/>
  <c r="AJ103" i="5"/>
  <c r="BU123" i="5"/>
  <c r="X123" i="5"/>
  <c r="CK123" i="5"/>
  <c r="BM123" i="5"/>
  <c r="P123" i="5"/>
  <c r="AL165" i="5"/>
  <c r="AR165" i="5"/>
  <c r="BJ165" i="5"/>
  <c r="CI165" i="5"/>
  <c r="CG165" i="5"/>
  <c r="CC165" i="5"/>
  <c r="BY165" i="5"/>
  <c r="BU165" i="5"/>
  <c r="BQ165" i="5"/>
  <c r="BM165" i="5"/>
  <c r="BI165" i="5"/>
  <c r="AW165" i="5"/>
  <c r="AK165" i="5"/>
  <c r="AE165" i="5"/>
  <c r="AA165" i="5"/>
  <c r="X165" i="5"/>
  <c r="T165" i="5"/>
  <c r="P165" i="5"/>
  <c r="L165" i="5"/>
  <c r="H165" i="5"/>
  <c r="D165" i="5"/>
  <c r="CL165" i="5"/>
  <c r="A165" i="5"/>
  <c r="CS165" i="5"/>
  <c r="AM165" i="5"/>
  <c r="AT165" i="5"/>
  <c r="BH165" i="5"/>
  <c r="CJ165" i="5"/>
  <c r="CF165" i="5"/>
  <c r="CB165" i="5"/>
  <c r="BX165" i="5"/>
  <c r="BT165" i="5"/>
  <c r="BP165" i="5"/>
  <c r="BL165" i="5"/>
  <c r="AU165" i="5"/>
  <c r="AI165" i="5"/>
  <c r="AD165" i="5"/>
  <c r="Z165" i="5"/>
  <c r="W165" i="5"/>
  <c r="S165" i="5"/>
  <c r="O165" i="5"/>
  <c r="K165" i="5"/>
  <c r="G165" i="5"/>
  <c r="C165" i="5"/>
  <c r="CO165" i="5"/>
  <c r="CR165" i="5"/>
  <c r="BA165" i="5"/>
  <c r="AH165" i="5"/>
  <c r="AZ165" i="5"/>
  <c r="BF165" i="5"/>
  <c r="CK165" i="5"/>
  <c r="CE165" i="5"/>
  <c r="CA165" i="5"/>
  <c r="BW165" i="5"/>
  <c r="BS165" i="5"/>
  <c r="BO165" i="5"/>
  <c r="BD165" i="5"/>
  <c r="BC165" i="5"/>
  <c r="AS165" i="5"/>
  <c r="AG165" i="5"/>
  <c r="AC165" i="5"/>
  <c r="Y165" i="5"/>
  <c r="V165" i="5"/>
  <c r="R165" i="5"/>
  <c r="N165" i="5"/>
  <c r="J165" i="5"/>
  <c r="F165" i="5"/>
  <c r="B165" i="5"/>
  <c r="CN165" i="5"/>
  <c r="CV165" i="5"/>
  <c r="AQ165" i="5"/>
  <c r="AJ165" i="5"/>
  <c r="AX165" i="5"/>
  <c r="BE165" i="5"/>
  <c r="CZ41" i="5"/>
  <c r="DD41" i="5"/>
  <c r="DC41" i="5"/>
  <c r="AX103" i="5"/>
  <c r="BE103" i="5"/>
  <c r="AQ103" i="5"/>
  <c r="CK128" i="5"/>
  <c r="CD128" i="5"/>
  <c r="BZ128" i="5"/>
  <c r="BV128" i="5"/>
  <c r="BR128" i="5"/>
  <c r="BN128" i="5"/>
  <c r="BK128" i="5"/>
  <c r="AY128" i="5"/>
  <c r="AO128" i="5"/>
  <c r="AF128" i="5"/>
  <c r="AB128" i="5"/>
  <c r="AN128" i="5"/>
  <c r="U128" i="5"/>
  <c r="Q128" i="5"/>
  <c r="M128" i="5"/>
  <c r="I128" i="5"/>
  <c r="E128" i="5"/>
  <c r="CM128" i="5"/>
  <c r="CP128" i="5"/>
  <c r="CQ128" i="5"/>
  <c r="CH128" i="5"/>
  <c r="CG128" i="5"/>
  <c r="CC128" i="5"/>
  <c r="BY128" i="5"/>
  <c r="BU128" i="5"/>
  <c r="BQ128" i="5"/>
  <c r="BM128" i="5"/>
  <c r="BI128" i="5"/>
  <c r="AW128" i="5"/>
  <c r="AK128" i="5"/>
  <c r="AE128" i="5"/>
  <c r="AA128" i="5"/>
  <c r="X128" i="5"/>
  <c r="T128" i="5"/>
  <c r="P128" i="5"/>
  <c r="L128" i="5"/>
  <c r="H128" i="5"/>
  <c r="D128" i="5"/>
  <c r="CL128" i="5"/>
  <c r="A128" i="5"/>
  <c r="BH128" i="5"/>
  <c r="DE65" i="5"/>
  <c r="CI157" i="5"/>
  <c r="CG157" i="5"/>
  <c r="BW157" i="5"/>
  <c r="BL157" i="5"/>
  <c r="AK157" i="5"/>
  <c r="Y157" i="5"/>
  <c r="O157" i="5"/>
  <c r="D157" i="5"/>
  <c r="CS157" i="5"/>
  <c r="BJ157" i="5"/>
  <c r="AX157" i="5"/>
  <c r="CC157" i="5"/>
  <c r="BS157" i="5"/>
  <c r="BG157" i="5"/>
  <c r="AE157" i="5"/>
  <c r="V157" i="5"/>
  <c r="K157" i="5"/>
  <c r="CL157" i="5"/>
  <c r="A157" i="5"/>
  <c r="CV157" i="5"/>
  <c r="AM157" i="5"/>
  <c r="CB157" i="5"/>
  <c r="BQ157" i="5"/>
  <c r="BC157" i="5"/>
  <c r="AD157" i="5"/>
  <c r="T157" i="5"/>
  <c r="J157" i="5"/>
  <c r="AJ157" i="5"/>
  <c r="DC157" i="5"/>
  <c r="CQ101" i="5"/>
  <c r="CR101" i="5"/>
  <c r="AJ101" i="5"/>
  <c r="BE101" i="5"/>
  <c r="AR101" i="5"/>
  <c r="AQ101" i="5"/>
  <c r="AX101" i="5"/>
  <c r="CF125" i="5"/>
  <c r="BP125" i="5"/>
  <c r="AI125" i="5"/>
  <c r="S125" i="5"/>
  <c r="C125" i="5"/>
  <c r="CQ125" i="5"/>
  <c r="CB125" i="5"/>
  <c r="BL125" i="5"/>
  <c r="AD125" i="5"/>
  <c r="O125" i="5"/>
  <c r="CO125" i="5"/>
  <c r="CH151" i="5"/>
  <c r="BZ151" i="5"/>
  <c r="BR151" i="5"/>
  <c r="BK151" i="5"/>
  <c r="AO151" i="5"/>
  <c r="AB151" i="5"/>
  <c r="U151" i="5"/>
  <c r="M151" i="5"/>
  <c r="E151" i="5"/>
  <c r="CP151" i="5"/>
  <c r="CI151" i="5"/>
  <c r="CE151" i="5"/>
  <c r="BW151" i="5"/>
  <c r="BO151" i="5"/>
  <c r="BC151" i="5"/>
  <c r="AG151" i="5"/>
  <c r="Y151" i="5"/>
  <c r="R151" i="5"/>
  <c r="J151" i="5"/>
  <c r="B151" i="5"/>
  <c r="AM151" i="5"/>
  <c r="CD151" i="5"/>
  <c r="BV151" i="5"/>
  <c r="BN151" i="5"/>
  <c r="AY151" i="5"/>
  <c r="AF151" i="5"/>
  <c r="AN151" i="5"/>
  <c r="Q151" i="5"/>
  <c r="I151" i="5"/>
  <c r="CM151" i="5"/>
  <c r="AZ151" i="5"/>
  <c r="BS137" i="5"/>
  <c r="F137" i="5"/>
  <c r="CD137" i="5"/>
  <c r="BN137" i="5"/>
  <c r="AF137" i="5"/>
  <c r="Q137" i="5"/>
  <c r="CM137" i="5"/>
  <c r="AT137" i="5"/>
  <c r="AS137" i="5"/>
  <c r="V137" i="5"/>
  <c r="CA137" i="5"/>
  <c r="BD137" i="5"/>
  <c r="AC137" i="5"/>
  <c r="N137" i="5"/>
  <c r="CN137" i="5"/>
  <c r="CS137" i="5"/>
  <c r="AX127" i="5"/>
  <c r="BG99" i="5"/>
  <c r="Z99" i="5"/>
  <c r="AL155" i="5"/>
  <c r="CH129" i="5"/>
  <c r="BM129" i="5"/>
  <c r="AA129" i="5"/>
  <c r="H129" i="5"/>
  <c r="CC129" i="5"/>
  <c r="BI129" i="5"/>
  <c r="X129" i="5"/>
  <c r="CL129" i="5"/>
  <c r="CR156" i="5"/>
  <c r="CV156" i="5"/>
  <c r="CS156" i="5"/>
  <c r="AM156" i="5"/>
  <c r="AT156" i="5"/>
  <c r="BH156" i="5"/>
  <c r="CG135" i="5"/>
  <c r="BQ135" i="5"/>
  <c r="AK135" i="5"/>
  <c r="T135" i="5"/>
  <c r="D135" i="5"/>
  <c r="CB135" i="5"/>
  <c r="BL135" i="5"/>
  <c r="AD135" i="5"/>
  <c r="O135" i="5"/>
  <c r="CO135" i="5"/>
  <c r="AJ135" i="5"/>
  <c r="CH135" i="5"/>
  <c r="BY135" i="5"/>
  <c r="BI135" i="5"/>
  <c r="AA135" i="5"/>
  <c r="L135" i="5"/>
  <c r="BE135" i="5"/>
  <c r="BZ133" i="5"/>
  <c r="BR133" i="5"/>
  <c r="BK133" i="5"/>
  <c r="AO133" i="5"/>
  <c r="AB133" i="5"/>
  <c r="U133" i="5"/>
  <c r="M133" i="5"/>
  <c r="E133" i="5"/>
  <c r="CP133" i="5"/>
  <c r="BY118" i="5"/>
  <c r="BO118" i="5"/>
  <c r="AU118" i="5"/>
  <c r="AG118" i="5"/>
  <c r="W118" i="5"/>
  <c r="R118" i="5"/>
  <c r="L118" i="5"/>
  <c r="B118" i="5"/>
  <c r="AQ118" i="5"/>
  <c r="AT118" i="5"/>
  <c r="CX118" i="5"/>
  <c r="CI118" i="5"/>
  <c r="CC118" i="5"/>
  <c r="BX118" i="5"/>
  <c r="BS118" i="5"/>
  <c r="BM118" i="5"/>
  <c r="BG118" i="5"/>
  <c r="AS118" i="5"/>
  <c r="AE118" i="5"/>
  <c r="Z118" i="5"/>
  <c r="V118" i="5"/>
  <c r="P118" i="5"/>
  <c r="K118" i="5"/>
  <c r="F118" i="5"/>
  <c r="CL118" i="5"/>
  <c r="AL118" i="5"/>
  <c r="BJ118" i="5"/>
  <c r="CS118" i="5"/>
  <c r="AR118" i="5"/>
  <c r="BE118" i="5"/>
  <c r="CH118" i="5"/>
  <c r="CE118" i="5"/>
  <c r="BT118" i="5"/>
  <c r="BI118" i="5"/>
  <c r="AA118" i="5"/>
  <c r="G118" i="5"/>
  <c r="CK118" i="5"/>
  <c r="CG118" i="5"/>
  <c r="CB118" i="5"/>
  <c r="BW118" i="5"/>
  <c r="BQ118" i="5"/>
  <c r="BL118" i="5"/>
  <c r="BC118" i="5"/>
  <c r="AK118" i="5"/>
  <c r="AD118" i="5"/>
  <c r="Y118" i="5"/>
  <c r="T118" i="5"/>
  <c r="O118" i="5"/>
  <c r="J118" i="5"/>
  <c r="D118" i="5"/>
  <c r="CO118" i="5"/>
  <c r="CR118" i="5"/>
  <c r="AJ118" i="5"/>
  <c r="BH118" i="5"/>
  <c r="CG149" i="5"/>
  <c r="BQ149" i="5"/>
  <c r="AK149" i="5"/>
  <c r="T149" i="5"/>
  <c r="D149" i="5"/>
  <c r="BH149" i="5"/>
  <c r="CC149" i="5"/>
  <c r="BM149" i="5"/>
  <c r="AE149" i="5"/>
  <c r="P149" i="5"/>
  <c r="CL149" i="5"/>
  <c r="CS149" i="5"/>
  <c r="CK109" i="5"/>
  <c r="CD109" i="5"/>
  <c r="BZ109" i="5"/>
  <c r="BV109" i="5"/>
  <c r="BR109" i="5"/>
  <c r="BN109" i="5"/>
  <c r="BK109" i="5"/>
  <c r="AY109" i="5"/>
  <c r="AO109" i="5"/>
  <c r="AF109" i="5"/>
  <c r="AB109" i="5"/>
  <c r="AN109" i="5"/>
  <c r="U109" i="5"/>
  <c r="Q109" i="5"/>
  <c r="M109" i="5"/>
  <c r="I109" i="5"/>
  <c r="E109" i="5"/>
  <c r="CM109" i="5"/>
  <c r="CP109" i="5"/>
  <c r="A109" i="5"/>
  <c r="AQ109" i="5"/>
  <c r="AJ109" i="5"/>
  <c r="AX109" i="5"/>
  <c r="BE109" i="5"/>
  <c r="CH109" i="5"/>
  <c r="CG109" i="5"/>
  <c r="CC109" i="5"/>
  <c r="BY109" i="5"/>
  <c r="BU109" i="5"/>
  <c r="BQ109" i="5"/>
  <c r="BM109" i="5"/>
  <c r="BI109" i="5"/>
  <c r="AW109" i="5"/>
  <c r="AK109" i="5"/>
  <c r="AE109" i="5"/>
  <c r="AA109" i="5"/>
  <c r="X109" i="5"/>
  <c r="T109" i="5"/>
  <c r="P109" i="5"/>
  <c r="L109" i="5"/>
  <c r="H109" i="5"/>
  <c r="D109" i="5"/>
  <c r="CL109" i="5"/>
  <c r="CR109" i="5"/>
  <c r="AL109" i="5"/>
  <c r="AR109" i="5"/>
  <c r="BJ109" i="5"/>
  <c r="DB109" i="5"/>
  <c r="CI109" i="5"/>
  <c r="CF109" i="5"/>
  <c r="CB109" i="5"/>
  <c r="BX109" i="5"/>
  <c r="BT109" i="5"/>
  <c r="BP109" i="5"/>
  <c r="BL109" i="5"/>
  <c r="BG109" i="5"/>
  <c r="AU109" i="5"/>
  <c r="AI109" i="5"/>
  <c r="AD109" i="5"/>
  <c r="Z109" i="5"/>
  <c r="W109" i="5"/>
  <c r="S109" i="5"/>
  <c r="O109" i="5"/>
  <c r="K109" i="5"/>
  <c r="G109" i="5"/>
  <c r="C109" i="5"/>
  <c r="CO109" i="5"/>
  <c r="CS109" i="5"/>
  <c r="AM109" i="5"/>
  <c r="AT109" i="5"/>
  <c r="BH109" i="5"/>
  <c r="DE168" i="5"/>
  <c r="DA168" i="5"/>
  <c r="CW168" i="5"/>
  <c r="DG168" i="5"/>
  <c r="DD168" i="5"/>
  <c r="CZ168" i="5"/>
  <c r="DF168" i="5"/>
  <c r="AO147" i="5"/>
  <c r="AB147" i="5"/>
  <c r="U147" i="5"/>
  <c r="M147" i="5"/>
  <c r="E147" i="5"/>
  <c r="CM147" i="5"/>
  <c r="A147" i="5"/>
  <c r="AQ147" i="5"/>
  <c r="BE147" i="5"/>
  <c r="CH147" i="5"/>
  <c r="CG147" i="5"/>
  <c r="CC147" i="5"/>
  <c r="BY147" i="5"/>
  <c r="BU147" i="5"/>
  <c r="BQ147" i="5"/>
  <c r="BM147" i="5"/>
  <c r="BI147" i="5"/>
  <c r="AW147" i="5"/>
  <c r="AK147" i="5"/>
  <c r="AE147" i="5"/>
  <c r="AA147" i="5"/>
  <c r="X147" i="5"/>
  <c r="T147" i="5"/>
  <c r="P147" i="5"/>
  <c r="L147" i="5"/>
  <c r="H147" i="5"/>
  <c r="D147" i="5"/>
  <c r="CL147" i="5"/>
  <c r="AL147" i="5"/>
  <c r="AR147" i="5"/>
  <c r="BJ147" i="5"/>
  <c r="CW147" i="5"/>
  <c r="AY147" i="5"/>
  <c r="AF147" i="5"/>
  <c r="AN147" i="5"/>
  <c r="Q147" i="5"/>
  <c r="I147" i="5"/>
  <c r="CP147" i="5"/>
  <c r="AJ147" i="5"/>
  <c r="AX147" i="5"/>
  <c r="CI147" i="5"/>
  <c r="CF147" i="5"/>
  <c r="CB147" i="5"/>
  <c r="BX147" i="5"/>
  <c r="BT147" i="5"/>
  <c r="BP147" i="5"/>
  <c r="BL147" i="5"/>
  <c r="BG147" i="5"/>
  <c r="AU147" i="5"/>
  <c r="AI147" i="5"/>
  <c r="AD147" i="5"/>
  <c r="Z147" i="5"/>
  <c r="W147" i="5"/>
  <c r="S147" i="5"/>
  <c r="O147" i="5"/>
  <c r="K147" i="5"/>
  <c r="C147" i="5"/>
  <c r="CO147" i="5"/>
  <c r="CS147" i="5"/>
  <c r="AM147" i="5"/>
  <c r="AT147" i="5"/>
  <c r="BH147" i="5"/>
  <c r="DE147" i="5"/>
  <c r="CJ147" i="5"/>
  <c r="CE147" i="5"/>
  <c r="CA147" i="5"/>
  <c r="BW147" i="5"/>
  <c r="BS147" i="5"/>
  <c r="BO147" i="5"/>
  <c r="BD147" i="5"/>
  <c r="BC147" i="5"/>
  <c r="AG147" i="5"/>
  <c r="AC147" i="5"/>
  <c r="Y147" i="5"/>
  <c r="V147" i="5"/>
  <c r="R147" i="5"/>
  <c r="N147" i="5"/>
  <c r="J147" i="5"/>
  <c r="F147" i="5"/>
  <c r="B147" i="5"/>
  <c r="CN147" i="5"/>
  <c r="CQ147" i="5"/>
  <c r="CR147" i="5"/>
  <c r="CV147" i="5"/>
  <c r="BA147" i="5"/>
  <c r="AH147" i="5"/>
  <c r="AZ147" i="5"/>
  <c r="BF147" i="5"/>
  <c r="DA147" i="5"/>
  <c r="DG116" i="5"/>
  <c r="DG166" i="5"/>
  <c r="CI166" i="5"/>
  <c r="CE166" i="5"/>
  <c r="CA166" i="5"/>
  <c r="BW166" i="5"/>
  <c r="BS166" i="5"/>
  <c r="BO166" i="5"/>
  <c r="BD166" i="5"/>
  <c r="BC166" i="5"/>
  <c r="AS166" i="5"/>
  <c r="AG166" i="5"/>
  <c r="AC166" i="5"/>
  <c r="Y166" i="5"/>
  <c r="V166" i="5"/>
  <c r="R166" i="5"/>
  <c r="N166" i="5"/>
  <c r="J166" i="5"/>
  <c r="F166" i="5"/>
  <c r="B166" i="5"/>
  <c r="CN166" i="5"/>
  <c r="CS166" i="5"/>
  <c r="AM166" i="5"/>
  <c r="AT166" i="5"/>
  <c r="BH166" i="5"/>
  <c r="DD166" i="5"/>
  <c r="CZ166" i="5"/>
  <c r="CW166" i="5"/>
  <c r="CJ166" i="5"/>
  <c r="CD166" i="5"/>
  <c r="BZ166" i="5"/>
  <c r="BV166" i="5"/>
  <c r="BR166" i="5"/>
  <c r="BN166" i="5"/>
  <c r="BK166" i="5"/>
  <c r="AY166" i="5"/>
  <c r="AO166" i="5"/>
  <c r="AF166" i="5"/>
  <c r="AB166" i="5"/>
  <c r="AN166" i="5"/>
  <c r="U166" i="5"/>
  <c r="Q166" i="5"/>
  <c r="M166" i="5"/>
  <c r="I166" i="5"/>
  <c r="E166" i="5"/>
  <c r="CM166" i="5"/>
  <c r="CP166" i="5"/>
  <c r="CV166" i="5"/>
  <c r="BA166" i="5"/>
  <c r="AH166" i="5"/>
  <c r="AZ166" i="5"/>
  <c r="BF166" i="5"/>
  <c r="DC166" i="5"/>
  <c r="CY166" i="5"/>
  <c r="CK166" i="5"/>
  <c r="CG166" i="5"/>
  <c r="CC166" i="5"/>
  <c r="BY166" i="5"/>
  <c r="BU166" i="5"/>
  <c r="BQ166" i="5"/>
  <c r="BM166" i="5"/>
  <c r="BI166" i="5"/>
  <c r="AW166" i="5"/>
  <c r="AK166" i="5"/>
  <c r="AE166" i="5"/>
  <c r="AA166" i="5"/>
  <c r="X166" i="5"/>
  <c r="T166" i="5"/>
  <c r="P166" i="5"/>
  <c r="L166" i="5"/>
  <c r="H166" i="5"/>
  <c r="D166" i="5"/>
  <c r="CL166" i="5"/>
  <c r="CQ166" i="5"/>
  <c r="CR166" i="5"/>
  <c r="AQ166" i="5"/>
  <c r="AJ166" i="5"/>
  <c r="AX166" i="5"/>
  <c r="BE166" i="5"/>
  <c r="DB166" i="5"/>
  <c r="CX166" i="5"/>
  <c r="AJ117" i="5"/>
  <c r="DK2" i="12"/>
  <c r="CW4" i="5" s="1"/>
  <c r="DQ2" i="12"/>
  <c r="DC4" i="5" s="1"/>
  <c r="DF138" i="5"/>
  <c r="AZ134" i="5"/>
  <c r="CJ140" i="5"/>
  <c r="CE140" i="5"/>
  <c r="BW140" i="5"/>
  <c r="BO140" i="5"/>
  <c r="BC140" i="5"/>
  <c r="AG140" i="5"/>
  <c r="Y140" i="5"/>
  <c r="R140" i="5"/>
  <c r="J140" i="5"/>
  <c r="B140" i="5"/>
  <c r="CV140" i="5"/>
  <c r="CK140" i="5"/>
  <c r="CD140" i="5"/>
  <c r="BV140" i="5"/>
  <c r="BN140" i="5"/>
  <c r="AY140" i="5"/>
  <c r="AF140" i="5"/>
  <c r="AN140" i="5"/>
  <c r="Q140" i="5"/>
  <c r="I140" i="5"/>
  <c r="CM140" i="5"/>
  <c r="BH140" i="5"/>
  <c r="CA140" i="5"/>
  <c r="BS140" i="5"/>
  <c r="BD140" i="5"/>
  <c r="AS140" i="5"/>
  <c r="AC140" i="5"/>
  <c r="V140" i="5"/>
  <c r="N140" i="5"/>
  <c r="F140" i="5"/>
  <c r="CN140" i="5"/>
  <c r="DD132" i="5"/>
  <c r="AD130" i="5"/>
  <c r="BK148" i="5"/>
  <c r="M148" i="5"/>
  <c r="AO148" i="5"/>
  <c r="E148" i="5"/>
  <c r="BZ148" i="5"/>
  <c r="AB148" i="5"/>
  <c r="CP148" i="5"/>
  <c r="A148" i="5"/>
  <c r="CX112" i="5"/>
  <c r="BA65" i="5"/>
  <c r="AH65" i="5"/>
  <c r="AZ65" i="5"/>
  <c r="BF65" i="5"/>
  <c r="DA65" i="5"/>
  <c r="CW65" i="5"/>
  <c r="AQ65" i="5"/>
  <c r="AJ65" i="5"/>
  <c r="AX65" i="5"/>
  <c r="BE65" i="5"/>
  <c r="AL65" i="5"/>
  <c r="AR65" i="5"/>
  <c r="BJ65" i="5"/>
  <c r="DD141" i="5"/>
  <c r="BE127" i="5"/>
  <c r="CR127" i="5"/>
  <c r="AJ127" i="5"/>
  <c r="DB100" i="5"/>
  <c r="CX100" i="5"/>
  <c r="CY90" i="5"/>
  <c r="BY144" i="5"/>
  <c r="BI144" i="5"/>
  <c r="AA144" i="5"/>
  <c r="L144" i="5"/>
  <c r="BU144" i="5"/>
  <c r="AW144" i="5"/>
  <c r="X144" i="5"/>
  <c r="H144" i="5"/>
  <c r="CG144" i="5"/>
  <c r="BQ144" i="5"/>
  <c r="AK144" i="5"/>
  <c r="T144" i="5"/>
  <c r="D144" i="5"/>
  <c r="DE138" i="5"/>
  <c r="AR138" i="5"/>
  <c r="CI119" i="5"/>
  <c r="CD119" i="5"/>
  <c r="BZ119" i="5"/>
  <c r="BV119" i="5"/>
  <c r="BR119" i="5"/>
  <c r="BN119" i="5"/>
  <c r="BK119" i="5"/>
  <c r="AY119" i="5"/>
  <c r="AO119" i="5"/>
  <c r="AF119" i="5"/>
  <c r="AB119" i="5"/>
  <c r="AN119" i="5"/>
  <c r="U119" i="5"/>
  <c r="Q119" i="5"/>
  <c r="M119" i="5"/>
  <c r="I119" i="5"/>
  <c r="E119" i="5"/>
  <c r="CM119" i="5"/>
  <c r="CP119" i="5"/>
  <c r="A119" i="5"/>
  <c r="CR119" i="5"/>
  <c r="AL119" i="5"/>
  <c r="AR119" i="5"/>
  <c r="BJ119" i="5"/>
  <c r="AQ119" i="5"/>
  <c r="BE119" i="5"/>
  <c r="CJ119" i="5"/>
  <c r="CG119" i="5"/>
  <c r="CC119" i="5"/>
  <c r="BY119" i="5"/>
  <c r="BU119" i="5"/>
  <c r="BQ119" i="5"/>
  <c r="BM119" i="5"/>
  <c r="BI119" i="5"/>
  <c r="AW119" i="5"/>
  <c r="AK119" i="5"/>
  <c r="AE119" i="5"/>
  <c r="AA119" i="5"/>
  <c r="X119" i="5"/>
  <c r="T119" i="5"/>
  <c r="P119" i="5"/>
  <c r="L119" i="5"/>
  <c r="H119" i="5"/>
  <c r="D119" i="5"/>
  <c r="CL119" i="5"/>
  <c r="CS119" i="5"/>
  <c r="AM119" i="5"/>
  <c r="AT119" i="5"/>
  <c r="BH119" i="5"/>
  <c r="CX119" i="5"/>
  <c r="AJ119" i="5"/>
  <c r="AX119" i="5"/>
  <c r="CK119" i="5"/>
  <c r="CF119" i="5"/>
  <c r="CB119" i="5"/>
  <c r="BX119" i="5"/>
  <c r="BT119" i="5"/>
  <c r="BP119" i="5"/>
  <c r="BL119" i="5"/>
  <c r="BG119" i="5"/>
  <c r="AU119" i="5"/>
  <c r="AI119" i="5"/>
  <c r="AD119" i="5"/>
  <c r="Z119" i="5"/>
  <c r="W119" i="5"/>
  <c r="S119" i="5"/>
  <c r="O119" i="5"/>
  <c r="K119" i="5"/>
  <c r="G119" i="5"/>
  <c r="C119" i="5"/>
  <c r="CO119" i="5"/>
  <c r="CV119" i="5"/>
  <c r="BA119" i="5"/>
  <c r="AH119" i="5"/>
  <c r="AZ119" i="5"/>
  <c r="BF119" i="5"/>
  <c r="CH114" i="5"/>
  <c r="CD114" i="5"/>
  <c r="BN114" i="5"/>
  <c r="AF114" i="5"/>
  <c r="Q114" i="5"/>
  <c r="CM114" i="5"/>
  <c r="BZ114" i="5"/>
  <c r="BK114" i="5"/>
  <c r="AB114" i="5"/>
  <c r="M114" i="5"/>
  <c r="CP114" i="5"/>
  <c r="CQ110" i="5"/>
  <c r="AL110" i="5"/>
  <c r="DB110" i="5"/>
  <c r="CA110" i="5"/>
  <c r="BD110" i="5"/>
  <c r="AC110" i="5"/>
  <c r="N110" i="5"/>
  <c r="CN110" i="5"/>
  <c r="AR110" i="5"/>
  <c r="CH110" i="5"/>
  <c r="BW110" i="5"/>
  <c r="BC110" i="5"/>
  <c r="Y110" i="5"/>
  <c r="J110" i="5"/>
  <c r="BJ110" i="5"/>
  <c r="CY41" i="5"/>
  <c r="DF41" i="5"/>
  <c r="CY116" i="5"/>
  <c r="DD116" i="5"/>
  <c r="DC116" i="5"/>
  <c r="CK133" i="5"/>
  <c r="CF133" i="5"/>
  <c r="CB133" i="5"/>
  <c r="BX133" i="5"/>
  <c r="BT133" i="5"/>
  <c r="BP133" i="5"/>
  <c r="BL133" i="5"/>
  <c r="BG133" i="5"/>
  <c r="AU133" i="5"/>
  <c r="AI133" i="5"/>
  <c r="AD133" i="5"/>
  <c r="Z133" i="5"/>
  <c r="W133" i="5"/>
  <c r="S133" i="5"/>
  <c r="O133" i="5"/>
  <c r="K133" i="5"/>
  <c r="G133" i="5"/>
  <c r="C133" i="5"/>
  <c r="CO133" i="5"/>
  <c r="CQ133" i="5"/>
  <c r="AQ133" i="5"/>
  <c r="CX133" i="5"/>
  <c r="CH133" i="5"/>
  <c r="CE133" i="5"/>
  <c r="CA133" i="5"/>
  <c r="BW133" i="5"/>
  <c r="BS133" i="5"/>
  <c r="BO133" i="5"/>
  <c r="BD133" i="5"/>
  <c r="BC133" i="5"/>
  <c r="AS133" i="5"/>
  <c r="AG133" i="5"/>
  <c r="AC133" i="5"/>
  <c r="Y133" i="5"/>
  <c r="V133" i="5"/>
  <c r="R133" i="5"/>
  <c r="N133" i="5"/>
  <c r="J133" i="5"/>
  <c r="F133" i="5"/>
  <c r="B133" i="5"/>
  <c r="CN133" i="5"/>
  <c r="A133" i="5"/>
  <c r="AJ133" i="5"/>
  <c r="BL89" i="5"/>
  <c r="AD89" i="5"/>
  <c r="O89" i="5"/>
  <c r="CO89" i="5"/>
  <c r="BX89" i="5"/>
  <c r="BG89" i="5"/>
  <c r="Z89" i="5"/>
  <c r="K89" i="5"/>
  <c r="CQ89" i="5"/>
  <c r="BT89" i="5"/>
  <c r="AU89" i="5"/>
  <c r="W89" i="5"/>
  <c r="G89" i="5"/>
  <c r="DB167" i="5"/>
  <c r="CW167" i="5"/>
  <c r="DA167" i="5"/>
  <c r="DF167" i="5"/>
  <c r="BA128" i="5"/>
  <c r="AL128" i="5"/>
  <c r="AM140" i="5"/>
  <c r="AT140" i="5"/>
  <c r="CS140" i="5"/>
  <c r="DC152" i="5"/>
  <c r="CY152" i="5"/>
  <c r="CW152" i="5"/>
  <c r="AH80" i="5"/>
  <c r="BF80" i="5"/>
  <c r="AJ80" i="5"/>
  <c r="BE80" i="5"/>
  <c r="AQ80" i="5"/>
  <c r="AX80" i="5"/>
  <c r="DD60" i="5"/>
  <c r="CX60" i="5"/>
  <c r="DB60" i="5"/>
  <c r="DA60" i="5"/>
  <c r="CW60" i="5"/>
  <c r="DF106" i="5"/>
  <c r="CW157" i="5"/>
  <c r="CJ118" i="5"/>
  <c r="CD118" i="5"/>
  <c r="BZ118" i="5"/>
  <c r="BV118" i="5"/>
  <c r="BR118" i="5"/>
  <c r="BN118" i="5"/>
  <c r="BK118" i="5"/>
  <c r="AY118" i="5"/>
  <c r="AO118" i="5"/>
  <c r="AF118" i="5"/>
  <c r="AB118" i="5"/>
  <c r="AN118" i="5"/>
  <c r="U118" i="5"/>
  <c r="Q118" i="5"/>
  <c r="M118" i="5"/>
  <c r="I118" i="5"/>
  <c r="E118" i="5"/>
  <c r="CM118" i="5"/>
  <c r="CP118" i="5"/>
  <c r="A118" i="5"/>
  <c r="CV118" i="5"/>
  <c r="AM118" i="5"/>
  <c r="AX118" i="5"/>
  <c r="BA100" i="5"/>
  <c r="AJ100" i="5"/>
  <c r="BJ100" i="5"/>
  <c r="CX170" i="5"/>
  <c r="DE158" i="5"/>
  <c r="DA158" i="5"/>
  <c r="DD101" i="5"/>
  <c r="DC101" i="5"/>
  <c r="DF101" i="5"/>
  <c r="DG101" i="5"/>
  <c r="BY136" i="5"/>
  <c r="BI136" i="5"/>
  <c r="AA136" i="5"/>
  <c r="L136" i="5"/>
  <c r="AH136" i="5"/>
  <c r="BA136" i="5"/>
  <c r="BU136" i="5"/>
  <c r="AW136" i="5"/>
  <c r="X136" i="5"/>
  <c r="H136" i="5"/>
  <c r="AZ136" i="5"/>
  <c r="CH136" i="5"/>
  <c r="CG136" i="5"/>
  <c r="BQ136" i="5"/>
  <c r="AK136" i="5"/>
  <c r="T136" i="5"/>
  <c r="D136" i="5"/>
  <c r="BF136" i="5"/>
  <c r="CK122" i="5"/>
  <c r="CS163" i="5"/>
  <c r="AM163" i="5"/>
  <c r="AT163" i="5"/>
  <c r="BH163" i="5"/>
  <c r="DE163" i="5"/>
  <c r="DA163" i="5"/>
  <c r="CW163" i="5"/>
  <c r="BA163" i="5"/>
  <c r="AH163" i="5"/>
  <c r="AZ163" i="5"/>
  <c r="BF163" i="5"/>
  <c r="DD163" i="5"/>
  <c r="CZ163" i="5"/>
  <c r="DG163" i="5"/>
  <c r="DA86" i="5"/>
  <c r="Q2" i="12"/>
  <c r="CJ4" i="5" s="1"/>
  <c r="T2" i="12"/>
  <c r="CG4" i="5" s="1"/>
  <c r="X2" i="12"/>
  <c r="CC4" i="5" s="1"/>
  <c r="AB2" i="12"/>
  <c r="BY4" i="5" s="1"/>
  <c r="AF2" i="12"/>
  <c r="BU4" i="5" s="1"/>
  <c r="AJ2" i="12"/>
  <c r="BQ4" i="5" s="1"/>
  <c r="AN2" i="12"/>
  <c r="BM4" i="5" s="1"/>
  <c r="AR2" i="12"/>
  <c r="BI4" i="5" s="1"/>
  <c r="AV2" i="12"/>
  <c r="AW4" i="5" s="1"/>
  <c r="AZ2" i="12"/>
  <c r="AK4" i="5" s="1"/>
  <c r="BD2" i="12"/>
  <c r="AE4" i="5" s="1"/>
  <c r="BH2" i="12"/>
  <c r="AA4" i="5" s="1"/>
  <c r="BL2" i="12"/>
  <c r="X4" i="5" s="1"/>
  <c r="BP2" i="12"/>
  <c r="T4" i="5" s="1"/>
  <c r="BT2" i="12"/>
  <c r="P4" i="5" s="1"/>
  <c r="BX2" i="12"/>
  <c r="L4" i="5" s="1"/>
  <c r="CB2" i="12"/>
  <c r="H4" i="5" s="1"/>
  <c r="CF2" i="12"/>
  <c r="D4" i="5" s="1"/>
  <c r="CJ2" i="12"/>
  <c r="CL4" i="5" s="1"/>
  <c r="CU2" i="12"/>
  <c r="BH4" i="5" s="1"/>
  <c r="CY2" i="12"/>
  <c r="AT4" i="5" s="1"/>
  <c r="DC2" i="12"/>
  <c r="AM4" i="5" s="1"/>
  <c r="DG2" i="12"/>
  <c r="CS4" i="5" s="1"/>
  <c r="DL2" i="12"/>
  <c r="CX4" i="5" s="1"/>
  <c r="R2" i="12"/>
  <c r="CI4" i="5" s="1"/>
  <c r="U2" i="12"/>
  <c r="CF4" i="5" s="1"/>
  <c r="Y2" i="12"/>
  <c r="CB4" i="5" s="1"/>
  <c r="AC2" i="12"/>
  <c r="BX4" i="5" s="1"/>
  <c r="AG2" i="12"/>
  <c r="BT4" i="5" s="1"/>
  <c r="AK2" i="12"/>
  <c r="BP4" i="5" s="1"/>
  <c r="AO2" i="12"/>
  <c r="BL4" i="5" s="1"/>
  <c r="AS2" i="12"/>
  <c r="BG4" i="5" s="1"/>
  <c r="AW2" i="12"/>
  <c r="AU4" i="5" s="1"/>
  <c r="BA2" i="12"/>
  <c r="AI4" i="5" s="1"/>
  <c r="BE2" i="12"/>
  <c r="AD4" i="5" s="1"/>
  <c r="BI2" i="12"/>
  <c r="Z4" i="5" s="1"/>
  <c r="BM2" i="12"/>
  <c r="W4" i="5" s="1"/>
  <c r="BQ2" i="12"/>
  <c r="S4" i="5" s="1"/>
  <c r="BU2" i="12"/>
  <c r="O4" i="5" s="1"/>
  <c r="BY2" i="12"/>
  <c r="K4" i="5" s="1"/>
  <c r="CC2" i="12"/>
  <c r="G4" i="5" s="1"/>
  <c r="CG2" i="12"/>
  <c r="C4" i="5" s="1"/>
  <c r="CK2" i="12"/>
  <c r="CO4" i="5" s="1"/>
  <c r="CV4" i="5"/>
  <c r="CV2" i="12"/>
  <c r="BJ4" i="5" s="1"/>
  <c r="CZ2" i="12"/>
  <c r="AR4" i="5" s="1"/>
  <c r="DD2" i="12"/>
  <c r="AL4" i="5" s="1"/>
  <c r="DM2" i="12"/>
  <c r="CY4" i="5" s="1"/>
  <c r="CB136" i="5"/>
  <c r="BT136" i="5"/>
  <c r="BL136" i="5"/>
  <c r="BG136" i="5"/>
  <c r="AI136" i="5"/>
  <c r="Z136" i="5"/>
  <c r="S136" i="5"/>
  <c r="K136" i="5"/>
  <c r="G136" i="5"/>
  <c r="CO136" i="5"/>
  <c r="AJ136" i="5"/>
  <c r="AX136" i="5"/>
  <c r="CJ136" i="5"/>
  <c r="CE136" i="5"/>
  <c r="CA136" i="5"/>
  <c r="BW136" i="5"/>
  <c r="BS136" i="5"/>
  <c r="BO136" i="5"/>
  <c r="BD136" i="5"/>
  <c r="BC136" i="5"/>
  <c r="AS136" i="5"/>
  <c r="AG136" i="5"/>
  <c r="AC136" i="5"/>
  <c r="Y136" i="5"/>
  <c r="V136" i="5"/>
  <c r="R136" i="5"/>
  <c r="N136" i="5"/>
  <c r="J136" i="5"/>
  <c r="F136" i="5"/>
  <c r="B136" i="5"/>
  <c r="CN136" i="5"/>
  <c r="CQ136" i="5"/>
  <c r="AL136" i="5"/>
  <c r="AR136" i="5"/>
  <c r="BJ136" i="5"/>
  <c r="CI136" i="5"/>
  <c r="CF136" i="5"/>
  <c r="BX136" i="5"/>
  <c r="BP136" i="5"/>
  <c r="AU136" i="5"/>
  <c r="AD136" i="5"/>
  <c r="W136" i="5"/>
  <c r="O136" i="5"/>
  <c r="C136" i="5"/>
  <c r="AQ136" i="5"/>
  <c r="BE136" i="5"/>
  <c r="CK136" i="5"/>
  <c r="CD136" i="5"/>
  <c r="BZ136" i="5"/>
  <c r="BV136" i="5"/>
  <c r="BR136" i="5"/>
  <c r="BN136" i="5"/>
  <c r="BK136" i="5"/>
  <c r="AY136" i="5"/>
  <c r="AO136" i="5"/>
  <c r="AF136" i="5"/>
  <c r="AB136" i="5"/>
  <c r="AN136" i="5"/>
  <c r="U136" i="5"/>
  <c r="Q136" i="5"/>
  <c r="M136" i="5"/>
  <c r="I136" i="5"/>
  <c r="E136" i="5"/>
  <c r="CM136" i="5"/>
  <c r="CP136" i="5"/>
  <c r="A136" i="5"/>
  <c r="CR136" i="5"/>
  <c r="CV136" i="5"/>
  <c r="CS136" i="5"/>
  <c r="AM136" i="5"/>
  <c r="AT136" i="5"/>
  <c r="BH136" i="5"/>
  <c r="CY136" i="5"/>
  <c r="CF108" i="5"/>
  <c r="BP108" i="5"/>
  <c r="AI108" i="5"/>
  <c r="S108" i="5"/>
  <c r="C108" i="5"/>
  <c r="CI108" i="5"/>
  <c r="CB108" i="5"/>
  <c r="BL108" i="5"/>
  <c r="AD108" i="5"/>
  <c r="O108" i="5"/>
  <c r="CO108" i="5"/>
  <c r="BH97" i="5"/>
  <c r="BG97" i="5"/>
  <c r="Z97" i="5"/>
  <c r="BT97" i="5"/>
  <c r="AU97" i="5"/>
  <c r="W97" i="5"/>
  <c r="G97" i="5"/>
  <c r="CQ97" i="5"/>
  <c r="AM97" i="5"/>
  <c r="BX97" i="5"/>
  <c r="K97" i="5"/>
  <c r="CS97" i="5"/>
  <c r="CH97" i="5"/>
  <c r="CF97" i="5"/>
  <c r="BP97" i="5"/>
  <c r="AI97" i="5"/>
  <c r="S97" i="5"/>
  <c r="C97" i="5"/>
  <c r="AT97" i="5"/>
  <c r="CI87" i="5"/>
  <c r="CB87" i="5"/>
  <c r="BT87" i="5"/>
  <c r="BL87" i="5"/>
  <c r="AU87" i="5"/>
  <c r="AD87" i="5"/>
  <c r="W87" i="5"/>
  <c r="O87" i="5"/>
  <c r="G87" i="5"/>
  <c r="CO87" i="5"/>
  <c r="AQ87" i="5"/>
  <c r="AX87" i="5"/>
  <c r="DA87" i="5"/>
  <c r="CJ87" i="5"/>
  <c r="CA87" i="5"/>
  <c r="BS87" i="5"/>
  <c r="BD87" i="5"/>
  <c r="AS87" i="5"/>
  <c r="AC87" i="5"/>
  <c r="V87" i="5"/>
  <c r="N87" i="5"/>
  <c r="F87" i="5"/>
  <c r="CN87" i="5"/>
  <c r="AL87" i="5"/>
  <c r="BJ87" i="5"/>
  <c r="CZ87" i="5"/>
  <c r="DC155" i="5"/>
  <c r="AT120" i="5"/>
  <c r="BF120" i="5"/>
  <c r="AL120" i="5"/>
  <c r="CJ151" i="5"/>
  <c r="CG151" i="5"/>
  <c r="CC151" i="5"/>
  <c r="BY151" i="5"/>
  <c r="BU151" i="5"/>
  <c r="BQ151" i="5"/>
  <c r="BM151" i="5"/>
  <c r="BI151" i="5"/>
  <c r="AW151" i="5"/>
  <c r="AK151" i="5"/>
  <c r="AE151" i="5"/>
  <c r="AA151" i="5"/>
  <c r="X151" i="5"/>
  <c r="T151" i="5"/>
  <c r="P151" i="5"/>
  <c r="L151" i="5"/>
  <c r="H151" i="5"/>
  <c r="D151" i="5"/>
  <c r="CL151" i="5"/>
  <c r="CQ151" i="5"/>
  <c r="BA151" i="5"/>
  <c r="AR151" i="5"/>
  <c r="BH151" i="5"/>
  <c r="CK151" i="5"/>
  <c r="CF151" i="5"/>
  <c r="CB151" i="5"/>
  <c r="BX151" i="5"/>
  <c r="BT151" i="5"/>
  <c r="BP151" i="5"/>
  <c r="BL151" i="5"/>
  <c r="BG151" i="5"/>
  <c r="AU151" i="5"/>
  <c r="AI151" i="5"/>
  <c r="AD151" i="5"/>
  <c r="Z151" i="5"/>
  <c r="W151" i="5"/>
  <c r="S151" i="5"/>
  <c r="O151" i="5"/>
  <c r="K151" i="5"/>
  <c r="G151" i="5"/>
  <c r="C151" i="5"/>
  <c r="CO151" i="5"/>
  <c r="A151" i="5"/>
  <c r="CR151" i="5"/>
  <c r="AL151" i="5"/>
  <c r="AT151" i="5"/>
  <c r="BF151" i="5"/>
  <c r="DG151" i="5"/>
  <c r="CS151" i="5"/>
  <c r="AH151" i="5"/>
  <c r="BJ151" i="5"/>
  <c r="CZ151" i="5"/>
  <c r="CX109" i="5"/>
  <c r="AR128" i="5"/>
  <c r="AT128" i="5"/>
  <c r="CB92" i="5"/>
  <c r="BW92" i="5"/>
  <c r="BR92" i="5"/>
  <c r="BL92" i="5"/>
  <c r="BC92" i="5"/>
  <c r="AO92" i="5"/>
  <c r="AD92" i="5"/>
  <c r="Y92" i="5"/>
  <c r="U92" i="5"/>
  <c r="O92" i="5"/>
  <c r="J92" i="5"/>
  <c r="E92" i="5"/>
  <c r="CO92" i="5"/>
  <c r="AH92" i="5"/>
  <c r="BF92" i="5"/>
  <c r="DB92" i="5"/>
  <c r="CW92" i="5"/>
  <c r="CJ92" i="5"/>
  <c r="CF92" i="5"/>
  <c r="CA92" i="5"/>
  <c r="BV92" i="5"/>
  <c r="BP92" i="5"/>
  <c r="BD92" i="5"/>
  <c r="AY92" i="5"/>
  <c r="AI92" i="5"/>
  <c r="AC92" i="5"/>
  <c r="AN92" i="5"/>
  <c r="S92" i="5"/>
  <c r="N92" i="5"/>
  <c r="I92" i="5"/>
  <c r="C92" i="5"/>
  <c r="CN92" i="5"/>
  <c r="AJ92" i="5"/>
  <c r="BE92" i="5"/>
  <c r="CY92" i="5"/>
  <c r="CI92" i="5"/>
  <c r="CK92" i="5"/>
  <c r="CE92" i="5"/>
  <c r="BT92" i="5"/>
  <c r="BO92" i="5"/>
  <c r="BK92" i="5"/>
  <c r="AU92" i="5"/>
  <c r="AG92" i="5"/>
  <c r="AB92" i="5"/>
  <c r="W92" i="5"/>
  <c r="R92" i="5"/>
  <c r="M92" i="5"/>
  <c r="G92" i="5"/>
  <c r="B92" i="5"/>
  <c r="CP92" i="5"/>
  <c r="BA92" i="5"/>
  <c r="AZ92" i="5"/>
  <c r="CX92" i="5"/>
  <c r="DD88" i="5"/>
  <c r="CZ88" i="5"/>
  <c r="DF88" i="5"/>
  <c r="DE164" i="5"/>
  <c r="DA164" i="5"/>
  <c r="CW164" i="5"/>
  <c r="DG164" i="5"/>
  <c r="DD164" i="5"/>
  <c r="CZ164" i="5"/>
  <c r="AL91" i="5"/>
  <c r="AR91" i="5"/>
  <c r="BJ91" i="5"/>
  <c r="DA91" i="5"/>
  <c r="DF91" i="5"/>
  <c r="DG91" i="5"/>
  <c r="DE91" i="5"/>
  <c r="CZ91" i="5"/>
  <c r="DC91" i="5"/>
  <c r="DA154" i="5"/>
  <c r="DE154" i="5"/>
  <c r="CZ154" i="5"/>
  <c r="DD154" i="5"/>
  <c r="CY154" i="5"/>
  <c r="DG154" i="5"/>
  <c r="DC93" i="5"/>
  <c r="CX93" i="5"/>
  <c r="DB93" i="5"/>
  <c r="CW93" i="5"/>
  <c r="DF93" i="5"/>
  <c r="DD93" i="5"/>
  <c r="CY93" i="5"/>
  <c r="DG93" i="5"/>
  <c r="BM70" i="5"/>
  <c r="AE70" i="5"/>
  <c r="P70" i="5"/>
  <c r="CL70" i="5"/>
  <c r="BA70" i="5"/>
  <c r="DE70" i="5"/>
  <c r="CR70" i="5"/>
  <c r="AH70" i="5"/>
  <c r="DA70" i="5"/>
  <c r="AR98" i="5"/>
  <c r="CY98" i="5"/>
  <c r="CC98" i="5"/>
  <c r="BU98" i="5"/>
  <c r="BM98" i="5"/>
  <c r="AW98" i="5"/>
  <c r="AE98" i="5"/>
  <c r="X98" i="5"/>
  <c r="P98" i="5"/>
  <c r="H98" i="5"/>
  <c r="CL98" i="5"/>
  <c r="CQ98" i="5"/>
  <c r="CS98" i="5"/>
  <c r="AT98" i="5"/>
  <c r="BZ98" i="5"/>
  <c r="BR98" i="5"/>
  <c r="BK98" i="5"/>
  <c r="AO98" i="5"/>
  <c r="AB98" i="5"/>
  <c r="U98" i="5"/>
  <c r="M98" i="5"/>
  <c r="E98" i="5"/>
  <c r="CP98" i="5"/>
  <c r="AL98" i="5"/>
  <c r="BJ98" i="5"/>
  <c r="CH98" i="5"/>
  <c r="CG98" i="5"/>
  <c r="BY98" i="5"/>
  <c r="BQ98" i="5"/>
  <c r="BI98" i="5"/>
  <c r="AK98" i="5"/>
  <c r="AA98" i="5"/>
  <c r="T98" i="5"/>
  <c r="L98" i="5"/>
  <c r="D98" i="5"/>
  <c r="AM98" i="5"/>
  <c r="BH98" i="5"/>
  <c r="AL75" i="5"/>
  <c r="AR75" i="5"/>
  <c r="BJ75" i="5"/>
  <c r="DB75" i="5"/>
  <c r="CX75" i="5"/>
  <c r="CW75" i="5"/>
  <c r="DF75" i="5"/>
  <c r="CS75" i="5"/>
  <c r="AM75" i="5"/>
  <c r="AT75" i="5"/>
  <c r="BH75" i="5"/>
  <c r="DE75" i="5"/>
  <c r="DA75" i="5"/>
  <c r="DG75" i="5"/>
  <c r="DD85" i="5"/>
  <c r="CZ85" i="5"/>
  <c r="DB113" i="5"/>
  <c r="K104" i="5"/>
  <c r="BG104" i="5"/>
  <c r="BT104" i="5"/>
  <c r="AU104" i="5"/>
  <c r="W104" i="5"/>
  <c r="G104" i="5"/>
  <c r="BX104" i="5"/>
  <c r="Z104" i="5"/>
  <c r="CF104" i="5"/>
  <c r="BP104" i="5"/>
  <c r="AI104" i="5"/>
  <c r="S104" i="5"/>
  <c r="C104" i="5"/>
  <c r="DC95" i="5"/>
  <c r="CX95" i="5"/>
  <c r="DF95" i="5"/>
  <c r="CK102" i="5"/>
  <c r="BW102" i="5"/>
  <c r="BC102" i="5"/>
  <c r="Y102" i="5"/>
  <c r="J102" i="5"/>
  <c r="BS102" i="5"/>
  <c r="AS102" i="5"/>
  <c r="V102" i="5"/>
  <c r="F102" i="5"/>
  <c r="W143" i="5"/>
  <c r="AZ137" i="5"/>
  <c r="BA137" i="5"/>
  <c r="CK144" i="5"/>
  <c r="CF144" i="5"/>
  <c r="CB144" i="5"/>
  <c r="BX144" i="5"/>
  <c r="BT144" i="5"/>
  <c r="BP144" i="5"/>
  <c r="BL144" i="5"/>
  <c r="BG144" i="5"/>
  <c r="AU144" i="5"/>
  <c r="AI144" i="5"/>
  <c r="AD144" i="5"/>
  <c r="Z144" i="5"/>
  <c r="W144" i="5"/>
  <c r="S144" i="5"/>
  <c r="O144" i="5"/>
  <c r="K144" i="5"/>
  <c r="G144" i="5"/>
  <c r="C144" i="5"/>
  <c r="CO144" i="5"/>
  <c r="AL144" i="5"/>
  <c r="AR144" i="5"/>
  <c r="BJ144" i="5"/>
  <c r="AQ144" i="5"/>
  <c r="BE144" i="5"/>
  <c r="CH144" i="5"/>
  <c r="CE144" i="5"/>
  <c r="CA144" i="5"/>
  <c r="BW144" i="5"/>
  <c r="BS144" i="5"/>
  <c r="BO144" i="5"/>
  <c r="BD144" i="5"/>
  <c r="BC144" i="5"/>
  <c r="AS144" i="5"/>
  <c r="AG144" i="5"/>
  <c r="AC144" i="5"/>
  <c r="Y144" i="5"/>
  <c r="V144" i="5"/>
  <c r="R144" i="5"/>
  <c r="N144" i="5"/>
  <c r="J144" i="5"/>
  <c r="F144" i="5"/>
  <c r="B144" i="5"/>
  <c r="CN144" i="5"/>
  <c r="CQ144" i="5"/>
  <c r="CS144" i="5"/>
  <c r="AM144" i="5"/>
  <c r="AT144" i="5"/>
  <c r="BH144" i="5"/>
  <c r="DG144" i="5"/>
  <c r="CR144" i="5"/>
  <c r="AJ144" i="5"/>
  <c r="AX144" i="5"/>
  <c r="CI144" i="5"/>
  <c r="CD144" i="5"/>
  <c r="BZ144" i="5"/>
  <c r="BV144" i="5"/>
  <c r="BR144" i="5"/>
  <c r="BN144" i="5"/>
  <c r="BK144" i="5"/>
  <c r="AY144" i="5"/>
  <c r="AO144" i="5"/>
  <c r="AF144" i="5"/>
  <c r="AB144" i="5"/>
  <c r="AN144" i="5"/>
  <c r="U144" i="5"/>
  <c r="Q144" i="5"/>
  <c r="M144" i="5"/>
  <c r="I144" i="5"/>
  <c r="E144" i="5"/>
  <c r="CM144" i="5"/>
  <c r="CP144" i="5"/>
  <c r="A144" i="5"/>
  <c r="CV144" i="5"/>
  <c r="BA144" i="5"/>
  <c r="AH144" i="5"/>
  <c r="AZ144" i="5"/>
  <c r="BF144" i="5"/>
  <c r="DB144" i="5"/>
  <c r="O130" i="5"/>
  <c r="CB130" i="5"/>
  <c r="CO130" i="5"/>
  <c r="CR130" i="5"/>
  <c r="BL130" i="5"/>
  <c r="AM128" i="5"/>
  <c r="AZ128" i="5"/>
  <c r="CS128" i="5"/>
  <c r="AH128" i="5"/>
  <c r="BJ128" i="5"/>
  <c r="CD124" i="5"/>
  <c r="CV151" i="5"/>
  <c r="AQ151" i="5"/>
  <c r="AJ151" i="5"/>
  <c r="AX151" i="5"/>
  <c r="BE151" i="5"/>
  <c r="DD151" i="5"/>
  <c r="AT134" i="5"/>
  <c r="AM132" i="5"/>
  <c r="CX132" i="5"/>
  <c r="AT132" i="5"/>
  <c r="AZ132" i="5"/>
  <c r="BA50" i="5"/>
  <c r="AH50" i="5"/>
  <c r="AZ50" i="5"/>
  <c r="BF50" i="5"/>
  <c r="DE50" i="5"/>
  <c r="DA50" i="5"/>
  <c r="DG50" i="5"/>
  <c r="CJ50" i="5"/>
  <c r="BZ50" i="5"/>
  <c r="BR50" i="5"/>
  <c r="BK50" i="5"/>
  <c r="AO50" i="5"/>
  <c r="AN50" i="5"/>
  <c r="Q50" i="5"/>
  <c r="I50" i="5"/>
  <c r="CM50" i="5"/>
  <c r="CK50" i="5"/>
  <c r="CG50" i="5"/>
  <c r="CC50" i="5"/>
  <c r="BY50" i="5"/>
  <c r="BU50" i="5"/>
  <c r="BQ50" i="5"/>
  <c r="BM50" i="5"/>
  <c r="BI50" i="5"/>
  <c r="AW50" i="5"/>
  <c r="AK50" i="5"/>
  <c r="AE50" i="5"/>
  <c r="AA50" i="5"/>
  <c r="X50" i="5"/>
  <c r="T50" i="5"/>
  <c r="P50" i="5"/>
  <c r="L50" i="5"/>
  <c r="H50" i="5"/>
  <c r="D50" i="5"/>
  <c r="CL50" i="5"/>
  <c r="A50" i="5"/>
  <c r="CV50" i="5"/>
  <c r="AR50" i="5"/>
  <c r="BJ50" i="5"/>
  <c r="DC50" i="5"/>
  <c r="CY50" i="5"/>
  <c r="DF50" i="5"/>
  <c r="CD50" i="5"/>
  <c r="BV50" i="5"/>
  <c r="BN50" i="5"/>
  <c r="AY50" i="5"/>
  <c r="AF50" i="5"/>
  <c r="AB50" i="5"/>
  <c r="U50" i="5"/>
  <c r="M50" i="5"/>
  <c r="E50" i="5"/>
  <c r="CP50" i="5"/>
  <c r="CQ50" i="5"/>
  <c r="AQ50" i="5"/>
  <c r="AJ50" i="5"/>
  <c r="AX50" i="5"/>
  <c r="BE50" i="5"/>
  <c r="DD50" i="5"/>
  <c r="CZ50" i="5"/>
  <c r="CW50" i="5"/>
  <c r="CH50" i="5"/>
  <c r="CF50" i="5"/>
  <c r="CB50" i="5"/>
  <c r="BX50" i="5"/>
  <c r="BT50" i="5"/>
  <c r="BP50" i="5"/>
  <c r="BL50" i="5"/>
  <c r="BG50" i="5"/>
  <c r="AU50" i="5"/>
  <c r="AI50" i="5"/>
  <c r="AD50" i="5"/>
  <c r="Z50" i="5"/>
  <c r="W50" i="5"/>
  <c r="S50" i="5"/>
  <c r="O50" i="5"/>
  <c r="K50" i="5"/>
  <c r="G50" i="5"/>
  <c r="C50" i="5"/>
  <c r="CO50" i="5"/>
  <c r="CR50" i="5"/>
  <c r="CS50" i="5"/>
  <c r="AM50" i="5"/>
  <c r="AT50" i="5"/>
  <c r="BH50" i="5"/>
  <c r="DB50" i="5"/>
  <c r="CX50" i="5"/>
  <c r="CS104" i="5"/>
  <c r="AT104" i="5"/>
  <c r="CJ104" i="5"/>
  <c r="CE104" i="5"/>
  <c r="CA104" i="5"/>
  <c r="BW104" i="5"/>
  <c r="BS104" i="5"/>
  <c r="BO104" i="5"/>
  <c r="BD104" i="5"/>
  <c r="BC104" i="5"/>
  <c r="AS104" i="5"/>
  <c r="AG104" i="5"/>
  <c r="AC104" i="5"/>
  <c r="Y104" i="5"/>
  <c r="V104" i="5"/>
  <c r="R104" i="5"/>
  <c r="N104" i="5"/>
  <c r="J104" i="5"/>
  <c r="B104" i="5"/>
  <c r="CN104" i="5"/>
  <c r="A104" i="5"/>
  <c r="CV104" i="5"/>
  <c r="BA104" i="5"/>
  <c r="AH104" i="5"/>
  <c r="AZ104" i="5"/>
  <c r="BF104" i="5"/>
  <c r="DB104" i="5"/>
  <c r="CK104" i="5"/>
  <c r="CD104" i="5"/>
  <c r="BZ104" i="5"/>
  <c r="BV104" i="5"/>
  <c r="BR104" i="5"/>
  <c r="BN104" i="5"/>
  <c r="BK104" i="5"/>
  <c r="AY104" i="5"/>
  <c r="AO104" i="5"/>
  <c r="AF104" i="5"/>
  <c r="AB104" i="5"/>
  <c r="AN104" i="5"/>
  <c r="U104" i="5"/>
  <c r="Q104" i="5"/>
  <c r="M104" i="5"/>
  <c r="I104" i="5"/>
  <c r="E104" i="5"/>
  <c r="CM104" i="5"/>
  <c r="CP104" i="5"/>
  <c r="AQ104" i="5"/>
  <c r="AJ104" i="5"/>
  <c r="AX104" i="5"/>
  <c r="BE104" i="5"/>
  <c r="CX104" i="5"/>
  <c r="CQ104" i="5"/>
  <c r="AM104" i="5"/>
  <c r="BH104" i="5"/>
  <c r="CH104" i="5"/>
  <c r="CG104" i="5"/>
  <c r="CC104" i="5"/>
  <c r="BY104" i="5"/>
  <c r="BU104" i="5"/>
  <c r="BQ104" i="5"/>
  <c r="BM104" i="5"/>
  <c r="BI104" i="5"/>
  <c r="AW104" i="5"/>
  <c r="AK104" i="5"/>
  <c r="AE104" i="5"/>
  <c r="AA104" i="5"/>
  <c r="X104" i="5"/>
  <c r="T104" i="5"/>
  <c r="P104" i="5"/>
  <c r="L104" i="5"/>
  <c r="H104" i="5"/>
  <c r="D104" i="5"/>
  <c r="CL104" i="5"/>
  <c r="CR104" i="5"/>
  <c r="AL104" i="5"/>
  <c r="AR104" i="5"/>
  <c r="BJ104" i="5"/>
  <c r="AQ45" i="5"/>
  <c r="AJ45" i="5"/>
  <c r="AX45" i="5"/>
  <c r="BE45" i="5"/>
  <c r="DE45" i="5"/>
  <c r="DA45" i="5"/>
  <c r="DF45" i="5"/>
  <c r="CK45" i="5"/>
  <c r="CG45" i="5"/>
  <c r="CC45" i="5"/>
  <c r="BY45" i="5"/>
  <c r="BU45" i="5"/>
  <c r="BQ45" i="5"/>
  <c r="BM45" i="5"/>
  <c r="BI45" i="5"/>
  <c r="AW45" i="5"/>
  <c r="AK45" i="5"/>
  <c r="AE45" i="5"/>
  <c r="AA45" i="5"/>
  <c r="X45" i="5"/>
  <c r="T45" i="5"/>
  <c r="P45" i="5"/>
  <c r="L45" i="5"/>
  <c r="H45" i="5"/>
  <c r="D45" i="5"/>
  <c r="CL45" i="5"/>
  <c r="CR45" i="5"/>
  <c r="AL45" i="5"/>
  <c r="AR45" i="5"/>
  <c r="BJ45" i="5"/>
  <c r="DD45" i="5"/>
  <c r="CZ45" i="5"/>
  <c r="CT45" i="5"/>
  <c r="CU45" i="5"/>
  <c r="CH45" i="5"/>
  <c r="CF45" i="5"/>
  <c r="CB45" i="5"/>
  <c r="BX45" i="5"/>
  <c r="BT45" i="5"/>
  <c r="BP45" i="5"/>
  <c r="BL45" i="5"/>
  <c r="BG45" i="5"/>
  <c r="AU45" i="5"/>
  <c r="AI45" i="5"/>
  <c r="AD45" i="5"/>
  <c r="Z45" i="5"/>
  <c r="W45" i="5"/>
  <c r="S45" i="5"/>
  <c r="O45" i="5"/>
  <c r="K45" i="5"/>
  <c r="G45" i="5"/>
  <c r="C45" i="5"/>
  <c r="CO45" i="5"/>
  <c r="CS45" i="5"/>
  <c r="AM45" i="5"/>
  <c r="AT45" i="5"/>
  <c r="BH45" i="5"/>
  <c r="DC45" i="5"/>
  <c r="CY45" i="5"/>
  <c r="CY165" i="5"/>
  <c r="CW165" i="5"/>
  <c r="DC165" i="5"/>
  <c r="CK99" i="5"/>
  <c r="BT99" i="5"/>
  <c r="AU99" i="5"/>
  <c r="W99" i="5"/>
  <c r="G99" i="5"/>
  <c r="CQ99" i="5"/>
  <c r="CF99" i="5"/>
  <c r="BP99" i="5"/>
  <c r="AI99" i="5"/>
  <c r="S99" i="5"/>
  <c r="C99" i="5"/>
  <c r="AM99" i="5"/>
  <c r="CB99" i="5"/>
  <c r="BL99" i="5"/>
  <c r="AD99" i="5"/>
  <c r="O99" i="5"/>
  <c r="CO99" i="5"/>
  <c r="AZ99" i="5"/>
  <c r="CA125" i="5"/>
  <c r="BS125" i="5"/>
  <c r="BD125" i="5"/>
  <c r="AS125" i="5"/>
  <c r="AC125" i="5"/>
  <c r="V125" i="5"/>
  <c r="N125" i="5"/>
  <c r="B125" i="5"/>
  <c r="A125" i="5"/>
  <c r="CI125" i="5"/>
  <c r="CD125" i="5"/>
  <c r="BZ125" i="5"/>
  <c r="BV125" i="5"/>
  <c r="BR125" i="5"/>
  <c r="BN125" i="5"/>
  <c r="BK125" i="5"/>
  <c r="AY125" i="5"/>
  <c r="AO125" i="5"/>
  <c r="AF125" i="5"/>
  <c r="AB125" i="5"/>
  <c r="AN125" i="5"/>
  <c r="U125" i="5"/>
  <c r="Q125" i="5"/>
  <c r="M125" i="5"/>
  <c r="I125" i="5"/>
  <c r="E125" i="5"/>
  <c r="CM125" i="5"/>
  <c r="CP125" i="5"/>
  <c r="CR125" i="5"/>
  <c r="AJ125" i="5"/>
  <c r="CH125" i="5"/>
  <c r="CE125" i="5"/>
  <c r="BW125" i="5"/>
  <c r="BO125" i="5"/>
  <c r="BC125" i="5"/>
  <c r="AG125" i="5"/>
  <c r="Y125" i="5"/>
  <c r="R125" i="5"/>
  <c r="J125" i="5"/>
  <c r="F125" i="5"/>
  <c r="CN125" i="5"/>
  <c r="CV125" i="5"/>
  <c r="CJ125" i="5"/>
  <c r="CG125" i="5"/>
  <c r="CC125" i="5"/>
  <c r="BY125" i="5"/>
  <c r="BU125" i="5"/>
  <c r="BQ125" i="5"/>
  <c r="BM125" i="5"/>
  <c r="BI125" i="5"/>
  <c r="AW125" i="5"/>
  <c r="AK125" i="5"/>
  <c r="AE125" i="5"/>
  <c r="AA125" i="5"/>
  <c r="X125" i="5"/>
  <c r="T125" i="5"/>
  <c r="P125" i="5"/>
  <c r="L125" i="5"/>
  <c r="H125" i="5"/>
  <c r="D125" i="5"/>
  <c r="CL125" i="5"/>
  <c r="BE125" i="5"/>
  <c r="DE95" i="5"/>
  <c r="CY95" i="5"/>
  <c r="DG95" i="5"/>
  <c r="DB95" i="5"/>
  <c r="DA95" i="5"/>
  <c r="CX137" i="5"/>
  <c r="DF137" i="5"/>
  <c r="CH47" i="5"/>
  <c r="CF47" i="5"/>
  <c r="BX47" i="5"/>
  <c r="BP47" i="5"/>
  <c r="BG47" i="5"/>
  <c r="AI47" i="5"/>
  <c r="Z47" i="5"/>
  <c r="W47" i="5"/>
  <c r="O47" i="5"/>
  <c r="G47" i="5"/>
  <c r="CO47" i="5"/>
  <c r="CR47" i="5"/>
  <c r="AR47" i="5"/>
  <c r="DA47" i="5"/>
  <c r="BB47" i="5"/>
  <c r="CI47" i="5"/>
  <c r="CE47" i="5"/>
  <c r="CA47" i="5"/>
  <c r="BW47" i="5"/>
  <c r="BS47" i="5"/>
  <c r="BO47" i="5"/>
  <c r="BD47" i="5"/>
  <c r="BC47" i="5"/>
  <c r="AS47" i="5"/>
  <c r="AG47" i="5"/>
  <c r="AC47" i="5"/>
  <c r="Y47" i="5"/>
  <c r="V47" i="5"/>
  <c r="R47" i="5"/>
  <c r="N47" i="5"/>
  <c r="J47" i="5"/>
  <c r="F47" i="5"/>
  <c r="B47" i="5"/>
  <c r="CN47" i="5"/>
  <c r="CS47" i="5"/>
  <c r="AM47" i="5"/>
  <c r="AT47" i="5"/>
  <c r="BH47" i="5"/>
  <c r="DD47" i="5"/>
  <c r="CZ47" i="5"/>
  <c r="AQ47" i="5"/>
  <c r="AJ47" i="5"/>
  <c r="AX47" i="5"/>
  <c r="BE47" i="5"/>
  <c r="DB47" i="5"/>
  <c r="CX47" i="5"/>
  <c r="CW47" i="5"/>
  <c r="DG47" i="5"/>
  <c r="CT47" i="5"/>
  <c r="CB47" i="5"/>
  <c r="BT47" i="5"/>
  <c r="BL47" i="5"/>
  <c r="AU47" i="5"/>
  <c r="AD47" i="5"/>
  <c r="S47" i="5"/>
  <c r="K47" i="5"/>
  <c r="C47" i="5"/>
  <c r="AL47" i="5"/>
  <c r="BJ47" i="5"/>
  <c r="DE47" i="5"/>
  <c r="AP47" i="5"/>
  <c r="CJ47" i="5"/>
  <c r="CD47" i="5"/>
  <c r="BZ47" i="5"/>
  <c r="BV47" i="5"/>
  <c r="BR47" i="5"/>
  <c r="BN47" i="5"/>
  <c r="BK47" i="5"/>
  <c r="AY47" i="5"/>
  <c r="AO47" i="5"/>
  <c r="AF47" i="5"/>
  <c r="AB47" i="5"/>
  <c r="AN47" i="5"/>
  <c r="U47" i="5"/>
  <c r="Q47" i="5"/>
  <c r="M47" i="5"/>
  <c r="I47" i="5"/>
  <c r="E47" i="5"/>
  <c r="CM47" i="5"/>
  <c r="CP47" i="5"/>
  <c r="CQ47" i="5"/>
  <c r="BA47" i="5"/>
  <c r="AH47" i="5"/>
  <c r="AZ47" i="5"/>
  <c r="BF47" i="5"/>
  <c r="DC47" i="5"/>
  <c r="CY47" i="5"/>
  <c r="DF47" i="5"/>
  <c r="CK121" i="5"/>
  <c r="CF121" i="5"/>
  <c r="CB121" i="5"/>
  <c r="BX121" i="5"/>
  <c r="BT121" i="5"/>
  <c r="BP121" i="5"/>
  <c r="BL121" i="5"/>
  <c r="BG121" i="5"/>
  <c r="AU121" i="5"/>
  <c r="AI121" i="5"/>
  <c r="AD121" i="5"/>
  <c r="Z121" i="5"/>
  <c r="W121" i="5"/>
  <c r="S121" i="5"/>
  <c r="O121" i="5"/>
  <c r="K121" i="5"/>
  <c r="G121" i="5"/>
  <c r="C121" i="5"/>
  <c r="CO121" i="5"/>
  <c r="AM121" i="5"/>
  <c r="BH121" i="5"/>
  <c r="DG121" i="5"/>
  <c r="CH121" i="5"/>
  <c r="CE121" i="5"/>
  <c r="CA121" i="5"/>
  <c r="BW121" i="5"/>
  <c r="BS121" i="5"/>
  <c r="BO121" i="5"/>
  <c r="BD121" i="5"/>
  <c r="BC121" i="5"/>
  <c r="AS121" i="5"/>
  <c r="AG121" i="5"/>
  <c r="AC121" i="5"/>
  <c r="Y121" i="5"/>
  <c r="V121" i="5"/>
  <c r="R121" i="5"/>
  <c r="N121" i="5"/>
  <c r="J121" i="5"/>
  <c r="F121" i="5"/>
  <c r="B121" i="5"/>
  <c r="CN121" i="5"/>
  <c r="AH121" i="5"/>
  <c r="BF121" i="5"/>
  <c r="BA121" i="5"/>
  <c r="AZ121" i="5"/>
  <c r="CI121" i="5"/>
  <c r="CD121" i="5"/>
  <c r="BZ121" i="5"/>
  <c r="BV121" i="5"/>
  <c r="BR121" i="5"/>
  <c r="BN121" i="5"/>
  <c r="BK121" i="5"/>
  <c r="AY121" i="5"/>
  <c r="AO121" i="5"/>
  <c r="AF121" i="5"/>
  <c r="AB121" i="5"/>
  <c r="AN121" i="5"/>
  <c r="U121" i="5"/>
  <c r="Q121" i="5"/>
  <c r="M121" i="5"/>
  <c r="I121" i="5"/>
  <c r="E121" i="5"/>
  <c r="CM121" i="5"/>
  <c r="CP121" i="5"/>
  <c r="CS121" i="5"/>
  <c r="AT121" i="5"/>
  <c r="DE121" i="5"/>
  <c r="AM44" i="5"/>
  <c r="AT44" i="5"/>
  <c r="CY44" i="5"/>
  <c r="CW44" i="5"/>
  <c r="AP44" i="5"/>
  <c r="CI44" i="5"/>
  <c r="CF44" i="5"/>
  <c r="CB44" i="5"/>
  <c r="BX44" i="5"/>
  <c r="BT44" i="5"/>
  <c r="BP44" i="5"/>
  <c r="BL44" i="5"/>
  <c r="BG44" i="5"/>
  <c r="AU44" i="5"/>
  <c r="AI44" i="5"/>
  <c r="AD44" i="5"/>
  <c r="Z44" i="5"/>
  <c r="W44" i="5"/>
  <c r="S44" i="5"/>
  <c r="O44" i="5"/>
  <c r="K44" i="5"/>
  <c r="G44" i="5"/>
  <c r="C44" i="5"/>
  <c r="CO44" i="5"/>
  <c r="BA44" i="5"/>
  <c r="AH44" i="5"/>
  <c r="AZ44" i="5"/>
  <c r="BF44" i="5"/>
  <c r="DB44" i="5"/>
  <c r="CX44" i="5"/>
  <c r="CS44" i="5"/>
  <c r="BH44" i="5"/>
  <c r="DC44" i="5"/>
  <c r="DF44" i="5"/>
  <c r="CU44" i="5"/>
  <c r="CJ44" i="5"/>
  <c r="CE44" i="5"/>
  <c r="CA44" i="5"/>
  <c r="BW44" i="5"/>
  <c r="BS44" i="5"/>
  <c r="BO44" i="5"/>
  <c r="BD44" i="5"/>
  <c r="BC44" i="5"/>
  <c r="AS44" i="5"/>
  <c r="AG44" i="5"/>
  <c r="AC44" i="5"/>
  <c r="Y44" i="5"/>
  <c r="V44" i="5"/>
  <c r="R44" i="5"/>
  <c r="N44" i="5"/>
  <c r="J44" i="5"/>
  <c r="F44" i="5"/>
  <c r="B44" i="5"/>
  <c r="CN44" i="5"/>
  <c r="AQ44" i="5"/>
  <c r="AJ44" i="5"/>
  <c r="AX44" i="5"/>
  <c r="BE44" i="5"/>
  <c r="DE44" i="5"/>
  <c r="DA44" i="5"/>
  <c r="CT44" i="5"/>
  <c r="CK44" i="5"/>
  <c r="CD44" i="5"/>
  <c r="BZ44" i="5"/>
  <c r="BV44" i="5"/>
  <c r="BR44" i="5"/>
  <c r="BN44" i="5"/>
  <c r="BK44" i="5"/>
  <c r="AY44" i="5"/>
  <c r="AO44" i="5"/>
  <c r="AF44" i="5"/>
  <c r="AB44" i="5"/>
  <c r="AN44" i="5"/>
  <c r="U44" i="5"/>
  <c r="Q44" i="5"/>
  <c r="M44" i="5"/>
  <c r="I44" i="5"/>
  <c r="E44" i="5"/>
  <c r="CM44" i="5"/>
  <c r="CP44" i="5"/>
  <c r="CQ44" i="5"/>
  <c r="CR44" i="5"/>
  <c r="CV44" i="5"/>
  <c r="AL44" i="5"/>
  <c r="AR44" i="5"/>
  <c r="BJ44" i="5"/>
  <c r="DD44" i="5"/>
  <c r="CZ44" i="5"/>
  <c r="DG44" i="5"/>
  <c r="BZ123" i="5"/>
  <c r="BK123" i="5"/>
  <c r="AB123" i="5"/>
  <c r="CP123" i="5"/>
  <c r="BJ123" i="5"/>
  <c r="BR123" i="5"/>
  <c r="AO123" i="5"/>
  <c r="U123" i="5"/>
  <c r="M123" i="5"/>
  <c r="E123" i="5"/>
  <c r="AM123" i="5"/>
  <c r="BH123" i="5"/>
  <c r="CG123" i="5"/>
  <c r="BY123" i="5"/>
  <c r="BQ123" i="5"/>
  <c r="BI123" i="5"/>
  <c r="AK123" i="5"/>
  <c r="AA123" i="5"/>
  <c r="T123" i="5"/>
  <c r="L123" i="5"/>
  <c r="D123" i="5"/>
  <c r="AR123" i="5"/>
  <c r="AL123" i="5"/>
  <c r="CH123" i="5"/>
  <c r="CD123" i="5"/>
  <c r="BV123" i="5"/>
  <c r="BN123" i="5"/>
  <c r="AY123" i="5"/>
  <c r="AF123" i="5"/>
  <c r="AN123" i="5"/>
  <c r="Q123" i="5"/>
  <c r="I123" i="5"/>
  <c r="CM123" i="5"/>
  <c r="CV123" i="5"/>
  <c r="CS123" i="5"/>
  <c r="AT123" i="5"/>
  <c r="AM133" i="5"/>
  <c r="BH133" i="5"/>
  <c r="CS133" i="5"/>
  <c r="AT133" i="5"/>
  <c r="CH99" i="5"/>
  <c r="CE99" i="5"/>
  <c r="CA99" i="5"/>
  <c r="BW99" i="5"/>
  <c r="BS99" i="5"/>
  <c r="BO99" i="5"/>
  <c r="BD99" i="5"/>
  <c r="BC99" i="5"/>
  <c r="AS99" i="5"/>
  <c r="AG99" i="5"/>
  <c r="AC99" i="5"/>
  <c r="Y99" i="5"/>
  <c r="V99" i="5"/>
  <c r="R99" i="5"/>
  <c r="N99" i="5"/>
  <c r="J99" i="5"/>
  <c r="F99" i="5"/>
  <c r="B99" i="5"/>
  <c r="CN99" i="5"/>
  <c r="A99" i="5"/>
  <c r="CR99" i="5"/>
  <c r="CV99" i="5"/>
  <c r="CS99" i="5"/>
  <c r="AH99" i="5"/>
  <c r="BJ99" i="5"/>
  <c r="DA99" i="5"/>
  <c r="DF99" i="5"/>
  <c r="DG99" i="5"/>
  <c r="CI99" i="5"/>
  <c r="CD99" i="5"/>
  <c r="BZ99" i="5"/>
  <c r="BV99" i="5"/>
  <c r="BR99" i="5"/>
  <c r="BN99" i="5"/>
  <c r="BK99" i="5"/>
  <c r="AY99" i="5"/>
  <c r="AO99" i="5"/>
  <c r="AF99" i="5"/>
  <c r="AB99" i="5"/>
  <c r="AN99" i="5"/>
  <c r="U99" i="5"/>
  <c r="Q99" i="5"/>
  <c r="M99" i="5"/>
  <c r="I99" i="5"/>
  <c r="E99" i="5"/>
  <c r="CM99" i="5"/>
  <c r="CP99" i="5"/>
  <c r="BA99" i="5"/>
  <c r="AR99" i="5"/>
  <c r="BH99" i="5"/>
  <c r="CX99" i="5"/>
  <c r="DD99" i="5"/>
  <c r="CJ99" i="5"/>
  <c r="CG99" i="5"/>
  <c r="CC99" i="5"/>
  <c r="BY99" i="5"/>
  <c r="BU99" i="5"/>
  <c r="BQ99" i="5"/>
  <c r="BM99" i="5"/>
  <c r="BI99" i="5"/>
  <c r="AW99" i="5"/>
  <c r="AK99" i="5"/>
  <c r="AE99" i="5"/>
  <c r="AA99" i="5"/>
  <c r="X99" i="5"/>
  <c r="T99" i="5"/>
  <c r="P99" i="5"/>
  <c r="L99" i="5"/>
  <c r="H99" i="5"/>
  <c r="D99" i="5"/>
  <c r="CL99" i="5"/>
  <c r="AL99" i="5"/>
  <c r="AT99" i="5"/>
  <c r="BF99" i="5"/>
  <c r="CW99" i="5"/>
  <c r="Y139" i="5"/>
  <c r="J139" i="5"/>
  <c r="BJ139" i="5"/>
  <c r="BS139" i="5"/>
  <c r="AS139" i="5"/>
  <c r="V139" i="5"/>
  <c r="F139" i="5"/>
  <c r="CV139" i="5"/>
  <c r="CE139" i="5"/>
  <c r="BO139" i="5"/>
  <c r="AG139" i="5"/>
  <c r="R139" i="5"/>
  <c r="B139" i="5"/>
  <c r="AL139" i="5"/>
  <c r="AL133" i="5"/>
  <c r="AR133" i="5"/>
  <c r="BJ133" i="5"/>
  <c r="DD133" i="5"/>
  <c r="CW133" i="5"/>
  <c r="BA133" i="5"/>
  <c r="AH133" i="5"/>
  <c r="AZ133" i="5"/>
  <c r="BF133" i="5"/>
  <c r="DC106" i="5"/>
  <c r="CY106" i="5"/>
  <c r="CW106" i="5"/>
  <c r="S143" i="5"/>
  <c r="CB143" i="5"/>
  <c r="BL143" i="5"/>
  <c r="AD143" i="5"/>
  <c r="O143" i="5"/>
  <c r="CO143" i="5"/>
  <c r="CV143" i="5"/>
  <c r="CF143" i="5"/>
  <c r="BP143" i="5"/>
  <c r="AI143" i="5"/>
  <c r="C143" i="5"/>
  <c r="CJ143" i="5"/>
  <c r="BX143" i="5"/>
  <c r="BG143" i="5"/>
  <c r="Z143" i="5"/>
  <c r="K143" i="5"/>
  <c r="A143" i="5"/>
  <c r="AQ90" i="5"/>
  <c r="AJ90" i="5"/>
  <c r="AX90" i="5"/>
  <c r="BE90" i="5"/>
  <c r="AL90" i="5"/>
  <c r="AR90" i="5"/>
  <c r="BJ90" i="5"/>
  <c r="DG82" i="5"/>
  <c r="DB82" i="5"/>
  <c r="CX82" i="5"/>
  <c r="DC119" i="5"/>
  <c r="DB119" i="5"/>
  <c r="CY119" i="5"/>
  <c r="DG119" i="5"/>
  <c r="AL143" i="5"/>
  <c r="AR143" i="5"/>
  <c r="BJ143" i="5"/>
  <c r="CE143" i="5"/>
  <c r="BW143" i="5"/>
  <c r="BO143" i="5"/>
  <c r="AS143" i="5"/>
  <c r="AC143" i="5"/>
  <c r="V143" i="5"/>
  <c r="R143" i="5"/>
  <c r="J143" i="5"/>
  <c r="F143" i="5"/>
  <c r="CN143" i="5"/>
  <c r="CS143" i="5"/>
  <c r="AM143" i="5"/>
  <c r="BH143" i="5"/>
  <c r="CH143" i="5"/>
  <c r="CD143" i="5"/>
  <c r="BZ143" i="5"/>
  <c r="BV143" i="5"/>
  <c r="BR143" i="5"/>
  <c r="BN143" i="5"/>
  <c r="BK143" i="5"/>
  <c r="AY143" i="5"/>
  <c r="AO143" i="5"/>
  <c r="AF143" i="5"/>
  <c r="AB143" i="5"/>
  <c r="AN143" i="5"/>
  <c r="U143" i="5"/>
  <c r="Q143" i="5"/>
  <c r="M143" i="5"/>
  <c r="I143" i="5"/>
  <c r="E143" i="5"/>
  <c r="CM143" i="5"/>
  <c r="CP143" i="5"/>
  <c r="BA143" i="5"/>
  <c r="AH143" i="5"/>
  <c r="AZ143" i="5"/>
  <c r="BF143" i="5"/>
  <c r="DB143" i="5"/>
  <c r="CK143" i="5"/>
  <c r="CA143" i="5"/>
  <c r="BS143" i="5"/>
  <c r="BD143" i="5"/>
  <c r="BC143" i="5"/>
  <c r="AG143" i="5"/>
  <c r="Y143" i="5"/>
  <c r="N143" i="5"/>
  <c r="B143" i="5"/>
  <c r="AT143" i="5"/>
  <c r="CI143" i="5"/>
  <c r="CG143" i="5"/>
  <c r="CC143" i="5"/>
  <c r="BY143" i="5"/>
  <c r="BU143" i="5"/>
  <c r="BQ143" i="5"/>
  <c r="BM143" i="5"/>
  <c r="BI143" i="5"/>
  <c r="AW143" i="5"/>
  <c r="AK143" i="5"/>
  <c r="AE143" i="5"/>
  <c r="AA143" i="5"/>
  <c r="X143" i="5"/>
  <c r="T143" i="5"/>
  <c r="P143" i="5"/>
  <c r="L143" i="5"/>
  <c r="H143" i="5"/>
  <c r="D143" i="5"/>
  <c r="CL143" i="5"/>
  <c r="CQ143" i="5"/>
  <c r="CR143" i="5"/>
  <c r="AQ143" i="5"/>
  <c r="AJ143" i="5"/>
  <c r="AX143" i="5"/>
  <c r="BE143" i="5"/>
  <c r="CW98" i="5"/>
  <c r="CH102" i="5"/>
  <c r="CD102" i="5"/>
  <c r="BZ102" i="5"/>
  <c r="BV102" i="5"/>
  <c r="BR102" i="5"/>
  <c r="BN102" i="5"/>
  <c r="BK102" i="5"/>
  <c r="AY102" i="5"/>
  <c r="AO102" i="5"/>
  <c r="AF102" i="5"/>
  <c r="AB102" i="5"/>
  <c r="AN102" i="5"/>
  <c r="U102" i="5"/>
  <c r="Q102" i="5"/>
  <c r="M102" i="5"/>
  <c r="I102" i="5"/>
  <c r="E102" i="5"/>
  <c r="CM102" i="5"/>
  <c r="CP102" i="5"/>
  <c r="CQ102" i="5"/>
  <c r="BA102" i="5"/>
  <c r="AZ102" i="5"/>
  <c r="CX102" i="5"/>
  <c r="CS102" i="5"/>
  <c r="AT102" i="5"/>
  <c r="CY102" i="5"/>
  <c r="DF102" i="5"/>
  <c r="CI102" i="5"/>
  <c r="CG102" i="5"/>
  <c r="CC102" i="5"/>
  <c r="BY102" i="5"/>
  <c r="BU102" i="5"/>
  <c r="BQ102" i="5"/>
  <c r="BM102" i="5"/>
  <c r="BI102" i="5"/>
  <c r="AW102" i="5"/>
  <c r="AK102" i="5"/>
  <c r="AE102" i="5"/>
  <c r="AA102" i="5"/>
  <c r="X102" i="5"/>
  <c r="T102" i="5"/>
  <c r="P102" i="5"/>
  <c r="L102" i="5"/>
  <c r="H102" i="5"/>
  <c r="D102" i="5"/>
  <c r="CL102" i="5"/>
  <c r="A102" i="5"/>
  <c r="AM102" i="5"/>
  <c r="BH102" i="5"/>
  <c r="DC102" i="5"/>
  <c r="CJ102" i="5"/>
  <c r="CF102" i="5"/>
  <c r="CB102" i="5"/>
  <c r="BX102" i="5"/>
  <c r="BT102" i="5"/>
  <c r="BP102" i="5"/>
  <c r="BL102" i="5"/>
  <c r="BG102" i="5"/>
  <c r="AU102" i="5"/>
  <c r="AI102" i="5"/>
  <c r="AD102" i="5"/>
  <c r="Z102" i="5"/>
  <c r="W102" i="5"/>
  <c r="S102" i="5"/>
  <c r="O102" i="5"/>
  <c r="K102" i="5"/>
  <c r="G102" i="5"/>
  <c r="C102" i="5"/>
  <c r="CO102" i="5"/>
  <c r="AH102" i="5"/>
  <c r="BF102" i="5"/>
  <c r="DB102" i="5"/>
  <c r="AH108" i="5"/>
  <c r="BF108" i="5"/>
  <c r="CJ108" i="5"/>
  <c r="CE108" i="5"/>
  <c r="CA108" i="5"/>
  <c r="BW108" i="5"/>
  <c r="BS108" i="5"/>
  <c r="BO108" i="5"/>
  <c r="BD108" i="5"/>
  <c r="BC108" i="5"/>
  <c r="AS108" i="5"/>
  <c r="AG108" i="5"/>
  <c r="AC108" i="5"/>
  <c r="Y108" i="5"/>
  <c r="V108" i="5"/>
  <c r="R108" i="5"/>
  <c r="N108" i="5"/>
  <c r="J108" i="5"/>
  <c r="F108" i="5"/>
  <c r="B108" i="5"/>
  <c r="CN108" i="5"/>
  <c r="CQ108" i="5"/>
  <c r="AQ108" i="5"/>
  <c r="AJ108" i="5"/>
  <c r="AX108" i="5"/>
  <c r="BE108" i="5"/>
  <c r="CK108" i="5"/>
  <c r="CD108" i="5"/>
  <c r="BZ108" i="5"/>
  <c r="BV108" i="5"/>
  <c r="BR108" i="5"/>
  <c r="BN108" i="5"/>
  <c r="BK108" i="5"/>
  <c r="AY108" i="5"/>
  <c r="AO108" i="5"/>
  <c r="AF108" i="5"/>
  <c r="AB108" i="5"/>
  <c r="AN108" i="5"/>
  <c r="U108" i="5"/>
  <c r="Q108" i="5"/>
  <c r="M108" i="5"/>
  <c r="I108" i="5"/>
  <c r="E108" i="5"/>
  <c r="CM108" i="5"/>
  <c r="CP108" i="5"/>
  <c r="A108" i="5"/>
  <c r="CV108" i="5"/>
  <c r="AL108" i="5"/>
  <c r="AR108" i="5"/>
  <c r="BJ108" i="5"/>
  <c r="BA108" i="5"/>
  <c r="AZ108" i="5"/>
  <c r="CH108" i="5"/>
  <c r="CG108" i="5"/>
  <c r="CC108" i="5"/>
  <c r="BY108" i="5"/>
  <c r="BU108" i="5"/>
  <c r="BQ108" i="5"/>
  <c r="BM108" i="5"/>
  <c r="BI108" i="5"/>
  <c r="AW108" i="5"/>
  <c r="AK108" i="5"/>
  <c r="AE108" i="5"/>
  <c r="AA108" i="5"/>
  <c r="X108" i="5"/>
  <c r="T108" i="5"/>
  <c r="P108" i="5"/>
  <c r="L108" i="5"/>
  <c r="H108" i="5"/>
  <c r="D108" i="5"/>
  <c r="CL108" i="5"/>
  <c r="CR108" i="5"/>
  <c r="CS108" i="5"/>
  <c r="AM108" i="5"/>
  <c r="AT108" i="5"/>
  <c r="BH108" i="5"/>
  <c r="CS100" i="5"/>
  <c r="AM100" i="5"/>
  <c r="AT100" i="5"/>
  <c r="BH100" i="5"/>
  <c r="AR135" i="5"/>
  <c r="CI135" i="5"/>
  <c r="CF135" i="5"/>
  <c r="BX135" i="5"/>
  <c r="BP135" i="5"/>
  <c r="BG135" i="5"/>
  <c r="AI135" i="5"/>
  <c r="Z135" i="5"/>
  <c r="S135" i="5"/>
  <c r="K135" i="5"/>
  <c r="C135" i="5"/>
  <c r="AQ135" i="5"/>
  <c r="AX135" i="5"/>
  <c r="CC135" i="5"/>
  <c r="BU135" i="5"/>
  <c r="BM135" i="5"/>
  <c r="AW135" i="5"/>
  <c r="AE135" i="5"/>
  <c r="X135" i="5"/>
  <c r="P135" i="5"/>
  <c r="H135" i="5"/>
  <c r="CL135" i="5"/>
  <c r="CR135" i="5"/>
  <c r="AL135" i="5"/>
  <c r="BJ135" i="5"/>
  <c r="DB147" i="5"/>
  <c r="CX147" i="5"/>
  <c r="DD147" i="5"/>
  <c r="CZ147" i="5"/>
  <c r="DC147" i="5"/>
  <c r="CY147" i="5"/>
  <c r="DF147" i="5"/>
  <c r="DG147" i="5"/>
  <c r="CZ141" i="5"/>
  <c r="AW131" i="5"/>
  <c r="BU131" i="5"/>
  <c r="X131" i="5"/>
  <c r="DC109" i="5"/>
  <c r="CY109" i="5"/>
  <c r="DE109" i="5"/>
  <c r="DA109" i="5"/>
  <c r="DG109" i="5"/>
  <c r="DD109" i="5"/>
  <c r="CZ109" i="5"/>
  <c r="CW109" i="5"/>
  <c r="DF109" i="5"/>
  <c r="CW155" i="5"/>
  <c r="CF126" i="5"/>
  <c r="C126" i="5"/>
  <c r="S126" i="5"/>
  <c r="CQ126" i="5"/>
  <c r="BP126" i="5"/>
  <c r="CS80" i="5"/>
  <c r="AM80" i="5"/>
  <c r="AT80" i="5"/>
  <c r="BH80" i="5"/>
  <c r="CZ80" i="5"/>
  <c r="AL80" i="5"/>
  <c r="AR80" i="5"/>
  <c r="BJ80" i="5"/>
  <c r="BY96" i="5"/>
  <c r="BI96" i="5"/>
  <c r="AA96" i="5"/>
  <c r="AH118" i="5"/>
  <c r="AZ118" i="5"/>
  <c r="BF118" i="5"/>
  <c r="DB118" i="5"/>
  <c r="CI132" i="5"/>
  <c r="CE132" i="5"/>
  <c r="BY132" i="5"/>
  <c r="BT132" i="5"/>
  <c r="BO132" i="5"/>
  <c r="BI132" i="5"/>
  <c r="AU132" i="5"/>
  <c r="AG132" i="5"/>
  <c r="AA132" i="5"/>
  <c r="W132" i="5"/>
  <c r="R132" i="5"/>
  <c r="L132" i="5"/>
  <c r="G132" i="5"/>
  <c r="B132" i="5"/>
  <c r="AQ132" i="5"/>
  <c r="BF132" i="5"/>
  <c r="AL145" i="5"/>
  <c r="BJ145" i="5"/>
  <c r="CS134" i="5"/>
  <c r="BA134" i="5"/>
  <c r="DD160" i="5"/>
  <c r="CY160" i="5"/>
  <c r="DE119" i="5"/>
  <c r="DA119" i="5"/>
  <c r="CW119" i="5"/>
  <c r="DD119" i="5"/>
  <c r="CZ119" i="5"/>
  <c r="DF119" i="5"/>
  <c r="DB141" i="5"/>
  <c r="CX141" i="5"/>
  <c r="DF141" i="5"/>
  <c r="CG96" i="5"/>
  <c r="BQ96" i="5"/>
  <c r="AK96" i="5"/>
  <c r="T96" i="5"/>
  <c r="D96" i="5"/>
  <c r="BU96" i="5"/>
  <c r="AW96" i="5"/>
  <c r="X96" i="5"/>
  <c r="H96" i="5"/>
  <c r="CV96" i="5"/>
  <c r="CI96" i="5"/>
  <c r="CC96" i="5"/>
  <c r="BM96" i="5"/>
  <c r="AE96" i="5"/>
  <c r="P96" i="5"/>
  <c r="CL96" i="5"/>
  <c r="A96" i="5"/>
  <c r="DC156" i="5"/>
  <c r="BR105" i="5"/>
  <c r="AO105" i="5"/>
  <c r="U105" i="5"/>
  <c r="E105" i="5"/>
  <c r="CQ105" i="5"/>
  <c r="AJ105" i="5"/>
  <c r="AQ105" i="5"/>
  <c r="CD105" i="5"/>
  <c r="BN105" i="5"/>
  <c r="AF105" i="5"/>
  <c r="Q105" i="5"/>
  <c r="CM105" i="5"/>
  <c r="AX105" i="5"/>
  <c r="CH105" i="5"/>
  <c r="BZ105" i="5"/>
  <c r="BK105" i="5"/>
  <c r="AB105" i="5"/>
  <c r="M105" i="5"/>
  <c r="CP105" i="5"/>
  <c r="BE105" i="5"/>
  <c r="CS170" i="5"/>
  <c r="AM170" i="5"/>
  <c r="AT170" i="5"/>
  <c r="BH170" i="5"/>
  <c r="DC170" i="5"/>
  <c r="CW170" i="5"/>
  <c r="CK170" i="5"/>
  <c r="CG170" i="5"/>
  <c r="CC170" i="5"/>
  <c r="BY170" i="5"/>
  <c r="BU170" i="5"/>
  <c r="BQ170" i="5"/>
  <c r="BM170" i="5"/>
  <c r="BI170" i="5"/>
  <c r="AW170" i="5"/>
  <c r="AK170" i="5"/>
  <c r="AE170" i="5"/>
  <c r="AA170" i="5"/>
  <c r="X170" i="5"/>
  <c r="T170" i="5"/>
  <c r="P170" i="5"/>
  <c r="L170" i="5"/>
  <c r="H170" i="5"/>
  <c r="D170" i="5"/>
  <c r="CL170" i="5"/>
  <c r="BA170" i="5"/>
  <c r="AH170" i="5"/>
  <c r="AZ170" i="5"/>
  <c r="BF170" i="5"/>
  <c r="DB170" i="5"/>
  <c r="DF170" i="5"/>
  <c r="CH170" i="5"/>
  <c r="CF170" i="5"/>
  <c r="CB170" i="5"/>
  <c r="BX170" i="5"/>
  <c r="BT170" i="5"/>
  <c r="BP170" i="5"/>
  <c r="BL170" i="5"/>
  <c r="BG170" i="5"/>
  <c r="AU170" i="5"/>
  <c r="AI170" i="5"/>
  <c r="AD170" i="5"/>
  <c r="Z170" i="5"/>
  <c r="W170" i="5"/>
  <c r="S170" i="5"/>
  <c r="O170" i="5"/>
  <c r="K170" i="5"/>
  <c r="G170" i="5"/>
  <c r="C170" i="5"/>
  <c r="CO170" i="5"/>
  <c r="AQ170" i="5"/>
  <c r="AJ170" i="5"/>
  <c r="AX170" i="5"/>
  <c r="BE170" i="5"/>
  <c r="CY170" i="5"/>
  <c r="DG170" i="5"/>
  <c r="CK70" i="5"/>
  <c r="CF70" i="5"/>
  <c r="CB70" i="5"/>
  <c r="BX70" i="5"/>
  <c r="BT70" i="5"/>
  <c r="BP70" i="5"/>
  <c r="BL70" i="5"/>
  <c r="BG70" i="5"/>
  <c r="AU70" i="5"/>
  <c r="AI70" i="5"/>
  <c r="AD70" i="5"/>
  <c r="Z70" i="5"/>
  <c r="W70" i="5"/>
  <c r="S70" i="5"/>
  <c r="O70" i="5"/>
  <c r="K70" i="5"/>
  <c r="G70" i="5"/>
  <c r="C70" i="5"/>
  <c r="CO70" i="5"/>
  <c r="AQ70" i="5"/>
  <c r="AJ70" i="5"/>
  <c r="AX70" i="5"/>
  <c r="BE70" i="5"/>
  <c r="DD70" i="5"/>
  <c r="CZ70" i="5"/>
  <c r="CW70" i="5"/>
  <c r="DG70" i="5"/>
  <c r="CH70" i="5"/>
  <c r="CE70" i="5"/>
  <c r="CA70" i="5"/>
  <c r="BW70" i="5"/>
  <c r="BS70" i="5"/>
  <c r="BO70" i="5"/>
  <c r="BD70" i="5"/>
  <c r="BC70" i="5"/>
  <c r="AS70" i="5"/>
  <c r="AG70" i="5"/>
  <c r="AC70" i="5"/>
  <c r="Y70" i="5"/>
  <c r="V70" i="5"/>
  <c r="R70" i="5"/>
  <c r="N70" i="5"/>
  <c r="J70" i="5"/>
  <c r="F70" i="5"/>
  <c r="B70" i="5"/>
  <c r="CN70" i="5"/>
  <c r="CQ70" i="5"/>
  <c r="AL70" i="5"/>
  <c r="AR70" i="5"/>
  <c r="BJ70" i="5"/>
  <c r="DC70" i="5"/>
  <c r="CY70" i="5"/>
  <c r="DF70" i="5"/>
  <c r="CI70" i="5"/>
  <c r="CD70" i="5"/>
  <c r="BZ70" i="5"/>
  <c r="BV70" i="5"/>
  <c r="BR70" i="5"/>
  <c r="BN70" i="5"/>
  <c r="BK70" i="5"/>
  <c r="AY70" i="5"/>
  <c r="AO70" i="5"/>
  <c r="AF70" i="5"/>
  <c r="AB70" i="5"/>
  <c r="AN70" i="5"/>
  <c r="U70" i="5"/>
  <c r="Q70" i="5"/>
  <c r="M70" i="5"/>
  <c r="I70" i="5"/>
  <c r="E70" i="5"/>
  <c r="CM70" i="5"/>
  <c r="CP70" i="5"/>
  <c r="A70" i="5"/>
  <c r="CV70" i="5"/>
  <c r="CS70" i="5"/>
  <c r="AM70" i="5"/>
  <c r="AT70" i="5"/>
  <c r="BH70" i="5"/>
  <c r="DB70" i="5"/>
  <c r="CX70" i="5"/>
  <c r="BC150" i="5"/>
  <c r="Y150" i="5"/>
  <c r="J150" i="5"/>
  <c r="DC98" i="5"/>
  <c r="CW145" i="5"/>
  <c r="DA145" i="5"/>
  <c r="AR111" i="5"/>
  <c r="CJ111" i="5"/>
  <c r="CF111" i="5"/>
  <c r="CB111" i="5"/>
  <c r="BX111" i="5"/>
  <c r="BT111" i="5"/>
  <c r="BP111" i="5"/>
  <c r="BL111" i="5"/>
  <c r="BG111" i="5"/>
  <c r="AU111" i="5"/>
  <c r="AI111" i="5"/>
  <c r="AD111" i="5"/>
  <c r="Z111" i="5"/>
  <c r="W111" i="5"/>
  <c r="S111" i="5"/>
  <c r="O111" i="5"/>
  <c r="K111" i="5"/>
  <c r="G111" i="5"/>
  <c r="C111" i="5"/>
  <c r="CO111" i="5"/>
  <c r="A111" i="5"/>
  <c r="CS111" i="5"/>
  <c r="AM111" i="5"/>
  <c r="AT111" i="5"/>
  <c r="BH111" i="5"/>
  <c r="CK111" i="5"/>
  <c r="CE111" i="5"/>
  <c r="CA111" i="5"/>
  <c r="BW111" i="5"/>
  <c r="BS111" i="5"/>
  <c r="BO111" i="5"/>
  <c r="BD111" i="5"/>
  <c r="BC111" i="5"/>
  <c r="AS111" i="5"/>
  <c r="AG111" i="5"/>
  <c r="AC111" i="5"/>
  <c r="Y111" i="5"/>
  <c r="V111" i="5"/>
  <c r="R111" i="5"/>
  <c r="N111" i="5"/>
  <c r="J111" i="5"/>
  <c r="F111" i="5"/>
  <c r="B111" i="5"/>
  <c r="CN111" i="5"/>
  <c r="BA111" i="5"/>
  <c r="AH111" i="5"/>
  <c r="AZ111" i="5"/>
  <c r="BF111" i="5"/>
  <c r="AL111" i="5"/>
  <c r="BJ111" i="5"/>
  <c r="CZ111" i="5"/>
  <c r="CH111" i="5"/>
  <c r="CD111" i="5"/>
  <c r="BZ111" i="5"/>
  <c r="BV111" i="5"/>
  <c r="BR111" i="5"/>
  <c r="BN111" i="5"/>
  <c r="BK111" i="5"/>
  <c r="AY111" i="5"/>
  <c r="AO111" i="5"/>
  <c r="AF111" i="5"/>
  <c r="AB111" i="5"/>
  <c r="AN111" i="5"/>
  <c r="U111" i="5"/>
  <c r="Q111" i="5"/>
  <c r="M111" i="5"/>
  <c r="I111" i="5"/>
  <c r="E111" i="5"/>
  <c r="CM111" i="5"/>
  <c r="CP111" i="5"/>
  <c r="CR111" i="5"/>
  <c r="CV111" i="5"/>
  <c r="AQ111" i="5"/>
  <c r="AJ111" i="5"/>
  <c r="AX111" i="5"/>
  <c r="BE111" i="5"/>
  <c r="DD111" i="5"/>
  <c r="DF111" i="5"/>
  <c r="CH113" i="5"/>
  <c r="AW113" i="5"/>
  <c r="AT113" i="5"/>
  <c r="CB113" i="5"/>
  <c r="BT113" i="5"/>
  <c r="BL113" i="5"/>
  <c r="AU113" i="5"/>
  <c r="AD113" i="5"/>
  <c r="S113" i="5"/>
  <c r="K113" i="5"/>
  <c r="C113" i="5"/>
  <c r="AZ113" i="5"/>
  <c r="CG113" i="5"/>
  <c r="CC113" i="5"/>
  <c r="BY113" i="5"/>
  <c r="BU113" i="5"/>
  <c r="BQ113" i="5"/>
  <c r="BM113" i="5"/>
  <c r="BI113" i="5"/>
  <c r="AK113" i="5"/>
  <c r="AE113" i="5"/>
  <c r="AA113" i="5"/>
  <c r="X113" i="5"/>
  <c r="T113" i="5"/>
  <c r="P113" i="5"/>
  <c r="L113" i="5"/>
  <c r="H113" i="5"/>
  <c r="D113" i="5"/>
  <c r="CL113" i="5"/>
  <c r="CV113" i="5"/>
  <c r="CS113" i="5"/>
  <c r="AM113" i="5"/>
  <c r="BH113" i="5"/>
  <c r="CX113" i="5"/>
  <c r="CI113" i="5"/>
  <c r="CF113" i="5"/>
  <c r="BX113" i="5"/>
  <c r="BP113" i="5"/>
  <c r="BG113" i="5"/>
  <c r="AI113" i="5"/>
  <c r="Z113" i="5"/>
  <c r="W113" i="5"/>
  <c r="O113" i="5"/>
  <c r="G113" i="5"/>
  <c r="CO113" i="5"/>
  <c r="BA113" i="5"/>
  <c r="AH113" i="5"/>
  <c r="BF113" i="5"/>
  <c r="CJ113" i="5"/>
  <c r="CE113" i="5"/>
  <c r="CA113" i="5"/>
  <c r="BW113" i="5"/>
  <c r="BS113" i="5"/>
  <c r="BO113" i="5"/>
  <c r="BD113" i="5"/>
  <c r="BC113" i="5"/>
  <c r="AS113" i="5"/>
  <c r="AG113" i="5"/>
  <c r="AC113" i="5"/>
  <c r="Y113" i="5"/>
  <c r="V113" i="5"/>
  <c r="R113" i="5"/>
  <c r="N113" i="5"/>
  <c r="J113" i="5"/>
  <c r="F113" i="5"/>
  <c r="B113" i="5"/>
  <c r="CN113" i="5"/>
  <c r="CQ113" i="5"/>
  <c r="AQ113" i="5"/>
  <c r="AJ113" i="5"/>
  <c r="AX113" i="5"/>
  <c r="BE113" i="5"/>
  <c r="AQ128" i="5"/>
  <c r="AJ128" i="5"/>
  <c r="AX128" i="5"/>
  <c r="BE128" i="5"/>
  <c r="BS150" i="5"/>
  <c r="AS150" i="5"/>
  <c r="V150" i="5"/>
  <c r="F150" i="5"/>
  <c r="CE150" i="5"/>
  <c r="BO150" i="5"/>
  <c r="AG150" i="5"/>
  <c r="R150" i="5"/>
  <c r="B150" i="5"/>
  <c r="CQ150" i="5"/>
  <c r="CI150" i="5"/>
  <c r="CA150" i="5"/>
  <c r="BD150" i="5"/>
  <c r="AC150" i="5"/>
  <c r="N150" i="5"/>
  <c r="CN150" i="5"/>
  <c r="CS138" i="5"/>
  <c r="AT138" i="5"/>
  <c r="DC138" i="5"/>
  <c r="AL138" i="5"/>
  <c r="BJ138" i="5"/>
  <c r="CH140" i="5"/>
  <c r="CG140" i="5"/>
  <c r="CC140" i="5"/>
  <c r="BY140" i="5"/>
  <c r="BU140" i="5"/>
  <c r="BQ140" i="5"/>
  <c r="BM140" i="5"/>
  <c r="BI140" i="5"/>
  <c r="AW140" i="5"/>
  <c r="AK140" i="5"/>
  <c r="AE140" i="5"/>
  <c r="AA140" i="5"/>
  <c r="X140" i="5"/>
  <c r="T140" i="5"/>
  <c r="P140" i="5"/>
  <c r="L140" i="5"/>
  <c r="H140" i="5"/>
  <c r="D140" i="5"/>
  <c r="CL140" i="5"/>
  <c r="CQ140" i="5"/>
  <c r="AQ140" i="5"/>
  <c r="AJ140" i="5"/>
  <c r="AX140" i="5"/>
  <c r="BE140" i="5"/>
  <c r="CZ140" i="5"/>
  <c r="BA140" i="5"/>
  <c r="AH140" i="5"/>
  <c r="AZ140" i="5"/>
  <c r="BF140" i="5"/>
  <c r="DB140" i="5"/>
  <c r="DG140" i="5"/>
  <c r="CI140" i="5"/>
  <c r="CF140" i="5"/>
  <c r="CB140" i="5"/>
  <c r="BX140" i="5"/>
  <c r="BT140" i="5"/>
  <c r="BP140" i="5"/>
  <c r="BL140" i="5"/>
  <c r="BG140" i="5"/>
  <c r="AU140" i="5"/>
  <c r="AI140" i="5"/>
  <c r="AD140" i="5"/>
  <c r="Z140" i="5"/>
  <c r="W140" i="5"/>
  <c r="S140" i="5"/>
  <c r="O140" i="5"/>
  <c r="K140" i="5"/>
  <c r="G140" i="5"/>
  <c r="C140" i="5"/>
  <c r="CO140" i="5"/>
  <c r="A140" i="5"/>
  <c r="AL140" i="5"/>
  <c r="AR140" i="5"/>
  <c r="BJ140" i="5"/>
  <c r="CW140" i="5"/>
  <c r="CI110" i="5"/>
  <c r="BZ110" i="5"/>
  <c r="BR110" i="5"/>
  <c r="BK110" i="5"/>
  <c r="AO110" i="5"/>
  <c r="AN110" i="5"/>
  <c r="Q110" i="5"/>
  <c r="I110" i="5"/>
  <c r="CM110" i="5"/>
  <c r="A110" i="5"/>
  <c r="AT110" i="5"/>
  <c r="CJ110" i="5"/>
  <c r="CG110" i="5"/>
  <c r="CC110" i="5"/>
  <c r="BY110" i="5"/>
  <c r="BU110" i="5"/>
  <c r="BQ110" i="5"/>
  <c r="BM110" i="5"/>
  <c r="BI110" i="5"/>
  <c r="AW110" i="5"/>
  <c r="AK110" i="5"/>
  <c r="AE110" i="5"/>
  <c r="AA110" i="5"/>
  <c r="X110" i="5"/>
  <c r="T110" i="5"/>
  <c r="P110" i="5"/>
  <c r="L110" i="5"/>
  <c r="H110" i="5"/>
  <c r="D110" i="5"/>
  <c r="CL110" i="5"/>
  <c r="BA110" i="5"/>
  <c r="AH110" i="5"/>
  <c r="AZ110" i="5"/>
  <c r="BF110" i="5"/>
  <c r="DE110" i="5"/>
  <c r="CZ110" i="5"/>
  <c r="CD110" i="5"/>
  <c r="BV110" i="5"/>
  <c r="BN110" i="5"/>
  <c r="AY110" i="5"/>
  <c r="AF110" i="5"/>
  <c r="AB110" i="5"/>
  <c r="U110" i="5"/>
  <c r="M110" i="5"/>
  <c r="E110" i="5"/>
  <c r="CP110" i="5"/>
  <c r="CV110" i="5"/>
  <c r="CS110" i="5"/>
  <c r="AM110" i="5"/>
  <c r="BH110" i="5"/>
  <c r="DA110" i="5"/>
  <c r="CK110" i="5"/>
  <c r="CF110" i="5"/>
  <c r="CB110" i="5"/>
  <c r="BX110" i="5"/>
  <c r="BT110" i="5"/>
  <c r="BP110" i="5"/>
  <c r="BL110" i="5"/>
  <c r="BG110" i="5"/>
  <c r="AU110" i="5"/>
  <c r="AI110" i="5"/>
  <c r="AD110" i="5"/>
  <c r="Z110" i="5"/>
  <c r="W110" i="5"/>
  <c r="S110" i="5"/>
  <c r="O110" i="5"/>
  <c r="K110" i="5"/>
  <c r="G110" i="5"/>
  <c r="C110" i="5"/>
  <c r="CO110" i="5"/>
  <c r="CR110" i="5"/>
  <c r="AQ110" i="5"/>
  <c r="AJ110" i="5"/>
  <c r="AX110" i="5"/>
  <c r="BE110" i="5"/>
  <c r="DD110" i="5"/>
  <c r="CX110" i="5"/>
  <c r="DD146" i="5"/>
  <c r="CI114" i="5"/>
  <c r="CG114" i="5"/>
  <c r="CC114" i="5"/>
  <c r="BY114" i="5"/>
  <c r="BU114" i="5"/>
  <c r="BQ114" i="5"/>
  <c r="BM114" i="5"/>
  <c r="BI114" i="5"/>
  <c r="AW114" i="5"/>
  <c r="AK114" i="5"/>
  <c r="AE114" i="5"/>
  <c r="AA114" i="5"/>
  <c r="X114" i="5"/>
  <c r="T114" i="5"/>
  <c r="P114" i="5"/>
  <c r="L114" i="5"/>
  <c r="H114" i="5"/>
  <c r="D114" i="5"/>
  <c r="CL114" i="5"/>
  <c r="CV114" i="5"/>
  <c r="AL114" i="5"/>
  <c r="AR114" i="5"/>
  <c r="BJ114" i="5"/>
  <c r="DD114" i="5"/>
  <c r="CX114" i="5"/>
  <c r="AX114" i="5"/>
  <c r="CJ114" i="5"/>
  <c r="CF114" i="5"/>
  <c r="CB114" i="5"/>
  <c r="BX114" i="5"/>
  <c r="BT114" i="5"/>
  <c r="BP114" i="5"/>
  <c r="BL114" i="5"/>
  <c r="BG114" i="5"/>
  <c r="AU114" i="5"/>
  <c r="AI114" i="5"/>
  <c r="AD114" i="5"/>
  <c r="Z114" i="5"/>
  <c r="W114" i="5"/>
  <c r="S114" i="5"/>
  <c r="O114" i="5"/>
  <c r="K114" i="5"/>
  <c r="G114" i="5"/>
  <c r="C114" i="5"/>
  <c r="CO114" i="5"/>
  <c r="CQ114" i="5"/>
  <c r="CR114" i="5"/>
  <c r="CS114" i="5"/>
  <c r="AM114" i="5"/>
  <c r="AT114" i="5"/>
  <c r="BH114" i="5"/>
  <c r="DB114" i="5"/>
  <c r="AQ114" i="5"/>
  <c r="AJ114" i="5"/>
  <c r="BE114" i="5"/>
  <c r="DE114" i="5"/>
  <c r="CZ114" i="5"/>
  <c r="DF114" i="5"/>
  <c r="DG114" i="5"/>
  <c r="CK114" i="5"/>
  <c r="CE114" i="5"/>
  <c r="CA114" i="5"/>
  <c r="BW114" i="5"/>
  <c r="BS114" i="5"/>
  <c r="BO114" i="5"/>
  <c r="BD114" i="5"/>
  <c r="BC114" i="5"/>
  <c r="AS114" i="5"/>
  <c r="AG114" i="5"/>
  <c r="AC114" i="5"/>
  <c r="Y114" i="5"/>
  <c r="V114" i="5"/>
  <c r="R114" i="5"/>
  <c r="N114" i="5"/>
  <c r="J114" i="5"/>
  <c r="F114" i="5"/>
  <c r="B114" i="5"/>
  <c r="CN114" i="5"/>
  <c r="A114" i="5"/>
  <c r="BA114" i="5"/>
  <c r="AH114" i="5"/>
  <c r="AZ114" i="5"/>
  <c r="BF114" i="5"/>
  <c r="DA114" i="5"/>
  <c r="CW114" i="5"/>
  <c r="DD106" i="5"/>
  <c r="CZ106" i="5"/>
  <c r="DG106" i="5"/>
  <c r="DB106" i="5"/>
  <c r="CX106" i="5"/>
  <c r="DF121" i="5"/>
  <c r="DA121" i="5"/>
  <c r="AC122" i="5"/>
  <c r="AH122" i="5"/>
  <c r="N122" i="5"/>
  <c r="CA122" i="5"/>
  <c r="CN122" i="5"/>
  <c r="CS148" i="5"/>
  <c r="CH148" i="5"/>
  <c r="T148" i="5"/>
  <c r="CG148" i="5"/>
  <c r="BQ148" i="5"/>
  <c r="AK148" i="5"/>
  <c r="AA148" i="5"/>
  <c r="L148" i="5"/>
  <c r="AT148" i="5"/>
  <c r="CI148" i="5"/>
  <c r="CD148" i="5"/>
  <c r="BV148" i="5"/>
  <c r="BN148" i="5"/>
  <c r="AY148" i="5"/>
  <c r="AF148" i="5"/>
  <c r="AN148" i="5"/>
  <c r="Q148" i="5"/>
  <c r="I148" i="5"/>
  <c r="CM148" i="5"/>
  <c r="CR148" i="5"/>
  <c r="BY148" i="5"/>
  <c r="BI148" i="5"/>
  <c r="D148" i="5"/>
  <c r="CC148" i="5"/>
  <c r="BU148" i="5"/>
  <c r="BM148" i="5"/>
  <c r="AW148" i="5"/>
  <c r="AE148" i="5"/>
  <c r="X148" i="5"/>
  <c r="P148" i="5"/>
  <c r="H148" i="5"/>
  <c r="CL148" i="5"/>
  <c r="CZ148" i="5"/>
  <c r="CH137" i="5"/>
  <c r="BZ137" i="5"/>
  <c r="BR137" i="5"/>
  <c r="BK137" i="5"/>
  <c r="AO137" i="5"/>
  <c r="AB137" i="5"/>
  <c r="U137" i="5"/>
  <c r="M137" i="5"/>
  <c r="E137" i="5"/>
  <c r="CP137" i="5"/>
  <c r="CQ137" i="5"/>
  <c r="CR137" i="5"/>
  <c r="AM137" i="5"/>
  <c r="BH137" i="5"/>
  <c r="DC137" i="5"/>
  <c r="CK137" i="5"/>
  <c r="CE137" i="5"/>
  <c r="BW137" i="5"/>
  <c r="BO137" i="5"/>
  <c r="BC137" i="5"/>
  <c r="AG137" i="5"/>
  <c r="Y137" i="5"/>
  <c r="R137" i="5"/>
  <c r="J137" i="5"/>
  <c r="B137" i="5"/>
  <c r="A137" i="5"/>
  <c r="AH137" i="5"/>
  <c r="BF137" i="5"/>
  <c r="DB137" i="5"/>
  <c r="AQ127" i="5"/>
  <c r="AX125" i="5"/>
  <c r="AQ125" i="5"/>
  <c r="DC108" i="5"/>
  <c r="CY108" i="5"/>
  <c r="DC160" i="5"/>
  <c r="DG160" i="5"/>
  <c r="CZ160" i="5"/>
  <c r="DF160" i="5"/>
  <c r="AH150" i="5"/>
  <c r="BF150" i="5"/>
  <c r="CJ150" i="5"/>
  <c r="CD150" i="5"/>
  <c r="BZ150" i="5"/>
  <c r="BV150" i="5"/>
  <c r="BR150" i="5"/>
  <c r="BN150" i="5"/>
  <c r="BK150" i="5"/>
  <c r="AY150" i="5"/>
  <c r="AO150" i="5"/>
  <c r="AF150" i="5"/>
  <c r="AB150" i="5"/>
  <c r="AN150" i="5"/>
  <c r="U150" i="5"/>
  <c r="Q150" i="5"/>
  <c r="M150" i="5"/>
  <c r="I150" i="5"/>
  <c r="E150" i="5"/>
  <c r="CM150" i="5"/>
  <c r="CP150" i="5"/>
  <c r="A150" i="5"/>
  <c r="AQ150" i="5"/>
  <c r="AJ150" i="5"/>
  <c r="AX150" i="5"/>
  <c r="BE150" i="5"/>
  <c r="CK150" i="5"/>
  <c r="CG150" i="5"/>
  <c r="CC150" i="5"/>
  <c r="BY150" i="5"/>
  <c r="BU150" i="5"/>
  <c r="BQ150" i="5"/>
  <c r="BM150" i="5"/>
  <c r="BI150" i="5"/>
  <c r="AW150" i="5"/>
  <c r="AK150" i="5"/>
  <c r="AE150" i="5"/>
  <c r="AA150" i="5"/>
  <c r="X150" i="5"/>
  <c r="T150" i="5"/>
  <c r="P150" i="5"/>
  <c r="L150" i="5"/>
  <c r="H150" i="5"/>
  <c r="D150" i="5"/>
  <c r="CL150" i="5"/>
  <c r="CR150" i="5"/>
  <c r="AL150" i="5"/>
  <c r="AR150" i="5"/>
  <c r="BJ150" i="5"/>
  <c r="DC150" i="5"/>
  <c r="BA150" i="5"/>
  <c r="AZ150" i="5"/>
  <c r="CH150" i="5"/>
  <c r="CF150" i="5"/>
  <c r="CB150" i="5"/>
  <c r="BX150" i="5"/>
  <c r="BT150" i="5"/>
  <c r="BP150" i="5"/>
  <c r="BL150" i="5"/>
  <c r="BG150" i="5"/>
  <c r="AU150" i="5"/>
  <c r="AI150" i="5"/>
  <c r="AD150" i="5"/>
  <c r="Z150" i="5"/>
  <c r="W150" i="5"/>
  <c r="S150" i="5"/>
  <c r="O150" i="5"/>
  <c r="K150" i="5"/>
  <c r="G150" i="5"/>
  <c r="C150" i="5"/>
  <c r="CO150" i="5"/>
  <c r="CV150" i="5"/>
  <c r="CS150" i="5"/>
  <c r="AM150" i="5"/>
  <c r="AT150" i="5"/>
  <c r="BH150" i="5"/>
  <c r="CX150" i="5"/>
  <c r="DF150" i="5"/>
  <c r="CW135" i="5"/>
  <c r="DF135" i="5"/>
  <c r="CZ146" i="5"/>
  <c r="CS125" i="5"/>
  <c r="AM125" i="5"/>
  <c r="AT125" i="5"/>
  <c r="BH125" i="5"/>
  <c r="BA125" i="5"/>
  <c r="AH125" i="5"/>
  <c r="AZ125" i="5"/>
  <c r="BF125" i="5"/>
  <c r="AL125" i="5"/>
  <c r="AR125" i="5"/>
  <c r="BJ125" i="5"/>
  <c r="BA148" i="5"/>
  <c r="AZ148" i="5"/>
  <c r="AM148" i="5"/>
  <c r="BH148" i="5"/>
  <c r="CW148" i="5"/>
  <c r="AH148" i="5"/>
  <c r="BF148" i="5"/>
  <c r="DD148" i="5"/>
  <c r="CG131" i="5"/>
  <c r="BQ131" i="5"/>
  <c r="AK131" i="5"/>
  <c r="T131" i="5"/>
  <c r="D131" i="5"/>
  <c r="AZ131" i="5"/>
  <c r="CH131" i="5"/>
  <c r="CC131" i="5"/>
  <c r="BM131" i="5"/>
  <c r="AE131" i="5"/>
  <c r="P131" i="5"/>
  <c r="CL131" i="5"/>
  <c r="CQ131" i="5"/>
  <c r="BF131" i="5"/>
  <c r="AH131" i="5"/>
  <c r="BY131" i="5"/>
  <c r="BI131" i="5"/>
  <c r="AA131" i="5"/>
  <c r="L131" i="5"/>
  <c r="CV131" i="5"/>
  <c r="BA131" i="5"/>
  <c r="DE99" i="5"/>
  <c r="CZ99" i="5"/>
  <c r="AQ99" i="5"/>
  <c r="AJ99" i="5"/>
  <c r="AX99" i="5"/>
  <c r="BE99" i="5"/>
  <c r="DB99" i="5"/>
  <c r="DB41" i="5"/>
  <c r="CX41" i="5"/>
  <c r="CW41" i="5"/>
  <c r="DE41" i="5"/>
  <c r="DA41" i="5"/>
  <c r="DG41" i="5"/>
  <c r="BA138" i="5"/>
  <c r="AH138" i="5"/>
  <c r="AZ138" i="5"/>
  <c r="BF138" i="5"/>
  <c r="DA138" i="5"/>
  <c r="CJ138" i="5"/>
  <c r="CE138" i="5"/>
  <c r="CA138" i="5"/>
  <c r="BW138" i="5"/>
  <c r="BS138" i="5"/>
  <c r="BO138" i="5"/>
  <c r="BD138" i="5"/>
  <c r="BC138" i="5"/>
  <c r="AS138" i="5"/>
  <c r="AG138" i="5"/>
  <c r="AC138" i="5"/>
  <c r="Y138" i="5"/>
  <c r="V138" i="5"/>
  <c r="R138" i="5"/>
  <c r="N138" i="5"/>
  <c r="J138" i="5"/>
  <c r="F138" i="5"/>
  <c r="B138" i="5"/>
  <c r="CN138" i="5"/>
  <c r="CQ138" i="5"/>
  <c r="CV138" i="5"/>
  <c r="CK138" i="5"/>
  <c r="CD138" i="5"/>
  <c r="BZ138" i="5"/>
  <c r="BV138" i="5"/>
  <c r="BR138" i="5"/>
  <c r="BN138" i="5"/>
  <c r="BK138" i="5"/>
  <c r="AY138" i="5"/>
  <c r="AO138" i="5"/>
  <c r="AF138" i="5"/>
  <c r="AB138" i="5"/>
  <c r="AN138" i="5"/>
  <c r="U138" i="5"/>
  <c r="Q138" i="5"/>
  <c r="M138" i="5"/>
  <c r="I138" i="5"/>
  <c r="E138" i="5"/>
  <c r="CM138" i="5"/>
  <c r="CP138" i="5"/>
  <c r="A138" i="5"/>
  <c r="AQ138" i="5"/>
  <c r="AJ138" i="5"/>
  <c r="AX138" i="5"/>
  <c r="BE138" i="5"/>
  <c r="CY138" i="5"/>
  <c r="CW138" i="5"/>
  <c r="DE134" i="5"/>
  <c r="DG4" i="5"/>
  <c r="CB126" i="5"/>
  <c r="BL126" i="5"/>
  <c r="AD126" i="5"/>
  <c r="O126" i="5"/>
  <c r="CO126" i="5"/>
  <c r="BX126" i="5"/>
  <c r="BG126" i="5"/>
  <c r="Z126" i="5"/>
  <c r="K126" i="5"/>
  <c r="CH126" i="5"/>
  <c r="BT126" i="5"/>
  <c r="AU126" i="5"/>
  <c r="W126" i="5"/>
  <c r="G126" i="5"/>
  <c r="DE152" i="5"/>
  <c r="DG152" i="5"/>
  <c r="CW136" i="5"/>
  <c r="DC136" i="5"/>
  <c r="A101" i="5"/>
  <c r="CS101" i="5"/>
  <c r="AM101" i="5"/>
  <c r="AT101" i="5"/>
  <c r="BH101" i="5"/>
  <c r="CZ101" i="5"/>
  <c r="CI101" i="5"/>
  <c r="CE101" i="5"/>
  <c r="CA101" i="5"/>
  <c r="BW101" i="5"/>
  <c r="BS101" i="5"/>
  <c r="BO101" i="5"/>
  <c r="BD101" i="5"/>
  <c r="BC101" i="5"/>
  <c r="AS101" i="5"/>
  <c r="AG101" i="5"/>
  <c r="AC101" i="5"/>
  <c r="Y101" i="5"/>
  <c r="V101" i="5"/>
  <c r="R101" i="5"/>
  <c r="N101" i="5"/>
  <c r="J101" i="5"/>
  <c r="F101" i="5"/>
  <c r="B101" i="5"/>
  <c r="CN101" i="5"/>
  <c r="CV101" i="5"/>
  <c r="BA101" i="5"/>
  <c r="AH101" i="5"/>
  <c r="AZ101" i="5"/>
  <c r="BF101" i="5"/>
  <c r="CY101" i="5"/>
  <c r="CR169" i="5"/>
  <c r="CS169" i="5"/>
  <c r="BH169" i="5"/>
  <c r="CY169" i="5"/>
  <c r="CD169" i="5"/>
  <c r="BZ169" i="5"/>
  <c r="BV169" i="5"/>
  <c r="BR169" i="5"/>
  <c r="BN169" i="5"/>
  <c r="BK169" i="5"/>
  <c r="AY169" i="5"/>
  <c r="AO169" i="5"/>
  <c r="AF169" i="5"/>
  <c r="AB169" i="5"/>
  <c r="AN169" i="5"/>
  <c r="U169" i="5"/>
  <c r="Q169" i="5"/>
  <c r="M169" i="5"/>
  <c r="I169" i="5"/>
  <c r="E169" i="5"/>
  <c r="CM169" i="5"/>
  <c r="CP169" i="5"/>
  <c r="BA169" i="5"/>
  <c r="AH169" i="5"/>
  <c r="AZ169" i="5"/>
  <c r="BF169" i="5"/>
  <c r="DB169" i="5"/>
  <c r="CX169" i="5"/>
  <c r="AP169" i="5"/>
  <c r="CH169" i="5"/>
  <c r="CU169" i="5"/>
  <c r="CI169" i="5"/>
  <c r="CG169" i="5"/>
  <c r="CC169" i="5"/>
  <c r="BY169" i="5"/>
  <c r="BU169" i="5"/>
  <c r="BQ169" i="5"/>
  <c r="BM169" i="5"/>
  <c r="BI169" i="5"/>
  <c r="AW169" i="5"/>
  <c r="AK169" i="5"/>
  <c r="AE169" i="5"/>
  <c r="AA169" i="5"/>
  <c r="X169" i="5"/>
  <c r="T169" i="5"/>
  <c r="P169" i="5"/>
  <c r="L169" i="5"/>
  <c r="H169" i="5"/>
  <c r="D169" i="5"/>
  <c r="CL169" i="5"/>
  <c r="CQ169" i="5"/>
  <c r="AQ169" i="5"/>
  <c r="AJ169" i="5"/>
  <c r="AX169" i="5"/>
  <c r="BE169" i="5"/>
  <c r="DE169" i="5"/>
  <c r="DA169" i="5"/>
  <c r="DF169" i="5"/>
  <c r="CV169" i="5"/>
  <c r="AM169" i="5"/>
  <c r="AT169" i="5"/>
  <c r="DC169" i="5"/>
  <c r="CT169" i="5"/>
  <c r="CJ169" i="5"/>
  <c r="CF169" i="5"/>
  <c r="CB169" i="5"/>
  <c r="BX169" i="5"/>
  <c r="BT169" i="5"/>
  <c r="BP169" i="5"/>
  <c r="BL169" i="5"/>
  <c r="BG169" i="5"/>
  <c r="AU169" i="5"/>
  <c r="AI169" i="5"/>
  <c r="AD169" i="5"/>
  <c r="Z169" i="5"/>
  <c r="W169" i="5"/>
  <c r="S169" i="5"/>
  <c r="O169" i="5"/>
  <c r="K169" i="5"/>
  <c r="G169" i="5"/>
  <c r="C169" i="5"/>
  <c r="CO169" i="5"/>
  <c r="A169" i="5"/>
  <c r="AL169" i="5"/>
  <c r="AR169" i="5"/>
  <c r="BJ169" i="5"/>
  <c r="DD169" i="5"/>
  <c r="CZ169" i="5"/>
  <c r="CW169" i="5"/>
  <c r="DG169" i="5"/>
  <c r="CK167" i="5"/>
  <c r="CE167" i="5"/>
  <c r="CA167" i="5"/>
  <c r="BW167" i="5"/>
  <c r="BS167" i="5"/>
  <c r="BO167" i="5"/>
  <c r="BD167" i="5"/>
  <c r="BC167" i="5"/>
  <c r="AS167" i="5"/>
  <c r="AG167" i="5"/>
  <c r="AC167" i="5"/>
  <c r="Y167" i="5"/>
  <c r="V167" i="5"/>
  <c r="R167" i="5"/>
  <c r="N167" i="5"/>
  <c r="J167" i="5"/>
  <c r="F167" i="5"/>
  <c r="B167" i="5"/>
  <c r="CN167" i="5"/>
  <c r="AQ167" i="5"/>
  <c r="AJ167" i="5"/>
  <c r="AX167" i="5"/>
  <c r="BE167" i="5"/>
  <c r="DC167" i="5"/>
  <c r="CY167" i="5"/>
  <c r="CY157" i="5"/>
  <c r="DG157" i="5"/>
  <c r="DD157" i="5"/>
  <c r="CA159" i="5"/>
  <c r="BD159" i="5"/>
  <c r="AC159" i="5"/>
  <c r="N159" i="5"/>
  <c r="CN159" i="5"/>
  <c r="AX159" i="5"/>
  <c r="AJ159" i="5"/>
  <c r="BW159" i="5"/>
  <c r="BC159" i="5"/>
  <c r="Y159" i="5"/>
  <c r="J159" i="5"/>
  <c r="CV159" i="5"/>
  <c r="BE159" i="5"/>
  <c r="BS159" i="5"/>
  <c r="AS159" i="5"/>
  <c r="V159" i="5"/>
  <c r="F159" i="5"/>
  <c r="AQ159" i="5"/>
  <c r="BN124" i="5"/>
  <c r="AF124" i="5"/>
  <c r="Q124" i="5"/>
  <c r="CD87" i="5"/>
  <c r="BZ87" i="5"/>
  <c r="BV87" i="5"/>
  <c r="BR87" i="5"/>
  <c r="BN87" i="5"/>
  <c r="BK87" i="5"/>
  <c r="AY87" i="5"/>
  <c r="AO87" i="5"/>
  <c r="AF87" i="5"/>
  <c r="AB87" i="5"/>
  <c r="AN87" i="5"/>
  <c r="U87" i="5"/>
  <c r="Q87" i="5"/>
  <c r="M87" i="5"/>
  <c r="I87" i="5"/>
  <c r="E87" i="5"/>
  <c r="CM87" i="5"/>
  <c r="CP87" i="5"/>
  <c r="CV87" i="5"/>
  <c r="CS87" i="5"/>
  <c r="AM87" i="5"/>
  <c r="AT87" i="5"/>
  <c r="BH87" i="5"/>
  <c r="DC87" i="5"/>
  <c r="CY87" i="5"/>
  <c r="CG87" i="5"/>
  <c r="CC87" i="5"/>
  <c r="BY87" i="5"/>
  <c r="BU87" i="5"/>
  <c r="BQ87" i="5"/>
  <c r="BM87" i="5"/>
  <c r="BI87" i="5"/>
  <c r="AW87" i="5"/>
  <c r="AK87" i="5"/>
  <c r="AE87" i="5"/>
  <c r="AA87" i="5"/>
  <c r="X87" i="5"/>
  <c r="T87" i="5"/>
  <c r="P87" i="5"/>
  <c r="L87" i="5"/>
  <c r="H87" i="5"/>
  <c r="D87" i="5"/>
  <c r="CL87" i="5"/>
  <c r="CQ87" i="5"/>
  <c r="BA87" i="5"/>
  <c r="AH87" i="5"/>
  <c r="AZ87" i="5"/>
  <c r="BF87" i="5"/>
  <c r="DB87" i="5"/>
  <c r="CX87" i="5"/>
  <c r="DG87" i="5"/>
  <c r="DD65" i="5"/>
  <c r="CZ65" i="5"/>
  <c r="DF65" i="5"/>
  <c r="DG65" i="5"/>
  <c r="DC65" i="5"/>
  <c r="CY65" i="5"/>
  <c r="DB65" i="5"/>
  <c r="CX65" i="5"/>
  <c r="DC97" i="5"/>
  <c r="CI97" i="5"/>
  <c r="CE97" i="5"/>
  <c r="CA97" i="5"/>
  <c r="BW97" i="5"/>
  <c r="BS97" i="5"/>
  <c r="BO97" i="5"/>
  <c r="BD97" i="5"/>
  <c r="BC97" i="5"/>
  <c r="AS97" i="5"/>
  <c r="AG97" i="5"/>
  <c r="AC97" i="5"/>
  <c r="Y97" i="5"/>
  <c r="V97" i="5"/>
  <c r="R97" i="5"/>
  <c r="N97" i="5"/>
  <c r="J97" i="5"/>
  <c r="F97" i="5"/>
  <c r="B97" i="5"/>
  <c r="CN97" i="5"/>
  <c r="A97" i="5"/>
  <c r="BA97" i="5"/>
  <c r="AH97" i="5"/>
  <c r="AZ97" i="5"/>
  <c r="BF97" i="5"/>
  <c r="CY97" i="5"/>
  <c r="DF97" i="5"/>
  <c r="CJ97" i="5"/>
  <c r="CD97" i="5"/>
  <c r="BZ97" i="5"/>
  <c r="BV97" i="5"/>
  <c r="BR97" i="5"/>
  <c r="BN97" i="5"/>
  <c r="BK97" i="5"/>
  <c r="AY97" i="5"/>
  <c r="AO97" i="5"/>
  <c r="AF97" i="5"/>
  <c r="AB97" i="5"/>
  <c r="AN97" i="5"/>
  <c r="U97" i="5"/>
  <c r="Q97" i="5"/>
  <c r="M97" i="5"/>
  <c r="I97" i="5"/>
  <c r="E97" i="5"/>
  <c r="CM97" i="5"/>
  <c r="CP97" i="5"/>
  <c r="CR97" i="5"/>
  <c r="AQ97" i="5"/>
  <c r="AJ97" i="5"/>
  <c r="AX97" i="5"/>
  <c r="BE97" i="5"/>
  <c r="DG97" i="5"/>
  <c r="CK97" i="5"/>
  <c r="CG97" i="5"/>
  <c r="CC97" i="5"/>
  <c r="BY97" i="5"/>
  <c r="BU97" i="5"/>
  <c r="BQ97" i="5"/>
  <c r="BM97" i="5"/>
  <c r="BI97" i="5"/>
  <c r="AW97" i="5"/>
  <c r="AK97" i="5"/>
  <c r="AE97" i="5"/>
  <c r="AA97" i="5"/>
  <c r="X97" i="5"/>
  <c r="T97" i="5"/>
  <c r="P97" i="5"/>
  <c r="L97" i="5"/>
  <c r="H97" i="5"/>
  <c r="D97" i="5"/>
  <c r="CL97" i="5"/>
  <c r="AL97" i="5"/>
  <c r="AR97" i="5"/>
  <c r="BJ97" i="5"/>
  <c r="DE88" i="5"/>
  <c r="DA88" i="5"/>
  <c r="DG88" i="5"/>
  <c r="DC88" i="5"/>
  <c r="CY88" i="5"/>
  <c r="CK153" i="5"/>
  <c r="CC153" i="5"/>
  <c r="BM153" i="5"/>
  <c r="AE153" i="5"/>
  <c r="P153" i="5"/>
  <c r="CL153" i="5"/>
  <c r="BY153" i="5"/>
  <c r="BI153" i="5"/>
  <c r="AA153" i="5"/>
  <c r="L153" i="5"/>
  <c r="BU153" i="5"/>
  <c r="AW153" i="5"/>
  <c r="X153" i="5"/>
  <c r="H153" i="5"/>
  <c r="DC85" i="5"/>
  <c r="CY85" i="5"/>
  <c r="DF85" i="5"/>
  <c r="DB85" i="5"/>
  <c r="CX85" i="5"/>
  <c r="CW85" i="5"/>
  <c r="DE85" i="5"/>
  <c r="DA85" i="5"/>
  <c r="DG85" i="5"/>
  <c r="DT2" i="12"/>
  <c r="DF4" i="5" s="1"/>
  <c r="DN2" i="12"/>
  <c r="CZ4" i="5" s="1"/>
  <c r="DS2" i="12"/>
  <c r="DE4" i="5" s="1"/>
  <c r="DP2" i="12"/>
  <c r="DB4" i="5" s="1"/>
  <c r="DO2" i="12"/>
  <c r="DA4" i="5" s="1"/>
  <c r="CS132" i="5"/>
  <c r="AH132" i="5"/>
  <c r="AX132" i="5"/>
  <c r="BA132" i="5"/>
  <c r="AJ132" i="5"/>
  <c r="BH132" i="5"/>
  <c r="DE132" i="5"/>
  <c r="DA159" i="5"/>
  <c r="CH159" i="5"/>
  <c r="CD159" i="5"/>
  <c r="BZ159" i="5"/>
  <c r="BV159" i="5"/>
  <c r="BR159" i="5"/>
  <c r="BN159" i="5"/>
  <c r="BK159" i="5"/>
  <c r="AY159" i="5"/>
  <c r="AO159" i="5"/>
  <c r="AF159" i="5"/>
  <c r="AB159" i="5"/>
  <c r="AN159" i="5"/>
  <c r="U159" i="5"/>
  <c r="Q159" i="5"/>
  <c r="M159" i="5"/>
  <c r="I159" i="5"/>
  <c r="E159" i="5"/>
  <c r="CM159" i="5"/>
  <c r="CP159" i="5"/>
  <c r="AL159" i="5"/>
  <c r="AR159" i="5"/>
  <c r="BJ159" i="5"/>
  <c r="DD159" i="5"/>
  <c r="CZ159" i="5"/>
  <c r="CI159" i="5"/>
  <c r="CG159" i="5"/>
  <c r="CC159" i="5"/>
  <c r="BY159" i="5"/>
  <c r="BU159" i="5"/>
  <c r="BQ159" i="5"/>
  <c r="BM159" i="5"/>
  <c r="BI159" i="5"/>
  <c r="AW159" i="5"/>
  <c r="AK159" i="5"/>
  <c r="AE159" i="5"/>
  <c r="AA159" i="5"/>
  <c r="X159" i="5"/>
  <c r="T159" i="5"/>
  <c r="P159" i="5"/>
  <c r="L159" i="5"/>
  <c r="H159" i="5"/>
  <c r="D159" i="5"/>
  <c r="CL159" i="5"/>
  <c r="CQ159" i="5"/>
  <c r="CR159" i="5"/>
  <c r="CS159" i="5"/>
  <c r="AM159" i="5"/>
  <c r="AT159" i="5"/>
  <c r="BH159" i="5"/>
  <c r="DC159" i="5"/>
  <c r="CY159" i="5"/>
  <c r="CW159" i="5"/>
  <c r="DG159" i="5"/>
  <c r="DE159" i="5"/>
  <c r="CJ159" i="5"/>
  <c r="CF159" i="5"/>
  <c r="CB159" i="5"/>
  <c r="BX159" i="5"/>
  <c r="BT159" i="5"/>
  <c r="BP159" i="5"/>
  <c r="BL159" i="5"/>
  <c r="BG159" i="5"/>
  <c r="AU159" i="5"/>
  <c r="AI159" i="5"/>
  <c r="AD159" i="5"/>
  <c r="Z159" i="5"/>
  <c r="W159" i="5"/>
  <c r="S159" i="5"/>
  <c r="O159" i="5"/>
  <c r="K159" i="5"/>
  <c r="G159" i="5"/>
  <c r="C159" i="5"/>
  <c r="CO159" i="5"/>
  <c r="A159" i="5"/>
  <c r="BA159" i="5"/>
  <c r="AH159" i="5"/>
  <c r="AZ159" i="5"/>
  <c r="BF159" i="5"/>
  <c r="DB159" i="5"/>
  <c r="CX159" i="5"/>
  <c r="DF159" i="5"/>
  <c r="BF130" i="5"/>
  <c r="BX130" i="5"/>
  <c r="BG130" i="5"/>
  <c r="K130" i="5"/>
  <c r="A130" i="5"/>
  <c r="BA130" i="5"/>
  <c r="BT130" i="5"/>
  <c r="AU130" i="5"/>
  <c r="W130" i="5"/>
  <c r="G130" i="5"/>
  <c r="AH130" i="5"/>
  <c r="Z130" i="5"/>
  <c r="CK130" i="5"/>
  <c r="CF130" i="5"/>
  <c r="BP130" i="5"/>
  <c r="AI130" i="5"/>
  <c r="S130" i="5"/>
  <c r="C130" i="5"/>
  <c r="AZ130" i="5"/>
  <c r="DC60" i="5"/>
  <c r="CY60" i="5"/>
  <c r="DG60" i="5"/>
  <c r="DE104" i="5"/>
  <c r="DA104" i="5"/>
  <c r="DD104" i="5"/>
  <c r="CZ104" i="5"/>
  <c r="DF104" i="5"/>
  <c r="DC104" i="5"/>
  <c r="CY104" i="5"/>
  <c r="CW104" i="5"/>
  <c r="DG104" i="5"/>
  <c r="DB91" i="5"/>
  <c r="CX91" i="5"/>
  <c r="CK89" i="5"/>
  <c r="CE89" i="5"/>
  <c r="CA89" i="5"/>
  <c r="BW89" i="5"/>
  <c r="BS89" i="5"/>
  <c r="BO89" i="5"/>
  <c r="BD89" i="5"/>
  <c r="BC89" i="5"/>
  <c r="AS89" i="5"/>
  <c r="AG89" i="5"/>
  <c r="AC89" i="5"/>
  <c r="Y89" i="5"/>
  <c r="V89" i="5"/>
  <c r="R89" i="5"/>
  <c r="N89" i="5"/>
  <c r="J89" i="5"/>
  <c r="F89" i="5"/>
  <c r="B89" i="5"/>
  <c r="CN89" i="5"/>
  <c r="A89" i="5"/>
  <c r="CV89" i="5"/>
  <c r="BA89" i="5"/>
  <c r="AH89" i="5"/>
  <c r="AZ89" i="5"/>
  <c r="BF89" i="5"/>
  <c r="DC89" i="5"/>
  <c r="CY89" i="5"/>
  <c r="CH89" i="5"/>
  <c r="CD89" i="5"/>
  <c r="BZ89" i="5"/>
  <c r="BV89" i="5"/>
  <c r="BR89" i="5"/>
  <c r="BN89" i="5"/>
  <c r="BK89" i="5"/>
  <c r="AY89" i="5"/>
  <c r="AO89" i="5"/>
  <c r="AF89" i="5"/>
  <c r="AB89" i="5"/>
  <c r="AN89" i="5"/>
  <c r="U89" i="5"/>
  <c r="Q89" i="5"/>
  <c r="M89" i="5"/>
  <c r="I89" i="5"/>
  <c r="E89" i="5"/>
  <c r="CM89" i="5"/>
  <c r="CP89" i="5"/>
  <c r="AQ89" i="5"/>
  <c r="AJ89" i="5"/>
  <c r="AX89" i="5"/>
  <c r="BE89" i="5"/>
  <c r="DB89" i="5"/>
  <c r="CX89" i="5"/>
  <c r="CW89" i="5"/>
  <c r="DG89" i="5"/>
  <c r="CS89" i="5"/>
  <c r="AM89" i="5"/>
  <c r="AT89" i="5"/>
  <c r="BH89" i="5"/>
  <c r="DD89" i="5"/>
  <c r="CZ89" i="5"/>
  <c r="DF89" i="5"/>
  <c r="CI89" i="5"/>
  <c r="CG89" i="5"/>
  <c r="CC89" i="5"/>
  <c r="BY89" i="5"/>
  <c r="BU89" i="5"/>
  <c r="BQ89" i="5"/>
  <c r="BM89" i="5"/>
  <c r="BI89" i="5"/>
  <c r="AW89" i="5"/>
  <c r="AK89" i="5"/>
  <c r="AE89" i="5"/>
  <c r="AA89" i="5"/>
  <c r="X89" i="5"/>
  <c r="T89" i="5"/>
  <c r="P89" i="5"/>
  <c r="L89" i="5"/>
  <c r="H89" i="5"/>
  <c r="D89" i="5"/>
  <c r="CL89" i="5"/>
  <c r="CR89" i="5"/>
  <c r="AL89" i="5"/>
  <c r="AR89" i="5"/>
  <c r="BJ89" i="5"/>
  <c r="DE89" i="5"/>
  <c r="DA89" i="5"/>
  <c r="CR102" i="5"/>
  <c r="CV102" i="5"/>
  <c r="AQ102" i="5"/>
  <c r="AJ102" i="5"/>
  <c r="AX102" i="5"/>
  <c r="BE102" i="5"/>
  <c r="DE102" i="5"/>
  <c r="DA102" i="5"/>
  <c r="DG102" i="5"/>
  <c r="AL102" i="5"/>
  <c r="AR102" i="5"/>
  <c r="BJ102" i="5"/>
  <c r="DD102" i="5"/>
  <c r="CZ102" i="5"/>
  <c r="CW102" i="5"/>
  <c r="BZ124" i="5"/>
  <c r="BK124" i="5"/>
  <c r="AB124" i="5"/>
  <c r="M124" i="5"/>
  <c r="CP124" i="5"/>
  <c r="BV124" i="5"/>
  <c r="AY124" i="5"/>
  <c r="AN124" i="5"/>
  <c r="I124" i="5"/>
  <c r="CK124" i="5"/>
  <c r="BR124" i="5"/>
  <c r="AO124" i="5"/>
  <c r="U124" i="5"/>
  <c r="E124" i="5"/>
  <c r="CQ124" i="5"/>
  <c r="DE93" i="5"/>
  <c r="DA93" i="5"/>
  <c r="DB165" i="5"/>
  <c r="CX165" i="5"/>
  <c r="CQ153" i="5"/>
  <c r="AR153" i="5"/>
  <c r="DD153" i="5"/>
  <c r="CH153" i="5"/>
  <c r="CF153" i="5"/>
  <c r="CB153" i="5"/>
  <c r="BX153" i="5"/>
  <c r="BT153" i="5"/>
  <c r="BP153" i="5"/>
  <c r="BL153" i="5"/>
  <c r="BG153" i="5"/>
  <c r="AU153" i="5"/>
  <c r="AI153" i="5"/>
  <c r="AD153" i="5"/>
  <c r="Z153" i="5"/>
  <c r="W153" i="5"/>
  <c r="S153" i="5"/>
  <c r="O153" i="5"/>
  <c r="K153" i="5"/>
  <c r="G153" i="5"/>
  <c r="C153" i="5"/>
  <c r="CO153" i="5"/>
  <c r="A153" i="5"/>
  <c r="CR153" i="5"/>
  <c r="CS153" i="5"/>
  <c r="AM153" i="5"/>
  <c r="AT153" i="5"/>
  <c r="BH153" i="5"/>
  <c r="DC153" i="5"/>
  <c r="CY153" i="5"/>
  <c r="DF153" i="5"/>
  <c r="DG153" i="5"/>
  <c r="CI153" i="5"/>
  <c r="CE153" i="5"/>
  <c r="CA153" i="5"/>
  <c r="BW153" i="5"/>
  <c r="BS153" i="5"/>
  <c r="BO153" i="5"/>
  <c r="BD153" i="5"/>
  <c r="BC153" i="5"/>
  <c r="AS153" i="5"/>
  <c r="AG153" i="5"/>
  <c r="AC153" i="5"/>
  <c r="Y153" i="5"/>
  <c r="V153" i="5"/>
  <c r="R153" i="5"/>
  <c r="N153" i="5"/>
  <c r="J153" i="5"/>
  <c r="F153" i="5"/>
  <c r="B153" i="5"/>
  <c r="CN153" i="5"/>
  <c r="BA153" i="5"/>
  <c r="AH153" i="5"/>
  <c r="AZ153" i="5"/>
  <c r="BF153" i="5"/>
  <c r="DB153" i="5"/>
  <c r="CX153" i="5"/>
  <c r="CW153" i="5"/>
  <c r="CV153" i="5"/>
  <c r="AL153" i="5"/>
  <c r="BJ153" i="5"/>
  <c r="CZ153" i="5"/>
  <c r="CJ153" i="5"/>
  <c r="CD153" i="5"/>
  <c r="BZ153" i="5"/>
  <c r="BV153" i="5"/>
  <c r="BR153" i="5"/>
  <c r="BN153" i="5"/>
  <c r="BK153" i="5"/>
  <c r="AY153" i="5"/>
  <c r="AO153" i="5"/>
  <c r="AF153" i="5"/>
  <c r="AB153" i="5"/>
  <c r="AN153" i="5"/>
  <c r="U153" i="5"/>
  <c r="Q153" i="5"/>
  <c r="M153" i="5"/>
  <c r="I153" i="5"/>
  <c r="E153" i="5"/>
  <c r="CM153" i="5"/>
  <c r="CP153" i="5"/>
  <c r="AQ153" i="5"/>
  <c r="AJ153" i="5"/>
  <c r="AX153" i="5"/>
  <c r="BE153" i="5"/>
  <c r="DE153" i="5"/>
  <c r="DA153" i="5"/>
  <c r="DG128" i="5"/>
  <c r="DB151" i="5"/>
  <c r="CX151" i="5"/>
  <c r="DF151" i="5"/>
  <c r="DE151" i="5"/>
  <c r="DA151" i="5"/>
  <c r="CW151" i="5"/>
  <c r="DC151" i="5"/>
  <c r="CY151" i="5"/>
  <c r="DE111" i="5"/>
  <c r="DA111" i="5"/>
  <c r="DC111" i="5"/>
  <c r="CY111" i="5"/>
  <c r="CW111" i="5"/>
  <c r="DG111" i="5"/>
  <c r="DB111" i="5"/>
  <c r="CX111" i="5"/>
  <c r="CQ155" i="5"/>
  <c r="CR155" i="5"/>
  <c r="CS155" i="5"/>
  <c r="AM155" i="5"/>
  <c r="AT155" i="5"/>
  <c r="BH155" i="5"/>
  <c r="DA155" i="5"/>
  <c r="A155" i="5"/>
  <c r="BA155" i="5"/>
  <c r="AH155" i="5"/>
  <c r="AZ155" i="5"/>
  <c r="BF155" i="5"/>
  <c r="DE155" i="5"/>
  <c r="CZ155" i="5"/>
  <c r="DF155" i="5"/>
  <c r="AQ155" i="5"/>
  <c r="AJ155" i="5"/>
  <c r="AX155" i="5"/>
  <c r="BE155" i="5"/>
  <c r="DD155" i="5"/>
  <c r="CY155" i="5"/>
  <c r="DD149" i="5"/>
  <c r="CZ149" i="5"/>
  <c r="CW149" i="5"/>
  <c r="CI149" i="5"/>
  <c r="CF149" i="5"/>
  <c r="CB149" i="5"/>
  <c r="BX149" i="5"/>
  <c r="BT149" i="5"/>
  <c r="BP149" i="5"/>
  <c r="BL149" i="5"/>
  <c r="BG149" i="5"/>
  <c r="AU149" i="5"/>
  <c r="AI149" i="5"/>
  <c r="AD149" i="5"/>
  <c r="Z149" i="5"/>
  <c r="W149" i="5"/>
  <c r="S149" i="5"/>
  <c r="O149" i="5"/>
  <c r="K149" i="5"/>
  <c r="G149" i="5"/>
  <c r="C149" i="5"/>
  <c r="CO149" i="5"/>
  <c r="BA149" i="5"/>
  <c r="AH149" i="5"/>
  <c r="AZ149" i="5"/>
  <c r="BF149" i="5"/>
  <c r="DC149" i="5"/>
  <c r="CY149" i="5"/>
  <c r="DG149" i="5"/>
  <c r="CJ149" i="5"/>
  <c r="CE149" i="5"/>
  <c r="CA149" i="5"/>
  <c r="BW149" i="5"/>
  <c r="BS149" i="5"/>
  <c r="BO149" i="5"/>
  <c r="BD149" i="5"/>
  <c r="BC149" i="5"/>
  <c r="AS149" i="5"/>
  <c r="AG149" i="5"/>
  <c r="AC149" i="5"/>
  <c r="Y149" i="5"/>
  <c r="V149" i="5"/>
  <c r="R149" i="5"/>
  <c r="N149" i="5"/>
  <c r="J149" i="5"/>
  <c r="F149" i="5"/>
  <c r="B149" i="5"/>
  <c r="CN149" i="5"/>
  <c r="CQ149" i="5"/>
  <c r="CR149" i="5"/>
  <c r="CV149" i="5"/>
  <c r="AQ149" i="5"/>
  <c r="AJ149" i="5"/>
  <c r="AX149" i="5"/>
  <c r="BE149" i="5"/>
  <c r="DB149" i="5"/>
  <c r="CX149" i="5"/>
  <c r="CK149" i="5"/>
  <c r="CD149" i="5"/>
  <c r="BZ149" i="5"/>
  <c r="BV149" i="5"/>
  <c r="BR149" i="5"/>
  <c r="BN149" i="5"/>
  <c r="BK149" i="5"/>
  <c r="AY149" i="5"/>
  <c r="AO149" i="5"/>
  <c r="AF149" i="5"/>
  <c r="AB149" i="5"/>
  <c r="AN149" i="5"/>
  <c r="U149" i="5"/>
  <c r="Q149" i="5"/>
  <c r="M149" i="5"/>
  <c r="I149" i="5"/>
  <c r="E149" i="5"/>
  <c r="CM149" i="5"/>
  <c r="CP149" i="5"/>
  <c r="A149" i="5"/>
  <c r="AL149" i="5"/>
  <c r="AR149" i="5"/>
  <c r="BJ149" i="5"/>
  <c r="DE149" i="5"/>
  <c r="DA149" i="5"/>
  <c r="DF149" i="5"/>
  <c r="DB154" i="5"/>
  <c r="CX154" i="5"/>
  <c r="CW154" i="5"/>
  <c r="DF154" i="5"/>
  <c r="CJ107" i="5"/>
  <c r="CF107" i="5"/>
  <c r="CB107" i="5"/>
  <c r="BX107" i="5"/>
  <c r="BT107" i="5"/>
  <c r="BP107" i="5"/>
  <c r="BL107" i="5"/>
  <c r="BG107" i="5"/>
  <c r="AU107" i="5"/>
  <c r="AI107" i="5"/>
  <c r="AD107" i="5"/>
  <c r="Z107" i="5"/>
  <c r="W107" i="5"/>
  <c r="S107" i="5"/>
  <c r="O107" i="5"/>
  <c r="K107" i="5"/>
  <c r="G107" i="5"/>
  <c r="C107" i="5"/>
  <c r="CO107" i="5"/>
  <c r="CQ107" i="5"/>
  <c r="BA107" i="5"/>
  <c r="AH107" i="5"/>
  <c r="AZ107" i="5"/>
  <c r="BF107" i="5"/>
  <c r="DD107" i="5"/>
  <c r="CZ107" i="5"/>
  <c r="DF107" i="5"/>
  <c r="CK107" i="5"/>
  <c r="CE107" i="5"/>
  <c r="CA107" i="5"/>
  <c r="BW107" i="5"/>
  <c r="BS107" i="5"/>
  <c r="BO107" i="5"/>
  <c r="BD107" i="5"/>
  <c r="BC107" i="5"/>
  <c r="AS107" i="5"/>
  <c r="AG107" i="5"/>
  <c r="AC107" i="5"/>
  <c r="Y107" i="5"/>
  <c r="V107" i="5"/>
  <c r="R107" i="5"/>
  <c r="N107" i="5"/>
  <c r="J107" i="5"/>
  <c r="F107" i="5"/>
  <c r="B107" i="5"/>
  <c r="CN107" i="5"/>
  <c r="A107" i="5"/>
  <c r="CV107" i="5"/>
  <c r="AQ107" i="5"/>
  <c r="AJ107" i="5"/>
  <c r="AX107" i="5"/>
  <c r="BE107" i="5"/>
  <c r="DC107" i="5"/>
  <c r="CY107" i="5"/>
  <c r="CW107" i="5"/>
  <c r="CH107" i="5"/>
  <c r="CD107" i="5"/>
  <c r="BZ107" i="5"/>
  <c r="BV107" i="5"/>
  <c r="BR107" i="5"/>
  <c r="BN107" i="5"/>
  <c r="BK107" i="5"/>
  <c r="AY107" i="5"/>
  <c r="AO107" i="5"/>
  <c r="AF107" i="5"/>
  <c r="AB107" i="5"/>
  <c r="AN107" i="5"/>
  <c r="U107" i="5"/>
  <c r="Q107" i="5"/>
  <c r="M107" i="5"/>
  <c r="I107" i="5"/>
  <c r="E107" i="5"/>
  <c r="CM107" i="5"/>
  <c r="CP107" i="5"/>
  <c r="AL107" i="5"/>
  <c r="AR107" i="5"/>
  <c r="BJ107" i="5"/>
  <c r="DB107" i="5"/>
  <c r="CX107" i="5"/>
  <c r="CI107" i="5"/>
  <c r="CG107" i="5"/>
  <c r="CC107" i="5"/>
  <c r="BY107" i="5"/>
  <c r="BU107" i="5"/>
  <c r="BQ107" i="5"/>
  <c r="BM107" i="5"/>
  <c r="BI107" i="5"/>
  <c r="AW107" i="5"/>
  <c r="AK107" i="5"/>
  <c r="AE107" i="5"/>
  <c r="AA107" i="5"/>
  <c r="X107" i="5"/>
  <c r="T107" i="5"/>
  <c r="P107" i="5"/>
  <c r="L107" i="5"/>
  <c r="H107" i="5"/>
  <c r="D107" i="5"/>
  <c r="CL107" i="5"/>
  <c r="CR107" i="5"/>
  <c r="CS107" i="5"/>
  <c r="AM107" i="5"/>
  <c r="AT107" i="5"/>
  <c r="BH107" i="5"/>
  <c r="DE107" i="5"/>
  <c r="DA107" i="5"/>
  <c r="DG107" i="5"/>
  <c r="CH134" i="5"/>
  <c r="CE134" i="5"/>
  <c r="BW134" i="5"/>
  <c r="BO134" i="5"/>
  <c r="BC134" i="5"/>
  <c r="AG134" i="5"/>
  <c r="Y134" i="5"/>
  <c r="R134" i="5"/>
  <c r="J134" i="5"/>
  <c r="B134" i="5"/>
  <c r="AM134" i="5"/>
  <c r="BH134" i="5"/>
  <c r="DA134" i="5"/>
  <c r="CW134" i="5"/>
  <c r="DF134" i="5"/>
  <c r="CI134" i="5"/>
  <c r="CD134" i="5"/>
  <c r="BV134" i="5"/>
  <c r="BN134" i="5"/>
  <c r="AY134" i="5"/>
  <c r="AF134" i="5"/>
  <c r="AN134" i="5"/>
  <c r="Q134" i="5"/>
  <c r="I134" i="5"/>
  <c r="CM134" i="5"/>
  <c r="AH134" i="5"/>
  <c r="BF134" i="5"/>
  <c r="CZ132" i="5"/>
  <c r="BF94" i="5"/>
  <c r="DC94" i="5"/>
  <c r="BZ94" i="5"/>
  <c r="BK94" i="5"/>
  <c r="AB94" i="5"/>
  <c r="M94" i="5"/>
  <c r="CP94" i="5"/>
  <c r="BA94" i="5"/>
  <c r="CE94" i="5"/>
  <c r="BW94" i="5"/>
  <c r="BO94" i="5"/>
  <c r="BC94" i="5"/>
  <c r="AG94" i="5"/>
  <c r="Y94" i="5"/>
  <c r="R94" i="5"/>
  <c r="J94" i="5"/>
  <c r="B94" i="5"/>
  <c r="AH94" i="5"/>
  <c r="BR94" i="5"/>
  <c r="AO94" i="5"/>
  <c r="U94" i="5"/>
  <c r="E94" i="5"/>
  <c r="A94" i="5"/>
  <c r="CH94" i="5"/>
  <c r="CD94" i="5"/>
  <c r="BV94" i="5"/>
  <c r="BN94" i="5"/>
  <c r="AY94" i="5"/>
  <c r="AF94" i="5"/>
  <c r="AN94" i="5"/>
  <c r="Q94" i="5"/>
  <c r="I94" i="5"/>
  <c r="CM94" i="5"/>
  <c r="AZ94" i="5"/>
  <c r="DB162" i="5"/>
  <c r="CX162" i="5"/>
  <c r="CK157" i="5"/>
  <c r="CF157" i="5"/>
  <c r="CA157" i="5"/>
  <c r="BU157" i="5"/>
  <c r="BP157" i="5"/>
  <c r="BD157" i="5"/>
  <c r="AW157" i="5"/>
  <c r="AI157" i="5"/>
  <c r="AC157" i="5"/>
  <c r="X157" i="5"/>
  <c r="S157" i="5"/>
  <c r="N157" i="5"/>
  <c r="H157" i="5"/>
  <c r="C157" i="5"/>
  <c r="CN157" i="5"/>
  <c r="AQ157" i="5"/>
  <c r="AR157" i="5"/>
  <c r="BH157" i="5"/>
  <c r="DA157" i="5"/>
  <c r="CE157" i="5"/>
  <c r="BY157" i="5"/>
  <c r="BT157" i="5"/>
  <c r="BO157" i="5"/>
  <c r="BI157" i="5"/>
  <c r="AU157" i="5"/>
  <c r="AG157" i="5"/>
  <c r="AA157" i="5"/>
  <c r="W157" i="5"/>
  <c r="R157" i="5"/>
  <c r="L157" i="5"/>
  <c r="G157" i="5"/>
  <c r="B157" i="5"/>
  <c r="CQ157" i="5"/>
  <c r="CR157" i="5"/>
  <c r="AL157" i="5"/>
  <c r="AT157" i="5"/>
  <c r="BE157" i="5"/>
  <c r="DE157" i="5"/>
  <c r="CZ157" i="5"/>
  <c r="DA152" i="5"/>
  <c r="DB97" i="5"/>
  <c r="CX97" i="5"/>
  <c r="DE97" i="5"/>
  <c r="DA97" i="5"/>
  <c r="DD97" i="5"/>
  <c r="CZ97" i="5"/>
  <c r="CW97" i="5"/>
  <c r="DC99" i="5"/>
  <c r="CY99" i="5"/>
  <c r="DB101" i="5"/>
  <c r="CX101" i="5"/>
  <c r="DE101" i="5"/>
  <c r="DA101" i="5"/>
  <c r="CW101" i="5"/>
  <c r="CJ103" i="5"/>
  <c r="CE103" i="5"/>
  <c r="CA103" i="5"/>
  <c r="BW103" i="5"/>
  <c r="BS103" i="5"/>
  <c r="BO103" i="5"/>
  <c r="BD103" i="5"/>
  <c r="BC103" i="5"/>
  <c r="AS103" i="5"/>
  <c r="AG103" i="5"/>
  <c r="AC103" i="5"/>
  <c r="Y103" i="5"/>
  <c r="V103" i="5"/>
  <c r="R103" i="5"/>
  <c r="N103" i="5"/>
  <c r="J103" i="5"/>
  <c r="F103" i="5"/>
  <c r="B103" i="5"/>
  <c r="CN103" i="5"/>
  <c r="CR103" i="5"/>
  <c r="AL103" i="5"/>
  <c r="AR103" i="5"/>
  <c r="BJ103" i="5"/>
  <c r="DD103" i="5"/>
  <c r="CZ103" i="5"/>
  <c r="DE103" i="5"/>
  <c r="DA103" i="5"/>
  <c r="CK103" i="5"/>
  <c r="CD103" i="5"/>
  <c r="BZ103" i="5"/>
  <c r="BV103" i="5"/>
  <c r="BR103" i="5"/>
  <c r="BN103" i="5"/>
  <c r="BK103" i="5"/>
  <c r="AY103" i="5"/>
  <c r="AO103" i="5"/>
  <c r="AF103" i="5"/>
  <c r="AB103" i="5"/>
  <c r="AN103" i="5"/>
  <c r="U103" i="5"/>
  <c r="Q103" i="5"/>
  <c r="M103" i="5"/>
  <c r="I103" i="5"/>
  <c r="E103" i="5"/>
  <c r="CM103" i="5"/>
  <c r="CP103" i="5"/>
  <c r="CS103" i="5"/>
  <c r="AM103" i="5"/>
  <c r="AT103" i="5"/>
  <c r="BH103" i="5"/>
  <c r="DC103" i="5"/>
  <c r="CY103" i="5"/>
  <c r="DF103" i="5"/>
  <c r="DG103" i="5"/>
  <c r="CH103" i="5"/>
  <c r="CG103" i="5"/>
  <c r="CC103" i="5"/>
  <c r="BY103" i="5"/>
  <c r="BU103" i="5"/>
  <c r="BQ103" i="5"/>
  <c r="BM103" i="5"/>
  <c r="BI103" i="5"/>
  <c r="AW103" i="5"/>
  <c r="AK103" i="5"/>
  <c r="AE103" i="5"/>
  <c r="AA103" i="5"/>
  <c r="X103" i="5"/>
  <c r="T103" i="5"/>
  <c r="P103" i="5"/>
  <c r="L103" i="5"/>
  <c r="H103" i="5"/>
  <c r="D103" i="5"/>
  <c r="CL103" i="5"/>
  <c r="CQ103" i="5"/>
  <c r="BA103" i="5"/>
  <c r="AH103" i="5"/>
  <c r="AZ103" i="5"/>
  <c r="BF103" i="5"/>
  <c r="DB103" i="5"/>
  <c r="CX103" i="5"/>
  <c r="CW103" i="5"/>
  <c r="DE165" i="5"/>
  <c r="DA165" i="5"/>
  <c r="DF165" i="5"/>
  <c r="DD165" i="5"/>
  <c r="CZ165" i="5"/>
  <c r="DG165" i="5"/>
  <c r="DC141" i="5"/>
  <c r="CY141" i="5"/>
  <c r="CW141" i="5"/>
  <c r="DG141" i="5"/>
  <c r="DE141" i="5"/>
  <c r="DA141" i="5"/>
  <c r="CI105" i="5"/>
  <c r="CG105" i="5"/>
  <c r="CC105" i="5"/>
  <c r="BY105" i="5"/>
  <c r="BU105" i="5"/>
  <c r="BQ105" i="5"/>
  <c r="BM105" i="5"/>
  <c r="BI105" i="5"/>
  <c r="AW105" i="5"/>
  <c r="AK105" i="5"/>
  <c r="AE105" i="5"/>
  <c r="AA105" i="5"/>
  <c r="X105" i="5"/>
  <c r="T105" i="5"/>
  <c r="P105" i="5"/>
  <c r="L105" i="5"/>
  <c r="H105" i="5"/>
  <c r="D105" i="5"/>
  <c r="CL105" i="5"/>
  <c r="A105" i="5"/>
  <c r="CR105" i="5"/>
  <c r="CV105" i="5"/>
  <c r="AL105" i="5"/>
  <c r="AR105" i="5"/>
  <c r="BJ105" i="5"/>
  <c r="DB105" i="5"/>
  <c r="CX105" i="5"/>
  <c r="CW105" i="5"/>
  <c r="DG105" i="5"/>
  <c r="DC105" i="5"/>
  <c r="CY105" i="5"/>
  <c r="CJ105" i="5"/>
  <c r="CF105" i="5"/>
  <c r="CB105" i="5"/>
  <c r="BX105" i="5"/>
  <c r="BT105" i="5"/>
  <c r="BP105" i="5"/>
  <c r="BL105" i="5"/>
  <c r="BG105" i="5"/>
  <c r="AU105" i="5"/>
  <c r="AI105" i="5"/>
  <c r="AD105" i="5"/>
  <c r="Z105" i="5"/>
  <c r="W105" i="5"/>
  <c r="S105" i="5"/>
  <c r="O105" i="5"/>
  <c r="K105" i="5"/>
  <c r="G105" i="5"/>
  <c r="C105" i="5"/>
  <c r="CO105" i="5"/>
  <c r="CS105" i="5"/>
  <c r="AM105" i="5"/>
  <c r="AT105" i="5"/>
  <c r="BH105" i="5"/>
  <c r="DE105" i="5"/>
  <c r="DA105" i="5"/>
  <c r="DF105" i="5"/>
  <c r="CK105" i="5"/>
  <c r="CE105" i="5"/>
  <c r="CA105" i="5"/>
  <c r="BW105" i="5"/>
  <c r="BS105" i="5"/>
  <c r="BO105" i="5"/>
  <c r="BD105" i="5"/>
  <c r="BC105" i="5"/>
  <c r="AS105" i="5"/>
  <c r="AG105" i="5"/>
  <c r="AC105" i="5"/>
  <c r="Y105" i="5"/>
  <c r="V105" i="5"/>
  <c r="R105" i="5"/>
  <c r="N105" i="5"/>
  <c r="J105" i="5"/>
  <c r="F105" i="5"/>
  <c r="B105" i="5"/>
  <c r="CN105" i="5"/>
  <c r="BA105" i="5"/>
  <c r="AH105" i="5"/>
  <c r="AZ105" i="5"/>
  <c r="BF105" i="5"/>
  <c r="DD105" i="5"/>
  <c r="CZ105" i="5"/>
  <c r="DE113" i="5"/>
  <c r="DA113" i="5"/>
  <c r="CW113" i="5"/>
  <c r="DD113" i="5"/>
  <c r="CZ113" i="5"/>
  <c r="DC113" i="5"/>
  <c r="CY113" i="5"/>
  <c r="DF113" i="5"/>
  <c r="DG113" i="5"/>
  <c r="DD95" i="5"/>
  <c r="CZ95" i="5"/>
  <c r="CW95" i="5"/>
  <c r="CG145" i="5"/>
  <c r="CC145" i="5"/>
  <c r="BY145" i="5"/>
  <c r="BU145" i="5"/>
  <c r="BQ145" i="5"/>
  <c r="BM145" i="5"/>
  <c r="BI145" i="5"/>
  <c r="AW145" i="5"/>
  <c r="AK145" i="5"/>
  <c r="AE145" i="5"/>
  <c r="AA145" i="5"/>
  <c r="X145" i="5"/>
  <c r="T145" i="5"/>
  <c r="P145" i="5"/>
  <c r="L145" i="5"/>
  <c r="H145" i="5"/>
  <c r="D145" i="5"/>
  <c r="CL145" i="5"/>
  <c r="CV145" i="5"/>
  <c r="BA145" i="5"/>
  <c r="AH145" i="5"/>
  <c r="AZ145" i="5"/>
  <c r="BF145" i="5"/>
  <c r="CF145" i="5"/>
  <c r="CB145" i="5"/>
  <c r="BX145" i="5"/>
  <c r="BT145" i="5"/>
  <c r="BP145" i="5"/>
  <c r="BL145" i="5"/>
  <c r="BG145" i="5"/>
  <c r="AU145" i="5"/>
  <c r="AI145" i="5"/>
  <c r="AD145" i="5"/>
  <c r="Z145" i="5"/>
  <c r="W145" i="5"/>
  <c r="S145" i="5"/>
  <c r="O145" i="5"/>
  <c r="K145" i="5"/>
  <c r="G145" i="5"/>
  <c r="C145" i="5"/>
  <c r="CO145" i="5"/>
  <c r="CR145" i="5"/>
  <c r="AQ145" i="5"/>
  <c r="AJ145" i="5"/>
  <c r="AX145" i="5"/>
  <c r="BE145" i="5"/>
  <c r="DE145" i="5"/>
  <c r="CI86" i="5"/>
  <c r="CE86" i="5"/>
  <c r="CA86" i="5"/>
  <c r="BW86" i="5"/>
  <c r="BS86" i="5"/>
  <c r="BO86" i="5"/>
  <c r="BD86" i="5"/>
  <c r="BC86" i="5"/>
  <c r="AS86" i="5"/>
  <c r="AG86" i="5"/>
  <c r="AC86" i="5"/>
  <c r="Y86" i="5"/>
  <c r="V86" i="5"/>
  <c r="R86" i="5"/>
  <c r="N86" i="5"/>
  <c r="J86" i="5"/>
  <c r="F86" i="5"/>
  <c r="B86" i="5"/>
  <c r="CN86" i="5"/>
  <c r="A86" i="5"/>
  <c r="BA86" i="5"/>
  <c r="AH86" i="5"/>
  <c r="AZ86" i="5"/>
  <c r="BF86" i="5"/>
  <c r="DC86" i="5"/>
  <c r="CY86" i="5"/>
  <c r="CS86" i="5"/>
  <c r="AM86" i="5"/>
  <c r="AT86" i="5"/>
  <c r="BH86" i="5"/>
  <c r="DD86" i="5"/>
  <c r="CZ86" i="5"/>
  <c r="DF86" i="5"/>
  <c r="CJ86" i="5"/>
  <c r="CD86" i="5"/>
  <c r="BZ86" i="5"/>
  <c r="BV86" i="5"/>
  <c r="BR86" i="5"/>
  <c r="BN86" i="5"/>
  <c r="BK86" i="5"/>
  <c r="AY86" i="5"/>
  <c r="AO86" i="5"/>
  <c r="AF86" i="5"/>
  <c r="AB86" i="5"/>
  <c r="AN86" i="5"/>
  <c r="U86" i="5"/>
  <c r="Q86" i="5"/>
  <c r="M86" i="5"/>
  <c r="I86" i="5"/>
  <c r="E86" i="5"/>
  <c r="CM86" i="5"/>
  <c r="CP86" i="5"/>
  <c r="CR86" i="5"/>
  <c r="AQ86" i="5"/>
  <c r="AJ86" i="5"/>
  <c r="AX86" i="5"/>
  <c r="BE86" i="5"/>
  <c r="DB86" i="5"/>
  <c r="CX86" i="5"/>
  <c r="CW86" i="5"/>
  <c r="DG86" i="5"/>
  <c r="CX143" i="5"/>
  <c r="CI137" i="5"/>
  <c r="CG137" i="5"/>
  <c r="CC137" i="5"/>
  <c r="BY137" i="5"/>
  <c r="BU137" i="5"/>
  <c r="BQ137" i="5"/>
  <c r="BM137" i="5"/>
  <c r="BI137" i="5"/>
  <c r="AW137" i="5"/>
  <c r="AK137" i="5"/>
  <c r="AE137" i="5"/>
  <c r="AA137" i="5"/>
  <c r="X137" i="5"/>
  <c r="T137" i="5"/>
  <c r="P137" i="5"/>
  <c r="L137" i="5"/>
  <c r="H137" i="5"/>
  <c r="D137" i="5"/>
  <c r="CL137" i="5"/>
  <c r="CV137" i="5"/>
  <c r="AQ137" i="5"/>
  <c r="AJ137" i="5"/>
  <c r="AX137" i="5"/>
  <c r="BE137" i="5"/>
  <c r="DA137" i="5"/>
  <c r="DG137" i="5"/>
  <c r="CJ137" i="5"/>
  <c r="CF137" i="5"/>
  <c r="CB137" i="5"/>
  <c r="BX137" i="5"/>
  <c r="BT137" i="5"/>
  <c r="BP137" i="5"/>
  <c r="BL137" i="5"/>
  <c r="BG137" i="5"/>
  <c r="AU137" i="5"/>
  <c r="AI137" i="5"/>
  <c r="AD137" i="5"/>
  <c r="Z137" i="5"/>
  <c r="W137" i="5"/>
  <c r="S137" i="5"/>
  <c r="O137" i="5"/>
  <c r="K137" i="5"/>
  <c r="G137" i="5"/>
  <c r="C137" i="5"/>
  <c r="CO137" i="5"/>
  <c r="AL137" i="5"/>
  <c r="AR137" i="5"/>
  <c r="BJ137" i="5"/>
  <c r="DE137" i="5"/>
  <c r="CY137" i="5"/>
  <c r="CW137" i="5"/>
  <c r="CK117" i="5"/>
  <c r="CB117" i="5"/>
  <c r="BT117" i="5"/>
  <c r="BL117" i="5"/>
  <c r="AU117" i="5"/>
  <c r="AD117" i="5"/>
  <c r="S117" i="5"/>
  <c r="O117" i="5"/>
  <c r="G117" i="5"/>
  <c r="C117" i="5"/>
  <c r="AL117" i="5"/>
  <c r="BJ117" i="5"/>
  <c r="DC117" i="5"/>
  <c r="CH117" i="5"/>
  <c r="CE117" i="5"/>
  <c r="CA117" i="5"/>
  <c r="BW117" i="5"/>
  <c r="BS117" i="5"/>
  <c r="BO117" i="5"/>
  <c r="BD117" i="5"/>
  <c r="BC117" i="5"/>
  <c r="AS117" i="5"/>
  <c r="AG117" i="5"/>
  <c r="AC117" i="5"/>
  <c r="Y117" i="5"/>
  <c r="V117" i="5"/>
  <c r="R117" i="5"/>
  <c r="N117" i="5"/>
  <c r="J117" i="5"/>
  <c r="F117" i="5"/>
  <c r="B117" i="5"/>
  <c r="CN117" i="5"/>
  <c r="CS117" i="5"/>
  <c r="AM117" i="5"/>
  <c r="AT117" i="5"/>
  <c r="BH117" i="5"/>
  <c r="CY117" i="5"/>
  <c r="CF117" i="5"/>
  <c r="BX117" i="5"/>
  <c r="BP117" i="5"/>
  <c r="BG117" i="5"/>
  <c r="AI117" i="5"/>
  <c r="Z117" i="5"/>
  <c r="W117" i="5"/>
  <c r="K117" i="5"/>
  <c r="CO117" i="5"/>
  <c r="A117" i="5"/>
  <c r="CR117" i="5"/>
  <c r="AR117" i="5"/>
  <c r="CI117" i="5"/>
  <c r="CD117" i="5"/>
  <c r="BZ117" i="5"/>
  <c r="BV117" i="5"/>
  <c r="BR117" i="5"/>
  <c r="BN117" i="5"/>
  <c r="BK117" i="5"/>
  <c r="AY117" i="5"/>
  <c r="AO117" i="5"/>
  <c r="AF117" i="5"/>
  <c r="AB117" i="5"/>
  <c r="AN117" i="5"/>
  <c r="U117" i="5"/>
  <c r="Q117" i="5"/>
  <c r="M117" i="5"/>
  <c r="I117" i="5"/>
  <c r="E117" i="5"/>
  <c r="CM117" i="5"/>
  <c r="CP117" i="5"/>
  <c r="CV117" i="5"/>
  <c r="BA117" i="5"/>
  <c r="AH117" i="5"/>
  <c r="AZ117" i="5"/>
  <c r="BF117" i="5"/>
  <c r="DA135" i="5"/>
  <c r="DB135" i="5"/>
  <c r="CJ135" i="5"/>
  <c r="CE135" i="5"/>
  <c r="CA135" i="5"/>
  <c r="BW135" i="5"/>
  <c r="BS135" i="5"/>
  <c r="BO135" i="5"/>
  <c r="BD135" i="5"/>
  <c r="BC135" i="5"/>
  <c r="AS135" i="5"/>
  <c r="AG135" i="5"/>
  <c r="AC135" i="5"/>
  <c r="Y135" i="5"/>
  <c r="V135" i="5"/>
  <c r="R135" i="5"/>
  <c r="N135" i="5"/>
  <c r="J135" i="5"/>
  <c r="F135" i="5"/>
  <c r="B135" i="5"/>
  <c r="CN135" i="5"/>
  <c r="CQ135" i="5"/>
  <c r="CV135" i="5"/>
  <c r="CS135" i="5"/>
  <c r="AM135" i="5"/>
  <c r="AT135" i="5"/>
  <c r="BH135" i="5"/>
  <c r="DE135" i="5"/>
  <c r="CZ135" i="5"/>
  <c r="DG135" i="5"/>
  <c r="CK135" i="5"/>
  <c r="CD135" i="5"/>
  <c r="BZ135" i="5"/>
  <c r="BV135" i="5"/>
  <c r="BR135" i="5"/>
  <c r="BN135" i="5"/>
  <c r="BK135" i="5"/>
  <c r="AY135" i="5"/>
  <c r="AO135" i="5"/>
  <c r="AF135" i="5"/>
  <c r="AB135" i="5"/>
  <c r="AN135" i="5"/>
  <c r="U135" i="5"/>
  <c r="Q135" i="5"/>
  <c r="M135" i="5"/>
  <c r="I135" i="5"/>
  <c r="E135" i="5"/>
  <c r="CM135" i="5"/>
  <c r="CP135" i="5"/>
  <c r="A135" i="5"/>
  <c r="BA135" i="5"/>
  <c r="AH135" i="5"/>
  <c r="AZ135" i="5"/>
  <c r="BF135" i="5"/>
  <c r="DD135" i="5"/>
  <c r="CX135" i="5"/>
  <c r="DB125" i="5"/>
  <c r="CX125" i="5"/>
  <c r="CW125" i="5"/>
  <c r="DC125" i="5"/>
  <c r="DG125" i="5"/>
  <c r="CG129" i="5"/>
  <c r="BQ129" i="5"/>
  <c r="AK129" i="5"/>
  <c r="T129" i="5"/>
  <c r="D129" i="5"/>
  <c r="DB155" i="5"/>
  <c r="CX155" i="5"/>
  <c r="DG155" i="5"/>
  <c r="CJ157" i="5"/>
  <c r="CD157" i="5"/>
  <c r="BZ157" i="5"/>
  <c r="BV157" i="5"/>
  <c r="BR157" i="5"/>
  <c r="BN157" i="5"/>
  <c r="BK157" i="5"/>
  <c r="AY157" i="5"/>
  <c r="AO157" i="5"/>
  <c r="AF157" i="5"/>
  <c r="AB157" i="5"/>
  <c r="AN157" i="5"/>
  <c r="U157" i="5"/>
  <c r="Q157" i="5"/>
  <c r="M157" i="5"/>
  <c r="I157" i="5"/>
  <c r="E157" i="5"/>
  <c r="CM157" i="5"/>
  <c r="CP157" i="5"/>
  <c r="BA157" i="5"/>
  <c r="AH157" i="5"/>
  <c r="AZ157" i="5"/>
  <c r="BF157" i="5"/>
  <c r="DB157" i="5"/>
  <c r="CX157" i="5"/>
  <c r="DF157" i="5"/>
  <c r="CJ94" i="5"/>
  <c r="CG94" i="5"/>
  <c r="CC94" i="5"/>
  <c r="BY94" i="5"/>
  <c r="BU94" i="5"/>
  <c r="BQ94" i="5"/>
  <c r="BM94" i="5"/>
  <c r="BI94" i="5"/>
  <c r="AW94" i="5"/>
  <c r="AK94" i="5"/>
  <c r="AE94" i="5"/>
  <c r="AA94" i="5"/>
  <c r="X94" i="5"/>
  <c r="T94" i="5"/>
  <c r="P94" i="5"/>
  <c r="L94" i="5"/>
  <c r="H94" i="5"/>
  <c r="D94" i="5"/>
  <c r="CL94" i="5"/>
  <c r="AL94" i="5"/>
  <c r="AR94" i="5"/>
  <c r="BJ94" i="5"/>
  <c r="CY94" i="5"/>
  <c r="AQ94" i="5"/>
  <c r="AJ94" i="5"/>
  <c r="AX94" i="5"/>
  <c r="BE94" i="5"/>
  <c r="CZ94" i="5"/>
  <c r="CK94" i="5"/>
  <c r="CF94" i="5"/>
  <c r="CB94" i="5"/>
  <c r="BX94" i="5"/>
  <c r="BT94" i="5"/>
  <c r="BP94" i="5"/>
  <c r="BL94" i="5"/>
  <c r="BG94" i="5"/>
  <c r="AU94" i="5"/>
  <c r="AI94" i="5"/>
  <c r="AD94" i="5"/>
  <c r="Z94" i="5"/>
  <c r="W94" i="5"/>
  <c r="S94" i="5"/>
  <c r="O94" i="5"/>
  <c r="K94" i="5"/>
  <c r="G94" i="5"/>
  <c r="C94" i="5"/>
  <c r="CO94" i="5"/>
  <c r="CQ94" i="5"/>
  <c r="CV94" i="5"/>
  <c r="CS94" i="5"/>
  <c r="AM94" i="5"/>
  <c r="AT94" i="5"/>
  <c r="BH94" i="5"/>
  <c r="DD94" i="5"/>
  <c r="AL115" i="5"/>
  <c r="BJ115" i="5"/>
  <c r="DF115" i="5"/>
  <c r="CI115" i="5"/>
  <c r="CD115" i="5"/>
  <c r="BZ115" i="5"/>
  <c r="BV115" i="5"/>
  <c r="BR115" i="5"/>
  <c r="BN115" i="5"/>
  <c r="BK115" i="5"/>
  <c r="AY115" i="5"/>
  <c r="AO115" i="5"/>
  <c r="AF115" i="5"/>
  <c r="AB115" i="5"/>
  <c r="AN115" i="5"/>
  <c r="U115" i="5"/>
  <c r="Q115" i="5"/>
  <c r="M115" i="5"/>
  <c r="I115" i="5"/>
  <c r="E115" i="5"/>
  <c r="CM115" i="5"/>
  <c r="CP115" i="5"/>
  <c r="CS115" i="5"/>
  <c r="AM115" i="5"/>
  <c r="AT115" i="5"/>
  <c r="BH115" i="5"/>
  <c r="AR115" i="5"/>
  <c r="CJ115" i="5"/>
  <c r="CG115" i="5"/>
  <c r="CC115" i="5"/>
  <c r="BY115" i="5"/>
  <c r="BU115" i="5"/>
  <c r="BQ115" i="5"/>
  <c r="BM115" i="5"/>
  <c r="BI115" i="5"/>
  <c r="AW115" i="5"/>
  <c r="AK115" i="5"/>
  <c r="AE115" i="5"/>
  <c r="AA115" i="5"/>
  <c r="X115" i="5"/>
  <c r="T115" i="5"/>
  <c r="P115" i="5"/>
  <c r="L115" i="5"/>
  <c r="H115" i="5"/>
  <c r="D115" i="5"/>
  <c r="CL115" i="5"/>
  <c r="BA115" i="5"/>
  <c r="AH115" i="5"/>
  <c r="AZ115" i="5"/>
  <c r="BF115" i="5"/>
  <c r="DB115" i="5"/>
  <c r="CW115" i="5"/>
  <c r="DG115" i="5"/>
  <c r="CK115" i="5"/>
  <c r="CF115" i="5"/>
  <c r="CB115" i="5"/>
  <c r="BX115" i="5"/>
  <c r="BT115" i="5"/>
  <c r="BP115" i="5"/>
  <c r="BL115" i="5"/>
  <c r="BG115" i="5"/>
  <c r="AU115" i="5"/>
  <c r="AI115" i="5"/>
  <c r="AD115" i="5"/>
  <c r="Z115" i="5"/>
  <c r="W115" i="5"/>
  <c r="S115" i="5"/>
  <c r="O115" i="5"/>
  <c r="K115" i="5"/>
  <c r="G115" i="5"/>
  <c r="C115" i="5"/>
  <c r="CO115" i="5"/>
  <c r="CQ115" i="5"/>
  <c r="CR115" i="5"/>
  <c r="AQ115" i="5"/>
  <c r="AJ115" i="5"/>
  <c r="AX115" i="5"/>
  <c r="BE115" i="5"/>
  <c r="CX115" i="5"/>
  <c r="AL92" i="5"/>
  <c r="AR92" i="5"/>
  <c r="BJ92" i="5"/>
  <c r="DE92" i="5"/>
  <c r="DA92" i="5"/>
  <c r="DF92" i="5"/>
  <c r="DG92" i="5"/>
  <c r="CG92" i="5"/>
  <c r="CC92" i="5"/>
  <c r="BY92" i="5"/>
  <c r="BU92" i="5"/>
  <c r="BQ92" i="5"/>
  <c r="BM92" i="5"/>
  <c r="BI92" i="5"/>
  <c r="AW92" i="5"/>
  <c r="AK92" i="5"/>
  <c r="AE92" i="5"/>
  <c r="AA92" i="5"/>
  <c r="X92" i="5"/>
  <c r="T92" i="5"/>
  <c r="P92" i="5"/>
  <c r="L92" i="5"/>
  <c r="H92" i="5"/>
  <c r="D92" i="5"/>
  <c r="CL92" i="5"/>
  <c r="CQ92" i="5"/>
  <c r="CV92" i="5"/>
  <c r="CS92" i="5"/>
  <c r="AM92" i="5"/>
  <c r="AT92" i="5"/>
  <c r="BH92" i="5"/>
  <c r="DD92" i="5"/>
  <c r="CZ92" i="5"/>
  <c r="CJ96" i="5"/>
  <c r="CF96" i="5"/>
  <c r="CB96" i="5"/>
  <c r="BX96" i="5"/>
  <c r="BT96" i="5"/>
  <c r="BP96" i="5"/>
  <c r="BL96" i="5"/>
  <c r="BG96" i="5"/>
  <c r="AU96" i="5"/>
  <c r="AI96" i="5"/>
  <c r="AD96" i="5"/>
  <c r="Z96" i="5"/>
  <c r="W96" i="5"/>
  <c r="S96" i="5"/>
  <c r="O96" i="5"/>
  <c r="K96" i="5"/>
  <c r="G96" i="5"/>
  <c r="C96" i="5"/>
  <c r="CO96" i="5"/>
  <c r="AQ96" i="5"/>
  <c r="AJ96" i="5"/>
  <c r="AX96" i="5"/>
  <c r="BE96" i="5"/>
  <c r="DB96" i="5"/>
  <c r="CX96" i="5"/>
  <c r="DF96" i="5"/>
  <c r="BA96" i="5"/>
  <c r="AH96" i="5"/>
  <c r="BF96" i="5"/>
  <c r="DC96" i="5"/>
  <c r="CY96" i="5"/>
  <c r="CK96" i="5"/>
  <c r="CE96" i="5"/>
  <c r="CA96" i="5"/>
  <c r="BW96" i="5"/>
  <c r="BS96" i="5"/>
  <c r="BO96" i="5"/>
  <c r="BD96" i="5"/>
  <c r="BC96" i="5"/>
  <c r="AS96" i="5"/>
  <c r="AG96" i="5"/>
  <c r="AC96" i="5"/>
  <c r="Y96" i="5"/>
  <c r="V96" i="5"/>
  <c r="R96" i="5"/>
  <c r="N96" i="5"/>
  <c r="J96" i="5"/>
  <c r="F96" i="5"/>
  <c r="B96" i="5"/>
  <c r="CN96" i="5"/>
  <c r="CR96" i="5"/>
  <c r="AL96" i="5"/>
  <c r="AR96" i="5"/>
  <c r="BJ96" i="5"/>
  <c r="DE96" i="5"/>
  <c r="DA96" i="5"/>
  <c r="DG96" i="5"/>
  <c r="AZ96" i="5"/>
  <c r="CH96" i="5"/>
  <c r="CD96" i="5"/>
  <c r="BZ96" i="5"/>
  <c r="BV96" i="5"/>
  <c r="BR96" i="5"/>
  <c r="BN96" i="5"/>
  <c r="BK96" i="5"/>
  <c r="AY96" i="5"/>
  <c r="AO96" i="5"/>
  <c r="AF96" i="5"/>
  <c r="AB96" i="5"/>
  <c r="AN96" i="5"/>
  <c r="U96" i="5"/>
  <c r="Q96" i="5"/>
  <c r="M96" i="5"/>
  <c r="I96" i="5"/>
  <c r="E96" i="5"/>
  <c r="CM96" i="5"/>
  <c r="CP96" i="5"/>
  <c r="CQ96" i="5"/>
  <c r="CS96" i="5"/>
  <c r="AM96" i="5"/>
  <c r="AT96" i="5"/>
  <c r="BH96" i="5"/>
  <c r="DD96" i="5"/>
  <c r="CZ96" i="5"/>
  <c r="CW96" i="5"/>
  <c r="DB90" i="5"/>
  <c r="CX90" i="5"/>
  <c r="DF90" i="5"/>
  <c r="DE90" i="5"/>
  <c r="DA90" i="5"/>
  <c r="CW90" i="5"/>
  <c r="DD90" i="5"/>
  <c r="CZ90" i="5"/>
  <c r="DG90" i="5"/>
  <c r="DE156" i="5"/>
  <c r="DA156" i="5"/>
  <c r="DG156" i="5"/>
  <c r="DD156" i="5"/>
  <c r="CZ156" i="5"/>
  <c r="DF156" i="5"/>
  <c r="DB156" i="5"/>
  <c r="CX156" i="5"/>
  <c r="CW156" i="5"/>
  <c r="CJ98" i="5"/>
  <c r="CF98" i="5"/>
  <c r="CB98" i="5"/>
  <c r="BX98" i="5"/>
  <c r="BT98" i="5"/>
  <c r="BP98" i="5"/>
  <c r="BL98" i="5"/>
  <c r="BG98" i="5"/>
  <c r="AU98" i="5"/>
  <c r="AI98" i="5"/>
  <c r="AD98" i="5"/>
  <c r="Z98" i="5"/>
  <c r="W98" i="5"/>
  <c r="S98" i="5"/>
  <c r="O98" i="5"/>
  <c r="K98" i="5"/>
  <c r="G98" i="5"/>
  <c r="C98" i="5"/>
  <c r="CO98" i="5"/>
  <c r="A98" i="5"/>
  <c r="CV98" i="5"/>
  <c r="BA98" i="5"/>
  <c r="AH98" i="5"/>
  <c r="AZ98" i="5"/>
  <c r="BF98" i="5"/>
  <c r="DE98" i="5"/>
  <c r="DA98" i="5"/>
  <c r="DB98" i="5"/>
  <c r="CX98" i="5"/>
  <c r="DF98" i="5"/>
  <c r="DG98" i="5"/>
  <c r="CK98" i="5"/>
  <c r="CE98" i="5"/>
  <c r="CA98" i="5"/>
  <c r="BW98" i="5"/>
  <c r="BS98" i="5"/>
  <c r="BO98" i="5"/>
  <c r="BD98" i="5"/>
  <c r="BC98" i="5"/>
  <c r="AS98" i="5"/>
  <c r="AG98" i="5"/>
  <c r="AC98" i="5"/>
  <c r="Y98" i="5"/>
  <c r="V98" i="5"/>
  <c r="R98" i="5"/>
  <c r="N98" i="5"/>
  <c r="J98" i="5"/>
  <c r="F98" i="5"/>
  <c r="B98" i="5"/>
  <c r="CN98" i="5"/>
  <c r="CR98" i="5"/>
  <c r="AQ98" i="5"/>
  <c r="AJ98" i="5"/>
  <c r="AX98" i="5"/>
  <c r="BE98" i="5"/>
  <c r="DD98" i="5"/>
  <c r="CZ98" i="5"/>
  <c r="DD137" i="5"/>
  <c r="CZ137" i="5"/>
  <c r="DE108" i="5"/>
  <c r="DA108" i="5"/>
  <c r="DD108" i="5"/>
  <c r="CZ108" i="5"/>
  <c r="CW108" i="5"/>
  <c r="DB108" i="5"/>
  <c r="CX108" i="5"/>
  <c r="DF108" i="5"/>
  <c r="DG108" i="5"/>
  <c r="DA133" i="5"/>
  <c r="DF133" i="5"/>
  <c r="CZ100" i="5"/>
  <c r="DD100" i="5"/>
  <c r="CY100" i="5"/>
  <c r="CW100" i="5"/>
  <c r="DF100" i="5"/>
  <c r="DE162" i="5"/>
  <c r="DA162" i="5"/>
  <c r="CW162" i="5"/>
  <c r="DF162" i="5"/>
  <c r="DD162" i="5"/>
  <c r="CZ162" i="5"/>
  <c r="DC162" i="5"/>
  <c r="CY162" i="5"/>
  <c r="AL127" i="5"/>
  <c r="AR127" i="5"/>
  <c r="BJ127" i="5"/>
  <c r="DE127" i="5"/>
  <c r="CJ127" i="5"/>
  <c r="CF127" i="5"/>
  <c r="CB127" i="5"/>
  <c r="BX127" i="5"/>
  <c r="BT127" i="5"/>
  <c r="BP127" i="5"/>
  <c r="BL127" i="5"/>
  <c r="BG127" i="5"/>
  <c r="AU127" i="5"/>
  <c r="AI127" i="5"/>
  <c r="AD127" i="5"/>
  <c r="Z127" i="5"/>
  <c r="W127" i="5"/>
  <c r="S127" i="5"/>
  <c r="O127" i="5"/>
  <c r="K127" i="5"/>
  <c r="G127" i="5"/>
  <c r="C127" i="5"/>
  <c r="CO127" i="5"/>
  <c r="CS127" i="5"/>
  <c r="AM127" i="5"/>
  <c r="AT127" i="5"/>
  <c r="BH127" i="5"/>
  <c r="DA127" i="5"/>
  <c r="CK127" i="5"/>
  <c r="CE127" i="5"/>
  <c r="CA127" i="5"/>
  <c r="BW127" i="5"/>
  <c r="BS127" i="5"/>
  <c r="BO127" i="5"/>
  <c r="BD127" i="5"/>
  <c r="BC127" i="5"/>
  <c r="AS127" i="5"/>
  <c r="AG127" i="5"/>
  <c r="AC127" i="5"/>
  <c r="Y127" i="5"/>
  <c r="V127" i="5"/>
  <c r="R127" i="5"/>
  <c r="N127" i="5"/>
  <c r="J127" i="5"/>
  <c r="F127" i="5"/>
  <c r="B127" i="5"/>
  <c r="CN127" i="5"/>
  <c r="CV127" i="5"/>
  <c r="BA127" i="5"/>
  <c r="AH127" i="5"/>
  <c r="AZ127" i="5"/>
  <c r="BF127" i="5"/>
  <c r="CY127" i="5"/>
  <c r="DE143" i="5"/>
  <c r="DA143" i="5"/>
  <c r="CW143" i="5"/>
  <c r="DF143" i="5"/>
  <c r="DD143" i="5"/>
  <c r="CZ143" i="5"/>
  <c r="DG143" i="5"/>
  <c r="DC143" i="5"/>
  <c r="CY143" i="5"/>
  <c r="DB145" i="5"/>
  <c r="CX145" i="5"/>
  <c r="DD145" i="5"/>
  <c r="CZ145" i="5"/>
  <c r="DF145" i="5"/>
  <c r="DC145" i="5"/>
  <c r="CY145" i="5"/>
  <c r="DG145" i="5"/>
  <c r="DB117" i="5"/>
  <c r="CX117" i="5"/>
  <c r="DG117" i="5"/>
  <c r="DE117" i="5"/>
  <c r="DA117" i="5"/>
  <c r="CW117" i="5"/>
  <c r="DF117" i="5"/>
  <c r="DD117" i="5"/>
  <c r="CZ117" i="5"/>
  <c r="DE115" i="5"/>
  <c r="DA115" i="5"/>
  <c r="DD115" i="5"/>
  <c r="CZ115" i="5"/>
  <c r="DC115" i="5"/>
  <c r="CY115" i="5"/>
  <c r="DE80" i="5"/>
  <c r="DA80" i="5"/>
  <c r="DF80" i="5"/>
  <c r="DC80" i="5"/>
  <c r="CY80" i="5"/>
  <c r="DG80" i="5"/>
  <c r="DB80" i="5"/>
  <c r="CX80" i="5"/>
  <c r="CW80" i="5"/>
  <c r="DD121" i="5"/>
  <c r="CW121" i="5"/>
  <c r="CZ121" i="5"/>
  <c r="DE170" i="5"/>
  <c r="DA170" i="5"/>
  <c r="DD170" i="5"/>
  <c r="CZ170" i="5"/>
  <c r="CW158" i="5"/>
  <c r="CH158" i="5"/>
  <c r="CF158" i="5"/>
  <c r="BX158" i="5"/>
  <c r="BP158" i="5"/>
  <c r="BG158" i="5"/>
  <c r="AI158" i="5"/>
  <c r="Z158" i="5"/>
  <c r="S158" i="5"/>
  <c r="K158" i="5"/>
  <c r="C158" i="5"/>
  <c r="AH158" i="5"/>
  <c r="BF158" i="5"/>
  <c r="DD158" i="5"/>
  <c r="CI158" i="5"/>
  <c r="CE158" i="5"/>
  <c r="CA158" i="5"/>
  <c r="BW158" i="5"/>
  <c r="BS158" i="5"/>
  <c r="BO158" i="5"/>
  <c r="BD158" i="5"/>
  <c r="BC158" i="5"/>
  <c r="AS158" i="5"/>
  <c r="AG158" i="5"/>
  <c r="AC158" i="5"/>
  <c r="Y158" i="5"/>
  <c r="V158" i="5"/>
  <c r="R158" i="5"/>
  <c r="N158" i="5"/>
  <c r="J158" i="5"/>
  <c r="F158" i="5"/>
  <c r="B158" i="5"/>
  <c r="CN158" i="5"/>
  <c r="CQ158" i="5"/>
  <c r="AQ158" i="5"/>
  <c r="AJ158" i="5"/>
  <c r="AX158" i="5"/>
  <c r="BE158" i="5"/>
  <c r="DC158" i="5"/>
  <c r="CY158" i="5"/>
  <c r="DF158" i="5"/>
  <c r="DG158" i="5"/>
  <c r="CB158" i="5"/>
  <c r="BT158" i="5"/>
  <c r="BL158" i="5"/>
  <c r="AU158" i="5"/>
  <c r="AD158" i="5"/>
  <c r="W158" i="5"/>
  <c r="O158" i="5"/>
  <c r="G158" i="5"/>
  <c r="CO158" i="5"/>
  <c r="CV158" i="5"/>
  <c r="BA158" i="5"/>
  <c r="AZ158" i="5"/>
  <c r="CZ158" i="5"/>
  <c r="CJ158" i="5"/>
  <c r="CD158" i="5"/>
  <c r="BZ158" i="5"/>
  <c r="BV158" i="5"/>
  <c r="BR158" i="5"/>
  <c r="BN158" i="5"/>
  <c r="BK158" i="5"/>
  <c r="AY158" i="5"/>
  <c r="AO158" i="5"/>
  <c r="AF158" i="5"/>
  <c r="AB158" i="5"/>
  <c r="AN158" i="5"/>
  <c r="U158" i="5"/>
  <c r="Q158" i="5"/>
  <c r="M158" i="5"/>
  <c r="I158" i="5"/>
  <c r="E158" i="5"/>
  <c r="CM158" i="5"/>
  <c r="CP158" i="5"/>
  <c r="A158" i="5"/>
  <c r="CR158" i="5"/>
  <c r="AL158" i="5"/>
  <c r="AR158" i="5"/>
  <c r="BJ158" i="5"/>
  <c r="DB158" i="5"/>
  <c r="CX158" i="5"/>
  <c r="BA126" i="5"/>
  <c r="BF126" i="5"/>
  <c r="CI126" i="5"/>
  <c r="CE126" i="5"/>
  <c r="CA126" i="5"/>
  <c r="BW126" i="5"/>
  <c r="BS126" i="5"/>
  <c r="BO126" i="5"/>
  <c r="BD126" i="5"/>
  <c r="BC126" i="5"/>
  <c r="AS126" i="5"/>
  <c r="AG126" i="5"/>
  <c r="AC126" i="5"/>
  <c r="Y126" i="5"/>
  <c r="V126" i="5"/>
  <c r="R126" i="5"/>
  <c r="N126" i="5"/>
  <c r="J126" i="5"/>
  <c r="F126" i="5"/>
  <c r="B126" i="5"/>
  <c r="CN126" i="5"/>
  <c r="A126" i="5"/>
  <c r="AQ126" i="5"/>
  <c r="AJ126" i="5"/>
  <c r="AX126" i="5"/>
  <c r="BE126" i="5"/>
  <c r="AH126" i="5"/>
  <c r="AZ126" i="5"/>
  <c r="CW126" i="5"/>
  <c r="CJ126" i="5"/>
  <c r="CD126" i="5"/>
  <c r="BZ126" i="5"/>
  <c r="BV126" i="5"/>
  <c r="BR126" i="5"/>
  <c r="BN126" i="5"/>
  <c r="BK126" i="5"/>
  <c r="AY126" i="5"/>
  <c r="AO126" i="5"/>
  <c r="AF126" i="5"/>
  <c r="AB126" i="5"/>
  <c r="AN126" i="5"/>
  <c r="U126" i="5"/>
  <c r="Q126" i="5"/>
  <c r="M126" i="5"/>
  <c r="I126" i="5"/>
  <c r="E126" i="5"/>
  <c r="CM126" i="5"/>
  <c r="CP126" i="5"/>
  <c r="CR126" i="5"/>
  <c r="CV126" i="5"/>
  <c r="AL126" i="5"/>
  <c r="AR126" i="5"/>
  <c r="BJ126" i="5"/>
  <c r="CK126" i="5"/>
  <c r="CG126" i="5"/>
  <c r="CC126" i="5"/>
  <c r="BY126" i="5"/>
  <c r="BU126" i="5"/>
  <c r="BQ126" i="5"/>
  <c r="BM126" i="5"/>
  <c r="BI126" i="5"/>
  <c r="AW126" i="5"/>
  <c r="AK126" i="5"/>
  <c r="AE126" i="5"/>
  <c r="AA126" i="5"/>
  <c r="X126" i="5"/>
  <c r="T126" i="5"/>
  <c r="P126" i="5"/>
  <c r="L126" i="5"/>
  <c r="H126" i="5"/>
  <c r="D126" i="5"/>
  <c r="CL126" i="5"/>
  <c r="CS126" i="5"/>
  <c r="AM126" i="5"/>
  <c r="AT126" i="5"/>
  <c r="BH126" i="5"/>
  <c r="DC126" i="5"/>
  <c r="DB132" i="5"/>
  <c r="CW132" i="5"/>
  <c r="DA132" i="5"/>
  <c r="DF132" i="5"/>
  <c r="DG132" i="5"/>
  <c r="CH130" i="5"/>
  <c r="CE130" i="5"/>
  <c r="CA130" i="5"/>
  <c r="BW130" i="5"/>
  <c r="BS130" i="5"/>
  <c r="BO130" i="5"/>
  <c r="BD130" i="5"/>
  <c r="BC130" i="5"/>
  <c r="AS130" i="5"/>
  <c r="AG130" i="5"/>
  <c r="AC130" i="5"/>
  <c r="Y130" i="5"/>
  <c r="V130" i="5"/>
  <c r="R130" i="5"/>
  <c r="N130" i="5"/>
  <c r="J130" i="5"/>
  <c r="F130" i="5"/>
  <c r="B130" i="5"/>
  <c r="CN130" i="5"/>
  <c r="CV130" i="5"/>
  <c r="AQ130" i="5"/>
  <c r="AJ130" i="5"/>
  <c r="AX130" i="5"/>
  <c r="BE130" i="5"/>
  <c r="DF130" i="5"/>
  <c r="CI130" i="5"/>
  <c r="CD130" i="5"/>
  <c r="BZ130" i="5"/>
  <c r="BV130" i="5"/>
  <c r="BR130" i="5"/>
  <c r="BN130" i="5"/>
  <c r="BK130" i="5"/>
  <c r="AY130" i="5"/>
  <c r="AO130" i="5"/>
  <c r="AF130" i="5"/>
  <c r="AB130" i="5"/>
  <c r="AN130" i="5"/>
  <c r="U130" i="5"/>
  <c r="Q130" i="5"/>
  <c r="M130" i="5"/>
  <c r="I130" i="5"/>
  <c r="E130" i="5"/>
  <c r="CM130" i="5"/>
  <c r="CP130" i="5"/>
  <c r="AL130" i="5"/>
  <c r="AR130" i="5"/>
  <c r="BJ130" i="5"/>
  <c r="DG130" i="5"/>
  <c r="CJ130" i="5"/>
  <c r="CG130" i="5"/>
  <c r="CC130" i="5"/>
  <c r="BY130" i="5"/>
  <c r="BU130" i="5"/>
  <c r="BQ130" i="5"/>
  <c r="BM130" i="5"/>
  <c r="BI130" i="5"/>
  <c r="AW130" i="5"/>
  <c r="AK130" i="5"/>
  <c r="AE130" i="5"/>
  <c r="AA130" i="5"/>
  <c r="X130" i="5"/>
  <c r="T130" i="5"/>
  <c r="P130" i="5"/>
  <c r="L130" i="5"/>
  <c r="H130" i="5"/>
  <c r="D130" i="5"/>
  <c r="CL130" i="5"/>
  <c r="CQ130" i="5"/>
  <c r="CS130" i="5"/>
  <c r="AM130" i="5"/>
  <c r="AT130" i="5"/>
  <c r="BH130" i="5"/>
  <c r="DC128" i="5"/>
  <c r="CD139" i="5"/>
  <c r="BZ139" i="5"/>
  <c r="BV139" i="5"/>
  <c r="BR139" i="5"/>
  <c r="BN139" i="5"/>
  <c r="BK139" i="5"/>
  <c r="AY139" i="5"/>
  <c r="AO139" i="5"/>
  <c r="AF139" i="5"/>
  <c r="AB139" i="5"/>
  <c r="AN139" i="5"/>
  <c r="U139" i="5"/>
  <c r="Q139" i="5"/>
  <c r="M139" i="5"/>
  <c r="I139" i="5"/>
  <c r="E139" i="5"/>
  <c r="CM139" i="5"/>
  <c r="CP139" i="5"/>
  <c r="CR139" i="5"/>
  <c r="CS139" i="5"/>
  <c r="AM139" i="5"/>
  <c r="AT139" i="5"/>
  <c r="BH139" i="5"/>
  <c r="DD139" i="5"/>
  <c r="CZ139" i="5"/>
  <c r="DF139" i="5"/>
  <c r="DE139" i="5"/>
  <c r="DA139" i="5"/>
  <c r="CG139" i="5"/>
  <c r="CC139" i="5"/>
  <c r="BY139" i="5"/>
  <c r="BU139" i="5"/>
  <c r="BQ139" i="5"/>
  <c r="BM139" i="5"/>
  <c r="BI139" i="5"/>
  <c r="AW139" i="5"/>
  <c r="AK139" i="5"/>
  <c r="AE139" i="5"/>
  <c r="AA139" i="5"/>
  <c r="X139" i="5"/>
  <c r="T139" i="5"/>
  <c r="P139" i="5"/>
  <c r="L139" i="5"/>
  <c r="H139" i="5"/>
  <c r="D139" i="5"/>
  <c r="CL139" i="5"/>
  <c r="CQ139" i="5"/>
  <c r="BA139" i="5"/>
  <c r="AH139" i="5"/>
  <c r="AZ139" i="5"/>
  <c r="BF139" i="5"/>
  <c r="DC139" i="5"/>
  <c r="CY139" i="5"/>
  <c r="CW139" i="5"/>
  <c r="DG139" i="5"/>
  <c r="CK139" i="5"/>
  <c r="CH139" i="5"/>
  <c r="CI139" i="5"/>
  <c r="CF139" i="5"/>
  <c r="CB139" i="5"/>
  <c r="BX139" i="5"/>
  <c r="BT139" i="5"/>
  <c r="BP139" i="5"/>
  <c r="BL139" i="5"/>
  <c r="BG139" i="5"/>
  <c r="AU139" i="5"/>
  <c r="AI139" i="5"/>
  <c r="AD139" i="5"/>
  <c r="Z139" i="5"/>
  <c r="W139" i="5"/>
  <c r="S139" i="5"/>
  <c r="O139" i="5"/>
  <c r="K139" i="5"/>
  <c r="G139" i="5"/>
  <c r="C139" i="5"/>
  <c r="CO139" i="5"/>
  <c r="A139" i="5"/>
  <c r="AQ139" i="5"/>
  <c r="AJ139" i="5"/>
  <c r="AX139" i="5"/>
  <c r="BE139" i="5"/>
  <c r="DB139" i="5"/>
  <c r="CX139" i="5"/>
  <c r="CA142" i="5"/>
  <c r="BD142" i="5"/>
  <c r="AC142" i="5"/>
  <c r="N142" i="5"/>
  <c r="CN142" i="5"/>
  <c r="BW142" i="5"/>
  <c r="BC142" i="5"/>
  <c r="Y142" i="5"/>
  <c r="J142" i="5"/>
  <c r="CR142" i="5"/>
  <c r="CK142" i="5"/>
  <c r="BS142" i="5"/>
  <c r="AS142" i="5"/>
  <c r="V142" i="5"/>
  <c r="F142" i="5"/>
  <c r="DB133" i="5"/>
  <c r="DE133" i="5"/>
  <c r="CZ133" i="5"/>
  <c r="DF146" i="5"/>
  <c r="DG146" i="5"/>
  <c r="BZ146" i="5"/>
  <c r="BR146" i="5"/>
  <c r="BK146" i="5"/>
  <c r="AF146" i="5"/>
  <c r="AN146" i="5"/>
  <c r="U146" i="5"/>
  <c r="M146" i="5"/>
  <c r="I146" i="5"/>
  <c r="E146" i="5"/>
  <c r="CM146" i="5"/>
  <c r="AQ146" i="5"/>
  <c r="AJ146" i="5"/>
  <c r="AX146" i="5"/>
  <c r="BE146" i="5"/>
  <c r="DC146" i="5"/>
  <c r="CY146" i="5"/>
  <c r="CK146" i="5"/>
  <c r="CG146" i="5"/>
  <c r="CC146" i="5"/>
  <c r="BY146" i="5"/>
  <c r="BU146" i="5"/>
  <c r="BQ146" i="5"/>
  <c r="BM146" i="5"/>
  <c r="BI146" i="5"/>
  <c r="AW146" i="5"/>
  <c r="AK146" i="5"/>
  <c r="AE146" i="5"/>
  <c r="AA146" i="5"/>
  <c r="X146" i="5"/>
  <c r="T146" i="5"/>
  <c r="P146" i="5"/>
  <c r="L146" i="5"/>
  <c r="H146" i="5"/>
  <c r="D146" i="5"/>
  <c r="CL146" i="5"/>
  <c r="CR146" i="5"/>
  <c r="AL146" i="5"/>
  <c r="AR146" i="5"/>
  <c r="BJ146" i="5"/>
  <c r="DB146" i="5"/>
  <c r="CX146" i="5"/>
  <c r="CJ146" i="5"/>
  <c r="CD146" i="5"/>
  <c r="BV146" i="5"/>
  <c r="BN146" i="5"/>
  <c r="AY146" i="5"/>
  <c r="AO146" i="5"/>
  <c r="AB146" i="5"/>
  <c r="Q146" i="5"/>
  <c r="CP146" i="5"/>
  <c r="CH146" i="5"/>
  <c r="CF146" i="5"/>
  <c r="CB146" i="5"/>
  <c r="BX146" i="5"/>
  <c r="BT146" i="5"/>
  <c r="BP146" i="5"/>
  <c r="BL146" i="5"/>
  <c r="BG146" i="5"/>
  <c r="AU146" i="5"/>
  <c r="AI146" i="5"/>
  <c r="AD146" i="5"/>
  <c r="Z146" i="5"/>
  <c r="W146" i="5"/>
  <c r="S146" i="5"/>
  <c r="O146" i="5"/>
  <c r="K146" i="5"/>
  <c r="G146" i="5"/>
  <c r="C146" i="5"/>
  <c r="CO146" i="5"/>
  <c r="CQ146" i="5"/>
  <c r="CV146" i="5"/>
  <c r="CS146" i="5"/>
  <c r="AM146" i="5"/>
  <c r="AT146" i="5"/>
  <c r="BH146" i="5"/>
  <c r="DE146" i="5"/>
  <c r="DA146" i="5"/>
  <c r="CW146" i="5"/>
  <c r="DB160" i="5"/>
  <c r="CX160" i="5"/>
  <c r="DE160" i="5"/>
  <c r="DA160" i="5"/>
  <c r="CW160" i="5"/>
  <c r="DE131" i="5"/>
  <c r="DA131" i="5"/>
  <c r="DG131" i="5"/>
  <c r="DF112" i="5"/>
  <c r="CI112" i="5"/>
  <c r="CD112" i="5"/>
  <c r="BZ112" i="5"/>
  <c r="BV112" i="5"/>
  <c r="BR112" i="5"/>
  <c r="BN112" i="5"/>
  <c r="BK112" i="5"/>
  <c r="AY112" i="5"/>
  <c r="AO112" i="5"/>
  <c r="AF112" i="5"/>
  <c r="AB112" i="5"/>
  <c r="AN112" i="5"/>
  <c r="U112" i="5"/>
  <c r="Q112" i="5"/>
  <c r="M112" i="5"/>
  <c r="I112" i="5"/>
  <c r="E112" i="5"/>
  <c r="CM112" i="5"/>
  <c r="CP112" i="5"/>
  <c r="CR112" i="5"/>
  <c r="AQ112" i="5"/>
  <c r="AJ112" i="5"/>
  <c r="AX112" i="5"/>
  <c r="BE112" i="5"/>
  <c r="DE112" i="5"/>
  <c r="CW112" i="5"/>
  <c r="CJ112" i="5"/>
  <c r="CG112" i="5"/>
  <c r="CC112" i="5"/>
  <c r="BY112" i="5"/>
  <c r="BU112" i="5"/>
  <c r="BQ112" i="5"/>
  <c r="BM112" i="5"/>
  <c r="BI112" i="5"/>
  <c r="AW112" i="5"/>
  <c r="AK112" i="5"/>
  <c r="AE112" i="5"/>
  <c r="AA112" i="5"/>
  <c r="X112" i="5"/>
  <c r="T112" i="5"/>
  <c r="P112" i="5"/>
  <c r="L112" i="5"/>
  <c r="H112" i="5"/>
  <c r="D112" i="5"/>
  <c r="CL112" i="5"/>
  <c r="CV112" i="5"/>
  <c r="AL112" i="5"/>
  <c r="AR112" i="5"/>
  <c r="BJ112" i="5"/>
  <c r="DB112" i="5"/>
  <c r="CK112" i="5"/>
  <c r="CF112" i="5"/>
  <c r="CB112" i="5"/>
  <c r="BX112" i="5"/>
  <c r="BT112" i="5"/>
  <c r="BP112" i="5"/>
  <c r="BL112" i="5"/>
  <c r="BG112" i="5"/>
  <c r="AU112" i="5"/>
  <c r="AI112" i="5"/>
  <c r="AD112" i="5"/>
  <c r="Z112" i="5"/>
  <c r="W112" i="5"/>
  <c r="S112" i="5"/>
  <c r="O112" i="5"/>
  <c r="K112" i="5"/>
  <c r="G112" i="5"/>
  <c r="C112" i="5"/>
  <c r="CO112" i="5"/>
  <c r="CQ112" i="5"/>
  <c r="CS112" i="5"/>
  <c r="AM112" i="5"/>
  <c r="AT112" i="5"/>
  <c r="BH112" i="5"/>
  <c r="DA112" i="5"/>
  <c r="CZ150" i="5"/>
  <c r="DG150" i="5"/>
  <c r="DD150" i="5"/>
  <c r="CY150" i="5"/>
  <c r="DB150" i="5"/>
  <c r="DC127" i="5"/>
  <c r="CX127" i="5"/>
  <c r="DB127" i="5"/>
  <c r="DG127" i="5"/>
  <c r="AQ116" i="5"/>
  <c r="AJ116" i="5"/>
  <c r="AX116" i="5"/>
  <c r="BE116" i="5"/>
  <c r="DB116" i="5"/>
  <c r="CX116" i="5"/>
  <c r="CW116" i="5"/>
  <c r="DF116" i="5"/>
  <c r="CR116" i="5"/>
  <c r="AL116" i="5"/>
  <c r="AR116" i="5"/>
  <c r="BJ116" i="5"/>
  <c r="DE116" i="5"/>
  <c r="DA116" i="5"/>
  <c r="DC114" i="5"/>
  <c r="CY114" i="5"/>
  <c r="CD142" i="5"/>
  <c r="BZ142" i="5"/>
  <c r="BV142" i="5"/>
  <c r="BR142" i="5"/>
  <c r="BN142" i="5"/>
  <c r="BK142" i="5"/>
  <c r="AY142" i="5"/>
  <c r="AO142" i="5"/>
  <c r="AF142" i="5"/>
  <c r="AB142" i="5"/>
  <c r="AN142" i="5"/>
  <c r="U142" i="5"/>
  <c r="Q142" i="5"/>
  <c r="M142" i="5"/>
  <c r="I142" i="5"/>
  <c r="E142" i="5"/>
  <c r="CM142" i="5"/>
  <c r="CP142" i="5"/>
  <c r="CS142" i="5"/>
  <c r="AM142" i="5"/>
  <c r="AT142" i="5"/>
  <c r="BH142" i="5"/>
  <c r="DB142" i="5"/>
  <c r="AL142" i="5"/>
  <c r="BJ142" i="5"/>
  <c r="CX142" i="5"/>
  <c r="CH142" i="5"/>
  <c r="CI142" i="5"/>
  <c r="CG142" i="5"/>
  <c r="CC142" i="5"/>
  <c r="BY142" i="5"/>
  <c r="BU142" i="5"/>
  <c r="BQ142" i="5"/>
  <c r="BM142" i="5"/>
  <c r="BI142" i="5"/>
  <c r="AW142" i="5"/>
  <c r="AK142" i="5"/>
  <c r="AE142" i="5"/>
  <c r="AA142" i="5"/>
  <c r="X142" i="5"/>
  <c r="T142" i="5"/>
  <c r="P142" i="5"/>
  <c r="L142" i="5"/>
  <c r="H142" i="5"/>
  <c r="D142" i="5"/>
  <c r="CL142" i="5"/>
  <c r="BA142" i="5"/>
  <c r="AH142" i="5"/>
  <c r="AZ142" i="5"/>
  <c r="BF142" i="5"/>
  <c r="CZ142" i="5"/>
  <c r="CW142" i="5"/>
  <c r="AR142" i="5"/>
  <c r="DC142" i="5"/>
  <c r="CJ142" i="5"/>
  <c r="CF142" i="5"/>
  <c r="CB142" i="5"/>
  <c r="BX142" i="5"/>
  <c r="BT142" i="5"/>
  <c r="BP142" i="5"/>
  <c r="BL142" i="5"/>
  <c r="BG142" i="5"/>
  <c r="AU142" i="5"/>
  <c r="AI142" i="5"/>
  <c r="AD142" i="5"/>
  <c r="Z142" i="5"/>
  <c r="W142" i="5"/>
  <c r="S142" i="5"/>
  <c r="O142" i="5"/>
  <c r="K142" i="5"/>
  <c r="G142" i="5"/>
  <c r="C142" i="5"/>
  <c r="CO142" i="5"/>
  <c r="CQ142" i="5"/>
  <c r="CV142" i="5"/>
  <c r="AQ142" i="5"/>
  <c r="AJ142" i="5"/>
  <c r="AX142" i="5"/>
  <c r="BE142" i="5"/>
  <c r="DD142" i="5"/>
  <c r="CY142" i="5"/>
  <c r="CZ125" i="5"/>
  <c r="DF125" i="5"/>
  <c r="DD125" i="5"/>
  <c r="CY125" i="5"/>
  <c r="DD140" i="5"/>
  <c r="CY140" i="5"/>
  <c r="DC140" i="5"/>
  <c r="CX140" i="5"/>
  <c r="AL129" i="5"/>
  <c r="AR129" i="5"/>
  <c r="BJ129" i="5"/>
  <c r="DE129" i="5"/>
  <c r="DA129" i="5"/>
  <c r="DF129" i="5"/>
  <c r="CI129" i="5"/>
  <c r="CF129" i="5"/>
  <c r="CB129" i="5"/>
  <c r="BX129" i="5"/>
  <c r="BT129" i="5"/>
  <c r="BP129" i="5"/>
  <c r="BL129" i="5"/>
  <c r="BG129" i="5"/>
  <c r="AU129" i="5"/>
  <c r="AI129" i="5"/>
  <c r="AD129" i="5"/>
  <c r="Z129" i="5"/>
  <c r="W129" i="5"/>
  <c r="S129" i="5"/>
  <c r="O129" i="5"/>
  <c r="K129" i="5"/>
  <c r="G129" i="5"/>
  <c r="C129" i="5"/>
  <c r="CO129" i="5"/>
  <c r="CQ129" i="5"/>
  <c r="CV129" i="5"/>
  <c r="CS129" i="5"/>
  <c r="AM129" i="5"/>
  <c r="AT129" i="5"/>
  <c r="BH129" i="5"/>
  <c r="DD129" i="5"/>
  <c r="CZ129" i="5"/>
  <c r="CW129" i="5"/>
  <c r="DG129" i="5"/>
  <c r="CJ129" i="5"/>
  <c r="CE129" i="5"/>
  <c r="CA129" i="5"/>
  <c r="BW129" i="5"/>
  <c r="BS129" i="5"/>
  <c r="BO129" i="5"/>
  <c r="BD129" i="5"/>
  <c r="BC129" i="5"/>
  <c r="AS129" i="5"/>
  <c r="AG129" i="5"/>
  <c r="AC129" i="5"/>
  <c r="Y129" i="5"/>
  <c r="V129" i="5"/>
  <c r="R129" i="5"/>
  <c r="N129" i="5"/>
  <c r="J129" i="5"/>
  <c r="F129" i="5"/>
  <c r="B129" i="5"/>
  <c r="CN129" i="5"/>
  <c r="A129" i="5"/>
  <c r="BA129" i="5"/>
  <c r="AH129" i="5"/>
  <c r="AZ129" i="5"/>
  <c r="BF129" i="5"/>
  <c r="DC129" i="5"/>
  <c r="CY129" i="5"/>
  <c r="CK129" i="5"/>
  <c r="CD129" i="5"/>
  <c r="BZ129" i="5"/>
  <c r="BV129" i="5"/>
  <c r="BR129" i="5"/>
  <c r="BN129" i="5"/>
  <c r="BK129" i="5"/>
  <c r="AY129" i="5"/>
  <c r="AO129" i="5"/>
  <c r="AF129" i="5"/>
  <c r="AB129" i="5"/>
  <c r="AN129" i="5"/>
  <c r="U129" i="5"/>
  <c r="Q129" i="5"/>
  <c r="M129" i="5"/>
  <c r="I129" i="5"/>
  <c r="E129" i="5"/>
  <c r="CM129" i="5"/>
  <c r="CP129" i="5"/>
  <c r="CR129" i="5"/>
  <c r="AQ129" i="5"/>
  <c r="AJ129" i="5"/>
  <c r="AX129" i="5"/>
  <c r="BE129" i="5"/>
  <c r="DB129" i="5"/>
  <c r="CX129" i="5"/>
  <c r="CZ144" i="5"/>
  <c r="DD144" i="5"/>
  <c r="CY144" i="5"/>
  <c r="DF144" i="5"/>
  <c r="DC144" i="5"/>
  <c r="CX144" i="5"/>
  <c r="DB94" i="5"/>
  <c r="CX94" i="5"/>
  <c r="DG94" i="5"/>
  <c r="DE94" i="5"/>
  <c r="DA94" i="5"/>
  <c r="CW94" i="5"/>
  <c r="DF94" i="5"/>
  <c r="DB152" i="5"/>
  <c r="CX152" i="5"/>
  <c r="DF152" i="5"/>
  <c r="DD152" i="5"/>
  <c r="CZ152" i="5"/>
  <c r="DB136" i="5"/>
  <c r="CX136" i="5"/>
  <c r="DE136" i="5"/>
  <c r="DA136" i="5"/>
  <c r="DF136" i="5"/>
  <c r="DG136" i="5"/>
  <c r="DD136" i="5"/>
  <c r="CZ136" i="5"/>
  <c r="DD138" i="5"/>
  <c r="CZ138" i="5"/>
  <c r="DB138" i="5"/>
  <c r="CX138" i="5"/>
  <c r="DG138" i="5"/>
  <c r="DB134" i="5"/>
  <c r="CX134" i="5"/>
  <c r="CY126" i="5"/>
  <c r="DA130" i="5"/>
  <c r="DE130" i="5"/>
  <c r="DD82" i="5"/>
  <c r="CZ82" i="5"/>
  <c r="DF82" i="5"/>
  <c r="DC82" i="5"/>
  <c r="CY82" i="5"/>
  <c r="CW82" i="5"/>
  <c r="DE82" i="5"/>
  <c r="DA82" i="5"/>
  <c r="BW122" i="5"/>
  <c r="Y122" i="5"/>
  <c r="DE122" i="5"/>
  <c r="BS122" i="5"/>
  <c r="AS122" i="5"/>
  <c r="V122" i="5"/>
  <c r="F122" i="5"/>
  <c r="BF122" i="5"/>
  <c r="DA122" i="5"/>
  <c r="DG122" i="5"/>
  <c r="BC122" i="5"/>
  <c r="J122" i="5"/>
  <c r="AZ122" i="5"/>
  <c r="CE122" i="5"/>
  <c r="BO122" i="5"/>
  <c r="AG122" i="5"/>
  <c r="R122" i="5"/>
  <c r="B122" i="5"/>
  <c r="CQ122" i="5"/>
  <c r="BA122" i="5"/>
  <c r="CW122" i="5"/>
  <c r="DE140" i="5"/>
  <c r="DA140" i="5"/>
  <c r="DF140" i="5"/>
  <c r="DA128" i="5"/>
  <c r="CY128" i="5"/>
  <c r="DE128" i="5"/>
  <c r="DE123" i="5"/>
  <c r="CW123" i="5"/>
  <c r="DA123" i="5"/>
  <c r="DC148" i="5"/>
  <c r="CY148" i="5"/>
  <c r="CJ148" i="5"/>
  <c r="CF148" i="5"/>
  <c r="CB148" i="5"/>
  <c r="BX148" i="5"/>
  <c r="BT148" i="5"/>
  <c r="BP148" i="5"/>
  <c r="BG148" i="5"/>
  <c r="AU148" i="5"/>
  <c r="AI148" i="5"/>
  <c r="AD148" i="5"/>
  <c r="Z148" i="5"/>
  <c r="W148" i="5"/>
  <c r="S148" i="5"/>
  <c r="O148" i="5"/>
  <c r="K148" i="5"/>
  <c r="G148" i="5"/>
  <c r="C148" i="5"/>
  <c r="CO148" i="5"/>
  <c r="CV148" i="5"/>
  <c r="AQ148" i="5"/>
  <c r="AJ148" i="5"/>
  <c r="AX148" i="5"/>
  <c r="BE148" i="5"/>
  <c r="DB148" i="5"/>
  <c r="CX148" i="5"/>
  <c r="DG148" i="5"/>
  <c r="CK148" i="5"/>
  <c r="CE148" i="5"/>
  <c r="CA148" i="5"/>
  <c r="BW148" i="5"/>
  <c r="BS148" i="5"/>
  <c r="BO148" i="5"/>
  <c r="BD148" i="5"/>
  <c r="BC148" i="5"/>
  <c r="AS148" i="5"/>
  <c r="AG148" i="5"/>
  <c r="AC148" i="5"/>
  <c r="Y148" i="5"/>
  <c r="V148" i="5"/>
  <c r="R148" i="5"/>
  <c r="N148" i="5"/>
  <c r="J148" i="5"/>
  <c r="F148" i="5"/>
  <c r="B148" i="5"/>
  <c r="CN148" i="5"/>
  <c r="CQ148" i="5"/>
  <c r="AL148" i="5"/>
  <c r="AR148" i="5"/>
  <c r="BJ148" i="5"/>
  <c r="DE148" i="5"/>
  <c r="DA148" i="5"/>
  <c r="DF148" i="5"/>
  <c r="CI120" i="5"/>
  <c r="CD120" i="5"/>
  <c r="BZ120" i="5"/>
  <c r="BV120" i="5"/>
  <c r="BR120" i="5"/>
  <c r="BN120" i="5"/>
  <c r="BK120" i="5"/>
  <c r="AY120" i="5"/>
  <c r="AO120" i="5"/>
  <c r="AF120" i="5"/>
  <c r="AB120" i="5"/>
  <c r="AN120" i="5"/>
  <c r="U120" i="5"/>
  <c r="Q120" i="5"/>
  <c r="M120" i="5"/>
  <c r="I120" i="5"/>
  <c r="E120" i="5"/>
  <c r="CM120" i="5"/>
  <c r="CP120" i="5"/>
  <c r="A120" i="5"/>
  <c r="CR120" i="5"/>
  <c r="AM120" i="5"/>
  <c r="AZ120" i="5"/>
  <c r="DB120" i="5"/>
  <c r="DC120" i="5"/>
  <c r="CX120" i="5"/>
  <c r="CJ120" i="5"/>
  <c r="CG120" i="5"/>
  <c r="CC120" i="5"/>
  <c r="BY120" i="5"/>
  <c r="BU120" i="5"/>
  <c r="BQ120" i="5"/>
  <c r="BM120" i="5"/>
  <c r="BI120" i="5"/>
  <c r="AW120" i="5"/>
  <c r="AK120" i="5"/>
  <c r="AE120" i="5"/>
  <c r="AA120" i="5"/>
  <c r="X120" i="5"/>
  <c r="T120" i="5"/>
  <c r="P120" i="5"/>
  <c r="L120" i="5"/>
  <c r="H120" i="5"/>
  <c r="D120" i="5"/>
  <c r="CL120" i="5"/>
  <c r="CV120" i="5"/>
  <c r="CS120" i="5"/>
  <c r="AH120" i="5"/>
  <c r="BJ120" i="5"/>
  <c r="DA120" i="5"/>
  <c r="DG120" i="5"/>
  <c r="CK120" i="5"/>
  <c r="CF120" i="5"/>
  <c r="CB120" i="5"/>
  <c r="BX120" i="5"/>
  <c r="BT120" i="5"/>
  <c r="BP120" i="5"/>
  <c r="BL120" i="5"/>
  <c r="BG120" i="5"/>
  <c r="AU120" i="5"/>
  <c r="AI120" i="5"/>
  <c r="AD120" i="5"/>
  <c r="Z120" i="5"/>
  <c r="W120" i="5"/>
  <c r="S120" i="5"/>
  <c r="O120" i="5"/>
  <c r="K120" i="5"/>
  <c r="G120" i="5"/>
  <c r="C120" i="5"/>
  <c r="CO120" i="5"/>
  <c r="BA120" i="5"/>
  <c r="AR120" i="5"/>
  <c r="BH120" i="5"/>
  <c r="DE120" i="5"/>
  <c r="CY120" i="5"/>
  <c r="CH132" i="5"/>
  <c r="CD132" i="5"/>
  <c r="BZ132" i="5"/>
  <c r="BV132" i="5"/>
  <c r="BR132" i="5"/>
  <c r="BN132" i="5"/>
  <c r="BK132" i="5"/>
  <c r="AY132" i="5"/>
  <c r="AO132" i="5"/>
  <c r="AF132" i="5"/>
  <c r="AB132" i="5"/>
  <c r="AN132" i="5"/>
  <c r="U132" i="5"/>
  <c r="Q132" i="5"/>
  <c r="M132" i="5"/>
  <c r="I132" i="5"/>
  <c r="E132" i="5"/>
  <c r="CM132" i="5"/>
  <c r="CP132" i="5"/>
  <c r="A132" i="5"/>
  <c r="AL132" i="5"/>
  <c r="AR132" i="5"/>
  <c r="BJ132" i="5"/>
  <c r="DC132" i="5"/>
  <c r="CY132" i="5"/>
  <c r="CJ134" i="5"/>
  <c r="CG134" i="5"/>
  <c r="CC134" i="5"/>
  <c r="BY134" i="5"/>
  <c r="BU134" i="5"/>
  <c r="BQ134" i="5"/>
  <c r="BM134" i="5"/>
  <c r="BI134" i="5"/>
  <c r="AW134" i="5"/>
  <c r="AK134" i="5"/>
  <c r="AE134" i="5"/>
  <c r="AA134" i="5"/>
  <c r="X134" i="5"/>
  <c r="T134" i="5"/>
  <c r="P134" i="5"/>
  <c r="L134" i="5"/>
  <c r="H134" i="5"/>
  <c r="D134" i="5"/>
  <c r="CL134" i="5"/>
  <c r="CR134" i="5"/>
  <c r="AQ134" i="5"/>
  <c r="AJ134" i="5"/>
  <c r="AX134" i="5"/>
  <c r="BE134" i="5"/>
  <c r="DD134" i="5"/>
  <c r="CZ134" i="5"/>
  <c r="CK134" i="5"/>
  <c r="CF134" i="5"/>
  <c r="CB134" i="5"/>
  <c r="BX134" i="5"/>
  <c r="BT134" i="5"/>
  <c r="BP134" i="5"/>
  <c r="BL134" i="5"/>
  <c r="BG134" i="5"/>
  <c r="AU134" i="5"/>
  <c r="AI134" i="5"/>
  <c r="AD134" i="5"/>
  <c r="Z134" i="5"/>
  <c r="W134" i="5"/>
  <c r="S134" i="5"/>
  <c r="O134" i="5"/>
  <c r="K134" i="5"/>
  <c r="G134" i="5"/>
  <c r="C134" i="5"/>
  <c r="CO134" i="5"/>
  <c r="AL134" i="5"/>
  <c r="AR134" i="5"/>
  <c r="BJ134" i="5"/>
  <c r="DC134" i="5"/>
  <c r="CY134" i="5"/>
  <c r="DG134" i="5"/>
  <c r="CG124" i="5"/>
  <c r="BY124" i="5"/>
  <c r="BQ124" i="5"/>
  <c r="BI124" i="5"/>
  <c r="AK124" i="5"/>
  <c r="AA124" i="5"/>
  <c r="T124" i="5"/>
  <c r="P124" i="5"/>
  <c r="H124" i="5"/>
  <c r="D124" i="5"/>
  <c r="A124" i="5"/>
  <c r="BE124" i="5"/>
  <c r="CI124" i="5"/>
  <c r="CF124" i="5"/>
  <c r="CB124" i="5"/>
  <c r="BX124" i="5"/>
  <c r="BT124" i="5"/>
  <c r="BP124" i="5"/>
  <c r="BL124" i="5"/>
  <c r="BG124" i="5"/>
  <c r="AU124" i="5"/>
  <c r="AI124" i="5"/>
  <c r="AD124" i="5"/>
  <c r="Z124" i="5"/>
  <c r="W124" i="5"/>
  <c r="S124" i="5"/>
  <c r="O124" i="5"/>
  <c r="K124" i="5"/>
  <c r="G124" i="5"/>
  <c r="C124" i="5"/>
  <c r="CO124" i="5"/>
  <c r="CV124" i="5"/>
  <c r="AL124" i="5"/>
  <c r="AR124" i="5"/>
  <c r="BJ124" i="5"/>
  <c r="CY124" i="5"/>
  <c r="CW124" i="5"/>
  <c r="BA124" i="5"/>
  <c r="AH124" i="5"/>
  <c r="AZ124" i="5"/>
  <c r="BF124" i="5"/>
  <c r="DC124" i="5"/>
  <c r="CH124" i="5"/>
  <c r="CC124" i="5"/>
  <c r="BU124" i="5"/>
  <c r="BM124" i="5"/>
  <c r="AW124" i="5"/>
  <c r="AE124" i="5"/>
  <c r="X124" i="5"/>
  <c r="L124" i="5"/>
  <c r="CL124" i="5"/>
  <c r="CR124" i="5"/>
  <c r="AQ124" i="5"/>
  <c r="AJ124" i="5"/>
  <c r="AX124" i="5"/>
  <c r="DB124" i="5"/>
  <c r="CJ124" i="5"/>
  <c r="CE124" i="5"/>
  <c r="CA124" i="5"/>
  <c r="BW124" i="5"/>
  <c r="BS124" i="5"/>
  <c r="BO124" i="5"/>
  <c r="BD124" i="5"/>
  <c r="BC124" i="5"/>
  <c r="AS124" i="5"/>
  <c r="AG124" i="5"/>
  <c r="AC124" i="5"/>
  <c r="Y124" i="5"/>
  <c r="V124" i="5"/>
  <c r="R124" i="5"/>
  <c r="N124" i="5"/>
  <c r="J124" i="5"/>
  <c r="F124" i="5"/>
  <c r="B124" i="5"/>
  <c r="CN124" i="5"/>
  <c r="CS124" i="5"/>
  <c r="AM124" i="5"/>
  <c r="AT124" i="5"/>
  <c r="BH124" i="5"/>
  <c r="CX124" i="5"/>
  <c r="DE126" i="5"/>
  <c r="DA126" i="5"/>
  <c r="DD126" i="5"/>
  <c r="CZ126" i="5"/>
  <c r="DG126" i="5"/>
  <c r="DB126" i="5"/>
  <c r="CX126" i="5"/>
  <c r="DF126" i="5"/>
  <c r="DD130" i="5"/>
  <c r="CZ130" i="5"/>
  <c r="DC130" i="5"/>
  <c r="CY130" i="5"/>
  <c r="DB130" i="5"/>
  <c r="CX130" i="5"/>
  <c r="CW130" i="5"/>
  <c r="DB128" i="5"/>
  <c r="CX128" i="5"/>
  <c r="DF128" i="5"/>
  <c r="DD128" i="5"/>
  <c r="CZ128" i="5"/>
  <c r="CW128" i="5"/>
  <c r="DC110" i="5"/>
  <c r="CY110" i="5"/>
  <c r="CW110" i="5"/>
  <c r="DF110" i="5"/>
  <c r="DG110" i="5"/>
  <c r="DD112" i="5"/>
  <c r="CZ112" i="5"/>
  <c r="DG112" i="5"/>
  <c r="DC112" i="5"/>
  <c r="CY112" i="5"/>
  <c r="DE100" i="5"/>
  <c r="DA100" i="5"/>
  <c r="DE150" i="5"/>
  <c r="DA150" i="5"/>
  <c r="CW150" i="5"/>
  <c r="CQ121" i="5"/>
  <c r="CV121" i="5"/>
  <c r="AQ121" i="5"/>
  <c r="AJ121" i="5"/>
  <c r="AX121" i="5"/>
  <c r="BE121" i="5"/>
  <c r="DC121" i="5"/>
  <c r="CY121" i="5"/>
  <c r="A121" i="5"/>
  <c r="CR121" i="5"/>
  <c r="AL121" i="5"/>
  <c r="AR121" i="5"/>
  <c r="BJ121" i="5"/>
  <c r="DB121" i="5"/>
  <c r="CX121" i="5"/>
  <c r="DD123" i="5"/>
  <c r="CZ123" i="5"/>
  <c r="CI123" i="5"/>
  <c r="CF123" i="5"/>
  <c r="CB123" i="5"/>
  <c r="BX123" i="5"/>
  <c r="BT123" i="5"/>
  <c r="BP123" i="5"/>
  <c r="BL123" i="5"/>
  <c r="BG123" i="5"/>
  <c r="AU123" i="5"/>
  <c r="AI123" i="5"/>
  <c r="AD123" i="5"/>
  <c r="Z123" i="5"/>
  <c r="W123" i="5"/>
  <c r="S123" i="5"/>
  <c r="O123" i="5"/>
  <c r="K123" i="5"/>
  <c r="G123" i="5"/>
  <c r="C123" i="5"/>
  <c r="CO123" i="5"/>
  <c r="CQ123" i="5"/>
  <c r="CR123" i="5"/>
  <c r="BA123" i="5"/>
  <c r="AH123" i="5"/>
  <c r="AZ123" i="5"/>
  <c r="BF123" i="5"/>
  <c r="DC123" i="5"/>
  <c r="CY123" i="5"/>
  <c r="DF123" i="5"/>
  <c r="DG123" i="5"/>
  <c r="CJ123" i="5"/>
  <c r="CE123" i="5"/>
  <c r="CA123" i="5"/>
  <c r="BW123" i="5"/>
  <c r="BS123" i="5"/>
  <c r="BO123" i="5"/>
  <c r="BD123" i="5"/>
  <c r="BC123" i="5"/>
  <c r="AS123" i="5"/>
  <c r="AG123" i="5"/>
  <c r="AC123" i="5"/>
  <c r="Y123" i="5"/>
  <c r="V123" i="5"/>
  <c r="R123" i="5"/>
  <c r="N123" i="5"/>
  <c r="J123" i="5"/>
  <c r="F123" i="5"/>
  <c r="B123" i="5"/>
  <c r="CN123" i="5"/>
  <c r="A123" i="5"/>
  <c r="AQ123" i="5"/>
  <c r="AJ123" i="5"/>
  <c r="AX123" i="5"/>
  <c r="BE123" i="5"/>
  <c r="DB123" i="5"/>
  <c r="CX123" i="5"/>
  <c r="DE125" i="5"/>
  <c r="DA125" i="5"/>
  <c r="DC133" i="5"/>
  <c r="CY133" i="5"/>
  <c r="DG133" i="5"/>
  <c r="DD127" i="5"/>
  <c r="CZ127" i="5"/>
  <c r="CW127" i="5"/>
  <c r="DF127" i="5"/>
  <c r="DC135" i="5"/>
  <c r="CY135" i="5"/>
  <c r="DD131" i="5"/>
  <c r="CZ131" i="5"/>
  <c r="CJ131" i="5"/>
  <c r="CE131" i="5"/>
  <c r="CA131" i="5"/>
  <c r="BW131" i="5"/>
  <c r="BS131" i="5"/>
  <c r="BO131" i="5"/>
  <c r="BD131" i="5"/>
  <c r="BC131" i="5"/>
  <c r="AS131" i="5"/>
  <c r="AG131" i="5"/>
  <c r="AC131" i="5"/>
  <c r="Y131" i="5"/>
  <c r="V131" i="5"/>
  <c r="R131" i="5"/>
  <c r="N131" i="5"/>
  <c r="J131" i="5"/>
  <c r="F131" i="5"/>
  <c r="B131" i="5"/>
  <c r="CN131" i="5"/>
  <c r="AL131" i="5"/>
  <c r="AR131" i="5"/>
  <c r="BJ131" i="5"/>
  <c r="DC131" i="5"/>
  <c r="CY131" i="5"/>
  <c r="CW131" i="5"/>
  <c r="CI131" i="5"/>
  <c r="CF131" i="5"/>
  <c r="CB131" i="5"/>
  <c r="BX131" i="5"/>
  <c r="BT131" i="5"/>
  <c r="BP131" i="5"/>
  <c r="BL131" i="5"/>
  <c r="BG131" i="5"/>
  <c r="AU131" i="5"/>
  <c r="AI131" i="5"/>
  <c r="AD131" i="5"/>
  <c r="Z131" i="5"/>
  <c r="W131" i="5"/>
  <c r="S131" i="5"/>
  <c r="O131" i="5"/>
  <c r="K131" i="5"/>
  <c r="G131" i="5"/>
  <c r="C131" i="5"/>
  <c r="CO131" i="5"/>
  <c r="A131" i="5"/>
  <c r="CR131" i="5"/>
  <c r="AQ131" i="5"/>
  <c r="AJ131" i="5"/>
  <c r="AX131" i="5"/>
  <c r="BE131" i="5"/>
  <c r="CK131" i="5"/>
  <c r="CD131" i="5"/>
  <c r="BZ131" i="5"/>
  <c r="BV131" i="5"/>
  <c r="BR131" i="5"/>
  <c r="BN131" i="5"/>
  <c r="BK131" i="5"/>
  <c r="AY131" i="5"/>
  <c r="AO131" i="5"/>
  <c r="AF131" i="5"/>
  <c r="AB131" i="5"/>
  <c r="AN131" i="5"/>
  <c r="U131" i="5"/>
  <c r="Q131" i="5"/>
  <c r="M131" i="5"/>
  <c r="I131" i="5"/>
  <c r="E131" i="5"/>
  <c r="CM131" i="5"/>
  <c r="CP131" i="5"/>
  <c r="CS131" i="5"/>
  <c r="AM131" i="5"/>
  <c r="AT131" i="5"/>
  <c r="BH131" i="5"/>
  <c r="DB131" i="5"/>
  <c r="CX131" i="5"/>
  <c r="DF131" i="5"/>
  <c r="AQ120" i="5"/>
  <c r="AJ120" i="5"/>
  <c r="AX120" i="5"/>
  <c r="BE120" i="5"/>
  <c r="DD120" i="5"/>
  <c r="CZ120" i="5"/>
  <c r="CW120" i="5"/>
  <c r="DF120" i="5"/>
  <c r="DE124" i="5"/>
  <c r="DA124" i="5"/>
  <c r="DG124" i="5"/>
  <c r="DD124" i="5"/>
  <c r="CZ124" i="5"/>
  <c r="DF124" i="5"/>
  <c r="DE142" i="5"/>
  <c r="DA142" i="5"/>
  <c r="DF142" i="5"/>
  <c r="DG142" i="5"/>
  <c r="DE144" i="5"/>
  <c r="DA144" i="5"/>
  <c r="CW144" i="5"/>
  <c r="CH122" i="5"/>
  <c r="CI122" i="5"/>
  <c r="CG122" i="5"/>
  <c r="CC122" i="5"/>
  <c r="BY122" i="5"/>
  <c r="BU122" i="5"/>
  <c r="BQ122" i="5"/>
  <c r="BM122" i="5"/>
  <c r="BI122" i="5"/>
  <c r="AW122" i="5"/>
  <c r="AK122" i="5"/>
  <c r="AE122" i="5"/>
  <c r="AA122" i="5"/>
  <c r="X122" i="5"/>
  <c r="T122" i="5"/>
  <c r="P122" i="5"/>
  <c r="L122" i="5"/>
  <c r="H122" i="5"/>
  <c r="D122" i="5"/>
  <c r="CL122" i="5"/>
  <c r="AL122" i="5"/>
  <c r="AR122" i="5"/>
  <c r="BJ122" i="5"/>
  <c r="DC122" i="5"/>
  <c r="CY122" i="5"/>
  <c r="CD122" i="5"/>
  <c r="BZ122" i="5"/>
  <c r="BV122" i="5"/>
  <c r="BR122" i="5"/>
  <c r="BN122" i="5"/>
  <c r="BK122" i="5"/>
  <c r="AY122" i="5"/>
  <c r="AO122" i="5"/>
  <c r="AF122" i="5"/>
  <c r="AB122" i="5"/>
  <c r="AN122" i="5"/>
  <c r="U122" i="5"/>
  <c r="Q122" i="5"/>
  <c r="M122" i="5"/>
  <c r="I122" i="5"/>
  <c r="E122" i="5"/>
  <c r="CM122" i="5"/>
  <c r="CP122" i="5"/>
  <c r="A122" i="5"/>
  <c r="CR122" i="5"/>
  <c r="CV122" i="5"/>
  <c r="AQ122" i="5"/>
  <c r="AJ122" i="5"/>
  <c r="AX122" i="5"/>
  <c r="BE122" i="5"/>
  <c r="DD122" i="5"/>
  <c r="CZ122" i="5"/>
  <c r="CJ122" i="5"/>
  <c r="CF122" i="5"/>
  <c r="CB122" i="5"/>
  <c r="BX122" i="5"/>
  <c r="BT122" i="5"/>
  <c r="BP122" i="5"/>
  <c r="BL122" i="5"/>
  <c r="BG122" i="5"/>
  <c r="AU122" i="5"/>
  <c r="AI122" i="5"/>
  <c r="AD122" i="5"/>
  <c r="Z122" i="5"/>
  <c r="W122" i="5"/>
  <c r="S122" i="5"/>
  <c r="O122" i="5"/>
  <c r="K122" i="5"/>
  <c r="G122" i="5"/>
  <c r="C122" i="5"/>
  <c r="CO122" i="5"/>
  <c r="CS122" i="5"/>
  <c r="AM122" i="5"/>
  <c r="AT122" i="5"/>
  <c r="BH122" i="5"/>
  <c r="DB122" i="5"/>
  <c r="CX122" i="5"/>
  <c r="DF122" i="5"/>
  <c r="DD118" i="5"/>
  <c r="CZ118" i="5"/>
  <c r="DC118" i="5"/>
  <c r="CY118" i="5"/>
  <c r="CW118" i="5"/>
  <c r="DF118" i="5"/>
  <c r="DE118" i="5"/>
  <c r="DA118" i="5"/>
  <c r="DG118" i="5"/>
  <c r="DB78" i="5"/>
  <c r="CX78" i="5"/>
  <c r="DD78" i="5"/>
  <c r="CZ78" i="5"/>
  <c r="BJ41" i="5"/>
  <c r="AR41" i="5"/>
  <c r="AL41" i="5"/>
  <c r="CV41" i="5"/>
  <c r="CP41" i="5"/>
  <c r="CM41" i="5"/>
  <c r="E41" i="5"/>
  <c r="I41" i="5"/>
  <c r="M41" i="5"/>
  <c r="Q41" i="5"/>
  <c r="U41" i="5"/>
  <c r="AN41" i="5"/>
  <c r="AB41" i="5"/>
  <c r="AF41" i="5"/>
  <c r="AO41" i="5"/>
  <c r="AY41" i="5"/>
  <c r="BK41" i="5"/>
  <c r="BN41" i="5"/>
  <c r="BR41" i="5"/>
  <c r="BV41" i="5"/>
  <c r="BZ41" i="5"/>
  <c r="CD41" i="5"/>
  <c r="CH41" i="5"/>
  <c r="BE41" i="5"/>
  <c r="AX41" i="5"/>
  <c r="AJ41" i="5"/>
  <c r="AQ41" i="5"/>
  <c r="CR41" i="5"/>
  <c r="CN41" i="5"/>
  <c r="B41" i="5"/>
  <c r="F41" i="5"/>
  <c r="J41" i="5"/>
  <c r="N41" i="5"/>
  <c r="R41" i="5"/>
  <c r="V41" i="5"/>
  <c r="Y41" i="5"/>
  <c r="AC41" i="5"/>
  <c r="AG41" i="5"/>
  <c r="AS41" i="5"/>
  <c r="BC41" i="5"/>
  <c r="BD41" i="5"/>
  <c r="BO41" i="5"/>
  <c r="BS41" i="5"/>
  <c r="BW41" i="5"/>
  <c r="CA41" i="5"/>
  <c r="CE41" i="5"/>
  <c r="CK41" i="5"/>
  <c r="BF41" i="5"/>
  <c r="AZ41" i="5"/>
  <c r="AH41" i="5"/>
  <c r="BA41" i="5"/>
  <c r="A41" i="5"/>
  <c r="CO41" i="5"/>
  <c r="C41" i="5"/>
  <c r="G41" i="5"/>
  <c r="K41" i="5"/>
  <c r="O41" i="5"/>
  <c r="S41" i="5"/>
  <c r="W41" i="5"/>
  <c r="Z41" i="5"/>
  <c r="AD41" i="5"/>
  <c r="AI41" i="5"/>
  <c r="AU41" i="5"/>
  <c r="BG41" i="5"/>
  <c r="BL41" i="5"/>
  <c r="BP41" i="5"/>
  <c r="BT41" i="5"/>
  <c r="BX41" i="5"/>
  <c r="CB41" i="5"/>
  <c r="CF41" i="5"/>
  <c r="CJ41" i="5"/>
  <c r="BH41" i="5"/>
  <c r="AT41" i="5"/>
  <c r="AM41" i="5"/>
  <c r="CS41" i="5"/>
  <c r="CQ41" i="5"/>
  <c r="CL41" i="5"/>
  <c r="D41" i="5"/>
  <c r="H41" i="5"/>
  <c r="L41" i="5"/>
  <c r="P41" i="5"/>
  <c r="T41" i="5"/>
  <c r="X41" i="5"/>
  <c r="AA41" i="5"/>
  <c r="BI41" i="5"/>
  <c r="BY41" i="5"/>
  <c r="AE41" i="5"/>
  <c r="BM41" i="5"/>
  <c r="CC41" i="5"/>
  <c r="AK41" i="5"/>
  <c r="BQ41" i="5"/>
  <c r="CG41" i="5"/>
  <c r="BU41" i="5"/>
  <c r="CI41" i="5"/>
  <c r="AW41" i="5"/>
  <c r="AV80" i="5"/>
  <c r="AV156" i="5"/>
  <c r="AV92" i="5"/>
  <c r="AV102" i="5"/>
  <c r="AV158" i="5"/>
  <c r="AV122" i="5"/>
  <c r="AV121" i="5"/>
  <c r="AV118" i="5"/>
  <c r="AV137" i="5"/>
  <c r="AV93" i="5"/>
  <c r="AV164" i="5"/>
  <c r="AV88" i="5"/>
  <c r="AV125" i="5"/>
  <c r="AV115" i="5"/>
  <c r="AV138" i="5"/>
  <c r="AV128" i="5"/>
  <c r="AV4" i="5"/>
  <c r="CU50" i="5"/>
  <c r="AL50" i="5"/>
  <c r="AP50" i="5"/>
  <c r="BB50" i="5"/>
  <c r="BW50" i="5"/>
  <c r="BC50" i="5"/>
  <c r="Y50" i="5"/>
  <c r="J50" i="5"/>
  <c r="CI50" i="5"/>
  <c r="BS50" i="5"/>
  <c r="AS50" i="5"/>
  <c r="V50" i="5"/>
  <c r="F50" i="5"/>
  <c r="CT50" i="5"/>
  <c r="CE50" i="5"/>
  <c r="BO50" i="5"/>
  <c r="AG50" i="5"/>
  <c r="R50" i="5"/>
  <c r="B50" i="5"/>
  <c r="CA50" i="5"/>
  <c r="BD50" i="5"/>
  <c r="AC50" i="5"/>
  <c r="N50" i="5"/>
  <c r="CN50" i="5"/>
  <c r="AV41" i="5"/>
  <c r="AV132" i="5"/>
  <c r="AV120" i="5"/>
  <c r="AV127" i="5"/>
  <c r="CK161" i="5"/>
  <c r="CG161" i="5"/>
  <c r="CC161" i="5"/>
  <c r="BY161" i="5"/>
  <c r="BU161" i="5"/>
  <c r="BQ161" i="5"/>
  <c r="BM161" i="5"/>
  <c r="BI161" i="5"/>
  <c r="AW161" i="5"/>
  <c r="AK161" i="5"/>
  <c r="AE161" i="5"/>
  <c r="AA161" i="5"/>
  <c r="X161" i="5"/>
  <c r="T161" i="5"/>
  <c r="P161" i="5"/>
  <c r="L161" i="5"/>
  <c r="H161" i="5"/>
  <c r="D161" i="5"/>
  <c r="CL161" i="5"/>
  <c r="A161" i="5"/>
  <c r="CV161" i="5"/>
  <c r="BJ161" i="5"/>
  <c r="AR161" i="5"/>
  <c r="AL161" i="5"/>
  <c r="AP161" i="5"/>
  <c r="CI161" i="5"/>
  <c r="CE161" i="5"/>
  <c r="CA161" i="5"/>
  <c r="BW161" i="5"/>
  <c r="BS161" i="5"/>
  <c r="BO161" i="5"/>
  <c r="BD161" i="5"/>
  <c r="BC161" i="5"/>
  <c r="AS161" i="5"/>
  <c r="AG161" i="5"/>
  <c r="AC161" i="5"/>
  <c r="Y161" i="5"/>
  <c r="V161" i="5"/>
  <c r="R161" i="5"/>
  <c r="N161" i="5"/>
  <c r="J161" i="5"/>
  <c r="F161" i="5"/>
  <c r="B161" i="5"/>
  <c r="CN161" i="5"/>
  <c r="CR161" i="5"/>
  <c r="BF161" i="5"/>
  <c r="AZ161" i="5"/>
  <c r="AH161" i="5"/>
  <c r="BA161" i="5"/>
  <c r="CT161" i="5"/>
  <c r="CD161" i="5"/>
  <c r="BK161" i="5"/>
  <c r="AB161" i="5"/>
  <c r="Q161" i="5"/>
  <c r="CM161" i="5"/>
  <c r="CP161" i="5"/>
  <c r="AT161" i="5"/>
  <c r="CJ161" i="5"/>
  <c r="CF161" i="5"/>
  <c r="CB161" i="5"/>
  <c r="BX161" i="5"/>
  <c r="BT161" i="5"/>
  <c r="BP161" i="5"/>
  <c r="BL161" i="5"/>
  <c r="BG161" i="5"/>
  <c r="AU161" i="5"/>
  <c r="AI161" i="5"/>
  <c r="AD161" i="5"/>
  <c r="Z161" i="5"/>
  <c r="W161" i="5"/>
  <c r="S161" i="5"/>
  <c r="O161" i="5"/>
  <c r="K161" i="5"/>
  <c r="G161" i="5"/>
  <c r="C161" i="5"/>
  <c r="CO161" i="5"/>
  <c r="CQ161" i="5"/>
  <c r="BE161" i="5"/>
  <c r="AX161" i="5"/>
  <c r="AJ161" i="5"/>
  <c r="AQ161" i="5"/>
  <c r="BB161" i="5"/>
  <c r="CH161" i="5"/>
  <c r="BV161" i="5"/>
  <c r="BR161" i="5"/>
  <c r="BN161" i="5"/>
  <c r="AY161" i="5"/>
  <c r="AF161" i="5"/>
  <c r="U161" i="5"/>
  <c r="I161" i="5"/>
  <c r="BH161" i="5"/>
  <c r="CS161" i="5"/>
  <c r="BZ161" i="5"/>
  <c r="AO161" i="5"/>
  <c r="AN161" i="5"/>
  <c r="M161" i="5"/>
  <c r="E161" i="5"/>
  <c r="CU161" i="5"/>
  <c r="AM161" i="5"/>
  <c r="AV133" i="5"/>
  <c r="AV142" i="5"/>
  <c r="AV140" i="5"/>
  <c r="AV170" i="5"/>
  <c r="AK153" i="5"/>
  <c r="AP153" i="5"/>
  <c r="BB153" i="5"/>
  <c r="CT153" i="5"/>
  <c r="CU153" i="5"/>
  <c r="AP89" i="5"/>
  <c r="CJ89" i="5"/>
  <c r="CF89" i="5"/>
  <c r="CB89" i="5"/>
  <c r="BP89" i="5"/>
  <c r="AI89" i="5"/>
  <c r="S89" i="5"/>
  <c r="C89" i="5"/>
  <c r="BB89" i="5"/>
  <c r="CT89" i="5"/>
  <c r="CU89" i="5"/>
  <c r="AV103" i="5"/>
  <c r="AV98" i="5"/>
  <c r="CK86" i="5"/>
  <c r="CG86" i="5"/>
  <c r="BY86" i="5"/>
  <c r="BQ86" i="5"/>
  <c r="BI86" i="5"/>
  <c r="AK86" i="5"/>
  <c r="AA86" i="5"/>
  <c r="T86" i="5"/>
  <c r="L86" i="5"/>
  <c r="D86" i="5"/>
  <c r="CV86" i="5"/>
  <c r="BJ86" i="5"/>
  <c r="AR86" i="5"/>
  <c r="AP86" i="5"/>
  <c r="CU86" i="5"/>
  <c r="CF86" i="5"/>
  <c r="BX86" i="5"/>
  <c r="BP86" i="5"/>
  <c r="BG86" i="5"/>
  <c r="AI86" i="5"/>
  <c r="Z86" i="5"/>
  <c r="S86" i="5"/>
  <c r="K86" i="5"/>
  <c r="C86" i="5"/>
  <c r="BB86" i="5"/>
  <c r="CT86" i="5"/>
  <c r="AV165" i="5"/>
  <c r="AP151" i="5"/>
  <c r="BB151" i="5"/>
  <c r="CU151" i="5"/>
  <c r="CA151" i="5"/>
  <c r="BS151" i="5"/>
  <c r="BD151" i="5"/>
  <c r="AS151" i="5"/>
  <c r="AC151" i="5"/>
  <c r="V151" i="5"/>
  <c r="N151" i="5"/>
  <c r="F151" i="5"/>
  <c r="CN151" i="5"/>
  <c r="CT151" i="5"/>
  <c r="AV111" i="5"/>
  <c r="CJ70" i="5"/>
  <c r="BB70" i="5"/>
  <c r="CG70" i="5"/>
  <c r="BY70" i="5"/>
  <c r="AK70" i="5"/>
  <c r="X70" i="5"/>
  <c r="L70" i="5"/>
  <c r="D70" i="5"/>
  <c r="BF70" i="5"/>
  <c r="AZ70" i="5"/>
  <c r="CT70" i="5"/>
  <c r="CC70" i="5"/>
  <c r="BU70" i="5"/>
  <c r="BQ70" i="5"/>
  <c r="AW70" i="5"/>
  <c r="AA70" i="5"/>
  <c r="H70" i="5"/>
  <c r="CU70" i="5"/>
  <c r="BI70" i="5"/>
  <c r="T70" i="5"/>
  <c r="AP70" i="5"/>
  <c r="AV148" i="5"/>
  <c r="AV108" i="5"/>
  <c r="AV150" i="5"/>
  <c r="CG167" i="5"/>
  <c r="CC167" i="5"/>
  <c r="BY167" i="5"/>
  <c r="BU167" i="5"/>
  <c r="BQ167" i="5"/>
  <c r="BM167" i="5"/>
  <c r="BI167" i="5"/>
  <c r="AW167" i="5"/>
  <c r="AK167" i="5"/>
  <c r="AE167" i="5"/>
  <c r="AA167" i="5"/>
  <c r="X167" i="5"/>
  <c r="T167" i="5"/>
  <c r="P167" i="5"/>
  <c r="L167" i="5"/>
  <c r="H167" i="5"/>
  <c r="D167" i="5"/>
  <c r="CL167" i="5"/>
  <c r="A167" i="5"/>
  <c r="CV167" i="5"/>
  <c r="BJ167" i="5"/>
  <c r="AR167" i="5"/>
  <c r="AL167" i="5"/>
  <c r="AP167" i="5"/>
  <c r="BZ167" i="5"/>
  <c r="AY167" i="5"/>
  <c r="U167" i="5"/>
  <c r="I167" i="5"/>
  <c r="CP167" i="5"/>
  <c r="AM167" i="5"/>
  <c r="CJ167" i="5"/>
  <c r="CF167" i="5"/>
  <c r="CB167" i="5"/>
  <c r="BX167" i="5"/>
  <c r="BT167" i="5"/>
  <c r="BP167" i="5"/>
  <c r="BL167" i="5"/>
  <c r="BG167" i="5"/>
  <c r="AU167" i="5"/>
  <c r="AI167" i="5"/>
  <c r="AD167" i="5"/>
  <c r="Z167" i="5"/>
  <c r="W167" i="5"/>
  <c r="S167" i="5"/>
  <c r="O167" i="5"/>
  <c r="K167" i="5"/>
  <c r="G167" i="5"/>
  <c r="C167" i="5"/>
  <c r="CO167" i="5"/>
  <c r="CQ167" i="5"/>
  <c r="BB167" i="5"/>
  <c r="CH167" i="5"/>
  <c r="BR167" i="5"/>
  <c r="BK167" i="5"/>
  <c r="AF167" i="5"/>
  <c r="AN167" i="5"/>
  <c r="M167" i="5"/>
  <c r="CM167" i="5"/>
  <c r="CU167" i="5"/>
  <c r="AT167" i="5"/>
  <c r="CI167" i="5"/>
  <c r="CR167" i="5"/>
  <c r="BF167" i="5"/>
  <c r="AZ167" i="5"/>
  <c r="AH167" i="5"/>
  <c r="BA167" i="5"/>
  <c r="CT167" i="5"/>
  <c r="CD167" i="5"/>
  <c r="BV167" i="5"/>
  <c r="BN167" i="5"/>
  <c r="AO167" i="5"/>
  <c r="AB167" i="5"/>
  <c r="Q167" i="5"/>
  <c r="E167" i="5"/>
  <c r="BH167" i="5"/>
  <c r="CS167" i="5"/>
  <c r="AV126" i="5"/>
  <c r="AV151" i="5"/>
  <c r="CI85" i="5"/>
  <c r="CE85" i="5"/>
  <c r="CA85" i="5"/>
  <c r="BW85" i="5"/>
  <c r="BS85" i="5"/>
  <c r="BO85" i="5"/>
  <c r="BD85" i="5"/>
  <c r="BC85" i="5"/>
  <c r="AS85" i="5"/>
  <c r="AG85" i="5"/>
  <c r="AC85" i="5"/>
  <c r="Y85" i="5"/>
  <c r="V85" i="5"/>
  <c r="R85" i="5"/>
  <c r="N85" i="5"/>
  <c r="J85" i="5"/>
  <c r="F85" i="5"/>
  <c r="B85" i="5"/>
  <c r="CN85" i="5"/>
  <c r="CT85" i="5"/>
  <c r="CB85" i="5"/>
  <c r="BX85" i="5"/>
  <c r="BP85" i="5"/>
  <c r="AU85" i="5"/>
  <c r="AD85" i="5"/>
  <c r="S85" i="5"/>
  <c r="G85" i="5"/>
  <c r="CU85" i="5"/>
  <c r="CJ85" i="5"/>
  <c r="BT85" i="5"/>
  <c r="BG85" i="5"/>
  <c r="AI85" i="5"/>
  <c r="W85" i="5"/>
  <c r="K85" i="5"/>
  <c r="CO85" i="5"/>
  <c r="BE85" i="5"/>
  <c r="AJ85" i="5"/>
  <c r="BB85" i="5"/>
  <c r="CV85" i="5"/>
  <c r="BJ85" i="5"/>
  <c r="AR85" i="5"/>
  <c r="AL85" i="5"/>
  <c r="AP85" i="5"/>
  <c r="CF85" i="5"/>
  <c r="BL85" i="5"/>
  <c r="Z85" i="5"/>
  <c r="O85" i="5"/>
  <c r="C85" i="5"/>
  <c r="AX85" i="5"/>
  <c r="AQ85" i="5"/>
  <c r="CE87" i="5"/>
  <c r="BW87" i="5"/>
  <c r="BO87" i="5"/>
  <c r="BC87" i="5"/>
  <c r="AG87" i="5"/>
  <c r="Y87" i="5"/>
  <c r="R87" i="5"/>
  <c r="J87" i="5"/>
  <c r="B87" i="5"/>
  <c r="CR87" i="5"/>
  <c r="CT87" i="5"/>
  <c r="CH87" i="5"/>
  <c r="CU87" i="5"/>
  <c r="CK87" i="5"/>
  <c r="A87" i="5"/>
  <c r="AR87" i="5"/>
  <c r="AP87" i="5"/>
  <c r="CF87" i="5"/>
  <c r="BX87" i="5"/>
  <c r="BP87" i="5"/>
  <c r="BG87" i="5"/>
  <c r="AI87" i="5"/>
  <c r="Z87" i="5"/>
  <c r="S87" i="5"/>
  <c r="K87" i="5"/>
  <c r="C87" i="5"/>
  <c r="BE87" i="5"/>
  <c r="AJ87" i="5"/>
  <c r="BB87" i="5"/>
  <c r="AV141" i="5"/>
  <c r="AV116" i="5"/>
  <c r="AV152" i="5"/>
  <c r="AV107" i="5"/>
  <c r="CH75" i="5"/>
  <c r="CD75" i="5"/>
  <c r="BZ75" i="5"/>
  <c r="BV75" i="5"/>
  <c r="BR75" i="5"/>
  <c r="BN75" i="5"/>
  <c r="BK75" i="5"/>
  <c r="AY75" i="5"/>
  <c r="AO75" i="5"/>
  <c r="AF75" i="5"/>
  <c r="AB75" i="5"/>
  <c r="AN75" i="5"/>
  <c r="U75" i="5"/>
  <c r="Q75" i="5"/>
  <c r="M75" i="5"/>
  <c r="I75" i="5"/>
  <c r="E75" i="5"/>
  <c r="CM75" i="5"/>
  <c r="CP75" i="5"/>
  <c r="CU75" i="5"/>
  <c r="CI75" i="5"/>
  <c r="BS75" i="5"/>
  <c r="AS75" i="5"/>
  <c r="Y75" i="5"/>
  <c r="N75" i="5"/>
  <c r="CN75" i="5"/>
  <c r="AZ75" i="5"/>
  <c r="CT75" i="5"/>
  <c r="CK75" i="5"/>
  <c r="CG75" i="5"/>
  <c r="CC75" i="5"/>
  <c r="BY75" i="5"/>
  <c r="BU75" i="5"/>
  <c r="BQ75" i="5"/>
  <c r="BM75" i="5"/>
  <c r="BI75" i="5"/>
  <c r="AW75" i="5"/>
  <c r="AK75" i="5"/>
  <c r="AE75" i="5"/>
  <c r="AA75" i="5"/>
  <c r="X75" i="5"/>
  <c r="T75" i="5"/>
  <c r="P75" i="5"/>
  <c r="L75" i="5"/>
  <c r="H75" i="5"/>
  <c r="D75" i="5"/>
  <c r="CL75" i="5"/>
  <c r="A75" i="5"/>
  <c r="CV75" i="5"/>
  <c r="AP75" i="5"/>
  <c r="CA75" i="5"/>
  <c r="BW75" i="5"/>
  <c r="BD75" i="5"/>
  <c r="AG75" i="5"/>
  <c r="R75" i="5"/>
  <c r="J75" i="5"/>
  <c r="B75" i="5"/>
  <c r="BF75" i="5"/>
  <c r="AH75" i="5"/>
  <c r="CJ75" i="5"/>
  <c r="CF75" i="5"/>
  <c r="CB75" i="5"/>
  <c r="BX75" i="5"/>
  <c r="BT75" i="5"/>
  <c r="BP75" i="5"/>
  <c r="BL75" i="5"/>
  <c r="BG75" i="5"/>
  <c r="AU75" i="5"/>
  <c r="AI75" i="5"/>
  <c r="AD75" i="5"/>
  <c r="Z75" i="5"/>
  <c r="W75" i="5"/>
  <c r="S75" i="5"/>
  <c r="O75" i="5"/>
  <c r="K75" i="5"/>
  <c r="G75" i="5"/>
  <c r="C75" i="5"/>
  <c r="CO75" i="5"/>
  <c r="CQ75" i="5"/>
  <c r="BE75" i="5"/>
  <c r="AX75" i="5"/>
  <c r="AJ75" i="5"/>
  <c r="AQ75" i="5"/>
  <c r="BB75" i="5"/>
  <c r="CE75" i="5"/>
  <c r="BO75" i="5"/>
  <c r="BC75" i="5"/>
  <c r="AC75" i="5"/>
  <c r="V75" i="5"/>
  <c r="F75" i="5"/>
  <c r="CR75" i="5"/>
  <c r="BA75" i="5"/>
  <c r="AV155" i="5"/>
  <c r="AV143" i="5"/>
  <c r="AV147" i="5"/>
  <c r="CT166" i="5"/>
  <c r="A166" i="5"/>
  <c r="BJ166" i="5"/>
  <c r="AL166" i="5"/>
  <c r="CH166" i="5"/>
  <c r="CU166" i="5"/>
  <c r="AR166" i="5"/>
  <c r="AP166" i="5"/>
  <c r="CF166" i="5"/>
  <c r="CB166" i="5"/>
  <c r="BX166" i="5"/>
  <c r="BT166" i="5"/>
  <c r="BP166" i="5"/>
  <c r="BL166" i="5"/>
  <c r="BG166" i="5"/>
  <c r="AU166" i="5"/>
  <c r="AI166" i="5"/>
  <c r="AD166" i="5"/>
  <c r="Z166" i="5"/>
  <c r="W166" i="5"/>
  <c r="S166" i="5"/>
  <c r="O166" i="5"/>
  <c r="K166" i="5"/>
  <c r="G166" i="5"/>
  <c r="C166" i="5"/>
  <c r="CO166" i="5"/>
  <c r="BB166" i="5"/>
  <c r="AV124" i="5"/>
  <c r="AV84" i="5"/>
  <c r="CH49" i="5"/>
  <c r="CD49" i="5"/>
  <c r="BZ49" i="5"/>
  <c r="BV49" i="5"/>
  <c r="BR49" i="5"/>
  <c r="BN49" i="5"/>
  <c r="BK49" i="5"/>
  <c r="AY49" i="5"/>
  <c r="AO49" i="5"/>
  <c r="AF49" i="5"/>
  <c r="AB49" i="5"/>
  <c r="AN49" i="5"/>
  <c r="U49" i="5"/>
  <c r="Q49" i="5"/>
  <c r="M49" i="5"/>
  <c r="I49" i="5"/>
  <c r="E49" i="5"/>
  <c r="CM49" i="5"/>
  <c r="CP49" i="5"/>
  <c r="CU49" i="5"/>
  <c r="BH49" i="5"/>
  <c r="AT49" i="5"/>
  <c r="AM49" i="5"/>
  <c r="CS49" i="5"/>
  <c r="BB49" i="5"/>
  <c r="CE49" i="5"/>
  <c r="CA49" i="5"/>
  <c r="BW49" i="5"/>
  <c r="BS49" i="5"/>
  <c r="BD49" i="5"/>
  <c r="AS49" i="5"/>
  <c r="AC49" i="5"/>
  <c r="V49" i="5"/>
  <c r="N49" i="5"/>
  <c r="F49" i="5"/>
  <c r="CN49" i="5"/>
  <c r="BF49" i="5"/>
  <c r="AH49" i="5"/>
  <c r="CT49" i="5"/>
  <c r="CK49" i="5"/>
  <c r="CG49" i="5"/>
  <c r="CC49" i="5"/>
  <c r="BY49" i="5"/>
  <c r="BU49" i="5"/>
  <c r="BQ49" i="5"/>
  <c r="BM49" i="5"/>
  <c r="BI49" i="5"/>
  <c r="AW49" i="5"/>
  <c r="AK49" i="5"/>
  <c r="AE49" i="5"/>
  <c r="AA49" i="5"/>
  <c r="X49" i="5"/>
  <c r="T49" i="5"/>
  <c r="P49" i="5"/>
  <c r="L49" i="5"/>
  <c r="H49" i="5"/>
  <c r="D49" i="5"/>
  <c r="CL49" i="5"/>
  <c r="A49" i="5"/>
  <c r="CV49" i="5"/>
  <c r="BJ49" i="5"/>
  <c r="AR49" i="5"/>
  <c r="AL49" i="5"/>
  <c r="AP49" i="5"/>
  <c r="CJ49" i="5"/>
  <c r="CF49" i="5"/>
  <c r="CB49" i="5"/>
  <c r="BX49" i="5"/>
  <c r="BT49" i="5"/>
  <c r="BP49" i="5"/>
  <c r="BL49" i="5"/>
  <c r="BG49" i="5"/>
  <c r="AU49" i="5"/>
  <c r="AI49" i="5"/>
  <c r="AD49" i="5"/>
  <c r="Z49" i="5"/>
  <c r="W49" i="5"/>
  <c r="S49" i="5"/>
  <c r="O49" i="5"/>
  <c r="K49" i="5"/>
  <c r="G49" i="5"/>
  <c r="C49" i="5"/>
  <c r="CO49" i="5"/>
  <c r="CQ49" i="5"/>
  <c r="BE49" i="5"/>
  <c r="AX49" i="5"/>
  <c r="AJ49" i="5"/>
  <c r="AQ49" i="5"/>
  <c r="CI49" i="5"/>
  <c r="BO49" i="5"/>
  <c r="BC49" i="5"/>
  <c r="AG49" i="5"/>
  <c r="Y49" i="5"/>
  <c r="R49" i="5"/>
  <c r="J49" i="5"/>
  <c r="B49" i="5"/>
  <c r="CR49" i="5"/>
  <c r="AZ49" i="5"/>
  <c r="BA49" i="5"/>
  <c r="AV110" i="5"/>
  <c r="CU88" i="5"/>
  <c r="CG88" i="5"/>
  <c r="CC88" i="5"/>
  <c r="BY88" i="5"/>
  <c r="BU88" i="5"/>
  <c r="BQ88" i="5"/>
  <c r="BM88" i="5"/>
  <c r="BI88" i="5"/>
  <c r="AW88" i="5"/>
  <c r="AK88" i="5"/>
  <c r="AE88" i="5"/>
  <c r="AA88" i="5"/>
  <c r="X88" i="5"/>
  <c r="T88" i="5"/>
  <c r="P88" i="5"/>
  <c r="L88" i="5"/>
  <c r="H88" i="5"/>
  <c r="D88" i="5"/>
  <c r="CL88" i="5"/>
  <c r="AP88" i="5"/>
  <c r="CQ88" i="5"/>
  <c r="BE88" i="5"/>
  <c r="AX88" i="5"/>
  <c r="AJ88" i="5"/>
  <c r="AQ88" i="5"/>
  <c r="BB88" i="5"/>
  <c r="CI88" i="5"/>
  <c r="CT88" i="5"/>
  <c r="CJ163" i="5"/>
  <c r="CF163" i="5"/>
  <c r="CB163" i="5"/>
  <c r="BX163" i="5"/>
  <c r="BT163" i="5"/>
  <c r="BP163" i="5"/>
  <c r="BL163" i="5"/>
  <c r="BG163" i="5"/>
  <c r="AU163" i="5"/>
  <c r="AI163" i="5"/>
  <c r="AD163" i="5"/>
  <c r="Z163" i="5"/>
  <c r="W163" i="5"/>
  <c r="S163" i="5"/>
  <c r="O163" i="5"/>
  <c r="K163" i="5"/>
  <c r="G163" i="5"/>
  <c r="C163" i="5"/>
  <c r="CO163" i="5"/>
  <c r="CQ163" i="5"/>
  <c r="BE163" i="5"/>
  <c r="AX163" i="5"/>
  <c r="AJ163" i="5"/>
  <c r="AQ163" i="5"/>
  <c r="BB163" i="5"/>
  <c r="CI163" i="5"/>
  <c r="CE163" i="5"/>
  <c r="CA163" i="5"/>
  <c r="BW163" i="5"/>
  <c r="BS163" i="5"/>
  <c r="BO163" i="5"/>
  <c r="BD163" i="5"/>
  <c r="BC163" i="5"/>
  <c r="AS163" i="5"/>
  <c r="AG163" i="5"/>
  <c r="AC163" i="5"/>
  <c r="Y163" i="5"/>
  <c r="V163" i="5"/>
  <c r="R163" i="5"/>
  <c r="N163" i="5"/>
  <c r="J163" i="5"/>
  <c r="F163" i="5"/>
  <c r="B163" i="5"/>
  <c r="CN163" i="5"/>
  <c r="CR163" i="5"/>
  <c r="CT163" i="5"/>
  <c r="CH163" i="5"/>
  <c r="CD163" i="5"/>
  <c r="BZ163" i="5"/>
  <c r="BV163" i="5"/>
  <c r="BR163" i="5"/>
  <c r="BN163" i="5"/>
  <c r="BK163" i="5"/>
  <c r="AY163" i="5"/>
  <c r="AO163" i="5"/>
  <c r="AF163" i="5"/>
  <c r="AB163" i="5"/>
  <c r="AN163" i="5"/>
  <c r="U163" i="5"/>
  <c r="Q163" i="5"/>
  <c r="M163" i="5"/>
  <c r="I163" i="5"/>
  <c r="E163" i="5"/>
  <c r="CM163" i="5"/>
  <c r="CP163" i="5"/>
  <c r="CU163" i="5"/>
  <c r="CK163" i="5"/>
  <c r="CG163" i="5"/>
  <c r="CC163" i="5"/>
  <c r="BY163" i="5"/>
  <c r="BU163" i="5"/>
  <c r="BQ163" i="5"/>
  <c r="BM163" i="5"/>
  <c r="BI163" i="5"/>
  <c r="AW163" i="5"/>
  <c r="AK163" i="5"/>
  <c r="AE163" i="5"/>
  <c r="AA163" i="5"/>
  <c r="X163" i="5"/>
  <c r="T163" i="5"/>
  <c r="P163" i="5"/>
  <c r="L163" i="5"/>
  <c r="H163" i="5"/>
  <c r="D163" i="5"/>
  <c r="CL163" i="5"/>
  <c r="A163" i="5"/>
  <c r="CV163" i="5"/>
  <c r="BJ163" i="5"/>
  <c r="AR163" i="5"/>
  <c r="AL163" i="5"/>
  <c r="AP163" i="5"/>
  <c r="AV162" i="5"/>
  <c r="AV130" i="5"/>
  <c r="AV136" i="5"/>
  <c r="AV135" i="5"/>
  <c r="CH164" i="5"/>
  <c r="CD164" i="5"/>
  <c r="BZ164" i="5"/>
  <c r="BV164" i="5"/>
  <c r="BR164" i="5"/>
  <c r="BN164" i="5"/>
  <c r="BK164" i="5"/>
  <c r="AY164" i="5"/>
  <c r="AO164" i="5"/>
  <c r="AF164" i="5"/>
  <c r="AB164" i="5"/>
  <c r="AN164" i="5"/>
  <c r="U164" i="5"/>
  <c r="Q164" i="5"/>
  <c r="M164" i="5"/>
  <c r="I164" i="5"/>
  <c r="E164" i="5"/>
  <c r="CM164" i="5"/>
  <c r="CP164" i="5"/>
  <c r="CU164" i="5"/>
  <c r="BH164" i="5"/>
  <c r="AT164" i="5"/>
  <c r="AM164" i="5"/>
  <c r="CS164" i="5"/>
  <c r="CF164" i="5"/>
  <c r="BT164" i="5"/>
  <c r="BL164" i="5"/>
  <c r="AU164" i="5"/>
  <c r="AD164" i="5"/>
  <c r="W164" i="5"/>
  <c r="O164" i="5"/>
  <c r="G164" i="5"/>
  <c r="C164" i="5"/>
  <c r="CQ164" i="5"/>
  <c r="CE164" i="5"/>
  <c r="BO164" i="5"/>
  <c r="AS164" i="5"/>
  <c r="AC164" i="5"/>
  <c r="V164" i="5"/>
  <c r="N164" i="5"/>
  <c r="J164" i="5"/>
  <c r="B164" i="5"/>
  <c r="CR164" i="5"/>
  <c r="AZ164" i="5"/>
  <c r="BA164" i="5"/>
  <c r="CK164" i="5"/>
  <c r="CG164" i="5"/>
  <c r="CC164" i="5"/>
  <c r="BY164" i="5"/>
  <c r="BU164" i="5"/>
  <c r="BQ164" i="5"/>
  <c r="BM164" i="5"/>
  <c r="BI164" i="5"/>
  <c r="AW164" i="5"/>
  <c r="AK164" i="5"/>
  <c r="AE164" i="5"/>
  <c r="AA164" i="5"/>
  <c r="X164" i="5"/>
  <c r="T164" i="5"/>
  <c r="P164" i="5"/>
  <c r="L164" i="5"/>
  <c r="H164" i="5"/>
  <c r="D164" i="5"/>
  <c r="CL164" i="5"/>
  <c r="A164" i="5"/>
  <c r="CV164" i="5"/>
  <c r="BJ164" i="5"/>
  <c r="AR164" i="5"/>
  <c r="AL164" i="5"/>
  <c r="AP164" i="5"/>
  <c r="CJ164" i="5"/>
  <c r="CB164" i="5"/>
  <c r="BX164" i="5"/>
  <c r="BP164" i="5"/>
  <c r="BG164" i="5"/>
  <c r="AI164" i="5"/>
  <c r="Z164" i="5"/>
  <c r="S164" i="5"/>
  <c r="K164" i="5"/>
  <c r="CO164" i="5"/>
  <c r="BE164" i="5"/>
  <c r="AX164" i="5"/>
  <c r="AJ164" i="5"/>
  <c r="AQ164" i="5"/>
  <c r="BB164" i="5"/>
  <c r="CI164" i="5"/>
  <c r="CA164" i="5"/>
  <c r="BW164" i="5"/>
  <c r="BS164" i="5"/>
  <c r="BD164" i="5"/>
  <c r="BC164" i="5"/>
  <c r="AG164" i="5"/>
  <c r="Y164" i="5"/>
  <c r="R164" i="5"/>
  <c r="F164" i="5"/>
  <c r="CN164" i="5"/>
  <c r="BF164" i="5"/>
  <c r="AH164" i="5"/>
  <c r="CT164" i="5"/>
  <c r="CH157" i="5"/>
  <c r="CU157" i="5"/>
  <c r="BM157" i="5"/>
  <c r="P157" i="5"/>
  <c r="AP157" i="5"/>
  <c r="F157" i="5"/>
  <c r="CT157" i="5"/>
  <c r="BX157" i="5"/>
  <c r="Z157" i="5"/>
  <c r="CO157" i="5"/>
  <c r="BB157" i="5"/>
  <c r="AS157" i="5"/>
  <c r="AV49" i="5"/>
  <c r="CH52" i="5"/>
  <c r="CD52" i="5"/>
  <c r="BZ52" i="5"/>
  <c r="BV52" i="5"/>
  <c r="BR52" i="5"/>
  <c r="BN52" i="5"/>
  <c r="BK52" i="5"/>
  <c r="AY52" i="5"/>
  <c r="AO52" i="5"/>
  <c r="AF52" i="5"/>
  <c r="AB52" i="5"/>
  <c r="AN52" i="5"/>
  <c r="U52" i="5"/>
  <c r="Q52" i="5"/>
  <c r="M52" i="5"/>
  <c r="I52" i="5"/>
  <c r="E52" i="5"/>
  <c r="CM52" i="5"/>
  <c r="CP52" i="5"/>
  <c r="CU52" i="5"/>
  <c r="BH52" i="5"/>
  <c r="AT52" i="5"/>
  <c r="AM52" i="5"/>
  <c r="CS52" i="5"/>
  <c r="CK52" i="5"/>
  <c r="CG52" i="5"/>
  <c r="CC52" i="5"/>
  <c r="BY52" i="5"/>
  <c r="BU52" i="5"/>
  <c r="BQ52" i="5"/>
  <c r="BM52" i="5"/>
  <c r="BI52" i="5"/>
  <c r="AW52" i="5"/>
  <c r="AK52" i="5"/>
  <c r="AE52" i="5"/>
  <c r="AA52" i="5"/>
  <c r="X52" i="5"/>
  <c r="T52" i="5"/>
  <c r="P52" i="5"/>
  <c r="L52" i="5"/>
  <c r="H52" i="5"/>
  <c r="D52" i="5"/>
  <c r="CL52" i="5"/>
  <c r="A52" i="5"/>
  <c r="CV52" i="5"/>
  <c r="BJ52" i="5"/>
  <c r="AR52" i="5"/>
  <c r="AL52" i="5"/>
  <c r="AP52" i="5"/>
  <c r="CJ52" i="5"/>
  <c r="CF52" i="5"/>
  <c r="CB52" i="5"/>
  <c r="BX52" i="5"/>
  <c r="BT52" i="5"/>
  <c r="BP52" i="5"/>
  <c r="BL52" i="5"/>
  <c r="BG52" i="5"/>
  <c r="AU52" i="5"/>
  <c r="AI52" i="5"/>
  <c r="AD52" i="5"/>
  <c r="Z52" i="5"/>
  <c r="W52" i="5"/>
  <c r="S52" i="5"/>
  <c r="O52" i="5"/>
  <c r="K52" i="5"/>
  <c r="G52" i="5"/>
  <c r="C52" i="5"/>
  <c r="CO52" i="5"/>
  <c r="CQ52" i="5"/>
  <c r="BE52" i="5"/>
  <c r="AX52" i="5"/>
  <c r="AJ52" i="5"/>
  <c r="AQ52" i="5"/>
  <c r="BB52" i="5"/>
  <c r="CI52" i="5"/>
  <c r="CE52" i="5"/>
  <c r="CA52" i="5"/>
  <c r="BW52" i="5"/>
  <c r="BS52" i="5"/>
  <c r="BO52" i="5"/>
  <c r="BD52" i="5"/>
  <c r="BC52" i="5"/>
  <c r="AS52" i="5"/>
  <c r="AG52" i="5"/>
  <c r="AC52" i="5"/>
  <c r="Y52" i="5"/>
  <c r="V52" i="5"/>
  <c r="R52" i="5"/>
  <c r="N52" i="5"/>
  <c r="J52" i="5"/>
  <c r="F52" i="5"/>
  <c r="B52" i="5"/>
  <c r="CN52" i="5"/>
  <c r="CR52" i="5"/>
  <c r="BF52" i="5"/>
  <c r="AZ52" i="5"/>
  <c r="AH52" i="5"/>
  <c r="BA52" i="5"/>
  <c r="CT52" i="5"/>
  <c r="AV53" i="5"/>
  <c r="AV157" i="5"/>
  <c r="AV117" i="5"/>
  <c r="AP80" i="5"/>
  <c r="CJ80" i="5"/>
  <c r="BB80" i="5"/>
  <c r="CE80" i="5"/>
  <c r="CA80" i="5"/>
  <c r="BW80" i="5"/>
  <c r="BS80" i="5"/>
  <c r="BO80" i="5"/>
  <c r="BD80" i="5"/>
  <c r="BC80" i="5"/>
  <c r="AS80" i="5"/>
  <c r="AG80" i="5"/>
  <c r="AC80" i="5"/>
  <c r="Y80" i="5"/>
  <c r="V80" i="5"/>
  <c r="R80" i="5"/>
  <c r="N80" i="5"/>
  <c r="J80" i="5"/>
  <c r="F80" i="5"/>
  <c r="B80" i="5"/>
  <c r="CN80" i="5"/>
  <c r="CT80" i="5"/>
  <c r="CU80" i="5"/>
  <c r="AS94" i="5"/>
  <c r="F94" i="5"/>
  <c r="CT94" i="5"/>
  <c r="CU94" i="5"/>
  <c r="AP94" i="5"/>
  <c r="BB94" i="5"/>
  <c r="AV145" i="5"/>
  <c r="CK168" i="5"/>
  <c r="CG168" i="5"/>
  <c r="CC168" i="5"/>
  <c r="BY168" i="5"/>
  <c r="BU168" i="5"/>
  <c r="BQ168" i="5"/>
  <c r="BM168" i="5"/>
  <c r="BI168" i="5"/>
  <c r="AW168" i="5"/>
  <c r="AK168" i="5"/>
  <c r="AE168" i="5"/>
  <c r="AA168" i="5"/>
  <c r="X168" i="5"/>
  <c r="T168" i="5"/>
  <c r="P168" i="5"/>
  <c r="L168" i="5"/>
  <c r="H168" i="5"/>
  <c r="D168" i="5"/>
  <c r="CL168" i="5"/>
  <c r="A168" i="5"/>
  <c r="CV168" i="5"/>
  <c r="BJ168" i="5"/>
  <c r="AR168" i="5"/>
  <c r="AL168" i="5"/>
  <c r="AP168" i="5"/>
  <c r="CJ168" i="5"/>
  <c r="CF168" i="5"/>
  <c r="CB168" i="5"/>
  <c r="BX168" i="5"/>
  <c r="BT168" i="5"/>
  <c r="BP168" i="5"/>
  <c r="BL168" i="5"/>
  <c r="BG168" i="5"/>
  <c r="AU168" i="5"/>
  <c r="AI168" i="5"/>
  <c r="AD168" i="5"/>
  <c r="Z168" i="5"/>
  <c r="W168" i="5"/>
  <c r="S168" i="5"/>
  <c r="O168" i="5"/>
  <c r="K168" i="5"/>
  <c r="G168" i="5"/>
  <c r="C168" i="5"/>
  <c r="CO168" i="5"/>
  <c r="CQ168" i="5"/>
  <c r="BE168" i="5"/>
  <c r="AX168" i="5"/>
  <c r="AJ168" i="5"/>
  <c r="AQ168" i="5"/>
  <c r="BB168" i="5"/>
  <c r="CI168" i="5"/>
  <c r="CE168" i="5"/>
  <c r="CA168" i="5"/>
  <c r="BW168" i="5"/>
  <c r="BS168" i="5"/>
  <c r="BO168" i="5"/>
  <c r="BD168" i="5"/>
  <c r="BC168" i="5"/>
  <c r="AS168" i="5"/>
  <c r="AG168" i="5"/>
  <c r="AC168" i="5"/>
  <c r="Y168" i="5"/>
  <c r="V168" i="5"/>
  <c r="R168" i="5"/>
  <c r="N168" i="5"/>
  <c r="J168" i="5"/>
  <c r="F168" i="5"/>
  <c r="B168" i="5"/>
  <c r="CN168" i="5"/>
  <c r="CR168" i="5"/>
  <c r="BF168" i="5"/>
  <c r="AZ168" i="5"/>
  <c r="AH168" i="5"/>
  <c r="BA168" i="5"/>
  <c r="CT168" i="5"/>
  <c r="CH168" i="5"/>
  <c r="CD168" i="5"/>
  <c r="BZ168" i="5"/>
  <c r="BV168" i="5"/>
  <c r="BR168" i="5"/>
  <c r="BN168" i="5"/>
  <c r="BK168" i="5"/>
  <c r="AY168" i="5"/>
  <c r="AO168" i="5"/>
  <c r="AF168" i="5"/>
  <c r="AB168" i="5"/>
  <c r="AN168" i="5"/>
  <c r="U168" i="5"/>
  <c r="Q168" i="5"/>
  <c r="M168" i="5"/>
  <c r="I168" i="5"/>
  <c r="E168" i="5"/>
  <c r="CM168" i="5"/>
  <c r="CP168" i="5"/>
  <c r="CU168" i="5"/>
  <c r="BH168" i="5"/>
  <c r="AT168" i="5"/>
  <c r="AM168" i="5"/>
  <c r="CS168" i="5"/>
  <c r="CT158" i="5"/>
  <c r="BB158" i="5"/>
  <c r="CU158" i="5"/>
  <c r="AT158" i="5"/>
  <c r="CS158" i="5"/>
  <c r="BY158" i="5"/>
  <c r="BI158" i="5"/>
  <c r="AE158" i="5"/>
  <c r="AA158" i="5"/>
  <c r="L158" i="5"/>
  <c r="AP158" i="5"/>
  <c r="AV129" i="5"/>
  <c r="CI170" i="5"/>
  <c r="CT170" i="5"/>
  <c r="A170" i="5"/>
  <c r="AP170" i="5"/>
  <c r="AO170" i="5"/>
  <c r="E170" i="5"/>
  <c r="CU170" i="5"/>
  <c r="CV170" i="5"/>
  <c r="BB170" i="5"/>
  <c r="CH82" i="5"/>
  <c r="CD82" i="5"/>
  <c r="BZ82" i="5"/>
  <c r="BV82" i="5"/>
  <c r="BR82" i="5"/>
  <c r="BN82" i="5"/>
  <c r="BK82" i="5"/>
  <c r="AY82" i="5"/>
  <c r="AO82" i="5"/>
  <c r="AF82" i="5"/>
  <c r="AB82" i="5"/>
  <c r="AN82" i="5"/>
  <c r="U82" i="5"/>
  <c r="Q82" i="5"/>
  <c r="M82" i="5"/>
  <c r="I82" i="5"/>
  <c r="E82" i="5"/>
  <c r="CM82" i="5"/>
  <c r="CP82" i="5"/>
  <c r="CU82" i="5"/>
  <c r="BH82" i="5"/>
  <c r="AT82" i="5"/>
  <c r="AM82" i="5"/>
  <c r="CS82" i="5"/>
  <c r="CJ82" i="5"/>
  <c r="CF82" i="5"/>
  <c r="CB82" i="5"/>
  <c r="BX82" i="5"/>
  <c r="BP82" i="5"/>
  <c r="BL82" i="5"/>
  <c r="BG82" i="5"/>
  <c r="AU82" i="5"/>
  <c r="AI82" i="5"/>
  <c r="AD82" i="5"/>
  <c r="Z82" i="5"/>
  <c r="W82" i="5"/>
  <c r="S82" i="5"/>
  <c r="O82" i="5"/>
  <c r="K82" i="5"/>
  <c r="G82" i="5"/>
  <c r="C82" i="5"/>
  <c r="CO82" i="5"/>
  <c r="CQ82" i="5"/>
  <c r="BE82" i="5"/>
  <c r="AX82" i="5"/>
  <c r="AJ82" i="5"/>
  <c r="AQ82" i="5"/>
  <c r="BB82" i="5"/>
  <c r="CE82" i="5"/>
  <c r="BW82" i="5"/>
  <c r="BO82" i="5"/>
  <c r="BC82" i="5"/>
  <c r="AG82" i="5"/>
  <c r="Y82" i="5"/>
  <c r="N82" i="5"/>
  <c r="F82" i="5"/>
  <c r="CN82" i="5"/>
  <c r="BF82" i="5"/>
  <c r="AH82" i="5"/>
  <c r="CT82" i="5"/>
  <c r="CK82" i="5"/>
  <c r="CG82" i="5"/>
  <c r="CC82" i="5"/>
  <c r="BY82" i="5"/>
  <c r="BU82" i="5"/>
  <c r="BQ82" i="5"/>
  <c r="BM82" i="5"/>
  <c r="BI82" i="5"/>
  <c r="AW82" i="5"/>
  <c r="AK82" i="5"/>
  <c r="AE82" i="5"/>
  <c r="AA82" i="5"/>
  <c r="X82" i="5"/>
  <c r="T82" i="5"/>
  <c r="P82" i="5"/>
  <c r="L82" i="5"/>
  <c r="H82" i="5"/>
  <c r="D82" i="5"/>
  <c r="CL82" i="5"/>
  <c r="A82" i="5"/>
  <c r="CV82" i="5"/>
  <c r="BJ82" i="5"/>
  <c r="AR82" i="5"/>
  <c r="AL82" i="5"/>
  <c r="AP82" i="5"/>
  <c r="BT82" i="5"/>
  <c r="CI82" i="5"/>
  <c r="CA82" i="5"/>
  <c r="BS82" i="5"/>
  <c r="BD82" i="5"/>
  <c r="AS82" i="5"/>
  <c r="AC82" i="5"/>
  <c r="V82" i="5"/>
  <c r="R82" i="5"/>
  <c r="J82" i="5"/>
  <c r="B82" i="5"/>
  <c r="CR82" i="5"/>
  <c r="AZ82" i="5"/>
  <c r="BA82" i="5"/>
  <c r="CK162" i="5"/>
  <c r="CG162" i="5"/>
  <c r="CC162" i="5"/>
  <c r="BY162" i="5"/>
  <c r="BU162" i="5"/>
  <c r="BQ162" i="5"/>
  <c r="BM162" i="5"/>
  <c r="BI162" i="5"/>
  <c r="AW162" i="5"/>
  <c r="AK162" i="5"/>
  <c r="AE162" i="5"/>
  <c r="AA162" i="5"/>
  <c r="X162" i="5"/>
  <c r="T162" i="5"/>
  <c r="P162" i="5"/>
  <c r="L162" i="5"/>
  <c r="H162" i="5"/>
  <c r="D162" i="5"/>
  <c r="CL162" i="5"/>
  <c r="A162" i="5"/>
  <c r="CV162" i="5"/>
  <c r="BJ162" i="5"/>
  <c r="AR162" i="5"/>
  <c r="AL162" i="5"/>
  <c r="AP162" i="5"/>
  <c r="CJ162" i="5"/>
  <c r="CF162" i="5"/>
  <c r="CB162" i="5"/>
  <c r="BX162" i="5"/>
  <c r="BT162" i="5"/>
  <c r="BP162" i="5"/>
  <c r="BL162" i="5"/>
  <c r="BG162" i="5"/>
  <c r="AU162" i="5"/>
  <c r="AI162" i="5"/>
  <c r="AD162" i="5"/>
  <c r="Z162" i="5"/>
  <c r="W162" i="5"/>
  <c r="S162" i="5"/>
  <c r="O162" i="5"/>
  <c r="K162" i="5"/>
  <c r="G162" i="5"/>
  <c r="C162" i="5"/>
  <c r="CO162" i="5"/>
  <c r="CQ162" i="5"/>
  <c r="BE162" i="5"/>
  <c r="AX162" i="5"/>
  <c r="AJ162" i="5"/>
  <c r="AQ162" i="5"/>
  <c r="BB162" i="5"/>
  <c r="CI162" i="5"/>
  <c r="CE162" i="5"/>
  <c r="CA162" i="5"/>
  <c r="BW162" i="5"/>
  <c r="BS162" i="5"/>
  <c r="BO162" i="5"/>
  <c r="BD162" i="5"/>
  <c r="BC162" i="5"/>
  <c r="AS162" i="5"/>
  <c r="AG162" i="5"/>
  <c r="AC162" i="5"/>
  <c r="Y162" i="5"/>
  <c r="V162" i="5"/>
  <c r="R162" i="5"/>
  <c r="N162" i="5"/>
  <c r="J162" i="5"/>
  <c r="F162" i="5"/>
  <c r="B162" i="5"/>
  <c r="CN162" i="5"/>
  <c r="CH162" i="5"/>
  <c r="BR162" i="5"/>
  <c r="AO162" i="5"/>
  <c r="U162" i="5"/>
  <c r="E162" i="5"/>
  <c r="CU162" i="5"/>
  <c r="AT162" i="5"/>
  <c r="CS162" i="5"/>
  <c r="CD162" i="5"/>
  <c r="BN162" i="5"/>
  <c r="AF162" i="5"/>
  <c r="Q162" i="5"/>
  <c r="CM162" i="5"/>
  <c r="BF162" i="5"/>
  <c r="AH162" i="5"/>
  <c r="CT162" i="5"/>
  <c r="BZ162" i="5"/>
  <c r="BK162" i="5"/>
  <c r="AB162" i="5"/>
  <c r="M162" i="5"/>
  <c r="CP162" i="5"/>
  <c r="BH162" i="5"/>
  <c r="AM162" i="5"/>
  <c r="BV162" i="5"/>
  <c r="AY162" i="5"/>
  <c r="AN162" i="5"/>
  <c r="I162" i="5"/>
  <c r="CR162" i="5"/>
  <c r="AZ162" i="5"/>
  <c r="BA162" i="5"/>
  <c r="AV154" i="5"/>
  <c r="AV106" i="5"/>
  <c r="CK93" i="5"/>
  <c r="CG93" i="5"/>
  <c r="CC93" i="5"/>
  <c r="BY93" i="5"/>
  <c r="BU93" i="5"/>
  <c r="BQ93" i="5"/>
  <c r="BM93" i="5"/>
  <c r="BI93" i="5"/>
  <c r="AW93" i="5"/>
  <c r="AK93" i="5"/>
  <c r="AE93" i="5"/>
  <c r="AA93" i="5"/>
  <c r="X93" i="5"/>
  <c r="T93" i="5"/>
  <c r="P93" i="5"/>
  <c r="L93" i="5"/>
  <c r="H93" i="5"/>
  <c r="D93" i="5"/>
  <c r="CL93" i="5"/>
  <c r="A93" i="5"/>
  <c r="AP93" i="5"/>
  <c r="BZ93" i="5"/>
  <c r="BR93" i="5"/>
  <c r="AY93" i="5"/>
  <c r="AN93" i="5"/>
  <c r="I93" i="5"/>
  <c r="CP93" i="5"/>
  <c r="BE93" i="5"/>
  <c r="AX93" i="5"/>
  <c r="AJ93" i="5"/>
  <c r="AQ93" i="5"/>
  <c r="BB93" i="5"/>
  <c r="CH93" i="5"/>
  <c r="BV93" i="5"/>
  <c r="BK93" i="5"/>
  <c r="AO93" i="5"/>
  <c r="AB93" i="5"/>
  <c r="Q93" i="5"/>
  <c r="E93" i="5"/>
  <c r="CU93" i="5"/>
  <c r="CR93" i="5"/>
  <c r="CT93" i="5"/>
  <c r="CD93" i="5"/>
  <c r="BN93" i="5"/>
  <c r="AF93" i="5"/>
  <c r="U93" i="5"/>
  <c r="M93" i="5"/>
  <c r="CM93" i="5"/>
  <c r="CI152" i="5"/>
  <c r="CE152" i="5"/>
  <c r="CA152" i="5"/>
  <c r="BW152" i="5"/>
  <c r="BS152" i="5"/>
  <c r="BO152" i="5"/>
  <c r="BD152" i="5"/>
  <c r="BC152" i="5"/>
  <c r="AS152" i="5"/>
  <c r="AG152" i="5"/>
  <c r="AC152" i="5"/>
  <c r="Y152" i="5"/>
  <c r="V152" i="5"/>
  <c r="R152" i="5"/>
  <c r="N152" i="5"/>
  <c r="J152" i="5"/>
  <c r="F152" i="5"/>
  <c r="B152" i="5"/>
  <c r="CN152" i="5"/>
  <c r="CR152" i="5"/>
  <c r="BF152" i="5"/>
  <c r="AZ152" i="5"/>
  <c r="AH152" i="5"/>
  <c r="BA152" i="5"/>
  <c r="CT152" i="5"/>
  <c r="CJ152" i="5"/>
  <c r="AI152" i="5"/>
  <c r="O152" i="5"/>
  <c r="CO152" i="5"/>
  <c r="AX152" i="5"/>
  <c r="AQ152" i="5"/>
  <c r="CH152" i="5"/>
  <c r="CD152" i="5"/>
  <c r="BZ152" i="5"/>
  <c r="BV152" i="5"/>
  <c r="BR152" i="5"/>
  <c r="BN152" i="5"/>
  <c r="BK152" i="5"/>
  <c r="AY152" i="5"/>
  <c r="AO152" i="5"/>
  <c r="AF152" i="5"/>
  <c r="AB152" i="5"/>
  <c r="AN152" i="5"/>
  <c r="U152" i="5"/>
  <c r="Q152" i="5"/>
  <c r="M152" i="5"/>
  <c r="I152" i="5"/>
  <c r="E152" i="5"/>
  <c r="CM152" i="5"/>
  <c r="CP152" i="5"/>
  <c r="CU152" i="5"/>
  <c r="BH152" i="5"/>
  <c r="AT152" i="5"/>
  <c r="AM152" i="5"/>
  <c r="CS152" i="5"/>
  <c r="CB152" i="5"/>
  <c r="BT152" i="5"/>
  <c r="BL152" i="5"/>
  <c r="AU152" i="5"/>
  <c r="Z152" i="5"/>
  <c r="S152" i="5"/>
  <c r="G152" i="5"/>
  <c r="CQ152" i="5"/>
  <c r="CK152" i="5"/>
  <c r="CG152" i="5"/>
  <c r="CC152" i="5"/>
  <c r="BY152" i="5"/>
  <c r="BU152" i="5"/>
  <c r="BQ152" i="5"/>
  <c r="BM152" i="5"/>
  <c r="BI152" i="5"/>
  <c r="AW152" i="5"/>
  <c r="AK152" i="5"/>
  <c r="AE152" i="5"/>
  <c r="AA152" i="5"/>
  <c r="X152" i="5"/>
  <c r="T152" i="5"/>
  <c r="P152" i="5"/>
  <c r="L152" i="5"/>
  <c r="H152" i="5"/>
  <c r="D152" i="5"/>
  <c r="CL152" i="5"/>
  <c r="A152" i="5"/>
  <c r="CV152" i="5"/>
  <c r="BJ152" i="5"/>
  <c r="AR152" i="5"/>
  <c r="AL152" i="5"/>
  <c r="AP152" i="5"/>
  <c r="CF152" i="5"/>
  <c r="BX152" i="5"/>
  <c r="BP152" i="5"/>
  <c r="BG152" i="5"/>
  <c r="AD152" i="5"/>
  <c r="W152" i="5"/>
  <c r="K152" i="5"/>
  <c r="C152" i="5"/>
  <c r="BE152" i="5"/>
  <c r="AJ152" i="5"/>
  <c r="BB152" i="5"/>
  <c r="AP114" i="5"/>
  <c r="BB114" i="5"/>
  <c r="CT114" i="5"/>
  <c r="AO114" i="5"/>
  <c r="AN114" i="5"/>
  <c r="CU114" i="5"/>
  <c r="CH51" i="5"/>
  <c r="CD51" i="5"/>
  <c r="BZ51" i="5"/>
  <c r="BV51" i="5"/>
  <c r="BR51" i="5"/>
  <c r="BN51" i="5"/>
  <c r="BK51" i="5"/>
  <c r="AY51" i="5"/>
  <c r="AO51" i="5"/>
  <c r="AF51" i="5"/>
  <c r="AB51" i="5"/>
  <c r="AN51" i="5"/>
  <c r="U51" i="5"/>
  <c r="Q51" i="5"/>
  <c r="M51" i="5"/>
  <c r="I51" i="5"/>
  <c r="E51" i="5"/>
  <c r="CM51" i="5"/>
  <c r="CP51" i="5"/>
  <c r="CU51" i="5"/>
  <c r="BH51" i="5"/>
  <c r="AT51" i="5"/>
  <c r="AM51" i="5"/>
  <c r="CS51" i="5"/>
  <c r="CJ51" i="5"/>
  <c r="CF51" i="5"/>
  <c r="CB51" i="5"/>
  <c r="BX51" i="5"/>
  <c r="BT51" i="5"/>
  <c r="BP51" i="5"/>
  <c r="BL51" i="5"/>
  <c r="BG51" i="5"/>
  <c r="AU51" i="5"/>
  <c r="AI51" i="5"/>
  <c r="AD51" i="5"/>
  <c r="Z51" i="5"/>
  <c r="W51" i="5"/>
  <c r="S51" i="5"/>
  <c r="O51" i="5"/>
  <c r="K51" i="5"/>
  <c r="G51" i="5"/>
  <c r="C51" i="5"/>
  <c r="CO51" i="5"/>
  <c r="CQ51" i="5"/>
  <c r="BE51" i="5"/>
  <c r="AX51" i="5"/>
  <c r="AJ51" i="5"/>
  <c r="AQ51" i="5"/>
  <c r="BB51" i="5"/>
  <c r="CI51" i="5"/>
  <c r="CA51" i="5"/>
  <c r="BW51" i="5"/>
  <c r="BS51" i="5"/>
  <c r="BD51" i="5"/>
  <c r="BC51" i="5"/>
  <c r="AS51" i="5"/>
  <c r="AC51" i="5"/>
  <c r="V51" i="5"/>
  <c r="R51" i="5"/>
  <c r="J51" i="5"/>
  <c r="B51" i="5"/>
  <c r="CR51" i="5"/>
  <c r="AZ51" i="5"/>
  <c r="BA51" i="5"/>
  <c r="CK51" i="5"/>
  <c r="CG51" i="5"/>
  <c r="CC51" i="5"/>
  <c r="BY51" i="5"/>
  <c r="BU51" i="5"/>
  <c r="BQ51" i="5"/>
  <c r="BM51" i="5"/>
  <c r="BI51" i="5"/>
  <c r="AW51" i="5"/>
  <c r="AK51" i="5"/>
  <c r="AE51" i="5"/>
  <c r="AA51" i="5"/>
  <c r="X51" i="5"/>
  <c r="T51" i="5"/>
  <c r="P51" i="5"/>
  <c r="L51" i="5"/>
  <c r="H51" i="5"/>
  <c r="D51" i="5"/>
  <c r="CL51" i="5"/>
  <c r="A51" i="5"/>
  <c r="CV51" i="5"/>
  <c r="BJ51" i="5"/>
  <c r="AR51" i="5"/>
  <c r="AL51" i="5"/>
  <c r="AP51" i="5"/>
  <c r="CE51" i="5"/>
  <c r="BO51" i="5"/>
  <c r="AG51" i="5"/>
  <c r="Y51" i="5"/>
  <c r="N51" i="5"/>
  <c r="F51" i="5"/>
  <c r="CN51" i="5"/>
  <c r="BF51" i="5"/>
  <c r="AH51" i="5"/>
  <c r="CT51" i="5"/>
  <c r="AP41" i="5"/>
  <c r="CT41" i="5"/>
  <c r="BB41" i="5"/>
  <c r="CU41" i="5"/>
  <c r="CK160" i="5"/>
  <c r="CC160" i="5"/>
  <c r="BY160" i="5"/>
  <c r="AE160" i="5"/>
  <c r="AA160" i="5"/>
  <c r="L160" i="5"/>
  <c r="CL160" i="5"/>
  <c r="A160" i="5"/>
  <c r="AP160" i="5"/>
  <c r="CJ160" i="5"/>
  <c r="CF160" i="5"/>
  <c r="CB160" i="5"/>
  <c r="BX160" i="5"/>
  <c r="BT160" i="5"/>
  <c r="BP160" i="5"/>
  <c r="BL160" i="5"/>
  <c r="BG160" i="5"/>
  <c r="AU160" i="5"/>
  <c r="AI160" i="5"/>
  <c r="AD160" i="5"/>
  <c r="Z160" i="5"/>
  <c r="W160" i="5"/>
  <c r="S160" i="5"/>
  <c r="O160" i="5"/>
  <c r="K160" i="5"/>
  <c r="G160" i="5"/>
  <c r="C160" i="5"/>
  <c r="CO160" i="5"/>
  <c r="BE160" i="5"/>
  <c r="BB160" i="5"/>
  <c r="CH160" i="5"/>
  <c r="AF160" i="5"/>
  <c r="CM160" i="5"/>
  <c r="CU160" i="5"/>
  <c r="AT160" i="5"/>
  <c r="CS160" i="5"/>
  <c r="CE160" i="5"/>
  <c r="CA160" i="5"/>
  <c r="BW160" i="5"/>
  <c r="BS160" i="5"/>
  <c r="BO160" i="5"/>
  <c r="BD160" i="5"/>
  <c r="BC160" i="5"/>
  <c r="AS160" i="5"/>
  <c r="AG160" i="5"/>
  <c r="AC160" i="5"/>
  <c r="Y160" i="5"/>
  <c r="V160" i="5"/>
  <c r="R160" i="5"/>
  <c r="N160" i="5"/>
  <c r="J160" i="5"/>
  <c r="F160" i="5"/>
  <c r="B160" i="5"/>
  <c r="CN160" i="5"/>
  <c r="CR160" i="5"/>
  <c r="BF160" i="5"/>
  <c r="AZ160" i="5"/>
  <c r="AH160" i="5"/>
  <c r="BA160" i="5"/>
  <c r="CT160" i="5"/>
  <c r="CD160" i="5"/>
  <c r="AO160" i="5"/>
  <c r="U160" i="5"/>
  <c r="BH160" i="5"/>
  <c r="AM160" i="5"/>
  <c r="CI146" i="5"/>
  <c r="CE146" i="5"/>
  <c r="CA146" i="5"/>
  <c r="BW146" i="5"/>
  <c r="BS146" i="5"/>
  <c r="BO146" i="5"/>
  <c r="BD146" i="5"/>
  <c r="BC146" i="5"/>
  <c r="AS146" i="5"/>
  <c r="AG146" i="5"/>
  <c r="AC146" i="5"/>
  <c r="Y146" i="5"/>
  <c r="V146" i="5"/>
  <c r="R146" i="5"/>
  <c r="N146" i="5"/>
  <c r="J146" i="5"/>
  <c r="F146" i="5"/>
  <c r="B146" i="5"/>
  <c r="CN146" i="5"/>
  <c r="BF146" i="5"/>
  <c r="AZ146" i="5"/>
  <c r="AH146" i="5"/>
  <c r="BA146" i="5"/>
  <c r="CT146" i="5"/>
  <c r="AP146" i="5"/>
  <c r="BB146" i="5"/>
  <c r="CU146" i="5"/>
  <c r="A146" i="5"/>
  <c r="AV167" i="5"/>
  <c r="AV169" i="5"/>
  <c r="AV163" i="5"/>
  <c r="CT144" i="5"/>
  <c r="CU144" i="5"/>
  <c r="CJ144" i="5"/>
  <c r="BB144" i="5"/>
  <c r="CC144" i="5"/>
  <c r="BM144" i="5"/>
  <c r="AE144" i="5"/>
  <c r="CL144" i="5"/>
  <c r="AP144" i="5"/>
  <c r="CT150" i="5"/>
  <c r="CU150" i="5"/>
  <c r="AP150" i="5"/>
  <c r="BB150" i="5"/>
  <c r="CT148" i="5"/>
  <c r="BR148" i="5"/>
  <c r="U148" i="5"/>
  <c r="CU148" i="5"/>
  <c r="BL148" i="5"/>
  <c r="BB148" i="5"/>
  <c r="AP148" i="5"/>
  <c r="CJ83" i="5"/>
  <c r="CF83" i="5"/>
  <c r="CB83" i="5"/>
  <c r="BX83" i="5"/>
  <c r="BT83" i="5"/>
  <c r="BP83" i="5"/>
  <c r="BL83" i="5"/>
  <c r="BG83" i="5"/>
  <c r="AU83" i="5"/>
  <c r="AI83" i="5"/>
  <c r="AD83" i="5"/>
  <c r="Z83" i="5"/>
  <c r="W83" i="5"/>
  <c r="S83" i="5"/>
  <c r="O83" i="5"/>
  <c r="K83" i="5"/>
  <c r="G83" i="5"/>
  <c r="C83" i="5"/>
  <c r="CO83" i="5"/>
  <c r="BB83" i="5"/>
  <c r="AP83" i="5"/>
  <c r="CI83" i="5"/>
  <c r="CT83" i="5"/>
  <c r="U83" i="5"/>
  <c r="CU83" i="5"/>
  <c r="CT165" i="5"/>
  <c r="BB165" i="5"/>
  <c r="CH165" i="5"/>
  <c r="CD165" i="5"/>
  <c r="BZ165" i="5"/>
  <c r="BV165" i="5"/>
  <c r="BR165" i="5"/>
  <c r="BN165" i="5"/>
  <c r="BK165" i="5"/>
  <c r="AY165" i="5"/>
  <c r="AO165" i="5"/>
  <c r="AF165" i="5"/>
  <c r="AB165" i="5"/>
  <c r="AN165" i="5"/>
  <c r="U165" i="5"/>
  <c r="Q165" i="5"/>
  <c r="M165" i="5"/>
  <c r="I165" i="5"/>
  <c r="E165" i="5"/>
  <c r="CM165" i="5"/>
  <c r="CP165" i="5"/>
  <c r="CU165" i="5"/>
  <c r="BG165" i="5"/>
  <c r="CQ165" i="5"/>
  <c r="AP165" i="5"/>
  <c r="CI103" i="5"/>
  <c r="CT103" i="5"/>
  <c r="A103" i="5"/>
  <c r="CF103" i="5"/>
  <c r="CB103" i="5"/>
  <c r="BX103" i="5"/>
  <c r="BP103" i="5"/>
  <c r="BL103" i="5"/>
  <c r="AU103" i="5"/>
  <c r="AD103" i="5"/>
  <c r="W103" i="5"/>
  <c r="O103" i="5"/>
  <c r="G103" i="5"/>
  <c r="CU103" i="5"/>
  <c r="AP103" i="5"/>
  <c r="BT103" i="5"/>
  <c r="BG103" i="5"/>
  <c r="AI103" i="5"/>
  <c r="Z103" i="5"/>
  <c r="S103" i="5"/>
  <c r="K103" i="5"/>
  <c r="C103" i="5"/>
  <c r="CO103" i="5"/>
  <c r="BB103" i="5"/>
  <c r="CG155" i="5"/>
  <c r="CC155" i="5"/>
  <c r="BY155" i="5"/>
  <c r="BU155" i="5"/>
  <c r="BQ155" i="5"/>
  <c r="BM155" i="5"/>
  <c r="BI155" i="5"/>
  <c r="AW155" i="5"/>
  <c r="AK155" i="5"/>
  <c r="AE155" i="5"/>
  <c r="AA155" i="5"/>
  <c r="X155" i="5"/>
  <c r="T155" i="5"/>
  <c r="P155" i="5"/>
  <c r="L155" i="5"/>
  <c r="H155" i="5"/>
  <c r="D155" i="5"/>
  <c r="CL155" i="5"/>
  <c r="BJ155" i="5"/>
  <c r="AP155" i="5"/>
  <c r="CJ155" i="5"/>
  <c r="BB155" i="5"/>
  <c r="CT155" i="5"/>
  <c r="CU155" i="5"/>
  <c r="AV51" i="5"/>
  <c r="CT99" i="5"/>
  <c r="CU99" i="5"/>
  <c r="BB99" i="5"/>
  <c r="AP99" i="5"/>
  <c r="AV109" i="5"/>
  <c r="BS92" i="5"/>
  <c r="AS92" i="5"/>
  <c r="V92" i="5"/>
  <c r="F92" i="5"/>
  <c r="CR92" i="5"/>
  <c r="CT92" i="5"/>
  <c r="BX92" i="5"/>
  <c r="BG92" i="5"/>
  <c r="Z92" i="5"/>
  <c r="K92" i="5"/>
  <c r="CH92" i="5"/>
  <c r="CD92" i="5"/>
  <c r="BZ92" i="5"/>
  <c r="BN92" i="5"/>
  <c r="AF92" i="5"/>
  <c r="Q92" i="5"/>
  <c r="CM92" i="5"/>
  <c r="CU92" i="5"/>
  <c r="A92" i="5"/>
  <c r="AP92" i="5"/>
  <c r="AX92" i="5"/>
  <c r="AQ92" i="5"/>
  <c r="BB92" i="5"/>
  <c r="AL106" i="5"/>
  <c r="AP106" i="5"/>
  <c r="BB106" i="5"/>
  <c r="CT106" i="5"/>
  <c r="BZ106" i="5"/>
  <c r="BR106" i="5"/>
  <c r="BK106" i="5"/>
  <c r="AO106" i="5"/>
  <c r="AB106" i="5"/>
  <c r="U106" i="5"/>
  <c r="M106" i="5"/>
  <c r="E106" i="5"/>
  <c r="CP106" i="5"/>
  <c r="CU106" i="5"/>
  <c r="AP98" i="5"/>
  <c r="BB98" i="5"/>
  <c r="CT98" i="5"/>
  <c r="BN98" i="5"/>
  <c r="Q98" i="5"/>
  <c r="CU98" i="5"/>
  <c r="AP96" i="5"/>
  <c r="BB96" i="5"/>
  <c r="CU96" i="5"/>
  <c r="CT96" i="5"/>
  <c r="CI91" i="5"/>
  <c r="CE91" i="5"/>
  <c r="CA91" i="5"/>
  <c r="BW91" i="5"/>
  <c r="BS91" i="5"/>
  <c r="BO91" i="5"/>
  <c r="BD91" i="5"/>
  <c r="BC91" i="5"/>
  <c r="AS91" i="5"/>
  <c r="AG91" i="5"/>
  <c r="AC91" i="5"/>
  <c r="Y91" i="5"/>
  <c r="V91" i="5"/>
  <c r="R91" i="5"/>
  <c r="N91" i="5"/>
  <c r="J91" i="5"/>
  <c r="F91" i="5"/>
  <c r="B91" i="5"/>
  <c r="CN91" i="5"/>
  <c r="CR91" i="5"/>
  <c r="BF91" i="5"/>
  <c r="AZ91" i="5"/>
  <c r="AH91" i="5"/>
  <c r="BA91" i="5"/>
  <c r="CT91" i="5"/>
  <c r="CB91" i="5"/>
  <c r="BG91" i="5"/>
  <c r="O91" i="5"/>
  <c r="CO91" i="5"/>
  <c r="AX91" i="5"/>
  <c r="BB91" i="5"/>
  <c r="CH91" i="5"/>
  <c r="CD91" i="5"/>
  <c r="BZ91" i="5"/>
  <c r="BV91" i="5"/>
  <c r="BR91" i="5"/>
  <c r="BN91" i="5"/>
  <c r="BK91" i="5"/>
  <c r="AY91" i="5"/>
  <c r="AO91" i="5"/>
  <c r="AF91" i="5"/>
  <c r="AB91" i="5"/>
  <c r="AN91" i="5"/>
  <c r="U91" i="5"/>
  <c r="Q91" i="5"/>
  <c r="M91" i="5"/>
  <c r="I91" i="5"/>
  <c r="E91" i="5"/>
  <c r="CM91" i="5"/>
  <c r="CP91" i="5"/>
  <c r="CU91" i="5"/>
  <c r="BH91" i="5"/>
  <c r="AT91" i="5"/>
  <c r="AM91" i="5"/>
  <c r="CS91" i="5"/>
  <c r="CJ91" i="5"/>
  <c r="BT91" i="5"/>
  <c r="BP91" i="5"/>
  <c r="AU91" i="5"/>
  <c r="AD91" i="5"/>
  <c r="W91" i="5"/>
  <c r="K91" i="5"/>
  <c r="C91" i="5"/>
  <c r="BE91" i="5"/>
  <c r="AJ91" i="5"/>
  <c r="AQ91" i="5"/>
  <c r="CK91" i="5"/>
  <c r="CG91" i="5"/>
  <c r="CC91" i="5"/>
  <c r="BY91" i="5"/>
  <c r="BU91" i="5"/>
  <c r="BQ91" i="5"/>
  <c r="BM91" i="5"/>
  <c r="BI91" i="5"/>
  <c r="AW91" i="5"/>
  <c r="AK91" i="5"/>
  <c r="AE91" i="5"/>
  <c r="AA91" i="5"/>
  <c r="X91" i="5"/>
  <c r="T91" i="5"/>
  <c r="P91" i="5"/>
  <c r="L91" i="5"/>
  <c r="H91" i="5"/>
  <c r="D91" i="5"/>
  <c r="CL91" i="5"/>
  <c r="A91" i="5"/>
  <c r="CV91" i="5"/>
  <c r="AP91" i="5"/>
  <c r="CF91" i="5"/>
  <c r="BX91" i="5"/>
  <c r="BL91" i="5"/>
  <c r="AI91" i="5"/>
  <c r="Z91" i="5"/>
  <c r="S91" i="5"/>
  <c r="G91" i="5"/>
  <c r="CQ91" i="5"/>
  <c r="CK101" i="5"/>
  <c r="BY101" i="5"/>
  <c r="BI101" i="5"/>
  <c r="AW101" i="5"/>
  <c r="AA101" i="5"/>
  <c r="L101" i="5"/>
  <c r="H101" i="5"/>
  <c r="AP101" i="5"/>
  <c r="BZ101" i="5"/>
  <c r="BN101" i="5"/>
  <c r="CP101" i="5"/>
  <c r="BT101" i="5"/>
  <c r="BP101" i="5"/>
  <c r="AU101" i="5"/>
  <c r="W101" i="5"/>
  <c r="S101" i="5"/>
  <c r="G101" i="5"/>
  <c r="BB101" i="5"/>
  <c r="CD101" i="5"/>
  <c r="AF101" i="5"/>
  <c r="CM101" i="5"/>
  <c r="CT101" i="5"/>
  <c r="AB101" i="5"/>
  <c r="Q101" i="5"/>
  <c r="CU101" i="5"/>
  <c r="CD147" i="5"/>
  <c r="BZ147" i="5"/>
  <c r="BV147" i="5"/>
  <c r="BR147" i="5"/>
  <c r="BN147" i="5"/>
  <c r="BK147" i="5"/>
  <c r="CU147" i="5"/>
  <c r="AS147" i="5"/>
  <c r="CK147" i="5"/>
  <c r="AP147" i="5"/>
  <c r="G147" i="5"/>
  <c r="BB147" i="5"/>
  <c r="CT147" i="5"/>
  <c r="CJ90" i="5"/>
  <c r="CF90" i="5"/>
  <c r="CB90" i="5"/>
  <c r="BX90" i="5"/>
  <c r="BT90" i="5"/>
  <c r="BP90" i="5"/>
  <c r="BL90" i="5"/>
  <c r="BG90" i="5"/>
  <c r="AU90" i="5"/>
  <c r="AI90" i="5"/>
  <c r="AD90" i="5"/>
  <c r="Z90" i="5"/>
  <c r="W90" i="5"/>
  <c r="S90" i="5"/>
  <c r="O90" i="5"/>
  <c r="K90" i="5"/>
  <c r="G90" i="5"/>
  <c r="C90" i="5"/>
  <c r="CO90" i="5"/>
  <c r="CQ90" i="5"/>
  <c r="BB90" i="5"/>
  <c r="CH90" i="5"/>
  <c r="BV90" i="5"/>
  <c r="BN90" i="5"/>
  <c r="AY90" i="5"/>
  <c r="AF90" i="5"/>
  <c r="AN90" i="5"/>
  <c r="Q90" i="5"/>
  <c r="I90" i="5"/>
  <c r="CM90" i="5"/>
  <c r="CU90" i="5"/>
  <c r="AT90" i="5"/>
  <c r="CS90" i="5"/>
  <c r="CK90" i="5"/>
  <c r="BU90" i="5"/>
  <c r="AW90" i="5"/>
  <c r="AE90" i="5"/>
  <c r="X90" i="5"/>
  <c r="P90" i="5"/>
  <c r="H90" i="5"/>
  <c r="CL90" i="5"/>
  <c r="CV90" i="5"/>
  <c r="AP90" i="5"/>
  <c r="CI90" i="5"/>
  <c r="CE90" i="5"/>
  <c r="CA90" i="5"/>
  <c r="BW90" i="5"/>
  <c r="BS90" i="5"/>
  <c r="BO90" i="5"/>
  <c r="BD90" i="5"/>
  <c r="BC90" i="5"/>
  <c r="AS90" i="5"/>
  <c r="AG90" i="5"/>
  <c r="AC90" i="5"/>
  <c r="Y90" i="5"/>
  <c r="V90" i="5"/>
  <c r="R90" i="5"/>
  <c r="N90" i="5"/>
  <c r="J90" i="5"/>
  <c r="F90" i="5"/>
  <c r="B90" i="5"/>
  <c r="CN90" i="5"/>
  <c r="CR90" i="5"/>
  <c r="AZ90" i="5"/>
  <c r="BA90" i="5"/>
  <c r="CT90" i="5"/>
  <c r="CD90" i="5"/>
  <c r="BZ90" i="5"/>
  <c r="BR90" i="5"/>
  <c r="BK90" i="5"/>
  <c r="AO90" i="5"/>
  <c r="AB90" i="5"/>
  <c r="U90" i="5"/>
  <c r="M90" i="5"/>
  <c r="E90" i="5"/>
  <c r="CP90" i="5"/>
  <c r="BH90" i="5"/>
  <c r="AM90" i="5"/>
  <c r="CG90" i="5"/>
  <c r="CC90" i="5"/>
  <c r="BY90" i="5"/>
  <c r="BQ90" i="5"/>
  <c r="BM90" i="5"/>
  <c r="BI90" i="5"/>
  <c r="AK90" i="5"/>
  <c r="AA90" i="5"/>
  <c r="T90" i="5"/>
  <c r="L90" i="5"/>
  <c r="D90" i="5"/>
  <c r="A90" i="5"/>
  <c r="CR113" i="5"/>
  <c r="CT113" i="5"/>
  <c r="CD113" i="5"/>
  <c r="BZ113" i="5"/>
  <c r="BV113" i="5"/>
  <c r="BR113" i="5"/>
  <c r="BN113" i="5"/>
  <c r="BK113" i="5"/>
  <c r="AY113" i="5"/>
  <c r="AO113" i="5"/>
  <c r="AF113" i="5"/>
  <c r="AB113" i="5"/>
  <c r="AN113" i="5"/>
  <c r="U113" i="5"/>
  <c r="Q113" i="5"/>
  <c r="M113" i="5"/>
  <c r="I113" i="5"/>
  <c r="E113" i="5"/>
  <c r="CM113" i="5"/>
  <c r="CP113" i="5"/>
  <c r="CU113" i="5"/>
  <c r="CK113" i="5"/>
  <c r="A113" i="5"/>
  <c r="AL113" i="5"/>
  <c r="AP113" i="5"/>
  <c r="BB113" i="5"/>
  <c r="AV153" i="5"/>
  <c r="AV166" i="5"/>
  <c r="CT149" i="5"/>
  <c r="X149" i="5"/>
  <c r="CH149" i="5"/>
  <c r="CU149" i="5"/>
  <c r="BU149" i="5"/>
  <c r="AP149" i="5"/>
  <c r="BB149" i="5"/>
  <c r="BB159" i="5"/>
  <c r="CE159" i="5"/>
  <c r="BO159" i="5"/>
  <c r="AG159" i="5"/>
  <c r="R159" i="5"/>
  <c r="B159" i="5"/>
  <c r="CT159" i="5"/>
  <c r="CU159" i="5"/>
  <c r="CK159" i="5"/>
  <c r="AP159" i="5"/>
  <c r="BY100" i="5"/>
  <c r="AP100" i="5"/>
  <c r="BB100" i="5"/>
  <c r="CI100" i="5"/>
  <c r="CT100" i="5"/>
  <c r="CD100" i="5"/>
  <c r="BZ100" i="5"/>
  <c r="BV100" i="5"/>
  <c r="BR100" i="5"/>
  <c r="BN100" i="5"/>
  <c r="BK100" i="5"/>
  <c r="AY100" i="5"/>
  <c r="AO100" i="5"/>
  <c r="AF100" i="5"/>
  <c r="AB100" i="5"/>
  <c r="AN100" i="5"/>
  <c r="U100" i="5"/>
  <c r="Q100" i="5"/>
  <c r="M100" i="5"/>
  <c r="I100" i="5"/>
  <c r="E100" i="5"/>
  <c r="CM100" i="5"/>
  <c r="CP100" i="5"/>
  <c r="CU100" i="5"/>
  <c r="CU97" i="5"/>
  <c r="CT97" i="5"/>
  <c r="AP97" i="5"/>
  <c r="BL97" i="5"/>
  <c r="BB97" i="5"/>
  <c r="CJ95" i="5"/>
  <c r="CF95" i="5"/>
  <c r="CB95" i="5"/>
  <c r="BX95" i="5"/>
  <c r="BT95" i="5"/>
  <c r="BP95" i="5"/>
  <c r="BL95" i="5"/>
  <c r="BG95" i="5"/>
  <c r="AU95" i="5"/>
  <c r="AI95" i="5"/>
  <c r="AD95" i="5"/>
  <c r="Z95" i="5"/>
  <c r="W95" i="5"/>
  <c r="S95" i="5"/>
  <c r="O95" i="5"/>
  <c r="K95" i="5"/>
  <c r="G95" i="5"/>
  <c r="C95" i="5"/>
  <c r="CO95" i="5"/>
  <c r="CQ95" i="5"/>
  <c r="BE95" i="5"/>
  <c r="AX95" i="5"/>
  <c r="AJ95" i="5"/>
  <c r="AQ95" i="5"/>
  <c r="BB95" i="5"/>
  <c r="CE95" i="5"/>
  <c r="BW95" i="5"/>
  <c r="BO95" i="5"/>
  <c r="BC95" i="5"/>
  <c r="AG95" i="5"/>
  <c r="V95" i="5"/>
  <c r="R95" i="5"/>
  <c r="J95" i="5"/>
  <c r="B95" i="5"/>
  <c r="BF95" i="5"/>
  <c r="BA95" i="5"/>
  <c r="CD95" i="5"/>
  <c r="BZ95" i="5"/>
  <c r="BR95" i="5"/>
  <c r="BK95" i="5"/>
  <c r="AO95" i="5"/>
  <c r="AB95" i="5"/>
  <c r="AN95" i="5"/>
  <c r="M95" i="5"/>
  <c r="I95" i="5"/>
  <c r="CM95" i="5"/>
  <c r="CU95" i="5"/>
  <c r="AT95" i="5"/>
  <c r="CK95" i="5"/>
  <c r="CC95" i="5"/>
  <c r="BU95" i="5"/>
  <c r="BI95" i="5"/>
  <c r="AK95" i="5"/>
  <c r="AE95" i="5"/>
  <c r="T95" i="5"/>
  <c r="L95" i="5"/>
  <c r="D95" i="5"/>
  <c r="A95" i="5"/>
  <c r="AR95" i="5"/>
  <c r="AP95" i="5"/>
  <c r="CI95" i="5"/>
  <c r="CA95" i="5"/>
  <c r="BS95" i="5"/>
  <c r="BD95" i="5"/>
  <c r="AS95" i="5"/>
  <c r="AC95" i="5"/>
  <c r="Y95" i="5"/>
  <c r="N95" i="5"/>
  <c r="F95" i="5"/>
  <c r="CN95" i="5"/>
  <c r="CR95" i="5"/>
  <c r="AZ95" i="5"/>
  <c r="AH95" i="5"/>
  <c r="CT95" i="5"/>
  <c r="CH95" i="5"/>
  <c r="BV95" i="5"/>
  <c r="BN95" i="5"/>
  <c r="AY95" i="5"/>
  <c r="AF95" i="5"/>
  <c r="U95" i="5"/>
  <c r="Q95" i="5"/>
  <c r="E95" i="5"/>
  <c r="CP95" i="5"/>
  <c r="BH95" i="5"/>
  <c r="AM95" i="5"/>
  <c r="CS95" i="5"/>
  <c r="CG95" i="5"/>
  <c r="BY95" i="5"/>
  <c r="BQ95" i="5"/>
  <c r="BM95" i="5"/>
  <c r="AW95" i="5"/>
  <c r="AA95" i="5"/>
  <c r="X95" i="5"/>
  <c r="P95" i="5"/>
  <c r="H95" i="5"/>
  <c r="CL95" i="5"/>
  <c r="CV95" i="5"/>
  <c r="BJ95" i="5"/>
  <c r="AL95" i="5"/>
  <c r="AV86" i="5"/>
  <c r="CI133" i="5"/>
  <c r="CR133" i="5"/>
  <c r="CT133" i="5"/>
  <c r="BU133" i="5"/>
  <c r="BI133" i="5"/>
  <c r="X133" i="5"/>
  <c r="L133" i="5"/>
  <c r="AP133" i="5"/>
  <c r="BB133" i="5"/>
  <c r="CD133" i="5"/>
  <c r="AF133" i="5"/>
  <c r="CM133" i="5"/>
  <c r="CU133" i="5"/>
  <c r="AV50" i="5"/>
  <c r="AV89" i="5"/>
  <c r="AV101" i="5"/>
  <c r="AP122" i="5"/>
  <c r="CT122" i="5"/>
  <c r="CU122" i="5"/>
  <c r="BB122" i="5"/>
  <c r="BD122" i="5"/>
  <c r="BD118" i="5"/>
  <c r="AC118" i="5"/>
  <c r="BA118" i="5"/>
  <c r="CT118" i="5"/>
  <c r="CU118" i="5"/>
  <c r="X118" i="5"/>
  <c r="H118" i="5"/>
  <c r="AP118" i="5"/>
  <c r="CF118" i="5"/>
  <c r="BP118" i="5"/>
  <c r="C118" i="5"/>
  <c r="BB118" i="5"/>
  <c r="CR140" i="5"/>
  <c r="CT140" i="5"/>
  <c r="BZ140" i="5"/>
  <c r="BR140" i="5"/>
  <c r="BK140" i="5"/>
  <c r="AO140" i="5"/>
  <c r="AB140" i="5"/>
  <c r="U140" i="5"/>
  <c r="M140" i="5"/>
  <c r="E140" i="5"/>
  <c r="CP140" i="5"/>
  <c r="CU140" i="5"/>
  <c r="BB140" i="5"/>
  <c r="AP140" i="5"/>
  <c r="AP107" i="5"/>
  <c r="CU107" i="5"/>
  <c r="BB107" i="5"/>
  <c r="CT107" i="5"/>
  <c r="AV161" i="5"/>
  <c r="AV75" i="5"/>
  <c r="CU139" i="5"/>
  <c r="AR139" i="5"/>
  <c r="AP139" i="5"/>
  <c r="BB139" i="5"/>
  <c r="BW139" i="5"/>
  <c r="BD139" i="5"/>
  <c r="CN139" i="5"/>
  <c r="CT139" i="5"/>
  <c r="N139" i="5"/>
  <c r="AV70" i="5"/>
  <c r="BM117" i="5"/>
  <c r="AA117" i="5"/>
  <c r="AP117" i="5"/>
  <c r="BB117" i="5"/>
  <c r="CU117" i="5"/>
  <c r="CT117" i="5"/>
  <c r="AV94" i="5"/>
  <c r="AV146" i="5"/>
  <c r="AV144" i="5"/>
  <c r="AV114" i="5"/>
  <c r="CI141" i="5"/>
  <c r="CE141" i="5"/>
  <c r="CA141" i="5"/>
  <c r="BW141" i="5"/>
  <c r="BS141" i="5"/>
  <c r="BO141" i="5"/>
  <c r="BD141" i="5"/>
  <c r="BC141" i="5"/>
  <c r="AS141" i="5"/>
  <c r="AG141" i="5"/>
  <c r="AC141" i="5"/>
  <c r="Y141" i="5"/>
  <c r="V141" i="5"/>
  <c r="R141" i="5"/>
  <c r="N141" i="5"/>
  <c r="J141" i="5"/>
  <c r="F141" i="5"/>
  <c r="B141" i="5"/>
  <c r="CN141" i="5"/>
  <c r="CR141" i="5"/>
  <c r="BF141" i="5"/>
  <c r="AZ141" i="5"/>
  <c r="AH141" i="5"/>
  <c r="BA141" i="5"/>
  <c r="CT141" i="5"/>
  <c r="CH141" i="5"/>
  <c r="CD141" i="5"/>
  <c r="BZ141" i="5"/>
  <c r="BV141" i="5"/>
  <c r="BR141" i="5"/>
  <c r="BN141" i="5"/>
  <c r="BK141" i="5"/>
  <c r="AY141" i="5"/>
  <c r="AO141" i="5"/>
  <c r="AF141" i="5"/>
  <c r="AB141" i="5"/>
  <c r="AN141" i="5"/>
  <c r="U141" i="5"/>
  <c r="Q141" i="5"/>
  <c r="M141" i="5"/>
  <c r="I141" i="5"/>
  <c r="E141" i="5"/>
  <c r="CM141" i="5"/>
  <c r="CP141" i="5"/>
  <c r="CU141" i="5"/>
  <c r="BH141" i="5"/>
  <c r="AT141" i="5"/>
  <c r="AM141" i="5"/>
  <c r="CS141" i="5"/>
  <c r="CK141" i="5"/>
  <c r="CG141" i="5"/>
  <c r="CC141" i="5"/>
  <c r="BY141" i="5"/>
  <c r="BU141" i="5"/>
  <c r="BQ141" i="5"/>
  <c r="BM141" i="5"/>
  <c r="BI141" i="5"/>
  <c r="AW141" i="5"/>
  <c r="AK141" i="5"/>
  <c r="AE141" i="5"/>
  <c r="AA141" i="5"/>
  <c r="X141" i="5"/>
  <c r="T141" i="5"/>
  <c r="P141" i="5"/>
  <c r="L141" i="5"/>
  <c r="H141" i="5"/>
  <c r="D141" i="5"/>
  <c r="CL141" i="5"/>
  <c r="A141" i="5"/>
  <c r="CV141" i="5"/>
  <c r="BJ141" i="5"/>
  <c r="AR141" i="5"/>
  <c r="AL141" i="5"/>
  <c r="AP141" i="5"/>
  <c r="CJ141" i="5"/>
  <c r="CF141" i="5"/>
  <c r="CB141" i="5"/>
  <c r="BX141" i="5"/>
  <c r="BT141" i="5"/>
  <c r="BP141" i="5"/>
  <c r="BL141" i="5"/>
  <c r="BG141" i="5"/>
  <c r="AU141" i="5"/>
  <c r="AI141" i="5"/>
  <c r="AD141" i="5"/>
  <c r="Z141" i="5"/>
  <c r="W141" i="5"/>
  <c r="S141" i="5"/>
  <c r="O141" i="5"/>
  <c r="K141" i="5"/>
  <c r="G141" i="5"/>
  <c r="C141" i="5"/>
  <c r="CO141" i="5"/>
  <c r="CQ141" i="5"/>
  <c r="BE141" i="5"/>
  <c r="AX141" i="5"/>
  <c r="AJ141" i="5"/>
  <c r="AQ141" i="5"/>
  <c r="BB141" i="5"/>
  <c r="AV65" i="5"/>
  <c r="CM124" i="5"/>
  <c r="CU124" i="5"/>
  <c r="BB124" i="5"/>
  <c r="CT124" i="5"/>
  <c r="AP124" i="5"/>
  <c r="BB105" i="5"/>
  <c r="CT105" i="5"/>
  <c r="AN105" i="5"/>
  <c r="CU105" i="5"/>
  <c r="AP105" i="5"/>
  <c r="CJ156" i="5"/>
  <c r="CF156" i="5"/>
  <c r="CB156" i="5"/>
  <c r="BX156" i="5"/>
  <c r="BT156" i="5"/>
  <c r="BP156" i="5"/>
  <c r="BL156" i="5"/>
  <c r="BG156" i="5"/>
  <c r="AU156" i="5"/>
  <c r="AI156" i="5"/>
  <c r="AD156" i="5"/>
  <c r="Z156" i="5"/>
  <c r="W156" i="5"/>
  <c r="S156" i="5"/>
  <c r="O156" i="5"/>
  <c r="K156" i="5"/>
  <c r="G156" i="5"/>
  <c r="C156" i="5"/>
  <c r="CO156" i="5"/>
  <c r="CQ156" i="5"/>
  <c r="BE156" i="5"/>
  <c r="AX156" i="5"/>
  <c r="AJ156" i="5"/>
  <c r="AQ156" i="5"/>
  <c r="BB156" i="5"/>
  <c r="CK156" i="5"/>
  <c r="BY156" i="5"/>
  <c r="BI156" i="5"/>
  <c r="AE156" i="5"/>
  <c r="X156" i="5"/>
  <c r="L156" i="5"/>
  <c r="D156" i="5"/>
  <c r="A156" i="5"/>
  <c r="CI156" i="5"/>
  <c r="CE156" i="5"/>
  <c r="CA156" i="5"/>
  <c r="BW156" i="5"/>
  <c r="BS156" i="5"/>
  <c r="BO156" i="5"/>
  <c r="BD156" i="5"/>
  <c r="BC156" i="5"/>
  <c r="AS156" i="5"/>
  <c r="AG156" i="5"/>
  <c r="AC156" i="5"/>
  <c r="Y156" i="5"/>
  <c r="V156" i="5"/>
  <c r="R156" i="5"/>
  <c r="N156" i="5"/>
  <c r="J156" i="5"/>
  <c r="F156" i="5"/>
  <c r="B156" i="5"/>
  <c r="CN156" i="5"/>
  <c r="BF156" i="5"/>
  <c r="AZ156" i="5"/>
  <c r="AH156" i="5"/>
  <c r="BA156" i="5"/>
  <c r="CT156" i="5"/>
  <c r="CG156" i="5"/>
  <c r="BU156" i="5"/>
  <c r="BM156" i="5"/>
  <c r="AW156" i="5"/>
  <c r="AA156" i="5"/>
  <c r="P156" i="5"/>
  <c r="CL156" i="5"/>
  <c r="CH156" i="5"/>
  <c r="CD156" i="5"/>
  <c r="BZ156" i="5"/>
  <c r="BV156" i="5"/>
  <c r="BR156" i="5"/>
  <c r="BN156" i="5"/>
  <c r="BK156" i="5"/>
  <c r="AY156" i="5"/>
  <c r="AO156" i="5"/>
  <c r="AF156" i="5"/>
  <c r="AB156" i="5"/>
  <c r="AN156" i="5"/>
  <c r="U156" i="5"/>
  <c r="Q156" i="5"/>
  <c r="M156" i="5"/>
  <c r="I156" i="5"/>
  <c r="E156" i="5"/>
  <c r="CM156" i="5"/>
  <c r="CP156" i="5"/>
  <c r="CU156" i="5"/>
  <c r="CC156" i="5"/>
  <c r="BQ156" i="5"/>
  <c r="AK156" i="5"/>
  <c r="T156" i="5"/>
  <c r="H156" i="5"/>
  <c r="BJ156" i="5"/>
  <c r="AR156" i="5"/>
  <c r="AL156" i="5"/>
  <c r="AP156" i="5"/>
  <c r="AV97" i="5"/>
  <c r="CR4" i="5"/>
  <c r="A4" i="5"/>
  <c r="CK4" i="5"/>
  <c r="DI2" i="12"/>
  <c r="BB4" i="5" s="1"/>
  <c r="AJ4" i="5"/>
  <c r="AX4" i="5"/>
  <c r="AS4" i="5"/>
  <c r="BO4" i="5"/>
  <c r="BW4" i="5"/>
  <c r="CE4" i="5"/>
  <c r="AP4" i="5"/>
  <c r="CQ4" i="5"/>
  <c r="DJ2" i="12"/>
  <c r="CT4" i="5" s="1"/>
  <c r="BA4" i="5"/>
  <c r="AH4" i="5"/>
  <c r="AZ4" i="5"/>
  <c r="BF4" i="5"/>
  <c r="CP4" i="5"/>
  <c r="CM4" i="5"/>
  <c r="E4" i="5"/>
  <c r="I4" i="5"/>
  <c r="M4" i="5"/>
  <c r="Q4" i="5"/>
  <c r="U4" i="5"/>
  <c r="AN4" i="5"/>
  <c r="AB4" i="5"/>
  <c r="AF4" i="5"/>
  <c r="AO4" i="5"/>
  <c r="AY4" i="5"/>
  <c r="BK4" i="5"/>
  <c r="BN4" i="5"/>
  <c r="BR4" i="5"/>
  <c r="BV4" i="5"/>
  <c r="BZ4" i="5"/>
  <c r="CD4" i="5"/>
  <c r="CH4" i="5"/>
  <c r="AQ4" i="5"/>
  <c r="BE4" i="5"/>
  <c r="CN4" i="5"/>
  <c r="B4" i="5"/>
  <c r="F4" i="5"/>
  <c r="J4" i="5"/>
  <c r="N4" i="5"/>
  <c r="R4" i="5"/>
  <c r="V4" i="5"/>
  <c r="Y4" i="5"/>
  <c r="AC4" i="5"/>
  <c r="AG4" i="5"/>
  <c r="BC4" i="5"/>
  <c r="BD4" i="5"/>
  <c r="BS4" i="5"/>
  <c r="CA4" i="5"/>
  <c r="CQ2" i="12"/>
  <c r="CU4" i="5" s="1"/>
  <c r="AU143" i="5"/>
  <c r="G143" i="5"/>
  <c r="BB143" i="5"/>
  <c r="CT143" i="5"/>
  <c r="AP143" i="5"/>
  <c r="CU143" i="5"/>
  <c r="BT125" i="5"/>
  <c r="BG125" i="5"/>
  <c r="W125" i="5"/>
  <c r="K125" i="5"/>
  <c r="BB125" i="5"/>
  <c r="CT125" i="5"/>
  <c r="AP125" i="5"/>
  <c r="CU125" i="5"/>
  <c r="CK125" i="5"/>
  <c r="AV99" i="5"/>
  <c r="AP135" i="5"/>
  <c r="AU135" i="5"/>
  <c r="W135" i="5"/>
  <c r="G135" i="5"/>
  <c r="BB135" i="5"/>
  <c r="CT135" i="5"/>
  <c r="CU135" i="5"/>
  <c r="CT129" i="5"/>
  <c r="CU129" i="5"/>
  <c r="BY129" i="5"/>
  <c r="BU129" i="5"/>
  <c r="AW129" i="5"/>
  <c r="AE129" i="5"/>
  <c r="P129" i="5"/>
  <c r="L129" i="5"/>
  <c r="AP129" i="5"/>
  <c r="BB129" i="5"/>
  <c r="CT123" i="5"/>
  <c r="CU123" i="5"/>
  <c r="CC123" i="5"/>
  <c r="AW123" i="5"/>
  <c r="AE123" i="5"/>
  <c r="H123" i="5"/>
  <c r="CL123" i="5"/>
  <c r="AP123" i="5"/>
  <c r="BB123" i="5"/>
  <c r="AV85" i="5"/>
  <c r="BY111" i="5"/>
  <c r="BI111" i="5"/>
  <c r="AA111" i="5"/>
  <c r="L111" i="5"/>
  <c r="AP111" i="5"/>
  <c r="BB111" i="5"/>
  <c r="CU111" i="5"/>
  <c r="CT111" i="5"/>
  <c r="CU131" i="5"/>
  <c r="BB131" i="5"/>
  <c r="CT131" i="5"/>
  <c r="H131" i="5"/>
  <c r="AP131" i="5"/>
  <c r="AV87" i="5"/>
  <c r="AV139" i="5"/>
  <c r="AV123" i="5"/>
  <c r="CG116" i="5"/>
  <c r="CC116" i="5"/>
  <c r="BY116" i="5"/>
  <c r="BU116" i="5"/>
  <c r="BQ116" i="5"/>
  <c r="BM116" i="5"/>
  <c r="BI116" i="5"/>
  <c r="AW116" i="5"/>
  <c r="AK116" i="5"/>
  <c r="AE116" i="5"/>
  <c r="AA116" i="5"/>
  <c r="X116" i="5"/>
  <c r="T116" i="5"/>
  <c r="P116" i="5"/>
  <c r="L116" i="5"/>
  <c r="H116" i="5"/>
  <c r="D116" i="5"/>
  <c r="CL116" i="5"/>
  <c r="CV116" i="5"/>
  <c r="AP116" i="5"/>
  <c r="CF116" i="5"/>
  <c r="CB116" i="5"/>
  <c r="BX116" i="5"/>
  <c r="BT116" i="5"/>
  <c r="BP116" i="5"/>
  <c r="BL116" i="5"/>
  <c r="BG116" i="5"/>
  <c r="AU116" i="5"/>
  <c r="AI116" i="5"/>
  <c r="AD116" i="5"/>
  <c r="Z116" i="5"/>
  <c r="W116" i="5"/>
  <c r="S116" i="5"/>
  <c r="O116" i="5"/>
  <c r="K116" i="5"/>
  <c r="G116" i="5"/>
  <c r="C116" i="5"/>
  <c r="CO116" i="5"/>
  <c r="CQ116" i="5"/>
  <c r="BB116" i="5"/>
  <c r="CI116" i="5"/>
  <c r="AZ116" i="5"/>
  <c r="BA116" i="5"/>
  <c r="CT116" i="5"/>
  <c r="CH116" i="5"/>
  <c r="BH116" i="5"/>
  <c r="AM116" i="5"/>
  <c r="CU116" i="5"/>
  <c r="CE120" i="5"/>
  <c r="CA120" i="5"/>
  <c r="BW120" i="5"/>
  <c r="BS120" i="5"/>
  <c r="BO120" i="5"/>
  <c r="BD120" i="5"/>
  <c r="BC120" i="5"/>
  <c r="AS120" i="5"/>
  <c r="AG120" i="5"/>
  <c r="AC120" i="5"/>
  <c r="Y120" i="5"/>
  <c r="V120" i="5"/>
  <c r="R120" i="5"/>
  <c r="N120" i="5"/>
  <c r="J120" i="5"/>
  <c r="F120" i="5"/>
  <c r="B120" i="5"/>
  <c r="CN120" i="5"/>
  <c r="CT120" i="5"/>
  <c r="CH120" i="5"/>
  <c r="CU120" i="5"/>
  <c r="CQ120" i="5"/>
  <c r="AP120" i="5"/>
  <c r="BB120" i="5"/>
  <c r="CE109" i="5"/>
  <c r="CA109" i="5"/>
  <c r="BW109" i="5"/>
  <c r="BS109" i="5"/>
  <c r="BO109" i="5"/>
  <c r="BD109" i="5"/>
  <c r="BC109" i="5"/>
  <c r="AS109" i="5"/>
  <c r="AG109" i="5"/>
  <c r="AC109" i="5"/>
  <c r="Y109" i="5"/>
  <c r="V109" i="5"/>
  <c r="R109" i="5"/>
  <c r="N109" i="5"/>
  <c r="J109" i="5"/>
  <c r="F109" i="5"/>
  <c r="B109" i="5"/>
  <c r="CN109" i="5"/>
  <c r="BF109" i="5"/>
  <c r="AZ109" i="5"/>
  <c r="AH109" i="5"/>
  <c r="BA109" i="5"/>
  <c r="CT109" i="5"/>
  <c r="CU109" i="5"/>
  <c r="CQ109" i="5"/>
  <c r="CV109" i="5"/>
  <c r="AP109" i="5"/>
  <c r="CJ109" i="5"/>
  <c r="BB109" i="5"/>
  <c r="AI126" i="5"/>
  <c r="BB126" i="5"/>
  <c r="AP126" i="5"/>
  <c r="CT126" i="5"/>
  <c r="CU126" i="5"/>
  <c r="BV137" i="5"/>
  <c r="I137" i="5"/>
  <c r="CU137" i="5"/>
  <c r="BB137" i="5"/>
  <c r="AP137" i="5"/>
  <c r="CT137" i="5"/>
  <c r="CF138" i="5"/>
  <c r="CB138" i="5"/>
  <c r="BX138" i="5"/>
  <c r="BT138" i="5"/>
  <c r="BP138" i="5"/>
  <c r="BL138" i="5"/>
  <c r="BG138" i="5"/>
  <c r="AU138" i="5"/>
  <c r="AI138" i="5"/>
  <c r="AD138" i="5"/>
  <c r="Z138" i="5"/>
  <c r="W138" i="5"/>
  <c r="S138" i="5"/>
  <c r="O138" i="5"/>
  <c r="K138" i="5"/>
  <c r="G138" i="5"/>
  <c r="C138" i="5"/>
  <c r="CO138" i="5"/>
  <c r="BB138" i="5"/>
  <c r="CI138" i="5"/>
  <c r="CR138" i="5"/>
  <c r="CT138" i="5"/>
  <c r="CH138" i="5"/>
  <c r="CU138" i="5"/>
  <c r="BH138" i="5"/>
  <c r="AM138" i="5"/>
  <c r="CG138" i="5"/>
  <c r="BQ138" i="5"/>
  <c r="AK138" i="5"/>
  <c r="T138" i="5"/>
  <c r="D138" i="5"/>
  <c r="CC138" i="5"/>
  <c r="BM138" i="5"/>
  <c r="AE138" i="5"/>
  <c r="P138" i="5"/>
  <c r="CL138" i="5"/>
  <c r="BY138" i="5"/>
  <c r="BI138" i="5"/>
  <c r="AA138" i="5"/>
  <c r="L138" i="5"/>
  <c r="BU138" i="5"/>
  <c r="AW138" i="5"/>
  <c r="X138" i="5"/>
  <c r="H138" i="5"/>
  <c r="AP138" i="5"/>
  <c r="BB142" i="5"/>
  <c r="CU142" i="5"/>
  <c r="A142" i="5"/>
  <c r="CE142" i="5"/>
  <c r="BO142" i="5"/>
  <c r="AG142" i="5"/>
  <c r="R142" i="5"/>
  <c r="B142" i="5"/>
  <c r="CT142" i="5"/>
  <c r="AP142" i="5"/>
  <c r="CI145" i="5"/>
  <c r="CA145" i="5"/>
  <c r="BS145" i="5"/>
  <c r="BO145" i="5"/>
  <c r="BD145" i="5"/>
  <c r="AS145" i="5"/>
  <c r="AC145" i="5"/>
  <c r="V145" i="5"/>
  <c r="N145" i="5"/>
  <c r="F145" i="5"/>
  <c r="CN145" i="5"/>
  <c r="CT145" i="5"/>
  <c r="BB145" i="5"/>
  <c r="CH145" i="5"/>
  <c r="CD145" i="5"/>
  <c r="BV145" i="5"/>
  <c r="BN145" i="5"/>
  <c r="AY145" i="5"/>
  <c r="AF145" i="5"/>
  <c r="AN145" i="5"/>
  <c r="Q145" i="5"/>
  <c r="I145" i="5"/>
  <c r="CM145" i="5"/>
  <c r="CU145" i="5"/>
  <c r="CQ145" i="5"/>
  <c r="A145" i="5"/>
  <c r="AR145" i="5"/>
  <c r="AP145" i="5"/>
  <c r="CU136" i="5"/>
  <c r="CC136" i="5"/>
  <c r="BM136" i="5"/>
  <c r="AE136" i="5"/>
  <c r="P136" i="5"/>
  <c r="CL136" i="5"/>
  <c r="AP136" i="5"/>
  <c r="BB136" i="5"/>
  <c r="CT136" i="5"/>
  <c r="BB130" i="5"/>
  <c r="CT130" i="5"/>
  <c r="CU130" i="5"/>
  <c r="AP130" i="5"/>
  <c r="CJ132" i="5"/>
  <c r="BP132" i="5"/>
  <c r="BG132" i="5"/>
  <c r="O132" i="5"/>
  <c r="BB132" i="5"/>
  <c r="BW132" i="5"/>
  <c r="AC132" i="5"/>
  <c r="V132" i="5"/>
  <c r="CT132" i="5"/>
  <c r="CU132" i="5"/>
  <c r="CC132" i="5"/>
  <c r="AK132" i="5"/>
  <c r="AP132" i="5"/>
  <c r="CK132" i="5"/>
  <c r="H132" i="5"/>
  <c r="CL132" i="5"/>
  <c r="CU128" i="5"/>
  <c r="CV128" i="5"/>
  <c r="AP128" i="5"/>
  <c r="CJ128" i="5"/>
  <c r="CF128" i="5"/>
  <c r="CB128" i="5"/>
  <c r="BX128" i="5"/>
  <c r="BT128" i="5"/>
  <c r="BP128" i="5"/>
  <c r="BL128" i="5"/>
  <c r="BG128" i="5"/>
  <c r="AU128" i="5"/>
  <c r="AI128" i="5"/>
  <c r="AD128" i="5"/>
  <c r="Z128" i="5"/>
  <c r="W128" i="5"/>
  <c r="S128" i="5"/>
  <c r="O128" i="5"/>
  <c r="K128" i="5"/>
  <c r="G128" i="5"/>
  <c r="C128" i="5"/>
  <c r="CO128" i="5"/>
  <c r="BB128" i="5"/>
  <c r="CI128" i="5"/>
  <c r="CE128" i="5"/>
  <c r="CA128" i="5"/>
  <c r="BW128" i="5"/>
  <c r="BS128" i="5"/>
  <c r="BO128" i="5"/>
  <c r="BD128" i="5"/>
  <c r="BC128" i="5"/>
  <c r="AS128" i="5"/>
  <c r="AG128" i="5"/>
  <c r="AC128" i="5"/>
  <c r="Y128" i="5"/>
  <c r="V128" i="5"/>
  <c r="R128" i="5"/>
  <c r="N128" i="5"/>
  <c r="J128" i="5"/>
  <c r="F128" i="5"/>
  <c r="B128" i="5"/>
  <c r="CN128" i="5"/>
  <c r="CR128" i="5"/>
  <c r="BF128" i="5"/>
  <c r="CT128" i="5"/>
  <c r="BZ134" i="5"/>
  <c r="BR134" i="5"/>
  <c r="BK134" i="5"/>
  <c r="AO134" i="5"/>
  <c r="AB134" i="5"/>
  <c r="U134" i="5"/>
  <c r="M134" i="5"/>
  <c r="E134" i="5"/>
  <c r="CP134" i="5"/>
  <c r="CU134" i="5"/>
  <c r="CA134" i="5"/>
  <c r="AS134" i="5"/>
  <c r="N134" i="5"/>
  <c r="A134" i="5"/>
  <c r="CV134" i="5"/>
  <c r="AP134" i="5"/>
  <c r="BD134" i="5"/>
  <c r="V134" i="5"/>
  <c r="CN134" i="5"/>
  <c r="CQ134" i="5"/>
  <c r="BB134" i="5"/>
  <c r="BS134" i="5"/>
  <c r="AC134" i="5"/>
  <c r="F134" i="5"/>
  <c r="CT134" i="5"/>
  <c r="BB112" i="5"/>
  <c r="CE112" i="5"/>
  <c r="CA112" i="5"/>
  <c r="BW112" i="5"/>
  <c r="BS112" i="5"/>
  <c r="BO112" i="5"/>
  <c r="BD112" i="5"/>
  <c r="BC112" i="5"/>
  <c r="AS112" i="5"/>
  <c r="AG112" i="5"/>
  <c r="AC112" i="5"/>
  <c r="Y112" i="5"/>
  <c r="V112" i="5"/>
  <c r="R112" i="5"/>
  <c r="N112" i="5"/>
  <c r="J112" i="5"/>
  <c r="F112" i="5"/>
  <c r="B112" i="5"/>
  <c r="CN112" i="5"/>
  <c r="BF112" i="5"/>
  <c r="AZ112" i="5"/>
  <c r="AH112" i="5"/>
  <c r="BA112" i="5"/>
  <c r="CT112" i="5"/>
  <c r="A112" i="5"/>
  <c r="CU112" i="5"/>
  <c r="AP112" i="5"/>
  <c r="CH112" i="5"/>
  <c r="CU108" i="5"/>
  <c r="BX108" i="5"/>
  <c r="AU108" i="5"/>
  <c r="Z108" i="5"/>
  <c r="AP108" i="5"/>
  <c r="BT108" i="5"/>
  <c r="BG108" i="5"/>
  <c r="W108" i="5"/>
  <c r="K108" i="5"/>
  <c r="G108" i="5"/>
  <c r="BB108" i="5"/>
  <c r="CT108" i="5"/>
  <c r="AV52" i="5"/>
  <c r="AV64" i="5"/>
  <c r="AV134" i="5"/>
  <c r="AV83" i="5"/>
  <c r="CH119" i="5"/>
  <c r="CU119" i="5"/>
  <c r="AP119" i="5"/>
  <c r="CQ119" i="5"/>
  <c r="BB119" i="5"/>
  <c r="BW119" i="5"/>
  <c r="BS119" i="5"/>
  <c r="BC119" i="5"/>
  <c r="AS119" i="5"/>
  <c r="Y119" i="5"/>
  <c r="V119" i="5"/>
  <c r="J119" i="5"/>
  <c r="F119" i="5"/>
  <c r="CT119" i="5"/>
  <c r="CB104" i="5"/>
  <c r="BL104" i="5"/>
  <c r="AD104" i="5"/>
  <c r="O104" i="5"/>
  <c r="CO104" i="5"/>
  <c r="BB104" i="5"/>
  <c r="AP104" i="5"/>
  <c r="CI104" i="5"/>
  <c r="F104" i="5"/>
  <c r="CT104" i="5"/>
  <c r="CU104" i="5"/>
  <c r="CQ127" i="5"/>
  <c r="BB127" i="5"/>
  <c r="CI127" i="5"/>
  <c r="CT127" i="5"/>
  <c r="CD127" i="5"/>
  <c r="BZ127" i="5"/>
  <c r="BR127" i="5"/>
  <c r="BN127" i="5"/>
  <c r="AY127" i="5"/>
  <c r="AF127" i="5"/>
  <c r="AB127" i="5"/>
  <c r="U127" i="5"/>
  <c r="Q127" i="5"/>
  <c r="I127" i="5"/>
  <c r="E127" i="5"/>
  <c r="CP127" i="5"/>
  <c r="CU127" i="5"/>
  <c r="CH127" i="5"/>
  <c r="BV127" i="5"/>
  <c r="BK127" i="5"/>
  <c r="AO127" i="5"/>
  <c r="AN127" i="5"/>
  <c r="M127" i="5"/>
  <c r="CM127" i="5"/>
  <c r="CG127" i="5"/>
  <c r="CC127" i="5"/>
  <c r="BY127" i="5"/>
  <c r="BU127" i="5"/>
  <c r="BQ127" i="5"/>
  <c r="BM127" i="5"/>
  <c r="BI127" i="5"/>
  <c r="AW127" i="5"/>
  <c r="AK127" i="5"/>
  <c r="AE127" i="5"/>
  <c r="AA127" i="5"/>
  <c r="X127" i="5"/>
  <c r="T127" i="5"/>
  <c r="P127" i="5"/>
  <c r="L127" i="5"/>
  <c r="H127" i="5"/>
  <c r="D127" i="5"/>
  <c r="CL127" i="5"/>
  <c r="A127" i="5"/>
  <c r="AP127" i="5"/>
  <c r="AV95" i="5"/>
  <c r="AV105" i="5"/>
  <c r="AV113" i="5"/>
  <c r="AV149" i="5"/>
  <c r="CU102" i="5"/>
  <c r="BB102" i="5"/>
  <c r="CE102" i="5"/>
  <c r="AP102" i="5"/>
  <c r="BO102" i="5"/>
  <c r="AC102" i="5"/>
  <c r="R102" i="5"/>
  <c r="B102" i="5"/>
  <c r="CT102" i="5"/>
  <c r="CA102" i="5"/>
  <c r="AG102" i="5"/>
  <c r="CN102" i="5"/>
  <c r="AP115" i="5"/>
  <c r="CU115" i="5"/>
  <c r="BB115" i="5"/>
  <c r="BW115" i="5"/>
  <c r="BC115" i="5"/>
  <c r="Y115" i="5"/>
  <c r="J115" i="5"/>
  <c r="CT115" i="5"/>
  <c r="AV104" i="5"/>
  <c r="CI154" i="5"/>
  <c r="CE154" i="5"/>
  <c r="CA154" i="5"/>
  <c r="BW154" i="5"/>
  <c r="BS154" i="5"/>
  <c r="BO154" i="5"/>
  <c r="BD154" i="5"/>
  <c r="BC154" i="5"/>
  <c r="AS154" i="5"/>
  <c r="AG154" i="5"/>
  <c r="AC154" i="5"/>
  <c r="Y154" i="5"/>
  <c r="V154" i="5"/>
  <c r="R154" i="5"/>
  <c r="N154" i="5"/>
  <c r="J154" i="5"/>
  <c r="F154" i="5"/>
  <c r="B154" i="5"/>
  <c r="CN154" i="5"/>
  <c r="CR154" i="5"/>
  <c r="BF154" i="5"/>
  <c r="AZ154" i="5"/>
  <c r="AH154" i="5"/>
  <c r="BA154" i="5"/>
  <c r="CT154" i="5"/>
  <c r="CH154" i="5"/>
  <c r="CD154" i="5"/>
  <c r="BZ154" i="5"/>
  <c r="BV154" i="5"/>
  <c r="BR154" i="5"/>
  <c r="BN154" i="5"/>
  <c r="BK154" i="5"/>
  <c r="AY154" i="5"/>
  <c r="AO154" i="5"/>
  <c r="AF154" i="5"/>
  <c r="AB154" i="5"/>
  <c r="AN154" i="5"/>
  <c r="U154" i="5"/>
  <c r="Q154" i="5"/>
  <c r="M154" i="5"/>
  <c r="I154" i="5"/>
  <c r="E154" i="5"/>
  <c r="CM154" i="5"/>
  <c r="CP154" i="5"/>
  <c r="CU154" i="5"/>
  <c r="BH154" i="5"/>
  <c r="AT154" i="5"/>
  <c r="AM154" i="5"/>
  <c r="CS154" i="5"/>
  <c r="CK154" i="5"/>
  <c r="CG154" i="5"/>
  <c r="CC154" i="5"/>
  <c r="BY154" i="5"/>
  <c r="BU154" i="5"/>
  <c r="BQ154" i="5"/>
  <c r="BM154" i="5"/>
  <c r="BI154" i="5"/>
  <c r="AW154" i="5"/>
  <c r="AK154" i="5"/>
  <c r="AE154" i="5"/>
  <c r="AA154" i="5"/>
  <c r="X154" i="5"/>
  <c r="T154" i="5"/>
  <c r="P154" i="5"/>
  <c r="L154" i="5"/>
  <c r="H154" i="5"/>
  <c r="D154" i="5"/>
  <c r="CL154" i="5"/>
  <c r="A154" i="5"/>
  <c r="CV154" i="5"/>
  <c r="BJ154" i="5"/>
  <c r="AR154" i="5"/>
  <c r="AL154" i="5"/>
  <c r="AP154" i="5"/>
  <c r="CJ154" i="5"/>
  <c r="CF154" i="5"/>
  <c r="CB154" i="5"/>
  <c r="BX154" i="5"/>
  <c r="BT154" i="5"/>
  <c r="BP154" i="5"/>
  <c r="BL154" i="5"/>
  <c r="BG154" i="5"/>
  <c r="AU154" i="5"/>
  <c r="AI154" i="5"/>
  <c r="AD154" i="5"/>
  <c r="Z154" i="5"/>
  <c r="W154" i="5"/>
  <c r="S154" i="5"/>
  <c r="O154" i="5"/>
  <c r="K154" i="5"/>
  <c r="G154" i="5"/>
  <c r="C154" i="5"/>
  <c r="CO154" i="5"/>
  <c r="CQ154" i="5"/>
  <c r="BE154" i="5"/>
  <c r="AX154" i="5"/>
  <c r="AJ154" i="5"/>
  <c r="AQ154" i="5"/>
  <c r="BB154" i="5"/>
  <c r="AV91" i="5"/>
  <c r="BY121" i="5"/>
  <c r="BU121" i="5"/>
  <c r="BI121" i="5"/>
  <c r="AW121" i="5"/>
  <c r="AA121" i="5"/>
  <c r="X121" i="5"/>
  <c r="L121" i="5"/>
  <c r="H121" i="5"/>
  <c r="AP121" i="5"/>
  <c r="CU121" i="5"/>
  <c r="BB121" i="5"/>
  <c r="CT121" i="5"/>
  <c r="BO110" i="5"/>
  <c r="R110" i="5"/>
  <c r="CT110" i="5"/>
  <c r="CU110" i="5"/>
  <c r="BB110" i="5"/>
  <c r="AP110" i="5"/>
  <c r="AV100" i="5"/>
  <c r="AV159" i="5"/>
  <c r="AV90" i="5"/>
  <c r="AV96" i="5"/>
  <c r="AV160" i="5"/>
  <c r="AV119" i="5"/>
  <c r="AV131" i="5"/>
  <c r="AV168" i="5"/>
  <c r="AV112" i="5"/>
  <c r="AV82" i="5"/>
  <c r="CO297" i="12"/>
  <c r="CN297" i="12"/>
  <c r="K8" i="12"/>
  <c r="O304" i="12"/>
  <c r="BQ3" i="13" l="1" a="1"/>
  <c r="BQ3" i="13" s="1"/>
  <c r="CQ2" i="5"/>
  <c r="K10" i="12"/>
  <c r="AH1" i="5"/>
  <c r="DI250" i="5" l="1"/>
  <c r="DI234" i="5"/>
  <c r="DI218" i="5"/>
  <c r="DI202" i="5"/>
  <c r="DI186" i="5"/>
  <c r="DI170" i="5"/>
  <c r="DI154" i="5"/>
  <c r="DI138" i="5"/>
  <c r="DI122" i="5"/>
  <c r="DI106" i="5"/>
  <c r="DI90" i="5"/>
  <c r="DI74" i="5"/>
  <c r="DI58" i="5"/>
  <c r="DI42" i="5"/>
  <c r="DI26" i="5"/>
  <c r="DI10" i="5"/>
  <c r="DI222" i="5"/>
  <c r="DI174" i="5"/>
  <c r="DI110" i="5"/>
  <c r="DI62" i="5"/>
  <c r="DI30" i="5"/>
  <c r="DI246" i="5"/>
  <c r="DI230" i="5"/>
  <c r="DI214" i="5"/>
  <c r="DI198" i="5"/>
  <c r="DI182" i="5"/>
  <c r="DI166" i="5"/>
  <c r="DI150" i="5"/>
  <c r="DI134" i="5"/>
  <c r="DI118" i="5"/>
  <c r="DI102" i="5"/>
  <c r="DI86" i="5"/>
  <c r="DI70" i="5"/>
  <c r="DI54" i="5"/>
  <c r="DI38" i="5"/>
  <c r="DI22" i="5"/>
  <c r="DI6" i="5"/>
  <c r="DI206" i="5"/>
  <c r="DI158" i="5"/>
  <c r="DI126" i="5"/>
  <c r="DI78" i="5"/>
  <c r="DI14" i="5"/>
  <c r="DI242" i="5"/>
  <c r="DI226" i="5"/>
  <c r="DI210" i="5"/>
  <c r="DI194" i="5"/>
  <c r="DI178" i="5"/>
  <c r="DI162" i="5"/>
  <c r="DI146" i="5"/>
  <c r="DI130" i="5"/>
  <c r="DI114" i="5"/>
  <c r="DI98" i="5"/>
  <c r="DI82" i="5"/>
  <c r="DI66" i="5"/>
  <c r="DI50" i="5"/>
  <c r="DI34" i="5"/>
  <c r="DI18" i="5"/>
  <c r="DI238" i="5"/>
  <c r="DI190" i="5"/>
  <c r="DI142" i="5"/>
  <c r="DI94" i="5"/>
  <c r="DI46" i="5"/>
  <c r="DI5" i="5"/>
  <c r="DI21" i="5"/>
  <c r="DI37" i="5"/>
  <c r="DI53" i="5"/>
  <c r="DI69" i="5"/>
  <c r="DI85" i="5"/>
  <c r="DI101" i="5"/>
  <c r="DI117" i="5"/>
  <c r="DI133" i="5"/>
  <c r="DI149" i="5"/>
  <c r="DI165" i="5"/>
  <c r="DI181" i="5"/>
  <c r="DI197" i="5"/>
  <c r="DI213" i="5"/>
  <c r="DI229" i="5"/>
  <c r="DI245" i="5"/>
  <c r="DI15" i="5"/>
  <c r="DI31" i="5"/>
  <c r="DI47" i="5"/>
  <c r="DI63" i="5"/>
  <c r="DI79" i="5"/>
  <c r="DI95" i="5"/>
  <c r="DI111" i="5"/>
  <c r="DI127" i="5"/>
  <c r="DI143" i="5"/>
  <c r="DI159" i="5"/>
  <c r="DI175" i="5"/>
  <c r="DI191" i="5"/>
  <c r="DI207" i="5"/>
  <c r="DI223" i="5"/>
  <c r="DI239" i="5"/>
  <c r="DI8" i="5"/>
  <c r="DI24" i="5"/>
  <c r="DI40" i="5"/>
  <c r="DI56" i="5"/>
  <c r="DI72" i="5"/>
  <c r="DI88" i="5"/>
  <c r="DI104" i="5"/>
  <c r="DI120" i="5"/>
  <c r="DI136" i="5"/>
  <c r="DI152" i="5"/>
  <c r="DI168" i="5"/>
  <c r="DI184" i="5"/>
  <c r="DI200" i="5"/>
  <c r="DI216" i="5"/>
  <c r="DI232" i="5"/>
  <c r="DI248" i="5"/>
  <c r="DI33" i="5"/>
  <c r="DI49" i="5"/>
  <c r="DI65" i="5"/>
  <c r="DI113" i="5"/>
  <c r="DI145" i="5"/>
  <c r="DI177" i="5"/>
  <c r="DI225" i="5"/>
  <c r="DI27" i="5"/>
  <c r="DI91" i="5"/>
  <c r="DI139" i="5"/>
  <c r="DI187" i="5"/>
  <c r="DI235" i="5"/>
  <c r="DI36" i="5"/>
  <c r="DI84" i="5"/>
  <c r="DI132" i="5"/>
  <c r="DI180" i="5"/>
  <c r="DI228" i="5"/>
  <c r="DI9" i="5"/>
  <c r="DI25" i="5"/>
  <c r="DI41" i="5"/>
  <c r="DI57" i="5"/>
  <c r="DI73" i="5"/>
  <c r="DI89" i="5"/>
  <c r="DI105" i="5"/>
  <c r="DI121" i="5"/>
  <c r="DI137" i="5"/>
  <c r="DI153" i="5"/>
  <c r="DI169" i="5"/>
  <c r="DI185" i="5"/>
  <c r="DI201" i="5"/>
  <c r="DI217" i="5"/>
  <c r="DI233" i="5"/>
  <c r="DI249" i="5"/>
  <c r="DI19" i="5"/>
  <c r="DI35" i="5"/>
  <c r="DI51" i="5"/>
  <c r="DI67" i="5"/>
  <c r="DI83" i="5"/>
  <c r="DI99" i="5"/>
  <c r="DI115" i="5"/>
  <c r="DI131" i="5"/>
  <c r="DI147" i="5"/>
  <c r="DI163" i="5"/>
  <c r="DI179" i="5"/>
  <c r="DI195" i="5"/>
  <c r="DI211" i="5"/>
  <c r="DI227" i="5"/>
  <c r="DI243" i="5"/>
  <c r="DI12" i="5"/>
  <c r="DI28" i="5"/>
  <c r="DI44" i="5"/>
  <c r="DI60" i="5"/>
  <c r="DI76" i="5"/>
  <c r="DI92" i="5"/>
  <c r="DI108" i="5"/>
  <c r="DI124" i="5"/>
  <c r="DI140" i="5"/>
  <c r="DI156" i="5"/>
  <c r="DI172" i="5"/>
  <c r="DI188" i="5"/>
  <c r="DI204" i="5"/>
  <c r="DI220" i="5"/>
  <c r="DI236" i="5"/>
  <c r="DI81" i="5"/>
  <c r="DI193" i="5"/>
  <c r="DI241" i="5"/>
  <c r="DI43" i="5"/>
  <c r="DI75" i="5"/>
  <c r="DI123" i="5"/>
  <c r="DI171" i="5"/>
  <c r="DI203" i="5"/>
  <c r="DI4" i="5"/>
  <c r="DI52" i="5"/>
  <c r="DI100" i="5"/>
  <c r="DI148" i="5"/>
  <c r="DI196" i="5"/>
  <c r="DI244" i="5"/>
  <c r="DI13" i="5"/>
  <c r="DI29" i="5"/>
  <c r="DI45" i="5"/>
  <c r="DI61" i="5"/>
  <c r="DI77" i="5"/>
  <c r="DI93" i="5"/>
  <c r="DI109" i="5"/>
  <c r="DI125" i="5"/>
  <c r="DI141" i="5"/>
  <c r="DI157" i="5"/>
  <c r="DI173" i="5"/>
  <c r="DI189" i="5"/>
  <c r="DI205" i="5"/>
  <c r="DI221" i="5"/>
  <c r="DI237" i="5"/>
  <c r="DI7" i="5"/>
  <c r="DI23" i="5"/>
  <c r="DI39" i="5"/>
  <c r="DI55" i="5"/>
  <c r="DI71" i="5"/>
  <c r="DI87" i="5"/>
  <c r="DI103" i="5"/>
  <c r="DI119" i="5"/>
  <c r="DI135" i="5"/>
  <c r="DI151" i="5"/>
  <c r="DI167" i="5"/>
  <c r="DI183" i="5"/>
  <c r="DI199" i="5"/>
  <c r="DI215" i="5"/>
  <c r="DI231" i="5"/>
  <c r="DI247" i="5"/>
  <c r="DI16" i="5"/>
  <c r="DI32" i="5"/>
  <c r="DI48" i="5"/>
  <c r="DI64" i="5"/>
  <c r="DI80" i="5"/>
  <c r="DI96" i="5"/>
  <c r="DI112" i="5"/>
  <c r="DI128" i="5"/>
  <c r="DI144" i="5"/>
  <c r="DI160" i="5"/>
  <c r="DI176" i="5"/>
  <c r="DI192" i="5"/>
  <c r="DI208" i="5"/>
  <c r="DI224" i="5"/>
  <c r="DI240" i="5"/>
  <c r="DI17" i="5"/>
  <c r="DI97" i="5"/>
  <c r="DI129" i="5"/>
  <c r="DI161" i="5"/>
  <c r="DI209" i="5"/>
  <c r="DI11" i="5"/>
  <c r="DI59" i="5"/>
  <c r="DI107" i="5"/>
  <c r="DI155" i="5"/>
  <c r="DI219" i="5"/>
  <c r="DI20" i="5"/>
  <c r="DI68" i="5"/>
  <c r="DI116" i="5"/>
  <c r="DI164" i="5"/>
  <c r="DI212" i="5"/>
  <c r="DI3" i="5" l="1" a="1"/>
  <c r="DI3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<sst xmlns="http://schemas.openxmlformats.org/spreadsheetml/2006/main" count="1975" uniqueCount="326">
  <si>
    <t>PutLtp</t>
  </si>
  <si>
    <t>CallLtp</t>
  </si>
  <si>
    <t>SymbolName</t>
  </si>
  <si>
    <t>ExpiryDate</t>
  </si>
  <si>
    <t>LotSize</t>
  </si>
  <si>
    <t>Strikes</t>
  </si>
  <si>
    <t>AARTIIND</t>
  </si>
  <si>
    <t>ABB</t>
  </si>
  <si>
    <t>ABBOTINDIA</t>
  </si>
  <si>
    <t>ABCAPITAL</t>
  </si>
  <si>
    <t>ABFRL</t>
  </si>
  <si>
    <t>ACC</t>
  </si>
  <si>
    <t>ADANIENT</t>
  </si>
  <si>
    <t>ADANIPORTS</t>
  </si>
  <si>
    <t>ALKEM</t>
  </si>
  <si>
    <t>AMARAJABAT</t>
  </si>
  <si>
    <t>AMBUJACEM</t>
  </si>
  <si>
    <t>APOLLOHOSP</t>
  </si>
  <si>
    <t>APOLLOTYRE</t>
  </si>
  <si>
    <t>ASHOKLEY</t>
  </si>
  <si>
    <t>ASIANPAINT</t>
  </si>
  <si>
    <t>ASTRAL</t>
  </si>
  <si>
    <t>ATUL</t>
  </si>
  <si>
    <t>AUBANK</t>
  </si>
  <si>
    <t>AUROPHARMA</t>
  </si>
  <si>
    <t>AXISBANK</t>
  </si>
  <si>
    <t>BAJAJ-AUTO</t>
  </si>
  <si>
    <t>BAJAJFINSV</t>
  </si>
  <si>
    <t>BAJFINANCE</t>
  </si>
  <si>
    <t>BALKRISIND</t>
  </si>
  <si>
    <t>BALRAMCHIN</t>
  </si>
  <si>
    <t>BANDHANBNK</t>
  </si>
  <si>
    <t>BANKBARODA</t>
  </si>
  <si>
    <t>BANKNIFTY</t>
  </si>
  <si>
    <t>BATAINDIA</t>
  </si>
  <si>
    <t>BEL</t>
  </si>
  <si>
    <t>BERGEPAINT</t>
  </si>
  <si>
    <t>BHARATFORG</t>
  </si>
  <si>
    <t>BHARTIARTL</t>
  </si>
  <si>
    <t>BHEL</t>
  </si>
  <si>
    <t>BIOCON</t>
  </si>
  <si>
    <t>BOSCHLTD</t>
  </si>
  <si>
    <t>BPCL</t>
  </si>
  <si>
    <t>BRITANNIA</t>
  </si>
  <si>
    <t>BSOFT</t>
  </si>
  <si>
    <t>CANBK</t>
  </si>
  <si>
    <t>CANFINHOME</t>
  </si>
  <si>
    <t>CHAMBLFERT</t>
  </si>
  <si>
    <t>CHOLAFIN</t>
  </si>
  <si>
    <t>CIPLA</t>
  </si>
  <si>
    <t>COALINDIA</t>
  </si>
  <si>
    <t>COFORGE</t>
  </si>
  <si>
    <t>COLPAL</t>
  </si>
  <si>
    <t>CONCOR</t>
  </si>
  <si>
    <t>COROMANDEL</t>
  </si>
  <si>
    <t>CROMPTON</t>
  </si>
  <si>
    <t>CUB</t>
  </si>
  <si>
    <t>CUMMINSIND</t>
  </si>
  <si>
    <t>DABUR</t>
  </si>
  <si>
    <t>DALBHARAT</t>
  </si>
  <si>
    <t>DEEPAKNTR</t>
  </si>
  <si>
    <t>DELTACORP</t>
  </si>
  <si>
    <t>DIVISLAB</t>
  </si>
  <si>
    <t>DIXON</t>
  </si>
  <si>
    <t>DLF</t>
  </si>
  <si>
    <t>DRREDDY</t>
  </si>
  <si>
    <t>EICHERMOT</t>
  </si>
  <si>
    <t>ESCORTS</t>
  </si>
  <si>
    <t>EXIDEIND</t>
  </si>
  <si>
    <t>FEDERALBNK</t>
  </si>
  <si>
    <t>FINNIFTY</t>
  </si>
  <si>
    <t>FSL</t>
  </si>
  <si>
    <t>GAIL</t>
  </si>
  <si>
    <t>GLENMARK</t>
  </si>
  <si>
    <t>GMRINFRA</t>
  </si>
  <si>
    <t>GNFC</t>
  </si>
  <si>
    <t>GODREJCP</t>
  </si>
  <si>
    <t>GODREJPROP</t>
  </si>
  <si>
    <t>GRANULES</t>
  </si>
  <si>
    <t>GRASIM</t>
  </si>
  <si>
    <t>GSPL</t>
  </si>
  <si>
    <t>GUJGASLTD</t>
  </si>
  <si>
    <t>HAL</t>
  </si>
  <si>
    <t>HAVELLS</t>
  </si>
  <si>
    <t>HCLTECH</t>
  </si>
  <si>
    <t>HDFC</t>
  </si>
  <si>
    <t>HDFCAMC</t>
  </si>
  <si>
    <t>HDFCBANK</t>
  </si>
  <si>
    <t>HDFCLIFE</t>
  </si>
  <si>
    <t>HEROMOTOCO</t>
  </si>
  <si>
    <t>HINDALCO</t>
  </si>
  <si>
    <t>HINDCOPPER</t>
  </si>
  <si>
    <t>HINDPETRO</t>
  </si>
  <si>
    <t>HINDUNILVR</t>
  </si>
  <si>
    <t>HONAUT</t>
  </si>
  <si>
    <t>IBULHSGFIN</t>
  </si>
  <si>
    <t>ICICIBANK</t>
  </si>
  <si>
    <t>ICICIGI</t>
  </si>
  <si>
    <t>ICICIPRULI</t>
  </si>
  <si>
    <t>IDEA</t>
  </si>
  <si>
    <t>IDFC</t>
  </si>
  <si>
    <t>IDFCFIRSTB</t>
  </si>
  <si>
    <t>IEX</t>
  </si>
  <si>
    <t>IGL</t>
  </si>
  <si>
    <t>INDHOTEL</t>
  </si>
  <si>
    <t>INDIACEM</t>
  </si>
  <si>
    <t>INDIAMART</t>
  </si>
  <si>
    <t>INDIGO</t>
  </si>
  <si>
    <t>INDUSINDBK</t>
  </si>
  <si>
    <t>INDUSTOWER</t>
  </si>
  <si>
    <t>INFY</t>
  </si>
  <si>
    <t>INTELLECT</t>
  </si>
  <si>
    <t>IOC</t>
  </si>
  <si>
    <t>IPCALAB</t>
  </si>
  <si>
    <t>IRCTC</t>
  </si>
  <si>
    <t>ITC</t>
  </si>
  <si>
    <t>JINDALSTEL</t>
  </si>
  <si>
    <t>JKCEMENT</t>
  </si>
  <si>
    <t>JSWSTEEL</t>
  </si>
  <si>
    <t>JUBLFOOD</t>
  </si>
  <si>
    <t>KOTAKBANK</t>
  </si>
  <si>
    <t>L&amp;TFH</t>
  </si>
  <si>
    <t>LALPATHLAB</t>
  </si>
  <si>
    <t>LAURUSLABS</t>
  </si>
  <si>
    <t>LICHSGFIN</t>
  </si>
  <si>
    <t>LT</t>
  </si>
  <si>
    <t>LTI</t>
  </si>
  <si>
    <t>LTTS</t>
  </si>
  <si>
    <t>LUPIN</t>
  </si>
  <si>
    <t>M&amp;M</t>
  </si>
  <si>
    <t>M&amp;MFIN</t>
  </si>
  <si>
    <t>MANAPPURAM</t>
  </si>
  <si>
    <t>MARICO</t>
  </si>
  <si>
    <t>MARUTI</t>
  </si>
  <si>
    <t>MCDOWELL-N</t>
  </si>
  <si>
    <t>MCX</t>
  </si>
  <si>
    <t>METROPOLIS</t>
  </si>
  <si>
    <t>MFSL</t>
  </si>
  <si>
    <t>MGL</t>
  </si>
  <si>
    <t>MIDCPNIFTY</t>
  </si>
  <si>
    <t>MINDTREE</t>
  </si>
  <si>
    <t>MOTHERSON</t>
  </si>
  <si>
    <t>MPHASIS</t>
  </si>
  <si>
    <t>MRF</t>
  </si>
  <si>
    <t>MUTHOOTFIN</t>
  </si>
  <si>
    <t>NAM-INDIA</t>
  </si>
  <si>
    <t>NATIONALUM</t>
  </si>
  <si>
    <t>NAUKRI</t>
  </si>
  <si>
    <t>NAVINFLUOR</t>
  </si>
  <si>
    <t>NESTLEIND</t>
  </si>
  <si>
    <t>NIFTY</t>
  </si>
  <si>
    <t>NMDC</t>
  </si>
  <si>
    <t>NTPC</t>
  </si>
  <si>
    <t>OBEROIRLTY</t>
  </si>
  <si>
    <t>OFSS</t>
  </si>
  <si>
    <t>ONGC</t>
  </si>
  <si>
    <t>PAGEIND</t>
  </si>
  <si>
    <t>PEL</t>
  </si>
  <si>
    <t>PERSISTENT</t>
  </si>
  <si>
    <t>PETRONET</t>
  </si>
  <si>
    <t>PFC</t>
  </si>
  <si>
    <t>PIDILITIND</t>
  </si>
  <si>
    <t>PIIND</t>
  </si>
  <si>
    <t>PNB</t>
  </si>
  <si>
    <t>POLYCAB</t>
  </si>
  <si>
    <t>POWERGRID</t>
  </si>
  <si>
    <t>PVR</t>
  </si>
  <si>
    <t>RAIN</t>
  </si>
  <si>
    <t>RAMCOCEM</t>
  </si>
  <si>
    <t>RBLBANK</t>
  </si>
  <si>
    <t>RECLTD</t>
  </si>
  <si>
    <t>RELIANCE</t>
  </si>
  <si>
    <t>SAIL</t>
  </si>
  <si>
    <t>SBICARD</t>
  </si>
  <si>
    <t>SBILIFE</t>
  </si>
  <si>
    <t>SBIN</t>
  </si>
  <si>
    <t>SHREECEM</t>
  </si>
  <si>
    <t>SIEMENS</t>
  </si>
  <si>
    <t>SRF</t>
  </si>
  <si>
    <t>SRTRANSFIN</t>
  </si>
  <si>
    <t>SUNPHARMA</t>
  </si>
  <si>
    <t>SUNTV</t>
  </si>
  <si>
    <t>SYNGENE</t>
  </si>
  <si>
    <t>TATACHEM</t>
  </si>
  <si>
    <t>TATACOMM</t>
  </si>
  <si>
    <t>TATACONSUM</t>
  </si>
  <si>
    <t>TATAMOTORS</t>
  </si>
  <si>
    <t>TATAPOWER</t>
  </si>
  <si>
    <t>TATASTEEL</t>
  </si>
  <si>
    <t>TCS</t>
  </si>
  <si>
    <t>TECHM</t>
  </si>
  <si>
    <t>TITAN</t>
  </si>
  <si>
    <t>TORNTPHARM</t>
  </si>
  <si>
    <t>TORNTPOWER</t>
  </si>
  <si>
    <t>TRENT</t>
  </si>
  <si>
    <t>TVSMOTOR</t>
  </si>
  <si>
    <t>UBL</t>
  </si>
  <si>
    <t>ULTRACEMCO</t>
  </si>
  <si>
    <t>UPL</t>
  </si>
  <si>
    <t>VEDL</t>
  </si>
  <si>
    <t>VOLTAS</t>
  </si>
  <si>
    <t>WHIRLPOOL</t>
  </si>
  <si>
    <t>WIPRO</t>
  </si>
  <si>
    <t>ZEEL</t>
  </si>
  <si>
    <t>ZYDUSLIFE</t>
  </si>
  <si>
    <t>ATMStrike</t>
  </si>
  <si>
    <t>MaxCallOI</t>
  </si>
  <si>
    <t>MaxCallOIStrike</t>
  </si>
  <si>
    <t>MaxPutOI</t>
  </si>
  <si>
    <t>MaxPutOIStrike</t>
  </si>
  <si>
    <t>PutClose</t>
  </si>
  <si>
    <t>PutLow</t>
  </si>
  <si>
    <t>PutHigh</t>
  </si>
  <si>
    <t>PutOpen</t>
  </si>
  <si>
    <t>PutVetaChange</t>
  </si>
  <si>
    <t>PutVeta</t>
  </si>
  <si>
    <t>PutVolgaChange</t>
  </si>
  <si>
    <t>PutVolga</t>
  </si>
  <si>
    <t>PutColorChange</t>
  </si>
  <si>
    <t>PutColor</t>
  </si>
  <si>
    <t>PutZommaChange</t>
  </si>
  <si>
    <t>PutZomma</t>
  </si>
  <si>
    <t>PutSpeedChange</t>
  </si>
  <si>
    <t>PutSpeed</t>
  </si>
  <si>
    <t>PutCharmChange</t>
  </si>
  <si>
    <t>PutCharm</t>
  </si>
  <si>
    <t>PutVannaChange</t>
  </si>
  <si>
    <t>PutVanna</t>
  </si>
  <si>
    <t>PutGammaChange</t>
  </si>
  <si>
    <t>PutGamma</t>
  </si>
  <si>
    <t>PutVegaChange</t>
  </si>
  <si>
    <t>PutVega</t>
  </si>
  <si>
    <t>PutThetaChange</t>
  </si>
  <si>
    <t>PutTheta</t>
  </si>
  <si>
    <t>PutDeltaChange</t>
  </si>
  <si>
    <t>PutDelta</t>
  </si>
  <si>
    <t>PutPrevIV</t>
  </si>
  <si>
    <t>PutVolume</t>
  </si>
  <si>
    <t>PutOIChange</t>
  </si>
  <si>
    <t>PutOI</t>
  </si>
  <si>
    <t>PutIV</t>
  </si>
  <si>
    <t>PutLtpChange</t>
  </si>
  <si>
    <t>StrikePrice</t>
  </si>
  <si>
    <t>CallLtpChange</t>
  </si>
  <si>
    <t>CallIV</t>
  </si>
  <si>
    <t>CallOI</t>
  </si>
  <si>
    <t>CallOIChange</t>
  </si>
  <si>
    <t>CallVolume</t>
  </si>
  <si>
    <t>CallDelta</t>
  </si>
  <si>
    <t>CallDeltaChange</t>
  </si>
  <si>
    <t>CallTheta</t>
  </si>
  <si>
    <t>CallThetaChange</t>
  </si>
  <si>
    <t>CallVega</t>
  </si>
  <si>
    <t>CallVegaChange</t>
  </si>
  <si>
    <t>CallGamma</t>
  </si>
  <si>
    <t>CallGammaChange</t>
  </si>
  <si>
    <t>CallPrevIV</t>
  </si>
  <si>
    <t>CallVanna</t>
  </si>
  <si>
    <t>CallVannaChange</t>
  </si>
  <si>
    <t>CallCharm</t>
  </si>
  <si>
    <t>CallCharmChange</t>
  </si>
  <si>
    <t>CallSpeed</t>
  </si>
  <si>
    <t>CallSpeedChange</t>
  </si>
  <si>
    <t>CallZomma</t>
  </si>
  <si>
    <t>CallZommaChange</t>
  </si>
  <si>
    <t>CallColor</t>
  </si>
  <si>
    <t>CallColorChange</t>
  </si>
  <si>
    <t>CallVolga</t>
  </si>
  <si>
    <t>CallVolgaChange</t>
  </si>
  <si>
    <t>CallVeta</t>
  </si>
  <si>
    <t>CallVetaChange</t>
  </si>
  <si>
    <t>CallOpen</t>
  </si>
  <si>
    <t>CallHigh</t>
  </si>
  <si>
    <t>CallLow</t>
  </si>
  <si>
    <t>CallClose</t>
  </si>
  <si>
    <t>CallAskPrice</t>
  </si>
  <si>
    <t>CallAskQty</t>
  </si>
  <si>
    <t>CallBidPrice</t>
  </si>
  <si>
    <t>CallBidQty</t>
  </si>
  <si>
    <t>CallAveragePrice</t>
  </si>
  <si>
    <t>PutAskPrice</t>
  </si>
  <si>
    <t>PutAskQty</t>
  </si>
  <si>
    <t>PutBidPrice</t>
  </si>
  <si>
    <t>PutBidQty</t>
  </si>
  <si>
    <t>PutAveragePrice</t>
  </si>
  <si>
    <t>CallDataUpdateTimeStamp</t>
  </si>
  <si>
    <t>PutDataUpdateTimeStamp</t>
  </si>
  <si>
    <t>FuturePrice</t>
  </si>
  <si>
    <t>FutureOrFairPrice</t>
  </si>
  <si>
    <t>FutureDataUpdateTimeStamp</t>
  </si>
  <si>
    <t>PutIVChange</t>
  </si>
  <si>
    <t>PutIVChangePercent</t>
  </si>
  <si>
    <t>PutPrevOI</t>
  </si>
  <si>
    <t>PutOIChangePercent</t>
  </si>
  <si>
    <t>PutPrevLTP</t>
  </si>
  <si>
    <t>PutLtpChangePercent</t>
  </si>
  <si>
    <t>CallPrevLTP</t>
  </si>
  <si>
    <t>CallLtpChangePercent</t>
  </si>
  <si>
    <t>CallPrevOI</t>
  </si>
  <si>
    <t>CallOIChangePercent</t>
  </si>
  <si>
    <t>CallIVChange</t>
  </si>
  <si>
    <t>CallIVChangePercent</t>
  </si>
  <si>
    <t>immediatePrevCLtp</t>
  </si>
  <si>
    <t>immediatePrevPLtp</t>
  </si>
  <si>
    <t>immediatePrevFLtp</t>
  </si>
  <si>
    <t>CLtpColor</t>
  </si>
  <si>
    <t>PLtpColor</t>
  </si>
  <si>
    <t>FLtpColor</t>
  </si>
  <si>
    <t>Expiry</t>
  </si>
  <si>
    <t>Symbol</t>
  </si>
  <si>
    <t>PutLtpChg.</t>
  </si>
  <si>
    <t>CallLtpChg.</t>
  </si>
  <si>
    <t>W</t>
  </si>
  <si>
    <t>R</t>
  </si>
  <si>
    <t>G</t>
  </si>
  <si>
    <t>44400,0,0,0,0,0,0,0,0,0,0,0,0,0,0,0,0,0,0,0,0,0,0,0,0,0,0,0,0,0,0,0,0,0,0,0,0,0,0,0,0,0,0,0,0,0,0,0,0,0,0,0,0,0,0,0,0,0,0,0,0,0,0,0,0,0,0,0,0,0,0,0,0,0,0,0,0,44770.8854166667,44770.8854166667,0,0,0,0,0,0,0,0,0,0,0,0,0,0,0,0,0,0,W,W,W,37400,1157525,38000,1179925,36500,BANKNIFTY,44777</t>
  </si>
  <si>
    <t>Market Open</t>
  </si>
  <si>
    <t>Market Close</t>
  </si>
  <si>
    <t>Current Time</t>
  </si>
  <si>
    <t>Can Update</t>
  </si>
  <si>
    <t>IFERROR(IF(INDEX(RawData!$O$1:$DQ$250,ROW()-2,MATCH(AV$3,RawData!$O$1:$DQ$1,0))=0,"-",INDEX(RawData!$O$1:$DQ$250,ROW()-2,MATCH(AV$3,RawData!$O$1:$DQ$1,0))),"-")</t>
  </si>
  <si>
    <t>FairPrice</t>
  </si>
  <si>
    <t>MinCallOI</t>
  </si>
  <si>
    <t>MinCallOIStrike</t>
  </si>
  <si>
    <t>MinPutOI</t>
  </si>
  <si>
    <t>MinPutOIStrike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</si>
</sst>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3" formatCode="_ * #,##0.00_ ;_ * \-#,##0.00_ ;_ * &quot;-&quot;??_ ;_ @_ "/>
    <numFmt numFmtId="164" formatCode="_ * #,##0_ ;_ * \-#,##0_ ;_ * &quot;-&quot;??_ ;_ @_ "/>
    <numFmt numFmtId="165" formatCode="[$-F800]dddd\,\ mmmm\ dd\,\ yyyy"/>
    <numFmt numFmtId="166" formatCode="dd\ mmmm\ yyyy\ hh:mm:ss"/>
    <numFmt numFmtId="167" formatCode="_ * #,##0.00000_ ;_ * \-#,##0.00000_ ;_ * &quot;-&quot;??_ ;_ @_ "/>
    <numFmt numFmtId="168" formatCode="dd/mm/yyyy\ hh:mm:ss"/>
    <numFmt numFmtId="169" formatCode="0.000"/>
    <numFmt numFmtId="170" formatCode="0.00000"/>
    <numFmt numFmtId="171" formatCode="0.000000"/>
    <numFmt numFmtId="172" formatCode="0.00000000"/>
    <numFmt numFmtId="173" formatCode="dd/mmm/yyyy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10"/>
      <color theme="0"/>
      <name val="Arial"/>
      <family val="2"/>
    </font>
    <font>
      <b/>
      <sz val="10"/>
      <color rgb="FFFFFF00"/>
      <name val="Arial"/>
      <family val="2"/>
    </font>
    <font>
      <b/>
      <sz val="8"/>
      <color rgb="FF0070C0"/>
      <name val="Arial"/>
      <family val="2"/>
    </font>
    <font>
      <b/>
      <sz val="8"/>
      <color theme="1"/>
      <name val="Calibri Light"/>
      <family val="2"/>
      <scheme val="major"/>
    </font>
    <font>
      <sz val="8"/>
      <color theme="1"/>
      <name val="Calibri Light"/>
      <family val="2"/>
      <scheme val="major"/>
    </font>
    <font>
      <sz val="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5">
    <xf numFmtId="0" fontId="0" fillId="0" borderId="0" xfId="0"/>
    <xf numFmtId="1" fontId="0" fillId="0" borderId="0" xfId="0" applyNumberFormat="1"/>
    <xf numFmtId="15" fontId="0" fillId="0" borderId="0" xfId="0" applyNumberFormat="1"/>
    <xf numFmtId="0" fontId="0" fillId="0" borderId="0" xfId="0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43" fontId="0" fillId="0" borderId="0" xfId="1" applyFont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43" fontId="2" fillId="0" borderId="0" xfId="0" applyNumberFormat="1" applyFont="1"/>
    <xf numFmtId="2" fontId="2" fillId="0" borderId="0" xfId="0" applyNumberFormat="1" applyFont="1"/>
    <xf numFmtId="0" fontId="2" fillId="5" borderId="0" xfId="0" applyFont="1" applyFill="1" applyAlignment="1">
      <alignment horizontal="center" vertical="center"/>
    </xf>
    <xf numFmtId="9" fontId="3" fillId="5" borderId="0" xfId="2" applyFont="1" applyFill="1" applyAlignment="1">
      <alignment horizontal="center" vertical="center"/>
    </xf>
    <xf numFmtId="0" fontId="2" fillId="5" borderId="0" xfId="0" applyFont="1" applyFill="1"/>
    <xf numFmtId="0" fontId="3" fillId="5" borderId="0" xfId="0" applyFont="1" applyFill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22" fontId="0" fillId="0" borderId="0" xfId="0" applyNumberFormat="1"/>
    <xf numFmtId="18" fontId="0" fillId="0" borderId="0" xfId="0" applyNumberFormat="1"/>
    <xf numFmtId="18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7" fillId="2" borderId="4" xfId="0" applyFont="1" applyFill="1" applyBorder="1" applyAlignment="1">
      <alignment horizontal="center" vertical="center" wrapText="1"/>
    </xf>
    <xf numFmtId="1" fontId="7" fillId="2" borderId="2" xfId="1" applyNumberFormat="1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171" fontId="8" fillId="0" borderId="0" xfId="0" applyNumberFormat="1" applyFont="1" applyAlignment="1">
      <alignment horizontal="center" vertical="center"/>
    </xf>
    <xf numFmtId="172" fontId="8" fillId="0" borderId="0" xfId="0" applyNumberFormat="1" applyFont="1" applyAlignment="1">
      <alignment horizontal="center" vertical="center"/>
    </xf>
    <xf numFmtId="170" fontId="8" fillId="0" borderId="0" xfId="0" applyNumberFormat="1" applyFont="1" applyAlignment="1">
      <alignment horizontal="center" vertical="center"/>
    </xf>
    <xf numFmtId="169" fontId="8" fillId="0" borderId="0" xfId="0" applyNumberFormat="1" applyFont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164" fontId="8" fillId="0" borderId="0" xfId="1" applyNumberFormat="1" applyFont="1" applyBorder="1" applyAlignment="1">
      <alignment horizontal="center" vertical="center"/>
    </xf>
    <xf numFmtId="10" fontId="8" fillId="0" borderId="0" xfId="2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43" fontId="8" fillId="0" borderId="0" xfId="1" applyFont="1" applyBorder="1" applyAlignment="1">
      <alignment horizontal="center" vertical="center"/>
    </xf>
    <xf numFmtId="167" fontId="8" fillId="0" borderId="0" xfId="1" applyNumberFormat="1" applyFont="1" applyBorder="1" applyAlignment="1">
      <alignment horizontal="center" vertical="center"/>
    </xf>
    <xf numFmtId="1" fontId="7" fillId="2" borderId="1" xfId="1" applyNumberFormat="1" applyFont="1" applyFill="1" applyBorder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171" fontId="8" fillId="0" borderId="9" xfId="0" applyNumberFormat="1" applyFont="1" applyBorder="1" applyAlignment="1">
      <alignment horizontal="center" vertical="center"/>
    </xf>
    <xf numFmtId="172" fontId="8" fillId="0" borderId="9" xfId="0" applyNumberFormat="1" applyFont="1" applyBorder="1" applyAlignment="1">
      <alignment horizontal="center" vertical="center"/>
    </xf>
    <xf numFmtId="170" fontId="8" fillId="0" borderId="9" xfId="0" applyNumberFormat="1" applyFont="1" applyBorder="1" applyAlignment="1">
      <alignment horizontal="center" vertical="center"/>
    </xf>
    <xf numFmtId="169" fontId="8" fillId="0" borderId="9" xfId="0" applyNumberFormat="1" applyFont="1" applyBorder="1" applyAlignment="1">
      <alignment horizontal="center" vertical="center"/>
    </xf>
    <xf numFmtId="2" fontId="8" fillId="0" borderId="9" xfId="0" applyNumberFormat="1" applyFont="1" applyBorder="1" applyAlignment="1">
      <alignment horizontal="center" vertical="center"/>
    </xf>
    <xf numFmtId="164" fontId="8" fillId="0" borderId="9" xfId="1" applyNumberFormat="1" applyFont="1" applyBorder="1" applyAlignment="1">
      <alignment horizontal="center" vertical="center"/>
    </xf>
    <xf numFmtId="10" fontId="8" fillId="0" borderId="9" xfId="2" applyNumberFormat="1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43" fontId="8" fillId="0" borderId="9" xfId="1" applyFont="1" applyBorder="1" applyAlignment="1">
      <alignment horizontal="center" vertical="center"/>
    </xf>
    <xf numFmtId="167" fontId="8" fillId="0" borderId="9" xfId="1" applyNumberFormat="1" applyFont="1" applyBorder="1" applyAlignment="1">
      <alignment horizontal="center" vertical="center"/>
    </xf>
    <xf numFmtId="166" fontId="8" fillId="0" borderId="9" xfId="0" applyNumberFormat="1" applyFont="1" applyBorder="1" applyAlignment="1">
      <alignment horizontal="center" vertical="center"/>
    </xf>
    <xf numFmtId="166" fontId="8" fillId="0" borderId="6" xfId="0" applyNumberFormat="1" applyFont="1" applyBorder="1" applyAlignment="1">
      <alignment horizontal="center" vertical="center"/>
    </xf>
    <xf numFmtId="166" fontId="8" fillId="0" borderId="8" xfId="0" applyNumberFormat="1" applyFont="1" applyBorder="1" applyAlignment="1">
      <alignment horizontal="center" vertical="center"/>
    </xf>
    <xf numFmtId="43" fontId="0" fillId="0" borderId="0" xfId="0" applyNumberFormat="1" applyAlignment="1">
      <alignment horizontal="center" vertical="center"/>
    </xf>
    <xf numFmtId="22" fontId="0" fillId="0" borderId="0" xfId="1" applyNumberFormat="1" applyFont="1" applyAlignment="1">
      <alignment horizontal="center" vertical="center"/>
    </xf>
    <xf numFmtId="43" fontId="8" fillId="0" borderId="0" xfId="0" applyNumberFormat="1" applyFont="1" applyAlignment="1">
      <alignment horizontal="center" vertical="center"/>
    </xf>
    <xf numFmtId="1" fontId="0" fillId="0" borderId="0" xfId="1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8" fillId="0" borderId="7" xfId="0" applyNumberFormat="1" applyFont="1" applyBorder="1" applyAlignment="1">
      <alignment horizontal="center" vertical="center"/>
    </xf>
    <xf numFmtId="166" fontId="2" fillId="5" borderId="0" xfId="0" applyNumberFormat="1" applyFont="1" applyFill="1"/>
    <xf numFmtId="0" fontId="9" fillId="0" borderId="0" xfId="0" applyFont="1" applyAlignment="1">
      <alignment horizontal="center" vertical="center"/>
    </xf>
    <xf numFmtId="22" fontId="0" fillId="0" borderId="0" xfId="0" applyNumberFormat="1" applyAlignment="1">
      <alignment horizontal="center"/>
    </xf>
    <xf numFmtId="165" fontId="4" fillId="3" borderId="0" xfId="0" applyNumberFormat="1" applyFont="1" applyFill="1" applyAlignment="1">
      <alignment horizontal="center" vertical="center"/>
    </xf>
    <xf numFmtId="165" fontId="5" fillId="4" borderId="0" xfId="0" applyNumberFormat="1" applyFont="1" applyFill="1" applyAlignment="1">
      <alignment horizontal="center" vertical="center"/>
    </xf>
    <xf numFmtId="43" fontId="3" fillId="5" borderId="0" xfId="0" applyNumberFormat="1" applyFont="1" applyFill="1" applyAlignment="1">
      <alignment horizontal="left" vertical="center" indent="2"/>
    </xf>
    <xf numFmtId="0" fontId="3" fillId="5" borderId="0" xfId="0" applyFont="1" applyFill="1" applyAlignment="1">
      <alignment horizontal="left" vertical="center" indent="2"/>
    </xf>
    <xf numFmtId="0" fontId="6" fillId="5" borderId="9" xfId="0" applyFont="1" applyFill="1" applyBorder="1" applyAlignment="1">
      <alignment horizontal="right" vertical="center"/>
    </xf>
  </cellXfs>
  <cellStyles count="3">
    <cellStyle name="Comma" xfId="1" builtinId="3"/>
    <cellStyle name="Normal" xfId="0" builtinId="0"/>
    <cellStyle name="Percent" xfId="2" builtinId="5"/>
  </cellStyles>
  <dxfs count="24">
    <dxf>
      <fill>
        <patternFill patternType="gray125">
          <fgColor rgb="FFFFFF00"/>
        </patternFill>
      </fill>
    </dxf>
    <dxf>
      <fill>
        <patternFill patternType="gray125">
          <fgColor theme="7"/>
        </patternFill>
      </fill>
      <border>
        <left style="thin">
          <color rgb="FF002060"/>
        </left>
        <right style="thin">
          <color rgb="FF002060"/>
        </right>
        <top style="thin">
          <color rgb="FF002060"/>
        </top>
        <bottom style="thin">
          <color rgb="FF002060"/>
        </bottom>
        <vertical/>
        <horizontal/>
      </border>
    </dxf>
    <dxf>
      <fill>
        <patternFill patternType="gray125">
          <fgColor rgb="FFFFFF00"/>
        </patternFill>
      </fill>
    </dxf>
    <dxf>
      <font>
        <b/>
        <i val="0"/>
        <color rgb="FFFF0000"/>
      </font>
    </dxf>
    <dxf>
      <font>
        <b/>
        <i val="0"/>
        <color rgb="FF08B220"/>
      </font>
    </dxf>
    <dxf>
      <fill>
        <gradientFill degree="225">
          <stop position="0">
            <color theme="0"/>
          </stop>
          <stop position="1">
            <color rgb="FF08B220"/>
          </stop>
        </gradientFill>
      </fill>
    </dxf>
    <dxf>
      <fill>
        <gradientFill degree="225">
          <stop position="0">
            <color theme="0"/>
          </stop>
          <stop position="1">
            <color rgb="FFFF0000"/>
          </stop>
        </gradientFill>
      </fill>
    </dxf>
    <dxf>
      <fill>
        <gradientFill degree="225">
          <stop position="0">
            <color theme="0"/>
          </stop>
          <stop position="1">
            <color rgb="FF08B220"/>
          </stop>
        </gradientFill>
      </fill>
    </dxf>
    <dxf>
      <fill>
        <gradientFill degree="225">
          <stop position="0">
            <color theme="0"/>
          </stop>
          <stop position="1">
            <color rgb="FFFF0000"/>
          </stop>
        </gradientFill>
      </fill>
    </dxf>
    <dxf>
      <fill>
        <gradientFill degree="225">
          <stop position="0">
            <color theme="0"/>
          </stop>
          <stop position="1">
            <color rgb="FFFF0000"/>
          </stop>
        </gradientFill>
      </fill>
    </dxf>
    <dxf>
      <fill>
        <gradientFill degree="225">
          <stop position="0">
            <color theme="0"/>
          </stop>
          <stop position="1">
            <color rgb="FF08B220"/>
          </stop>
        </gradientFill>
      </fill>
    </dxf>
    <dxf>
      <fill>
        <patternFill patternType="gray125">
          <fgColor theme="7"/>
        </patternFill>
      </fill>
      <border>
        <left style="thin">
          <color rgb="FF002060"/>
        </left>
        <right style="thin">
          <color rgb="FF002060"/>
        </right>
        <top style="thin">
          <color rgb="FF002060"/>
        </top>
        <bottom style="thin">
          <color rgb="FF002060"/>
        </bottom>
        <vertical/>
        <horizontal/>
      </border>
    </dxf>
    <dxf>
      <fill>
        <patternFill patternType="gray125">
          <fgColor rgb="FFFFFF00"/>
        </patternFill>
      </fill>
    </dxf>
    <dxf>
      <fill>
        <patternFill patternType="gray125">
          <fgColor rgb="FFFFFF00"/>
        </patternFill>
      </fill>
    </dxf>
    <dxf>
      <fill>
        <patternFill patternType="gray125">
          <fgColor theme="7"/>
        </patternFill>
      </fill>
      <border>
        <left style="thin">
          <color rgb="FF002060"/>
        </left>
        <right style="thin">
          <color rgb="FF002060"/>
        </right>
        <top style="thin">
          <color rgb="FF002060"/>
        </top>
        <bottom style="thin">
          <color rgb="FF002060"/>
        </bottom>
        <vertical/>
        <horizontal/>
      </border>
    </dxf>
    <dxf>
      <fill>
        <patternFill patternType="gray125">
          <fgColor rgb="FFFFFF00"/>
        </patternFill>
      </fill>
    </dxf>
    <dxf>
      <font>
        <b/>
        <i val="0"/>
        <color rgb="FFFF0000"/>
      </font>
    </dxf>
    <dxf>
      <font>
        <b/>
        <i val="0"/>
        <color rgb="FF08B220"/>
      </font>
    </dxf>
    <dxf>
      <fill>
        <gradientFill degree="225">
          <stop position="0">
            <color theme="0"/>
          </stop>
          <stop position="1">
            <color rgb="FF08B220"/>
          </stop>
        </gradientFill>
      </fill>
    </dxf>
    <dxf>
      <fill>
        <gradientFill degree="225">
          <stop position="0">
            <color theme="0"/>
          </stop>
          <stop position="1">
            <color rgb="FFFF0000"/>
          </stop>
        </gradientFill>
      </fill>
    </dxf>
    <dxf>
      <fill>
        <gradientFill degree="225">
          <stop position="0">
            <color theme="0"/>
          </stop>
          <stop position="1">
            <color rgb="FF08B220"/>
          </stop>
        </gradientFill>
      </fill>
    </dxf>
    <dxf>
      <fill>
        <gradientFill degree="225">
          <stop position="0">
            <color theme="0"/>
          </stop>
          <stop position="1">
            <color rgb="FFFF0000"/>
          </stop>
        </gradientFill>
      </fill>
    </dxf>
    <dxf>
      <fill>
        <gradientFill degree="225">
          <stop position="0">
            <color theme="0"/>
          </stop>
          <stop position="1">
            <color rgb="FFFF0000"/>
          </stop>
        </gradientFill>
      </fill>
    </dxf>
    <dxf>
      <fill>
        <gradientFill degree="225">
          <stop position="0">
            <color theme="0"/>
          </stop>
          <stop position="1">
            <color rgb="FF08B220"/>
          </stop>
        </gradientFill>
      </fill>
    </dxf>
  </dxfs>
  <tableStyles count="1" defaultTableStyle="TableStyleMedium2" defaultPivotStyle="PivotStyleLight16">
    <tableStyle name="Invisible" pivot="0" table="0" count="0" xr9:uid="{45773A3C-BFB9-4707-BD9C-89108B0E7D83}"/>
  </tableStyles>
  <colors>
    <mruColors>
      <color rgb="FF08B22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305B9-2772-49A4-904D-F7F78A6763E1}">
  <sheetPr codeName="Sheet1"/>
  <dimension ref="A1:DX942"/>
  <sheetViews>
    <sheetView zoomScale="50" zoomScaleNormal="50" workbookViewId="0">
      <pane xSplit="15" ySplit="1" topLeftCell="P2" activePane="bottomRight" state="frozen"/>
      <selection pane="topRight" activeCell="P1" sqref="P1"/>
      <selection pane="bottomLeft" activeCell="A2" sqref="A2"/>
      <selection pane="bottomRight" activeCell="J24" sqref="J24"/>
    </sheetView>
  </sheetViews>
  <sheetFormatPr defaultColWidth="16.7109375" defaultRowHeight="15" x14ac:dyDescent="0.25"/>
  <cols>
    <col min="1" max="1" width="18" bestFit="1" customWidth="1"/>
    <col min="2" max="2" width="12.28515625" bestFit="1" customWidth="1"/>
    <col min="3" max="3" width="8.7109375" bestFit="1" customWidth="1"/>
    <col min="4" max="4" width="8.140625" bestFit="1" customWidth="1"/>
    <col min="5" max="5" width="13.85546875" bestFit="1" customWidth="1"/>
    <col min="6" max="6" width="11.28515625" bestFit="1" customWidth="1"/>
    <col min="7" max="7" width="18" bestFit="1" customWidth="1"/>
    <col min="8" max="9" width="12.28515625" bestFit="1" customWidth="1"/>
    <col min="10" max="10" width="14.42578125" bestFit="1" customWidth="1"/>
    <col min="11" max="11" width="12.28515625" bestFit="1" customWidth="1"/>
    <col min="12" max="14" width="3" customWidth="1"/>
    <col min="15" max="15" width="11.85546875" bestFit="1" customWidth="1"/>
    <col min="16" max="16" width="10.28515625" bestFit="1" customWidth="1"/>
    <col min="17" max="17" width="8.7109375" bestFit="1" customWidth="1"/>
    <col min="18" max="18" width="9" bestFit="1" customWidth="1"/>
    <col min="19" max="19" width="9.7109375" bestFit="1" customWidth="1"/>
    <col min="20" max="20" width="16.28515625" bestFit="1" customWidth="1"/>
    <col min="21" max="21" width="11" bestFit="1" customWidth="1"/>
    <col min="22" max="22" width="17.85546875" bestFit="1" customWidth="1"/>
    <col min="23" max="23" width="10.5703125" bestFit="1" customWidth="1"/>
    <col min="24" max="24" width="17.5703125" bestFit="1" customWidth="1"/>
    <col min="25" max="25" width="11.28515625" bestFit="1" customWidth="1"/>
    <col min="26" max="26" width="18.85546875" bestFit="1" customWidth="1"/>
    <col min="27" max="27" width="11.5703125" bestFit="1" customWidth="1"/>
    <col min="28" max="28" width="18" bestFit="1" customWidth="1"/>
    <col min="29" max="29" width="13.85546875" bestFit="1" customWidth="1"/>
    <col min="30" max="30" width="18" bestFit="1" customWidth="1"/>
    <col min="31" max="31" width="10.85546875" bestFit="1" customWidth="1"/>
    <col min="32" max="32" width="17.85546875" bestFit="1" customWidth="1"/>
    <col min="33" max="33" width="10.5703125" bestFit="1" customWidth="1"/>
    <col min="34" max="34" width="18.85546875" bestFit="1" customWidth="1"/>
    <col min="35" max="35" width="11.5703125" bestFit="1" customWidth="1"/>
    <col min="37" max="37" width="9.7109375" bestFit="1" customWidth="1"/>
    <col min="38" max="38" width="17" bestFit="1" customWidth="1"/>
    <col min="39" max="39" width="10" bestFit="1" customWidth="1"/>
    <col min="41" max="41" width="9.7109375" bestFit="1" customWidth="1"/>
    <col min="42" max="42" width="11" bestFit="1" customWidth="1"/>
    <col min="43" max="43" width="14.7109375" bestFit="1" customWidth="1"/>
    <col min="44" max="44" width="13.85546875" bestFit="1" customWidth="1"/>
    <col min="45" max="45" width="9.7109375" bestFit="1" customWidth="1"/>
    <col min="46" max="46" width="6.85546875" bestFit="1" customWidth="1"/>
    <col min="47" max="47" width="15" bestFit="1" customWidth="1"/>
    <col min="48" max="48" width="11.28515625" bestFit="1" customWidth="1"/>
    <col min="49" max="49" width="11.5703125" bestFit="1" customWidth="1"/>
    <col min="50" max="50" width="15.42578125" bestFit="1" customWidth="1"/>
    <col min="51" max="51" width="7.42578125" bestFit="1" customWidth="1"/>
    <col min="52" max="52" width="10.85546875" bestFit="1" customWidth="1"/>
    <col min="53" max="53" width="14.42578125" bestFit="1" customWidth="1"/>
    <col min="54" max="54" width="12.28515625" bestFit="1" customWidth="1"/>
    <col min="55" max="55" width="10.28515625" bestFit="1" customWidth="1"/>
    <col min="56" max="56" width="17.5703125" bestFit="1" customWidth="1"/>
    <col min="57" max="57" width="10.5703125" bestFit="1" customWidth="1"/>
    <col min="58" max="58" width="17.85546875" bestFit="1" customWidth="1"/>
    <col min="59" max="59" width="10.28515625" bestFit="1" customWidth="1"/>
    <col min="60" max="60" width="17.5703125" bestFit="1" customWidth="1"/>
    <col min="61" max="61" width="12.140625" bestFit="1" customWidth="1"/>
    <col min="62" max="62" width="19.42578125" bestFit="1" customWidth="1"/>
    <col min="63" max="63" width="11.5703125" bestFit="1" customWidth="1"/>
    <col min="64" max="64" width="11" bestFit="1" customWidth="1"/>
    <col min="65" max="65" width="18.28515625" bestFit="1" customWidth="1"/>
    <col min="66" max="66" width="11.28515625" bestFit="1" customWidth="1"/>
    <col min="67" max="67" width="18.5703125" bestFit="1" customWidth="1"/>
    <col min="68" max="68" width="13.85546875" bestFit="1" customWidth="1"/>
    <col min="69" max="69" width="18.5703125" bestFit="1" customWidth="1"/>
    <col min="70" max="70" width="12.140625" bestFit="1" customWidth="1"/>
    <col min="71" max="71" width="19.42578125" bestFit="1" customWidth="1"/>
    <col min="72" max="72" width="11.28515625" bestFit="1" customWidth="1"/>
    <col min="73" max="73" width="18" bestFit="1" customWidth="1"/>
    <col min="74" max="74" width="11" bestFit="1" customWidth="1"/>
    <col min="75" max="75" width="18.28515625" bestFit="1" customWidth="1"/>
    <col min="76" max="76" width="9.7109375" bestFit="1" customWidth="1"/>
    <col min="78" max="78" width="10.28515625" bestFit="1" customWidth="1"/>
    <col min="79" max="79" width="9.42578125" bestFit="1" customWidth="1"/>
    <col min="80" max="80" width="9.28515625" bestFit="1" customWidth="1"/>
    <col min="81" max="81" width="10.85546875" bestFit="1" customWidth="1"/>
    <col min="82" max="82" width="13.7109375" bestFit="1" customWidth="1"/>
    <col min="83" max="83" width="12.28515625" bestFit="1" customWidth="1"/>
    <col min="84" max="84" width="13.42578125" bestFit="1" customWidth="1"/>
    <col min="85" max="85" width="12.140625" bestFit="1" customWidth="1"/>
    <col min="86" max="86" width="18" bestFit="1" customWidth="1"/>
    <col min="87" max="87" width="13.140625" bestFit="1" customWidth="1"/>
    <col min="88" max="88" width="11.85546875" bestFit="1" customWidth="1"/>
    <col min="89" max="89" width="12.85546875" bestFit="1" customWidth="1"/>
    <col min="90" max="90" width="11.5703125" bestFit="1" customWidth="1"/>
    <col min="91" max="91" width="17.5703125" bestFit="1" customWidth="1"/>
    <col min="92" max="92" width="27.7109375" bestFit="1" customWidth="1"/>
    <col min="93" max="93" width="27.140625" customWidth="1"/>
    <col min="94" max="94" width="18.28515625" bestFit="1" customWidth="1"/>
    <col min="95" max="95" width="18.5703125" bestFit="1" customWidth="1"/>
    <col min="96" max="96" width="30.28515625" bestFit="1" customWidth="1"/>
    <col min="97" max="97" width="13.85546875" bestFit="1" customWidth="1"/>
    <col min="98" max="98" width="21.140625" bestFit="1" customWidth="1"/>
    <col min="99" max="99" width="14.7109375" bestFit="1" customWidth="1"/>
    <col min="100" max="100" width="21.140625" bestFit="1" customWidth="1"/>
    <col min="101" max="101" width="12.5703125" bestFit="1" customWidth="1"/>
    <col min="102" max="102" width="22.28515625" bestFit="1" customWidth="1"/>
    <col min="103" max="103" width="13.140625" bestFit="1" customWidth="1"/>
    <col min="104" max="104" width="23" bestFit="1" customWidth="1"/>
    <col min="105" max="105" width="15.140625" bestFit="1" customWidth="1"/>
    <col min="106" max="106" width="21.7109375" bestFit="1" customWidth="1"/>
    <col min="107" max="107" width="14.42578125" bestFit="1" customWidth="1"/>
    <col min="108" max="108" width="21.7109375" bestFit="1" customWidth="1"/>
    <col min="109" max="109" width="20.140625" bestFit="1" customWidth="1"/>
    <col min="110" max="111" width="19.85546875" bestFit="1" customWidth="1"/>
    <col min="112" max="112" width="11.85546875" bestFit="1" customWidth="1"/>
    <col min="113" max="114" width="11.5703125" bestFit="1" customWidth="1"/>
    <col min="115" max="115" width="12.140625" bestFit="1" customWidth="1"/>
    <col min="116" max="116" width="11.5703125" bestFit="1" customWidth="1"/>
    <col min="117" max="117" width="17" bestFit="1" customWidth="1"/>
    <col min="118" max="118" width="11" bestFit="1" customWidth="1"/>
    <col min="119" max="119" width="16.5703125" bestFit="1" customWidth="1"/>
    <col min="120" max="120" width="13.85546875" bestFit="1" customWidth="1"/>
    <col min="121" max="121" width="16.5703125" bestFit="1" customWidth="1"/>
    <col min="122" max="122" width="10.5703125" bestFit="1" customWidth="1"/>
    <col min="123" max="123" width="16" bestFit="1" customWidth="1"/>
    <col min="124" max="124" width="13.85546875" customWidth="1"/>
    <col min="125" max="125" width="22.28515625" bestFit="1" customWidth="1"/>
    <col min="127" max="127" width="16" bestFit="1" customWidth="1"/>
    <col min="128" max="128" width="16.7109375" customWidth="1"/>
  </cols>
  <sheetData>
    <row r="1" spans="1:125" x14ac:dyDescent="0.25">
      <c r="A1" t="s">
        <v>2</v>
      </c>
      <c r="B1" t="s">
        <v>3</v>
      </c>
      <c r="C1" s="1" t="s">
        <v>4</v>
      </c>
      <c r="D1" t="s">
        <v>5</v>
      </c>
      <c r="L1" s="3"/>
      <c r="M1" s="5"/>
      <c r="O1" s="3" t="s">
        <v>242</v>
      </c>
      <c r="P1" s="3" t="s">
        <v>210</v>
      </c>
      <c r="Q1" s="3" t="s">
        <v>211</v>
      </c>
      <c r="R1" s="3" t="s">
        <v>212</v>
      </c>
      <c r="S1" s="3" t="s">
        <v>213</v>
      </c>
      <c r="T1" s="3" t="s">
        <v>214</v>
      </c>
      <c r="U1" s="3" t="s">
        <v>215</v>
      </c>
      <c r="V1" s="3" t="s">
        <v>216</v>
      </c>
      <c r="W1" s="3" t="s">
        <v>217</v>
      </c>
      <c r="X1" s="3" t="s">
        <v>218</v>
      </c>
      <c r="Y1" s="3" t="s">
        <v>219</v>
      </c>
      <c r="Z1" s="3" t="s">
        <v>220</v>
      </c>
      <c r="AA1" s="3" t="s">
        <v>221</v>
      </c>
      <c r="AB1" s="3" t="s">
        <v>222</v>
      </c>
      <c r="AC1" s="3" t="s">
        <v>223</v>
      </c>
      <c r="AD1" s="3" t="s">
        <v>224</v>
      </c>
      <c r="AE1" s="3" t="s">
        <v>225</v>
      </c>
      <c r="AF1" s="3" t="s">
        <v>226</v>
      </c>
      <c r="AG1" s="3" t="s">
        <v>227</v>
      </c>
      <c r="AH1" s="3" t="s">
        <v>228</v>
      </c>
      <c r="AI1" s="3" t="s">
        <v>229</v>
      </c>
      <c r="AJ1" s="3" t="s">
        <v>230</v>
      </c>
      <c r="AK1" s="3" t="s">
        <v>231</v>
      </c>
      <c r="AL1" s="3" t="s">
        <v>232</v>
      </c>
      <c r="AM1" s="3" t="s">
        <v>233</v>
      </c>
      <c r="AN1" s="3" t="s">
        <v>234</v>
      </c>
      <c r="AO1" s="3" t="s">
        <v>235</v>
      </c>
      <c r="AP1" s="3" t="s">
        <v>236</v>
      </c>
      <c r="AQ1" s="3" t="s">
        <v>237</v>
      </c>
      <c r="AR1" s="3" t="s">
        <v>238</v>
      </c>
      <c r="AS1" s="3" t="s">
        <v>239</v>
      </c>
      <c r="AT1" s="3" t="s">
        <v>240</v>
      </c>
      <c r="AU1" s="3" t="s">
        <v>241</v>
      </c>
      <c r="AV1" s="3" t="s">
        <v>0</v>
      </c>
      <c r="AW1" s="3" t="s">
        <v>1</v>
      </c>
      <c r="AX1" s="3" t="s">
        <v>243</v>
      </c>
      <c r="AY1" s="3" t="s">
        <v>244</v>
      </c>
      <c r="AZ1" s="3" t="s">
        <v>245</v>
      </c>
      <c r="BA1" s="3" t="s">
        <v>246</v>
      </c>
      <c r="BB1" s="3" t="s">
        <v>247</v>
      </c>
      <c r="BC1" s="3" t="s">
        <v>248</v>
      </c>
      <c r="BD1" s="3" t="s">
        <v>249</v>
      </c>
      <c r="BE1" s="3" t="s">
        <v>250</v>
      </c>
      <c r="BF1" s="3" t="s">
        <v>251</v>
      </c>
      <c r="BG1" s="3" t="s">
        <v>252</v>
      </c>
      <c r="BH1" s="3" t="s">
        <v>253</v>
      </c>
      <c r="BI1" s="3" t="s">
        <v>254</v>
      </c>
      <c r="BJ1" s="3" t="s">
        <v>255</v>
      </c>
      <c r="BK1" s="3" t="s">
        <v>256</v>
      </c>
      <c r="BL1" s="3" t="s">
        <v>257</v>
      </c>
      <c r="BM1" s="3" t="s">
        <v>258</v>
      </c>
      <c r="BN1" s="3" t="s">
        <v>259</v>
      </c>
      <c r="BO1" s="3" t="s">
        <v>260</v>
      </c>
      <c r="BP1" s="3" t="s">
        <v>261</v>
      </c>
      <c r="BQ1" s="3" t="s">
        <v>262</v>
      </c>
      <c r="BR1" s="3" t="s">
        <v>263</v>
      </c>
      <c r="BS1" s="3" t="s">
        <v>264</v>
      </c>
      <c r="BT1" s="3" t="s">
        <v>265</v>
      </c>
      <c r="BU1" s="3" t="s">
        <v>266</v>
      </c>
      <c r="BV1" s="3" t="s">
        <v>267</v>
      </c>
      <c r="BW1" s="3" t="s">
        <v>268</v>
      </c>
      <c r="BX1" s="3" t="s">
        <v>269</v>
      </c>
      <c r="BY1" s="3" t="s">
        <v>270</v>
      </c>
      <c r="BZ1" s="3" t="s">
        <v>271</v>
      </c>
      <c r="CA1" s="3" t="s">
        <v>272</v>
      </c>
      <c r="CB1" s="3" t="s">
        <v>273</v>
      </c>
      <c r="CC1" s="3" t="s">
        <v>274</v>
      </c>
      <c r="CD1" s="3" t="s">
        <v>275</v>
      </c>
      <c r="CE1" s="3" t="s">
        <v>276</v>
      </c>
      <c r="CF1" s="3" t="s">
        <v>277</v>
      </c>
      <c r="CG1" s="3" t="s">
        <v>278</v>
      </c>
      <c r="CH1" s="3" t="s">
        <v>279</v>
      </c>
      <c r="CI1" s="3" t="s">
        <v>280</v>
      </c>
      <c r="CJ1" s="3" t="s">
        <v>281</v>
      </c>
      <c r="CK1" s="3" t="s">
        <v>282</v>
      </c>
      <c r="CL1" s="3" t="s">
        <v>283</v>
      </c>
      <c r="CM1" s="3" t="s">
        <v>284</v>
      </c>
      <c r="CN1" s="3" t="s">
        <v>285</v>
      </c>
      <c r="CO1" s="3" t="s">
        <v>286</v>
      </c>
      <c r="CP1" s="3" t="s">
        <v>287</v>
      </c>
      <c r="CQ1" s="3" t="s">
        <v>288</v>
      </c>
      <c r="CR1" s="3" t="s">
        <v>289</v>
      </c>
      <c r="CS1" s="3" t="s">
        <v>290</v>
      </c>
      <c r="CT1" s="3" t="s">
        <v>291</v>
      </c>
      <c r="CU1" s="3" t="s">
        <v>292</v>
      </c>
      <c r="CV1" s="3" t="s">
        <v>293</v>
      </c>
      <c r="CW1" s="3" t="s">
        <v>294</v>
      </c>
      <c r="CX1" s="3" t="s">
        <v>295</v>
      </c>
      <c r="CY1" s="3" t="s">
        <v>296</v>
      </c>
      <c r="CZ1" s="3" t="s">
        <v>297</v>
      </c>
      <c r="DA1" s="3" t="s">
        <v>298</v>
      </c>
      <c r="DB1" s="3" t="s">
        <v>299</v>
      </c>
      <c r="DC1" s="3" t="s">
        <v>300</v>
      </c>
      <c r="DD1" s="3" t="s">
        <v>301</v>
      </c>
      <c r="DE1" s="3" t="s">
        <v>302</v>
      </c>
      <c r="DF1" s="3" t="s">
        <v>303</v>
      </c>
      <c r="DG1" s="3" t="s">
        <v>304</v>
      </c>
      <c r="DH1" s="3" t="s">
        <v>305</v>
      </c>
      <c r="DI1" s="3" t="s">
        <v>306</v>
      </c>
      <c r="DJ1" s="3" t="s">
        <v>307</v>
      </c>
      <c r="DK1" s="3" t="s">
        <v>205</v>
      </c>
      <c r="DL1" s="3" t="s">
        <v>206</v>
      </c>
      <c r="DM1" s="3" t="s">
        <v>207</v>
      </c>
      <c r="DN1" s="3" t="s">
        <v>322</v>
      </c>
      <c r="DO1" s="3" t="s">
        <v>323</v>
      </c>
      <c r="DP1" s="3" t="s">
        <v>208</v>
      </c>
      <c r="DQ1" s="3" t="s">
        <v>209</v>
      </c>
      <c r="DR1" t="s">
        <v>324</v>
      </c>
      <c r="DS1" t="s">
        <v>325</v>
      </c>
      <c r="DT1" t="s">
        <v>309</v>
      </c>
      <c r="DU1" t="s">
        <v>308</v>
      </c>
    </row>
    <row r="2" spans="1:125" x14ac:dyDescent="0.25">
      <c r="A2" t="s">
        <v>6</v>
      </c>
      <c r="B2" s="2">
        <v>44798</v>
      </c>
      <c r="C2" s="1">
        <v>850</v>
      </c>
      <c r="D2">
        <v>80</v>
      </c>
      <c r="G2" t="str">
        <f t="array" ref="G2">IFERROR(INDEX($A$2:$A$700,MATCH(0,COUNTIF($G$1:G1,$A$2:$A$700),0)),"")</f>
        <v>AARTIIND</v>
      </c>
      <c r="H2" s="2">
        <f t="array" ref="H2">IFERROR(INDEX($B$1:$B$701,SMALL(IF(OptionChain!$AU$1=$A$1:$A$701,ROW($A$1:$A$701),""),ROW()-ROW($H$1))),"")</f>
        <v>44784</v>
      </c>
      <c r="I2" s="2">
        <f t="array" ref="I2">IFERROR(INDEX($B$1:$B$701,SMALL(IF($J$2=$A$1:$A$701,ROW($A$1:$A$701),""),ROW()-ROW($I$1))),"")</f>
        <v>44784</v>
      </c>
      <c r="J2" t="s">
        <v>33</v>
      </c>
      <c r="K2" s="2">
        <v>44777</v>
      </c>
      <c r="L2" s="3"/>
      <c r="M2" s="5"/>
      <c r="O2" s="3">
        <f>IFERROR(IF(ISBLANK(O307), 0,VALUE(O307)),"-")</f>
        <v>24500</v>
      </c>
      <c r="P2" s="7">
        <f>IFERROR(VALUE(P307),"-")</f>
        <v>0</v>
      </c>
      <c r="Q2" s="7">
        <f t="shared" ref="Q2:S2" si="0">IFERROR(VALUE(Q307),"-")</f>
        <v>0</v>
      </c>
      <c r="R2" s="7">
        <f t="shared" si="0"/>
        <v>0</v>
      </c>
      <c r="S2" s="7">
        <f t="shared" si="0"/>
        <v>0</v>
      </c>
      <c r="T2" s="11">
        <f t="shared" ref="T2:CE2" si="1">IFERROR(VALUE(T307),"-")</f>
        <v>0</v>
      </c>
      <c r="U2" s="11">
        <f t="shared" si="1"/>
        <v>0</v>
      </c>
      <c r="V2" s="11">
        <f t="shared" si="1"/>
        <v>0</v>
      </c>
      <c r="W2" s="11">
        <f t="shared" si="1"/>
        <v>0</v>
      </c>
      <c r="X2" s="14">
        <f t="shared" si="1"/>
        <v>0</v>
      </c>
      <c r="Y2" s="14">
        <f t="shared" si="1"/>
        <v>0</v>
      </c>
      <c r="Z2" s="14">
        <f t="shared" si="1"/>
        <v>0</v>
      </c>
      <c r="AA2" s="14">
        <f t="shared" si="1"/>
        <v>0</v>
      </c>
      <c r="AB2" s="15">
        <f t="shared" si="1"/>
        <v>0</v>
      </c>
      <c r="AC2" s="15">
        <f t="shared" si="1"/>
        <v>0</v>
      </c>
      <c r="AD2" s="13">
        <f t="shared" si="1"/>
        <v>0</v>
      </c>
      <c r="AE2" s="13">
        <f t="shared" si="1"/>
        <v>0</v>
      </c>
      <c r="AF2" s="12">
        <f t="shared" si="1"/>
        <v>0</v>
      </c>
      <c r="AG2" s="12">
        <f t="shared" si="1"/>
        <v>0</v>
      </c>
      <c r="AH2" s="13">
        <f t="shared" si="1"/>
        <v>0</v>
      </c>
      <c r="AI2" s="13">
        <f t="shared" si="1"/>
        <v>0</v>
      </c>
      <c r="AJ2" s="11">
        <f t="shared" si="1"/>
        <v>0</v>
      </c>
      <c r="AK2" s="11">
        <f t="shared" si="1"/>
        <v>0</v>
      </c>
      <c r="AL2" s="11">
        <f t="shared" si="1"/>
        <v>0</v>
      </c>
      <c r="AM2" s="11">
        <f t="shared" si="1"/>
        <v>0</v>
      </c>
      <c r="AN2" s="11">
        <f t="shared" si="1"/>
        <v>0</v>
      </c>
      <c r="AO2" s="11">
        <f t="shared" si="1"/>
        <v>0</v>
      </c>
      <c r="AP2" s="11">
        <f t="shared" si="1"/>
        <v>0</v>
      </c>
      <c r="AQ2" s="11">
        <f t="shared" si="1"/>
        <v>0</v>
      </c>
      <c r="AR2" s="16">
        <f t="shared" si="1"/>
        <v>0</v>
      </c>
      <c r="AS2" s="16">
        <f t="shared" si="1"/>
        <v>0</v>
      </c>
      <c r="AT2" s="16">
        <f t="shared" si="1"/>
        <v>0</v>
      </c>
      <c r="AU2" s="7">
        <f t="shared" si="1"/>
        <v>0</v>
      </c>
      <c r="AV2" s="7">
        <f t="shared" si="1"/>
        <v>0</v>
      </c>
      <c r="AW2" s="7">
        <f t="shared" si="1"/>
        <v>0</v>
      </c>
      <c r="AX2" s="7">
        <f t="shared" si="1"/>
        <v>0</v>
      </c>
      <c r="AY2" s="11">
        <f t="shared" si="1"/>
        <v>0</v>
      </c>
      <c r="AZ2" s="16">
        <f t="shared" si="1"/>
        <v>0</v>
      </c>
      <c r="BA2" s="16">
        <f t="shared" si="1"/>
        <v>0</v>
      </c>
      <c r="BB2" s="16">
        <f t="shared" si="1"/>
        <v>0</v>
      </c>
      <c r="BC2" s="11">
        <f t="shared" si="1"/>
        <v>0</v>
      </c>
      <c r="BD2" s="11">
        <f t="shared" si="1"/>
        <v>0</v>
      </c>
      <c r="BE2" s="11">
        <f t="shared" si="1"/>
        <v>0</v>
      </c>
      <c r="BF2" s="11">
        <f t="shared" si="1"/>
        <v>0</v>
      </c>
      <c r="BG2" s="11">
        <f t="shared" si="1"/>
        <v>0</v>
      </c>
      <c r="BH2" s="11">
        <f t="shared" si="1"/>
        <v>0</v>
      </c>
      <c r="BI2" s="13">
        <f t="shared" si="1"/>
        <v>0</v>
      </c>
      <c r="BJ2" s="13">
        <f t="shared" si="1"/>
        <v>0</v>
      </c>
      <c r="BK2" s="11">
        <f t="shared" si="1"/>
        <v>0</v>
      </c>
      <c r="BL2" s="12">
        <f t="shared" si="1"/>
        <v>0</v>
      </c>
      <c r="BM2" s="12">
        <f t="shared" si="1"/>
        <v>0</v>
      </c>
      <c r="BN2" s="13">
        <f t="shared" si="1"/>
        <v>0</v>
      </c>
      <c r="BO2" s="13">
        <f t="shared" si="1"/>
        <v>0</v>
      </c>
      <c r="BP2" s="15">
        <f t="shared" si="1"/>
        <v>0</v>
      </c>
      <c r="BQ2" s="15">
        <f t="shared" si="1"/>
        <v>0</v>
      </c>
      <c r="BR2" s="14">
        <f t="shared" si="1"/>
        <v>0</v>
      </c>
      <c r="BS2" s="14">
        <f t="shared" si="1"/>
        <v>0</v>
      </c>
      <c r="BT2" s="14">
        <f t="shared" si="1"/>
        <v>0</v>
      </c>
      <c r="BU2" s="14">
        <f t="shared" si="1"/>
        <v>0</v>
      </c>
      <c r="BV2" s="11">
        <f t="shared" si="1"/>
        <v>0</v>
      </c>
      <c r="BW2" s="11">
        <f t="shared" si="1"/>
        <v>0</v>
      </c>
      <c r="BX2" s="11">
        <f t="shared" si="1"/>
        <v>0</v>
      </c>
      <c r="BY2" s="11">
        <f t="shared" si="1"/>
        <v>0</v>
      </c>
      <c r="BZ2" s="7">
        <f t="shared" si="1"/>
        <v>0</v>
      </c>
      <c r="CA2" s="7">
        <f t="shared" si="1"/>
        <v>0</v>
      </c>
      <c r="CB2" s="7">
        <f t="shared" si="1"/>
        <v>0</v>
      </c>
      <c r="CC2" s="7">
        <f t="shared" si="1"/>
        <v>0</v>
      </c>
      <c r="CD2" s="7">
        <f t="shared" si="1"/>
        <v>0</v>
      </c>
      <c r="CE2" s="3">
        <f t="shared" si="1"/>
        <v>0</v>
      </c>
      <c r="CF2" s="7">
        <f t="shared" ref="CF2:CO2" si="2">IFERROR(VALUE(CF307),"-")</f>
        <v>0</v>
      </c>
      <c r="CG2" s="3">
        <f t="shared" si="2"/>
        <v>0</v>
      </c>
      <c r="CH2" s="7">
        <f t="shared" si="2"/>
        <v>0</v>
      </c>
      <c r="CI2" s="7">
        <f t="shared" si="2"/>
        <v>0</v>
      </c>
      <c r="CJ2" s="3">
        <f t="shared" si="2"/>
        <v>0</v>
      </c>
      <c r="CK2" s="7">
        <f t="shared" si="2"/>
        <v>0</v>
      </c>
      <c r="CL2" s="3">
        <f t="shared" si="2"/>
        <v>0</v>
      </c>
      <c r="CM2" s="7">
        <f t="shared" si="2"/>
        <v>0</v>
      </c>
      <c r="CN2" s="10">
        <f t="shared" si="2"/>
        <v>44783.636701388888</v>
      </c>
      <c r="CO2" s="10">
        <f t="shared" si="2"/>
        <v>44783.636701388888</v>
      </c>
      <c r="CP2" s="7">
        <f>IFERROR(VALUE(CP307),"-")</f>
        <v>38295.69921875</v>
      </c>
      <c r="CQ2" s="7" t="str">
        <f t="shared" ref="CQ2:DJ2" si="3">IFERROR(CQ307,"-")</f>
        <v>FairPrice</v>
      </c>
      <c r="CR2" s="10">
        <f t="shared" ref="CR2:DG14" si="4">IFERROR(VALUE(CR307),"-")</f>
        <v>44783.638194444444</v>
      </c>
      <c r="CS2" s="7">
        <f t="shared" ref="CS2:DG2" si="5">IFERROR(VALUE(CS307),"-")</f>
        <v>0</v>
      </c>
      <c r="CT2" s="7">
        <f t="shared" si="5"/>
        <v>0</v>
      </c>
      <c r="CU2" s="7">
        <f t="shared" si="5"/>
        <v>0</v>
      </c>
      <c r="CV2" s="7">
        <f t="shared" si="5"/>
        <v>0</v>
      </c>
      <c r="CW2" s="7">
        <f t="shared" si="5"/>
        <v>0</v>
      </c>
      <c r="CX2" s="7">
        <f t="shared" si="5"/>
        <v>0</v>
      </c>
      <c r="CY2" s="7">
        <f t="shared" si="5"/>
        <v>0</v>
      </c>
      <c r="CZ2" s="7">
        <f t="shared" si="5"/>
        <v>0</v>
      </c>
      <c r="DA2" s="7">
        <f t="shared" si="5"/>
        <v>0</v>
      </c>
      <c r="DB2" s="7">
        <f t="shared" si="5"/>
        <v>0</v>
      </c>
      <c r="DC2" s="7">
        <f t="shared" si="5"/>
        <v>0</v>
      </c>
      <c r="DD2" s="7">
        <f t="shared" si="5"/>
        <v>0</v>
      </c>
      <c r="DE2" s="7">
        <f t="shared" si="5"/>
        <v>0</v>
      </c>
      <c r="DF2" s="7">
        <f t="shared" si="5"/>
        <v>0</v>
      </c>
      <c r="DG2" s="7">
        <f t="shared" si="5"/>
        <v>38295.69921875</v>
      </c>
      <c r="DH2" s="7" t="str">
        <f t="shared" si="3"/>
        <v>W</v>
      </c>
      <c r="DI2" s="7" t="str">
        <f t="shared" si="3"/>
        <v>W</v>
      </c>
      <c r="DJ2" s="7" t="str">
        <f t="shared" si="3"/>
        <v>G</v>
      </c>
      <c r="DK2" s="64">
        <f>IFERROR(VALUE(DK307),"-")</f>
        <v>38300</v>
      </c>
      <c r="DL2" s="64">
        <f t="shared" ref="DL2:DS2" si="6">IFERROR(VALUE(DL307),"-")</f>
        <v>3400000</v>
      </c>
      <c r="DM2" s="64">
        <f t="shared" si="6"/>
        <v>38500</v>
      </c>
      <c r="DN2" s="64">
        <f t="shared" si="6"/>
        <v>0</v>
      </c>
      <c r="DO2" s="64">
        <f t="shared" si="6"/>
        <v>24500</v>
      </c>
      <c r="DP2" s="64">
        <f t="shared" si="6"/>
        <v>2863350</v>
      </c>
      <c r="DQ2" s="64">
        <f t="shared" si="6"/>
        <v>38000</v>
      </c>
      <c r="DR2" s="64">
        <f t="shared" si="6"/>
        <v>0</v>
      </c>
      <c r="DS2" s="64">
        <f t="shared" si="6"/>
        <v>24500</v>
      </c>
      <c r="DT2" t="str">
        <f t="shared" ref="DT2:DT65" si="7">IFERROR(DT307,"-")</f>
        <v>BANKNIFTY</v>
      </c>
      <c r="DU2" s="10">
        <f t="shared" ref="DU2:DU65" si="8">IFERROR(VALUE(DU307),"-")</f>
        <v>44784</v>
      </c>
    </row>
    <row r="3" spans="1:125" x14ac:dyDescent="0.25">
      <c r="A3" t="s">
        <v>6</v>
      </c>
      <c r="B3" s="2">
        <v>44833</v>
      </c>
      <c r="C3" s="1">
        <v>850</v>
      </c>
      <c r="D3">
        <v>80</v>
      </c>
      <c r="E3" t="str">
        <f>J3</f>
        <v>BANKNIFTY</v>
      </c>
      <c r="F3" s="2">
        <f>VALUE(K3)</f>
        <v>44784</v>
      </c>
      <c r="G3" t="str">
        <f t="array" ref="G3">IFERROR(INDEX($A$2:$A$700,MATCH(0,COUNTIF($G$1:G2,$A$2:$A$700),0)),"")</f>
        <v>ABB</v>
      </c>
      <c r="H3" s="2">
        <f t="array" ref="H3">IFERROR(INDEX($B$1:$B$701,SMALL(IF(OptionChain!$AU$1=$A$1:$A$701,ROW($A$1:$A$701),""),ROW()-ROW($H$1))),"")</f>
        <v>44791</v>
      </c>
      <c r="I3" s="2">
        <f t="array" ref="I3">IFERROR(INDEX($B$1:$B$701,SMALL(IF($J$2=$A$1:$A$701,ROW($A$1:$A$701),""),ROW()-ROW($I$1))),"")</f>
        <v>44791</v>
      </c>
      <c r="J3" t="str">
        <f>OptionChain!$AU$1</f>
        <v>BANKNIFTY</v>
      </c>
      <c r="K3" s="2">
        <f>IF(COUNTIF($H$2:$H$30,OptionChain!$AU$2)=1,IF(OptionChain!$AU$2&gt;=$H$2,OptionChain!$AU$2,$H$2),$H$2)</f>
        <v>44784</v>
      </c>
      <c r="L3" s="3"/>
      <c r="M3" s="5"/>
      <c r="O3" s="3">
        <f t="shared" ref="O3:O66" si="9">IFERROR(IF(ISBLANK(O308), 0,VALUE(O308)),"-")</f>
        <v>25000</v>
      </c>
      <c r="P3" s="7">
        <f t="shared" ref="P3:CA3" si="10">IFERROR(VALUE(P308),"-")</f>
        <v>0</v>
      </c>
      <c r="Q3" s="7">
        <f t="shared" si="10"/>
        <v>0</v>
      </c>
      <c r="R3" s="7">
        <f t="shared" si="10"/>
        <v>0</v>
      </c>
      <c r="S3" s="7">
        <f t="shared" si="10"/>
        <v>0</v>
      </c>
      <c r="T3" s="11">
        <f t="shared" si="10"/>
        <v>0</v>
      </c>
      <c r="U3" s="11">
        <f t="shared" si="10"/>
        <v>0</v>
      </c>
      <c r="V3" s="11">
        <f t="shared" si="10"/>
        <v>0</v>
      </c>
      <c r="W3" s="11">
        <f t="shared" si="10"/>
        <v>0</v>
      </c>
      <c r="X3" s="14">
        <f t="shared" si="10"/>
        <v>0</v>
      </c>
      <c r="Y3" s="14">
        <f t="shared" si="10"/>
        <v>0</v>
      </c>
      <c r="Z3" s="14">
        <f t="shared" si="10"/>
        <v>0</v>
      </c>
      <c r="AA3" s="14">
        <f t="shared" si="10"/>
        <v>0</v>
      </c>
      <c r="AB3" s="15">
        <f t="shared" si="10"/>
        <v>0</v>
      </c>
      <c r="AC3" s="15">
        <f t="shared" si="10"/>
        <v>0</v>
      </c>
      <c r="AD3" s="13">
        <f t="shared" si="10"/>
        <v>0</v>
      </c>
      <c r="AE3" s="13">
        <f t="shared" si="10"/>
        <v>0</v>
      </c>
      <c r="AF3" s="12">
        <f t="shared" si="10"/>
        <v>0</v>
      </c>
      <c r="AG3" s="12">
        <f t="shared" si="10"/>
        <v>0</v>
      </c>
      <c r="AH3" s="13">
        <f t="shared" si="10"/>
        <v>0</v>
      </c>
      <c r="AI3" s="13">
        <f t="shared" si="10"/>
        <v>0</v>
      </c>
      <c r="AJ3" s="11">
        <f t="shared" si="10"/>
        <v>0</v>
      </c>
      <c r="AK3" s="11">
        <f t="shared" si="10"/>
        <v>0</v>
      </c>
      <c r="AL3" s="11">
        <f t="shared" si="10"/>
        <v>0</v>
      </c>
      <c r="AM3" s="11">
        <f t="shared" si="10"/>
        <v>0</v>
      </c>
      <c r="AN3" s="11">
        <f t="shared" si="10"/>
        <v>0</v>
      </c>
      <c r="AO3" s="11">
        <f t="shared" si="10"/>
        <v>0</v>
      </c>
      <c r="AP3" s="11">
        <f t="shared" si="10"/>
        <v>0</v>
      </c>
      <c r="AQ3" s="11">
        <f t="shared" si="10"/>
        <v>0</v>
      </c>
      <c r="AR3" s="16">
        <f t="shared" si="10"/>
        <v>0</v>
      </c>
      <c r="AS3" s="16">
        <f t="shared" si="10"/>
        <v>0</v>
      </c>
      <c r="AT3" s="16">
        <f t="shared" si="10"/>
        <v>0</v>
      </c>
      <c r="AU3" s="7">
        <f t="shared" si="10"/>
        <v>0</v>
      </c>
      <c r="AV3" s="7">
        <f t="shared" si="10"/>
        <v>0</v>
      </c>
      <c r="AW3" s="7">
        <f t="shared" si="10"/>
        <v>0</v>
      </c>
      <c r="AX3" s="7">
        <f t="shared" si="10"/>
        <v>0</v>
      </c>
      <c r="AY3" s="11">
        <f t="shared" si="10"/>
        <v>0</v>
      </c>
      <c r="AZ3" s="16">
        <f t="shared" si="10"/>
        <v>0</v>
      </c>
      <c r="BA3" s="16">
        <f t="shared" si="10"/>
        <v>0</v>
      </c>
      <c r="BB3" s="16">
        <f t="shared" si="10"/>
        <v>0</v>
      </c>
      <c r="BC3" s="11">
        <f t="shared" si="10"/>
        <v>0</v>
      </c>
      <c r="BD3" s="11">
        <f t="shared" si="10"/>
        <v>0</v>
      </c>
      <c r="BE3" s="11">
        <f t="shared" si="10"/>
        <v>0</v>
      </c>
      <c r="BF3" s="11">
        <f t="shared" si="10"/>
        <v>0</v>
      </c>
      <c r="BG3" s="11">
        <f t="shared" si="10"/>
        <v>0</v>
      </c>
      <c r="BH3" s="11">
        <f t="shared" si="10"/>
        <v>0</v>
      </c>
      <c r="BI3" s="13">
        <f t="shared" si="10"/>
        <v>0</v>
      </c>
      <c r="BJ3" s="13">
        <f t="shared" si="10"/>
        <v>0</v>
      </c>
      <c r="BK3" s="11">
        <f t="shared" si="10"/>
        <v>0</v>
      </c>
      <c r="BL3" s="12">
        <f t="shared" si="10"/>
        <v>0</v>
      </c>
      <c r="BM3" s="12">
        <f t="shared" si="10"/>
        <v>0</v>
      </c>
      <c r="BN3" s="13">
        <f t="shared" si="10"/>
        <v>0</v>
      </c>
      <c r="BO3" s="13">
        <f t="shared" si="10"/>
        <v>0</v>
      </c>
      <c r="BP3" s="15">
        <f t="shared" si="10"/>
        <v>0</v>
      </c>
      <c r="BQ3" s="15">
        <f t="shared" si="10"/>
        <v>0</v>
      </c>
      <c r="BR3" s="14">
        <f t="shared" si="10"/>
        <v>0</v>
      </c>
      <c r="BS3" s="14">
        <f t="shared" si="10"/>
        <v>0</v>
      </c>
      <c r="BT3" s="14">
        <f t="shared" si="10"/>
        <v>0</v>
      </c>
      <c r="BU3" s="14">
        <f t="shared" si="10"/>
        <v>0</v>
      </c>
      <c r="BV3" s="11">
        <f t="shared" si="10"/>
        <v>0</v>
      </c>
      <c r="BW3" s="11">
        <f t="shared" si="10"/>
        <v>0</v>
      </c>
      <c r="BX3" s="11">
        <f t="shared" si="10"/>
        <v>0</v>
      </c>
      <c r="BY3" s="11">
        <f t="shared" si="10"/>
        <v>0</v>
      </c>
      <c r="BZ3" s="7">
        <f t="shared" si="10"/>
        <v>0</v>
      </c>
      <c r="CA3" s="7">
        <f t="shared" si="10"/>
        <v>0</v>
      </c>
      <c r="CB3" s="7">
        <f t="shared" ref="CB3:CP3" si="11">IFERROR(VALUE(CB308),"-")</f>
        <v>0</v>
      </c>
      <c r="CC3" s="7">
        <f t="shared" si="11"/>
        <v>0</v>
      </c>
      <c r="CD3" s="7">
        <f t="shared" si="11"/>
        <v>0</v>
      </c>
      <c r="CE3" s="3">
        <f t="shared" si="11"/>
        <v>0</v>
      </c>
      <c r="CF3" s="7">
        <f t="shared" si="11"/>
        <v>0</v>
      </c>
      <c r="CG3" s="3">
        <f t="shared" si="11"/>
        <v>0</v>
      </c>
      <c r="CH3" s="7">
        <f t="shared" si="11"/>
        <v>0</v>
      </c>
      <c r="CI3" s="7">
        <f t="shared" si="11"/>
        <v>0</v>
      </c>
      <c r="CJ3" s="3">
        <f t="shared" si="11"/>
        <v>0</v>
      </c>
      <c r="CK3" s="7">
        <f t="shared" si="11"/>
        <v>0</v>
      </c>
      <c r="CL3" s="3">
        <f t="shared" si="11"/>
        <v>0</v>
      </c>
      <c r="CM3" s="7">
        <f t="shared" si="11"/>
        <v>0</v>
      </c>
      <c r="CN3" s="10">
        <f t="shared" si="11"/>
        <v>44783.636701388888</v>
      </c>
      <c r="CO3" s="10">
        <f t="shared" si="11"/>
        <v>44783.636701388888</v>
      </c>
      <c r="CP3" s="7">
        <f t="shared" si="11"/>
        <v>38295.69921875</v>
      </c>
      <c r="CQ3" s="7" t="str">
        <f t="shared" ref="CQ3" si="12">IFERROR(CQ308,"-")</f>
        <v>FairPrice</v>
      </c>
      <c r="CR3" s="10">
        <f t="shared" si="4"/>
        <v>44783.638194444444</v>
      </c>
      <c r="CS3" s="7">
        <f t="shared" si="4"/>
        <v>0</v>
      </c>
      <c r="CT3" s="7">
        <f t="shared" si="4"/>
        <v>0</v>
      </c>
      <c r="CU3" s="7">
        <f t="shared" si="4"/>
        <v>0</v>
      </c>
      <c r="CV3" s="7">
        <f t="shared" si="4"/>
        <v>0</v>
      </c>
      <c r="CW3" s="7">
        <f t="shared" si="4"/>
        <v>0</v>
      </c>
      <c r="CX3" s="7">
        <f t="shared" si="4"/>
        <v>0</v>
      </c>
      <c r="CY3" s="7">
        <f t="shared" si="4"/>
        <v>0</v>
      </c>
      <c r="CZ3" s="7">
        <f t="shared" si="4"/>
        <v>0</v>
      </c>
      <c r="DA3" s="7">
        <f t="shared" si="4"/>
        <v>0</v>
      </c>
      <c r="DB3" s="7">
        <f t="shared" si="4"/>
        <v>0</v>
      </c>
      <c r="DC3" s="7">
        <f t="shared" si="4"/>
        <v>0</v>
      </c>
      <c r="DD3" s="7">
        <f t="shared" si="4"/>
        <v>0</v>
      </c>
      <c r="DE3" s="7">
        <f t="shared" si="4"/>
        <v>0</v>
      </c>
      <c r="DF3" s="7">
        <f t="shared" si="4"/>
        <v>0</v>
      </c>
      <c r="DG3" s="7">
        <f t="shared" si="4"/>
        <v>38295.69921875</v>
      </c>
      <c r="DH3" s="7" t="str">
        <f t="shared" ref="DH3:DJ3" si="13">IFERROR(DH308,"-")</f>
        <v>W</v>
      </c>
      <c r="DI3" s="7" t="str">
        <f t="shared" si="13"/>
        <v>W</v>
      </c>
      <c r="DJ3" s="7" t="str">
        <f t="shared" si="13"/>
        <v>G</v>
      </c>
      <c r="DK3" s="64">
        <f t="shared" ref="DK3:DS3" si="14">IFERROR(VALUE(DK308),"-")</f>
        <v>38300</v>
      </c>
      <c r="DL3" s="64">
        <f t="shared" si="14"/>
        <v>3400000</v>
      </c>
      <c r="DM3" s="64">
        <f t="shared" si="14"/>
        <v>38500</v>
      </c>
      <c r="DN3" s="64">
        <f t="shared" si="14"/>
        <v>0</v>
      </c>
      <c r="DO3" s="64">
        <f t="shared" si="14"/>
        <v>24500</v>
      </c>
      <c r="DP3" s="64">
        <f t="shared" si="14"/>
        <v>2863350</v>
      </c>
      <c r="DQ3" s="64">
        <f t="shared" si="14"/>
        <v>38000</v>
      </c>
      <c r="DR3" s="64">
        <f t="shared" si="14"/>
        <v>0</v>
      </c>
      <c r="DS3" s="64">
        <f t="shared" si="14"/>
        <v>24500</v>
      </c>
      <c r="DT3" t="str">
        <f t="shared" si="7"/>
        <v>BANKNIFTY</v>
      </c>
      <c r="DU3" s="10">
        <f t="shared" si="8"/>
        <v>44784</v>
      </c>
    </row>
    <row r="4" spans="1:125" x14ac:dyDescent="0.25">
      <c r="A4" t="s">
        <v>6</v>
      </c>
      <c r="B4" s="2">
        <v>44861</v>
      </c>
      <c r="C4" s="1">
        <v>850</v>
      </c>
      <c r="D4">
        <v>80</v>
      </c>
      <c r="G4" t="str">
        <f t="array" ref="G4">IFERROR(INDEX($A$2:$A$700,MATCH(0,COUNTIF($G$1:G3,$A$2:$A$700),0)),"")</f>
        <v>ABBOTINDIA</v>
      </c>
      <c r="H4" s="2">
        <f t="array" ref="H4">IFERROR(INDEX($B$1:$B$701,SMALL(IF(OptionChain!$AU$1=$A$1:$A$701,ROW($A$1:$A$701),""),ROW()-ROW($H$1))),"")</f>
        <v>44798</v>
      </c>
      <c r="I4" s="2">
        <f t="array" ref="I4">IFERROR(INDEX($B$1:$B$701,SMALL(IF($J$2=$A$1:$A$701,ROW($A$1:$A$701),""),ROW()-ROW($I$1))),"")</f>
        <v>44798</v>
      </c>
      <c r="L4" s="3"/>
      <c r="M4" s="5"/>
      <c r="O4" s="3">
        <f t="shared" si="9"/>
        <v>25500</v>
      </c>
      <c r="P4" s="7">
        <f t="shared" ref="P4:CA4" si="15">IFERROR(VALUE(P309),"-")</f>
        <v>0</v>
      </c>
      <c r="Q4" s="7">
        <f t="shared" si="15"/>
        <v>0</v>
      </c>
      <c r="R4" s="7">
        <f t="shared" si="15"/>
        <v>0</v>
      </c>
      <c r="S4" s="7">
        <f t="shared" si="15"/>
        <v>0</v>
      </c>
      <c r="T4" s="11">
        <f t="shared" si="15"/>
        <v>0</v>
      </c>
      <c r="U4" s="11">
        <f t="shared" si="15"/>
        <v>0</v>
      </c>
      <c r="V4" s="11">
        <f t="shared" si="15"/>
        <v>0</v>
      </c>
      <c r="W4" s="11">
        <f t="shared" si="15"/>
        <v>0</v>
      </c>
      <c r="X4" s="14">
        <f t="shared" si="15"/>
        <v>0</v>
      </c>
      <c r="Y4" s="14">
        <f t="shared" si="15"/>
        <v>0</v>
      </c>
      <c r="Z4" s="14">
        <f t="shared" si="15"/>
        <v>0</v>
      </c>
      <c r="AA4" s="14">
        <f t="shared" si="15"/>
        <v>0</v>
      </c>
      <c r="AB4" s="15">
        <f t="shared" si="15"/>
        <v>0</v>
      </c>
      <c r="AC4" s="15">
        <f t="shared" si="15"/>
        <v>0</v>
      </c>
      <c r="AD4" s="13">
        <f t="shared" si="15"/>
        <v>0</v>
      </c>
      <c r="AE4" s="13">
        <f t="shared" si="15"/>
        <v>0</v>
      </c>
      <c r="AF4" s="12">
        <f t="shared" si="15"/>
        <v>0</v>
      </c>
      <c r="AG4" s="12">
        <f t="shared" si="15"/>
        <v>0</v>
      </c>
      <c r="AH4" s="13">
        <f t="shared" si="15"/>
        <v>0</v>
      </c>
      <c r="AI4" s="13">
        <f t="shared" si="15"/>
        <v>0</v>
      </c>
      <c r="AJ4" s="11">
        <f t="shared" si="15"/>
        <v>0</v>
      </c>
      <c r="AK4" s="11">
        <f t="shared" si="15"/>
        <v>0</v>
      </c>
      <c r="AL4" s="11">
        <f t="shared" si="15"/>
        <v>0</v>
      </c>
      <c r="AM4" s="11">
        <f t="shared" si="15"/>
        <v>0</v>
      </c>
      <c r="AN4" s="11">
        <f t="shared" si="15"/>
        <v>0</v>
      </c>
      <c r="AO4" s="11">
        <f t="shared" si="15"/>
        <v>0</v>
      </c>
      <c r="AP4" s="11">
        <f t="shared" si="15"/>
        <v>0</v>
      </c>
      <c r="AQ4" s="11">
        <f t="shared" si="15"/>
        <v>0</v>
      </c>
      <c r="AR4" s="16">
        <f t="shared" si="15"/>
        <v>0</v>
      </c>
      <c r="AS4" s="16">
        <f t="shared" si="15"/>
        <v>0</v>
      </c>
      <c r="AT4" s="16">
        <f t="shared" si="15"/>
        <v>0</v>
      </c>
      <c r="AU4" s="7">
        <f t="shared" si="15"/>
        <v>0</v>
      </c>
      <c r="AV4" s="7">
        <f t="shared" si="15"/>
        <v>0</v>
      </c>
      <c r="AW4" s="7">
        <f t="shared" si="15"/>
        <v>0</v>
      </c>
      <c r="AX4" s="7">
        <f t="shared" si="15"/>
        <v>0</v>
      </c>
      <c r="AY4" s="11">
        <f t="shared" si="15"/>
        <v>0</v>
      </c>
      <c r="AZ4" s="16">
        <f t="shared" si="15"/>
        <v>0</v>
      </c>
      <c r="BA4" s="16">
        <f t="shared" si="15"/>
        <v>0</v>
      </c>
      <c r="BB4" s="16">
        <f t="shared" si="15"/>
        <v>0</v>
      </c>
      <c r="BC4" s="11">
        <f t="shared" si="15"/>
        <v>0</v>
      </c>
      <c r="BD4" s="11">
        <f t="shared" si="15"/>
        <v>0</v>
      </c>
      <c r="BE4" s="11">
        <f t="shared" si="15"/>
        <v>0</v>
      </c>
      <c r="BF4" s="11">
        <f t="shared" si="15"/>
        <v>0</v>
      </c>
      <c r="BG4" s="11">
        <f t="shared" si="15"/>
        <v>0</v>
      </c>
      <c r="BH4" s="11">
        <f t="shared" si="15"/>
        <v>0</v>
      </c>
      <c r="BI4" s="13">
        <f t="shared" si="15"/>
        <v>0</v>
      </c>
      <c r="BJ4" s="13">
        <f t="shared" si="15"/>
        <v>0</v>
      </c>
      <c r="BK4" s="11">
        <f t="shared" si="15"/>
        <v>0</v>
      </c>
      <c r="BL4" s="12">
        <f t="shared" si="15"/>
        <v>0</v>
      </c>
      <c r="BM4" s="12">
        <f t="shared" si="15"/>
        <v>0</v>
      </c>
      <c r="BN4" s="13">
        <f t="shared" si="15"/>
        <v>0</v>
      </c>
      <c r="BO4" s="13">
        <f t="shared" si="15"/>
        <v>0</v>
      </c>
      <c r="BP4" s="15">
        <f t="shared" si="15"/>
        <v>0</v>
      </c>
      <c r="BQ4" s="15">
        <f t="shared" si="15"/>
        <v>0</v>
      </c>
      <c r="BR4" s="14">
        <f t="shared" si="15"/>
        <v>0</v>
      </c>
      <c r="BS4" s="14">
        <f t="shared" si="15"/>
        <v>0</v>
      </c>
      <c r="BT4" s="14">
        <f t="shared" si="15"/>
        <v>0</v>
      </c>
      <c r="BU4" s="14">
        <f t="shared" si="15"/>
        <v>0</v>
      </c>
      <c r="BV4" s="11">
        <f t="shared" si="15"/>
        <v>0</v>
      </c>
      <c r="BW4" s="11">
        <f t="shared" si="15"/>
        <v>0</v>
      </c>
      <c r="BX4" s="11">
        <f t="shared" si="15"/>
        <v>0</v>
      </c>
      <c r="BY4" s="11">
        <f t="shared" si="15"/>
        <v>0</v>
      </c>
      <c r="BZ4" s="7">
        <f t="shared" si="15"/>
        <v>0</v>
      </c>
      <c r="CA4" s="7">
        <f t="shared" si="15"/>
        <v>0</v>
      </c>
      <c r="CB4" s="7">
        <f t="shared" ref="CB4:CP4" si="16">IFERROR(VALUE(CB309),"-")</f>
        <v>0</v>
      </c>
      <c r="CC4" s="7">
        <f t="shared" si="16"/>
        <v>0</v>
      </c>
      <c r="CD4" s="7">
        <f t="shared" si="16"/>
        <v>0</v>
      </c>
      <c r="CE4" s="3">
        <f t="shared" si="16"/>
        <v>0</v>
      </c>
      <c r="CF4" s="7">
        <f t="shared" si="16"/>
        <v>0</v>
      </c>
      <c r="CG4" s="3">
        <f t="shared" si="16"/>
        <v>0</v>
      </c>
      <c r="CH4" s="7">
        <f t="shared" si="16"/>
        <v>0</v>
      </c>
      <c r="CI4" s="7">
        <f t="shared" si="16"/>
        <v>0</v>
      </c>
      <c r="CJ4" s="3">
        <f t="shared" si="16"/>
        <v>0</v>
      </c>
      <c r="CK4" s="7">
        <f t="shared" si="16"/>
        <v>0</v>
      </c>
      <c r="CL4" s="3">
        <f t="shared" si="16"/>
        <v>0</v>
      </c>
      <c r="CM4" s="7">
        <f t="shared" si="16"/>
        <v>0</v>
      </c>
      <c r="CN4" s="10">
        <f t="shared" si="16"/>
        <v>44783.636701388888</v>
      </c>
      <c r="CO4" s="10">
        <f t="shared" si="16"/>
        <v>44783.636701388888</v>
      </c>
      <c r="CP4" s="7">
        <f t="shared" si="16"/>
        <v>38295.69921875</v>
      </c>
      <c r="CQ4" s="7" t="str">
        <f t="shared" ref="CQ4" si="17">IFERROR(CQ309,"-")</f>
        <v>FairPrice</v>
      </c>
      <c r="CR4" s="10">
        <f t="shared" si="4"/>
        <v>44783.638194444444</v>
      </c>
      <c r="CS4" s="7">
        <f t="shared" si="4"/>
        <v>0</v>
      </c>
      <c r="CT4" s="7">
        <f t="shared" si="4"/>
        <v>0</v>
      </c>
      <c r="CU4" s="7">
        <f t="shared" si="4"/>
        <v>0</v>
      </c>
      <c r="CV4" s="7">
        <f t="shared" si="4"/>
        <v>0</v>
      </c>
      <c r="CW4" s="7">
        <f t="shared" si="4"/>
        <v>0</v>
      </c>
      <c r="CX4" s="7">
        <f t="shared" si="4"/>
        <v>0</v>
      </c>
      <c r="CY4" s="7">
        <f t="shared" si="4"/>
        <v>0</v>
      </c>
      <c r="CZ4" s="7">
        <f t="shared" si="4"/>
        <v>0</v>
      </c>
      <c r="DA4" s="7">
        <f t="shared" si="4"/>
        <v>0</v>
      </c>
      <c r="DB4" s="7">
        <f t="shared" si="4"/>
        <v>0</v>
      </c>
      <c r="DC4" s="7">
        <f t="shared" si="4"/>
        <v>0</v>
      </c>
      <c r="DD4" s="7">
        <f t="shared" si="4"/>
        <v>0</v>
      </c>
      <c r="DE4" s="7">
        <f t="shared" si="4"/>
        <v>0</v>
      </c>
      <c r="DF4" s="7">
        <f t="shared" si="4"/>
        <v>0</v>
      </c>
      <c r="DG4" s="7">
        <f t="shared" si="4"/>
        <v>38295.69921875</v>
      </c>
      <c r="DH4" s="7" t="str">
        <f t="shared" ref="DH4:DJ4" si="18">IFERROR(DH309,"-")</f>
        <v>W</v>
      </c>
      <c r="DI4" s="7" t="str">
        <f t="shared" si="18"/>
        <v>W</v>
      </c>
      <c r="DJ4" s="7" t="str">
        <f t="shared" si="18"/>
        <v>G</v>
      </c>
      <c r="DK4" s="64">
        <f t="shared" ref="DK4:DS4" si="19">IFERROR(VALUE(DK309),"-")</f>
        <v>38300</v>
      </c>
      <c r="DL4" s="64">
        <f t="shared" si="19"/>
        <v>3400000</v>
      </c>
      <c r="DM4" s="64">
        <f t="shared" si="19"/>
        <v>38500</v>
      </c>
      <c r="DN4" s="64">
        <f t="shared" si="19"/>
        <v>0</v>
      </c>
      <c r="DO4" s="64">
        <f t="shared" si="19"/>
        <v>24500</v>
      </c>
      <c r="DP4" s="64">
        <f t="shared" si="19"/>
        <v>2863350</v>
      </c>
      <c r="DQ4" s="64">
        <f t="shared" si="19"/>
        <v>38000</v>
      </c>
      <c r="DR4" s="64">
        <f t="shared" si="19"/>
        <v>0</v>
      </c>
      <c r="DS4" s="64">
        <f t="shared" si="19"/>
        <v>24500</v>
      </c>
      <c r="DT4" t="str">
        <f t="shared" si="7"/>
        <v>BANKNIFTY</v>
      </c>
      <c r="DU4" s="10">
        <f t="shared" si="8"/>
        <v>44784</v>
      </c>
    </row>
    <row r="5" spans="1:125" x14ac:dyDescent="0.25">
      <c r="A5" t="s">
        <v>7</v>
      </c>
      <c r="B5" s="2">
        <v>44798</v>
      </c>
      <c r="C5" s="1">
        <v>250</v>
      </c>
      <c r="D5">
        <v>100</v>
      </c>
      <c r="G5" t="str">
        <f t="array" ref="G5">IFERROR(INDEX($A$2:$A$700,MATCH(0,COUNTIF($G$1:G4,$A$2:$A$700),0)),"")</f>
        <v>ABCAPITAL</v>
      </c>
      <c r="H5" s="2">
        <f t="array" ref="H5">IFERROR(INDEX($B$1:$B$701,SMALL(IF(OptionChain!$AU$1=$A$1:$A$701,ROW($A$1:$A$701),""),ROW()-ROW($H$1))),"")</f>
        <v>44805</v>
      </c>
      <c r="I5" s="2">
        <f t="array" ref="I5">IFERROR(INDEX($B$1:$B$701,SMALL(IF($J$2=$A$1:$A$701,ROW($A$1:$A$701),""),ROW()-ROW($I$1))),"")</f>
        <v>44805</v>
      </c>
      <c r="J5" s="3" t="s">
        <v>316</v>
      </c>
      <c r="K5" s="31">
        <f>TIME(9,15,0)</f>
        <v>0.38541666666666669</v>
      </c>
      <c r="L5" s="3"/>
      <c r="M5" s="5"/>
      <c r="O5" s="3">
        <f t="shared" si="9"/>
        <v>26000</v>
      </c>
      <c r="P5" s="7">
        <f t="shared" ref="P5:CA5" si="20">IFERROR(VALUE(P310),"-")</f>
        <v>0</v>
      </c>
      <c r="Q5" s="7">
        <f t="shared" si="20"/>
        <v>0</v>
      </c>
      <c r="R5" s="7">
        <f t="shared" si="20"/>
        <v>0</v>
      </c>
      <c r="S5" s="7">
        <f t="shared" si="20"/>
        <v>0</v>
      </c>
      <c r="T5" s="11">
        <f t="shared" si="20"/>
        <v>0</v>
      </c>
      <c r="U5" s="11">
        <f t="shared" si="20"/>
        <v>0</v>
      </c>
      <c r="V5" s="11">
        <f t="shared" si="20"/>
        <v>0</v>
      </c>
      <c r="W5" s="11">
        <f t="shared" si="20"/>
        <v>0</v>
      </c>
      <c r="X5" s="14">
        <f t="shared" si="20"/>
        <v>0</v>
      </c>
      <c r="Y5" s="14">
        <f t="shared" si="20"/>
        <v>0</v>
      </c>
      <c r="Z5" s="14">
        <f t="shared" si="20"/>
        <v>0</v>
      </c>
      <c r="AA5" s="14">
        <f t="shared" si="20"/>
        <v>0</v>
      </c>
      <c r="AB5" s="15">
        <f t="shared" si="20"/>
        <v>0</v>
      </c>
      <c r="AC5" s="15">
        <f t="shared" si="20"/>
        <v>0</v>
      </c>
      <c r="AD5" s="13">
        <f t="shared" si="20"/>
        <v>0</v>
      </c>
      <c r="AE5" s="13">
        <f t="shared" si="20"/>
        <v>0</v>
      </c>
      <c r="AF5" s="12">
        <f t="shared" si="20"/>
        <v>0</v>
      </c>
      <c r="AG5" s="12">
        <f t="shared" si="20"/>
        <v>0</v>
      </c>
      <c r="AH5" s="13">
        <f t="shared" si="20"/>
        <v>0</v>
      </c>
      <c r="AI5" s="13">
        <f t="shared" si="20"/>
        <v>0</v>
      </c>
      <c r="AJ5" s="11">
        <f t="shared" si="20"/>
        <v>0</v>
      </c>
      <c r="AK5" s="11">
        <f t="shared" si="20"/>
        <v>0</v>
      </c>
      <c r="AL5" s="11">
        <f t="shared" si="20"/>
        <v>0</v>
      </c>
      <c r="AM5" s="11">
        <f t="shared" si="20"/>
        <v>0</v>
      </c>
      <c r="AN5" s="11">
        <f t="shared" si="20"/>
        <v>0</v>
      </c>
      <c r="AO5" s="11">
        <f t="shared" si="20"/>
        <v>0</v>
      </c>
      <c r="AP5" s="11">
        <f t="shared" si="20"/>
        <v>0</v>
      </c>
      <c r="AQ5" s="11">
        <f t="shared" si="20"/>
        <v>0</v>
      </c>
      <c r="AR5" s="16">
        <f t="shared" si="20"/>
        <v>0</v>
      </c>
      <c r="AS5" s="16">
        <f t="shared" si="20"/>
        <v>0</v>
      </c>
      <c r="AT5" s="16">
        <f t="shared" si="20"/>
        <v>0</v>
      </c>
      <c r="AU5" s="7">
        <f t="shared" si="20"/>
        <v>0</v>
      </c>
      <c r="AV5" s="7">
        <f t="shared" si="20"/>
        <v>0</v>
      </c>
      <c r="AW5" s="7">
        <f t="shared" si="20"/>
        <v>0</v>
      </c>
      <c r="AX5" s="7">
        <f t="shared" si="20"/>
        <v>0</v>
      </c>
      <c r="AY5" s="11">
        <f t="shared" si="20"/>
        <v>0</v>
      </c>
      <c r="AZ5" s="16">
        <f t="shared" si="20"/>
        <v>0</v>
      </c>
      <c r="BA5" s="16">
        <f t="shared" si="20"/>
        <v>0</v>
      </c>
      <c r="BB5" s="16">
        <f t="shared" si="20"/>
        <v>0</v>
      </c>
      <c r="BC5" s="11">
        <f t="shared" si="20"/>
        <v>0</v>
      </c>
      <c r="BD5" s="11">
        <f t="shared" si="20"/>
        <v>0</v>
      </c>
      <c r="BE5" s="11">
        <f t="shared" si="20"/>
        <v>0</v>
      </c>
      <c r="BF5" s="11">
        <f t="shared" si="20"/>
        <v>0</v>
      </c>
      <c r="BG5" s="11">
        <f t="shared" si="20"/>
        <v>0</v>
      </c>
      <c r="BH5" s="11">
        <f t="shared" si="20"/>
        <v>0</v>
      </c>
      <c r="BI5" s="13">
        <f t="shared" si="20"/>
        <v>0</v>
      </c>
      <c r="BJ5" s="13">
        <f t="shared" si="20"/>
        <v>0</v>
      </c>
      <c r="BK5" s="11">
        <f t="shared" si="20"/>
        <v>0</v>
      </c>
      <c r="BL5" s="12">
        <f t="shared" si="20"/>
        <v>0</v>
      </c>
      <c r="BM5" s="12">
        <f t="shared" si="20"/>
        <v>0</v>
      </c>
      <c r="BN5" s="13">
        <f t="shared" si="20"/>
        <v>0</v>
      </c>
      <c r="BO5" s="13">
        <f t="shared" si="20"/>
        <v>0</v>
      </c>
      <c r="BP5" s="15">
        <f t="shared" si="20"/>
        <v>0</v>
      </c>
      <c r="BQ5" s="15">
        <f t="shared" si="20"/>
        <v>0</v>
      </c>
      <c r="BR5" s="14">
        <f t="shared" si="20"/>
        <v>0</v>
      </c>
      <c r="BS5" s="14">
        <f t="shared" si="20"/>
        <v>0</v>
      </c>
      <c r="BT5" s="14">
        <f t="shared" si="20"/>
        <v>0</v>
      </c>
      <c r="BU5" s="14">
        <f t="shared" si="20"/>
        <v>0</v>
      </c>
      <c r="BV5" s="11">
        <f t="shared" si="20"/>
        <v>0</v>
      </c>
      <c r="BW5" s="11">
        <f t="shared" si="20"/>
        <v>0</v>
      </c>
      <c r="BX5" s="11">
        <f t="shared" si="20"/>
        <v>0</v>
      </c>
      <c r="BY5" s="11">
        <f t="shared" si="20"/>
        <v>0</v>
      </c>
      <c r="BZ5" s="7">
        <f t="shared" si="20"/>
        <v>0</v>
      </c>
      <c r="CA5" s="7">
        <f t="shared" si="20"/>
        <v>0</v>
      </c>
      <c r="CB5" s="7">
        <f t="shared" ref="CB5:CP5" si="21">IFERROR(VALUE(CB310),"-")</f>
        <v>0</v>
      </c>
      <c r="CC5" s="7">
        <f t="shared" si="21"/>
        <v>0</v>
      </c>
      <c r="CD5" s="7">
        <f t="shared" si="21"/>
        <v>0</v>
      </c>
      <c r="CE5" s="3">
        <f t="shared" si="21"/>
        <v>0</v>
      </c>
      <c r="CF5" s="7">
        <f t="shared" si="21"/>
        <v>0</v>
      </c>
      <c r="CG5" s="3">
        <f t="shared" si="21"/>
        <v>0</v>
      </c>
      <c r="CH5" s="7">
        <f t="shared" si="21"/>
        <v>0</v>
      </c>
      <c r="CI5" s="7">
        <f t="shared" si="21"/>
        <v>0</v>
      </c>
      <c r="CJ5" s="3">
        <f t="shared" si="21"/>
        <v>0</v>
      </c>
      <c r="CK5" s="7">
        <f t="shared" si="21"/>
        <v>0</v>
      </c>
      <c r="CL5" s="3">
        <f t="shared" si="21"/>
        <v>0</v>
      </c>
      <c r="CM5" s="7">
        <f t="shared" si="21"/>
        <v>0</v>
      </c>
      <c r="CN5" s="10">
        <f t="shared" si="21"/>
        <v>44783.636701388888</v>
      </c>
      <c r="CO5" s="10">
        <f t="shared" si="21"/>
        <v>44783.636701388888</v>
      </c>
      <c r="CP5" s="7">
        <f t="shared" si="21"/>
        <v>38295.69921875</v>
      </c>
      <c r="CQ5" s="7" t="str">
        <f t="shared" ref="CQ5" si="22">IFERROR(CQ310,"-")</f>
        <v>FairPrice</v>
      </c>
      <c r="CR5" s="10">
        <f t="shared" si="4"/>
        <v>44783.638194444444</v>
      </c>
      <c r="CS5" s="7">
        <f t="shared" si="4"/>
        <v>0</v>
      </c>
      <c r="CT5" s="7">
        <f t="shared" si="4"/>
        <v>0</v>
      </c>
      <c r="CU5" s="7">
        <f t="shared" si="4"/>
        <v>0</v>
      </c>
      <c r="CV5" s="7">
        <f t="shared" si="4"/>
        <v>0</v>
      </c>
      <c r="CW5" s="7">
        <f t="shared" si="4"/>
        <v>0</v>
      </c>
      <c r="CX5" s="7">
        <f t="shared" si="4"/>
        <v>0</v>
      </c>
      <c r="CY5" s="7">
        <f t="shared" si="4"/>
        <v>0</v>
      </c>
      <c r="CZ5" s="7">
        <f t="shared" si="4"/>
        <v>0</v>
      </c>
      <c r="DA5" s="7">
        <f t="shared" si="4"/>
        <v>0</v>
      </c>
      <c r="DB5" s="7">
        <f t="shared" si="4"/>
        <v>0</v>
      </c>
      <c r="DC5" s="7">
        <f t="shared" si="4"/>
        <v>0</v>
      </c>
      <c r="DD5" s="7">
        <f t="shared" si="4"/>
        <v>0</v>
      </c>
      <c r="DE5" s="7">
        <f t="shared" si="4"/>
        <v>0</v>
      </c>
      <c r="DF5" s="7">
        <f t="shared" si="4"/>
        <v>0</v>
      </c>
      <c r="DG5" s="7">
        <f t="shared" si="4"/>
        <v>38295.69921875</v>
      </c>
      <c r="DH5" s="7" t="str">
        <f t="shared" ref="DH5:DJ5" si="23">IFERROR(DH310,"-")</f>
        <v>W</v>
      </c>
      <c r="DI5" s="7" t="str">
        <f t="shared" si="23"/>
        <v>W</v>
      </c>
      <c r="DJ5" s="7" t="str">
        <f t="shared" si="23"/>
        <v>G</v>
      </c>
      <c r="DK5" s="64">
        <f t="shared" ref="DK5:DS5" si="24">IFERROR(VALUE(DK310),"-")</f>
        <v>38300</v>
      </c>
      <c r="DL5" s="64">
        <f t="shared" si="24"/>
        <v>3400000</v>
      </c>
      <c r="DM5" s="64">
        <f t="shared" si="24"/>
        <v>38500</v>
      </c>
      <c r="DN5" s="64">
        <f t="shared" si="24"/>
        <v>0</v>
      </c>
      <c r="DO5" s="64">
        <f t="shared" si="24"/>
        <v>24500</v>
      </c>
      <c r="DP5" s="64">
        <f t="shared" si="24"/>
        <v>2863350</v>
      </c>
      <c r="DQ5" s="64">
        <f t="shared" si="24"/>
        <v>38000</v>
      </c>
      <c r="DR5" s="64">
        <f t="shared" si="24"/>
        <v>0</v>
      </c>
      <c r="DS5" s="64">
        <f t="shared" si="24"/>
        <v>24500</v>
      </c>
      <c r="DT5" t="str">
        <f t="shared" si="7"/>
        <v>BANKNIFTY</v>
      </c>
      <c r="DU5" s="10">
        <f t="shared" si="8"/>
        <v>44784</v>
      </c>
    </row>
    <row r="6" spans="1:125" x14ac:dyDescent="0.25">
      <c r="A6" t="s">
        <v>7</v>
      </c>
      <c r="B6" s="2">
        <v>44833</v>
      </c>
      <c r="C6" s="1">
        <v>250</v>
      </c>
      <c r="D6">
        <v>100</v>
      </c>
      <c r="G6" t="str">
        <f t="array" ref="G6">IFERROR(INDEX($A$2:$A$700,MATCH(0,COUNTIF($G$1:G5,$A$2:$A$700),0)),"")</f>
        <v>ABFRL</v>
      </c>
      <c r="H6" s="2">
        <f t="array" ref="H6">IFERROR(INDEX($B$1:$B$701,SMALL(IF(OptionChain!$AU$1=$A$1:$A$701,ROW($A$1:$A$701),""),ROW()-ROW($H$1))),"")</f>
        <v>44812</v>
      </c>
      <c r="I6" s="2">
        <f t="array" ref="I6">IFERROR(INDEX($B$1:$B$701,SMALL(IF($J$2=$A$1:$A$701,ROW($A$1:$A$701),""),ROW()-ROW($I$1))),"")</f>
        <v>44812</v>
      </c>
      <c r="J6" s="3" t="s">
        <v>317</v>
      </c>
      <c r="K6" s="31">
        <f>TIME(15,30,0)</f>
        <v>0.64583333333333337</v>
      </c>
      <c r="L6" s="32"/>
      <c r="M6" s="3"/>
      <c r="O6" s="3">
        <f t="shared" si="9"/>
        <v>26500</v>
      </c>
      <c r="P6" s="7">
        <f t="shared" ref="P6:CA6" si="25">IFERROR(VALUE(P311),"-")</f>
        <v>0</v>
      </c>
      <c r="Q6" s="7">
        <f t="shared" si="25"/>
        <v>0</v>
      </c>
      <c r="R6" s="7">
        <f t="shared" si="25"/>
        <v>0</v>
      </c>
      <c r="S6" s="7">
        <f t="shared" si="25"/>
        <v>0</v>
      </c>
      <c r="T6" s="11">
        <f t="shared" si="25"/>
        <v>0</v>
      </c>
      <c r="U6" s="11">
        <f t="shared" si="25"/>
        <v>0</v>
      </c>
      <c r="V6" s="11">
        <f t="shared" si="25"/>
        <v>0</v>
      </c>
      <c r="W6" s="11">
        <f t="shared" si="25"/>
        <v>0</v>
      </c>
      <c r="X6" s="14">
        <f t="shared" si="25"/>
        <v>0</v>
      </c>
      <c r="Y6" s="14">
        <f t="shared" si="25"/>
        <v>0</v>
      </c>
      <c r="Z6" s="14">
        <f t="shared" si="25"/>
        <v>0</v>
      </c>
      <c r="AA6" s="14">
        <f t="shared" si="25"/>
        <v>0</v>
      </c>
      <c r="AB6" s="15">
        <f t="shared" si="25"/>
        <v>0</v>
      </c>
      <c r="AC6" s="15">
        <f t="shared" si="25"/>
        <v>0</v>
      </c>
      <c r="AD6" s="13">
        <f t="shared" si="25"/>
        <v>0</v>
      </c>
      <c r="AE6" s="13">
        <f t="shared" si="25"/>
        <v>0</v>
      </c>
      <c r="AF6" s="12">
        <f t="shared" si="25"/>
        <v>0</v>
      </c>
      <c r="AG6" s="12">
        <f t="shared" si="25"/>
        <v>0</v>
      </c>
      <c r="AH6" s="13">
        <f t="shared" si="25"/>
        <v>0</v>
      </c>
      <c r="AI6" s="13">
        <f t="shared" si="25"/>
        <v>0</v>
      </c>
      <c r="AJ6" s="11">
        <f t="shared" si="25"/>
        <v>0</v>
      </c>
      <c r="AK6" s="11">
        <f t="shared" si="25"/>
        <v>0</v>
      </c>
      <c r="AL6" s="11">
        <f t="shared" si="25"/>
        <v>0</v>
      </c>
      <c r="AM6" s="11">
        <f t="shared" si="25"/>
        <v>0</v>
      </c>
      <c r="AN6" s="11">
        <f t="shared" si="25"/>
        <v>0</v>
      </c>
      <c r="AO6" s="11">
        <f t="shared" si="25"/>
        <v>0</v>
      </c>
      <c r="AP6" s="11">
        <f t="shared" si="25"/>
        <v>0</v>
      </c>
      <c r="AQ6" s="11">
        <f t="shared" si="25"/>
        <v>0</v>
      </c>
      <c r="AR6" s="16">
        <f t="shared" si="25"/>
        <v>0</v>
      </c>
      <c r="AS6" s="16">
        <f t="shared" si="25"/>
        <v>0</v>
      </c>
      <c r="AT6" s="16">
        <f t="shared" si="25"/>
        <v>0</v>
      </c>
      <c r="AU6" s="7">
        <f t="shared" si="25"/>
        <v>0</v>
      </c>
      <c r="AV6" s="7">
        <f t="shared" si="25"/>
        <v>0</v>
      </c>
      <c r="AW6" s="7">
        <f t="shared" si="25"/>
        <v>0</v>
      </c>
      <c r="AX6" s="7">
        <f t="shared" si="25"/>
        <v>0</v>
      </c>
      <c r="AY6" s="11">
        <f t="shared" si="25"/>
        <v>0</v>
      </c>
      <c r="AZ6" s="16">
        <f t="shared" si="25"/>
        <v>0</v>
      </c>
      <c r="BA6" s="16">
        <f t="shared" si="25"/>
        <v>0</v>
      </c>
      <c r="BB6" s="16">
        <f t="shared" si="25"/>
        <v>0</v>
      </c>
      <c r="BC6" s="11">
        <f t="shared" si="25"/>
        <v>0</v>
      </c>
      <c r="BD6" s="11">
        <f t="shared" si="25"/>
        <v>0</v>
      </c>
      <c r="BE6" s="11">
        <f t="shared" si="25"/>
        <v>0</v>
      </c>
      <c r="BF6" s="11">
        <f t="shared" si="25"/>
        <v>0</v>
      </c>
      <c r="BG6" s="11">
        <f t="shared" si="25"/>
        <v>0</v>
      </c>
      <c r="BH6" s="11">
        <f t="shared" si="25"/>
        <v>0</v>
      </c>
      <c r="BI6" s="13">
        <f t="shared" si="25"/>
        <v>0</v>
      </c>
      <c r="BJ6" s="13">
        <f t="shared" si="25"/>
        <v>0</v>
      </c>
      <c r="BK6" s="11">
        <f t="shared" si="25"/>
        <v>0</v>
      </c>
      <c r="BL6" s="12">
        <f t="shared" si="25"/>
        <v>0</v>
      </c>
      <c r="BM6" s="12">
        <f t="shared" si="25"/>
        <v>0</v>
      </c>
      <c r="BN6" s="13">
        <f t="shared" si="25"/>
        <v>0</v>
      </c>
      <c r="BO6" s="13">
        <f t="shared" si="25"/>
        <v>0</v>
      </c>
      <c r="BP6" s="15">
        <f t="shared" si="25"/>
        <v>0</v>
      </c>
      <c r="BQ6" s="15">
        <f t="shared" si="25"/>
        <v>0</v>
      </c>
      <c r="BR6" s="14">
        <f t="shared" si="25"/>
        <v>0</v>
      </c>
      <c r="BS6" s="14">
        <f t="shared" si="25"/>
        <v>0</v>
      </c>
      <c r="BT6" s="14">
        <f t="shared" si="25"/>
        <v>0</v>
      </c>
      <c r="BU6" s="14">
        <f t="shared" si="25"/>
        <v>0</v>
      </c>
      <c r="BV6" s="11">
        <f t="shared" si="25"/>
        <v>0</v>
      </c>
      <c r="BW6" s="11">
        <f t="shared" si="25"/>
        <v>0</v>
      </c>
      <c r="BX6" s="11">
        <f t="shared" si="25"/>
        <v>0</v>
      </c>
      <c r="BY6" s="11">
        <f t="shared" si="25"/>
        <v>0</v>
      </c>
      <c r="BZ6" s="7">
        <f t="shared" si="25"/>
        <v>0</v>
      </c>
      <c r="CA6" s="7">
        <f t="shared" si="25"/>
        <v>0</v>
      </c>
      <c r="CB6" s="7">
        <f t="shared" ref="CB6:CP6" si="26">IFERROR(VALUE(CB311),"-")</f>
        <v>0</v>
      </c>
      <c r="CC6" s="7">
        <f t="shared" si="26"/>
        <v>0</v>
      </c>
      <c r="CD6" s="7">
        <f t="shared" si="26"/>
        <v>0</v>
      </c>
      <c r="CE6" s="3">
        <f t="shared" si="26"/>
        <v>0</v>
      </c>
      <c r="CF6" s="7">
        <f t="shared" si="26"/>
        <v>0</v>
      </c>
      <c r="CG6" s="3">
        <f t="shared" si="26"/>
        <v>0</v>
      </c>
      <c r="CH6" s="7">
        <f t="shared" si="26"/>
        <v>0</v>
      </c>
      <c r="CI6" s="7">
        <f t="shared" si="26"/>
        <v>0</v>
      </c>
      <c r="CJ6" s="3">
        <f t="shared" si="26"/>
        <v>0</v>
      </c>
      <c r="CK6" s="7">
        <f t="shared" si="26"/>
        <v>0</v>
      </c>
      <c r="CL6" s="3">
        <f t="shared" si="26"/>
        <v>0</v>
      </c>
      <c r="CM6" s="7">
        <f t="shared" si="26"/>
        <v>0</v>
      </c>
      <c r="CN6" s="10">
        <f t="shared" si="26"/>
        <v>44783.636701388888</v>
      </c>
      <c r="CO6" s="10">
        <f t="shared" si="26"/>
        <v>44783.636701388888</v>
      </c>
      <c r="CP6" s="7">
        <f t="shared" si="26"/>
        <v>38295.69921875</v>
      </c>
      <c r="CQ6" s="7" t="str">
        <f t="shared" ref="CQ6" si="27">IFERROR(CQ311,"-")</f>
        <v>FairPrice</v>
      </c>
      <c r="CR6" s="10">
        <f t="shared" si="4"/>
        <v>44783.638194444444</v>
      </c>
      <c r="CS6" s="7">
        <f t="shared" si="4"/>
        <v>0</v>
      </c>
      <c r="CT6" s="7">
        <f t="shared" si="4"/>
        <v>0</v>
      </c>
      <c r="CU6" s="7">
        <f t="shared" si="4"/>
        <v>0</v>
      </c>
      <c r="CV6" s="7">
        <f t="shared" si="4"/>
        <v>0</v>
      </c>
      <c r="CW6" s="7">
        <f t="shared" si="4"/>
        <v>0</v>
      </c>
      <c r="CX6" s="7">
        <f t="shared" si="4"/>
        <v>0</v>
      </c>
      <c r="CY6" s="7">
        <f t="shared" si="4"/>
        <v>0</v>
      </c>
      <c r="CZ6" s="7">
        <f t="shared" si="4"/>
        <v>0</v>
      </c>
      <c r="DA6" s="7">
        <f t="shared" si="4"/>
        <v>0</v>
      </c>
      <c r="DB6" s="7">
        <f t="shared" si="4"/>
        <v>0</v>
      </c>
      <c r="DC6" s="7">
        <f t="shared" si="4"/>
        <v>0</v>
      </c>
      <c r="DD6" s="7">
        <f t="shared" si="4"/>
        <v>0</v>
      </c>
      <c r="DE6" s="7">
        <f t="shared" si="4"/>
        <v>0</v>
      </c>
      <c r="DF6" s="7">
        <f t="shared" si="4"/>
        <v>0</v>
      </c>
      <c r="DG6" s="7">
        <f t="shared" si="4"/>
        <v>38295.69921875</v>
      </c>
      <c r="DH6" s="7" t="str">
        <f t="shared" ref="DH6:DJ6" si="28">IFERROR(DH311,"-")</f>
        <v>W</v>
      </c>
      <c r="DI6" s="7" t="str">
        <f t="shared" si="28"/>
        <v>W</v>
      </c>
      <c r="DJ6" s="7" t="str">
        <f t="shared" si="28"/>
        <v>G</v>
      </c>
      <c r="DK6" s="64">
        <f t="shared" ref="DK6:DS6" si="29">IFERROR(VALUE(DK311),"-")</f>
        <v>38300</v>
      </c>
      <c r="DL6" s="64">
        <f t="shared" si="29"/>
        <v>3400000</v>
      </c>
      <c r="DM6" s="64">
        <f t="shared" si="29"/>
        <v>38500</v>
      </c>
      <c r="DN6" s="64">
        <f t="shared" si="29"/>
        <v>0</v>
      </c>
      <c r="DO6" s="64">
        <f t="shared" si="29"/>
        <v>24500</v>
      </c>
      <c r="DP6" s="64">
        <f t="shared" si="29"/>
        <v>2863350</v>
      </c>
      <c r="DQ6" s="64">
        <f t="shared" si="29"/>
        <v>38000</v>
      </c>
      <c r="DR6" s="64">
        <f t="shared" si="29"/>
        <v>0</v>
      </c>
      <c r="DS6" s="64">
        <f t="shared" si="29"/>
        <v>24500</v>
      </c>
      <c r="DT6" t="str">
        <f t="shared" si="7"/>
        <v>BANKNIFTY</v>
      </c>
      <c r="DU6" s="10">
        <f t="shared" si="8"/>
        <v>44784</v>
      </c>
    </row>
    <row r="7" spans="1:125" x14ac:dyDescent="0.25">
      <c r="A7" t="s">
        <v>7</v>
      </c>
      <c r="B7" s="2">
        <v>44861</v>
      </c>
      <c r="C7" s="1">
        <v>250</v>
      </c>
      <c r="D7">
        <v>100</v>
      </c>
      <c r="G7" t="str">
        <f t="array" ref="G7">IFERROR(INDEX($A$2:$A$700,MATCH(0,COUNTIF($G$1:G6,$A$2:$A$700),0)),"")</f>
        <v>ACC</v>
      </c>
      <c r="H7" s="2">
        <f t="array" ref="H7">IFERROR(INDEX($B$1:$B$701,SMALL(IF(OptionChain!$AU$1=$A$1:$A$701,ROW($A$1:$A$701),""),ROW()-ROW($H$1))),"")</f>
        <v>44833</v>
      </c>
      <c r="I7" s="2">
        <f t="array" ref="I7">IFERROR(INDEX($B$1:$B$701,SMALL(IF($J$2=$A$1:$A$701,ROW($A$1:$A$701),""),ROW()-ROW($I$1))),"")</f>
        <v>44833</v>
      </c>
      <c r="J7" s="3" t="s">
        <v>318</v>
      </c>
      <c r="K7" s="31">
        <f ca="1">TIMEVALUE(TEXT(NOW(),"hh:mm:ss"))</f>
        <v>0.76276620370370374</v>
      </c>
      <c r="L7" s="3"/>
      <c r="M7" s="6"/>
      <c r="O7" s="3">
        <f t="shared" si="9"/>
        <v>27000</v>
      </c>
      <c r="P7" s="7">
        <f t="shared" ref="P7:CA7" si="30">IFERROR(VALUE(P312),"-")</f>
        <v>0</v>
      </c>
      <c r="Q7" s="7">
        <f t="shared" si="30"/>
        <v>0</v>
      </c>
      <c r="R7" s="7">
        <f t="shared" si="30"/>
        <v>0</v>
      </c>
      <c r="S7" s="7">
        <f t="shared" si="30"/>
        <v>0</v>
      </c>
      <c r="T7" s="11">
        <f t="shared" si="30"/>
        <v>0</v>
      </c>
      <c r="U7" s="11">
        <f t="shared" si="30"/>
        <v>0</v>
      </c>
      <c r="V7" s="11">
        <f t="shared" si="30"/>
        <v>0</v>
      </c>
      <c r="W7" s="11">
        <f t="shared" si="30"/>
        <v>0</v>
      </c>
      <c r="X7" s="14">
        <f t="shared" si="30"/>
        <v>0</v>
      </c>
      <c r="Y7" s="14">
        <f t="shared" si="30"/>
        <v>0</v>
      </c>
      <c r="Z7" s="14">
        <f t="shared" si="30"/>
        <v>0</v>
      </c>
      <c r="AA7" s="14">
        <f t="shared" si="30"/>
        <v>0</v>
      </c>
      <c r="AB7" s="15">
        <f t="shared" si="30"/>
        <v>0</v>
      </c>
      <c r="AC7" s="15">
        <f t="shared" si="30"/>
        <v>0</v>
      </c>
      <c r="AD7" s="13">
        <f t="shared" si="30"/>
        <v>0</v>
      </c>
      <c r="AE7" s="13">
        <f t="shared" si="30"/>
        <v>0</v>
      </c>
      <c r="AF7" s="12">
        <f t="shared" si="30"/>
        <v>0</v>
      </c>
      <c r="AG7" s="12">
        <f t="shared" si="30"/>
        <v>0</v>
      </c>
      <c r="AH7" s="13">
        <f t="shared" si="30"/>
        <v>0</v>
      </c>
      <c r="AI7" s="13">
        <f t="shared" si="30"/>
        <v>0</v>
      </c>
      <c r="AJ7" s="11">
        <f t="shared" si="30"/>
        <v>0</v>
      </c>
      <c r="AK7" s="11">
        <f t="shared" si="30"/>
        <v>0</v>
      </c>
      <c r="AL7" s="11">
        <f t="shared" si="30"/>
        <v>0</v>
      </c>
      <c r="AM7" s="11">
        <f t="shared" si="30"/>
        <v>0</v>
      </c>
      <c r="AN7" s="11">
        <f t="shared" si="30"/>
        <v>0</v>
      </c>
      <c r="AO7" s="11">
        <f t="shared" si="30"/>
        <v>0</v>
      </c>
      <c r="AP7" s="11">
        <f t="shared" si="30"/>
        <v>0</v>
      </c>
      <c r="AQ7" s="11">
        <f t="shared" si="30"/>
        <v>0</v>
      </c>
      <c r="AR7" s="16">
        <f t="shared" si="30"/>
        <v>0</v>
      </c>
      <c r="AS7" s="16">
        <f t="shared" si="30"/>
        <v>0</v>
      </c>
      <c r="AT7" s="16">
        <f t="shared" si="30"/>
        <v>0</v>
      </c>
      <c r="AU7" s="7">
        <f t="shared" si="30"/>
        <v>0</v>
      </c>
      <c r="AV7" s="7">
        <f t="shared" si="30"/>
        <v>0</v>
      </c>
      <c r="AW7" s="7">
        <f t="shared" si="30"/>
        <v>0</v>
      </c>
      <c r="AX7" s="7">
        <f t="shared" si="30"/>
        <v>0</v>
      </c>
      <c r="AY7" s="11">
        <f t="shared" si="30"/>
        <v>0</v>
      </c>
      <c r="AZ7" s="16">
        <f t="shared" si="30"/>
        <v>0</v>
      </c>
      <c r="BA7" s="16">
        <f t="shared" si="30"/>
        <v>0</v>
      </c>
      <c r="BB7" s="16">
        <f t="shared" si="30"/>
        <v>0</v>
      </c>
      <c r="BC7" s="11">
        <f t="shared" si="30"/>
        <v>0</v>
      </c>
      <c r="BD7" s="11">
        <f t="shared" si="30"/>
        <v>0</v>
      </c>
      <c r="BE7" s="11">
        <f t="shared" si="30"/>
        <v>0</v>
      </c>
      <c r="BF7" s="11">
        <f t="shared" si="30"/>
        <v>0</v>
      </c>
      <c r="BG7" s="11">
        <f t="shared" si="30"/>
        <v>0</v>
      </c>
      <c r="BH7" s="11">
        <f t="shared" si="30"/>
        <v>0</v>
      </c>
      <c r="BI7" s="13">
        <f t="shared" si="30"/>
        <v>0</v>
      </c>
      <c r="BJ7" s="13">
        <f t="shared" si="30"/>
        <v>0</v>
      </c>
      <c r="BK7" s="11">
        <f t="shared" si="30"/>
        <v>0</v>
      </c>
      <c r="BL7" s="12">
        <f t="shared" si="30"/>
        <v>0</v>
      </c>
      <c r="BM7" s="12">
        <f t="shared" si="30"/>
        <v>0</v>
      </c>
      <c r="BN7" s="13">
        <f t="shared" si="30"/>
        <v>0</v>
      </c>
      <c r="BO7" s="13">
        <f t="shared" si="30"/>
        <v>0</v>
      </c>
      <c r="BP7" s="15">
        <f t="shared" si="30"/>
        <v>0</v>
      </c>
      <c r="BQ7" s="15">
        <f t="shared" si="30"/>
        <v>0</v>
      </c>
      <c r="BR7" s="14">
        <f t="shared" si="30"/>
        <v>0</v>
      </c>
      <c r="BS7" s="14">
        <f t="shared" si="30"/>
        <v>0</v>
      </c>
      <c r="BT7" s="14">
        <f t="shared" si="30"/>
        <v>0</v>
      </c>
      <c r="BU7" s="14">
        <f t="shared" si="30"/>
        <v>0</v>
      </c>
      <c r="BV7" s="11">
        <f t="shared" si="30"/>
        <v>0</v>
      </c>
      <c r="BW7" s="11">
        <f t="shared" si="30"/>
        <v>0</v>
      </c>
      <c r="BX7" s="11">
        <f t="shared" si="30"/>
        <v>0</v>
      </c>
      <c r="BY7" s="11">
        <f t="shared" si="30"/>
        <v>0</v>
      </c>
      <c r="BZ7" s="7">
        <f t="shared" si="30"/>
        <v>0</v>
      </c>
      <c r="CA7" s="7">
        <f t="shared" si="30"/>
        <v>0</v>
      </c>
      <c r="CB7" s="7">
        <f t="shared" ref="CB7:CP7" si="31">IFERROR(VALUE(CB312),"-")</f>
        <v>0</v>
      </c>
      <c r="CC7" s="7">
        <f t="shared" si="31"/>
        <v>0</v>
      </c>
      <c r="CD7" s="7">
        <f t="shared" si="31"/>
        <v>0</v>
      </c>
      <c r="CE7" s="3">
        <f t="shared" si="31"/>
        <v>0</v>
      </c>
      <c r="CF7" s="7">
        <f t="shared" si="31"/>
        <v>0</v>
      </c>
      <c r="CG7" s="3">
        <f t="shared" si="31"/>
        <v>0</v>
      </c>
      <c r="CH7" s="7">
        <f t="shared" si="31"/>
        <v>0</v>
      </c>
      <c r="CI7" s="7">
        <f t="shared" si="31"/>
        <v>0</v>
      </c>
      <c r="CJ7" s="3">
        <f t="shared" si="31"/>
        <v>0</v>
      </c>
      <c r="CK7" s="7">
        <f t="shared" si="31"/>
        <v>0</v>
      </c>
      <c r="CL7" s="3">
        <f t="shared" si="31"/>
        <v>0</v>
      </c>
      <c r="CM7" s="7">
        <f t="shared" si="31"/>
        <v>0</v>
      </c>
      <c r="CN7" s="10">
        <f t="shared" si="31"/>
        <v>44783.636701388888</v>
      </c>
      <c r="CO7" s="10">
        <f t="shared" si="31"/>
        <v>44783.636701388888</v>
      </c>
      <c r="CP7" s="7">
        <f t="shared" si="31"/>
        <v>38295.69921875</v>
      </c>
      <c r="CQ7" s="7" t="str">
        <f t="shared" ref="CQ7" si="32">IFERROR(CQ312,"-")</f>
        <v>FairPrice</v>
      </c>
      <c r="CR7" s="10">
        <f t="shared" si="4"/>
        <v>44783.638194444444</v>
      </c>
      <c r="CS7" s="7">
        <f t="shared" si="4"/>
        <v>0</v>
      </c>
      <c r="CT7" s="7">
        <f t="shared" si="4"/>
        <v>0</v>
      </c>
      <c r="CU7" s="7">
        <f t="shared" si="4"/>
        <v>0</v>
      </c>
      <c r="CV7" s="7">
        <f t="shared" si="4"/>
        <v>0</v>
      </c>
      <c r="CW7" s="7">
        <f t="shared" si="4"/>
        <v>0</v>
      </c>
      <c r="CX7" s="7">
        <f t="shared" si="4"/>
        <v>0</v>
      </c>
      <c r="CY7" s="7">
        <f t="shared" si="4"/>
        <v>0</v>
      </c>
      <c r="CZ7" s="7">
        <f t="shared" si="4"/>
        <v>0</v>
      </c>
      <c r="DA7" s="7">
        <f t="shared" si="4"/>
        <v>0</v>
      </c>
      <c r="DB7" s="7">
        <f t="shared" si="4"/>
        <v>0</v>
      </c>
      <c r="DC7" s="7">
        <f t="shared" si="4"/>
        <v>0</v>
      </c>
      <c r="DD7" s="7">
        <f t="shared" si="4"/>
        <v>0</v>
      </c>
      <c r="DE7" s="7">
        <f t="shared" si="4"/>
        <v>0</v>
      </c>
      <c r="DF7" s="7">
        <f t="shared" si="4"/>
        <v>0</v>
      </c>
      <c r="DG7" s="7">
        <f t="shared" si="4"/>
        <v>38295.69921875</v>
      </c>
      <c r="DH7" s="7" t="str">
        <f t="shared" ref="DH7:DJ7" si="33">IFERROR(DH312,"-")</f>
        <v>W</v>
      </c>
      <c r="DI7" s="7" t="str">
        <f t="shared" si="33"/>
        <v>W</v>
      </c>
      <c r="DJ7" s="7" t="str">
        <f t="shared" si="33"/>
        <v>G</v>
      </c>
      <c r="DK7" s="64">
        <f t="shared" ref="DK7:DS7" si="34">IFERROR(VALUE(DK312),"-")</f>
        <v>38300</v>
      </c>
      <c r="DL7" s="64">
        <f t="shared" si="34"/>
        <v>3400000</v>
      </c>
      <c r="DM7" s="64">
        <f t="shared" si="34"/>
        <v>38500</v>
      </c>
      <c r="DN7" s="64">
        <f t="shared" si="34"/>
        <v>0</v>
      </c>
      <c r="DO7" s="64">
        <f t="shared" si="34"/>
        <v>24500</v>
      </c>
      <c r="DP7" s="64">
        <f t="shared" si="34"/>
        <v>2863350</v>
      </c>
      <c r="DQ7" s="64">
        <f t="shared" si="34"/>
        <v>38000</v>
      </c>
      <c r="DR7" s="64">
        <f t="shared" si="34"/>
        <v>0</v>
      </c>
      <c r="DS7" s="64">
        <f t="shared" si="34"/>
        <v>24500</v>
      </c>
      <c r="DT7" t="str">
        <f t="shared" si="7"/>
        <v>BANKNIFTY</v>
      </c>
      <c r="DU7" s="10">
        <f t="shared" si="8"/>
        <v>44784</v>
      </c>
    </row>
    <row r="8" spans="1:125" x14ac:dyDescent="0.25">
      <c r="A8" t="s">
        <v>8</v>
      </c>
      <c r="B8" s="2">
        <v>44798</v>
      </c>
      <c r="C8" s="1">
        <v>40</v>
      </c>
      <c r="D8">
        <v>69</v>
      </c>
      <c r="G8" t="str">
        <f t="array" ref="G8">IFERROR(INDEX($A$2:$A$700,MATCH(0,COUNTIF($G$1:G7,$A$2:$A$700),0)),"")</f>
        <v>ADANIENT</v>
      </c>
      <c r="H8" s="2">
        <f t="array" ref="H8">IFERROR(INDEX($B$1:$B$701,SMALL(IF(OptionChain!$AU$1=$A$1:$A$701,ROW($A$1:$A$701),""),ROW()-ROW($H$1))),"")</f>
        <v>44861</v>
      </c>
      <c r="I8" s="2">
        <f t="array" ref="I8">IFERROR(INDEX($B$1:$B$701,SMALL(IF($J$2=$A$1:$A$701,ROW($A$1:$A$701),""),ROW()-ROW($I$1))),"")</f>
        <v>44861</v>
      </c>
      <c r="J8" s="3" t="s">
        <v>319</v>
      </c>
      <c r="K8" s="3" t="b">
        <f ca="1">AND($K$5&lt;=$K$7, $K$7&lt;=$K$6)</f>
        <v>0</v>
      </c>
      <c r="L8" s="3"/>
      <c r="M8" s="61"/>
      <c r="O8" s="3">
        <f t="shared" si="9"/>
        <v>27500</v>
      </c>
      <c r="P8" s="7">
        <f t="shared" ref="P8:CA8" si="35">IFERROR(VALUE(P313),"-")</f>
        <v>0</v>
      </c>
      <c r="Q8" s="7">
        <f t="shared" si="35"/>
        <v>0</v>
      </c>
      <c r="R8" s="7">
        <f t="shared" si="35"/>
        <v>0</v>
      </c>
      <c r="S8" s="7">
        <f t="shared" si="35"/>
        <v>0</v>
      </c>
      <c r="T8" s="11">
        <f t="shared" si="35"/>
        <v>0</v>
      </c>
      <c r="U8" s="11">
        <f t="shared" si="35"/>
        <v>0</v>
      </c>
      <c r="V8" s="11">
        <f t="shared" si="35"/>
        <v>0</v>
      </c>
      <c r="W8" s="11">
        <f t="shared" si="35"/>
        <v>0</v>
      </c>
      <c r="X8" s="14">
        <f t="shared" si="35"/>
        <v>0</v>
      </c>
      <c r="Y8" s="14">
        <f t="shared" si="35"/>
        <v>0</v>
      </c>
      <c r="Z8" s="14">
        <f t="shared" si="35"/>
        <v>0</v>
      </c>
      <c r="AA8" s="14">
        <f t="shared" si="35"/>
        <v>0</v>
      </c>
      <c r="AB8" s="15">
        <f t="shared" si="35"/>
        <v>0</v>
      </c>
      <c r="AC8" s="15">
        <f t="shared" si="35"/>
        <v>0</v>
      </c>
      <c r="AD8" s="13">
        <f t="shared" si="35"/>
        <v>0</v>
      </c>
      <c r="AE8" s="13">
        <f t="shared" si="35"/>
        <v>0</v>
      </c>
      <c r="AF8" s="12">
        <f t="shared" si="35"/>
        <v>0</v>
      </c>
      <c r="AG8" s="12">
        <f t="shared" si="35"/>
        <v>0</v>
      </c>
      <c r="AH8" s="13">
        <f t="shared" si="35"/>
        <v>0</v>
      </c>
      <c r="AI8" s="13">
        <f t="shared" si="35"/>
        <v>0</v>
      </c>
      <c r="AJ8" s="11">
        <f t="shared" si="35"/>
        <v>0</v>
      </c>
      <c r="AK8" s="11">
        <f t="shared" si="35"/>
        <v>0</v>
      </c>
      <c r="AL8" s="11">
        <f t="shared" si="35"/>
        <v>0</v>
      </c>
      <c r="AM8" s="11">
        <f t="shared" si="35"/>
        <v>0</v>
      </c>
      <c r="AN8" s="11">
        <f t="shared" si="35"/>
        <v>0</v>
      </c>
      <c r="AO8" s="11">
        <f t="shared" si="35"/>
        <v>0</v>
      </c>
      <c r="AP8" s="11">
        <f t="shared" si="35"/>
        <v>0</v>
      </c>
      <c r="AQ8" s="11">
        <f t="shared" si="35"/>
        <v>0</v>
      </c>
      <c r="AR8" s="16">
        <f t="shared" si="35"/>
        <v>0</v>
      </c>
      <c r="AS8" s="16">
        <f t="shared" si="35"/>
        <v>0</v>
      </c>
      <c r="AT8" s="16">
        <f t="shared" si="35"/>
        <v>0</v>
      </c>
      <c r="AU8" s="7">
        <f t="shared" si="35"/>
        <v>0</v>
      </c>
      <c r="AV8" s="7">
        <f t="shared" si="35"/>
        <v>0</v>
      </c>
      <c r="AW8" s="7">
        <f t="shared" si="35"/>
        <v>0</v>
      </c>
      <c r="AX8" s="7">
        <f t="shared" si="35"/>
        <v>0</v>
      </c>
      <c r="AY8" s="11">
        <f t="shared" si="35"/>
        <v>0</v>
      </c>
      <c r="AZ8" s="16">
        <f t="shared" si="35"/>
        <v>0</v>
      </c>
      <c r="BA8" s="16">
        <f t="shared" si="35"/>
        <v>0</v>
      </c>
      <c r="BB8" s="16">
        <f t="shared" si="35"/>
        <v>0</v>
      </c>
      <c r="BC8" s="11">
        <f t="shared" si="35"/>
        <v>0</v>
      </c>
      <c r="BD8" s="11">
        <f t="shared" si="35"/>
        <v>0</v>
      </c>
      <c r="BE8" s="11">
        <f t="shared" si="35"/>
        <v>0</v>
      </c>
      <c r="BF8" s="11">
        <f t="shared" si="35"/>
        <v>0</v>
      </c>
      <c r="BG8" s="11">
        <f t="shared" si="35"/>
        <v>0</v>
      </c>
      <c r="BH8" s="11">
        <f t="shared" si="35"/>
        <v>0</v>
      </c>
      <c r="BI8" s="13">
        <f t="shared" si="35"/>
        <v>0</v>
      </c>
      <c r="BJ8" s="13">
        <f t="shared" si="35"/>
        <v>0</v>
      </c>
      <c r="BK8" s="11">
        <f t="shared" si="35"/>
        <v>0</v>
      </c>
      <c r="BL8" s="12">
        <f t="shared" si="35"/>
        <v>0</v>
      </c>
      <c r="BM8" s="12">
        <f t="shared" si="35"/>
        <v>0</v>
      </c>
      <c r="BN8" s="13">
        <f t="shared" si="35"/>
        <v>0</v>
      </c>
      <c r="BO8" s="13">
        <f t="shared" si="35"/>
        <v>0</v>
      </c>
      <c r="BP8" s="15">
        <f t="shared" si="35"/>
        <v>0</v>
      </c>
      <c r="BQ8" s="15">
        <f t="shared" si="35"/>
        <v>0</v>
      </c>
      <c r="BR8" s="14">
        <f t="shared" si="35"/>
        <v>0</v>
      </c>
      <c r="BS8" s="14">
        <f t="shared" si="35"/>
        <v>0</v>
      </c>
      <c r="BT8" s="14">
        <f t="shared" si="35"/>
        <v>0</v>
      </c>
      <c r="BU8" s="14">
        <f t="shared" si="35"/>
        <v>0</v>
      </c>
      <c r="BV8" s="11">
        <f t="shared" si="35"/>
        <v>0</v>
      </c>
      <c r="BW8" s="11">
        <f t="shared" si="35"/>
        <v>0</v>
      </c>
      <c r="BX8" s="11">
        <f t="shared" si="35"/>
        <v>0</v>
      </c>
      <c r="BY8" s="11">
        <f t="shared" si="35"/>
        <v>0</v>
      </c>
      <c r="BZ8" s="7">
        <f t="shared" si="35"/>
        <v>0</v>
      </c>
      <c r="CA8" s="7">
        <f t="shared" si="35"/>
        <v>0</v>
      </c>
      <c r="CB8" s="7">
        <f t="shared" ref="CB8:CP8" si="36">IFERROR(VALUE(CB313),"-")</f>
        <v>0</v>
      </c>
      <c r="CC8" s="7">
        <f t="shared" si="36"/>
        <v>0</v>
      </c>
      <c r="CD8" s="7">
        <f t="shared" si="36"/>
        <v>0</v>
      </c>
      <c r="CE8" s="3">
        <f t="shared" si="36"/>
        <v>0</v>
      </c>
      <c r="CF8" s="7">
        <f t="shared" si="36"/>
        <v>0</v>
      </c>
      <c r="CG8" s="3">
        <f t="shared" si="36"/>
        <v>0</v>
      </c>
      <c r="CH8" s="7">
        <f t="shared" si="36"/>
        <v>0</v>
      </c>
      <c r="CI8" s="7">
        <f t="shared" si="36"/>
        <v>0</v>
      </c>
      <c r="CJ8" s="3">
        <f t="shared" si="36"/>
        <v>0</v>
      </c>
      <c r="CK8" s="7">
        <f t="shared" si="36"/>
        <v>0</v>
      </c>
      <c r="CL8" s="3">
        <f t="shared" si="36"/>
        <v>0</v>
      </c>
      <c r="CM8" s="7">
        <f t="shared" si="36"/>
        <v>0</v>
      </c>
      <c r="CN8" s="10">
        <f t="shared" si="36"/>
        <v>44783.636701388888</v>
      </c>
      <c r="CO8" s="10">
        <f t="shared" si="36"/>
        <v>44783.636701388888</v>
      </c>
      <c r="CP8" s="7">
        <f t="shared" si="36"/>
        <v>38295.69921875</v>
      </c>
      <c r="CQ8" s="7" t="str">
        <f t="shared" ref="CQ8" si="37">IFERROR(CQ313,"-")</f>
        <v>FairPrice</v>
      </c>
      <c r="CR8" s="10">
        <f t="shared" si="4"/>
        <v>44783.638194444444</v>
      </c>
      <c r="CS8" s="7">
        <f t="shared" si="4"/>
        <v>0</v>
      </c>
      <c r="CT8" s="7">
        <f t="shared" si="4"/>
        <v>0</v>
      </c>
      <c r="CU8" s="7">
        <f t="shared" si="4"/>
        <v>0</v>
      </c>
      <c r="CV8" s="7">
        <f t="shared" si="4"/>
        <v>0</v>
      </c>
      <c r="CW8" s="7">
        <f t="shared" si="4"/>
        <v>0</v>
      </c>
      <c r="CX8" s="7">
        <f t="shared" si="4"/>
        <v>0</v>
      </c>
      <c r="CY8" s="7">
        <f t="shared" si="4"/>
        <v>0</v>
      </c>
      <c r="CZ8" s="7">
        <f t="shared" si="4"/>
        <v>0</v>
      </c>
      <c r="DA8" s="7">
        <f t="shared" si="4"/>
        <v>0</v>
      </c>
      <c r="DB8" s="7">
        <f t="shared" si="4"/>
        <v>0</v>
      </c>
      <c r="DC8" s="7">
        <f t="shared" si="4"/>
        <v>0</v>
      </c>
      <c r="DD8" s="7">
        <f t="shared" si="4"/>
        <v>0</v>
      </c>
      <c r="DE8" s="7">
        <f t="shared" si="4"/>
        <v>0</v>
      </c>
      <c r="DF8" s="7">
        <f t="shared" si="4"/>
        <v>0</v>
      </c>
      <c r="DG8" s="7">
        <f t="shared" si="4"/>
        <v>38295.69921875</v>
      </c>
      <c r="DH8" s="7" t="str">
        <f t="shared" ref="DH8:DJ8" si="38">IFERROR(DH313,"-")</f>
        <v>W</v>
      </c>
      <c r="DI8" s="7" t="str">
        <f t="shared" si="38"/>
        <v>W</v>
      </c>
      <c r="DJ8" s="7" t="str">
        <f t="shared" si="38"/>
        <v>G</v>
      </c>
      <c r="DK8" s="64">
        <f t="shared" ref="DK8:DS8" si="39">IFERROR(VALUE(DK313),"-")</f>
        <v>38300</v>
      </c>
      <c r="DL8" s="64">
        <f t="shared" si="39"/>
        <v>3400000</v>
      </c>
      <c r="DM8" s="64">
        <f t="shared" si="39"/>
        <v>38500</v>
      </c>
      <c r="DN8" s="64">
        <f t="shared" si="39"/>
        <v>0</v>
      </c>
      <c r="DO8" s="64">
        <f t="shared" si="39"/>
        <v>24500</v>
      </c>
      <c r="DP8" s="64">
        <f t="shared" si="39"/>
        <v>2863350</v>
      </c>
      <c r="DQ8" s="64">
        <f t="shared" si="39"/>
        <v>38000</v>
      </c>
      <c r="DR8" s="64">
        <f t="shared" si="39"/>
        <v>0</v>
      </c>
      <c r="DS8" s="64">
        <f t="shared" si="39"/>
        <v>24500</v>
      </c>
      <c r="DT8" t="str">
        <f t="shared" si="7"/>
        <v>BANKNIFTY</v>
      </c>
      <c r="DU8" s="10">
        <f t="shared" si="8"/>
        <v>44784</v>
      </c>
    </row>
    <row r="9" spans="1:125" x14ac:dyDescent="0.25">
      <c r="A9" t="s">
        <v>8</v>
      </c>
      <c r="B9" s="2">
        <v>44833</v>
      </c>
      <c r="C9" s="1">
        <v>40</v>
      </c>
      <c r="D9">
        <v>69</v>
      </c>
      <c r="G9" t="str">
        <f t="array" ref="G9">IFERROR(INDEX($A$2:$A$700,MATCH(0,COUNTIF($G$1:G8,$A$2:$A$700),0)),"")</f>
        <v>ADANIPORTS</v>
      </c>
      <c r="H9" s="2">
        <f t="array" ref="H9">IFERROR(INDEX($B$1:$B$701,SMALL(IF(OptionChain!$AU$1=$A$1:$A$701,ROW($A$1:$A$701),""),ROW()-ROW($H$1))),"")</f>
        <v>44924</v>
      </c>
      <c r="I9" s="2">
        <f t="array" ref="I9">IFERROR(INDEX($B$1:$B$701,SMALL(IF($J$2=$A$1:$A$701,ROW($A$1:$A$701),""),ROW()-ROW($I$1))),"")</f>
        <v>44924</v>
      </c>
      <c r="J9" s="3"/>
      <c r="K9" s="3"/>
      <c r="L9" s="3"/>
      <c r="M9" s="10"/>
      <c r="O9" s="3">
        <f t="shared" si="9"/>
        <v>28000</v>
      </c>
      <c r="P9" s="7">
        <f t="shared" ref="P9:CA9" si="40">IFERROR(VALUE(P314),"-")</f>
        <v>0</v>
      </c>
      <c r="Q9" s="7">
        <f t="shared" si="40"/>
        <v>0</v>
      </c>
      <c r="R9" s="7">
        <f t="shared" si="40"/>
        <v>0</v>
      </c>
      <c r="S9" s="7">
        <f t="shared" si="40"/>
        <v>0</v>
      </c>
      <c r="T9" s="11">
        <f t="shared" si="40"/>
        <v>0</v>
      </c>
      <c r="U9" s="11">
        <f t="shared" si="40"/>
        <v>0</v>
      </c>
      <c r="V9" s="11">
        <f t="shared" si="40"/>
        <v>0</v>
      </c>
      <c r="W9" s="11">
        <f t="shared" si="40"/>
        <v>0</v>
      </c>
      <c r="X9" s="14">
        <f t="shared" si="40"/>
        <v>0</v>
      </c>
      <c r="Y9" s="14">
        <f t="shared" si="40"/>
        <v>0</v>
      </c>
      <c r="Z9" s="14">
        <f t="shared" si="40"/>
        <v>0</v>
      </c>
      <c r="AA9" s="14">
        <f t="shared" si="40"/>
        <v>0</v>
      </c>
      <c r="AB9" s="15">
        <f t="shared" si="40"/>
        <v>0</v>
      </c>
      <c r="AC9" s="15">
        <f t="shared" si="40"/>
        <v>0</v>
      </c>
      <c r="AD9" s="13">
        <f t="shared" si="40"/>
        <v>0</v>
      </c>
      <c r="AE9" s="13">
        <f t="shared" si="40"/>
        <v>0</v>
      </c>
      <c r="AF9" s="12">
        <f t="shared" si="40"/>
        <v>0</v>
      </c>
      <c r="AG9" s="12">
        <f t="shared" si="40"/>
        <v>0</v>
      </c>
      <c r="AH9" s="13">
        <f t="shared" si="40"/>
        <v>0</v>
      </c>
      <c r="AI9" s="13">
        <f t="shared" si="40"/>
        <v>0</v>
      </c>
      <c r="AJ9" s="11">
        <f t="shared" si="40"/>
        <v>0</v>
      </c>
      <c r="AK9" s="11">
        <f t="shared" si="40"/>
        <v>0</v>
      </c>
      <c r="AL9" s="11">
        <f t="shared" si="40"/>
        <v>0</v>
      </c>
      <c r="AM9" s="11">
        <f t="shared" si="40"/>
        <v>0</v>
      </c>
      <c r="AN9" s="11">
        <f t="shared" si="40"/>
        <v>0</v>
      </c>
      <c r="AO9" s="11">
        <f t="shared" si="40"/>
        <v>0</v>
      </c>
      <c r="AP9" s="11">
        <f t="shared" si="40"/>
        <v>0</v>
      </c>
      <c r="AQ9" s="11">
        <f t="shared" si="40"/>
        <v>0</v>
      </c>
      <c r="AR9" s="16">
        <f t="shared" si="40"/>
        <v>0</v>
      </c>
      <c r="AS9" s="16">
        <f t="shared" si="40"/>
        <v>0</v>
      </c>
      <c r="AT9" s="16">
        <f t="shared" si="40"/>
        <v>0</v>
      </c>
      <c r="AU9" s="7">
        <f t="shared" si="40"/>
        <v>0</v>
      </c>
      <c r="AV9" s="7">
        <f t="shared" si="40"/>
        <v>0</v>
      </c>
      <c r="AW9" s="7">
        <f t="shared" si="40"/>
        <v>0</v>
      </c>
      <c r="AX9" s="7">
        <f t="shared" si="40"/>
        <v>0</v>
      </c>
      <c r="AY9" s="11">
        <f t="shared" si="40"/>
        <v>0</v>
      </c>
      <c r="AZ9" s="16">
        <f t="shared" si="40"/>
        <v>0</v>
      </c>
      <c r="BA9" s="16">
        <f t="shared" si="40"/>
        <v>0</v>
      </c>
      <c r="BB9" s="16">
        <f t="shared" si="40"/>
        <v>0</v>
      </c>
      <c r="BC9" s="11">
        <f t="shared" si="40"/>
        <v>0</v>
      </c>
      <c r="BD9" s="11">
        <f t="shared" si="40"/>
        <v>0</v>
      </c>
      <c r="BE9" s="11">
        <f t="shared" si="40"/>
        <v>0</v>
      </c>
      <c r="BF9" s="11">
        <f t="shared" si="40"/>
        <v>0</v>
      </c>
      <c r="BG9" s="11">
        <f t="shared" si="40"/>
        <v>0</v>
      </c>
      <c r="BH9" s="11">
        <f t="shared" si="40"/>
        <v>0</v>
      </c>
      <c r="BI9" s="13">
        <f t="shared" si="40"/>
        <v>0</v>
      </c>
      <c r="BJ9" s="13">
        <f t="shared" si="40"/>
        <v>0</v>
      </c>
      <c r="BK9" s="11">
        <f t="shared" si="40"/>
        <v>0</v>
      </c>
      <c r="BL9" s="12">
        <f t="shared" si="40"/>
        <v>0</v>
      </c>
      <c r="BM9" s="12">
        <f t="shared" si="40"/>
        <v>0</v>
      </c>
      <c r="BN9" s="13">
        <f t="shared" si="40"/>
        <v>0</v>
      </c>
      <c r="BO9" s="13">
        <f t="shared" si="40"/>
        <v>0</v>
      </c>
      <c r="BP9" s="15">
        <f t="shared" si="40"/>
        <v>0</v>
      </c>
      <c r="BQ9" s="15">
        <f t="shared" si="40"/>
        <v>0</v>
      </c>
      <c r="BR9" s="14">
        <f t="shared" si="40"/>
        <v>0</v>
      </c>
      <c r="BS9" s="14">
        <f t="shared" si="40"/>
        <v>0</v>
      </c>
      <c r="BT9" s="14">
        <f t="shared" si="40"/>
        <v>0</v>
      </c>
      <c r="BU9" s="14">
        <f t="shared" si="40"/>
        <v>0</v>
      </c>
      <c r="BV9" s="11">
        <f t="shared" si="40"/>
        <v>0</v>
      </c>
      <c r="BW9" s="11">
        <f t="shared" si="40"/>
        <v>0</v>
      </c>
      <c r="BX9" s="11">
        <f t="shared" si="40"/>
        <v>0</v>
      </c>
      <c r="BY9" s="11">
        <f t="shared" si="40"/>
        <v>0</v>
      </c>
      <c r="BZ9" s="7">
        <f t="shared" si="40"/>
        <v>0</v>
      </c>
      <c r="CA9" s="7">
        <f t="shared" si="40"/>
        <v>0</v>
      </c>
      <c r="CB9" s="7">
        <f t="shared" ref="CB9:CP9" si="41">IFERROR(VALUE(CB314),"-")</f>
        <v>0</v>
      </c>
      <c r="CC9" s="7">
        <f t="shared" si="41"/>
        <v>0</v>
      </c>
      <c r="CD9" s="7">
        <f t="shared" si="41"/>
        <v>0</v>
      </c>
      <c r="CE9" s="3">
        <f t="shared" si="41"/>
        <v>0</v>
      </c>
      <c r="CF9" s="7">
        <f t="shared" si="41"/>
        <v>0</v>
      </c>
      <c r="CG9" s="3">
        <f t="shared" si="41"/>
        <v>0</v>
      </c>
      <c r="CH9" s="7">
        <f t="shared" si="41"/>
        <v>0</v>
      </c>
      <c r="CI9" s="7">
        <f t="shared" si="41"/>
        <v>0</v>
      </c>
      <c r="CJ9" s="3">
        <f t="shared" si="41"/>
        <v>0</v>
      </c>
      <c r="CK9" s="7">
        <f t="shared" si="41"/>
        <v>0</v>
      </c>
      <c r="CL9" s="3">
        <f t="shared" si="41"/>
        <v>0</v>
      </c>
      <c r="CM9" s="7">
        <f t="shared" si="41"/>
        <v>0</v>
      </c>
      <c r="CN9" s="10">
        <f t="shared" si="41"/>
        <v>44783.636701388888</v>
      </c>
      <c r="CO9" s="10">
        <f t="shared" si="41"/>
        <v>44783.636701388888</v>
      </c>
      <c r="CP9" s="7">
        <f t="shared" si="41"/>
        <v>38295.69921875</v>
      </c>
      <c r="CQ9" s="7" t="str">
        <f t="shared" ref="CQ9" si="42">IFERROR(CQ314,"-")</f>
        <v>FairPrice</v>
      </c>
      <c r="CR9" s="10">
        <f t="shared" si="4"/>
        <v>44783.638194444444</v>
      </c>
      <c r="CS9" s="7">
        <f t="shared" si="4"/>
        <v>0</v>
      </c>
      <c r="CT9" s="7">
        <f t="shared" si="4"/>
        <v>0</v>
      </c>
      <c r="CU9" s="7">
        <f t="shared" si="4"/>
        <v>0</v>
      </c>
      <c r="CV9" s="7">
        <f t="shared" si="4"/>
        <v>0</v>
      </c>
      <c r="CW9" s="7">
        <f t="shared" si="4"/>
        <v>0</v>
      </c>
      <c r="CX9" s="7">
        <f t="shared" si="4"/>
        <v>0</v>
      </c>
      <c r="CY9" s="7">
        <f t="shared" si="4"/>
        <v>0</v>
      </c>
      <c r="CZ9" s="7">
        <f t="shared" si="4"/>
        <v>0</v>
      </c>
      <c r="DA9" s="7">
        <f t="shared" si="4"/>
        <v>0</v>
      </c>
      <c r="DB9" s="7">
        <f t="shared" si="4"/>
        <v>0</v>
      </c>
      <c r="DC9" s="7">
        <f t="shared" si="4"/>
        <v>0</v>
      </c>
      <c r="DD9" s="7">
        <f t="shared" si="4"/>
        <v>0</v>
      </c>
      <c r="DE9" s="7">
        <f t="shared" si="4"/>
        <v>0</v>
      </c>
      <c r="DF9" s="7">
        <f t="shared" si="4"/>
        <v>0</v>
      </c>
      <c r="DG9" s="7">
        <f t="shared" si="4"/>
        <v>38295.69921875</v>
      </c>
      <c r="DH9" s="7" t="str">
        <f t="shared" ref="DH9:DJ9" si="43">IFERROR(DH314,"-")</f>
        <v>W</v>
      </c>
      <c r="DI9" s="7" t="str">
        <f t="shared" si="43"/>
        <v>W</v>
      </c>
      <c r="DJ9" s="7" t="str">
        <f t="shared" si="43"/>
        <v>G</v>
      </c>
      <c r="DK9" s="64">
        <f t="shared" ref="DK9:DS9" si="44">IFERROR(VALUE(DK314),"-")</f>
        <v>38300</v>
      </c>
      <c r="DL9" s="64">
        <f t="shared" si="44"/>
        <v>3400000</v>
      </c>
      <c r="DM9" s="64">
        <f t="shared" si="44"/>
        <v>38500</v>
      </c>
      <c r="DN9" s="64">
        <f t="shared" si="44"/>
        <v>0</v>
      </c>
      <c r="DO9" s="64">
        <f t="shared" si="44"/>
        <v>24500</v>
      </c>
      <c r="DP9" s="64">
        <f t="shared" si="44"/>
        <v>2863350</v>
      </c>
      <c r="DQ9" s="64">
        <f t="shared" si="44"/>
        <v>38000</v>
      </c>
      <c r="DR9" s="64">
        <f t="shared" si="44"/>
        <v>0</v>
      </c>
      <c r="DS9" s="64">
        <f t="shared" si="44"/>
        <v>24500</v>
      </c>
      <c r="DT9" t="str">
        <f t="shared" si="7"/>
        <v>BANKNIFTY</v>
      </c>
      <c r="DU9" s="10">
        <f t="shared" si="8"/>
        <v>44784</v>
      </c>
    </row>
    <row r="10" spans="1:125" x14ac:dyDescent="0.25">
      <c r="A10" t="s">
        <v>8</v>
      </c>
      <c r="B10" s="2">
        <v>44861</v>
      </c>
      <c r="C10" s="1">
        <v>40</v>
      </c>
      <c r="D10">
        <v>69</v>
      </c>
      <c r="G10" t="str">
        <f t="array" ref="G10">IFERROR(INDEX($A$2:$A$700,MATCH(0,COUNTIF($G$1:G9,$A$2:$A$700),0)),"")</f>
        <v>ALKEM</v>
      </c>
      <c r="H10" s="2">
        <f t="array" ref="H10">IFERROR(INDEX($B$1:$B$701,SMALL(IF(OptionChain!$AU$1=$A$1:$A$701,ROW($A$1:$A$701),""),ROW()-ROW($H$1))),"")</f>
        <v>45015</v>
      </c>
      <c r="I10" s="2">
        <f t="array" ref="I10">IFERROR(INDEX($B$1:$B$701,SMALL(IF($J$2=$A$1:$A$701,ROW($A$1:$A$701),""),ROW()-ROW($I$1))),"")</f>
        <v>45015</v>
      </c>
      <c r="J10" s="3"/>
      <c r="K10" s="3" t="b">
        <f ca="1">IFERROR(AND($O192=VALUE($O$305),$K$8),FALSE)</f>
        <v>0</v>
      </c>
      <c r="L10" s="3"/>
      <c r="M10" s="3"/>
      <c r="O10" s="3">
        <f t="shared" si="9"/>
        <v>28500</v>
      </c>
      <c r="P10" s="7">
        <f t="shared" ref="P10:CA10" si="45">IFERROR(VALUE(P315),"-")</f>
        <v>0</v>
      </c>
      <c r="Q10" s="7">
        <f t="shared" si="45"/>
        <v>0</v>
      </c>
      <c r="R10" s="7">
        <f t="shared" si="45"/>
        <v>0</v>
      </c>
      <c r="S10" s="7">
        <f t="shared" si="45"/>
        <v>0</v>
      </c>
      <c r="T10" s="11">
        <f t="shared" si="45"/>
        <v>0</v>
      </c>
      <c r="U10" s="11">
        <f t="shared" si="45"/>
        <v>0</v>
      </c>
      <c r="V10" s="11">
        <f t="shared" si="45"/>
        <v>0</v>
      </c>
      <c r="W10" s="11">
        <f t="shared" si="45"/>
        <v>0</v>
      </c>
      <c r="X10" s="14">
        <f t="shared" si="45"/>
        <v>0</v>
      </c>
      <c r="Y10" s="14">
        <f t="shared" si="45"/>
        <v>0</v>
      </c>
      <c r="Z10" s="14">
        <f t="shared" si="45"/>
        <v>0</v>
      </c>
      <c r="AA10" s="14">
        <f t="shared" si="45"/>
        <v>0</v>
      </c>
      <c r="AB10" s="15">
        <f t="shared" si="45"/>
        <v>0</v>
      </c>
      <c r="AC10" s="15">
        <f t="shared" si="45"/>
        <v>0</v>
      </c>
      <c r="AD10" s="13">
        <f t="shared" si="45"/>
        <v>0</v>
      </c>
      <c r="AE10" s="13">
        <f t="shared" si="45"/>
        <v>0</v>
      </c>
      <c r="AF10" s="12">
        <f t="shared" si="45"/>
        <v>0</v>
      </c>
      <c r="AG10" s="12">
        <f t="shared" si="45"/>
        <v>0</v>
      </c>
      <c r="AH10" s="13">
        <f t="shared" si="45"/>
        <v>0</v>
      </c>
      <c r="AI10" s="13">
        <f t="shared" si="45"/>
        <v>0</v>
      </c>
      <c r="AJ10" s="11">
        <f t="shared" si="45"/>
        <v>0</v>
      </c>
      <c r="AK10" s="11">
        <f t="shared" si="45"/>
        <v>0</v>
      </c>
      <c r="AL10" s="11">
        <f t="shared" si="45"/>
        <v>0</v>
      </c>
      <c r="AM10" s="11">
        <f t="shared" si="45"/>
        <v>0</v>
      </c>
      <c r="AN10" s="11">
        <f t="shared" si="45"/>
        <v>0</v>
      </c>
      <c r="AO10" s="11">
        <f t="shared" si="45"/>
        <v>0</v>
      </c>
      <c r="AP10" s="11">
        <f t="shared" si="45"/>
        <v>0</v>
      </c>
      <c r="AQ10" s="11">
        <f t="shared" si="45"/>
        <v>0</v>
      </c>
      <c r="AR10" s="16">
        <f t="shared" si="45"/>
        <v>0</v>
      </c>
      <c r="AS10" s="16">
        <f t="shared" si="45"/>
        <v>0</v>
      </c>
      <c r="AT10" s="16">
        <f t="shared" si="45"/>
        <v>0</v>
      </c>
      <c r="AU10" s="7">
        <f t="shared" si="45"/>
        <v>0</v>
      </c>
      <c r="AV10" s="7">
        <f t="shared" si="45"/>
        <v>0</v>
      </c>
      <c r="AW10" s="7">
        <f t="shared" si="45"/>
        <v>0</v>
      </c>
      <c r="AX10" s="7">
        <f t="shared" si="45"/>
        <v>0</v>
      </c>
      <c r="AY10" s="11">
        <f t="shared" si="45"/>
        <v>0</v>
      </c>
      <c r="AZ10" s="16">
        <f t="shared" si="45"/>
        <v>0</v>
      </c>
      <c r="BA10" s="16">
        <f t="shared" si="45"/>
        <v>0</v>
      </c>
      <c r="BB10" s="16">
        <f t="shared" si="45"/>
        <v>0</v>
      </c>
      <c r="BC10" s="11">
        <f t="shared" si="45"/>
        <v>0</v>
      </c>
      <c r="BD10" s="11">
        <f t="shared" si="45"/>
        <v>0</v>
      </c>
      <c r="BE10" s="11">
        <f t="shared" si="45"/>
        <v>0</v>
      </c>
      <c r="BF10" s="11">
        <f t="shared" si="45"/>
        <v>0</v>
      </c>
      <c r="BG10" s="11">
        <f t="shared" si="45"/>
        <v>0</v>
      </c>
      <c r="BH10" s="11">
        <f t="shared" si="45"/>
        <v>0</v>
      </c>
      <c r="BI10" s="13">
        <f t="shared" si="45"/>
        <v>0</v>
      </c>
      <c r="BJ10" s="13">
        <f t="shared" si="45"/>
        <v>0</v>
      </c>
      <c r="BK10" s="11">
        <f t="shared" si="45"/>
        <v>0</v>
      </c>
      <c r="BL10" s="12">
        <f t="shared" si="45"/>
        <v>0</v>
      </c>
      <c r="BM10" s="12">
        <f t="shared" si="45"/>
        <v>0</v>
      </c>
      <c r="BN10" s="13">
        <f t="shared" si="45"/>
        <v>0</v>
      </c>
      <c r="BO10" s="13">
        <f t="shared" si="45"/>
        <v>0</v>
      </c>
      <c r="BP10" s="15">
        <f t="shared" si="45"/>
        <v>0</v>
      </c>
      <c r="BQ10" s="15">
        <f t="shared" si="45"/>
        <v>0</v>
      </c>
      <c r="BR10" s="14">
        <f t="shared" si="45"/>
        <v>0</v>
      </c>
      <c r="BS10" s="14">
        <f t="shared" si="45"/>
        <v>0</v>
      </c>
      <c r="BT10" s="14">
        <f t="shared" si="45"/>
        <v>0</v>
      </c>
      <c r="BU10" s="14">
        <f t="shared" si="45"/>
        <v>0</v>
      </c>
      <c r="BV10" s="11">
        <f t="shared" si="45"/>
        <v>0</v>
      </c>
      <c r="BW10" s="11">
        <f t="shared" si="45"/>
        <v>0</v>
      </c>
      <c r="BX10" s="11">
        <f t="shared" si="45"/>
        <v>0</v>
      </c>
      <c r="BY10" s="11">
        <f t="shared" si="45"/>
        <v>0</v>
      </c>
      <c r="BZ10" s="7">
        <f t="shared" si="45"/>
        <v>0</v>
      </c>
      <c r="CA10" s="7">
        <f t="shared" si="45"/>
        <v>0</v>
      </c>
      <c r="CB10" s="7">
        <f t="shared" ref="CB10:CP10" si="46">IFERROR(VALUE(CB315),"-")</f>
        <v>0</v>
      </c>
      <c r="CC10" s="7">
        <f t="shared" si="46"/>
        <v>0</v>
      </c>
      <c r="CD10" s="7">
        <f t="shared" si="46"/>
        <v>0</v>
      </c>
      <c r="CE10" s="3">
        <f t="shared" si="46"/>
        <v>0</v>
      </c>
      <c r="CF10" s="7">
        <f t="shared" si="46"/>
        <v>0</v>
      </c>
      <c r="CG10" s="3">
        <f t="shared" si="46"/>
        <v>0</v>
      </c>
      <c r="CH10" s="7">
        <f t="shared" si="46"/>
        <v>0</v>
      </c>
      <c r="CI10" s="7">
        <f t="shared" si="46"/>
        <v>0</v>
      </c>
      <c r="CJ10" s="3">
        <f t="shared" si="46"/>
        <v>0</v>
      </c>
      <c r="CK10" s="7">
        <f t="shared" si="46"/>
        <v>0</v>
      </c>
      <c r="CL10" s="3">
        <f t="shared" si="46"/>
        <v>0</v>
      </c>
      <c r="CM10" s="7">
        <f t="shared" si="46"/>
        <v>0</v>
      </c>
      <c r="CN10" s="10">
        <f t="shared" si="46"/>
        <v>44783.636701388888</v>
      </c>
      <c r="CO10" s="10">
        <f t="shared" si="46"/>
        <v>44783.636701388888</v>
      </c>
      <c r="CP10" s="7">
        <f t="shared" si="46"/>
        <v>38295.69921875</v>
      </c>
      <c r="CQ10" s="7" t="str">
        <f t="shared" ref="CQ10" si="47">IFERROR(CQ315,"-")</f>
        <v>FairPrice</v>
      </c>
      <c r="CR10" s="10">
        <f t="shared" si="4"/>
        <v>44783.638194444444</v>
      </c>
      <c r="CS10" s="7">
        <f t="shared" si="4"/>
        <v>0</v>
      </c>
      <c r="CT10" s="7">
        <f t="shared" si="4"/>
        <v>0</v>
      </c>
      <c r="CU10" s="7">
        <f t="shared" si="4"/>
        <v>0</v>
      </c>
      <c r="CV10" s="7">
        <f t="shared" si="4"/>
        <v>0</v>
      </c>
      <c r="CW10" s="7">
        <f t="shared" si="4"/>
        <v>0</v>
      </c>
      <c r="CX10" s="7">
        <f t="shared" si="4"/>
        <v>0</v>
      </c>
      <c r="CY10" s="7">
        <f t="shared" si="4"/>
        <v>0</v>
      </c>
      <c r="CZ10" s="7">
        <f t="shared" si="4"/>
        <v>0</v>
      </c>
      <c r="DA10" s="7">
        <f t="shared" si="4"/>
        <v>0</v>
      </c>
      <c r="DB10" s="7">
        <f t="shared" si="4"/>
        <v>0</v>
      </c>
      <c r="DC10" s="7">
        <f t="shared" si="4"/>
        <v>0</v>
      </c>
      <c r="DD10" s="7">
        <f t="shared" si="4"/>
        <v>0</v>
      </c>
      <c r="DE10" s="7">
        <f t="shared" si="4"/>
        <v>0</v>
      </c>
      <c r="DF10" s="7">
        <f t="shared" si="4"/>
        <v>0</v>
      </c>
      <c r="DG10" s="7">
        <f t="shared" si="4"/>
        <v>38295.69921875</v>
      </c>
      <c r="DH10" s="7" t="str">
        <f t="shared" ref="DH10:DJ10" si="48">IFERROR(DH315,"-")</f>
        <v>W</v>
      </c>
      <c r="DI10" s="7" t="str">
        <f t="shared" si="48"/>
        <v>W</v>
      </c>
      <c r="DJ10" s="7" t="str">
        <f t="shared" si="48"/>
        <v>G</v>
      </c>
      <c r="DK10" s="64">
        <f t="shared" ref="DK10:DS10" si="49">IFERROR(VALUE(DK315),"-")</f>
        <v>38300</v>
      </c>
      <c r="DL10" s="64">
        <f t="shared" si="49"/>
        <v>3400000</v>
      </c>
      <c r="DM10" s="64">
        <f t="shared" si="49"/>
        <v>38500</v>
      </c>
      <c r="DN10" s="64">
        <f t="shared" si="49"/>
        <v>0</v>
      </c>
      <c r="DO10" s="64">
        <f t="shared" si="49"/>
        <v>24500</v>
      </c>
      <c r="DP10" s="64">
        <f t="shared" si="49"/>
        <v>2863350</v>
      </c>
      <c r="DQ10" s="64">
        <f t="shared" si="49"/>
        <v>38000</v>
      </c>
      <c r="DR10" s="64">
        <f t="shared" si="49"/>
        <v>0</v>
      </c>
      <c r="DS10" s="64">
        <f t="shared" si="49"/>
        <v>24500</v>
      </c>
      <c r="DT10" t="str">
        <f t="shared" si="7"/>
        <v>BANKNIFTY</v>
      </c>
      <c r="DU10" s="10">
        <f t="shared" si="8"/>
        <v>44784</v>
      </c>
    </row>
    <row r="11" spans="1:125" x14ac:dyDescent="0.25">
      <c r="A11" t="s">
        <v>9</v>
      </c>
      <c r="B11" s="2">
        <v>44798</v>
      </c>
      <c r="C11" s="1">
        <v>5400</v>
      </c>
      <c r="D11">
        <v>44</v>
      </c>
      <c r="G11" t="str">
        <f t="array" ref="G11">IFERROR(INDEX($A$2:$A$700,MATCH(0,COUNTIF($G$1:G10,$A$2:$A$700),0)),"")</f>
        <v>AMARAJABAT</v>
      </c>
      <c r="H11" s="2">
        <f t="array" ref="H11">IFERROR(INDEX($B$1:$B$701,SMALL(IF(OptionChain!$AU$1=$A$1:$A$701,ROW($A$1:$A$701),""),ROW()-ROW($H$1))),"")</f>
        <v>45106</v>
      </c>
      <c r="I11" s="2">
        <f t="array" ref="I11">IFERROR(INDEX($B$1:$B$701,SMALL(IF($J$2=$A$1:$A$701,ROW($A$1:$A$701),""),ROW()-ROW($I$1))),"")</f>
        <v>45106</v>
      </c>
      <c r="J11" s="3"/>
      <c r="K11" s="5"/>
      <c r="O11" s="3">
        <f t="shared" si="9"/>
        <v>29000</v>
      </c>
      <c r="P11" s="7">
        <f t="shared" ref="P11:CA11" si="50">IFERROR(VALUE(P316),"-")</f>
        <v>0</v>
      </c>
      <c r="Q11" s="7">
        <f t="shared" si="50"/>
        <v>0</v>
      </c>
      <c r="R11" s="7">
        <f t="shared" si="50"/>
        <v>0</v>
      </c>
      <c r="S11" s="7">
        <f t="shared" si="50"/>
        <v>0</v>
      </c>
      <c r="T11" s="11">
        <f t="shared" si="50"/>
        <v>0</v>
      </c>
      <c r="U11" s="11">
        <f t="shared" si="50"/>
        <v>0</v>
      </c>
      <c r="V11" s="11">
        <f t="shared" si="50"/>
        <v>0</v>
      </c>
      <c r="W11" s="11">
        <f t="shared" si="50"/>
        <v>0</v>
      </c>
      <c r="X11" s="14">
        <f t="shared" si="50"/>
        <v>0</v>
      </c>
      <c r="Y11" s="14">
        <f t="shared" si="50"/>
        <v>0</v>
      </c>
      <c r="Z11" s="14">
        <f t="shared" si="50"/>
        <v>0</v>
      </c>
      <c r="AA11" s="14">
        <f t="shared" si="50"/>
        <v>0</v>
      </c>
      <c r="AB11" s="15">
        <f t="shared" si="50"/>
        <v>0</v>
      </c>
      <c r="AC11" s="15">
        <f t="shared" si="50"/>
        <v>0</v>
      </c>
      <c r="AD11" s="13">
        <f t="shared" si="50"/>
        <v>0</v>
      </c>
      <c r="AE11" s="13">
        <f t="shared" si="50"/>
        <v>0</v>
      </c>
      <c r="AF11" s="12">
        <f t="shared" si="50"/>
        <v>0</v>
      </c>
      <c r="AG11" s="12">
        <f t="shared" si="50"/>
        <v>0</v>
      </c>
      <c r="AH11" s="13">
        <f t="shared" si="50"/>
        <v>0</v>
      </c>
      <c r="AI11" s="13">
        <f t="shared" si="50"/>
        <v>0</v>
      </c>
      <c r="AJ11" s="11">
        <f t="shared" si="50"/>
        <v>0</v>
      </c>
      <c r="AK11" s="11">
        <f t="shared" si="50"/>
        <v>0</v>
      </c>
      <c r="AL11" s="11">
        <f t="shared" si="50"/>
        <v>0</v>
      </c>
      <c r="AM11" s="11">
        <f t="shared" si="50"/>
        <v>0</v>
      </c>
      <c r="AN11" s="11">
        <f t="shared" si="50"/>
        <v>0</v>
      </c>
      <c r="AO11" s="11">
        <f t="shared" si="50"/>
        <v>0</v>
      </c>
      <c r="AP11" s="11">
        <f t="shared" si="50"/>
        <v>0</v>
      </c>
      <c r="AQ11" s="11">
        <f t="shared" si="50"/>
        <v>0</v>
      </c>
      <c r="AR11" s="16">
        <f t="shared" si="50"/>
        <v>0</v>
      </c>
      <c r="AS11" s="16">
        <f t="shared" si="50"/>
        <v>0</v>
      </c>
      <c r="AT11" s="16">
        <f t="shared" si="50"/>
        <v>0</v>
      </c>
      <c r="AU11" s="7">
        <f t="shared" si="50"/>
        <v>0</v>
      </c>
      <c r="AV11" s="7">
        <f t="shared" si="50"/>
        <v>0</v>
      </c>
      <c r="AW11" s="7">
        <f t="shared" si="50"/>
        <v>0</v>
      </c>
      <c r="AX11" s="7">
        <f t="shared" si="50"/>
        <v>0</v>
      </c>
      <c r="AY11" s="11">
        <f t="shared" si="50"/>
        <v>0</v>
      </c>
      <c r="AZ11" s="16">
        <f t="shared" si="50"/>
        <v>0</v>
      </c>
      <c r="BA11" s="16">
        <f t="shared" si="50"/>
        <v>0</v>
      </c>
      <c r="BB11" s="16">
        <f t="shared" si="50"/>
        <v>0</v>
      </c>
      <c r="BC11" s="11">
        <f t="shared" si="50"/>
        <v>0</v>
      </c>
      <c r="BD11" s="11">
        <f t="shared" si="50"/>
        <v>0</v>
      </c>
      <c r="BE11" s="11">
        <f t="shared" si="50"/>
        <v>0</v>
      </c>
      <c r="BF11" s="11">
        <f t="shared" si="50"/>
        <v>0</v>
      </c>
      <c r="BG11" s="11">
        <f t="shared" si="50"/>
        <v>0</v>
      </c>
      <c r="BH11" s="11">
        <f t="shared" si="50"/>
        <v>0</v>
      </c>
      <c r="BI11" s="13">
        <f t="shared" si="50"/>
        <v>0</v>
      </c>
      <c r="BJ11" s="13">
        <f t="shared" si="50"/>
        <v>0</v>
      </c>
      <c r="BK11" s="11">
        <f t="shared" si="50"/>
        <v>0</v>
      </c>
      <c r="BL11" s="12">
        <f t="shared" si="50"/>
        <v>0</v>
      </c>
      <c r="BM11" s="12">
        <f t="shared" si="50"/>
        <v>0</v>
      </c>
      <c r="BN11" s="13">
        <f t="shared" si="50"/>
        <v>0</v>
      </c>
      <c r="BO11" s="13">
        <f t="shared" si="50"/>
        <v>0</v>
      </c>
      <c r="BP11" s="15">
        <f t="shared" si="50"/>
        <v>0</v>
      </c>
      <c r="BQ11" s="15">
        <f t="shared" si="50"/>
        <v>0</v>
      </c>
      <c r="BR11" s="14">
        <f t="shared" si="50"/>
        <v>0</v>
      </c>
      <c r="BS11" s="14">
        <f t="shared" si="50"/>
        <v>0</v>
      </c>
      <c r="BT11" s="14">
        <f t="shared" si="50"/>
        <v>0</v>
      </c>
      <c r="BU11" s="14">
        <f t="shared" si="50"/>
        <v>0</v>
      </c>
      <c r="BV11" s="11">
        <f t="shared" si="50"/>
        <v>0</v>
      </c>
      <c r="BW11" s="11">
        <f t="shared" si="50"/>
        <v>0</v>
      </c>
      <c r="BX11" s="11">
        <f t="shared" si="50"/>
        <v>0</v>
      </c>
      <c r="BY11" s="11">
        <f t="shared" si="50"/>
        <v>0</v>
      </c>
      <c r="BZ11" s="7">
        <f t="shared" si="50"/>
        <v>0</v>
      </c>
      <c r="CA11" s="7">
        <f t="shared" si="50"/>
        <v>0</v>
      </c>
      <c r="CB11" s="7">
        <f t="shared" ref="CB11:CP11" si="51">IFERROR(VALUE(CB316),"-")</f>
        <v>0</v>
      </c>
      <c r="CC11" s="7">
        <f t="shared" si="51"/>
        <v>0</v>
      </c>
      <c r="CD11" s="7">
        <f t="shared" si="51"/>
        <v>0</v>
      </c>
      <c r="CE11" s="3">
        <f t="shared" si="51"/>
        <v>0</v>
      </c>
      <c r="CF11" s="7">
        <f t="shared" si="51"/>
        <v>0</v>
      </c>
      <c r="CG11" s="3">
        <f t="shared" si="51"/>
        <v>0</v>
      </c>
      <c r="CH11" s="7">
        <f t="shared" si="51"/>
        <v>0</v>
      </c>
      <c r="CI11" s="7">
        <f t="shared" si="51"/>
        <v>0</v>
      </c>
      <c r="CJ11" s="3">
        <f t="shared" si="51"/>
        <v>0</v>
      </c>
      <c r="CK11" s="7">
        <f t="shared" si="51"/>
        <v>0</v>
      </c>
      <c r="CL11" s="3">
        <f t="shared" si="51"/>
        <v>0</v>
      </c>
      <c r="CM11" s="7">
        <f t="shared" si="51"/>
        <v>0</v>
      </c>
      <c r="CN11" s="10">
        <f t="shared" si="51"/>
        <v>44783.636701388888</v>
      </c>
      <c r="CO11" s="10">
        <f t="shared" si="51"/>
        <v>44783.636701388888</v>
      </c>
      <c r="CP11" s="7">
        <f t="shared" si="51"/>
        <v>38295.69921875</v>
      </c>
      <c r="CQ11" s="7" t="str">
        <f t="shared" ref="CQ11" si="52">IFERROR(CQ316,"-")</f>
        <v>FairPrice</v>
      </c>
      <c r="CR11" s="10">
        <f t="shared" si="4"/>
        <v>44783.638194444444</v>
      </c>
      <c r="CS11" s="7">
        <f t="shared" si="4"/>
        <v>0</v>
      </c>
      <c r="CT11" s="7">
        <f t="shared" si="4"/>
        <v>0</v>
      </c>
      <c r="CU11" s="7">
        <f t="shared" si="4"/>
        <v>0</v>
      </c>
      <c r="CV11" s="7">
        <f t="shared" si="4"/>
        <v>0</v>
      </c>
      <c r="CW11" s="7">
        <f t="shared" si="4"/>
        <v>0</v>
      </c>
      <c r="CX11" s="7">
        <f t="shared" si="4"/>
        <v>0</v>
      </c>
      <c r="CY11" s="7">
        <f t="shared" si="4"/>
        <v>0</v>
      </c>
      <c r="CZ11" s="7">
        <f t="shared" si="4"/>
        <v>0</v>
      </c>
      <c r="DA11" s="7">
        <f t="shared" si="4"/>
        <v>0</v>
      </c>
      <c r="DB11" s="7">
        <f t="shared" si="4"/>
        <v>0</v>
      </c>
      <c r="DC11" s="7">
        <f t="shared" si="4"/>
        <v>0</v>
      </c>
      <c r="DD11" s="7">
        <f t="shared" si="4"/>
        <v>0</v>
      </c>
      <c r="DE11" s="7">
        <f t="shared" si="4"/>
        <v>0</v>
      </c>
      <c r="DF11" s="7">
        <f t="shared" si="4"/>
        <v>0</v>
      </c>
      <c r="DG11" s="7">
        <f t="shared" si="4"/>
        <v>38295.69921875</v>
      </c>
      <c r="DH11" s="7" t="str">
        <f t="shared" ref="DH11:DJ11" si="53">IFERROR(DH316,"-")</f>
        <v>W</v>
      </c>
      <c r="DI11" s="7" t="str">
        <f t="shared" si="53"/>
        <v>W</v>
      </c>
      <c r="DJ11" s="7" t="str">
        <f t="shared" si="53"/>
        <v>G</v>
      </c>
      <c r="DK11" s="64">
        <f t="shared" ref="DK11:DS11" si="54">IFERROR(VALUE(DK316),"-")</f>
        <v>38300</v>
      </c>
      <c r="DL11" s="64">
        <f t="shared" si="54"/>
        <v>3400000</v>
      </c>
      <c r="DM11" s="64">
        <f t="shared" si="54"/>
        <v>38500</v>
      </c>
      <c r="DN11" s="64">
        <f t="shared" si="54"/>
        <v>0</v>
      </c>
      <c r="DO11" s="64">
        <f t="shared" si="54"/>
        <v>24500</v>
      </c>
      <c r="DP11" s="64">
        <f t="shared" si="54"/>
        <v>2863350</v>
      </c>
      <c r="DQ11" s="64">
        <f t="shared" si="54"/>
        <v>38000</v>
      </c>
      <c r="DR11" s="64">
        <f t="shared" si="54"/>
        <v>0</v>
      </c>
      <c r="DS11" s="64">
        <f t="shared" si="54"/>
        <v>24500</v>
      </c>
      <c r="DT11" t="str">
        <f t="shared" si="7"/>
        <v>BANKNIFTY</v>
      </c>
      <c r="DU11" s="10">
        <f t="shared" si="8"/>
        <v>44784</v>
      </c>
    </row>
    <row r="12" spans="1:125" x14ac:dyDescent="0.25">
      <c r="A12" t="s">
        <v>9</v>
      </c>
      <c r="B12" s="2">
        <v>44833</v>
      </c>
      <c r="C12" s="1">
        <v>5400</v>
      </c>
      <c r="D12">
        <v>44</v>
      </c>
      <c r="G12" t="str">
        <f t="array" ref="G12">IFERROR(INDEX($A$2:$A$700,MATCH(0,COUNTIF($G$1:G11,$A$2:$A$700),0)),"")</f>
        <v>AMBUJACEM</v>
      </c>
      <c r="H12" s="2" t="str">
        <f t="array" ref="H12">IFERROR(INDEX($B$1:$B$701,SMALL(IF(OptionChain!$AU$1=$A$1:$A$701,ROW($A$1:$A$701),""),ROW()-ROW($H$1))),"")</f>
        <v/>
      </c>
      <c r="I12" s="2" t="str">
        <f t="array" ref="I12">IFERROR(INDEX($B$1:$B$701,SMALL(IF($J$2=$A$1:$A$701,ROW($A$1:$A$701),""),ROW()-ROW($I$1))),"")</f>
        <v/>
      </c>
      <c r="K12" s="3"/>
      <c r="O12" s="3">
        <f t="shared" si="9"/>
        <v>29500</v>
      </c>
      <c r="P12" s="7">
        <f t="shared" ref="P12:CA12" si="55">IFERROR(VALUE(P317),"-")</f>
        <v>1.3999999761581421</v>
      </c>
      <c r="Q12" s="7">
        <f t="shared" si="55"/>
        <v>1.1000000238418579</v>
      </c>
      <c r="R12" s="7">
        <f t="shared" si="55"/>
        <v>2.2000000476837158</v>
      </c>
      <c r="S12" s="7">
        <f t="shared" si="55"/>
        <v>1.1000000238418579</v>
      </c>
      <c r="T12" s="11">
        <f t="shared" si="55"/>
        <v>9.4375</v>
      </c>
      <c r="U12" s="11">
        <f t="shared" si="55"/>
        <v>327875.0625</v>
      </c>
      <c r="V12" s="11">
        <f t="shared" si="55"/>
        <v>-14.625</v>
      </c>
      <c r="W12" s="11">
        <f t="shared" si="55"/>
        <v>361468.1875</v>
      </c>
      <c r="X12" s="14">
        <f t="shared" si="55"/>
        <v>1.7007550923153758E-10</v>
      </c>
      <c r="Y12" s="14">
        <f t="shared" si="55"/>
        <v>5.0675294005486649E-6</v>
      </c>
      <c r="Z12" s="14">
        <f t="shared" si="55"/>
        <v>-2.2328094928525388E-10</v>
      </c>
      <c r="AA12" s="14">
        <f t="shared" si="55"/>
        <v>6.2327499108505435E-6</v>
      </c>
      <c r="AB12" s="15">
        <f t="shared" si="55"/>
        <v>1.9650947535865271E-14</v>
      </c>
      <c r="AC12" s="15">
        <f t="shared" si="55"/>
        <v>-1.23265486706714E-9</v>
      </c>
      <c r="AD12" s="13">
        <f t="shared" si="55"/>
        <v>2.35748291015625E-3</v>
      </c>
      <c r="AE12" s="13">
        <f t="shared" si="55"/>
        <v>48.434982299804688</v>
      </c>
      <c r="AF12" s="12">
        <f t="shared" si="55"/>
        <v>1.232147216796875E-3</v>
      </c>
      <c r="AG12" s="12">
        <f t="shared" si="55"/>
        <v>-59.572052001953125</v>
      </c>
      <c r="AH12" s="13">
        <f t="shared" si="55"/>
        <v>-1.4779288903810084E-11</v>
      </c>
      <c r="AI12" s="13">
        <f t="shared" si="55"/>
        <v>1.3624174926007981E-6</v>
      </c>
      <c r="AJ12" s="11">
        <f t="shared" si="55"/>
        <v>-2.384185791015625E-6</v>
      </c>
      <c r="AK12" s="11">
        <f t="shared" si="55"/>
        <v>9.4086058437824249E-2</v>
      </c>
      <c r="AL12" s="11">
        <f t="shared" si="55"/>
        <v>0</v>
      </c>
      <c r="AM12" s="11">
        <f t="shared" si="55"/>
        <v>-1.3999999761581421</v>
      </c>
      <c r="AN12" s="11">
        <f t="shared" si="55"/>
        <v>7.7998265624046326E-9</v>
      </c>
      <c r="AO12" s="11">
        <f t="shared" si="55"/>
        <v>-1.4158445410430431E-3</v>
      </c>
      <c r="AP12" s="11">
        <f t="shared" si="55"/>
        <v>167.1772837638855</v>
      </c>
      <c r="AQ12" s="11">
        <f t="shared" si="55"/>
        <v>1856525</v>
      </c>
      <c r="AR12" s="16">
        <f t="shared" si="55"/>
        <v>301900</v>
      </c>
      <c r="AS12" s="16">
        <f t="shared" si="55"/>
        <v>939450</v>
      </c>
      <c r="AT12" s="16">
        <f t="shared" si="55"/>
        <v>167.1772837638855</v>
      </c>
      <c r="AU12" s="7">
        <f t="shared" si="55"/>
        <v>0</v>
      </c>
      <c r="AV12" s="7">
        <f t="shared" si="55"/>
        <v>1.3999999761581421</v>
      </c>
      <c r="AW12" s="7">
        <f t="shared" si="55"/>
        <v>0</v>
      </c>
      <c r="AX12" s="7">
        <f t="shared" si="55"/>
        <v>-5604.3</v>
      </c>
      <c r="AY12" s="11">
        <f t="shared" si="55"/>
        <v>0</v>
      </c>
      <c r="AZ12" s="16">
        <f t="shared" si="55"/>
        <v>0</v>
      </c>
      <c r="BA12" s="16">
        <f t="shared" si="55"/>
        <v>0</v>
      </c>
      <c r="BB12" s="16">
        <f t="shared" si="55"/>
        <v>0</v>
      </c>
      <c r="BC12" s="11">
        <f t="shared" si="55"/>
        <v>0</v>
      </c>
      <c r="BD12" s="11">
        <f t="shared" si="55"/>
        <v>0</v>
      </c>
      <c r="BE12" s="11">
        <f t="shared" si="55"/>
        <v>0</v>
      </c>
      <c r="BF12" s="11">
        <f t="shared" si="55"/>
        <v>0</v>
      </c>
      <c r="BG12" s="11">
        <f t="shared" si="55"/>
        <v>0</v>
      </c>
      <c r="BH12" s="11">
        <f t="shared" si="55"/>
        <v>0</v>
      </c>
      <c r="BI12" s="13">
        <f t="shared" si="55"/>
        <v>0</v>
      </c>
      <c r="BJ12" s="13">
        <f t="shared" si="55"/>
        <v>0</v>
      </c>
      <c r="BK12" s="11">
        <f t="shared" si="55"/>
        <v>0</v>
      </c>
      <c r="BL12" s="12">
        <f t="shared" si="55"/>
        <v>0</v>
      </c>
      <c r="BM12" s="12">
        <f t="shared" si="55"/>
        <v>0</v>
      </c>
      <c r="BN12" s="13">
        <f t="shared" si="55"/>
        <v>0</v>
      </c>
      <c r="BO12" s="13">
        <f t="shared" si="55"/>
        <v>0</v>
      </c>
      <c r="BP12" s="15">
        <f t="shared" si="55"/>
        <v>0</v>
      </c>
      <c r="BQ12" s="15">
        <f t="shared" si="55"/>
        <v>0</v>
      </c>
      <c r="BR12" s="14">
        <f t="shared" si="55"/>
        <v>0</v>
      </c>
      <c r="BS12" s="14">
        <f t="shared" si="55"/>
        <v>0</v>
      </c>
      <c r="BT12" s="14">
        <f t="shared" si="55"/>
        <v>0</v>
      </c>
      <c r="BU12" s="14">
        <f t="shared" si="55"/>
        <v>0</v>
      </c>
      <c r="BV12" s="11">
        <f t="shared" si="55"/>
        <v>0</v>
      </c>
      <c r="BW12" s="11">
        <f t="shared" si="55"/>
        <v>0</v>
      </c>
      <c r="BX12" s="11">
        <f t="shared" si="55"/>
        <v>0</v>
      </c>
      <c r="BY12" s="11">
        <f t="shared" si="55"/>
        <v>0</v>
      </c>
      <c r="BZ12" s="7">
        <f t="shared" si="55"/>
        <v>0</v>
      </c>
      <c r="CA12" s="7">
        <f t="shared" si="55"/>
        <v>0</v>
      </c>
      <c r="CB12" s="7">
        <f t="shared" ref="CB12:CP12" si="56">IFERROR(VALUE(CB317),"-")</f>
        <v>0</v>
      </c>
      <c r="CC12" s="7">
        <f t="shared" si="56"/>
        <v>0</v>
      </c>
      <c r="CD12" s="7">
        <f t="shared" si="56"/>
        <v>0</v>
      </c>
      <c r="CE12" s="3">
        <f t="shared" si="56"/>
        <v>0</v>
      </c>
      <c r="CF12" s="7">
        <f t="shared" si="56"/>
        <v>0</v>
      </c>
      <c r="CG12" s="3">
        <f t="shared" si="56"/>
        <v>0</v>
      </c>
      <c r="CH12" s="7">
        <f t="shared" si="56"/>
        <v>0</v>
      </c>
      <c r="CI12" s="7">
        <f t="shared" si="56"/>
        <v>1.4500000476837158</v>
      </c>
      <c r="CJ12" s="3">
        <f t="shared" si="56"/>
        <v>7225</v>
      </c>
      <c r="CK12" s="7">
        <f t="shared" si="56"/>
        <v>1.3999999761581421</v>
      </c>
      <c r="CL12" s="3">
        <f t="shared" si="56"/>
        <v>400</v>
      </c>
      <c r="CM12" s="7">
        <f t="shared" si="56"/>
        <v>1.809999942779541</v>
      </c>
      <c r="CN12" s="10">
        <f t="shared" si="56"/>
        <v>44783.636701388888</v>
      </c>
      <c r="CO12" s="10">
        <f t="shared" si="56"/>
        <v>44783.638194444444</v>
      </c>
      <c r="CP12" s="7">
        <f t="shared" si="56"/>
        <v>38295.69921875</v>
      </c>
      <c r="CQ12" s="7" t="str">
        <f t="shared" ref="CQ12" si="57">IFERROR(CQ317,"-")</f>
        <v>FairPrice</v>
      </c>
      <c r="CR12" s="10">
        <f t="shared" si="4"/>
        <v>44783.638194444444</v>
      </c>
      <c r="CS12" s="7">
        <f t="shared" si="4"/>
        <v>4.3749809265136719E-3</v>
      </c>
      <c r="CT12" s="7">
        <f t="shared" si="4"/>
        <v>2.6170394224543409E-5</v>
      </c>
      <c r="CU12" s="7">
        <f t="shared" si="4"/>
        <v>637550</v>
      </c>
      <c r="CV12" s="7">
        <f t="shared" si="4"/>
        <v>0.47353148772645282</v>
      </c>
      <c r="CW12" s="7">
        <f t="shared" si="4"/>
        <v>1.3999999761581421</v>
      </c>
      <c r="CX12" s="7">
        <f t="shared" si="4"/>
        <v>0</v>
      </c>
      <c r="CY12" s="7">
        <f t="shared" si="4"/>
        <v>5604.3</v>
      </c>
      <c r="CZ12" s="7">
        <f t="shared" si="4"/>
        <v>-1</v>
      </c>
      <c r="DA12" s="7">
        <f t="shared" si="4"/>
        <v>0</v>
      </c>
      <c r="DB12" s="7">
        <f t="shared" si="4"/>
        <v>0</v>
      </c>
      <c r="DC12" s="7">
        <f t="shared" si="4"/>
        <v>0</v>
      </c>
      <c r="DD12" s="7">
        <f t="shared" si="4"/>
        <v>0</v>
      </c>
      <c r="DE12" s="7">
        <f t="shared" si="4"/>
        <v>5604.3</v>
      </c>
      <c r="DF12" s="7">
        <f t="shared" si="4"/>
        <v>1.3999999761581421</v>
      </c>
      <c r="DG12" s="7">
        <f t="shared" si="4"/>
        <v>38295.69921875</v>
      </c>
      <c r="DH12" s="7" t="str">
        <f t="shared" ref="DH12:DJ12" si="58">IFERROR(DH317,"-")</f>
        <v>R</v>
      </c>
      <c r="DI12" s="7" t="str">
        <f t="shared" si="58"/>
        <v>W</v>
      </c>
      <c r="DJ12" s="7" t="str">
        <f t="shared" si="58"/>
        <v>G</v>
      </c>
      <c r="DK12" s="64">
        <f t="shared" ref="DK12:DS12" si="59">IFERROR(VALUE(DK317),"-")</f>
        <v>38300</v>
      </c>
      <c r="DL12" s="64">
        <f t="shared" si="59"/>
        <v>3400000</v>
      </c>
      <c r="DM12" s="64">
        <f t="shared" si="59"/>
        <v>38500</v>
      </c>
      <c r="DN12" s="64">
        <f t="shared" si="59"/>
        <v>0</v>
      </c>
      <c r="DO12" s="64">
        <f t="shared" si="59"/>
        <v>24500</v>
      </c>
      <c r="DP12" s="64">
        <f t="shared" si="59"/>
        <v>2863350</v>
      </c>
      <c r="DQ12" s="64">
        <f t="shared" si="59"/>
        <v>38000</v>
      </c>
      <c r="DR12" s="64">
        <f t="shared" si="59"/>
        <v>0</v>
      </c>
      <c r="DS12" s="64">
        <f t="shared" si="59"/>
        <v>24500</v>
      </c>
      <c r="DT12" t="str">
        <f t="shared" si="7"/>
        <v>BANKNIFTY</v>
      </c>
      <c r="DU12" s="10">
        <f t="shared" si="8"/>
        <v>44784</v>
      </c>
    </row>
    <row r="13" spans="1:125" x14ac:dyDescent="0.25">
      <c r="A13" t="s">
        <v>9</v>
      </c>
      <c r="B13" s="2">
        <v>44861</v>
      </c>
      <c r="C13" s="1">
        <v>5400</v>
      </c>
      <c r="D13">
        <v>44</v>
      </c>
      <c r="G13" t="str">
        <f t="array" ref="G13">IFERROR(INDEX($A$2:$A$700,MATCH(0,COUNTIF($G$1:G12,$A$2:$A$700),0)),"")</f>
        <v>APOLLOHOSP</v>
      </c>
      <c r="H13" s="2" t="str">
        <f t="array" ref="H13">IFERROR(INDEX($B$1:$B$701,SMALL(IF(OptionChain!$AU$1=$A$1:$A$701,ROW($A$1:$A$701),""),ROW()-ROW($H$1))),"")</f>
        <v/>
      </c>
      <c r="I13" s="2" t="str">
        <f t="array" ref="I13">IFERROR(INDEX($B$1:$B$701,SMALL(IF($J$2=$A$1:$A$701,ROW($A$1:$A$701),""),ROW()-ROW($I$1))),"")</f>
        <v/>
      </c>
      <c r="J13" s="3"/>
      <c r="K13" s="6"/>
      <c r="O13" s="3">
        <f t="shared" si="9"/>
        <v>30000</v>
      </c>
      <c r="P13" s="7">
        <f t="shared" ref="P13:CA13" si="60">IFERROR(VALUE(P318),"-")</f>
        <v>1.5</v>
      </c>
      <c r="Q13" s="7">
        <f t="shared" si="60"/>
        <v>1.3999999761581421</v>
      </c>
      <c r="R13" s="7">
        <f t="shared" si="60"/>
        <v>2.2999999523162842</v>
      </c>
      <c r="S13" s="7">
        <f t="shared" si="60"/>
        <v>1.9500000476837158</v>
      </c>
      <c r="T13" s="11">
        <f t="shared" si="60"/>
        <v>8.40625</v>
      </c>
      <c r="U13" s="11">
        <f t="shared" si="60"/>
        <v>288910.875</v>
      </c>
      <c r="V13" s="11">
        <f t="shared" si="60"/>
        <v>-13.5625</v>
      </c>
      <c r="W13" s="11">
        <f t="shared" si="60"/>
        <v>335773.25</v>
      </c>
      <c r="X13" s="14">
        <f t="shared" si="60"/>
        <v>1.9235812942497432E-10</v>
      </c>
      <c r="Y13" s="14">
        <f t="shared" si="60"/>
        <v>5.8025138969242107E-6</v>
      </c>
      <c r="Z13" s="14">
        <f t="shared" si="60"/>
        <v>-2.7557689463719726E-10</v>
      </c>
      <c r="AA13" s="14">
        <f t="shared" si="60"/>
        <v>7.5414895945868921E-6</v>
      </c>
      <c r="AB13" s="15">
        <f t="shared" si="60"/>
        <v>2.5313084961453569E-14</v>
      </c>
      <c r="AC13" s="15">
        <f t="shared" si="60"/>
        <v>-1.5103333028676502E-9</v>
      </c>
      <c r="AD13" s="13">
        <f t="shared" si="60"/>
        <v>2.109527587890625E-3</v>
      </c>
      <c r="AE13" s="13">
        <f t="shared" si="60"/>
        <v>43.093318939208984</v>
      </c>
      <c r="AF13" s="12">
        <f t="shared" si="60"/>
        <v>1.15966796875E-3</v>
      </c>
      <c r="AG13" s="12">
        <f t="shared" si="60"/>
        <v>-56.008106231689453</v>
      </c>
      <c r="AH13" s="13">
        <f t="shared" si="60"/>
        <v>-1.8189894035458565E-11</v>
      </c>
      <c r="AI13" s="13">
        <f t="shared" si="60"/>
        <v>1.6008314105420141E-6</v>
      </c>
      <c r="AJ13" s="11">
        <f t="shared" si="60"/>
        <v>-2.6747584342956543E-6</v>
      </c>
      <c r="AK13" s="11">
        <f t="shared" si="60"/>
        <v>0.10461720824241638</v>
      </c>
      <c r="AL13" s="11">
        <f t="shared" si="60"/>
        <v>0</v>
      </c>
      <c r="AM13" s="11">
        <f t="shared" si="60"/>
        <v>-1.5</v>
      </c>
      <c r="AN13" s="11">
        <f t="shared" si="60"/>
        <v>9.1968104243278503E-9</v>
      </c>
      <c r="AO13" s="11">
        <f t="shared" si="60"/>
        <v>-1.5904681058600545E-3</v>
      </c>
      <c r="AP13" s="11">
        <f t="shared" si="60"/>
        <v>158.20481777191162</v>
      </c>
      <c r="AQ13" s="11">
        <f t="shared" si="60"/>
        <v>373125</v>
      </c>
      <c r="AR13" s="16">
        <f t="shared" si="60"/>
        <v>-10300</v>
      </c>
      <c r="AS13" s="16">
        <f t="shared" si="60"/>
        <v>99425</v>
      </c>
      <c r="AT13" s="16">
        <f t="shared" si="60"/>
        <v>158.20481777191162</v>
      </c>
      <c r="AU13" s="7">
        <f t="shared" si="60"/>
        <v>0</v>
      </c>
      <c r="AV13" s="7">
        <f t="shared" si="60"/>
        <v>1.5</v>
      </c>
      <c r="AW13" s="7">
        <f t="shared" si="60"/>
        <v>7746.60009765625</v>
      </c>
      <c r="AX13" s="7">
        <f t="shared" si="60"/>
        <v>0</v>
      </c>
      <c r="AY13" s="11">
        <f t="shared" si="60"/>
        <v>0</v>
      </c>
      <c r="AZ13" s="16">
        <f t="shared" si="60"/>
        <v>0</v>
      </c>
      <c r="BA13" s="16">
        <f t="shared" si="60"/>
        <v>0</v>
      </c>
      <c r="BB13" s="16">
        <f t="shared" si="60"/>
        <v>0</v>
      </c>
      <c r="BC13" s="11">
        <f t="shared" si="60"/>
        <v>0</v>
      </c>
      <c r="BD13" s="11">
        <f t="shared" si="60"/>
        <v>0</v>
      </c>
      <c r="BE13" s="11">
        <f t="shared" si="60"/>
        <v>0</v>
      </c>
      <c r="BF13" s="11">
        <f t="shared" si="60"/>
        <v>0</v>
      </c>
      <c r="BG13" s="11">
        <f t="shared" si="60"/>
        <v>0</v>
      </c>
      <c r="BH13" s="11">
        <f t="shared" si="60"/>
        <v>0</v>
      </c>
      <c r="BI13" s="13">
        <f t="shared" si="60"/>
        <v>0</v>
      </c>
      <c r="BJ13" s="13">
        <f t="shared" si="60"/>
        <v>0</v>
      </c>
      <c r="BK13" s="11">
        <f t="shared" si="60"/>
        <v>0</v>
      </c>
      <c r="BL13" s="12">
        <f t="shared" si="60"/>
        <v>0</v>
      </c>
      <c r="BM13" s="12">
        <f t="shared" si="60"/>
        <v>0</v>
      </c>
      <c r="BN13" s="13">
        <f t="shared" si="60"/>
        <v>0</v>
      </c>
      <c r="BO13" s="13">
        <f t="shared" si="60"/>
        <v>0</v>
      </c>
      <c r="BP13" s="15">
        <f t="shared" si="60"/>
        <v>0</v>
      </c>
      <c r="BQ13" s="15">
        <f t="shared" si="60"/>
        <v>0</v>
      </c>
      <c r="BR13" s="14">
        <f t="shared" si="60"/>
        <v>0</v>
      </c>
      <c r="BS13" s="14">
        <f t="shared" si="60"/>
        <v>0</v>
      </c>
      <c r="BT13" s="14">
        <f t="shared" si="60"/>
        <v>0</v>
      </c>
      <c r="BU13" s="14">
        <f t="shared" si="60"/>
        <v>0</v>
      </c>
      <c r="BV13" s="11">
        <f t="shared" si="60"/>
        <v>0</v>
      </c>
      <c r="BW13" s="11">
        <f t="shared" si="60"/>
        <v>0</v>
      </c>
      <c r="BX13" s="11">
        <f t="shared" si="60"/>
        <v>0</v>
      </c>
      <c r="BY13" s="11">
        <f t="shared" si="60"/>
        <v>0</v>
      </c>
      <c r="BZ13" s="7">
        <f t="shared" si="60"/>
        <v>0</v>
      </c>
      <c r="CA13" s="7">
        <f t="shared" si="60"/>
        <v>0</v>
      </c>
      <c r="CB13" s="7">
        <f t="shared" ref="CB13:CP13" si="61">IFERROR(VALUE(CB318),"-")</f>
        <v>0</v>
      </c>
      <c r="CC13" s="7">
        <f t="shared" si="61"/>
        <v>7746.60009765625</v>
      </c>
      <c r="CD13" s="7">
        <f t="shared" si="61"/>
        <v>8466.150390625</v>
      </c>
      <c r="CE13" s="3">
        <f t="shared" si="61"/>
        <v>50</v>
      </c>
      <c r="CF13" s="7">
        <f t="shared" si="61"/>
        <v>8127.25</v>
      </c>
      <c r="CG13" s="3">
        <f t="shared" si="61"/>
        <v>50</v>
      </c>
      <c r="CH13" s="7">
        <f t="shared" si="61"/>
        <v>0</v>
      </c>
      <c r="CI13" s="7">
        <f t="shared" si="61"/>
        <v>1.5</v>
      </c>
      <c r="CJ13" s="3">
        <f t="shared" si="61"/>
        <v>750</v>
      </c>
      <c r="CK13" s="7">
        <f t="shared" si="61"/>
        <v>1.4500000476837158</v>
      </c>
      <c r="CL13" s="3">
        <f t="shared" si="61"/>
        <v>550</v>
      </c>
      <c r="CM13" s="7">
        <f t="shared" si="61"/>
        <v>1.8400000333786011</v>
      </c>
      <c r="CN13" s="10">
        <f t="shared" si="61"/>
        <v>44783.638194444444</v>
      </c>
      <c r="CO13" s="10">
        <f t="shared" si="61"/>
        <v>44783.638194444444</v>
      </c>
      <c r="CP13" s="7">
        <f t="shared" si="61"/>
        <v>38295.69921875</v>
      </c>
      <c r="CQ13" s="7" t="str">
        <f t="shared" ref="CQ13" si="62">IFERROR(CQ318,"-")</f>
        <v>FairPrice</v>
      </c>
      <c r="CR13" s="10">
        <f t="shared" si="4"/>
        <v>44783.638194444444</v>
      </c>
      <c r="CS13" s="7">
        <f t="shared" si="4"/>
        <v>4.1842460632324219E-3</v>
      </c>
      <c r="CT13" s="7">
        <f t="shared" si="4"/>
        <v>2.6448984242207591E-5</v>
      </c>
      <c r="CU13" s="7">
        <f t="shared" si="4"/>
        <v>109725</v>
      </c>
      <c r="CV13" s="7">
        <f t="shared" si="4"/>
        <v>-9.3871041239462286E-2</v>
      </c>
      <c r="CW13" s="7">
        <f t="shared" si="4"/>
        <v>1.5</v>
      </c>
      <c r="CX13" s="7">
        <f t="shared" si="4"/>
        <v>0</v>
      </c>
      <c r="CY13" s="7">
        <f t="shared" si="4"/>
        <v>7746.60009765625</v>
      </c>
      <c r="CZ13" s="7">
        <f t="shared" si="4"/>
        <v>0</v>
      </c>
      <c r="DA13" s="7">
        <f t="shared" si="4"/>
        <v>0</v>
      </c>
      <c r="DB13" s="7">
        <f t="shared" si="4"/>
        <v>0</v>
      </c>
      <c r="DC13" s="7">
        <f t="shared" si="4"/>
        <v>0</v>
      </c>
      <c r="DD13" s="7">
        <f t="shared" si="4"/>
        <v>0</v>
      </c>
      <c r="DE13" s="7">
        <f t="shared" si="4"/>
        <v>7746.60009765625</v>
      </c>
      <c r="DF13" s="7">
        <f t="shared" si="4"/>
        <v>1.5</v>
      </c>
      <c r="DG13" s="7">
        <f t="shared" si="4"/>
        <v>38295.69921875</v>
      </c>
      <c r="DH13" s="7" t="str">
        <f t="shared" ref="DH13:DJ13" si="63">IFERROR(DH318,"-")</f>
        <v>W</v>
      </c>
      <c r="DI13" s="7" t="str">
        <f t="shared" si="63"/>
        <v>W</v>
      </c>
      <c r="DJ13" s="7" t="str">
        <f t="shared" si="63"/>
        <v>G</v>
      </c>
      <c r="DK13" s="64">
        <f t="shared" ref="DK13:DS13" si="64">IFERROR(VALUE(DK318),"-")</f>
        <v>38300</v>
      </c>
      <c r="DL13" s="64">
        <f t="shared" si="64"/>
        <v>3400000</v>
      </c>
      <c r="DM13" s="64">
        <f t="shared" si="64"/>
        <v>38500</v>
      </c>
      <c r="DN13" s="64">
        <f t="shared" si="64"/>
        <v>0</v>
      </c>
      <c r="DO13" s="64">
        <f t="shared" si="64"/>
        <v>24500</v>
      </c>
      <c r="DP13" s="64">
        <f t="shared" si="64"/>
        <v>2863350</v>
      </c>
      <c r="DQ13" s="64">
        <f t="shared" si="64"/>
        <v>38000</v>
      </c>
      <c r="DR13" s="64">
        <f t="shared" si="64"/>
        <v>0</v>
      </c>
      <c r="DS13" s="64">
        <f t="shared" si="64"/>
        <v>24500</v>
      </c>
      <c r="DT13" t="str">
        <f t="shared" si="7"/>
        <v>BANKNIFTY</v>
      </c>
      <c r="DU13" s="10">
        <f t="shared" si="8"/>
        <v>44784</v>
      </c>
    </row>
    <row r="14" spans="1:125" x14ac:dyDescent="0.25">
      <c r="A14" t="s">
        <v>10</v>
      </c>
      <c r="B14" s="2">
        <v>44798</v>
      </c>
      <c r="C14" s="1">
        <v>2600</v>
      </c>
      <c r="D14">
        <v>55</v>
      </c>
      <c r="G14" t="str">
        <f t="array" ref="G14">IFERROR(INDEX($A$2:$A$700,MATCH(0,COUNTIF($G$1:G13,$A$2:$A$700),0)),"")</f>
        <v>APOLLOTYRE</v>
      </c>
      <c r="H14" s="2" t="str">
        <f t="array" ref="H14">IFERROR(INDEX($B$1:$B$701,SMALL(IF(OptionChain!$AU$1=$A$1:$A$701,ROW($A$1:$A$701),""),ROW()-ROW($H$1))),"")</f>
        <v/>
      </c>
      <c r="I14" s="2" t="str">
        <f t="array" ref="I14">IFERROR(INDEX($B$1:$B$701,SMALL(IF($J$2=$A$1:$A$701,ROW($A$1:$A$701),""),ROW()-ROW($I$1))),"")</f>
        <v/>
      </c>
      <c r="J14" s="3"/>
      <c r="K14" s="7"/>
      <c r="O14" s="3">
        <f t="shared" si="9"/>
        <v>30500</v>
      </c>
      <c r="P14" s="7">
        <f t="shared" ref="P14:CA14" si="65">IFERROR(VALUE(P319),"-")</f>
        <v>1.6499999761581421</v>
      </c>
      <c r="Q14" s="7">
        <f t="shared" si="65"/>
        <v>1.3999999761581421</v>
      </c>
      <c r="R14" s="7">
        <f t="shared" si="65"/>
        <v>2.3499999046325684</v>
      </c>
      <c r="S14" s="7">
        <f t="shared" si="65"/>
        <v>2.2000000476837158</v>
      </c>
      <c r="T14" s="11">
        <f t="shared" si="65"/>
        <v>-18.0625</v>
      </c>
      <c r="U14" s="11">
        <f t="shared" si="65"/>
        <v>247773.78125</v>
      </c>
      <c r="V14" s="11">
        <f t="shared" si="65"/>
        <v>-23.53125</v>
      </c>
      <c r="W14" s="11">
        <f t="shared" si="65"/>
        <v>303597.3125</v>
      </c>
      <c r="X14" s="14">
        <f t="shared" si="65"/>
        <v>1.1505107977427542E-9</v>
      </c>
      <c r="Y14" s="14">
        <f t="shared" si="65"/>
        <v>6.7419009610603098E-6</v>
      </c>
      <c r="Z14" s="14">
        <f t="shared" si="65"/>
        <v>1.5525074559263885E-9</v>
      </c>
      <c r="AA14" s="14">
        <f t="shared" si="65"/>
        <v>9.2665550255333073E-6</v>
      </c>
      <c r="AB14" s="15">
        <f t="shared" si="65"/>
        <v>-3.9923619965520629E-13</v>
      </c>
      <c r="AC14" s="15">
        <f t="shared" si="65"/>
        <v>-1.8862222894711067E-9</v>
      </c>
      <c r="AD14" s="13">
        <f t="shared" si="65"/>
        <v>-1.0986328125E-3</v>
      </c>
      <c r="AE14" s="13">
        <f t="shared" si="65"/>
        <v>37.385753631591797</v>
      </c>
      <c r="AF14" s="12">
        <f t="shared" si="65"/>
        <v>1.667022705078125E-3</v>
      </c>
      <c r="AG14" s="12">
        <f t="shared" si="65"/>
        <v>-51.385677337646484</v>
      </c>
      <c r="AH14" s="13">
        <f t="shared" si="65"/>
        <v>2.7603164198808372E-10</v>
      </c>
      <c r="AI14" s="13">
        <f t="shared" si="65"/>
        <v>1.9224419247620972E-6</v>
      </c>
      <c r="AJ14" s="11">
        <f t="shared" si="65"/>
        <v>3.4421682357788086E-6</v>
      </c>
      <c r="AK14" s="11">
        <f t="shared" si="65"/>
        <v>0.11892770975828171</v>
      </c>
      <c r="AL14" s="11">
        <f t="shared" si="65"/>
        <v>0</v>
      </c>
      <c r="AM14" s="11">
        <f t="shared" si="65"/>
        <v>-1.6499999761581421</v>
      </c>
      <c r="AN14" s="11">
        <f t="shared" si="65"/>
        <v>-1.3329554349184036E-7</v>
      </c>
      <c r="AO14" s="11">
        <f t="shared" si="65"/>
        <v>-1.830347697250545E-3</v>
      </c>
      <c r="AP14" s="11">
        <f t="shared" si="65"/>
        <v>149.66230392456055</v>
      </c>
      <c r="AQ14" s="11">
        <f t="shared" si="65"/>
        <v>135050</v>
      </c>
      <c r="AR14" s="16">
        <f t="shared" si="65"/>
        <v>-1000</v>
      </c>
      <c r="AS14" s="16">
        <f t="shared" si="65"/>
        <v>28575</v>
      </c>
      <c r="AT14" s="16">
        <f t="shared" si="65"/>
        <v>149.66230392456055</v>
      </c>
      <c r="AU14" s="7">
        <f t="shared" si="65"/>
        <v>0</v>
      </c>
      <c r="AV14" s="7">
        <f t="shared" si="65"/>
        <v>1.6499999761581421</v>
      </c>
      <c r="AW14" s="7">
        <f t="shared" si="65"/>
        <v>0</v>
      </c>
      <c r="AX14" s="7">
        <f t="shared" si="65"/>
        <v>-4661.7</v>
      </c>
      <c r="AY14" s="11">
        <f t="shared" si="65"/>
        <v>0</v>
      </c>
      <c r="AZ14" s="16">
        <f t="shared" si="65"/>
        <v>0</v>
      </c>
      <c r="BA14" s="16">
        <f t="shared" si="65"/>
        <v>0</v>
      </c>
      <c r="BB14" s="16">
        <f t="shared" si="65"/>
        <v>0</v>
      </c>
      <c r="BC14" s="11">
        <f t="shared" si="65"/>
        <v>0</v>
      </c>
      <c r="BD14" s="11">
        <f t="shared" si="65"/>
        <v>0</v>
      </c>
      <c r="BE14" s="11">
        <f t="shared" si="65"/>
        <v>0</v>
      </c>
      <c r="BF14" s="11">
        <f t="shared" si="65"/>
        <v>0</v>
      </c>
      <c r="BG14" s="11">
        <f t="shared" si="65"/>
        <v>0</v>
      </c>
      <c r="BH14" s="11">
        <f t="shared" si="65"/>
        <v>0</v>
      </c>
      <c r="BI14" s="13">
        <f t="shared" si="65"/>
        <v>0</v>
      </c>
      <c r="BJ14" s="13">
        <f t="shared" si="65"/>
        <v>0</v>
      </c>
      <c r="BK14" s="11">
        <f t="shared" si="65"/>
        <v>0</v>
      </c>
      <c r="BL14" s="12">
        <f t="shared" si="65"/>
        <v>0</v>
      </c>
      <c r="BM14" s="12">
        <f t="shared" si="65"/>
        <v>0</v>
      </c>
      <c r="BN14" s="13">
        <f t="shared" si="65"/>
        <v>0</v>
      </c>
      <c r="BO14" s="13">
        <f t="shared" si="65"/>
        <v>0</v>
      </c>
      <c r="BP14" s="15">
        <f t="shared" si="65"/>
        <v>0</v>
      </c>
      <c r="BQ14" s="15">
        <f t="shared" si="65"/>
        <v>0</v>
      </c>
      <c r="BR14" s="14">
        <f t="shared" si="65"/>
        <v>0</v>
      </c>
      <c r="BS14" s="14">
        <f t="shared" si="65"/>
        <v>0</v>
      </c>
      <c r="BT14" s="14">
        <f t="shared" si="65"/>
        <v>0</v>
      </c>
      <c r="BU14" s="14">
        <f t="shared" si="65"/>
        <v>0</v>
      </c>
      <c r="BV14" s="11">
        <f t="shared" si="65"/>
        <v>0</v>
      </c>
      <c r="BW14" s="11">
        <f t="shared" si="65"/>
        <v>0</v>
      </c>
      <c r="BX14" s="11">
        <f t="shared" si="65"/>
        <v>0</v>
      </c>
      <c r="BY14" s="11">
        <f t="shared" si="65"/>
        <v>0</v>
      </c>
      <c r="BZ14" s="7">
        <f t="shared" si="65"/>
        <v>0</v>
      </c>
      <c r="CA14" s="7">
        <f t="shared" si="65"/>
        <v>0</v>
      </c>
      <c r="CB14" s="7">
        <f t="shared" ref="CB14:CP14" si="66">IFERROR(VALUE(CB319),"-")</f>
        <v>0</v>
      </c>
      <c r="CC14" s="7">
        <f t="shared" si="66"/>
        <v>0</v>
      </c>
      <c r="CD14" s="7">
        <f t="shared" si="66"/>
        <v>0</v>
      </c>
      <c r="CE14" s="3">
        <f t="shared" si="66"/>
        <v>0</v>
      </c>
      <c r="CF14" s="7">
        <f t="shared" si="66"/>
        <v>0</v>
      </c>
      <c r="CG14" s="3">
        <f t="shared" si="66"/>
        <v>0</v>
      </c>
      <c r="CH14" s="7">
        <f t="shared" si="66"/>
        <v>0</v>
      </c>
      <c r="CI14" s="7">
        <f t="shared" si="66"/>
        <v>1.6499999761581421</v>
      </c>
      <c r="CJ14" s="3">
        <f t="shared" si="66"/>
        <v>250</v>
      </c>
      <c r="CK14" s="7">
        <f t="shared" si="66"/>
        <v>1.6000000238418579</v>
      </c>
      <c r="CL14" s="3">
        <f t="shared" si="66"/>
        <v>1650</v>
      </c>
      <c r="CM14" s="7">
        <f t="shared" si="66"/>
        <v>1.9800000190734863</v>
      </c>
      <c r="CN14" s="10">
        <f t="shared" si="66"/>
        <v>44783.636701388888</v>
      </c>
      <c r="CO14" s="10">
        <f t="shared" si="66"/>
        <v>44783.638194444444</v>
      </c>
      <c r="CP14" s="7">
        <f t="shared" si="66"/>
        <v>38295.69921875</v>
      </c>
      <c r="CQ14" s="7" t="str">
        <f t="shared" ref="CQ14" si="67">IFERROR(CQ319,"-")</f>
        <v>FairPrice</v>
      </c>
      <c r="CR14" s="10">
        <f t="shared" si="4"/>
        <v>44783.638194444444</v>
      </c>
      <c r="CS14" s="7">
        <f t="shared" si="4"/>
        <v>-6.008148193359375E-3</v>
      </c>
      <c r="CT14" s="7">
        <f t="shared" si="4"/>
        <v>-4.0143087806314064E-5</v>
      </c>
      <c r="CU14" s="7">
        <f t="shared" si="4"/>
        <v>29575</v>
      </c>
      <c r="CV14" s="7">
        <f t="shared" si="4"/>
        <v>-3.38123415046492E-2</v>
      </c>
      <c r="CW14" s="7">
        <f t="shared" si="4"/>
        <v>1.6499999761581421</v>
      </c>
      <c r="CX14" s="7">
        <f t="shared" si="4"/>
        <v>0</v>
      </c>
      <c r="CY14" s="7">
        <f t="shared" si="4"/>
        <v>4661.7</v>
      </c>
      <c r="CZ14" s="7">
        <f t="shared" si="4"/>
        <v>-1</v>
      </c>
      <c r="DA14" s="7">
        <f t="shared" si="4"/>
        <v>0</v>
      </c>
      <c r="DB14" s="7">
        <f t="shared" si="4"/>
        <v>0</v>
      </c>
      <c r="DC14" s="7">
        <f t="shared" si="4"/>
        <v>0</v>
      </c>
      <c r="DD14" s="7">
        <f t="shared" si="4"/>
        <v>0</v>
      </c>
      <c r="DE14" s="7">
        <f t="shared" si="4"/>
        <v>4661.7</v>
      </c>
      <c r="DF14" s="7">
        <f t="shared" si="4"/>
        <v>1.6499999761581421</v>
      </c>
      <c r="DG14" s="7">
        <f t="shared" ref="DG14" si="68">IFERROR(VALUE(DG319),"-")</f>
        <v>38295.69921875</v>
      </c>
      <c r="DH14" s="7" t="str">
        <f t="shared" ref="DH14:DJ14" si="69">IFERROR(DH319,"-")</f>
        <v>R</v>
      </c>
      <c r="DI14" s="7" t="str">
        <f t="shared" si="69"/>
        <v>W</v>
      </c>
      <c r="DJ14" s="7" t="str">
        <f t="shared" si="69"/>
        <v>G</v>
      </c>
      <c r="DK14" s="64">
        <f t="shared" ref="DK14:DS14" si="70">IFERROR(VALUE(DK319),"-")</f>
        <v>38300</v>
      </c>
      <c r="DL14" s="64">
        <f t="shared" si="70"/>
        <v>3400000</v>
      </c>
      <c r="DM14" s="64">
        <f t="shared" si="70"/>
        <v>38500</v>
      </c>
      <c r="DN14" s="64">
        <f t="shared" si="70"/>
        <v>0</v>
      </c>
      <c r="DO14" s="64">
        <f t="shared" si="70"/>
        <v>24500</v>
      </c>
      <c r="DP14" s="64">
        <f t="shared" si="70"/>
        <v>2863350</v>
      </c>
      <c r="DQ14" s="64">
        <f t="shared" si="70"/>
        <v>38000</v>
      </c>
      <c r="DR14" s="64">
        <f t="shared" si="70"/>
        <v>0</v>
      </c>
      <c r="DS14" s="64">
        <f t="shared" si="70"/>
        <v>24500</v>
      </c>
      <c r="DT14" t="str">
        <f t="shared" si="7"/>
        <v>BANKNIFTY</v>
      </c>
      <c r="DU14" s="10">
        <f t="shared" si="8"/>
        <v>44784</v>
      </c>
    </row>
    <row r="15" spans="1:125" x14ac:dyDescent="0.25">
      <c r="A15" t="s">
        <v>10</v>
      </c>
      <c r="B15" s="2">
        <v>44833</v>
      </c>
      <c r="C15" s="1">
        <v>2600</v>
      </c>
      <c r="D15">
        <v>55</v>
      </c>
      <c r="G15" t="str">
        <f t="array" ref="G15">IFERROR(INDEX($A$2:$A$700,MATCH(0,COUNTIF($G$1:G14,$A$2:$A$700),0)),"")</f>
        <v>ASHOKLEY</v>
      </c>
      <c r="H15" s="2" t="str">
        <f t="array" ref="H15">IFERROR(INDEX($B$1:$B$701,SMALL(IF(OptionChain!$AU$1=$A$1:$A$701,ROW($A$1:$A$701),""),ROW()-ROW($H$1))),"")</f>
        <v/>
      </c>
      <c r="I15" s="2" t="str">
        <f t="array" ref="I15">IFERROR(INDEX($B$1:$B$701,SMALL(IF($J$2=$A$1:$A$701,ROW($A$1:$A$701),""),ROW()-ROW($I$1))),"")</f>
        <v/>
      </c>
      <c r="J15" s="3"/>
      <c r="K15" s="4"/>
      <c r="O15" s="3">
        <f t="shared" si="9"/>
        <v>30700</v>
      </c>
      <c r="P15" s="7">
        <f t="shared" ref="P15:CA15" si="71">IFERROR(VALUE(P320),"-")</f>
        <v>0</v>
      </c>
      <c r="Q15" s="7">
        <f t="shared" si="71"/>
        <v>0</v>
      </c>
      <c r="R15" s="7">
        <f t="shared" si="71"/>
        <v>0</v>
      </c>
      <c r="S15" s="7">
        <f t="shared" si="71"/>
        <v>0</v>
      </c>
      <c r="T15" s="11">
        <f t="shared" si="71"/>
        <v>0</v>
      </c>
      <c r="U15" s="11">
        <f t="shared" si="71"/>
        <v>0</v>
      </c>
      <c r="V15" s="11">
        <f t="shared" si="71"/>
        <v>0</v>
      </c>
      <c r="W15" s="11">
        <f t="shared" si="71"/>
        <v>0</v>
      </c>
      <c r="X15" s="14">
        <f t="shared" si="71"/>
        <v>0</v>
      </c>
      <c r="Y15" s="14">
        <f t="shared" si="71"/>
        <v>0</v>
      </c>
      <c r="Z15" s="14">
        <f t="shared" si="71"/>
        <v>0</v>
      </c>
      <c r="AA15" s="14">
        <f t="shared" si="71"/>
        <v>0</v>
      </c>
      <c r="AB15" s="15">
        <f t="shared" si="71"/>
        <v>0</v>
      </c>
      <c r="AC15" s="15">
        <f t="shared" si="71"/>
        <v>0</v>
      </c>
      <c r="AD15" s="13">
        <f t="shared" si="71"/>
        <v>0</v>
      </c>
      <c r="AE15" s="13">
        <f t="shared" si="71"/>
        <v>0</v>
      </c>
      <c r="AF15" s="12">
        <f t="shared" si="71"/>
        <v>0</v>
      </c>
      <c r="AG15" s="12">
        <f t="shared" si="71"/>
        <v>0</v>
      </c>
      <c r="AH15" s="13">
        <f t="shared" si="71"/>
        <v>0</v>
      </c>
      <c r="AI15" s="13">
        <f t="shared" si="71"/>
        <v>0</v>
      </c>
      <c r="AJ15" s="11">
        <f t="shared" si="71"/>
        <v>0</v>
      </c>
      <c r="AK15" s="11">
        <f t="shared" si="71"/>
        <v>0</v>
      </c>
      <c r="AL15" s="11">
        <f t="shared" si="71"/>
        <v>0</v>
      </c>
      <c r="AM15" s="11">
        <f t="shared" si="71"/>
        <v>0</v>
      </c>
      <c r="AN15" s="11">
        <f t="shared" si="71"/>
        <v>0</v>
      </c>
      <c r="AO15" s="11">
        <f t="shared" si="71"/>
        <v>0</v>
      </c>
      <c r="AP15" s="11">
        <f t="shared" si="71"/>
        <v>0</v>
      </c>
      <c r="AQ15" s="11">
        <f t="shared" si="71"/>
        <v>0</v>
      </c>
      <c r="AR15" s="16">
        <f t="shared" si="71"/>
        <v>0</v>
      </c>
      <c r="AS15" s="16">
        <f t="shared" si="71"/>
        <v>0</v>
      </c>
      <c r="AT15" s="16">
        <f t="shared" si="71"/>
        <v>0</v>
      </c>
      <c r="AU15" s="7">
        <f t="shared" si="71"/>
        <v>0</v>
      </c>
      <c r="AV15" s="7">
        <f t="shared" si="71"/>
        <v>0</v>
      </c>
      <c r="AW15" s="7">
        <f t="shared" si="71"/>
        <v>0</v>
      </c>
      <c r="AX15" s="7">
        <f t="shared" si="71"/>
        <v>0</v>
      </c>
      <c r="AY15" s="11">
        <f t="shared" si="71"/>
        <v>0</v>
      </c>
      <c r="AZ15" s="16">
        <f t="shared" si="71"/>
        <v>0</v>
      </c>
      <c r="BA15" s="16">
        <f t="shared" si="71"/>
        <v>0</v>
      </c>
      <c r="BB15" s="16">
        <f t="shared" si="71"/>
        <v>0</v>
      </c>
      <c r="BC15" s="11">
        <f t="shared" si="71"/>
        <v>0</v>
      </c>
      <c r="BD15" s="11">
        <f t="shared" si="71"/>
        <v>0</v>
      </c>
      <c r="BE15" s="11">
        <f t="shared" si="71"/>
        <v>0</v>
      </c>
      <c r="BF15" s="11">
        <f t="shared" si="71"/>
        <v>0</v>
      </c>
      <c r="BG15" s="11">
        <f t="shared" si="71"/>
        <v>0</v>
      </c>
      <c r="BH15" s="11">
        <f t="shared" si="71"/>
        <v>0</v>
      </c>
      <c r="BI15" s="13">
        <f t="shared" si="71"/>
        <v>0</v>
      </c>
      <c r="BJ15" s="13">
        <f t="shared" si="71"/>
        <v>0</v>
      </c>
      <c r="BK15" s="11">
        <f t="shared" si="71"/>
        <v>0</v>
      </c>
      <c r="BL15" s="12">
        <f t="shared" si="71"/>
        <v>0</v>
      </c>
      <c r="BM15" s="12">
        <f t="shared" si="71"/>
        <v>0</v>
      </c>
      <c r="BN15" s="13">
        <f t="shared" si="71"/>
        <v>0</v>
      </c>
      <c r="BO15" s="13">
        <f t="shared" si="71"/>
        <v>0</v>
      </c>
      <c r="BP15" s="15">
        <f t="shared" si="71"/>
        <v>0</v>
      </c>
      <c r="BQ15" s="15">
        <f t="shared" si="71"/>
        <v>0</v>
      </c>
      <c r="BR15" s="14">
        <f t="shared" si="71"/>
        <v>0</v>
      </c>
      <c r="BS15" s="14">
        <f t="shared" si="71"/>
        <v>0</v>
      </c>
      <c r="BT15" s="14">
        <f t="shared" si="71"/>
        <v>0</v>
      </c>
      <c r="BU15" s="14">
        <f t="shared" si="71"/>
        <v>0</v>
      </c>
      <c r="BV15" s="11">
        <f t="shared" si="71"/>
        <v>0</v>
      </c>
      <c r="BW15" s="11">
        <f t="shared" si="71"/>
        <v>0</v>
      </c>
      <c r="BX15" s="11">
        <f t="shared" si="71"/>
        <v>0</v>
      </c>
      <c r="BY15" s="11">
        <f t="shared" si="71"/>
        <v>0</v>
      </c>
      <c r="BZ15" s="7">
        <f t="shared" si="71"/>
        <v>0</v>
      </c>
      <c r="CA15" s="7">
        <f t="shared" si="71"/>
        <v>0</v>
      </c>
      <c r="CB15" s="7">
        <f t="shared" ref="CB15:CP15" si="72">IFERROR(VALUE(CB320),"-")</f>
        <v>0</v>
      </c>
      <c r="CC15" s="7">
        <f t="shared" si="72"/>
        <v>0</v>
      </c>
      <c r="CD15" s="7">
        <f t="shared" si="72"/>
        <v>0</v>
      </c>
      <c r="CE15" s="3">
        <f t="shared" si="72"/>
        <v>0</v>
      </c>
      <c r="CF15" s="7">
        <f t="shared" si="72"/>
        <v>0</v>
      </c>
      <c r="CG15" s="3">
        <f t="shared" si="72"/>
        <v>0</v>
      </c>
      <c r="CH15" s="7">
        <f t="shared" si="72"/>
        <v>0</v>
      </c>
      <c r="CI15" s="7">
        <f t="shared" si="72"/>
        <v>0</v>
      </c>
      <c r="CJ15" s="3">
        <f t="shared" si="72"/>
        <v>0</v>
      </c>
      <c r="CK15" s="7">
        <f t="shared" si="72"/>
        <v>0</v>
      </c>
      <c r="CL15" s="3">
        <f t="shared" si="72"/>
        <v>0</v>
      </c>
      <c r="CM15" s="7">
        <f t="shared" si="72"/>
        <v>0</v>
      </c>
      <c r="CN15" s="10">
        <f t="shared" si="72"/>
        <v>44783.636701388888</v>
      </c>
      <c r="CO15" s="10">
        <f t="shared" si="72"/>
        <v>44783.636701388888</v>
      </c>
      <c r="CP15" s="7">
        <f t="shared" si="72"/>
        <v>38295.69921875</v>
      </c>
      <c r="CQ15" s="7" t="str">
        <f t="shared" ref="CQ15" si="73">IFERROR(CQ320,"-")</f>
        <v>FairPrice</v>
      </c>
      <c r="CR15" s="10">
        <f t="shared" ref="CR15:DG30" si="74">IFERROR(VALUE(CR320),"-")</f>
        <v>44783.638194444444</v>
      </c>
      <c r="CS15" s="7">
        <f t="shared" si="74"/>
        <v>0</v>
      </c>
      <c r="CT15" s="7">
        <f t="shared" si="74"/>
        <v>0</v>
      </c>
      <c r="CU15" s="7">
        <f t="shared" si="74"/>
        <v>0</v>
      </c>
      <c r="CV15" s="7">
        <f t="shared" si="74"/>
        <v>0</v>
      </c>
      <c r="CW15" s="7">
        <f t="shared" si="74"/>
        <v>0</v>
      </c>
      <c r="CX15" s="7">
        <f t="shared" si="74"/>
        <v>0</v>
      </c>
      <c r="CY15" s="7">
        <f t="shared" si="74"/>
        <v>0</v>
      </c>
      <c r="CZ15" s="7">
        <f t="shared" si="74"/>
        <v>0</v>
      </c>
      <c r="DA15" s="7">
        <f t="shared" si="74"/>
        <v>0</v>
      </c>
      <c r="DB15" s="7">
        <f t="shared" si="74"/>
        <v>0</v>
      </c>
      <c r="DC15" s="7">
        <f t="shared" si="74"/>
        <v>0</v>
      </c>
      <c r="DD15" s="7">
        <f t="shared" si="74"/>
        <v>0</v>
      </c>
      <c r="DE15" s="7">
        <f t="shared" si="74"/>
        <v>0</v>
      </c>
      <c r="DF15" s="7">
        <f t="shared" si="74"/>
        <v>0</v>
      </c>
      <c r="DG15" s="7">
        <f t="shared" si="74"/>
        <v>38295.69921875</v>
      </c>
      <c r="DH15" s="7" t="str">
        <f t="shared" ref="DH15:DJ15" si="75">IFERROR(DH320,"-")</f>
        <v>W</v>
      </c>
      <c r="DI15" s="7" t="str">
        <f t="shared" si="75"/>
        <v>W</v>
      </c>
      <c r="DJ15" s="7" t="str">
        <f t="shared" si="75"/>
        <v>G</v>
      </c>
      <c r="DK15" s="64">
        <f t="shared" ref="DK15:DS15" si="76">IFERROR(VALUE(DK320),"-")</f>
        <v>38300</v>
      </c>
      <c r="DL15" s="64">
        <f t="shared" si="76"/>
        <v>3400000</v>
      </c>
      <c r="DM15" s="64">
        <f t="shared" si="76"/>
        <v>38500</v>
      </c>
      <c r="DN15" s="64">
        <f t="shared" si="76"/>
        <v>0</v>
      </c>
      <c r="DO15" s="64">
        <f t="shared" si="76"/>
        <v>24500</v>
      </c>
      <c r="DP15" s="64">
        <f t="shared" si="76"/>
        <v>2863350</v>
      </c>
      <c r="DQ15" s="64">
        <f t="shared" si="76"/>
        <v>38000</v>
      </c>
      <c r="DR15" s="64">
        <f t="shared" si="76"/>
        <v>0</v>
      </c>
      <c r="DS15" s="64">
        <f t="shared" si="76"/>
        <v>24500</v>
      </c>
      <c r="DT15" t="str">
        <f t="shared" si="7"/>
        <v>BANKNIFTY</v>
      </c>
      <c r="DU15" s="10">
        <f t="shared" si="8"/>
        <v>44784</v>
      </c>
    </row>
    <row r="16" spans="1:125" x14ac:dyDescent="0.25">
      <c r="A16" t="s">
        <v>10</v>
      </c>
      <c r="B16" s="2">
        <v>44861</v>
      </c>
      <c r="C16" s="1">
        <v>2600</v>
      </c>
      <c r="D16">
        <v>55</v>
      </c>
      <c r="G16" t="str">
        <f t="array" ref="G16">IFERROR(INDEX($A$2:$A$700,MATCH(0,COUNTIF($G$1:G15,$A$2:$A$700),0)),"")</f>
        <v>ASIANPAINT</v>
      </c>
      <c r="H16" s="2" t="str">
        <f t="array" ref="H16">IFERROR(INDEX($B$1:$B$701,SMALL(IF(OptionChain!$AU$1=$A$1:$A$701,ROW($A$1:$A$701),""),ROW()-ROW($H$1))),"")</f>
        <v/>
      </c>
      <c r="I16" s="2" t="str">
        <f t="array" ref="I16">IFERROR(INDEX($B$1:$B$701,SMALL(IF($J$2=$A$1:$A$701,ROW($A$1:$A$701),""),ROW()-ROW($I$1))),"")</f>
        <v/>
      </c>
      <c r="O16" s="3">
        <f t="shared" si="9"/>
        <v>30800</v>
      </c>
      <c r="P16" s="7">
        <f t="shared" ref="P16:CA16" si="77">IFERROR(VALUE(P321),"-")</f>
        <v>0</v>
      </c>
      <c r="Q16" s="7">
        <f t="shared" si="77"/>
        <v>0</v>
      </c>
      <c r="R16" s="7">
        <f t="shared" si="77"/>
        <v>0</v>
      </c>
      <c r="S16" s="7">
        <f t="shared" si="77"/>
        <v>0</v>
      </c>
      <c r="T16" s="11">
        <f t="shared" si="77"/>
        <v>0</v>
      </c>
      <c r="U16" s="11">
        <f t="shared" si="77"/>
        <v>0</v>
      </c>
      <c r="V16" s="11">
        <f t="shared" si="77"/>
        <v>0</v>
      </c>
      <c r="W16" s="11">
        <f t="shared" si="77"/>
        <v>0</v>
      </c>
      <c r="X16" s="14">
        <f t="shared" si="77"/>
        <v>0</v>
      </c>
      <c r="Y16" s="14">
        <f t="shared" si="77"/>
        <v>0</v>
      </c>
      <c r="Z16" s="14">
        <f t="shared" si="77"/>
        <v>0</v>
      </c>
      <c r="AA16" s="14">
        <f t="shared" si="77"/>
        <v>0</v>
      </c>
      <c r="AB16" s="15">
        <f t="shared" si="77"/>
        <v>0</v>
      </c>
      <c r="AC16" s="15">
        <f t="shared" si="77"/>
        <v>0</v>
      </c>
      <c r="AD16" s="13">
        <f t="shared" si="77"/>
        <v>0</v>
      </c>
      <c r="AE16" s="13">
        <f t="shared" si="77"/>
        <v>0</v>
      </c>
      <c r="AF16" s="12">
        <f t="shared" si="77"/>
        <v>0</v>
      </c>
      <c r="AG16" s="12">
        <f t="shared" si="77"/>
        <v>0</v>
      </c>
      <c r="AH16" s="13">
        <f t="shared" si="77"/>
        <v>0</v>
      </c>
      <c r="AI16" s="13">
        <f t="shared" si="77"/>
        <v>0</v>
      </c>
      <c r="AJ16" s="11">
        <f t="shared" si="77"/>
        <v>0</v>
      </c>
      <c r="AK16" s="11">
        <f t="shared" si="77"/>
        <v>0</v>
      </c>
      <c r="AL16" s="11">
        <f t="shared" si="77"/>
        <v>0</v>
      </c>
      <c r="AM16" s="11">
        <f t="shared" si="77"/>
        <v>0</v>
      </c>
      <c r="AN16" s="11">
        <f t="shared" si="77"/>
        <v>0</v>
      </c>
      <c r="AO16" s="11">
        <f t="shared" si="77"/>
        <v>0</v>
      </c>
      <c r="AP16" s="11">
        <f t="shared" si="77"/>
        <v>0</v>
      </c>
      <c r="AQ16" s="11">
        <f t="shared" si="77"/>
        <v>0</v>
      </c>
      <c r="AR16" s="16">
        <f t="shared" si="77"/>
        <v>0</v>
      </c>
      <c r="AS16" s="16">
        <f t="shared" si="77"/>
        <v>0</v>
      </c>
      <c r="AT16" s="16">
        <f t="shared" si="77"/>
        <v>0</v>
      </c>
      <c r="AU16" s="7">
        <f t="shared" si="77"/>
        <v>0</v>
      </c>
      <c r="AV16" s="7">
        <f t="shared" si="77"/>
        <v>0</v>
      </c>
      <c r="AW16" s="7">
        <f t="shared" si="77"/>
        <v>0</v>
      </c>
      <c r="AX16" s="7">
        <f t="shared" si="77"/>
        <v>0</v>
      </c>
      <c r="AY16" s="11">
        <f t="shared" si="77"/>
        <v>0</v>
      </c>
      <c r="AZ16" s="16">
        <f t="shared" si="77"/>
        <v>0</v>
      </c>
      <c r="BA16" s="16">
        <f t="shared" si="77"/>
        <v>0</v>
      </c>
      <c r="BB16" s="16">
        <f t="shared" si="77"/>
        <v>0</v>
      </c>
      <c r="BC16" s="11">
        <f t="shared" si="77"/>
        <v>0</v>
      </c>
      <c r="BD16" s="11">
        <f t="shared" si="77"/>
        <v>0</v>
      </c>
      <c r="BE16" s="11">
        <f t="shared" si="77"/>
        <v>0</v>
      </c>
      <c r="BF16" s="11">
        <f t="shared" si="77"/>
        <v>0</v>
      </c>
      <c r="BG16" s="11">
        <f t="shared" si="77"/>
        <v>0</v>
      </c>
      <c r="BH16" s="11">
        <f t="shared" si="77"/>
        <v>0</v>
      </c>
      <c r="BI16" s="13">
        <f t="shared" si="77"/>
        <v>0</v>
      </c>
      <c r="BJ16" s="13">
        <f t="shared" si="77"/>
        <v>0</v>
      </c>
      <c r="BK16" s="11">
        <f t="shared" si="77"/>
        <v>0</v>
      </c>
      <c r="BL16" s="12">
        <f t="shared" si="77"/>
        <v>0</v>
      </c>
      <c r="BM16" s="12">
        <f t="shared" si="77"/>
        <v>0</v>
      </c>
      <c r="BN16" s="13">
        <f t="shared" si="77"/>
        <v>0</v>
      </c>
      <c r="BO16" s="13">
        <f t="shared" si="77"/>
        <v>0</v>
      </c>
      <c r="BP16" s="15">
        <f t="shared" si="77"/>
        <v>0</v>
      </c>
      <c r="BQ16" s="15">
        <f t="shared" si="77"/>
        <v>0</v>
      </c>
      <c r="BR16" s="14">
        <f t="shared" si="77"/>
        <v>0</v>
      </c>
      <c r="BS16" s="14">
        <f t="shared" si="77"/>
        <v>0</v>
      </c>
      <c r="BT16" s="14">
        <f t="shared" si="77"/>
        <v>0</v>
      </c>
      <c r="BU16" s="14">
        <f t="shared" si="77"/>
        <v>0</v>
      </c>
      <c r="BV16" s="11">
        <f t="shared" si="77"/>
        <v>0</v>
      </c>
      <c r="BW16" s="11">
        <f t="shared" si="77"/>
        <v>0</v>
      </c>
      <c r="BX16" s="11">
        <f t="shared" si="77"/>
        <v>0</v>
      </c>
      <c r="BY16" s="11">
        <f t="shared" si="77"/>
        <v>0</v>
      </c>
      <c r="BZ16" s="7">
        <f t="shared" si="77"/>
        <v>0</v>
      </c>
      <c r="CA16" s="7">
        <f t="shared" si="77"/>
        <v>0</v>
      </c>
      <c r="CB16" s="7">
        <f t="shared" ref="CB16:CP16" si="78">IFERROR(VALUE(CB321),"-")</f>
        <v>0</v>
      </c>
      <c r="CC16" s="7">
        <f t="shared" si="78"/>
        <v>0</v>
      </c>
      <c r="CD16" s="7">
        <f t="shared" si="78"/>
        <v>0</v>
      </c>
      <c r="CE16" s="3">
        <f t="shared" si="78"/>
        <v>0</v>
      </c>
      <c r="CF16" s="7">
        <f t="shared" si="78"/>
        <v>0</v>
      </c>
      <c r="CG16" s="3">
        <f t="shared" si="78"/>
        <v>0</v>
      </c>
      <c r="CH16" s="7">
        <f t="shared" si="78"/>
        <v>0</v>
      </c>
      <c r="CI16" s="7">
        <f t="shared" si="78"/>
        <v>0</v>
      </c>
      <c r="CJ16" s="3">
        <f t="shared" si="78"/>
        <v>0</v>
      </c>
      <c r="CK16" s="7">
        <f t="shared" si="78"/>
        <v>0</v>
      </c>
      <c r="CL16" s="3">
        <f t="shared" si="78"/>
        <v>0</v>
      </c>
      <c r="CM16" s="7">
        <f t="shared" si="78"/>
        <v>0</v>
      </c>
      <c r="CN16" s="10">
        <f t="shared" si="78"/>
        <v>44783.636701388888</v>
      </c>
      <c r="CO16" s="10">
        <f t="shared" si="78"/>
        <v>44783.636701388888</v>
      </c>
      <c r="CP16" s="7">
        <f t="shared" si="78"/>
        <v>38295.69921875</v>
      </c>
      <c r="CQ16" s="7" t="str">
        <f t="shared" ref="CQ16" si="79">IFERROR(CQ321,"-")</f>
        <v>FairPrice</v>
      </c>
      <c r="CR16" s="10">
        <f t="shared" si="74"/>
        <v>44783.638194444444</v>
      </c>
      <c r="CS16" s="7">
        <f t="shared" si="74"/>
        <v>0</v>
      </c>
      <c r="CT16" s="7">
        <f t="shared" si="74"/>
        <v>0</v>
      </c>
      <c r="CU16" s="7">
        <f t="shared" si="74"/>
        <v>0</v>
      </c>
      <c r="CV16" s="7">
        <f t="shared" si="74"/>
        <v>0</v>
      </c>
      <c r="CW16" s="7">
        <f t="shared" si="74"/>
        <v>0</v>
      </c>
      <c r="CX16" s="7">
        <f t="shared" si="74"/>
        <v>0</v>
      </c>
      <c r="CY16" s="7">
        <f t="shared" si="74"/>
        <v>0</v>
      </c>
      <c r="CZ16" s="7">
        <f t="shared" si="74"/>
        <v>0</v>
      </c>
      <c r="DA16" s="7">
        <f t="shared" si="74"/>
        <v>0</v>
      </c>
      <c r="DB16" s="7">
        <f t="shared" si="74"/>
        <v>0</v>
      </c>
      <c r="DC16" s="7">
        <f t="shared" si="74"/>
        <v>0</v>
      </c>
      <c r="DD16" s="7">
        <f t="shared" si="74"/>
        <v>0</v>
      </c>
      <c r="DE16" s="7">
        <f t="shared" si="74"/>
        <v>0</v>
      </c>
      <c r="DF16" s="7">
        <f t="shared" si="74"/>
        <v>0</v>
      </c>
      <c r="DG16" s="7">
        <f t="shared" si="74"/>
        <v>38295.69921875</v>
      </c>
      <c r="DH16" s="7" t="str">
        <f t="shared" ref="DH16:DJ16" si="80">IFERROR(DH321,"-")</f>
        <v>W</v>
      </c>
      <c r="DI16" s="7" t="str">
        <f t="shared" si="80"/>
        <v>W</v>
      </c>
      <c r="DJ16" s="7" t="str">
        <f t="shared" si="80"/>
        <v>G</v>
      </c>
      <c r="DK16" s="64">
        <f t="shared" ref="DK16:DS16" si="81">IFERROR(VALUE(DK321),"-")</f>
        <v>38300</v>
      </c>
      <c r="DL16" s="64">
        <f t="shared" si="81"/>
        <v>3400000</v>
      </c>
      <c r="DM16" s="64">
        <f t="shared" si="81"/>
        <v>38500</v>
      </c>
      <c r="DN16" s="64">
        <f t="shared" si="81"/>
        <v>0</v>
      </c>
      <c r="DO16" s="64">
        <f t="shared" si="81"/>
        <v>24500</v>
      </c>
      <c r="DP16" s="64">
        <f t="shared" si="81"/>
        <v>2863350</v>
      </c>
      <c r="DQ16" s="64">
        <f t="shared" si="81"/>
        <v>38000</v>
      </c>
      <c r="DR16" s="64">
        <f t="shared" si="81"/>
        <v>0</v>
      </c>
      <c r="DS16" s="64">
        <f t="shared" si="81"/>
        <v>24500</v>
      </c>
      <c r="DT16" t="str">
        <f t="shared" si="7"/>
        <v>BANKNIFTY</v>
      </c>
      <c r="DU16" s="10">
        <f t="shared" si="8"/>
        <v>44784</v>
      </c>
    </row>
    <row r="17" spans="1:125" x14ac:dyDescent="0.25">
      <c r="A17" t="s">
        <v>11</v>
      </c>
      <c r="B17" s="2">
        <v>44798</v>
      </c>
      <c r="C17" s="1">
        <v>250</v>
      </c>
      <c r="D17">
        <v>94</v>
      </c>
      <c r="G17" t="str">
        <f t="array" ref="G17">IFERROR(INDEX($A$2:$A$700,MATCH(0,COUNTIF($G$1:G16,$A$2:$A$700),0)),"")</f>
        <v>ASTRAL</v>
      </c>
      <c r="H17" s="2" t="str">
        <f t="array" ref="H17">IFERROR(INDEX($B$1:$B$701,SMALL(IF(OptionChain!$AU$1=$A$1:$A$701,ROW($A$1:$A$701),""),ROW()-ROW($H$1))),"")</f>
        <v/>
      </c>
      <c r="I17" s="2" t="str">
        <f t="array" ref="I17">IFERROR(INDEX($B$1:$B$701,SMALL(IF($J$2=$A$1:$A$701,ROW($A$1:$A$701),""),ROW()-ROW($I$1))),"")</f>
        <v/>
      </c>
      <c r="M17" s="3"/>
      <c r="N17" s="3"/>
      <c r="O17" s="3">
        <f t="shared" si="9"/>
        <v>30900</v>
      </c>
      <c r="P17" s="7">
        <f t="shared" ref="P17:CA17" si="82">IFERROR(VALUE(P322),"-")</f>
        <v>1.75</v>
      </c>
      <c r="Q17" s="7">
        <f t="shared" si="82"/>
        <v>1.4500000476837158</v>
      </c>
      <c r="R17" s="7">
        <f t="shared" si="82"/>
        <v>2.3499999046325684</v>
      </c>
      <c r="S17" s="7">
        <f t="shared" si="82"/>
        <v>2.2000000476837158</v>
      </c>
      <c r="T17" s="11">
        <f t="shared" si="82"/>
        <v>21.171875</v>
      </c>
      <c r="U17" s="11">
        <f t="shared" si="82"/>
        <v>222026.15625</v>
      </c>
      <c r="V17" s="11">
        <f t="shared" si="82"/>
        <v>-4.90625</v>
      </c>
      <c r="W17" s="11">
        <f t="shared" si="82"/>
        <v>285001.625</v>
      </c>
      <c r="X17" s="14">
        <f t="shared" si="82"/>
        <v>-4.2700776248238981E-10</v>
      </c>
      <c r="Y17" s="14">
        <f t="shared" si="82"/>
        <v>7.5705329436459579E-6</v>
      </c>
      <c r="Z17" s="14">
        <f t="shared" si="82"/>
        <v>-1.8599166651256382E-9</v>
      </c>
      <c r="AA17" s="14">
        <f t="shared" si="82"/>
        <v>1.0925759852398187E-5</v>
      </c>
      <c r="AB17" s="15">
        <f t="shared" si="82"/>
        <v>3.7370107008882769E-13</v>
      </c>
      <c r="AC17" s="15">
        <f t="shared" si="82"/>
        <v>-2.2502466556773015E-9</v>
      </c>
      <c r="AD17" s="13">
        <f t="shared" si="82"/>
        <v>3.383636474609375E-3</v>
      </c>
      <c r="AE17" s="13">
        <f t="shared" si="82"/>
        <v>33.789604187011719</v>
      </c>
      <c r="AF17" s="12">
        <f t="shared" si="82"/>
        <v>6.6375732421875E-4</v>
      </c>
      <c r="AG17" s="12">
        <f t="shared" si="82"/>
        <v>-48.765010833740234</v>
      </c>
      <c r="AH17" s="13">
        <f t="shared" si="82"/>
        <v>-2.4897417461033911E-10</v>
      </c>
      <c r="AI17" s="13">
        <f t="shared" si="82"/>
        <v>2.210775619460037E-6</v>
      </c>
      <c r="AJ17" s="11">
        <f t="shared" si="82"/>
        <v>-8.0317258834838867E-6</v>
      </c>
      <c r="AK17" s="11">
        <f t="shared" si="82"/>
        <v>0.13028194010257721</v>
      </c>
      <c r="AL17" s="11">
        <f t="shared" si="82"/>
        <v>0</v>
      </c>
      <c r="AM17" s="11">
        <f t="shared" si="82"/>
        <v>-1.75</v>
      </c>
      <c r="AN17" s="11">
        <f t="shared" si="82"/>
        <v>1.1571682989597321E-7</v>
      </c>
      <c r="AO17" s="11">
        <f t="shared" si="82"/>
        <v>-2.0234801340848207E-3</v>
      </c>
      <c r="AP17" s="11">
        <f t="shared" si="82"/>
        <v>142.55402088165283</v>
      </c>
      <c r="AQ17" s="11">
        <f t="shared" si="82"/>
        <v>25150</v>
      </c>
      <c r="AR17" s="16">
        <f t="shared" si="82"/>
        <v>625</v>
      </c>
      <c r="AS17" s="16">
        <f t="shared" si="82"/>
        <v>2475</v>
      </c>
      <c r="AT17" s="16">
        <f t="shared" si="82"/>
        <v>142.55402088165283</v>
      </c>
      <c r="AU17" s="7">
        <f t="shared" si="82"/>
        <v>0</v>
      </c>
      <c r="AV17" s="7">
        <f t="shared" si="82"/>
        <v>1.75</v>
      </c>
      <c r="AW17" s="7">
        <f t="shared" si="82"/>
        <v>0</v>
      </c>
      <c r="AX17" s="7">
        <f t="shared" si="82"/>
        <v>-4297.05</v>
      </c>
      <c r="AY17" s="11">
        <f t="shared" si="82"/>
        <v>0</v>
      </c>
      <c r="AZ17" s="16">
        <f t="shared" si="82"/>
        <v>0</v>
      </c>
      <c r="BA17" s="16">
        <f t="shared" si="82"/>
        <v>0</v>
      </c>
      <c r="BB17" s="16">
        <f t="shared" si="82"/>
        <v>0</v>
      </c>
      <c r="BC17" s="11">
        <f t="shared" si="82"/>
        <v>0</v>
      </c>
      <c r="BD17" s="11">
        <f t="shared" si="82"/>
        <v>0</v>
      </c>
      <c r="BE17" s="11">
        <f t="shared" si="82"/>
        <v>0</v>
      </c>
      <c r="BF17" s="11">
        <f t="shared" si="82"/>
        <v>0</v>
      </c>
      <c r="BG17" s="11">
        <f t="shared" si="82"/>
        <v>0</v>
      </c>
      <c r="BH17" s="11">
        <f t="shared" si="82"/>
        <v>0</v>
      </c>
      <c r="BI17" s="13">
        <f t="shared" si="82"/>
        <v>0</v>
      </c>
      <c r="BJ17" s="13">
        <f t="shared" si="82"/>
        <v>0</v>
      </c>
      <c r="BK17" s="11">
        <f t="shared" si="82"/>
        <v>0</v>
      </c>
      <c r="BL17" s="12">
        <f t="shared" si="82"/>
        <v>0</v>
      </c>
      <c r="BM17" s="12">
        <f t="shared" si="82"/>
        <v>0</v>
      </c>
      <c r="BN17" s="13">
        <f t="shared" si="82"/>
        <v>0</v>
      </c>
      <c r="BO17" s="13">
        <f t="shared" si="82"/>
        <v>0</v>
      </c>
      <c r="BP17" s="15">
        <f t="shared" si="82"/>
        <v>0</v>
      </c>
      <c r="BQ17" s="15">
        <f t="shared" si="82"/>
        <v>0</v>
      </c>
      <c r="BR17" s="14">
        <f t="shared" si="82"/>
        <v>0</v>
      </c>
      <c r="BS17" s="14">
        <f t="shared" si="82"/>
        <v>0</v>
      </c>
      <c r="BT17" s="14">
        <f t="shared" si="82"/>
        <v>0</v>
      </c>
      <c r="BU17" s="14">
        <f t="shared" si="82"/>
        <v>0</v>
      </c>
      <c r="BV17" s="11">
        <f t="shared" si="82"/>
        <v>0</v>
      </c>
      <c r="BW17" s="11">
        <f t="shared" si="82"/>
        <v>0</v>
      </c>
      <c r="BX17" s="11">
        <f t="shared" si="82"/>
        <v>0</v>
      </c>
      <c r="BY17" s="11">
        <f t="shared" si="82"/>
        <v>0</v>
      </c>
      <c r="BZ17" s="7">
        <f t="shared" si="82"/>
        <v>0</v>
      </c>
      <c r="CA17" s="7">
        <f t="shared" si="82"/>
        <v>0</v>
      </c>
      <c r="CB17" s="7">
        <f t="shared" ref="CB17:CP17" si="83">IFERROR(VALUE(CB322),"-")</f>
        <v>0</v>
      </c>
      <c r="CC17" s="7">
        <f t="shared" si="83"/>
        <v>0</v>
      </c>
      <c r="CD17" s="7">
        <f t="shared" si="83"/>
        <v>0</v>
      </c>
      <c r="CE17" s="3">
        <f t="shared" si="83"/>
        <v>0</v>
      </c>
      <c r="CF17" s="7">
        <f t="shared" si="83"/>
        <v>0</v>
      </c>
      <c r="CG17" s="3">
        <f t="shared" si="83"/>
        <v>0</v>
      </c>
      <c r="CH17" s="7">
        <f t="shared" si="83"/>
        <v>0</v>
      </c>
      <c r="CI17" s="7">
        <f t="shared" si="83"/>
        <v>1.7000000476837158</v>
      </c>
      <c r="CJ17" s="3">
        <f t="shared" si="83"/>
        <v>25</v>
      </c>
      <c r="CK17" s="7">
        <f t="shared" si="83"/>
        <v>1.6499999761581421</v>
      </c>
      <c r="CL17" s="3">
        <f t="shared" si="83"/>
        <v>125</v>
      </c>
      <c r="CM17" s="7">
        <f t="shared" si="83"/>
        <v>2.0899999141693115</v>
      </c>
      <c r="CN17" s="10">
        <f t="shared" si="83"/>
        <v>44783.636701388888</v>
      </c>
      <c r="CO17" s="10">
        <f t="shared" si="83"/>
        <v>44783.638194444444</v>
      </c>
      <c r="CP17" s="7">
        <f t="shared" si="83"/>
        <v>38295.69921875</v>
      </c>
      <c r="CQ17" s="7" t="str">
        <f t="shared" ref="CQ17" si="84">IFERROR(CQ322,"-")</f>
        <v>FairPrice</v>
      </c>
      <c r="CR17" s="10">
        <f t="shared" si="74"/>
        <v>44783.638194444444</v>
      </c>
      <c r="CS17" s="7">
        <f t="shared" si="74"/>
        <v>1.0061264038085938E-2</v>
      </c>
      <c r="CT17" s="7">
        <f t="shared" si="74"/>
        <v>7.0583587442611114E-5</v>
      </c>
      <c r="CU17" s="7">
        <f t="shared" si="74"/>
        <v>1850</v>
      </c>
      <c r="CV17" s="7">
        <f t="shared" si="74"/>
        <v>0.33783783783783783</v>
      </c>
      <c r="CW17" s="7">
        <f t="shared" si="74"/>
        <v>1.75</v>
      </c>
      <c r="CX17" s="7">
        <f t="shared" si="74"/>
        <v>0</v>
      </c>
      <c r="CY17" s="7">
        <f t="shared" si="74"/>
        <v>4297.05</v>
      </c>
      <c r="CZ17" s="7">
        <f t="shared" si="74"/>
        <v>-1</v>
      </c>
      <c r="DA17" s="7">
        <f t="shared" si="74"/>
        <v>0</v>
      </c>
      <c r="DB17" s="7">
        <f t="shared" si="74"/>
        <v>0</v>
      </c>
      <c r="DC17" s="7">
        <f t="shared" si="74"/>
        <v>0</v>
      </c>
      <c r="DD17" s="7">
        <f t="shared" si="74"/>
        <v>0</v>
      </c>
      <c r="DE17" s="7">
        <f t="shared" si="74"/>
        <v>4297.05</v>
      </c>
      <c r="DF17" s="7">
        <f t="shared" si="74"/>
        <v>1.75</v>
      </c>
      <c r="DG17" s="7">
        <f t="shared" si="74"/>
        <v>38295.69921875</v>
      </c>
      <c r="DH17" s="7" t="str">
        <f t="shared" ref="DH17:DJ17" si="85">IFERROR(DH322,"-")</f>
        <v>R</v>
      </c>
      <c r="DI17" s="7" t="str">
        <f t="shared" si="85"/>
        <v>W</v>
      </c>
      <c r="DJ17" s="7" t="str">
        <f t="shared" si="85"/>
        <v>G</v>
      </c>
      <c r="DK17" s="64">
        <f t="shared" ref="DK17:DS17" si="86">IFERROR(VALUE(DK322),"-")</f>
        <v>38300</v>
      </c>
      <c r="DL17" s="64">
        <f t="shared" si="86"/>
        <v>3400000</v>
      </c>
      <c r="DM17" s="64">
        <f t="shared" si="86"/>
        <v>38500</v>
      </c>
      <c r="DN17" s="64">
        <f t="shared" si="86"/>
        <v>0</v>
      </c>
      <c r="DO17" s="64">
        <f t="shared" si="86"/>
        <v>24500</v>
      </c>
      <c r="DP17" s="64">
        <f t="shared" si="86"/>
        <v>2863350</v>
      </c>
      <c r="DQ17" s="64">
        <f t="shared" si="86"/>
        <v>38000</v>
      </c>
      <c r="DR17" s="64">
        <f t="shared" si="86"/>
        <v>0</v>
      </c>
      <c r="DS17" s="64">
        <f t="shared" si="86"/>
        <v>24500</v>
      </c>
      <c r="DT17" t="str">
        <f t="shared" si="7"/>
        <v>BANKNIFTY</v>
      </c>
      <c r="DU17" s="10">
        <f t="shared" si="8"/>
        <v>44784</v>
      </c>
    </row>
    <row r="18" spans="1:125" x14ac:dyDescent="0.25">
      <c r="A18" t="s">
        <v>11</v>
      </c>
      <c r="B18" s="2">
        <v>44833</v>
      </c>
      <c r="C18" s="1">
        <v>250</v>
      </c>
      <c r="D18">
        <v>94</v>
      </c>
      <c r="G18" t="str">
        <f t="array" ref="G18">IFERROR(INDEX($A$2:$A$700,MATCH(0,COUNTIF($G$1:G17,$A$2:$A$700),0)),"")</f>
        <v>ATUL</v>
      </c>
      <c r="H18" s="2" t="str">
        <f t="array" ref="H18">IFERROR(INDEX($B$1:$B$701,SMALL(IF(OptionChain!$AU$1=$A$1:$A$701,ROW($A$1:$A$701),""),ROW()-ROW($H$1))),"")</f>
        <v/>
      </c>
      <c r="I18" s="2" t="str">
        <f t="array" ref="I18">IFERROR(INDEX($B$1:$B$701,SMALL(IF($J$2=$A$1:$A$701,ROW($A$1:$A$701),""),ROW()-ROW($I$1))),"")</f>
        <v/>
      </c>
      <c r="L18" s="29"/>
      <c r="M18" s="3"/>
      <c r="N18" s="3"/>
      <c r="O18" s="3">
        <f t="shared" si="9"/>
        <v>31000</v>
      </c>
      <c r="P18" s="7">
        <f t="shared" ref="P18:CA18" si="87">IFERROR(VALUE(P323),"-")</f>
        <v>1.7000000476837158</v>
      </c>
      <c r="Q18" s="7">
        <f t="shared" si="87"/>
        <v>1.5</v>
      </c>
      <c r="R18" s="7">
        <f t="shared" si="87"/>
        <v>2.4000000953674316</v>
      </c>
      <c r="S18" s="7">
        <f t="shared" si="87"/>
        <v>2.2000000476837158</v>
      </c>
      <c r="T18" s="11">
        <f t="shared" si="87"/>
        <v>-20.796875</v>
      </c>
      <c r="U18" s="11">
        <f t="shared" si="87"/>
        <v>224761.375</v>
      </c>
      <c r="V18" s="11">
        <f t="shared" si="87"/>
        <v>-54.15625</v>
      </c>
      <c r="W18" s="11">
        <f t="shared" si="87"/>
        <v>293361.25</v>
      </c>
      <c r="X18" s="14">
        <f t="shared" si="87"/>
        <v>2.623892214614898E-9</v>
      </c>
      <c r="Y18" s="14">
        <f t="shared" si="87"/>
        <v>7.6561773312278092E-6</v>
      </c>
      <c r="Z18" s="14">
        <f t="shared" si="87"/>
        <v>2.8458089218474925E-9</v>
      </c>
      <c r="AA18" s="14">
        <f t="shared" si="87"/>
        <v>1.1231562893954106E-5</v>
      </c>
      <c r="AB18" s="15">
        <f t="shared" si="87"/>
        <v>-8.1956663677829056E-13</v>
      </c>
      <c r="AC18" s="15">
        <f t="shared" si="87"/>
        <v>-2.3082180611311287E-9</v>
      </c>
      <c r="AD18" s="13">
        <f t="shared" si="87"/>
        <v>2.6702880859375E-4</v>
      </c>
      <c r="AE18" s="13">
        <f t="shared" si="87"/>
        <v>34.188503265380859</v>
      </c>
      <c r="AF18" s="12">
        <f t="shared" si="87"/>
        <v>4.085540771484375E-3</v>
      </c>
      <c r="AG18" s="12">
        <f t="shared" si="87"/>
        <v>-50.154319763183594</v>
      </c>
      <c r="AH18" s="13">
        <f t="shared" si="87"/>
        <v>5.3637450037058443E-10</v>
      </c>
      <c r="AI18" s="13">
        <f t="shared" si="87"/>
        <v>2.2275601168075809E-6</v>
      </c>
      <c r="AJ18" s="11">
        <f t="shared" si="87"/>
        <v>2.7418136596679688E-6</v>
      </c>
      <c r="AK18" s="11">
        <f t="shared" si="87"/>
        <v>0.12899152934551239</v>
      </c>
      <c r="AL18" s="11">
        <f t="shared" si="87"/>
        <v>0</v>
      </c>
      <c r="AM18" s="11">
        <f t="shared" si="87"/>
        <v>-1.7000000476837158</v>
      </c>
      <c r="AN18" s="11">
        <f t="shared" si="87"/>
        <v>-2.4470500648021698E-7</v>
      </c>
      <c r="AO18" s="11">
        <f t="shared" si="87"/>
        <v>-2.0021712407469749E-3</v>
      </c>
      <c r="AP18" s="11">
        <f t="shared" si="87"/>
        <v>140.17480611801147</v>
      </c>
      <c r="AQ18" s="11">
        <f t="shared" si="87"/>
        <v>213900</v>
      </c>
      <c r="AR18" s="16">
        <f t="shared" si="87"/>
        <v>-7600</v>
      </c>
      <c r="AS18" s="16">
        <f t="shared" si="87"/>
        <v>38925</v>
      </c>
      <c r="AT18" s="16">
        <f t="shared" si="87"/>
        <v>140.17480611801147</v>
      </c>
      <c r="AU18" s="7">
        <f t="shared" si="87"/>
        <v>0</v>
      </c>
      <c r="AV18" s="7">
        <f t="shared" si="87"/>
        <v>1.7000000476837158</v>
      </c>
      <c r="AW18" s="7">
        <f t="shared" si="87"/>
        <v>0</v>
      </c>
      <c r="AX18" s="7">
        <f t="shared" si="87"/>
        <v>-4207.25</v>
      </c>
      <c r="AY18" s="11">
        <f t="shared" si="87"/>
        <v>0</v>
      </c>
      <c r="AZ18" s="16">
        <f t="shared" si="87"/>
        <v>0</v>
      </c>
      <c r="BA18" s="16">
        <f t="shared" si="87"/>
        <v>0</v>
      </c>
      <c r="BB18" s="16">
        <f t="shared" si="87"/>
        <v>0</v>
      </c>
      <c r="BC18" s="11">
        <f t="shared" si="87"/>
        <v>0</v>
      </c>
      <c r="BD18" s="11">
        <f t="shared" si="87"/>
        <v>0</v>
      </c>
      <c r="BE18" s="11">
        <f t="shared" si="87"/>
        <v>0</v>
      </c>
      <c r="BF18" s="11">
        <f t="shared" si="87"/>
        <v>0</v>
      </c>
      <c r="BG18" s="11">
        <f t="shared" si="87"/>
        <v>0</v>
      </c>
      <c r="BH18" s="11">
        <f t="shared" si="87"/>
        <v>0</v>
      </c>
      <c r="BI18" s="13">
        <f t="shared" si="87"/>
        <v>0</v>
      </c>
      <c r="BJ18" s="13">
        <f t="shared" si="87"/>
        <v>0</v>
      </c>
      <c r="BK18" s="11">
        <f t="shared" si="87"/>
        <v>0</v>
      </c>
      <c r="BL18" s="12">
        <f t="shared" si="87"/>
        <v>0</v>
      </c>
      <c r="BM18" s="12">
        <f t="shared" si="87"/>
        <v>0</v>
      </c>
      <c r="BN18" s="13">
        <f t="shared" si="87"/>
        <v>0</v>
      </c>
      <c r="BO18" s="13">
        <f t="shared" si="87"/>
        <v>0</v>
      </c>
      <c r="BP18" s="15">
        <f t="shared" si="87"/>
        <v>0</v>
      </c>
      <c r="BQ18" s="15">
        <f t="shared" si="87"/>
        <v>0</v>
      </c>
      <c r="BR18" s="14">
        <f t="shared" si="87"/>
        <v>0</v>
      </c>
      <c r="BS18" s="14">
        <f t="shared" si="87"/>
        <v>0</v>
      </c>
      <c r="BT18" s="14">
        <f t="shared" si="87"/>
        <v>0</v>
      </c>
      <c r="BU18" s="14">
        <f t="shared" si="87"/>
        <v>0</v>
      </c>
      <c r="BV18" s="11">
        <f t="shared" si="87"/>
        <v>0</v>
      </c>
      <c r="BW18" s="11">
        <f t="shared" si="87"/>
        <v>0</v>
      </c>
      <c r="BX18" s="11">
        <f t="shared" si="87"/>
        <v>0</v>
      </c>
      <c r="BY18" s="11">
        <f t="shared" si="87"/>
        <v>0</v>
      </c>
      <c r="BZ18" s="7">
        <f t="shared" si="87"/>
        <v>0</v>
      </c>
      <c r="CA18" s="7">
        <f t="shared" si="87"/>
        <v>0</v>
      </c>
      <c r="CB18" s="7">
        <f t="shared" ref="CB18:CP18" si="88">IFERROR(VALUE(CB323),"-")</f>
        <v>0</v>
      </c>
      <c r="CC18" s="7">
        <f t="shared" si="88"/>
        <v>0</v>
      </c>
      <c r="CD18" s="7">
        <f t="shared" si="88"/>
        <v>0</v>
      </c>
      <c r="CE18" s="3">
        <f t="shared" si="88"/>
        <v>0</v>
      </c>
      <c r="CF18" s="7">
        <f t="shared" si="88"/>
        <v>0</v>
      </c>
      <c r="CG18" s="3">
        <f t="shared" si="88"/>
        <v>0</v>
      </c>
      <c r="CH18" s="7">
        <f t="shared" si="88"/>
        <v>0</v>
      </c>
      <c r="CI18" s="7">
        <f t="shared" si="88"/>
        <v>1.75</v>
      </c>
      <c r="CJ18" s="3">
        <f t="shared" si="88"/>
        <v>750</v>
      </c>
      <c r="CK18" s="7">
        <f t="shared" si="88"/>
        <v>1.7000000476837158</v>
      </c>
      <c r="CL18" s="3">
        <f t="shared" si="88"/>
        <v>25</v>
      </c>
      <c r="CM18" s="7">
        <f t="shared" si="88"/>
        <v>1.9600000381469727</v>
      </c>
      <c r="CN18" s="10">
        <f t="shared" si="88"/>
        <v>44783.636701388888</v>
      </c>
      <c r="CO18" s="10">
        <f t="shared" si="88"/>
        <v>44783.638194444444</v>
      </c>
      <c r="CP18" s="7">
        <f t="shared" si="88"/>
        <v>38295.69921875</v>
      </c>
      <c r="CQ18" s="7" t="str">
        <f t="shared" ref="CQ18" si="89">IFERROR(CQ323,"-")</f>
        <v>FairPrice</v>
      </c>
      <c r="CR18" s="10">
        <f t="shared" si="74"/>
        <v>44783.638194444444</v>
      </c>
      <c r="CS18" s="7">
        <f t="shared" si="74"/>
        <v>-5.6624412536621094E-3</v>
      </c>
      <c r="CT18" s="7">
        <f t="shared" si="74"/>
        <v>-4.039393869815863E-5</v>
      </c>
      <c r="CU18" s="7">
        <f t="shared" si="74"/>
        <v>46525</v>
      </c>
      <c r="CV18" s="7">
        <f t="shared" si="74"/>
        <v>-0.16335303600214937</v>
      </c>
      <c r="CW18" s="7">
        <f t="shared" si="74"/>
        <v>1.7000000476837158</v>
      </c>
      <c r="CX18" s="7">
        <f t="shared" si="74"/>
        <v>0</v>
      </c>
      <c r="CY18" s="7">
        <f t="shared" si="74"/>
        <v>4207.25</v>
      </c>
      <c r="CZ18" s="7">
        <f t="shared" si="74"/>
        <v>-1</v>
      </c>
      <c r="DA18" s="7">
        <f t="shared" si="74"/>
        <v>0</v>
      </c>
      <c r="DB18" s="7">
        <f t="shared" si="74"/>
        <v>0</v>
      </c>
      <c r="DC18" s="7">
        <f t="shared" si="74"/>
        <v>0</v>
      </c>
      <c r="DD18" s="7">
        <f t="shared" si="74"/>
        <v>0</v>
      </c>
      <c r="DE18" s="7">
        <f t="shared" si="74"/>
        <v>4207.25</v>
      </c>
      <c r="DF18" s="7">
        <f t="shared" si="74"/>
        <v>1.7000000476837158</v>
      </c>
      <c r="DG18" s="7">
        <f t="shared" si="74"/>
        <v>38295.69921875</v>
      </c>
      <c r="DH18" s="7" t="str">
        <f t="shared" ref="DH18:DJ18" si="90">IFERROR(DH323,"-")</f>
        <v>R</v>
      </c>
      <c r="DI18" s="7" t="str">
        <f t="shared" si="90"/>
        <v>W</v>
      </c>
      <c r="DJ18" s="7" t="str">
        <f t="shared" si="90"/>
        <v>G</v>
      </c>
      <c r="DK18" s="64">
        <f t="shared" ref="DK18:DS18" si="91">IFERROR(VALUE(DK323),"-")</f>
        <v>38300</v>
      </c>
      <c r="DL18" s="64">
        <f t="shared" si="91"/>
        <v>3400000</v>
      </c>
      <c r="DM18" s="64">
        <f t="shared" si="91"/>
        <v>38500</v>
      </c>
      <c r="DN18" s="64">
        <f t="shared" si="91"/>
        <v>0</v>
      </c>
      <c r="DO18" s="64">
        <f t="shared" si="91"/>
        <v>24500</v>
      </c>
      <c r="DP18" s="64">
        <f t="shared" si="91"/>
        <v>2863350</v>
      </c>
      <c r="DQ18" s="64">
        <f t="shared" si="91"/>
        <v>38000</v>
      </c>
      <c r="DR18" s="64">
        <f t="shared" si="91"/>
        <v>0</v>
      </c>
      <c r="DS18" s="64">
        <f t="shared" si="91"/>
        <v>24500</v>
      </c>
      <c r="DT18" t="str">
        <f t="shared" si="7"/>
        <v>BANKNIFTY</v>
      </c>
      <c r="DU18" s="10">
        <f t="shared" si="8"/>
        <v>44784</v>
      </c>
    </row>
    <row r="19" spans="1:125" x14ac:dyDescent="0.25">
      <c r="A19" t="s">
        <v>11</v>
      </c>
      <c r="B19" s="2">
        <v>44861</v>
      </c>
      <c r="C19" s="1">
        <v>250</v>
      </c>
      <c r="D19">
        <v>94</v>
      </c>
      <c r="G19" t="str">
        <f t="array" ref="G19">IFERROR(INDEX($A$2:$A$700,MATCH(0,COUNTIF($G$1:G18,$A$2:$A$700),0)),"")</f>
        <v>AUBANK</v>
      </c>
      <c r="H19" s="2" t="str">
        <f t="array" ref="H19">IFERROR(INDEX($B$1:$B$701,SMALL(IF(OptionChain!$AU$1=$A$1:$A$701,ROW($A$1:$A$701),""),ROW()-ROW($H$1))),"")</f>
        <v/>
      </c>
      <c r="I19" s="2" t="str">
        <f t="array" ref="I19">IFERROR(INDEX($B$1:$B$701,SMALL(IF($J$2=$A$1:$A$701,ROW($A$1:$A$701),""),ROW()-ROW($I$1))),"")</f>
        <v/>
      </c>
      <c r="M19" s="3"/>
      <c r="N19" s="3"/>
      <c r="O19" s="3">
        <f t="shared" si="9"/>
        <v>31100</v>
      </c>
      <c r="P19" s="7">
        <f t="shared" ref="P19:CA19" si="92">IFERROR(VALUE(P324),"-")</f>
        <v>1.8999999761581421</v>
      </c>
      <c r="Q19" s="7">
        <f t="shared" si="92"/>
        <v>1.6499999761581421</v>
      </c>
      <c r="R19" s="7">
        <f t="shared" si="92"/>
        <v>3.6500000953674316</v>
      </c>
      <c r="S19" s="7">
        <f t="shared" si="92"/>
        <v>2.6500000953674316</v>
      </c>
      <c r="T19" s="11">
        <f t="shared" si="92"/>
        <v>4.3125</v>
      </c>
      <c r="U19" s="11">
        <f t="shared" si="92"/>
        <v>199915.984375</v>
      </c>
      <c r="V19" s="11">
        <f t="shared" si="92"/>
        <v>-11.296875</v>
      </c>
      <c r="W19" s="11">
        <f t="shared" si="92"/>
        <v>261105.5</v>
      </c>
      <c r="X19" s="14">
        <f t="shared" si="92"/>
        <v>3.5652192309498787E-10</v>
      </c>
      <c r="Y19" s="14">
        <f t="shared" si="92"/>
        <v>8.2320902947685681E-6</v>
      </c>
      <c r="Z19" s="14">
        <f t="shared" si="92"/>
        <v>-2.6193447411060333E-10</v>
      </c>
      <c r="AA19" s="14">
        <f t="shared" si="92"/>
        <v>1.2116393918404356E-5</v>
      </c>
      <c r="AB19" s="15">
        <f t="shared" si="92"/>
        <v>0</v>
      </c>
      <c r="AC19" s="15">
        <f t="shared" si="92"/>
        <v>-2.5292250516173453E-9</v>
      </c>
      <c r="AD19" s="13">
        <f t="shared" si="92"/>
        <v>1.3275146484375E-3</v>
      </c>
      <c r="AE19" s="13">
        <f t="shared" si="92"/>
        <v>30.688198089599609</v>
      </c>
      <c r="AF19" s="12">
        <f t="shared" si="92"/>
        <v>9.765625E-4</v>
      </c>
      <c r="AG19" s="12">
        <f t="shared" si="92"/>
        <v>-45.16839599609375</v>
      </c>
      <c r="AH19" s="13">
        <f t="shared" si="92"/>
        <v>0</v>
      </c>
      <c r="AI19" s="13">
        <f t="shared" si="92"/>
        <v>2.4607309114799136E-6</v>
      </c>
      <c r="AJ19" s="11">
        <f t="shared" si="92"/>
        <v>-3.0696392059326172E-6</v>
      </c>
      <c r="AK19" s="11">
        <f t="shared" si="92"/>
        <v>0.14200322329998016</v>
      </c>
      <c r="AL19" s="11">
        <f t="shared" si="92"/>
        <v>0</v>
      </c>
      <c r="AM19" s="11">
        <f t="shared" si="92"/>
        <v>-1.8999999761581421</v>
      </c>
      <c r="AN19" s="11">
        <f t="shared" si="92"/>
        <v>0</v>
      </c>
      <c r="AO19" s="11">
        <f t="shared" si="92"/>
        <v>-2.2260225377976894E-3</v>
      </c>
      <c r="AP19" s="11">
        <f t="shared" si="92"/>
        <v>139.7003173828125</v>
      </c>
      <c r="AQ19" s="11">
        <f t="shared" si="92"/>
        <v>6725</v>
      </c>
      <c r="AR19" s="16">
        <f t="shared" si="92"/>
        <v>1100</v>
      </c>
      <c r="AS19" s="16">
        <f t="shared" si="92"/>
        <v>1800</v>
      </c>
      <c r="AT19" s="16">
        <f t="shared" si="92"/>
        <v>139.7003173828125</v>
      </c>
      <c r="AU19" s="7">
        <f t="shared" si="92"/>
        <v>0</v>
      </c>
      <c r="AV19" s="7">
        <f t="shared" si="92"/>
        <v>1.8999999761581421</v>
      </c>
      <c r="AW19" s="7">
        <f t="shared" si="92"/>
        <v>0</v>
      </c>
      <c r="AX19" s="7">
        <f t="shared" si="92"/>
        <v>-4118.05</v>
      </c>
      <c r="AY19" s="11">
        <f t="shared" si="92"/>
        <v>0</v>
      </c>
      <c r="AZ19" s="16">
        <f t="shared" si="92"/>
        <v>0</v>
      </c>
      <c r="BA19" s="16">
        <f t="shared" si="92"/>
        <v>0</v>
      </c>
      <c r="BB19" s="16">
        <f t="shared" si="92"/>
        <v>0</v>
      </c>
      <c r="BC19" s="11">
        <f t="shared" si="92"/>
        <v>0</v>
      </c>
      <c r="BD19" s="11">
        <f t="shared" si="92"/>
        <v>0</v>
      </c>
      <c r="BE19" s="11">
        <f t="shared" si="92"/>
        <v>0</v>
      </c>
      <c r="BF19" s="11">
        <f t="shared" si="92"/>
        <v>0</v>
      </c>
      <c r="BG19" s="11">
        <f t="shared" si="92"/>
        <v>0</v>
      </c>
      <c r="BH19" s="11">
        <f t="shared" si="92"/>
        <v>0</v>
      </c>
      <c r="BI19" s="13">
        <f t="shared" si="92"/>
        <v>0</v>
      </c>
      <c r="BJ19" s="13">
        <f t="shared" si="92"/>
        <v>0</v>
      </c>
      <c r="BK19" s="11">
        <f t="shared" si="92"/>
        <v>0</v>
      </c>
      <c r="BL19" s="12">
        <f t="shared" si="92"/>
        <v>0</v>
      </c>
      <c r="BM19" s="12">
        <f t="shared" si="92"/>
        <v>0</v>
      </c>
      <c r="BN19" s="13">
        <f t="shared" si="92"/>
        <v>0</v>
      </c>
      <c r="BO19" s="13">
        <f t="shared" si="92"/>
        <v>0</v>
      </c>
      <c r="BP19" s="15">
        <f t="shared" si="92"/>
        <v>0</v>
      </c>
      <c r="BQ19" s="15">
        <f t="shared" si="92"/>
        <v>0</v>
      </c>
      <c r="BR19" s="14">
        <f t="shared" si="92"/>
        <v>0</v>
      </c>
      <c r="BS19" s="14">
        <f t="shared" si="92"/>
        <v>0</v>
      </c>
      <c r="BT19" s="14">
        <f t="shared" si="92"/>
        <v>0</v>
      </c>
      <c r="BU19" s="14">
        <f t="shared" si="92"/>
        <v>0</v>
      </c>
      <c r="BV19" s="11">
        <f t="shared" si="92"/>
        <v>0</v>
      </c>
      <c r="BW19" s="11">
        <f t="shared" si="92"/>
        <v>0</v>
      </c>
      <c r="BX19" s="11">
        <f t="shared" si="92"/>
        <v>0</v>
      </c>
      <c r="BY19" s="11">
        <f t="shared" si="92"/>
        <v>0</v>
      </c>
      <c r="BZ19" s="7">
        <f t="shared" si="92"/>
        <v>0</v>
      </c>
      <c r="CA19" s="7">
        <f t="shared" si="92"/>
        <v>0</v>
      </c>
      <c r="CB19" s="7">
        <f t="shared" ref="CB19:CP19" si="93">IFERROR(VALUE(CB324),"-")</f>
        <v>0</v>
      </c>
      <c r="CC19" s="7">
        <f t="shared" si="93"/>
        <v>0</v>
      </c>
      <c r="CD19" s="7">
        <f t="shared" si="93"/>
        <v>0</v>
      </c>
      <c r="CE19" s="3">
        <f t="shared" si="93"/>
        <v>0</v>
      </c>
      <c r="CF19" s="7">
        <f t="shared" si="93"/>
        <v>0</v>
      </c>
      <c r="CG19" s="3">
        <f t="shared" si="93"/>
        <v>0</v>
      </c>
      <c r="CH19" s="7">
        <f t="shared" si="93"/>
        <v>0</v>
      </c>
      <c r="CI19" s="7">
        <f t="shared" si="93"/>
        <v>1.8999999761581421</v>
      </c>
      <c r="CJ19" s="3">
        <f t="shared" si="93"/>
        <v>150</v>
      </c>
      <c r="CK19" s="7">
        <f t="shared" si="93"/>
        <v>1.8500000238418579</v>
      </c>
      <c r="CL19" s="3">
        <f t="shared" si="93"/>
        <v>350</v>
      </c>
      <c r="CM19" s="7">
        <f t="shared" si="93"/>
        <v>2.0399999618530273</v>
      </c>
      <c r="CN19" s="10">
        <f t="shared" si="93"/>
        <v>44783.636701388888</v>
      </c>
      <c r="CO19" s="10">
        <f t="shared" si="93"/>
        <v>44783.638194444444</v>
      </c>
      <c r="CP19" s="7">
        <f t="shared" si="93"/>
        <v>38295.69921875</v>
      </c>
      <c r="CQ19" s="7" t="str">
        <f t="shared" ref="CQ19" si="94">IFERROR(CQ324,"-")</f>
        <v>FairPrice</v>
      </c>
      <c r="CR19" s="10">
        <f t="shared" si="74"/>
        <v>44783.638194444444</v>
      </c>
      <c r="CS19" s="7">
        <f t="shared" si="74"/>
        <v>3.0279159545898438E-3</v>
      </c>
      <c r="CT19" s="7">
        <f t="shared" si="74"/>
        <v>2.1674836828585664E-5</v>
      </c>
      <c r="CU19" s="7">
        <f t="shared" si="74"/>
        <v>700</v>
      </c>
      <c r="CV19" s="7">
        <f t="shared" si="74"/>
        <v>1.5714285714285714</v>
      </c>
      <c r="CW19" s="7">
        <f t="shared" si="74"/>
        <v>1.8999999761581421</v>
      </c>
      <c r="CX19" s="7">
        <f t="shared" si="74"/>
        <v>0</v>
      </c>
      <c r="CY19" s="7">
        <f t="shared" si="74"/>
        <v>4118.05</v>
      </c>
      <c r="CZ19" s="7">
        <f t="shared" si="74"/>
        <v>-1</v>
      </c>
      <c r="DA19" s="7">
        <f t="shared" si="74"/>
        <v>0</v>
      </c>
      <c r="DB19" s="7">
        <f t="shared" si="74"/>
        <v>0</v>
      </c>
      <c r="DC19" s="7">
        <f t="shared" si="74"/>
        <v>0</v>
      </c>
      <c r="DD19" s="7">
        <f t="shared" si="74"/>
        <v>0</v>
      </c>
      <c r="DE19" s="7">
        <f t="shared" si="74"/>
        <v>4118.05</v>
      </c>
      <c r="DF19" s="7">
        <f t="shared" si="74"/>
        <v>1.8999999761581421</v>
      </c>
      <c r="DG19" s="7">
        <f t="shared" si="74"/>
        <v>38295.69921875</v>
      </c>
      <c r="DH19" s="7" t="str">
        <f t="shared" ref="DH19:DJ19" si="95">IFERROR(DH324,"-")</f>
        <v>R</v>
      </c>
      <c r="DI19" s="7" t="str">
        <f t="shared" si="95"/>
        <v>W</v>
      </c>
      <c r="DJ19" s="7" t="str">
        <f t="shared" si="95"/>
        <v>G</v>
      </c>
      <c r="DK19" s="64">
        <f t="shared" ref="DK19:DS19" si="96">IFERROR(VALUE(DK324),"-")</f>
        <v>38300</v>
      </c>
      <c r="DL19" s="64">
        <f t="shared" si="96"/>
        <v>3400000</v>
      </c>
      <c r="DM19" s="64">
        <f t="shared" si="96"/>
        <v>38500</v>
      </c>
      <c r="DN19" s="64">
        <f t="shared" si="96"/>
        <v>0</v>
      </c>
      <c r="DO19" s="64">
        <f t="shared" si="96"/>
        <v>24500</v>
      </c>
      <c r="DP19" s="64">
        <f t="shared" si="96"/>
        <v>2863350</v>
      </c>
      <c r="DQ19" s="64">
        <f t="shared" si="96"/>
        <v>38000</v>
      </c>
      <c r="DR19" s="64">
        <f t="shared" si="96"/>
        <v>0</v>
      </c>
      <c r="DS19" s="64">
        <f t="shared" si="96"/>
        <v>24500</v>
      </c>
      <c r="DT19" t="str">
        <f t="shared" si="7"/>
        <v>BANKNIFTY</v>
      </c>
      <c r="DU19" s="10">
        <f t="shared" si="8"/>
        <v>44784</v>
      </c>
    </row>
    <row r="20" spans="1:125" x14ac:dyDescent="0.25">
      <c r="A20" t="s">
        <v>12</v>
      </c>
      <c r="B20" s="2">
        <v>44798</v>
      </c>
      <c r="C20" s="1">
        <v>500</v>
      </c>
      <c r="D20">
        <v>88</v>
      </c>
      <c r="G20" t="str">
        <f t="array" ref="G20">IFERROR(INDEX($A$2:$A$700,MATCH(0,COUNTIF($G$1:G19,$A$2:$A$700),0)),"")</f>
        <v>AUROPHARMA</v>
      </c>
      <c r="H20" s="2" t="str">
        <f t="array" ref="H20">IFERROR(INDEX($B$1:$B$701,SMALL(IF(OptionChain!$AU$1=$A$1:$A$701,ROW($A$1:$A$701),""),ROW()-ROW($H$1))),"")</f>
        <v/>
      </c>
      <c r="I20" s="2" t="str">
        <f t="array" ref="I20">IFERROR(INDEX($B$1:$B$701,SMALL(IF($J$2=$A$1:$A$701,ROW($A$1:$A$701),""),ROW()-ROW($I$1))),"")</f>
        <v/>
      </c>
      <c r="M20" s="3"/>
      <c r="N20" s="3"/>
      <c r="O20" s="3">
        <f t="shared" si="9"/>
        <v>31200</v>
      </c>
      <c r="P20" s="7">
        <f t="shared" ref="P20:CA20" si="97">IFERROR(VALUE(P325),"-")</f>
        <v>1.8500000238418579</v>
      </c>
      <c r="Q20" s="7">
        <f t="shared" si="97"/>
        <v>1.6499999761581421</v>
      </c>
      <c r="R20" s="7">
        <f t="shared" si="97"/>
        <v>3.0499999523162842</v>
      </c>
      <c r="S20" s="7">
        <f t="shared" si="97"/>
        <v>3.0499999523162842</v>
      </c>
      <c r="T20" s="11">
        <f t="shared" si="97"/>
        <v>8.71875</v>
      </c>
      <c r="U20" s="11">
        <f t="shared" si="97"/>
        <v>202041.765625</v>
      </c>
      <c r="V20" s="11">
        <f t="shared" si="97"/>
        <v>-23.1875</v>
      </c>
      <c r="W20" s="11">
        <f t="shared" si="97"/>
        <v>268656.15625</v>
      </c>
      <c r="X20" s="14">
        <f t="shared" si="97"/>
        <v>7.1759131969884038E-10</v>
      </c>
      <c r="Y20" s="14">
        <f t="shared" si="97"/>
        <v>8.3093691500835121E-6</v>
      </c>
      <c r="Z20" s="14">
        <f t="shared" si="97"/>
        <v>-5.3751136874780059E-10</v>
      </c>
      <c r="AA20" s="14">
        <f t="shared" si="97"/>
        <v>1.2447781045921147E-5</v>
      </c>
      <c r="AB20" s="15">
        <f t="shared" si="97"/>
        <v>0</v>
      </c>
      <c r="AC20" s="15">
        <f t="shared" si="97"/>
        <v>-2.590692993464927E-9</v>
      </c>
      <c r="AD20" s="13">
        <f t="shared" si="97"/>
        <v>2.6760101318359375E-3</v>
      </c>
      <c r="AE20" s="13">
        <f t="shared" si="97"/>
        <v>30.970727920532227</v>
      </c>
      <c r="AF20" s="12">
        <f t="shared" si="97"/>
        <v>2.00653076171875E-3</v>
      </c>
      <c r="AG20" s="12">
        <f t="shared" si="97"/>
        <v>-46.395439147949219</v>
      </c>
      <c r="AH20" s="13">
        <f t="shared" si="97"/>
        <v>0</v>
      </c>
      <c r="AI20" s="13">
        <f t="shared" si="97"/>
        <v>2.4789394501567585E-6</v>
      </c>
      <c r="AJ20" s="11">
        <f t="shared" si="97"/>
        <v>-6.0796737670898438E-6</v>
      </c>
      <c r="AK20" s="11">
        <f t="shared" si="97"/>
        <v>0.14087212085723877</v>
      </c>
      <c r="AL20" s="11">
        <f t="shared" si="97"/>
        <v>0</v>
      </c>
      <c r="AM20" s="11">
        <f t="shared" si="97"/>
        <v>-1.8500000238418579</v>
      </c>
      <c r="AN20" s="11">
        <f t="shared" si="97"/>
        <v>0</v>
      </c>
      <c r="AO20" s="11">
        <f t="shared" si="97"/>
        <v>-2.2049129474908113E-3</v>
      </c>
      <c r="AP20" s="11">
        <f t="shared" si="97"/>
        <v>137.39418983459473</v>
      </c>
      <c r="AQ20" s="11">
        <f t="shared" si="97"/>
        <v>16925</v>
      </c>
      <c r="AR20" s="16">
        <f t="shared" si="97"/>
        <v>725</v>
      </c>
      <c r="AS20" s="16">
        <f t="shared" si="97"/>
        <v>3025</v>
      </c>
      <c r="AT20" s="16">
        <f t="shared" si="97"/>
        <v>137.39418983459473</v>
      </c>
      <c r="AU20" s="7">
        <f t="shared" si="97"/>
        <v>0</v>
      </c>
      <c r="AV20" s="7">
        <f t="shared" si="97"/>
        <v>1.8500000238418579</v>
      </c>
      <c r="AW20" s="7">
        <f t="shared" si="97"/>
        <v>0</v>
      </c>
      <c r="AX20" s="7">
        <f t="shared" si="97"/>
        <v>-4029.5</v>
      </c>
      <c r="AY20" s="11">
        <f t="shared" si="97"/>
        <v>0</v>
      </c>
      <c r="AZ20" s="16">
        <f t="shared" si="97"/>
        <v>0</v>
      </c>
      <c r="BA20" s="16">
        <f t="shared" si="97"/>
        <v>0</v>
      </c>
      <c r="BB20" s="16">
        <f t="shared" si="97"/>
        <v>0</v>
      </c>
      <c r="BC20" s="11">
        <f t="shared" si="97"/>
        <v>0</v>
      </c>
      <c r="BD20" s="11">
        <f t="shared" si="97"/>
        <v>0</v>
      </c>
      <c r="BE20" s="11">
        <f t="shared" si="97"/>
        <v>0</v>
      </c>
      <c r="BF20" s="11">
        <f t="shared" si="97"/>
        <v>0</v>
      </c>
      <c r="BG20" s="11">
        <f t="shared" si="97"/>
        <v>0</v>
      </c>
      <c r="BH20" s="11">
        <f t="shared" si="97"/>
        <v>0</v>
      </c>
      <c r="BI20" s="13">
        <f t="shared" si="97"/>
        <v>0</v>
      </c>
      <c r="BJ20" s="13">
        <f t="shared" si="97"/>
        <v>0</v>
      </c>
      <c r="BK20" s="11">
        <f t="shared" si="97"/>
        <v>0</v>
      </c>
      <c r="BL20" s="12">
        <f t="shared" si="97"/>
        <v>0</v>
      </c>
      <c r="BM20" s="12">
        <f t="shared" si="97"/>
        <v>0</v>
      </c>
      <c r="BN20" s="13">
        <f t="shared" si="97"/>
        <v>0</v>
      </c>
      <c r="BO20" s="13">
        <f t="shared" si="97"/>
        <v>0</v>
      </c>
      <c r="BP20" s="15">
        <f t="shared" si="97"/>
        <v>0</v>
      </c>
      <c r="BQ20" s="15">
        <f t="shared" si="97"/>
        <v>0</v>
      </c>
      <c r="BR20" s="14">
        <f t="shared" si="97"/>
        <v>0</v>
      </c>
      <c r="BS20" s="14">
        <f t="shared" si="97"/>
        <v>0</v>
      </c>
      <c r="BT20" s="14">
        <f t="shared" si="97"/>
        <v>0</v>
      </c>
      <c r="BU20" s="14">
        <f t="shared" si="97"/>
        <v>0</v>
      </c>
      <c r="BV20" s="11">
        <f t="shared" si="97"/>
        <v>0</v>
      </c>
      <c r="BW20" s="11">
        <f t="shared" si="97"/>
        <v>0</v>
      </c>
      <c r="BX20" s="11">
        <f t="shared" si="97"/>
        <v>0</v>
      </c>
      <c r="BY20" s="11">
        <f t="shared" si="97"/>
        <v>0</v>
      </c>
      <c r="BZ20" s="7">
        <f t="shared" si="97"/>
        <v>0</v>
      </c>
      <c r="CA20" s="7">
        <f t="shared" si="97"/>
        <v>0</v>
      </c>
      <c r="CB20" s="7">
        <f t="shared" ref="CB20:CP20" si="98">IFERROR(VALUE(CB325),"-")</f>
        <v>0</v>
      </c>
      <c r="CC20" s="7">
        <f t="shared" si="98"/>
        <v>0</v>
      </c>
      <c r="CD20" s="7">
        <f t="shared" si="98"/>
        <v>0</v>
      </c>
      <c r="CE20" s="3">
        <f t="shared" si="98"/>
        <v>0</v>
      </c>
      <c r="CF20" s="7">
        <f t="shared" si="98"/>
        <v>0</v>
      </c>
      <c r="CG20" s="3">
        <f t="shared" si="98"/>
        <v>0</v>
      </c>
      <c r="CH20" s="7">
        <f t="shared" si="98"/>
        <v>0</v>
      </c>
      <c r="CI20" s="7">
        <f t="shared" si="98"/>
        <v>2.1500000953674316</v>
      </c>
      <c r="CJ20" s="3">
        <f t="shared" si="98"/>
        <v>200</v>
      </c>
      <c r="CK20" s="7">
        <f t="shared" si="98"/>
        <v>1.75</v>
      </c>
      <c r="CL20" s="3">
        <f t="shared" si="98"/>
        <v>175</v>
      </c>
      <c r="CM20" s="7">
        <f t="shared" si="98"/>
        <v>2.1400001049041748</v>
      </c>
      <c r="CN20" s="10">
        <f t="shared" si="98"/>
        <v>44783.636701388888</v>
      </c>
      <c r="CO20" s="10">
        <f t="shared" si="98"/>
        <v>44783.638194444444</v>
      </c>
      <c r="CP20" s="7">
        <f t="shared" si="98"/>
        <v>38295.69921875</v>
      </c>
      <c r="CQ20" s="7" t="str">
        <f t="shared" ref="CQ20" si="99">IFERROR(CQ325,"-")</f>
        <v>FairPrice</v>
      </c>
      <c r="CR20" s="10">
        <f t="shared" si="74"/>
        <v>44783.638194444444</v>
      </c>
      <c r="CS20" s="7">
        <f t="shared" si="74"/>
        <v>5.9366226196289063E-3</v>
      </c>
      <c r="CT20" s="7">
        <f t="shared" si="74"/>
        <v>4.3210554620483784E-5</v>
      </c>
      <c r="CU20" s="7">
        <f t="shared" si="74"/>
        <v>2300</v>
      </c>
      <c r="CV20" s="7">
        <f t="shared" si="74"/>
        <v>0.31521739130434784</v>
      </c>
      <c r="CW20" s="7">
        <f t="shared" si="74"/>
        <v>1.8500000238418579</v>
      </c>
      <c r="CX20" s="7">
        <f t="shared" si="74"/>
        <v>0</v>
      </c>
      <c r="CY20" s="7">
        <f t="shared" si="74"/>
        <v>4029.5</v>
      </c>
      <c r="CZ20" s="7">
        <f t="shared" si="74"/>
        <v>-1</v>
      </c>
      <c r="DA20" s="7">
        <f t="shared" si="74"/>
        <v>0</v>
      </c>
      <c r="DB20" s="7">
        <f t="shared" si="74"/>
        <v>0</v>
      </c>
      <c r="DC20" s="7">
        <f t="shared" si="74"/>
        <v>0</v>
      </c>
      <c r="DD20" s="7">
        <f t="shared" si="74"/>
        <v>0</v>
      </c>
      <c r="DE20" s="7">
        <f t="shared" si="74"/>
        <v>4029.5</v>
      </c>
      <c r="DF20" s="7">
        <f t="shared" si="74"/>
        <v>1.8500000238418579</v>
      </c>
      <c r="DG20" s="7">
        <f t="shared" si="74"/>
        <v>38295.69921875</v>
      </c>
      <c r="DH20" s="7" t="str">
        <f t="shared" ref="DH20:DJ20" si="100">IFERROR(DH325,"-")</f>
        <v>R</v>
      </c>
      <c r="DI20" s="7" t="str">
        <f t="shared" si="100"/>
        <v>W</v>
      </c>
      <c r="DJ20" s="7" t="str">
        <f t="shared" si="100"/>
        <v>G</v>
      </c>
      <c r="DK20" s="64">
        <f t="shared" ref="DK20:DS20" si="101">IFERROR(VALUE(DK325),"-")</f>
        <v>38300</v>
      </c>
      <c r="DL20" s="64">
        <f t="shared" si="101"/>
        <v>3400000</v>
      </c>
      <c r="DM20" s="64">
        <f t="shared" si="101"/>
        <v>38500</v>
      </c>
      <c r="DN20" s="64">
        <f t="shared" si="101"/>
        <v>0</v>
      </c>
      <c r="DO20" s="64">
        <f t="shared" si="101"/>
        <v>24500</v>
      </c>
      <c r="DP20" s="64">
        <f t="shared" si="101"/>
        <v>2863350</v>
      </c>
      <c r="DQ20" s="64">
        <f t="shared" si="101"/>
        <v>38000</v>
      </c>
      <c r="DR20" s="64">
        <f t="shared" si="101"/>
        <v>0</v>
      </c>
      <c r="DS20" s="64">
        <f t="shared" si="101"/>
        <v>24500</v>
      </c>
      <c r="DT20" t="str">
        <f t="shared" si="7"/>
        <v>BANKNIFTY</v>
      </c>
      <c r="DU20" s="10">
        <f t="shared" si="8"/>
        <v>44784</v>
      </c>
    </row>
    <row r="21" spans="1:125" x14ac:dyDescent="0.25">
      <c r="A21" t="s">
        <v>12</v>
      </c>
      <c r="B21" s="2">
        <v>44833</v>
      </c>
      <c r="C21" s="1">
        <v>500</v>
      </c>
      <c r="D21">
        <v>88</v>
      </c>
      <c r="G21" t="str">
        <f t="array" ref="G21">IFERROR(INDEX($A$2:$A$700,MATCH(0,COUNTIF($G$1:G20,$A$2:$A$700),0)),"")</f>
        <v>AXISBANK</v>
      </c>
      <c r="H21" s="2" t="str">
        <f t="array" ref="H21">IFERROR(INDEX($B$1:$B$701,SMALL(IF(OptionChain!$AU$1=$A$1:$A$701,ROW($A$1:$A$701),""),ROW()-ROW($H$1))),"")</f>
        <v/>
      </c>
      <c r="I21" s="2" t="str">
        <f t="array" ref="I21">IFERROR(INDEX($B$1:$B$701,SMALL(IF($J$2=$A$1:$A$701,ROW($A$1:$A$701),""),ROW()-ROW($I$1))),"")</f>
        <v/>
      </c>
      <c r="M21" s="3"/>
      <c r="N21" s="3"/>
      <c r="O21" s="3">
        <f t="shared" si="9"/>
        <v>31300</v>
      </c>
      <c r="P21" s="7">
        <f t="shared" ref="P21:CA21" si="102">IFERROR(VALUE(P326),"-")</f>
        <v>1.8999999761581421</v>
      </c>
      <c r="Q21" s="7">
        <f t="shared" si="102"/>
        <v>1.6499999761581421</v>
      </c>
      <c r="R21" s="7">
        <f t="shared" si="102"/>
        <v>2.5499999523162842</v>
      </c>
      <c r="S21" s="7">
        <f t="shared" si="102"/>
        <v>2.5499999523162842</v>
      </c>
      <c r="T21" s="11">
        <f t="shared" si="102"/>
        <v>-37.75</v>
      </c>
      <c r="U21" s="11">
        <f t="shared" si="102"/>
        <v>194194.453125</v>
      </c>
      <c r="V21" s="11">
        <f t="shared" si="102"/>
        <v>-122.859375</v>
      </c>
      <c r="W21" s="11">
        <f t="shared" si="102"/>
        <v>260876.078125</v>
      </c>
      <c r="X21" s="14">
        <f t="shared" si="102"/>
        <v>7.2586772148497403E-9</v>
      </c>
      <c r="Y21" s="14">
        <f t="shared" si="102"/>
        <v>8.6222016761894338E-6</v>
      </c>
      <c r="Z21" s="14">
        <f t="shared" si="102"/>
        <v>7.4751369538716972E-9</v>
      </c>
      <c r="AA21" s="14">
        <f t="shared" si="102"/>
        <v>1.3060868695902172E-5</v>
      </c>
      <c r="AB21" s="15">
        <f t="shared" si="102"/>
        <v>-2.2708501745682952E-12</v>
      </c>
      <c r="AC21" s="15">
        <f t="shared" si="102"/>
        <v>-2.7327358154138892E-9</v>
      </c>
      <c r="AD21" s="13">
        <f t="shared" si="102"/>
        <v>1.796722412109375E-3</v>
      </c>
      <c r="AE21" s="13">
        <f t="shared" si="102"/>
        <v>29.877309799194336</v>
      </c>
      <c r="AF21" s="12">
        <f t="shared" si="102"/>
        <v>9.487152099609375E-3</v>
      </c>
      <c r="AG21" s="12">
        <f t="shared" si="102"/>
        <v>-45.258003234863281</v>
      </c>
      <c r="AH21" s="13">
        <f t="shared" si="102"/>
        <v>1.4622401067754254E-9</v>
      </c>
      <c r="AI21" s="13">
        <f t="shared" si="102"/>
        <v>2.5937117698049406E-6</v>
      </c>
      <c r="AJ21" s="11">
        <f t="shared" si="102"/>
        <v>4.3809413909912109E-6</v>
      </c>
      <c r="AK21" s="11">
        <f t="shared" si="102"/>
        <v>0.14550688862800598</v>
      </c>
      <c r="AL21" s="11">
        <f t="shared" si="102"/>
        <v>0</v>
      </c>
      <c r="AM21" s="11">
        <f t="shared" si="102"/>
        <v>-1.8999999761581421</v>
      </c>
      <c r="AN21" s="11">
        <f t="shared" si="102"/>
        <v>-6.5378844738006592E-7</v>
      </c>
      <c r="AO21" s="11">
        <f t="shared" si="102"/>
        <v>-2.2863622289150953E-3</v>
      </c>
      <c r="AP21" s="11">
        <f t="shared" si="102"/>
        <v>135.76900959014893</v>
      </c>
      <c r="AQ21" s="11">
        <f t="shared" si="102"/>
        <v>5150</v>
      </c>
      <c r="AR21" s="16">
        <f t="shared" si="102"/>
        <v>50</v>
      </c>
      <c r="AS21" s="16">
        <f t="shared" si="102"/>
        <v>875</v>
      </c>
      <c r="AT21" s="16">
        <f t="shared" si="102"/>
        <v>135.76900959014893</v>
      </c>
      <c r="AU21" s="7">
        <f t="shared" si="102"/>
        <v>0</v>
      </c>
      <c r="AV21" s="7">
        <f t="shared" si="102"/>
        <v>1.8999999761581421</v>
      </c>
      <c r="AW21" s="7">
        <f t="shared" si="102"/>
        <v>0</v>
      </c>
      <c r="AX21" s="7">
        <f t="shared" si="102"/>
        <v>-3941.6</v>
      </c>
      <c r="AY21" s="11">
        <f t="shared" si="102"/>
        <v>0</v>
      </c>
      <c r="AZ21" s="16">
        <f t="shared" si="102"/>
        <v>0</v>
      </c>
      <c r="BA21" s="16">
        <f t="shared" si="102"/>
        <v>0</v>
      </c>
      <c r="BB21" s="16">
        <f t="shared" si="102"/>
        <v>0</v>
      </c>
      <c r="BC21" s="11">
        <f t="shared" si="102"/>
        <v>0</v>
      </c>
      <c r="BD21" s="11">
        <f t="shared" si="102"/>
        <v>0</v>
      </c>
      <c r="BE21" s="11">
        <f t="shared" si="102"/>
        <v>0</v>
      </c>
      <c r="BF21" s="11">
        <f t="shared" si="102"/>
        <v>0</v>
      </c>
      <c r="BG21" s="11">
        <f t="shared" si="102"/>
        <v>0</v>
      </c>
      <c r="BH21" s="11">
        <f t="shared" si="102"/>
        <v>0</v>
      </c>
      <c r="BI21" s="13">
        <f t="shared" si="102"/>
        <v>0</v>
      </c>
      <c r="BJ21" s="13">
        <f t="shared" si="102"/>
        <v>0</v>
      </c>
      <c r="BK21" s="11">
        <f t="shared" si="102"/>
        <v>0</v>
      </c>
      <c r="BL21" s="12">
        <f t="shared" si="102"/>
        <v>0</v>
      </c>
      <c r="BM21" s="12">
        <f t="shared" si="102"/>
        <v>0</v>
      </c>
      <c r="BN21" s="13">
        <f t="shared" si="102"/>
        <v>0</v>
      </c>
      <c r="BO21" s="13">
        <f t="shared" si="102"/>
        <v>0</v>
      </c>
      <c r="BP21" s="15">
        <f t="shared" si="102"/>
        <v>0</v>
      </c>
      <c r="BQ21" s="15">
        <f t="shared" si="102"/>
        <v>0</v>
      </c>
      <c r="BR21" s="14">
        <f t="shared" si="102"/>
        <v>0</v>
      </c>
      <c r="BS21" s="14">
        <f t="shared" si="102"/>
        <v>0</v>
      </c>
      <c r="BT21" s="14">
        <f t="shared" si="102"/>
        <v>0</v>
      </c>
      <c r="BU21" s="14">
        <f t="shared" si="102"/>
        <v>0</v>
      </c>
      <c r="BV21" s="11">
        <f t="shared" si="102"/>
        <v>0</v>
      </c>
      <c r="BW21" s="11">
        <f t="shared" si="102"/>
        <v>0</v>
      </c>
      <c r="BX21" s="11">
        <f t="shared" si="102"/>
        <v>0</v>
      </c>
      <c r="BY21" s="11">
        <f t="shared" si="102"/>
        <v>0</v>
      </c>
      <c r="BZ21" s="7">
        <f t="shared" si="102"/>
        <v>0</v>
      </c>
      <c r="CA21" s="7">
        <f t="shared" si="102"/>
        <v>0</v>
      </c>
      <c r="CB21" s="7">
        <f t="shared" ref="CB21:CP21" si="103">IFERROR(VALUE(CB326),"-")</f>
        <v>0</v>
      </c>
      <c r="CC21" s="7">
        <f t="shared" si="103"/>
        <v>0</v>
      </c>
      <c r="CD21" s="7">
        <f t="shared" si="103"/>
        <v>0</v>
      </c>
      <c r="CE21" s="3">
        <f t="shared" si="103"/>
        <v>0</v>
      </c>
      <c r="CF21" s="7">
        <f t="shared" si="103"/>
        <v>0</v>
      </c>
      <c r="CG21" s="3">
        <f t="shared" si="103"/>
        <v>0</v>
      </c>
      <c r="CH21" s="7">
        <f t="shared" si="103"/>
        <v>0</v>
      </c>
      <c r="CI21" s="7">
        <f t="shared" si="103"/>
        <v>2</v>
      </c>
      <c r="CJ21" s="3">
        <f t="shared" si="103"/>
        <v>525</v>
      </c>
      <c r="CK21" s="7">
        <f t="shared" si="103"/>
        <v>1.75</v>
      </c>
      <c r="CL21" s="3">
        <f t="shared" si="103"/>
        <v>50</v>
      </c>
      <c r="CM21" s="7">
        <f t="shared" si="103"/>
        <v>2.059999942779541</v>
      </c>
      <c r="CN21" s="10">
        <f t="shared" si="103"/>
        <v>44783.636701388888</v>
      </c>
      <c r="CO21" s="10">
        <f t="shared" si="103"/>
        <v>44783.638194444444</v>
      </c>
      <c r="CP21" s="7">
        <f t="shared" si="103"/>
        <v>38295.69921875</v>
      </c>
      <c r="CQ21" s="7" t="str">
        <f t="shared" ref="CQ21" si="104">IFERROR(CQ326,"-")</f>
        <v>FairPrice</v>
      </c>
      <c r="CR21" s="10">
        <f t="shared" si="74"/>
        <v>44783.638194444444</v>
      </c>
      <c r="CS21" s="7">
        <f t="shared" si="74"/>
        <v>-1.0311603546142578E-2</v>
      </c>
      <c r="CT21" s="7">
        <f t="shared" si="74"/>
        <v>-7.5943843697912072E-5</v>
      </c>
      <c r="CU21" s="7">
        <f t="shared" si="74"/>
        <v>825</v>
      </c>
      <c r="CV21" s="7">
        <f t="shared" si="74"/>
        <v>6.0606060606060608E-2</v>
      </c>
      <c r="CW21" s="7">
        <f t="shared" si="74"/>
        <v>1.8999999761581421</v>
      </c>
      <c r="CX21" s="7">
        <f t="shared" si="74"/>
        <v>0</v>
      </c>
      <c r="CY21" s="7">
        <f t="shared" si="74"/>
        <v>3941.6</v>
      </c>
      <c r="CZ21" s="7">
        <f t="shared" si="74"/>
        <v>-1</v>
      </c>
      <c r="DA21" s="7">
        <f t="shared" si="74"/>
        <v>0</v>
      </c>
      <c r="DB21" s="7">
        <f t="shared" si="74"/>
        <v>0</v>
      </c>
      <c r="DC21" s="7">
        <f t="shared" si="74"/>
        <v>0</v>
      </c>
      <c r="DD21" s="7">
        <f t="shared" si="74"/>
        <v>0</v>
      </c>
      <c r="DE21" s="7">
        <f t="shared" si="74"/>
        <v>3941.6</v>
      </c>
      <c r="DF21" s="7">
        <f t="shared" si="74"/>
        <v>1.8999999761581421</v>
      </c>
      <c r="DG21" s="7">
        <f t="shared" si="74"/>
        <v>38295.69921875</v>
      </c>
      <c r="DH21" s="7" t="str">
        <f t="shared" ref="DH21:DJ21" si="105">IFERROR(DH326,"-")</f>
        <v>R</v>
      </c>
      <c r="DI21" s="7" t="str">
        <f t="shared" si="105"/>
        <v>W</v>
      </c>
      <c r="DJ21" s="7" t="str">
        <f t="shared" si="105"/>
        <v>G</v>
      </c>
      <c r="DK21" s="64">
        <f t="shared" ref="DK21:DS21" si="106">IFERROR(VALUE(DK326),"-")</f>
        <v>38300</v>
      </c>
      <c r="DL21" s="64">
        <f t="shared" si="106"/>
        <v>3400000</v>
      </c>
      <c r="DM21" s="64">
        <f t="shared" si="106"/>
        <v>38500</v>
      </c>
      <c r="DN21" s="64">
        <f t="shared" si="106"/>
        <v>0</v>
      </c>
      <c r="DO21" s="64">
        <f t="shared" si="106"/>
        <v>24500</v>
      </c>
      <c r="DP21" s="64">
        <f t="shared" si="106"/>
        <v>2863350</v>
      </c>
      <c r="DQ21" s="64">
        <f t="shared" si="106"/>
        <v>38000</v>
      </c>
      <c r="DR21" s="64">
        <f t="shared" si="106"/>
        <v>0</v>
      </c>
      <c r="DS21" s="64">
        <f t="shared" si="106"/>
        <v>24500</v>
      </c>
      <c r="DT21" t="str">
        <f t="shared" si="7"/>
        <v>BANKNIFTY</v>
      </c>
      <c r="DU21" s="10">
        <f t="shared" si="8"/>
        <v>44784</v>
      </c>
    </row>
    <row r="22" spans="1:125" x14ac:dyDescent="0.25">
      <c r="A22" t="s">
        <v>12</v>
      </c>
      <c r="B22" s="2">
        <v>44861</v>
      </c>
      <c r="C22" s="1">
        <v>500</v>
      </c>
      <c r="D22">
        <v>88</v>
      </c>
      <c r="G22" t="str">
        <f t="array" ref="G22">IFERROR(INDEX($A$2:$A$700,MATCH(0,COUNTIF($G$1:G21,$A$2:$A$700),0)),"")</f>
        <v>BAJAJ-AUTO</v>
      </c>
      <c r="H22" s="2" t="str">
        <f t="array" ref="H22">IFERROR(INDEX($B$1:$B$701,SMALL(IF(OptionChain!$AU$1=$A$1:$A$701,ROW($A$1:$A$701),""),ROW()-ROW($H$1))),"")</f>
        <v/>
      </c>
      <c r="I22" s="2" t="str">
        <f t="array" ref="I22">IFERROR(INDEX($B$1:$B$701,SMALL(IF($J$2=$A$1:$A$701,ROW($A$1:$A$701),""),ROW()-ROW($I$1))),"")</f>
        <v/>
      </c>
      <c r="M22" s="3"/>
      <c r="N22" s="3"/>
      <c r="O22" s="3">
        <f t="shared" si="9"/>
        <v>31400</v>
      </c>
      <c r="P22" s="7">
        <f t="shared" ref="P22:CA22" si="107">IFERROR(VALUE(P327),"-")</f>
        <v>1.8999999761581421</v>
      </c>
      <c r="Q22" s="7">
        <f t="shared" si="107"/>
        <v>1.4500000476837158</v>
      </c>
      <c r="R22" s="7">
        <f t="shared" si="107"/>
        <v>2.5</v>
      </c>
      <c r="S22" s="7">
        <f t="shared" si="107"/>
        <v>2.4500000476837158</v>
      </c>
      <c r="T22" s="11">
        <f t="shared" si="107"/>
        <v>13.21875</v>
      </c>
      <c r="U22" s="11">
        <f t="shared" si="107"/>
        <v>191355.28125</v>
      </c>
      <c r="V22" s="11">
        <f t="shared" si="107"/>
        <v>-20.25</v>
      </c>
      <c r="W22" s="11">
        <f t="shared" si="107"/>
        <v>260834.75</v>
      </c>
      <c r="X22" s="14">
        <f t="shared" si="107"/>
        <v>4.5292836148291826E-10</v>
      </c>
      <c r="Y22" s="14">
        <f t="shared" si="107"/>
        <v>8.8233819042216055E-6</v>
      </c>
      <c r="Z22" s="14">
        <f t="shared" si="107"/>
        <v>-1.3005774235352874E-9</v>
      </c>
      <c r="AA22" s="14">
        <f t="shared" si="107"/>
        <v>1.3565933841164224E-5</v>
      </c>
      <c r="AB22" s="15">
        <f t="shared" si="107"/>
        <v>1.6697754290362354E-13</v>
      </c>
      <c r="AC22" s="15">
        <f t="shared" si="107"/>
        <v>-2.8413926767001385E-9</v>
      </c>
      <c r="AD22" s="13">
        <f t="shared" si="107"/>
        <v>3.1414031982421875E-3</v>
      </c>
      <c r="AE22" s="13">
        <f t="shared" si="107"/>
        <v>29.469823837280273</v>
      </c>
      <c r="AF22" s="12">
        <f t="shared" si="107"/>
        <v>1.842498779296875E-3</v>
      </c>
      <c r="AG22" s="12">
        <f t="shared" si="107"/>
        <v>-45.309799194335938</v>
      </c>
      <c r="AH22" s="13">
        <f t="shared" si="107"/>
        <v>-1.0618350643198937E-10</v>
      </c>
      <c r="AI22" s="13">
        <f t="shared" si="107"/>
        <v>2.6633995275915368E-6</v>
      </c>
      <c r="AJ22" s="11">
        <f t="shared" si="107"/>
        <v>-8.4787607192993164E-6</v>
      </c>
      <c r="AK22" s="11">
        <f t="shared" si="107"/>
        <v>0.14732493460178375</v>
      </c>
      <c r="AL22" s="11">
        <f t="shared" si="107"/>
        <v>0</v>
      </c>
      <c r="AM22" s="11">
        <f t="shared" si="107"/>
        <v>-1.8999999761581421</v>
      </c>
      <c r="AN22" s="11">
        <f t="shared" si="107"/>
        <v>4.6798959374427795E-8</v>
      </c>
      <c r="AO22" s="11">
        <f t="shared" si="107"/>
        <v>-2.3173708468675613E-3</v>
      </c>
      <c r="AP22" s="11">
        <f t="shared" si="107"/>
        <v>133.81046056747437</v>
      </c>
      <c r="AQ22" s="11">
        <f t="shared" si="107"/>
        <v>26175</v>
      </c>
      <c r="AR22" s="16">
        <f t="shared" si="107"/>
        <v>-775</v>
      </c>
      <c r="AS22" s="16">
        <f t="shared" si="107"/>
        <v>3800</v>
      </c>
      <c r="AT22" s="16">
        <f t="shared" si="107"/>
        <v>133.81046056747437</v>
      </c>
      <c r="AU22" s="7">
        <f t="shared" si="107"/>
        <v>0</v>
      </c>
      <c r="AV22" s="7">
        <f t="shared" si="107"/>
        <v>1.8999999761581421</v>
      </c>
      <c r="AW22" s="7">
        <f t="shared" si="107"/>
        <v>0</v>
      </c>
      <c r="AX22" s="7">
        <f t="shared" si="107"/>
        <v>0</v>
      </c>
      <c r="AY22" s="11">
        <f t="shared" si="107"/>
        <v>0</v>
      </c>
      <c r="AZ22" s="16">
        <f t="shared" si="107"/>
        <v>0</v>
      </c>
      <c r="BA22" s="16">
        <f t="shared" si="107"/>
        <v>0</v>
      </c>
      <c r="BB22" s="16">
        <f t="shared" si="107"/>
        <v>0</v>
      </c>
      <c r="BC22" s="11">
        <f t="shared" si="107"/>
        <v>0</v>
      </c>
      <c r="BD22" s="11">
        <f t="shared" si="107"/>
        <v>0</v>
      </c>
      <c r="BE22" s="11">
        <f t="shared" si="107"/>
        <v>0</v>
      </c>
      <c r="BF22" s="11">
        <f t="shared" si="107"/>
        <v>0</v>
      </c>
      <c r="BG22" s="11">
        <f t="shared" si="107"/>
        <v>0</v>
      </c>
      <c r="BH22" s="11">
        <f t="shared" si="107"/>
        <v>0</v>
      </c>
      <c r="BI22" s="13">
        <f t="shared" si="107"/>
        <v>0</v>
      </c>
      <c r="BJ22" s="13">
        <f t="shared" si="107"/>
        <v>0</v>
      </c>
      <c r="BK22" s="11">
        <f t="shared" si="107"/>
        <v>0</v>
      </c>
      <c r="BL22" s="12">
        <f t="shared" si="107"/>
        <v>0</v>
      </c>
      <c r="BM22" s="12">
        <f t="shared" si="107"/>
        <v>0</v>
      </c>
      <c r="BN22" s="13">
        <f t="shared" si="107"/>
        <v>0</v>
      </c>
      <c r="BO22" s="13">
        <f t="shared" si="107"/>
        <v>0</v>
      </c>
      <c r="BP22" s="15">
        <f t="shared" si="107"/>
        <v>0</v>
      </c>
      <c r="BQ22" s="15">
        <f t="shared" si="107"/>
        <v>0</v>
      </c>
      <c r="BR22" s="14">
        <f t="shared" si="107"/>
        <v>0</v>
      </c>
      <c r="BS22" s="14">
        <f t="shared" si="107"/>
        <v>0</v>
      </c>
      <c r="BT22" s="14">
        <f t="shared" si="107"/>
        <v>0</v>
      </c>
      <c r="BU22" s="14">
        <f t="shared" si="107"/>
        <v>0</v>
      </c>
      <c r="BV22" s="11">
        <f t="shared" si="107"/>
        <v>0</v>
      </c>
      <c r="BW22" s="11">
        <f t="shared" si="107"/>
        <v>0</v>
      </c>
      <c r="BX22" s="11">
        <f t="shared" si="107"/>
        <v>0</v>
      </c>
      <c r="BY22" s="11">
        <f t="shared" si="107"/>
        <v>0</v>
      </c>
      <c r="BZ22" s="7">
        <f t="shared" si="107"/>
        <v>0</v>
      </c>
      <c r="CA22" s="7">
        <f t="shared" si="107"/>
        <v>0</v>
      </c>
      <c r="CB22" s="7">
        <f t="shared" ref="CB22:CP22" si="108">IFERROR(VALUE(CB327),"-")</f>
        <v>0</v>
      </c>
      <c r="CC22" s="7">
        <f t="shared" si="108"/>
        <v>0</v>
      </c>
      <c r="CD22" s="7">
        <f t="shared" si="108"/>
        <v>7115.0498046875</v>
      </c>
      <c r="CE22" s="3">
        <f t="shared" si="108"/>
        <v>750</v>
      </c>
      <c r="CF22" s="7">
        <f t="shared" si="108"/>
        <v>6761.2001953125</v>
      </c>
      <c r="CG22" s="3">
        <f t="shared" si="108"/>
        <v>500</v>
      </c>
      <c r="CH22" s="7">
        <f t="shared" si="108"/>
        <v>0</v>
      </c>
      <c r="CI22" s="7">
        <f t="shared" si="108"/>
        <v>1.9500000476837158</v>
      </c>
      <c r="CJ22" s="3">
        <f t="shared" si="108"/>
        <v>200</v>
      </c>
      <c r="CK22" s="7">
        <f t="shared" si="108"/>
        <v>1.7999999523162842</v>
      </c>
      <c r="CL22" s="3">
        <f t="shared" si="108"/>
        <v>150</v>
      </c>
      <c r="CM22" s="7">
        <f t="shared" si="108"/>
        <v>2.2000000476837158</v>
      </c>
      <c r="CN22" s="10">
        <f t="shared" si="108"/>
        <v>44783.638194444444</v>
      </c>
      <c r="CO22" s="10">
        <f t="shared" si="108"/>
        <v>44783.638194444444</v>
      </c>
      <c r="CP22" s="7">
        <f t="shared" si="108"/>
        <v>38295.69921875</v>
      </c>
      <c r="CQ22" s="7" t="str">
        <f t="shared" ref="CQ22" si="109">IFERROR(CQ327,"-")</f>
        <v>FairPrice</v>
      </c>
      <c r="CR22" s="10">
        <f t="shared" si="74"/>
        <v>44783.638194444444</v>
      </c>
      <c r="CS22" s="7">
        <f t="shared" si="74"/>
        <v>8.1419944763183594E-3</v>
      </c>
      <c r="CT22" s="7">
        <f t="shared" si="74"/>
        <v>6.0850922189934708E-5</v>
      </c>
      <c r="CU22" s="7">
        <f t="shared" si="74"/>
        <v>4575</v>
      </c>
      <c r="CV22" s="7">
        <f t="shared" si="74"/>
        <v>-0.16939890710382513</v>
      </c>
      <c r="CW22" s="7">
        <f t="shared" si="74"/>
        <v>1.8999999761581421</v>
      </c>
      <c r="CX22" s="7">
        <f t="shared" si="74"/>
        <v>0</v>
      </c>
      <c r="CY22" s="7">
        <f t="shared" si="74"/>
        <v>0</v>
      </c>
      <c r="CZ22" s="7">
        <f t="shared" si="74"/>
        <v>0</v>
      </c>
      <c r="DA22" s="7">
        <f t="shared" si="74"/>
        <v>0</v>
      </c>
      <c r="DB22" s="7">
        <f t="shared" si="74"/>
        <v>0</v>
      </c>
      <c r="DC22" s="7">
        <f t="shared" si="74"/>
        <v>0</v>
      </c>
      <c r="DD22" s="7">
        <f t="shared" si="74"/>
        <v>0</v>
      </c>
      <c r="DE22" s="7">
        <f t="shared" si="74"/>
        <v>0</v>
      </c>
      <c r="DF22" s="7">
        <f t="shared" si="74"/>
        <v>1.8999999761581421</v>
      </c>
      <c r="DG22" s="7">
        <f t="shared" si="74"/>
        <v>38295.69921875</v>
      </c>
      <c r="DH22" s="7" t="str">
        <f t="shared" ref="DH22:DJ22" si="110">IFERROR(DH327,"-")</f>
        <v>W</v>
      </c>
      <c r="DI22" s="7" t="str">
        <f t="shared" si="110"/>
        <v>W</v>
      </c>
      <c r="DJ22" s="7" t="str">
        <f t="shared" si="110"/>
        <v>G</v>
      </c>
      <c r="DK22" s="64">
        <f t="shared" ref="DK22:DS22" si="111">IFERROR(VALUE(DK327),"-")</f>
        <v>38300</v>
      </c>
      <c r="DL22" s="64">
        <f t="shared" si="111"/>
        <v>3400000</v>
      </c>
      <c r="DM22" s="64">
        <f t="shared" si="111"/>
        <v>38500</v>
      </c>
      <c r="DN22" s="64">
        <f t="shared" si="111"/>
        <v>0</v>
      </c>
      <c r="DO22" s="64">
        <f t="shared" si="111"/>
        <v>24500</v>
      </c>
      <c r="DP22" s="64">
        <f t="shared" si="111"/>
        <v>2863350</v>
      </c>
      <c r="DQ22" s="64">
        <f t="shared" si="111"/>
        <v>38000</v>
      </c>
      <c r="DR22" s="64">
        <f t="shared" si="111"/>
        <v>0</v>
      </c>
      <c r="DS22" s="64">
        <f t="shared" si="111"/>
        <v>24500</v>
      </c>
      <c r="DT22" t="str">
        <f t="shared" si="7"/>
        <v>BANKNIFTY</v>
      </c>
      <c r="DU22" s="10">
        <f t="shared" si="8"/>
        <v>44784</v>
      </c>
    </row>
    <row r="23" spans="1:125" x14ac:dyDescent="0.25">
      <c r="A23" t="s">
        <v>13</v>
      </c>
      <c r="B23" s="2">
        <v>44798</v>
      </c>
      <c r="C23" s="1">
        <v>1250</v>
      </c>
      <c r="D23">
        <v>74</v>
      </c>
      <c r="G23" t="str">
        <f t="array" ref="G23">IFERROR(INDEX($A$2:$A$700,MATCH(0,COUNTIF($G$1:G22,$A$2:$A$700),0)),"")</f>
        <v>BAJAJFINSV</v>
      </c>
      <c r="H23" s="2" t="str">
        <f t="array" ref="H23">IFERROR(INDEX($B$1:$B$701,SMALL(IF(OptionChain!$AU$1=$A$1:$A$701,ROW($A$1:$A$701),""),ROW()-ROW($H$1))),"")</f>
        <v/>
      </c>
      <c r="I23" s="2" t="str">
        <f t="array" ref="I23">IFERROR(INDEX($B$1:$B$701,SMALL(IF($J$2=$A$1:$A$701,ROW($A$1:$A$701),""),ROW()-ROW($I$1))),"")</f>
        <v/>
      </c>
      <c r="M23" s="3"/>
      <c r="N23" s="3"/>
      <c r="O23" s="3">
        <f t="shared" si="9"/>
        <v>31500</v>
      </c>
      <c r="P23" s="7">
        <f t="shared" ref="P23:CA23" si="112">IFERROR(VALUE(P328),"-")</f>
        <v>1.8500000238418579</v>
      </c>
      <c r="Q23" s="7">
        <f t="shared" si="112"/>
        <v>1.7000000476837158</v>
      </c>
      <c r="R23" s="7">
        <f t="shared" si="112"/>
        <v>2.5499999523162842</v>
      </c>
      <c r="S23" s="7">
        <f t="shared" si="112"/>
        <v>2.5</v>
      </c>
      <c r="T23" s="11">
        <f t="shared" si="112"/>
        <v>-13.765625</v>
      </c>
      <c r="U23" s="11">
        <f t="shared" si="112"/>
        <v>193204.21875</v>
      </c>
      <c r="V23" s="11">
        <f t="shared" si="112"/>
        <v>-87.46875</v>
      </c>
      <c r="W23" s="11">
        <f t="shared" si="112"/>
        <v>267941.4375</v>
      </c>
      <c r="X23" s="14">
        <f t="shared" si="112"/>
        <v>4.75210981676355E-9</v>
      </c>
      <c r="Y23" s="14">
        <f t="shared" si="112"/>
        <v>8.9378218035562895E-6</v>
      </c>
      <c r="Z23" s="14">
        <f t="shared" si="112"/>
        <v>3.9181031752377748E-9</v>
      </c>
      <c r="AA23" s="14">
        <f t="shared" si="112"/>
        <v>1.3977525668451563E-5</v>
      </c>
      <c r="AB23" s="15">
        <f t="shared" si="112"/>
        <v>-1.333377852574813E-12</v>
      </c>
      <c r="AC23" s="15">
        <f t="shared" si="112"/>
        <v>-2.9216589148006733E-9</v>
      </c>
      <c r="AD23" s="13">
        <f t="shared" si="112"/>
        <v>3.0460357666015625E-3</v>
      </c>
      <c r="AE23" s="13">
        <f t="shared" si="112"/>
        <v>29.739198684692383</v>
      </c>
      <c r="AF23" s="12">
        <f t="shared" si="112"/>
        <v>6.931304931640625E-3</v>
      </c>
      <c r="AG23" s="12">
        <f t="shared" si="112"/>
        <v>-46.508022308349609</v>
      </c>
      <c r="AH23" s="13">
        <f t="shared" si="112"/>
        <v>8.3286977314855903E-10</v>
      </c>
      <c r="AI23" s="13">
        <f t="shared" si="112"/>
        <v>2.6900713692157296E-6</v>
      </c>
      <c r="AJ23" s="11">
        <f t="shared" si="112"/>
        <v>-2.5480985641479492E-6</v>
      </c>
      <c r="AK23" s="11">
        <f t="shared" si="112"/>
        <v>0.14621053636074066</v>
      </c>
      <c r="AL23" s="11">
        <f t="shared" si="112"/>
        <v>0</v>
      </c>
      <c r="AM23" s="11">
        <f t="shared" si="112"/>
        <v>-1.8500000238418579</v>
      </c>
      <c r="AN23" s="11">
        <f t="shared" si="112"/>
        <v>-3.6088749766349792E-7</v>
      </c>
      <c r="AO23" s="11">
        <f t="shared" si="112"/>
        <v>-2.2983972448855639E-3</v>
      </c>
      <c r="AP23" s="11">
        <f t="shared" si="112"/>
        <v>131.52050971984863</v>
      </c>
      <c r="AQ23" s="11">
        <f t="shared" si="112"/>
        <v>123475</v>
      </c>
      <c r="AR23" s="16">
        <f t="shared" si="112"/>
        <v>50</v>
      </c>
      <c r="AS23" s="16">
        <f t="shared" si="112"/>
        <v>33600</v>
      </c>
      <c r="AT23" s="16">
        <f t="shared" si="112"/>
        <v>131.52050971984863</v>
      </c>
      <c r="AU23" s="7">
        <f t="shared" si="112"/>
        <v>0</v>
      </c>
      <c r="AV23" s="7">
        <f t="shared" si="112"/>
        <v>1.8500000238418579</v>
      </c>
      <c r="AW23" s="7">
        <f t="shared" si="112"/>
        <v>0</v>
      </c>
      <c r="AX23" s="7">
        <f t="shared" si="112"/>
        <v>0</v>
      </c>
      <c r="AY23" s="11">
        <f t="shared" si="112"/>
        <v>0</v>
      </c>
      <c r="AZ23" s="16">
        <f t="shared" si="112"/>
        <v>0</v>
      </c>
      <c r="BA23" s="16">
        <f t="shared" si="112"/>
        <v>0</v>
      </c>
      <c r="BB23" s="16">
        <f t="shared" si="112"/>
        <v>0</v>
      </c>
      <c r="BC23" s="11">
        <f t="shared" si="112"/>
        <v>0</v>
      </c>
      <c r="BD23" s="11">
        <f t="shared" si="112"/>
        <v>0</v>
      </c>
      <c r="BE23" s="11">
        <f t="shared" si="112"/>
        <v>0</v>
      </c>
      <c r="BF23" s="11">
        <f t="shared" si="112"/>
        <v>0</v>
      </c>
      <c r="BG23" s="11">
        <f t="shared" si="112"/>
        <v>0</v>
      </c>
      <c r="BH23" s="11">
        <f t="shared" si="112"/>
        <v>0</v>
      </c>
      <c r="BI23" s="13">
        <f t="shared" si="112"/>
        <v>0</v>
      </c>
      <c r="BJ23" s="13">
        <f t="shared" si="112"/>
        <v>0</v>
      </c>
      <c r="BK23" s="11">
        <f t="shared" si="112"/>
        <v>0</v>
      </c>
      <c r="BL23" s="12">
        <f t="shared" si="112"/>
        <v>0</v>
      </c>
      <c r="BM23" s="12">
        <f t="shared" si="112"/>
        <v>0</v>
      </c>
      <c r="BN23" s="13">
        <f t="shared" si="112"/>
        <v>0</v>
      </c>
      <c r="BO23" s="13">
        <f t="shared" si="112"/>
        <v>0</v>
      </c>
      <c r="BP23" s="15">
        <f t="shared" si="112"/>
        <v>0</v>
      </c>
      <c r="BQ23" s="15">
        <f t="shared" si="112"/>
        <v>0</v>
      </c>
      <c r="BR23" s="14">
        <f t="shared" si="112"/>
        <v>0</v>
      </c>
      <c r="BS23" s="14">
        <f t="shared" si="112"/>
        <v>0</v>
      </c>
      <c r="BT23" s="14">
        <f t="shared" si="112"/>
        <v>0</v>
      </c>
      <c r="BU23" s="14">
        <f t="shared" si="112"/>
        <v>0</v>
      </c>
      <c r="BV23" s="11">
        <f t="shared" si="112"/>
        <v>0</v>
      </c>
      <c r="BW23" s="11">
        <f t="shared" si="112"/>
        <v>0</v>
      </c>
      <c r="BX23" s="11">
        <f t="shared" si="112"/>
        <v>0</v>
      </c>
      <c r="BY23" s="11">
        <f t="shared" si="112"/>
        <v>0</v>
      </c>
      <c r="BZ23" s="7">
        <f t="shared" si="112"/>
        <v>0</v>
      </c>
      <c r="CA23" s="7">
        <f t="shared" si="112"/>
        <v>0</v>
      </c>
      <c r="CB23" s="7">
        <f t="shared" ref="CB23:CP23" si="113">IFERROR(VALUE(CB328),"-")</f>
        <v>0</v>
      </c>
      <c r="CC23" s="7">
        <f t="shared" si="113"/>
        <v>0</v>
      </c>
      <c r="CD23" s="7">
        <f t="shared" si="113"/>
        <v>6869.9501953125</v>
      </c>
      <c r="CE23" s="3">
        <f t="shared" si="113"/>
        <v>50</v>
      </c>
      <c r="CF23" s="7">
        <f t="shared" si="113"/>
        <v>5833.0498046875</v>
      </c>
      <c r="CG23" s="3">
        <f t="shared" si="113"/>
        <v>750</v>
      </c>
      <c r="CH23" s="7">
        <f t="shared" si="113"/>
        <v>0</v>
      </c>
      <c r="CI23" s="7">
        <f t="shared" si="113"/>
        <v>1.8999999761581421</v>
      </c>
      <c r="CJ23" s="3">
        <f t="shared" si="113"/>
        <v>800</v>
      </c>
      <c r="CK23" s="7">
        <f t="shared" si="113"/>
        <v>1.7999999523162842</v>
      </c>
      <c r="CL23" s="3">
        <f t="shared" si="113"/>
        <v>600</v>
      </c>
      <c r="CM23" s="7">
        <f t="shared" si="113"/>
        <v>2.1400001049041748</v>
      </c>
      <c r="CN23" s="10">
        <f t="shared" si="113"/>
        <v>44783.638194444444</v>
      </c>
      <c r="CO23" s="10">
        <f t="shared" si="113"/>
        <v>44783.638194444444</v>
      </c>
      <c r="CP23" s="7">
        <f t="shared" si="113"/>
        <v>38295.69921875</v>
      </c>
      <c r="CQ23" s="7" t="str">
        <f t="shared" ref="CQ23" si="114">IFERROR(CQ328,"-")</f>
        <v>FairPrice</v>
      </c>
      <c r="CR23" s="10">
        <f t="shared" si="74"/>
        <v>44783.638194444444</v>
      </c>
      <c r="CS23" s="7">
        <f t="shared" si="74"/>
        <v>-1.0251998901367188E-3</v>
      </c>
      <c r="CT23" s="7">
        <f t="shared" si="74"/>
        <v>-7.7949203585735871E-6</v>
      </c>
      <c r="CU23" s="7">
        <f t="shared" si="74"/>
        <v>33550</v>
      </c>
      <c r="CV23" s="7">
        <f t="shared" si="74"/>
        <v>1.4903129657228018E-3</v>
      </c>
      <c r="CW23" s="7">
        <f t="shared" si="74"/>
        <v>1.8500000238418579</v>
      </c>
      <c r="CX23" s="7">
        <f t="shared" si="74"/>
        <v>0</v>
      </c>
      <c r="CY23" s="7">
        <f t="shared" si="74"/>
        <v>0</v>
      </c>
      <c r="CZ23" s="7">
        <f t="shared" si="74"/>
        <v>0</v>
      </c>
      <c r="DA23" s="7">
        <f t="shared" si="74"/>
        <v>0</v>
      </c>
      <c r="DB23" s="7">
        <f t="shared" si="74"/>
        <v>0</v>
      </c>
      <c r="DC23" s="7">
        <f t="shared" si="74"/>
        <v>0</v>
      </c>
      <c r="DD23" s="7">
        <f t="shared" si="74"/>
        <v>0</v>
      </c>
      <c r="DE23" s="7">
        <f t="shared" si="74"/>
        <v>0</v>
      </c>
      <c r="DF23" s="7">
        <f t="shared" si="74"/>
        <v>1.8500000238418579</v>
      </c>
      <c r="DG23" s="7">
        <f t="shared" si="74"/>
        <v>38295.69921875</v>
      </c>
      <c r="DH23" s="7" t="str">
        <f t="shared" ref="DH23:DJ23" si="115">IFERROR(DH328,"-")</f>
        <v>W</v>
      </c>
      <c r="DI23" s="7" t="str">
        <f t="shared" si="115"/>
        <v>W</v>
      </c>
      <c r="DJ23" s="7" t="str">
        <f t="shared" si="115"/>
        <v>G</v>
      </c>
      <c r="DK23" s="64">
        <f t="shared" ref="DK23:DS23" si="116">IFERROR(VALUE(DK328),"-")</f>
        <v>38300</v>
      </c>
      <c r="DL23" s="64">
        <f t="shared" si="116"/>
        <v>3400000</v>
      </c>
      <c r="DM23" s="64">
        <f t="shared" si="116"/>
        <v>38500</v>
      </c>
      <c r="DN23" s="64">
        <f t="shared" si="116"/>
        <v>0</v>
      </c>
      <c r="DO23" s="64">
        <f t="shared" si="116"/>
        <v>24500</v>
      </c>
      <c r="DP23" s="64">
        <f t="shared" si="116"/>
        <v>2863350</v>
      </c>
      <c r="DQ23" s="64">
        <f t="shared" si="116"/>
        <v>38000</v>
      </c>
      <c r="DR23" s="64">
        <f t="shared" si="116"/>
        <v>0</v>
      </c>
      <c r="DS23" s="64">
        <f t="shared" si="116"/>
        <v>24500</v>
      </c>
      <c r="DT23" t="str">
        <f t="shared" si="7"/>
        <v>BANKNIFTY</v>
      </c>
      <c r="DU23" s="10">
        <f t="shared" si="8"/>
        <v>44784</v>
      </c>
    </row>
    <row r="24" spans="1:125" x14ac:dyDescent="0.25">
      <c r="A24" t="s">
        <v>13</v>
      </c>
      <c r="B24" s="2">
        <v>44833</v>
      </c>
      <c r="C24" s="1">
        <v>1250</v>
      </c>
      <c r="D24">
        <v>74</v>
      </c>
      <c r="G24" t="str">
        <f t="array" ref="G24">IFERROR(INDEX($A$2:$A$700,MATCH(0,COUNTIF($G$1:G23,$A$2:$A$700),0)),"")</f>
        <v>BAJFINANCE</v>
      </c>
      <c r="H24" s="2" t="str">
        <f t="array" ref="H24">IFERROR(INDEX($B$1:$B$701,SMALL(IF(OptionChain!$AU$1=$A$1:$A$701,ROW($A$1:$A$701),""),ROW()-ROW($H$1))),"")</f>
        <v/>
      </c>
      <c r="I24" s="2" t="str">
        <f t="array" ref="I24">IFERROR(INDEX($B$1:$B$701,SMALL(IF($J$2=$A$1:$A$701,ROW($A$1:$A$701),""),ROW()-ROW($I$1))),"")</f>
        <v/>
      </c>
      <c r="M24" s="3"/>
      <c r="N24" s="3"/>
      <c r="O24" s="3">
        <f t="shared" si="9"/>
        <v>31600</v>
      </c>
      <c r="P24" s="7">
        <f t="shared" ref="P24:CA24" si="117">IFERROR(VALUE(P329),"-")</f>
        <v>2</v>
      </c>
      <c r="Q24" s="7">
        <f t="shared" si="117"/>
        <v>1.6499999761581421</v>
      </c>
      <c r="R24" s="7">
        <f t="shared" si="117"/>
        <v>2.6500000953674316</v>
      </c>
      <c r="S24" s="7">
        <f t="shared" si="117"/>
        <v>2.5999999046325684</v>
      </c>
      <c r="T24" s="11">
        <f t="shared" si="117"/>
        <v>-4.84375</v>
      </c>
      <c r="U24" s="11">
        <f t="shared" si="117"/>
        <v>177009.21875</v>
      </c>
      <c r="V24" s="11">
        <f t="shared" si="117"/>
        <v>-27.125</v>
      </c>
      <c r="W24" s="11">
        <f t="shared" si="117"/>
        <v>246767.15625</v>
      </c>
      <c r="X24" s="14">
        <f t="shared" si="117"/>
        <v>1.7253114492632449E-9</v>
      </c>
      <c r="Y24" s="14">
        <f t="shared" si="117"/>
        <v>9.4803517640684731E-6</v>
      </c>
      <c r="Z24" s="14">
        <f t="shared" si="117"/>
        <v>1.507942215539515E-9</v>
      </c>
      <c r="AA24" s="14">
        <f t="shared" si="117"/>
        <v>1.4934303180780262E-5</v>
      </c>
      <c r="AB24" s="15">
        <f t="shared" si="117"/>
        <v>-5.0737192225369654E-13</v>
      </c>
      <c r="AC24" s="15">
        <f t="shared" si="117"/>
        <v>-3.1590996485419964E-9</v>
      </c>
      <c r="AD24" s="13">
        <f t="shared" si="117"/>
        <v>8.563995361328125E-4</v>
      </c>
      <c r="AE24" s="13">
        <f t="shared" si="117"/>
        <v>27.441478729248047</v>
      </c>
      <c r="AF24" s="12">
        <f t="shared" si="117"/>
        <v>2.15911865234375E-3</v>
      </c>
      <c r="AG24" s="12">
        <f t="shared" si="117"/>
        <v>-43.228282928466797</v>
      </c>
      <c r="AH24" s="13">
        <f t="shared" si="117"/>
        <v>3.1741365091875196E-10</v>
      </c>
      <c r="AI24" s="13">
        <f t="shared" si="117"/>
        <v>2.9122834348527249E-6</v>
      </c>
      <c r="AJ24" s="11">
        <f t="shared" si="117"/>
        <v>-5.9604644775390625E-7</v>
      </c>
      <c r="AK24" s="11">
        <f t="shared" si="117"/>
        <v>0.1570383608341217</v>
      </c>
      <c r="AL24" s="11">
        <f t="shared" si="117"/>
        <v>0</v>
      </c>
      <c r="AM24" s="11">
        <f t="shared" si="117"/>
        <v>-2</v>
      </c>
      <c r="AN24" s="11">
        <f t="shared" si="117"/>
        <v>-1.3760291039943695E-7</v>
      </c>
      <c r="AO24" s="11">
        <f t="shared" si="117"/>
        <v>-2.4877279065549374E-3</v>
      </c>
      <c r="AP24" s="11">
        <f t="shared" si="117"/>
        <v>130.53258657455444</v>
      </c>
      <c r="AQ24" s="11">
        <f t="shared" si="117"/>
        <v>16100</v>
      </c>
      <c r="AR24" s="16">
        <f t="shared" si="117"/>
        <v>925</v>
      </c>
      <c r="AS24" s="16">
        <f t="shared" si="117"/>
        <v>1350</v>
      </c>
      <c r="AT24" s="16">
        <f t="shared" si="117"/>
        <v>130.53258657455444</v>
      </c>
      <c r="AU24" s="7">
        <f t="shared" si="117"/>
        <v>0</v>
      </c>
      <c r="AV24" s="7">
        <f t="shared" si="117"/>
        <v>2</v>
      </c>
      <c r="AW24" s="7">
        <f t="shared" si="117"/>
        <v>0</v>
      </c>
      <c r="AX24" s="7">
        <f t="shared" si="117"/>
        <v>0</v>
      </c>
      <c r="AY24" s="11">
        <f t="shared" si="117"/>
        <v>0</v>
      </c>
      <c r="AZ24" s="16">
        <f t="shared" si="117"/>
        <v>0</v>
      </c>
      <c r="BA24" s="16">
        <f t="shared" si="117"/>
        <v>0</v>
      </c>
      <c r="BB24" s="16">
        <f t="shared" si="117"/>
        <v>0</v>
      </c>
      <c r="BC24" s="11">
        <f t="shared" si="117"/>
        <v>0</v>
      </c>
      <c r="BD24" s="11">
        <f t="shared" si="117"/>
        <v>0</v>
      </c>
      <c r="BE24" s="11">
        <f t="shared" si="117"/>
        <v>0</v>
      </c>
      <c r="BF24" s="11">
        <f t="shared" si="117"/>
        <v>0</v>
      </c>
      <c r="BG24" s="11">
        <f t="shared" si="117"/>
        <v>0</v>
      </c>
      <c r="BH24" s="11">
        <f t="shared" si="117"/>
        <v>0</v>
      </c>
      <c r="BI24" s="13">
        <f t="shared" si="117"/>
        <v>0</v>
      </c>
      <c r="BJ24" s="13">
        <f t="shared" si="117"/>
        <v>0</v>
      </c>
      <c r="BK24" s="11">
        <f t="shared" si="117"/>
        <v>0</v>
      </c>
      <c r="BL24" s="12">
        <f t="shared" si="117"/>
        <v>0</v>
      </c>
      <c r="BM24" s="12">
        <f t="shared" si="117"/>
        <v>0</v>
      </c>
      <c r="BN24" s="13">
        <f t="shared" si="117"/>
        <v>0</v>
      </c>
      <c r="BO24" s="13">
        <f t="shared" si="117"/>
        <v>0</v>
      </c>
      <c r="BP24" s="15">
        <f t="shared" si="117"/>
        <v>0</v>
      </c>
      <c r="BQ24" s="15">
        <f t="shared" si="117"/>
        <v>0</v>
      </c>
      <c r="BR24" s="14">
        <f t="shared" si="117"/>
        <v>0</v>
      </c>
      <c r="BS24" s="14">
        <f t="shared" si="117"/>
        <v>0</v>
      </c>
      <c r="BT24" s="14">
        <f t="shared" si="117"/>
        <v>0</v>
      </c>
      <c r="BU24" s="14">
        <f t="shared" si="117"/>
        <v>0</v>
      </c>
      <c r="BV24" s="11">
        <f t="shared" si="117"/>
        <v>0</v>
      </c>
      <c r="BW24" s="11">
        <f t="shared" si="117"/>
        <v>0</v>
      </c>
      <c r="BX24" s="11">
        <f t="shared" si="117"/>
        <v>0</v>
      </c>
      <c r="BY24" s="11">
        <f t="shared" si="117"/>
        <v>0</v>
      </c>
      <c r="BZ24" s="7">
        <f t="shared" si="117"/>
        <v>0</v>
      </c>
      <c r="CA24" s="7">
        <f t="shared" si="117"/>
        <v>0</v>
      </c>
      <c r="CB24" s="7">
        <f t="shared" ref="CB24:CP24" si="118">IFERROR(VALUE(CB329),"-")</f>
        <v>0</v>
      </c>
      <c r="CC24" s="7">
        <f t="shared" si="118"/>
        <v>0</v>
      </c>
      <c r="CD24" s="7">
        <f t="shared" si="118"/>
        <v>6872.4501953125</v>
      </c>
      <c r="CE24" s="3">
        <f t="shared" si="118"/>
        <v>750</v>
      </c>
      <c r="CF24" s="7">
        <f t="shared" si="118"/>
        <v>6410.5498046875</v>
      </c>
      <c r="CG24" s="3">
        <f t="shared" si="118"/>
        <v>500</v>
      </c>
      <c r="CH24" s="7">
        <f t="shared" si="118"/>
        <v>0</v>
      </c>
      <c r="CI24" s="7">
        <f t="shared" si="118"/>
        <v>2</v>
      </c>
      <c r="CJ24" s="3">
        <f t="shared" si="118"/>
        <v>450</v>
      </c>
      <c r="CK24" s="7">
        <f t="shared" si="118"/>
        <v>1.7000000476837158</v>
      </c>
      <c r="CL24" s="3">
        <f t="shared" si="118"/>
        <v>225</v>
      </c>
      <c r="CM24" s="7">
        <f t="shared" si="118"/>
        <v>2.2300000190734863</v>
      </c>
      <c r="CN24" s="10">
        <f t="shared" si="118"/>
        <v>44783.638194444444</v>
      </c>
      <c r="CO24" s="10">
        <f t="shared" si="118"/>
        <v>44783.638194444444</v>
      </c>
      <c r="CP24" s="7">
        <f t="shared" si="118"/>
        <v>38295.69921875</v>
      </c>
      <c r="CQ24" s="7" t="str">
        <f t="shared" ref="CQ24" si="119">IFERROR(CQ329,"-")</f>
        <v>FairPrice</v>
      </c>
      <c r="CR24" s="10">
        <f t="shared" si="74"/>
        <v>44783.638194444444</v>
      </c>
      <c r="CS24" s="7">
        <f t="shared" si="74"/>
        <v>-6.9141387939453125E-4</v>
      </c>
      <c r="CT24" s="7">
        <f t="shared" si="74"/>
        <v>-5.2968399326936025E-6</v>
      </c>
      <c r="CU24" s="7">
        <f t="shared" si="74"/>
        <v>425</v>
      </c>
      <c r="CV24" s="7">
        <f t="shared" si="74"/>
        <v>2.1764705882352939</v>
      </c>
      <c r="CW24" s="7">
        <f t="shared" si="74"/>
        <v>2</v>
      </c>
      <c r="CX24" s="7">
        <f t="shared" si="74"/>
        <v>0</v>
      </c>
      <c r="CY24" s="7">
        <f t="shared" si="74"/>
        <v>0</v>
      </c>
      <c r="CZ24" s="7">
        <f t="shared" si="74"/>
        <v>0</v>
      </c>
      <c r="DA24" s="7">
        <f t="shared" si="74"/>
        <v>0</v>
      </c>
      <c r="DB24" s="7">
        <f t="shared" si="74"/>
        <v>0</v>
      </c>
      <c r="DC24" s="7">
        <f t="shared" si="74"/>
        <v>0</v>
      </c>
      <c r="DD24" s="7">
        <f t="shared" si="74"/>
        <v>0</v>
      </c>
      <c r="DE24" s="7">
        <f t="shared" si="74"/>
        <v>0</v>
      </c>
      <c r="DF24" s="7">
        <f t="shared" si="74"/>
        <v>2</v>
      </c>
      <c r="DG24" s="7">
        <f t="shared" si="74"/>
        <v>38295.69921875</v>
      </c>
      <c r="DH24" s="7" t="str">
        <f t="shared" ref="DH24:DJ24" si="120">IFERROR(DH329,"-")</f>
        <v>W</v>
      </c>
      <c r="DI24" s="7" t="str">
        <f t="shared" si="120"/>
        <v>W</v>
      </c>
      <c r="DJ24" s="7" t="str">
        <f t="shared" si="120"/>
        <v>G</v>
      </c>
      <c r="DK24" s="64">
        <f t="shared" ref="DK24:DS24" si="121">IFERROR(VALUE(DK329),"-")</f>
        <v>38300</v>
      </c>
      <c r="DL24" s="64">
        <f t="shared" si="121"/>
        <v>3400000</v>
      </c>
      <c r="DM24" s="64">
        <f t="shared" si="121"/>
        <v>38500</v>
      </c>
      <c r="DN24" s="64">
        <f t="shared" si="121"/>
        <v>0</v>
      </c>
      <c r="DO24" s="64">
        <f t="shared" si="121"/>
        <v>24500</v>
      </c>
      <c r="DP24" s="64">
        <f t="shared" si="121"/>
        <v>2863350</v>
      </c>
      <c r="DQ24" s="64">
        <f t="shared" si="121"/>
        <v>38000</v>
      </c>
      <c r="DR24" s="64">
        <f t="shared" si="121"/>
        <v>0</v>
      </c>
      <c r="DS24" s="64">
        <f t="shared" si="121"/>
        <v>24500</v>
      </c>
      <c r="DT24" t="str">
        <f t="shared" si="7"/>
        <v>BANKNIFTY</v>
      </c>
      <c r="DU24" s="10">
        <f t="shared" si="8"/>
        <v>44784</v>
      </c>
    </row>
    <row r="25" spans="1:125" x14ac:dyDescent="0.25">
      <c r="A25" t="s">
        <v>13</v>
      </c>
      <c r="B25" s="2">
        <v>44861</v>
      </c>
      <c r="C25" s="1">
        <v>1250</v>
      </c>
      <c r="D25">
        <v>74</v>
      </c>
      <c r="G25" t="str">
        <f t="array" ref="G25">IFERROR(INDEX($A$2:$A$700,MATCH(0,COUNTIF($G$1:G24,$A$2:$A$700),0)),"")</f>
        <v>BALKRISIND</v>
      </c>
      <c r="H25" s="2" t="str">
        <f t="array" ref="H25">IFERROR(INDEX($B$1:$B$701,SMALL(IF(OptionChain!$AU$1=$A$1:$A$701,ROW($A$1:$A$701),""),ROW()-ROW($H$1))),"")</f>
        <v/>
      </c>
      <c r="I25" s="2" t="str">
        <f t="array" ref="I25">IFERROR(INDEX($B$1:$B$701,SMALL(IF($J$2=$A$1:$A$701,ROW($A$1:$A$701),""),ROW()-ROW($I$1))),"")</f>
        <v/>
      </c>
      <c r="M25" s="3"/>
      <c r="N25" s="3"/>
      <c r="O25" s="3">
        <f t="shared" si="9"/>
        <v>31700</v>
      </c>
      <c r="P25" s="7">
        <f t="shared" ref="P25:CA25" si="122">IFERROR(VALUE(P330),"-")</f>
        <v>1.9500000476837158</v>
      </c>
      <c r="Q25" s="7">
        <f t="shared" si="122"/>
        <v>1.7000000476837158</v>
      </c>
      <c r="R25" s="7">
        <f t="shared" si="122"/>
        <v>3.7000000476837158</v>
      </c>
      <c r="S25" s="7">
        <f t="shared" si="122"/>
        <v>1.75</v>
      </c>
      <c r="T25" s="11">
        <f t="shared" si="122"/>
        <v>21.390625</v>
      </c>
      <c r="U25" s="11">
        <f t="shared" si="122"/>
        <v>178425.03125</v>
      </c>
      <c r="V25" s="11">
        <f t="shared" si="122"/>
        <v>-2.765625</v>
      </c>
      <c r="W25" s="11">
        <f t="shared" si="122"/>
        <v>253209.53125</v>
      </c>
      <c r="X25" s="14">
        <f t="shared" si="122"/>
        <v>-8.6583895608782768E-10</v>
      </c>
      <c r="Y25" s="14">
        <f t="shared" si="122"/>
        <v>9.611346285964828E-6</v>
      </c>
      <c r="Z25" s="14">
        <f t="shared" si="122"/>
        <v>-3.434251993894577E-9</v>
      </c>
      <c r="AA25" s="14">
        <f t="shared" si="122"/>
        <v>1.5409072148031555E-5</v>
      </c>
      <c r="AB25" s="15">
        <f t="shared" si="122"/>
        <v>7.2852834875902772E-13</v>
      </c>
      <c r="AC25" s="15">
        <f t="shared" si="122"/>
        <v>-3.2530675930786401E-9</v>
      </c>
      <c r="AD25" s="13">
        <f t="shared" si="122"/>
        <v>3.3245086669921875E-3</v>
      </c>
      <c r="AE25" s="13">
        <f t="shared" si="122"/>
        <v>27.645708084106445</v>
      </c>
      <c r="AF25" s="12">
        <f t="shared" si="122"/>
        <v>5.53131103515625E-4</v>
      </c>
      <c r="AG25" s="12">
        <f t="shared" si="122"/>
        <v>-44.322063446044922</v>
      </c>
      <c r="AH25" s="13">
        <f t="shared" si="122"/>
        <v>-4.4747139327228069E-10</v>
      </c>
      <c r="AI25" s="13">
        <f t="shared" si="122"/>
        <v>2.9456650736392476E-6</v>
      </c>
      <c r="AJ25" s="11">
        <f t="shared" si="122"/>
        <v>-1.1995434761047363E-5</v>
      </c>
      <c r="AK25" s="11">
        <f t="shared" si="122"/>
        <v>0.15607236325740814</v>
      </c>
      <c r="AL25" s="11">
        <f t="shared" si="122"/>
        <v>0</v>
      </c>
      <c r="AM25" s="11">
        <f t="shared" si="122"/>
        <v>-1.9500000476837158</v>
      </c>
      <c r="AN25" s="11">
        <f t="shared" si="122"/>
        <v>1.9045546650886536E-7</v>
      </c>
      <c r="AO25" s="11">
        <f t="shared" si="122"/>
        <v>-2.4708048440515995E-3</v>
      </c>
      <c r="AP25" s="11">
        <f t="shared" si="122"/>
        <v>128.2588005065918</v>
      </c>
      <c r="AQ25" s="11">
        <f t="shared" si="122"/>
        <v>24750</v>
      </c>
      <c r="AR25" s="16">
        <f t="shared" si="122"/>
        <v>4150</v>
      </c>
      <c r="AS25" s="16">
        <f t="shared" si="122"/>
        <v>5475</v>
      </c>
      <c r="AT25" s="16">
        <f t="shared" si="122"/>
        <v>128.2588005065918</v>
      </c>
      <c r="AU25" s="7">
        <f t="shared" si="122"/>
        <v>0</v>
      </c>
      <c r="AV25" s="7">
        <f t="shared" si="122"/>
        <v>1.9500000476837158</v>
      </c>
      <c r="AW25" s="7">
        <f t="shared" si="122"/>
        <v>0</v>
      </c>
      <c r="AX25" s="7">
        <f t="shared" si="122"/>
        <v>-3597.05</v>
      </c>
      <c r="AY25" s="11">
        <f t="shared" si="122"/>
        <v>0</v>
      </c>
      <c r="AZ25" s="16">
        <f t="shared" si="122"/>
        <v>0</v>
      </c>
      <c r="BA25" s="16">
        <f t="shared" si="122"/>
        <v>0</v>
      </c>
      <c r="BB25" s="16">
        <f t="shared" si="122"/>
        <v>0</v>
      </c>
      <c r="BC25" s="11">
        <f t="shared" si="122"/>
        <v>0</v>
      </c>
      <c r="BD25" s="11">
        <f t="shared" si="122"/>
        <v>0</v>
      </c>
      <c r="BE25" s="11">
        <f t="shared" si="122"/>
        <v>0</v>
      </c>
      <c r="BF25" s="11">
        <f t="shared" si="122"/>
        <v>0</v>
      </c>
      <c r="BG25" s="11">
        <f t="shared" si="122"/>
        <v>0</v>
      </c>
      <c r="BH25" s="11">
        <f t="shared" si="122"/>
        <v>0</v>
      </c>
      <c r="BI25" s="13">
        <f t="shared" si="122"/>
        <v>0</v>
      </c>
      <c r="BJ25" s="13">
        <f t="shared" si="122"/>
        <v>0</v>
      </c>
      <c r="BK25" s="11">
        <f t="shared" si="122"/>
        <v>0</v>
      </c>
      <c r="BL25" s="12">
        <f t="shared" si="122"/>
        <v>0</v>
      </c>
      <c r="BM25" s="12">
        <f t="shared" si="122"/>
        <v>0</v>
      </c>
      <c r="BN25" s="13">
        <f t="shared" si="122"/>
        <v>0</v>
      </c>
      <c r="BO25" s="13">
        <f t="shared" si="122"/>
        <v>0</v>
      </c>
      <c r="BP25" s="15">
        <f t="shared" si="122"/>
        <v>0</v>
      </c>
      <c r="BQ25" s="15">
        <f t="shared" si="122"/>
        <v>0</v>
      </c>
      <c r="BR25" s="14">
        <f t="shared" si="122"/>
        <v>0</v>
      </c>
      <c r="BS25" s="14">
        <f t="shared" si="122"/>
        <v>0</v>
      </c>
      <c r="BT25" s="14">
        <f t="shared" si="122"/>
        <v>0</v>
      </c>
      <c r="BU25" s="14">
        <f t="shared" si="122"/>
        <v>0</v>
      </c>
      <c r="BV25" s="11">
        <f t="shared" si="122"/>
        <v>0</v>
      </c>
      <c r="BW25" s="11">
        <f t="shared" si="122"/>
        <v>0</v>
      </c>
      <c r="BX25" s="11">
        <f t="shared" si="122"/>
        <v>0</v>
      </c>
      <c r="BY25" s="11">
        <f t="shared" si="122"/>
        <v>0</v>
      </c>
      <c r="BZ25" s="7">
        <f t="shared" si="122"/>
        <v>0</v>
      </c>
      <c r="CA25" s="7">
        <f t="shared" si="122"/>
        <v>0</v>
      </c>
      <c r="CB25" s="7">
        <f t="shared" ref="CB25:CP25" si="123">IFERROR(VALUE(CB330),"-")</f>
        <v>0</v>
      </c>
      <c r="CC25" s="7">
        <f t="shared" si="123"/>
        <v>0</v>
      </c>
      <c r="CD25" s="7">
        <f t="shared" si="123"/>
        <v>0</v>
      </c>
      <c r="CE25" s="3">
        <f t="shared" si="123"/>
        <v>0</v>
      </c>
      <c r="CF25" s="7">
        <f t="shared" si="123"/>
        <v>0</v>
      </c>
      <c r="CG25" s="3">
        <f t="shared" si="123"/>
        <v>0</v>
      </c>
      <c r="CH25" s="7">
        <f t="shared" si="123"/>
        <v>0</v>
      </c>
      <c r="CI25" s="7">
        <f t="shared" si="123"/>
        <v>2.0499999523162842</v>
      </c>
      <c r="CJ25" s="3">
        <f t="shared" si="123"/>
        <v>450</v>
      </c>
      <c r="CK25" s="7">
        <f t="shared" si="123"/>
        <v>1.8999999761581421</v>
      </c>
      <c r="CL25" s="3">
        <f t="shared" si="123"/>
        <v>600</v>
      </c>
      <c r="CM25" s="7">
        <f t="shared" si="123"/>
        <v>2.2200000286102295</v>
      </c>
      <c r="CN25" s="10">
        <f t="shared" si="123"/>
        <v>44783.636701388888</v>
      </c>
      <c r="CO25" s="10">
        <f t="shared" si="123"/>
        <v>44783.638194444444</v>
      </c>
      <c r="CP25" s="7">
        <f t="shared" si="123"/>
        <v>38295.69921875</v>
      </c>
      <c r="CQ25" s="7" t="str">
        <f t="shared" ref="CQ25" si="124">IFERROR(CQ330,"-")</f>
        <v>FairPrice</v>
      </c>
      <c r="CR25" s="10">
        <f t="shared" si="74"/>
        <v>44783.638194444444</v>
      </c>
      <c r="CS25" s="7">
        <f t="shared" si="74"/>
        <v>1.1479854583740234E-2</v>
      </c>
      <c r="CT25" s="7">
        <f t="shared" si="74"/>
        <v>8.9513406793816604E-5</v>
      </c>
      <c r="CU25" s="7">
        <f t="shared" si="74"/>
        <v>1325</v>
      </c>
      <c r="CV25" s="7">
        <f t="shared" si="74"/>
        <v>3.1320754716981134</v>
      </c>
      <c r="CW25" s="7">
        <f t="shared" si="74"/>
        <v>1.9500000476837158</v>
      </c>
      <c r="CX25" s="7">
        <f t="shared" si="74"/>
        <v>0</v>
      </c>
      <c r="CY25" s="7">
        <f t="shared" si="74"/>
        <v>3597.05</v>
      </c>
      <c r="CZ25" s="7">
        <f t="shared" si="74"/>
        <v>-1</v>
      </c>
      <c r="DA25" s="7">
        <f t="shared" si="74"/>
        <v>0</v>
      </c>
      <c r="DB25" s="7">
        <f t="shared" si="74"/>
        <v>0</v>
      </c>
      <c r="DC25" s="7">
        <f t="shared" si="74"/>
        <v>0</v>
      </c>
      <c r="DD25" s="7">
        <f t="shared" si="74"/>
        <v>0</v>
      </c>
      <c r="DE25" s="7">
        <f t="shared" si="74"/>
        <v>3597.05</v>
      </c>
      <c r="DF25" s="7">
        <f t="shared" si="74"/>
        <v>1.9500000476837158</v>
      </c>
      <c r="DG25" s="7">
        <f t="shared" si="74"/>
        <v>38295.69921875</v>
      </c>
      <c r="DH25" s="7" t="str">
        <f t="shared" ref="DH25:DJ25" si="125">IFERROR(DH330,"-")</f>
        <v>R</v>
      </c>
      <c r="DI25" s="7" t="str">
        <f t="shared" si="125"/>
        <v>W</v>
      </c>
      <c r="DJ25" s="7" t="str">
        <f t="shared" si="125"/>
        <v>G</v>
      </c>
      <c r="DK25" s="64">
        <f t="shared" ref="DK25:DS25" si="126">IFERROR(VALUE(DK330),"-")</f>
        <v>38300</v>
      </c>
      <c r="DL25" s="64">
        <f t="shared" si="126"/>
        <v>3400000</v>
      </c>
      <c r="DM25" s="64">
        <f t="shared" si="126"/>
        <v>38500</v>
      </c>
      <c r="DN25" s="64">
        <f t="shared" si="126"/>
        <v>0</v>
      </c>
      <c r="DO25" s="64">
        <f t="shared" si="126"/>
        <v>24500</v>
      </c>
      <c r="DP25" s="64">
        <f t="shared" si="126"/>
        <v>2863350</v>
      </c>
      <c r="DQ25" s="64">
        <f t="shared" si="126"/>
        <v>38000</v>
      </c>
      <c r="DR25" s="64">
        <f t="shared" si="126"/>
        <v>0</v>
      </c>
      <c r="DS25" s="64">
        <f t="shared" si="126"/>
        <v>24500</v>
      </c>
      <c r="DT25" t="str">
        <f t="shared" si="7"/>
        <v>BANKNIFTY</v>
      </c>
      <c r="DU25" s="10">
        <f t="shared" si="8"/>
        <v>44784</v>
      </c>
    </row>
    <row r="26" spans="1:125" x14ac:dyDescent="0.25">
      <c r="A26" t="s">
        <v>14</v>
      </c>
      <c r="B26" s="2">
        <v>44798</v>
      </c>
      <c r="C26" s="1">
        <v>200</v>
      </c>
      <c r="D26">
        <v>61</v>
      </c>
      <c r="G26" t="str">
        <f t="array" ref="G26">IFERROR(INDEX($A$2:$A$700,MATCH(0,COUNTIF($G$1:G25,$A$2:$A$700),0)),"")</f>
        <v>BALRAMCHIN</v>
      </c>
      <c r="H26" s="2" t="str">
        <f t="array" ref="H26">IFERROR(INDEX($B$1:$B$701,SMALL(IF(OptionChain!$AU$1=$A$1:$A$701,ROW($A$1:$A$701),""),ROW()-ROW($H$1))),"")</f>
        <v/>
      </c>
      <c r="I26" s="2" t="str">
        <f t="array" ref="I26">IFERROR(INDEX($B$1:$B$701,SMALL(IF($J$2=$A$1:$A$701,ROW($A$1:$A$701),""),ROW()-ROW($I$1))),"")</f>
        <v/>
      </c>
      <c r="M26" s="3"/>
      <c r="N26" s="3"/>
      <c r="O26" s="3">
        <f t="shared" si="9"/>
        <v>31800</v>
      </c>
      <c r="P26" s="7">
        <f t="shared" ref="P26:CA26" si="127">IFERROR(VALUE(P331),"-")</f>
        <v>1.6499999761581421</v>
      </c>
      <c r="Q26" s="7">
        <f t="shared" si="127"/>
        <v>1.4500000476837158</v>
      </c>
      <c r="R26" s="7">
        <f t="shared" si="127"/>
        <v>2.7999999523162842</v>
      </c>
      <c r="S26" s="7">
        <f t="shared" si="127"/>
        <v>2.7000000476837158</v>
      </c>
      <c r="T26" s="11">
        <f t="shared" si="127"/>
        <v>-48.703125</v>
      </c>
      <c r="U26" s="11">
        <f t="shared" si="127"/>
        <v>204950.390625</v>
      </c>
      <c r="V26" s="11">
        <f t="shared" si="127"/>
        <v>-53.375</v>
      </c>
      <c r="W26" s="11">
        <f t="shared" si="127"/>
        <v>301174</v>
      </c>
      <c r="X26" s="14">
        <f t="shared" si="127"/>
        <v>4.3100953917019069E-9</v>
      </c>
      <c r="Y26" s="14">
        <f t="shared" si="127"/>
        <v>9.1634165073628537E-6</v>
      </c>
      <c r="Z26" s="14">
        <f t="shared" si="127"/>
        <v>8.1226971815340221E-9</v>
      </c>
      <c r="AA26" s="14">
        <f t="shared" si="127"/>
        <v>1.5161945157160517E-5</v>
      </c>
      <c r="AB26" s="15">
        <f t="shared" si="127"/>
        <v>-2.0150547896946591E-12</v>
      </c>
      <c r="AC26" s="15">
        <f t="shared" si="127"/>
        <v>-3.1358906582568125E-9</v>
      </c>
      <c r="AD26" s="13">
        <f t="shared" si="127"/>
        <v>-4.21905517578125E-3</v>
      </c>
      <c r="AE26" s="13">
        <f t="shared" si="127"/>
        <v>31.415777206420898</v>
      </c>
      <c r="AF26" s="12">
        <f t="shared" si="127"/>
        <v>3.582000732421875E-3</v>
      </c>
      <c r="AG26" s="12">
        <f t="shared" si="127"/>
        <v>-51.9810791015625</v>
      </c>
      <c r="AH26" s="13">
        <f t="shared" si="127"/>
        <v>1.1830252333311364E-9</v>
      </c>
      <c r="AI26" s="13">
        <f t="shared" si="127"/>
        <v>2.7159171622770373E-6</v>
      </c>
      <c r="AJ26" s="11">
        <f t="shared" si="127"/>
        <v>1.6242265701293945E-5</v>
      </c>
      <c r="AK26" s="11">
        <f t="shared" si="127"/>
        <v>0.13943731784820557</v>
      </c>
      <c r="AL26" s="11">
        <f t="shared" si="127"/>
        <v>0</v>
      </c>
      <c r="AM26" s="11">
        <f t="shared" si="127"/>
        <v>-1.6499999761581421</v>
      </c>
      <c r="AN26" s="11">
        <f t="shared" si="127"/>
        <v>-4.8172660171985626E-7</v>
      </c>
      <c r="AO26" s="11">
        <f t="shared" si="127"/>
        <v>-2.1816154476255178E-3</v>
      </c>
      <c r="AP26" s="11">
        <f t="shared" si="127"/>
        <v>124.27984476089478</v>
      </c>
      <c r="AQ26" s="11">
        <f t="shared" si="127"/>
        <v>31700</v>
      </c>
      <c r="AR26" s="16">
        <f t="shared" si="127"/>
        <v>-375</v>
      </c>
      <c r="AS26" s="16">
        <f t="shared" si="127"/>
        <v>4975</v>
      </c>
      <c r="AT26" s="16">
        <f t="shared" si="127"/>
        <v>124.27984476089478</v>
      </c>
      <c r="AU26" s="7">
        <f t="shared" si="127"/>
        <v>0</v>
      </c>
      <c r="AV26" s="7">
        <f t="shared" si="127"/>
        <v>1.6499999761581421</v>
      </c>
      <c r="AW26" s="7">
        <f t="shared" si="127"/>
        <v>0</v>
      </c>
      <c r="AX26" s="7">
        <f t="shared" si="127"/>
        <v>-3512.8</v>
      </c>
      <c r="AY26" s="11">
        <f t="shared" si="127"/>
        <v>0</v>
      </c>
      <c r="AZ26" s="16">
        <f t="shared" si="127"/>
        <v>0</v>
      </c>
      <c r="BA26" s="16">
        <f t="shared" si="127"/>
        <v>0</v>
      </c>
      <c r="BB26" s="16">
        <f t="shared" si="127"/>
        <v>0</v>
      </c>
      <c r="BC26" s="11">
        <f t="shared" si="127"/>
        <v>0</v>
      </c>
      <c r="BD26" s="11">
        <f t="shared" si="127"/>
        <v>0</v>
      </c>
      <c r="BE26" s="11">
        <f t="shared" si="127"/>
        <v>0</v>
      </c>
      <c r="BF26" s="11">
        <f t="shared" si="127"/>
        <v>0</v>
      </c>
      <c r="BG26" s="11">
        <f t="shared" si="127"/>
        <v>0</v>
      </c>
      <c r="BH26" s="11">
        <f t="shared" si="127"/>
        <v>0</v>
      </c>
      <c r="BI26" s="13">
        <f t="shared" si="127"/>
        <v>0</v>
      </c>
      <c r="BJ26" s="13">
        <f t="shared" si="127"/>
        <v>0</v>
      </c>
      <c r="BK26" s="11">
        <f t="shared" si="127"/>
        <v>0</v>
      </c>
      <c r="BL26" s="12">
        <f t="shared" si="127"/>
        <v>0</v>
      </c>
      <c r="BM26" s="12">
        <f t="shared" si="127"/>
        <v>0</v>
      </c>
      <c r="BN26" s="13">
        <f t="shared" si="127"/>
        <v>0</v>
      </c>
      <c r="BO26" s="13">
        <f t="shared" si="127"/>
        <v>0</v>
      </c>
      <c r="BP26" s="15">
        <f t="shared" si="127"/>
        <v>0</v>
      </c>
      <c r="BQ26" s="15">
        <f t="shared" si="127"/>
        <v>0</v>
      </c>
      <c r="BR26" s="14">
        <f t="shared" si="127"/>
        <v>0</v>
      </c>
      <c r="BS26" s="14">
        <f t="shared" si="127"/>
        <v>0</v>
      </c>
      <c r="BT26" s="14">
        <f t="shared" si="127"/>
        <v>0</v>
      </c>
      <c r="BU26" s="14">
        <f t="shared" si="127"/>
        <v>0</v>
      </c>
      <c r="BV26" s="11">
        <f t="shared" si="127"/>
        <v>0</v>
      </c>
      <c r="BW26" s="11">
        <f t="shared" si="127"/>
        <v>0</v>
      </c>
      <c r="BX26" s="11">
        <f t="shared" si="127"/>
        <v>0</v>
      </c>
      <c r="BY26" s="11">
        <f t="shared" si="127"/>
        <v>0</v>
      </c>
      <c r="BZ26" s="7">
        <f t="shared" si="127"/>
        <v>0</v>
      </c>
      <c r="CA26" s="7">
        <f t="shared" si="127"/>
        <v>0</v>
      </c>
      <c r="CB26" s="7">
        <f t="shared" ref="CB26:CP26" si="128">IFERROR(VALUE(CB331),"-")</f>
        <v>0</v>
      </c>
      <c r="CC26" s="7">
        <f t="shared" si="128"/>
        <v>0</v>
      </c>
      <c r="CD26" s="7">
        <f t="shared" si="128"/>
        <v>0</v>
      </c>
      <c r="CE26" s="3">
        <f t="shared" si="128"/>
        <v>0</v>
      </c>
      <c r="CF26" s="7">
        <f t="shared" si="128"/>
        <v>0</v>
      </c>
      <c r="CG26" s="3">
        <f t="shared" si="128"/>
        <v>0</v>
      </c>
      <c r="CH26" s="7">
        <f t="shared" si="128"/>
        <v>0</v>
      </c>
      <c r="CI26" s="7">
        <f t="shared" si="128"/>
        <v>2</v>
      </c>
      <c r="CJ26" s="3">
        <f t="shared" si="128"/>
        <v>50</v>
      </c>
      <c r="CK26" s="7">
        <f t="shared" si="128"/>
        <v>1.6499999761581421</v>
      </c>
      <c r="CL26" s="3">
        <f t="shared" si="128"/>
        <v>275</v>
      </c>
      <c r="CM26" s="7">
        <f t="shared" si="128"/>
        <v>2.2300000190734863</v>
      </c>
      <c r="CN26" s="10">
        <f t="shared" si="128"/>
        <v>44783.636701388888</v>
      </c>
      <c r="CO26" s="10">
        <f t="shared" si="128"/>
        <v>44783.638194444444</v>
      </c>
      <c r="CP26" s="7">
        <f t="shared" si="128"/>
        <v>38295.69921875</v>
      </c>
      <c r="CQ26" s="7" t="str">
        <f t="shared" ref="CQ26" si="129">IFERROR(CQ331,"-")</f>
        <v>FairPrice</v>
      </c>
      <c r="CR26" s="10">
        <f t="shared" si="74"/>
        <v>44783.638194444444</v>
      </c>
      <c r="CS26" s="7">
        <f t="shared" si="74"/>
        <v>-1.888275146484375E-2</v>
      </c>
      <c r="CT26" s="7">
        <f t="shared" si="74"/>
        <v>-1.5191427814871352E-4</v>
      </c>
      <c r="CU26" s="7">
        <f t="shared" si="74"/>
        <v>5350</v>
      </c>
      <c r="CV26" s="7">
        <f t="shared" si="74"/>
        <v>-7.0093457943925228E-2</v>
      </c>
      <c r="CW26" s="7">
        <f t="shared" si="74"/>
        <v>1.6499999761581421</v>
      </c>
      <c r="CX26" s="7">
        <f t="shared" si="74"/>
        <v>0</v>
      </c>
      <c r="CY26" s="7">
        <f t="shared" si="74"/>
        <v>3512.8</v>
      </c>
      <c r="CZ26" s="7">
        <f t="shared" si="74"/>
        <v>-1</v>
      </c>
      <c r="DA26" s="7">
        <f t="shared" si="74"/>
        <v>0</v>
      </c>
      <c r="DB26" s="7">
        <f t="shared" si="74"/>
        <v>0</v>
      </c>
      <c r="DC26" s="7">
        <f t="shared" si="74"/>
        <v>0</v>
      </c>
      <c r="DD26" s="7">
        <f t="shared" si="74"/>
        <v>0</v>
      </c>
      <c r="DE26" s="7">
        <f t="shared" si="74"/>
        <v>3512.8</v>
      </c>
      <c r="DF26" s="7">
        <f t="shared" si="74"/>
        <v>1.6499999761581421</v>
      </c>
      <c r="DG26" s="7">
        <f t="shared" si="74"/>
        <v>38295.69921875</v>
      </c>
      <c r="DH26" s="7" t="str">
        <f t="shared" ref="DH26:DJ26" si="130">IFERROR(DH331,"-")</f>
        <v>R</v>
      </c>
      <c r="DI26" s="7" t="str">
        <f t="shared" si="130"/>
        <v>W</v>
      </c>
      <c r="DJ26" s="7" t="str">
        <f t="shared" si="130"/>
        <v>G</v>
      </c>
      <c r="DK26" s="64">
        <f t="shared" ref="DK26:DS26" si="131">IFERROR(VALUE(DK331),"-")</f>
        <v>38300</v>
      </c>
      <c r="DL26" s="64">
        <f t="shared" si="131"/>
        <v>3400000</v>
      </c>
      <c r="DM26" s="64">
        <f t="shared" si="131"/>
        <v>38500</v>
      </c>
      <c r="DN26" s="64">
        <f t="shared" si="131"/>
        <v>0</v>
      </c>
      <c r="DO26" s="64">
        <f t="shared" si="131"/>
        <v>24500</v>
      </c>
      <c r="DP26" s="64">
        <f t="shared" si="131"/>
        <v>2863350</v>
      </c>
      <c r="DQ26" s="64">
        <f t="shared" si="131"/>
        <v>38000</v>
      </c>
      <c r="DR26" s="64">
        <f t="shared" si="131"/>
        <v>0</v>
      </c>
      <c r="DS26" s="64">
        <f t="shared" si="131"/>
        <v>24500</v>
      </c>
      <c r="DT26" t="str">
        <f t="shared" si="7"/>
        <v>BANKNIFTY</v>
      </c>
      <c r="DU26" s="10">
        <f t="shared" si="8"/>
        <v>44784</v>
      </c>
    </row>
    <row r="27" spans="1:125" x14ac:dyDescent="0.25">
      <c r="A27" t="s">
        <v>14</v>
      </c>
      <c r="B27" s="2">
        <v>44833</v>
      </c>
      <c r="C27" s="1">
        <v>200</v>
      </c>
      <c r="D27">
        <v>61</v>
      </c>
      <c r="G27" t="str">
        <f t="array" ref="G27">IFERROR(INDEX($A$2:$A$700,MATCH(0,COUNTIF($G$1:G26,$A$2:$A$700),0)),"")</f>
        <v>BANDHANBNK</v>
      </c>
      <c r="H27" s="2" t="str">
        <f t="array" ref="H27">IFERROR(INDEX($B$1:$B$701,SMALL(IF(OptionChain!$AU$1=$A$1:$A$701,ROW($A$1:$A$701),""),ROW()-ROW($H$1))),"")</f>
        <v/>
      </c>
      <c r="I27" s="2" t="str">
        <f t="array" ref="I27">IFERROR(INDEX($B$1:$B$701,SMALL(IF($J$2=$A$1:$A$701,ROW($A$1:$A$701),""),ROW()-ROW($I$1))),"")</f>
        <v/>
      </c>
      <c r="M27" s="3"/>
      <c r="N27" s="3"/>
      <c r="O27" s="3">
        <f t="shared" si="9"/>
        <v>31900</v>
      </c>
      <c r="P27" s="7">
        <f t="shared" ref="P27:CA27" si="132">IFERROR(VALUE(P332),"-")</f>
        <v>2.0499999523162842</v>
      </c>
      <c r="Q27" s="7">
        <f t="shared" si="132"/>
        <v>1.7000000476837158</v>
      </c>
      <c r="R27" s="7">
        <f t="shared" si="132"/>
        <v>2.75</v>
      </c>
      <c r="S27" s="7">
        <f t="shared" si="132"/>
        <v>2.4500000476837158</v>
      </c>
      <c r="T27" s="11">
        <f t="shared" si="132"/>
        <v>-76.390625</v>
      </c>
      <c r="U27" s="11">
        <f t="shared" si="132"/>
        <v>165146.4375</v>
      </c>
      <c r="V27" s="11">
        <f t="shared" si="132"/>
        <v>-84.078125</v>
      </c>
      <c r="W27" s="11">
        <f t="shared" si="132"/>
        <v>240106.984375</v>
      </c>
      <c r="X27" s="14">
        <f t="shared" si="132"/>
        <v>9.4514689408242702E-9</v>
      </c>
      <c r="Y27" s="14">
        <f t="shared" si="132"/>
        <v>1.0314048267900944E-5</v>
      </c>
      <c r="Z27" s="14">
        <f t="shared" si="132"/>
        <v>1.763874024618417E-8</v>
      </c>
      <c r="AA27" s="14">
        <f t="shared" si="132"/>
        <v>1.6971602235571481E-5</v>
      </c>
      <c r="AB27" s="15">
        <f t="shared" si="132"/>
        <v>-4.5285997174460135E-12</v>
      </c>
      <c r="AC27" s="15">
        <f t="shared" si="132"/>
        <v>-3.6168357198107515E-9</v>
      </c>
      <c r="AD27" s="13">
        <f t="shared" si="132"/>
        <v>-6.65283203125E-3</v>
      </c>
      <c r="AE27" s="13">
        <f t="shared" si="132"/>
        <v>25.744155883789063</v>
      </c>
      <c r="AF27" s="12">
        <f t="shared" si="132"/>
        <v>5.733489990234375E-3</v>
      </c>
      <c r="AG27" s="12">
        <f t="shared" si="132"/>
        <v>-42.361598968505859</v>
      </c>
      <c r="AH27" s="13">
        <f t="shared" si="132"/>
        <v>2.7353053155820817E-9</v>
      </c>
      <c r="AI27" s="13">
        <f t="shared" si="132"/>
        <v>3.2196041956922272E-6</v>
      </c>
      <c r="AJ27" s="11">
        <f t="shared" si="132"/>
        <v>3.7327408790588379E-5</v>
      </c>
      <c r="AK27" s="11">
        <f t="shared" si="132"/>
        <v>0.16631148755550385</v>
      </c>
      <c r="AL27" s="11">
        <f t="shared" si="132"/>
        <v>0</v>
      </c>
      <c r="AM27" s="11">
        <f t="shared" si="132"/>
        <v>-2.0499999523162842</v>
      </c>
      <c r="AN27" s="11">
        <f t="shared" si="132"/>
        <v>-1.1420343071222305E-6</v>
      </c>
      <c r="AO27" s="11">
        <f t="shared" si="132"/>
        <v>-2.6502055115997791E-3</v>
      </c>
      <c r="AP27" s="11">
        <f t="shared" si="132"/>
        <v>124.99665021896362</v>
      </c>
      <c r="AQ27" s="11">
        <f t="shared" si="132"/>
        <v>12100</v>
      </c>
      <c r="AR27" s="16">
        <f t="shared" si="132"/>
        <v>1575</v>
      </c>
      <c r="AS27" s="16">
        <f t="shared" si="132"/>
        <v>2350</v>
      </c>
      <c r="AT27" s="16">
        <f t="shared" si="132"/>
        <v>124.99665021896362</v>
      </c>
      <c r="AU27" s="7">
        <f t="shared" si="132"/>
        <v>0</v>
      </c>
      <c r="AV27" s="7">
        <f t="shared" si="132"/>
        <v>2.0499999523162842</v>
      </c>
      <c r="AW27" s="7">
        <f t="shared" si="132"/>
        <v>0</v>
      </c>
      <c r="AX27" s="7">
        <f t="shared" si="132"/>
        <v>0</v>
      </c>
      <c r="AY27" s="11">
        <f t="shared" si="132"/>
        <v>0</v>
      </c>
      <c r="AZ27" s="16">
        <f t="shared" si="132"/>
        <v>0</v>
      </c>
      <c r="BA27" s="16">
        <f t="shared" si="132"/>
        <v>0</v>
      </c>
      <c r="BB27" s="16">
        <f t="shared" si="132"/>
        <v>0</v>
      </c>
      <c r="BC27" s="11">
        <f t="shared" si="132"/>
        <v>0</v>
      </c>
      <c r="BD27" s="11">
        <f t="shared" si="132"/>
        <v>0</v>
      </c>
      <c r="BE27" s="11">
        <f t="shared" si="132"/>
        <v>0</v>
      </c>
      <c r="BF27" s="11">
        <f t="shared" si="132"/>
        <v>0</v>
      </c>
      <c r="BG27" s="11">
        <f t="shared" si="132"/>
        <v>0</v>
      </c>
      <c r="BH27" s="11">
        <f t="shared" si="132"/>
        <v>0</v>
      </c>
      <c r="BI27" s="13">
        <f t="shared" si="132"/>
        <v>0</v>
      </c>
      <c r="BJ27" s="13">
        <f t="shared" si="132"/>
        <v>0</v>
      </c>
      <c r="BK27" s="11">
        <f t="shared" si="132"/>
        <v>0</v>
      </c>
      <c r="BL27" s="12">
        <f t="shared" si="132"/>
        <v>0</v>
      </c>
      <c r="BM27" s="12">
        <f t="shared" si="132"/>
        <v>0</v>
      </c>
      <c r="BN27" s="13">
        <f t="shared" si="132"/>
        <v>0</v>
      </c>
      <c r="BO27" s="13">
        <f t="shared" si="132"/>
        <v>0</v>
      </c>
      <c r="BP27" s="15">
        <f t="shared" si="132"/>
        <v>0</v>
      </c>
      <c r="BQ27" s="15">
        <f t="shared" si="132"/>
        <v>0</v>
      </c>
      <c r="BR27" s="14">
        <f t="shared" si="132"/>
        <v>0</v>
      </c>
      <c r="BS27" s="14">
        <f t="shared" si="132"/>
        <v>0</v>
      </c>
      <c r="BT27" s="14">
        <f t="shared" si="132"/>
        <v>0</v>
      </c>
      <c r="BU27" s="14">
        <f t="shared" si="132"/>
        <v>0</v>
      </c>
      <c r="BV27" s="11">
        <f t="shared" si="132"/>
        <v>0</v>
      </c>
      <c r="BW27" s="11">
        <f t="shared" si="132"/>
        <v>0</v>
      </c>
      <c r="BX27" s="11">
        <f t="shared" si="132"/>
        <v>0</v>
      </c>
      <c r="BY27" s="11">
        <f t="shared" si="132"/>
        <v>0</v>
      </c>
      <c r="BZ27" s="7">
        <f t="shared" si="132"/>
        <v>0</v>
      </c>
      <c r="CA27" s="7">
        <f t="shared" si="132"/>
        <v>0</v>
      </c>
      <c r="CB27" s="7">
        <f t="shared" ref="CB27:CP27" si="133">IFERROR(VALUE(CB332),"-")</f>
        <v>0</v>
      </c>
      <c r="CC27" s="7">
        <f t="shared" si="133"/>
        <v>0</v>
      </c>
      <c r="CD27" s="7">
        <f t="shared" si="133"/>
        <v>6572.2998046875</v>
      </c>
      <c r="CE27" s="3">
        <f t="shared" si="133"/>
        <v>800</v>
      </c>
      <c r="CF27" s="7">
        <f t="shared" si="133"/>
        <v>6099.7998046875</v>
      </c>
      <c r="CG27" s="3">
        <f t="shared" si="133"/>
        <v>750</v>
      </c>
      <c r="CH27" s="7">
        <f t="shared" si="133"/>
        <v>0</v>
      </c>
      <c r="CI27" s="7">
        <f t="shared" si="133"/>
        <v>2.0499999523162842</v>
      </c>
      <c r="CJ27" s="3">
        <f t="shared" si="133"/>
        <v>300</v>
      </c>
      <c r="CK27" s="7">
        <f t="shared" si="133"/>
        <v>2</v>
      </c>
      <c r="CL27" s="3">
        <f t="shared" si="133"/>
        <v>100</v>
      </c>
      <c r="CM27" s="7">
        <f t="shared" si="133"/>
        <v>2.190000057220459</v>
      </c>
      <c r="CN27" s="10">
        <f t="shared" si="133"/>
        <v>44783.638194444444</v>
      </c>
      <c r="CO27" s="10">
        <f t="shared" si="133"/>
        <v>44783.638194444444</v>
      </c>
      <c r="CP27" s="7">
        <f t="shared" si="133"/>
        <v>38295.69921875</v>
      </c>
      <c r="CQ27" s="7" t="str">
        <f t="shared" ref="CQ27" si="134">IFERROR(CQ332,"-")</f>
        <v>FairPrice</v>
      </c>
      <c r="CR27" s="10">
        <f t="shared" si="74"/>
        <v>44783.638194444444</v>
      </c>
      <c r="CS27" s="7">
        <f t="shared" si="74"/>
        <v>-3.6990642547607422E-2</v>
      </c>
      <c r="CT27" s="7">
        <f t="shared" si="74"/>
        <v>-2.9584552039541663E-4</v>
      </c>
      <c r="CU27" s="7">
        <f t="shared" si="74"/>
        <v>775</v>
      </c>
      <c r="CV27" s="7">
        <f t="shared" si="74"/>
        <v>2.032258064516129</v>
      </c>
      <c r="CW27" s="7">
        <f t="shared" si="74"/>
        <v>2.0499999523162842</v>
      </c>
      <c r="CX27" s="7">
        <f t="shared" si="74"/>
        <v>0</v>
      </c>
      <c r="CY27" s="7">
        <f t="shared" si="74"/>
        <v>0</v>
      </c>
      <c r="CZ27" s="7">
        <f t="shared" si="74"/>
        <v>0</v>
      </c>
      <c r="DA27" s="7">
        <f t="shared" si="74"/>
        <v>0</v>
      </c>
      <c r="DB27" s="7">
        <f t="shared" si="74"/>
        <v>0</v>
      </c>
      <c r="DC27" s="7">
        <f t="shared" si="74"/>
        <v>0</v>
      </c>
      <c r="DD27" s="7">
        <f t="shared" si="74"/>
        <v>0</v>
      </c>
      <c r="DE27" s="7">
        <f t="shared" si="74"/>
        <v>0</v>
      </c>
      <c r="DF27" s="7">
        <f t="shared" si="74"/>
        <v>2.0499999523162842</v>
      </c>
      <c r="DG27" s="7">
        <f t="shared" si="74"/>
        <v>38295.69921875</v>
      </c>
      <c r="DH27" s="7" t="str">
        <f t="shared" ref="DH27:DJ27" si="135">IFERROR(DH332,"-")</f>
        <v>W</v>
      </c>
      <c r="DI27" s="7" t="str">
        <f t="shared" si="135"/>
        <v>W</v>
      </c>
      <c r="DJ27" s="7" t="str">
        <f t="shared" si="135"/>
        <v>G</v>
      </c>
      <c r="DK27" s="64">
        <f t="shared" ref="DK27:DS27" si="136">IFERROR(VALUE(DK332),"-")</f>
        <v>38300</v>
      </c>
      <c r="DL27" s="64">
        <f t="shared" si="136"/>
        <v>3400000</v>
      </c>
      <c r="DM27" s="64">
        <f t="shared" si="136"/>
        <v>38500</v>
      </c>
      <c r="DN27" s="64">
        <f t="shared" si="136"/>
        <v>0</v>
      </c>
      <c r="DO27" s="64">
        <f t="shared" si="136"/>
        <v>24500</v>
      </c>
      <c r="DP27" s="64">
        <f t="shared" si="136"/>
        <v>2863350</v>
      </c>
      <c r="DQ27" s="64">
        <f t="shared" si="136"/>
        <v>38000</v>
      </c>
      <c r="DR27" s="64">
        <f t="shared" si="136"/>
        <v>0</v>
      </c>
      <c r="DS27" s="64">
        <f t="shared" si="136"/>
        <v>24500</v>
      </c>
      <c r="DT27" t="str">
        <f t="shared" si="7"/>
        <v>BANKNIFTY</v>
      </c>
      <c r="DU27" s="10">
        <f t="shared" si="8"/>
        <v>44784</v>
      </c>
    </row>
    <row r="28" spans="1:125" x14ac:dyDescent="0.25">
      <c r="A28" t="s">
        <v>14</v>
      </c>
      <c r="B28" s="2">
        <v>44861</v>
      </c>
      <c r="C28" s="1">
        <v>200</v>
      </c>
      <c r="D28">
        <v>61</v>
      </c>
      <c r="G28" t="str">
        <f t="array" ref="G28">IFERROR(INDEX($A$2:$A$700,MATCH(0,COUNTIF($G$1:G27,$A$2:$A$700),0)),"")</f>
        <v>BANKBARODA</v>
      </c>
      <c r="H28" s="2" t="str">
        <f t="array" ref="H28">IFERROR(INDEX($B$1:$B$701,SMALL(IF(OptionChain!$AU$1=$A$1:$A$701,ROW($A$1:$A$701),""),ROW()-ROW($H$1))),"")</f>
        <v/>
      </c>
      <c r="I28" s="2" t="str">
        <f t="array" ref="I28">IFERROR(INDEX($B$1:$B$701,SMALL(IF($J$2=$A$1:$A$701,ROW($A$1:$A$701),""),ROW()-ROW($I$1))),"")</f>
        <v/>
      </c>
      <c r="L28" s="30"/>
      <c r="M28" s="3"/>
      <c r="N28" s="3"/>
      <c r="O28" s="3">
        <f t="shared" si="9"/>
        <v>32000</v>
      </c>
      <c r="P28" s="7">
        <f t="shared" ref="P28:CA28" si="137">IFERROR(VALUE(P333),"-")</f>
        <v>1.8999999761581421</v>
      </c>
      <c r="Q28" s="7">
        <f t="shared" si="137"/>
        <v>1.75</v>
      </c>
      <c r="R28" s="7">
        <f t="shared" si="137"/>
        <v>2.7999999523162842</v>
      </c>
      <c r="S28" s="7">
        <f t="shared" si="137"/>
        <v>2.3499999046325684</v>
      </c>
      <c r="T28" s="11">
        <f t="shared" si="137"/>
        <v>21.546875</v>
      </c>
      <c r="U28" s="11">
        <f t="shared" si="137"/>
        <v>174267.9375</v>
      </c>
      <c r="V28" s="11">
        <f t="shared" si="137"/>
        <v>-2.796875</v>
      </c>
      <c r="W28" s="11">
        <f t="shared" si="137"/>
        <v>259644.828125</v>
      </c>
      <c r="X28" s="14">
        <f t="shared" si="137"/>
        <v>-9.8134478321298957E-10</v>
      </c>
      <c r="Y28" s="14">
        <f t="shared" si="137"/>
        <v>1.0253129403281491E-5</v>
      </c>
      <c r="Z28" s="14">
        <f t="shared" si="137"/>
        <v>-4.005414666607976E-9</v>
      </c>
      <c r="AA28" s="14">
        <f t="shared" si="137"/>
        <v>1.7265718270209618E-5</v>
      </c>
      <c r="AB28" s="15">
        <f t="shared" si="137"/>
        <v>8.5242923830719519E-13</v>
      </c>
      <c r="AC28" s="15">
        <f t="shared" si="137"/>
        <v>-3.6484326670915834E-9</v>
      </c>
      <c r="AD28" s="13">
        <f t="shared" si="137"/>
        <v>3.3435821533203125E-3</v>
      </c>
      <c r="AE28" s="13">
        <f t="shared" si="137"/>
        <v>27.058097839355469</v>
      </c>
      <c r="AF28" s="12">
        <f t="shared" si="137"/>
        <v>5.79833984375E-4</v>
      </c>
      <c r="AG28" s="12">
        <f t="shared" si="137"/>
        <v>-45.564380645751953</v>
      </c>
      <c r="AH28" s="13">
        <f t="shared" si="137"/>
        <v>-4.999947122996673E-10</v>
      </c>
      <c r="AI28" s="13">
        <f t="shared" si="137"/>
        <v>3.1567062706017168E-6</v>
      </c>
      <c r="AJ28" s="11">
        <f t="shared" si="137"/>
        <v>-1.2710690498352051E-5</v>
      </c>
      <c r="AK28" s="11">
        <f t="shared" si="137"/>
        <v>0.15923586487770081</v>
      </c>
      <c r="AL28" s="11">
        <f t="shared" si="137"/>
        <v>0</v>
      </c>
      <c r="AM28" s="11">
        <f t="shared" si="137"/>
        <v>-1.8999999761581421</v>
      </c>
      <c r="AN28" s="11">
        <f t="shared" si="137"/>
        <v>2.0279549062252045E-7</v>
      </c>
      <c r="AO28" s="11">
        <f t="shared" si="137"/>
        <v>-2.5262499693781137E-3</v>
      </c>
      <c r="AP28" s="11">
        <f t="shared" si="137"/>
        <v>122.10999727249146</v>
      </c>
      <c r="AQ28" s="11">
        <f t="shared" si="137"/>
        <v>391725</v>
      </c>
      <c r="AR28" s="16">
        <f t="shared" si="137"/>
        <v>-1275</v>
      </c>
      <c r="AS28" s="16">
        <f t="shared" si="137"/>
        <v>110575</v>
      </c>
      <c r="AT28" s="16">
        <f t="shared" si="137"/>
        <v>122.10999727249146</v>
      </c>
      <c r="AU28" s="7">
        <f t="shared" si="137"/>
        <v>0</v>
      </c>
      <c r="AV28" s="7">
        <f t="shared" si="137"/>
        <v>1.8999999761581421</v>
      </c>
      <c r="AW28" s="7">
        <f t="shared" si="137"/>
        <v>0</v>
      </c>
      <c r="AX28" s="7">
        <f t="shared" si="137"/>
        <v>0</v>
      </c>
      <c r="AY28" s="11">
        <f t="shared" si="137"/>
        <v>0</v>
      </c>
      <c r="AZ28" s="16">
        <f t="shared" si="137"/>
        <v>0</v>
      </c>
      <c r="BA28" s="16">
        <f t="shared" si="137"/>
        <v>0</v>
      </c>
      <c r="BB28" s="16">
        <f t="shared" si="137"/>
        <v>0</v>
      </c>
      <c r="BC28" s="11">
        <f t="shared" si="137"/>
        <v>0</v>
      </c>
      <c r="BD28" s="11">
        <f t="shared" si="137"/>
        <v>0</v>
      </c>
      <c r="BE28" s="11">
        <f t="shared" si="137"/>
        <v>0</v>
      </c>
      <c r="BF28" s="11">
        <f t="shared" si="137"/>
        <v>0</v>
      </c>
      <c r="BG28" s="11">
        <f t="shared" si="137"/>
        <v>0</v>
      </c>
      <c r="BH28" s="11">
        <f t="shared" si="137"/>
        <v>0</v>
      </c>
      <c r="BI28" s="13">
        <f t="shared" si="137"/>
        <v>0</v>
      </c>
      <c r="BJ28" s="13">
        <f t="shared" si="137"/>
        <v>0</v>
      </c>
      <c r="BK28" s="11">
        <f t="shared" si="137"/>
        <v>0</v>
      </c>
      <c r="BL28" s="12">
        <f t="shared" si="137"/>
        <v>0</v>
      </c>
      <c r="BM28" s="12">
        <f t="shared" si="137"/>
        <v>0</v>
      </c>
      <c r="BN28" s="13">
        <f t="shared" si="137"/>
        <v>0</v>
      </c>
      <c r="BO28" s="13">
        <f t="shared" si="137"/>
        <v>0</v>
      </c>
      <c r="BP28" s="15">
        <f t="shared" si="137"/>
        <v>0</v>
      </c>
      <c r="BQ28" s="15">
        <f t="shared" si="137"/>
        <v>0</v>
      </c>
      <c r="BR28" s="14">
        <f t="shared" si="137"/>
        <v>0</v>
      </c>
      <c r="BS28" s="14">
        <f t="shared" si="137"/>
        <v>0</v>
      </c>
      <c r="BT28" s="14">
        <f t="shared" si="137"/>
        <v>0</v>
      </c>
      <c r="BU28" s="14">
        <f t="shared" si="137"/>
        <v>0</v>
      </c>
      <c r="BV28" s="11">
        <f t="shared" si="137"/>
        <v>0</v>
      </c>
      <c r="BW28" s="11">
        <f t="shared" si="137"/>
        <v>0</v>
      </c>
      <c r="BX28" s="11">
        <f t="shared" si="137"/>
        <v>0</v>
      </c>
      <c r="BY28" s="11">
        <f t="shared" si="137"/>
        <v>0</v>
      </c>
      <c r="BZ28" s="7">
        <f t="shared" si="137"/>
        <v>0</v>
      </c>
      <c r="CA28" s="7">
        <f t="shared" si="137"/>
        <v>0</v>
      </c>
      <c r="CB28" s="7">
        <f t="shared" ref="CB28:CP28" si="138">IFERROR(VALUE(CB333),"-")</f>
        <v>0</v>
      </c>
      <c r="CC28" s="7">
        <f t="shared" si="138"/>
        <v>0</v>
      </c>
      <c r="CD28" s="7">
        <f t="shared" si="138"/>
        <v>6371.5</v>
      </c>
      <c r="CE28" s="3">
        <f t="shared" si="138"/>
        <v>425</v>
      </c>
      <c r="CF28" s="7">
        <f t="shared" si="138"/>
        <v>5610.75</v>
      </c>
      <c r="CG28" s="3">
        <f t="shared" si="138"/>
        <v>750</v>
      </c>
      <c r="CH28" s="7">
        <f t="shared" si="138"/>
        <v>0</v>
      </c>
      <c r="CI28" s="7">
        <f t="shared" si="138"/>
        <v>1.8999999761581421</v>
      </c>
      <c r="CJ28" s="3">
        <f t="shared" si="138"/>
        <v>175</v>
      </c>
      <c r="CK28" s="7">
        <f t="shared" si="138"/>
        <v>1.8500000238418579</v>
      </c>
      <c r="CL28" s="3">
        <f t="shared" si="138"/>
        <v>100</v>
      </c>
      <c r="CM28" s="7">
        <f t="shared" si="138"/>
        <v>2.2400000095367432</v>
      </c>
      <c r="CN28" s="10">
        <f t="shared" si="138"/>
        <v>44783.638194444444</v>
      </c>
      <c r="CO28" s="10">
        <f t="shared" si="138"/>
        <v>44783.638194444444</v>
      </c>
      <c r="CP28" s="7">
        <f t="shared" si="138"/>
        <v>38295.69921875</v>
      </c>
      <c r="CQ28" s="7" t="str">
        <f t="shared" ref="CQ28" si="139">IFERROR(CQ333,"-")</f>
        <v>FairPrice</v>
      </c>
      <c r="CR28" s="10">
        <f t="shared" si="74"/>
        <v>44783.638194444444</v>
      </c>
      <c r="CS28" s="7">
        <f t="shared" si="74"/>
        <v>1.1360645294189453E-2</v>
      </c>
      <c r="CT28" s="7">
        <f t="shared" si="74"/>
        <v>9.3044816944818271E-5</v>
      </c>
      <c r="CU28" s="7">
        <f t="shared" si="74"/>
        <v>111850</v>
      </c>
      <c r="CV28" s="7">
        <f t="shared" si="74"/>
        <v>-1.1399195350916406E-2</v>
      </c>
      <c r="CW28" s="7">
        <f t="shared" si="74"/>
        <v>1.8999999761581421</v>
      </c>
      <c r="CX28" s="7">
        <f t="shared" si="74"/>
        <v>0</v>
      </c>
      <c r="CY28" s="7">
        <f t="shared" si="74"/>
        <v>0</v>
      </c>
      <c r="CZ28" s="7">
        <f t="shared" si="74"/>
        <v>0</v>
      </c>
      <c r="DA28" s="7">
        <f t="shared" si="74"/>
        <v>0</v>
      </c>
      <c r="DB28" s="7">
        <f t="shared" si="74"/>
        <v>0</v>
      </c>
      <c r="DC28" s="7">
        <f t="shared" si="74"/>
        <v>0</v>
      </c>
      <c r="DD28" s="7">
        <f t="shared" si="74"/>
        <v>0</v>
      </c>
      <c r="DE28" s="7">
        <f t="shared" si="74"/>
        <v>0</v>
      </c>
      <c r="DF28" s="7">
        <f t="shared" si="74"/>
        <v>1.8999999761581421</v>
      </c>
      <c r="DG28" s="7">
        <f t="shared" si="74"/>
        <v>38295.69921875</v>
      </c>
      <c r="DH28" s="7" t="str">
        <f t="shared" ref="DH28:DJ28" si="140">IFERROR(DH333,"-")</f>
        <v>W</v>
      </c>
      <c r="DI28" s="7" t="str">
        <f t="shared" si="140"/>
        <v>W</v>
      </c>
      <c r="DJ28" s="7" t="str">
        <f t="shared" si="140"/>
        <v>G</v>
      </c>
      <c r="DK28" s="64">
        <f t="shared" ref="DK28:DS28" si="141">IFERROR(VALUE(DK333),"-")</f>
        <v>38300</v>
      </c>
      <c r="DL28" s="64">
        <f t="shared" si="141"/>
        <v>3400000</v>
      </c>
      <c r="DM28" s="64">
        <f t="shared" si="141"/>
        <v>38500</v>
      </c>
      <c r="DN28" s="64">
        <f t="shared" si="141"/>
        <v>0</v>
      </c>
      <c r="DO28" s="64">
        <f t="shared" si="141"/>
        <v>24500</v>
      </c>
      <c r="DP28" s="64">
        <f t="shared" si="141"/>
        <v>2863350</v>
      </c>
      <c r="DQ28" s="64">
        <f t="shared" si="141"/>
        <v>38000</v>
      </c>
      <c r="DR28" s="64">
        <f t="shared" si="141"/>
        <v>0</v>
      </c>
      <c r="DS28" s="64">
        <f t="shared" si="141"/>
        <v>24500</v>
      </c>
      <c r="DT28" t="str">
        <f t="shared" si="7"/>
        <v>BANKNIFTY</v>
      </c>
      <c r="DU28" s="10">
        <f t="shared" si="8"/>
        <v>44784</v>
      </c>
    </row>
    <row r="29" spans="1:125" x14ac:dyDescent="0.25">
      <c r="A29" t="s">
        <v>15</v>
      </c>
      <c r="B29" s="2">
        <v>44798</v>
      </c>
      <c r="C29" s="1">
        <v>1000</v>
      </c>
      <c r="D29">
        <v>93</v>
      </c>
      <c r="G29" t="str">
        <f t="array" ref="G29">IFERROR(INDEX($A$2:$A$700,MATCH(0,COUNTIF($G$1:G28,$A$2:$A$700),0)),"")</f>
        <v>BANKNIFTY</v>
      </c>
      <c r="H29" s="2" t="str">
        <f t="array" ref="H29">IFERROR(INDEX($B$1:$B$701,SMALL(IF(OptionChain!$AU$1=$A$1:$A$701,ROW($A$1:$A$701),""),ROW()-ROW($H$1))),"")</f>
        <v/>
      </c>
      <c r="I29" s="2" t="str">
        <f t="array" ref="I29">IFERROR(INDEX($B$1:$B$701,SMALL(IF($J$2=$A$1:$A$701,ROW($A$1:$A$701),""),ROW()-ROW($I$1))),"")</f>
        <v/>
      </c>
      <c r="L29" s="30"/>
      <c r="M29" s="3"/>
      <c r="N29" s="3"/>
      <c r="O29" s="3">
        <f t="shared" si="9"/>
        <v>32100</v>
      </c>
      <c r="P29" s="7">
        <f t="shared" ref="P29:CA29" si="142">IFERROR(VALUE(P334),"-")</f>
        <v>2</v>
      </c>
      <c r="Q29" s="7">
        <f t="shared" si="142"/>
        <v>1.3999999761581421</v>
      </c>
      <c r="R29" s="7">
        <f t="shared" si="142"/>
        <v>2.7999999523162842</v>
      </c>
      <c r="S29" s="7">
        <f t="shared" si="142"/>
        <v>2.5</v>
      </c>
      <c r="T29" s="11">
        <f t="shared" si="142"/>
        <v>-51.265625</v>
      </c>
      <c r="U29" s="11">
        <f t="shared" si="142"/>
        <v>163584.703125</v>
      </c>
      <c r="V29" s="11">
        <f t="shared" si="142"/>
        <v>-49</v>
      </c>
      <c r="W29" s="11">
        <f t="shared" si="142"/>
        <v>246039.3125</v>
      </c>
      <c r="X29" s="14">
        <f t="shared" si="142"/>
        <v>6.133632268756628E-9</v>
      </c>
      <c r="Y29" s="14">
        <f t="shared" si="142"/>
        <v>1.0743756320152897E-5</v>
      </c>
      <c r="Z29" s="14">
        <f t="shared" si="142"/>
        <v>1.2656528269872069E-8</v>
      </c>
      <c r="AA29" s="14">
        <f t="shared" si="142"/>
        <v>1.8291293599759229E-5</v>
      </c>
      <c r="AB29" s="15">
        <f t="shared" si="142"/>
        <v>-3.1818991885756986E-12</v>
      </c>
      <c r="AC29" s="15">
        <f t="shared" si="142"/>
        <v>-3.8969951710043915E-9</v>
      </c>
      <c r="AD29" s="13">
        <f t="shared" si="142"/>
        <v>-4.9724578857421875E-3</v>
      </c>
      <c r="AE29" s="13">
        <f t="shared" si="142"/>
        <v>25.523807525634766</v>
      </c>
      <c r="AF29" s="12">
        <f t="shared" si="142"/>
        <v>3.200531005859375E-3</v>
      </c>
      <c r="AG29" s="12">
        <f t="shared" si="142"/>
        <v>-43.454399108886719</v>
      </c>
      <c r="AH29" s="13">
        <f t="shared" si="142"/>
        <v>1.8605987861519679E-9</v>
      </c>
      <c r="AI29" s="13">
        <f t="shared" si="142"/>
        <v>3.3589633403607877E-6</v>
      </c>
      <c r="AJ29" s="11">
        <f t="shared" si="142"/>
        <v>2.6971101760864258E-5</v>
      </c>
      <c r="AK29" s="11">
        <f t="shared" si="142"/>
        <v>0.16770161688327789</v>
      </c>
      <c r="AL29" s="11">
        <f t="shared" si="142"/>
        <v>0</v>
      </c>
      <c r="AM29" s="11">
        <f t="shared" si="142"/>
        <v>-2</v>
      </c>
      <c r="AN29" s="11">
        <f t="shared" si="142"/>
        <v>-7.5134448707103729E-7</v>
      </c>
      <c r="AO29" s="11">
        <f t="shared" si="142"/>
        <v>-2.6747211813926697E-3</v>
      </c>
      <c r="AP29" s="11">
        <f t="shared" si="142"/>
        <v>120.81024646759033</v>
      </c>
      <c r="AQ29" s="11">
        <f t="shared" si="142"/>
        <v>9525</v>
      </c>
      <c r="AR29" s="16">
        <f t="shared" si="142"/>
        <v>1200</v>
      </c>
      <c r="AS29" s="16">
        <f t="shared" si="142"/>
        <v>1300</v>
      </c>
      <c r="AT29" s="16">
        <f t="shared" si="142"/>
        <v>120.81024646759033</v>
      </c>
      <c r="AU29" s="7">
        <f t="shared" si="142"/>
        <v>0</v>
      </c>
      <c r="AV29" s="7">
        <f t="shared" si="142"/>
        <v>2</v>
      </c>
      <c r="AW29" s="7">
        <f t="shared" si="142"/>
        <v>0</v>
      </c>
      <c r="AX29" s="7">
        <f t="shared" si="142"/>
        <v>0</v>
      </c>
      <c r="AY29" s="11">
        <f t="shared" si="142"/>
        <v>0</v>
      </c>
      <c r="AZ29" s="16">
        <f t="shared" si="142"/>
        <v>0</v>
      </c>
      <c r="BA29" s="16">
        <f t="shared" si="142"/>
        <v>0</v>
      </c>
      <c r="BB29" s="16">
        <f t="shared" si="142"/>
        <v>0</v>
      </c>
      <c r="BC29" s="11">
        <f t="shared" si="142"/>
        <v>0</v>
      </c>
      <c r="BD29" s="11">
        <f t="shared" si="142"/>
        <v>0</v>
      </c>
      <c r="BE29" s="11">
        <f t="shared" si="142"/>
        <v>0</v>
      </c>
      <c r="BF29" s="11">
        <f t="shared" si="142"/>
        <v>0</v>
      </c>
      <c r="BG29" s="11">
        <f t="shared" si="142"/>
        <v>0</v>
      </c>
      <c r="BH29" s="11">
        <f t="shared" si="142"/>
        <v>0</v>
      </c>
      <c r="BI29" s="13">
        <f t="shared" si="142"/>
        <v>0</v>
      </c>
      <c r="BJ29" s="13">
        <f t="shared" si="142"/>
        <v>0</v>
      </c>
      <c r="BK29" s="11">
        <f t="shared" si="142"/>
        <v>0</v>
      </c>
      <c r="BL29" s="12">
        <f t="shared" si="142"/>
        <v>0</v>
      </c>
      <c r="BM29" s="12">
        <f t="shared" si="142"/>
        <v>0</v>
      </c>
      <c r="BN29" s="13">
        <f t="shared" si="142"/>
        <v>0</v>
      </c>
      <c r="BO29" s="13">
        <f t="shared" si="142"/>
        <v>0</v>
      </c>
      <c r="BP29" s="15">
        <f t="shared" si="142"/>
        <v>0</v>
      </c>
      <c r="BQ29" s="15">
        <f t="shared" si="142"/>
        <v>0</v>
      </c>
      <c r="BR29" s="14">
        <f t="shared" si="142"/>
        <v>0</v>
      </c>
      <c r="BS29" s="14">
        <f t="shared" si="142"/>
        <v>0</v>
      </c>
      <c r="BT29" s="14">
        <f t="shared" si="142"/>
        <v>0</v>
      </c>
      <c r="BU29" s="14">
        <f t="shared" si="142"/>
        <v>0</v>
      </c>
      <c r="BV29" s="11">
        <f t="shared" si="142"/>
        <v>0</v>
      </c>
      <c r="BW29" s="11">
        <f t="shared" si="142"/>
        <v>0</v>
      </c>
      <c r="BX29" s="11">
        <f t="shared" si="142"/>
        <v>0</v>
      </c>
      <c r="BY29" s="11">
        <f t="shared" si="142"/>
        <v>0</v>
      </c>
      <c r="BZ29" s="7">
        <f t="shared" si="142"/>
        <v>0</v>
      </c>
      <c r="CA29" s="7">
        <f t="shared" si="142"/>
        <v>0</v>
      </c>
      <c r="CB29" s="7">
        <f t="shared" ref="CB29:CP29" si="143">IFERROR(VALUE(CB334),"-")</f>
        <v>0</v>
      </c>
      <c r="CC29" s="7">
        <f t="shared" si="143"/>
        <v>0</v>
      </c>
      <c r="CD29" s="7">
        <f t="shared" si="143"/>
        <v>6343.64990234375</v>
      </c>
      <c r="CE29" s="3">
        <f t="shared" si="143"/>
        <v>800</v>
      </c>
      <c r="CF29" s="7">
        <f t="shared" si="143"/>
        <v>5916.0498046875</v>
      </c>
      <c r="CG29" s="3">
        <f t="shared" si="143"/>
        <v>750</v>
      </c>
      <c r="CH29" s="7">
        <f t="shared" si="143"/>
        <v>0</v>
      </c>
      <c r="CI29" s="7">
        <f t="shared" si="143"/>
        <v>2.2000000476837158</v>
      </c>
      <c r="CJ29" s="3">
        <f t="shared" si="143"/>
        <v>25</v>
      </c>
      <c r="CK29" s="7">
        <f t="shared" si="143"/>
        <v>2</v>
      </c>
      <c r="CL29" s="3">
        <f t="shared" si="143"/>
        <v>75</v>
      </c>
      <c r="CM29" s="7">
        <f t="shared" si="143"/>
        <v>2.2799999713897705</v>
      </c>
      <c r="CN29" s="10">
        <f t="shared" si="143"/>
        <v>44783.638194444444</v>
      </c>
      <c r="CO29" s="10">
        <f t="shared" si="143"/>
        <v>44783.638194444444</v>
      </c>
      <c r="CP29" s="7">
        <f t="shared" si="143"/>
        <v>38295.69921875</v>
      </c>
      <c r="CQ29" s="7" t="str">
        <f t="shared" ref="CQ29" si="144">IFERROR(CQ334,"-")</f>
        <v>FairPrice</v>
      </c>
      <c r="CR29" s="10">
        <f t="shared" si="74"/>
        <v>44783.638194444444</v>
      </c>
      <c r="CS29" s="7">
        <f t="shared" si="74"/>
        <v>-2.5081634521484375E-2</v>
      </c>
      <c r="CT29" s="7">
        <f t="shared" si="74"/>
        <v>-2.0756872113004201E-4</v>
      </c>
      <c r="CU29" s="7">
        <f t="shared" si="74"/>
        <v>100</v>
      </c>
      <c r="CV29" s="7">
        <f t="shared" si="74"/>
        <v>12</v>
      </c>
      <c r="CW29" s="7">
        <f t="shared" si="74"/>
        <v>2</v>
      </c>
      <c r="CX29" s="7">
        <f t="shared" si="74"/>
        <v>0</v>
      </c>
      <c r="CY29" s="7">
        <f t="shared" si="74"/>
        <v>0</v>
      </c>
      <c r="CZ29" s="7">
        <f t="shared" si="74"/>
        <v>0</v>
      </c>
      <c r="DA29" s="7">
        <f t="shared" si="74"/>
        <v>0</v>
      </c>
      <c r="DB29" s="7">
        <f t="shared" si="74"/>
        <v>0</v>
      </c>
      <c r="DC29" s="7">
        <f t="shared" si="74"/>
        <v>0</v>
      </c>
      <c r="DD29" s="7">
        <f t="shared" si="74"/>
        <v>0</v>
      </c>
      <c r="DE29" s="7">
        <f t="shared" si="74"/>
        <v>0</v>
      </c>
      <c r="DF29" s="7">
        <f t="shared" si="74"/>
        <v>2</v>
      </c>
      <c r="DG29" s="7">
        <f t="shared" si="74"/>
        <v>38295.69921875</v>
      </c>
      <c r="DH29" s="7" t="str">
        <f t="shared" ref="DH29:DJ29" si="145">IFERROR(DH334,"-")</f>
        <v>W</v>
      </c>
      <c r="DI29" s="7" t="str">
        <f t="shared" si="145"/>
        <v>W</v>
      </c>
      <c r="DJ29" s="7" t="str">
        <f t="shared" si="145"/>
        <v>G</v>
      </c>
      <c r="DK29" s="64">
        <f t="shared" ref="DK29:DS29" si="146">IFERROR(VALUE(DK334),"-")</f>
        <v>38300</v>
      </c>
      <c r="DL29" s="64">
        <f t="shared" si="146"/>
        <v>3400000</v>
      </c>
      <c r="DM29" s="64">
        <f t="shared" si="146"/>
        <v>38500</v>
      </c>
      <c r="DN29" s="64">
        <f t="shared" si="146"/>
        <v>0</v>
      </c>
      <c r="DO29" s="64">
        <f t="shared" si="146"/>
        <v>24500</v>
      </c>
      <c r="DP29" s="64">
        <f t="shared" si="146"/>
        <v>2863350</v>
      </c>
      <c r="DQ29" s="64">
        <f t="shared" si="146"/>
        <v>38000</v>
      </c>
      <c r="DR29" s="64">
        <f t="shared" si="146"/>
        <v>0</v>
      </c>
      <c r="DS29" s="64">
        <f t="shared" si="146"/>
        <v>24500</v>
      </c>
      <c r="DT29" t="str">
        <f t="shared" si="7"/>
        <v>BANKNIFTY</v>
      </c>
      <c r="DU29" s="10">
        <f t="shared" si="8"/>
        <v>44784</v>
      </c>
    </row>
    <row r="30" spans="1:125" x14ac:dyDescent="0.25">
      <c r="A30" t="s">
        <v>15</v>
      </c>
      <c r="B30" s="2">
        <v>44833</v>
      </c>
      <c r="C30" s="1">
        <v>1000</v>
      </c>
      <c r="D30">
        <v>93</v>
      </c>
      <c r="G30" t="str">
        <f t="array" ref="G30">IFERROR(INDEX($A$2:$A$700,MATCH(0,COUNTIF($G$1:G29,$A$2:$A$700),0)),"")</f>
        <v>BATAINDIA</v>
      </c>
      <c r="H30" s="2" t="str">
        <f t="array" ref="H30">IFERROR(INDEX($B$1:$B$701,SMALL(IF(OptionChain!$AU$1=$A$1:$A$701,ROW($A$1:$A$701),""),ROW()-ROW($H$1))),"")</f>
        <v/>
      </c>
      <c r="I30" s="2" t="str">
        <f t="array" ref="I30">IFERROR(INDEX($B$1:$B$701,SMALL(IF($J$2=$A$1:$A$701,ROW($A$1:$A$701),""),ROW()-ROW($I$1))),"")</f>
        <v/>
      </c>
      <c r="L30" s="30"/>
      <c r="M30" s="3"/>
      <c r="N30" s="3"/>
      <c r="O30" s="3">
        <f t="shared" si="9"/>
        <v>32200</v>
      </c>
      <c r="P30" s="7">
        <f t="shared" ref="P30:CA30" si="147">IFERROR(VALUE(P335),"-")</f>
        <v>2.0999999046325684</v>
      </c>
      <c r="Q30" s="7">
        <f t="shared" si="147"/>
        <v>1.9500000476837158</v>
      </c>
      <c r="R30" s="7">
        <f t="shared" si="147"/>
        <v>2.7999999523162842</v>
      </c>
      <c r="S30" s="7">
        <f t="shared" si="147"/>
        <v>2.7000000476837158</v>
      </c>
      <c r="T30" s="11">
        <f t="shared" si="147"/>
        <v>-17.796875</v>
      </c>
      <c r="U30" s="11">
        <f t="shared" si="147"/>
        <v>153749.21875</v>
      </c>
      <c r="V30" s="11">
        <f t="shared" si="147"/>
        <v>-43.515625</v>
      </c>
      <c r="W30" s="11">
        <f t="shared" si="147"/>
        <v>233549.015625</v>
      </c>
      <c r="X30" s="14">
        <f t="shared" si="147"/>
        <v>4.2227839003317058E-9</v>
      </c>
      <c r="Y30" s="14">
        <f t="shared" si="147"/>
        <v>1.1267812624282669E-5</v>
      </c>
      <c r="Z30" s="14">
        <f t="shared" si="147"/>
        <v>5.9717422118410468E-9</v>
      </c>
      <c r="AA30" s="14">
        <f t="shared" si="147"/>
        <v>1.9404078557272442E-5</v>
      </c>
      <c r="AB30" s="15">
        <f t="shared" si="147"/>
        <v>-1.7257306694773433E-12</v>
      </c>
      <c r="AC30" s="15">
        <f t="shared" si="147"/>
        <v>-4.1693817287580259E-9</v>
      </c>
      <c r="AD30" s="13">
        <f t="shared" si="147"/>
        <v>-3.1280517578125E-4</v>
      </c>
      <c r="AE30" s="13">
        <f t="shared" si="147"/>
        <v>24.114938735961914</v>
      </c>
      <c r="AF30" s="12">
        <f t="shared" si="147"/>
        <v>3.314971923828125E-3</v>
      </c>
      <c r="AG30" s="12">
        <f t="shared" si="147"/>
        <v>-41.527866363525391</v>
      </c>
      <c r="AH30" s="13">
        <f t="shared" si="147"/>
        <v>1.0038547770818695E-9</v>
      </c>
      <c r="AI30" s="13">
        <f t="shared" si="147"/>
        <v>3.5752348139794776E-6</v>
      </c>
      <c r="AJ30" s="11">
        <f t="shared" si="147"/>
        <v>6.8396329879760742E-6</v>
      </c>
      <c r="AK30" s="11">
        <f t="shared" si="147"/>
        <v>0.1763644814491272</v>
      </c>
      <c r="AL30" s="11">
        <f t="shared" si="147"/>
        <v>0</v>
      </c>
      <c r="AM30" s="11">
        <f t="shared" si="147"/>
        <v>-2.0999999046325684</v>
      </c>
      <c r="AN30" s="11">
        <f t="shared" si="147"/>
        <v>-4.0279701352119446E-7</v>
      </c>
      <c r="AO30" s="11">
        <f t="shared" si="147"/>
        <v>-2.8288259636610746E-3</v>
      </c>
      <c r="AP30" s="11">
        <f t="shared" si="147"/>
        <v>119.41112279891968</v>
      </c>
      <c r="AQ30" s="11">
        <f t="shared" si="147"/>
        <v>23500</v>
      </c>
      <c r="AR30" s="16">
        <f t="shared" si="147"/>
        <v>1375</v>
      </c>
      <c r="AS30" s="16">
        <f t="shared" si="147"/>
        <v>1825</v>
      </c>
      <c r="AT30" s="16">
        <f t="shared" si="147"/>
        <v>119.41112279891968</v>
      </c>
      <c r="AU30" s="7">
        <f t="shared" si="147"/>
        <v>0</v>
      </c>
      <c r="AV30" s="7">
        <f t="shared" si="147"/>
        <v>2.0999999046325684</v>
      </c>
      <c r="AW30" s="7">
        <f t="shared" si="147"/>
        <v>0</v>
      </c>
      <c r="AX30" s="7">
        <f t="shared" si="147"/>
        <v>0</v>
      </c>
      <c r="AY30" s="11">
        <f t="shared" si="147"/>
        <v>0</v>
      </c>
      <c r="AZ30" s="16">
        <f t="shared" si="147"/>
        <v>0</v>
      </c>
      <c r="BA30" s="16">
        <f t="shared" si="147"/>
        <v>0</v>
      </c>
      <c r="BB30" s="16">
        <f t="shared" si="147"/>
        <v>0</v>
      </c>
      <c r="BC30" s="11">
        <f t="shared" si="147"/>
        <v>0</v>
      </c>
      <c r="BD30" s="11">
        <f t="shared" si="147"/>
        <v>0</v>
      </c>
      <c r="BE30" s="11">
        <f t="shared" si="147"/>
        <v>0</v>
      </c>
      <c r="BF30" s="11">
        <f t="shared" si="147"/>
        <v>0</v>
      </c>
      <c r="BG30" s="11">
        <f t="shared" si="147"/>
        <v>0</v>
      </c>
      <c r="BH30" s="11">
        <f t="shared" si="147"/>
        <v>0</v>
      </c>
      <c r="BI30" s="13">
        <f t="shared" si="147"/>
        <v>0</v>
      </c>
      <c r="BJ30" s="13">
        <f t="shared" si="147"/>
        <v>0</v>
      </c>
      <c r="BK30" s="11">
        <f t="shared" si="147"/>
        <v>0</v>
      </c>
      <c r="BL30" s="12">
        <f t="shared" si="147"/>
        <v>0</v>
      </c>
      <c r="BM30" s="12">
        <f t="shared" si="147"/>
        <v>0</v>
      </c>
      <c r="BN30" s="13">
        <f t="shared" si="147"/>
        <v>0</v>
      </c>
      <c r="BO30" s="13">
        <f t="shared" si="147"/>
        <v>0</v>
      </c>
      <c r="BP30" s="15">
        <f t="shared" si="147"/>
        <v>0</v>
      </c>
      <c r="BQ30" s="15">
        <f t="shared" si="147"/>
        <v>0</v>
      </c>
      <c r="BR30" s="14">
        <f t="shared" si="147"/>
        <v>0</v>
      </c>
      <c r="BS30" s="14">
        <f t="shared" si="147"/>
        <v>0</v>
      </c>
      <c r="BT30" s="14">
        <f t="shared" si="147"/>
        <v>0</v>
      </c>
      <c r="BU30" s="14">
        <f t="shared" si="147"/>
        <v>0</v>
      </c>
      <c r="BV30" s="11">
        <f t="shared" si="147"/>
        <v>0</v>
      </c>
      <c r="BW30" s="11">
        <f t="shared" si="147"/>
        <v>0</v>
      </c>
      <c r="BX30" s="11">
        <f t="shared" si="147"/>
        <v>0</v>
      </c>
      <c r="BY30" s="11">
        <f t="shared" si="147"/>
        <v>0</v>
      </c>
      <c r="BZ30" s="7">
        <f t="shared" si="147"/>
        <v>0</v>
      </c>
      <c r="CA30" s="7">
        <f t="shared" si="147"/>
        <v>0</v>
      </c>
      <c r="CB30" s="7">
        <f t="shared" ref="CB30:CP30" si="148">IFERROR(VALUE(CB335),"-")</f>
        <v>0</v>
      </c>
      <c r="CC30" s="7">
        <f t="shared" si="148"/>
        <v>0</v>
      </c>
      <c r="CD30" s="7">
        <f t="shared" si="148"/>
        <v>6300.10009765625</v>
      </c>
      <c r="CE30" s="3">
        <f t="shared" si="148"/>
        <v>800</v>
      </c>
      <c r="CF30" s="7">
        <f t="shared" si="148"/>
        <v>4777.7001953125</v>
      </c>
      <c r="CG30" s="3">
        <f t="shared" si="148"/>
        <v>750</v>
      </c>
      <c r="CH30" s="7">
        <f t="shared" si="148"/>
        <v>0</v>
      </c>
      <c r="CI30" s="7">
        <f t="shared" si="148"/>
        <v>2.1500000953674316</v>
      </c>
      <c r="CJ30" s="3">
        <f t="shared" si="148"/>
        <v>150</v>
      </c>
      <c r="CK30" s="7">
        <f t="shared" si="148"/>
        <v>2</v>
      </c>
      <c r="CL30" s="3">
        <f t="shared" si="148"/>
        <v>525</v>
      </c>
      <c r="CM30" s="7">
        <f t="shared" si="148"/>
        <v>2.4000000953674316</v>
      </c>
      <c r="CN30" s="10">
        <f t="shared" si="148"/>
        <v>44783.638194444444</v>
      </c>
      <c r="CO30" s="10">
        <f t="shared" si="148"/>
        <v>44783.638194444444</v>
      </c>
      <c r="CP30" s="7">
        <f t="shared" si="148"/>
        <v>38295.69921875</v>
      </c>
      <c r="CQ30" s="7" t="str">
        <f t="shared" ref="CQ30" si="149">IFERROR(CQ335,"-")</f>
        <v>FairPrice</v>
      </c>
      <c r="CR30" s="10">
        <f t="shared" si="74"/>
        <v>44783.638194444444</v>
      </c>
      <c r="CS30" s="7">
        <f t="shared" si="74"/>
        <v>-7.4982643127441406E-3</v>
      </c>
      <c r="CT30" s="7">
        <f t="shared" si="74"/>
        <v>-6.2789741214427466E-5</v>
      </c>
      <c r="CU30" s="7">
        <f t="shared" si="74"/>
        <v>450</v>
      </c>
      <c r="CV30" s="7">
        <f t="shared" si="74"/>
        <v>3.0555555555555554</v>
      </c>
      <c r="CW30" s="7">
        <f t="shared" si="74"/>
        <v>2.0999999046325684</v>
      </c>
      <c r="CX30" s="7">
        <f t="shared" si="74"/>
        <v>0</v>
      </c>
      <c r="CY30" s="7">
        <f t="shared" si="74"/>
        <v>0</v>
      </c>
      <c r="CZ30" s="7">
        <f t="shared" si="74"/>
        <v>0</v>
      </c>
      <c r="DA30" s="7">
        <f t="shared" si="74"/>
        <v>0</v>
      </c>
      <c r="DB30" s="7">
        <f t="shared" si="74"/>
        <v>0</v>
      </c>
      <c r="DC30" s="7">
        <f t="shared" si="74"/>
        <v>0</v>
      </c>
      <c r="DD30" s="7">
        <f t="shared" si="74"/>
        <v>0</v>
      </c>
      <c r="DE30" s="7">
        <f t="shared" si="74"/>
        <v>0</v>
      </c>
      <c r="DF30" s="7">
        <f t="shared" si="74"/>
        <v>2.0999999046325684</v>
      </c>
      <c r="DG30" s="7">
        <f t="shared" ref="DG30" si="150">IFERROR(VALUE(DG335),"-")</f>
        <v>38295.69921875</v>
      </c>
      <c r="DH30" s="7" t="str">
        <f t="shared" ref="DH30:DJ30" si="151">IFERROR(DH335,"-")</f>
        <v>W</v>
      </c>
      <c r="DI30" s="7" t="str">
        <f t="shared" si="151"/>
        <v>W</v>
      </c>
      <c r="DJ30" s="7" t="str">
        <f t="shared" si="151"/>
        <v>G</v>
      </c>
      <c r="DK30" s="64">
        <f t="shared" ref="DK30:DS30" si="152">IFERROR(VALUE(DK335),"-")</f>
        <v>38300</v>
      </c>
      <c r="DL30" s="64">
        <f t="shared" si="152"/>
        <v>3400000</v>
      </c>
      <c r="DM30" s="64">
        <f t="shared" si="152"/>
        <v>38500</v>
      </c>
      <c r="DN30" s="64">
        <f t="shared" si="152"/>
        <v>0</v>
      </c>
      <c r="DO30" s="64">
        <f t="shared" si="152"/>
        <v>24500</v>
      </c>
      <c r="DP30" s="64">
        <f t="shared" si="152"/>
        <v>2863350</v>
      </c>
      <c r="DQ30" s="64">
        <f t="shared" si="152"/>
        <v>38000</v>
      </c>
      <c r="DR30" s="64">
        <f t="shared" si="152"/>
        <v>0</v>
      </c>
      <c r="DS30" s="64">
        <f t="shared" si="152"/>
        <v>24500</v>
      </c>
      <c r="DT30" t="str">
        <f t="shared" si="7"/>
        <v>BANKNIFTY</v>
      </c>
      <c r="DU30" s="10">
        <f t="shared" si="8"/>
        <v>44784</v>
      </c>
    </row>
    <row r="31" spans="1:125" x14ac:dyDescent="0.25">
      <c r="A31" t="s">
        <v>15</v>
      </c>
      <c r="B31" s="2">
        <v>44861</v>
      </c>
      <c r="C31" s="1">
        <v>1000</v>
      </c>
      <c r="D31">
        <v>93</v>
      </c>
      <c r="G31" t="str">
        <f t="array" ref="G31">IFERROR(INDEX($A$2:$A$700,MATCH(0,COUNTIF($G$1:G30,$A$2:$A$700),0)),"")</f>
        <v>BEL</v>
      </c>
      <c r="I31" s="2"/>
      <c r="M31" s="3"/>
      <c r="N31" s="3"/>
      <c r="O31" s="3">
        <f t="shared" si="9"/>
        <v>32300</v>
      </c>
      <c r="P31" s="7">
        <f t="shared" ref="P31:CA31" si="153">IFERROR(VALUE(P336),"-")</f>
        <v>2.2000000476837158</v>
      </c>
      <c r="Q31" s="7">
        <f t="shared" si="153"/>
        <v>1.9500000476837158</v>
      </c>
      <c r="R31" s="7">
        <f t="shared" si="153"/>
        <v>2.8499999046325684</v>
      </c>
      <c r="S31" s="7">
        <f t="shared" si="153"/>
        <v>2.5999999046325684</v>
      </c>
      <c r="T31" s="11">
        <f t="shared" si="153"/>
        <v>-103.1875</v>
      </c>
      <c r="U31" s="11">
        <f t="shared" si="153"/>
        <v>144867.015625</v>
      </c>
      <c r="V31" s="11">
        <f t="shared" si="153"/>
        <v>-93.671875</v>
      </c>
      <c r="W31" s="11">
        <f t="shared" si="153"/>
        <v>222336.671875</v>
      </c>
      <c r="X31" s="14">
        <f t="shared" si="153"/>
        <v>1.4791112334933132E-8</v>
      </c>
      <c r="Y31" s="14">
        <f t="shared" si="153"/>
        <v>1.1789617019530851E-5</v>
      </c>
      <c r="Z31" s="14">
        <f t="shared" si="153"/>
        <v>3.2079697120934725E-8</v>
      </c>
      <c r="AA31" s="14">
        <f t="shared" si="153"/>
        <v>2.0543671780615114E-5</v>
      </c>
      <c r="AB31" s="15">
        <f t="shared" si="153"/>
        <v>-8.1441520194402983E-12</v>
      </c>
      <c r="AC31" s="15">
        <f t="shared" si="153"/>
        <v>-4.4496375473102034E-9</v>
      </c>
      <c r="AD31" s="13">
        <f t="shared" si="153"/>
        <v>-1.0473251342773438E-2</v>
      </c>
      <c r="AE31" s="13">
        <f t="shared" si="153"/>
        <v>22.830554962158203</v>
      </c>
      <c r="AF31" s="12">
        <f t="shared" si="153"/>
        <v>6.01959228515625E-3</v>
      </c>
      <c r="AG31" s="12">
        <f t="shared" si="153"/>
        <v>-39.782749176025391</v>
      </c>
      <c r="AH31" s="13">
        <f t="shared" si="153"/>
        <v>4.7157300286926329E-9</v>
      </c>
      <c r="AI31" s="13">
        <f t="shared" si="153"/>
        <v>3.7961194720992353E-6</v>
      </c>
      <c r="AJ31" s="11">
        <f t="shared" si="153"/>
        <v>6.9051980972290039E-5</v>
      </c>
      <c r="AK31" s="11">
        <f t="shared" si="153"/>
        <v>0.18512098491191864</v>
      </c>
      <c r="AL31" s="11">
        <f t="shared" si="153"/>
        <v>0</v>
      </c>
      <c r="AM31" s="11">
        <f t="shared" si="153"/>
        <v>-2.2000000476837158</v>
      </c>
      <c r="AN31" s="11">
        <f t="shared" si="153"/>
        <v>-1.880573108792305E-6</v>
      </c>
      <c r="AO31" s="11">
        <f t="shared" si="153"/>
        <v>-2.9847302939742804E-3</v>
      </c>
      <c r="AP31" s="11">
        <f t="shared" si="153"/>
        <v>118.02558898925781</v>
      </c>
      <c r="AQ31" s="11">
        <f t="shared" si="153"/>
        <v>13275</v>
      </c>
      <c r="AR31" s="16">
        <f t="shared" si="153"/>
        <v>2275</v>
      </c>
      <c r="AS31" s="16">
        <f t="shared" si="153"/>
        <v>2475</v>
      </c>
      <c r="AT31" s="16">
        <f t="shared" si="153"/>
        <v>118.02558898925781</v>
      </c>
      <c r="AU31" s="7">
        <f t="shared" si="153"/>
        <v>0</v>
      </c>
      <c r="AV31" s="7">
        <f t="shared" si="153"/>
        <v>2.2000000476837158</v>
      </c>
      <c r="AW31" s="7">
        <f t="shared" si="153"/>
        <v>0</v>
      </c>
      <c r="AX31" s="7">
        <f t="shared" si="153"/>
        <v>0</v>
      </c>
      <c r="AY31" s="11">
        <f t="shared" si="153"/>
        <v>0</v>
      </c>
      <c r="AZ31" s="16">
        <f t="shared" si="153"/>
        <v>0</v>
      </c>
      <c r="BA31" s="16">
        <f t="shared" si="153"/>
        <v>0</v>
      </c>
      <c r="BB31" s="16">
        <f t="shared" si="153"/>
        <v>0</v>
      </c>
      <c r="BC31" s="11">
        <f t="shared" si="153"/>
        <v>0</v>
      </c>
      <c r="BD31" s="11">
        <f t="shared" si="153"/>
        <v>0</v>
      </c>
      <c r="BE31" s="11">
        <f t="shared" si="153"/>
        <v>0</v>
      </c>
      <c r="BF31" s="11">
        <f t="shared" si="153"/>
        <v>0</v>
      </c>
      <c r="BG31" s="11">
        <f t="shared" si="153"/>
        <v>0</v>
      </c>
      <c r="BH31" s="11">
        <f t="shared" si="153"/>
        <v>0</v>
      </c>
      <c r="BI31" s="13">
        <f t="shared" si="153"/>
        <v>0</v>
      </c>
      <c r="BJ31" s="13">
        <f t="shared" si="153"/>
        <v>0</v>
      </c>
      <c r="BK31" s="11">
        <f t="shared" si="153"/>
        <v>0</v>
      </c>
      <c r="BL31" s="12">
        <f t="shared" si="153"/>
        <v>0</v>
      </c>
      <c r="BM31" s="12">
        <f t="shared" si="153"/>
        <v>0</v>
      </c>
      <c r="BN31" s="13">
        <f t="shared" si="153"/>
        <v>0</v>
      </c>
      <c r="BO31" s="13">
        <f t="shared" si="153"/>
        <v>0</v>
      </c>
      <c r="BP31" s="15">
        <f t="shared" si="153"/>
        <v>0</v>
      </c>
      <c r="BQ31" s="15">
        <f t="shared" si="153"/>
        <v>0</v>
      </c>
      <c r="BR31" s="14">
        <f t="shared" si="153"/>
        <v>0</v>
      </c>
      <c r="BS31" s="14">
        <f t="shared" si="153"/>
        <v>0</v>
      </c>
      <c r="BT31" s="14">
        <f t="shared" si="153"/>
        <v>0</v>
      </c>
      <c r="BU31" s="14">
        <f t="shared" si="153"/>
        <v>0</v>
      </c>
      <c r="BV31" s="11">
        <f t="shared" si="153"/>
        <v>0</v>
      </c>
      <c r="BW31" s="11">
        <f t="shared" si="153"/>
        <v>0</v>
      </c>
      <c r="BX31" s="11">
        <f t="shared" si="153"/>
        <v>0</v>
      </c>
      <c r="BY31" s="11">
        <f t="shared" si="153"/>
        <v>0</v>
      </c>
      <c r="BZ31" s="7">
        <f t="shared" si="153"/>
        <v>0</v>
      </c>
      <c r="CA31" s="7">
        <f t="shared" si="153"/>
        <v>0</v>
      </c>
      <c r="CB31" s="7">
        <f t="shared" ref="CB31:CP31" si="154">IFERROR(VALUE(CB336),"-")</f>
        <v>0</v>
      </c>
      <c r="CC31" s="7">
        <f t="shared" si="154"/>
        <v>0</v>
      </c>
      <c r="CD31" s="7">
        <f t="shared" si="154"/>
        <v>6162.64990234375</v>
      </c>
      <c r="CE31" s="3">
        <f t="shared" si="154"/>
        <v>800</v>
      </c>
      <c r="CF31" s="7">
        <f t="shared" si="154"/>
        <v>5757.2001953125</v>
      </c>
      <c r="CG31" s="3">
        <f t="shared" si="154"/>
        <v>750</v>
      </c>
      <c r="CH31" s="7">
        <f t="shared" si="154"/>
        <v>0</v>
      </c>
      <c r="CI31" s="7">
        <f t="shared" si="154"/>
        <v>2.2000000476837158</v>
      </c>
      <c r="CJ31" s="3">
        <f t="shared" si="154"/>
        <v>300</v>
      </c>
      <c r="CK31" s="7">
        <f t="shared" si="154"/>
        <v>2.1500000953674316</v>
      </c>
      <c r="CL31" s="3">
        <f t="shared" si="154"/>
        <v>450</v>
      </c>
      <c r="CM31" s="7">
        <f t="shared" si="154"/>
        <v>2.2999999523162842</v>
      </c>
      <c r="CN31" s="10">
        <f t="shared" si="154"/>
        <v>44783.638194444444</v>
      </c>
      <c r="CO31" s="10">
        <f t="shared" si="154"/>
        <v>44783.638194444444</v>
      </c>
      <c r="CP31" s="7">
        <f t="shared" si="154"/>
        <v>38295.69921875</v>
      </c>
      <c r="CQ31" s="7" t="str">
        <f t="shared" ref="CQ31" si="155">IFERROR(CQ336,"-")</f>
        <v>FairPrice</v>
      </c>
      <c r="CR31" s="10">
        <f t="shared" ref="CR31:DG46" si="156">IFERROR(VALUE(CR336),"-")</f>
        <v>44783.638194444444</v>
      </c>
      <c r="CS31" s="7">
        <f t="shared" si="156"/>
        <v>-5.6695938110351563E-2</v>
      </c>
      <c r="CT31" s="7">
        <f t="shared" si="156"/>
        <v>-4.8013923634036176E-4</v>
      </c>
      <c r="CU31" s="7">
        <f t="shared" si="156"/>
        <v>200</v>
      </c>
      <c r="CV31" s="7">
        <f t="shared" si="156"/>
        <v>11.375</v>
      </c>
      <c r="CW31" s="7">
        <f t="shared" si="156"/>
        <v>2.2000000476837158</v>
      </c>
      <c r="CX31" s="7">
        <f t="shared" si="156"/>
        <v>0</v>
      </c>
      <c r="CY31" s="7">
        <f t="shared" si="156"/>
        <v>0</v>
      </c>
      <c r="CZ31" s="7">
        <f t="shared" si="156"/>
        <v>0</v>
      </c>
      <c r="DA31" s="7">
        <f t="shared" si="156"/>
        <v>0</v>
      </c>
      <c r="DB31" s="7">
        <f t="shared" si="156"/>
        <v>0</v>
      </c>
      <c r="DC31" s="7">
        <f t="shared" si="156"/>
        <v>0</v>
      </c>
      <c r="DD31" s="7">
        <f t="shared" si="156"/>
        <v>0</v>
      </c>
      <c r="DE31" s="7">
        <f t="shared" si="156"/>
        <v>0</v>
      </c>
      <c r="DF31" s="7">
        <f t="shared" si="156"/>
        <v>2.2000000476837158</v>
      </c>
      <c r="DG31" s="7">
        <f t="shared" si="156"/>
        <v>38295.69921875</v>
      </c>
      <c r="DH31" s="7" t="str">
        <f t="shared" ref="DH31:DJ31" si="157">IFERROR(DH336,"-")</f>
        <v>W</v>
      </c>
      <c r="DI31" s="7" t="str">
        <f t="shared" si="157"/>
        <v>W</v>
      </c>
      <c r="DJ31" s="7" t="str">
        <f t="shared" si="157"/>
        <v>G</v>
      </c>
      <c r="DK31" s="64">
        <f t="shared" ref="DK31:DS31" si="158">IFERROR(VALUE(DK336),"-")</f>
        <v>38300</v>
      </c>
      <c r="DL31" s="64">
        <f t="shared" si="158"/>
        <v>3400000</v>
      </c>
      <c r="DM31" s="64">
        <f t="shared" si="158"/>
        <v>38500</v>
      </c>
      <c r="DN31" s="64">
        <f t="shared" si="158"/>
        <v>0</v>
      </c>
      <c r="DO31" s="64">
        <f t="shared" si="158"/>
        <v>24500</v>
      </c>
      <c r="DP31" s="64">
        <f t="shared" si="158"/>
        <v>2863350</v>
      </c>
      <c r="DQ31" s="64">
        <f t="shared" si="158"/>
        <v>38000</v>
      </c>
      <c r="DR31" s="64">
        <f t="shared" si="158"/>
        <v>0</v>
      </c>
      <c r="DS31" s="64">
        <f t="shared" si="158"/>
        <v>24500</v>
      </c>
      <c r="DT31" t="str">
        <f t="shared" si="7"/>
        <v>BANKNIFTY</v>
      </c>
      <c r="DU31" s="10">
        <f t="shared" si="8"/>
        <v>44784</v>
      </c>
    </row>
    <row r="32" spans="1:125" x14ac:dyDescent="0.25">
      <c r="A32" t="s">
        <v>16</v>
      </c>
      <c r="B32" s="2">
        <v>44798</v>
      </c>
      <c r="C32" s="1">
        <v>1800</v>
      </c>
      <c r="D32">
        <v>63</v>
      </c>
      <c r="G32" t="str">
        <f t="array" ref="G32">IFERROR(INDEX($A$2:$A$700,MATCH(0,COUNTIF($G$1:G31,$A$2:$A$700),0)),"")</f>
        <v>BERGEPAINT</v>
      </c>
      <c r="I32" s="2"/>
      <c r="M32" s="3"/>
      <c r="N32" s="3"/>
      <c r="O32" s="3">
        <f t="shared" si="9"/>
        <v>32400</v>
      </c>
      <c r="P32" s="7">
        <f t="shared" ref="P32:CA32" si="159">IFERROR(VALUE(P337),"-")</f>
        <v>2.1500000953674316</v>
      </c>
      <c r="Q32" s="7">
        <f t="shared" si="159"/>
        <v>1.3999999761581421</v>
      </c>
      <c r="R32" s="7">
        <f t="shared" si="159"/>
        <v>3</v>
      </c>
      <c r="S32" s="7">
        <f t="shared" si="159"/>
        <v>2.75</v>
      </c>
      <c r="T32" s="11">
        <f t="shared" si="159"/>
        <v>-17.21875</v>
      </c>
      <c r="U32" s="11">
        <f t="shared" si="159"/>
        <v>145476.75</v>
      </c>
      <c r="V32" s="11">
        <f t="shared" si="159"/>
        <v>-53.671875</v>
      </c>
      <c r="W32" s="11">
        <f t="shared" si="159"/>
        <v>227517.4375</v>
      </c>
      <c r="X32" s="14">
        <f t="shared" si="159"/>
        <v>5.4124029702506959E-9</v>
      </c>
      <c r="Y32" s="14">
        <f t="shared" si="159"/>
        <v>1.1999763955827802E-5</v>
      </c>
      <c r="Z32" s="14">
        <f t="shared" si="159"/>
        <v>7.1995600592344999E-9</v>
      </c>
      <c r="AA32" s="14">
        <f t="shared" si="159"/>
        <v>2.1304247638909146E-5</v>
      </c>
      <c r="AB32" s="15">
        <f t="shared" si="159"/>
        <v>-2.170263968537256E-12</v>
      </c>
      <c r="AC32" s="15">
        <f t="shared" si="159"/>
        <v>-4.6081538584985537E-9</v>
      </c>
      <c r="AD32" s="13">
        <f t="shared" si="159"/>
        <v>2.422332763671875E-4</v>
      </c>
      <c r="AE32" s="13">
        <f t="shared" si="159"/>
        <v>22.923671722412109</v>
      </c>
      <c r="AF32" s="12">
        <f t="shared" si="159"/>
        <v>4.177093505859375E-3</v>
      </c>
      <c r="AG32" s="12">
        <f t="shared" si="159"/>
        <v>-40.698432922363281</v>
      </c>
      <c r="AH32" s="13">
        <f t="shared" si="159"/>
        <v>1.2323653209023178E-9</v>
      </c>
      <c r="AI32" s="13">
        <f t="shared" si="159"/>
        <v>3.8573975871258881E-6</v>
      </c>
      <c r="AJ32" s="11">
        <f t="shared" si="159"/>
        <v>5.9306621551513672E-6</v>
      </c>
      <c r="AK32" s="11">
        <f t="shared" si="159"/>
        <v>0.18454280495643616</v>
      </c>
      <c r="AL32" s="11">
        <f t="shared" si="159"/>
        <v>0</v>
      </c>
      <c r="AM32" s="11">
        <f t="shared" si="159"/>
        <v>-2.1500000953674316</v>
      </c>
      <c r="AN32" s="11">
        <f t="shared" si="159"/>
        <v>-4.8195943236351013E-7</v>
      </c>
      <c r="AO32" s="11">
        <f t="shared" si="159"/>
        <v>-2.9747823718935251E-3</v>
      </c>
      <c r="AP32" s="11">
        <f t="shared" si="159"/>
        <v>115.81562757492065</v>
      </c>
      <c r="AQ32" s="11">
        <f t="shared" si="159"/>
        <v>47775</v>
      </c>
      <c r="AR32" s="16">
        <f t="shared" si="159"/>
        <v>2675</v>
      </c>
      <c r="AS32" s="16">
        <f t="shared" si="159"/>
        <v>6075</v>
      </c>
      <c r="AT32" s="16">
        <f t="shared" si="159"/>
        <v>115.81562757492065</v>
      </c>
      <c r="AU32" s="7">
        <f t="shared" si="159"/>
        <v>0</v>
      </c>
      <c r="AV32" s="7">
        <f t="shared" si="159"/>
        <v>2.1500000953674316</v>
      </c>
      <c r="AW32" s="7">
        <f t="shared" si="159"/>
        <v>0</v>
      </c>
      <c r="AX32" s="7">
        <f t="shared" si="159"/>
        <v>0</v>
      </c>
      <c r="AY32" s="11">
        <f t="shared" si="159"/>
        <v>0</v>
      </c>
      <c r="AZ32" s="16">
        <f t="shared" si="159"/>
        <v>0</v>
      </c>
      <c r="BA32" s="16">
        <f t="shared" si="159"/>
        <v>0</v>
      </c>
      <c r="BB32" s="16">
        <f t="shared" si="159"/>
        <v>0</v>
      </c>
      <c r="BC32" s="11">
        <f t="shared" si="159"/>
        <v>0</v>
      </c>
      <c r="BD32" s="11">
        <f t="shared" si="159"/>
        <v>0</v>
      </c>
      <c r="BE32" s="11">
        <f t="shared" si="159"/>
        <v>0</v>
      </c>
      <c r="BF32" s="11">
        <f t="shared" si="159"/>
        <v>0</v>
      </c>
      <c r="BG32" s="11">
        <f t="shared" si="159"/>
        <v>0</v>
      </c>
      <c r="BH32" s="11">
        <f t="shared" si="159"/>
        <v>0</v>
      </c>
      <c r="BI32" s="13">
        <f t="shared" si="159"/>
        <v>0</v>
      </c>
      <c r="BJ32" s="13">
        <f t="shared" si="159"/>
        <v>0</v>
      </c>
      <c r="BK32" s="11">
        <f t="shared" si="159"/>
        <v>0</v>
      </c>
      <c r="BL32" s="12">
        <f t="shared" si="159"/>
        <v>0</v>
      </c>
      <c r="BM32" s="12">
        <f t="shared" si="159"/>
        <v>0</v>
      </c>
      <c r="BN32" s="13">
        <f t="shared" si="159"/>
        <v>0</v>
      </c>
      <c r="BO32" s="13">
        <f t="shared" si="159"/>
        <v>0</v>
      </c>
      <c r="BP32" s="15">
        <f t="shared" si="159"/>
        <v>0</v>
      </c>
      <c r="BQ32" s="15">
        <f t="shared" si="159"/>
        <v>0</v>
      </c>
      <c r="BR32" s="14">
        <f t="shared" si="159"/>
        <v>0</v>
      </c>
      <c r="BS32" s="14">
        <f t="shared" si="159"/>
        <v>0</v>
      </c>
      <c r="BT32" s="14">
        <f t="shared" si="159"/>
        <v>0</v>
      </c>
      <c r="BU32" s="14">
        <f t="shared" si="159"/>
        <v>0</v>
      </c>
      <c r="BV32" s="11">
        <f t="shared" si="159"/>
        <v>0</v>
      </c>
      <c r="BW32" s="11">
        <f t="shared" si="159"/>
        <v>0</v>
      </c>
      <c r="BX32" s="11">
        <f t="shared" si="159"/>
        <v>0</v>
      </c>
      <c r="BY32" s="11">
        <f t="shared" si="159"/>
        <v>0</v>
      </c>
      <c r="BZ32" s="7">
        <f t="shared" si="159"/>
        <v>0</v>
      </c>
      <c r="CA32" s="7">
        <f t="shared" si="159"/>
        <v>0</v>
      </c>
      <c r="CB32" s="7">
        <f t="shared" ref="CB32:CP32" si="160">IFERROR(VALUE(CB337),"-")</f>
        <v>0</v>
      </c>
      <c r="CC32" s="7">
        <f t="shared" si="160"/>
        <v>0</v>
      </c>
      <c r="CD32" s="7">
        <f t="shared" si="160"/>
        <v>6071.89990234375</v>
      </c>
      <c r="CE32" s="3">
        <f t="shared" si="160"/>
        <v>800</v>
      </c>
      <c r="CF32" s="7">
        <f t="shared" si="160"/>
        <v>4616.0498046875</v>
      </c>
      <c r="CG32" s="3">
        <f t="shared" si="160"/>
        <v>750</v>
      </c>
      <c r="CH32" s="7">
        <f t="shared" si="160"/>
        <v>0</v>
      </c>
      <c r="CI32" s="7">
        <f t="shared" si="160"/>
        <v>2.2000000476837158</v>
      </c>
      <c r="CJ32" s="3">
        <f t="shared" si="160"/>
        <v>25</v>
      </c>
      <c r="CK32" s="7">
        <f t="shared" si="160"/>
        <v>2.1500000953674316</v>
      </c>
      <c r="CL32" s="3">
        <f t="shared" si="160"/>
        <v>375</v>
      </c>
      <c r="CM32" s="7">
        <f t="shared" si="160"/>
        <v>2.5</v>
      </c>
      <c r="CN32" s="10">
        <f t="shared" si="160"/>
        <v>44783.638194444444</v>
      </c>
      <c r="CO32" s="10">
        <f t="shared" si="160"/>
        <v>44783.638194444444</v>
      </c>
      <c r="CP32" s="7">
        <f t="shared" si="160"/>
        <v>38295.69921875</v>
      </c>
      <c r="CQ32" s="7" t="str">
        <f t="shared" ref="CQ32" si="161">IFERROR(CQ337,"-")</f>
        <v>FairPrice</v>
      </c>
      <c r="CR32" s="10">
        <f t="shared" si="156"/>
        <v>44783.638194444444</v>
      </c>
      <c r="CS32" s="7">
        <f t="shared" si="156"/>
        <v>-6.9141387939453125E-3</v>
      </c>
      <c r="CT32" s="7">
        <f t="shared" si="156"/>
        <v>-5.9695968432771892E-5</v>
      </c>
      <c r="CU32" s="7">
        <f t="shared" si="156"/>
        <v>3400</v>
      </c>
      <c r="CV32" s="7">
        <f t="shared" si="156"/>
        <v>0.78676470588235292</v>
      </c>
      <c r="CW32" s="7">
        <f t="shared" si="156"/>
        <v>2.1500000953674316</v>
      </c>
      <c r="CX32" s="7">
        <f t="shared" si="156"/>
        <v>0</v>
      </c>
      <c r="CY32" s="7">
        <f t="shared" si="156"/>
        <v>0</v>
      </c>
      <c r="CZ32" s="7">
        <f t="shared" si="156"/>
        <v>0</v>
      </c>
      <c r="DA32" s="7">
        <f t="shared" si="156"/>
        <v>0</v>
      </c>
      <c r="DB32" s="7">
        <f t="shared" si="156"/>
        <v>0</v>
      </c>
      <c r="DC32" s="7">
        <f t="shared" si="156"/>
        <v>0</v>
      </c>
      <c r="DD32" s="7">
        <f t="shared" si="156"/>
        <v>0</v>
      </c>
      <c r="DE32" s="7">
        <f t="shared" si="156"/>
        <v>0</v>
      </c>
      <c r="DF32" s="7">
        <f t="shared" si="156"/>
        <v>2.1500000953674316</v>
      </c>
      <c r="DG32" s="7">
        <f t="shared" si="156"/>
        <v>38295.69921875</v>
      </c>
      <c r="DH32" s="7" t="str">
        <f t="shared" ref="DH32:DJ32" si="162">IFERROR(DH337,"-")</f>
        <v>W</v>
      </c>
      <c r="DI32" s="7" t="str">
        <f t="shared" si="162"/>
        <v>W</v>
      </c>
      <c r="DJ32" s="7" t="str">
        <f t="shared" si="162"/>
        <v>G</v>
      </c>
      <c r="DK32" s="64">
        <f t="shared" ref="DK32:DS32" si="163">IFERROR(VALUE(DK337),"-")</f>
        <v>38300</v>
      </c>
      <c r="DL32" s="64">
        <f t="shared" si="163"/>
        <v>3400000</v>
      </c>
      <c r="DM32" s="64">
        <f t="shared" si="163"/>
        <v>38500</v>
      </c>
      <c r="DN32" s="64">
        <f t="shared" si="163"/>
        <v>0</v>
      </c>
      <c r="DO32" s="64">
        <f t="shared" si="163"/>
        <v>24500</v>
      </c>
      <c r="DP32" s="64">
        <f t="shared" si="163"/>
        <v>2863350</v>
      </c>
      <c r="DQ32" s="64">
        <f t="shared" si="163"/>
        <v>38000</v>
      </c>
      <c r="DR32" s="64">
        <f t="shared" si="163"/>
        <v>0</v>
      </c>
      <c r="DS32" s="64">
        <f t="shared" si="163"/>
        <v>24500</v>
      </c>
      <c r="DT32" t="str">
        <f t="shared" si="7"/>
        <v>BANKNIFTY</v>
      </c>
      <c r="DU32" s="10">
        <f t="shared" si="8"/>
        <v>44784</v>
      </c>
    </row>
    <row r="33" spans="1:125" x14ac:dyDescent="0.25">
      <c r="A33" t="s">
        <v>16</v>
      </c>
      <c r="B33" s="2">
        <v>44833</v>
      </c>
      <c r="C33" s="1">
        <v>1800</v>
      </c>
      <c r="D33">
        <v>63</v>
      </c>
      <c r="G33" t="str">
        <f t="array" ref="G33">IFERROR(INDEX($A$2:$A$700,MATCH(0,COUNTIF($G$1:G32,$A$2:$A$700),0)),"")</f>
        <v>BHARATFORG</v>
      </c>
      <c r="I33" s="2"/>
      <c r="M33" s="3"/>
      <c r="N33" s="3"/>
      <c r="O33" s="3">
        <f t="shared" si="9"/>
        <v>32500</v>
      </c>
      <c r="P33" s="7">
        <f t="shared" ref="P33:CA33" si="164">IFERROR(VALUE(P338),"-")</f>
        <v>2.2000000476837158</v>
      </c>
      <c r="Q33" s="7">
        <f t="shared" si="164"/>
        <v>2</v>
      </c>
      <c r="R33" s="7">
        <f t="shared" si="164"/>
        <v>2.9500000476837158</v>
      </c>
      <c r="S33" s="7">
        <f t="shared" si="164"/>
        <v>2.6500000953674316</v>
      </c>
      <c r="T33" s="11">
        <f t="shared" si="164"/>
        <v>3.03125</v>
      </c>
      <c r="U33" s="11">
        <f t="shared" si="164"/>
        <v>139993.046875</v>
      </c>
      <c r="V33" s="11">
        <f t="shared" si="164"/>
        <v>-9.59375</v>
      </c>
      <c r="W33" s="11">
        <f t="shared" si="164"/>
        <v>221937.640625</v>
      </c>
      <c r="X33" s="14">
        <f t="shared" si="164"/>
        <v>5.3842086344957352E-10</v>
      </c>
      <c r="Y33" s="14">
        <f t="shared" si="164"/>
        <v>1.2446176697267219E-5</v>
      </c>
      <c r="Z33" s="14">
        <f t="shared" si="164"/>
        <v>-4.8385118134319782E-10</v>
      </c>
      <c r="AA33" s="14">
        <f t="shared" si="164"/>
        <v>2.2420848836190999E-5</v>
      </c>
      <c r="AB33" s="15">
        <f t="shared" si="164"/>
        <v>0</v>
      </c>
      <c r="AC33" s="15">
        <f t="shared" si="164"/>
        <v>-4.8737947011545657E-9</v>
      </c>
      <c r="AD33" s="13">
        <f t="shared" si="164"/>
        <v>9.57489013671875E-4</v>
      </c>
      <c r="AE33" s="13">
        <f t="shared" si="164"/>
        <v>22.130046844482422</v>
      </c>
      <c r="AF33" s="12">
        <f t="shared" si="164"/>
        <v>8.6212158203125E-4</v>
      </c>
      <c r="AG33" s="12">
        <f t="shared" si="164"/>
        <v>-39.865608215332031</v>
      </c>
      <c r="AH33" s="13">
        <f t="shared" si="164"/>
        <v>0</v>
      </c>
      <c r="AI33" s="13">
        <f t="shared" si="164"/>
        <v>4.0384611565968953E-6</v>
      </c>
      <c r="AJ33" s="11">
        <f t="shared" si="164"/>
        <v>-4.1127204895019531E-6</v>
      </c>
      <c r="AK33" s="11">
        <f t="shared" si="164"/>
        <v>0.19041326642036438</v>
      </c>
      <c r="AL33" s="11">
        <f t="shared" si="164"/>
        <v>0</v>
      </c>
      <c r="AM33" s="11">
        <f t="shared" si="164"/>
        <v>-2.2000000476837158</v>
      </c>
      <c r="AN33" s="11">
        <f t="shared" si="164"/>
        <v>0</v>
      </c>
      <c r="AO33" s="11">
        <f t="shared" si="164"/>
        <v>-3.0800083186477423E-3</v>
      </c>
      <c r="AP33" s="11">
        <f t="shared" si="164"/>
        <v>114.14176225662231</v>
      </c>
      <c r="AQ33" s="11">
        <f t="shared" si="164"/>
        <v>347450</v>
      </c>
      <c r="AR33" s="16">
        <f t="shared" si="164"/>
        <v>14600</v>
      </c>
      <c r="AS33" s="16">
        <f t="shared" si="164"/>
        <v>92150</v>
      </c>
      <c r="AT33" s="16">
        <f t="shared" si="164"/>
        <v>114.14176225662231</v>
      </c>
      <c r="AU33" s="7">
        <f t="shared" si="164"/>
        <v>0</v>
      </c>
      <c r="AV33" s="7">
        <f t="shared" si="164"/>
        <v>2.2000000476837158</v>
      </c>
      <c r="AW33" s="7">
        <f t="shared" si="164"/>
        <v>0</v>
      </c>
      <c r="AX33" s="7">
        <f t="shared" si="164"/>
        <v>0</v>
      </c>
      <c r="AY33" s="11">
        <f t="shared" si="164"/>
        <v>0</v>
      </c>
      <c r="AZ33" s="16">
        <f t="shared" si="164"/>
        <v>0</v>
      </c>
      <c r="BA33" s="16">
        <f t="shared" si="164"/>
        <v>0</v>
      </c>
      <c r="BB33" s="16">
        <f t="shared" si="164"/>
        <v>0</v>
      </c>
      <c r="BC33" s="11">
        <f t="shared" si="164"/>
        <v>0</v>
      </c>
      <c r="BD33" s="11">
        <f t="shared" si="164"/>
        <v>0</v>
      </c>
      <c r="BE33" s="11">
        <f t="shared" si="164"/>
        <v>0</v>
      </c>
      <c r="BF33" s="11">
        <f t="shared" si="164"/>
        <v>0</v>
      </c>
      <c r="BG33" s="11">
        <f t="shared" si="164"/>
        <v>0</v>
      </c>
      <c r="BH33" s="11">
        <f t="shared" si="164"/>
        <v>0</v>
      </c>
      <c r="BI33" s="13">
        <f t="shared" si="164"/>
        <v>0</v>
      </c>
      <c r="BJ33" s="13">
        <f t="shared" si="164"/>
        <v>0</v>
      </c>
      <c r="BK33" s="11">
        <f t="shared" si="164"/>
        <v>0</v>
      </c>
      <c r="BL33" s="12">
        <f t="shared" si="164"/>
        <v>0</v>
      </c>
      <c r="BM33" s="12">
        <f t="shared" si="164"/>
        <v>0</v>
      </c>
      <c r="BN33" s="13">
        <f t="shared" si="164"/>
        <v>0</v>
      </c>
      <c r="BO33" s="13">
        <f t="shared" si="164"/>
        <v>0</v>
      </c>
      <c r="BP33" s="15">
        <f t="shared" si="164"/>
        <v>0</v>
      </c>
      <c r="BQ33" s="15">
        <f t="shared" si="164"/>
        <v>0</v>
      </c>
      <c r="BR33" s="14">
        <f t="shared" si="164"/>
        <v>0</v>
      </c>
      <c r="BS33" s="14">
        <f t="shared" si="164"/>
        <v>0</v>
      </c>
      <c r="BT33" s="14">
        <f t="shared" si="164"/>
        <v>0</v>
      </c>
      <c r="BU33" s="14">
        <f t="shared" si="164"/>
        <v>0</v>
      </c>
      <c r="BV33" s="11">
        <f t="shared" si="164"/>
        <v>0</v>
      </c>
      <c r="BW33" s="11">
        <f t="shared" si="164"/>
        <v>0</v>
      </c>
      <c r="BX33" s="11">
        <f t="shared" si="164"/>
        <v>0</v>
      </c>
      <c r="BY33" s="11">
        <f t="shared" si="164"/>
        <v>0</v>
      </c>
      <c r="BZ33" s="7">
        <f t="shared" si="164"/>
        <v>0</v>
      </c>
      <c r="CA33" s="7">
        <f t="shared" si="164"/>
        <v>0</v>
      </c>
      <c r="CB33" s="7">
        <f t="shared" ref="CB33:CP33" si="165">IFERROR(VALUE(CB338),"-")</f>
        <v>0</v>
      </c>
      <c r="CC33" s="7">
        <f t="shared" si="165"/>
        <v>0</v>
      </c>
      <c r="CD33" s="7">
        <f t="shared" si="165"/>
        <v>5865.64990234375</v>
      </c>
      <c r="CE33" s="3">
        <f t="shared" si="165"/>
        <v>50</v>
      </c>
      <c r="CF33" s="7">
        <f t="shared" si="165"/>
        <v>5306</v>
      </c>
      <c r="CG33" s="3">
        <f t="shared" si="165"/>
        <v>750</v>
      </c>
      <c r="CH33" s="7">
        <f t="shared" si="165"/>
        <v>0</v>
      </c>
      <c r="CI33" s="7">
        <f t="shared" si="165"/>
        <v>2.25</v>
      </c>
      <c r="CJ33" s="3">
        <f t="shared" si="165"/>
        <v>600</v>
      </c>
      <c r="CK33" s="7">
        <f t="shared" si="165"/>
        <v>2.2000000476837158</v>
      </c>
      <c r="CL33" s="3">
        <f t="shared" si="165"/>
        <v>275</v>
      </c>
      <c r="CM33" s="7">
        <f t="shared" si="165"/>
        <v>2.440000057220459</v>
      </c>
      <c r="CN33" s="10">
        <f t="shared" si="165"/>
        <v>44783.638194444444</v>
      </c>
      <c r="CO33" s="10">
        <f t="shared" si="165"/>
        <v>44783.638194444444</v>
      </c>
      <c r="CP33" s="7">
        <f t="shared" si="165"/>
        <v>38295.69921875</v>
      </c>
      <c r="CQ33" s="7" t="str">
        <f t="shared" ref="CQ33" si="166">IFERROR(CQ338,"-")</f>
        <v>FairPrice</v>
      </c>
      <c r="CR33" s="10">
        <f t="shared" si="156"/>
        <v>44783.638194444444</v>
      </c>
      <c r="CS33" s="7">
        <f t="shared" si="156"/>
        <v>2.4676322937011719E-3</v>
      </c>
      <c r="CT33" s="7">
        <f t="shared" si="156"/>
        <v>2.1619480844199995E-5</v>
      </c>
      <c r="CU33" s="7">
        <f t="shared" si="156"/>
        <v>77550</v>
      </c>
      <c r="CV33" s="7">
        <f t="shared" si="156"/>
        <v>0.1882656350741457</v>
      </c>
      <c r="CW33" s="7">
        <f t="shared" si="156"/>
        <v>2.2000000476837158</v>
      </c>
      <c r="CX33" s="7">
        <f t="shared" si="156"/>
        <v>0</v>
      </c>
      <c r="CY33" s="7">
        <f t="shared" si="156"/>
        <v>0</v>
      </c>
      <c r="CZ33" s="7">
        <f t="shared" si="156"/>
        <v>0</v>
      </c>
      <c r="DA33" s="7">
        <f t="shared" si="156"/>
        <v>0</v>
      </c>
      <c r="DB33" s="7">
        <f t="shared" si="156"/>
        <v>0</v>
      </c>
      <c r="DC33" s="7">
        <f t="shared" si="156"/>
        <v>0</v>
      </c>
      <c r="DD33" s="7">
        <f t="shared" si="156"/>
        <v>0</v>
      </c>
      <c r="DE33" s="7">
        <f t="shared" si="156"/>
        <v>0</v>
      </c>
      <c r="DF33" s="7">
        <f t="shared" si="156"/>
        <v>2.2000000476837158</v>
      </c>
      <c r="DG33" s="7">
        <f t="shared" si="156"/>
        <v>38295.69921875</v>
      </c>
      <c r="DH33" s="7" t="str">
        <f t="shared" ref="DH33:DJ33" si="167">IFERROR(DH338,"-")</f>
        <v>W</v>
      </c>
      <c r="DI33" s="7" t="str">
        <f t="shared" si="167"/>
        <v>W</v>
      </c>
      <c r="DJ33" s="7" t="str">
        <f t="shared" si="167"/>
        <v>G</v>
      </c>
      <c r="DK33" s="64">
        <f t="shared" ref="DK33:DS33" si="168">IFERROR(VALUE(DK338),"-")</f>
        <v>38300</v>
      </c>
      <c r="DL33" s="64">
        <f t="shared" si="168"/>
        <v>3400000</v>
      </c>
      <c r="DM33" s="64">
        <f t="shared" si="168"/>
        <v>38500</v>
      </c>
      <c r="DN33" s="64">
        <f t="shared" si="168"/>
        <v>0</v>
      </c>
      <c r="DO33" s="64">
        <f t="shared" si="168"/>
        <v>24500</v>
      </c>
      <c r="DP33" s="64">
        <f t="shared" si="168"/>
        <v>2863350</v>
      </c>
      <c r="DQ33" s="64">
        <f t="shared" si="168"/>
        <v>38000</v>
      </c>
      <c r="DR33" s="64">
        <f t="shared" si="168"/>
        <v>0</v>
      </c>
      <c r="DS33" s="64">
        <f t="shared" si="168"/>
        <v>24500</v>
      </c>
      <c r="DT33" t="str">
        <f t="shared" si="7"/>
        <v>BANKNIFTY</v>
      </c>
      <c r="DU33" s="10">
        <f t="shared" si="8"/>
        <v>44784</v>
      </c>
    </row>
    <row r="34" spans="1:125" x14ac:dyDescent="0.25">
      <c r="A34" t="s">
        <v>16</v>
      </c>
      <c r="B34" s="2">
        <v>44861</v>
      </c>
      <c r="C34" s="1">
        <v>1800</v>
      </c>
      <c r="D34">
        <v>63</v>
      </c>
      <c r="G34" t="str">
        <f t="array" ref="G34">IFERROR(INDEX($A$2:$A$700,MATCH(0,COUNTIF($G$1:G33,$A$2:$A$700),0)),"")</f>
        <v>BHARTIARTL</v>
      </c>
      <c r="I34" s="2"/>
      <c r="M34" s="3"/>
      <c r="N34" s="3"/>
      <c r="O34" s="3">
        <f t="shared" si="9"/>
        <v>32600</v>
      </c>
      <c r="P34" s="7">
        <f t="shared" ref="P34:CA34" si="169">IFERROR(VALUE(P339),"-")</f>
        <v>2.2000000476837158</v>
      </c>
      <c r="Q34" s="7">
        <f t="shared" si="169"/>
        <v>1.6000000238418579</v>
      </c>
      <c r="R34" s="7">
        <f t="shared" si="169"/>
        <v>3.1500000953674316</v>
      </c>
      <c r="S34" s="7">
        <f t="shared" si="169"/>
        <v>2.7000000476837158</v>
      </c>
      <c r="T34" s="11">
        <f t="shared" si="169"/>
        <v>16.359375</v>
      </c>
      <c r="U34" s="11">
        <f t="shared" si="169"/>
        <v>137578.515625</v>
      </c>
      <c r="V34" s="11">
        <f t="shared" si="169"/>
        <v>-267.859375</v>
      </c>
      <c r="W34" s="11">
        <f t="shared" si="169"/>
        <v>221944.046875</v>
      </c>
      <c r="X34" s="14">
        <f t="shared" si="169"/>
        <v>2.1081177692394704E-8</v>
      </c>
      <c r="Y34" s="14">
        <f t="shared" si="169"/>
        <v>1.2776228686561808E-5</v>
      </c>
      <c r="Z34" s="14">
        <f t="shared" si="169"/>
        <v>7.8543962445110083E-9</v>
      </c>
      <c r="AA34" s="14">
        <f t="shared" si="169"/>
        <v>2.3429665816365741E-5</v>
      </c>
      <c r="AB34" s="15">
        <f t="shared" si="169"/>
        <v>-4.9467097085198475E-12</v>
      </c>
      <c r="AC34" s="15">
        <f t="shared" si="169"/>
        <v>-5.1000315082205816E-9</v>
      </c>
      <c r="AD34" s="13">
        <f t="shared" si="169"/>
        <v>1.6204833984375E-2</v>
      </c>
      <c r="AE34" s="13">
        <f t="shared" si="169"/>
        <v>21.771492004394531</v>
      </c>
      <c r="AF34" s="12">
        <f t="shared" si="169"/>
        <v>2.2823333740234375E-2</v>
      </c>
      <c r="AG34" s="12">
        <f t="shared" si="169"/>
        <v>-39.925613403320313</v>
      </c>
      <c r="AH34" s="13">
        <f t="shared" si="169"/>
        <v>2.7407622837927192E-9</v>
      </c>
      <c r="AI34" s="13">
        <f t="shared" si="169"/>
        <v>4.1649323065939825E-6</v>
      </c>
      <c r="AJ34" s="11">
        <f t="shared" si="169"/>
        <v>-5.6833028793334961E-5</v>
      </c>
      <c r="AK34" s="11">
        <f t="shared" si="169"/>
        <v>0.19319495558738708</v>
      </c>
      <c r="AL34" s="11">
        <f t="shared" si="169"/>
        <v>0</v>
      </c>
      <c r="AM34" s="11">
        <f t="shared" si="169"/>
        <v>-2.2000000476837158</v>
      </c>
      <c r="AN34" s="11">
        <f t="shared" si="169"/>
        <v>-1.0440126061439514E-6</v>
      </c>
      <c r="AO34" s="11">
        <f t="shared" si="169"/>
        <v>-3.1286079902201891E-3</v>
      </c>
      <c r="AP34" s="11">
        <f t="shared" si="169"/>
        <v>112.20121383666992</v>
      </c>
      <c r="AQ34" s="11">
        <f t="shared" si="169"/>
        <v>15900</v>
      </c>
      <c r="AR34" s="16">
        <f t="shared" si="169"/>
        <v>825</v>
      </c>
      <c r="AS34" s="16">
        <f t="shared" si="169"/>
        <v>2075</v>
      </c>
      <c r="AT34" s="16">
        <f t="shared" si="169"/>
        <v>112.20121383666992</v>
      </c>
      <c r="AU34" s="7">
        <f t="shared" si="169"/>
        <v>0</v>
      </c>
      <c r="AV34" s="7">
        <f t="shared" si="169"/>
        <v>2.2000000476837158</v>
      </c>
      <c r="AW34" s="7">
        <f t="shared" si="169"/>
        <v>0</v>
      </c>
      <c r="AX34" s="7">
        <f t="shared" si="169"/>
        <v>0</v>
      </c>
      <c r="AY34" s="11">
        <f t="shared" si="169"/>
        <v>0</v>
      </c>
      <c r="AZ34" s="16">
        <f t="shared" si="169"/>
        <v>0</v>
      </c>
      <c r="BA34" s="16">
        <f t="shared" si="169"/>
        <v>0</v>
      </c>
      <c r="BB34" s="16">
        <f t="shared" si="169"/>
        <v>0</v>
      </c>
      <c r="BC34" s="11">
        <f t="shared" si="169"/>
        <v>0</v>
      </c>
      <c r="BD34" s="11">
        <f t="shared" si="169"/>
        <v>0</v>
      </c>
      <c r="BE34" s="11">
        <f t="shared" si="169"/>
        <v>0</v>
      </c>
      <c r="BF34" s="11">
        <f t="shared" si="169"/>
        <v>0</v>
      </c>
      <c r="BG34" s="11">
        <f t="shared" si="169"/>
        <v>0</v>
      </c>
      <c r="BH34" s="11">
        <f t="shared" si="169"/>
        <v>0</v>
      </c>
      <c r="BI34" s="13">
        <f t="shared" si="169"/>
        <v>0</v>
      </c>
      <c r="BJ34" s="13">
        <f t="shared" si="169"/>
        <v>0</v>
      </c>
      <c r="BK34" s="11">
        <f t="shared" si="169"/>
        <v>0</v>
      </c>
      <c r="BL34" s="12">
        <f t="shared" si="169"/>
        <v>0</v>
      </c>
      <c r="BM34" s="12">
        <f t="shared" si="169"/>
        <v>0</v>
      </c>
      <c r="BN34" s="13">
        <f t="shared" si="169"/>
        <v>0</v>
      </c>
      <c r="BO34" s="13">
        <f t="shared" si="169"/>
        <v>0</v>
      </c>
      <c r="BP34" s="15">
        <f t="shared" si="169"/>
        <v>0</v>
      </c>
      <c r="BQ34" s="15">
        <f t="shared" si="169"/>
        <v>0</v>
      </c>
      <c r="BR34" s="14">
        <f t="shared" si="169"/>
        <v>0</v>
      </c>
      <c r="BS34" s="14">
        <f t="shared" si="169"/>
        <v>0</v>
      </c>
      <c r="BT34" s="14">
        <f t="shared" si="169"/>
        <v>0</v>
      </c>
      <c r="BU34" s="14">
        <f t="shared" si="169"/>
        <v>0</v>
      </c>
      <c r="BV34" s="11">
        <f t="shared" si="169"/>
        <v>0</v>
      </c>
      <c r="BW34" s="11">
        <f t="shared" si="169"/>
        <v>0</v>
      </c>
      <c r="BX34" s="11">
        <f t="shared" si="169"/>
        <v>0</v>
      </c>
      <c r="BY34" s="11">
        <f t="shared" si="169"/>
        <v>0</v>
      </c>
      <c r="BZ34" s="7">
        <f t="shared" si="169"/>
        <v>0</v>
      </c>
      <c r="CA34" s="7">
        <f t="shared" si="169"/>
        <v>0</v>
      </c>
      <c r="CB34" s="7">
        <f t="shared" ref="CB34:CP34" si="170">IFERROR(VALUE(CB339),"-")</f>
        <v>0</v>
      </c>
      <c r="CC34" s="7">
        <f t="shared" si="170"/>
        <v>0</v>
      </c>
      <c r="CD34" s="7">
        <f t="shared" si="170"/>
        <v>5895.7001953125</v>
      </c>
      <c r="CE34" s="3">
        <f t="shared" si="170"/>
        <v>800</v>
      </c>
      <c r="CF34" s="7">
        <f t="shared" si="170"/>
        <v>5480.2001953125</v>
      </c>
      <c r="CG34" s="3">
        <f t="shared" si="170"/>
        <v>750</v>
      </c>
      <c r="CH34" s="7">
        <f t="shared" si="170"/>
        <v>0</v>
      </c>
      <c r="CI34" s="7">
        <f t="shared" si="170"/>
        <v>2.8499999046325684</v>
      </c>
      <c r="CJ34" s="3">
        <f t="shared" si="170"/>
        <v>125</v>
      </c>
      <c r="CK34" s="7">
        <f t="shared" si="170"/>
        <v>2.2000000476837158</v>
      </c>
      <c r="CL34" s="3">
        <f t="shared" si="170"/>
        <v>200</v>
      </c>
      <c r="CM34" s="7">
        <f t="shared" si="170"/>
        <v>2.5799999237060547</v>
      </c>
      <c r="CN34" s="10">
        <f t="shared" si="170"/>
        <v>44783.638194444444</v>
      </c>
      <c r="CO34" s="10">
        <f t="shared" si="170"/>
        <v>44783.638194444444</v>
      </c>
      <c r="CP34" s="7">
        <f t="shared" si="170"/>
        <v>38295.69921875</v>
      </c>
      <c r="CQ34" s="7" t="str">
        <f t="shared" ref="CQ34" si="171">IFERROR(CQ339,"-")</f>
        <v>FairPrice</v>
      </c>
      <c r="CR34" s="10">
        <f t="shared" si="156"/>
        <v>44783.638194444444</v>
      </c>
      <c r="CS34" s="7">
        <f t="shared" si="156"/>
        <v>2.6559829711914063E-2</v>
      </c>
      <c r="CT34" s="7">
        <f t="shared" si="156"/>
        <v>2.3677211173093167E-4</v>
      </c>
      <c r="CU34" s="7">
        <f t="shared" si="156"/>
        <v>1250</v>
      </c>
      <c r="CV34" s="7">
        <f t="shared" si="156"/>
        <v>0.66</v>
      </c>
      <c r="CW34" s="7">
        <f t="shared" si="156"/>
        <v>2.2000000476837158</v>
      </c>
      <c r="CX34" s="7">
        <f t="shared" si="156"/>
        <v>0</v>
      </c>
      <c r="CY34" s="7">
        <f t="shared" si="156"/>
        <v>0</v>
      </c>
      <c r="CZ34" s="7">
        <f t="shared" si="156"/>
        <v>0</v>
      </c>
      <c r="DA34" s="7">
        <f t="shared" si="156"/>
        <v>0</v>
      </c>
      <c r="DB34" s="7">
        <f t="shared" si="156"/>
        <v>0</v>
      </c>
      <c r="DC34" s="7">
        <f t="shared" si="156"/>
        <v>0</v>
      </c>
      <c r="DD34" s="7">
        <f t="shared" si="156"/>
        <v>0</v>
      </c>
      <c r="DE34" s="7">
        <f t="shared" si="156"/>
        <v>0</v>
      </c>
      <c r="DF34" s="7">
        <f t="shared" si="156"/>
        <v>2.2000000476837158</v>
      </c>
      <c r="DG34" s="7">
        <f t="shared" si="156"/>
        <v>38295.69921875</v>
      </c>
      <c r="DH34" s="7" t="str">
        <f t="shared" ref="DH34:DJ34" si="172">IFERROR(DH339,"-")</f>
        <v>W</v>
      </c>
      <c r="DI34" s="7" t="str">
        <f t="shared" si="172"/>
        <v>W</v>
      </c>
      <c r="DJ34" s="7" t="str">
        <f t="shared" si="172"/>
        <v>G</v>
      </c>
      <c r="DK34" s="64">
        <f t="shared" ref="DK34:DS34" si="173">IFERROR(VALUE(DK339),"-")</f>
        <v>38300</v>
      </c>
      <c r="DL34" s="64">
        <f t="shared" si="173"/>
        <v>3400000</v>
      </c>
      <c r="DM34" s="64">
        <f t="shared" si="173"/>
        <v>38500</v>
      </c>
      <c r="DN34" s="64">
        <f t="shared" si="173"/>
        <v>0</v>
      </c>
      <c r="DO34" s="64">
        <f t="shared" si="173"/>
        <v>24500</v>
      </c>
      <c r="DP34" s="64">
        <f t="shared" si="173"/>
        <v>2863350</v>
      </c>
      <c r="DQ34" s="64">
        <f t="shared" si="173"/>
        <v>38000</v>
      </c>
      <c r="DR34" s="64">
        <f t="shared" si="173"/>
        <v>0</v>
      </c>
      <c r="DS34" s="64">
        <f t="shared" si="173"/>
        <v>24500</v>
      </c>
      <c r="DT34" t="str">
        <f t="shared" si="7"/>
        <v>BANKNIFTY</v>
      </c>
      <c r="DU34" s="10">
        <f t="shared" si="8"/>
        <v>44784</v>
      </c>
    </row>
    <row r="35" spans="1:125" x14ac:dyDescent="0.25">
      <c r="A35" t="s">
        <v>17</v>
      </c>
      <c r="B35" s="2">
        <v>44798</v>
      </c>
      <c r="C35" s="1">
        <v>125</v>
      </c>
      <c r="D35">
        <v>82</v>
      </c>
      <c r="G35" t="str">
        <f t="array" ref="G35">IFERROR(INDEX($A$2:$A$700,MATCH(0,COUNTIF($G$1:G34,$A$2:$A$700),0)),"")</f>
        <v>BHEL</v>
      </c>
      <c r="I35" s="2"/>
      <c r="M35" s="3"/>
      <c r="N35" s="3"/>
      <c r="O35" s="3">
        <f t="shared" si="9"/>
        <v>32700</v>
      </c>
      <c r="P35" s="7">
        <f t="shared" ref="P35:CA35" si="174">IFERROR(VALUE(P340),"-")</f>
        <v>2.4000000953674316</v>
      </c>
      <c r="Q35" s="7">
        <f t="shared" si="174"/>
        <v>1.6000000238418579</v>
      </c>
      <c r="R35" s="7">
        <f t="shared" si="174"/>
        <v>3.0999999046325684</v>
      </c>
      <c r="S35" s="7">
        <f t="shared" si="174"/>
        <v>2.8499999046325684</v>
      </c>
      <c r="T35" s="11">
        <f t="shared" si="174"/>
        <v>3.9609375</v>
      </c>
      <c r="U35" s="11">
        <f t="shared" si="174"/>
        <v>124739.75</v>
      </c>
      <c r="V35" s="11">
        <f t="shared" si="174"/>
        <v>-8.140625</v>
      </c>
      <c r="W35" s="11">
        <f t="shared" si="174"/>
        <v>202276.484375</v>
      </c>
      <c r="X35" s="14">
        <f t="shared" si="174"/>
        <v>4.0199665818363428E-10</v>
      </c>
      <c r="Y35" s="14">
        <f t="shared" si="174"/>
        <v>1.3620353456644807E-5</v>
      </c>
      <c r="Z35" s="14">
        <f t="shared" si="174"/>
        <v>-1.0750227374956012E-9</v>
      </c>
      <c r="AA35" s="14">
        <f t="shared" si="174"/>
        <v>2.517292887205258E-5</v>
      </c>
      <c r="AB35" s="15">
        <f t="shared" si="174"/>
        <v>1.3011813848606835E-13</v>
      </c>
      <c r="AC35" s="15">
        <f t="shared" si="174"/>
        <v>-5.5604720827773235E-9</v>
      </c>
      <c r="AD35" s="13">
        <f t="shared" si="174"/>
        <v>1.0223388671875E-3</v>
      </c>
      <c r="AE35" s="13">
        <f t="shared" si="174"/>
        <v>19.908790588378906</v>
      </c>
      <c r="AF35" s="12">
        <f t="shared" si="174"/>
        <v>7.66754150390625E-4</v>
      </c>
      <c r="AG35" s="12">
        <f t="shared" si="174"/>
        <v>-36.795124053955078</v>
      </c>
      <c r="AH35" s="13">
        <f t="shared" si="174"/>
        <v>-7.2304828790947795E-11</v>
      </c>
      <c r="AI35" s="13">
        <f t="shared" si="174"/>
        <v>4.5491588025470264E-6</v>
      </c>
      <c r="AJ35" s="11">
        <f t="shared" si="174"/>
        <v>-5.7518482208251953E-6</v>
      </c>
      <c r="AK35" s="11">
        <f t="shared" si="174"/>
        <v>0.20906639099121094</v>
      </c>
      <c r="AL35" s="11">
        <f t="shared" si="174"/>
        <v>0</v>
      </c>
      <c r="AM35" s="11">
        <f t="shared" si="174"/>
        <v>-2.4000000953674316</v>
      </c>
      <c r="AN35" s="11">
        <f t="shared" si="174"/>
        <v>2.7474015951156616E-8</v>
      </c>
      <c r="AO35" s="11">
        <f t="shared" si="174"/>
        <v>-3.4172069281339645E-3</v>
      </c>
      <c r="AP35" s="11">
        <f t="shared" si="174"/>
        <v>111.25391721725464</v>
      </c>
      <c r="AQ35" s="11">
        <f t="shared" si="174"/>
        <v>34700</v>
      </c>
      <c r="AR35" s="16">
        <f t="shared" si="174"/>
        <v>-250</v>
      </c>
      <c r="AS35" s="16">
        <f t="shared" si="174"/>
        <v>3425</v>
      </c>
      <c r="AT35" s="16">
        <f t="shared" si="174"/>
        <v>111.25391721725464</v>
      </c>
      <c r="AU35" s="7">
        <f t="shared" si="174"/>
        <v>0</v>
      </c>
      <c r="AV35" s="7">
        <f t="shared" si="174"/>
        <v>2.4000000953674316</v>
      </c>
      <c r="AW35" s="7">
        <f t="shared" si="174"/>
        <v>5147.39990234375</v>
      </c>
      <c r="AX35" s="7">
        <f t="shared" si="174"/>
        <v>0</v>
      </c>
      <c r="AY35" s="11">
        <f t="shared" si="174"/>
        <v>0</v>
      </c>
      <c r="AZ35" s="16">
        <f t="shared" si="174"/>
        <v>125</v>
      </c>
      <c r="BA35" s="16">
        <f t="shared" si="174"/>
        <v>0</v>
      </c>
      <c r="BB35" s="16">
        <f t="shared" si="174"/>
        <v>0</v>
      </c>
      <c r="BC35" s="11">
        <f t="shared" si="174"/>
        <v>0</v>
      </c>
      <c r="BD35" s="11">
        <f t="shared" si="174"/>
        <v>0</v>
      </c>
      <c r="BE35" s="11">
        <f t="shared" si="174"/>
        <v>0</v>
      </c>
      <c r="BF35" s="11">
        <f t="shared" si="174"/>
        <v>0</v>
      </c>
      <c r="BG35" s="11">
        <f t="shared" si="174"/>
        <v>0</v>
      </c>
      <c r="BH35" s="11">
        <f t="shared" si="174"/>
        <v>0</v>
      </c>
      <c r="BI35" s="13">
        <f t="shared" si="174"/>
        <v>0</v>
      </c>
      <c r="BJ35" s="13">
        <f t="shared" si="174"/>
        <v>0</v>
      </c>
      <c r="BK35" s="11">
        <f t="shared" si="174"/>
        <v>0</v>
      </c>
      <c r="BL35" s="12">
        <f t="shared" si="174"/>
        <v>0</v>
      </c>
      <c r="BM35" s="12">
        <f t="shared" si="174"/>
        <v>0</v>
      </c>
      <c r="BN35" s="13">
        <f t="shared" si="174"/>
        <v>0</v>
      </c>
      <c r="BO35" s="13">
        <f t="shared" si="174"/>
        <v>0</v>
      </c>
      <c r="BP35" s="15">
        <f t="shared" si="174"/>
        <v>0</v>
      </c>
      <c r="BQ35" s="15">
        <f t="shared" si="174"/>
        <v>0</v>
      </c>
      <c r="BR35" s="14">
        <f t="shared" si="174"/>
        <v>0</v>
      </c>
      <c r="BS35" s="14">
        <f t="shared" si="174"/>
        <v>0</v>
      </c>
      <c r="BT35" s="14">
        <f t="shared" si="174"/>
        <v>0</v>
      </c>
      <c r="BU35" s="14">
        <f t="shared" si="174"/>
        <v>0</v>
      </c>
      <c r="BV35" s="11">
        <f t="shared" si="174"/>
        <v>0</v>
      </c>
      <c r="BW35" s="11">
        <f t="shared" si="174"/>
        <v>0</v>
      </c>
      <c r="BX35" s="11">
        <f t="shared" si="174"/>
        <v>0</v>
      </c>
      <c r="BY35" s="11">
        <f t="shared" si="174"/>
        <v>0</v>
      </c>
      <c r="BZ35" s="7">
        <f t="shared" si="174"/>
        <v>0</v>
      </c>
      <c r="CA35" s="7">
        <f t="shared" si="174"/>
        <v>0</v>
      </c>
      <c r="CB35" s="7">
        <f t="shared" ref="CB35:CP35" si="175">IFERROR(VALUE(CB340),"-")</f>
        <v>0</v>
      </c>
      <c r="CC35" s="7">
        <f t="shared" si="175"/>
        <v>5147.39990234375</v>
      </c>
      <c r="CD35" s="7">
        <f t="shared" si="175"/>
        <v>5781.0498046875</v>
      </c>
      <c r="CE35" s="3">
        <f t="shared" si="175"/>
        <v>800</v>
      </c>
      <c r="CF35" s="7">
        <f t="shared" si="175"/>
        <v>3986.10009765625</v>
      </c>
      <c r="CG35" s="3">
        <f t="shared" si="175"/>
        <v>750</v>
      </c>
      <c r="CH35" s="7">
        <f t="shared" si="175"/>
        <v>0</v>
      </c>
      <c r="CI35" s="7">
        <f t="shared" si="175"/>
        <v>2.3499999046325684</v>
      </c>
      <c r="CJ35" s="3">
        <f t="shared" si="175"/>
        <v>250</v>
      </c>
      <c r="CK35" s="7">
        <f t="shared" si="175"/>
        <v>2.25</v>
      </c>
      <c r="CL35" s="3">
        <f t="shared" si="175"/>
        <v>100</v>
      </c>
      <c r="CM35" s="7">
        <f t="shared" si="175"/>
        <v>2.5299999713897705</v>
      </c>
      <c r="CN35" s="10">
        <f t="shared" si="175"/>
        <v>44783.638194444444</v>
      </c>
      <c r="CO35" s="10">
        <f t="shared" si="175"/>
        <v>44783.638194444444</v>
      </c>
      <c r="CP35" s="7">
        <f t="shared" si="175"/>
        <v>38295.69921875</v>
      </c>
      <c r="CQ35" s="7" t="str">
        <f t="shared" ref="CQ35" si="176">IFERROR(CQ340,"-")</f>
        <v>FairPrice</v>
      </c>
      <c r="CR35" s="10">
        <f t="shared" si="156"/>
        <v>44783.638194444444</v>
      </c>
      <c r="CS35" s="7">
        <f t="shared" si="156"/>
        <v>3.2305717468261719E-3</v>
      </c>
      <c r="CT35" s="7">
        <f t="shared" si="156"/>
        <v>2.9038667933081195E-5</v>
      </c>
      <c r="CU35" s="7">
        <f t="shared" si="156"/>
        <v>3675</v>
      </c>
      <c r="CV35" s="7">
        <f t="shared" si="156"/>
        <v>-6.8027210884353748E-2</v>
      </c>
      <c r="CW35" s="7">
        <f t="shared" si="156"/>
        <v>2.4000000953674316</v>
      </c>
      <c r="CX35" s="7">
        <f t="shared" si="156"/>
        <v>0</v>
      </c>
      <c r="CY35" s="7">
        <f t="shared" si="156"/>
        <v>5147.39990234375</v>
      </c>
      <c r="CZ35" s="7">
        <f t="shared" si="156"/>
        <v>0</v>
      </c>
      <c r="DA35" s="7">
        <f t="shared" si="156"/>
        <v>125</v>
      </c>
      <c r="DB35" s="7">
        <f t="shared" si="156"/>
        <v>0</v>
      </c>
      <c r="DC35" s="7">
        <f t="shared" si="156"/>
        <v>0</v>
      </c>
      <c r="DD35" s="7">
        <f t="shared" si="156"/>
        <v>0</v>
      </c>
      <c r="DE35" s="7">
        <f t="shared" si="156"/>
        <v>5147.39990234375</v>
      </c>
      <c r="DF35" s="7">
        <f t="shared" si="156"/>
        <v>2.4000000953674316</v>
      </c>
      <c r="DG35" s="7">
        <f t="shared" si="156"/>
        <v>38295.69921875</v>
      </c>
      <c r="DH35" s="7" t="str">
        <f t="shared" ref="DH35:DJ35" si="177">IFERROR(DH340,"-")</f>
        <v>W</v>
      </c>
      <c r="DI35" s="7" t="str">
        <f t="shared" si="177"/>
        <v>W</v>
      </c>
      <c r="DJ35" s="7" t="str">
        <f t="shared" si="177"/>
        <v>G</v>
      </c>
      <c r="DK35" s="64">
        <f t="shared" ref="DK35:DS35" si="178">IFERROR(VALUE(DK340),"-")</f>
        <v>38300</v>
      </c>
      <c r="DL35" s="64">
        <f t="shared" si="178"/>
        <v>3400000</v>
      </c>
      <c r="DM35" s="64">
        <f t="shared" si="178"/>
        <v>38500</v>
      </c>
      <c r="DN35" s="64">
        <f t="shared" si="178"/>
        <v>0</v>
      </c>
      <c r="DO35" s="64">
        <f t="shared" si="178"/>
        <v>24500</v>
      </c>
      <c r="DP35" s="64">
        <f t="shared" si="178"/>
        <v>2863350</v>
      </c>
      <c r="DQ35" s="64">
        <f t="shared" si="178"/>
        <v>38000</v>
      </c>
      <c r="DR35" s="64">
        <f t="shared" si="178"/>
        <v>0</v>
      </c>
      <c r="DS35" s="64">
        <f t="shared" si="178"/>
        <v>24500</v>
      </c>
      <c r="DT35" t="str">
        <f t="shared" si="7"/>
        <v>BANKNIFTY</v>
      </c>
      <c r="DU35" s="10">
        <f t="shared" si="8"/>
        <v>44784</v>
      </c>
    </row>
    <row r="36" spans="1:125" x14ac:dyDescent="0.25">
      <c r="A36" t="s">
        <v>17</v>
      </c>
      <c r="B36" s="2">
        <v>44833</v>
      </c>
      <c r="C36" s="1">
        <v>125</v>
      </c>
      <c r="D36">
        <v>82</v>
      </c>
      <c r="G36" t="str">
        <f t="array" ref="G36">IFERROR(INDEX($A$2:$A$700,MATCH(0,COUNTIF($G$1:G35,$A$2:$A$700),0)),"")</f>
        <v>BIOCON</v>
      </c>
      <c r="I36" s="2"/>
      <c r="M36" s="3"/>
      <c r="N36" s="3"/>
      <c r="O36" s="3">
        <f t="shared" si="9"/>
        <v>32800</v>
      </c>
      <c r="P36" s="7">
        <f t="shared" ref="P36:CA36" si="179">IFERROR(VALUE(P341),"-")</f>
        <v>2.2999999523162842</v>
      </c>
      <c r="Q36" s="7">
        <f t="shared" si="179"/>
        <v>1.7000000476837158</v>
      </c>
      <c r="R36" s="7">
        <f t="shared" si="179"/>
        <v>3.4000000953674316</v>
      </c>
      <c r="S36" s="7">
        <f t="shared" si="179"/>
        <v>2.9500000476837158</v>
      </c>
      <c r="T36" s="11">
        <f t="shared" si="179"/>
        <v>4.0703125</v>
      </c>
      <c r="U36" s="11">
        <f t="shared" si="179"/>
        <v>127395.4609375</v>
      </c>
      <c r="V36" s="11">
        <f t="shared" si="179"/>
        <v>-8.484375</v>
      </c>
      <c r="W36" s="11">
        <f t="shared" si="179"/>
        <v>211319.859375</v>
      </c>
      <c r="X36" s="14">
        <f t="shared" si="179"/>
        <v>4.0290615288540721E-10</v>
      </c>
      <c r="Y36" s="14">
        <f t="shared" si="179"/>
        <v>1.3775444131169934E-5</v>
      </c>
      <c r="Z36" s="14">
        <f t="shared" si="179"/>
        <v>-1.1223164619877934E-9</v>
      </c>
      <c r="AA36" s="14">
        <f t="shared" si="179"/>
        <v>2.6027204512502067E-5</v>
      </c>
      <c r="AB36" s="15">
        <f t="shared" si="179"/>
        <v>1.3677947663381929E-13</v>
      </c>
      <c r="AC36" s="15">
        <f t="shared" si="179"/>
        <v>-5.7254410101847952E-9</v>
      </c>
      <c r="AD36" s="13">
        <f t="shared" si="179"/>
        <v>1.04522705078125E-3</v>
      </c>
      <c r="AE36" s="13">
        <f t="shared" si="179"/>
        <v>20.299203872680664</v>
      </c>
      <c r="AF36" s="12">
        <f t="shared" si="179"/>
        <v>8.0108642578125E-4</v>
      </c>
      <c r="AG36" s="12">
        <f t="shared" si="179"/>
        <v>-38.353137969970703</v>
      </c>
      <c r="AH36" s="13">
        <f t="shared" si="179"/>
        <v>-7.4123818194493651E-11</v>
      </c>
      <c r="AI36" s="13">
        <f t="shared" si="179"/>
        <v>4.5739407141809352E-6</v>
      </c>
      <c r="AJ36" s="11">
        <f t="shared" si="179"/>
        <v>-5.6922435760498047E-6</v>
      </c>
      <c r="AK36" s="11">
        <f t="shared" si="179"/>
        <v>0.20562084019184113</v>
      </c>
      <c r="AL36" s="11">
        <f t="shared" si="179"/>
        <v>0</v>
      </c>
      <c r="AM36" s="11">
        <f t="shared" si="179"/>
        <v>-2.2999999523162842</v>
      </c>
      <c r="AN36" s="11">
        <f t="shared" si="179"/>
        <v>2.7474015951156616E-8</v>
      </c>
      <c r="AO36" s="11">
        <f t="shared" si="179"/>
        <v>-3.3546015620231628E-3</v>
      </c>
      <c r="AP36" s="11">
        <f t="shared" si="179"/>
        <v>108.82751941680908</v>
      </c>
      <c r="AQ36" s="11">
        <f t="shared" si="179"/>
        <v>41225</v>
      </c>
      <c r="AR36" s="16">
        <f t="shared" si="179"/>
        <v>25</v>
      </c>
      <c r="AS36" s="16">
        <f t="shared" si="179"/>
        <v>4000</v>
      </c>
      <c r="AT36" s="16">
        <f t="shared" si="179"/>
        <v>108.82751941680908</v>
      </c>
      <c r="AU36" s="7">
        <f t="shared" si="179"/>
        <v>0</v>
      </c>
      <c r="AV36" s="7">
        <f t="shared" si="179"/>
        <v>2.2999999523162842</v>
      </c>
      <c r="AW36" s="7">
        <f t="shared" si="179"/>
        <v>0</v>
      </c>
      <c r="AX36" s="7">
        <f t="shared" si="179"/>
        <v>-2718.1</v>
      </c>
      <c r="AY36" s="11">
        <f t="shared" si="179"/>
        <v>0</v>
      </c>
      <c r="AZ36" s="16">
        <f t="shared" si="179"/>
        <v>0</v>
      </c>
      <c r="BA36" s="16">
        <f t="shared" si="179"/>
        <v>0</v>
      </c>
      <c r="BB36" s="16">
        <f t="shared" si="179"/>
        <v>0</v>
      </c>
      <c r="BC36" s="11">
        <f t="shared" si="179"/>
        <v>0</v>
      </c>
      <c r="BD36" s="11">
        <f t="shared" si="179"/>
        <v>0</v>
      </c>
      <c r="BE36" s="11">
        <f t="shared" si="179"/>
        <v>0</v>
      </c>
      <c r="BF36" s="11">
        <f t="shared" si="179"/>
        <v>0</v>
      </c>
      <c r="BG36" s="11">
        <f t="shared" si="179"/>
        <v>0</v>
      </c>
      <c r="BH36" s="11">
        <f t="shared" si="179"/>
        <v>0</v>
      </c>
      <c r="BI36" s="13">
        <f t="shared" si="179"/>
        <v>0</v>
      </c>
      <c r="BJ36" s="13">
        <f t="shared" si="179"/>
        <v>0</v>
      </c>
      <c r="BK36" s="11">
        <f t="shared" si="179"/>
        <v>0</v>
      </c>
      <c r="BL36" s="12">
        <f t="shared" si="179"/>
        <v>0</v>
      </c>
      <c r="BM36" s="12">
        <f t="shared" si="179"/>
        <v>0</v>
      </c>
      <c r="BN36" s="13">
        <f t="shared" si="179"/>
        <v>0</v>
      </c>
      <c r="BO36" s="13">
        <f t="shared" si="179"/>
        <v>0</v>
      </c>
      <c r="BP36" s="15">
        <f t="shared" si="179"/>
        <v>0</v>
      </c>
      <c r="BQ36" s="15">
        <f t="shared" si="179"/>
        <v>0</v>
      </c>
      <c r="BR36" s="14">
        <f t="shared" si="179"/>
        <v>0</v>
      </c>
      <c r="BS36" s="14">
        <f t="shared" si="179"/>
        <v>0</v>
      </c>
      <c r="BT36" s="14">
        <f t="shared" si="179"/>
        <v>0</v>
      </c>
      <c r="BU36" s="14">
        <f t="shared" si="179"/>
        <v>0</v>
      </c>
      <c r="BV36" s="11">
        <f t="shared" si="179"/>
        <v>0</v>
      </c>
      <c r="BW36" s="11">
        <f t="shared" si="179"/>
        <v>0</v>
      </c>
      <c r="BX36" s="11">
        <f t="shared" si="179"/>
        <v>0</v>
      </c>
      <c r="BY36" s="11">
        <f t="shared" si="179"/>
        <v>0</v>
      </c>
      <c r="BZ36" s="7">
        <f t="shared" si="179"/>
        <v>0</v>
      </c>
      <c r="CA36" s="7">
        <f t="shared" si="179"/>
        <v>0</v>
      </c>
      <c r="CB36" s="7">
        <f t="shared" ref="CB36:CP36" si="180">IFERROR(VALUE(CB341),"-")</f>
        <v>0</v>
      </c>
      <c r="CC36" s="7">
        <f t="shared" si="180"/>
        <v>0</v>
      </c>
      <c r="CD36" s="7">
        <f t="shared" si="180"/>
        <v>0</v>
      </c>
      <c r="CE36" s="3">
        <f t="shared" si="180"/>
        <v>0</v>
      </c>
      <c r="CF36" s="7">
        <f t="shared" si="180"/>
        <v>0</v>
      </c>
      <c r="CG36" s="3">
        <f t="shared" si="180"/>
        <v>0</v>
      </c>
      <c r="CH36" s="7">
        <f t="shared" si="180"/>
        <v>0</v>
      </c>
      <c r="CI36" s="7">
        <f t="shared" si="180"/>
        <v>2.4000000953674316</v>
      </c>
      <c r="CJ36" s="3">
        <f t="shared" si="180"/>
        <v>125</v>
      </c>
      <c r="CK36" s="7">
        <f t="shared" si="180"/>
        <v>2.25</v>
      </c>
      <c r="CL36" s="3">
        <f t="shared" si="180"/>
        <v>325</v>
      </c>
      <c r="CM36" s="7">
        <f t="shared" si="180"/>
        <v>2.5999999046325684</v>
      </c>
      <c r="CN36" s="10">
        <f t="shared" si="180"/>
        <v>44783.636701388888</v>
      </c>
      <c r="CO36" s="10">
        <f t="shared" si="180"/>
        <v>44783.638194444444</v>
      </c>
      <c r="CP36" s="7">
        <f t="shared" si="180"/>
        <v>38295.69921875</v>
      </c>
      <c r="CQ36" s="7" t="str">
        <f t="shared" ref="CQ36" si="181">IFERROR(CQ341,"-")</f>
        <v>FairPrice</v>
      </c>
      <c r="CR36" s="10">
        <f t="shared" si="156"/>
        <v>44783.638194444444</v>
      </c>
      <c r="CS36" s="7">
        <f t="shared" si="156"/>
        <v>3.1590461730957031E-3</v>
      </c>
      <c r="CT36" s="7">
        <f t="shared" si="156"/>
        <v>2.9028851282346766E-5</v>
      </c>
      <c r="CU36" s="7">
        <f t="shared" si="156"/>
        <v>3975</v>
      </c>
      <c r="CV36" s="7">
        <f t="shared" si="156"/>
        <v>6.2893081761006293E-3</v>
      </c>
      <c r="CW36" s="7">
        <f t="shared" si="156"/>
        <v>2.2999999523162842</v>
      </c>
      <c r="CX36" s="7">
        <f t="shared" si="156"/>
        <v>0</v>
      </c>
      <c r="CY36" s="7">
        <f t="shared" si="156"/>
        <v>2718.1</v>
      </c>
      <c r="CZ36" s="7">
        <f t="shared" si="156"/>
        <v>-1</v>
      </c>
      <c r="DA36" s="7">
        <f t="shared" si="156"/>
        <v>0</v>
      </c>
      <c r="DB36" s="7">
        <f t="shared" si="156"/>
        <v>0</v>
      </c>
      <c r="DC36" s="7">
        <f t="shared" si="156"/>
        <v>0</v>
      </c>
      <c r="DD36" s="7">
        <f t="shared" si="156"/>
        <v>0</v>
      </c>
      <c r="DE36" s="7">
        <f t="shared" si="156"/>
        <v>2718.1</v>
      </c>
      <c r="DF36" s="7">
        <f t="shared" si="156"/>
        <v>2.2999999523162842</v>
      </c>
      <c r="DG36" s="7">
        <f t="shared" si="156"/>
        <v>38295.69921875</v>
      </c>
      <c r="DH36" s="7" t="str">
        <f t="shared" ref="DH36:DJ36" si="182">IFERROR(DH341,"-")</f>
        <v>R</v>
      </c>
      <c r="DI36" s="7" t="str">
        <f t="shared" si="182"/>
        <v>W</v>
      </c>
      <c r="DJ36" s="7" t="str">
        <f t="shared" si="182"/>
        <v>G</v>
      </c>
      <c r="DK36" s="64">
        <f t="shared" ref="DK36:DS36" si="183">IFERROR(VALUE(DK341),"-")</f>
        <v>38300</v>
      </c>
      <c r="DL36" s="64">
        <f t="shared" si="183"/>
        <v>3400000</v>
      </c>
      <c r="DM36" s="64">
        <f t="shared" si="183"/>
        <v>38500</v>
      </c>
      <c r="DN36" s="64">
        <f t="shared" si="183"/>
        <v>0</v>
      </c>
      <c r="DO36" s="64">
        <f t="shared" si="183"/>
        <v>24500</v>
      </c>
      <c r="DP36" s="64">
        <f t="shared" si="183"/>
        <v>2863350</v>
      </c>
      <c r="DQ36" s="64">
        <f t="shared" si="183"/>
        <v>38000</v>
      </c>
      <c r="DR36" s="64">
        <f t="shared" si="183"/>
        <v>0</v>
      </c>
      <c r="DS36" s="64">
        <f t="shared" si="183"/>
        <v>24500</v>
      </c>
      <c r="DT36" t="str">
        <f t="shared" si="7"/>
        <v>BANKNIFTY</v>
      </c>
      <c r="DU36" s="10">
        <f t="shared" si="8"/>
        <v>44784</v>
      </c>
    </row>
    <row r="37" spans="1:125" x14ac:dyDescent="0.25">
      <c r="A37" t="s">
        <v>17</v>
      </c>
      <c r="B37" s="2">
        <v>44861</v>
      </c>
      <c r="C37" s="1">
        <v>125</v>
      </c>
      <c r="D37">
        <v>82</v>
      </c>
      <c r="G37" t="str">
        <f t="array" ref="G37">IFERROR(INDEX($A$2:$A$700,MATCH(0,COUNTIF($G$1:G36,$A$2:$A$700),0)),"")</f>
        <v>BOSCHLTD</v>
      </c>
      <c r="M37" s="3"/>
      <c r="N37" s="3"/>
      <c r="O37" s="3">
        <f t="shared" si="9"/>
        <v>32900</v>
      </c>
      <c r="P37" s="7">
        <f t="shared" ref="P37:CA37" si="184">IFERROR(VALUE(P342),"-")</f>
        <v>2.3499999046325684</v>
      </c>
      <c r="Q37" s="7">
        <f t="shared" si="184"/>
        <v>1.5</v>
      </c>
      <c r="R37" s="7">
        <f t="shared" si="184"/>
        <v>3.2000000476837158</v>
      </c>
      <c r="S37" s="7">
        <f t="shared" si="184"/>
        <v>2.9500000476837158</v>
      </c>
      <c r="T37" s="11">
        <f t="shared" si="184"/>
        <v>3.9296875</v>
      </c>
      <c r="U37" s="11">
        <f t="shared" si="184"/>
        <v>122627.0078125</v>
      </c>
      <c r="V37" s="11">
        <f t="shared" si="184"/>
        <v>-8.28125</v>
      </c>
      <c r="W37" s="11">
        <f t="shared" si="184"/>
        <v>206429.71875</v>
      </c>
      <c r="X37" s="14">
        <f t="shared" si="184"/>
        <v>4.1472958400845528E-10</v>
      </c>
      <c r="Y37" s="14">
        <f t="shared" si="184"/>
        <v>1.4296792869572528E-5</v>
      </c>
      <c r="Z37" s="14">
        <f t="shared" si="184"/>
        <v>-1.1932570487260818E-9</v>
      </c>
      <c r="AA37" s="14">
        <f t="shared" si="184"/>
        <v>2.7440810299594887E-5</v>
      </c>
      <c r="AB37" s="15">
        <f t="shared" si="184"/>
        <v>1.4699352846037073E-13</v>
      </c>
      <c r="AC37" s="15">
        <f t="shared" si="184"/>
        <v>-6.0671023760505705E-9</v>
      </c>
      <c r="AD37" s="13">
        <f t="shared" si="184"/>
        <v>1.010894775390625E-3</v>
      </c>
      <c r="AE37" s="13">
        <f t="shared" si="184"/>
        <v>19.60247802734375</v>
      </c>
      <c r="AF37" s="12">
        <f t="shared" si="184"/>
        <v>7.8582763671875E-4</v>
      </c>
      <c r="AG37" s="12">
        <f t="shared" si="184"/>
        <v>-37.624374389648438</v>
      </c>
      <c r="AH37" s="13">
        <f t="shared" si="184"/>
        <v>-7.8671291703358293E-11</v>
      </c>
      <c r="AI37" s="13">
        <f t="shared" si="184"/>
        <v>4.7925504986778833E-6</v>
      </c>
      <c r="AJ37" s="11">
        <f t="shared" si="184"/>
        <v>-5.8859586715698242E-6</v>
      </c>
      <c r="AK37" s="11">
        <f t="shared" si="184"/>
        <v>0.21208350360393524</v>
      </c>
      <c r="AL37" s="11">
        <f t="shared" si="184"/>
        <v>0</v>
      </c>
      <c r="AM37" s="11">
        <f t="shared" si="184"/>
        <v>-2.3499999046325684</v>
      </c>
      <c r="AN37" s="11">
        <f t="shared" si="184"/>
        <v>2.8870999813079834E-8</v>
      </c>
      <c r="AO37" s="11">
        <f t="shared" si="184"/>
        <v>-3.4721437841653824E-3</v>
      </c>
      <c r="AP37" s="11">
        <f t="shared" si="184"/>
        <v>107.12783336639404</v>
      </c>
      <c r="AQ37" s="11">
        <f t="shared" si="184"/>
        <v>14550</v>
      </c>
      <c r="AR37" s="16">
        <f t="shared" si="184"/>
        <v>350</v>
      </c>
      <c r="AS37" s="16">
        <f t="shared" si="184"/>
        <v>2350</v>
      </c>
      <c r="AT37" s="16">
        <f t="shared" si="184"/>
        <v>107.12783336639404</v>
      </c>
      <c r="AU37" s="7">
        <f t="shared" si="184"/>
        <v>0</v>
      </c>
      <c r="AV37" s="7">
        <f t="shared" si="184"/>
        <v>2.3499999046325684</v>
      </c>
      <c r="AW37" s="7">
        <f t="shared" si="184"/>
        <v>0</v>
      </c>
      <c r="AX37" s="7">
        <f t="shared" si="184"/>
        <v>-2645.2</v>
      </c>
      <c r="AY37" s="11">
        <f t="shared" si="184"/>
        <v>0</v>
      </c>
      <c r="AZ37" s="16">
        <f t="shared" si="184"/>
        <v>0</v>
      </c>
      <c r="BA37" s="16">
        <f t="shared" si="184"/>
        <v>0</v>
      </c>
      <c r="BB37" s="16">
        <f t="shared" si="184"/>
        <v>0</v>
      </c>
      <c r="BC37" s="11">
        <f t="shared" si="184"/>
        <v>0</v>
      </c>
      <c r="BD37" s="11">
        <f t="shared" si="184"/>
        <v>0</v>
      </c>
      <c r="BE37" s="11">
        <f t="shared" si="184"/>
        <v>0</v>
      </c>
      <c r="BF37" s="11">
        <f t="shared" si="184"/>
        <v>0</v>
      </c>
      <c r="BG37" s="11">
        <f t="shared" si="184"/>
        <v>0</v>
      </c>
      <c r="BH37" s="11">
        <f t="shared" si="184"/>
        <v>0</v>
      </c>
      <c r="BI37" s="13">
        <f t="shared" si="184"/>
        <v>0</v>
      </c>
      <c r="BJ37" s="13">
        <f t="shared" si="184"/>
        <v>0</v>
      </c>
      <c r="BK37" s="11">
        <f t="shared" si="184"/>
        <v>0</v>
      </c>
      <c r="BL37" s="12">
        <f t="shared" si="184"/>
        <v>0</v>
      </c>
      <c r="BM37" s="12">
        <f t="shared" si="184"/>
        <v>0</v>
      </c>
      <c r="BN37" s="13">
        <f t="shared" si="184"/>
        <v>0</v>
      </c>
      <c r="BO37" s="13">
        <f t="shared" si="184"/>
        <v>0</v>
      </c>
      <c r="BP37" s="15">
        <f t="shared" si="184"/>
        <v>0</v>
      </c>
      <c r="BQ37" s="15">
        <f t="shared" si="184"/>
        <v>0</v>
      </c>
      <c r="BR37" s="14">
        <f t="shared" si="184"/>
        <v>0</v>
      </c>
      <c r="BS37" s="14">
        <f t="shared" si="184"/>
        <v>0</v>
      </c>
      <c r="BT37" s="14">
        <f t="shared" si="184"/>
        <v>0</v>
      </c>
      <c r="BU37" s="14">
        <f t="shared" si="184"/>
        <v>0</v>
      </c>
      <c r="BV37" s="11">
        <f t="shared" si="184"/>
        <v>0</v>
      </c>
      <c r="BW37" s="11">
        <f t="shared" si="184"/>
        <v>0</v>
      </c>
      <c r="BX37" s="11">
        <f t="shared" si="184"/>
        <v>0</v>
      </c>
      <c r="BY37" s="11">
        <f t="shared" si="184"/>
        <v>0</v>
      </c>
      <c r="BZ37" s="7">
        <f t="shared" si="184"/>
        <v>0</v>
      </c>
      <c r="CA37" s="7">
        <f t="shared" si="184"/>
        <v>0</v>
      </c>
      <c r="CB37" s="7">
        <f t="shared" ref="CB37:CP37" si="185">IFERROR(VALUE(CB342),"-")</f>
        <v>0</v>
      </c>
      <c r="CC37" s="7">
        <f t="shared" si="185"/>
        <v>0</v>
      </c>
      <c r="CD37" s="7">
        <f t="shared" si="185"/>
        <v>0</v>
      </c>
      <c r="CE37" s="3">
        <f t="shared" si="185"/>
        <v>0</v>
      </c>
      <c r="CF37" s="7">
        <f t="shared" si="185"/>
        <v>0</v>
      </c>
      <c r="CG37" s="3">
        <f t="shared" si="185"/>
        <v>0</v>
      </c>
      <c r="CH37" s="7">
        <f t="shared" si="185"/>
        <v>0</v>
      </c>
      <c r="CI37" s="7">
        <f t="shared" si="185"/>
        <v>2.4000000953674316</v>
      </c>
      <c r="CJ37" s="3">
        <f t="shared" si="185"/>
        <v>50</v>
      </c>
      <c r="CK37" s="7">
        <f t="shared" si="185"/>
        <v>2.2000000476837158</v>
      </c>
      <c r="CL37" s="3">
        <f t="shared" si="185"/>
        <v>75</v>
      </c>
      <c r="CM37" s="7">
        <f t="shared" si="185"/>
        <v>2.6500000953674316</v>
      </c>
      <c r="CN37" s="10">
        <f t="shared" si="185"/>
        <v>44783.636701388888</v>
      </c>
      <c r="CO37" s="10">
        <f t="shared" si="185"/>
        <v>44783.638194444444</v>
      </c>
      <c r="CP37" s="7">
        <f t="shared" si="185"/>
        <v>38295.69921875</v>
      </c>
      <c r="CQ37" s="7" t="str">
        <f t="shared" ref="CQ37" si="186">IFERROR(CQ342,"-")</f>
        <v>FairPrice</v>
      </c>
      <c r="CR37" s="10">
        <f t="shared" si="156"/>
        <v>44783.638194444444</v>
      </c>
      <c r="CS37" s="7">
        <f t="shared" si="156"/>
        <v>3.1232833862304688E-3</v>
      </c>
      <c r="CT37" s="7">
        <f t="shared" si="156"/>
        <v>2.9155583093856942E-5</v>
      </c>
      <c r="CU37" s="7">
        <f t="shared" si="156"/>
        <v>2000</v>
      </c>
      <c r="CV37" s="7">
        <f t="shared" si="156"/>
        <v>0.17499999999999999</v>
      </c>
      <c r="CW37" s="7">
        <f t="shared" si="156"/>
        <v>2.3499999046325684</v>
      </c>
      <c r="CX37" s="7">
        <f t="shared" si="156"/>
        <v>0</v>
      </c>
      <c r="CY37" s="7">
        <f t="shared" si="156"/>
        <v>2645.2</v>
      </c>
      <c r="CZ37" s="7">
        <f t="shared" si="156"/>
        <v>-1</v>
      </c>
      <c r="DA37" s="7">
        <f t="shared" si="156"/>
        <v>0</v>
      </c>
      <c r="DB37" s="7">
        <f t="shared" si="156"/>
        <v>0</v>
      </c>
      <c r="DC37" s="7">
        <f t="shared" si="156"/>
        <v>0</v>
      </c>
      <c r="DD37" s="7">
        <f t="shared" si="156"/>
        <v>0</v>
      </c>
      <c r="DE37" s="7">
        <f t="shared" si="156"/>
        <v>2645.2</v>
      </c>
      <c r="DF37" s="7">
        <f t="shared" si="156"/>
        <v>2.3499999046325684</v>
      </c>
      <c r="DG37" s="7">
        <f t="shared" si="156"/>
        <v>38295.69921875</v>
      </c>
      <c r="DH37" s="7" t="str">
        <f t="shared" ref="DH37:DJ37" si="187">IFERROR(DH342,"-")</f>
        <v>R</v>
      </c>
      <c r="DI37" s="7" t="str">
        <f t="shared" si="187"/>
        <v>W</v>
      </c>
      <c r="DJ37" s="7" t="str">
        <f t="shared" si="187"/>
        <v>G</v>
      </c>
      <c r="DK37" s="64">
        <f t="shared" ref="DK37:DS37" si="188">IFERROR(VALUE(DK342),"-")</f>
        <v>38300</v>
      </c>
      <c r="DL37" s="64">
        <f t="shared" si="188"/>
        <v>3400000</v>
      </c>
      <c r="DM37" s="64">
        <f t="shared" si="188"/>
        <v>38500</v>
      </c>
      <c r="DN37" s="64">
        <f t="shared" si="188"/>
        <v>0</v>
      </c>
      <c r="DO37" s="64">
        <f t="shared" si="188"/>
        <v>24500</v>
      </c>
      <c r="DP37" s="64">
        <f t="shared" si="188"/>
        <v>2863350</v>
      </c>
      <c r="DQ37" s="64">
        <f t="shared" si="188"/>
        <v>38000</v>
      </c>
      <c r="DR37" s="64">
        <f t="shared" si="188"/>
        <v>0</v>
      </c>
      <c r="DS37" s="64">
        <f t="shared" si="188"/>
        <v>24500</v>
      </c>
      <c r="DT37" t="str">
        <f t="shared" si="7"/>
        <v>BANKNIFTY</v>
      </c>
      <c r="DU37" s="10">
        <f t="shared" si="8"/>
        <v>44784</v>
      </c>
    </row>
    <row r="38" spans="1:125" x14ac:dyDescent="0.25">
      <c r="A38" t="s">
        <v>18</v>
      </c>
      <c r="B38" s="2">
        <v>44798</v>
      </c>
      <c r="C38" s="1">
        <v>3500</v>
      </c>
      <c r="D38">
        <v>84</v>
      </c>
      <c r="G38" t="str">
        <f t="array" ref="G38">IFERROR(INDEX($A$2:$A$700,MATCH(0,COUNTIF($G$1:G37,$A$2:$A$700),0)),"")</f>
        <v>BPCL</v>
      </c>
      <c r="M38" s="3"/>
      <c r="N38" s="3"/>
      <c r="O38" s="3">
        <f t="shared" si="9"/>
        <v>33000</v>
      </c>
      <c r="P38" s="7">
        <f t="shared" ref="P38:CA38" si="189">IFERROR(VALUE(P343),"-")</f>
        <v>2.3499999046325684</v>
      </c>
      <c r="Q38" s="7">
        <f t="shared" si="189"/>
        <v>2.0999999046325684</v>
      </c>
      <c r="R38" s="7">
        <f t="shared" si="189"/>
        <v>3.2000000476837158</v>
      </c>
      <c r="S38" s="7">
        <f t="shared" si="189"/>
        <v>2.9000000953674316</v>
      </c>
      <c r="T38" s="11">
        <f t="shared" si="189"/>
        <v>3.8828125</v>
      </c>
      <c r="U38" s="11">
        <f t="shared" si="189"/>
        <v>120357.7890625</v>
      </c>
      <c r="V38" s="11">
        <f t="shared" si="189"/>
        <v>-8.296875</v>
      </c>
      <c r="W38" s="11">
        <f t="shared" si="189"/>
        <v>206244.046875</v>
      </c>
      <c r="X38" s="14">
        <f t="shared" si="189"/>
        <v>4.2382453102618456E-10</v>
      </c>
      <c r="Y38" s="14">
        <f t="shared" si="189"/>
        <v>1.4718274542246945E-5</v>
      </c>
      <c r="Z38" s="14">
        <f t="shared" si="189"/>
        <v>-1.2623786460608244E-9</v>
      </c>
      <c r="AA38" s="14">
        <f t="shared" si="189"/>
        <v>2.877020051528234E-5</v>
      </c>
      <c r="AB38" s="15">
        <f t="shared" si="189"/>
        <v>1.567634910770721E-13</v>
      </c>
      <c r="AC38" s="15">
        <f t="shared" si="189"/>
        <v>-6.3741367739567067E-9</v>
      </c>
      <c r="AD38" s="13">
        <f t="shared" si="189"/>
        <v>9.95635986328125E-4</v>
      </c>
      <c r="AE38" s="13">
        <f t="shared" si="189"/>
        <v>19.271068572998047</v>
      </c>
      <c r="AF38" s="12">
        <f t="shared" si="189"/>
        <v>7.8582763671875E-4</v>
      </c>
      <c r="AG38" s="12">
        <f t="shared" si="189"/>
        <v>-37.669670104980469</v>
      </c>
      <c r="AH38" s="13">
        <f t="shared" si="189"/>
        <v>-8.276401786133647E-11</v>
      </c>
      <c r="AI38" s="13">
        <f t="shared" si="189"/>
        <v>4.956052634952357E-6</v>
      </c>
      <c r="AJ38" s="11">
        <f t="shared" si="189"/>
        <v>-6.0200691223144531E-6</v>
      </c>
      <c r="AK38" s="11">
        <f t="shared" si="189"/>
        <v>0.21535174548625946</v>
      </c>
      <c r="AL38" s="11">
        <f t="shared" si="189"/>
        <v>0</v>
      </c>
      <c r="AM38" s="11">
        <f t="shared" si="189"/>
        <v>-2.3499999046325684</v>
      </c>
      <c r="AN38" s="11">
        <f t="shared" si="189"/>
        <v>2.9802322387695313E-8</v>
      </c>
      <c r="AO38" s="11">
        <f t="shared" si="189"/>
        <v>-3.5317745059728622E-3</v>
      </c>
      <c r="AP38" s="11">
        <f t="shared" si="189"/>
        <v>105.19005060195923</v>
      </c>
      <c r="AQ38" s="11">
        <f t="shared" si="189"/>
        <v>964300</v>
      </c>
      <c r="AR38" s="16">
        <f t="shared" si="189"/>
        <v>56925</v>
      </c>
      <c r="AS38" s="16">
        <f t="shared" si="189"/>
        <v>249700</v>
      </c>
      <c r="AT38" s="16">
        <f t="shared" si="189"/>
        <v>105.19005060195923</v>
      </c>
      <c r="AU38" s="7">
        <f t="shared" si="189"/>
        <v>0</v>
      </c>
      <c r="AV38" s="7">
        <f t="shared" si="189"/>
        <v>2.3499999046325684</v>
      </c>
      <c r="AW38" s="7">
        <f t="shared" si="189"/>
        <v>5114.89990234375</v>
      </c>
      <c r="AX38" s="7">
        <f t="shared" si="189"/>
        <v>0</v>
      </c>
      <c r="AY38" s="11">
        <f t="shared" si="189"/>
        <v>0</v>
      </c>
      <c r="AZ38" s="16">
        <f t="shared" si="189"/>
        <v>100</v>
      </c>
      <c r="BA38" s="16">
        <f t="shared" si="189"/>
        <v>0</v>
      </c>
      <c r="BB38" s="16">
        <f t="shared" si="189"/>
        <v>50</v>
      </c>
      <c r="BC38" s="11">
        <f t="shared" si="189"/>
        <v>0</v>
      </c>
      <c r="BD38" s="11">
        <f t="shared" si="189"/>
        <v>0</v>
      </c>
      <c r="BE38" s="11">
        <f t="shared" si="189"/>
        <v>0</v>
      </c>
      <c r="BF38" s="11">
        <f t="shared" si="189"/>
        <v>0</v>
      </c>
      <c r="BG38" s="11">
        <f t="shared" si="189"/>
        <v>0</v>
      </c>
      <c r="BH38" s="11">
        <f t="shared" si="189"/>
        <v>0</v>
      </c>
      <c r="BI38" s="13">
        <f t="shared" si="189"/>
        <v>0</v>
      </c>
      <c r="BJ38" s="13">
        <f t="shared" si="189"/>
        <v>0</v>
      </c>
      <c r="BK38" s="11">
        <f t="shared" si="189"/>
        <v>0</v>
      </c>
      <c r="BL38" s="12">
        <f t="shared" si="189"/>
        <v>0</v>
      </c>
      <c r="BM38" s="12">
        <f t="shared" si="189"/>
        <v>0</v>
      </c>
      <c r="BN38" s="13">
        <f t="shared" si="189"/>
        <v>0</v>
      </c>
      <c r="BO38" s="13">
        <f t="shared" si="189"/>
        <v>0</v>
      </c>
      <c r="BP38" s="15">
        <f t="shared" si="189"/>
        <v>0</v>
      </c>
      <c r="BQ38" s="15">
        <f t="shared" si="189"/>
        <v>0</v>
      </c>
      <c r="BR38" s="14">
        <f t="shared" si="189"/>
        <v>0</v>
      </c>
      <c r="BS38" s="14">
        <f t="shared" si="189"/>
        <v>0</v>
      </c>
      <c r="BT38" s="14">
        <f t="shared" si="189"/>
        <v>0</v>
      </c>
      <c r="BU38" s="14">
        <f t="shared" si="189"/>
        <v>0</v>
      </c>
      <c r="BV38" s="11">
        <f t="shared" si="189"/>
        <v>0</v>
      </c>
      <c r="BW38" s="11">
        <f t="shared" si="189"/>
        <v>0</v>
      </c>
      <c r="BX38" s="11">
        <f t="shared" si="189"/>
        <v>0</v>
      </c>
      <c r="BY38" s="11">
        <f t="shared" si="189"/>
        <v>0</v>
      </c>
      <c r="BZ38" s="7">
        <f t="shared" si="189"/>
        <v>5252.35009765625</v>
      </c>
      <c r="CA38" s="7">
        <f t="shared" si="189"/>
        <v>5252.35009765625</v>
      </c>
      <c r="CB38" s="7">
        <f t="shared" ref="CB38:CP38" si="190">IFERROR(VALUE(CB343),"-")</f>
        <v>5114.89990234375</v>
      </c>
      <c r="CC38" s="7">
        <f t="shared" si="190"/>
        <v>5114.89990234375</v>
      </c>
      <c r="CD38" s="7">
        <f t="shared" si="190"/>
        <v>5365.35009765625</v>
      </c>
      <c r="CE38" s="3">
        <f t="shared" si="190"/>
        <v>50</v>
      </c>
      <c r="CF38" s="7">
        <f t="shared" si="190"/>
        <v>5255.5498046875</v>
      </c>
      <c r="CG38" s="3">
        <f t="shared" si="190"/>
        <v>50</v>
      </c>
      <c r="CH38" s="7">
        <f t="shared" si="190"/>
        <v>5183.6201171875</v>
      </c>
      <c r="CI38" s="7">
        <f t="shared" si="190"/>
        <v>2.4000000953674316</v>
      </c>
      <c r="CJ38" s="3">
        <f t="shared" si="190"/>
        <v>3200</v>
      </c>
      <c r="CK38" s="7">
        <f t="shared" si="190"/>
        <v>2.2999999523162842</v>
      </c>
      <c r="CL38" s="3">
        <f t="shared" si="190"/>
        <v>800</v>
      </c>
      <c r="CM38" s="7">
        <f t="shared" si="190"/>
        <v>2.7200000286102295</v>
      </c>
      <c r="CN38" s="10">
        <f t="shared" si="190"/>
        <v>44783.638194444444</v>
      </c>
      <c r="CO38" s="10">
        <f t="shared" si="190"/>
        <v>44783.638194444444</v>
      </c>
      <c r="CP38" s="7">
        <f t="shared" si="190"/>
        <v>38295.69921875</v>
      </c>
      <c r="CQ38" s="7" t="str">
        <f t="shared" ref="CQ38" si="191">IFERROR(CQ343,"-")</f>
        <v>FairPrice</v>
      </c>
      <c r="CR38" s="10">
        <f t="shared" si="156"/>
        <v>44783.638194444444</v>
      </c>
      <c r="CS38" s="7">
        <f t="shared" si="156"/>
        <v>3.0994415283203125E-3</v>
      </c>
      <c r="CT38" s="7">
        <f t="shared" si="156"/>
        <v>2.9466026861003424E-5</v>
      </c>
      <c r="CU38" s="7">
        <f t="shared" si="156"/>
        <v>192775</v>
      </c>
      <c r="CV38" s="7">
        <f t="shared" si="156"/>
        <v>0.29529243937232524</v>
      </c>
      <c r="CW38" s="7">
        <f t="shared" si="156"/>
        <v>2.3499999046325684</v>
      </c>
      <c r="CX38" s="7">
        <f t="shared" si="156"/>
        <v>0</v>
      </c>
      <c r="CY38" s="7">
        <f t="shared" si="156"/>
        <v>5114.89990234375</v>
      </c>
      <c r="CZ38" s="7">
        <f t="shared" si="156"/>
        <v>0</v>
      </c>
      <c r="DA38" s="7">
        <f t="shared" si="156"/>
        <v>100</v>
      </c>
      <c r="DB38" s="7">
        <f t="shared" si="156"/>
        <v>0</v>
      </c>
      <c r="DC38" s="7">
        <f t="shared" si="156"/>
        <v>0</v>
      </c>
      <c r="DD38" s="7">
        <f t="shared" si="156"/>
        <v>0</v>
      </c>
      <c r="DE38" s="7">
        <f t="shared" si="156"/>
        <v>5114.89990234375</v>
      </c>
      <c r="DF38" s="7">
        <f t="shared" si="156"/>
        <v>2.3499999046325684</v>
      </c>
      <c r="DG38" s="7">
        <f t="shared" si="156"/>
        <v>38295.69921875</v>
      </c>
      <c r="DH38" s="7" t="str">
        <f t="shared" ref="DH38:DJ38" si="192">IFERROR(DH343,"-")</f>
        <v>W</v>
      </c>
      <c r="DI38" s="7" t="str">
        <f t="shared" si="192"/>
        <v>W</v>
      </c>
      <c r="DJ38" s="7" t="str">
        <f t="shared" si="192"/>
        <v>G</v>
      </c>
      <c r="DK38" s="64">
        <f t="shared" ref="DK38:DS38" si="193">IFERROR(VALUE(DK343),"-")</f>
        <v>38300</v>
      </c>
      <c r="DL38" s="64">
        <f t="shared" si="193"/>
        <v>3400000</v>
      </c>
      <c r="DM38" s="64">
        <f t="shared" si="193"/>
        <v>38500</v>
      </c>
      <c r="DN38" s="64">
        <f t="shared" si="193"/>
        <v>0</v>
      </c>
      <c r="DO38" s="64">
        <f t="shared" si="193"/>
        <v>24500</v>
      </c>
      <c r="DP38" s="64">
        <f t="shared" si="193"/>
        <v>2863350</v>
      </c>
      <c r="DQ38" s="64">
        <f t="shared" si="193"/>
        <v>38000</v>
      </c>
      <c r="DR38" s="64">
        <f t="shared" si="193"/>
        <v>0</v>
      </c>
      <c r="DS38" s="64">
        <f t="shared" si="193"/>
        <v>24500</v>
      </c>
      <c r="DT38" t="str">
        <f t="shared" si="7"/>
        <v>BANKNIFTY</v>
      </c>
      <c r="DU38" s="10">
        <f t="shared" si="8"/>
        <v>44784</v>
      </c>
    </row>
    <row r="39" spans="1:125" x14ac:dyDescent="0.25">
      <c r="A39" t="s">
        <v>18</v>
      </c>
      <c r="B39" s="2">
        <v>44833</v>
      </c>
      <c r="C39" s="1">
        <v>3500</v>
      </c>
      <c r="D39">
        <v>84</v>
      </c>
      <c r="G39" t="str">
        <f t="array" ref="G39">IFERROR(INDEX($A$2:$A$700,MATCH(0,COUNTIF($G$1:G38,$A$2:$A$700),0)),"")</f>
        <v>BRITANNIA</v>
      </c>
      <c r="M39" s="3"/>
      <c r="N39" s="3"/>
      <c r="O39" s="3">
        <f t="shared" si="9"/>
        <v>33100</v>
      </c>
      <c r="P39" s="7">
        <f t="shared" ref="P39:CA39" si="194">IFERROR(VALUE(P344),"-")</f>
        <v>2.5</v>
      </c>
      <c r="Q39" s="7">
        <f t="shared" si="194"/>
        <v>2.0499999523162842</v>
      </c>
      <c r="R39" s="7">
        <f t="shared" si="194"/>
        <v>3.3499999046325684</v>
      </c>
      <c r="S39" s="7">
        <f t="shared" si="194"/>
        <v>3.3499999046325684</v>
      </c>
      <c r="T39" s="11">
        <f t="shared" si="194"/>
        <v>15.640625</v>
      </c>
      <c r="U39" s="11">
        <f t="shared" si="194"/>
        <v>111564.4375</v>
      </c>
      <c r="V39" s="11">
        <f t="shared" si="194"/>
        <v>-1.796875</v>
      </c>
      <c r="W39" s="11">
        <f t="shared" si="194"/>
        <v>193110.171875</v>
      </c>
      <c r="X39" s="14">
        <f t="shared" si="194"/>
        <v>-1.824446371756494E-9</v>
      </c>
      <c r="Y39" s="14">
        <f t="shared" si="194"/>
        <v>1.5525964045082219E-5</v>
      </c>
      <c r="Z39" s="14">
        <f t="shared" si="194"/>
        <v>-8.2873157225549221E-9</v>
      </c>
      <c r="AA39" s="14">
        <f t="shared" si="194"/>
        <v>3.0720515496795997E-5</v>
      </c>
      <c r="AB39" s="15">
        <f t="shared" si="194"/>
        <v>1.8927082123809669E-12</v>
      </c>
      <c r="AC39" s="15">
        <f t="shared" si="194"/>
        <v>-6.8822623155995188E-9</v>
      </c>
      <c r="AD39" s="13">
        <f t="shared" si="194"/>
        <v>2.4871826171875E-3</v>
      </c>
      <c r="AE39" s="13">
        <f t="shared" si="194"/>
        <v>17.977180480957031</v>
      </c>
      <c r="AF39" s="12">
        <f t="shared" si="194"/>
        <v>4.92095947265625E-4</v>
      </c>
      <c r="AG39" s="12">
        <f t="shared" si="194"/>
        <v>-35.570625305175781</v>
      </c>
      <c r="AH39" s="13">
        <f t="shared" si="194"/>
        <v>-9.9498720373958349E-10</v>
      </c>
      <c r="AI39" s="13">
        <f t="shared" si="194"/>
        <v>5.3321955419960432E-6</v>
      </c>
      <c r="AJ39" s="11">
        <f t="shared" si="194"/>
        <v>-2.1070241928100586E-5</v>
      </c>
      <c r="AK39" s="11">
        <f t="shared" si="194"/>
        <v>0.22891333699226379</v>
      </c>
      <c r="AL39" s="11">
        <f t="shared" si="194"/>
        <v>0</v>
      </c>
      <c r="AM39" s="11">
        <f t="shared" si="194"/>
        <v>-2.5</v>
      </c>
      <c r="AN39" s="11">
        <f t="shared" si="194"/>
        <v>3.5762786865234375E-7</v>
      </c>
      <c r="AO39" s="11">
        <f t="shared" si="194"/>
        <v>-3.7804476451128721E-3</v>
      </c>
      <c r="AP39" s="11">
        <f t="shared" si="194"/>
        <v>103.92248630523682</v>
      </c>
      <c r="AQ39" s="11">
        <f t="shared" si="194"/>
        <v>38675</v>
      </c>
      <c r="AR39" s="16">
        <f t="shared" si="194"/>
        <v>175</v>
      </c>
      <c r="AS39" s="16">
        <f t="shared" si="194"/>
        <v>2300</v>
      </c>
      <c r="AT39" s="16">
        <f t="shared" si="194"/>
        <v>103.92248630523682</v>
      </c>
      <c r="AU39" s="7">
        <f t="shared" si="194"/>
        <v>0</v>
      </c>
      <c r="AV39" s="7">
        <f t="shared" si="194"/>
        <v>2.5</v>
      </c>
      <c r="AW39" s="7">
        <f t="shared" si="194"/>
        <v>0</v>
      </c>
      <c r="AX39" s="7">
        <f t="shared" si="194"/>
        <v>0</v>
      </c>
      <c r="AY39" s="11">
        <f t="shared" si="194"/>
        <v>0</v>
      </c>
      <c r="AZ39" s="16">
        <f t="shared" si="194"/>
        <v>0</v>
      </c>
      <c r="BA39" s="16">
        <f t="shared" si="194"/>
        <v>0</v>
      </c>
      <c r="BB39" s="16">
        <f t="shared" si="194"/>
        <v>0</v>
      </c>
      <c r="BC39" s="11">
        <f t="shared" si="194"/>
        <v>0</v>
      </c>
      <c r="BD39" s="11">
        <f t="shared" si="194"/>
        <v>0</v>
      </c>
      <c r="BE39" s="11">
        <f t="shared" si="194"/>
        <v>0</v>
      </c>
      <c r="BF39" s="11">
        <f t="shared" si="194"/>
        <v>0</v>
      </c>
      <c r="BG39" s="11">
        <f t="shared" si="194"/>
        <v>0</v>
      </c>
      <c r="BH39" s="11">
        <f t="shared" si="194"/>
        <v>0</v>
      </c>
      <c r="BI39" s="13">
        <f t="shared" si="194"/>
        <v>0</v>
      </c>
      <c r="BJ39" s="13">
        <f t="shared" si="194"/>
        <v>0</v>
      </c>
      <c r="BK39" s="11">
        <f t="shared" si="194"/>
        <v>0</v>
      </c>
      <c r="BL39" s="12">
        <f t="shared" si="194"/>
        <v>0</v>
      </c>
      <c r="BM39" s="12">
        <f t="shared" si="194"/>
        <v>0</v>
      </c>
      <c r="BN39" s="13">
        <f t="shared" si="194"/>
        <v>0</v>
      </c>
      <c r="BO39" s="13">
        <f t="shared" si="194"/>
        <v>0</v>
      </c>
      <c r="BP39" s="15">
        <f t="shared" si="194"/>
        <v>0</v>
      </c>
      <c r="BQ39" s="15">
        <f t="shared" si="194"/>
        <v>0</v>
      </c>
      <c r="BR39" s="14">
        <f t="shared" si="194"/>
        <v>0</v>
      </c>
      <c r="BS39" s="14">
        <f t="shared" si="194"/>
        <v>0</v>
      </c>
      <c r="BT39" s="14">
        <f t="shared" si="194"/>
        <v>0</v>
      </c>
      <c r="BU39" s="14">
        <f t="shared" si="194"/>
        <v>0</v>
      </c>
      <c r="BV39" s="11">
        <f t="shared" si="194"/>
        <v>0</v>
      </c>
      <c r="BW39" s="11">
        <f t="shared" si="194"/>
        <v>0</v>
      </c>
      <c r="BX39" s="11">
        <f t="shared" si="194"/>
        <v>0</v>
      </c>
      <c r="BY39" s="11">
        <f t="shared" si="194"/>
        <v>0</v>
      </c>
      <c r="BZ39" s="7">
        <f t="shared" si="194"/>
        <v>0</v>
      </c>
      <c r="CA39" s="7">
        <f t="shared" si="194"/>
        <v>0</v>
      </c>
      <c r="CB39" s="7">
        <f t="shared" ref="CB39:CP39" si="195">IFERROR(VALUE(CB344),"-")</f>
        <v>0</v>
      </c>
      <c r="CC39" s="7">
        <f t="shared" si="195"/>
        <v>0</v>
      </c>
      <c r="CD39" s="7">
        <f t="shared" si="195"/>
        <v>5304.39990234375</v>
      </c>
      <c r="CE39" s="3">
        <f t="shared" si="195"/>
        <v>750</v>
      </c>
      <c r="CF39" s="7">
        <f t="shared" si="195"/>
        <v>5036.7001953125</v>
      </c>
      <c r="CG39" s="3">
        <f t="shared" si="195"/>
        <v>750</v>
      </c>
      <c r="CH39" s="7">
        <f t="shared" si="195"/>
        <v>0</v>
      </c>
      <c r="CI39" s="7">
        <f t="shared" si="195"/>
        <v>2.5</v>
      </c>
      <c r="CJ39" s="3">
        <f t="shared" si="195"/>
        <v>25</v>
      </c>
      <c r="CK39" s="7">
        <f t="shared" si="195"/>
        <v>2.2999999523162842</v>
      </c>
      <c r="CL39" s="3">
        <f t="shared" si="195"/>
        <v>325</v>
      </c>
      <c r="CM39" s="7">
        <f t="shared" si="195"/>
        <v>2.8199999332427979</v>
      </c>
      <c r="CN39" s="10">
        <f t="shared" si="195"/>
        <v>44783.638194444444</v>
      </c>
      <c r="CO39" s="10">
        <f t="shared" si="195"/>
        <v>44783.638194444444</v>
      </c>
      <c r="CP39" s="7">
        <f t="shared" si="195"/>
        <v>38295.69921875</v>
      </c>
      <c r="CQ39" s="7" t="str">
        <f t="shared" ref="CQ39" si="196">IFERROR(CQ344,"-")</f>
        <v>FairPrice</v>
      </c>
      <c r="CR39" s="10">
        <f t="shared" si="156"/>
        <v>44783.638194444444</v>
      </c>
      <c r="CS39" s="7">
        <f t="shared" si="156"/>
        <v>1.1324882507324219E-2</v>
      </c>
      <c r="CT39" s="7">
        <f t="shared" si="156"/>
        <v>1.0898619890554911E-4</v>
      </c>
      <c r="CU39" s="7">
        <f t="shared" si="156"/>
        <v>2125</v>
      </c>
      <c r="CV39" s="7">
        <f t="shared" si="156"/>
        <v>8.2352941176470587E-2</v>
      </c>
      <c r="CW39" s="7">
        <f t="shared" si="156"/>
        <v>2.5</v>
      </c>
      <c r="CX39" s="7">
        <f t="shared" si="156"/>
        <v>0</v>
      </c>
      <c r="CY39" s="7">
        <f t="shared" si="156"/>
        <v>0</v>
      </c>
      <c r="CZ39" s="7">
        <f t="shared" si="156"/>
        <v>0</v>
      </c>
      <c r="DA39" s="7">
        <f t="shared" si="156"/>
        <v>0</v>
      </c>
      <c r="DB39" s="7">
        <f t="shared" si="156"/>
        <v>0</v>
      </c>
      <c r="DC39" s="7">
        <f t="shared" si="156"/>
        <v>0</v>
      </c>
      <c r="DD39" s="7">
        <f t="shared" si="156"/>
        <v>0</v>
      </c>
      <c r="DE39" s="7">
        <f t="shared" si="156"/>
        <v>0</v>
      </c>
      <c r="DF39" s="7">
        <f t="shared" si="156"/>
        <v>2.5</v>
      </c>
      <c r="DG39" s="7">
        <f t="shared" si="156"/>
        <v>38295.69921875</v>
      </c>
      <c r="DH39" s="7" t="str">
        <f t="shared" ref="DH39:DJ39" si="197">IFERROR(DH344,"-")</f>
        <v>W</v>
      </c>
      <c r="DI39" s="7" t="str">
        <f t="shared" si="197"/>
        <v>W</v>
      </c>
      <c r="DJ39" s="7" t="str">
        <f t="shared" si="197"/>
        <v>G</v>
      </c>
      <c r="DK39" s="64">
        <f t="shared" ref="DK39:DS39" si="198">IFERROR(VALUE(DK344),"-")</f>
        <v>38300</v>
      </c>
      <c r="DL39" s="64">
        <f t="shared" si="198"/>
        <v>3400000</v>
      </c>
      <c r="DM39" s="64">
        <f t="shared" si="198"/>
        <v>38500</v>
      </c>
      <c r="DN39" s="64">
        <f t="shared" si="198"/>
        <v>0</v>
      </c>
      <c r="DO39" s="64">
        <f t="shared" si="198"/>
        <v>24500</v>
      </c>
      <c r="DP39" s="64">
        <f t="shared" si="198"/>
        <v>2863350</v>
      </c>
      <c r="DQ39" s="64">
        <f t="shared" si="198"/>
        <v>38000</v>
      </c>
      <c r="DR39" s="64">
        <f t="shared" si="198"/>
        <v>0</v>
      </c>
      <c r="DS39" s="64">
        <f t="shared" si="198"/>
        <v>24500</v>
      </c>
      <c r="DT39" t="str">
        <f t="shared" si="7"/>
        <v>BANKNIFTY</v>
      </c>
      <c r="DU39" s="10">
        <f t="shared" si="8"/>
        <v>44784</v>
      </c>
    </row>
    <row r="40" spans="1:125" x14ac:dyDescent="0.25">
      <c r="A40" t="s">
        <v>18</v>
      </c>
      <c r="B40" s="2">
        <v>44861</v>
      </c>
      <c r="C40" s="1">
        <v>3500</v>
      </c>
      <c r="D40">
        <v>84</v>
      </c>
      <c r="G40" t="str">
        <f t="array" ref="G40">IFERROR(INDEX($A$2:$A$700,MATCH(0,COUNTIF($G$1:G39,$A$2:$A$700),0)),"")</f>
        <v>BSOFT</v>
      </c>
      <c r="M40" s="3"/>
      <c r="N40" s="3"/>
      <c r="O40" s="3">
        <f t="shared" si="9"/>
        <v>33200</v>
      </c>
      <c r="P40" s="7">
        <f t="shared" ref="P40:CA40" si="199">IFERROR(VALUE(P345),"-")</f>
        <v>2.25</v>
      </c>
      <c r="Q40" s="7">
        <f t="shared" si="199"/>
        <v>2.0999999046325684</v>
      </c>
      <c r="R40" s="7">
        <f t="shared" si="199"/>
        <v>3.3499999046325684</v>
      </c>
      <c r="S40" s="7">
        <f t="shared" si="199"/>
        <v>3</v>
      </c>
      <c r="T40" s="11">
        <f t="shared" si="199"/>
        <v>-53.125</v>
      </c>
      <c r="U40" s="11">
        <f t="shared" si="199"/>
        <v>120551.578125</v>
      </c>
      <c r="V40" s="11">
        <f t="shared" si="199"/>
        <v>-101.09375</v>
      </c>
      <c r="W40" s="11">
        <f t="shared" si="199"/>
        <v>215463.015625</v>
      </c>
      <c r="X40" s="14">
        <f t="shared" si="199"/>
        <v>1.7036654753610492E-8</v>
      </c>
      <c r="Y40" s="14">
        <f t="shared" si="199"/>
        <v>1.5357945812866092E-5</v>
      </c>
      <c r="Z40" s="14">
        <f t="shared" si="199"/>
        <v>3.4262484405189753E-8</v>
      </c>
      <c r="AA40" s="14">
        <f t="shared" si="199"/>
        <v>3.1307976314565167E-5</v>
      </c>
      <c r="AB40" s="15">
        <f t="shared" si="199"/>
        <v>-9.5332630678512942E-12</v>
      </c>
      <c r="AC40" s="15">
        <f t="shared" si="199"/>
        <v>-6.9227126253679216E-9</v>
      </c>
      <c r="AD40" s="13">
        <f t="shared" si="199"/>
        <v>-3.3550262451171875E-3</v>
      </c>
      <c r="AE40" s="13">
        <f t="shared" si="199"/>
        <v>19.302854537963867</v>
      </c>
      <c r="AF40" s="12">
        <f t="shared" si="199"/>
        <v>7.42340087890625E-3</v>
      </c>
      <c r="AG40" s="12">
        <f t="shared" si="199"/>
        <v>-39.349880218505859</v>
      </c>
      <c r="AH40" s="13">
        <f t="shared" si="199"/>
        <v>4.8257788876071572E-9</v>
      </c>
      <c r="AI40" s="13">
        <f t="shared" si="199"/>
        <v>5.165074526303215E-6</v>
      </c>
      <c r="AJ40" s="11">
        <f t="shared" si="199"/>
        <v>4.3809413909912109E-5</v>
      </c>
      <c r="AK40" s="11">
        <f t="shared" si="199"/>
        <v>0.21520429849624634</v>
      </c>
      <c r="AL40" s="11">
        <f t="shared" si="199"/>
        <v>0</v>
      </c>
      <c r="AM40" s="11">
        <f t="shared" si="199"/>
        <v>-2.25</v>
      </c>
      <c r="AN40" s="11">
        <f t="shared" si="199"/>
        <v>-1.6714911907911301E-6</v>
      </c>
      <c r="AO40" s="11">
        <f t="shared" si="199"/>
        <v>-3.5290918312966824E-3</v>
      </c>
      <c r="AP40" s="11">
        <f t="shared" si="199"/>
        <v>100.86461305618286</v>
      </c>
      <c r="AQ40" s="11">
        <f t="shared" si="199"/>
        <v>45725</v>
      </c>
      <c r="AR40" s="16">
        <f t="shared" si="199"/>
        <v>-4150</v>
      </c>
      <c r="AS40" s="16">
        <f t="shared" si="199"/>
        <v>4900</v>
      </c>
      <c r="AT40" s="16">
        <f t="shared" si="199"/>
        <v>100.86461305618286</v>
      </c>
      <c r="AU40" s="7">
        <f t="shared" si="199"/>
        <v>0</v>
      </c>
      <c r="AV40" s="7">
        <f t="shared" si="199"/>
        <v>2.25</v>
      </c>
      <c r="AW40" s="7">
        <f t="shared" si="199"/>
        <v>0</v>
      </c>
      <c r="AX40" s="7">
        <f t="shared" si="199"/>
        <v>0</v>
      </c>
      <c r="AY40" s="11">
        <f t="shared" si="199"/>
        <v>0</v>
      </c>
      <c r="AZ40" s="16">
        <f t="shared" si="199"/>
        <v>0</v>
      </c>
      <c r="BA40" s="16">
        <f t="shared" si="199"/>
        <v>0</v>
      </c>
      <c r="BB40" s="16">
        <f t="shared" si="199"/>
        <v>0</v>
      </c>
      <c r="BC40" s="11">
        <f t="shared" si="199"/>
        <v>0</v>
      </c>
      <c r="BD40" s="11">
        <f t="shared" si="199"/>
        <v>0</v>
      </c>
      <c r="BE40" s="11">
        <f t="shared" si="199"/>
        <v>0</v>
      </c>
      <c r="BF40" s="11">
        <f t="shared" si="199"/>
        <v>0</v>
      </c>
      <c r="BG40" s="11">
        <f t="shared" si="199"/>
        <v>0</v>
      </c>
      <c r="BH40" s="11">
        <f t="shared" si="199"/>
        <v>0</v>
      </c>
      <c r="BI40" s="13">
        <f t="shared" si="199"/>
        <v>0</v>
      </c>
      <c r="BJ40" s="13">
        <f t="shared" si="199"/>
        <v>0</v>
      </c>
      <c r="BK40" s="11">
        <f t="shared" si="199"/>
        <v>0</v>
      </c>
      <c r="BL40" s="12">
        <f t="shared" si="199"/>
        <v>0</v>
      </c>
      <c r="BM40" s="12">
        <f t="shared" si="199"/>
        <v>0</v>
      </c>
      <c r="BN40" s="13">
        <f t="shared" si="199"/>
        <v>0</v>
      </c>
      <c r="BO40" s="13">
        <f t="shared" si="199"/>
        <v>0</v>
      </c>
      <c r="BP40" s="15">
        <f t="shared" si="199"/>
        <v>0</v>
      </c>
      <c r="BQ40" s="15">
        <f t="shared" si="199"/>
        <v>0</v>
      </c>
      <c r="BR40" s="14">
        <f t="shared" si="199"/>
        <v>0</v>
      </c>
      <c r="BS40" s="14">
        <f t="shared" si="199"/>
        <v>0</v>
      </c>
      <c r="BT40" s="14">
        <f t="shared" si="199"/>
        <v>0</v>
      </c>
      <c r="BU40" s="14">
        <f t="shared" si="199"/>
        <v>0</v>
      </c>
      <c r="BV40" s="11">
        <f t="shared" si="199"/>
        <v>0</v>
      </c>
      <c r="BW40" s="11">
        <f t="shared" si="199"/>
        <v>0</v>
      </c>
      <c r="BX40" s="11">
        <f t="shared" si="199"/>
        <v>0</v>
      </c>
      <c r="BY40" s="11">
        <f t="shared" si="199"/>
        <v>0</v>
      </c>
      <c r="BZ40" s="7">
        <f t="shared" si="199"/>
        <v>0</v>
      </c>
      <c r="CA40" s="7">
        <f t="shared" si="199"/>
        <v>0</v>
      </c>
      <c r="CB40" s="7">
        <f t="shared" ref="CB40:CP40" si="200">IFERROR(VALUE(CB345),"-")</f>
        <v>0</v>
      </c>
      <c r="CC40" s="7">
        <f t="shared" si="200"/>
        <v>0</v>
      </c>
      <c r="CD40" s="7">
        <f t="shared" si="200"/>
        <v>5233.75</v>
      </c>
      <c r="CE40" s="3">
        <f t="shared" si="200"/>
        <v>750</v>
      </c>
      <c r="CF40" s="7">
        <f t="shared" si="200"/>
        <v>4946.14990234375</v>
      </c>
      <c r="CG40" s="3">
        <f t="shared" si="200"/>
        <v>1950</v>
      </c>
      <c r="CH40" s="7">
        <f t="shared" si="200"/>
        <v>0</v>
      </c>
      <c r="CI40" s="7">
        <f t="shared" si="200"/>
        <v>2.8499999046325684</v>
      </c>
      <c r="CJ40" s="3">
        <f t="shared" si="200"/>
        <v>75</v>
      </c>
      <c r="CK40" s="7">
        <f t="shared" si="200"/>
        <v>2.2999999523162842</v>
      </c>
      <c r="CL40" s="3">
        <f t="shared" si="200"/>
        <v>375</v>
      </c>
      <c r="CM40" s="7">
        <f t="shared" si="200"/>
        <v>2.7899999618530273</v>
      </c>
      <c r="CN40" s="10">
        <f t="shared" si="200"/>
        <v>44783.638194444444</v>
      </c>
      <c r="CO40" s="10">
        <f t="shared" si="200"/>
        <v>44783.638194444444</v>
      </c>
      <c r="CP40" s="7">
        <f t="shared" si="200"/>
        <v>38295.69921875</v>
      </c>
      <c r="CQ40" s="7" t="str">
        <f t="shared" ref="CQ40" si="201">IFERROR(CQ345,"-")</f>
        <v>FairPrice</v>
      </c>
      <c r="CR40" s="10">
        <f t="shared" si="156"/>
        <v>44783.638194444444</v>
      </c>
      <c r="CS40" s="7">
        <f t="shared" si="156"/>
        <v>-2.9003620147705078E-2</v>
      </c>
      <c r="CT40" s="7">
        <f t="shared" si="156"/>
        <v>-2.87467345340087E-4</v>
      </c>
      <c r="CU40" s="7">
        <f t="shared" si="156"/>
        <v>9050</v>
      </c>
      <c r="CV40" s="7">
        <f t="shared" si="156"/>
        <v>-0.4585635359116022</v>
      </c>
      <c r="CW40" s="7">
        <f t="shared" si="156"/>
        <v>2.25</v>
      </c>
      <c r="CX40" s="7">
        <f t="shared" si="156"/>
        <v>0</v>
      </c>
      <c r="CY40" s="7">
        <f t="shared" si="156"/>
        <v>0</v>
      </c>
      <c r="CZ40" s="7">
        <f t="shared" si="156"/>
        <v>0</v>
      </c>
      <c r="DA40" s="7">
        <f t="shared" si="156"/>
        <v>0</v>
      </c>
      <c r="DB40" s="7">
        <f t="shared" si="156"/>
        <v>0</v>
      </c>
      <c r="DC40" s="7">
        <f t="shared" si="156"/>
        <v>0</v>
      </c>
      <c r="DD40" s="7">
        <f t="shared" si="156"/>
        <v>0</v>
      </c>
      <c r="DE40" s="7">
        <f t="shared" si="156"/>
        <v>0</v>
      </c>
      <c r="DF40" s="7">
        <f t="shared" si="156"/>
        <v>2.25</v>
      </c>
      <c r="DG40" s="7">
        <f t="shared" si="156"/>
        <v>38295.69921875</v>
      </c>
      <c r="DH40" s="7" t="str">
        <f t="shared" ref="DH40:DJ40" si="202">IFERROR(DH345,"-")</f>
        <v>W</v>
      </c>
      <c r="DI40" s="7" t="str">
        <f t="shared" si="202"/>
        <v>W</v>
      </c>
      <c r="DJ40" s="7" t="str">
        <f t="shared" si="202"/>
        <v>G</v>
      </c>
      <c r="DK40" s="64">
        <f t="shared" ref="DK40:DS40" si="203">IFERROR(VALUE(DK345),"-")</f>
        <v>38300</v>
      </c>
      <c r="DL40" s="64">
        <f t="shared" si="203"/>
        <v>3400000</v>
      </c>
      <c r="DM40" s="64">
        <f t="shared" si="203"/>
        <v>38500</v>
      </c>
      <c r="DN40" s="64">
        <f t="shared" si="203"/>
        <v>0</v>
      </c>
      <c r="DO40" s="64">
        <f t="shared" si="203"/>
        <v>24500</v>
      </c>
      <c r="DP40" s="64">
        <f t="shared" si="203"/>
        <v>2863350</v>
      </c>
      <c r="DQ40" s="64">
        <f t="shared" si="203"/>
        <v>38000</v>
      </c>
      <c r="DR40" s="64">
        <f t="shared" si="203"/>
        <v>0</v>
      </c>
      <c r="DS40" s="64">
        <f t="shared" si="203"/>
        <v>24500</v>
      </c>
      <c r="DT40" t="str">
        <f t="shared" si="7"/>
        <v>BANKNIFTY</v>
      </c>
      <c r="DU40" s="10">
        <f t="shared" si="8"/>
        <v>44784</v>
      </c>
    </row>
    <row r="41" spans="1:125" x14ac:dyDescent="0.25">
      <c r="A41" t="s">
        <v>19</v>
      </c>
      <c r="B41" s="2">
        <v>44798</v>
      </c>
      <c r="C41" s="1">
        <v>5000</v>
      </c>
      <c r="D41">
        <v>51</v>
      </c>
      <c r="G41" t="str">
        <f t="array" ref="G41">IFERROR(INDEX($A$2:$A$700,MATCH(0,COUNTIF($G$1:G40,$A$2:$A$700),0)),"")</f>
        <v>CANBK</v>
      </c>
      <c r="M41" s="3"/>
      <c r="N41" s="3"/>
      <c r="O41" s="3">
        <f t="shared" si="9"/>
        <v>33300</v>
      </c>
      <c r="P41" s="7">
        <f t="shared" ref="P41:CA41" si="204">IFERROR(VALUE(P346),"-")</f>
        <v>2.5</v>
      </c>
      <c r="Q41" s="7">
        <f t="shared" si="204"/>
        <v>2.1500000953674316</v>
      </c>
      <c r="R41" s="7">
        <f t="shared" si="204"/>
        <v>4.3000001907348633</v>
      </c>
      <c r="S41" s="7">
        <f t="shared" si="204"/>
        <v>4.3000001907348633</v>
      </c>
      <c r="T41" s="11">
        <f t="shared" si="204"/>
        <v>15.4609375</v>
      </c>
      <c r="U41" s="11">
        <f t="shared" si="204"/>
        <v>107301.6953125</v>
      </c>
      <c r="V41" s="11">
        <f t="shared" si="204"/>
        <v>-1.734375</v>
      </c>
      <c r="W41" s="11">
        <f t="shared" si="204"/>
        <v>192725.796875</v>
      </c>
      <c r="X41" s="14">
        <f t="shared" si="204"/>
        <v>-2.0263541955500841E-9</v>
      </c>
      <c r="Y41" s="14">
        <f t="shared" si="204"/>
        <v>1.649006298976019E-5</v>
      </c>
      <c r="Z41" s="14">
        <f t="shared" si="204"/>
        <v>-9.4514689408242702E-9</v>
      </c>
      <c r="AA41" s="14">
        <f t="shared" si="204"/>
        <v>3.3891923521878198E-5</v>
      </c>
      <c r="AB41" s="15">
        <f t="shared" si="204"/>
        <v>2.1733725930062064E-12</v>
      </c>
      <c r="AC41" s="15">
        <f t="shared" si="204"/>
        <v>-7.6270945115197719E-9</v>
      </c>
      <c r="AD41" s="13">
        <f t="shared" si="204"/>
        <v>2.460479736328125E-3</v>
      </c>
      <c r="AE41" s="13">
        <f t="shared" si="204"/>
        <v>17.350181579589844</v>
      </c>
      <c r="AF41" s="12">
        <f t="shared" si="204"/>
        <v>5.035400390625E-4</v>
      </c>
      <c r="AG41" s="12">
        <f t="shared" si="204"/>
        <v>-35.659721374511719</v>
      </c>
      <c r="AH41" s="13">
        <f t="shared" si="204"/>
        <v>-1.1054908100049943E-9</v>
      </c>
      <c r="AI41" s="13">
        <f t="shared" si="204"/>
        <v>5.7178740462404676E-6</v>
      </c>
      <c r="AJ41" s="11">
        <f t="shared" si="204"/>
        <v>-2.2456049919128418E-5</v>
      </c>
      <c r="AK41" s="11">
        <f t="shared" si="204"/>
        <v>0.23629692196846008</v>
      </c>
      <c r="AL41" s="11">
        <f t="shared" si="204"/>
        <v>0</v>
      </c>
      <c r="AM41" s="11">
        <f t="shared" si="204"/>
        <v>-2.5</v>
      </c>
      <c r="AN41" s="11">
        <f t="shared" si="204"/>
        <v>3.8370490074157715E-7</v>
      </c>
      <c r="AO41" s="11">
        <f t="shared" si="204"/>
        <v>-3.9168521761894226E-3</v>
      </c>
      <c r="AP41" s="11">
        <f t="shared" si="204"/>
        <v>100.04301071166992</v>
      </c>
      <c r="AQ41" s="11">
        <f t="shared" si="204"/>
        <v>50300</v>
      </c>
      <c r="AR41" s="16">
        <f t="shared" si="204"/>
        <v>-4375</v>
      </c>
      <c r="AS41" s="16">
        <f t="shared" si="204"/>
        <v>6275</v>
      </c>
      <c r="AT41" s="16">
        <f t="shared" si="204"/>
        <v>100.04301071166992</v>
      </c>
      <c r="AU41" s="7">
        <f t="shared" si="204"/>
        <v>0</v>
      </c>
      <c r="AV41" s="7">
        <f t="shared" si="204"/>
        <v>2.5</v>
      </c>
      <c r="AW41" s="7">
        <f t="shared" si="204"/>
        <v>0</v>
      </c>
      <c r="AX41" s="7">
        <f t="shared" si="204"/>
        <v>0</v>
      </c>
      <c r="AY41" s="11">
        <f t="shared" si="204"/>
        <v>0</v>
      </c>
      <c r="AZ41" s="16">
        <f t="shared" si="204"/>
        <v>0</v>
      </c>
      <c r="BA41" s="16">
        <f t="shared" si="204"/>
        <v>0</v>
      </c>
      <c r="BB41" s="16">
        <f t="shared" si="204"/>
        <v>0</v>
      </c>
      <c r="BC41" s="11">
        <f t="shared" si="204"/>
        <v>0</v>
      </c>
      <c r="BD41" s="11">
        <f t="shared" si="204"/>
        <v>0</v>
      </c>
      <c r="BE41" s="11">
        <f t="shared" si="204"/>
        <v>0</v>
      </c>
      <c r="BF41" s="11">
        <f t="shared" si="204"/>
        <v>0</v>
      </c>
      <c r="BG41" s="11">
        <f t="shared" si="204"/>
        <v>0</v>
      </c>
      <c r="BH41" s="11">
        <f t="shared" si="204"/>
        <v>0</v>
      </c>
      <c r="BI41" s="13">
        <f t="shared" si="204"/>
        <v>0</v>
      </c>
      <c r="BJ41" s="13">
        <f t="shared" si="204"/>
        <v>0</v>
      </c>
      <c r="BK41" s="11">
        <f t="shared" si="204"/>
        <v>0</v>
      </c>
      <c r="BL41" s="12">
        <f t="shared" si="204"/>
        <v>0</v>
      </c>
      <c r="BM41" s="12">
        <f t="shared" si="204"/>
        <v>0</v>
      </c>
      <c r="BN41" s="13">
        <f t="shared" si="204"/>
        <v>0</v>
      </c>
      <c r="BO41" s="13">
        <f t="shared" si="204"/>
        <v>0</v>
      </c>
      <c r="BP41" s="15">
        <f t="shared" si="204"/>
        <v>0</v>
      </c>
      <c r="BQ41" s="15">
        <f t="shared" si="204"/>
        <v>0</v>
      </c>
      <c r="BR41" s="14">
        <f t="shared" si="204"/>
        <v>0</v>
      </c>
      <c r="BS41" s="14">
        <f t="shared" si="204"/>
        <v>0</v>
      </c>
      <c r="BT41" s="14">
        <f t="shared" si="204"/>
        <v>0</v>
      </c>
      <c r="BU41" s="14">
        <f t="shared" si="204"/>
        <v>0</v>
      </c>
      <c r="BV41" s="11">
        <f t="shared" si="204"/>
        <v>0</v>
      </c>
      <c r="BW41" s="11">
        <f t="shared" si="204"/>
        <v>0</v>
      </c>
      <c r="BX41" s="11">
        <f t="shared" si="204"/>
        <v>0</v>
      </c>
      <c r="BY41" s="11">
        <f t="shared" si="204"/>
        <v>0</v>
      </c>
      <c r="BZ41" s="7">
        <f t="shared" si="204"/>
        <v>0</v>
      </c>
      <c r="CA41" s="7">
        <f t="shared" si="204"/>
        <v>0</v>
      </c>
      <c r="CB41" s="7">
        <f t="shared" ref="CB41:CP41" si="205">IFERROR(VALUE(CB346),"-")</f>
        <v>0</v>
      </c>
      <c r="CC41" s="7">
        <f t="shared" si="205"/>
        <v>0</v>
      </c>
      <c r="CD41" s="7">
        <f t="shared" si="205"/>
        <v>5101.89990234375</v>
      </c>
      <c r="CE41" s="3">
        <f t="shared" si="205"/>
        <v>750</v>
      </c>
      <c r="CF41" s="7">
        <f t="shared" si="205"/>
        <v>4866.5498046875</v>
      </c>
      <c r="CG41" s="3">
        <f t="shared" si="205"/>
        <v>750</v>
      </c>
      <c r="CH41" s="7">
        <f t="shared" si="205"/>
        <v>0</v>
      </c>
      <c r="CI41" s="7">
        <f t="shared" si="205"/>
        <v>2.5</v>
      </c>
      <c r="CJ41" s="3">
        <f t="shared" si="205"/>
        <v>25</v>
      </c>
      <c r="CK41" s="7">
        <f t="shared" si="205"/>
        <v>2.4500000476837158</v>
      </c>
      <c r="CL41" s="3">
        <f t="shared" si="205"/>
        <v>50</v>
      </c>
      <c r="CM41" s="7">
        <f t="shared" si="205"/>
        <v>2.7999999523162842</v>
      </c>
      <c r="CN41" s="10">
        <f t="shared" si="205"/>
        <v>44783.638194444444</v>
      </c>
      <c r="CO41" s="10">
        <f t="shared" si="205"/>
        <v>44783.638194444444</v>
      </c>
      <c r="CP41" s="7">
        <f t="shared" si="205"/>
        <v>38295.69921875</v>
      </c>
      <c r="CQ41" s="7" t="str">
        <f t="shared" ref="CQ41" si="206">IFERROR(CQ346,"-")</f>
        <v>FairPrice</v>
      </c>
      <c r="CR41" s="10">
        <f t="shared" si="156"/>
        <v>44783.638194444444</v>
      </c>
      <c r="CS41" s="7">
        <f t="shared" si="156"/>
        <v>1.1277198791503906E-2</v>
      </c>
      <c r="CT41" s="7">
        <f t="shared" si="156"/>
        <v>1.1273621275444599E-4</v>
      </c>
      <c r="CU41" s="7">
        <f t="shared" si="156"/>
        <v>10650</v>
      </c>
      <c r="CV41" s="7">
        <f t="shared" si="156"/>
        <v>-0.41079812206572769</v>
      </c>
      <c r="CW41" s="7">
        <f t="shared" si="156"/>
        <v>2.5</v>
      </c>
      <c r="CX41" s="7">
        <f t="shared" si="156"/>
        <v>0</v>
      </c>
      <c r="CY41" s="7">
        <f t="shared" si="156"/>
        <v>0</v>
      </c>
      <c r="CZ41" s="7">
        <f t="shared" si="156"/>
        <v>0</v>
      </c>
      <c r="DA41" s="7">
        <f t="shared" si="156"/>
        <v>0</v>
      </c>
      <c r="DB41" s="7">
        <f t="shared" si="156"/>
        <v>0</v>
      </c>
      <c r="DC41" s="7">
        <f t="shared" si="156"/>
        <v>0</v>
      </c>
      <c r="DD41" s="7">
        <f t="shared" si="156"/>
        <v>0</v>
      </c>
      <c r="DE41" s="7">
        <f t="shared" si="156"/>
        <v>0</v>
      </c>
      <c r="DF41" s="7">
        <f t="shared" si="156"/>
        <v>2.5</v>
      </c>
      <c r="DG41" s="7">
        <f t="shared" si="156"/>
        <v>38295.69921875</v>
      </c>
      <c r="DH41" s="7" t="str">
        <f t="shared" ref="DH41:DJ41" si="207">IFERROR(DH346,"-")</f>
        <v>W</v>
      </c>
      <c r="DI41" s="7" t="str">
        <f t="shared" si="207"/>
        <v>W</v>
      </c>
      <c r="DJ41" s="7" t="str">
        <f t="shared" si="207"/>
        <v>G</v>
      </c>
      <c r="DK41" s="64">
        <f t="shared" ref="DK41:DS41" si="208">IFERROR(VALUE(DK346),"-")</f>
        <v>38300</v>
      </c>
      <c r="DL41" s="64">
        <f t="shared" si="208"/>
        <v>3400000</v>
      </c>
      <c r="DM41" s="64">
        <f t="shared" si="208"/>
        <v>38500</v>
      </c>
      <c r="DN41" s="64">
        <f t="shared" si="208"/>
        <v>0</v>
      </c>
      <c r="DO41" s="64">
        <f t="shared" si="208"/>
        <v>24500</v>
      </c>
      <c r="DP41" s="64">
        <f t="shared" si="208"/>
        <v>2863350</v>
      </c>
      <c r="DQ41" s="64">
        <f t="shared" si="208"/>
        <v>38000</v>
      </c>
      <c r="DR41" s="64">
        <f t="shared" si="208"/>
        <v>0</v>
      </c>
      <c r="DS41" s="64">
        <f t="shared" si="208"/>
        <v>24500</v>
      </c>
      <c r="DT41" t="str">
        <f t="shared" si="7"/>
        <v>BANKNIFTY</v>
      </c>
      <c r="DU41" s="10">
        <f t="shared" si="8"/>
        <v>44784</v>
      </c>
    </row>
    <row r="42" spans="1:125" x14ac:dyDescent="0.25">
      <c r="A42" t="s">
        <v>19</v>
      </c>
      <c r="B42" s="2">
        <v>44833</v>
      </c>
      <c r="C42" s="1">
        <v>5000</v>
      </c>
      <c r="D42">
        <v>51</v>
      </c>
      <c r="G42" t="str">
        <f t="array" ref="G42">IFERROR(INDEX($A$2:$A$700,MATCH(0,COUNTIF($G$1:G41,$A$2:$A$700),0)),"")</f>
        <v>CANFINHOME</v>
      </c>
      <c r="M42" s="3"/>
      <c r="N42" s="3"/>
      <c r="O42" s="3">
        <f t="shared" si="9"/>
        <v>33400</v>
      </c>
      <c r="P42" s="7">
        <f t="shared" ref="P42:CA42" si="209">IFERROR(VALUE(P347),"-")</f>
        <v>2.4000000953674316</v>
      </c>
      <c r="Q42" s="7">
        <f t="shared" si="209"/>
        <v>1.5499999523162842</v>
      </c>
      <c r="R42" s="7">
        <f t="shared" si="209"/>
        <v>3.4500000476837158</v>
      </c>
      <c r="S42" s="7">
        <f t="shared" si="209"/>
        <v>2.9000000953674316</v>
      </c>
      <c r="T42" s="11">
        <f t="shared" si="209"/>
        <v>15.953125</v>
      </c>
      <c r="U42" s="11">
        <f t="shared" si="209"/>
        <v>109187.3046875</v>
      </c>
      <c r="V42" s="11">
        <f t="shared" si="209"/>
        <v>-1.796875</v>
      </c>
      <c r="W42" s="11">
        <f t="shared" si="209"/>
        <v>200972.53125</v>
      </c>
      <c r="X42" s="14">
        <f t="shared" si="209"/>
        <v>-2.1136656869202852E-9</v>
      </c>
      <c r="Y42" s="14">
        <f t="shared" si="209"/>
        <v>1.6744221284170635E-5</v>
      </c>
      <c r="Z42" s="14">
        <f t="shared" si="209"/>
        <v>-1.0022631613537669E-8</v>
      </c>
      <c r="AA42" s="14">
        <f t="shared" si="209"/>
        <v>3.5247761843493208E-5</v>
      </c>
      <c r="AB42" s="15">
        <f t="shared" si="209"/>
        <v>2.2959412149248237E-12</v>
      </c>
      <c r="AC42" s="15">
        <f t="shared" si="209"/>
        <v>-7.9029494060023353E-9</v>
      </c>
      <c r="AD42" s="13">
        <f t="shared" si="209"/>
        <v>2.532958984375E-3</v>
      </c>
      <c r="AE42" s="13">
        <f t="shared" si="209"/>
        <v>17.630455017089844</v>
      </c>
      <c r="AF42" s="12">
        <f t="shared" si="209"/>
        <v>5.30242919921875E-4</v>
      </c>
      <c r="AG42" s="12">
        <f t="shared" si="209"/>
        <v>-37.113346099853516</v>
      </c>
      <c r="AH42" s="13">
        <f t="shared" si="209"/>
        <v>-1.1386873666197062E-9</v>
      </c>
      <c r="AI42" s="13">
        <f t="shared" si="209"/>
        <v>5.7767201724345796E-6</v>
      </c>
      <c r="AJ42" s="11">
        <f t="shared" si="209"/>
        <v>-2.2560358047485352E-5</v>
      </c>
      <c r="AK42" s="11">
        <f t="shared" si="209"/>
        <v>0.23310396075248718</v>
      </c>
      <c r="AL42" s="11">
        <f t="shared" si="209"/>
        <v>0</v>
      </c>
      <c r="AM42" s="11">
        <f t="shared" si="209"/>
        <v>-2.4000000953674316</v>
      </c>
      <c r="AN42" s="11">
        <f t="shared" si="209"/>
        <v>3.8533471524715424E-7</v>
      </c>
      <c r="AO42" s="11">
        <f t="shared" si="209"/>
        <v>-3.8577371742576361E-3</v>
      </c>
      <c r="AP42" s="11">
        <f t="shared" si="209"/>
        <v>97.681617736816406</v>
      </c>
      <c r="AQ42" s="11">
        <f t="shared" si="209"/>
        <v>71325</v>
      </c>
      <c r="AR42" s="16">
        <f t="shared" si="209"/>
        <v>-525</v>
      </c>
      <c r="AS42" s="16">
        <f t="shared" si="209"/>
        <v>6775</v>
      </c>
      <c r="AT42" s="16">
        <f t="shared" si="209"/>
        <v>97.681617736816406</v>
      </c>
      <c r="AU42" s="7">
        <f t="shared" si="209"/>
        <v>0</v>
      </c>
      <c r="AV42" s="7">
        <f t="shared" si="209"/>
        <v>2.4000000953674316</v>
      </c>
      <c r="AW42" s="7">
        <f t="shared" si="209"/>
        <v>0</v>
      </c>
      <c r="AX42" s="7">
        <f t="shared" si="209"/>
        <v>0</v>
      </c>
      <c r="AY42" s="11">
        <f t="shared" si="209"/>
        <v>0</v>
      </c>
      <c r="AZ42" s="16">
        <f t="shared" si="209"/>
        <v>0</v>
      </c>
      <c r="BA42" s="16">
        <f t="shared" si="209"/>
        <v>0</v>
      </c>
      <c r="BB42" s="16">
        <f t="shared" si="209"/>
        <v>0</v>
      </c>
      <c r="BC42" s="11">
        <f t="shared" si="209"/>
        <v>0</v>
      </c>
      <c r="BD42" s="11">
        <f t="shared" si="209"/>
        <v>0</v>
      </c>
      <c r="BE42" s="11">
        <f t="shared" si="209"/>
        <v>0</v>
      </c>
      <c r="BF42" s="11">
        <f t="shared" si="209"/>
        <v>0</v>
      </c>
      <c r="BG42" s="11">
        <f t="shared" si="209"/>
        <v>0</v>
      </c>
      <c r="BH42" s="11">
        <f t="shared" si="209"/>
        <v>0</v>
      </c>
      <c r="BI42" s="13">
        <f t="shared" si="209"/>
        <v>0</v>
      </c>
      <c r="BJ42" s="13">
        <f t="shared" si="209"/>
        <v>0</v>
      </c>
      <c r="BK42" s="11">
        <f t="shared" si="209"/>
        <v>0</v>
      </c>
      <c r="BL42" s="12">
        <f t="shared" si="209"/>
        <v>0</v>
      </c>
      <c r="BM42" s="12">
        <f t="shared" si="209"/>
        <v>0</v>
      </c>
      <c r="BN42" s="13">
        <f t="shared" si="209"/>
        <v>0</v>
      </c>
      <c r="BO42" s="13">
        <f t="shared" si="209"/>
        <v>0</v>
      </c>
      <c r="BP42" s="15">
        <f t="shared" si="209"/>
        <v>0</v>
      </c>
      <c r="BQ42" s="15">
        <f t="shared" si="209"/>
        <v>0</v>
      </c>
      <c r="BR42" s="14">
        <f t="shared" si="209"/>
        <v>0</v>
      </c>
      <c r="BS42" s="14">
        <f t="shared" si="209"/>
        <v>0</v>
      </c>
      <c r="BT42" s="14">
        <f t="shared" si="209"/>
        <v>0</v>
      </c>
      <c r="BU42" s="14">
        <f t="shared" si="209"/>
        <v>0</v>
      </c>
      <c r="BV42" s="11">
        <f t="shared" si="209"/>
        <v>0</v>
      </c>
      <c r="BW42" s="11">
        <f t="shared" si="209"/>
        <v>0</v>
      </c>
      <c r="BX42" s="11">
        <f t="shared" si="209"/>
        <v>0</v>
      </c>
      <c r="BY42" s="11">
        <f t="shared" si="209"/>
        <v>0</v>
      </c>
      <c r="BZ42" s="7">
        <f t="shared" si="209"/>
        <v>0</v>
      </c>
      <c r="CA42" s="7">
        <f t="shared" si="209"/>
        <v>0</v>
      </c>
      <c r="CB42" s="7">
        <f t="shared" ref="CB42:CP42" si="210">IFERROR(VALUE(CB347),"-")</f>
        <v>0</v>
      </c>
      <c r="CC42" s="7">
        <f t="shared" si="210"/>
        <v>0</v>
      </c>
      <c r="CD42" s="7">
        <f t="shared" si="210"/>
        <v>5006.39990234375</v>
      </c>
      <c r="CE42" s="3">
        <f t="shared" si="210"/>
        <v>750</v>
      </c>
      <c r="CF42" s="7">
        <f t="shared" si="210"/>
        <v>4760.0498046875</v>
      </c>
      <c r="CG42" s="3">
        <f t="shared" si="210"/>
        <v>750</v>
      </c>
      <c r="CH42" s="7">
        <f t="shared" si="210"/>
        <v>0</v>
      </c>
      <c r="CI42" s="7">
        <f t="shared" si="210"/>
        <v>2.4500000476837158</v>
      </c>
      <c r="CJ42" s="3">
        <f t="shared" si="210"/>
        <v>1300</v>
      </c>
      <c r="CK42" s="7">
        <f t="shared" si="210"/>
        <v>2.2999999523162842</v>
      </c>
      <c r="CL42" s="3">
        <f t="shared" si="210"/>
        <v>400</v>
      </c>
      <c r="CM42" s="7">
        <f t="shared" si="210"/>
        <v>2.9200000762939453</v>
      </c>
      <c r="CN42" s="10">
        <f t="shared" si="210"/>
        <v>44783.638194444444</v>
      </c>
      <c r="CO42" s="10">
        <f t="shared" si="210"/>
        <v>44783.638194444444</v>
      </c>
      <c r="CP42" s="7">
        <f t="shared" si="210"/>
        <v>38295.69921875</v>
      </c>
      <c r="CQ42" s="7" t="str">
        <f t="shared" ref="CQ42" si="211">IFERROR(CQ347,"-")</f>
        <v>FairPrice</v>
      </c>
      <c r="CR42" s="10">
        <f t="shared" si="156"/>
        <v>44783.638194444444</v>
      </c>
      <c r="CS42" s="7">
        <f t="shared" si="156"/>
        <v>1.1211633682250977E-2</v>
      </c>
      <c r="CT42" s="7">
        <f t="shared" si="156"/>
        <v>1.147904890495915E-4</v>
      </c>
      <c r="CU42" s="7">
        <f t="shared" si="156"/>
        <v>7300</v>
      </c>
      <c r="CV42" s="7">
        <f t="shared" si="156"/>
        <v>-7.1917808219178078E-2</v>
      </c>
      <c r="CW42" s="7">
        <f t="shared" si="156"/>
        <v>2.4000000953674316</v>
      </c>
      <c r="CX42" s="7">
        <f t="shared" si="156"/>
        <v>0</v>
      </c>
      <c r="CY42" s="7">
        <f t="shared" si="156"/>
        <v>0</v>
      </c>
      <c r="CZ42" s="7">
        <f t="shared" si="156"/>
        <v>0</v>
      </c>
      <c r="DA42" s="7">
        <f t="shared" si="156"/>
        <v>0</v>
      </c>
      <c r="DB42" s="7">
        <f t="shared" si="156"/>
        <v>0</v>
      </c>
      <c r="DC42" s="7">
        <f t="shared" si="156"/>
        <v>0</v>
      </c>
      <c r="DD42" s="7">
        <f t="shared" si="156"/>
        <v>0</v>
      </c>
      <c r="DE42" s="7">
        <f t="shared" si="156"/>
        <v>0</v>
      </c>
      <c r="DF42" s="7">
        <f t="shared" si="156"/>
        <v>2.4000000953674316</v>
      </c>
      <c r="DG42" s="7">
        <f t="shared" si="156"/>
        <v>38295.69921875</v>
      </c>
      <c r="DH42" s="7" t="str">
        <f t="shared" ref="DH42:DJ42" si="212">IFERROR(DH347,"-")</f>
        <v>W</v>
      </c>
      <c r="DI42" s="7" t="str">
        <f t="shared" si="212"/>
        <v>W</v>
      </c>
      <c r="DJ42" s="7" t="str">
        <f t="shared" si="212"/>
        <v>G</v>
      </c>
      <c r="DK42" s="64">
        <f t="shared" ref="DK42:DS42" si="213">IFERROR(VALUE(DK347),"-")</f>
        <v>38300</v>
      </c>
      <c r="DL42" s="64">
        <f t="shared" si="213"/>
        <v>3400000</v>
      </c>
      <c r="DM42" s="64">
        <f t="shared" si="213"/>
        <v>38500</v>
      </c>
      <c r="DN42" s="64">
        <f t="shared" si="213"/>
        <v>0</v>
      </c>
      <c r="DO42" s="64">
        <f t="shared" si="213"/>
        <v>24500</v>
      </c>
      <c r="DP42" s="64">
        <f t="shared" si="213"/>
        <v>2863350</v>
      </c>
      <c r="DQ42" s="64">
        <f t="shared" si="213"/>
        <v>38000</v>
      </c>
      <c r="DR42" s="64">
        <f t="shared" si="213"/>
        <v>0</v>
      </c>
      <c r="DS42" s="64">
        <f t="shared" si="213"/>
        <v>24500</v>
      </c>
      <c r="DT42" t="str">
        <f t="shared" si="7"/>
        <v>BANKNIFTY</v>
      </c>
      <c r="DU42" s="10">
        <f t="shared" si="8"/>
        <v>44784</v>
      </c>
    </row>
    <row r="43" spans="1:125" x14ac:dyDescent="0.25">
      <c r="A43" t="s">
        <v>19</v>
      </c>
      <c r="B43" s="2">
        <v>44861</v>
      </c>
      <c r="C43" s="1">
        <v>5000</v>
      </c>
      <c r="D43">
        <v>51</v>
      </c>
      <c r="G43" t="str">
        <f t="array" ref="G43">IFERROR(INDEX($A$2:$A$700,MATCH(0,COUNTIF($G$1:G42,$A$2:$A$700),0)),"")</f>
        <v>CHAMBLFERT</v>
      </c>
      <c r="M43" s="3"/>
      <c r="N43" s="3"/>
      <c r="O43" s="3">
        <f t="shared" si="9"/>
        <v>33500</v>
      </c>
      <c r="P43" s="7">
        <f t="shared" ref="P43:CA43" si="214">IFERROR(VALUE(P348),"-")</f>
        <v>2.4000000953674316</v>
      </c>
      <c r="Q43" s="7">
        <f t="shared" si="214"/>
        <v>2.25</v>
      </c>
      <c r="R43" s="7">
        <f t="shared" si="214"/>
        <v>4.9499998092651367</v>
      </c>
      <c r="S43" s="7">
        <f t="shared" si="214"/>
        <v>4.9499998092651367</v>
      </c>
      <c r="T43" s="11">
        <f t="shared" si="214"/>
        <v>3.5390625</v>
      </c>
      <c r="U43" s="11">
        <f t="shared" si="214"/>
        <v>106985.3515625</v>
      </c>
      <c r="V43" s="11">
        <f t="shared" si="214"/>
        <v>-8.046875</v>
      </c>
      <c r="W43" s="11">
        <f t="shared" si="214"/>
        <v>200758</v>
      </c>
      <c r="X43" s="14">
        <f t="shared" si="214"/>
        <v>4.765752237290144E-10</v>
      </c>
      <c r="Y43" s="14">
        <f t="shared" si="214"/>
        <v>1.7279802705161273E-5</v>
      </c>
      <c r="Z43" s="14">
        <f t="shared" si="214"/>
        <v>-1.7025740817189217E-9</v>
      </c>
      <c r="AA43" s="14">
        <f t="shared" si="214"/>
        <v>3.710450982907787E-5</v>
      </c>
      <c r="AB43" s="15">
        <f t="shared" si="214"/>
        <v>2.2382096176443156E-13</v>
      </c>
      <c r="AC43" s="15">
        <f t="shared" si="214"/>
        <v>-8.3393825178745828E-9</v>
      </c>
      <c r="AD43" s="13">
        <f t="shared" si="214"/>
        <v>9.0789794921875E-4</v>
      </c>
      <c r="AE43" s="13">
        <f t="shared" si="214"/>
        <v>17.306337356567383</v>
      </c>
      <c r="AF43" s="12">
        <f t="shared" si="214"/>
        <v>7.781982421875E-4</v>
      </c>
      <c r="AG43" s="12">
        <f t="shared" si="214"/>
        <v>-37.161487579345703</v>
      </c>
      <c r="AH43" s="13">
        <f t="shared" si="214"/>
        <v>-1.0959411156363785E-10</v>
      </c>
      <c r="AI43" s="13">
        <f t="shared" si="214"/>
        <v>5.9915541896771174E-6</v>
      </c>
      <c r="AJ43" s="11">
        <f t="shared" si="214"/>
        <v>-6.7800283432006836E-6</v>
      </c>
      <c r="AK43" s="11">
        <f t="shared" si="214"/>
        <v>0.23700094223022461</v>
      </c>
      <c r="AL43" s="11">
        <f t="shared" si="214"/>
        <v>0</v>
      </c>
      <c r="AM43" s="11">
        <f t="shared" si="214"/>
        <v>-2.4000000953674316</v>
      </c>
      <c r="AN43" s="11">
        <f t="shared" si="214"/>
        <v>3.6321580410003662E-8</v>
      </c>
      <c r="AO43" s="11">
        <f t="shared" si="214"/>
        <v>-3.9298757910728455E-3</v>
      </c>
      <c r="AP43" s="11">
        <f t="shared" si="214"/>
        <v>95.757484436035156</v>
      </c>
      <c r="AQ43" s="11">
        <f t="shared" si="214"/>
        <v>1028325</v>
      </c>
      <c r="AR43" s="16">
        <f t="shared" si="214"/>
        <v>150350</v>
      </c>
      <c r="AS43" s="16">
        <f t="shared" si="214"/>
        <v>307950</v>
      </c>
      <c r="AT43" s="16">
        <f t="shared" si="214"/>
        <v>95.757484436035156</v>
      </c>
      <c r="AU43" s="7">
        <f t="shared" si="214"/>
        <v>0</v>
      </c>
      <c r="AV43" s="7">
        <f t="shared" si="214"/>
        <v>2.4000000953674316</v>
      </c>
      <c r="AW43" s="7">
        <f t="shared" si="214"/>
        <v>4790</v>
      </c>
      <c r="AX43" s="7">
        <f t="shared" si="214"/>
        <v>0</v>
      </c>
      <c r="AY43" s="11">
        <f t="shared" si="214"/>
        <v>0</v>
      </c>
      <c r="AZ43" s="16">
        <f t="shared" si="214"/>
        <v>1125</v>
      </c>
      <c r="BA43" s="16">
        <f t="shared" si="214"/>
        <v>-500</v>
      </c>
      <c r="BB43" s="16">
        <f t="shared" si="214"/>
        <v>650</v>
      </c>
      <c r="BC43" s="11">
        <f t="shared" si="214"/>
        <v>0</v>
      </c>
      <c r="BD43" s="11">
        <f t="shared" si="214"/>
        <v>0</v>
      </c>
      <c r="BE43" s="11">
        <f t="shared" si="214"/>
        <v>0</v>
      </c>
      <c r="BF43" s="11">
        <f t="shared" si="214"/>
        <v>0</v>
      </c>
      <c r="BG43" s="11">
        <f t="shared" si="214"/>
        <v>0</v>
      </c>
      <c r="BH43" s="11">
        <f t="shared" si="214"/>
        <v>0</v>
      </c>
      <c r="BI43" s="13">
        <f t="shared" si="214"/>
        <v>0</v>
      </c>
      <c r="BJ43" s="13">
        <f t="shared" si="214"/>
        <v>0</v>
      </c>
      <c r="BK43" s="11">
        <f t="shared" si="214"/>
        <v>0</v>
      </c>
      <c r="BL43" s="12">
        <f t="shared" si="214"/>
        <v>0</v>
      </c>
      <c r="BM43" s="12">
        <f t="shared" si="214"/>
        <v>0</v>
      </c>
      <c r="BN43" s="13">
        <f t="shared" si="214"/>
        <v>0</v>
      </c>
      <c r="BO43" s="13">
        <f t="shared" si="214"/>
        <v>0</v>
      </c>
      <c r="BP43" s="15">
        <f t="shared" si="214"/>
        <v>0</v>
      </c>
      <c r="BQ43" s="15">
        <f t="shared" si="214"/>
        <v>0</v>
      </c>
      <c r="BR43" s="14">
        <f t="shared" si="214"/>
        <v>0</v>
      </c>
      <c r="BS43" s="14">
        <f t="shared" si="214"/>
        <v>0</v>
      </c>
      <c r="BT43" s="14">
        <f t="shared" si="214"/>
        <v>0</v>
      </c>
      <c r="BU43" s="14">
        <f t="shared" si="214"/>
        <v>0</v>
      </c>
      <c r="BV43" s="11">
        <f t="shared" si="214"/>
        <v>0</v>
      </c>
      <c r="BW43" s="11">
        <f t="shared" si="214"/>
        <v>0</v>
      </c>
      <c r="BX43" s="11">
        <f t="shared" si="214"/>
        <v>0</v>
      </c>
      <c r="BY43" s="11">
        <f t="shared" si="214"/>
        <v>0</v>
      </c>
      <c r="BZ43" s="7">
        <f t="shared" si="214"/>
        <v>4835.14990234375</v>
      </c>
      <c r="CA43" s="7">
        <f t="shared" si="214"/>
        <v>4850.0498046875</v>
      </c>
      <c r="CB43" s="7">
        <f t="shared" ref="CB43:CP43" si="215">IFERROR(VALUE(CB348),"-")</f>
        <v>4720</v>
      </c>
      <c r="CC43" s="7">
        <f t="shared" si="215"/>
        <v>4790</v>
      </c>
      <c r="CD43" s="7">
        <f t="shared" si="215"/>
        <v>4864.0498046875</v>
      </c>
      <c r="CE43" s="3">
        <f t="shared" si="215"/>
        <v>50</v>
      </c>
      <c r="CF43" s="7">
        <f t="shared" si="215"/>
        <v>4790</v>
      </c>
      <c r="CG43" s="3">
        <f t="shared" si="215"/>
        <v>25</v>
      </c>
      <c r="CH43" s="7">
        <f t="shared" si="215"/>
        <v>4796.509765625</v>
      </c>
      <c r="CI43" s="7">
        <f t="shared" si="215"/>
        <v>2.4500000476837158</v>
      </c>
      <c r="CJ43" s="3">
        <f t="shared" si="215"/>
        <v>850</v>
      </c>
      <c r="CK43" s="7">
        <f t="shared" si="215"/>
        <v>2.4000000953674316</v>
      </c>
      <c r="CL43" s="3">
        <f t="shared" si="215"/>
        <v>225</v>
      </c>
      <c r="CM43" s="7">
        <f t="shared" si="215"/>
        <v>2.8599998950958252</v>
      </c>
      <c r="CN43" s="10">
        <f t="shared" si="215"/>
        <v>44783.638194444444</v>
      </c>
      <c r="CO43" s="10">
        <f t="shared" si="215"/>
        <v>44783.638194444444</v>
      </c>
      <c r="CP43" s="7">
        <f t="shared" si="215"/>
        <v>38295.69921875</v>
      </c>
      <c r="CQ43" s="7" t="str">
        <f t="shared" ref="CQ43" si="216">IFERROR(CQ348,"-")</f>
        <v>FairPrice</v>
      </c>
      <c r="CR43" s="10">
        <f t="shared" si="156"/>
        <v>44783.638194444444</v>
      </c>
      <c r="CS43" s="7">
        <f t="shared" si="156"/>
        <v>2.8967857360839844E-3</v>
      </c>
      <c r="CT43" s="7">
        <f t="shared" si="156"/>
        <v>3.0252187463468615E-5</v>
      </c>
      <c r="CU43" s="7">
        <f t="shared" si="156"/>
        <v>157600</v>
      </c>
      <c r="CV43" s="7">
        <f t="shared" si="156"/>
        <v>0.95399746192893398</v>
      </c>
      <c r="CW43" s="7">
        <f t="shared" si="156"/>
        <v>2.4000000953674316</v>
      </c>
      <c r="CX43" s="7">
        <f t="shared" si="156"/>
        <v>0</v>
      </c>
      <c r="CY43" s="7">
        <f t="shared" si="156"/>
        <v>4790</v>
      </c>
      <c r="CZ43" s="7">
        <f t="shared" si="156"/>
        <v>0</v>
      </c>
      <c r="DA43" s="7">
        <f t="shared" si="156"/>
        <v>1625</v>
      </c>
      <c r="DB43" s="7">
        <f t="shared" si="156"/>
        <v>-0.30769230769230771</v>
      </c>
      <c r="DC43" s="7">
        <f t="shared" si="156"/>
        <v>0</v>
      </c>
      <c r="DD43" s="7">
        <f t="shared" si="156"/>
        <v>0</v>
      </c>
      <c r="DE43" s="7">
        <f t="shared" si="156"/>
        <v>4790</v>
      </c>
      <c r="DF43" s="7">
        <f t="shared" si="156"/>
        <v>2.4000000953674316</v>
      </c>
      <c r="DG43" s="7">
        <f t="shared" si="156"/>
        <v>38295.69921875</v>
      </c>
      <c r="DH43" s="7" t="str">
        <f t="shared" ref="DH43:DJ43" si="217">IFERROR(DH348,"-")</f>
        <v>W</v>
      </c>
      <c r="DI43" s="7" t="str">
        <f t="shared" si="217"/>
        <v>W</v>
      </c>
      <c r="DJ43" s="7" t="str">
        <f t="shared" si="217"/>
        <v>G</v>
      </c>
      <c r="DK43" s="64">
        <f t="shared" ref="DK43:DS43" si="218">IFERROR(VALUE(DK348),"-")</f>
        <v>38300</v>
      </c>
      <c r="DL43" s="64">
        <f t="shared" si="218"/>
        <v>3400000</v>
      </c>
      <c r="DM43" s="64">
        <f t="shared" si="218"/>
        <v>38500</v>
      </c>
      <c r="DN43" s="64">
        <f t="shared" si="218"/>
        <v>0</v>
      </c>
      <c r="DO43" s="64">
        <f t="shared" si="218"/>
        <v>24500</v>
      </c>
      <c r="DP43" s="64">
        <f t="shared" si="218"/>
        <v>2863350</v>
      </c>
      <c r="DQ43" s="64">
        <f t="shared" si="218"/>
        <v>38000</v>
      </c>
      <c r="DR43" s="64">
        <f t="shared" si="218"/>
        <v>0</v>
      </c>
      <c r="DS43" s="64">
        <f t="shared" si="218"/>
        <v>24500</v>
      </c>
      <c r="DT43" t="str">
        <f t="shared" si="7"/>
        <v>BANKNIFTY</v>
      </c>
      <c r="DU43" s="10">
        <f t="shared" si="8"/>
        <v>44784</v>
      </c>
    </row>
    <row r="44" spans="1:125" x14ac:dyDescent="0.25">
      <c r="A44" t="s">
        <v>20</v>
      </c>
      <c r="B44" s="2">
        <v>44798</v>
      </c>
      <c r="C44" s="1">
        <v>200</v>
      </c>
      <c r="D44">
        <v>64</v>
      </c>
      <c r="G44" t="str">
        <f t="array" ref="G44">IFERROR(INDEX($A$2:$A$700,MATCH(0,COUNTIF($G$1:G43,$A$2:$A$700),0)),"")</f>
        <v>CHOLAFIN</v>
      </c>
      <c r="M44" s="3"/>
      <c r="N44" s="3"/>
      <c r="O44" s="3">
        <f t="shared" si="9"/>
        <v>33600</v>
      </c>
      <c r="P44" s="7">
        <f t="shared" ref="P44:CA44" si="219">IFERROR(VALUE(P349),"-")</f>
        <v>2.2000000476837158</v>
      </c>
      <c r="Q44" s="7">
        <f t="shared" si="219"/>
        <v>1.5499999523162842</v>
      </c>
      <c r="R44" s="7">
        <f t="shared" si="219"/>
        <v>3.5</v>
      </c>
      <c r="S44" s="7">
        <f t="shared" si="219"/>
        <v>3.2999999523162842</v>
      </c>
      <c r="T44" s="11">
        <f t="shared" si="219"/>
        <v>-16.1796875</v>
      </c>
      <c r="U44" s="11">
        <f t="shared" si="219"/>
        <v>113495.7734375</v>
      </c>
      <c r="V44" s="11">
        <f t="shared" si="219"/>
        <v>-19.140625</v>
      </c>
      <c r="W44" s="11">
        <f t="shared" si="219"/>
        <v>219760.21875</v>
      </c>
      <c r="X44" s="14">
        <f t="shared" si="219"/>
        <v>4.6238710638135672E-9</v>
      </c>
      <c r="Y44" s="14">
        <f t="shared" si="219"/>
        <v>1.7254595150006935E-5</v>
      </c>
      <c r="Z44" s="14">
        <f t="shared" si="219"/>
        <v>1.2489181244745851E-8</v>
      </c>
      <c r="AA44" s="14">
        <f t="shared" si="219"/>
        <v>3.8164271245477721E-5</v>
      </c>
      <c r="AB44" s="15">
        <f t="shared" si="219"/>
        <v>-3.2676084060767607E-12</v>
      </c>
      <c r="AC44" s="15">
        <f t="shared" si="219"/>
        <v>-8.4892048946016985E-9</v>
      </c>
      <c r="AD44" s="13">
        <f t="shared" si="219"/>
        <v>-1.644134521484375E-3</v>
      </c>
      <c r="AE44" s="13">
        <f t="shared" si="219"/>
        <v>18.269121170043945</v>
      </c>
      <c r="AF44" s="12">
        <f t="shared" si="219"/>
        <v>1.239776611328125E-3</v>
      </c>
      <c r="AG44" s="12">
        <f t="shared" si="219"/>
        <v>-40.408229827880859</v>
      </c>
      <c r="AH44" s="13">
        <f t="shared" si="219"/>
        <v>1.5365912986453623E-9</v>
      </c>
      <c r="AI44" s="13">
        <f t="shared" si="219"/>
        <v>5.8872929002973251E-6</v>
      </c>
      <c r="AJ44" s="11">
        <f t="shared" si="219"/>
        <v>1.7806887626647949E-5</v>
      </c>
      <c r="AK44" s="11">
        <f t="shared" si="219"/>
        <v>0.22614149749279022</v>
      </c>
      <c r="AL44" s="11">
        <f t="shared" si="219"/>
        <v>0</v>
      </c>
      <c r="AM44" s="11">
        <f t="shared" si="219"/>
        <v>-2.2000000476837158</v>
      </c>
      <c r="AN44" s="11">
        <f t="shared" si="219"/>
        <v>-4.9336813390254974E-7</v>
      </c>
      <c r="AO44" s="11">
        <f t="shared" si="219"/>
        <v>-3.7292218767106533E-3</v>
      </c>
      <c r="AP44" s="11">
        <f t="shared" si="219"/>
        <v>92.974704504013062</v>
      </c>
      <c r="AQ44" s="11">
        <f t="shared" si="219"/>
        <v>90100</v>
      </c>
      <c r="AR44" s="16">
        <f t="shared" si="219"/>
        <v>2350</v>
      </c>
      <c r="AS44" s="16">
        <f t="shared" si="219"/>
        <v>9275</v>
      </c>
      <c r="AT44" s="16">
        <f t="shared" si="219"/>
        <v>92.974704504013062</v>
      </c>
      <c r="AU44" s="7">
        <f t="shared" si="219"/>
        <v>0</v>
      </c>
      <c r="AV44" s="7">
        <f t="shared" si="219"/>
        <v>2.2000000476837158</v>
      </c>
      <c r="AW44" s="7">
        <f t="shared" si="219"/>
        <v>0</v>
      </c>
      <c r="AX44" s="7">
        <f t="shared" si="219"/>
        <v>0</v>
      </c>
      <c r="AY44" s="11">
        <f t="shared" si="219"/>
        <v>0</v>
      </c>
      <c r="AZ44" s="16">
        <f t="shared" si="219"/>
        <v>0</v>
      </c>
      <c r="BA44" s="16">
        <f t="shared" si="219"/>
        <v>0</v>
      </c>
      <c r="BB44" s="16">
        <f t="shared" si="219"/>
        <v>0</v>
      </c>
      <c r="BC44" s="11">
        <f t="shared" si="219"/>
        <v>0</v>
      </c>
      <c r="BD44" s="11">
        <f t="shared" si="219"/>
        <v>0</v>
      </c>
      <c r="BE44" s="11">
        <f t="shared" si="219"/>
        <v>0</v>
      </c>
      <c r="BF44" s="11">
        <f t="shared" si="219"/>
        <v>0</v>
      </c>
      <c r="BG44" s="11">
        <f t="shared" si="219"/>
        <v>0</v>
      </c>
      <c r="BH44" s="11">
        <f t="shared" si="219"/>
        <v>0</v>
      </c>
      <c r="BI44" s="13">
        <f t="shared" si="219"/>
        <v>0</v>
      </c>
      <c r="BJ44" s="13">
        <f t="shared" si="219"/>
        <v>0</v>
      </c>
      <c r="BK44" s="11">
        <f t="shared" si="219"/>
        <v>0</v>
      </c>
      <c r="BL44" s="12">
        <f t="shared" si="219"/>
        <v>0</v>
      </c>
      <c r="BM44" s="12">
        <f t="shared" si="219"/>
        <v>0</v>
      </c>
      <c r="BN44" s="13">
        <f t="shared" si="219"/>
        <v>0</v>
      </c>
      <c r="BO44" s="13">
        <f t="shared" si="219"/>
        <v>0</v>
      </c>
      <c r="BP44" s="15">
        <f t="shared" si="219"/>
        <v>0</v>
      </c>
      <c r="BQ44" s="15">
        <f t="shared" si="219"/>
        <v>0</v>
      </c>
      <c r="BR44" s="14">
        <f t="shared" si="219"/>
        <v>0</v>
      </c>
      <c r="BS44" s="14">
        <f t="shared" si="219"/>
        <v>0</v>
      </c>
      <c r="BT44" s="14">
        <f t="shared" si="219"/>
        <v>0</v>
      </c>
      <c r="BU44" s="14">
        <f t="shared" si="219"/>
        <v>0</v>
      </c>
      <c r="BV44" s="11">
        <f t="shared" si="219"/>
        <v>0</v>
      </c>
      <c r="BW44" s="11">
        <f t="shared" si="219"/>
        <v>0</v>
      </c>
      <c r="BX44" s="11">
        <f t="shared" si="219"/>
        <v>0</v>
      </c>
      <c r="BY44" s="11">
        <f t="shared" si="219"/>
        <v>0</v>
      </c>
      <c r="BZ44" s="7">
        <f t="shared" si="219"/>
        <v>0</v>
      </c>
      <c r="CA44" s="7">
        <f t="shared" si="219"/>
        <v>0</v>
      </c>
      <c r="CB44" s="7">
        <f t="shared" ref="CB44:CP44" si="220">IFERROR(VALUE(CB349),"-")</f>
        <v>0</v>
      </c>
      <c r="CC44" s="7">
        <f t="shared" si="220"/>
        <v>0</v>
      </c>
      <c r="CD44" s="7">
        <f t="shared" si="220"/>
        <v>4811.89990234375</v>
      </c>
      <c r="CE44" s="3">
        <f t="shared" si="220"/>
        <v>800</v>
      </c>
      <c r="CF44" s="7">
        <f t="shared" si="220"/>
        <v>4558.0498046875</v>
      </c>
      <c r="CG44" s="3">
        <f t="shared" si="220"/>
        <v>750</v>
      </c>
      <c r="CH44" s="7">
        <f t="shared" si="220"/>
        <v>0</v>
      </c>
      <c r="CI44" s="7">
        <f t="shared" si="220"/>
        <v>2.4500000476837158</v>
      </c>
      <c r="CJ44" s="3">
        <f t="shared" si="220"/>
        <v>450</v>
      </c>
      <c r="CK44" s="7">
        <f t="shared" si="220"/>
        <v>2.25</v>
      </c>
      <c r="CL44" s="3">
        <f t="shared" si="220"/>
        <v>50</v>
      </c>
      <c r="CM44" s="7">
        <f t="shared" si="220"/>
        <v>2.8900001049041748</v>
      </c>
      <c r="CN44" s="10">
        <f t="shared" si="220"/>
        <v>44783.638194444444</v>
      </c>
      <c r="CO44" s="10">
        <f t="shared" si="220"/>
        <v>44783.638194444444</v>
      </c>
      <c r="CP44" s="7">
        <f t="shared" si="220"/>
        <v>38295.69921875</v>
      </c>
      <c r="CQ44" s="7" t="str">
        <f t="shared" ref="CQ44" si="221">IFERROR(CQ349,"-")</f>
        <v>FairPrice</v>
      </c>
      <c r="CR44" s="10">
        <f t="shared" si="156"/>
        <v>44783.638194444444</v>
      </c>
      <c r="CS44" s="7">
        <f t="shared" si="156"/>
        <v>-9.5307826995849609E-3</v>
      </c>
      <c r="CT44" s="7">
        <f t="shared" si="156"/>
        <v>-1.0249890930647789E-4</v>
      </c>
      <c r="CU44" s="7">
        <f t="shared" si="156"/>
        <v>6925</v>
      </c>
      <c r="CV44" s="7">
        <f t="shared" si="156"/>
        <v>0.33935018050541516</v>
      </c>
      <c r="CW44" s="7">
        <f t="shared" si="156"/>
        <v>2.2000000476837158</v>
      </c>
      <c r="CX44" s="7">
        <f t="shared" si="156"/>
        <v>0</v>
      </c>
      <c r="CY44" s="7">
        <f t="shared" si="156"/>
        <v>0</v>
      </c>
      <c r="CZ44" s="7">
        <f t="shared" si="156"/>
        <v>0</v>
      </c>
      <c r="DA44" s="7">
        <f t="shared" si="156"/>
        <v>0</v>
      </c>
      <c r="DB44" s="7">
        <f t="shared" si="156"/>
        <v>0</v>
      </c>
      <c r="DC44" s="7">
        <f t="shared" si="156"/>
        <v>0</v>
      </c>
      <c r="DD44" s="7">
        <f t="shared" si="156"/>
        <v>0</v>
      </c>
      <c r="DE44" s="7">
        <f t="shared" si="156"/>
        <v>0</v>
      </c>
      <c r="DF44" s="7">
        <f t="shared" si="156"/>
        <v>2.2000000476837158</v>
      </c>
      <c r="DG44" s="7">
        <f t="shared" si="156"/>
        <v>38295.69921875</v>
      </c>
      <c r="DH44" s="7" t="str">
        <f t="shared" ref="DH44:DJ44" si="222">IFERROR(DH349,"-")</f>
        <v>W</v>
      </c>
      <c r="DI44" s="7" t="str">
        <f t="shared" si="222"/>
        <v>W</v>
      </c>
      <c r="DJ44" s="7" t="str">
        <f t="shared" si="222"/>
        <v>G</v>
      </c>
      <c r="DK44" s="64">
        <f t="shared" ref="DK44:DS44" si="223">IFERROR(VALUE(DK349),"-")</f>
        <v>38300</v>
      </c>
      <c r="DL44" s="64">
        <f t="shared" si="223"/>
        <v>3400000</v>
      </c>
      <c r="DM44" s="64">
        <f t="shared" si="223"/>
        <v>38500</v>
      </c>
      <c r="DN44" s="64">
        <f t="shared" si="223"/>
        <v>0</v>
      </c>
      <c r="DO44" s="64">
        <f t="shared" si="223"/>
        <v>24500</v>
      </c>
      <c r="DP44" s="64">
        <f t="shared" si="223"/>
        <v>2863350</v>
      </c>
      <c r="DQ44" s="64">
        <f t="shared" si="223"/>
        <v>38000</v>
      </c>
      <c r="DR44" s="64">
        <f t="shared" si="223"/>
        <v>0</v>
      </c>
      <c r="DS44" s="64">
        <f t="shared" si="223"/>
        <v>24500</v>
      </c>
      <c r="DT44" t="str">
        <f t="shared" si="7"/>
        <v>BANKNIFTY</v>
      </c>
      <c r="DU44" s="10">
        <f t="shared" si="8"/>
        <v>44784</v>
      </c>
    </row>
    <row r="45" spans="1:125" x14ac:dyDescent="0.25">
      <c r="A45" t="s">
        <v>20</v>
      </c>
      <c r="B45" s="2">
        <v>44833</v>
      </c>
      <c r="C45" s="1">
        <v>200</v>
      </c>
      <c r="D45">
        <v>64</v>
      </c>
      <c r="G45" t="str">
        <f t="array" ref="G45">IFERROR(INDEX($A$2:$A$700,MATCH(0,COUNTIF($G$1:G44,$A$2:$A$700),0)),"")</f>
        <v>CIPLA</v>
      </c>
      <c r="M45" s="3"/>
      <c r="N45" s="3"/>
      <c r="O45" s="3">
        <f t="shared" si="9"/>
        <v>33700</v>
      </c>
      <c r="P45" s="7">
        <f t="shared" ref="P45:CA45" si="224">IFERROR(VALUE(P350),"-")</f>
        <v>2.4000000953674316</v>
      </c>
      <c r="Q45" s="7">
        <f t="shared" si="224"/>
        <v>2.0499999523162842</v>
      </c>
      <c r="R45" s="7">
        <f t="shared" si="224"/>
        <v>4.1500000953674316</v>
      </c>
      <c r="S45" s="7">
        <f t="shared" si="224"/>
        <v>4.1500000953674316</v>
      </c>
      <c r="T45" s="11">
        <f t="shared" si="224"/>
        <v>3.4453125</v>
      </c>
      <c r="U45" s="11">
        <f t="shared" si="224"/>
        <v>102602.90625</v>
      </c>
      <c r="V45" s="11">
        <f t="shared" si="224"/>
        <v>-8.03125</v>
      </c>
      <c r="W45" s="11">
        <f t="shared" si="224"/>
        <v>200367.140625</v>
      </c>
      <c r="X45" s="14">
        <f t="shared" si="224"/>
        <v>4.9658410716801882E-10</v>
      </c>
      <c r="Y45" s="14">
        <f t="shared" si="224"/>
        <v>1.8424181689624675E-5</v>
      </c>
      <c r="Z45" s="14">
        <f t="shared" si="224"/>
        <v>-1.9317667465656996E-9</v>
      </c>
      <c r="AA45" s="14">
        <f t="shared" si="224"/>
        <v>4.1218063415726647E-5</v>
      </c>
      <c r="AB45" s="15">
        <f t="shared" si="224"/>
        <v>2.6023627697213669E-13</v>
      </c>
      <c r="AC45" s="15">
        <f t="shared" si="224"/>
        <v>-9.3094829622941688E-9</v>
      </c>
      <c r="AD45" s="13">
        <f t="shared" si="224"/>
        <v>8.81195068359375E-4</v>
      </c>
      <c r="AE45" s="13">
        <f t="shared" si="224"/>
        <v>16.657318115234375</v>
      </c>
      <c r="AF45" s="12">
        <f t="shared" si="224"/>
        <v>7.82012939453125E-4</v>
      </c>
      <c r="AG45" s="12">
        <f t="shared" si="224"/>
        <v>-37.265285491943359</v>
      </c>
      <c r="AH45" s="13">
        <f t="shared" si="224"/>
        <v>-1.2278178473934531E-10</v>
      </c>
      <c r="AI45" s="13">
        <f t="shared" si="224"/>
        <v>6.4565547290840186E-6</v>
      </c>
      <c r="AJ45" s="11">
        <f t="shared" si="224"/>
        <v>-7.0929527282714844E-6</v>
      </c>
      <c r="AK45" s="11">
        <f t="shared" si="224"/>
        <v>0.24520836770534515</v>
      </c>
      <c r="AL45" s="11">
        <f t="shared" si="224"/>
        <v>0</v>
      </c>
      <c r="AM45" s="11">
        <f t="shared" si="224"/>
        <v>-2.4000000953674316</v>
      </c>
      <c r="AN45" s="11">
        <f t="shared" si="224"/>
        <v>3.9115548133850098E-8</v>
      </c>
      <c r="AO45" s="11">
        <f t="shared" si="224"/>
        <v>-4.0817554108798504E-3</v>
      </c>
      <c r="AP45" s="11">
        <f t="shared" si="224"/>
        <v>91.92160964012146</v>
      </c>
      <c r="AQ45" s="11">
        <f t="shared" si="224"/>
        <v>89525</v>
      </c>
      <c r="AR45" s="16">
        <f t="shared" si="224"/>
        <v>-1425</v>
      </c>
      <c r="AS45" s="16">
        <f t="shared" si="224"/>
        <v>12175</v>
      </c>
      <c r="AT45" s="16">
        <f t="shared" si="224"/>
        <v>91.92160964012146</v>
      </c>
      <c r="AU45" s="7">
        <f t="shared" si="224"/>
        <v>0</v>
      </c>
      <c r="AV45" s="7">
        <f t="shared" si="224"/>
        <v>2.4000000953674316</v>
      </c>
      <c r="AW45" s="7">
        <f t="shared" si="224"/>
        <v>4660</v>
      </c>
      <c r="AX45" s="7">
        <f t="shared" si="224"/>
        <v>0</v>
      </c>
      <c r="AY45" s="11">
        <f t="shared" si="224"/>
        <v>149.46043491363525</v>
      </c>
      <c r="AZ45" s="16">
        <f t="shared" si="224"/>
        <v>675</v>
      </c>
      <c r="BA45" s="16">
        <f t="shared" si="224"/>
        <v>-50</v>
      </c>
      <c r="BB45" s="16">
        <f t="shared" si="224"/>
        <v>125</v>
      </c>
      <c r="BC45" s="11">
        <f t="shared" si="224"/>
        <v>0.95065915584564209</v>
      </c>
      <c r="BD45" s="11">
        <f t="shared" si="224"/>
        <v>2.6285648345947266E-5</v>
      </c>
      <c r="BE45" s="11">
        <f t="shared" si="224"/>
        <v>-150.76251220703125</v>
      </c>
      <c r="BF45" s="11">
        <f t="shared" si="224"/>
        <v>8.050537109375E-2</v>
      </c>
      <c r="BG45" s="11">
        <f t="shared" si="224"/>
        <v>2.0740909576416016</v>
      </c>
      <c r="BH45" s="11">
        <f t="shared" si="224"/>
        <v>-9.2387199401855469E-4</v>
      </c>
      <c r="BI45" s="13">
        <f t="shared" si="224"/>
        <v>3.3594329579500481E-5</v>
      </c>
      <c r="BJ45" s="13">
        <f t="shared" si="224"/>
        <v>-9.1749825514853001E-9</v>
      </c>
      <c r="BK45" s="11">
        <f t="shared" si="224"/>
        <v>149.46043491363525</v>
      </c>
      <c r="BL45" s="12">
        <f t="shared" si="224"/>
        <v>-1.6403040885925293</v>
      </c>
      <c r="BM45" s="12">
        <f t="shared" si="224"/>
        <v>-1.194000244140625E-3</v>
      </c>
      <c r="BN45" s="13">
        <f t="shared" si="224"/>
        <v>1.1923121213912964</v>
      </c>
      <c r="BO45" s="13">
        <f t="shared" si="224"/>
        <v>7.6246261596679688E-4</v>
      </c>
      <c r="BP45" s="15">
        <f t="shared" si="224"/>
        <v>-1.9138985507538564E-8</v>
      </c>
      <c r="BQ45" s="15">
        <f t="shared" si="224"/>
        <v>-3.943512183468556E-13</v>
      </c>
      <c r="BR45" s="14">
        <f t="shared" si="224"/>
        <v>3.5867524275090545E-5</v>
      </c>
      <c r="BS45" s="14">
        <f t="shared" si="224"/>
        <v>1.4028046280145645E-8</v>
      </c>
      <c r="BT45" s="14">
        <f t="shared" si="224"/>
        <v>2.6071558750118129E-5</v>
      </c>
      <c r="BU45" s="14">
        <f t="shared" si="224"/>
        <v>7.8925950219854712E-9</v>
      </c>
      <c r="BV45" s="11">
        <f t="shared" si="224"/>
        <v>5505.06640625</v>
      </c>
      <c r="BW45" s="11">
        <f t="shared" si="224"/>
        <v>4.75341796875</v>
      </c>
      <c r="BX45" s="11">
        <f t="shared" si="224"/>
        <v>5543.1328125</v>
      </c>
      <c r="BY45" s="11">
        <f t="shared" si="224"/>
        <v>3.79150390625</v>
      </c>
      <c r="BZ45" s="7">
        <f t="shared" si="224"/>
        <v>4650</v>
      </c>
      <c r="CA45" s="7">
        <f t="shared" si="224"/>
        <v>4660</v>
      </c>
      <c r="CB45" s="7">
        <f t="shared" ref="CB45:CP45" si="225">IFERROR(VALUE(CB350),"-")</f>
        <v>4640</v>
      </c>
      <c r="CC45" s="7">
        <f t="shared" si="225"/>
        <v>4660</v>
      </c>
      <c r="CD45" s="7">
        <f t="shared" si="225"/>
        <v>4750</v>
      </c>
      <c r="CE45" s="3">
        <f t="shared" si="225"/>
        <v>800</v>
      </c>
      <c r="CF45" s="7">
        <f t="shared" si="225"/>
        <v>4530.7998046875</v>
      </c>
      <c r="CG45" s="3">
        <f t="shared" si="225"/>
        <v>750</v>
      </c>
      <c r="CH45" s="7">
        <f t="shared" si="225"/>
        <v>4650</v>
      </c>
      <c r="CI45" s="7">
        <f t="shared" si="225"/>
        <v>2.5</v>
      </c>
      <c r="CJ45" s="3">
        <f t="shared" si="225"/>
        <v>1050</v>
      </c>
      <c r="CK45" s="7">
        <f t="shared" si="225"/>
        <v>2.4000000953674316</v>
      </c>
      <c r="CL45" s="3">
        <f t="shared" si="225"/>
        <v>425</v>
      </c>
      <c r="CM45" s="7">
        <f t="shared" si="225"/>
        <v>2.9900000095367432</v>
      </c>
      <c r="CN45" s="10">
        <f t="shared" si="225"/>
        <v>44783.638194444444</v>
      </c>
      <c r="CO45" s="10">
        <f t="shared" si="225"/>
        <v>44783.638194444444</v>
      </c>
      <c r="CP45" s="7">
        <f t="shared" si="225"/>
        <v>38295.69921875</v>
      </c>
      <c r="CQ45" s="7" t="str">
        <f t="shared" ref="CQ45" si="226">IFERROR(CQ350,"-")</f>
        <v>FairPrice</v>
      </c>
      <c r="CR45" s="10">
        <f t="shared" si="156"/>
        <v>44783.638194444444</v>
      </c>
      <c r="CS45" s="7">
        <f t="shared" si="156"/>
        <v>2.8192996978759766E-3</v>
      </c>
      <c r="CT45" s="7">
        <f t="shared" si="156"/>
        <v>3.0671636206640977E-5</v>
      </c>
      <c r="CU45" s="7">
        <f t="shared" si="156"/>
        <v>13600</v>
      </c>
      <c r="CV45" s="7">
        <f t="shared" si="156"/>
        <v>-0.10477941176470588</v>
      </c>
      <c r="CW45" s="7">
        <f t="shared" si="156"/>
        <v>2.4000000953674316</v>
      </c>
      <c r="CX45" s="7">
        <f t="shared" si="156"/>
        <v>0</v>
      </c>
      <c r="CY45" s="7">
        <f t="shared" si="156"/>
        <v>4660</v>
      </c>
      <c r="CZ45" s="7">
        <f t="shared" si="156"/>
        <v>0</v>
      </c>
      <c r="DA45" s="7">
        <f t="shared" si="156"/>
        <v>725</v>
      </c>
      <c r="DB45" s="7">
        <f t="shared" si="156"/>
        <v>-6.8965517241379309E-2</v>
      </c>
      <c r="DC45" s="7">
        <f t="shared" si="156"/>
        <v>-1.9681453704833984E-2</v>
      </c>
      <c r="DD45" s="7">
        <f t="shared" si="156"/>
        <v>-1.3166603146379531E-4</v>
      </c>
      <c r="DE45" s="7">
        <f t="shared" si="156"/>
        <v>4660</v>
      </c>
      <c r="DF45" s="7">
        <f t="shared" si="156"/>
        <v>2.4000000953674316</v>
      </c>
      <c r="DG45" s="7">
        <f t="shared" si="156"/>
        <v>38295.69921875</v>
      </c>
      <c r="DH45" s="7" t="str">
        <f t="shared" ref="DH45:DJ45" si="227">IFERROR(DH350,"-")</f>
        <v>W</v>
      </c>
      <c r="DI45" s="7" t="str">
        <f t="shared" si="227"/>
        <v>W</v>
      </c>
      <c r="DJ45" s="7" t="str">
        <f t="shared" si="227"/>
        <v>G</v>
      </c>
      <c r="DK45" s="64">
        <f t="shared" ref="DK45:DS45" si="228">IFERROR(VALUE(DK350),"-")</f>
        <v>38300</v>
      </c>
      <c r="DL45" s="64">
        <f t="shared" si="228"/>
        <v>3400000</v>
      </c>
      <c r="DM45" s="64">
        <f t="shared" si="228"/>
        <v>38500</v>
      </c>
      <c r="DN45" s="64">
        <f t="shared" si="228"/>
        <v>0</v>
      </c>
      <c r="DO45" s="64">
        <f t="shared" si="228"/>
        <v>24500</v>
      </c>
      <c r="DP45" s="64">
        <f t="shared" si="228"/>
        <v>2863350</v>
      </c>
      <c r="DQ45" s="64">
        <f t="shared" si="228"/>
        <v>38000</v>
      </c>
      <c r="DR45" s="64">
        <f t="shared" si="228"/>
        <v>0</v>
      </c>
      <c r="DS45" s="64">
        <f t="shared" si="228"/>
        <v>24500</v>
      </c>
      <c r="DT45" t="str">
        <f t="shared" si="7"/>
        <v>BANKNIFTY</v>
      </c>
      <c r="DU45" s="10">
        <f t="shared" si="8"/>
        <v>44784</v>
      </c>
    </row>
    <row r="46" spans="1:125" x14ac:dyDescent="0.25">
      <c r="A46" t="s">
        <v>20</v>
      </c>
      <c r="B46" s="2">
        <v>44861</v>
      </c>
      <c r="C46" s="1">
        <v>200</v>
      </c>
      <c r="D46">
        <v>64</v>
      </c>
      <c r="G46" t="str">
        <f t="array" ref="G46">IFERROR(INDEX($A$2:$A$700,MATCH(0,COUNTIF($G$1:G45,$A$2:$A$700),0)),"")</f>
        <v>COALINDIA</v>
      </c>
      <c r="M46" s="3"/>
      <c r="N46" s="3"/>
      <c r="O46" s="3">
        <f t="shared" si="9"/>
        <v>33800</v>
      </c>
      <c r="P46" s="7">
        <f t="shared" ref="P46:CA46" si="229">IFERROR(VALUE(P351),"-")</f>
        <v>2.5</v>
      </c>
      <c r="Q46" s="7">
        <f t="shared" si="229"/>
        <v>2.2999999523162842</v>
      </c>
      <c r="R46" s="7">
        <f t="shared" si="229"/>
        <v>3.8499999046325684</v>
      </c>
      <c r="S46" s="7">
        <f t="shared" si="229"/>
        <v>3.8499999046325684</v>
      </c>
      <c r="T46" s="11">
        <f t="shared" si="229"/>
        <v>-32.4609375</v>
      </c>
      <c r="U46" s="11">
        <f t="shared" si="229"/>
        <v>96716.7265625</v>
      </c>
      <c r="V46" s="11">
        <f t="shared" si="229"/>
        <v>-45.015625</v>
      </c>
      <c r="W46" s="11">
        <f t="shared" si="229"/>
        <v>191742.75</v>
      </c>
      <c r="X46" s="14">
        <f t="shared" si="229"/>
        <v>1.3038516044616699E-8</v>
      </c>
      <c r="Y46" s="14">
        <f t="shared" si="229"/>
        <v>1.9335653632879257E-5</v>
      </c>
      <c r="Z46" s="14">
        <f t="shared" si="229"/>
        <v>3.4542608773335814E-8</v>
      </c>
      <c r="AA46" s="14">
        <f t="shared" si="229"/>
        <v>4.3990086851408705E-5</v>
      </c>
      <c r="AB46" s="15">
        <f t="shared" si="229"/>
        <v>-9.4093621783031267E-12</v>
      </c>
      <c r="AC46" s="15">
        <f t="shared" si="229"/>
        <v>-1.0022732865877515E-8</v>
      </c>
      <c r="AD46" s="13">
        <f t="shared" si="229"/>
        <v>-3.093719482421875E-3</v>
      </c>
      <c r="AE46" s="13">
        <f t="shared" si="229"/>
        <v>15.781572341918945</v>
      </c>
      <c r="AF46" s="12">
        <f t="shared" si="229"/>
        <v>3.055572509765625E-3</v>
      </c>
      <c r="AG46" s="12">
        <f t="shared" si="229"/>
        <v>-35.904277801513672</v>
      </c>
      <c r="AH46" s="13">
        <f t="shared" si="229"/>
        <v>4.38558345194906E-9</v>
      </c>
      <c r="AI46" s="13">
        <f t="shared" si="229"/>
        <v>6.8838007791782729E-6</v>
      </c>
      <c r="AJ46" s="11">
        <f t="shared" si="229"/>
        <v>4.6491622924804688E-5</v>
      </c>
      <c r="AK46" s="11">
        <f t="shared" si="229"/>
        <v>0.25710031390190125</v>
      </c>
      <c r="AL46" s="11">
        <f t="shared" si="229"/>
        <v>0</v>
      </c>
      <c r="AM46" s="11">
        <f t="shared" si="229"/>
        <v>-2.5</v>
      </c>
      <c r="AN46" s="11">
        <f t="shared" si="229"/>
        <v>-1.3899989426136017E-6</v>
      </c>
      <c r="AO46" s="11">
        <f t="shared" si="229"/>
        <v>-4.3035889975726604E-3</v>
      </c>
      <c r="AP46" s="11">
        <f t="shared" si="229"/>
        <v>90.394043922424316</v>
      </c>
      <c r="AQ46" s="11">
        <f t="shared" si="229"/>
        <v>195375</v>
      </c>
      <c r="AR46" s="16">
        <f t="shared" si="229"/>
        <v>-20725</v>
      </c>
      <c r="AS46" s="16">
        <f t="shared" si="229"/>
        <v>13200</v>
      </c>
      <c r="AT46" s="16">
        <f t="shared" si="229"/>
        <v>90.394043922424316</v>
      </c>
      <c r="AU46" s="7">
        <f t="shared" si="229"/>
        <v>0</v>
      </c>
      <c r="AV46" s="7">
        <f t="shared" si="229"/>
        <v>2.5</v>
      </c>
      <c r="AW46" s="7">
        <f t="shared" si="229"/>
        <v>0</v>
      </c>
      <c r="AX46" s="7">
        <f t="shared" si="229"/>
        <v>0</v>
      </c>
      <c r="AY46" s="11">
        <f t="shared" si="229"/>
        <v>0</v>
      </c>
      <c r="AZ46" s="16">
        <f t="shared" si="229"/>
        <v>0</v>
      </c>
      <c r="BA46" s="16">
        <f t="shared" si="229"/>
        <v>0</v>
      </c>
      <c r="BB46" s="16">
        <f t="shared" si="229"/>
        <v>0</v>
      </c>
      <c r="BC46" s="11">
        <f t="shared" si="229"/>
        <v>0</v>
      </c>
      <c r="BD46" s="11">
        <f t="shared" si="229"/>
        <v>0</v>
      </c>
      <c r="BE46" s="11">
        <f t="shared" si="229"/>
        <v>0</v>
      </c>
      <c r="BF46" s="11">
        <f t="shared" si="229"/>
        <v>0</v>
      </c>
      <c r="BG46" s="11">
        <f t="shared" si="229"/>
        <v>0</v>
      </c>
      <c r="BH46" s="11">
        <f t="shared" si="229"/>
        <v>0</v>
      </c>
      <c r="BI46" s="13">
        <f t="shared" si="229"/>
        <v>0</v>
      </c>
      <c r="BJ46" s="13">
        <f t="shared" si="229"/>
        <v>0</v>
      </c>
      <c r="BK46" s="11">
        <f t="shared" si="229"/>
        <v>0</v>
      </c>
      <c r="BL46" s="12">
        <f t="shared" si="229"/>
        <v>0</v>
      </c>
      <c r="BM46" s="12">
        <f t="shared" si="229"/>
        <v>0</v>
      </c>
      <c r="BN46" s="13">
        <f t="shared" si="229"/>
        <v>0</v>
      </c>
      <c r="BO46" s="13">
        <f t="shared" si="229"/>
        <v>0</v>
      </c>
      <c r="BP46" s="15">
        <f t="shared" si="229"/>
        <v>0</v>
      </c>
      <c r="BQ46" s="15">
        <f t="shared" si="229"/>
        <v>0</v>
      </c>
      <c r="BR46" s="14">
        <f t="shared" si="229"/>
        <v>0</v>
      </c>
      <c r="BS46" s="14">
        <f t="shared" si="229"/>
        <v>0</v>
      </c>
      <c r="BT46" s="14">
        <f t="shared" si="229"/>
        <v>0</v>
      </c>
      <c r="BU46" s="14">
        <f t="shared" si="229"/>
        <v>0</v>
      </c>
      <c r="BV46" s="11">
        <f t="shared" si="229"/>
        <v>0</v>
      </c>
      <c r="BW46" s="11">
        <f t="shared" si="229"/>
        <v>0</v>
      </c>
      <c r="BX46" s="11">
        <f t="shared" si="229"/>
        <v>0</v>
      </c>
      <c r="BY46" s="11">
        <f t="shared" si="229"/>
        <v>0</v>
      </c>
      <c r="BZ46" s="7">
        <f t="shared" si="229"/>
        <v>0</v>
      </c>
      <c r="CA46" s="7">
        <f t="shared" si="229"/>
        <v>0</v>
      </c>
      <c r="CB46" s="7">
        <f t="shared" ref="CB46:CP46" si="230">IFERROR(VALUE(CB351),"-")</f>
        <v>0</v>
      </c>
      <c r="CC46" s="7">
        <f t="shared" si="230"/>
        <v>0</v>
      </c>
      <c r="CD46" s="7">
        <f t="shared" si="230"/>
        <v>4600.2998046875</v>
      </c>
      <c r="CE46" s="3">
        <f t="shared" si="230"/>
        <v>750</v>
      </c>
      <c r="CF46" s="7">
        <f t="shared" si="230"/>
        <v>4374.10009765625</v>
      </c>
      <c r="CG46" s="3">
        <f t="shared" si="230"/>
        <v>750</v>
      </c>
      <c r="CH46" s="7">
        <f t="shared" si="230"/>
        <v>0</v>
      </c>
      <c r="CI46" s="7">
        <f t="shared" si="230"/>
        <v>2.5</v>
      </c>
      <c r="CJ46" s="3">
        <f t="shared" si="230"/>
        <v>25</v>
      </c>
      <c r="CK46" s="7">
        <f t="shared" si="230"/>
        <v>2.4500000476837158</v>
      </c>
      <c r="CL46" s="3">
        <f t="shared" si="230"/>
        <v>100</v>
      </c>
      <c r="CM46" s="7">
        <f t="shared" si="230"/>
        <v>3.0999999046325684</v>
      </c>
      <c r="CN46" s="10">
        <f t="shared" si="230"/>
        <v>44783.638194444444</v>
      </c>
      <c r="CO46" s="10">
        <f t="shared" si="230"/>
        <v>44783.638194444444</v>
      </c>
      <c r="CP46" s="7">
        <f t="shared" si="230"/>
        <v>38295.69921875</v>
      </c>
      <c r="CQ46" s="7" t="str">
        <f t="shared" ref="CQ46" si="231">IFERROR(CQ351,"-")</f>
        <v>FairPrice</v>
      </c>
      <c r="CR46" s="10">
        <f t="shared" si="156"/>
        <v>44783.638194444444</v>
      </c>
      <c r="CS46" s="7">
        <f t="shared" si="156"/>
        <v>-2.1755695343017578E-2</v>
      </c>
      <c r="CT46" s="7">
        <f t="shared" si="156"/>
        <v>-2.4061829276508917E-4</v>
      </c>
      <c r="CU46" s="7">
        <f t="shared" si="156"/>
        <v>33925</v>
      </c>
      <c r="CV46" s="7">
        <f t="shared" si="156"/>
        <v>-0.61090641120117906</v>
      </c>
      <c r="CW46" s="7">
        <f t="shared" si="156"/>
        <v>2.5</v>
      </c>
      <c r="CX46" s="7">
        <f t="shared" si="156"/>
        <v>0</v>
      </c>
      <c r="CY46" s="7">
        <f t="shared" si="156"/>
        <v>0</v>
      </c>
      <c r="CZ46" s="7">
        <f t="shared" si="156"/>
        <v>0</v>
      </c>
      <c r="DA46" s="7">
        <f t="shared" si="156"/>
        <v>0</v>
      </c>
      <c r="DB46" s="7">
        <f t="shared" si="156"/>
        <v>0</v>
      </c>
      <c r="DC46" s="7">
        <f t="shared" si="156"/>
        <v>0</v>
      </c>
      <c r="DD46" s="7">
        <f t="shared" si="156"/>
        <v>0</v>
      </c>
      <c r="DE46" s="7">
        <f t="shared" si="156"/>
        <v>0</v>
      </c>
      <c r="DF46" s="7">
        <f t="shared" si="156"/>
        <v>2.5</v>
      </c>
      <c r="DG46" s="7">
        <f t="shared" ref="DG46" si="232">IFERROR(VALUE(DG351),"-")</f>
        <v>38295.69921875</v>
      </c>
      <c r="DH46" s="7" t="str">
        <f t="shared" ref="DH46:DJ46" si="233">IFERROR(DH351,"-")</f>
        <v>W</v>
      </c>
      <c r="DI46" s="7" t="str">
        <f t="shared" si="233"/>
        <v>W</v>
      </c>
      <c r="DJ46" s="7" t="str">
        <f t="shared" si="233"/>
        <v>G</v>
      </c>
      <c r="DK46" s="64">
        <f t="shared" ref="DK46:DS46" si="234">IFERROR(VALUE(DK351),"-")</f>
        <v>38300</v>
      </c>
      <c r="DL46" s="64">
        <f t="shared" si="234"/>
        <v>3400000</v>
      </c>
      <c r="DM46" s="64">
        <f t="shared" si="234"/>
        <v>38500</v>
      </c>
      <c r="DN46" s="64">
        <f t="shared" si="234"/>
        <v>0</v>
      </c>
      <c r="DO46" s="64">
        <f t="shared" si="234"/>
        <v>24500</v>
      </c>
      <c r="DP46" s="64">
        <f t="shared" si="234"/>
        <v>2863350</v>
      </c>
      <c r="DQ46" s="64">
        <f t="shared" si="234"/>
        <v>38000</v>
      </c>
      <c r="DR46" s="64">
        <f t="shared" si="234"/>
        <v>0</v>
      </c>
      <c r="DS46" s="64">
        <f t="shared" si="234"/>
        <v>24500</v>
      </c>
      <c r="DT46" t="str">
        <f t="shared" si="7"/>
        <v>BANKNIFTY</v>
      </c>
      <c r="DU46" s="10">
        <f t="shared" si="8"/>
        <v>44784</v>
      </c>
    </row>
    <row r="47" spans="1:125" x14ac:dyDescent="0.25">
      <c r="A47" t="s">
        <v>21</v>
      </c>
      <c r="B47" s="2">
        <v>44798</v>
      </c>
      <c r="C47" s="1">
        <v>275</v>
      </c>
      <c r="D47">
        <v>95</v>
      </c>
      <c r="G47" t="str">
        <f t="array" ref="G47">IFERROR(INDEX($A$2:$A$700,MATCH(0,COUNTIF($G$1:G46,$A$2:$A$700),0)),"")</f>
        <v>COFORGE</v>
      </c>
      <c r="M47" s="3"/>
      <c r="N47" s="3"/>
      <c r="O47" s="3">
        <f t="shared" si="9"/>
        <v>33900</v>
      </c>
      <c r="P47" s="7">
        <f t="shared" ref="P47:CA47" si="235">IFERROR(VALUE(P352),"-")</f>
        <v>2.5999999046325684</v>
      </c>
      <c r="Q47" s="7">
        <f t="shared" si="235"/>
        <v>2.5499999523162842</v>
      </c>
      <c r="R47" s="7">
        <f t="shared" si="235"/>
        <v>3.7000000476837158</v>
      </c>
      <c r="S47" s="7">
        <f t="shared" si="235"/>
        <v>3.2000000476837158</v>
      </c>
      <c r="T47" s="11">
        <f t="shared" si="235"/>
        <v>-42.5859375</v>
      </c>
      <c r="U47" s="11">
        <f t="shared" si="235"/>
        <v>91257.1640625</v>
      </c>
      <c r="V47" s="11">
        <f t="shared" si="235"/>
        <v>-49.1875</v>
      </c>
      <c r="W47" s="11">
        <f t="shared" si="235"/>
        <v>183770.15625</v>
      </c>
      <c r="X47" s="14">
        <f t="shared" si="235"/>
        <v>1.7267666407860816E-8</v>
      </c>
      <c r="Y47" s="14">
        <f t="shared" si="235"/>
        <v>2.0289451640564948E-5</v>
      </c>
      <c r="Z47" s="14">
        <f t="shared" si="235"/>
        <v>4.9956724978983402E-8</v>
      </c>
      <c r="AA47" s="14">
        <f t="shared" si="235"/>
        <v>4.6968558308435604E-5</v>
      </c>
      <c r="AB47" s="15">
        <f t="shared" si="235"/>
        <v>-1.3457679415296298E-11</v>
      </c>
      <c r="AC47" s="15">
        <f t="shared" si="235"/>
        <v>-1.0795244698158513E-8</v>
      </c>
      <c r="AD47" s="13">
        <f t="shared" si="235"/>
        <v>-4.5375823974609375E-3</v>
      </c>
      <c r="AE47" s="13">
        <f t="shared" si="235"/>
        <v>14.966288566589355</v>
      </c>
      <c r="AF47" s="12">
        <f t="shared" si="235"/>
        <v>3.131866455078125E-3</v>
      </c>
      <c r="AG47" s="12">
        <f t="shared" si="235"/>
        <v>-34.645835876464844</v>
      </c>
      <c r="AH47" s="13">
        <f t="shared" si="235"/>
        <v>6.2082108343020082E-9</v>
      </c>
      <c r="AI47" s="13">
        <f t="shared" si="235"/>
        <v>7.3375840656808577E-6</v>
      </c>
      <c r="AJ47" s="11">
        <f t="shared" si="235"/>
        <v>7.05718994140625E-5</v>
      </c>
      <c r="AK47" s="11">
        <f t="shared" si="235"/>
        <v>0.26932397484779358</v>
      </c>
      <c r="AL47" s="11">
        <f t="shared" si="235"/>
        <v>0</v>
      </c>
      <c r="AM47" s="11">
        <f t="shared" si="235"/>
        <v>-2.5999999046325684</v>
      </c>
      <c r="AN47" s="11">
        <f t="shared" si="235"/>
        <v>-1.9446015357971191E-6</v>
      </c>
      <c r="AO47" s="11">
        <f t="shared" si="235"/>
        <v>-4.533328115940094E-3</v>
      </c>
      <c r="AP47" s="11">
        <f t="shared" si="235"/>
        <v>88.838005065917969</v>
      </c>
      <c r="AQ47" s="11">
        <f t="shared" si="235"/>
        <v>117575</v>
      </c>
      <c r="AR47" s="16">
        <f t="shared" si="235"/>
        <v>-22350</v>
      </c>
      <c r="AS47" s="16">
        <f t="shared" si="235"/>
        <v>9325</v>
      </c>
      <c r="AT47" s="16">
        <f t="shared" si="235"/>
        <v>88.838005065917969</v>
      </c>
      <c r="AU47" s="7">
        <f t="shared" si="235"/>
        <v>0</v>
      </c>
      <c r="AV47" s="7">
        <f t="shared" si="235"/>
        <v>2.5999999046325684</v>
      </c>
      <c r="AW47" s="7">
        <f t="shared" si="235"/>
        <v>0</v>
      </c>
      <c r="AX47" s="7">
        <f t="shared" si="235"/>
        <v>0</v>
      </c>
      <c r="AY47" s="11">
        <f t="shared" si="235"/>
        <v>0</v>
      </c>
      <c r="AZ47" s="16">
        <f t="shared" si="235"/>
        <v>0</v>
      </c>
      <c r="BA47" s="16">
        <f t="shared" si="235"/>
        <v>0</v>
      </c>
      <c r="BB47" s="16">
        <f t="shared" si="235"/>
        <v>0</v>
      </c>
      <c r="BC47" s="11">
        <f t="shared" si="235"/>
        <v>0</v>
      </c>
      <c r="BD47" s="11">
        <f t="shared" si="235"/>
        <v>0</v>
      </c>
      <c r="BE47" s="11">
        <f t="shared" si="235"/>
        <v>0</v>
      </c>
      <c r="BF47" s="11">
        <f t="shared" si="235"/>
        <v>0</v>
      </c>
      <c r="BG47" s="11">
        <f t="shared" si="235"/>
        <v>0</v>
      </c>
      <c r="BH47" s="11">
        <f t="shared" si="235"/>
        <v>0</v>
      </c>
      <c r="BI47" s="13">
        <f t="shared" si="235"/>
        <v>0</v>
      </c>
      <c r="BJ47" s="13">
        <f t="shared" si="235"/>
        <v>0</v>
      </c>
      <c r="BK47" s="11">
        <f t="shared" si="235"/>
        <v>0</v>
      </c>
      <c r="BL47" s="12">
        <f t="shared" si="235"/>
        <v>0</v>
      </c>
      <c r="BM47" s="12">
        <f t="shared" si="235"/>
        <v>0</v>
      </c>
      <c r="BN47" s="13">
        <f t="shared" si="235"/>
        <v>0</v>
      </c>
      <c r="BO47" s="13">
        <f t="shared" si="235"/>
        <v>0</v>
      </c>
      <c r="BP47" s="15">
        <f t="shared" si="235"/>
        <v>0</v>
      </c>
      <c r="BQ47" s="15">
        <f t="shared" si="235"/>
        <v>0</v>
      </c>
      <c r="BR47" s="14">
        <f t="shared" si="235"/>
        <v>0</v>
      </c>
      <c r="BS47" s="14">
        <f t="shared" si="235"/>
        <v>0</v>
      </c>
      <c r="BT47" s="14">
        <f t="shared" si="235"/>
        <v>0</v>
      </c>
      <c r="BU47" s="14">
        <f t="shared" si="235"/>
        <v>0</v>
      </c>
      <c r="BV47" s="11">
        <f t="shared" si="235"/>
        <v>0</v>
      </c>
      <c r="BW47" s="11">
        <f t="shared" si="235"/>
        <v>0</v>
      </c>
      <c r="BX47" s="11">
        <f t="shared" si="235"/>
        <v>0</v>
      </c>
      <c r="BY47" s="11">
        <f t="shared" si="235"/>
        <v>0</v>
      </c>
      <c r="BZ47" s="7">
        <f t="shared" si="235"/>
        <v>0</v>
      </c>
      <c r="CA47" s="7">
        <f t="shared" si="235"/>
        <v>0</v>
      </c>
      <c r="CB47" s="7">
        <f t="shared" ref="CB47:CP47" si="236">IFERROR(VALUE(CB352),"-")</f>
        <v>0</v>
      </c>
      <c r="CC47" s="7">
        <f t="shared" si="236"/>
        <v>0</v>
      </c>
      <c r="CD47" s="7">
        <f t="shared" si="236"/>
        <v>4514.2998046875</v>
      </c>
      <c r="CE47" s="3">
        <f t="shared" si="236"/>
        <v>750</v>
      </c>
      <c r="CF47" s="7">
        <f t="shared" si="236"/>
        <v>4254.2998046875</v>
      </c>
      <c r="CG47" s="3">
        <f t="shared" si="236"/>
        <v>750</v>
      </c>
      <c r="CH47" s="7">
        <f t="shared" si="236"/>
        <v>0</v>
      </c>
      <c r="CI47" s="7">
        <f t="shared" si="236"/>
        <v>2.5999999046325684</v>
      </c>
      <c r="CJ47" s="3">
        <f t="shared" si="236"/>
        <v>875</v>
      </c>
      <c r="CK47" s="7">
        <f t="shared" si="236"/>
        <v>2.5</v>
      </c>
      <c r="CL47" s="3">
        <f t="shared" si="236"/>
        <v>300</v>
      </c>
      <c r="CM47" s="7">
        <f t="shared" si="236"/>
        <v>3.1600000858306885</v>
      </c>
      <c r="CN47" s="10">
        <f t="shared" si="236"/>
        <v>44783.638194444444</v>
      </c>
      <c r="CO47" s="10">
        <f t="shared" si="236"/>
        <v>44783.638194444444</v>
      </c>
      <c r="CP47" s="7">
        <f t="shared" si="236"/>
        <v>38295.69921875</v>
      </c>
      <c r="CQ47" s="7" t="str">
        <f t="shared" ref="CQ47" si="237">IFERROR(CQ352,"-")</f>
        <v>FairPrice</v>
      </c>
      <c r="CR47" s="10">
        <f t="shared" ref="CR47:DG62" si="238">IFERROR(VALUE(CR352),"-")</f>
        <v>44783.638194444444</v>
      </c>
      <c r="CS47" s="7">
        <f t="shared" si="238"/>
        <v>-3.0428171157836914E-2</v>
      </c>
      <c r="CT47" s="7">
        <f t="shared" si="238"/>
        <v>-3.4239571971144322E-4</v>
      </c>
      <c r="CU47" s="7">
        <f t="shared" si="238"/>
        <v>31675</v>
      </c>
      <c r="CV47" s="7">
        <f t="shared" si="238"/>
        <v>-0.70560378847671668</v>
      </c>
      <c r="CW47" s="7">
        <f t="shared" si="238"/>
        <v>2.5999999046325684</v>
      </c>
      <c r="CX47" s="7">
        <f t="shared" si="238"/>
        <v>0</v>
      </c>
      <c r="CY47" s="7">
        <f t="shared" si="238"/>
        <v>0</v>
      </c>
      <c r="CZ47" s="7">
        <f t="shared" si="238"/>
        <v>0</v>
      </c>
      <c r="DA47" s="7">
        <f t="shared" si="238"/>
        <v>0</v>
      </c>
      <c r="DB47" s="7">
        <f t="shared" si="238"/>
        <v>0</v>
      </c>
      <c r="DC47" s="7">
        <f t="shared" si="238"/>
        <v>0</v>
      </c>
      <c r="DD47" s="7">
        <f t="shared" si="238"/>
        <v>0</v>
      </c>
      <c r="DE47" s="7">
        <f t="shared" si="238"/>
        <v>0</v>
      </c>
      <c r="DF47" s="7">
        <f t="shared" si="238"/>
        <v>2.5999999046325684</v>
      </c>
      <c r="DG47" s="7">
        <f t="shared" si="238"/>
        <v>38295.69921875</v>
      </c>
      <c r="DH47" s="7" t="str">
        <f t="shared" ref="DH47:DJ47" si="239">IFERROR(DH352,"-")</f>
        <v>W</v>
      </c>
      <c r="DI47" s="7" t="str">
        <f t="shared" si="239"/>
        <v>W</v>
      </c>
      <c r="DJ47" s="7" t="str">
        <f t="shared" si="239"/>
        <v>G</v>
      </c>
      <c r="DK47" s="64">
        <f t="shared" ref="DK47:DS47" si="240">IFERROR(VALUE(DK352),"-")</f>
        <v>38300</v>
      </c>
      <c r="DL47" s="64">
        <f t="shared" si="240"/>
        <v>3400000</v>
      </c>
      <c r="DM47" s="64">
        <f t="shared" si="240"/>
        <v>38500</v>
      </c>
      <c r="DN47" s="64">
        <f t="shared" si="240"/>
        <v>0</v>
      </c>
      <c r="DO47" s="64">
        <f t="shared" si="240"/>
        <v>24500</v>
      </c>
      <c r="DP47" s="64">
        <f t="shared" si="240"/>
        <v>2863350</v>
      </c>
      <c r="DQ47" s="64">
        <f t="shared" si="240"/>
        <v>38000</v>
      </c>
      <c r="DR47" s="64">
        <f t="shared" si="240"/>
        <v>0</v>
      </c>
      <c r="DS47" s="64">
        <f t="shared" si="240"/>
        <v>24500</v>
      </c>
      <c r="DT47" t="str">
        <f t="shared" si="7"/>
        <v>BANKNIFTY</v>
      </c>
      <c r="DU47" s="10">
        <f t="shared" si="8"/>
        <v>44784</v>
      </c>
    </row>
    <row r="48" spans="1:125" x14ac:dyDescent="0.25">
      <c r="A48" t="s">
        <v>21</v>
      </c>
      <c r="B48" s="2">
        <v>44833</v>
      </c>
      <c r="C48" s="1">
        <v>275</v>
      </c>
      <c r="D48">
        <v>95</v>
      </c>
      <c r="G48" t="str">
        <f t="array" ref="G48">IFERROR(INDEX($A$2:$A$700,MATCH(0,COUNTIF($G$1:G47,$A$2:$A$700),0)),"")</f>
        <v>COLPAL</v>
      </c>
      <c r="M48" s="3"/>
      <c r="N48" s="3"/>
      <c r="O48" s="3">
        <f t="shared" si="9"/>
        <v>34000</v>
      </c>
      <c r="P48" s="7">
        <f t="shared" ref="P48:CA48" si="241">IFERROR(VALUE(P353),"-")</f>
        <v>2.4500000476837158</v>
      </c>
      <c r="Q48" s="7">
        <f t="shared" si="241"/>
        <v>2.4500000476837158</v>
      </c>
      <c r="R48" s="7">
        <f t="shared" si="241"/>
        <v>3.8499999046325684</v>
      </c>
      <c r="S48" s="7">
        <f t="shared" si="241"/>
        <v>3.5</v>
      </c>
      <c r="T48" s="11">
        <f t="shared" si="241"/>
        <v>3.2265625</v>
      </c>
      <c r="U48" s="11">
        <f t="shared" si="241"/>
        <v>94213.3125</v>
      </c>
      <c r="V48" s="11">
        <f t="shared" si="241"/>
        <v>-7.8125</v>
      </c>
      <c r="W48" s="11">
        <f t="shared" si="241"/>
        <v>195355</v>
      </c>
      <c r="X48" s="14">
        <f t="shared" si="241"/>
        <v>5.347828846424818E-10</v>
      </c>
      <c r="Y48" s="14">
        <f t="shared" si="241"/>
        <v>2.055474033113569E-5</v>
      </c>
      <c r="Z48" s="14">
        <f t="shared" si="241"/>
        <v>-2.3756001610308886E-9</v>
      </c>
      <c r="AA48" s="14">
        <f t="shared" si="241"/>
        <v>4.8945119488053024E-5</v>
      </c>
      <c r="AB48" s="15">
        <f t="shared" si="241"/>
        <v>3.3217872896784684E-13</v>
      </c>
      <c r="AC48" s="15">
        <f t="shared" si="241"/>
        <v>-1.1181406023297313E-8</v>
      </c>
      <c r="AD48" s="13">
        <f t="shared" si="241"/>
        <v>8.2492828369140625E-4</v>
      </c>
      <c r="AE48" s="13">
        <f t="shared" si="241"/>
        <v>15.412060737609863</v>
      </c>
      <c r="AF48" s="12">
        <f t="shared" si="241"/>
        <v>7.7056884765625E-4</v>
      </c>
      <c r="AG48" s="12">
        <f t="shared" si="241"/>
        <v>-36.699329376220703</v>
      </c>
      <c r="AH48" s="13">
        <f t="shared" si="241"/>
        <v>-1.482476363889873E-10</v>
      </c>
      <c r="AI48" s="13">
        <f t="shared" si="241"/>
        <v>7.363725671893917E-6</v>
      </c>
      <c r="AJ48" s="11">
        <f t="shared" si="241"/>
        <v>-7.7486038208007813E-6</v>
      </c>
      <c r="AK48" s="11">
        <f t="shared" si="241"/>
        <v>0.2626628577709198</v>
      </c>
      <c r="AL48" s="11">
        <f t="shared" si="241"/>
        <v>0</v>
      </c>
      <c r="AM48" s="11">
        <f t="shared" si="241"/>
        <v>-2.4500000476837158</v>
      </c>
      <c r="AN48" s="11">
        <f t="shared" si="241"/>
        <v>4.5169144868850708E-8</v>
      </c>
      <c r="AO48" s="11">
        <f t="shared" si="241"/>
        <v>-4.4084610417485237E-3</v>
      </c>
      <c r="AP48" s="11">
        <f t="shared" si="241"/>
        <v>86.350184679031372</v>
      </c>
      <c r="AQ48" s="11">
        <f t="shared" si="241"/>
        <v>3278150</v>
      </c>
      <c r="AR48" s="16">
        <f t="shared" si="241"/>
        <v>17450</v>
      </c>
      <c r="AS48" s="16">
        <f t="shared" si="241"/>
        <v>601775</v>
      </c>
      <c r="AT48" s="16">
        <f t="shared" si="241"/>
        <v>86.350184679031372</v>
      </c>
      <c r="AU48" s="7">
        <f t="shared" si="241"/>
        <v>0</v>
      </c>
      <c r="AV48" s="7">
        <f t="shared" si="241"/>
        <v>2.4500000476837158</v>
      </c>
      <c r="AW48" s="7">
        <f t="shared" si="241"/>
        <v>3925</v>
      </c>
      <c r="AX48" s="7">
        <f t="shared" si="241"/>
        <v>0</v>
      </c>
      <c r="AY48" s="11">
        <f t="shared" si="241"/>
        <v>0</v>
      </c>
      <c r="AZ48" s="16">
        <f t="shared" si="241"/>
        <v>1050</v>
      </c>
      <c r="BA48" s="16">
        <f t="shared" si="241"/>
        <v>0</v>
      </c>
      <c r="BB48" s="16">
        <f t="shared" si="241"/>
        <v>0</v>
      </c>
      <c r="BC48" s="11">
        <f t="shared" si="241"/>
        <v>0</v>
      </c>
      <c r="BD48" s="11">
        <f t="shared" si="241"/>
        <v>0</v>
      </c>
      <c r="BE48" s="11">
        <f t="shared" si="241"/>
        <v>0</v>
      </c>
      <c r="BF48" s="11">
        <f t="shared" si="241"/>
        <v>0</v>
      </c>
      <c r="BG48" s="11">
        <f t="shared" si="241"/>
        <v>0</v>
      </c>
      <c r="BH48" s="11">
        <f t="shared" si="241"/>
        <v>0</v>
      </c>
      <c r="BI48" s="13">
        <f t="shared" si="241"/>
        <v>0</v>
      </c>
      <c r="BJ48" s="13">
        <f t="shared" si="241"/>
        <v>0</v>
      </c>
      <c r="BK48" s="11">
        <f t="shared" si="241"/>
        <v>0</v>
      </c>
      <c r="BL48" s="12">
        <f t="shared" si="241"/>
        <v>0</v>
      </c>
      <c r="BM48" s="12">
        <f t="shared" si="241"/>
        <v>0</v>
      </c>
      <c r="BN48" s="13">
        <f t="shared" si="241"/>
        <v>0</v>
      </c>
      <c r="BO48" s="13">
        <f t="shared" si="241"/>
        <v>0</v>
      </c>
      <c r="BP48" s="15">
        <f t="shared" si="241"/>
        <v>0</v>
      </c>
      <c r="BQ48" s="15">
        <f t="shared" si="241"/>
        <v>0</v>
      </c>
      <c r="BR48" s="14">
        <f t="shared" si="241"/>
        <v>0</v>
      </c>
      <c r="BS48" s="14">
        <f t="shared" si="241"/>
        <v>0</v>
      </c>
      <c r="BT48" s="14">
        <f t="shared" si="241"/>
        <v>0</v>
      </c>
      <c r="BU48" s="14">
        <f t="shared" si="241"/>
        <v>0</v>
      </c>
      <c r="BV48" s="11">
        <f t="shared" si="241"/>
        <v>0</v>
      </c>
      <c r="BW48" s="11">
        <f t="shared" si="241"/>
        <v>0</v>
      </c>
      <c r="BX48" s="11">
        <f t="shared" si="241"/>
        <v>0</v>
      </c>
      <c r="BY48" s="11">
        <f t="shared" si="241"/>
        <v>0</v>
      </c>
      <c r="BZ48" s="7">
        <f t="shared" si="241"/>
        <v>0</v>
      </c>
      <c r="CA48" s="7">
        <f t="shared" si="241"/>
        <v>0</v>
      </c>
      <c r="CB48" s="7">
        <f t="shared" ref="CB48:CP48" si="242">IFERROR(VALUE(CB353),"-")</f>
        <v>0</v>
      </c>
      <c r="CC48" s="7">
        <f t="shared" si="242"/>
        <v>3925</v>
      </c>
      <c r="CD48" s="7">
        <f t="shared" si="242"/>
        <v>4373.9501953125</v>
      </c>
      <c r="CE48" s="3">
        <f t="shared" si="242"/>
        <v>425</v>
      </c>
      <c r="CF48" s="7">
        <f t="shared" si="242"/>
        <v>4280.0498046875</v>
      </c>
      <c r="CG48" s="3">
        <f t="shared" si="242"/>
        <v>1325</v>
      </c>
      <c r="CH48" s="7">
        <f t="shared" si="242"/>
        <v>0</v>
      </c>
      <c r="CI48" s="7">
        <f t="shared" si="242"/>
        <v>2.5</v>
      </c>
      <c r="CJ48" s="3">
        <f t="shared" si="242"/>
        <v>1350</v>
      </c>
      <c r="CK48" s="7">
        <f t="shared" si="242"/>
        <v>2.4500000476837158</v>
      </c>
      <c r="CL48" s="3">
        <f t="shared" si="242"/>
        <v>1725</v>
      </c>
      <c r="CM48" s="7">
        <f t="shared" si="242"/>
        <v>3.1800000667572021</v>
      </c>
      <c r="CN48" s="10">
        <f t="shared" si="242"/>
        <v>44783.638194444444</v>
      </c>
      <c r="CO48" s="10">
        <f t="shared" si="242"/>
        <v>44783.638194444444</v>
      </c>
      <c r="CP48" s="7">
        <f t="shared" si="242"/>
        <v>38295.69921875</v>
      </c>
      <c r="CQ48" s="7" t="str">
        <f t="shared" ref="CQ48" si="243">IFERROR(CQ353,"-")</f>
        <v>FairPrice</v>
      </c>
      <c r="CR48" s="10">
        <f t="shared" si="238"/>
        <v>44783.638194444444</v>
      </c>
      <c r="CS48" s="7">
        <f t="shared" si="238"/>
        <v>2.7060508728027344E-3</v>
      </c>
      <c r="CT48" s="7">
        <f t="shared" si="238"/>
        <v>3.1339083848133006E-5</v>
      </c>
      <c r="CU48" s="7">
        <f t="shared" si="238"/>
        <v>584325</v>
      </c>
      <c r="CV48" s="7">
        <f t="shared" si="238"/>
        <v>2.986351773413768E-2</v>
      </c>
      <c r="CW48" s="7">
        <f t="shared" si="238"/>
        <v>2.4500000476837158</v>
      </c>
      <c r="CX48" s="7">
        <f t="shared" si="238"/>
        <v>0</v>
      </c>
      <c r="CY48" s="7">
        <f t="shared" si="238"/>
        <v>3925</v>
      </c>
      <c r="CZ48" s="7">
        <f t="shared" si="238"/>
        <v>0</v>
      </c>
      <c r="DA48" s="7">
        <f t="shared" si="238"/>
        <v>1050</v>
      </c>
      <c r="DB48" s="7">
        <f t="shared" si="238"/>
        <v>0</v>
      </c>
      <c r="DC48" s="7">
        <f t="shared" si="238"/>
        <v>0</v>
      </c>
      <c r="DD48" s="7">
        <f t="shared" si="238"/>
        <v>0</v>
      </c>
      <c r="DE48" s="7">
        <f t="shared" si="238"/>
        <v>3925</v>
      </c>
      <c r="DF48" s="7">
        <f t="shared" si="238"/>
        <v>2.4500000476837158</v>
      </c>
      <c r="DG48" s="7">
        <f t="shared" si="238"/>
        <v>38295.69921875</v>
      </c>
      <c r="DH48" s="7" t="str">
        <f t="shared" ref="DH48:DJ48" si="244">IFERROR(DH353,"-")</f>
        <v>W</v>
      </c>
      <c r="DI48" s="7" t="str">
        <f t="shared" si="244"/>
        <v>W</v>
      </c>
      <c r="DJ48" s="7" t="str">
        <f t="shared" si="244"/>
        <v>G</v>
      </c>
      <c r="DK48" s="64">
        <f t="shared" ref="DK48:DS48" si="245">IFERROR(VALUE(DK353),"-")</f>
        <v>38300</v>
      </c>
      <c r="DL48" s="64">
        <f t="shared" si="245"/>
        <v>3400000</v>
      </c>
      <c r="DM48" s="64">
        <f t="shared" si="245"/>
        <v>38500</v>
      </c>
      <c r="DN48" s="64">
        <f t="shared" si="245"/>
        <v>0</v>
      </c>
      <c r="DO48" s="64">
        <f t="shared" si="245"/>
        <v>24500</v>
      </c>
      <c r="DP48" s="64">
        <f t="shared" si="245"/>
        <v>2863350</v>
      </c>
      <c r="DQ48" s="64">
        <f t="shared" si="245"/>
        <v>38000</v>
      </c>
      <c r="DR48" s="64">
        <f t="shared" si="245"/>
        <v>0</v>
      </c>
      <c r="DS48" s="64">
        <f t="shared" si="245"/>
        <v>24500</v>
      </c>
      <c r="DT48" t="str">
        <f t="shared" si="7"/>
        <v>BANKNIFTY</v>
      </c>
      <c r="DU48" s="10">
        <f t="shared" si="8"/>
        <v>44784</v>
      </c>
    </row>
    <row r="49" spans="1:125" x14ac:dyDescent="0.25">
      <c r="A49" t="s">
        <v>21</v>
      </c>
      <c r="B49" s="2">
        <v>44861</v>
      </c>
      <c r="C49" s="1">
        <v>275</v>
      </c>
      <c r="D49">
        <v>95</v>
      </c>
      <c r="G49" t="str">
        <f t="array" ref="G49">IFERROR(INDEX($A$2:$A$700,MATCH(0,COUNTIF($G$1:G48,$A$2:$A$700),0)),"")</f>
        <v>CONCOR</v>
      </c>
      <c r="M49" s="3"/>
      <c r="N49" s="3"/>
      <c r="O49" s="3">
        <f t="shared" si="9"/>
        <v>34100</v>
      </c>
      <c r="P49" s="7">
        <f t="shared" ref="P49:CA49" si="246">IFERROR(VALUE(P354),"-")</f>
        <v>2.5499999523162842</v>
      </c>
      <c r="Q49" s="7">
        <f t="shared" si="246"/>
        <v>2.5</v>
      </c>
      <c r="R49" s="7">
        <f t="shared" si="246"/>
        <v>3.9000000953674316</v>
      </c>
      <c r="S49" s="7">
        <f t="shared" si="246"/>
        <v>3.3499999046325684</v>
      </c>
      <c r="T49" s="11">
        <f t="shared" si="246"/>
        <v>14.46875</v>
      </c>
      <c r="U49" s="11">
        <f t="shared" si="246"/>
        <v>88775.1171875</v>
      </c>
      <c r="V49" s="11">
        <f t="shared" si="246"/>
        <v>-1.40625</v>
      </c>
      <c r="W49" s="11">
        <f t="shared" si="246"/>
        <v>187104.890625</v>
      </c>
      <c r="X49" s="14">
        <f t="shared" si="246"/>
        <v>-3.219611244276166E-9</v>
      </c>
      <c r="Y49" s="14">
        <f t="shared" si="246"/>
        <v>2.1588053641607985E-5</v>
      </c>
      <c r="Z49" s="14">
        <f t="shared" si="246"/>
        <v>-1.6934791347011924E-8</v>
      </c>
      <c r="AA49" s="14">
        <f t="shared" si="246"/>
        <v>5.2344152209116146E-5</v>
      </c>
      <c r="AB49" s="15">
        <f t="shared" si="246"/>
        <v>4.0198955275627668E-12</v>
      </c>
      <c r="AC49" s="15">
        <f t="shared" si="246"/>
        <v>-1.2064922394472433E-8</v>
      </c>
      <c r="AD49" s="13">
        <f t="shared" si="246"/>
        <v>2.3183822631835938E-3</v>
      </c>
      <c r="AE49" s="13">
        <f t="shared" si="246"/>
        <v>14.596555709838867</v>
      </c>
      <c r="AF49" s="12">
        <f t="shared" si="246"/>
        <v>5.45501708984375E-4</v>
      </c>
      <c r="AG49" s="12">
        <f t="shared" si="246"/>
        <v>-35.391998291015625</v>
      </c>
      <c r="AH49" s="13">
        <f t="shared" si="246"/>
        <v>-1.7771526472643018E-9</v>
      </c>
      <c r="AI49" s="13">
        <f t="shared" si="246"/>
        <v>7.860881851229351E-6</v>
      </c>
      <c r="AJ49" s="11">
        <f t="shared" si="246"/>
        <v>-3.0159950256347656E-5</v>
      </c>
      <c r="AK49" s="11">
        <f t="shared" si="246"/>
        <v>0.2754548192024231</v>
      </c>
      <c r="AL49" s="11">
        <f t="shared" si="246"/>
        <v>0</v>
      </c>
      <c r="AM49" s="11">
        <f t="shared" si="246"/>
        <v>-2.5499999523162842</v>
      </c>
      <c r="AN49" s="11">
        <f t="shared" si="246"/>
        <v>5.3271651268005371E-7</v>
      </c>
      <c r="AO49" s="11">
        <f t="shared" si="246"/>
        <v>-4.6491418033838272E-3</v>
      </c>
      <c r="AP49" s="11">
        <f t="shared" si="246"/>
        <v>84.81297492980957</v>
      </c>
      <c r="AQ49" s="11">
        <f t="shared" si="246"/>
        <v>146600</v>
      </c>
      <c r="AR49" s="16">
        <f t="shared" si="246"/>
        <v>-10450</v>
      </c>
      <c r="AS49" s="16">
        <f t="shared" si="246"/>
        <v>17750</v>
      </c>
      <c r="AT49" s="16">
        <f t="shared" si="246"/>
        <v>84.81297492980957</v>
      </c>
      <c r="AU49" s="7">
        <f t="shared" si="246"/>
        <v>0</v>
      </c>
      <c r="AV49" s="7">
        <f t="shared" si="246"/>
        <v>2.5499999523162842</v>
      </c>
      <c r="AW49" s="7">
        <f t="shared" si="246"/>
        <v>0</v>
      </c>
      <c r="AX49" s="7">
        <f t="shared" si="246"/>
        <v>-1839.85</v>
      </c>
      <c r="AY49" s="11">
        <f t="shared" si="246"/>
        <v>0</v>
      </c>
      <c r="AZ49" s="16">
        <f t="shared" si="246"/>
        <v>0</v>
      </c>
      <c r="BA49" s="16">
        <f t="shared" si="246"/>
        <v>0</v>
      </c>
      <c r="BB49" s="16">
        <f t="shared" si="246"/>
        <v>0</v>
      </c>
      <c r="BC49" s="11">
        <f t="shared" si="246"/>
        <v>0</v>
      </c>
      <c r="BD49" s="11">
        <f t="shared" si="246"/>
        <v>0</v>
      </c>
      <c r="BE49" s="11">
        <f t="shared" si="246"/>
        <v>0</v>
      </c>
      <c r="BF49" s="11">
        <f t="shared" si="246"/>
        <v>0</v>
      </c>
      <c r="BG49" s="11">
        <f t="shared" si="246"/>
        <v>0</v>
      </c>
      <c r="BH49" s="11">
        <f t="shared" si="246"/>
        <v>0</v>
      </c>
      <c r="BI49" s="13">
        <f t="shared" si="246"/>
        <v>0</v>
      </c>
      <c r="BJ49" s="13">
        <f t="shared" si="246"/>
        <v>0</v>
      </c>
      <c r="BK49" s="11">
        <f t="shared" si="246"/>
        <v>0</v>
      </c>
      <c r="BL49" s="12">
        <f t="shared" si="246"/>
        <v>0</v>
      </c>
      <c r="BM49" s="12">
        <f t="shared" si="246"/>
        <v>0</v>
      </c>
      <c r="BN49" s="13">
        <f t="shared" si="246"/>
        <v>0</v>
      </c>
      <c r="BO49" s="13">
        <f t="shared" si="246"/>
        <v>0</v>
      </c>
      <c r="BP49" s="15">
        <f t="shared" si="246"/>
        <v>0</v>
      </c>
      <c r="BQ49" s="15">
        <f t="shared" si="246"/>
        <v>0</v>
      </c>
      <c r="BR49" s="14">
        <f t="shared" si="246"/>
        <v>0</v>
      </c>
      <c r="BS49" s="14">
        <f t="shared" si="246"/>
        <v>0</v>
      </c>
      <c r="BT49" s="14">
        <f t="shared" si="246"/>
        <v>0</v>
      </c>
      <c r="BU49" s="14">
        <f t="shared" si="246"/>
        <v>0</v>
      </c>
      <c r="BV49" s="11">
        <f t="shared" si="246"/>
        <v>0</v>
      </c>
      <c r="BW49" s="11">
        <f t="shared" si="246"/>
        <v>0</v>
      </c>
      <c r="BX49" s="11">
        <f t="shared" si="246"/>
        <v>0</v>
      </c>
      <c r="BY49" s="11">
        <f t="shared" si="246"/>
        <v>0</v>
      </c>
      <c r="BZ49" s="7">
        <f t="shared" si="246"/>
        <v>0</v>
      </c>
      <c r="CA49" s="7">
        <f t="shared" si="246"/>
        <v>0</v>
      </c>
      <c r="CB49" s="7">
        <f t="shared" ref="CB49:CP49" si="247">IFERROR(VALUE(CB354),"-")</f>
        <v>0</v>
      </c>
      <c r="CC49" s="7">
        <f t="shared" si="247"/>
        <v>0</v>
      </c>
      <c r="CD49" s="7">
        <f t="shared" si="247"/>
        <v>4284.2998046875</v>
      </c>
      <c r="CE49" s="3">
        <f t="shared" si="247"/>
        <v>800</v>
      </c>
      <c r="CF49" s="7">
        <f t="shared" si="247"/>
        <v>4111.85009765625</v>
      </c>
      <c r="CG49" s="3">
        <f t="shared" si="247"/>
        <v>750</v>
      </c>
      <c r="CH49" s="7">
        <f t="shared" si="247"/>
        <v>0</v>
      </c>
      <c r="CI49" s="7">
        <f t="shared" si="247"/>
        <v>2.5999999046325684</v>
      </c>
      <c r="CJ49" s="3">
        <f t="shared" si="247"/>
        <v>50</v>
      </c>
      <c r="CK49" s="7">
        <f t="shared" si="247"/>
        <v>2.5499999523162842</v>
      </c>
      <c r="CL49" s="3">
        <f t="shared" si="247"/>
        <v>75</v>
      </c>
      <c r="CM49" s="7">
        <f t="shared" si="247"/>
        <v>3.2699999809265137</v>
      </c>
      <c r="CN49" s="10">
        <f t="shared" si="247"/>
        <v>44783.636805555558</v>
      </c>
      <c r="CO49" s="10">
        <f t="shared" si="247"/>
        <v>44783.638194444444</v>
      </c>
      <c r="CP49" s="7">
        <f t="shared" si="247"/>
        <v>38295.69921875</v>
      </c>
      <c r="CQ49" s="7" t="str">
        <f t="shared" ref="CQ49" si="248">IFERROR(CQ354,"-")</f>
        <v>FairPrice</v>
      </c>
      <c r="CR49" s="10">
        <f t="shared" si="238"/>
        <v>44783.638194444444</v>
      </c>
      <c r="CS49" s="7">
        <f t="shared" si="238"/>
        <v>1.1116266250610352E-2</v>
      </c>
      <c r="CT49" s="7">
        <f t="shared" si="238"/>
        <v>1.3108517225681083E-4</v>
      </c>
      <c r="CU49" s="7">
        <f t="shared" si="238"/>
        <v>28200</v>
      </c>
      <c r="CV49" s="7">
        <f t="shared" si="238"/>
        <v>-0.37056737588652483</v>
      </c>
      <c r="CW49" s="7">
        <f t="shared" si="238"/>
        <v>2.5499999523162842</v>
      </c>
      <c r="CX49" s="7">
        <f t="shared" si="238"/>
        <v>0</v>
      </c>
      <c r="CY49" s="7">
        <f t="shared" si="238"/>
        <v>0</v>
      </c>
      <c r="CZ49" s="7">
        <f t="shared" si="238"/>
        <v>-1</v>
      </c>
      <c r="DA49" s="7">
        <f t="shared" si="238"/>
        <v>0</v>
      </c>
      <c r="DB49" s="7">
        <f t="shared" si="238"/>
        <v>0</v>
      </c>
      <c r="DC49" s="7">
        <f t="shared" si="238"/>
        <v>0</v>
      </c>
      <c r="DD49" s="7">
        <f t="shared" si="238"/>
        <v>0</v>
      </c>
      <c r="DE49" s="7">
        <f t="shared" si="238"/>
        <v>0</v>
      </c>
      <c r="DF49" s="7">
        <f t="shared" si="238"/>
        <v>2.5499999523162842</v>
      </c>
      <c r="DG49" s="7">
        <f t="shared" si="238"/>
        <v>38295.69921875</v>
      </c>
      <c r="DH49" s="7" t="str">
        <f t="shared" ref="DH49:DJ49" si="249">IFERROR(DH354,"-")</f>
        <v>R</v>
      </c>
      <c r="DI49" s="7" t="str">
        <f t="shared" si="249"/>
        <v>W</v>
      </c>
      <c r="DJ49" s="7" t="str">
        <f t="shared" si="249"/>
        <v>G</v>
      </c>
      <c r="DK49" s="64">
        <f t="shared" ref="DK49:DS49" si="250">IFERROR(VALUE(DK354),"-")</f>
        <v>38300</v>
      </c>
      <c r="DL49" s="64">
        <f t="shared" si="250"/>
        <v>3400000</v>
      </c>
      <c r="DM49" s="64">
        <f t="shared" si="250"/>
        <v>38500</v>
      </c>
      <c r="DN49" s="64">
        <f t="shared" si="250"/>
        <v>0</v>
      </c>
      <c r="DO49" s="64">
        <f t="shared" si="250"/>
        <v>24500</v>
      </c>
      <c r="DP49" s="64">
        <f t="shared" si="250"/>
        <v>2863350</v>
      </c>
      <c r="DQ49" s="64">
        <f t="shared" si="250"/>
        <v>38000</v>
      </c>
      <c r="DR49" s="64">
        <f t="shared" si="250"/>
        <v>0</v>
      </c>
      <c r="DS49" s="64">
        <f t="shared" si="250"/>
        <v>24500</v>
      </c>
      <c r="DT49" t="str">
        <f t="shared" si="7"/>
        <v>BANKNIFTY</v>
      </c>
      <c r="DU49" s="10">
        <f t="shared" si="8"/>
        <v>44784</v>
      </c>
    </row>
    <row r="50" spans="1:125" x14ac:dyDescent="0.25">
      <c r="A50" t="s">
        <v>22</v>
      </c>
      <c r="B50" s="2">
        <v>44798</v>
      </c>
      <c r="C50" s="1">
        <v>75</v>
      </c>
      <c r="D50">
        <v>89</v>
      </c>
      <c r="G50" t="str">
        <f t="array" ref="G50">IFERROR(INDEX($A$2:$A$700,MATCH(0,COUNTIF($G$1:G49,$A$2:$A$700),0)),"")</f>
        <v>COROMANDEL</v>
      </c>
      <c r="M50" s="3"/>
      <c r="N50" s="3"/>
      <c r="O50" s="3">
        <f t="shared" si="9"/>
        <v>34200</v>
      </c>
      <c r="P50" s="7">
        <f t="shared" ref="P50:CA50" si="251">IFERROR(VALUE(P355),"-")</f>
        <v>2.5499999523162842</v>
      </c>
      <c r="Q50" s="7">
        <f t="shared" si="251"/>
        <v>2.5</v>
      </c>
      <c r="R50" s="7">
        <f t="shared" si="251"/>
        <v>4.0500001907348633</v>
      </c>
      <c r="S50" s="7">
        <f t="shared" si="251"/>
        <v>3.25</v>
      </c>
      <c r="T50" s="11">
        <f t="shared" si="251"/>
        <v>-31.5</v>
      </c>
      <c r="U50" s="11">
        <f t="shared" si="251"/>
        <v>86677.8203125</v>
      </c>
      <c r="V50" s="11">
        <f t="shared" si="251"/>
        <v>-35.046875</v>
      </c>
      <c r="W50" s="11">
        <f t="shared" si="251"/>
        <v>186837.859375</v>
      </c>
      <c r="X50" s="14">
        <f t="shared" si="251"/>
        <v>1.4322722563520074E-8</v>
      </c>
      <c r="Y50" s="14">
        <f t="shared" si="251"/>
        <v>2.2385465854313225E-5</v>
      </c>
      <c r="Z50" s="14">
        <f t="shared" si="251"/>
        <v>4.5907654566690326E-8</v>
      </c>
      <c r="AA50" s="14">
        <f t="shared" si="251"/>
        <v>5.5550546676386148E-5</v>
      </c>
      <c r="AB50" s="15">
        <f t="shared" si="251"/>
        <v>-1.2320811038080137E-11</v>
      </c>
      <c r="AC50" s="15">
        <f t="shared" si="251"/>
        <v>-1.2844584063032016E-8</v>
      </c>
      <c r="AD50" s="13">
        <f t="shared" si="251"/>
        <v>-3.5257339477539063E-3</v>
      </c>
      <c r="AE50" s="13">
        <f t="shared" si="251"/>
        <v>14.28331184387207</v>
      </c>
      <c r="AF50" s="12">
        <f t="shared" si="251"/>
        <v>2.132415771484375E-3</v>
      </c>
      <c r="AG50" s="12">
        <f t="shared" si="251"/>
        <v>-35.444683074951172</v>
      </c>
      <c r="AH50" s="13">
        <f t="shared" si="251"/>
        <v>5.3387338994070888E-9</v>
      </c>
      <c r="AI50" s="13">
        <f t="shared" si="251"/>
        <v>8.2023998402291909E-6</v>
      </c>
      <c r="AJ50" s="11">
        <f t="shared" si="251"/>
        <v>5.91278076171875E-5</v>
      </c>
      <c r="AK50" s="11">
        <f t="shared" si="251"/>
        <v>0.2807881236076355</v>
      </c>
      <c r="AL50" s="11">
        <f t="shared" si="251"/>
        <v>0</v>
      </c>
      <c r="AM50" s="11">
        <f t="shared" si="251"/>
        <v>-2.5499999523162842</v>
      </c>
      <c r="AN50" s="11">
        <f t="shared" si="251"/>
        <v>-1.5669502317905426E-6</v>
      </c>
      <c r="AO50" s="11">
        <f t="shared" si="251"/>
        <v>-4.750505555421114E-3</v>
      </c>
      <c r="AP50" s="11">
        <f t="shared" si="251"/>
        <v>82.86592960357666</v>
      </c>
      <c r="AQ50" s="11">
        <f t="shared" si="251"/>
        <v>179575</v>
      </c>
      <c r="AR50" s="16">
        <f t="shared" si="251"/>
        <v>-26700</v>
      </c>
      <c r="AS50" s="16">
        <f t="shared" si="251"/>
        <v>12475</v>
      </c>
      <c r="AT50" s="16">
        <f t="shared" si="251"/>
        <v>82.86592960357666</v>
      </c>
      <c r="AU50" s="7">
        <f t="shared" si="251"/>
        <v>0</v>
      </c>
      <c r="AV50" s="7">
        <f t="shared" si="251"/>
        <v>2.5499999523162842</v>
      </c>
      <c r="AW50" s="7">
        <f t="shared" si="251"/>
        <v>0</v>
      </c>
      <c r="AX50" s="7">
        <f t="shared" si="251"/>
        <v>-1780.45</v>
      </c>
      <c r="AY50" s="11">
        <f t="shared" si="251"/>
        <v>0</v>
      </c>
      <c r="AZ50" s="16">
        <f t="shared" si="251"/>
        <v>0</v>
      </c>
      <c r="BA50" s="16">
        <f t="shared" si="251"/>
        <v>0</v>
      </c>
      <c r="BB50" s="16">
        <f t="shared" si="251"/>
        <v>0</v>
      </c>
      <c r="BC50" s="11">
        <f t="shared" si="251"/>
        <v>0</v>
      </c>
      <c r="BD50" s="11">
        <f t="shared" si="251"/>
        <v>0</v>
      </c>
      <c r="BE50" s="11">
        <f t="shared" si="251"/>
        <v>0</v>
      </c>
      <c r="BF50" s="11">
        <f t="shared" si="251"/>
        <v>0</v>
      </c>
      <c r="BG50" s="11">
        <f t="shared" si="251"/>
        <v>0</v>
      </c>
      <c r="BH50" s="11">
        <f t="shared" si="251"/>
        <v>0</v>
      </c>
      <c r="BI50" s="13">
        <f t="shared" si="251"/>
        <v>0</v>
      </c>
      <c r="BJ50" s="13">
        <f t="shared" si="251"/>
        <v>0</v>
      </c>
      <c r="BK50" s="11">
        <f t="shared" si="251"/>
        <v>0</v>
      </c>
      <c r="BL50" s="12">
        <f t="shared" si="251"/>
        <v>0</v>
      </c>
      <c r="BM50" s="12">
        <f t="shared" si="251"/>
        <v>0</v>
      </c>
      <c r="BN50" s="13">
        <f t="shared" si="251"/>
        <v>0</v>
      </c>
      <c r="BO50" s="13">
        <f t="shared" si="251"/>
        <v>0</v>
      </c>
      <c r="BP50" s="15">
        <f t="shared" si="251"/>
        <v>0</v>
      </c>
      <c r="BQ50" s="15">
        <f t="shared" si="251"/>
        <v>0</v>
      </c>
      <c r="BR50" s="14">
        <f t="shared" si="251"/>
        <v>0</v>
      </c>
      <c r="BS50" s="14">
        <f t="shared" si="251"/>
        <v>0</v>
      </c>
      <c r="BT50" s="14">
        <f t="shared" si="251"/>
        <v>0</v>
      </c>
      <c r="BU50" s="14">
        <f t="shared" si="251"/>
        <v>0</v>
      </c>
      <c r="BV50" s="11">
        <f t="shared" si="251"/>
        <v>0</v>
      </c>
      <c r="BW50" s="11">
        <f t="shared" si="251"/>
        <v>0</v>
      </c>
      <c r="BX50" s="11">
        <f t="shared" si="251"/>
        <v>0</v>
      </c>
      <c r="BY50" s="11">
        <f t="shared" si="251"/>
        <v>0</v>
      </c>
      <c r="BZ50" s="7">
        <f t="shared" si="251"/>
        <v>0</v>
      </c>
      <c r="CA50" s="7">
        <f t="shared" si="251"/>
        <v>0</v>
      </c>
      <c r="CB50" s="7">
        <f t="shared" ref="CB50:CP50" si="252">IFERROR(VALUE(CB355),"-")</f>
        <v>0</v>
      </c>
      <c r="CC50" s="7">
        <f t="shared" si="252"/>
        <v>0</v>
      </c>
      <c r="CD50" s="7">
        <f t="shared" si="252"/>
        <v>0</v>
      </c>
      <c r="CE50" s="3">
        <f t="shared" si="252"/>
        <v>0</v>
      </c>
      <c r="CF50" s="7">
        <f t="shared" si="252"/>
        <v>0</v>
      </c>
      <c r="CG50" s="3">
        <f t="shared" si="252"/>
        <v>0</v>
      </c>
      <c r="CH50" s="7">
        <f t="shared" si="252"/>
        <v>0</v>
      </c>
      <c r="CI50" s="7">
        <f t="shared" si="252"/>
        <v>2.5499999523162842</v>
      </c>
      <c r="CJ50" s="3">
        <f t="shared" si="252"/>
        <v>575</v>
      </c>
      <c r="CK50" s="7">
        <f t="shared" si="252"/>
        <v>2.4500000476837158</v>
      </c>
      <c r="CL50" s="3">
        <f t="shared" si="252"/>
        <v>125</v>
      </c>
      <c r="CM50" s="7">
        <f t="shared" si="252"/>
        <v>3.3900001049041748</v>
      </c>
      <c r="CN50" s="10">
        <f t="shared" si="252"/>
        <v>44783.636701388888</v>
      </c>
      <c r="CO50" s="10">
        <f t="shared" si="252"/>
        <v>44783.638194444444</v>
      </c>
      <c r="CP50" s="7">
        <f t="shared" si="252"/>
        <v>38295.69921875</v>
      </c>
      <c r="CQ50" s="7" t="str">
        <f t="shared" ref="CQ50" si="253">IFERROR(CQ355,"-")</f>
        <v>FairPrice</v>
      </c>
      <c r="CR50" s="10">
        <f t="shared" si="238"/>
        <v>44783.638194444444</v>
      </c>
      <c r="CS50" s="7">
        <f t="shared" si="238"/>
        <v>-2.2637844085693359E-2</v>
      </c>
      <c r="CT50" s="7">
        <f t="shared" si="238"/>
        <v>-2.7311177865376173E-4</v>
      </c>
      <c r="CU50" s="7">
        <f t="shared" si="238"/>
        <v>39175</v>
      </c>
      <c r="CV50" s="7">
        <f t="shared" si="238"/>
        <v>-0.68155711550733888</v>
      </c>
      <c r="CW50" s="7">
        <f t="shared" si="238"/>
        <v>2.5499999523162842</v>
      </c>
      <c r="CX50" s="7">
        <f t="shared" si="238"/>
        <v>0</v>
      </c>
      <c r="CY50" s="7">
        <f t="shared" si="238"/>
        <v>1780.45</v>
      </c>
      <c r="CZ50" s="7">
        <f t="shared" si="238"/>
        <v>-1</v>
      </c>
      <c r="DA50" s="7">
        <f t="shared" si="238"/>
        <v>0</v>
      </c>
      <c r="DB50" s="7">
        <f t="shared" si="238"/>
        <v>0</v>
      </c>
      <c r="DC50" s="7">
        <f t="shared" si="238"/>
        <v>0</v>
      </c>
      <c r="DD50" s="7">
        <f t="shared" si="238"/>
        <v>0</v>
      </c>
      <c r="DE50" s="7">
        <f t="shared" si="238"/>
        <v>1780.45</v>
      </c>
      <c r="DF50" s="7">
        <f t="shared" si="238"/>
        <v>2.5499999523162842</v>
      </c>
      <c r="DG50" s="7">
        <f t="shared" si="238"/>
        <v>38295.69921875</v>
      </c>
      <c r="DH50" s="7" t="str">
        <f t="shared" ref="DH50:DJ50" si="254">IFERROR(DH355,"-")</f>
        <v>R</v>
      </c>
      <c r="DI50" s="7" t="str">
        <f t="shared" si="254"/>
        <v>W</v>
      </c>
      <c r="DJ50" s="7" t="str">
        <f t="shared" si="254"/>
        <v>G</v>
      </c>
      <c r="DK50" s="64">
        <f t="shared" ref="DK50:DS50" si="255">IFERROR(VALUE(DK355),"-")</f>
        <v>38300</v>
      </c>
      <c r="DL50" s="64">
        <f t="shared" si="255"/>
        <v>3400000</v>
      </c>
      <c r="DM50" s="64">
        <f t="shared" si="255"/>
        <v>38500</v>
      </c>
      <c r="DN50" s="64">
        <f t="shared" si="255"/>
        <v>0</v>
      </c>
      <c r="DO50" s="64">
        <f t="shared" si="255"/>
        <v>24500</v>
      </c>
      <c r="DP50" s="64">
        <f t="shared" si="255"/>
        <v>2863350</v>
      </c>
      <c r="DQ50" s="64">
        <f t="shared" si="255"/>
        <v>38000</v>
      </c>
      <c r="DR50" s="64">
        <f t="shared" si="255"/>
        <v>0</v>
      </c>
      <c r="DS50" s="64">
        <f t="shared" si="255"/>
        <v>24500</v>
      </c>
      <c r="DT50" t="str">
        <f t="shared" si="7"/>
        <v>BANKNIFTY</v>
      </c>
      <c r="DU50" s="10">
        <f t="shared" si="8"/>
        <v>44784</v>
      </c>
    </row>
    <row r="51" spans="1:125" x14ac:dyDescent="0.25">
      <c r="A51" t="s">
        <v>22</v>
      </c>
      <c r="B51" s="2">
        <v>44833</v>
      </c>
      <c r="C51" s="1">
        <v>75</v>
      </c>
      <c r="D51">
        <v>89</v>
      </c>
      <c r="G51" t="str">
        <f t="array" ref="G51">IFERROR(INDEX($A$2:$A$700,MATCH(0,COUNTIF($G$1:G50,$A$2:$A$700),0)),"")</f>
        <v>CROMPTON</v>
      </c>
      <c r="M51" s="3"/>
      <c r="N51" s="3"/>
      <c r="O51" s="3">
        <f t="shared" si="9"/>
        <v>34300</v>
      </c>
      <c r="P51" s="7">
        <f t="shared" ref="P51:CA51" si="256">IFERROR(VALUE(P356),"-")</f>
        <v>2.5499999523162842</v>
      </c>
      <c r="Q51" s="7">
        <f t="shared" si="256"/>
        <v>2.5</v>
      </c>
      <c r="R51" s="7">
        <f t="shared" si="256"/>
        <v>4.0999999046325684</v>
      </c>
      <c r="S51" s="7">
        <f t="shared" si="256"/>
        <v>3.7000000476837158</v>
      </c>
      <c r="T51" s="11">
        <f t="shared" si="256"/>
        <v>-41.4296875</v>
      </c>
      <c r="U51" s="11">
        <f t="shared" si="256"/>
        <v>84637.9375</v>
      </c>
      <c r="V51" s="11">
        <f t="shared" si="256"/>
        <v>-58.609375</v>
      </c>
      <c r="W51" s="11">
        <f t="shared" si="256"/>
        <v>186619.90625</v>
      </c>
      <c r="X51" s="14">
        <f t="shared" si="256"/>
        <v>2.2193489712662995E-8</v>
      </c>
      <c r="Y51" s="14">
        <f t="shared" si="256"/>
        <v>2.3204531316878274E-5</v>
      </c>
      <c r="Z51" s="14">
        <f t="shared" si="256"/>
        <v>6.7615474108606577E-8</v>
      </c>
      <c r="AA51" s="14">
        <f t="shared" si="256"/>
        <v>5.8943722251569852E-5</v>
      </c>
      <c r="AB51" s="15">
        <f t="shared" si="256"/>
        <v>-1.8594015216422122E-11</v>
      </c>
      <c r="AC51" s="15">
        <f t="shared" si="256"/>
        <v>-1.3670907073048966E-8</v>
      </c>
      <c r="AD51" s="13">
        <f t="shared" si="256"/>
        <v>-4.1933059692382813E-3</v>
      </c>
      <c r="AE51" s="13">
        <f t="shared" si="256"/>
        <v>13.976178169250488</v>
      </c>
      <c r="AF51" s="12">
        <f t="shared" si="256"/>
        <v>3.875732421875E-3</v>
      </c>
      <c r="AG51" s="12">
        <f t="shared" si="256"/>
        <v>-35.502029418945313</v>
      </c>
      <c r="AH51" s="13">
        <f t="shared" si="256"/>
        <v>7.8980519901961088E-9</v>
      </c>
      <c r="AI51" s="13">
        <f t="shared" si="256"/>
        <v>8.5571591625921428E-6</v>
      </c>
      <c r="AJ51" s="11">
        <f t="shared" si="256"/>
        <v>7.8558921813964844E-5</v>
      </c>
      <c r="AK51" s="11">
        <f t="shared" si="256"/>
        <v>0.28623566031455994</v>
      </c>
      <c r="AL51" s="11">
        <f t="shared" si="256"/>
        <v>0</v>
      </c>
      <c r="AM51" s="11">
        <f t="shared" si="256"/>
        <v>-2.5499999523162842</v>
      </c>
      <c r="AN51" s="11">
        <f t="shared" si="256"/>
        <v>-2.2700987756252289E-6</v>
      </c>
      <c r="AO51" s="11">
        <f t="shared" si="256"/>
        <v>-4.8536136746406555E-3</v>
      </c>
      <c r="AP51" s="11">
        <f t="shared" si="256"/>
        <v>80.960094928741455</v>
      </c>
      <c r="AQ51" s="11">
        <f t="shared" si="256"/>
        <v>155700</v>
      </c>
      <c r="AR51" s="16">
        <f t="shared" si="256"/>
        <v>-15925</v>
      </c>
      <c r="AS51" s="16">
        <f t="shared" si="256"/>
        <v>12000</v>
      </c>
      <c r="AT51" s="16">
        <f t="shared" si="256"/>
        <v>80.960094928741455</v>
      </c>
      <c r="AU51" s="7">
        <f t="shared" si="256"/>
        <v>0</v>
      </c>
      <c r="AV51" s="7">
        <f t="shared" si="256"/>
        <v>2.5499999523162842</v>
      </c>
      <c r="AW51" s="7">
        <f t="shared" si="256"/>
        <v>3864.85009765625</v>
      </c>
      <c r="AX51" s="7">
        <f t="shared" si="256"/>
        <v>0</v>
      </c>
      <c r="AY51" s="11">
        <f t="shared" si="256"/>
        <v>0</v>
      </c>
      <c r="AZ51" s="16">
        <f t="shared" si="256"/>
        <v>3750</v>
      </c>
      <c r="BA51" s="16">
        <f t="shared" si="256"/>
        <v>0</v>
      </c>
      <c r="BB51" s="16">
        <f t="shared" si="256"/>
        <v>50</v>
      </c>
      <c r="BC51" s="11">
        <f t="shared" si="256"/>
        <v>0</v>
      </c>
      <c r="BD51" s="11">
        <f t="shared" si="256"/>
        <v>0</v>
      </c>
      <c r="BE51" s="11">
        <f t="shared" si="256"/>
        <v>0</v>
      </c>
      <c r="BF51" s="11">
        <f t="shared" si="256"/>
        <v>0</v>
      </c>
      <c r="BG51" s="11">
        <f t="shared" si="256"/>
        <v>0</v>
      </c>
      <c r="BH51" s="11">
        <f t="shared" si="256"/>
        <v>0</v>
      </c>
      <c r="BI51" s="13">
        <f t="shared" si="256"/>
        <v>0</v>
      </c>
      <c r="BJ51" s="13">
        <f t="shared" si="256"/>
        <v>0</v>
      </c>
      <c r="BK51" s="11">
        <f t="shared" si="256"/>
        <v>0</v>
      </c>
      <c r="BL51" s="12">
        <f t="shared" si="256"/>
        <v>0</v>
      </c>
      <c r="BM51" s="12">
        <f t="shared" si="256"/>
        <v>0</v>
      </c>
      <c r="BN51" s="13">
        <f t="shared" si="256"/>
        <v>0</v>
      </c>
      <c r="BO51" s="13">
        <f t="shared" si="256"/>
        <v>0</v>
      </c>
      <c r="BP51" s="15">
        <f t="shared" si="256"/>
        <v>0</v>
      </c>
      <c r="BQ51" s="15">
        <f t="shared" si="256"/>
        <v>0</v>
      </c>
      <c r="BR51" s="14">
        <f t="shared" si="256"/>
        <v>0</v>
      </c>
      <c r="BS51" s="14">
        <f t="shared" si="256"/>
        <v>0</v>
      </c>
      <c r="BT51" s="14">
        <f t="shared" si="256"/>
        <v>0</v>
      </c>
      <c r="BU51" s="14">
        <f t="shared" si="256"/>
        <v>0</v>
      </c>
      <c r="BV51" s="11">
        <f t="shared" si="256"/>
        <v>0</v>
      </c>
      <c r="BW51" s="11">
        <f t="shared" si="256"/>
        <v>0</v>
      </c>
      <c r="BX51" s="11">
        <f t="shared" si="256"/>
        <v>0</v>
      </c>
      <c r="BY51" s="11">
        <f t="shared" si="256"/>
        <v>0</v>
      </c>
      <c r="BZ51" s="7">
        <f t="shared" si="256"/>
        <v>3864.85009765625</v>
      </c>
      <c r="CA51" s="7">
        <f t="shared" si="256"/>
        <v>3864.85009765625</v>
      </c>
      <c r="CB51" s="7">
        <f t="shared" ref="CB51:CP51" si="257">IFERROR(VALUE(CB356),"-")</f>
        <v>3864.85009765625</v>
      </c>
      <c r="CC51" s="7">
        <f t="shared" si="257"/>
        <v>3864.85009765625</v>
      </c>
      <c r="CD51" s="7">
        <f t="shared" si="257"/>
        <v>4068.75</v>
      </c>
      <c r="CE51" s="3">
        <f t="shared" si="257"/>
        <v>50</v>
      </c>
      <c r="CF51" s="7">
        <f t="shared" si="257"/>
        <v>3959.64990234375</v>
      </c>
      <c r="CG51" s="3">
        <f t="shared" si="257"/>
        <v>50</v>
      </c>
      <c r="CH51" s="7">
        <f t="shared" si="257"/>
        <v>3864.85009765625</v>
      </c>
      <c r="CI51" s="7">
        <f t="shared" si="257"/>
        <v>2.5499999523162842</v>
      </c>
      <c r="CJ51" s="3">
        <f t="shared" si="257"/>
        <v>475</v>
      </c>
      <c r="CK51" s="7">
        <f t="shared" si="257"/>
        <v>2.5</v>
      </c>
      <c r="CL51" s="3">
        <f t="shared" si="257"/>
        <v>450</v>
      </c>
      <c r="CM51" s="7">
        <f t="shared" si="257"/>
        <v>3.2999999523162842</v>
      </c>
      <c r="CN51" s="10">
        <f t="shared" si="257"/>
        <v>44783.638194444444</v>
      </c>
      <c r="CO51" s="10">
        <f t="shared" si="257"/>
        <v>44783.638194444444</v>
      </c>
      <c r="CP51" s="7">
        <f t="shared" si="257"/>
        <v>38295.69921875</v>
      </c>
      <c r="CQ51" s="7" t="str">
        <f t="shared" ref="CQ51" si="258">IFERROR(CQ356,"-")</f>
        <v>FairPrice</v>
      </c>
      <c r="CR51" s="10">
        <f t="shared" si="238"/>
        <v>44783.638194444444</v>
      </c>
      <c r="CS51" s="7">
        <f t="shared" si="238"/>
        <v>-2.9450654983520508E-2</v>
      </c>
      <c r="CT51" s="7">
        <f t="shared" si="238"/>
        <v>-3.6363526639466269E-4</v>
      </c>
      <c r="CU51" s="7">
        <f t="shared" si="238"/>
        <v>27925</v>
      </c>
      <c r="CV51" s="7">
        <f t="shared" si="238"/>
        <v>-0.57027752909579232</v>
      </c>
      <c r="CW51" s="7">
        <f t="shared" si="238"/>
        <v>2.5499999523162842</v>
      </c>
      <c r="CX51" s="7">
        <f t="shared" si="238"/>
        <v>0</v>
      </c>
      <c r="CY51" s="7">
        <f t="shared" si="238"/>
        <v>3864.85009765625</v>
      </c>
      <c r="CZ51" s="7">
        <f t="shared" si="238"/>
        <v>0</v>
      </c>
      <c r="DA51" s="7">
        <f t="shared" si="238"/>
        <v>3750</v>
      </c>
      <c r="DB51" s="7">
        <f t="shared" si="238"/>
        <v>0</v>
      </c>
      <c r="DC51" s="7">
        <f t="shared" si="238"/>
        <v>0</v>
      </c>
      <c r="DD51" s="7">
        <f t="shared" si="238"/>
        <v>0</v>
      </c>
      <c r="DE51" s="7">
        <f t="shared" si="238"/>
        <v>3864.85009765625</v>
      </c>
      <c r="DF51" s="7">
        <f t="shared" si="238"/>
        <v>2.5499999523162842</v>
      </c>
      <c r="DG51" s="7">
        <f t="shared" si="238"/>
        <v>38295.69921875</v>
      </c>
      <c r="DH51" s="7" t="str">
        <f t="shared" ref="DH51:DJ51" si="259">IFERROR(DH356,"-")</f>
        <v>W</v>
      </c>
      <c r="DI51" s="7" t="str">
        <f t="shared" si="259"/>
        <v>W</v>
      </c>
      <c r="DJ51" s="7" t="str">
        <f t="shared" si="259"/>
        <v>G</v>
      </c>
      <c r="DK51" s="64">
        <f t="shared" ref="DK51:DS51" si="260">IFERROR(VALUE(DK356),"-")</f>
        <v>38300</v>
      </c>
      <c r="DL51" s="64">
        <f t="shared" si="260"/>
        <v>3400000</v>
      </c>
      <c r="DM51" s="64">
        <f t="shared" si="260"/>
        <v>38500</v>
      </c>
      <c r="DN51" s="64">
        <f t="shared" si="260"/>
        <v>0</v>
      </c>
      <c r="DO51" s="64">
        <f t="shared" si="260"/>
        <v>24500</v>
      </c>
      <c r="DP51" s="64">
        <f t="shared" si="260"/>
        <v>2863350</v>
      </c>
      <c r="DQ51" s="64">
        <f t="shared" si="260"/>
        <v>38000</v>
      </c>
      <c r="DR51" s="64">
        <f t="shared" si="260"/>
        <v>0</v>
      </c>
      <c r="DS51" s="64">
        <f t="shared" si="260"/>
        <v>24500</v>
      </c>
      <c r="DT51" t="str">
        <f t="shared" si="7"/>
        <v>BANKNIFTY</v>
      </c>
      <c r="DU51" s="10">
        <f t="shared" si="8"/>
        <v>44784</v>
      </c>
    </row>
    <row r="52" spans="1:125" x14ac:dyDescent="0.25">
      <c r="A52" t="s">
        <v>22</v>
      </c>
      <c r="B52" s="2">
        <v>44861</v>
      </c>
      <c r="C52" s="1">
        <v>75</v>
      </c>
      <c r="D52">
        <v>89</v>
      </c>
      <c r="G52" t="str">
        <f t="array" ref="G52">IFERROR(INDEX($A$2:$A$700,MATCH(0,COUNTIF($G$1:G51,$A$2:$A$700),0)),"")</f>
        <v>CUB</v>
      </c>
      <c r="M52" s="3"/>
      <c r="N52" s="3"/>
      <c r="O52" s="3">
        <f t="shared" si="9"/>
        <v>34400</v>
      </c>
      <c r="P52" s="7">
        <f t="shared" ref="P52:CA52" si="261">IFERROR(VALUE(P357),"-")</f>
        <v>2.5</v>
      </c>
      <c r="Q52" s="7">
        <f t="shared" si="261"/>
        <v>2.2999999523162842</v>
      </c>
      <c r="R52" s="7">
        <f t="shared" si="261"/>
        <v>4.1999998092651367</v>
      </c>
      <c r="S52" s="7">
        <f t="shared" si="261"/>
        <v>3</v>
      </c>
      <c r="T52" s="11">
        <f t="shared" si="261"/>
        <v>15.6328125</v>
      </c>
      <c r="U52" s="11">
        <f t="shared" si="261"/>
        <v>84101.2109375</v>
      </c>
      <c r="V52" s="11">
        <f t="shared" si="261"/>
        <v>-0.6875</v>
      </c>
      <c r="W52" s="11">
        <f t="shared" si="261"/>
        <v>190302.46875</v>
      </c>
      <c r="X52" s="14">
        <f t="shared" si="261"/>
        <v>-4.3237378122285008E-9</v>
      </c>
      <c r="Y52" s="14">
        <f t="shared" si="261"/>
        <v>2.3911310563562438E-5</v>
      </c>
      <c r="Z52" s="14">
        <f t="shared" si="261"/>
        <v>-2.3363099899142981E-8</v>
      </c>
      <c r="AA52" s="14">
        <f t="shared" si="261"/>
        <v>6.2342631281353533E-5</v>
      </c>
      <c r="AB52" s="15">
        <f t="shared" si="261"/>
        <v>5.6274984672199935E-12</v>
      </c>
      <c r="AC52" s="15">
        <f t="shared" si="261"/>
        <v>-1.4461683406352677E-8</v>
      </c>
      <c r="AD52" s="13">
        <f t="shared" si="261"/>
        <v>2.4785995483398438E-3</v>
      </c>
      <c r="AE52" s="13">
        <f t="shared" si="261"/>
        <v>13.89632511138916</v>
      </c>
      <c r="AF52" s="12">
        <f t="shared" si="261"/>
        <v>5.645751953125E-4</v>
      </c>
      <c r="AG52" s="12">
        <f t="shared" si="261"/>
        <v>-36.231113433837891</v>
      </c>
      <c r="AH52" s="13">
        <f t="shared" si="261"/>
        <v>-2.3310349206440151E-9</v>
      </c>
      <c r="AI52" s="13">
        <f t="shared" si="261"/>
        <v>8.8300794232054614E-6</v>
      </c>
      <c r="AJ52" s="11">
        <f t="shared" si="261"/>
        <v>-3.6001205444335938E-5</v>
      </c>
      <c r="AK52" s="11">
        <f t="shared" si="261"/>
        <v>0.28777503967285156</v>
      </c>
      <c r="AL52" s="11">
        <f t="shared" si="261"/>
        <v>0</v>
      </c>
      <c r="AM52" s="11">
        <f t="shared" si="261"/>
        <v>-2.5</v>
      </c>
      <c r="AN52" s="11">
        <f t="shared" si="261"/>
        <v>6.5332278609275818E-7</v>
      </c>
      <c r="AO52" s="11">
        <f t="shared" si="261"/>
        <v>-4.8828385770320892E-3</v>
      </c>
      <c r="AP52" s="11">
        <f t="shared" si="261"/>
        <v>78.877663612365723</v>
      </c>
      <c r="AQ52" s="11">
        <f t="shared" si="261"/>
        <v>150850</v>
      </c>
      <c r="AR52" s="16">
        <f t="shared" si="261"/>
        <v>-19700</v>
      </c>
      <c r="AS52" s="16">
        <f t="shared" si="261"/>
        <v>14400</v>
      </c>
      <c r="AT52" s="16">
        <f t="shared" si="261"/>
        <v>78.877663612365723</v>
      </c>
      <c r="AU52" s="7">
        <f t="shared" si="261"/>
        <v>0</v>
      </c>
      <c r="AV52" s="7">
        <f t="shared" si="261"/>
        <v>2.5</v>
      </c>
      <c r="AW52" s="7">
        <f t="shared" si="261"/>
        <v>0</v>
      </c>
      <c r="AX52" s="7">
        <f t="shared" si="261"/>
        <v>0</v>
      </c>
      <c r="AY52" s="11">
        <f t="shared" si="261"/>
        <v>0</v>
      </c>
      <c r="AZ52" s="16">
        <f t="shared" si="261"/>
        <v>0</v>
      </c>
      <c r="BA52" s="16">
        <f t="shared" si="261"/>
        <v>0</v>
      </c>
      <c r="BB52" s="16">
        <f t="shared" si="261"/>
        <v>0</v>
      </c>
      <c r="BC52" s="11">
        <f t="shared" si="261"/>
        <v>0</v>
      </c>
      <c r="BD52" s="11">
        <f t="shared" si="261"/>
        <v>0</v>
      </c>
      <c r="BE52" s="11">
        <f t="shared" si="261"/>
        <v>0</v>
      </c>
      <c r="BF52" s="11">
        <f t="shared" si="261"/>
        <v>0</v>
      </c>
      <c r="BG52" s="11">
        <f t="shared" si="261"/>
        <v>0</v>
      </c>
      <c r="BH52" s="11">
        <f t="shared" si="261"/>
        <v>0</v>
      </c>
      <c r="BI52" s="13">
        <f t="shared" si="261"/>
        <v>0</v>
      </c>
      <c r="BJ52" s="13">
        <f t="shared" si="261"/>
        <v>0</v>
      </c>
      <c r="BK52" s="11">
        <f t="shared" si="261"/>
        <v>0</v>
      </c>
      <c r="BL52" s="12">
        <f t="shared" si="261"/>
        <v>0</v>
      </c>
      <c r="BM52" s="12">
        <f t="shared" si="261"/>
        <v>0</v>
      </c>
      <c r="BN52" s="13">
        <f t="shared" si="261"/>
        <v>0</v>
      </c>
      <c r="BO52" s="13">
        <f t="shared" si="261"/>
        <v>0</v>
      </c>
      <c r="BP52" s="15">
        <f t="shared" si="261"/>
        <v>0</v>
      </c>
      <c r="BQ52" s="15">
        <f t="shared" si="261"/>
        <v>0</v>
      </c>
      <c r="BR52" s="14">
        <f t="shared" si="261"/>
        <v>0</v>
      </c>
      <c r="BS52" s="14">
        <f t="shared" si="261"/>
        <v>0</v>
      </c>
      <c r="BT52" s="14">
        <f t="shared" si="261"/>
        <v>0</v>
      </c>
      <c r="BU52" s="14">
        <f t="shared" si="261"/>
        <v>0</v>
      </c>
      <c r="BV52" s="11">
        <f t="shared" si="261"/>
        <v>0</v>
      </c>
      <c r="BW52" s="11">
        <f t="shared" si="261"/>
        <v>0</v>
      </c>
      <c r="BX52" s="11">
        <f t="shared" si="261"/>
        <v>0</v>
      </c>
      <c r="BY52" s="11">
        <f t="shared" si="261"/>
        <v>0</v>
      </c>
      <c r="BZ52" s="7">
        <f t="shared" si="261"/>
        <v>0</v>
      </c>
      <c r="CA52" s="7">
        <f t="shared" si="261"/>
        <v>0</v>
      </c>
      <c r="CB52" s="7">
        <f t="shared" ref="CB52:CP52" si="262">IFERROR(VALUE(CB357),"-")</f>
        <v>0</v>
      </c>
      <c r="CC52" s="7">
        <f t="shared" si="262"/>
        <v>0</v>
      </c>
      <c r="CD52" s="7">
        <f t="shared" si="262"/>
        <v>3965.199951171875</v>
      </c>
      <c r="CE52" s="3">
        <f t="shared" si="262"/>
        <v>50</v>
      </c>
      <c r="CF52" s="7">
        <f t="shared" si="262"/>
        <v>3810.85009765625</v>
      </c>
      <c r="CG52" s="3">
        <f t="shared" si="262"/>
        <v>750</v>
      </c>
      <c r="CH52" s="7">
        <f t="shared" si="262"/>
        <v>0</v>
      </c>
      <c r="CI52" s="7">
        <f t="shared" si="262"/>
        <v>2.5499999523162842</v>
      </c>
      <c r="CJ52" s="3">
        <f t="shared" si="262"/>
        <v>200</v>
      </c>
      <c r="CK52" s="7">
        <f t="shared" si="262"/>
        <v>2.5</v>
      </c>
      <c r="CL52" s="3">
        <f t="shared" si="262"/>
        <v>300</v>
      </c>
      <c r="CM52" s="7">
        <f t="shared" si="262"/>
        <v>3.369999885559082</v>
      </c>
      <c r="CN52" s="10">
        <f t="shared" si="262"/>
        <v>44783.638194444444</v>
      </c>
      <c r="CO52" s="10">
        <f t="shared" si="262"/>
        <v>44783.638194444444</v>
      </c>
      <c r="CP52" s="7">
        <f t="shared" si="262"/>
        <v>38295.69921875</v>
      </c>
      <c r="CQ52" s="7" t="str">
        <f t="shared" ref="CQ52" si="263">IFERROR(CQ357,"-")</f>
        <v>FairPrice</v>
      </c>
      <c r="CR52" s="10">
        <f t="shared" si="238"/>
        <v>44783.638194444444</v>
      </c>
      <c r="CS52" s="7">
        <f t="shared" si="238"/>
        <v>1.1885166168212891E-2</v>
      </c>
      <c r="CT52" s="7">
        <f t="shared" si="238"/>
        <v>1.5070118373739237E-4</v>
      </c>
      <c r="CU52" s="7">
        <f t="shared" si="238"/>
        <v>34100</v>
      </c>
      <c r="CV52" s="7">
        <f t="shared" si="238"/>
        <v>-0.57771260997067453</v>
      </c>
      <c r="CW52" s="7">
        <f t="shared" si="238"/>
        <v>2.5</v>
      </c>
      <c r="CX52" s="7">
        <f t="shared" si="238"/>
        <v>0</v>
      </c>
      <c r="CY52" s="7">
        <f t="shared" si="238"/>
        <v>0</v>
      </c>
      <c r="CZ52" s="7">
        <f t="shared" si="238"/>
        <v>0</v>
      </c>
      <c r="DA52" s="7">
        <f t="shared" si="238"/>
        <v>0</v>
      </c>
      <c r="DB52" s="7">
        <f t="shared" si="238"/>
        <v>0</v>
      </c>
      <c r="DC52" s="7">
        <f t="shared" si="238"/>
        <v>0</v>
      </c>
      <c r="DD52" s="7">
        <f t="shared" si="238"/>
        <v>0</v>
      </c>
      <c r="DE52" s="7">
        <f t="shared" si="238"/>
        <v>0</v>
      </c>
      <c r="DF52" s="7">
        <f t="shared" si="238"/>
        <v>2.5</v>
      </c>
      <c r="DG52" s="7">
        <f t="shared" si="238"/>
        <v>38295.69921875</v>
      </c>
      <c r="DH52" s="7" t="str">
        <f t="shared" ref="DH52:DJ52" si="264">IFERROR(DH357,"-")</f>
        <v>W</v>
      </c>
      <c r="DI52" s="7" t="str">
        <f t="shared" si="264"/>
        <v>W</v>
      </c>
      <c r="DJ52" s="7" t="str">
        <f t="shared" si="264"/>
        <v>G</v>
      </c>
      <c r="DK52" s="64">
        <f t="shared" ref="DK52:DS52" si="265">IFERROR(VALUE(DK357),"-")</f>
        <v>38300</v>
      </c>
      <c r="DL52" s="64">
        <f t="shared" si="265"/>
        <v>3400000</v>
      </c>
      <c r="DM52" s="64">
        <f t="shared" si="265"/>
        <v>38500</v>
      </c>
      <c r="DN52" s="64">
        <f t="shared" si="265"/>
        <v>0</v>
      </c>
      <c r="DO52" s="64">
        <f t="shared" si="265"/>
        <v>24500</v>
      </c>
      <c r="DP52" s="64">
        <f t="shared" si="265"/>
        <v>2863350</v>
      </c>
      <c r="DQ52" s="64">
        <f t="shared" si="265"/>
        <v>38000</v>
      </c>
      <c r="DR52" s="64">
        <f t="shared" si="265"/>
        <v>0</v>
      </c>
      <c r="DS52" s="64">
        <f t="shared" si="265"/>
        <v>24500</v>
      </c>
      <c r="DT52" t="str">
        <f t="shared" si="7"/>
        <v>BANKNIFTY</v>
      </c>
      <c r="DU52" s="10">
        <f t="shared" si="8"/>
        <v>44784</v>
      </c>
    </row>
    <row r="53" spans="1:125" x14ac:dyDescent="0.25">
      <c r="A53" t="s">
        <v>23</v>
      </c>
      <c r="B53" s="2">
        <v>44798</v>
      </c>
      <c r="C53" s="1">
        <v>1000</v>
      </c>
      <c r="D53">
        <v>63</v>
      </c>
      <c r="G53" t="str">
        <f t="array" ref="G53">IFERROR(INDEX($A$2:$A$700,MATCH(0,COUNTIF($G$1:G52,$A$2:$A$700),0)),"")</f>
        <v>CUMMINSIND</v>
      </c>
      <c r="M53" s="3"/>
      <c r="N53" s="3"/>
      <c r="O53" s="3">
        <f t="shared" si="9"/>
        <v>34500</v>
      </c>
      <c r="P53" s="7">
        <f t="shared" ref="P53:CA53" si="266">IFERROR(VALUE(P358),"-")</f>
        <v>2.4500000476837158</v>
      </c>
      <c r="Q53" s="7">
        <f t="shared" si="266"/>
        <v>2.4000000953674316</v>
      </c>
      <c r="R53" s="7">
        <f t="shared" si="266"/>
        <v>4.3000001907348633</v>
      </c>
      <c r="S53" s="7">
        <f t="shared" si="266"/>
        <v>3</v>
      </c>
      <c r="T53" s="11">
        <f t="shared" si="266"/>
        <v>1.8046875</v>
      </c>
      <c r="U53" s="11">
        <f t="shared" si="266"/>
        <v>83521.0859375</v>
      </c>
      <c r="V53" s="11">
        <f t="shared" si="266"/>
        <v>-8.390625</v>
      </c>
      <c r="W53" s="11">
        <f t="shared" si="266"/>
        <v>194079.703125</v>
      </c>
      <c r="X53" s="14">
        <f t="shared" si="266"/>
        <v>1.0677467798814178E-9</v>
      </c>
      <c r="Y53" s="14">
        <f t="shared" si="266"/>
        <v>2.4676028260728344E-5</v>
      </c>
      <c r="Z53" s="14">
        <f t="shared" si="266"/>
        <v>-1.4333636499941349E-9</v>
      </c>
      <c r="AA53" s="14">
        <f t="shared" si="266"/>
        <v>6.6080719989258796E-5</v>
      </c>
      <c r="AB53" s="15">
        <f t="shared" si="266"/>
        <v>0</v>
      </c>
      <c r="AC53" s="15">
        <f t="shared" si="266"/>
        <v>-1.5334771674702097E-8</v>
      </c>
      <c r="AD53" s="13">
        <f t="shared" si="266"/>
        <v>5.970001220703125E-4</v>
      </c>
      <c r="AE53" s="13">
        <f t="shared" si="266"/>
        <v>13.811678886413574</v>
      </c>
      <c r="AF53" s="12">
        <f t="shared" si="266"/>
        <v>8.0108642578125E-4</v>
      </c>
      <c r="AG53" s="12">
        <f t="shared" si="266"/>
        <v>-36.986736297607422</v>
      </c>
      <c r="AH53" s="13">
        <f t="shared" si="266"/>
        <v>0</v>
      </c>
      <c r="AI53" s="13">
        <f t="shared" si="266"/>
        <v>9.1251440608175471E-6</v>
      </c>
      <c r="AJ53" s="11">
        <f t="shared" si="266"/>
        <v>-6.2584877014160156E-6</v>
      </c>
      <c r="AK53" s="11">
        <f t="shared" si="266"/>
        <v>0.28942599892616272</v>
      </c>
      <c r="AL53" s="11">
        <f t="shared" si="266"/>
        <v>0</v>
      </c>
      <c r="AM53" s="11">
        <f t="shared" si="266"/>
        <v>-2.4500000476837158</v>
      </c>
      <c r="AN53" s="11">
        <f t="shared" si="266"/>
        <v>0</v>
      </c>
      <c r="AO53" s="11">
        <f t="shared" si="266"/>
        <v>-4.9149054102599621E-3</v>
      </c>
      <c r="AP53" s="11">
        <f t="shared" si="266"/>
        <v>76.782304048538208</v>
      </c>
      <c r="AQ53" s="11">
        <f t="shared" si="266"/>
        <v>3704400</v>
      </c>
      <c r="AR53" s="16">
        <f t="shared" si="266"/>
        <v>-73675</v>
      </c>
      <c r="AS53" s="16">
        <f t="shared" si="266"/>
        <v>720175</v>
      </c>
      <c r="AT53" s="16">
        <f t="shared" si="266"/>
        <v>76.782304048538208</v>
      </c>
      <c r="AU53" s="7">
        <f t="shared" si="266"/>
        <v>0</v>
      </c>
      <c r="AV53" s="7">
        <f t="shared" si="266"/>
        <v>2.4500000476837158</v>
      </c>
      <c r="AW53" s="7">
        <f t="shared" si="266"/>
        <v>3800</v>
      </c>
      <c r="AX53" s="7">
        <f t="shared" si="266"/>
        <v>0</v>
      </c>
      <c r="AY53" s="11">
        <f t="shared" si="266"/>
        <v>82.059848308563232</v>
      </c>
      <c r="AZ53" s="16">
        <f t="shared" si="266"/>
        <v>2675</v>
      </c>
      <c r="BA53" s="16">
        <f t="shared" si="266"/>
        <v>-525</v>
      </c>
      <c r="BB53" s="16">
        <f t="shared" si="266"/>
        <v>625</v>
      </c>
      <c r="BC53" s="11">
        <f t="shared" si="266"/>
        <v>0.99220502376556396</v>
      </c>
      <c r="BD53" s="11">
        <f t="shared" si="266"/>
        <v>7.724761962890625E-4</v>
      </c>
      <c r="BE53" s="11">
        <f t="shared" si="266"/>
        <v>-17.377721786499023</v>
      </c>
      <c r="BF53" s="11">
        <f t="shared" si="266"/>
        <v>1.7795772552490234</v>
      </c>
      <c r="BG53" s="11">
        <f t="shared" si="266"/>
        <v>0.43545329570770264</v>
      </c>
      <c r="BH53" s="11">
        <f t="shared" si="266"/>
        <v>-3.7698954343795776E-2</v>
      </c>
      <c r="BI53" s="13">
        <f t="shared" si="266"/>
        <v>1.2845630408264697E-5</v>
      </c>
      <c r="BJ53" s="13">
        <f t="shared" si="266"/>
        <v>-9.1085712483618408E-7</v>
      </c>
      <c r="BK53" s="11">
        <f t="shared" si="266"/>
        <v>82.059848308563232</v>
      </c>
      <c r="BL53" s="12">
        <f t="shared" si="266"/>
        <v>-21.498455047607422</v>
      </c>
      <c r="BM53" s="12">
        <f t="shared" si="266"/>
        <v>-2.2869167327880859</v>
      </c>
      <c r="BN53" s="13">
        <f t="shared" si="266"/>
        <v>8.5794315338134766</v>
      </c>
      <c r="BO53" s="13">
        <f t="shared" si="266"/>
        <v>0.80093765258789063</v>
      </c>
      <c r="BP53" s="15">
        <f t="shared" si="266"/>
        <v>-1.896149548485937E-8</v>
      </c>
      <c r="BQ53" s="15">
        <f t="shared" si="266"/>
        <v>7.7599615622148121E-10</v>
      </c>
      <c r="BR53" s="14">
        <f t="shared" si="266"/>
        <v>7.4250317993573844E-5</v>
      </c>
      <c r="BS53" s="14">
        <f t="shared" si="266"/>
        <v>-1.3759272405877709E-6</v>
      </c>
      <c r="BT53" s="14">
        <f t="shared" si="266"/>
        <v>2.9631220968440175E-5</v>
      </c>
      <c r="BU53" s="14">
        <f t="shared" si="266"/>
        <v>-9.8883174359798431E-7</v>
      </c>
      <c r="BV53" s="11">
        <f t="shared" si="266"/>
        <v>105671.78125</v>
      </c>
      <c r="BW53" s="11">
        <f t="shared" si="266"/>
        <v>12590.3828125</v>
      </c>
      <c r="BX53" s="11">
        <f t="shared" si="266"/>
        <v>49513.328125</v>
      </c>
      <c r="BY53" s="11">
        <f t="shared" si="266"/>
        <v>5068.46875</v>
      </c>
      <c r="BZ53" s="7">
        <f t="shared" si="266"/>
        <v>3850</v>
      </c>
      <c r="CA53" s="7">
        <f t="shared" si="266"/>
        <v>3850</v>
      </c>
      <c r="CB53" s="7">
        <f t="shared" ref="CB53:CP53" si="267">IFERROR(VALUE(CB358),"-")</f>
        <v>3766.25</v>
      </c>
      <c r="CC53" s="7">
        <f t="shared" si="267"/>
        <v>3800</v>
      </c>
      <c r="CD53" s="7">
        <f t="shared" si="267"/>
        <v>3831.60009765625</v>
      </c>
      <c r="CE53" s="3">
        <f t="shared" si="267"/>
        <v>75</v>
      </c>
      <c r="CF53" s="7">
        <f t="shared" si="267"/>
        <v>3723.050048828125</v>
      </c>
      <c r="CG53" s="3">
        <f t="shared" si="267"/>
        <v>750</v>
      </c>
      <c r="CH53" s="7">
        <f t="shared" si="267"/>
        <v>3815.85009765625</v>
      </c>
      <c r="CI53" s="7">
        <f t="shared" si="267"/>
        <v>2.5</v>
      </c>
      <c r="CJ53" s="3">
        <f t="shared" si="267"/>
        <v>8100</v>
      </c>
      <c r="CK53" s="7">
        <f t="shared" si="267"/>
        <v>2.4500000476837158</v>
      </c>
      <c r="CL53" s="3">
        <f t="shared" si="267"/>
        <v>4425</v>
      </c>
      <c r="CM53" s="7">
        <f t="shared" si="267"/>
        <v>3.4900000095367432</v>
      </c>
      <c r="CN53" s="10">
        <f t="shared" si="267"/>
        <v>44783.638194444444</v>
      </c>
      <c r="CO53" s="10">
        <f t="shared" si="267"/>
        <v>44783.638194444444</v>
      </c>
      <c r="CP53" s="7">
        <f t="shared" si="267"/>
        <v>38295.69921875</v>
      </c>
      <c r="CQ53" s="7" t="str">
        <f t="shared" ref="CQ53" si="268">IFERROR(CQ358,"-")</f>
        <v>FairPrice</v>
      </c>
      <c r="CR53" s="10">
        <f t="shared" si="238"/>
        <v>44783.638194444444</v>
      </c>
      <c r="CS53" s="7">
        <f t="shared" si="238"/>
        <v>1.6629695892333984E-3</v>
      </c>
      <c r="CT53" s="7">
        <f t="shared" si="238"/>
        <v>2.1658709355180631E-5</v>
      </c>
      <c r="CU53" s="7">
        <f t="shared" si="238"/>
        <v>793850</v>
      </c>
      <c r="CV53" s="7">
        <f t="shared" si="238"/>
        <v>-9.2807205391446754E-2</v>
      </c>
      <c r="CW53" s="7">
        <f t="shared" si="238"/>
        <v>2.4500000476837158</v>
      </c>
      <c r="CX53" s="7">
        <f t="shared" si="238"/>
        <v>0</v>
      </c>
      <c r="CY53" s="7">
        <f t="shared" si="238"/>
        <v>3800</v>
      </c>
      <c r="CZ53" s="7">
        <f t="shared" si="238"/>
        <v>0</v>
      </c>
      <c r="DA53" s="7">
        <f t="shared" si="238"/>
        <v>3200</v>
      </c>
      <c r="DB53" s="7">
        <f t="shared" si="238"/>
        <v>-0.1640625</v>
      </c>
      <c r="DC53" s="7">
        <f t="shared" si="238"/>
        <v>-1.1992275714874268</v>
      </c>
      <c r="DD53" s="7">
        <f t="shared" si="238"/>
        <v>-1.4403565723154614E-2</v>
      </c>
      <c r="DE53" s="7">
        <f t="shared" si="238"/>
        <v>3800</v>
      </c>
      <c r="DF53" s="7">
        <f t="shared" si="238"/>
        <v>2.4500000476837158</v>
      </c>
      <c r="DG53" s="7">
        <f t="shared" si="238"/>
        <v>38295.69921875</v>
      </c>
      <c r="DH53" s="7" t="str">
        <f t="shared" ref="DH53:DJ53" si="269">IFERROR(DH358,"-")</f>
        <v>W</v>
      </c>
      <c r="DI53" s="7" t="str">
        <f t="shared" si="269"/>
        <v>W</v>
      </c>
      <c r="DJ53" s="7" t="str">
        <f t="shared" si="269"/>
        <v>G</v>
      </c>
      <c r="DK53" s="64">
        <f t="shared" ref="DK53:DS53" si="270">IFERROR(VALUE(DK358),"-")</f>
        <v>38300</v>
      </c>
      <c r="DL53" s="64">
        <f t="shared" si="270"/>
        <v>3400000</v>
      </c>
      <c r="DM53" s="64">
        <f t="shared" si="270"/>
        <v>38500</v>
      </c>
      <c r="DN53" s="64">
        <f t="shared" si="270"/>
        <v>0</v>
      </c>
      <c r="DO53" s="64">
        <f t="shared" si="270"/>
        <v>24500</v>
      </c>
      <c r="DP53" s="64">
        <f t="shared" si="270"/>
        <v>2863350</v>
      </c>
      <c r="DQ53" s="64">
        <f t="shared" si="270"/>
        <v>38000</v>
      </c>
      <c r="DR53" s="64">
        <f t="shared" si="270"/>
        <v>0</v>
      </c>
      <c r="DS53" s="64">
        <f t="shared" si="270"/>
        <v>24500</v>
      </c>
      <c r="DT53" t="str">
        <f t="shared" si="7"/>
        <v>BANKNIFTY</v>
      </c>
      <c r="DU53" s="10">
        <f t="shared" si="8"/>
        <v>44784</v>
      </c>
    </row>
    <row r="54" spans="1:125" x14ac:dyDescent="0.25">
      <c r="A54" t="s">
        <v>23</v>
      </c>
      <c r="B54" s="2">
        <v>44833</v>
      </c>
      <c r="C54" s="1">
        <v>1000</v>
      </c>
      <c r="D54">
        <v>63</v>
      </c>
      <c r="G54" t="str">
        <f t="array" ref="G54">IFERROR(INDEX($A$2:$A$700,MATCH(0,COUNTIF($G$1:G53,$A$2:$A$700),0)),"")</f>
        <v>DABUR</v>
      </c>
      <c r="M54" s="3"/>
      <c r="N54" s="3"/>
      <c r="O54" s="3">
        <f t="shared" si="9"/>
        <v>34600</v>
      </c>
      <c r="P54" s="7">
        <f t="shared" ref="P54:CA54" si="271">IFERROR(VALUE(P359),"-")</f>
        <v>2.6500000953674316</v>
      </c>
      <c r="Q54" s="7">
        <f t="shared" si="271"/>
        <v>2.6500000953674316</v>
      </c>
      <c r="R54" s="7">
        <f t="shared" si="271"/>
        <v>4.5</v>
      </c>
      <c r="S54" s="7">
        <f t="shared" si="271"/>
        <v>4.4000000953674316</v>
      </c>
      <c r="T54" s="11">
        <f t="shared" si="271"/>
        <v>-16.78125</v>
      </c>
      <c r="U54" s="11">
        <f t="shared" si="271"/>
        <v>75743.765625</v>
      </c>
      <c r="V54" s="11">
        <f t="shared" si="271"/>
        <v>-17.921875</v>
      </c>
      <c r="W54" s="11">
        <f t="shared" si="271"/>
        <v>178409.078125</v>
      </c>
      <c r="X54" s="14">
        <f t="shared" si="271"/>
        <v>9.8516466096043587E-9</v>
      </c>
      <c r="Y54" s="14">
        <f t="shared" si="271"/>
        <v>2.6364483346696943E-5</v>
      </c>
      <c r="Z54" s="14">
        <f t="shared" si="271"/>
        <v>3.6015990190207958E-8</v>
      </c>
      <c r="AA54" s="14">
        <f t="shared" si="271"/>
        <v>7.1790003858041018E-5</v>
      </c>
      <c r="AB54" s="15">
        <f t="shared" si="271"/>
        <v>-9.7628571893437766E-12</v>
      </c>
      <c r="AC54" s="15">
        <f t="shared" si="271"/>
        <v>-1.6925644885645852E-8</v>
      </c>
      <c r="AD54" s="13">
        <f t="shared" si="271"/>
        <v>-1.99127197265625E-3</v>
      </c>
      <c r="AE54" s="13">
        <f t="shared" si="271"/>
        <v>12.633620262145996</v>
      </c>
      <c r="AF54" s="12">
        <f t="shared" si="271"/>
        <v>1.01470947265625E-3</v>
      </c>
      <c r="AG54" s="12">
        <f t="shared" si="271"/>
        <v>-34.401115417480469</v>
      </c>
      <c r="AH54" s="13">
        <f t="shared" si="271"/>
        <v>3.9244696381501853E-9</v>
      </c>
      <c r="AI54" s="13">
        <f t="shared" si="271"/>
        <v>1.0024139555753209E-5</v>
      </c>
      <c r="AJ54" s="11">
        <f t="shared" si="271"/>
        <v>4.145503044128418E-5</v>
      </c>
      <c r="AK54" s="11">
        <f t="shared" si="271"/>
        <v>0.31272482872009277</v>
      </c>
      <c r="AL54" s="11">
        <f t="shared" si="271"/>
        <v>0</v>
      </c>
      <c r="AM54" s="11">
        <f t="shared" si="271"/>
        <v>-2.6500000953674316</v>
      </c>
      <c r="AN54" s="11">
        <f t="shared" si="271"/>
        <v>-1.0635703802108765E-6</v>
      </c>
      <c r="AO54" s="11">
        <f t="shared" si="271"/>
        <v>-5.3613916970789433E-3</v>
      </c>
      <c r="AP54" s="11">
        <f t="shared" si="271"/>
        <v>75.518524646759033</v>
      </c>
      <c r="AQ54" s="11">
        <f t="shared" si="271"/>
        <v>204250</v>
      </c>
      <c r="AR54" s="16">
        <f t="shared" si="271"/>
        <v>4250</v>
      </c>
      <c r="AS54" s="16">
        <f t="shared" si="271"/>
        <v>47800</v>
      </c>
      <c r="AT54" s="16">
        <f t="shared" si="271"/>
        <v>75.518524646759033</v>
      </c>
      <c r="AU54" s="7">
        <f t="shared" si="271"/>
        <v>0</v>
      </c>
      <c r="AV54" s="7">
        <f t="shared" si="271"/>
        <v>2.6500000953674316</v>
      </c>
      <c r="AW54" s="7">
        <f t="shared" si="271"/>
        <v>3326.35009765625</v>
      </c>
      <c r="AX54" s="7">
        <f t="shared" si="271"/>
        <v>0</v>
      </c>
      <c r="AY54" s="11">
        <f t="shared" si="271"/>
        <v>0</v>
      </c>
      <c r="AZ54" s="16">
        <f t="shared" si="271"/>
        <v>25</v>
      </c>
      <c r="BA54" s="16">
        <f t="shared" si="271"/>
        <v>0</v>
      </c>
      <c r="BB54" s="16">
        <f t="shared" si="271"/>
        <v>0</v>
      </c>
      <c r="BC54" s="11">
        <f t="shared" si="271"/>
        <v>0</v>
      </c>
      <c r="BD54" s="11">
        <f t="shared" si="271"/>
        <v>0</v>
      </c>
      <c r="BE54" s="11">
        <f t="shared" si="271"/>
        <v>0</v>
      </c>
      <c r="BF54" s="11">
        <f t="shared" si="271"/>
        <v>0</v>
      </c>
      <c r="BG54" s="11">
        <f t="shared" si="271"/>
        <v>0</v>
      </c>
      <c r="BH54" s="11">
        <f t="shared" si="271"/>
        <v>0</v>
      </c>
      <c r="BI54" s="13">
        <f t="shared" si="271"/>
        <v>0</v>
      </c>
      <c r="BJ54" s="13">
        <f t="shared" si="271"/>
        <v>0</v>
      </c>
      <c r="BK54" s="11">
        <f t="shared" si="271"/>
        <v>0</v>
      </c>
      <c r="BL54" s="12">
        <f t="shared" si="271"/>
        <v>0</v>
      </c>
      <c r="BM54" s="12">
        <f t="shared" si="271"/>
        <v>0</v>
      </c>
      <c r="BN54" s="13">
        <f t="shared" si="271"/>
        <v>0</v>
      </c>
      <c r="BO54" s="13">
        <f t="shared" si="271"/>
        <v>0</v>
      </c>
      <c r="BP54" s="15">
        <f t="shared" si="271"/>
        <v>0</v>
      </c>
      <c r="BQ54" s="15">
        <f t="shared" si="271"/>
        <v>0</v>
      </c>
      <c r="BR54" s="14">
        <f t="shared" si="271"/>
        <v>0</v>
      </c>
      <c r="BS54" s="14">
        <f t="shared" si="271"/>
        <v>0</v>
      </c>
      <c r="BT54" s="14">
        <f t="shared" si="271"/>
        <v>0</v>
      </c>
      <c r="BU54" s="14">
        <f t="shared" si="271"/>
        <v>0</v>
      </c>
      <c r="BV54" s="11">
        <f t="shared" si="271"/>
        <v>0</v>
      </c>
      <c r="BW54" s="11">
        <f t="shared" si="271"/>
        <v>0</v>
      </c>
      <c r="BX54" s="11">
        <f t="shared" si="271"/>
        <v>0</v>
      </c>
      <c r="BY54" s="11">
        <f t="shared" si="271"/>
        <v>0</v>
      </c>
      <c r="BZ54" s="7">
        <f t="shared" si="271"/>
        <v>0</v>
      </c>
      <c r="CA54" s="7">
        <f t="shared" si="271"/>
        <v>0</v>
      </c>
      <c r="CB54" s="7">
        <f t="shared" ref="CB54:CP54" si="272">IFERROR(VALUE(CB359),"-")</f>
        <v>0</v>
      </c>
      <c r="CC54" s="7">
        <f t="shared" si="272"/>
        <v>3326.35009765625</v>
      </c>
      <c r="CD54" s="7">
        <f t="shared" si="272"/>
        <v>3767.75</v>
      </c>
      <c r="CE54" s="3">
        <f t="shared" si="272"/>
        <v>50</v>
      </c>
      <c r="CF54" s="7">
        <f t="shared" si="272"/>
        <v>3611.5</v>
      </c>
      <c r="CG54" s="3">
        <f t="shared" si="272"/>
        <v>800</v>
      </c>
      <c r="CH54" s="7">
        <f t="shared" si="272"/>
        <v>0</v>
      </c>
      <c r="CI54" s="7">
        <f t="shared" si="272"/>
        <v>2.6500000953674316</v>
      </c>
      <c r="CJ54" s="3">
        <f t="shared" si="272"/>
        <v>3400</v>
      </c>
      <c r="CK54" s="7">
        <f t="shared" si="272"/>
        <v>2.5999999046325684</v>
      </c>
      <c r="CL54" s="3">
        <f t="shared" si="272"/>
        <v>300</v>
      </c>
      <c r="CM54" s="7">
        <f t="shared" si="272"/>
        <v>3.6800000667572021</v>
      </c>
      <c r="CN54" s="10">
        <f t="shared" si="272"/>
        <v>44783.638194444444</v>
      </c>
      <c r="CO54" s="10">
        <f t="shared" si="272"/>
        <v>44783.638194444444</v>
      </c>
      <c r="CP54" s="7">
        <f t="shared" si="272"/>
        <v>38295.69921875</v>
      </c>
      <c r="CQ54" s="7" t="str">
        <f t="shared" ref="CQ54" si="273">IFERROR(CQ359,"-")</f>
        <v>FairPrice</v>
      </c>
      <c r="CR54" s="10">
        <f t="shared" si="238"/>
        <v>44783.638194444444</v>
      </c>
      <c r="CS54" s="7">
        <f t="shared" si="238"/>
        <v>-1.2940168380737305E-2</v>
      </c>
      <c r="CT54" s="7">
        <f t="shared" si="238"/>
        <v>-1.7132155999367743E-4</v>
      </c>
      <c r="CU54" s="7">
        <f t="shared" si="238"/>
        <v>43550</v>
      </c>
      <c r="CV54" s="7">
        <f t="shared" si="238"/>
        <v>9.7588978185993117E-2</v>
      </c>
      <c r="CW54" s="7">
        <f t="shared" si="238"/>
        <v>2.6500000953674316</v>
      </c>
      <c r="CX54" s="7">
        <f t="shared" si="238"/>
        <v>0</v>
      </c>
      <c r="CY54" s="7">
        <f t="shared" si="238"/>
        <v>3326.35009765625</v>
      </c>
      <c r="CZ54" s="7">
        <f t="shared" si="238"/>
        <v>0</v>
      </c>
      <c r="DA54" s="7">
        <f t="shared" si="238"/>
        <v>25</v>
      </c>
      <c r="DB54" s="7">
        <f t="shared" si="238"/>
        <v>0</v>
      </c>
      <c r="DC54" s="7">
        <f t="shared" si="238"/>
        <v>0</v>
      </c>
      <c r="DD54" s="7">
        <f t="shared" si="238"/>
        <v>0</v>
      </c>
      <c r="DE54" s="7">
        <f t="shared" si="238"/>
        <v>3326.35009765625</v>
      </c>
      <c r="DF54" s="7">
        <f t="shared" si="238"/>
        <v>2.6500000953674316</v>
      </c>
      <c r="DG54" s="7">
        <f t="shared" si="238"/>
        <v>38295.69921875</v>
      </c>
      <c r="DH54" s="7" t="str">
        <f t="shared" ref="DH54:DJ54" si="274">IFERROR(DH359,"-")</f>
        <v>W</v>
      </c>
      <c r="DI54" s="7" t="str">
        <f t="shared" si="274"/>
        <v>W</v>
      </c>
      <c r="DJ54" s="7" t="str">
        <f t="shared" si="274"/>
        <v>G</v>
      </c>
      <c r="DK54" s="64">
        <f t="shared" ref="DK54:DS54" si="275">IFERROR(VALUE(DK359),"-")</f>
        <v>38300</v>
      </c>
      <c r="DL54" s="64">
        <f t="shared" si="275"/>
        <v>3400000</v>
      </c>
      <c r="DM54" s="64">
        <f t="shared" si="275"/>
        <v>38500</v>
      </c>
      <c r="DN54" s="64">
        <f t="shared" si="275"/>
        <v>0</v>
      </c>
      <c r="DO54" s="64">
        <f t="shared" si="275"/>
        <v>24500</v>
      </c>
      <c r="DP54" s="64">
        <f t="shared" si="275"/>
        <v>2863350</v>
      </c>
      <c r="DQ54" s="64">
        <f t="shared" si="275"/>
        <v>38000</v>
      </c>
      <c r="DR54" s="64">
        <f t="shared" si="275"/>
        <v>0</v>
      </c>
      <c r="DS54" s="64">
        <f t="shared" si="275"/>
        <v>24500</v>
      </c>
      <c r="DT54" t="str">
        <f t="shared" si="7"/>
        <v>BANKNIFTY</v>
      </c>
      <c r="DU54" s="10">
        <f t="shared" si="8"/>
        <v>44784</v>
      </c>
    </row>
    <row r="55" spans="1:125" x14ac:dyDescent="0.25">
      <c r="A55" t="s">
        <v>23</v>
      </c>
      <c r="B55" s="2">
        <v>44861</v>
      </c>
      <c r="C55" s="1">
        <v>1000</v>
      </c>
      <c r="D55">
        <v>63</v>
      </c>
      <c r="G55" t="str">
        <f t="array" ref="G55">IFERROR(INDEX($A$2:$A$700,MATCH(0,COUNTIF($G$1:G54,$A$2:$A$700),0)),"")</f>
        <v>DALBHARAT</v>
      </c>
      <c r="M55" s="3"/>
      <c r="N55" s="3"/>
      <c r="O55" s="3">
        <f t="shared" si="9"/>
        <v>34700</v>
      </c>
      <c r="P55" s="7">
        <f t="shared" ref="P55:CA55" si="276">IFERROR(VALUE(P360),"-")</f>
        <v>2.75</v>
      </c>
      <c r="Q55" s="7">
        <f t="shared" si="276"/>
        <v>2.6500000953674316</v>
      </c>
      <c r="R55" s="7">
        <f t="shared" si="276"/>
        <v>4.5</v>
      </c>
      <c r="S55" s="7">
        <f t="shared" si="276"/>
        <v>3.8499999046325684</v>
      </c>
      <c r="T55" s="11">
        <f t="shared" si="276"/>
        <v>-18.84375</v>
      </c>
      <c r="U55" s="11">
        <f t="shared" si="276"/>
        <v>71313.109375</v>
      </c>
      <c r="V55" s="11">
        <f t="shared" si="276"/>
        <v>-27.046875</v>
      </c>
      <c r="W55" s="11">
        <f t="shared" si="276"/>
        <v>171299.28125</v>
      </c>
      <c r="X55" s="14">
        <f t="shared" si="276"/>
        <v>1.3969838619232178E-8</v>
      </c>
      <c r="Y55" s="14">
        <f t="shared" si="276"/>
        <v>2.7772925022873096E-5</v>
      </c>
      <c r="Z55" s="14">
        <f t="shared" si="276"/>
        <v>4.7773937694728374E-8</v>
      </c>
      <c r="AA55" s="14">
        <f t="shared" si="276"/>
        <v>7.7275202784221619E-5</v>
      </c>
      <c r="AB55" s="15">
        <f t="shared" si="276"/>
        <v>-1.3418599564829492E-11</v>
      </c>
      <c r="AC55" s="15">
        <f t="shared" si="276"/>
        <v>-1.839554819582645E-8</v>
      </c>
      <c r="AD55" s="13">
        <f t="shared" si="276"/>
        <v>-2.00653076171875E-3</v>
      </c>
      <c r="AE55" s="13">
        <f t="shared" si="276"/>
        <v>11.9591064453125</v>
      </c>
      <c r="AF55" s="12">
        <f t="shared" si="276"/>
        <v>1.74713134765625E-3</v>
      </c>
      <c r="AG55" s="12">
        <f t="shared" si="276"/>
        <v>-33.274936676025391</v>
      </c>
      <c r="AH55" s="13">
        <f t="shared" si="276"/>
        <v>5.3196345106698573E-9</v>
      </c>
      <c r="AI55" s="13">
        <f t="shared" si="276"/>
        <v>1.0743397069745697E-5</v>
      </c>
      <c r="AJ55" s="11">
        <f t="shared" si="276"/>
        <v>4.9918889999389648E-5</v>
      </c>
      <c r="AK55" s="11">
        <f t="shared" si="276"/>
        <v>0.32800698280334473</v>
      </c>
      <c r="AL55" s="11">
        <f t="shared" si="276"/>
        <v>0</v>
      </c>
      <c r="AM55" s="11">
        <f t="shared" si="276"/>
        <v>-2.75</v>
      </c>
      <c r="AN55" s="11">
        <f t="shared" si="276"/>
        <v>-1.4193356037139893E-6</v>
      </c>
      <c r="AO55" s="11">
        <f t="shared" si="276"/>
        <v>-5.6571606546640396E-3</v>
      </c>
      <c r="AP55" s="11">
        <f t="shared" si="276"/>
        <v>73.905998468399048</v>
      </c>
      <c r="AQ55" s="11">
        <f t="shared" si="276"/>
        <v>288350</v>
      </c>
      <c r="AR55" s="16">
        <f t="shared" si="276"/>
        <v>-4050</v>
      </c>
      <c r="AS55" s="16">
        <f t="shared" si="276"/>
        <v>45000</v>
      </c>
      <c r="AT55" s="16">
        <f t="shared" si="276"/>
        <v>73.905998468399048</v>
      </c>
      <c r="AU55" s="7">
        <f t="shared" si="276"/>
        <v>0</v>
      </c>
      <c r="AV55" s="7">
        <f t="shared" si="276"/>
        <v>2.75</v>
      </c>
      <c r="AW55" s="7">
        <f t="shared" si="276"/>
        <v>3226.800048828125</v>
      </c>
      <c r="AX55" s="7">
        <f t="shared" si="276"/>
        <v>0</v>
      </c>
      <c r="AY55" s="11">
        <f t="shared" si="276"/>
        <v>0</v>
      </c>
      <c r="AZ55" s="16">
        <f t="shared" si="276"/>
        <v>50</v>
      </c>
      <c r="BA55" s="16">
        <f t="shared" si="276"/>
        <v>0</v>
      </c>
      <c r="BB55" s="16">
        <f t="shared" si="276"/>
        <v>0</v>
      </c>
      <c r="BC55" s="11">
        <f t="shared" si="276"/>
        <v>0</v>
      </c>
      <c r="BD55" s="11">
        <f t="shared" si="276"/>
        <v>0</v>
      </c>
      <c r="BE55" s="11">
        <f t="shared" si="276"/>
        <v>0</v>
      </c>
      <c r="BF55" s="11">
        <f t="shared" si="276"/>
        <v>0</v>
      </c>
      <c r="BG55" s="11">
        <f t="shared" si="276"/>
        <v>0</v>
      </c>
      <c r="BH55" s="11">
        <f t="shared" si="276"/>
        <v>0</v>
      </c>
      <c r="BI55" s="13">
        <f t="shared" si="276"/>
        <v>0</v>
      </c>
      <c r="BJ55" s="13">
        <f t="shared" si="276"/>
        <v>0</v>
      </c>
      <c r="BK55" s="11">
        <f t="shared" si="276"/>
        <v>0</v>
      </c>
      <c r="BL55" s="12">
        <f t="shared" si="276"/>
        <v>0</v>
      </c>
      <c r="BM55" s="12">
        <f t="shared" si="276"/>
        <v>0</v>
      </c>
      <c r="BN55" s="13">
        <f t="shared" si="276"/>
        <v>0</v>
      </c>
      <c r="BO55" s="13">
        <f t="shared" si="276"/>
        <v>0</v>
      </c>
      <c r="BP55" s="15">
        <f t="shared" si="276"/>
        <v>0</v>
      </c>
      <c r="BQ55" s="15">
        <f t="shared" si="276"/>
        <v>0</v>
      </c>
      <c r="BR55" s="14">
        <f t="shared" si="276"/>
        <v>0</v>
      </c>
      <c r="BS55" s="14">
        <f t="shared" si="276"/>
        <v>0</v>
      </c>
      <c r="BT55" s="14">
        <f t="shared" si="276"/>
        <v>0</v>
      </c>
      <c r="BU55" s="14">
        <f t="shared" si="276"/>
        <v>0</v>
      </c>
      <c r="BV55" s="11">
        <f t="shared" si="276"/>
        <v>0</v>
      </c>
      <c r="BW55" s="11">
        <f t="shared" si="276"/>
        <v>0</v>
      </c>
      <c r="BX55" s="11">
        <f t="shared" si="276"/>
        <v>0</v>
      </c>
      <c r="BY55" s="11">
        <f t="shared" si="276"/>
        <v>0</v>
      </c>
      <c r="BZ55" s="7">
        <f t="shared" si="276"/>
        <v>0</v>
      </c>
      <c r="CA55" s="7">
        <f t="shared" si="276"/>
        <v>0</v>
      </c>
      <c r="CB55" s="7">
        <f t="shared" ref="CB55:CP55" si="277">IFERROR(VALUE(CB360),"-")</f>
        <v>0</v>
      </c>
      <c r="CC55" s="7">
        <f t="shared" si="277"/>
        <v>3226.800048828125</v>
      </c>
      <c r="CD55" s="7">
        <f t="shared" si="277"/>
        <v>3695.14990234375</v>
      </c>
      <c r="CE55" s="3">
        <f t="shared" si="277"/>
        <v>800</v>
      </c>
      <c r="CF55" s="7">
        <f t="shared" si="277"/>
        <v>3561.85009765625</v>
      </c>
      <c r="CG55" s="3">
        <f t="shared" si="277"/>
        <v>50</v>
      </c>
      <c r="CH55" s="7">
        <f t="shared" si="277"/>
        <v>0</v>
      </c>
      <c r="CI55" s="7">
        <f t="shared" si="277"/>
        <v>2.7999999523162842</v>
      </c>
      <c r="CJ55" s="3">
        <f t="shared" si="277"/>
        <v>425</v>
      </c>
      <c r="CK55" s="7">
        <f t="shared" si="277"/>
        <v>2.75</v>
      </c>
      <c r="CL55" s="3">
        <f t="shared" si="277"/>
        <v>50</v>
      </c>
      <c r="CM55" s="7">
        <f t="shared" si="277"/>
        <v>3.5199999809265137</v>
      </c>
      <c r="CN55" s="10">
        <f t="shared" si="277"/>
        <v>44783.638194444444</v>
      </c>
      <c r="CO55" s="10">
        <f t="shared" si="277"/>
        <v>44783.638194444444</v>
      </c>
      <c r="CP55" s="7">
        <f t="shared" si="277"/>
        <v>38295.69921875</v>
      </c>
      <c r="CQ55" s="7" t="str">
        <f t="shared" ref="CQ55" si="278">IFERROR(CQ360,"-")</f>
        <v>FairPrice</v>
      </c>
      <c r="CR55" s="10">
        <f t="shared" si="238"/>
        <v>44783.638194444444</v>
      </c>
      <c r="CS55" s="7">
        <f t="shared" si="238"/>
        <v>-1.4913082122802734E-2</v>
      </c>
      <c r="CT55" s="7">
        <f t="shared" si="238"/>
        <v>-2.017437530192017E-4</v>
      </c>
      <c r="CU55" s="7">
        <f t="shared" si="238"/>
        <v>49050</v>
      </c>
      <c r="CV55" s="7">
        <f t="shared" si="238"/>
        <v>-8.2568807339449546E-2</v>
      </c>
      <c r="CW55" s="7">
        <f t="shared" si="238"/>
        <v>2.75</v>
      </c>
      <c r="CX55" s="7">
        <f t="shared" si="238"/>
        <v>0</v>
      </c>
      <c r="CY55" s="7">
        <f t="shared" si="238"/>
        <v>3226.800048828125</v>
      </c>
      <c r="CZ55" s="7">
        <f t="shared" si="238"/>
        <v>0</v>
      </c>
      <c r="DA55" s="7">
        <f t="shared" si="238"/>
        <v>50</v>
      </c>
      <c r="DB55" s="7">
        <f t="shared" si="238"/>
        <v>0</v>
      </c>
      <c r="DC55" s="7">
        <f t="shared" si="238"/>
        <v>0</v>
      </c>
      <c r="DD55" s="7">
        <f t="shared" si="238"/>
        <v>0</v>
      </c>
      <c r="DE55" s="7">
        <f t="shared" si="238"/>
        <v>3226.800048828125</v>
      </c>
      <c r="DF55" s="7">
        <f t="shared" si="238"/>
        <v>2.75</v>
      </c>
      <c r="DG55" s="7">
        <f t="shared" si="238"/>
        <v>38295.69921875</v>
      </c>
      <c r="DH55" s="7" t="str">
        <f t="shared" ref="DH55:DJ55" si="279">IFERROR(DH360,"-")</f>
        <v>W</v>
      </c>
      <c r="DI55" s="7" t="str">
        <f t="shared" si="279"/>
        <v>W</v>
      </c>
      <c r="DJ55" s="7" t="str">
        <f t="shared" si="279"/>
        <v>G</v>
      </c>
      <c r="DK55" s="64">
        <f t="shared" ref="DK55:DS55" si="280">IFERROR(VALUE(DK360),"-")</f>
        <v>38300</v>
      </c>
      <c r="DL55" s="64">
        <f t="shared" si="280"/>
        <v>3400000</v>
      </c>
      <c r="DM55" s="64">
        <f t="shared" si="280"/>
        <v>38500</v>
      </c>
      <c r="DN55" s="64">
        <f t="shared" si="280"/>
        <v>0</v>
      </c>
      <c r="DO55" s="64">
        <f t="shared" si="280"/>
        <v>24500</v>
      </c>
      <c r="DP55" s="64">
        <f t="shared" si="280"/>
        <v>2863350</v>
      </c>
      <c r="DQ55" s="64">
        <f t="shared" si="280"/>
        <v>38000</v>
      </c>
      <c r="DR55" s="64">
        <f t="shared" si="280"/>
        <v>0</v>
      </c>
      <c r="DS55" s="64">
        <f t="shared" si="280"/>
        <v>24500</v>
      </c>
      <c r="DT55" t="str">
        <f t="shared" si="7"/>
        <v>BANKNIFTY</v>
      </c>
      <c r="DU55" s="10">
        <f t="shared" si="8"/>
        <v>44784</v>
      </c>
    </row>
    <row r="56" spans="1:125" x14ac:dyDescent="0.25">
      <c r="A56" t="s">
        <v>24</v>
      </c>
      <c r="B56" s="2">
        <v>44798</v>
      </c>
      <c r="C56" s="1">
        <v>1000</v>
      </c>
      <c r="D56">
        <v>56</v>
      </c>
      <c r="G56" t="str">
        <f t="array" ref="G56">IFERROR(INDEX($A$2:$A$700,MATCH(0,COUNTIF($G$1:G55,$A$2:$A$700),0)),"")</f>
        <v>DEEPAKNTR</v>
      </c>
      <c r="M56" s="3"/>
      <c r="N56" s="3"/>
      <c r="O56" s="3">
        <f t="shared" si="9"/>
        <v>34800</v>
      </c>
      <c r="P56" s="7">
        <f t="shared" ref="P56:CA56" si="281">IFERROR(VALUE(P361),"-")</f>
        <v>2.75</v>
      </c>
      <c r="Q56" s="7">
        <f t="shared" si="281"/>
        <v>2.75</v>
      </c>
      <c r="R56" s="7">
        <f t="shared" si="281"/>
        <v>4.6500000953674316</v>
      </c>
      <c r="S56" s="7">
        <f t="shared" si="281"/>
        <v>4</v>
      </c>
      <c r="T56" s="11">
        <f t="shared" si="281"/>
        <v>-4.7421875</v>
      </c>
      <c r="U56" s="11">
        <f t="shared" si="281"/>
        <v>69455.8828125</v>
      </c>
      <c r="V56" s="11">
        <f t="shared" si="281"/>
        <v>-10.90625</v>
      </c>
      <c r="W56" s="11">
        <f t="shared" si="281"/>
        <v>171095.296875</v>
      </c>
      <c r="X56" s="14">
        <f t="shared" si="281"/>
        <v>4.7675712266936898E-9</v>
      </c>
      <c r="Y56" s="14">
        <f t="shared" si="281"/>
        <v>2.8878446755697951E-5</v>
      </c>
      <c r="Z56" s="14">
        <f t="shared" si="281"/>
        <v>1.4202669262886047E-8</v>
      </c>
      <c r="AA56" s="14">
        <f t="shared" si="281"/>
        <v>8.247175719588995E-5</v>
      </c>
      <c r="AB56" s="15">
        <f t="shared" si="281"/>
        <v>-4.2117420662179939E-12</v>
      </c>
      <c r="AC56" s="15">
        <f t="shared" si="281"/>
        <v>-1.9703117359881617E-8</v>
      </c>
      <c r="AD56" s="13">
        <f t="shared" si="281"/>
        <v>-3.6525726318359375E-4</v>
      </c>
      <c r="AE56" s="13">
        <f t="shared" si="281"/>
        <v>11.673853874206543</v>
      </c>
      <c r="AF56" s="12">
        <f t="shared" si="281"/>
        <v>8.04901123046875E-4</v>
      </c>
      <c r="AG56" s="12">
        <f t="shared" si="281"/>
        <v>-33.338470458984375</v>
      </c>
      <c r="AH56" s="13">
        <f t="shared" si="281"/>
        <v>1.6334524843841791E-9</v>
      </c>
      <c r="AI56" s="13">
        <f t="shared" si="281"/>
        <v>1.1256343896093313E-5</v>
      </c>
      <c r="AJ56" s="11">
        <f t="shared" si="281"/>
        <v>1.1980533599853516E-5</v>
      </c>
      <c r="AK56" s="11">
        <f t="shared" si="281"/>
        <v>0.33502665162086487</v>
      </c>
      <c r="AL56" s="11">
        <f t="shared" si="281"/>
        <v>0</v>
      </c>
      <c r="AM56" s="11">
        <f t="shared" si="281"/>
        <v>-2.75</v>
      </c>
      <c r="AN56" s="11">
        <f t="shared" si="281"/>
        <v>-4.2608007788658142E-7</v>
      </c>
      <c r="AO56" s="11">
        <f t="shared" si="281"/>
        <v>-5.7925451546907425E-3</v>
      </c>
      <c r="AP56" s="11">
        <f t="shared" si="281"/>
        <v>72.021245956420898</v>
      </c>
      <c r="AQ56" s="11">
        <f t="shared" si="281"/>
        <v>375975</v>
      </c>
      <c r="AR56" s="16">
        <f t="shared" si="281"/>
        <v>-21750</v>
      </c>
      <c r="AS56" s="16">
        <f t="shared" si="281"/>
        <v>43025</v>
      </c>
      <c r="AT56" s="16">
        <f t="shared" si="281"/>
        <v>72.021245956420898</v>
      </c>
      <c r="AU56" s="7">
        <f t="shared" si="281"/>
        <v>0</v>
      </c>
      <c r="AV56" s="7">
        <f t="shared" si="281"/>
        <v>2.75</v>
      </c>
      <c r="AW56" s="7">
        <f t="shared" si="281"/>
        <v>3127.300048828125</v>
      </c>
      <c r="AX56" s="7">
        <f t="shared" si="281"/>
        <v>0</v>
      </c>
      <c r="AY56" s="11">
        <f t="shared" si="281"/>
        <v>0</v>
      </c>
      <c r="AZ56" s="16">
        <f t="shared" si="281"/>
        <v>50</v>
      </c>
      <c r="BA56" s="16">
        <f t="shared" si="281"/>
        <v>0</v>
      </c>
      <c r="BB56" s="16">
        <f t="shared" si="281"/>
        <v>0</v>
      </c>
      <c r="BC56" s="11">
        <f t="shared" si="281"/>
        <v>0</v>
      </c>
      <c r="BD56" s="11">
        <f t="shared" si="281"/>
        <v>0</v>
      </c>
      <c r="BE56" s="11">
        <f t="shared" si="281"/>
        <v>0</v>
      </c>
      <c r="BF56" s="11">
        <f t="shared" si="281"/>
        <v>0</v>
      </c>
      <c r="BG56" s="11">
        <f t="shared" si="281"/>
        <v>0</v>
      </c>
      <c r="BH56" s="11">
        <f t="shared" si="281"/>
        <v>0</v>
      </c>
      <c r="BI56" s="13">
        <f t="shared" si="281"/>
        <v>0</v>
      </c>
      <c r="BJ56" s="13">
        <f t="shared" si="281"/>
        <v>0</v>
      </c>
      <c r="BK56" s="11">
        <f t="shared" si="281"/>
        <v>0</v>
      </c>
      <c r="BL56" s="12">
        <f t="shared" si="281"/>
        <v>0</v>
      </c>
      <c r="BM56" s="12">
        <f t="shared" si="281"/>
        <v>0</v>
      </c>
      <c r="BN56" s="13">
        <f t="shared" si="281"/>
        <v>0</v>
      </c>
      <c r="BO56" s="13">
        <f t="shared" si="281"/>
        <v>0</v>
      </c>
      <c r="BP56" s="15">
        <f t="shared" si="281"/>
        <v>0</v>
      </c>
      <c r="BQ56" s="15">
        <f t="shared" si="281"/>
        <v>0</v>
      </c>
      <c r="BR56" s="14">
        <f t="shared" si="281"/>
        <v>0</v>
      </c>
      <c r="BS56" s="14">
        <f t="shared" si="281"/>
        <v>0</v>
      </c>
      <c r="BT56" s="14">
        <f t="shared" si="281"/>
        <v>0</v>
      </c>
      <c r="BU56" s="14">
        <f t="shared" si="281"/>
        <v>0</v>
      </c>
      <c r="BV56" s="11">
        <f t="shared" si="281"/>
        <v>0</v>
      </c>
      <c r="BW56" s="11">
        <f t="shared" si="281"/>
        <v>0</v>
      </c>
      <c r="BX56" s="11">
        <f t="shared" si="281"/>
        <v>0</v>
      </c>
      <c r="BY56" s="11">
        <f t="shared" si="281"/>
        <v>0</v>
      </c>
      <c r="BZ56" s="7">
        <f t="shared" si="281"/>
        <v>0</v>
      </c>
      <c r="CA56" s="7">
        <f t="shared" si="281"/>
        <v>0</v>
      </c>
      <c r="CB56" s="7">
        <f t="shared" ref="CB56:CP56" si="282">IFERROR(VALUE(CB361),"-")</f>
        <v>0</v>
      </c>
      <c r="CC56" s="7">
        <f t="shared" si="282"/>
        <v>3127.300048828125</v>
      </c>
      <c r="CD56" s="7">
        <f t="shared" si="282"/>
        <v>3565.699951171875</v>
      </c>
      <c r="CE56" s="3">
        <f t="shared" si="282"/>
        <v>50</v>
      </c>
      <c r="CF56" s="7">
        <f t="shared" si="282"/>
        <v>3458.949951171875</v>
      </c>
      <c r="CG56" s="3">
        <f t="shared" si="282"/>
        <v>50</v>
      </c>
      <c r="CH56" s="7">
        <f t="shared" si="282"/>
        <v>0</v>
      </c>
      <c r="CI56" s="7">
        <f t="shared" si="282"/>
        <v>2.7999999523162842</v>
      </c>
      <c r="CJ56" s="3">
        <f t="shared" si="282"/>
        <v>500</v>
      </c>
      <c r="CK56" s="7">
        <f t="shared" si="282"/>
        <v>2.75</v>
      </c>
      <c r="CL56" s="3">
        <f t="shared" si="282"/>
        <v>25</v>
      </c>
      <c r="CM56" s="7">
        <f t="shared" si="282"/>
        <v>3.7100000381469727</v>
      </c>
      <c r="CN56" s="10">
        <f t="shared" si="282"/>
        <v>44783.638194444444</v>
      </c>
      <c r="CO56" s="10">
        <f t="shared" si="282"/>
        <v>44783.638194444444</v>
      </c>
      <c r="CP56" s="7">
        <f t="shared" si="282"/>
        <v>38295.69921875</v>
      </c>
      <c r="CQ56" s="7" t="str">
        <f t="shared" ref="CQ56" si="283">IFERROR(CQ361,"-")</f>
        <v>FairPrice</v>
      </c>
      <c r="CR56" s="10">
        <f t="shared" si="238"/>
        <v>44783.638194444444</v>
      </c>
      <c r="CS56" s="7">
        <f t="shared" si="238"/>
        <v>-3.6299228668212891E-3</v>
      </c>
      <c r="CT56" s="7">
        <f t="shared" si="238"/>
        <v>-5.0398182884826743E-5</v>
      </c>
      <c r="CU56" s="7">
        <f t="shared" si="238"/>
        <v>64775</v>
      </c>
      <c r="CV56" s="7">
        <f t="shared" si="238"/>
        <v>-0.33577769201080665</v>
      </c>
      <c r="CW56" s="7">
        <f t="shared" si="238"/>
        <v>2.75</v>
      </c>
      <c r="CX56" s="7">
        <f t="shared" si="238"/>
        <v>0</v>
      </c>
      <c r="CY56" s="7">
        <f t="shared" si="238"/>
        <v>3127.300048828125</v>
      </c>
      <c r="CZ56" s="7">
        <f t="shared" si="238"/>
        <v>0</v>
      </c>
      <c r="DA56" s="7">
        <f t="shared" si="238"/>
        <v>50</v>
      </c>
      <c r="DB56" s="7">
        <f t="shared" si="238"/>
        <v>0</v>
      </c>
      <c r="DC56" s="7">
        <f t="shared" si="238"/>
        <v>0</v>
      </c>
      <c r="DD56" s="7">
        <f t="shared" si="238"/>
        <v>0</v>
      </c>
      <c r="DE56" s="7">
        <f t="shared" si="238"/>
        <v>3127.300048828125</v>
      </c>
      <c r="DF56" s="7">
        <f t="shared" si="238"/>
        <v>2.75</v>
      </c>
      <c r="DG56" s="7">
        <f t="shared" si="238"/>
        <v>38295.69921875</v>
      </c>
      <c r="DH56" s="7" t="str">
        <f t="shared" ref="DH56:DJ56" si="284">IFERROR(DH361,"-")</f>
        <v>W</v>
      </c>
      <c r="DI56" s="7" t="str">
        <f t="shared" si="284"/>
        <v>W</v>
      </c>
      <c r="DJ56" s="7" t="str">
        <f t="shared" si="284"/>
        <v>G</v>
      </c>
      <c r="DK56" s="64">
        <f t="shared" ref="DK56:DS56" si="285">IFERROR(VALUE(DK361),"-")</f>
        <v>38300</v>
      </c>
      <c r="DL56" s="64">
        <f t="shared" si="285"/>
        <v>3400000</v>
      </c>
      <c r="DM56" s="64">
        <f t="shared" si="285"/>
        <v>38500</v>
      </c>
      <c r="DN56" s="64">
        <f t="shared" si="285"/>
        <v>0</v>
      </c>
      <c r="DO56" s="64">
        <f t="shared" si="285"/>
        <v>24500</v>
      </c>
      <c r="DP56" s="64">
        <f t="shared" si="285"/>
        <v>2863350</v>
      </c>
      <c r="DQ56" s="64">
        <f t="shared" si="285"/>
        <v>38000</v>
      </c>
      <c r="DR56" s="64">
        <f t="shared" si="285"/>
        <v>0</v>
      </c>
      <c r="DS56" s="64">
        <f t="shared" si="285"/>
        <v>24500</v>
      </c>
      <c r="DT56" t="str">
        <f t="shared" si="7"/>
        <v>BANKNIFTY</v>
      </c>
      <c r="DU56" s="10">
        <f t="shared" si="8"/>
        <v>44784</v>
      </c>
    </row>
    <row r="57" spans="1:125" x14ac:dyDescent="0.25">
      <c r="A57" t="s">
        <v>24</v>
      </c>
      <c r="B57" s="2">
        <v>44833</v>
      </c>
      <c r="C57" s="1">
        <v>1000</v>
      </c>
      <c r="D57">
        <v>56</v>
      </c>
      <c r="G57" t="str">
        <f t="array" ref="G57">IFERROR(INDEX($A$2:$A$700,MATCH(0,COUNTIF($G$1:G56,$A$2:$A$700),0)),"")</f>
        <v>DELTACORP</v>
      </c>
      <c r="M57" s="3"/>
      <c r="N57" s="3"/>
      <c r="O57" s="3">
        <f t="shared" si="9"/>
        <v>34900</v>
      </c>
      <c r="P57" s="7">
        <f t="shared" ref="P57:CA57" si="286">IFERROR(VALUE(P362),"-")</f>
        <v>2.7999999523162842</v>
      </c>
      <c r="Q57" s="7">
        <f t="shared" si="286"/>
        <v>2.7999999523162842</v>
      </c>
      <c r="R57" s="7">
        <f t="shared" si="286"/>
        <v>4.6999998092651367</v>
      </c>
      <c r="S57" s="7">
        <f t="shared" si="286"/>
        <v>4.5</v>
      </c>
      <c r="T57" s="11">
        <f t="shared" si="286"/>
        <v>2.453125</v>
      </c>
      <c r="U57" s="11">
        <f t="shared" si="286"/>
        <v>66410.3125</v>
      </c>
      <c r="V57" s="11">
        <f t="shared" si="286"/>
        <v>-6.65625</v>
      </c>
      <c r="W57" s="11">
        <f t="shared" si="286"/>
        <v>167507.765625</v>
      </c>
      <c r="X57" s="14">
        <f t="shared" si="286"/>
        <v>6.7848304752260447E-10</v>
      </c>
      <c r="Y57" s="14">
        <f t="shared" si="286"/>
        <v>3.0313927709357813E-5</v>
      </c>
      <c r="Z57" s="14">
        <f t="shared" si="286"/>
        <v>-4.8676156438887119E-9</v>
      </c>
      <c r="AA57" s="14">
        <f t="shared" si="286"/>
        <v>8.8776505435816944E-5</v>
      </c>
      <c r="AB57" s="15">
        <f t="shared" si="286"/>
        <v>7.815970093361102E-13</v>
      </c>
      <c r="AC57" s="15">
        <f t="shared" si="286"/>
        <v>-2.1364721547456611E-8</v>
      </c>
      <c r="AD57" s="13">
        <f t="shared" si="286"/>
        <v>6.275177001953125E-4</v>
      </c>
      <c r="AE57" s="13">
        <f t="shared" si="286"/>
        <v>11.21019458770752</v>
      </c>
      <c r="AF57" s="12">
        <f t="shared" si="286"/>
        <v>6.9427490234375E-4</v>
      </c>
      <c r="AG57" s="12">
        <f t="shared" si="286"/>
        <v>-32.829856872558594</v>
      </c>
      <c r="AH57" s="13">
        <f t="shared" si="286"/>
        <v>-2.9649527277797461E-10</v>
      </c>
      <c r="AI57" s="13">
        <f t="shared" si="286"/>
        <v>1.1966716556344181E-5</v>
      </c>
      <c r="AJ57" s="11">
        <f t="shared" si="286"/>
        <v>-1.0907649993896484E-5</v>
      </c>
      <c r="AK57" s="11">
        <f t="shared" si="286"/>
        <v>0.34707045555114746</v>
      </c>
      <c r="AL57" s="11">
        <f t="shared" si="286"/>
        <v>0</v>
      </c>
      <c r="AM57" s="11">
        <f t="shared" si="286"/>
        <v>-2.7999999523162842</v>
      </c>
      <c r="AN57" s="11">
        <f t="shared" si="286"/>
        <v>7.5902789831161499E-8</v>
      </c>
      <c r="AO57" s="11">
        <f t="shared" si="286"/>
        <v>-6.0293176211416721E-3</v>
      </c>
      <c r="AP57" s="11">
        <f t="shared" si="286"/>
        <v>70.210945606231689</v>
      </c>
      <c r="AQ57" s="11">
        <f t="shared" si="286"/>
        <v>330100</v>
      </c>
      <c r="AR57" s="16">
        <f t="shared" si="286"/>
        <v>-13675</v>
      </c>
      <c r="AS57" s="16">
        <f t="shared" si="286"/>
        <v>28075</v>
      </c>
      <c r="AT57" s="16">
        <f t="shared" si="286"/>
        <v>70.210945606231689</v>
      </c>
      <c r="AU57" s="7">
        <f t="shared" si="286"/>
        <v>0</v>
      </c>
      <c r="AV57" s="7">
        <f t="shared" si="286"/>
        <v>2.7999999523162842</v>
      </c>
      <c r="AW57" s="7">
        <f t="shared" si="286"/>
        <v>3196.14990234375</v>
      </c>
      <c r="AX57" s="7">
        <f t="shared" si="286"/>
        <v>0</v>
      </c>
      <c r="AY57" s="11">
        <f t="shared" si="286"/>
        <v>0</v>
      </c>
      <c r="AZ57" s="16">
        <f t="shared" si="286"/>
        <v>500</v>
      </c>
      <c r="BA57" s="16">
        <f t="shared" si="286"/>
        <v>0</v>
      </c>
      <c r="BB57" s="16">
        <f t="shared" si="286"/>
        <v>0</v>
      </c>
      <c r="BC57" s="11">
        <f t="shared" si="286"/>
        <v>0</v>
      </c>
      <c r="BD57" s="11">
        <f t="shared" si="286"/>
        <v>0</v>
      </c>
      <c r="BE57" s="11">
        <f t="shared" si="286"/>
        <v>0</v>
      </c>
      <c r="BF57" s="11">
        <f t="shared" si="286"/>
        <v>0</v>
      </c>
      <c r="BG57" s="11">
        <f t="shared" si="286"/>
        <v>0</v>
      </c>
      <c r="BH57" s="11">
        <f t="shared" si="286"/>
        <v>0</v>
      </c>
      <c r="BI57" s="13">
        <f t="shared" si="286"/>
        <v>0</v>
      </c>
      <c r="BJ57" s="13">
        <f t="shared" si="286"/>
        <v>0</v>
      </c>
      <c r="BK57" s="11">
        <f t="shared" si="286"/>
        <v>0</v>
      </c>
      <c r="BL57" s="12">
        <f t="shared" si="286"/>
        <v>0</v>
      </c>
      <c r="BM57" s="12">
        <f t="shared" si="286"/>
        <v>0</v>
      </c>
      <c r="BN57" s="13">
        <f t="shared" si="286"/>
        <v>0</v>
      </c>
      <c r="BO57" s="13">
        <f t="shared" si="286"/>
        <v>0</v>
      </c>
      <c r="BP57" s="15">
        <f t="shared" si="286"/>
        <v>0</v>
      </c>
      <c r="BQ57" s="15">
        <f t="shared" si="286"/>
        <v>0</v>
      </c>
      <c r="BR57" s="14">
        <f t="shared" si="286"/>
        <v>0</v>
      </c>
      <c r="BS57" s="14">
        <f t="shared" si="286"/>
        <v>0</v>
      </c>
      <c r="BT57" s="14">
        <f t="shared" si="286"/>
        <v>0</v>
      </c>
      <c r="BU57" s="14">
        <f t="shared" si="286"/>
        <v>0</v>
      </c>
      <c r="BV57" s="11">
        <f t="shared" si="286"/>
        <v>0</v>
      </c>
      <c r="BW57" s="11">
        <f t="shared" si="286"/>
        <v>0</v>
      </c>
      <c r="BX57" s="11">
        <f t="shared" si="286"/>
        <v>0</v>
      </c>
      <c r="BY57" s="11">
        <f t="shared" si="286"/>
        <v>0</v>
      </c>
      <c r="BZ57" s="7">
        <f t="shared" si="286"/>
        <v>0</v>
      </c>
      <c r="CA57" s="7">
        <f t="shared" si="286"/>
        <v>0</v>
      </c>
      <c r="CB57" s="7">
        <f t="shared" ref="CB57:CP57" si="287">IFERROR(VALUE(CB362),"-")</f>
        <v>0</v>
      </c>
      <c r="CC57" s="7">
        <f t="shared" si="287"/>
        <v>3196.14990234375</v>
      </c>
      <c r="CD57" s="7">
        <f t="shared" si="287"/>
        <v>3462</v>
      </c>
      <c r="CE57" s="3">
        <f t="shared" si="287"/>
        <v>50</v>
      </c>
      <c r="CF57" s="7">
        <f t="shared" si="287"/>
        <v>3316.550048828125</v>
      </c>
      <c r="CG57" s="3">
        <f t="shared" si="287"/>
        <v>800</v>
      </c>
      <c r="CH57" s="7">
        <f t="shared" si="287"/>
        <v>0</v>
      </c>
      <c r="CI57" s="7">
        <f t="shared" si="287"/>
        <v>2.8499999046325684</v>
      </c>
      <c r="CJ57" s="3">
        <f t="shared" si="287"/>
        <v>5375</v>
      </c>
      <c r="CK57" s="7">
        <f t="shared" si="287"/>
        <v>2.75</v>
      </c>
      <c r="CL57" s="3">
        <f t="shared" si="287"/>
        <v>675</v>
      </c>
      <c r="CM57" s="7">
        <f t="shared" si="287"/>
        <v>3.8399999141693115</v>
      </c>
      <c r="CN57" s="10">
        <f t="shared" si="287"/>
        <v>44783.638194444444</v>
      </c>
      <c r="CO57" s="10">
        <f t="shared" si="287"/>
        <v>44783.638194444444</v>
      </c>
      <c r="CP57" s="7">
        <f t="shared" si="287"/>
        <v>38295.69921875</v>
      </c>
      <c r="CQ57" s="7" t="str">
        <f t="shared" ref="CQ57" si="288">IFERROR(CQ362,"-")</f>
        <v>FairPrice</v>
      </c>
      <c r="CR57" s="10">
        <f t="shared" si="238"/>
        <v>44783.638194444444</v>
      </c>
      <c r="CS57" s="7">
        <f t="shared" si="238"/>
        <v>2.384185791015625E-3</v>
      </c>
      <c r="CT57" s="7">
        <f t="shared" si="238"/>
        <v>3.3958619045589613E-5</v>
      </c>
      <c r="CU57" s="7">
        <f t="shared" si="238"/>
        <v>41750</v>
      </c>
      <c r="CV57" s="7">
        <f t="shared" si="238"/>
        <v>-0.32754491017964071</v>
      </c>
      <c r="CW57" s="7">
        <f t="shared" si="238"/>
        <v>2.7999999523162842</v>
      </c>
      <c r="CX57" s="7">
        <f t="shared" si="238"/>
        <v>0</v>
      </c>
      <c r="CY57" s="7">
        <f t="shared" si="238"/>
        <v>3196.14990234375</v>
      </c>
      <c r="CZ57" s="7">
        <f t="shared" si="238"/>
        <v>0</v>
      </c>
      <c r="DA57" s="7">
        <f t="shared" si="238"/>
        <v>500</v>
      </c>
      <c r="DB57" s="7">
        <f t="shared" si="238"/>
        <v>0</v>
      </c>
      <c r="DC57" s="7">
        <f t="shared" si="238"/>
        <v>0</v>
      </c>
      <c r="DD57" s="7">
        <f t="shared" si="238"/>
        <v>0</v>
      </c>
      <c r="DE57" s="7">
        <f t="shared" si="238"/>
        <v>3196.14990234375</v>
      </c>
      <c r="DF57" s="7">
        <f t="shared" si="238"/>
        <v>2.7999999523162842</v>
      </c>
      <c r="DG57" s="7">
        <f t="shared" si="238"/>
        <v>38295.69921875</v>
      </c>
      <c r="DH57" s="7" t="str">
        <f t="shared" ref="DH57:DJ57" si="289">IFERROR(DH362,"-")</f>
        <v>W</v>
      </c>
      <c r="DI57" s="7" t="str">
        <f t="shared" si="289"/>
        <v>W</v>
      </c>
      <c r="DJ57" s="7" t="str">
        <f t="shared" si="289"/>
        <v>G</v>
      </c>
      <c r="DK57" s="64">
        <f t="shared" ref="DK57:DS57" si="290">IFERROR(VALUE(DK362),"-")</f>
        <v>38300</v>
      </c>
      <c r="DL57" s="64">
        <f t="shared" si="290"/>
        <v>3400000</v>
      </c>
      <c r="DM57" s="64">
        <f t="shared" si="290"/>
        <v>38500</v>
      </c>
      <c r="DN57" s="64">
        <f t="shared" si="290"/>
        <v>0</v>
      </c>
      <c r="DO57" s="64">
        <f t="shared" si="290"/>
        <v>24500</v>
      </c>
      <c r="DP57" s="64">
        <f t="shared" si="290"/>
        <v>2863350</v>
      </c>
      <c r="DQ57" s="64">
        <f t="shared" si="290"/>
        <v>38000</v>
      </c>
      <c r="DR57" s="64">
        <f t="shared" si="290"/>
        <v>0</v>
      </c>
      <c r="DS57" s="64">
        <f t="shared" si="290"/>
        <v>24500</v>
      </c>
      <c r="DT57" t="str">
        <f t="shared" si="7"/>
        <v>BANKNIFTY</v>
      </c>
      <c r="DU57" s="10">
        <f t="shared" si="8"/>
        <v>44784</v>
      </c>
    </row>
    <row r="58" spans="1:125" x14ac:dyDescent="0.25">
      <c r="A58" t="s">
        <v>24</v>
      </c>
      <c r="B58" s="2">
        <v>44861</v>
      </c>
      <c r="C58" s="1">
        <v>1000</v>
      </c>
      <c r="D58">
        <v>56</v>
      </c>
      <c r="G58" t="str">
        <f t="array" ref="G58">IFERROR(INDEX($A$2:$A$700,MATCH(0,COUNTIF($G$1:G57,$A$2:$A$700),0)),"")</f>
        <v>DIVISLAB</v>
      </c>
      <c r="M58" s="3"/>
      <c r="N58" s="3"/>
      <c r="O58" s="3">
        <f t="shared" si="9"/>
        <v>35000</v>
      </c>
      <c r="P58" s="7">
        <f t="shared" ref="P58:CA58" si="291">IFERROR(VALUE(P363),"-")</f>
        <v>2.75</v>
      </c>
      <c r="Q58" s="7">
        <f t="shared" si="291"/>
        <v>2.7000000476837158</v>
      </c>
      <c r="R58" s="7">
        <f t="shared" si="291"/>
        <v>4.9000000953674316</v>
      </c>
      <c r="S58" s="7">
        <f t="shared" si="291"/>
        <v>4.1999998092651367</v>
      </c>
      <c r="T58" s="11">
        <f t="shared" si="291"/>
        <v>2.453125</v>
      </c>
      <c r="U58" s="11">
        <f t="shared" si="291"/>
        <v>65603.078125</v>
      </c>
      <c r="V58" s="11">
        <f t="shared" si="291"/>
        <v>-6.765625</v>
      </c>
      <c r="W58" s="11">
        <f t="shared" si="291"/>
        <v>170436.03125</v>
      </c>
      <c r="X58" s="14">
        <f t="shared" si="291"/>
        <v>6.8757799454033375E-10</v>
      </c>
      <c r="Y58" s="14">
        <f t="shared" si="291"/>
        <v>3.1443349143955857E-5</v>
      </c>
      <c r="Z58" s="14">
        <f t="shared" si="291"/>
        <v>-5.2896211855113506E-9</v>
      </c>
      <c r="AA58" s="14">
        <f t="shared" si="291"/>
        <v>9.4882598205003887E-5</v>
      </c>
      <c r="AB58" s="15">
        <f t="shared" si="291"/>
        <v>8.5975671026972122E-13</v>
      </c>
      <c r="AC58" s="15">
        <f t="shared" si="291"/>
        <v>-2.2863078541490722E-8</v>
      </c>
      <c r="AD58" s="13">
        <f t="shared" si="291"/>
        <v>6.2465667724609375E-4</v>
      </c>
      <c r="AE58" s="13">
        <f t="shared" si="291"/>
        <v>11.087153434753418</v>
      </c>
      <c r="AF58" s="12">
        <f t="shared" si="291"/>
        <v>7.0953369140625E-4</v>
      </c>
      <c r="AG58" s="12">
        <f t="shared" si="291"/>
        <v>-33.456295013427734</v>
      </c>
      <c r="AH58" s="13">
        <f t="shared" si="291"/>
        <v>-3.1741365091875196E-10</v>
      </c>
      <c r="AI58" s="13">
        <f t="shared" si="291"/>
        <v>1.2452903320081532E-5</v>
      </c>
      <c r="AJ58" s="11">
        <f t="shared" si="291"/>
        <v>-1.1116266250610352E-5</v>
      </c>
      <c r="AK58" s="11">
        <f t="shared" si="291"/>
        <v>0.35051882266998291</v>
      </c>
      <c r="AL58" s="11">
        <f t="shared" si="291"/>
        <v>0</v>
      </c>
      <c r="AM58" s="11">
        <f t="shared" si="291"/>
        <v>-2.75</v>
      </c>
      <c r="AN58" s="11">
        <f t="shared" si="291"/>
        <v>7.8696757555007935E-8</v>
      </c>
      <c r="AO58" s="11">
        <f t="shared" si="291"/>
        <v>-6.0969549231231213E-3</v>
      </c>
      <c r="AP58" s="11">
        <f t="shared" si="291"/>
        <v>68.140119314193726</v>
      </c>
      <c r="AQ58" s="11">
        <f t="shared" si="291"/>
        <v>8117750</v>
      </c>
      <c r="AR58" s="16">
        <f t="shared" si="291"/>
        <v>-254400</v>
      </c>
      <c r="AS58" s="16">
        <f t="shared" si="291"/>
        <v>1025350</v>
      </c>
      <c r="AT58" s="16">
        <f t="shared" si="291"/>
        <v>68.140119314193726</v>
      </c>
      <c r="AU58" s="7">
        <f t="shared" si="291"/>
        <v>0</v>
      </c>
      <c r="AV58" s="7">
        <f t="shared" si="291"/>
        <v>2.75</v>
      </c>
      <c r="AW58" s="7">
        <f t="shared" si="291"/>
        <v>3260</v>
      </c>
      <c r="AX58" s="7">
        <f t="shared" si="291"/>
        <v>0</v>
      </c>
      <c r="AY58" s="11">
        <f t="shared" si="291"/>
        <v>0</v>
      </c>
      <c r="AZ58" s="16">
        <f t="shared" si="291"/>
        <v>17175</v>
      </c>
      <c r="BA58" s="16">
        <f t="shared" si="291"/>
        <v>-1475</v>
      </c>
      <c r="BB58" s="16">
        <f t="shared" si="291"/>
        <v>2375</v>
      </c>
      <c r="BC58" s="11">
        <f t="shared" si="291"/>
        <v>0</v>
      </c>
      <c r="BD58" s="11">
        <f t="shared" si="291"/>
        <v>0</v>
      </c>
      <c r="BE58" s="11">
        <f t="shared" si="291"/>
        <v>0</v>
      </c>
      <c r="BF58" s="11">
        <f t="shared" si="291"/>
        <v>0</v>
      </c>
      <c r="BG58" s="11">
        <f t="shared" si="291"/>
        <v>0</v>
      </c>
      <c r="BH58" s="11">
        <f t="shared" si="291"/>
        <v>0</v>
      </c>
      <c r="BI58" s="13">
        <f t="shared" si="291"/>
        <v>0</v>
      </c>
      <c r="BJ58" s="13">
        <f t="shared" si="291"/>
        <v>0</v>
      </c>
      <c r="BK58" s="11">
        <f t="shared" si="291"/>
        <v>0</v>
      </c>
      <c r="BL58" s="12">
        <f t="shared" si="291"/>
        <v>0</v>
      </c>
      <c r="BM58" s="12">
        <f t="shared" si="291"/>
        <v>0</v>
      </c>
      <c r="BN58" s="13">
        <f t="shared" si="291"/>
        <v>0</v>
      </c>
      <c r="BO58" s="13">
        <f t="shared" si="291"/>
        <v>0</v>
      </c>
      <c r="BP58" s="15">
        <f t="shared" si="291"/>
        <v>0</v>
      </c>
      <c r="BQ58" s="15">
        <f t="shared" si="291"/>
        <v>0</v>
      </c>
      <c r="BR58" s="14">
        <f t="shared" si="291"/>
        <v>0</v>
      </c>
      <c r="BS58" s="14">
        <f t="shared" si="291"/>
        <v>0</v>
      </c>
      <c r="BT58" s="14">
        <f t="shared" si="291"/>
        <v>0</v>
      </c>
      <c r="BU58" s="14">
        <f t="shared" si="291"/>
        <v>0</v>
      </c>
      <c r="BV58" s="11">
        <f t="shared" si="291"/>
        <v>0</v>
      </c>
      <c r="BW58" s="11">
        <f t="shared" si="291"/>
        <v>0</v>
      </c>
      <c r="BX58" s="11">
        <f t="shared" si="291"/>
        <v>0</v>
      </c>
      <c r="BY58" s="11">
        <f t="shared" si="291"/>
        <v>0</v>
      </c>
      <c r="BZ58" s="7">
        <f t="shared" si="291"/>
        <v>3370</v>
      </c>
      <c r="CA58" s="7">
        <f t="shared" si="291"/>
        <v>3380</v>
      </c>
      <c r="CB58" s="7">
        <f t="shared" ref="CB58:CP58" si="292">IFERROR(VALUE(CB363),"-")</f>
        <v>3184.300048828125</v>
      </c>
      <c r="CC58" s="7">
        <f t="shared" si="292"/>
        <v>3260</v>
      </c>
      <c r="CD58" s="7">
        <f t="shared" si="292"/>
        <v>3305.5</v>
      </c>
      <c r="CE58" s="3">
        <f t="shared" si="292"/>
        <v>125</v>
      </c>
      <c r="CF58" s="7">
        <f t="shared" si="292"/>
        <v>3283.300048828125</v>
      </c>
      <c r="CG58" s="3">
        <f t="shared" si="292"/>
        <v>200</v>
      </c>
      <c r="CH58" s="7">
        <f t="shared" si="292"/>
        <v>3296.580078125</v>
      </c>
      <c r="CI58" s="7">
        <f t="shared" si="292"/>
        <v>2.75</v>
      </c>
      <c r="CJ58" s="3">
        <f t="shared" si="292"/>
        <v>2375</v>
      </c>
      <c r="CK58" s="7">
        <f t="shared" si="292"/>
        <v>2.7000000476837158</v>
      </c>
      <c r="CL58" s="3">
        <f t="shared" si="292"/>
        <v>9150</v>
      </c>
      <c r="CM58" s="7">
        <f t="shared" si="292"/>
        <v>3.9600000381469727</v>
      </c>
      <c r="CN58" s="10">
        <f t="shared" si="292"/>
        <v>44783.638194444444</v>
      </c>
      <c r="CO58" s="10">
        <f t="shared" si="292"/>
        <v>44783.638194444444</v>
      </c>
      <c r="CP58" s="7">
        <f t="shared" si="292"/>
        <v>38295.69921875</v>
      </c>
      <c r="CQ58" s="7" t="str">
        <f t="shared" ref="CQ58" si="293">IFERROR(CQ363,"-")</f>
        <v>FairPrice</v>
      </c>
      <c r="CR58" s="10">
        <f t="shared" si="238"/>
        <v>44783.638194444444</v>
      </c>
      <c r="CS58" s="7">
        <f t="shared" si="238"/>
        <v>2.3424625396728516E-3</v>
      </c>
      <c r="CT58" s="7">
        <f t="shared" si="238"/>
        <v>3.4378323565982149E-5</v>
      </c>
      <c r="CU58" s="7">
        <f t="shared" si="238"/>
        <v>1279750</v>
      </c>
      <c r="CV58" s="7">
        <f t="shared" si="238"/>
        <v>-0.19878882594256692</v>
      </c>
      <c r="CW58" s="7">
        <f t="shared" si="238"/>
        <v>2.75</v>
      </c>
      <c r="CX58" s="7">
        <f t="shared" si="238"/>
        <v>0</v>
      </c>
      <c r="CY58" s="7">
        <f t="shared" si="238"/>
        <v>3260</v>
      </c>
      <c r="CZ58" s="7">
        <f t="shared" si="238"/>
        <v>0</v>
      </c>
      <c r="DA58" s="7">
        <f t="shared" si="238"/>
        <v>18650</v>
      </c>
      <c r="DB58" s="7">
        <f t="shared" si="238"/>
        <v>-7.9088471849865949E-2</v>
      </c>
      <c r="DC58" s="7">
        <f t="shared" si="238"/>
        <v>0</v>
      </c>
      <c r="DD58" s="7">
        <f t="shared" si="238"/>
        <v>0</v>
      </c>
      <c r="DE58" s="7">
        <f t="shared" si="238"/>
        <v>3260</v>
      </c>
      <c r="DF58" s="7">
        <f t="shared" si="238"/>
        <v>2.75</v>
      </c>
      <c r="DG58" s="7">
        <f t="shared" si="238"/>
        <v>38295.69921875</v>
      </c>
      <c r="DH58" s="7" t="str">
        <f t="shared" ref="DH58:DJ58" si="294">IFERROR(DH363,"-")</f>
        <v>W</v>
      </c>
      <c r="DI58" s="7" t="str">
        <f t="shared" si="294"/>
        <v>W</v>
      </c>
      <c r="DJ58" s="7" t="str">
        <f t="shared" si="294"/>
        <v>G</v>
      </c>
      <c r="DK58" s="64">
        <f t="shared" ref="DK58:DS58" si="295">IFERROR(VALUE(DK363),"-")</f>
        <v>38300</v>
      </c>
      <c r="DL58" s="64">
        <f t="shared" si="295"/>
        <v>3400000</v>
      </c>
      <c r="DM58" s="64">
        <f t="shared" si="295"/>
        <v>38500</v>
      </c>
      <c r="DN58" s="64">
        <f t="shared" si="295"/>
        <v>0</v>
      </c>
      <c r="DO58" s="64">
        <f t="shared" si="295"/>
        <v>24500</v>
      </c>
      <c r="DP58" s="64">
        <f t="shared" si="295"/>
        <v>2863350</v>
      </c>
      <c r="DQ58" s="64">
        <f t="shared" si="295"/>
        <v>38000</v>
      </c>
      <c r="DR58" s="64">
        <f t="shared" si="295"/>
        <v>0</v>
      </c>
      <c r="DS58" s="64">
        <f t="shared" si="295"/>
        <v>24500</v>
      </c>
      <c r="DT58" t="str">
        <f t="shared" si="7"/>
        <v>BANKNIFTY</v>
      </c>
      <c r="DU58" s="10">
        <f t="shared" si="8"/>
        <v>44784</v>
      </c>
    </row>
    <row r="59" spans="1:125" x14ac:dyDescent="0.25">
      <c r="A59" t="s">
        <v>25</v>
      </c>
      <c r="B59" s="2">
        <v>44798</v>
      </c>
      <c r="C59" s="1">
        <v>1200</v>
      </c>
      <c r="D59">
        <v>65</v>
      </c>
      <c r="G59" t="str">
        <f t="array" ref="G59">IFERROR(INDEX($A$2:$A$700,MATCH(0,COUNTIF($G$1:G58,$A$2:$A$700),0)),"")</f>
        <v>DIXON</v>
      </c>
      <c r="M59" s="3"/>
      <c r="N59" s="3"/>
      <c r="O59" s="3">
        <f t="shared" si="9"/>
        <v>35100</v>
      </c>
      <c r="P59" s="7">
        <f t="shared" ref="P59:CA59" si="296">IFERROR(VALUE(P364),"-")</f>
        <v>3</v>
      </c>
      <c r="Q59" s="7">
        <f t="shared" si="296"/>
        <v>2.9500000476837158</v>
      </c>
      <c r="R59" s="7">
        <f t="shared" si="296"/>
        <v>5</v>
      </c>
      <c r="S59" s="7">
        <f t="shared" si="296"/>
        <v>4.5</v>
      </c>
      <c r="T59" s="11">
        <f t="shared" si="296"/>
        <v>-2.21484375</v>
      </c>
      <c r="U59" s="11">
        <f t="shared" si="296"/>
        <v>58847.72265625</v>
      </c>
      <c r="V59" s="11">
        <f t="shared" si="296"/>
        <v>-16.171875</v>
      </c>
      <c r="W59" s="11">
        <f t="shared" si="296"/>
        <v>155143.640625</v>
      </c>
      <c r="X59" s="14">
        <f t="shared" si="296"/>
        <v>6.5920175984501839E-9</v>
      </c>
      <c r="Y59" s="14">
        <f t="shared" si="296"/>
        <v>3.3752628951333463E-5</v>
      </c>
      <c r="Z59" s="14">
        <f t="shared" si="296"/>
        <v>1.3627868611365557E-8</v>
      </c>
      <c r="AA59" s="14">
        <f t="shared" si="296"/>
        <v>1.0375450074207038E-4</v>
      </c>
      <c r="AB59" s="15">
        <f t="shared" si="296"/>
        <v>-4.9116266609416925E-12</v>
      </c>
      <c r="AC59" s="15">
        <f t="shared" si="296"/>
        <v>-2.547950650466646E-8</v>
      </c>
      <c r="AD59" s="13">
        <f t="shared" si="296"/>
        <v>1.9168853759765625E-4</v>
      </c>
      <c r="AE59" s="13">
        <f t="shared" si="296"/>
        <v>10.044229507446289</v>
      </c>
      <c r="AF59" s="12">
        <f t="shared" si="296"/>
        <v>1.3866424560546875E-3</v>
      </c>
      <c r="AG59" s="12">
        <f t="shared" si="296"/>
        <v>-30.875637054443359</v>
      </c>
      <c r="AH59" s="13">
        <f t="shared" si="296"/>
        <v>1.8080754671245813E-9</v>
      </c>
      <c r="AI59" s="13">
        <f t="shared" si="296"/>
        <v>1.381275706080487E-5</v>
      </c>
      <c r="AJ59" s="11">
        <f t="shared" si="296"/>
        <v>3.3974647521972656E-6</v>
      </c>
      <c r="AK59" s="11">
        <f t="shared" si="296"/>
        <v>0.38166254758834839</v>
      </c>
      <c r="AL59" s="11">
        <f t="shared" si="296"/>
        <v>0</v>
      </c>
      <c r="AM59" s="11">
        <f t="shared" si="296"/>
        <v>-3</v>
      </c>
      <c r="AN59" s="11">
        <f t="shared" si="296"/>
        <v>-4.4517219066619873E-7</v>
      </c>
      <c r="AO59" s="11">
        <f t="shared" si="296"/>
        <v>-6.7125596106052399E-3</v>
      </c>
      <c r="AP59" s="11">
        <f t="shared" si="296"/>
        <v>66.89002513885498</v>
      </c>
      <c r="AQ59" s="11">
        <f t="shared" si="296"/>
        <v>545100</v>
      </c>
      <c r="AR59" s="16">
        <f t="shared" si="296"/>
        <v>-8225</v>
      </c>
      <c r="AS59" s="16">
        <f t="shared" si="296"/>
        <v>65850</v>
      </c>
      <c r="AT59" s="16">
        <f t="shared" si="296"/>
        <v>66.89002513885498</v>
      </c>
      <c r="AU59" s="7">
        <f t="shared" si="296"/>
        <v>0</v>
      </c>
      <c r="AV59" s="7">
        <f t="shared" si="296"/>
        <v>3</v>
      </c>
      <c r="AW59" s="7">
        <f t="shared" si="296"/>
        <v>2828</v>
      </c>
      <c r="AX59" s="7">
        <f t="shared" si="296"/>
        <v>0</v>
      </c>
      <c r="AY59" s="11">
        <f t="shared" si="296"/>
        <v>0</v>
      </c>
      <c r="AZ59" s="16">
        <f t="shared" si="296"/>
        <v>1400</v>
      </c>
      <c r="BA59" s="16">
        <f t="shared" si="296"/>
        <v>0</v>
      </c>
      <c r="BB59" s="16">
        <f t="shared" si="296"/>
        <v>0</v>
      </c>
      <c r="BC59" s="11">
        <f t="shared" si="296"/>
        <v>0</v>
      </c>
      <c r="BD59" s="11">
        <f t="shared" si="296"/>
        <v>0</v>
      </c>
      <c r="BE59" s="11">
        <f t="shared" si="296"/>
        <v>0</v>
      </c>
      <c r="BF59" s="11">
        <f t="shared" si="296"/>
        <v>0</v>
      </c>
      <c r="BG59" s="11">
        <f t="shared" si="296"/>
        <v>0</v>
      </c>
      <c r="BH59" s="11">
        <f t="shared" si="296"/>
        <v>0</v>
      </c>
      <c r="BI59" s="13">
        <f t="shared" si="296"/>
        <v>0</v>
      </c>
      <c r="BJ59" s="13">
        <f t="shared" si="296"/>
        <v>0</v>
      </c>
      <c r="BK59" s="11">
        <f t="shared" si="296"/>
        <v>0</v>
      </c>
      <c r="BL59" s="12">
        <f t="shared" si="296"/>
        <v>0</v>
      </c>
      <c r="BM59" s="12">
        <f t="shared" si="296"/>
        <v>0</v>
      </c>
      <c r="BN59" s="13">
        <f t="shared" si="296"/>
        <v>0</v>
      </c>
      <c r="BO59" s="13">
        <f t="shared" si="296"/>
        <v>0</v>
      </c>
      <c r="BP59" s="15">
        <f t="shared" si="296"/>
        <v>0</v>
      </c>
      <c r="BQ59" s="15">
        <f t="shared" si="296"/>
        <v>0</v>
      </c>
      <c r="BR59" s="14">
        <f t="shared" si="296"/>
        <v>0</v>
      </c>
      <c r="BS59" s="14">
        <f t="shared" si="296"/>
        <v>0</v>
      </c>
      <c r="BT59" s="14">
        <f t="shared" si="296"/>
        <v>0</v>
      </c>
      <c r="BU59" s="14">
        <f t="shared" si="296"/>
        <v>0</v>
      </c>
      <c r="BV59" s="11">
        <f t="shared" si="296"/>
        <v>0</v>
      </c>
      <c r="BW59" s="11">
        <f t="shared" si="296"/>
        <v>0</v>
      </c>
      <c r="BX59" s="11">
        <f t="shared" si="296"/>
        <v>0</v>
      </c>
      <c r="BY59" s="11">
        <f t="shared" si="296"/>
        <v>0</v>
      </c>
      <c r="BZ59" s="7">
        <f t="shared" si="296"/>
        <v>0</v>
      </c>
      <c r="CA59" s="7">
        <f t="shared" si="296"/>
        <v>0</v>
      </c>
      <c r="CB59" s="7">
        <f t="shared" ref="CB59:CP59" si="297">IFERROR(VALUE(CB364),"-")</f>
        <v>0</v>
      </c>
      <c r="CC59" s="7">
        <f t="shared" si="297"/>
        <v>2828</v>
      </c>
      <c r="CD59" s="7">
        <f t="shared" si="297"/>
        <v>3262.050048828125</v>
      </c>
      <c r="CE59" s="3">
        <f t="shared" si="297"/>
        <v>50</v>
      </c>
      <c r="CF59" s="7">
        <f t="shared" si="297"/>
        <v>3162.050048828125</v>
      </c>
      <c r="CG59" s="3">
        <f t="shared" si="297"/>
        <v>50</v>
      </c>
      <c r="CH59" s="7">
        <f t="shared" si="297"/>
        <v>0</v>
      </c>
      <c r="CI59" s="7">
        <f t="shared" si="297"/>
        <v>3</v>
      </c>
      <c r="CJ59" s="3">
        <f t="shared" si="297"/>
        <v>150</v>
      </c>
      <c r="CK59" s="7">
        <f t="shared" si="297"/>
        <v>2.9500000476837158</v>
      </c>
      <c r="CL59" s="3">
        <f t="shared" si="297"/>
        <v>775</v>
      </c>
      <c r="CM59" s="7">
        <f t="shared" si="297"/>
        <v>4.1500000953674316</v>
      </c>
      <c r="CN59" s="10">
        <f t="shared" si="297"/>
        <v>44783.638194444444</v>
      </c>
      <c r="CO59" s="10">
        <f t="shared" si="297"/>
        <v>44783.638194444444</v>
      </c>
      <c r="CP59" s="7">
        <f t="shared" si="297"/>
        <v>38295.69921875</v>
      </c>
      <c r="CQ59" s="7" t="str">
        <f t="shared" ref="CQ59" si="298">IFERROR(CQ364,"-")</f>
        <v>FairPrice</v>
      </c>
      <c r="CR59" s="10">
        <f t="shared" si="238"/>
        <v>44783.638194444444</v>
      </c>
      <c r="CS59" s="7">
        <f t="shared" si="238"/>
        <v>-1.5020370483398438E-3</v>
      </c>
      <c r="CT59" s="7">
        <f t="shared" si="238"/>
        <v>-2.2454817698958595E-5</v>
      </c>
      <c r="CU59" s="7">
        <f t="shared" si="238"/>
        <v>74075</v>
      </c>
      <c r="CV59" s="7">
        <f t="shared" si="238"/>
        <v>-0.11103611204859939</v>
      </c>
      <c r="CW59" s="7">
        <f t="shared" si="238"/>
        <v>3</v>
      </c>
      <c r="CX59" s="7">
        <f t="shared" si="238"/>
        <v>0</v>
      </c>
      <c r="CY59" s="7">
        <f t="shared" si="238"/>
        <v>2828</v>
      </c>
      <c r="CZ59" s="7">
        <f t="shared" si="238"/>
        <v>0</v>
      </c>
      <c r="DA59" s="7">
        <f t="shared" si="238"/>
        <v>1400</v>
      </c>
      <c r="DB59" s="7">
        <f t="shared" si="238"/>
        <v>0</v>
      </c>
      <c r="DC59" s="7">
        <f t="shared" si="238"/>
        <v>0</v>
      </c>
      <c r="DD59" s="7">
        <f t="shared" si="238"/>
        <v>0</v>
      </c>
      <c r="DE59" s="7">
        <f t="shared" si="238"/>
        <v>2828</v>
      </c>
      <c r="DF59" s="7">
        <f t="shared" si="238"/>
        <v>3</v>
      </c>
      <c r="DG59" s="7">
        <f t="shared" si="238"/>
        <v>38295.69921875</v>
      </c>
      <c r="DH59" s="7" t="str">
        <f t="shared" ref="DH59:DJ59" si="299">IFERROR(DH364,"-")</f>
        <v>W</v>
      </c>
      <c r="DI59" s="7" t="str">
        <f t="shared" si="299"/>
        <v>W</v>
      </c>
      <c r="DJ59" s="7" t="str">
        <f t="shared" si="299"/>
        <v>G</v>
      </c>
      <c r="DK59" s="64">
        <f t="shared" ref="DK59:DS59" si="300">IFERROR(VALUE(DK364),"-")</f>
        <v>38300</v>
      </c>
      <c r="DL59" s="64">
        <f t="shared" si="300"/>
        <v>3400000</v>
      </c>
      <c r="DM59" s="64">
        <f t="shared" si="300"/>
        <v>38500</v>
      </c>
      <c r="DN59" s="64">
        <f t="shared" si="300"/>
        <v>0</v>
      </c>
      <c r="DO59" s="64">
        <f t="shared" si="300"/>
        <v>24500</v>
      </c>
      <c r="DP59" s="64">
        <f t="shared" si="300"/>
        <v>2863350</v>
      </c>
      <c r="DQ59" s="64">
        <f t="shared" si="300"/>
        <v>38000</v>
      </c>
      <c r="DR59" s="64">
        <f t="shared" si="300"/>
        <v>0</v>
      </c>
      <c r="DS59" s="64">
        <f t="shared" si="300"/>
        <v>24500</v>
      </c>
      <c r="DT59" t="str">
        <f t="shared" si="7"/>
        <v>BANKNIFTY</v>
      </c>
      <c r="DU59" s="10">
        <f t="shared" si="8"/>
        <v>44784</v>
      </c>
    </row>
    <row r="60" spans="1:125" x14ac:dyDescent="0.25">
      <c r="A60" t="s">
        <v>25</v>
      </c>
      <c r="B60" s="2">
        <v>44833</v>
      </c>
      <c r="C60" s="1">
        <v>1200</v>
      </c>
      <c r="D60">
        <v>65</v>
      </c>
      <c r="G60" t="str">
        <f t="array" ref="G60">IFERROR(INDEX($A$2:$A$700,MATCH(0,COUNTIF($G$1:G59,$A$2:$A$700),0)),"")</f>
        <v>DLF</v>
      </c>
      <c r="M60" s="3"/>
      <c r="N60" s="3"/>
      <c r="O60" s="3">
        <f t="shared" si="9"/>
        <v>35200</v>
      </c>
      <c r="P60" s="7">
        <f t="shared" ref="P60:CA60" si="301">IFERROR(VALUE(P365),"-")</f>
        <v>3</v>
      </c>
      <c r="Q60" s="7">
        <f t="shared" si="301"/>
        <v>2.9500000476837158</v>
      </c>
      <c r="R60" s="7">
        <f t="shared" si="301"/>
        <v>5.4000000953674316</v>
      </c>
      <c r="S60" s="7">
        <f t="shared" si="301"/>
        <v>5.3499999046325684</v>
      </c>
      <c r="T60" s="11">
        <f t="shared" si="301"/>
        <v>11.96484375</v>
      </c>
      <c r="U60" s="11">
        <f t="shared" si="301"/>
        <v>57088.7890625</v>
      </c>
      <c r="V60" s="11">
        <f t="shared" si="301"/>
        <v>-7.828125</v>
      </c>
      <c r="W60" s="11">
        <f t="shared" si="301"/>
        <v>154843.453125</v>
      </c>
      <c r="X60" s="14">
        <f t="shared" si="301"/>
        <v>-4.8421497922390699E-9</v>
      </c>
      <c r="Y60" s="14">
        <f t="shared" si="301"/>
        <v>3.5285520425532013E-5</v>
      </c>
      <c r="Z60" s="14">
        <f t="shared" si="301"/>
        <v>-4.5009073801338673E-8</v>
      </c>
      <c r="AA60" s="14">
        <f t="shared" si="301"/>
        <v>1.1171157530043274E-4</v>
      </c>
      <c r="AB60" s="15">
        <f t="shared" si="301"/>
        <v>1.0942358130705543E-11</v>
      </c>
      <c r="AC60" s="15">
        <f t="shared" si="301"/>
        <v>-2.7562938598180153E-8</v>
      </c>
      <c r="AD60" s="13">
        <f t="shared" si="301"/>
        <v>2.2020339965820313E-3</v>
      </c>
      <c r="AE60" s="13">
        <f t="shared" si="301"/>
        <v>9.7719383239746094</v>
      </c>
      <c r="AF60" s="12">
        <f t="shared" si="301"/>
        <v>1.24359130859375E-3</v>
      </c>
      <c r="AG60" s="12">
        <f t="shared" si="301"/>
        <v>-30.937297821044922</v>
      </c>
      <c r="AH60" s="13">
        <f t="shared" si="301"/>
        <v>-3.9281076169572771E-9</v>
      </c>
      <c r="AI60" s="13">
        <f t="shared" si="301"/>
        <v>1.4570448001904879E-5</v>
      </c>
      <c r="AJ60" s="11">
        <f t="shared" si="301"/>
        <v>-5.8948993682861328E-5</v>
      </c>
      <c r="AK60" s="11">
        <f t="shared" si="301"/>
        <v>0.39090162515640259</v>
      </c>
      <c r="AL60" s="11">
        <f t="shared" si="301"/>
        <v>0</v>
      </c>
      <c r="AM60" s="11">
        <f t="shared" si="301"/>
        <v>-3</v>
      </c>
      <c r="AN60" s="11">
        <f t="shared" si="301"/>
        <v>9.4203278422355652E-7</v>
      </c>
      <c r="AO60" s="11">
        <f t="shared" si="301"/>
        <v>-6.8968124687671661E-3</v>
      </c>
      <c r="AP60" s="11">
        <f t="shared" si="301"/>
        <v>64.946985244750977</v>
      </c>
      <c r="AQ60" s="11">
        <f t="shared" si="301"/>
        <v>737425</v>
      </c>
      <c r="AR60" s="16">
        <f t="shared" si="301"/>
        <v>-42175</v>
      </c>
      <c r="AS60" s="16">
        <f t="shared" si="301"/>
        <v>65100</v>
      </c>
      <c r="AT60" s="16">
        <f t="shared" si="301"/>
        <v>64.946985244750977</v>
      </c>
      <c r="AU60" s="7">
        <f t="shared" si="301"/>
        <v>0</v>
      </c>
      <c r="AV60" s="7">
        <f t="shared" si="301"/>
        <v>3</v>
      </c>
      <c r="AW60" s="7">
        <f t="shared" si="301"/>
        <v>3105</v>
      </c>
      <c r="AX60" s="7">
        <f t="shared" si="301"/>
        <v>0</v>
      </c>
      <c r="AY60" s="11">
        <f t="shared" si="301"/>
        <v>75.474900007247925</v>
      </c>
      <c r="AZ60" s="16">
        <f t="shared" si="301"/>
        <v>5050</v>
      </c>
      <c r="BA60" s="16">
        <f t="shared" si="301"/>
        <v>-200</v>
      </c>
      <c r="BB60" s="16">
        <f t="shared" si="301"/>
        <v>1200</v>
      </c>
      <c r="BC60" s="11">
        <f t="shared" si="301"/>
        <v>0.98317688703536987</v>
      </c>
      <c r="BD60" s="11">
        <f t="shared" si="301"/>
        <v>6.8068504333496094E-5</v>
      </c>
      <c r="BE60" s="11">
        <f t="shared" si="301"/>
        <v>-31.172565460205078</v>
      </c>
      <c r="BF60" s="11">
        <f t="shared" si="301"/>
        <v>0.13043975830078125</v>
      </c>
      <c r="BG60" s="11">
        <f t="shared" si="301"/>
        <v>0.84924042224884033</v>
      </c>
      <c r="BH60" s="11">
        <f t="shared" si="301"/>
        <v>-2.9564499855041504E-3</v>
      </c>
      <c r="BI60" s="13">
        <f t="shared" si="301"/>
        <v>2.7239088012720458E-5</v>
      </c>
      <c r="BJ60" s="13">
        <f t="shared" si="301"/>
        <v>-7.3396222433075309E-8</v>
      </c>
      <c r="BK60" s="11">
        <f t="shared" si="301"/>
        <v>75.474900007247925</v>
      </c>
      <c r="BL60" s="12">
        <f t="shared" si="301"/>
        <v>-10.518417358398438</v>
      </c>
      <c r="BM60" s="12">
        <f t="shared" si="301"/>
        <v>-5.2401542663574219E-2</v>
      </c>
      <c r="BN60" s="13">
        <f t="shared" si="301"/>
        <v>3.8609330654144287</v>
      </c>
      <c r="BO60" s="13">
        <f t="shared" si="301"/>
        <v>1.6542673110961914E-2</v>
      </c>
      <c r="BP60" s="15">
        <f t="shared" si="301"/>
        <v>-3.8432467874827125E-8</v>
      </c>
      <c r="BQ60" s="15">
        <f t="shared" si="301"/>
        <v>4.5726977759841247E-11</v>
      </c>
      <c r="BR60" s="14">
        <f t="shared" si="301"/>
        <v>1.2369944306556135E-4</v>
      </c>
      <c r="BS60" s="14">
        <f t="shared" si="301"/>
        <v>8.7602529674768448E-9</v>
      </c>
      <c r="BT60" s="14">
        <f t="shared" si="301"/>
        <v>4.5405620767269284E-5</v>
      </c>
      <c r="BU60" s="14">
        <f t="shared" si="301"/>
        <v>-2.8601789381355047E-8</v>
      </c>
      <c r="BV60" s="11">
        <f t="shared" si="301"/>
        <v>45413.11328125</v>
      </c>
      <c r="BW60" s="11">
        <f t="shared" si="301"/>
        <v>259.9375</v>
      </c>
      <c r="BX60" s="11">
        <f t="shared" si="301"/>
        <v>20434.517578125</v>
      </c>
      <c r="BY60" s="11">
        <f t="shared" si="301"/>
        <v>96.87109375</v>
      </c>
      <c r="BZ60" s="7">
        <f t="shared" si="301"/>
        <v>3000</v>
      </c>
      <c r="CA60" s="7">
        <f t="shared" si="301"/>
        <v>3190</v>
      </c>
      <c r="CB60" s="7">
        <f t="shared" ref="CB60:CP60" si="302">IFERROR(VALUE(CB365),"-")</f>
        <v>3000</v>
      </c>
      <c r="CC60" s="7">
        <f t="shared" si="302"/>
        <v>3105</v>
      </c>
      <c r="CD60" s="7">
        <f t="shared" si="302"/>
        <v>3097.449951171875</v>
      </c>
      <c r="CE60" s="3">
        <f t="shared" si="302"/>
        <v>50</v>
      </c>
      <c r="CF60" s="7">
        <f t="shared" si="302"/>
        <v>3073.75</v>
      </c>
      <c r="CG60" s="3">
        <f t="shared" si="302"/>
        <v>50</v>
      </c>
      <c r="CH60" s="7">
        <f t="shared" si="302"/>
        <v>3108.5</v>
      </c>
      <c r="CI60" s="7">
        <f t="shared" si="302"/>
        <v>3.0999999046325684</v>
      </c>
      <c r="CJ60" s="3">
        <f t="shared" si="302"/>
        <v>1375</v>
      </c>
      <c r="CK60" s="7">
        <f t="shared" si="302"/>
        <v>3</v>
      </c>
      <c r="CL60" s="3">
        <f t="shared" si="302"/>
        <v>550</v>
      </c>
      <c r="CM60" s="7">
        <f t="shared" si="302"/>
        <v>4.130000114440918</v>
      </c>
      <c r="CN60" s="10">
        <f t="shared" si="302"/>
        <v>44783.638194444444</v>
      </c>
      <c r="CO60" s="10">
        <f t="shared" si="302"/>
        <v>44783.638194444444</v>
      </c>
      <c r="CP60" s="7">
        <f t="shared" si="302"/>
        <v>38295.69921875</v>
      </c>
      <c r="CQ60" s="7" t="str">
        <f t="shared" ref="CQ60" si="303">IFERROR(CQ365,"-")</f>
        <v>FairPrice</v>
      </c>
      <c r="CR60" s="10">
        <f t="shared" si="238"/>
        <v>44783.638194444444</v>
      </c>
      <c r="CS60" s="7">
        <f t="shared" si="238"/>
        <v>1.1628866195678711E-2</v>
      </c>
      <c r="CT60" s="7">
        <f t="shared" si="238"/>
        <v>1.790837356445018E-4</v>
      </c>
      <c r="CU60" s="7">
        <f t="shared" si="238"/>
        <v>107275</v>
      </c>
      <c r="CV60" s="7">
        <f t="shared" si="238"/>
        <v>-0.39314845024469819</v>
      </c>
      <c r="CW60" s="7">
        <f t="shared" si="238"/>
        <v>3</v>
      </c>
      <c r="CX60" s="7">
        <f t="shared" si="238"/>
        <v>0</v>
      </c>
      <c r="CY60" s="7">
        <f t="shared" si="238"/>
        <v>3105</v>
      </c>
      <c r="CZ60" s="7">
        <f t="shared" si="238"/>
        <v>0</v>
      </c>
      <c r="DA60" s="7">
        <f t="shared" si="238"/>
        <v>5250</v>
      </c>
      <c r="DB60" s="7">
        <f t="shared" si="238"/>
        <v>-3.8095238095238099E-2</v>
      </c>
      <c r="DC60" s="7">
        <f t="shared" si="238"/>
        <v>-5.6153535842895508E-2</v>
      </c>
      <c r="DD60" s="7">
        <f t="shared" si="238"/>
        <v>-7.434496569130954E-4</v>
      </c>
      <c r="DE60" s="7">
        <f t="shared" si="238"/>
        <v>3105</v>
      </c>
      <c r="DF60" s="7">
        <f t="shared" si="238"/>
        <v>3</v>
      </c>
      <c r="DG60" s="7">
        <f t="shared" si="238"/>
        <v>38295.69921875</v>
      </c>
      <c r="DH60" s="7" t="str">
        <f t="shared" ref="DH60:DJ60" si="304">IFERROR(DH365,"-")</f>
        <v>W</v>
      </c>
      <c r="DI60" s="7" t="str">
        <f t="shared" si="304"/>
        <v>W</v>
      </c>
      <c r="DJ60" s="7" t="str">
        <f t="shared" si="304"/>
        <v>G</v>
      </c>
      <c r="DK60" s="64">
        <f t="shared" ref="DK60:DS60" si="305">IFERROR(VALUE(DK365),"-")</f>
        <v>38300</v>
      </c>
      <c r="DL60" s="64">
        <f t="shared" si="305"/>
        <v>3400000</v>
      </c>
      <c r="DM60" s="64">
        <f t="shared" si="305"/>
        <v>38500</v>
      </c>
      <c r="DN60" s="64">
        <f t="shared" si="305"/>
        <v>0</v>
      </c>
      <c r="DO60" s="64">
        <f t="shared" si="305"/>
        <v>24500</v>
      </c>
      <c r="DP60" s="64">
        <f t="shared" si="305"/>
        <v>2863350</v>
      </c>
      <c r="DQ60" s="64">
        <f t="shared" si="305"/>
        <v>38000</v>
      </c>
      <c r="DR60" s="64">
        <f t="shared" si="305"/>
        <v>0</v>
      </c>
      <c r="DS60" s="64">
        <f t="shared" si="305"/>
        <v>24500</v>
      </c>
      <c r="DT60" t="str">
        <f t="shared" si="7"/>
        <v>BANKNIFTY</v>
      </c>
      <c r="DU60" s="10">
        <f t="shared" si="8"/>
        <v>44784</v>
      </c>
    </row>
    <row r="61" spans="1:125" x14ac:dyDescent="0.25">
      <c r="A61" t="s">
        <v>25</v>
      </c>
      <c r="B61" s="2">
        <v>44861</v>
      </c>
      <c r="C61" s="1">
        <v>1200</v>
      </c>
      <c r="D61">
        <v>65</v>
      </c>
      <c r="G61" t="str">
        <f t="array" ref="G61">IFERROR(INDEX($A$2:$A$700,MATCH(0,COUNTIF($G$1:G60,$A$2:$A$700),0)),"")</f>
        <v>DRREDDY</v>
      </c>
      <c r="M61" s="3"/>
      <c r="N61" s="3"/>
      <c r="O61" s="3">
        <f t="shared" si="9"/>
        <v>35300</v>
      </c>
      <c r="P61" s="7">
        <f t="shared" ref="P61:CA61" si="306">IFERROR(VALUE(P366),"-")</f>
        <v>3.2999999523162842</v>
      </c>
      <c r="Q61" s="7">
        <f t="shared" si="306"/>
        <v>3.25</v>
      </c>
      <c r="R61" s="7">
        <f t="shared" si="306"/>
        <v>6.4499998092651367</v>
      </c>
      <c r="S61" s="7">
        <f t="shared" si="306"/>
        <v>6.4499998092651367</v>
      </c>
      <c r="T61" s="11">
        <f t="shared" si="306"/>
        <v>699.828125</v>
      </c>
      <c r="U61" s="11">
        <f t="shared" si="306"/>
        <v>50746.85546875</v>
      </c>
      <c r="V61" s="11">
        <f t="shared" si="306"/>
        <v>2209.9375</v>
      </c>
      <c r="W61" s="11">
        <f t="shared" si="306"/>
        <v>139645.265625</v>
      </c>
      <c r="X61" s="14">
        <f t="shared" si="306"/>
        <v>-1.713378878775984E-7</v>
      </c>
      <c r="Y61" s="14">
        <f t="shared" si="306"/>
        <v>3.7980251363478601E-5</v>
      </c>
      <c r="Z61" s="14">
        <f t="shared" si="306"/>
        <v>-3.6557321436703205E-7</v>
      </c>
      <c r="AA61" s="14">
        <f t="shared" si="306"/>
        <v>1.2253638124093413E-4</v>
      </c>
      <c r="AB61" s="15">
        <f t="shared" si="306"/>
        <v>1.7466916801822663E-10</v>
      </c>
      <c r="AC61" s="15">
        <f t="shared" si="306"/>
        <v>-3.089074240847367E-8</v>
      </c>
      <c r="AD61" s="13">
        <f t="shared" si="306"/>
        <v>0.11028003692626953</v>
      </c>
      <c r="AE61" s="13">
        <f t="shared" si="306"/>
        <v>8.7814731597900391</v>
      </c>
      <c r="AF61" s="12">
        <f t="shared" si="306"/>
        <v>-0.398345947265625</v>
      </c>
      <c r="AG61" s="12">
        <f t="shared" si="306"/>
        <v>-28.331825256347656</v>
      </c>
      <c r="AH61" s="13">
        <f t="shared" si="306"/>
        <v>-1.478747435612604E-7</v>
      </c>
      <c r="AI61" s="13">
        <f t="shared" si="306"/>
        <v>1.627243727853056E-5</v>
      </c>
      <c r="AJ61" s="11">
        <f t="shared" si="306"/>
        <v>-4.6127438545227051E-3</v>
      </c>
      <c r="AK61" s="11">
        <f t="shared" si="306"/>
        <v>0.42839452624320984</v>
      </c>
      <c r="AL61" s="11">
        <f t="shared" si="306"/>
        <v>4.999995231628418E-2</v>
      </c>
      <c r="AM61" s="11">
        <f t="shared" si="306"/>
        <v>-3.2999999523162842</v>
      </c>
      <c r="AN61" s="11">
        <f t="shared" si="306"/>
        <v>9.3428418040275574E-5</v>
      </c>
      <c r="AO61" s="11">
        <f t="shared" si="306"/>
        <v>-7.6517197303473949E-3</v>
      </c>
      <c r="AP61" s="11">
        <f t="shared" si="306"/>
        <v>63.731402158737183</v>
      </c>
      <c r="AQ61" s="11">
        <f t="shared" si="306"/>
        <v>830925</v>
      </c>
      <c r="AR61" s="16">
        <f t="shared" si="306"/>
        <v>-77375</v>
      </c>
      <c r="AS61" s="16">
        <f t="shared" si="306"/>
        <v>73025</v>
      </c>
      <c r="AT61" s="16">
        <f t="shared" si="306"/>
        <v>63.731402158737183</v>
      </c>
      <c r="AU61" s="7">
        <f t="shared" si="306"/>
        <v>-4.999995231628418E-2</v>
      </c>
      <c r="AV61" s="7">
        <f t="shared" si="306"/>
        <v>3.2999999523162842</v>
      </c>
      <c r="AW61" s="7">
        <f t="shared" si="306"/>
        <v>3048</v>
      </c>
      <c r="AX61" s="7">
        <f t="shared" si="306"/>
        <v>0</v>
      </c>
      <c r="AY61" s="11">
        <f t="shared" si="306"/>
        <v>99.834680557250977</v>
      </c>
      <c r="AZ61" s="16">
        <f t="shared" si="306"/>
        <v>575</v>
      </c>
      <c r="BA61" s="16">
        <f t="shared" si="306"/>
        <v>0</v>
      </c>
      <c r="BB61" s="16">
        <f t="shared" si="306"/>
        <v>25</v>
      </c>
      <c r="BC61" s="11">
        <f t="shared" si="306"/>
        <v>0.94106394052505493</v>
      </c>
      <c r="BD61" s="11">
        <f t="shared" si="306"/>
        <v>3.7908554077148438E-5</v>
      </c>
      <c r="BE61" s="11">
        <f t="shared" si="306"/>
        <v>-115.91600036621094</v>
      </c>
      <c r="BF61" s="11">
        <f t="shared" si="306"/>
        <v>7.623291015625E-2</v>
      </c>
      <c r="BG61" s="11">
        <f t="shared" si="306"/>
        <v>2.3873858451843262</v>
      </c>
      <c r="BH61" s="11">
        <f t="shared" si="306"/>
        <v>-1.2536048889160156E-3</v>
      </c>
      <c r="BI61" s="13">
        <f t="shared" si="306"/>
        <v>5.7890280004357919E-5</v>
      </c>
      <c r="BJ61" s="13">
        <f t="shared" si="306"/>
        <v>-1.7869751900434494E-8</v>
      </c>
      <c r="BK61" s="11">
        <f t="shared" si="306"/>
        <v>99.834680557250977</v>
      </c>
      <c r="BL61" s="12">
        <f t="shared" si="306"/>
        <v>-2.0503876209259033</v>
      </c>
      <c r="BM61" s="12">
        <f t="shared" si="306"/>
        <v>-1.8465518951416016E-3</v>
      </c>
      <c r="BN61" s="13">
        <f t="shared" si="306"/>
        <v>0.99553537368774414</v>
      </c>
      <c r="BO61" s="13">
        <f t="shared" si="306"/>
        <v>7.6472759246826172E-4</v>
      </c>
      <c r="BP61" s="15">
        <f t="shared" si="306"/>
        <v>-4.6126441333171897E-8</v>
      </c>
      <c r="BQ61" s="15">
        <f t="shared" si="306"/>
        <v>-3.716138508025324E-12</v>
      </c>
      <c r="BR61" s="14">
        <f t="shared" si="306"/>
        <v>7.9006909800227731E-5</v>
      </c>
      <c r="BS61" s="14">
        <f t="shared" si="306"/>
        <v>4.7984940465539694E-8</v>
      </c>
      <c r="BT61" s="14">
        <f t="shared" si="306"/>
        <v>3.8360642065526918E-5</v>
      </c>
      <c r="BU61" s="14">
        <f t="shared" si="306"/>
        <v>1.822263584472239E-8</v>
      </c>
      <c r="BV61" s="11">
        <f t="shared" si="306"/>
        <v>6516.67333984375</v>
      </c>
      <c r="BW61" s="11">
        <f t="shared" si="306"/>
        <v>7.080078125</v>
      </c>
      <c r="BX61" s="11">
        <f t="shared" si="306"/>
        <v>4503.35791015625</v>
      </c>
      <c r="BY61" s="11">
        <f t="shared" si="306"/>
        <v>3.7255859375</v>
      </c>
      <c r="BZ61" s="7">
        <f t="shared" si="306"/>
        <v>3048</v>
      </c>
      <c r="CA61" s="7">
        <f t="shared" si="306"/>
        <v>3048</v>
      </c>
      <c r="CB61" s="7">
        <f t="shared" ref="CB61:CP61" si="307">IFERROR(VALUE(CB366),"-")</f>
        <v>3048</v>
      </c>
      <c r="CC61" s="7">
        <f t="shared" si="307"/>
        <v>3048</v>
      </c>
      <c r="CD61" s="7">
        <f t="shared" si="307"/>
        <v>3073.949951171875</v>
      </c>
      <c r="CE61" s="3">
        <f t="shared" si="307"/>
        <v>50</v>
      </c>
      <c r="CF61" s="7">
        <f t="shared" si="307"/>
        <v>2920.89990234375</v>
      </c>
      <c r="CG61" s="3">
        <f t="shared" si="307"/>
        <v>800</v>
      </c>
      <c r="CH61" s="7">
        <f t="shared" si="307"/>
        <v>3048</v>
      </c>
      <c r="CI61" s="7">
        <f t="shared" si="307"/>
        <v>3.3499999046325684</v>
      </c>
      <c r="CJ61" s="3">
        <f t="shared" si="307"/>
        <v>1575</v>
      </c>
      <c r="CK61" s="7">
        <f t="shared" si="307"/>
        <v>3.25</v>
      </c>
      <c r="CL61" s="3">
        <f t="shared" si="307"/>
        <v>1950</v>
      </c>
      <c r="CM61" s="7">
        <f t="shared" si="307"/>
        <v>4.2699999809265137</v>
      </c>
      <c r="CN61" s="10">
        <f t="shared" si="307"/>
        <v>44783.638194444444</v>
      </c>
      <c r="CO61" s="10">
        <f t="shared" si="307"/>
        <v>44783.638194444444</v>
      </c>
      <c r="CP61" s="7">
        <f t="shared" si="307"/>
        <v>38295.69921875</v>
      </c>
      <c r="CQ61" s="7" t="str">
        <f t="shared" ref="CQ61" si="308">IFERROR(CQ366,"-")</f>
        <v>FairPrice</v>
      </c>
      <c r="CR61" s="10">
        <f t="shared" si="238"/>
        <v>44783.638194444444</v>
      </c>
      <c r="CS61" s="7">
        <f t="shared" si="238"/>
        <v>-0.10259151458740234</v>
      </c>
      <c r="CT61" s="7">
        <f t="shared" si="238"/>
        <v>-1.6071611485319621E-3</v>
      </c>
      <c r="CU61" s="7">
        <f t="shared" si="238"/>
        <v>150400</v>
      </c>
      <c r="CV61" s="7">
        <f t="shared" si="238"/>
        <v>-0.51446143617021278</v>
      </c>
      <c r="CW61" s="7">
        <f t="shared" si="238"/>
        <v>3.2999999523162842</v>
      </c>
      <c r="CX61" s="7">
        <f t="shared" si="238"/>
        <v>-1.4925359325276825E-2</v>
      </c>
      <c r="CY61" s="7">
        <f t="shared" si="238"/>
        <v>3048</v>
      </c>
      <c r="CZ61" s="7">
        <f t="shared" si="238"/>
        <v>0</v>
      </c>
      <c r="DA61" s="7">
        <f t="shared" si="238"/>
        <v>575</v>
      </c>
      <c r="DB61" s="7">
        <f t="shared" si="238"/>
        <v>0</v>
      </c>
      <c r="DC61" s="7">
        <f t="shared" si="238"/>
        <v>-1.7541646957397461E-2</v>
      </c>
      <c r="DD61" s="7">
        <f t="shared" si="238"/>
        <v>-1.756760798124546E-4</v>
      </c>
      <c r="DE61" s="7">
        <f t="shared" si="238"/>
        <v>3048</v>
      </c>
      <c r="DF61" s="7">
        <f t="shared" si="238"/>
        <v>3.2999999523162842</v>
      </c>
      <c r="DG61" s="7">
        <f t="shared" si="238"/>
        <v>38295.69921875</v>
      </c>
      <c r="DH61" s="7" t="str">
        <f t="shared" ref="DH61:DJ61" si="309">IFERROR(DH366,"-")</f>
        <v>W</v>
      </c>
      <c r="DI61" s="7" t="str">
        <f t="shared" si="309"/>
        <v>R</v>
      </c>
      <c r="DJ61" s="7" t="str">
        <f t="shared" si="309"/>
        <v>G</v>
      </c>
      <c r="DK61" s="64">
        <f t="shared" ref="DK61:DS61" si="310">IFERROR(VALUE(DK366),"-")</f>
        <v>38300</v>
      </c>
      <c r="DL61" s="64">
        <f t="shared" si="310"/>
        <v>3400000</v>
      </c>
      <c r="DM61" s="64">
        <f t="shared" si="310"/>
        <v>38500</v>
      </c>
      <c r="DN61" s="64">
        <f t="shared" si="310"/>
        <v>0</v>
      </c>
      <c r="DO61" s="64">
        <f t="shared" si="310"/>
        <v>24500</v>
      </c>
      <c r="DP61" s="64">
        <f t="shared" si="310"/>
        <v>2863350</v>
      </c>
      <c r="DQ61" s="64">
        <f t="shared" si="310"/>
        <v>38000</v>
      </c>
      <c r="DR61" s="64">
        <f t="shared" si="310"/>
        <v>0</v>
      </c>
      <c r="DS61" s="64">
        <f t="shared" si="310"/>
        <v>24500</v>
      </c>
      <c r="DT61" t="str">
        <f t="shared" si="7"/>
        <v>BANKNIFTY</v>
      </c>
      <c r="DU61" s="10">
        <f t="shared" si="8"/>
        <v>44784</v>
      </c>
    </row>
    <row r="62" spans="1:125" x14ac:dyDescent="0.25">
      <c r="A62" t="s">
        <v>26</v>
      </c>
      <c r="B62" s="2">
        <v>44798</v>
      </c>
      <c r="C62" s="1">
        <v>250</v>
      </c>
      <c r="D62">
        <v>70</v>
      </c>
      <c r="G62" t="str">
        <f t="array" ref="G62">IFERROR(INDEX($A$2:$A$700,MATCH(0,COUNTIF($G$1:G61,$A$2:$A$700),0)),"")</f>
        <v>EICHERMOT</v>
      </c>
      <c r="M62" s="3"/>
      <c r="N62" s="3"/>
      <c r="O62" s="3">
        <f t="shared" si="9"/>
        <v>35400</v>
      </c>
      <c r="P62" s="7">
        <f t="shared" ref="P62:CA62" si="311">IFERROR(VALUE(P367),"-")</f>
        <v>3.25</v>
      </c>
      <c r="Q62" s="7">
        <f t="shared" si="311"/>
        <v>3.1500000953674316</v>
      </c>
      <c r="R62" s="7">
        <f t="shared" si="311"/>
        <v>5.6500000953674316</v>
      </c>
      <c r="S62" s="7">
        <f t="shared" si="311"/>
        <v>5.5999999046325684</v>
      </c>
      <c r="T62" s="11">
        <f t="shared" si="311"/>
        <v>10.92578125</v>
      </c>
      <c r="U62" s="11">
        <f t="shared" si="311"/>
        <v>49822.796875</v>
      </c>
      <c r="V62" s="11">
        <f t="shared" si="311"/>
        <v>-6.984375</v>
      </c>
      <c r="W62" s="11">
        <f t="shared" si="311"/>
        <v>141624.484375</v>
      </c>
      <c r="X62" s="14">
        <f t="shared" si="311"/>
        <v>-5.8826117310672998E-9</v>
      </c>
      <c r="Y62" s="14">
        <f t="shared" si="311"/>
        <v>3.9616141293663532E-5</v>
      </c>
      <c r="Z62" s="14">
        <f t="shared" si="311"/>
        <v>-5.5937562137842178E-8</v>
      </c>
      <c r="AA62" s="14">
        <f t="shared" si="311"/>
        <v>1.3211797340773046E-4</v>
      </c>
      <c r="AB62" s="15">
        <f t="shared" si="311"/>
        <v>1.404032445861958E-11</v>
      </c>
      <c r="AC62" s="15">
        <f t="shared" si="311"/>
        <v>-3.3392261400422285E-8</v>
      </c>
      <c r="AD62" s="13">
        <f t="shared" si="311"/>
        <v>2.0198822021484375E-3</v>
      </c>
      <c r="AE62" s="13">
        <f t="shared" si="311"/>
        <v>8.6371965408325195</v>
      </c>
      <c r="AF62" s="12">
        <f t="shared" si="311"/>
        <v>1.178741455078125E-3</v>
      </c>
      <c r="AG62" s="12">
        <f t="shared" si="311"/>
        <v>-28.804645538330078</v>
      </c>
      <c r="AH62" s="13">
        <f t="shared" si="311"/>
        <v>-4.8730726120993495E-9</v>
      </c>
      <c r="AI62" s="13">
        <f t="shared" si="311"/>
        <v>1.7066382497432642E-5</v>
      </c>
      <c r="AJ62" s="11">
        <f t="shared" si="311"/>
        <v>-6.8485736846923828E-5</v>
      </c>
      <c r="AK62" s="11">
        <f t="shared" si="311"/>
        <v>0.43465825915336609</v>
      </c>
      <c r="AL62" s="11">
        <f t="shared" si="311"/>
        <v>0</v>
      </c>
      <c r="AM62" s="11">
        <f t="shared" si="311"/>
        <v>-3.25</v>
      </c>
      <c r="AN62" s="11">
        <f t="shared" si="311"/>
        <v>1.1264346539974213E-6</v>
      </c>
      <c r="AO62" s="11">
        <f t="shared" si="311"/>
        <v>-7.7789817005395889E-3</v>
      </c>
      <c r="AP62" s="11">
        <f t="shared" si="311"/>
        <v>61.655372381210327</v>
      </c>
      <c r="AQ62" s="11">
        <f t="shared" si="311"/>
        <v>905900</v>
      </c>
      <c r="AR62" s="16">
        <f t="shared" si="311"/>
        <v>33600</v>
      </c>
      <c r="AS62" s="16">
        <f t="shared" si="311"/>
        <v>99375</v>
      </c>
      <c r="AT62" s="16">
        <f t="shared" si="311"/>
        <v>61.655372381210327</v>
      </c>
      <c r="AU62" s="7">
        <f t="shared" si="311"/>
        <v>0</v>
      </c>
      <c r="AV62" s="7">
        <f t="shared" si="311"/>
        <v>3.25</v>
      </c>
      <c r="AW62" s="7">
        <f t="shared" si="311"/>
        <v>2979.14990234375</v>
      </c>
      <c r="AX62" s="7">
        <f t="shared" si="311"/>
        <v>0</v>
      </c>
      <c r="AY62" s="11">
        <f t="shared" si="311"/>
        <v>108.37513208389282</v>
      </c>
      <c r="AZ62" s="16">
        <f t="shared" si="311"/>
        <v>800</v>
      </c>
      <c r="BA62" s="16">
        <f t="shared" si="311"/>
        <v>0</v>
      </c>
      <c r="BB62" s="16">
        <f t="shared" si="311"/>
        <v>25</v>
      </c>
      <c r="BC62" s="11">
        <f t="shared" si="311"/>
        <v>0.91860544681549072</v>
      </c>
      <c r="BD62" s="11">
        <f t="shared" si="311"/>
        <v>3.1292438507080078E-5</v>
      </c>
      <c r="BE62" s="11">
        <f t="shared" si="311"/>
        <v>-161.34963989257813</v>
      </c>
      <c r="BF62" s="11">
        <f t="shared" si="311"/>
        <v>6.1981201171875E-2</v>
      </c>
      <c r="BG62" s="11">
        <f t="shared" si="311"/>
        <v>3.0612516403198242</v>
      </c>
      <c r="BH62" s="11">
        <f t="shared" si="311"/>
        <v>-9.5057487487792969E-4</v>
      </c>
      <c r="BI62" s="13">
        <f t="shared" si="311"/>
        <v>6.8380388256628066E-5</v>
      </c>
      <c r="BJ62" s="13">
        <f t="shared" si="311"/>
        <v>-1.047010300680995E-8</v>
      </c>
      <c r="BK62" s="11">
        <f t="shared" si="311"/>
        <v>108.37513208389282</v>
      </c>
      <c r="BL62" s="12">
        <f t="shared" si="311"/>
        <v>-1.304796576499939</v>
      </c>
      <c r="BM62" s="12">
        <f t="shared" si="311"/>
        <v>-7.4124336242675781E-4</v>
      </c>
      <c r="BN62" s="13">
        <f t="shared" si="311"/>
        <v>0.68772017955780029</v>
      </c>
      <c r="BO62" s="13">
        <f t="shared" si="311"/>
        <v>3.401637077331543E-4</v>
      </c>
      <c r="BP62" s="15">
        <f t="shared" si="311"/>
        <v>-4.5115864821809737E-8</v>
      </c>
      <c r="BQ62" s="15">
        <f t="shared" si="311"/>
        <v>-5.4889426337467739E-12</v>
      </c>
      <c r="BR62" s="14">
        <f t="shared" si="311"/>
        <v>5.4757561883889139E-5</v>
      </c>
      <c r="BS62" s="14">
        <f t="shared" si="311"/>
        <v>3.4578988561406732E-8</v>
      </c>
      <c r="BT62" s="14">
        <f t="shared" si="311"/>
        <v>2.8861111786682159E-5</v>
      </c>
      <c r="BU62" s="14">
        <f t="shared" si="311"/>
        <v>1.6103513189591467E-8</v>
      </c>
      <c r="BV62" s="11">
        <f t="shared" si="311"/>
        <v>3701.434814453125</v>
      </c>
      <c r="BW62" s="11">
        <f t="shared" si="311"/>
        <v>2.57861328125</v>
      </c>
      <c r="BX62" s="11">
        <f t="shared" si="311"/>
        <v>2995.393798828125</v>
      </c>
      <c r="BY62" s="11">
        <f t="shared" si="311"/>
        <v>1.542724609375</v>
      </c>
      <c r="BZ62" s="7">
        <f t="shared" si="311"/>
        <v>2979.14990234375</v>
      </c>
      <c r="CA62" s="7">
        <f t="shared" si="311"/>
        <v>2979.14990234375</v>
      </c>
      <c r="CB62" s="7">
        <f t="shared" ref="CB62:CP62" si="312">IFERROR(VALUE(CB367),"-")</f>
        <v>2979.14990234375</v>
      </c>
      <c r="CC62" s="7">
        <f t="shared" si="312"/>
        <v>2979.14990234375</v>
      </c>
      <c r="CD62" s="7">
        <f t="shared" si="312"/>
        <v>2962.85009765625</v>
      </c>
      <c r="CE62" s="3">
        <f t="shared" si="312"/>
        <v>50</v>
      </c>
      <c r="CF62" s="7">
        <f t="shared" si="312"/>
        <v>2860.35009765625</v>
      </c>
      <c r="CG62" s="3">
        <f t="shared" si="312"/>
        <v>50</v>
      </c>
      <c r="CH62" s="7">
        <f t="shared" si="312"/>
        <v>2979.14990234375</v>
      </c>
      <c r="CI62" s="7">
        <f t="shared" si="312"/>
        <v>3.25</v>
      </c>
      <c r="CJ62" s="3">
        <f t="shared" si="312"/>
        <v>850</v>
      </c>
      <c r="CK62" s="7">
        <f t="shared" si="312"/>
        <v>3.2000000476837158</v>
      </c>
      <c r="CL62" s="3">
        <f t="shared" si="312"/>
        <v>850</v>
      </c>
      <c r="CM62" s="7">
        <f t="shared" si="312"/>
        <v>4.4600000381469727</v>
      </c>
      <c r="CN62" s="10">
        <f t="shared" si="312"/>
        <v>44783.638194444444</v>
      </c>
      <c r="CO62" s="10">
        <f t="shared" si="312"/>
        <v>44783.638194444444</v>
      </c>
      <c r="CP62" s="7">
        <f t="shared" si="312"/>
        <v>38295.69921875</v>
      </c>
      <c r="CQ62" s="7" t="str">
        <f t="shared" ref="CQ62" si="313">IFERROR(CQ367,"-")</f>
        <v>FairPrice</v>
      </c>
      <c r="CR62" s="10">
        <f t="shared" si="238"/>
        <v>44783.638194444444</v>
      </c>
      <c r="CS62" s="7">
        <f t="shared" si="238"/>
        <v>1.1610984802246094E-2</v>
      </c>
      <c r="CT62" s="7">
        <f t="shared" si="238"/>
        <v>1.8835620246435278E-4</v>
      </c>
      <c r="CU62" s="7">
        <f t="shared" si="238"/>
        <v>65775</v>
      </c>
      <c r="CV62" s="7">
        <f t="shared" si="238"/>
        <v>0.51083238312428736</v>
      </c>
      <c r="CW62" s="7">
        <f t="shared" si="238"/>
        <v>3.25</v>
      </c>
      <c r="CX62" s="7">
        <f t="shared" si="238"/>
        <v>0</v>
      </c>
      <c r="CY62" s="7">
        <f t="shared" si="238"/>
        <v>2979.14990234375</v>
      </c>
      <c r="CZ62" s="7">
        <f t="shared" si="238"/>
        <v>0</v>
      </c>
      <c r="DA62" s="7">
        <f t="shared" si="238"/>
        <v>800</v>
      </c>
      <c r="DB62" s="7">
        <f t="shared" si="238"/>
        <v>0</v>
      </c>
      <c r="DC62" s="7">
        <f t="shared" si="238"/>
        <v>-1.2660026550292969E-2</v>
      </c>
      <c r="DD62" s="7">
        <f t="shared" si="238"/>
        <v>-1.1680306705936841E-4</v>
      </c>
      <c r="DE62" s="7">
        <f t="shared" si="238"/>
        <v>2979.14990234375</v>
      </c>
      <c r="DF62" s="7">
        <f t="shared" si="238"/>
        <v>3.25</v>
      </c>
      <c r="DG62" s="7">
        <f t="shared" ref="DG62" si="314">IFERROR(VALUE(DG367),"-")</f>
        <v>38295.69921875</v>
      </c>
      <c r="DH62" s="7" t="str">
        <f t="shared" ref="DH62:DJ62" si="315">IFERROR(DH367,"-")</f>
        <v>W</v>
      </c>
      <c r="DI62" s="7" t="str">
        <f t="shared" si="315"/>
        <v>W</v>
      </c>
      <c r="DJ62" s="7" t="str">
        <f t="shared" si="315"/>
        <v>G</v>
      </c>
      <c r="DK62" s="64">
        <f t="shared" ref="DK62:DS62" si="316">IFERROR(VALUE(DK367),"-")</f>
        <v>38300</v>
      </c>
      <c r="DL62" s="64">
        <f t="shared" si="316"/>
        <v>3400000</v>
      </c>
      <c r="DM62" s="64">
        <f t="shared" si="316"/>
        <v>38500</v>
      </c>
      <c r="DN62" s="64">
        <f t="shared" si="316"/>
        <v>0</v>
      </c>
      <c r="DO62" s="64">
        <f t="shared" si="316"/>
        <v>24500</v>
      </c>
      <c r="DP62" s="64">
        <f t="shared" si="316"/>
        <v>2863350</v>
      </c>
      <c r="DQ62" s="64">
        <f t="shared" si="316"/>
        <v>38000</v>
      </c>
      <c r="DR62" s="64">
        <f t="shared" si="316"/>
        <v>0</v>
      </c>
      <c r="DS62" s="64">
        <f t="shared" si="316"/>
        <v>24500</v>
      </c>
      <c r="DT62" t="str">
        <f t="shared" si="7"/>
        <v>BANKNIFTY</v>
      </c>
      <c r="DU62" s="10">
        <f t="shared" si="8"/>
        <v>44784</v>
      </c>
    </row>
    <row r="63" spans="1:125" x14ac:dyDescent="0.25">
      <c r="A63" t="s">
        <v>26</v>
      </c>
      <c r="B63" s="2">
        <v>44833</v>
      </c>
      <c r="C63" s="1">
        <v>250</v>
      </c>
      <c r="D63">
        <v>70</v>
      </c>
      <c r="G63" t="str">
        <f t="array" ref="G63">IFERROR(INDEX($A$2:$A$700,MATCH(0,COUNTIF($G$1:G62,$A$2:$A$700),0)),"")</f>
        <v>ESCORTS</v>
      </c>
      <c r="M63" s="3"/>
      <c r="N63" s="3"/>
      <c r="O63" s="3">
        <f t="shared" si="9"/>
        <v>35500</v>
      </c>
      <c r="P63" s="7">
        <f t="shared" ref="P63:CA63" si="317">IFERROR(VALUE(P368),"-")</f>
        <v>3.5</v>
      </c>
      <c r="Q63" s="7">
        <f t="shared" si="317"/>
        <v>3.4500000476837158</v>
      </c>
      <c r="R63" s="7">
        <f t="shared" si="317"/>
        <v>5.9000000953674316</v>
      </c>
      <c r="S63" s="7">
        <f t="shared" si="317"/>
        <v>5.0999999046325684</v>
      </c>
      <c r="T63" s="11">
        <f t="shared" si="317"/>
        <v>3.42578125</v>
      </c>
      <c r="U63" s="11">
        <f t="shared" si="317"/>
        <v>45066.3828125</v>
      </c>
      <c r="V63" s="11">
        <f t="shared" si="317"/>
        <v>-4.15625</v>
      </c>
      <c r="W63" s="11">
        <f t="shared" si="317"/>
        <v>130579.3515625</v>
      </c>
      <c r="X63" s="14">
        <f t="shared" si="317"/>
        <v>-1.2223608791828156E-9</v>
      </c>
      <c r="Y63" s="14">
        <f t="shared" si="317"/>
        <v>4.2415711504872888E-5</v>
      </c>
      <c r="Z63" s="14">
        <f t="shared" si="317"/>
        <v>-2.0081643015146255E-8</v>
      </c>
      <c r="AA63" s="14">
        <f t="shared" si="317"/>
        <v>1.4476465003099293E-4</v>
      </c>
      <c r="AB63" s="15">
        <f t="shared" si="317"/>
        <v>4.8387960305262823E-12</v>
      </c>
      <c r="AC63" s="15">
        <f t="shared" si="317"/>
        <v>-3.728557373960939E-8</v>
      </c>
      <c r="AD63" s="13">
        <f t="shared" si="317"/>
        <v>7.0095062255859375E-4</v>
      </c>
      <c r="AE63" s="13">
        <f t="shared" si="317"/>
        <v>7.8867411613464355</v>
      </c>
      <c r="AF63" s="12">
        <f t="shared" si="317"/>
        <v>5.664825439453125E-4</v>
      </c>
      <c r="AG63" s="12">
        <f t="shared" si="317"/>
        <v>-26.917413711547852</v>
      </c>
      <c r="AH63" s="13">
        <f t="shared" si="317"/>
        <v>-1.6661942936480045E-9</v>
      </c>
      <c r="AI63" s="13">
        <f t="shared" si="317"/>
        <v>1.8874838133342564E-5</v>
      </c>
      <c r="AJ63" s="11">
        <f t="shared" si="317"/>
        <v>-2.6762485504150391E-5</v>
      </c>
      <c r="AK63" s="11">
        <f t="shared" si="317"/>
        <v>0.46972748637199402</v>
      </c>
      <c r="AL63" s="11">
        <f t="shared" si="317"/>
        <v>0</v>
      </c>
      <c r="AM63" s="11">
        <f t="shared" si="317"/>
        <v>-3.5</v>
      </c>
      <c r="AN63" s="11">
        <f t="shared" si="317"/>
        <v>3.7997961044311523E-7</v>
      </c>
      <c r="AO63" s="11">
        <f t="shared" si="317"/>
        <v>-8.4970751777291298E-3</v>
      </c>
      <c r="AP63" s="11">
        <f t="shared" si="317"/>
        <v>60.245543718338013</v>
      </c>
      <c r="AQ63" s="11">
        <f t="shared" si="317"/>
        <v>8195975</v>
      </c>
      <c r="AR63" s="16">
        <f t="shared" si="317"/>
        <v>167575</v>
      </c>
      <c r="AS63" s="16">
        <f t="shared" si="317"/>
        <v>1440400</v>
      </c>
      <c r="AT63" s="16">
        <f t="shared" si="317"/>
        <v>60.245543718338013</v>
      </c>
      <c r="AU63" s="7">
        <f t="shared" si="317"/>
        <v>0</v>
      </c>
      <c r="AV63" s="7">
        <f t="shared" si="317"/>
        <v>3.5</v>
      </c>
      <c r="AW63" s="7">
        <f t="shared" si="317"/>
        <v>2772</v>
      </c>
      <c r="AX63" s="7">
        <f t="shared" si="317"/>
        <v>0</v>
      </c>
      <c r="AY63" s="11">
        <f t="shared" si="317"/>
        <v>0</v>
      </c>
      <c r="AZ63" s="16">
        <f t="shared" si="317"/>
        <v>11575</v>
      </c>
      <c r="BA63" s="16">
        <f t="shared" si="317"/>
        <v>-1325</v>
      </c>
      <c r="BB63" s="16">
        <f t="shared" si="317"/>
        <v>3750</v>
      </c>
      <c r="BC63" s="11">
        <f t="shared" si="317"/>
        <v>0</v>
      </c>
      <c r="BD63" s="11">
        <f t="shared" si="317"/>
        <v>0</v>
      </c>
      <c r="BE63" s="11">
        <f t="shared" si="317"/>
        <v>0</v>
      </c>
      <c r="BF63" s="11">
        <f t="shared" si="317"/>
        <v>0</v>
      </c>
      <c r="BG63" s="11">
        <f t="shared" si="317"/>
        <v>0</v>
      </c>
      <c r="BH63" s="11">
        <f t="shared" si="317"/>
        <v>0</v>
      </c>
      <c r="BI63" s="13">
        <f t="shared" si="317"/>
        <v>0</v>
      </c>
      <c r="BJ63" s="13">
        <f t="shared" si="317"/>
        <v>0</v>
      </c>
      <c r="BK63" s="11">
        <f t="shared" si="317"/>
        <v>0</v>
      </c>
      <c r="BL63" s="12">
        <f t="shared" si="317"/>
        <v>0</v>
      </c>
      <c r="BM63" s="12">
        <f t="shared" si="317"/>
        <v>0</v>
      </c>
      <c r="BN63" s="13">
        <f t="shared" si="317"/>
        <v>0</v>
      </c>
      <c r="BO63" s="13">
        <f t="shared" si="317"/>
        <v>0</v>
      </c>
      <c r="BP63" s="15">
        <f t="shared" si="317"/>
        <v>0</v>
      </c>
      <c r="BQ63" s="15">
        <f t="shared" si="317"/>
        <v>0</v>
      </c>
      <c r="BR63" s="14">
        <f t="shared" si="317"/>
        <v>0</v>
      </c>
      <c r="BS63" s="14">
        <f t="shared" si="317"/>
        <v>0</v>
      </c>
      <c r="BT63" s="14">
        <f t="shared" si="317"/>
        <v>0</v>
      </c>
      <c r="BU63" s="14">
        <f t="shared" si="317"/>
        <v>0</v>
      </c>
      <c r="BV63" s="11">
        <f t="shared" si="317"/>
        <v>0</v>
      </c>
      <c r="BW63" s="11">
        <f t="shared" si="317"/>
        <v>0</v>
      </c>
      <c r="BX63" s="11">
        <f t="shared" si="317"/>
        <v>0</v>
      </c>
      <c r="BY63" s="11">
        <f t="shared" si="317"/>
        <v>0</v>
      </c>
      <c r="BZ63" s="7">
        <f t="shared" si="317"/>
        <v>2710</v>
      </c>
      <c r="CA63" s="7">
        <f t="shared" si="317"/>
        <v>2901.39990234375</v>
      </c>
      <c r="CB63" s="7">
        <f t="shared" ref="CB63:CP63" si="318">IFERROR(VALUE(CB368),"-")</f>
        <v>2670</v>
      </c>
      <c r="CC63" s="7">
        <f t="shared" si="318"/>
        <v>2772</v>
      </c>
      <c r="CD63" s="7">
        <f t="shared" si="318"/>
        <v>2805.64990234375</v>
      </c>
      <c r="CE63" s="3">
        <f t="shared" si="318"/>
        <v>175</v>
      </c>
      <c r="CF63" s="7">
        <f t="shared" si="318"/>
        <v>2792.449951171875</v>
      </c>
      <c r="CG63" s="3">
        <f t="shared" si="318"/>
        <v>50</v>
      </c>
      <c r="CH63" s="7">
        <f t="shared" si="318"/>
        <v>2803.25</v>
      </c>
      <c r="CI63" s="7">
        <f t="shared" si="318"/>
        <v>3.5</v>
      </c>
      <c r="CJ63" s="3">
        <f t="shared" si="318"/>
        <v>4450</v>
      </c>
      <c r="CK63" s="7">
        <f t="shared" si="318"/>
        <v>3.4500000476837158</v>
      </c>
      <c r="CL63" s="3">
        <f t="shared" si="318"/>
        <v>10950</v>
      </c>
      <c r="CM63" s="7">
        <f t="shared" si="318"/>
        <v>4.6399998664855957</v>
      </c>
      <c r="CN63" s="10">
        <f t="shared" si="318"/>
        <v>44783.638194444444</v>
      </c>
      <c r="CO63" s="10">
        <f t="shared" si="318"/>
        <v>44783.638194444444</v>
      </c>
      <c r="CP63" s="7">
        <f t="shared" si="318"/>
        <v>38295.69921875</v>
      </c>
      <c r="CQ63" s="7" t="str">
        <f t="shared" ref="CQ63" si="319">IFERROR(CQ368,"-")</f>
        <v>FairPrice</v>
      </c>
      <c r="CR63" s="10">
        <f t="shared" ref="CR63:DG78" si="320">IFERROR(VALUE(CR368),"-")</f>
        <v>44783.638194444444</v>
      </c>
      <c r="CS63" s="7">
        <f t="shared" si="320"/>
        <v>4.0173530578613281E-3</v>
      </c>
      <c r="CT63" s="7">
        <f t="shared" si="320"/>
        <v>6.6687438055631774E-5</v>
      </c>
      <c r="CU63" s="7">
        <f t="shared" si="320"/>
        <v>1272825</v>
      </c>
      <c r="CV63" s="7">
        <f t="shared" si="320"/>
        <v>0.13165596213147918</v>
      </c>
      <c r="CW63" s="7">
        <f t="shared" si="320"/>
        <v>3.5</v>
      </c>
      <c r="CX63" s="7">
        <f t="shared" si="320"/>
        <v>0</v>
      </c>
      <c r="CY63" s="7">
        <f t="shared" si="320"/>
        <v>2772</v>
      </c>
      <c r="CZ63" s="7">
        <f t="shared" si="320"/>
        <v>0</v>
      </c>
      <c r="DA63" s="7">
        <f t="shared" si="320"/>
        <v>12900</v>
      </c>
      <c r="DB63" s="7">
        <f t="shared" si="320"/>
        <v>-0.10271317829457365</v>
      </c>
      <c r="DC63" s="7">
        <f t="shared" si="320"/>
        <v>0</v>
      </c>
      <c r="DD63" s="7">
        <f t="shared" si="320"/>
        <v>0</v>
      </c>
      <c r="DE63" s="7">
        <f t="shared" si="320"/>
        <v>2772</v>
      </c>
      <c r="DF63" s="7">
        <f t="shared" si="320"/>
        <v>3.5</v>
      </c>
      <c r="DG63" s="7">
        <f t="shared" si="320"/>
        <v>38295.69921875</v>
      </c>
      <c r="DH63" s="7" t="str">
        <f t="shared" ref="DH63:DJ63" si="321">IFERROR(DH368,"-")</f>
        <v>W</v>
      </c>
      <c r="DI63" s="7" t="str">
        <f t="shared" si="321"/>
        <v>W</v>
      </c>
      <c r="DJ63" s="7" t="str">
        <f t="shared" si="321"/>
        <v>G</v>
      </c>
      <c r="DK63" s="64">
        <f t="shared" ref="DK63:DS63" si="322">IFERROR(VALUE(DK368),"-")</f>
        <v>38300</v>
      </c>
      <c r="DL63" s="64">
        <f t="shared" si="322"/>
        <v>3400000</v>
      </c>
      <c r="DM63" s="64">
        <f t="shared" si="322"/>
        <v>38500</v>
      </c>
      <c r="DN63" s="64">
        <f t="shared" si="322"/>
        <v>0</v>
      </c>
      <c r="DO63" s="64">
        <f t="shared" si="322"/>
        <v>24500</v>
      </c>
      <c r="DP63" s="64">
        <f t="shared" si="322"/>
        <v>2863350</v>
      </c>
      <c r="DQ63" s="64">
        <f t="shared" si="322"/>
        <v>38000</v>
      </c>
      <c r="DR63" s="64">
        <f t="shared" si="322"/>
        <v>0</v>
      </c>
      <c r="DS63" s="64">
        <f t="shared" si="322"/>
        <v>24500</v>
      </c>
      <c r="DT63" t="str">
        <f t="shared" si="7"/>
        <v>BANKNIFTY</v>
      </c>
      <c r="DU63" s="10">
        <f t="shared" si="8"/>
        <v>44784</v>
      </c>
    </row>
    <row r="64" spans="1:125" x14ac:dyDescent="0.25">
      <c r="A64" t="s">
        <v>26</v>
      </c>
      <c r="B64" s="2">
        <v>44861</v>
      </c>
      <c r="C64" s="1">
        <v>250</v>
      </c>
      <c r="D64">
        <v>70</v>
      </c>
      <c r="G64" t="str">
        <f t="array" ref="G64">IFERROR(INDEX($A$2:$A$700,MATCH(0,COUNTIF($G$1:G63,$A$2:$A$700),0)),"")</f>
        <v>EXIDEIND</v>
      </c>
      <c r="M64" s="3"/>
      <c r="N64" s="3"/>
      <c r="O64" s="3">
        <f t="shared" si="9"/>
        <v>35600</v>
      </c>
      <c r="P64" s="7">
        <f t="shared" ref="P64:CA64" si="323">IFERROR(VALUE(P369),"-")</f>
        <v>3.4500000476837158</v>
      </c>
      <c r="Q64" s="7">
        <f t="shared" si="323"/>
        <v>3.4000000953674316</v>
      </c>
      <c r="R64" s="7">
        <f t="shared" si="323"/>
        <v>6.1500000953674316</v>
      </c>
      <c r="S64" s="7">
        <f t="shared" si="323"/>
        <v>5.5999999046325684</v>
      </c>
      <c r="T64" s="11">
        <f t="shared" si="323"/>
        <v>1.77734375</v>
      </c>
      <c r="U64" s="11">
        <f t="shared" si="323"/>
        <v>44115.20703125</v>
      </c>
      <c r="V64" s="11">
        <f t="shared" si="323"/>
        <v>-5.203125</v>
      </c>
      <c r="W64" s="11">
        <f t="shared" si="323"/>
        <v>132278.515625</v>
      </c>
      <c r="X64" s="14">
        <f t="shared" si="323"/>
        <v>8.1854523159563541E-10</v>
      </c>
      <c r="Y64" s="14">
        <f t="shared" si="323"/>
        <v>4.4374886783771217E-5</v>
      </c>
      <c r="Z64" s="14">
        <f t="shared" si="323"/>
        <v>-9.720679372549057E-9</v>
      </c>
      <c r="AA64" s="14">
        <f t="shared" si="323"/>
        <v>1.5685944526921958E-4</v>
      </c>
      <c r="AB64" s="15">
        <f t="shared" si="323"/>
        <v>1.8118839761882555E-12</v>
      </c>
      <c r="AC64" s="15">
        <f t="shared" si="323"/>
        <v>-4.0533326028935335E-8</v>
      </c>
      <c r="AD64" s="13">
        <f t="shared" si="323"/>
        <v>4.5633316040039063E-4</v>
      </c>
      <c r="AE64" s="13">
        <f t="shared" si="323"/>
        <v>7.7366318702697754</v>
      </c>
      <c r="AF64" s="12">
        <f t="shared" si="323"/>
        <v>5.8746337890625E-4</v>
      </c>
      <c r="AG64" s="12">
        <f t="shared" si="323"/>
        <v>-27.347986221313477</v>
      </c>
      <c r="AH64" s="13">
        <f t="shared" si="323"/>
        <v>-6.0390448197722435E-10</v>
      </c>
      <c r="AI64" s="13">
        <f t="shared" si="323"/>
        <v>1.9878145394613966E-5</v>
      </c>
      <c r="AJ64" s="11">
        <f t="shared" si="323"/>
        <v>-1.6152858734130859E-5</v>
      </c>
      <c r="AK64" s="11">
        <f t="shared" si="323"/>
        <v>0.47764024138450623</v>
      </c>
      <c r="AL64" s="11">
        <f t="shared" si="323"/>
        <v>0</v>
      </c>
      <c r="AM64" s="11">
        <f t="shared" si="323"/>
        <v>-3.4500000476837158</v>
      </c>
      <c r="AN64" s="11">
        <f t="shared" si="323"/>
        <v>1.3317912817001343E-7</v>
      </c>
      <c r="AO64" s="11">
        <f t="shared" si="323"/>
        <v>-8.6604282259941101E-3</v>
      </c>
      <c r="AP64" s="11">
        <f t="shared" si="323"/>
        <v>58.16841721534729</v>
      </c>
      <c r="AQ64" s="11">
        <f t="shared" si="323"/>
        <v>1324200</v>
      </c>
      <c r="AR64" s="16">
        <f t="shared" si="323"/>
        <v>-17425</v>
      </c>
      <c r="AS64" s="16">
        <f t="shared" si="323"/>
        <v>173825</v>
      </c>
      <c r="AT64" s="16">
        <f t="shared" si="323"/>
        <v>58.16841721534729</v>
      </c>
      <c r="AU64" s="7">
        <f t="shared" si="323"/>
        <v>0</v>
      </c>
      <c r="AV64" s="7">
        <f t="shared" si="323"/>
        <v>3.4500000476837158</v>
      </c>
      <c r="AW64" s="7">
        <f t="shared" si="323"/>
        <v>2386.9499999999998</v>
      </c>
      <c r="AX64" s="7">
        <f t="shared" si="323"/>
        <v>0</v>
      </c>
      <c r="AY64" s="11">
        <f t="shared" si="323"/>
        <v>0</v>
      </c>
      <c r="AZ64" s="16">
        <f t="shared" si="323"/>
        <v>425</v>
      </c>
      <c r="BA64" s="16">
        <f t="shared" si="323"/>
        <v>0</v>
      </c>
      <c r="BB64" s="16">
        <f t="shared" si="323"/>
        <v>0</v>
      </c>
      <c r="BC64" s="11">
        <f t="shared" si="323"/>
        <v>0</v>
      </c>
      <c r="BD64" s="11">
        <f t="shared" si="323"/>
        <v>0</v>
      </c>
      <c r="BE64" s="11">
        <f t="shared" si="323"/>
        <v>0</v>
      </c>
      <c r="BF64" s="11">
        <f t="shared" si="323"/>
        <v>0</v>
      </c>
      <c r="BG64" s="11">
        <f t="shared" si="323"/>
        <v>0</v>
      </c>
      <c r="BH64" s="11">
        <f t="shared" si="323"/>
        <v>0</v>
      </c>
      <c r="BI64" s="13">
        <f t="shared" si="323"/>
        <v>0</v>
      </c>
      <c r="BJ64" s="13">
        <f t="shared" si="323"/>
        <v>0</v>
      </c>
      <c r="BK64" s="11">
        <f t="shared" si="323"/>
        <v>0</v>
      </c>
      <c r="BL64" s="12">
        <f t="shared" si="323"/>
        <v>0</v>
      </c>
      <c r="BM64" s="12">
        <f t="shared" si="323"/>
        <v>0</v>
      </c>
      <c r="BN64" s="13">
        <f t="shared" si="323"/>
        <v>0</v>
      </c>
      <c r="BO64" s="13">
        <f t="shared" si="323"/>
        <v>0</v>
      </c>
      <c r="BP64" s="15">
        <f t="shared" si="323"/>
        <v>0</v>
      </c>
      <c r="BQ64" s="15">
        <f t="shared" si="323"/>
        <v>0</v>
      </c>
      <c r="BR64" s="14">
        <f t="shared" si="323"/>
        <v>0</v>
      </c>
      <c r="BS64" s="14">
        <f t="shared" si="323"/>
        <v>0</v>
      </c>
      <c r="BT64" s="14">
        <f t="shared" si="323"/>
        <v>0</v>
      </c>
      <c r="BU64" s="14">
        <f t="shared" si="323"/>
        <v>0</v>
      </c>
      <c r="BV64" s="11">
        <f t="shared" si="323"/>
        <v>0</v>
      </c>
      <c r="BW64" s="11">
        <f t="shared" si="323"/>
        <v>0</v>
      </c>
      <c r="BX64" s="11">
        <f t="shared" si="323"/>
        <v>0</v>
      </c>
      <c r="BY64" s="11">
        <f t="shared" si="323"/>
        <v>0</v>
      </c>
      <c r="BZ64" s="7">
        <f t="shared" si="323"/>
        <v>0</v>
      </c>
      <c r="CA64" s="7">
        <f t="shared" si="323"/>
        <v>0</v>
      </c>
      <c r="CB64" s="7">
        <f t="shared" ref="CB64:CP64" si="324">IFERROR(VALUE(CB369),"-")</f>
        <v>0</v>
      </c>
      <c r="CC64" s="7">
        <f t="shared" si="324"/>
        <v>0</v>
      </c>
      <c r="CD64" s="7">
        <f t="shared" si="324"/>
        <v>0</v>
      </c>
      <c r="CE64" s="3">
        <f t="shared" si="324"/>
        <v>0</v>
      </c>
      <c r="CF64" s="7">
        <f t="shared" si="324"/>
        <v>0</v>
      </c>
      <c r="CG64" s="3">
        <f t="shared" si="324"/>
        <v>0</v>
      </c>
      <c r="CH64" s="7">
        <f t="shared" si="324"/>
        <v>0</v>
      </c>
      <c r="CI64" s="7">
        <f t="shared" si="324"/>
        <v>3.5</v>
      </c>
      <c r="CJ64" s="3">
        <f t="shared" si="324"/>
        <v>1125</v>
      </c>
      <c r="CK64" s="7">
        <f t="shared" si="324"/>
        <v>3.4500000476837158</v>
      </c>
      <c r="CL64" s="3">
        <f t="shared" si="324"/>
        <v>5100</v>
      </c>
      <c r="CM64" s="7">
        <f t="shared" si="324"/>
        <v>4.7800002098083496</v>
      </c>
      <c r="CN64" s="10">
        <f t="shared" si="324"/>
        <v>44783.636701388888</v>
      </c>
      <c r="CO64" s="10">
        <f t="shared" si="324"/>
        <v>44783.638194444444</v>
      </c>
      <c r="CP64" s="7">
        <f t="shared" si="324"/>
        <v>38295.69921875</v>
      </c>
      <c r="CQ64" s="7" t="str">
        <f t="shared" ref="CQ64" si="325">IFERROR(CQ369,"-")</f>
        <v>FairPrice</v>
      </c>
      <c r="CR64" s="10">
        <f t="shared" si="320"/>
        <v>44783.638194444444</v>
      </c>
      <c r="CS64" s="7">
        <f t="shared" si="320"/>
        <v>2.1636486053466797E-3</v>
      </c>
      <c r="CT64" s="7">
        <f t="shared" si="320"/>
        <v>3.7197661404546803E-5</v>
      </c>
      <c r="CU64" s="7">
        <f t="shared" si="320"/>
        <v>191250</v>
      </c>
      <c r="CV64" s="7">
        <f t="shared" si="320"/>
        <v>-9.1111111111111115E-2</v>
      </c>
      <c r="CW64" s="7">
        <f t="shared" si="320"/>
        <v>3.4500000476837158</v>
      </c>
      <c r="CX64" s="7">
        <f t="shared" si="320"/>
        <v>0</v>
      </c>
      <c r="CY64" s="7">
        <f t="shared" si="320"/>
        <v>2386.9499999999998</v>
      </c>
      <c r="CZ64" s="7">
        <f t="shared" si="320"/>
        <v>0</v>
      </c>
      <c r="DA64" s="7">
        <f t="shared" si="320"/>
        <v>425</v>
      </c>
      <c r="DB64" s="7">
        <f t="shared" si="320"/>
        <v>0</v>
      </c>
      <c r="DC64" s="7">
        <f t="shared" si="320"/>
        <v>0</v>
      </c>
      <c r="DD64" s="7">
        <f t="shared" si="320"/>
        <v>0</v>
      </c>
      <c r="DE64" s="7">
        <f t="shared" si="320"/>
        <v>2386.9499999999998</v>
      </c>
      <c r="DF64" s="7">
        <f t="shared" si="320"/>
        <v>3.4500000476837158</v>
      </c>
      <c r="DG64" s="7">
        <f t="shared" si="320"/>
        <v>38295.69921875</v>
      </c>
      <c r="DH64" s="7" t="str">
        <f t="shared" ref="DH64:DJ64" si="326">IFERROR(DH369,"-")</f>
        <v>W</v>
      </c>
      <c r="DI64" s="7" t="str">
        <f t="shared" si="326"/>
        <v>W</v>
      </c>
      <c r="DJ64" s="7" t="str">
        <f t="shared" si="326"/>
        <v>G</v>
      </c>
      <c r="DK64" s="64">
        <f t="shared" ref="DK64:DS64" si="327">IFERROR(VALUE(DK369),"-")</f>
        <v>38300</v>
      </c>
      <c r="DL64" s="64">
        <f t="shared" si="327"/>
        <v>3400000</v>
      </c>
      <c r="DM64" s="64">
        <f t="shared" si="327"/>
        <v>38500</v>
      </c>
      <c r="DN64" s="64">
        <f t="shared" si="327"/>
        <v>0</v>
      </c>
      <c r="DO64" s="64">
        <f t="shared" si="327"/>
        <v>24500</v>
      </c>
      <c r="DP64" s="64">
        <f t="shared" si="327"/>
        <v>2863350</v>
      </c>
      <c r="DQ64" s="64">
        <f t="shared" si="327"/>
        <v>38000</v>
      </c>
      <c r="DR64" s="64">
        <f t="shared" si="327"/>
        <v>0</v>
      </c>
      <c r="DS64" s="64">
        <f t="shared" si="327"/>
        <v>24500</v>
      </c>
      <c r="DT64" t="str">
        <f t="shared" si="7"/>
        <v>BANKNIFTY</v>
      </c>
      <c r="DU64" s="10">
        <f t="shared" si="8"/>
        <v>44784</v>
      </c>
    </row>
    <row r="65" spans="1:125" x14ac:dyDescent="0.25">
      <c r="A65" t="s">
        <v>27</v>
      </c>
      <c r="B65" s="2">
        <v>44798</v>
      </c>
      <c r="C65" s="1">
        <v>50</v>
      </c>
      <c r="D65">
        <v>63</v>
      </c>
      <c r="G65" t="str">
        <f t="array" ref="G65">IFERROR(INDEX($A$2:$A$700,MATCH(0,COUNTIF($G$1:G64,$A$2:$A$700),0)),"")</f>
        <v>FEDERALBNK</v>
      </c>
      <c r="M65" s="3"/>
      <c r="N65" s="3"/>
      <c r="O65" s="3">
        <f t="shared" si="9"/>
        <v>35700</v>
      </c>
      <c r="P65" s="7">
        <f t="shared" ref="P65:CA65" si="328">IFERROR(VALUE(P370),"-")</f>
        <v>3.6500000953674316</v>
      </c>
      <c r="Q65" s="7">
        <f t="shared" si="328"/>
        <v>3.5999999046325684</v>
      </c>
      <c r="R65" s="7">
        <f t="shared" si="328"/>
        <v>6.4000000953674316</v>
      </c>
      <c r="S65" s="7">
        <f t="shared" si="328"/>
        <v>5.6500000953674316</v>
      </c>
      <c r="T65" s="11">
        <f t="shared" si="328"/>
        <v>11.140625</v>
      </c>
      <c r="U65" s="11">
        <f t="shared" si="328"/>
        <v>40459.37109375</v>
      </c>
      <c r="V65" s="11">
        <f t="shared" si="328"/>
        <v>-4.875</v>
      </c>
      <c r="W65" s="11">
        <f t="shared" si="328"/>
        <v>124236.6484375</v>
      </c>
      <c r="X65" s="14">
        <f t="shared" si="328"/>
        <v>-1.0375515557825565E-8</v>
      </c>
      <c r="Y65" s="14">
        <f t="shared" si="328"/>
        <v>4.7362325858557597E-5</v>
      </c>
      <c r="Z65" s="14">
        <f t="shared" si="328"/>
        <v>-9.3437847681343555E-8</v>
      </c>
      <c r="AA65" s="14">
        <f t="shared" si="328"/>
        <v>1.7207009659614414E-4</v>
      </c>
      <c r="AB65" s="15">
        <f t="shared" si="328"/>
        <v>2.5071500431295135E-11</v>
      </c>
      <c r="AC65" s="15">
        <f t="shared" si="328"/>
        <v>-4.5212679822270729E-8</v>
      </c>
      <c r="AD65" s="13">
        <f t="shared" si="328"/>
        <v>2.0160675048828125E-3</v>
      </c>
      <c r="AE65" s="13">
        <f t="shared" si="328"/>
        <v>7.1544613838195801</v>
      </c>
      <c r="AF65" s="12">
        <f t="shared" si="328"/>
        <v>1.09100341796875E-3</v>
      </c>
      <c r="AG65" s="12">
        <f t="shared" si="328"/>
        <v>-25.992576599121094</v>
      </c>
      <c r="AH65" s="13">
        <f t="shared" si="328"/>
        <v>-8.2327460404485464E-9</v>
      </c>
      <c r="AI65" s="13">
        <f t="shared" si="328"/>
        <v>2.1836049199919216E-5</v>
      </c>
      <c r="AJ65" s="11">
        <f t="shared" si="328"/>
        <v>-9.9420547485351563E-5</v>
      </c>
      <c r="AK65" s="11">
        <f t="shared" si="328"/>
        <v>0.51050519943237305</v>
      </c>
      <c r="AL65" s="11">
        <f t="shared" si="328"/>
        <v>0</v>
      </c>
      <c r="AM65" s="11">
        <f t="shared" si="328"/>
        <v>-3.6500000953674316</v>
      </c>
      <c r="AN65" s="11">
        <f t="shared" si="328"/>
        <v>1.7872080206871033E-6</v>
      </c>
      <c r="AO65" s="11">
        <f t="shared" si="328"/>
        <v>-9.3439798802137375E-3</v>
      </c>
      <c r="AP65" s="11">
        <f t="shared" si="328"/>
        <v>56.596332788467407</v>
      </c>
      <c r="AQ65" s="11">
        <f t="shared" si="328"/>
        <v>1191825</v>
      </c>
      <c r="AR65" s="16">
        <f t="shared" si="328"/>
        <v>11750</v>
      </c>
      <c r="AS65" s="16">
        <f t="shared" si="328"/>
        <v>144225</v>
      </c>
      <c r="AT65" s="16">
        <f t="shared" si="328"/>
        <v>56.596332788467407</v>
      </c>
      <c r="AU65" s="7">
        <f t="shared" si="328"/>
        <v>0</v>
      </c>
      <c r="AV65" s="7">
        <f t="shared" si="328"/>
        <v>3.6500000953674316</v>
      </c>
      <c r="AW65" s="7">
        <f t="shared" si="328"/>
        <v>2618</v>
      </c>
      <c r="AX65" s="7">
        <f t="shared" si="328"/>
        <v>0</v>
      </c>
      <c r="AY65" s="11">
        <f t="shared" si="328"/>
        <v>74.615168571472168</v>
      </c>
      <c r="AZ65" s="16">
        <f t="shared" si="328"/>
        <v>4925</v>
      </c>
      <c r="BA65" s="16">
        <f t="shared" si="328"/>
        <v>0</v>
      </c>
      <c r="BB65" s="16">
        <f t="shared" si="328"/>
        <v>50</v>
      </c>
      <c r="BC65" s="11">
        <f t="shared" si="328"/>
        <v>0.96344375610351563</v>
      </c>
      <c r="BD65" s="11">
        <f t="shared" si="328"/>
        <v>5.8293342590332031E-5</v>
      </c>
      <c r="BE65" s="11">
        <f t="shared" si="328"/>
        <v>-59.057857513427734</v>
      </c>
      <c r="BF65" s="11">
        <f t="shared" si="328"/>
        <v>9.7835540771484375E-2</v>
      </c>
      <c r="BG65" s="11">
        <f t="shared" si="328"/>
        <v>1.6274633407592773</v>
      </c>
      <c r="BH65" s="11">
        <f t="shared" si="328"/>
        <v>-2.1556615829467773E-3</v>
      </c>
      <c r="BI65" s="13">
        <f t="shared" si="328"/>
        <v>5.280177720123902E-5</v>
      </c>
      <c r="BJ65" s="13">
        <f t="shared" si="328"/>
        <v>-4.7981302486732602E-8</v>
      </c>
      <c r="BK65" s="11">
        <f t="shared" si="328"/>
        <v>74.615168571472168</v>
      </c>
      <c r="BL65" s="12">
        <f t="shared" si="328"/>
        <v>-4.6683611869812012</v>
      </c>
      <c r="BM65" s="12">
        <f t="shared" si="328"/>
        <v>-9.80377197265625E-3</v>
      </c>
      <c r="BN65" s="13">
        <f t="shared" si="328"/>
        <v>1.6940683126449585</v>
      </c>
      <c r="BO65" s="13">
        <f t="shared" si="328"/>
        <v>2.9970407485961914E-3</v>
      </c>
      <c r="BP65" s="15">
        <f t="shared" si="328"/>
        <v>-6.3777072512039013E-8</v>
      </c>
      <c r="BQ65" s="15">
        <f t="shared" si="328"/>
        <v>7.9509732131555211E-12</v>
      </c>
      <c r="BR65" s="14">
        <f t="shared" si="328"/>
        <v>1.5149144746828824E-4</v>
      </c>
      <c r="BS65" s="14">
        <f t="shared" si="328"/>
        <v>1.0365329217165709E-7</v>
      </c>
      <c r="BT65" s="14">
        <f t="shared" si="328"/>
        <v>5.4973654187051579E-5</v>
      </c>
      <c r="BU65" s="14">
        <f t="shared" si="328"/>
        <v>1.9401340978220105E-8</v>
      </c>
      <c r="BV65" s="11">
        <f t="shared" si="328"/>
        <v>17004.005859375</v>
      </c>
      <c r="BW65" s="11">
        <f t="shared" si="328"/>
        <v>42.251953125</v>
      </c>
      <c r="BX65" s="11">
        <f t="shared" si="328"/>
        <v>8135.10595703125</v>
      </c>
      <c r="BY65" s="11">
        <f t="shared" si="328"/>
        <v>15.8955078125</v>
      </c>
      <c r="BZ65" s="7">
        <f t="shared" si="328"/>
        <v>2618</v>
      </c>
      <c r="CA65" s="7">
        <f t="shared" si="328"/>
        <v>2618</v>
      </c>
      <c r="CB65" s="7">
        <f t="shared" ref="CB65:CP65" si="329">IFERROR(VALUE(CB370),"-")</f>
        <v>2618</v>
      </c>
      <c r="CC65" s="7">
        <f t="shared" si="329"/>
        <v>2618</v>
      </c>
      <c r="CD65" s="7">
        <f t="shared" si="329"/>
        <v>2661.050048828125</v>
      </c>
      <c r="CE65" s="3">
        <f t="shared" si="329"/>
        <v>50</v>
      </c>
      <c r="CF65" s="7">
        <f t="shared" si="329"/>
        <v>2554.199951171875</v>
      </c>
      <c r="CG65" s="3">
        <f t="shared" si="329"/>
        <v>75</v>
      </c>
      <c r="CH65" s="7">
        <f t="shared" si="329"/>
        <v>2618</v>
      </c>
      <c r="CI65" s="7">
        <f t="shared" si="329"/>
        <v>3.7000000476837158</v>
      </c>
      <c r="CJ65" s="3">
        <f t="shared" si="329"/>
        <v>3950</v>
      </c>
      <c r="CK65" s="7">
        <f t="shared" si="329"/>
        <v>3.5999999046325684</v>
      </c>
      <c r="CL65" s="3">
        <f t="shared" si="329"/>
        <v>5250</v>
      </c>
      <c r="CM65" s="7">
        <f t="shared" si="329"/>
        <v>4.9699997901916504</v>
      </c>
      <c r="CN65" s="10">
        <f t="shared" si="329"/>
        <v>44783.638194444444</v>
      </c>
      <c r="CO65" s="10">
        <f t="shared" si="329"/>
        <v>44783.638194444444</v>
      </c>
      <c r="CP65" s="7">
        <f t="shared" si="329"/>
        <v>38295.69921875</v>
      </c>
      <c r="CQ65" s="7" t="str">
        <f t="shared" ref="CQ65" si="330">IFERROR(CQ370,"-")</f>
        <v>FairPrice</v>
      </c>
      <c r="CR65" s="10">
        <f t="shared" si="320"/>
        <v>44783.638194444444</v>
      </c>
      <c r="CS65" s="7">
        <f t="shared" si="320"/>
        <v>1.3428926467895508E-2</v>
      </c>
      <c r="CT65" s="7">
        <f t="shared" si="320"/>
        <v>2.3733187148979525E-4</v>
      </c>
      <c r="CU65" s="7">
        <f t="shared" si="320"/>
        <v>132475</v>
      </c>
      <c r="CV65" s="7">
        <f t="shared" si="320"/>
        <v>8.8695980373655406E-2</v>
      </c>
      <c r="CW65" s="7">
        <f t="shared" si="320"/>
        <v>3.6500000953674316</v>
      </c>
      <c r="CX65" s="7">
        <f t="shared" si="320"/>
        <v>0</v>
      </c>
      <c r="CY65" s="7">
        <f t="shared" si="320"/>
        <v>2618</v>
      </c>
      <c r="CZ65" s="7">
        <f t="shared" si="320"/>
        <v>0</v>
      </c>
      <c r="DA65" s="7">
        <f t="shared" si="320"/>
        <v>4925</v>
      </c>
      <c r="DB65" s="7">
        <f t="shared" si="320"/>
        <v>0</v>
      </c>
      <c r="DC65" s="7">
        <f t="shared" si="320"/>
        <v>-2.7966499328613281E-2</v>
      </c>
      <c r="DD65" s="7">
        <f t="shared" si="320"/>
        <v>-3.7466940934469584E-4</v>
      </c>
      <c r="DE65" s="7">
        <f t="shared" si="320"/>
        <v>2618</v>
      </c>
      <c r="DF65" s="7">
        <f t="shared" si="320"/>
        <v>3.6500000953674316</v>
      </c>
      <c r="DG65" s="7">
        <f t="shared" si="320"/>
        <v>38295.69921875</v>
      </c>
      <c r="DH65" s="7" t="str">
        <f t="shared" ref="DH65:DJ65" si="331">IFERROR(DH370,"-")</f>
        <v>W</v>
      </c>
      <c r="DI65" s="7" t="str">
        <f t="shared" si="331"/>
        <v>W</v>
      </c>
      <c r="DJ65" s="7" t="str">
        <f t="shared" si="331"/>
        <v>G</v>
      </c>
      <c r="DK65" s="64">
        <f t="shared" ref="DK65:DS65" si="332">IFERROR(VALUE(DK370),"-")</f>
        <v>38300</v>
      </c>
      <c r="DL65" s="64">
        <f t="shared" si="332"/>
        <v>3400000</v>
      </c>
      <c r="DM65" s="64">
        <f t="shared" si="332"/>
        <v>38500</v>
      </c>
      <c r="DN65" s="64">
        <f t="shared" si="332"/>
        <v>0</v>
      </c>
      <c r="DO65" s="64">
        <f t="shared" si="332"/>
        <v>24500</v>
      </c>
      <c r="DP65" s="64">
        <f t="shared" si="332"/>
        <v>2863350</v>
      </c>
      <c r="DQ65" s="64">
        <f t="shared" si="332"/>
        <v>38000</v>
      </c>
      <c r="DR65" s="64">
        <f t="shared" si="332"/>
        <v>0</v>
      </c>
      <c r="DS65" s="64">
        <f t="shared" si="332"/>
        <v>24500</v>
      </c>
      <c r="DT65" t="str">
        <f t="shared" si="7"/>
        <v>BANKNIFTY</v>
      </c>
      <c r="DU65" s="10">
        <f t="shared" si="8"/>
        <v>44784</v>
      </c>
    </row>
    <row r="66" spans="1:125" x14ac:dyDescent="0.25">
      <c r="A66" t="s">
        <v>27</v>
      </c>
      <c r="B66" s="2">
        <v>44833</v>
      </c>
      <c r="C66" s="1">
        <v>50</v>
      </c>
      <c r="D66">
        <v>63</v>
      </c>
      <c r="G66" t="str">
        <f t="array" ref="G66">IFERROR(INDEX($A$2:$A$700,MATCH(0,COUNTIF($G$1:G65,$A$2:$A$700),0)),"")</f>
        <v>FINNIFTY</v>
      </c>
      <c r="M66" s="3"/>
      <c r="N66" s="3"/>
      <c r="O66" s="3">
        <f t="shared" si="9"/>
        <v>35800</v>
      </c>
      <c r="P66" s="7">
        <f t="shared" ref="P66:CA66" si="333">IFERROR(VALUE(P371),"-")</f>
        <v>3.9000000953674316</v>
      </c>
      <c r="Q66" s="7">
        <f t="shared" si="333"/>
        <v>3.7999999523162842</v>
      </c>
      <c r="R66" s="7">
        <f t="shared" si="333"/>
        <v>7.0999999046325684</v>
      </c>
      <c r="S66" s="7">
        <f t="shared" si="333"/>
        <v>7.0999999046325684</v>
      </c>
      <c r="T66" s="11">
        <f t="shared" si="333"/>
        <v>8.9375</v>
      </c>
      <c r="U66" s="11">
        <f t="shared" si="333"/>
        <v>36731.61328125</v>
      </c>
      <c r="V66" s="11">
        <f t="shared" si="333"/>
        <v>-5.3203125</v>
      </c>
      <c r="W66" s="11">
        <f t="shared" si="333"/>
        <v>115417.328125</v>
      </c>
      <c r="X66" s="14">
        <f t="shared" si="333"/>
        <v>-8.858478395268321E-9</v>
      </c>
      <c r="Y66" s="14">
        <f t="shared" si="333"/>
        <v>5.0701222789939493E-5</v>
      </c>
      <c r="Z66" s="14">
        <f t="shared" si="333"/>
        <v>-8.9436070993542671E-8</v>
      </c>
      <c r="AA66" s="14">
        <f t="shared" si="333"/>
        <v>1.8928768986370414E-4</v>
      </c>
      <c r="AB66" s="15">
        <f t="shared" si="333"/>
        <v>2.4208191007346613E-11</v>
      </c>
      <c r="AC66" s="15">
        <f t="shared" si="333"/>
        <v>-5.0708337084870436E-8</v>
      </c>
      <c r="AD66" s="13">
        <f t="shared" si="333"/>
        <v>1.6717910766601563E-3</v>
      </c>
      <c r="AE66" s="13">
        <f t="shared" si="333"/>
        <v>6.5562210083007813</v>
      </c>
      <c r="AF66" s="12">
        <f t="shared" si="333"/>
        <v>1.0433197021484375E-3</v>
      </c>
      <c r="AG66" s="12">
        <f t="shared" si="333"/>
        <v>-24.476963043212891</v>
      </c>
      <c r="AH66" s="13">
        <f t="shared" si="333"/>
        <v>-7.8471202868968248E-9</v>
      </c>
      <c r="AI66" s="13">
        <f t="shared" si="333"/>
        <v>2.4161325200111605E-5</v>
      </c>
      <c r="AJ66" s="11">
        <f t="shared" si="333"/>
        <v>-9.5546245574951172E-5</v>
      </c>
      <c r="AK66" s="11">
        <f t="shared" si="333"/>
        <v>0.54968392848968506</v>
      </c>
      <c r="AL66" s="11">
        <f t="shared" si="333"/>
        <v>0</v>
      </c>
      <c r="AM66" s="11">
        <f t="shared" si="333"/>
        <v>-3.9000000953674316</v>
      </c>
      <c r="AN66" s="11">
        <f t="shared" si="333"/>
        <v>1.6745179891586304E-6</v>
      </c>
      <c r="AO66" s="11">
        <f t="shared" si="333"/>
        <v>-1.0169324465095997E-2</v>
      </c>
      <c r="AP66" s="11">
        <f t="shared" si="333"/>
        <v>55.075281858444214</v>
      </c>
      <c r="AQ66" s="11">
        <f t="shared" si="333"/>
        <v>1655700</v>
      </c>
      <c r="AR66" s="16">
        <f t="shared" si="333"/>
        <v>17150</v>
      </c>
      <c r="AS66" s="16">
        <f t="shared" si="333"/>
        <v>264225</v>
      </c>
      <c r="AT66" s="16">
        <f t="shared" si="333"/>
        <v>55.075281858444214</v>
      </c>
      <c r="AU66" s="7">
        <f t="shared" si="333"/>
        <v>0</v>
      </c>
      <c r="AV66" s="7">
        <f t="shared" si="333"/>
        <v>3.9000000953674316</v>
      </c>
      <c r="AW66" s="7">
        <f t="shared" si="333"/>
        <v>2462.60009765625</v>
      </c>
      <c r="AX66" s="7">
        <f t="shared" si="333"/>
        <v>0</v>
      </c>
      <c r="AY66" s="11">
        <f t="shared" si="333"/>
        <v>0</v>
      </c>
      <c r="AZ66" s="16">
        <f t="shared" si="333"/>
        <v>1250</v>
      </c>
      <c r="BA66" s="16">
        <f t="shared" si="333"/>
        <v>-125</v>
      </c>
      <c r="BB66" s="16">
        <f t="shared" si="333"/>
        <v>225</v>
      </c>
      <c r="BC66" s="11">
        <f t="shared" si="333"/>
        <v>0</v>
      </c>
      <c r="BD66" s="11">
        <f t="shared" si="333"/>
        <v>0</v>
      </c>
      <c r="BE66" s="11">
        <f t="shared" si="333"/>
        <v>0</v>
      </c>
      <c r="BF66" s="11">
        <f t="shared" si="333"/>
        <v>0</v>
      </c>
      <c r="BG66" s="11">
        <f t="shared" si="333"/>
        <v>0</v>
      </c>
      <c r="BH66" s="11">
        <f t="shared" si="333"/>
        <v>0</v>
      </c>
      <c r="BI66" s="13">
        <f t="shared" si="333"/>
        <v>0</v>
      </c>
      <c r="BJ66" s="13">
        <f t="shared" si="333"/>
        <v>0</v>
      </c>
      <c r="BK66" s="11">
        <f t="shared" si="333"/>
        <v>0</v>
      </c>
      <c r="BL66" s="12">
        <f t="shared" si="333"/>
        <v>0</v>
      </c>
      <c r="BM66" s="12">
        <f t="shared" si="333"/>
        <v>0</v>
      </c>
      <c r="BN66" s="13">
        <f t="shared" si="333"/>
        <v>0</v>
      </c>
      <c r="BO66" s="13">
        <f t="shared" si="333"/>
        <v>0</v>
      </c>
      <c r="BP66" s="15">
        <f t="shared" si="333"/>
        <v>0</v>
      </c>
      <c r="BQ66" s="15">
        <f t="shared" si="333"/>
        <v>0</v>
      </c>
      <c r="BR66" s="14">
        <f t="shared" si="333"/>
        <v>0</v>
      </c>
      <c r="BS66" s="14">
        <f t="shared" si="333"/>
        <v>0</v>
      </c>
      <c r="BT66" s="14">
        <f t="shared" si="333"/>
        <v>0</v>
      </c>
      <c r="BU66" s="14">
        <f t="shared" si="333"/>
        <v>0</v>
      </c>
      <c r="BV66" s="11">
        <f t="shared" si="333"/>
        <v>0</v>
      </c>
      <c r="BW66" s="11">
        <f t="shared" si="333"/>
        <v>0</v>
      </c>
      <c r="BX66" s="11">
        <f t="shared" si="333"/>
        <v>0</v>
      </c>
      <c r="BY66" s="11">
        <f t="shared" si="333"/>
        <v>0</v>
      </c>
      <c r="BZ66" s="7">
        <f t="shared" si="333"/>
        <v>2458</v>
      </c>
      <c r="CA66" s="7">
        <f t="shared" si="333"/>
        <v>2525</v>
      </c>
      <c r="CB66" s="7">
        <f t="shared" ref="CB66:CP66" si="334">IFERROR(VALUE(CB371),"-")</f>
        <v>2458</v>
      </c>
      <c r="CC66" s="7">
        <f t="shared" si="334"/>
        <v>2462.60009765625</v>
      </c>
      <c r="CD66" s="7">
        <f t="shared" si="334"/>
        <v>2508.89990234375</v>
      </c>
      <c r="CE66" s="3">
        <f t="shared" si="334"/>
        <v>75</v>
      </c>
      <c r="CF66" s="7">
        <f t="shared" si="334"/>
        <v>2430.10009765625</v>
      </c>
      <c r="CG66" s="3">
        <f t="shared" si="334"/>
        <v>750</v>
      </c>
      <c r="CH66" s="7">
        <f t="shared" si="334"/>
        <v>2480.510009765625</v>
      </c>
      <c r="CI66" s="7">
        <f t="shared" si="334"/>
        <v>3.9500000476837158</v>
      </c>
      <c r="CJ66" s="3">
        <f t="shared" si="334"/>
        <v>1850</v>
      </c>
      <c r="CK66" s="7">
        <f t="shared" si="334"/>
        <v>3.9000000953674316</v>
      </c>
      <c r="CL66" s="3">
        <f t="shared" si="334"/>
        <v>375</v>
      </c>
      <c r="CM66" s="7">
        <f t="shared" si="334"/>
        <v>5.190000057220459</v>
      </c>
      <c r="CN66" s="10">
        <f t="shared" si="334"/>
        <v>44783.638194444444</v>
      </c>
      <c r="CO66" s="10">
        <f t="shared" si="334"/>
        <v>44783.638194444444</v>
      </c>
      <c r="CP66" s="7">
        <f t="shared" si="334"/>
        <v>38295.69921875</v>
      </c>
      <c r="CQ66" s="7" t="str">
        <f t="shared" ref="CQ66" si="335">IFERROR(CQ371,"-")</f>
        <v>FairPrice</v>
      </c>
      <c r="CR66" s="10">
        <f t="shared" si="320"/>
        <v>44783.638194444444</v>
      </c>
      <c r="CS66" s="7">
        <f t="shared" si="320"/>
        <v>1.163482666015625E-2</v>
      </c>
      <c r="CT66" s="7">
        <f t="shared" si="320"/>
        <v>2.112977851510698E-4</v>
      </c>
      <c r="CU66" s="7">
        <f t="shared" si="320"/>
        <v>247075</v>
      </c>
      <c r="CV66" s="7">
        <f t="shared" si="320"/>
        <v>6.9412121825356679E-2</v>
      </c>
      <c r="CW66" s="7">
        <f t="shared" si="320"/>
        <v>3.9000000953674316</v>
      </c>
      <c r="CX66" s="7">
        <f t="shared" si="320"/>
        <v>0</v>
      </c>
      <c r="CY66" s="7">
        <f t="shared" si="320"/>
        <v>2462.60009765625</v>
      </c>
      <c r="CZ66" s="7">
        <f t="shared" si="320"/>
        <v>0</v>
      </c>
      <c r="DA66" s="7">
        <f t="shared" si="320"/>
        <v>1375</v>
      </c>
      <c r="DB66" s="7">
        <f t="shared" si="320"/>
        <v>-9.0909090909090912E-2</v>
      </c>
      <c r="DC66" s="7">
        <f t="shared" si="320"/>
        <v>0</v>
      </c>
      <c r="DD66" s="7">
        <f t="shared" si="320"/>
        <v>0</v>
      </c>
      <c r="DE66" s="7">
        <f t="shared" si="320"/>
        <v>2462.60009765625</v>
      </c>
      <c r="DF66" s="7">
        <f t="shared" si="320"/>
        <v>3.9000000953674316</v>
      </c>
      <c r="DG66" s="7">
        <f t="shared" si="320"/>
        <v>38295.69921875</v>
      </c>
      <c r="DH66" s="7" t="str">
        <f t="shared" ref="DH66:DJ66" si="336">IFERROR(DH371,"-")</f>
        <v>W</v>
      </c>
      <c r="DI66" s="7" t="str">
        <f t="shared" si="336"/>
        <v>W</v>
      </c>
      <c r="DJ66" s="7" t="str">
        <f t="shared" si="336"/>
        <v>G</v>
      </c>
      <c r="DK66" s="64">
        <f t="shared" ref="DK66:DS66" si="337">IFERROR(VALUE(DK371),"-")</f>
        <v>38300</v>
      </c>
      <c r="DL66" s="64">
        <f t="shared" si="337"/>
        <v>3400000</v>
      </c>
      <c r="DM66" s="64">
        <f t="shared" si="337"/>
        <v>38500</v>
      </c>
      <c r="DN66" s="64">
        <f t="shared" si="337"/>
        <v>0</v>
      </c>
      <c r="DO66" s="64">
        <f t="shared" si="337"/>
        <v>24500</v>
      </c>
      <c r="DP66" s="64">
        <f t="shared" si="337"/>
        <v>2863350</v>
      </c>
      <c r="DQ66" s="64">
        <f t="shared" si="337"/>
        <v>38000</v>
      </c>
      <c r="DR66" s="64">
        <f t="shared" si="337"/>
        <v>0</v>
      </c>
      <c r="DS66" s="64">
        <f t="shared" si="337"/>
        <v>24500</v>
      </c>
      <c r="DT66" t="str">
        <f t="shared" ref="DT66:DT129" si="338">IFERROR(DT371,"-")</f>
        <v>BANKNIFTY</v>
      </c>
      <c r="DU66" s="10">
        <f t="shared" ref="DU66:DU129" si="339">IFERROR(VALUE(DU371),"-")</f>
        <v>44784</v>
      </c>
    </row>
    <row r="67" spans="1:125" x14ac:dyDescent="0.25">
      <c r="A67" t="s">
        <v>27</v>
      </c>
      <c r="B67" s="2">
        <v>44861</v>
      </c>
      <c r="C67" s="1">
        <v>50</v>
      </c>
      <c r="D67">
        <v>63</v>
      </c>
      <c r="G67" t="str">
        <f t="array" ref="G67">IFERROR(INDEX($A$2:$A$700,MATCH(0,COUNTIF($G$1:G66,$A$2:$A$700),0)),"")</f>
        <v>FSL</v>
      </c>
      <c r="M67" s="3"/>
      <c r="N67" s="3"/>
      <c r="O67" s="3">
        <f t="shared" ref="O67:O130" si="340">IFERROR(IF(ISBLANK(O372), 0,VALUE(O372)),"-")</f>
        <v>35900</v>
      </c>
      <c r="P67" s="7">
        <f t="shared" ref="P67:CA67" si="341">IFERROR(VALUE(P372),"-")</f>
        <v>4.0999999046325684</v>
      </c>
      <c r="Q67" s="7">
        <f t="shared" si="341"/>
        <v>3.9500000476837158</v>
      </c>
      <c r="R67" s="7">
        <f t="shared" si="341"/>
        <v>8.1000003814697266</v>
      </c>
      <c r="S67" s="7">
        <f t="shared" si="341"/>
        <v>8.1000003814697266</v>
      </c>
      <c r="T67" s="11">
        <f t="shared" si="341"/>
        <v>1.43359375</v>
      </c>
      <c r="U67" s="11">
        <f t="shared" si="341"/>
        <v>33798.50390625</v>
      </c>
      <c r="V67" s="11">
        <f t="shared" si="341"/>
        <v>-4.2578125</v>
      </c>
      <c r="W67" s="11">
        <f t="shared" si="341"/>
        <v>109070</v>
      </c>
      <c r="X67" s="14">
        <f t="shared" si="341"/>
        <v>8.8402885012328625E-10</v>
      </c>
      <c r="Y67" s="14">
        <f t="shared" si="341"/>
        <v>5.408842844190076E-5</v>
      </c>
      <c r="Z67" s="14">
        <f t="shared" si="341"/>
        <v>-1.3737007975578308E-8</v>
      </c>
      <c r="AA67" s="14">
        <f t="shared" si="341"/>
        <v>2.0817315089516342E-4</v>
      </c>
      <c r="AB67" s="15">
        <f t="shared" si="341"/>
        <v>2.8030910925735952E-12</v>
      </c>
      <c r="AC67" s="15">
        <f t="shared" si="341"/>
        <v>-5.6723994390495136E-8</v>
      </c>
      <c r="AD67" s="13">
        <f t="shared" si="341"/>
        <v>3.6954879760742188E-4</v>
      </c>
      <c r="AE67" s="13">
        <f t="shared" si="341"/>
        <v>6.082003116607666</v>
      </c>
      <c r="AF67" s="12">
        <f t="shared" si="341"/>
        <v>5.054473876953125E-4</v>
      </c>
      <c r="AG67" s="12">
        <f t="shared" si="341"/>
        <v>-23.408143997192383</v>
      </c>
      <c r="AH67" s="13">
        <f t="shared" si="341"/>
        <v>-8.9312379714101553E-10</v>
      </c>
      <c r="AI67" s="13">
        <f t="shared" si="341"/>
        <v>2.6538007659837604E-5</v>
      </c>
      <c r="AJ67" s="11">
        <f t="shared" si="341"/>
        <v>-2.0563602447509766E-5</v>
      </c>
      <c r="AK67" s="11">
        <f t="shared" si="341"/>
        <v>0.58566123247146606</v>
      </c>
      <c r="AL67" s="11">
        <f t="shared" si="341"/>
        <v>0</v>
      </c>
      <c r="AM67" s="11">
        <f t="shared" si="341"/>
        <v>-4.0999999046325684</v>
      </c>
      <c r="AN67" s="11">
        <f t="shared" si="341"/>
        <v>1.862645149230957E-7</v>
      </c>
      <c r="AO67" s="11">
        <f t="shared" si="341"/>
        <v>-1.0936870239675045E-2</v>
      </c>
      <c r="AP67" s="11">
        <f t="shared" si="341"/>
        <v>53.42448353767395</v>
      </c>
      <c r="AQ67" s="11">
        <f t="shared" si="341"/>
        <v>1519525</v>
      </c>
      <c r="AR67" s="16">
        <f t="shared" si="341"/>
        <v>-38625</v>
      </c>
      <c r="AS67" s="16">
        <f t="shared" si="341"/>
        <v>153125</v>
      </c>
      <c r="AT67" s="16">
        <f t="shared" si="341"/>
        <v>53.42448353767395</v>
      </c>
      <c r="AU67" s="7">
        <f t="shared" si="341"/>
        <v>0</v>
      </c>
      <c r="AV67" s="7">
        <f t="shared" si="341"/>
        <v>4.0999999046325684</v>
      </c>
      <c r="AW67" s="7">
        <f t="shared" si="341"/>
        <v>2440</v>
      </c>
      <c r="AX67" s="7">
        <f t="shared" si="341"/>
        <v>0</v>
      </c>
      <c r="AY67" s="11">
        <f t="shared" si="341"/>
        <v>80.173397064208984</v>
      </c>
      <c r="AZ67" s="16">
        <f t="shared" si="341"/>
        <v>1200</v>
      </c>
      <c r="BA67" s="16">
        <f t="shared" si="341"/>
        <v>75</v>
      </c>
      <c r="BB67" s="16">
        <f t="shared" si="341"/>
        <v>325</v>
      </c>
      <c r="BC67" s="11">
        <f t="shared" si="341"/>
        <v>0.93815088272094727</v>
      </c>
      <c r="BD67" s="11">
        <f t="shared" si="341"/>
        <v>5.1379203796386719E-4</v>
      </c>
      <c r="BE67" s="11">
        <f t="shared" si="341"/>
        <v>-96.667442321777344</v>
      </c>
      <c r="BF67" s="11">
        <f t="shared" si="341"/>
        <v>0.8720245361328125</v>
      </c>
      <c r="BG67" s="11">
        <f t="shared" si="341"/>
        <v>2.4793016910552979</v>
      </c>
      <c r="BH67" s="11">
        <f t="shared" si="341"/>
        <v>-1.6072750091552734E-2</v>
      </c>
      <c r="BI67" s="13">
        <f t="shared" si="341"/>
        <v>7.485893729608506E-5</v>
      </c>
      <c r="BJ67" s="13">
        <f t="shared" si="341"/>
        <v>-2.9143120627850294E-7</v>
      </c>
      <c r="BK67" s="11">
        <f t="shared" si="341"/>
        <v>80.173397064208984</v>
      </c>
      <c r="BL67" s="12">
        <f t="shared" si="341"/>
        <v>-2.4359946250915527</v>
      </c>
      <c r="BM67" s="12">
        <f t="shared" si="341"/>
        <v>-2.8814077377319336E-2</v>
      </c>
      <c r="BN67" s="13">
        <f t="shared" si="341"/>
        <v>0.94978904724121094</v>
      </c>
      <c r="BO67" s="13">
        <f t="shared" si="341"/>
        <v>8.8677406311035156E-3</v>
      </c>
      <c r="BP67" s="15">
        <f t="shared" si="341"/>
        <v>-7.2675526041621197E-8</v>
      </c>
      <c r="BQ67" s="15">
        <f t="shared" si="341"/>
        <v>-9.2335028512025019E-11</v>
      </c>
      <c r="BR67" s="14">
        <f t="shared" si="341"/>
        <v>1.2178931501694024E-4</v>
      </c>
      <c r="BS67" s="14">
        <f t="shared" si="341"/>
        <v>1.0447183740325272E-6</v>
      </c>
      <c r="BT67" s="14">
        <f t="shared" si="341"/>
        <v>4.7485391405643895E-5</v>
      </c>
      <c r="BU67" s="14">
        <f t="shared" si="341"/>
        <v>2.8861177270300686E-7</v>
      </c>
      <c r="BV67" s="11">
        <f t="shared" si="341"/>
        <v>7621.9365234375</v>
      </c>
      <c r="BW67" s="11">
        <f t="shared" si="341"/>
        <v>110.64306640625</v>
      </c>
      <c r="BX67" s="11">
        <f t="shared" si="341"/>
        <v>4261.41162109375</v>
      </c>
      <c r="BY67" s="11">
        <f t="shared" si="341"/>
        <v>44.09765625</v>
      </c>
      <c r="BZ67" s="7">
        <f t="shared" si="341"/>
        <v>2312.5</v>
      </c>
      <c r="CA67" s="7">
        <f t="shared" si="341"/>
        <v>2459.699951171875</v>
      </c>
      <c r="CB67" s="7">
        <f t="shared" ref="CB67:CP67" si="342">IFERROR(VALUE(CB372),"-")</f>
        <v>2312.5</v>
      </c>
      <c r="CC67" s="7">
        <f t="shared" si="342"/>
        <v>2440</v>
      </c>
      <c r="CD67" s="7">
        <f t="shared" si="342"/>
        <v>2408.300048828125</v>
      </c>
      <c r="CE67" s="3">
        <f t="shared" si="342"/>
        <v>75</v>
      </c>
      <c r="CF67" s="7">
        <f t="shared" si="342"/>
        <v>2392.300048828125</v>
      </c>
      <c r="CG67" s="3">
        <f t="shared" si="342"/>
        <v>75</v>
      </c>
      <c r="CH67" s="7">
        <f t="shared" si="342"/>
        <v>2391.929931640625</v>
      </c>
      <c r="CI67" s="7">
        <f t="shared" si="342"/>
        <v>4.0999999046325684</v>
      </c>
      <c r="CJ67" s="3">
        <f t="shared" si="342"/>
        <v>1150</v>
      </c>
      <c r="CK67" s="7">
        <f t="shared" si="342"/>
        <v>4.0500001907348633</v>
      </c>
      <c r="CL67" s="3">
        <f t="shared" si="342"/>
        <v>1200</v>
      </c>
      <c r="CM67" s="7">
        <f t="shared" si="342"/>
        <v>5.4600000381469727</v>
      </c>
      <c r="CN67" s="10">
        <f t="shared" si="342"/>
        <v>44783.638194444444</v>
      </c>
      <c r="CO67" s="10">
        <f t="shared" si="342"/>
        <v>44783.638194444444</v>
      </c>
      <c r="CP67" s="7">
        <f t="shared" si="342"/>
        <v>38295.69921875</v>
      </c>
      <c r="CQ67" s="7" t="str">
        <f t="shared" ref="CQ67" si="343">IFERROR(CQ372,"-")</f>
        <v>FairPrice</v>
      </c>
      <c r="CR67" s="10">
        <f t="shared" si="320"/>
        <v>44783.638194444444</v>
      </c>
      <c r="CS67" s="7">
        <f t="shared" si="320"/>
        <v>2.0921230316162109E-3</v>
      </c>
      <c r="CT67" s="7">
        <f t="shared" si="320"/>
        <v>3.9161912752613861E-5</v>
      </c>
      <c r="CU67" s="7">
        <f t="shared" si="320"/>
        <v>191750</v>
      </c>
      <c r="CV67" s="7">
        <f t="shared" si="320"/>
        <v>-0.20143415906127771</v>
      </c>
      <c r="CW67" s="7">
        <f t="shared" si="320"/>
        <v>4.0999999046325684</v>
      </c>
      <c r="CX67" s="7">
        <f t="shared" si="320"/>
        <v>0</v>
      </c>
      <c r="CY67" s="7">
        <f t="shared" si="320"/>
        <v>2440</v>
      </c>
      <c r="CZ67" s="7">
        <f t="shared" si="320"/>
        <v>0</v>
      </c>
      <c r="DA67" s="7">
        <f t="shared" si="320"/>
        <v>1125</v>
      </c>
      <c r="DB67" s="7">
        <f t="shared" si="320"/>
        <v>6.6666666666666666E-2</v>
      </c>
      <c r="DC67" s="7">
        <f t="shared" si="320"/>
        <v>-0.20564794540405273</v>
      </c>
      <c r="DD67" s="7">
        <f t="shared" si="320"/>
        <v>-2.5584770928723773E-3</v>
      </c>
      <c r="DE67" s="7">
        <f t="shared" si="320"/>
        <v>2440</v>
      </c>
      <c r="DF67" s="7">
        <f t="shared" si="320"/>
        <v>4.0999999046325684</v>
      </c>
      <c r="DG67" s="7">
        <f t="shared" si="320"/>
        <v>38295.69921875</v>
      </c>
      <c r="DH67" s="7" t="str">
        <f t="shared" ref="DH67:DJ67" si="344">IFERROR(DH372,"-")</f>
        <v>W</v>
      </c>
      <c r="DI67" s="7" t="str">
        <f t="shared" si="344"/>
        <v>W</v>
      </c>
      <c r="DJ67" s="7" t="str">
        <f t="shared" si="344"/>
        <v>G</v>
      </c>
      <c r="DK67" s="64">
        <f t="shared" ref="DK67:DS67" si="345">IFERROR(VALUE(DK372),"-")</f>
        <v>38300</v>
      </c>
      <c r="DL67" s="64">
        <f t="shared" si="345"/>
        <v>3400000</v>
      </c>
      <c r="DM67" s="64">
        <f t="shared" si="345"/>
        <v>38500</v>
      </c>
      <c r="DN67" s="64">
        <f t="shared" si="345"/>
        <v>0</v>
      </c>
      <c r="DO67" s="64">
        <f t="shared" si="345"/>
        <v>24500</v>
      </c>
      <c r="DP67" s="64">
        <f t="shared" si="345"/>
        <v>2863350</v>
      </c>
      <c r="DQ67" s="64">
        <f t="shared" si="345"/>
        <v>38000</v>
      </c>
      <c r="DR67" s="64">
        <f t="shared" si="345"/>
        <v>0</v>
      </c>
      <c r="DS67" s="64">
        <f t="shared" si="345"/>
        <v>24500</v>
      </c>
      <c r="DT67" t="str">
        <f t="shared" si="338"/>
        <v>BANKNIFTY</v>
      </c>
      <c r="DU67" s="10">
        <f t="shared" si="339"/>
        <v>44784</v>
      </c>
    </row>
    <row r="68" spans="1:125" x14ac:dyDescent="0.25">
      <c r="A68" t="s">
        <v>28</v>
      </c>
      <c r="B68" s="2">
        <v>44798</v>
      </c>
      <c r="C68" s="1">
        <v>125</v>
      </c>
      <c r="D68">
        <v>71</v>
      </c>
      <c r="G68" t="str">
        <f t="array" ref="G68">IFERROR(INDEX($A$2:$A$700,MATCH(0,COUNTIF($G$1:G67,$A$2:$A$700),0)),"")</f>
        <v>GAIL</v>
      </c>
      <c r="M68" s="3"/>
      <c r="N68" s="3"/>
      <c r="O68" s="3">
        <f t="shared" si="340"/>
        <v>36000</v>
      </c>
      <c r="P68" s="7">
        <f t="shared" ref="P68:CA68" si="346">IFERROR(VALUE(P373),"-")</f>
        <v>4.4000000953674316</v>
      </c>
      <c r="Q68" s="7">
        <f t="shared" si="346"/>
        <v>4.1999998092651367</v>
      </c>
      <c r="R68" s="7">
        <f t="shared" si="346"/>
        <v>7.6999998092651367</v>
      </c>
      <c r="S68" s="7">
        <f t="shared" si="346"/>
        <v>5.1999998092651367</v>
      </c>
      <c r="T68" s="11">
        <f t="shared" si="346"/>
        <v>315.47265625</v>
      </c>
      <c r="U68" s="11">
        <f t="shared" si="346"/>
        <v>30483.556640625</v>
      </c>
      <c r="V68" s="11">
        <f t="shared" si="346"/>
        <v>1218.625</v>
      </c>
      <c r="W68" s="11">
        <f t="shared" si="346"/>
        <v>100781.1953125</v>
      </c>
      <c r="X68" s="14">
        <f t="shared" si="346"/>
        <v>-1.4994293451309204E-7</v>
      </c>
      <c r="Y68" s="14">
        <f t="shared" si="346"/>
        <v>5.7999179261969402E-5</v>
      </c>
      <c r="Z68" s="14">
        <f t="shared" si="346"/>
        <v>-3.064196789637208E-7</v>
      </c>
      <c r="AA68" s="14">
        <f t="shared" si="346"/>
        <v>2.2981560323387384E-4</v>
      </c>
      <c r="AB68" s="15">
        <f t="shared" si="346"/>
        <v>2.3675994498262298E-10</v>
      </c>
      <c r="AC68" s="15">
        <f t="shared" si="346"/>
        <v>-6.4015338807621447E-8</v>
      </c>
      <c r="AD68" s="13">
        <f t="shared" si="346"/>
        <v>5.1813125610351563E-2</v>
      </c>
      <c r="AE68" s="13">
        <f t="shared" si="346"/>
        <v>5.541496753692627</v>
      </c>
      <c r="AF68" s="12">
        <f t="shared" si="346"/>
        <v>-0.2324676513671875</v>
      </c>
      <c r="AG68" s="12">
        <f t="shared" si="346"/>
        <v>-21.95759391784668</v>
      </c>
      <c r="AH68" s="13">
        <f t="shared" si="346"/>
        <v>-1.9222898117732257E-7</v>
      </c>
      <c r="AI68" s="13">
        <f t="shared" si="346"/>
        <v>2.9539403840317391E-5</v>
      </c>
      <c r="AJ68" s="11">
        <f t="shared" si="346"/>
        <v>-4.9546957015991211E-3</v>
      </c>
      <c r="AK68" s="11">
        <f t="shared" si="346"/>
        <v>0.6332554817199707</v>
      </c>
      <c r="AL68" s="11">
        <f t="shared" si="346"/>
        <v>4.9999713897705078E-2</v>
      </c>
      <c r="AM68" s="11">
        <f t="shared" si="346"/>
        <v>-4.4000000953674316</v>
      </c>
      <c r="AN68" s="11">
        <f t="shared" si="346"/>
        <v>1.0793097317218781E-4</v>
      </c>
      <c r="AO68" s="11">
        <f t="shared" si="346"/>
        <v>-1.1965847574174404E-2</v>
      </c>
      <c r="AP68" s="11">
        <f t="shared" si="346"/>
        <v>51.894551515579224</v>
      </c>
      <c r="AQ68" s="11">
        <f t="shared" si="346"/>
        <v>12718950</v>
      </c>
      <c r="AR68" s="16">
        <f t="shared" si="346"/>
        <v>-71125</v>
      </c>
      <c r="AS68" s="16">
        <f t="shared" si="346"/>
        <v>1994275</v>
      </c>
      <c r="AT68" s="16">
        <f t="shared" si="346"/>
        <v>51.894551515579224</v>
      </c>
      <c r="AU68" s="7">
        <f t="shared" si="346"/>
        <v>-4.9999713897705078E-2</v>
      </c>
      <c r="AV68" s="7">
        <f t="shared" si="346"/>
        <v>4.4000000953674316</v>
      </c>
      <c r="AW68" s="7">
        <f t="shared" si="346"/>
        <v>2292.050048828125</v>
      </c>
      <c r="AX68" s="7">
        <f t="shared" si="346"/>
        <v>0</v>
      </c>
      <c r="AY68" s="11">
        <f t="shared" si="346"/>
        <v>0</v>
      </c>
      <c r="AZ68" s="16">
        <f t="shared" si="346"/>
        <v>31200</v>
      </c>
      <c r="BA68" s="16">
        <f t="shared" si="346"/>
        <v>-2300</v>
      </c>
      <c r="BB68" s="16">
        <f t="shared" si="346"/>
        <v>6000</v>
      </c>
      <c r="BC68" s="11">
        <f t="shared" si="346"/>
        <v>0</v>
      </c>
      <c r="BD68" s="11">
        <f t="shared" si="346"/>
        <v>0</v>
      </c>
      <c r="BE68" s="11">
        <f t="shared" si="346"/>
        <v>0</v>
      </c>
      <c r="BF68" s="11">
        <f t="shared" si="346"/>
        <v>0</v>
      </c>
      <c r="BG68" s="11">
        <f t="shared" si="346"/>
        <v>0</v>
      </c>
      <c r="BH68" s="11">
        <f t="shared" si="346"/>
        <v>0</v>
      </c>
      <c r="BI68" s="13">
        <f t="shared" si="346"/>
        <v>0</v>
      </c>
      <c r="BJ68" s="13">
        <f t="shared" si="346"/>
        <v>0</v>
      </c>
      <c r="BK68" s="11">
        <f t="shared" si="346"/>
        <v>0</v>
      </c>
      <c r="BL68" s="12">
        <f t="shared" si="346"/>
        <v>0</v>
      </c>
      <c r="BM68" s="12">
        <f t="shared" si="346"/>
        <v>0</v>
      </c>
      <c r="BN68" s="13">
        <f t="shared" si="346"/>
        <v>0</v>
      </c>
      <c r="BO68" s="13">
        <f t="shared" si="346"/>
        <v>0</v>
      </c>
      <c r="BP68" s="15">
        <f t="shared" si="346"/>
        <v>0</v>
      </c>
      <c r="BQ68" s="15">
        <f t="shared" si="346"/>
        <v>0</v>
      </c>
      <c r="BR68" s="14">
        <f t="shared" si="346"/>
        <v>0</v>
      </c>
      <c r="BS68" s="14">
        <f t="shared" si="346"/>
        <v>0</v>
      </c>
      <c r="BT68" s="14">
        <f t="shared" si="346"/>
        <v>0</v>
      </c>
      <c r="BU68" s="14">
        <f t="shared" si="346"/>
        <v>0</v>
      </c>
      <c r="BV68" s="11">
        <f t="shared" si="346"/>
        <v>0</v>
      </c>
      <c r="BW68" s="11">
        <f t="shared" si="346"/>
        <v>0</v>
      </c>
      <c r="BX68" s="11">
        <f t="shared" si="346"/>
        <v>0</v>
      </c>
      <c r="BY68" s="11">
        <f t="shared" si="346"/>
        <v>0</v>
      </c>
      <c r="BZ68" s="7">
        <f t="shared" si="346"/>
        <v>2304.10009765625</v>
      </c>
      <c r="CA68" s="7">
        <f t="shared" si="346"/>
        <v>2394.39990234375</v>
      </c>
      <c r="CB68" s="7">
        <f t="shared" ref="CB68:CP68" si="347">IFERROR(VALUE(CB373),"-")</f>
        <v>2175.300048828125</v>
      </c>
      <c r="CC68" s="7">
        <f t="shared" si="347"/>
        <v>2292.050048828125</v>
      </c>
      <c r="CD68" s="7">
        <f t="shared" si="347"/>
        <v>2300.550048828125</v>
      </c>
      <c r="CE68" s="3">
        <f t="shared" si="347"/>
        <v>100</v>
      </c>
      <c r="CF68" s="7">
        <f t="shared" si="347"/>
        <v>2295.050048828125</v>
      </c>
      <c r="CG68" s="3">
        <f t="shared" si="347"/>
        <v>125</v>
      </c>
      <c r="CH68" s="7">
        <f t="shared" si="347"/>
        <v>2300.550048828125</v>
      </c>
      <c r="CI68" s="7">
        <f t="shared" si="347"/>
        <v>4.4499998092651367</v>
      </c>
      <c r="CJ68" s="3">
        <f t="shared" si="347"/>
        <v>2450</v>
      </c>
      <c r="CK68" s="7">
        <f t="shared" si="347"/>
        <v>4.4000000953674316</v>
      </c>
      <c r="CL68" s="3">
        <f t="shared" si="347"/>
        <v>18625</v>
      </c>
      <c r="CM68" s="7">
        <f t="shared" si="347"/>
        <v>5.7699999809265137</v>
      </c>
      <c r="CN68" s="10">
        <f t="shared" si="347"/>
        <v>44783.638194444444</v>
      </c>
      <c r="CO68" s="10">
        <f t="shared" si="347"/>
        <v>44783.638194444444</v>
      </c>
      <c r="CP68" s="7">
        <f t="shared" si="347"/>
        <v>38295.69921875</v>
      </c>
      <c r="CQ68" s="7" t="str">
        <f t="shared" ref="CQ68" si="348">IFERROR(CQ373,"-")</f>
        <v>FairPrice</v>
      </c>
      <c r="CR68" s="10">
        <f t="shared" si="320"/>
        <v>44783.638194444444</v>
      </c>
      <c r="CS68" s="7">
        <f t="shared" si="320"/>
        <v>-6.7126750946044922E-2</v>
      </c>
      <c r="CT68" s="7">
        <f t="shared" si="320"/>
        <v>-1.2918510946034877E-3</v>
      </c>
      <c r="CU68" s="7">
        <f t="shared" si="320"/>
        <v>2065400</v>
      </c>
      <c r="CV68" s="7">
        <f t="shared" si="320"/>
        <v>-3.4436428778929024E-2</v>
      </c>
      <c r="CW68" s="7">
        <f t="shared" si="320"/>
        <v>4.4000000953674316</v>
      </c>
      <c r="CX68" s="7">
        <f t="shared" si="320"/>
        <v>-1.1235891245119384E-2</v>
      </c>
      <c r="CY68" s="7">
        <f t="shared" si="320"/>
        <v>2292.050048828125</v>
      </c>
      <c r="CZ68" s="7">
        <f t="shared" si="320"/>
        <v>0</v>
      </c>
      <c r="DA68" s="7">
        <f t="shared" si="320"/>
        <v>33500</v>
      </c>
      <c r="DB68" s="7">
        <f t="shared" si="320"/>
        <v>-6.8656716417910449E-2</v>
      </c>
      <c r="DC68" s="7">
        <f t="shared" si="320"/>
        <v>0</v>
      </c>
      <c r="DD68" s="7">
        <f t="shared" si="320"/>
        <v>0</v>
      </c>
      <c r="DE68" s="7">
        <f t="shared" si="320"/>
        <v>2292.050048828125</v>
      </c>
      <c r="DF68" s="7">
        <f t="shared" si="320"/>
        <v>4.4000000953674316</v>
      </c>
      <c r="DG68" s="7">
        <f t="shared" si="320"/>
        <v>38295.69921875</v>
      </c>
      <c r="DH68" s="7" t="str">
        <f t="shared" ref="DH68:DJ68" si="349">IFERROR(DH373,"-")</f>
        <v>W</v>
      </c>
      <c r="DI68" s="7" t="str">
        <f t="shared" si="349"/>
        <v>R</v>
      </c>
      <c r="DJ68" s="7" t="str">
        <f t="shared" si="349"/>
        <v>G</v>
      </c>
      <c r="DK68" s="64">
        <f t="shared" ref="DK68:DS68" si="350">IFERROR(VALUE(DK373),"-")</f>
        <v>38300</v>
      </c>
      <c r="DL68" s="64">
        <f t="shared" si="350"/>
        <v>3400000</v>
      </c>
      <c r="DM68" s="64">
        <f t="shared" si="350"/>
        <v>38500</v>
      </c>
      <c r="DN68" s="64">
        <f t="shared" si="350"/>
        <v>0</v>
      </c>
      <c r="DO68" s="64">
        <f t="shared" si="350"/>
        <v>24500</v>
      </c>
      <c r="DP68" s="64">
        <f t="shared" si="350"/>
        <v>2863350</v>
      </c>
      <c r="DQ68" s="64">
        <f t="shared" si="350"/>
        <v>38000</v>
      </c>
      <c r="DR68" s="64">
        <f t="shared" si="350"/>
        <v>0</v>
      </c>
      <c r="DS68" s="64">
        <f t="shared" si="350"/>
        <v>24500</v>
      </c>
      <c r="DT68" t="str">
        <f t="shared" si="338"/>
        <v>BANKNIFTY</v>
      </c>
      <c r="DU68" s="10">
        <f t="shared" si="339"/>
        <v>44784</v>
      </c>
    </row>
    <row r="69" spans="1:125" x14ac:dyDescent="0.25">
      <c r="A69" t="s">
        <v>28</v>
      </c>
      <c r="B69" s="2">
        <v>44833</v>
      </c>
      <c r="C69" s="1">
        <v>125</v>
      </c>
      <c r="D69">
        <v>71</v>
      </c>
      <c r="G69" t="str">
        <f t="array" ref="G69">IFERROR(INDEX($A$2:$A$700,MATCH(0,COUNTIF($G$1:G68,$A$2:$A$700),0)),"")</f>
        <v>GLENMARK</v>
      </c>
      <c r="M69" s="3"/>
      <c r="N69" s="3"/>
      <c r="O69" s="3">
        <f t="shared" si="340"/>
        <v>36100</v>
      </c>
      <c r="P69" s="7">
        <f t="shared" ref="P69:CA69" si="351">IFERROR(VALUE(P374),"-")</f>
        <v>4.6500000953674316</v>
      </c>
      <c r="Q69" s="7">
        <f t="shared" si="351"/>
        <v>4.4000000953674316</v>
      </c>
      <c r="R69" s="7">
        <f t="shared" si="351"/>
        <v>8.6999998092651367</v>
      </c>
      <c r="S69" s="7">
        <f t="shared" si="351"/>
        <v>7.3000001907348633</v>
      </c>
      <c r="T69" s="11">
        <f t="shared" si="351"/>
        <v>1.224609375</v>
      </c>
      <c r="U69" s="11">
        <f t="shared" si="351"/>
        <v>27835.005859375</v>
      </c>
      <c r="V69" s="11">
        <f t="shared" si="351"/>
        <v>-3.671875</v>
      </c>
      <c r="W69" s="11">
        <f t="shared" si="351"/>
        <v>94624.390625</v>
      </c>
      <c r="X69" s="14">
        <f t="shared" si="351"/>
        <v>9.1677065938711166E-10</v>
      </c>
      <c r="Y69" s="14">
        <f t="shared" si="351"/>
        <v>6.2028004322201014E-5</v>
      </c>
      <c r="Z69" s="14">
        <f t="shared" si="351"/>
        <v>-1.752050593495369E-8</v>
      </c>
      <c r="AA69" s="14">
        <f t="shared" si="351"/>
        <v>2.5386703782714903E-4</v>
      </c>
      <c r="AB69" s="15">
        <f t="shared" si="351"/>
        <v>3.836930773104541E-12</v>
      </c>
      <c r="AC69" s="15">
        <f t="shared" si="351"/>
        <v>-7.2141347118304111E-8</v>
      </c>
      <c r="AD69" s="13">
        <f t="shared" si="351"/>
        <v>3.1709671020507813E-4</v>
      </c>
      <c r="AE69" s="13">
        <f t="shared" si="351"/>
        <v>5.106330394744873</v>
      </c>
      <c r="AF69" s="12">
        <f t="shared" si="351"/>
        <v>4.53948974609375E-4</v>
      </c>
      <c r="AG69" s="12">
        <f t="shared" si="351"/>
        <v>-20.899091720581055</v>
      </c>
      <c r="AH69" s="13">
        <f t="shared" si="351"/>
        <v>-1.1823431123048067E-9</v>
      </c>
      <c r="AI69" s="13">
        <f t="shared" si="351"/>
        <v>3.2675266993464902E-5</v>
      </c>
      <c r="AJ69" s="11">
        <f t="shared" si="351"/>
        <v>-2.4557113647460938E-5</v>
      </c>
      <c r="AK69" s="11">
        <f t="shared" si="351"/>
        <v>0.67810481786727905</v>
      </c>
      <c r="AL69" s="11">
        <f t="shared" si="351"/>
        <v>0</v>
      </c>
      <c r="AM69" s="11">
        <f t="shared" si="351"/>
        <v>-4.6500000953674316</v>
      </c>
      <c r="AN69" s="11">
        <f t="shared" si="351"/>
        <v>2.3748725652694702E-7</v>
      </c>
      <c r="AO69" s="11">
        <f t="shared" si="351"/>
        <v>-1.295006275177002E-2</v>
      </c>
      <c r="AP69" s="11">
        <f t="shared" si="351"/>
        <v>50.239133834838867</v>
      </c>
      <c r="AQ69" s="11">
        <f t="shared" si="351"/>
        <v>2215725</v>
      </c>
      <c r="AR69" s="16">
        <f t="shared" si="351"/>
        <v>42275</v>
      </c>
      <c r="AS69" s="16">
        <f t="shared" si="351"/>
        <v>239075</v>
      </c>
      <c r="AT69" s="16">
        <f t="shared" si="351"/>
        <v>50.239133834838867</v>
      </c>
      <c r="AU69" s="7">
        <f t="shared" si="351"/>
        <v>0</v>
      </c>
      <c r="AV69" s="7">
        <f t="shared" si="351"/>
        <v>4.6500000953674316</v>
      </c>
      <c r="AW69" s="7">
        <f t="shared" si="351"/>
        <v>2266.85009765625</v>
      </c>
      <c r="AX69" s="7">
        <f t="shared" si="351"/>
        <v>0</v>
      </c>
      <c r="AY69" s="11">
        <f t="shared" si="351"/>
        <v>83.869516849517822</v>
      </c>
      <c r="AZ69" s="16">
        <f t="shared" si="351"/>
        <v>2875</v>
      </c>
      <c r="BA69" s="16">
        <f t="shared" si="351"/>
        <v>25</v>
      </c>
      <c r="BB69" s="16">
        <f t="shared" si="351"/>
        <v>525</v>
      </c>
      <c r="BC69" s="11">
        <f t="shared" si="351"/>
        <v>0.91128355264663696</v>
      </c>
      <c r="BD69" s="11">
        <f t="shared" si="351"/>
        <v>4.3451786041259766E-4</v>
      </c>
      <c r="BE69" s="11">
        <f t="shared" si="351"/>
        <v>-133.19032287597656</v>
      </c>
      <c r="BF69" s="11">
        <f t="shared" si="351"/>
        <v>0.7217254638671875</v>
      </c>
      <c r="BG69" s="11">
        <f t="shared" si="351"/>
        <v>3.2654869556427002</v>
      </c>
      <c r="BH69" s="11">
        <f t="shared" si="351"/>
        <v>-1.1922597885131836E-2</v>
      </c>
      <c r="BI69" s="13">
        <f t="shared" si="351"/>
        <v>9.4251518021337688E-5</v>
      </c>
      <c r="BJ69" s="13">
        <f t="shared" si="351"/>
        <v>-1.7234560800716281E-7</v>
      </c>
      <c r="BK69" s="11">
        <f t="shared" si="351"/>
        <v>83.869516849517822</v>
      </c>
      <c r="BL69" s="12">
        <f t="shared" si="351"/>
        <v>-1.5404098033905029</v>
      </c>
      <c r="BM69" s="12">
        <f t="shared" si="351"/>
        <v>-1.162409782409668E-2</v>
      </c>
      <c r="BN69" s="13">
        <f t="shared" si="351"/>
        <v>0.62829118967056274</v>
      </c>
      <c r="BO69" s="13">
        <f t="shared" si="351"/>
        <v>3.6428570747375488E-3</v>
      </c>
      <c r="BP69" s="15">
        <f t="shared" si="351"/>
        <v>-7.7032552781020058E-8</v>
      </c>
      <c r="BQ69" s="15">
        <f t="shared" si="351"/>
        <v>-1.4348700005939463E-10</v>
      </c>
      <c r="BR69" s="14">
        <f t="shared" si="351"/>
        <v>8.5291132563725114E-5</v>
      </c>
      <c r="BS69" s="14">
        <f t="shared" si="351"/>
        <v>8.1425969256088138E-7</v>
      </c>
      <c r="BT69" s="14">
        <f t="shared" si="351"/>
        <v>3.478792859823443E-5</v>
      </c>
      <c r="BU69" s="14">
        <f t="shared" si="351"/>
        <v>2.7142596081830561E-7</v>
      </c>
      <c r="BV69" s="11">
        <f t="shared" si="351"/>
        <v>4222.5986328125</v>
      </c>
      <c r="BW69" s="11">
        <f t="shared" si="351"/>
        <v>40.2216796875</v>
      </c>
      <c r="BX69" s="11">
        <f t="shared" si="351"/>
        <v>2701.4306640625</v>
      </c>
      <c r="BY69" s="11">
        <f t="shared" si="351"/>
        <v>16.99072265625</v>
      </c>
      <c r="BZ69" s="7">
        <f t="shared" si="351"/>
        <v>2191.25</v>
      </c>
      <c r="CA69" s="7">
        <f t="shared" si="351"/>
        <v>2266.85009765625</v>
      </c>
      <c r="CB69" s="7">
        <f t="shared" ref="CB69:CP69" si="352">IFERROR(VALUE(CB374),"-")</f>
        <v>2140.800048828125</v>
      </c>
      <c r="CC69" s="7">
        <f t="shared" si="352"/>
        <v>2266.85009765625</v>
      </c>
      <c r="CD69" s="7">
        <f t="shared" si="352"/>
        <v>2205.800048828125</v>
      </c>
      <c r="CE69" s="3">
        <f t="shared" si="352"/>
        <v>475</v>
      </c>
      <c r="CF69" s="7">
        <f t="shared" si="352"/>
        <v>2192.35009765625</v>
      </c>
      <c r="CG69" s="3">
        <f t="shared" si="352"/>
        <v>125</v>
      </c>
      <c r="CH69" s="7">
        <f t="shared" si="352"/>
        <v>2196.72998046875</v>
      </c>
      <c r="CI69" s="7">
        <f t="shared" si="352"/>
        <v>4.6999998092651367</v>
      </c>
      <c r="CJ69" s="3">
        <f t="shared" si="352"/>
        <v>1075</v>
      </c>
      <c r="CK69" s="7">
        <f t="shared" si="352"/>
        <v>4.6500000953674316</v>
      </c>
      <c r="CL69" s="3">
        <f t="shared" si="352"/>
        <v>650</v>
      </c>
      <c r="CM69" s="7">
        <f t="shared" si="352"/>
        <v>6.1999998092651367</v>
      </c>
      <c r="CN69" s="10">
        <f t="shared" si="352"/>
        <v>44783.638194444444</v>
      </c>
      <c r="CO69" s="10">
        <f t="shared" si="352"/>
        <v>44783.638194444444</v>
      </c>
      <c r="CP69" s="7">
        <f t="shared" si="352"/>
        <v>38295.69921875</v>
      </c>
      <c r="CQ69" s="7" t="str">
        <f t="shared" ref="CQ69" si="353">IFERROR(CQ374,"-")</f>
        <v>FairPrice</v>
      </c>
      <c r="CR69" s="10">
        <f t="shared" si="320"/>
        <v>44783.638194444444</v>
      </c>
      <c r="CS69" s="7">
        <f t="shared" si="320"/>
        <v>2.0384788513183594E-3</v>
      </c>
      <c r="CT69" s="7">
        <f t="shared" si="320"/>
        <v>4.0577163884046126E-5</v>
      </c>
      <c r="CU69" s="7">
        <f t="shared" si="320"/>
        <v>196800</v>
      </c>
      <c r="CV69" s="7">
        <f t="shared" si="320"/>
        <v>0.2148119918699187</v>
      </c>
      <c r="CW69" s="7">
        <f t="shared" si="320"/>
        <v>4.6500000953674316</v>
      </c>
      <c r="CX69" s="7">
        <f t="shared" si="320"/>
        <v>0</v>
      </c>
      <c r="CY69" s="7">
        <f t="shared" si="320"/>
        <v>2266.85009765625</v>
      </c>
      <c r="CZ69" s="7">
        <f t="shared" si="320"/>
        <v>0</v>
      </c>
      <c r="DA69" s="7">
        <f t="shared" si="320"/>
        <v>2850</v>
      </c>
      <c r="DB69" s="7">
        <f t="shared" si="320"/>
        <v>8.771929824561403E-3</v>
      </c>
      <c r="DC69" s="7">
        <f t="shared" si="320"/>
        <v>-0.15135407447814941</v>
      </c>
      <c r="DD69" s="7">
        <f t="shared" si="320"/>
        <v>-1.8013866413627401E-3</v>
      </c>
      <c r="DE69" s="7">
        <f t="shared" si="320"/>
        <v>2266.85009765625</v>
      </c>
      <c r="DF69" s="7">
        <f t="shared" si="320"/>
        <v>4.6500000953674316</v>
      </c>
      <c r="DG69" s="7">
        <f t="shared" si="320"/>
        <v>38295.69921875</v>
      </c>
      <c r="DH69" s="7" t="str">
        <f t="shared" ref="DH69:DJ69" si="354">IFERROR(DH374,"-")</f>
        <v>W</v>
      </c>
      <c r="DI69" s="7" t="str">
        <f t="shared" si="354"/>
        <v>W</v>
      </c>
      <c r="DJ69" s="7" t="str">
        <f t="shared" si="354"/>
        <v>G</v>
      </c>
      <c r="DK69" s="64">
        <f t="shared" ref="DK69:DS69" si="355">IFERROR(VALUE(DK374),"-")</f>
        <v>38300</v>
      </c>
      <c r="DL69" s="64">
        <f t="shared" si="355"/>
        <v>3400000</v>
      </c>
      <c r="DM69" s="64">
        <f t="shared" si="355"/>
        <v>38500</v>
      </c>
      <c r="DN69" s="64">
        <f t="shared" si="355"/>
        <v>0</v>
      </c>
      <c r="DO69" s="64">
        <f t="shared" si="355"/>
        <v>24500</v>
      </c>
      <c r="DP69" s="64">
        <f t="shared" si="355"/>
        <v>2863350</v>
      </c>
      <c r="DQ69" s="64">
        <f t="shared" si="355"/>
        <v>38000</v>
      </c>
      <c r="DR69" s="64">
        <f t="shared" si="355"/>
        <v>0</v>
      </c>
      <c r="DS69" s="64">
        <f t="shared" si="355"/>
        <v>24500</v>
      </c>
      <c r="DT69" t="str">
        <f t="shared" si="338"/>
        <v>BANKNIFTY</v>
      </c>
      <c r="DU69" s="10">
        <f t="shared" si="339"/>
        <v>44784</v>
      </c>
    </row>
    <row r="70" spans="1:125" x14ac:dyDescent="0.25">
      <c r="A70" t="s">
        <v>28</v>
      </c>
      <c r="B70" s="2">
        <v>44861</v>
      </c>
      <c r="C70" s="1">
        <v>125</v>
      </c>
      <c r="D70">
        <v>71</v>
      </c>
      <c r="G70" t="str">
        <f t="array" ref="G70">IFERROR(INDEX($A$2:$A$700,MATCH(0,COUNTIF($G$1:G69,$A$2:$A$700),0)),"")</f>
        <v>GMRINFRA</v>
      </c>
      <c r="M70" s="3"/>
      <c r="N70" s="3"/>
      <c r="O70" s="3">
        <f t="shared" si="340"/>
        <v>36200</v>
      </c>
      <c r="P70" s="7">
        <f t="shared" ref="P70:CA70" si="356">IFERROR(VALUE(P375),"-")</f>
        <v>4.75</v>
      </c>
      <c r="Q70" s="7">
        <f t="shared" si="356"/>
        <v>4.5</v>
      </c>
      <c r="R70" s="7">
        <f t="shared" si="356"/>
        <v>11</v>
      </c>
      <c r="S70" s="7">
        <f t="shared" si="356"/>
        <v>11</v>
      </c>
      <c r="T70" s="11">
        <f t="shared" si="356"/>
        <v>0</v>
      </c>
      <c r="U70" s="11">
        <f t="shared" si="356"/>
        <v>26157.5</v>
      </c>
      <c r="V70" s="11">
        <f t="shared" si="356"/>
        <v>0</v>
      </c>
      <c r="W70" s="11">
        <f t="shared" si="356"/>
        <v>92137.1875</v>
      </c>
      <c r="X70" s="14">
        <f t="shared" si="356"/>
        <v>0</v>
      </c>
      <c r="Y70" s="14">
        <f t="shared" si="356"/>
        <v>6.598209438379854E-5</v>
      </c>
      <c r="Z70" s="14">
        <f t="shared" si="356"/>
        <v>0</v>
      </c>
      <c r="AA70" s="14">
        <f t="shared" si="356"/>
        <v>2.8070731787011027E-4</v>
      </c>
      <c r="AB70" s="15">
        <f t="shared" si="356"/>
        <v>0</v>
      </c>
      <c r="AC70" s="15">
        <f t="shared" si="356"/>
        <v>-8.0862221807365131E-8</v>
      </c>
      <c r="AD70" s="13">
        <f t="shared" si="356"/>
        <v>0</v>
      </c>
      <c r="AE70" s="13">
        <f t="shared" si="356"/>
        <v>4.8288698196411133</v>
      </c>
      <c r="AF70" s="12">
        <f t="shared" si="356"/>
        <v>0</v>
      </c>
      <c r="AG70" s="12">
        <f t="shared" si="356"/>
        <v>-20.543437957763672</v>
      </c>
      <c r="AH70" s="13">
        <f t="shared" si="356"/>
        <v>0</v>
      </c>
      <c r="AI70" s="13">
        <f t="shared" si="356"/>
        <v>3.5585369914770126E-5</v>
      </c>
      <c r="AJ70" s="11">
        <f t="shared" si="356"/>
        <v>0</v>
      </c>
      <c r="AK70" s="11">
        <f t="shared" si="356"/>
        <v>0.71052396297454834</v>
      </c>
      <c r="AL70" s="11">
        <f t="shared" si="356"/>
        <v>0</v>
      </c>
      <c r="AM70" s="11">
        <f t="shared" si="356"/>
        <v>-4.75</v>
      </c>
      <c r="AN70" s="11">
        <f t="shared" si="356"/>
        <v>0</v>
      </c>
      <c r="AO70" s="11">
        <f t="shared" si="356"/>
        <v>-1.3669148087501526E-2</v>
      </c>
      <c r="AP70" s="11">
        <f t="shared" si="356"/>
        <v>48.333892226219177</v>
      </c>
      <c r="AQ70" s="11">
        <f t="shared" si="356"/>
        <v>3109575</v>
      </c>
      <c r="AR70" s="16">
        <f t="shared" si="356"/>
        <v>-83275</v>
      </c>
      <c r="AS70" s="16">
        <f t="shared" si="356"/>
        <v>414650</v>
      </c>
      <c r="AT70" s="16">
        <f t="shared" si="356"/>
        <v>48.333892226219177</v>
      </c>
      <c r="AU70" s="7">
        <f t="shared" si="356"/>
        <v>0</v>
      </c>
      <c r="AV70" s="7">
        <f t="shared" si="356"/>
        <v>4.75</v>
      </c>
      <c r="AW70" s="7">
        <f t="shared" si="356"/>
        <v>2130</v>
      </c>
      <c r="AX70" s="7">
        <f t="shared" si="356"/>
        <v>0</v>
      </c>
      <c r="AY70" s="11">
        <f t="shared" si="356"/>
        <v>68.023449182510376</v>
      </c>
      <c r="AZ70" s="16">
        <f t="shared" si="356"/>
        <v>3525</v>
      </c>
      <c r="BA70" s="16">
        <f t="shared" si="356"/>
        <v>0</v>
      </c>
      <c r="BB70" s="16">
        <f t="shared" si="356"/>
        <v>575</v>
      </c>
      <c r="BC70" s="11">
        <f t="shared" si="356"/>
        <v>0.94258689880371094</v>
      </c>
      <c r="BD70" s="11">
        <f t="shared" si="356"/>
        <v>5.6684017181396484E-5</v>
      </c>
      <c r="BE70" s="11">
        <f t="shared" si="356"/>
        <v>-77.372627258300781</v>
      </c>
      <c r="BF70" s="11">
        <f t="shared" si="356"/>
        <v>7.955169677734375E-2</v>
      </c>
      <c r="BG70" s="11">
        <f t="shared" si="356"/>
        <v>2.3387799263000488</v>
      </c>
      <c r="BH70" s="11">
        <f t="shared" si="356"/>
        <v>-1.8634796142578125E-3</v>
      </c>
      <c r="BI70" s="13">
        <f t="shared" si="356"/>
        <v>8.3232924225740135E-5</v>
      </c>
      <c r="BJ70" s="13">
        <f t="shared" si="356"/>
        <v>-4.007597453892231E-8</v>
      </c>
      <c r="BK70" s="11">
        <f t="shared" si="356"/>
        <v>68.023449182510376</v>
      </c>
      <c r="BL70" s="12">
        <f t="shared" si="356"/>
        <v>-3.1327540874481201</v>
      </c>
      <c r="BM70" s="12">
        <f t="shared" si="356"/>
        <v>-4.3108463287353516E-3</v>
      </c>
      <c r="BN70" s="13">
        <f t="shared" si="356"/>
        <v>1.0363925695419312</v>
      </c>
      <c r="BO70" s="13">
        <f t="shared" si="356"/>
        <v>1.1868476867675781E-3</v>
      </c>
      <c r="BP70" s="15">
        <f t="shared" si="356"/>
        <v>-9.7105669283337193E-8</v>
      </c>
      <c r="BQ70" s="15">
        <f t="shared" si="356"/>
        <v>-1.0878409284487134E-11</v>
      </c>
      <c r="BR70" s="14">
        <f t="shared" si="356"/>
        <v>1.7492234474048018E-4</v>
      </c>
      <c r="BS70" s="14">
        <f t="shared" si="356"/>
        <v>1.5365367289632559E-7</v>
      </c>
      <c r="BT70" s="14">
        <f t="shared" si="356"/>
        <v>5.7868641306413338E-5</v>
      </c>
      <c r="BU70" s="14">
        <f t="shared" si="356"/>
        <v>3.746390575543046E-8</v>
      </c>
      <c r="BV70" s="11">
        <f t="shared" si="356"/>
        <v>10040.1240234375</v>
      </c>
      <c r="BW70" s="11">
        <f t="shared" si="356"/>
        <v>16.7431640625</v>
      </c>
      <c r="BX70" s="11">
        <f t="shared" si="356"/>
        <v>4688.63818359375</v>
      </c>
      <c r="BY70" s="11">
        <f t="shared" si="356"/>
        <v>5.86376953125</v>
      </c>
      <c r="BZ70" s="7">
        <f t="shared" si="356"/>
        <v>2018.5</v>
      </c>
      <c r="CA70" s="7">
        <f t="shared" si="356"/>
        <v>2130</v>
      </c>
      <c r="CB70" s="7">
        <f t="shared" ref="CB70:CP70" si="357">IFERROR(VALUE(CB375),"-")</f>
        <v>1996.300048828125</v>
      </c>
      <c r="CC70" s="7">
        <f t="shared" si="357"/>
        <v>2130</v>
      </c>
      <c r="CD70" s="7">
        <f t="shared" si="357"/>
        <v>2105.64990234375</v>
      </c>
      <c r="CE70" s="3">
        <f t="shared" si="357"/>
        <v>50</v>
      </c>
      <c r="CF70" s="7">
        <f t="shared" si="357"/>
        <v>2090.64990234375</v>
      </c>
      <c r="CG70" s="3">
        <f t="shared" si="357"/>
        <v>125</v>
      </c>
      <c r="CH70" s="7">
        <f t="shared" si="357"/>
        <v>2081.3701171875</v>
      </c>
      <c r="CI70" s="7">
        <f t="shared" si="357"/>
        <v>4.8000001907348633</v>
      </c>
      <c r="CJ70" s="3">
        <f t="shared" si="357"/>
        <v>1325</v>
      </c>
      <c r="CK70" s="7">
        <f t="shared" si="357"/>
        <v>4.75</v>
      </c>
      <c r="CL70" s="3">
        <f t="shared" si="357"/>
        <v>2075</v>
      </c>
      <c r="CM70" s="7">
        <f t="shared" si="357"/>
        <v>6.4600000381469727</v>
      </c>
      <c r="CN70" s="10">
        <f t="shared" si="357"/>
        <v>44783.638194444444</v>
      </c>
      <c r="CO70" s="10">
        <f t="shared" si="357"/>
        <v>44783.638194444444</v>
      </c>
      <c r="CP70" s="7">
        <f t="shared" si="357"/>
        <v>38295.69921875</v>
      </c>
      <c r="CQ70" s="7" t="str">
        <f t="shared" ref="CQ70" si="358">IFERROR(CQ375,"-")</f>
        <v>FairPrice</v>
      </c>
      <c r="CR70" s="10">
        <f t="shared" si="320"/>
        <v>44783.638194444444</v>
      </c>
      <c r="CS70" s="7">
        <f t="shared" si="320"/>
        <v>0</v>
      </c>
      <c r="CT70" s="7">
        <f t="shared" si="320"/>
        <v>0</v>
      </c>
      <c r="CU70" s="7">
        <f t="shared" si="320"/>
        <v>497925</v>
      </c>
      <c r="CV70" s="7">
        <f t="shared" si="320"/>
        <v>-0.16724406286087262</v>
      </c>
      <c r="CW70" s="7">
        <f t="shared" si="320"/>
        <v>4.75</v>
      </c>
      <c r="CX70" s="7">
        <f t="shared" si="320"/>
        <v>0</v>
      </c>
      <c r="CY70" s="7">
        <f t="shared" si="320"/>
        <v>2130</v>
      </c>
      <c r="CZ70" s="7">
        <f t="shared" si="320"/>
        <v>0</v>
      </c>
      <c r="DA70" s="7">
        <f t="shared" si="320"/>
        <v>3525</v>
      </c>
      <c r="DB70" s="7">
        <f t="shared" si="320"/>
        <v>0</v>
      </c>
      <c r="DC70" s="7">
        <f t="shared" si="320"/>
        <v>-1.8668174743652344E-2</v>
      </c>
      <c r="DD70" s="7">
        <f t="shared" si="320"/>
        <v>-2.7436204910607641E-4</v>
      </c>
      <c r="DE70" s="7">
        <f t="shared" si="320"/>
        <v>2130</v>
      </c>
      <c r="DF70" s="7">
        <f t="shared" si="320"/>
        <v>4.75</v>
      </c>
      <c r="DG70" s="7">
        <f t="shared" si="320"/>
        <v>38295.69921875</v>
      </c>
      <c r="DH70" s="7" t="str">
        <f t="shared" ref="DH70:DJ70" si="359">IFERROR(DH375,"-")</f>
        <v>W</v>
      </c>
      <c r="DI70" s="7" t="str">
        <f t="shared" si="359"/>
        <v>W</v>
      </c>
      <c r="DJ70" s="7" t="str">
        <f t="shared" si="359"/>
        <v>G</v>
      </c>
      <c r="DK70" s="64">
        <f t="shared" ref="DK70:DS70" si="360">IFERROR(VALUE(DK375),"-")</f>
        <v>38300</v>
      </c>
      <c r="DL70" s="64">
        <f t="shared" si="360"/>
        <v>3400000</v>
      </c>
      <c r="DM70" s="64">
        <f t="shared" si="360"/>
        <v>38500</v>
      </c>
      <c r="DN70" s="64">
        <f t="shared" si="360"/>
        <v>0</v>
      </c>
      <c r="DO70" s="64">
        <f t="shared" si="360"/>
        <v>24500</v>
      </c>
      <c r="DP70" s="64">
        <f t="shared" si="360"/>
        <v>2863350</v>
      </c>
      <c r="DQ70" s="64">
        <f t="shared" si="360"/>
        <v>38000</v>
      </c>
      <c r="DR70" s="64">
        <f t="shared" si="360"/>
        <v>0</v>
      </c>
      <c r="DS70" s="64">
        <f t="shared" si="360"/>
        <v>24500</v>
      </c>
      <c r="DT70" t="str">
        <f t="shared" si="338"/>
        <v>BANKNIFTY</v>
      </c>
      <c r="DU70" s="10">
        <f t="shared" si="339"/>
        <v>44784</v>
      </c>
    </row>
    <row r="71" spans="1:125" x14ac:dyDescent="0.25">
      <c r="A71" t="s">
        <v>29</v>
      </c>
      <c r="B71" s="2">
        <v>44798</v>
      </c>
      <c r="C71" s="1">
        <v>300</v>
      </c>
      <c r="D71">
        <v>97</v>
      </c>
      <c r="G71" t="str">
        <f t="array" ref="G71">IFERROR(INDEX($A$2:$A$700,MATCH(0,COUNTIF($G$1:G70,$A$2:$A$700),0)),"")</f>
        <v>GNFC</v>
      </c>
      <c r="M71" s="3"/>
      <c r="N71" s="3"/>
      <c r="O71" s="3">
        <f t="shared" si="340"/>
        <v>36300</v>
      </c>
      <c r="P71" s="7">
        <f t="shared" ref="P71:CA71" si="361">IFERROR(VALUE(P376),"-")</f>
        <v>5.3000001907348633</v>
      </c>
      <c r="Q71" s="7">
        <f t="shared" si="361"/>
        <v>4.9000000953674316</v>
      </c>
      <c r="R71" s="7">
        <f t="shared" si="361"/>
        <v>10.5</v>
      </c>
      <c r="S71" s="7">
        <f t="shared" si="361"/>
        <v>10.5</v>
      </c>
      <c r="T71" s="11">
        <f t="shared" si="361"/>
        <v>-386.26171875</v>
      </c>
      <c r="U71" s="11">
        <f t="shared" si="361"/>
        <v>22675.6953125</v>
      </c>
      <c r="V71" s="11">
        <f t="shared" si="361"/>
        <v>-1704.0625</v>
      </c>
      <c r="W71" s="11">
        <f t="shared" si="361"/>
        <v>81495.734375</v>
      </c>
      <c r="X71" s="14">
        <f t="shared" si="361"/>
        <v>2.0190782379359007E-7</v>
      </c>
      <c r="Y71" s="14">
        <f t="shared" si="361"/>
        <v>7.1309827035292983E-5</v>
      </c>
      <c r="Z71" s="14">
        <f t="shared" si="361"/>
        <v>-1.6880221664905548E-9</v>
      </c>
      <c r="AA71" s="14">
        <f t="shared" si="361"/>
        <v>3.1196096097119153E-4</v>
      </c>
      <c r="AB71" s="15">
        <f t="shared" si="361"/>
        <v>-3.9938896634339471E-10</v>
      </c>
      <c r="AC71" s="15">
        <f t="shared" si="361"/>
        <v>-9.2990831035422161E-8</v>
      </c>
      <c r="AD71" s="13">
        <f t="shared" si="361"/>
        <v>-6.4898490905761719E-2</v>
      </c>
      <c r="AE71" s="13">
        <f t="shared" si="361"/>
        <v>4.2472848892211914</v>
      </c>
      <c r="AF71" s="12">
        <f t="shared" si="361"/>
        <v>0.33758163452148438</v>
      </c>
      <c r="AG71" s="12">
        <f t="shared" si="361"/>
        <v>-18.580707550048828</v>
      </c>
      <c r="AH71" s="13">
        <f t="shared" si="361"/>
        <v>3.9254155126400292E-7</v>
      </c>
      <c r="AI71" s="13">
        <f t="shared" si="361"/>
        <v>4.0693383198231459E-5</v>
      </c>
      <c r="AJ71" s="11">
        <f t="shared" si="361"/>
        <v>9.7796916961669922E-3</v>
      </c>
      <c r="AK71" s="11">
        <f t="shared" si="361"/>
        <v>0.79008066654205322</v>
      </c>
      <c r="AL71" s="11">
        <f t="shared" si="361"/>
        <v>-0.10000038146972656</v>
      </c>
      <c r="AM71" s="11">
        <f t="shared" si="361"/>
        <v>-5.3000001907348633</v>
      </c>
      <c r="AN71" s="11">
        <f t="shared" si="361"/>
        <v>-2.2298935800790787E-4</v>
      </c>
      <c r="AO71" s="11">
        <f t="shared" si="361"/>
        <v>-1.5463473275303841E-2</v>
      </c>
      <c r="AP71" s="11">
        <f t="shared" si="361"/>
        <v>47.001290321350098</v>
      </c>
      <c r="AQ71" s="11">
        <f t="shared" si="361"/>
        <v>3229475</v>
      </c>
      <c r="AR71" s="16">
        <f t="shared" si="361"/>
        <v>4000</v>
      </c>
      <c r="AS71" s="16">
        <f t="shared" si="361"/>
        <v>466475</v>
      </c>
      <c r="AT71" s="16">
        <f t="shared" si="361"/>
        <v>47.001290321350098</v>
      </c>
      <c r="AU71" s="7">
        <f t="shared" si="361"/>
        <v>0.10000038146972656</v>
      </c>
      <c r="AV71" s="7">
        <f t="shared" si="361"/>
        <v>5.3000001907348633</v>
      </c>
      <c r="AW71" s="7">
        <f t="shared" si="361"/>
        <v>2066.75</v>
      </c>
      <c r="AX71" s="7">
        <f t="shared" si="361"/>
        <v>0</v>
      </c>
      <c r="AY71" s="11">
        <f t="shared" si="361"/>
        <v>77.917236089706421</v>
      </c>
      <c r="AZ71" s="16">
        <f t="shared" si="361"/>
        <v>3275</v>
      </c>
      <c r="BA71" s="16">
        <f t="shared" si="361"/>
        <v>125</v>
      </c>
      <c r="BB71" s="16">
        <f t="shared" si="361"/>
        <v>650</v>
      </c>
      <c r="BC71" s="11">
        <f t="shared" si="361"/>
        <v>0.90572988986968994</v>
      </c>
      <c r="BD71" s="11">
        <f t="shared" si="361"/>
        <v>4.1723251342773438E-5</v>
      </c>
      <c r="BE71" s="11">
        <f t="shared" si="361"/>
        <v>-129.43653869628906</v>
      </c>
      <c r="BF71" s="11">
        <f t="shared" si="361"/>
        <v>5.85174560546875E-2</v>
      </c>
      <c r="BG71" s="11">
        <f t="shared" si="361"/>
        <v>3.415733814239502</v>
      </c>
      <c r="BH71" s="11">
        <f t="shared" si="361"/>
        <v>-1.1842250823974609E-3</v>
      </c>
      <c r="BI71" s="13">
        <f t="shared" si="361"/>
        <v>1.0612376354401931E-4</v>
      </c>
      <c r="BJ71" s="13">
        <f t="shared" si="361"/>
        <v>-1.6720150597393513E-8</v>
      </c>
      <c r="BK71" s="11">
        <f t="shared" si="361"/>
        <v>77.917236089706421</v>
      </c>
      <c r="BL71" s="12">
        <f t="shared" si="361"/>
        <v>-1.5478894710540771</v>
      </c>
      <c r="BM71" s="12">
        <f t="shared" si="361"/>
        <v>-1.0448694229125977E-3</v>
      </c>
      <c r="BN71" s="13">
        <f t="shared" si="361"/>
        <v>0.58656054735183716</v>
      </c>
      <c r="BO71" s="13">
        <f t="shared" si="361"/>
        <v>3.3426284790039063E-4</v>
      </c>
      <c r="BP71" s="15">
        <f t="shared" si="361"/>
        <v>-9.0887446901888325E-8</v>
      </c>
      <c r="BQ71" s="15">
        <f t="shared" si="361"/>
        <v>-1.7180923350679222E-11</v>
      </c>
      <c r="BR71" s="14">
        <f t="shared" si="361"/>
        <v>9.1882713604718447E-5</v>
      </c>
      <c r="BS71" s="14">
        <f t="shared" si="361"/>
        <v>8.7922671809792519E-8</v>
      </c>
      <c r="BT71" s="14">
        <f t="shared" si="361"/>
        <v>3.4818229323718697E-5</v>
      </c>
      <c r="BU71" s="14">
        <f t="shared" si="361"/>
        <v>2.9656803235411644E-8</v>
      </c>
      <c r="BV71" s="11">
        <f t="shared" si="361"/>
        <v>4136.70751953125</v>
      </c>
      <c r="BW71" s="11">
        <f t="shared" si="361"/>
        <v>3.48828125</v>
      </c>
      <c r="BX71" s="11">
        <f t="shared" si="361"/>
        <v>2503.653564453125</v>
      </c>
      <c r="BY71" s="11">
        <f t="shared" si="361"/>
        <v>1.484130859375</v>
      </c>
      <c r="BZ71" s="7">
        <f t="shared" si="361"/>
        <v>1986.800048828125</v>
      </c>
      <c r="CA71" s="7">
        <f t="shared" si="361"/>
        <v>2093</v>
      </c>
      <c r="CB71" s="7">
        <f t="shared" ref="CB71:CP71" si="362">IFERROR(VALUE(CB376),"-")</f>
        <v>1912.0999755859375</v>
      </c>
      <c r="CC71" s="7">
        <f t="shared" si="362"/>
        <v>2066.75</v>
      </c>
      <c r="CD71" s="7">
        <f t="shared" si="362"/>
        <v>2006</v>
      </c>
      <c r="CE71" s="3">
        <f t="shared" si="362"/>
        <v>125</v>
      </c>
      <c r="CF71" s="7">
        <f t="shared" si="362"/>
        <v>1993.699951171875</v>
      </c>
      <c r="CG71" s="3">
        <f t="shared" si="362"/>
        <v>125</v>
      </c>
      <c r="CH71" s="7">
        <f t="shared" si="362"/>
        <v>2013.06005859375</v>
      </c>
      <c r="CI71" s="7">
        <f t="shared" si="362"/>
        <v>5.3000001907348633</v>
      </c>
      <c r="CJ71" s="3">
        <f t="shared" si="362"/>
        <v>3375</v>
      </c>
      <c r="CK71" s="7">
        <f t="shared" si="362"/>
        <v>5.1999998092651367</v>
      </c>
      <c r="CL71" s="3">
        <f t="shared" si="362"/>
        <v>8300</v>
      </c>
      <c r="CM71" s="7">
        <f t="shared" si="362"/>
        <v>6.9600000381469727</v>
      </c>
      <c r="CN71" s="10">
        <f t="shared" si="362"/>
        <v>44783.638194444444</v>
      </c>
      <c r="CO71" s="10">
        <f t="shared" si="362"/>
        <v>44783.638194444444</v>
      </c>
      <c r="CP71" s="7">
        <f t="shared" si="362"/>
        <v>38295.69921875</v>
      </c>
      <c r="CQ71" s="7" t="str">
        <f t="shared" ref="CQ71" si="363">IFERROR(CQ376,"-")</f>
        <v>FairPrice</v>
      </c>
      <c r="CR71" s="10">
        <f t="shared" si="320"/>
        <v>44783.638194444444</v>
      </c>
      <c r="CS71" s="7">
        <f t="shared" si="320"/>
        <v>0.13130307197570801</v>
      </c>
      <c r="CT71" s="7">
        <f t="shared" si="320"/>
        <v>2.8014317835655185E-3</v>
      </c>
      <c r="CU71" s="7">
        <f t="shared" si="320"/>
        <v>462475</v>
      </c>
      <c r="CV71" s="7">
        <f t="shared" si="320"/>
        <v>8.6491161684415369E-3</v>
      </c>
      <c r="CW71" s="7">
        <f t="shared" si="320"/>
        <v>5.3000001907348633</v>
      </c>
      <c r="CX71" s="7">
        <f t="shared" si="320"/>
        <v>1.9230843295715158E-2</v>
      </c>
      <c r="CY71" s="7">
        <f t="shared" si="320"/>
        <v>2066.75</v>
      </c>
      <c r="CZ71" s="7">
        <f t="shared" si="320"/>
        <v>0</v>
      </c>
      <c r="DA71" s="7">
        <f t="shared" si="320"/>
        <v>3150</v>
      </c>
      <c r="DB71" s="7">
        <f t="shared" si="320"/>
        <v>3.968253968253968E-2</v>
      </c>
      <c r="DC71" s="7">
        <f t="shared" si="320"/>
        <v>-1.1575222015380859E-2</v>
      </c>
      <c r="DD71" s="7">
        <f t="shared" si="320"/>
        <v>-1.4853584727577836E-4</v>
      </c>
      <c r="DE71" s="7">
        <f t="shared" si="320"/>
        <v>2066.75</v>
      </c>
      <c r="DF71" s="7">
        <f t="shared" si="320"/>
        <v>5.3000001907348633</v>
      </c>
      <c r="DG71" s="7">
        <f t="shared" si="320"/>
        <v>38295.69921875</v>
      </c>
      <c r="DH71" s="7" t="str">
        <f t="shared" ref="DH71:DJ71" si="364">IFERROR(DH376,"-")</f>
        <v>W</v>
      </c>
      <c r="DI71" s="7" t="str">
        <f t="shared" si="364"/>
        <v>G</v>
      </c>
      <c r="DJ71" s="7" t="str">
        <f t="shared" si="364"/>
        <v>G</v>
      </c>
      <c r="DK71" s="64">
        <f t="shared" ref="DK71:DS71" si="365">IFERROR(VALUE(DK376),"-")</f>
        <v>38300</v>
      </c>
      <c r="DL71" s="64">
        <f t="shared" si="365"/>
        <v>3400000</v>
      </c>
      <c r="DM71" s="64">
        <f t="shared" si="365"/>
        <v>38500</v>
      </c>
      <c r="DN71" s="64">
        <f t="shared" si="365"/>
        <v>0</v>
      </c>
      <c r="DO71" s="64">
        <f t="shared" si="365"/>
        <v>24500</v>
      </c>
      <c r="DP71" s="64">
        <f t="shared" si="365"/>
        <v>2863350</v>
      </c>
      <c r="DQ71" s="64">
        <f t="shared" si="365"/>
        <v>38000</v>
      </c>
      <c r="DR71" s="64">
        <f t="shared" si="365"/>
        <v>0</v>
      </c>
      <c r="DS71" s="64">
        <f t="shared" si="365"/>
        <v>24500</v>
      </c>
      <c r="DT71" t="str">
        <f t="shared" si="338"/>
        <v>BANKNIFTY</v>
      </c>
      <c r="DU71" s="10">
        <f t="shared" si="339"/>
        <v>44784</v>
      </c>
    </row>
    <row r="72" spans="1:125" x14ac:dyDescent="0.25">
      <c r="A72" t="s">
        <v>29</v>
      </c>
      <c r="B72" s="2">
        <v>44833</v>
      </c>
      <c r="C72" s="1">
        <v>300</v>
      </c>
      <c r="D72">
        <v>97</v>
      </c>
      <c r="G72" t="str">
        <f t="array" ref="G72">IFERROR(INDEX($A$2:$A$700,MATCH(0,COUNTIF($G$1:G71,$A$2:$A$700),0)),"")</f>
        <v>GODREJCP</v>
      </c>
      <c r="M72" s="3"/>
      <c r="N72" s="3"/>
      <c r="O72" s="3">
        <f t="shared" si="340"/>
        <v>36400</v>
      </c>
      <c r="P72" s="7">
        <f t="shared" ref="P72:CA72" si="366">IFERROR(VALUE(P377),"-")</f>
        <v>5.6500000953674316</v>
      </c>
      <c r="Q72" s="7">
        <f t="shared" si="366"/>
        <v>5.1999998092651367</v>
      </c>
      <c r="R72" s="7">
        <f t="shared" si="366"/>
        <v>10.600000381469727</v>
      </c>
      <c r="S72" s="7">
        <f t="shared" si="366"/>
        <v>9.6499996185302734</v>
      </c>
      <c r="T72" s="11">
        <f t="shared" si="366"/>
        <v>6.15234375</v>
      </c>
      <c r="U72" s="11">
        <f t="shared" si="366"/>
        <v>20433.677734375</v>
      </c>
      <c r="V72" s="11">
        <f t="shared" si="366"/>
        <v>0.8515625</v>
      </c>
      <c r="W72" s="11">
        <f t="shared" si="366"/>
        <v>75687.8046875</v>
      </c>
      <c r="X72" s="14">
        <f t="shared" si="366"/>
        <v>-2.2817403078079224E-8</v>
      </c>
      <c r="Y72" s="14">
        <f t="shared" si="366"/>
        <v>7.6490752690006047E-5</v>
      </c>
      <c r="Z72" s="14">
        <f t="shared" si="366"/>
        <v>-2.0951847545802593E-7</v>
      </c>
      <c r="AA72" s="14">
        <f t="shared" si="366"/>
        <v>3.4696253715083003E-4</v>
      </c>
      <c r="AB72" s="15">
        <f t="shared" si="366"/>
        <v>7.0066619173303479E-11</v>
      </c>
      <c r="AC72" s="15">
        <f t="shared" si="366"/>
        <v>-1.0612217948846592E-7</v>
      </c>
      <c r="AD72" s="13">
        <f t="shared" si="366"/>
        <v>1.0845661163330078E-3</v>
      </c>
      <c r="AE72" s="13">
        <f t="shared" si="366"/>
        <v>3.8685977458953857</v>
      </c>
      <c r="AF72" s="12">
        <f t="shared" si="366"/>
        <v>4.405975341796875E-4</v>
      </c>
      <c r="AG72" s="12">
        <f t="shared" si="366"/>
        <v>-17.547983169555664</v>
      </c>
      <c r="AH72" s="13">
        <f t="shared" si="366"/>
        <v>-2.0543666323646903E-8</v>
      </c>
      <c r="AI72" s="13">
        <f t="shared" si="366"/>
        <v>4.5558841520687565E-5</v>
      </c>
      <c r="AJ72" s="11">
        <f t="shared" si="366"/>
        <v>-1.7333030700683594E-4</v>
      </c>
      <c r="AK72" s="11">
        <f t="shared" si="366"/>
        <v>0.85316669940948486</v>
      </c>
      <c r="AL72" s="11">
        <f t="shared" si="366"/>
        <v>0</v>
      </c>
      <c r="AM72" s="11">
        <f t="shared" si="366"/>
        <v>-5.6500000953674316</v>
      </c>
      <c r="AN72" s="11">
        <f t="shared" si="366"/>
        <v>3.8743019104003906E-6</v>
      </c>
      <c r="AO72" s="11">
        <f t="shared" si="366"/>
        <v>-1.6913628205657005E-2</v>
      </c>
      <c r="AP72" s="11">
        <f t="shared" si="366"/>
        <v>45.332092046737671</v>
      </c>
      <c r="AQ72" s="11">
        <f t="shared" si="366"/>
        <v>3403200</v>
      </c>
      <c r="AR72" s="16">
        <f t="shared" si="366"/>
        <v>-93325</v>
      </c>
      <c r="AS72" s="16">
        <f t="shared" si="366"/>
        <v>336450</v>
      </c>
      <c r="AT72" s="16">
        <f t="shared" si="366"/>
        <v>45.332092046737671</v>
      </c>
      <c r="AU72" s="7">
        <f t="shared" si="366"/>
        <v>0</v>
      </c>
      <c r="AV72" s="7">
        <f t="shared" si="366"/>
        <v>5.6500000953674316</v>
      </c>
      <c r="AW72" s="7">
        <f t="shared" si="366"/>
        <v>1946</v>
      </c>
      <c r="AX72" s="7">
        <f t="shared" si="366"/>
        <v>0</v>
      </c>
      <c r="AY72" s="11">
        <f t="shared" si="366"/>
        <v>68.580830097198486</v>
      </c>
      <c r="AZ72" s="16">
        <f t="shared" si="366"/>
        <v>3675</v>
      </c>
      <c r="BA72" s="16">
        <f t="shared" si="366"/>
        <v>50</v>
      </c>
      <c r="BB72" s="16">
        <f t="shared" si="366"/>
        <v>450</v>
      </c>
      <c r="BC72" s="11">
        <f t="shared" si="366"/>
        <v>0.92116785049438477</v>
      </c>
      <c r="BD72" s="11">
        <f t="shared" si="366"/>
        <v>5.0723552703857422E-5</v>
      </c>
      <c r="BE72" s="11">
        <f t="shared" si="366"/>
        <v>-99.663993835449219</v>
      </c>
      <c r="BF72" s="11">
        <f t="shared" si="366"/>
        <v>6.656646728515625E-2</v>
      </c>
      <c r="BG72" s="11">
        <f t="shared" si="366"/>
        <v>2.988107442855835</v>
      </c>
      <c r="BH72" s="11">
        <f t="shared" si="366"/>
        <v>-1.5180110931396484E-3</v>
      </c>
      <c r="BI72" s="13">
        <f t="shared" si="366"/>
        <v>1.05477032775525E-4</v>
      </c>
      <c r="BJ72" s="13">
        <f t="shared" si="366"/>
        <v>-2.7874193619936705E-8</v>
      </c>
      <c r="BK72" s="11">
        <f t="shared" si="366"/>
        <v>68.580830097198486</v>
      </c>
      <c r="BL72" s="12">
        <f t="shared" si="366"/>
        <v>-2.1728930473327637</v>
      </c>
      <c r="BM72" s="12">
        <f t="shared" si="366"/>
        <v>-2.0573139190673828E-3</v>
      </c>
      <c r="BN72" s="13">
        <f t="shared" si="366"/>
        <v>0.72473698854446411</v>
      </c>
      <c r="BO72" s="13">
        <f t="shared" si="366"/>
        <v>5.7047605514526367E-4</v>
      </c>
      <c r="BP72" s="15">
        <f t="shared" si="366"/>
        <v>-1.0967715979859349E-7</v>
      </c>
      <c r="BQ72" s="15">
        <f t="shared" si="366"/>
        <v>-2.1017854123783763E-11</v>
      </c>
      <c r="BR72" s="14">
        <f t="shared" si="366"/>
        <v>1.4534957881551236E-4</v>
      </c>
      <c r="BS72" s="14">
        <f t="shared" si="366"/>
        <v>1.4093529898673296E-7</v>
      </c>
      <c r="BT72" s="14">
        <f t="shared" si="366"/>
        <v>4.8479247197974473E-5</v>
      </c>
      <c r="BU72" s="14">
        <f t="shared" si="366"/>
        <v>3.926834324374795E-8</v>
      </c>
      <c r="BV72" s="11">
        <f t="shared" si="366"/>
        <v>6240.068359375</v>
      </c>
      <c r="BW72" s="11">
        <f t="shared" si="366"/>
        <v>7.30419921875</v>
      </c>
      <c r="BX72" s="11">
        <f t="shared" si="366"/>
        <v>3151.321533203125</v>
      </c>
      <c r="BY72" s="11">
        <f t="shared" si="366"/>
        <v>2.650146484375</v>
      </c>
      <c r="BZ72" s="7">
        <f t="shared" si="366"/>
        <v>1880</v>
      </c>
      <c r="CA72" s="7">
        <f t="shared" si="366"/>
        <v>1955.949951171875</v>
      </c>
      <c r="CB72" s="7">
        <f t="shared" ref="CB72:CP72" si="367">IFERROR(VALUE(CB377),"-")</f>
        <v>1780.199951171875</v>
      </c>
      <c r="CC72" s="7">
        <f t="shared" si="367"/>
        <v>1946</v>
      </c>
      <c r="CD72" s="7">
        <f t="shared" si="367"/>
        <v>1906.1500244140625</v>
      </c>
      <c r="CE72" s="3">
        <f t="shared" si="367"/>
        <v>50</v>
      </c>
      <c r="CF72" s="7">
        <f t="shared" si="367"/>
        <v>1880.5999755859375</v>
      </c>
      <c r="CG72" s="3">
        <f t="shared" si="367"/>
        <v>200</v>
      </c>
      <c r="CH72" s="7">
        <f t="shared" si="367"/>
        <v>1888.5400390625</v>
      </c>
      <c r="CI72" s="7">
        <f t="shared" si="367"/>
        <v>5.6999998092651367</v>
      </c>
      <c r="CJ72" s="3">
        <f t="shared" si="367"/>
        <v>1100</v>
      </c>
      <c r="CK72" s="7">
        <f t="shared" si="367"/>
        <v>5.6500000953674316</v>
      </c>
      <c r="CL72" s="3">
        <f t="shared" si="367"/>
        <v>2650</v>
      </c>
      <c r="CM72" s="7">
        <f t="shared" si="367"/>
        <v>7.619999885559082</v>
      </c>
      <c r="CN72" s="10">
        <f t="shared" si="367"/>
        <v>44783.638194444444</v>
      </c>
      <c r="CO72" s="10">
        <f t="shared" si="367"/>
        <v>44783.638194444444</v>
      </c>
      <c r="CP72" s="7">
        <f t="shared" si="367"/>
        <v>38295.69921875</v>
      </c>
      <c r="CQ72" s="7" t="str">
        <f t="shared" ref="CQ72" si="368">IFERROR(CQ377,"-")</f>
        <v>FairPrice</v>
      </c>
      <c r="CR72" s="10">
        <f t="shared" si="320"/>
        <v>44783.638194444444</v>
      </c>
      <c r="CS72" s="7">
        <f t="shared" si="320"/>
        <v>1.1882185935974121E-2</v>
      </c>
      <c r="CT72" s="7">
        <f t="shared" si="320"/>
        <v>2.6218294161632399E-4</v>
      </c>
      <c r="CU72" s="7">
        <f t="shared" si="320"/>
        <v>429775</v>
      </c>
      <c r="CV72" s="7">
        <f t="shared" si="320"/>
        <v>-0.21714850794020127</v>
      </c>
      <c r="CW72" s="7">
        <f t="shared" si="320"/>
        <v>5.6500000953674316</v>
      </c>
      <c r="CX72" s="7">
        <f t="shared" si="320"/>
        <v>0</v>
      </c>
      <c r="CY72" s="7">
        <f t="shared" si="320"/>
        <v>1946</v>
      </c>
      <c r="CZ72" s="7">
        <f t="shared" si="320"/>
        <v>0</v>
      </c>
      <c r="DA72" s="7">
        <f t="shared" si="320"/>
        <v>3625</v>
      </c>
      <c r="DB72" s="7">
        <f t="shared" si="320"/>
        <v>1.3793103448275862E-2</v>
      </c>
      <c r="DC72" s="7">
        <f t="shared" si="320"/>
        <v>-1.3929605484008789E-2</v>
      </c>
      <c r="DD72" s="7">
        <f t="shared" si="320"/>
        <v>-2.0307098595264927E-4</v>
      </c>
      <c r="DE72" s="7">
        <f t="shared" si="320"/>
        <v>1946</v>
      </c>
      <c r="DF72" s="7">
        <f t="shared" si="320"/>
        <v>5.6500000953674316</v>
      </c>
      <c r="DG72" s="7">
        <f t="shared" si="320"/>
        <v>38295.69921875</v>
      </c>
      <c r="DH72" s="7" t="str">
        <f t="shared" ref="DH72:DJ72" si="369">IFERROR(DH377,"-")</f>
        <v>W</v>
      </c>
      <c r="DI72" s="7" t="str">
        <f t="shared" si="369"/>
        <v>W</v>
      </c>
      <c r="DJ72" s="7" t="str">
        <f t="shared" si="369"/>
        <v>G</v>
      </c>
      <c r="DK72" s="64">
        <f t="shared" ref="DK72:DS72" si="370">IFERROR(VALUE(DK377),"-")</f>
        <v>38300</v>
      </c>
      <c r="DL72" s="64">
        <f t="shared" si="370"/>
        <v>3400000</v>
      </c>
      <c r="DM72" s="64">
        <f t="shared" si="370"/>
        <v>38500</v>
      </c>
      <c r="DN72" s="64">
        <f t="shared" si="370"/>
        <v>0</v>
      </c>
      <c r="DO72" s="64">
        <f t="shared" si="370"/>
        <v>24500</v>
      </c>
      <c r="DP72" s="64">
        <f t="shared" si="370"/>
        <v>2863350</v>
      </c>
      <c r="DQ72" s="64">
        <f t="shared" si="370"/>
        <v>38000</v>
      </c>
      <c r="DR72" s="64">
        <f t="shared" si="370"/>
        <v>0</v>
      </c>
      <c r="DS72" s="64">
        <f t="shared" si="370"/>
        <v>24500</v>
      </c>
      <c r="DT72" t="str">
        <f t="shared" si="338"/>
        <v>BANKNIFTY</v>
      </c>
      <c r="DU72" s="10">
        <f t="shared" si="339"/>
        <v>44784</v>
      </c>
    </row>
    <row r="73" spans="1:125" x14ac:dyDescent="0.25">
      <c r="A73" t="s">
        <v>29</v>
      </c>
      <c r="B73" s="2">
        <v>44861</v>
      </c>
      <c r="C73" s="1">
        <v>300</v>
      </c>
      <c r="D73">
        <v>97</v>
      </c>
      <c r="G73" t="str">
        <f t="array" ref="G73">IFERROR(INDEX($A$2:$A$700,MATCH(0,COUNTIF($G$1:G72,$A$2:$A$700),0)),"")</f>
        <v>GODREJPROP</v>
      </c>
      <c r="M73" s="3"/>
      <c r="N73" s="3"/>
      <c r="O73" s="3">
        <f t="shared" si="340"/>
        <v>36500</v>
      </c>
      <c r="P73" s="7">
        <f t="shared" ref="P73:CA73" si="371">IFERROR(VALUE(P378),"-")</f>
        <v>6.4499998092651367</v>
      </c>
      <c r="Q73" s="7">
        <f t="shared" si="371"/>
        <v>5.6999998092651367</v>
      </c>
      <c r="R73" s="7">
        <f t="shared" si="371"/>
        <v>11.949999809265137</v>
      </c>
      <c r="S73" s="7">
        <f t="shared" si="371"/>
        <v>9.9499998092651367</v>
      </c>
      <c r="T73" s="11">
        <f t="shared" si="371"/>
        <v>0.833984375</v>
      </c>
      <c r="U73" s="11">
        <f t="shared" si="371"/>
        <v>17292.97265625</v>
      </c>
      <c r="V73" s="11">
        <f t="shared" si="371"/>
        <v>-2.4765625</v>
      </c>
      <c r="W73" s="11">
        <f t="shared" si="371"/>
        <v>65171.91015625</v>
      </c>
      <c r="X73" s="14">
        <f t="shared" si="371"/>
        <v>9.5315044745802879E-10</v>
      </c>
      <c r="Y73" s="14">
        <f t="shared" si="371"/>
        <v>8.263806375907734E-5</v>
      </c>
      <c r="Z73" s="14">
        <f t="shared" si="371"/>
        <v>-2.9365764930844307E-8</v>
      </c>
      <c r="AA73" s="14">
        <f t="shared" si="371"/>
        <v>3.853847156278789E-4</v>
      </c>
      <c r="AB73" s="15">
        <f t="shared" si="371"/>
        <v>7.702283255639486E-12</v>
      </c>
      <c r="AC73" s="15">
        <f t="shared" si="371"/>
        <v>-1.2323923215262766E-7</v>
      </c>
      <c r="AD73" s="13">
        <f t="shared" si="371"/>
        <v>2.1910667419433594E-4</v>
      </c>
      <c r="AE73" s="13">
        <f t="shared" si="371"/>
        <v>3.3314070701599121</v>
      </c>
      <c r="AF73" s="12">
        <f t="shared" si="371"/>
        <v>3.4236907958984375E-4</v>
      </c>
      <c r="AG73" s="12">
        <f t="shared" si="371"/>
        <v>-15.536100387573242</v>
      </c>
      <c r="AH73" s="13">
        <f t="shared" si="371"/>
        <v>-2.2628228180110455E-9</v>
      </c>
      <c r="AI73" s="13">
        <f t="shared" si="371"/>
        <v>5.2907395001966506E-5</v>
      </c>
      <c r="AJ73" s="11">
        <f t="shared" si="371"/>
        <v>-3.7372112274169922E-5</v>
      </c>
      <c r="AK73" s="11">
        <f t="shared" si="371"/>
        <v>0.96360331773757935</v>
      </c>
      <c r="AL73" s="11">
        <f t="shared" si="371"/>
        <v>0</v>
      </c>
      <c r="AM73" s="11">
        <f t="shared" si="371"/>
        <v>-6.4499998092651367</v>
      </c>
      <c r="AN73" s="11">
        <f t="shared" si="371"/>
        <v>4.2282044887542725E-7</v>
      </c>
      <c r="AO73" s="11">
        <f t="shared" si="371"/>
        <v>-1.9510896876454353E-2</v>
      </c>
      <c r="AP73" s="11">
        <f t="shared" si="371"/>
        <v>44.09063458442688</v>
      </c>
      <c r="AQ73" s="11">
        <f t="shared" si="371"/>
        <v>14464025</v>
      </c>
      <c r="AR73" s="16">
        <f t="shared" si="371"/>
        <v>546625</v>
      </c>
      <c r="AS73" s="16">
        <f t="shared" si="371"/>
        <v>1945225</v>
      </c>
      <c r="AT73" s="16">
        <f t="shared" si="371"/>
        <v>44.09063458442688</v>
      </c>
      <c r="AU73" s="7">
        <f t="shared" si="371"/>
        <v>0</v>
      </c>
      <c r="AV73" s="7">
        <f t="shared" si="371"/>
        <v>6.4499998092651367</v>
      </c>
      <c r="AW73" s="7">
        <f t="shared" si="371"/>
        <v>1804.550048828125</v>
      </c>
      <c r="AX73" s="7">
        <f t="shared" si="371"/>
        <v>0</v>
      </c>
      <c r="AY73" s="11">
        <f t="shared" si="371"/>
        <v>46.338087320327759</v>
      </c>
      <c r="AZ73" s="16">
        <f t="shared" si="371"/>
        <v>28525</v>
      </c>
      <c r="BA73" s="16">
        <f t="shared" si="371"/>
        <v>-500</v>
      </c>
      <c r="BB73" s="16">
        <f t="shared" si="371"/>
        <v>18050</v>
      </c>
      <c r="BC73" s="11">
        <f t="shared" si="371"/>
        <v>0.97529995441436768</v>
      </c>
      <c r="BD73" s="11">
        <f t="shared" si="371"/>
        <v>1.0341405868530273E-4</v>
      </c>
      <c r="BE73" s="11">
        <f t="shared" si="371"/>
        <v>-26.500089645385742</v>
      </c>
      <c r="BF73" s="11">
        <f t="shared" si="371"/>
        <v>0.11564826965332031</v>
      </c>
      <c r="BG73" s="11">
        <f t="shared" si="371"/>
        <v>1.1758987903594971</v>
      </c>
      <c r="BH73" s="11">
        <f t="shared" si="371"/>
        <v>-4.1539669036865234E-3</v>
      </c>
      <c r="BI73" s="13">
        <f t="shared" si="371"/>
        <v>6.1431906942743808E-5</v>
      </c>
      <c r="BJ73" s="13">
        <f t="shared" si="371"/>
        <v>-1.6082776710391045E-7</v>
      </c>
      <c r="BK73" s="11">
        <f t="shared" si="371"/>
        <v>46.338087320327759</v>
      </c>
      <c r="BL73" s="12">
        <f t="shared" si="371"/>
        <v>-11.519970893859863</v>
      </c>
      <c r="BM73" s="12">
        <f t="shared" si="371"/>
        <v>-6.0997962951660156E-2</v>
      </c>
      <c r="BN73" s="13">
        <f t="shared" si="371"/>
        <v>2.5961441993713379</v>
      </c>
      <c r="BO73" s="13">
        <f t="shared" si="371"/>
        <v>1.1607170104980469E-2</v>
      </c>
      <c r="BP73" s="15">
        <f t="shared" si="371"/>
        <v>-1.2978603081137408E-7</v>
      </c>
      <c r="BQ73" s="15">
        <f t="shared" si="371"/>
        <v>1.0861356258828891E-10</v>
      </c>
      <c r="BR73" s="14">
        <f t="shared" si="371"/>
        <v>3.7297885864973068E-4</v>
      </c>
      <c r="BS73" s="14">
        <f t="shared" si="371"/>
        <v>2.8041540645062923E-7</v>
      </c>
      <c r="BT73" s="14">
        <f t="shared" si="371"/>
        <v>8.405463449889794E-5</v>
      </c>
      <c r="BU73" s="14">
        <f t="shared" si="371"/>
        <v>-6.3810148276388645E-9</v>
      </c>
      <c r="BV73" s="11">
        <f t="shared" si="371"/>
        <v>46010.8203125</v>
      </c>
      <c r="BW73" s="11">
        <f t="shared" si="371"/>
        <v>284.2734375</v>
      </c>
      <c r="BX73" s="11">
        <f t="shared" si="371"/>
        <v>13088.1259765625</v>
      </c>
      <c r="BY73" s="11">
        <f t="shared" si="371"/>
        <v>65.10546875</v>
      </c>
      <c r="BZ73" s="7">
        <f t="shared" si="371"/>
        <v>1802.25</v>
      </c>
      <c r="CA73" s="7">
        <f t="shared" si="371"/>
        <v>1906.1500244140625</v>
      </c>
      <c r="CB73" s="7">
        <f t="shared" ref="CB73:CP73" si="372">IFERROR(VALUE(CB378),"-")</f>
        <v>1675.300048828125</v>
      </c>
      <c r="CC73" s="7">
        <f t="shared" si="372"/>
        <v>1804.550048828125</v>
      </c>
      <c r="CD73" s="7">
        <f t="shared" si="372"/>
        <v>1802.550048828125</v>
      </c>
      <c r="CE73" s="3">
        <f t="shared" si="372"/>
        <v>125</v>
      </c>
      <c r="CF73" s="7">
        <f t="shared" si="372"/>
        <v>1798.4000244140625</v>
      </c>
      <c r="CG73" s="3">
        <f t="shared" si="372"/>
        <v>50</v>
      </c>
      <c r="CH73" s="7">
        <f t="shared" si="372"/>
        <v>1803.5899658203125</v>
      </c>
      <c r="CI73" s="7">
        <f t="shared" si="372"/>
        <v>6.4499998092651367</v>
      </c>
      <c r="CJ73" s="3">
        <f t="shared" si="372"/>
        <v>2600</v>
      </c>
      <c r="CK73" s="7">
        <f t="shared" si="372"/>
        <v>6.4000000953674316</v>
      </c>
      <c r="CL73" s="3">
        <f t="shared" si="372"/>
        <v>600</v>
      </c>
      <c r="CM73" s="7">
        <f t="shared" si="372"/>
        <v>8.3199996948242188</v>
      </c>
      <c r="CN73" s="10">
        <f t="shared" si="372"/>
        <v>44783.638194444444</v>
      </c>
      <c r="CO73" s="10">
        <f t="shared" si="372"/>
        <v>44783.638194444444</v>
      </c>
      <c r="CP73" s="7">
        <f t="shared" si="372"/>
        <v>38295.69921875</v>
      </c>
      <c r="CQ73" s="7" t="str">
        <f t="shared" ref="CQ73" si="373">IFERROR(CQ378,"-")</f>
        <v>FairPrice</v>
      </c>
      <c r="CR73" s="10">
        <f t="shared" si="320"/>
        <v>44783.638194444444</v>
      </c>
      <c r="CS73" s="7">
        <f t="shared" si="320"/>
        <v>1.9669532775878906E-3</v>
      </c>
      <c r="CT73" s="7">
        <f t="shared" si="320"/>
        <v>4.4613579481322527E-5</v>
      </c>
      <c r="CU73" s="7">
        <f t="shared" si="320"/>
        <v>1398600</v>
      </c>
      <c r="CV73" s="7">
        <f t="shared" si="320"/>
        <v>0.39083726583726586</v>
      </c>
      <c r="CW73" s="7">
        <f t="shared" si="320"/>
        <v>6.4499998092651367</v>
      </c>
      <c r="CX73" s="7">
        <f t="shared" si="320"/>
        <v>0</v>
      </c>
      <c r="CY73" s="7">
        <f t="shared" si="320"/>
        <v>1804.550048828125</v>
      </c>
      <c r="CZ73" s="7">
        <f t="shared" si="320"/>
        <v>0</v>
      </c>
      <c r="DA73" s="7">
        <f t="shared" si="320"/>
        <v>29025</v>
      </c>
      <c r="DB73" s="7">
        <f t="shared" si="320"/>
        <v>-1.7226528854435832E-2</v>
      </c>
      <c r="DC73" s="7">
        <f t="shared" si="320"/>
        <v>-4.0391087532043457E-2</v>
      </c>
      <c r="DD73" s="7">
        <f t="shared" si="320"/>
        <v>-8.7090152412586141E-4</v>
      </c>
      <c r="DE73" s="7">
        <f t="shared" si="320"/>
        <v>1804.550048828125</v>
      </c>
      <c r="DF73" s="7">
        <f t="shared" si="320"/>
        <v>6.4499998092651367</v>
      </c>
      <c r="DG73" s="7">
        <f t="shared" si="320"/>
        <v>38295.69921875</v>
      </c>
      <c r="DH73" s="7" t="str">
        <f t="shared" ref="DH73:DJ73" si="374">IFERROR(DH378,"-")</f>
        <v>W</v>
      </c>
      <c r="DI73" s="7" t="str">
        <f t="shared" si="374"/>
        <v>W</v>
      </c>
      <c r="DJ73" s="7" t="str">
        <f t="shared" si="374"/>
        <v>G</v>
      </c>
      <c r="DK73" s="64">
        <f t="shared" ref="DK73:DS73" si="375">IFERROR(VALUE(DK378),"-")</f>
        <v>38300</v>
      </c>
      <c r="DL73" s="64">
        <f t="shared" si="375"/>
        <v>3400000</v>
      </c>
      <c r="DM73" s="64">
        <f t="shared" si="375"/>
        <v>38500</v>
      </c>
      <c r="DN73" s="64">
        <f t="shared" si="375"/>
        <v>0</v>
      </c>
      <c r="DO73" s="64">
        <f t="shared" si="375"/>
        <v>24500</v>
      </c>
      <c r="DP73" s="64">
        <f t="shared" si="375"/>
        <v>2863350</v>
      </c>
      <c r="DQ73" s="64">
        <f t="shared" si="375"/>
        <v>38000</v>
      </c>
      <c r="DR73" s="64">
        <f t="shared" si="375"/>
        <v>0</v>
      </c>
      <c r="DS73" s="64">
        <f t="shared" si="375"/>
        <v>24500</v>
      </c>
      <c r="DT73" t="str">
        <f t="shared" si="338"/>
        <v>BANKNIFTY</v>
      </c>
      <c r="DU73" s="10">
        <f t="shared" si="339"/>
        <v>44784</v>
      </c>
    </row>
    <row r="74" spans="1:125" x14ac:dyDescent="0.25">
      <c r="A74" t="s">
        <v>30</v>
      </c>
      <c r="B74" s="2">
        <v>44798</v>
      </c>
      <c r="C74" s="1">
        <v>1600</v>
      </c>
      <c r="D74">
        <v>47</v>
      </c>
      <c r="G74" t="str">
        <f t="array" ref="G74">IFERROR(INDEX($A$2:$A$700,MATCH(0,COUNTIF($G$1:G73,$A$2:$A$700),0)),"")</f>
        <v>GRANULES</v>
      </c>
      <c r="M74" s="3"/>
      <c r="N74" s="3"/>
      <c r="O74" s="3">
        <f t="shared" si="340"/>
        <v>36600</v>
      </c>
      <c r="P74" s="7">
        <f t="shared" ref="P74:CA74" si="376">IFERROR(VALUE(P379),"-")</f>
        <v>6.9499998092651367</v>
      </c>
      <c r="Q74" s="7">
        <f t="shared" si="376"/>
        <v>6</v>
      </c>
      <c r="R74" s="7">
        <f t="shared" si="376"/>
        <v>13.300000190734863</v>
      </c>
      <c r="S74" s="7">
        <f t="shared" si="376"/>
        <v>8.4499998092651367</v>
      </c>
      <c r="T74" s="11">
        <f t="shared" si="376"/>
        <v>101.826171875</v>
      </c>
      <c r="U74" s="11">
        <f t="shared" si="376"/>
        <v>15369.5712890625</v>
      </c>
      <c r="V74" s="11">
        <f t="shared" si="376"/>
        <v>469.90234375</v>
      </c>
      <c r="W74" s="11">
        <f t="shared" si="376"/>
        <v>59714.94140625</v>
      </c>
      <c r="X74" s="14">
        <f t="shared" si="376"/>
        <v>-6.573100108653307E-8</v>
      </c>
      <c r="Y74" s="14">
        <f t="shared" si="376"/>
        <v>8.8618013251107186E-5</v>
      </c>
      <c r="Z74" s="14">
        <f t="shared" si="376"/>
        <v>2.0139850676059723E-8</v>
      </c>
      <c r="AA74" s="14">
        <f t="shared" si="376"/>
        <v>4.2944494634866714E-4</v>
      </c>
      <c r="AB74" s="15">
        <f t="shared" si="376"/>
        <v>2.7277735625830246E-10</v>
      </c>
      <c r="AC74" s="15">
        <f t="shared" si="376"/>
        <v>-1.4193300046372315E-7</v>
      </c>
      <c r="AD74" s="13">
        <f t="shared" si="376"/>
        <v>1.7814874649047852E-2</v>
      </c>
      <c r="AE74" s="13">
        <f t="shared" si="376"/>
        <v>2.9980111122131348</v>
      </c>
      <c r="AF74" s="12">
        <f t="shared" si="376"/>
        <v>-9.7711563110351563E-2</v>
      </c>
      <c r="AG74" s="12">
        <f t="shared" si="376"/>
        <v>-14.528430938720703</v>
      </c>
      <c r="AH74" s="13">
        <f t="shared" si="376"/>
        <v>-2.33678292715922E-7</v>
      </c>
      <c r="AI74" s="13">
        <f t="shared" si="376"/>
        <v>5.9863050410058349E-5</v>
      </c>
      <c r="AJ74" s="11">
        <f t="shared" si="376"/>
        <v>-4.9878358840942383E-3</v>
      </c>
      <c r="AK74" s="11">
        <f t="shared" si="376"/>
        <v>1.0493206977844238</v>
      </c>
      <c r="AL74" s="11">
        <f t="shared" si="376"/>
        <v>5.0000190734863281E-2</v>
      </c>
      <c r="AM74" s="11">
        <f t="shared" si="376"/>
        <v>-6.9499998092651367</v>
      </c>
      <c r="AN74" s="11">
        <f t="shared" si="376"/>
        <v>1.2123584747314453E-4</v>
      </c>
      <c r="AO74" s="11">
        <f t="shared" si="376"/>
        <v>-2.1574854850769043E-2</v>
      </c>
      <c r="AP74" s="11">
        <f t="shared" si="376"/>
        <v>42.432042956352234</v>
      </c>
      <c r="AQ74" s="11">
        <f t="shared" si="376"/>
        <v>4610875</v>
      </c>
      <c r="AR74" s="16">
        <f t="shared" si="376"/>
        <v>-100450</v>
      </c>
      <c r="AS74" s="16">
        <f t="shared" si="376"/>
        <v>274925</v>
      </c>
      <c r="AT74" s="16">
        <f t="shared" si="376"/>
        <v>42.432042956352234</v>
      </c>
      <c r="AU74" s="7">
        <f t="shared" si="376"/>
        <v>-5.0000190734863281E-2</v>
      </c>
      <c r="AV74" s="7">
        <f t="shared" si="376"/>
        <v>6.9499998092651367</v>
      </c>
      <c r="AW74" s="7">
        <f t="shared" si="376"/>
        <v>1681.550048828125</v>
      </c>
      <c r="AX74" s="7">
        <f t="shared" si="376"/>
        <v>0</v>
      </c>
      <c r="AY74" s="11">
        <f t="shared" si="376"/>
        <v>0</v>
      </c>
      <c r="AZ74" s="16">
        <f t="shared" si="376"/>
        <v>7325</v>
      </c>
      <c r="BA74" s="16">
        <f t="shared" si="376"/>
        <v>-375</v>
      </c>
      <c r="BB74" s="16">
        <f t="shared" si="376"/>
        <v>1300</v>
      </c>
      <c r="BC74" s="11">
        <f t="shared" si="376"/>
        <v>0</v>
      </c>
      <c r="BD74" s="11">
        <f t="shared" si="376"/>
        <v>0</v>
      </c>
      <c r="BE74" s="11">
        <f t="shared" si="376"/>
        <v>0</v>
      </c>
      <c r="BF74" s="11">
        <f t="shared" si="376"/>
        <v>0</v>
      </c>
      <c r="BG74" s="11">
        <f t="shared" si="376"/>
        <v>0</v>
      </c>
      <c r="BH74" s="11">
        <f t="shared" si="376"/>
        <v>0</v>
      </c>
      <c r="BI74" s="13">
        <f t="shared" si="376"/>
        <v>0</v>
      </c>
      <c r="BJ74" s="13">
        <f t="shared" si="376"/>
        <v>0</v>
      </c>
      <c r="BK74" s="11">
        <f t="shared" si="376"/>
        <v>0</v>
      </c>
      <c r="BL74" s="12">
        <f t="shared" si="376"/>
        <v>0</v>
      </c>
      <c r="BM74" s="12">
        <f t="shared" si="376"/>
        <v>0</v>
      </c>
      <c r="BN74" s="13">
        <f t="shared" si="376"/>
        <v>0</v>
      </c>
      <c r="BO74" s="13">
        <f t="shared" si="376"/>
        <v>0</v>
      </c>
      <c r="BP74" s="15">
        <f t="shared" si="376"/>
        <v>0</v>
      </c>
      <c r="BQ74" s="15">
        <f t="shared" si="376"/>
        <v>0</v>
      </c>
      <c r="BR74" s="14">
        <f t="shared" si="376"/>
        <v>0</v>
      </c>
      <c r="BS74" s="14">
        <f t="shared" si="376"/>
        <v>0</v>
      </c>
      <c r="BT74" s="14">
        <f t="shared" si="376"/>
        <v>0</v>
      </c>
      <c r="BU74" s="14">
        <f t="shared" si="376"/>
        <v>0</v>
      </c>
      <c r="BV74" s="11">
        <f t="shared" si="376"/>
        <v>0</v>
      </c>
      <c r="BW74" s="11">
        <f t="shared" si="376"/>
        <v>0</v>
      </c>
      <c r="BX74" s="11">
        <f t="shared" si="376"/>
        <v>0</v>
      </c>
      <c r="BY74" s="11">
        <f t="shared" si="376"/>
        <v>0</v>
      </c>
      <c r="BZ74" s="7">
        <f t="shared" si="376"/>
        <v>1661.8499755859375</v>
      </c>
      <c r="CA74" s="7">
        <f t="shared" si="376"/>
        <v>1785</v>
      </c>
      <c r="CB74" s="7">
        <f t="shared" ref="CB74:CP74" si="377">IFERROR(VALUE(CB379),"-")</f>
        <v>1610</v>
      </c>
      <c r="CC74" s="7">
        <f t="shared" si="377"/>
        <v>1681.550048828125</v>
      </c>
      <c r="CD74" s="7">
        <f t="shared" si="377"/>
        <v>1706.6500244140625</v>
      </c>
      <c r="CE74" s="3">
        <f t="shared" si="377"/>
        <v>225</v>
      </c>
      <c r="CF74" s="7">
        <f t="shared" si="377"/>
        <v>1699.050048828125</v>
      </c>
      <c r="CG74" s="3">
        <f t="shared" si="377"/>
        <v>100</v>
      </c>
      <c r="CH74" s="7">
        <f t="shared" si="377"/>
        <v>1711.43994140625</v>
      </c>
      <c r="CI74" s="7">
        <f t="shared" si="377"/>
        <v>7</v>
      </c>
      <c r="CJ74" s="3">
        <f t="shared" si="377"/>
        <v>3225</v>
      </c>
      <c r="CK74" s="7">
        <f t="shared" si="377"/>
        <v>6.9000000953674316</v>
      </c>
      <c r="CL74" s="3">
        <f t="shared" si="377"/>
        <v>3250</v>
      </c>
      <c r="CM74" s="7">
        <f t="shared" si="377"/>
        <v>9.2700004577636719</v>
      </c>
      <c r="CN74" s="10">
        <f t="shared" si="377"/>
        <v>44783.638194444444</v>
      </c>
      <c r="CO74" s="10">
        <f t="shared" si="377"/>
        <v>44783.638194444444</v>
      </c>
      <c r="CP74" s="7">
        <f t="shared" si="377"/>
        <v>38295.69921875</v>
      </c>
      <c r="CQ74" s="7" t="str">
        <f t="shared" ref="CQ74" si="378">IFERROR(CQ379,"-")</f>
        <v>FairPrice</v>
      </c>
      <c r="CR74" s="10">
        <f t="shared" si="320"/>
        <v>44783.638194444444</v>
      </c>
      <c r="CS74" s="7">
        <f t="shared" si="320"/>
        <v>-3.5300850868225098E-2</v>
      </c>
      <c r="CT74" s="7">
        <f t="shared" si="320"/>
        <v>-8.3124697010654837E-4</v>
      </c>
      <c r="CU74" s="7">
        <f t="shared" si="320"/>
        <v>375375</v>
      </c>
      <c r="CV74" s="7">
        <f t="shared" si="320"/>
        <v>-0.2675990675990676</v>
      </c>
      <c r="CW74" s="7">
        <f t="shared" si="320"/>
        <v>6.9499998092651367</v>
      </c>
      <c r="CX74" s="7">
        <f t="shared" si="320"/>
        <v>-7.1428843906947547E-3</v>
      </c>
      <c r="CY74" s="7">
        <f t="shared" si="320"/>
        <v>1681.550048828125</v>
      </c>
      <c r="CZ74" s="7">
        <f t="shared" si="320"/>
        <v>0</v>
      </c>
      <c r="DA74" s="7">
        <f t="shared" si="320"/>
        <v>7700</v>
      </c>
      <c r="DB74" s="7">
        <f t="shared" si="320"/>
        <v>-4.8701298701298704E-2</v>
      </c>
      <c r="DC74" s="7">
        <f t="shared" si="320"/>
        <v>0</v>
      </c>
      <c r="DD74" s="7">
        <f t="shared" si="320"/>
        <v>0</v>
      </c>
      <c r="DE74" s="7">
        <f t="shared" si="320"/>
        <v>1681.550048828125</v>
      </c>
      <c r="DF74" s="7">
        <f t="shared" si="320"/>
        <v>6.9499998092651367</v>
      </c>
      <c r="DG74" s="7">
        <f t="shared" si="320"/>
        <v>38295.69921875</v>
      </c>
      <c r="DH74" s="7" t="str">
        <f t="shared" ref="DH74:DJ74" si="379">IFERROR(DH379,"-")</f>
        <v>W</v>
      </c>
      <c r="DI74" s="7" t="str">
        <f t="shared" si="379"/>
        <v>R</v>
      </c>
      <c r="DJ74" s="7" t="str">
        <f t="shared" si="379"/>
        <v>G</v>
      </c>
      <c r="DK74" s="64">
        <f t="shared" ref="DK74:DS74" si="380">IFERROR(VALUE(DK379),"-")</f>
        <v>38300</v>
      </c>
      <c r="DL74" s="64">
        <f t="shared" si="380"/>
        <v>3400000</v>
      </c>
      <c r="DM74" s="64">
        <f t="shared" si="380"/>
        <v>38500</v>
      </c>
      <c r="DN74" s="64">
        <f t="shared" si="380"/>
        <v>0</v>
      </c>
      <c r="DO74" s="64">
        <f t="shared" si="380"/>
        <v>24500</v>
      </c>
      <c r="DP74" s="64">
        <f t="shared" si="380"/>
        <v>2863350</v>
      </c>
      <c r="DQ74" s="64">
        <f t="shared" si="380"/>
        <v>38000</v>
      </c>
      <c r="DR74" s="64">
        <f t="shared" si="380"/>
        <v>0</v>
      </c>
      <c r="DS74" s="64">
        <f t="shared" si="380"/>
        <v>24500</v>
      </c>
      <c r="DT74" t="str">
        <f t="shared" si="338"/>
        <v>BANKNIFTY</v>
      </c>
      <c r="DU74" s="10">
        <f t="shared" si="339"/>
        <v>44784</v>
      </c>
    </row>
    <row r="75" spans="1:125" x14ac:dyDescent="0.25">
      <c r="A75" t="s">
        <v>30</v>
      </c>
      <c r="B75" s="2">
        <v>44833</v>
      </c>
      <c r="C75" s="1">
        <v>1600</v>
      </c>
      <c r="D75">
        <v>47</v>
      </c>
      <c r="G75" t="str">
        <f t="array" ref="G75">IFERROR(INDEX($A$2:$A$700,MATCH(0,COUNTIF($G$1:G74,$A$2:$A$700),0)),"")</f>
        <v>GRASIM</v>
      </c>
      <c r="M75" s="3"/>
      <c r="N75" s="3"/>
      <c r="O75" s="3">
        <f t="shared" si="340"/>
        <v>36700</v>
      </c>
      <c r="P75" s="7">
        <f t="shared" ref="P75:CA75" si="381">IFERROR(VALUE(P380),"-")</f>
        <v>8</v>
      </c>
      <c r="Q75" s="7">
        <f t="shared" si="381"/>
        <v>6.5500001907348633</v>
      </c>
      <c r="R75" s="7">
        <f t="shared" si="381"/>
        <v>15.649999618530273</v>
      </c>
      <c r="S75" s="7">
        <f t="shared" si="381"/>
        <v>10</v>
      </c>
      <c r="T75" s="11">
        <f t="shared" si="381"/>
        <v>70.650390625</v>
      </c>
      <c r="U75" s="11">
        <f t="shared" si="381"/>
        <v>12857.666015625</v>
      </c>
      <c r="V75" s="11">
        <f t="shared" si="381"/>
        <v>347.4765625</v>
      </c>
      <c r="W75" s="11">
        <f t="shared" si="381"/>
        <v>50806.2265625</v>
      </c>
      <c r="X75" s="14">
        <f t="shared" si="381"/>
        <v>-5.8862497098743916E-9</v>
      </c>
      <c r="Y75" s="14">
        <f t="shared" si="381"/>
        <v>9.5138580945786089E-5</v>
      </c>
      <c r="Z75" s="14">
        <f t="shared" si="381"/>
        <v>4.1039311327040195E-7</v>
      </c>
      <c r="AA75" s="14">
        <f t="shared" si="381"/>
        <v>4.7506726696155965E-4</v>
      </c>
      <c r="AB75" s="15">
        <f t="shared" si="381"/>
        <v>1.4979661955294432E-10</v>
      </c>
      <c r="AC75" s="15">
        <f t="shared" si="381"/>
        <v>-1.6576494488163007E-7</v>
      </c>
      <c r="AD75" s="13">
        <f t="shared" si="381"/>
        <v>1.2614250183105469E-2</v>
      </c>
      <c r="AE75" s="13">
        <f t="shared" si="381"/>
        <v>2.5563366413116455</v>
      </c>
      <c r="AF75" s="12">
        <f t="shared" si="381"/>
        <v>-7.4744224548339844E-2</v>
      </c>
      <c r="AG75" s="12">
        <f t="shared" si="381"/>
        <v>-12.764871597290039</v>
      </c>
      <c r="AH75" s="13">
        <f t="shared" si="381"/>
        <v>-2.0213337847962976E-7</v>
      </c>
      <c r="AI75" s="13">
        <f t="shared" si="381"/>
        <v>7.0060028519947082E-5</v>
      </c>
      <c r="AJ75" s="11">
        <f t="shared" si="381"/>
        <v>-4.6458244323730469E-3</v>
      </c>
      <c r="AK75" s="11">
        <f t="shared" si="381"/>
        <v>1.191703200340271</v>
      </c>
      <c r="AL75" s="11">
        <f t="shared" si="381"/>
        <v>5.0000190734863281E-2</v>
      </c>
      <c r="AM75" s="11">
        <f t="shared" si="381"/>
        <v>-8</v>
      </c>
      <c r="AN75" s="11">
        <f t="shared" si="381"/>
        <v>1.1617317795753479E-4</v>
      </c>
      <c r="AO75" s="11">
        <f t="shared" si="381"/>
        <v>-2.5096490979194641E-2</v>
      </c>
      <c r="AP75" s="11">
        <f t="shared" si="381"/>
        <v>41.177713871002197</v>
      </c>
      <c r="AQ75" s="11">
        <f t="shared" si="381"/>
        <v>5183850</v>
      </c>
      <c r="AR75" s="16">
        <f t="shared" si="381"/>
        <v>-41500</v>
      </c>
      <c r="AS75" s="16">
        <f t="shared" si="381"/>
        <v>459650</v>
      </c>
      <c r="AT75" s="16">
        <f t="shared" si="381"/>
        <v>41.177713871002197</v>
      </c>
      <c r="AU75" s="7">
        <f t="shared" si="381"/>
        <v>-5.0000190734863281E-2</v>
      </c>
      <c r="AV75" s="7">
        <f t="shared" si="381"/>
        <v>8</v>
      </c>
      <c r="AW75" s="7">
        <f t="shared" si="381"/>
        <v>1607</v>
      </c>
      <c r="AX75" s="7">
        <f t="shared" si="381"/>
        <v>0</v>
      </c>
      <c r="AY75" s="11">
        <f t="shared" si="381"/>
        <v>43.661582469940186</v>
      </c>
      <c r="AZ75" s="16">
        <f t="shared" si="381"/>
        <v>9975</v>
      </c>
      <c r="BA75" s="16">
        <f t="shared" si="381"/>
        <v>-275</v>
      </c>
      <c r="BB75" s="16">
        <f t="shared" si="381"/>
        <v>1700</v>
      </c>
      <c r="BC75" s="11">
        <f t="shared" si="381"/>
        <v>0.96772068738937378</v>
      </c>
      <c r="BD75" s="11">
        <f t="shared" si="381"/>
        <v>1.0353326797485352E-4</v>
      </c>
      <c r="BE75" s="11">
        <f t="shared" si="381"/>
        <v>-31.19929313659668</v>
      </c>
      <c r="BF75" s="11">
        <f t="shared" si="381"/>
        <v>0.104705810546875</v>
      </c>
      <c r="BG75" s="11">
        <f t="shared" si="381"/>
        <v>1.4692846536636353</v>
      </c>
      <c r="BH75" s="11">
        <f t="shared" si="381"/>
        <v>-3.9168596267700195E-3</v>
      </c>
      <c r="BI75" s="13">
        <f t="shared" si="381"/>
        <v>8.1464546383358538E-5</v>
      </c>
      <c r="BJ75" s="13">
        <f t="shared" si="381"/>
        <v>-1.5414116205647588E-7</v>
      </c>
      <c r="BK75" s="11">
        <f t="shared" si="381"/>
        <v>43.661582469940186</v>
      </c>
      <c r="BL75" s="12">
        <f t="shared" si="381"/>
        <v>-9.2029581069946289</v>
      </c>
      <c r="BM75" s="12">
        <f t="shared" si="381"/>
        <v>-3.8266181945800781E-2</v>
      </c>
      <c r="BN75" s="13">
        <f t="shared" si="381"/>
        <v>1.9541876316070557</v>
      </c>
      <c r="BO75" s="13">
        <f t="shared" si="381"/>
        <v>6.7861080169677734E-3</v>
      </c>
      <c r="BP75" s="15">
        <f t="shared" si="381"/>
        <v>-1.7180435918362491E-7</v>
      </c>
      <c r="BQ75" s="15">
        <f t="shared" si="381"/>
        <v>6.5924155023822095E-11</v>
      </c>
      <c r="BR75" s="14">
        <f t="shared" si="381"/>
        <v>4.4283163151703775E-4</v>
      </c>
      <c r="BS75" s="14">
        <f t="shared" si="381"/>
        <v>4.7331559471786022E-7</v>
      </c>
      <c r="BT75" s="14">
        <f t="shared" si="381"/>
        <v>9.4032380729913712E-5</v>
      </c>
      <c r="BU75" s="14">
        <f t="shared" si="381"/>
        <v>3.5848643165081739E-8</v>
      </c>
      <c r="BV75" s="11">
        <f t="shared" si="381"/>
        <v>34571.58984375</v>
      </c>
      <c r="BW75" s="11">
        <f t="shared" si="381"/>
        <v>169.6875</v>
      </c>
      <c r="BX75" s="11">
        <f t="shared" si="381"/>
        <v>9517.2119140625</v>
      </c>
      <c r="BY75" s="11">
        <f t="shared" si="381"/>
        <v>36.794921875</v>
      </c>
      <c r="BZ75" s="7">
        <f t="shared" si="381"/>
        <v>1632</v>
      </c>
      <c r="CA75" s="7">
        <f t="shared" si="381"/>
        <v>1692.1500244140625</v>
      </c>
      <c r="CB75" s="7">
        <f t="shared" ref="CB75:CP75" si="382">IFERROR(VALUE(CB380),"-")</f>
        <v>1488.25</v>
      </c>
      <c r="CC75" s="7">
        <f t="shared" si="382"/>
        <v>1607</v>
      </c>
      <c r="CD75" s="7">
        <f t="shared" si="382"/>
        <v>1608.3499755859375</v>
      </c>
      <c r="CE75" s="3">
        <f t="shared" si="382"/>
        <v>125</v>
      </c>
      <c r="CF75" s="7">
        <f t="shared" si="382"/>
        <v>1599.949951171875</v>
      </c>
      <c r="CG75" s="3">
        <f t="shared" si="382"/>
        <v>125</v>
      </c>
      <c r="CH75" s="7">
        <f t="shared" si="382"/>
        <v>1618.5799560546875</v>
      </c>
      <c r="CI75" s="7">
        <f t="shared" si="382"/>
        <v>8.0500001907348633</v>
      </c>
      <c r="CJ75" s="3">
        <f t="shared" si="382"/>
        <v>3000</v>
      </c>
      <c r="CK75" s="7">
        <f t="shared" si="382"/>
        <v>8</v>
      </c>
      <c r="CL75" s="3">
        <f t="shared" si="382"/>
        <v>75</v>
      </c>
      <c r="CM75" s="7">
        <f t="shared" si="382"/>
        <v>10.079999923706055</v>
      </c>
      <c r="CN75" s="10">
        <f t="shared" si="382"/>
        <v>44783.638194444444</v>
      </c>
      <c r="CO75" s="10">
        <f t="shared" si="382"/>
        <v>44783.638194444444</v>
      </c>
      <c r="CP75" s="7">
        <f t="shared" si="382"/>
        <v>38295.69921875</v>
      </c>
      <c r="CQ75" s="7" t="str">
        <f t="shared" ref="CQ75" si="383">IFERROR(CQ380,"-")</f>
        <v>FairPrice</v>
      </c>
      <c r="CR75" s="10">
        <f t="shared" si="320"/>
        <v>44783.638194444444</v>
      </c>
      <c r="CS75" s="7">
        <f t="shared" si="320"/>
        <v>-3.9932131767272949E-2</v>
      </c>
      <c r="CT75" s="7">
        <f t="shared" si="320"/>
        <v>-9.688115562104118E-4</v>
      </c>
      <c r="CU75" s="7">
        <f t="shared" si="320"/>
        <v>501150</v>
      </c>
      <c r="CV75" s="7">
        <f t="shared" si="320"/>
        <v>-8.2809538062456348E-2</v>
      </c>
      <c r="CW75" s="7">
        <f t="shared" si="320"/>
        <v>8</v>
      </c>
      <c r="CX75" s="7">
        <f t="shared" si="320"/>
        <v>-6.211203670828596E-3</v>
      </c>
      <c r="CY75" s="7">
        <f t="shared" si="320"/>
        <v>1607</v>
      </c>
      <c r="CZ75" s="7">
        <f t="shared" si="320"/>
        <v>0</v>
      </c>
      <c r="DA75" s="7">
        <f t="shared" si="320"/>
        <v>10250</v>
      </c>
      <c r="DB75" s="7">
        <f t="shared" si="320"/>
        <v>-2.6829268292682926E-2</v>
      </c>
      <c r="DC75" s="7">
        <f t="shared" si="320"/>
        <v>-3.1942129135131836E-2</v>
      </c>
      <c r="DD75" s="7">
        <f t="shared" si="320"/>
        <v>-7.3104949596599549E-4</v>
      </c>
      <c r="DE75" s="7">
        <f t="shared" si="320"/>
        <v>1607</v>
      </c>
      <c r="DF75" s="7">
        <f t="shared" si="320"/>
        <v>8</v>
      </c>
      <c r="DG75" s="7">
        <f t="shared" si="320"/>
        <v>38295.69921875</v>
      </c>
      <c r="DH75" s="7" t="str">
        <f t="shared" ref="DH75:DJ75" si="384">IFERROR(DH380,"-")</f>
        <v>W</v>
      </c>
      <c r="DI75" s="7" t="str">
        <f t="shared" si="384"/>
        <v>R</v>
      </c>
      <c r="DJ75" s="7" t="str">
        <f t="shared" si="384"/>
        <v>G</v>
      </c>
      <c r="DK75" s="64">
        <f t="shared" ref="DK75:DS75" si="385">IFERROR(VALUE(DK380),"-")</f>
        <v>38300</v>
      </c>
      <c r="DL75" s="64">
        <f t="shared" si="385"/>
        <v>3400000</v>
      </c>
      <c r="DM75" s="64">
        <f t="shared" si="385"/>
        <v>38500</v>
      </c>
      <c r="DN75" s="64">
        <f t="shared" si="385"/>
        <v>0</v>
      </c>
      <c r="DO75" s="64">
        <f t="shared" si="385"/>
        <v>24500</v>
      </c>
      <c r="DP75" s="64">
        <f t="shared" si="385"/>
        <v>2863350</v>
      </c>
      <c r="DQ75" s="64">
        <f t="shared" si="385"/>
        <v>38000</v>
      </c>
      <c r="DR75" s="64">
        <f t="shared" si="385"/>
        <v>0</v>
      </c>
      <c r="DS75" s="64">
        <f t="shared" si="385"/>
        <v>24500</v>
      </c>
      <c r="DT75" t="str">
        <f t="shared" si="338"/>
        <v>BANKNIFTY</v>
      </c>
      <c r="DU75" s="10">
        <f t="shared" si="339"/>
        <v>44784</v>
      </c>
    </row>
    <row r="76" spans="1:125" x14ac:dyDescent="0.25">
      <c r="A76" t="s">
        <v>30</v>
      </c>
      <c r="B76" s="2">
        <v>44861</v>
      </c>
      <c r="C76" s="1">
        <v>1600</v>
      </c>
      <c r="D76">
        <v>47</v>
      </c>
      <c r="G76" t="str">
        <f t="array" ref="G76">IFERROR(INDEX($A$2:$A$700,MATCH(0,COUNTIF($G$1:G75,$A$2:$A$700),0)),"")</f>
        <v>GSPL</v>
      </c>
      <c r="M76" s="3"/>
      <c r="N76" s="3"/>
      <c r="O76" s="3">
        <f t="shared" si="340"/>
        <v>36800</v>
      </c>
      <c r="P76" s="7">
        <f t="shared" ref="P76:CA76" si="386">IFERROR(VALUE(P381),"-")</f>
        <v>9.0500001907348633</v>
      </c>
      <c r="Q76" s="7">
        <f t="shared" si="386"/>
        <v>7.1500000953674316</v>
      </c>
      <c r="R76" s="7">
        <f t="shared" si="386"/>
        <v>22.5</v>
      </c>
      <c r="S76" s="7">
        <f t="shared" si="386"/>
        <v>22.399999618530273</v>
      </c>
      <c r="T76" s="11">
        <f t="shared" si="386"/>
        <v>-52.1240234375</v>
      </c>
      <c r="U76" s="11">
        <f t="shared" si="386"/>
        <v>10895.771484375</v>
      </c>
      <c r="V76" s="11">
        <f t="shared" si="386"/>
        <v>-274.2109375</v>
      </c>
      <c r="W76" s="11">
        <f t="shared" si="386"/>
        <v>43982.3984375</v>
      </c>
      <c r="X76" s="14">
        <f t="shared" si="386"/>
        <v>-1.9492290448397398E-8</v>
      </c>
      <c r="Y76" s="14">
        <f t="shared" si="386"/>
        <v>1.0154063056688756E-4</v>
      </c>
      <c r="Z76" s="14">
        <f t="shared" si="386"/>
        <v>-6.4336927607655525E-7</v>
      </c>
      <c r="AA76" s="14">
        <f t="shared" si="386"/>
        <v>5.2494928240776062E-4</v>
      </c>
      <c r="AB76" s="15">
        <f t="shared" si="386"/>
        <v>-9.5070618044701405E-11</v>
      </c>
      <c r="AC76" s="15">
        <f t="shared" si="386"/>
        <v>-1.9345438317941444E-7</v>
      </c>
      <c r="AD76" s="13">
        <f t="shared" si="386"/>
        <v>-9.3648433685302734E-3</v>
      </c>
      <c r="AE76" s="13">
        <f t="shared" si="386"/>
        <v>2.2054438591003418</v>
      </c>
      <c r="AF76" s="12">
        <f t="shared" si="386"/>
        <v>6.0248374938964844E-2</v>
      </c>
      <c r="AG76" s="12">
        <f t="shared" si="386"/>
        <v>-11.401801109313965</v>
      </c>
      <c r="AH76" s="13">
        <f t="shared" si="386"/>
        <v>1.9248545868322253E-7</v>
      </c>
      <c r="AI76" s="13">
        <f t="shared" si="386"/>
        <v>8.1487458373885602E-5</v>
      </c>
      <c r="AJ76" s="11">
        <f t="shared" si="386"/>
        <v>4.4295787811279297E-3</v>
      </c>
      <c r="AK76" s="11">
        <f t="shared" si="386"/>
        <v>1.3387880325317383</v>
      </c>
      <c r="AL76" s="11">
        <f t="shared" si="386"/>
        <v>-5.0000190734863281E-2</v>
      </c>
      <c r="AM76" s="11">
        <f t="shared" si="386"/>
        <v>-9.0500001907348633</v>
      </c>
      <c r="AN76" s="11">
        <f t="shared" si="386"/>
        <v>-1.1547654867172241E-4</v>
      </c>
      <c r="AO76" s="11">
        <f t="shared" si="386"/>
        <v>-2.8850831091403961E-2</v>
      </c>
      <c r="AP76" s="11">
        <f t="shared" si="386"/>
        <v>39.772528409957886</v>
      </c>
      <c r="AQ76" s="11">
        <f t="shared" si="386"/>
        <v>6850375</v>
      </c>
      <c r="AR76" s="16">
        <f t="shared" si="386"/>
        <v>-8125</v>
      </c>
      <c r="AS76" s="16">
        <f t="shared" si="386"/>
        <v>581500</v>
      </c>
      <c r="AT76" s="16">
        <f t="shared" si="386"/>
        <v>39.772528409957886</v>
      </c>
      <c r="AU76" s="7">
        <f t="shared" si="386"/>
        <v>5.0000190734863281E-2</v>
      </c>
      <c r="AV76" s="7">
        <f t="shared" si="386"/>
        <v>9.0500001907348633</v>
      </c>
      <c r="AW76" s="7">
        <f t="shared" si="386"/>
        <v>1505.3499755859375</v>
      </c>
      <c r="AX76" s="7">
        <f t="shared" si="386"/>
        <v>0</v>
      </c>
      <c r="AY76" s="11">
        <f t="shared" si="386"/>
        <v>40.281486511230469</v>
      </c>
      <c r="AZ76" s="16">
        <f t="shared" si="386"/>
        <v>10250</v>
      </c>
      <c r="BA76" s="16">
        <f t="shared" si="386"/>
        <v>-1000</v>
      </c>
      <c r="BB76" s="16">
        <f t="shared" si="386"/>
        <v>2250</v>
      </c>
      <c r="BC76" s="11">
        <f t="shared" si="386"/>
        <v>0.96954327821731567</v>
      </c>
      <c r="BD76" s="11">
        <f t="shared" si="386"/>
        <v>1.1295080184936523E-3</v>
      </c>
      <c r="BE76" s="11">
        <f t="shared" si="386"/>
        <v>-27.433311462402344</v>
      </c>
      <c r="BF76" s="11">
        <f t="shared" si="386"/>
        <v>1.075531005859375</v>
      </c>
      <c r="BG76" s="11">
        <f t="shared" si="386"/>
        <v>1.4003397226333618</v>
      </c>
      <c r="BH76" s="11">
        <f t="shared" si="386"/>
        <v>-4.2880058288574219E-2</v>
      </c>
      <c r="BI76" s="13">
        <f t="shared" si="386"/>
        <v>8.4157414676155895E-5</v>
      </c>
      <c r="BJ76" s="13">
        <f t="shared" si="386"/>
        <v>-1.847925886977464E-6</v>
      </c>
      <c r="BK76" s="11">
        <f t="shared" si="386"/>
        <v>40.281486511230469</v>
      </c>
      <c r="BL76" s="12">
        <f t="shared" si="386"/>
        <v>-10.624649047851563</v>
      </c>
      <c r="BM76" s="12">
        <f t="shared" si="386"/>
        <v>-0.49149894714355469</v>
      </c>
      <c r="BN76" s="13">
        <f t="shared" si="386"/>
        <v>2.081418514251709</v>
      </c>
      <c r="BO76" s="13">
        <f t="shared" si="386"/>
        <v>7.9752683639526367E-2</v>
      </c>
      <c r="BP76" s="15">
        <f t="shared" si="386"/>
        <v>-1.9484679114611936E-7</v>
      </c>
      <c r="BQ76" s="15">
        <f t="shared" si="386"/>
        <v>9.4735241873422638E-10</v>
      </c>
      <c r="BR76" s="14">
        <f t="shared" si="386"/>
        <v>5.1651522517204285E-4</v>
      </c>
      <c r="BS76" s="14">
        <f t="shared" si="386"/>
        <v>5.8213481679558754E-6</v>
      </c>
      <c r="BT76" s="14">
        <f t="shared" si="386"/>
        <v>1.0118775389855728E-4</v>
      </c>
      <c r="BU76" s="14">
        <f t="shared" si="386"/>
        <v>3.0713272280991077E-7</v>
      </c>
      <c r="BV76" s="11">
        <f t="shared" si="386"/>
        <v>40469.75</v>
      </c>
      <c r="BW76" s="11">
        <f t="shared" si="386"/>
        <v>2203.54296875</v>
      </c>
      <c r="BX76" s="11">
        <f t="shared" si="386"/>
        <v>10211.505859375</v>
      </c>
      <c r="BY76" s="11">
        <f t="shared" si="386"/>
        <v>437.142578125</v>
      </c>
      <c r="BZ76" s="7">
        <f t="shared" si="386"/>
        <v>1468.8499755859375</v>
      </c>
      <c r="CA76" s="7">
        <f t="shared" si="386"/>
        <v>1603.75</v>
      </c>
      <c r="CB76" s="7">
        <f t="shared" ref="CB76:CP76" si="387">IFERROR(VALUE(CB381),"-")</f>
        <v>1400</v>
      </c>
      <c r="CC76" s="7">
        <f t="shared" si="387"/>
        <v>1505.3499755859375</v>
      </c>
      <c r="CD76" s="7">
        <f t="shared" si="387"/>
        <v>1508.699951171875</v>
      </c>
      <c r="CE76" s="3">
        <f t="shared" si="387"/>
        <v>125</v>
      </c>
      <c r="CF76" s="7">
        <f t="shared" si="387"/>
        <v>1501.550048828125</v>
      </c>
      <c r="CG76" s="3">
        <f t="shared" si="387"/>
        <v>250</v>
      </c>
      <c r="CH76" s="7">
        <f t="shared" si="387"/>
        <v>1497.7099609375</v>
      </c>
      <c r="CI76" s="7">
        <f t="shared" si="387"/>
        <v>9.1000003814697266</v>
      </c>
      <c r="CJ76" s="3">
        <f t="shared" si="387"/>
        <v>2575</v>
      </c>
      <c r="CK76" s="7">
        <f t="shared" si="387"/>
        <v>9.0500001907348633</v>
      </c>
      <c r="CL76" s="3">
        <f t="shared" si="387"/>
        <v>975</v>
      </c>
      <c r="CM76" s="7">
        <f t="shared" si="387"/>
        <v>11.430000305175781</v>
      </c>
      <c r="CN76" s="10">
        <f t="shared" si="387"/>
        <v>44783.638194444444</v>
      </c>
      <c r="CO76" s="10">
        <f t="shared" si="387"/>
        <v>44783.638194444444</v>
      </c>
      <c r="CP76" s="7">
        <f t="shared" si="387"/>
        <v>38295.69921875</v>
      </c>
      <c r="CQ76" s="7" t="str">
        <f t="shared" ref="CQ76" si="388">IFERROR(CQ381,"-")</f>
        <v>FairPrice</v>
      </c>
      <c r="CR76" s="10">
        <f t="shared" si="320"/>
        <v>44783.638194444444</v>
      </c>
      <c r="CS76" s="7">
        <f t="shared" si="320"/>
        <v>3.9345026016235352E-2</v>
      </c>
      <c r="CT76" s="7">
        <f t="shared" si="320"/>
        <v>9.9023090186468226E-4</v>
      </c>
      <c r="CU76" s="7">
        <f t="shared" si="320"/>
        <v>589625</v>
      </c>
      <c r="CV76" s="7">
        <f t="shared" si="320"/>
        <v>-1.3779944880220479E-2</v>
      </c>
      <c r="CW76" s="7">
        <f t="shared" si="320"/>
        <v>9.0500001907348633</v>
      </c>
      <c r="CX76" s="7">
        <f t="shared" si="320"/>
        <v>5.5555767483181423E-3</v>
      </c>
      <c r="CY76" s="7">
        <f t="shared" si="320"/>
        <v>1505.3499755859375</v>
      </c>
      <c r="CZ76" s="7">
        <f t="shared" si="320"/>
        <v>0</v>
      </c>
      <c r="DA76" s="7">
        <f t="shared" si="320"/>
        <v>11250</v>
      </c>
      <c r="DB76" s="7">
        <f t="shared" si="320"/>
        <v>-8.8888888888888892E-2</v>
      </c>
      <c r="DC76" s="7">
        <f t="shared" si="320"/>
        <v>-0.33901631832122803</v>
      </c>
      <c r="DD76" s="7">
        <f t="shared" si="320"/>
        <v>-8.345940958529724E-3</v>
      </c>
      <c r="DE76" s="7">
        <f t="shared" si="320"/>
        <v>1505.3499755859375</v>
      </c>
      <c r="DF76" s="7">
        <f t="shared" si="320"/>
        <v>9.0500001907348633</v>
      </c>
      <c r="DG76" s="7">
        <f t="shared" si="320"/>
        <v>38295.69921875</v>
      </c>
      <c r="DH76" s="7" t="str">
        <f t="shared" ref="DH76:DJ76" si="389">IFERROR(DH381,"-")</f>
        <v>W</v>
      </c>
      <c r="DI76" s="7" t="str">
        <f t="shared" si="389"/>
        <v>G</v>
      </c>
      <c r="DJ76" s="7" t="str">
        <f t="shared" si="389"/>
        <v>G</v>
      </c>
      <c r="DK76" s="64">
        <f t="shared" ref="DK76:DS76" si="390">IFERROR(VALUE(DK381),"-")</f>
        <v>38300</v>
      </c>
      <c r="DL76" s="64">
        <f t="shared" si="390"/>
        <v>3400000</v>
      </c>
      <c r="DM76" s="64">
        <f t="shared" si="390"/>
        <v>38500</v>
      </c>
      <c r="DN76" s="64">
        <f t="shared" si="390"/>
        <v>0</v>
      </c>
      <c r="DO76" s="64">
        <f t="shared" si="390"/>
        <v>24500</v>
      </c>
      <c r="DP76" s="64">
        <f t="shared" si="390"/>
        <v>2863350</v>
      </c>
      <c r="DQ76" s="64">
        <f t="shared" si="390"/>
        <v>38000</v>
      </c>
      <c r="DR76" s="64">
        <f t="shared" si="390"/>
        <v>0</v>
      </c>
      <c r="DS76" s="64">
        <f t="shared" si="390"/>
        <v>24500</v>
      </c>
      <c r="DT76" t="str">
        <f t="shared" si="338"/>
        <v>BANKNIFTY</v>
      </c>
      <c r="DU76" s="10">
        <f t="shared" si="339"/>
        <v>44784</v>
      </c>
    </row>
    <row r="77" spans="1:125" x14ac:dyDescent="0.25">
      <c r="A77" t="s">
        <v>31</v>
      </c>
      <c r="B77" s="2">
        <v>44798</v>
      </c>
      <c r="C77" s="1">
        <v>1800</v>
      </c>
      <c r="D77">
        <v>65</v>
      </c>
      <c r="G77" t="str">
        <f t="array" ref="G77">IFERROR(INDEX($A$2:$A$700,MATCH(0,COUNTIF($G$1:G76,$A$2:$A$700),0)),"")</f>
        <v>GUJGASLTD</v>
      </c>
      <c r="M77" s="3"/>
      <c r="N77" s="3"/>
      <c r="O77" s="3">
        <f t="shared" si="340"/>
        <v>36900</v>
      </c>
      <c r="P77" s="7">
        <f t="shared" ref="P77:CA77" si="391">IFERROR(VALUE(P382),"-")</f>
        <v>10.300000190734863</v>
      </c>
      <c r="Q77" s="7">
        <f t="shared" si="391"/>
        <v>7.6999998092651367</v>
      </c>
      <c r="R77" s="7">
        <f t="shared" si="391"/>
        <v>20.049999237060547</v>
      </c>
      <c r="S77" s="7">
        <f t="shared" si="391"/>
        <v>17.600000381469727</v>
      </c>
      <c r="T77" s="11">
        <f t="shared" si="391"/>
        <v>-77.0888671875</v>
      </c>
      <c r="U77" s="11">
        <f t="shared" si="391"/>
        <v>9158.0771484375</v>
      </c>
      <c r="V77" s="11">
        <f t="shared" si="391"/>
        <v>-417.625</v>
      </c>
      <c r="W77" s="11">
        <f t="shared" si="391"/>
        <v>37734.83984375</v>
      </c>
      <c r="X77" s="14">
        <f t="shared" si="391"/>
        <v>-9.7621523309499025E-8</v>
      </c>
      <c r="Y77" s="14">
        <f t="shared" si="391"/>
        <v>1.077055640053004E-4</v>
      </c>
      <c r="Z77" s="14">
        <f t="shared" si="391"/>
        <v>-1.5796395018696785E-6</v>
      </c>
      <c r="AA77" s="14">
        <f t="shared" si="391"/>
        <v>5.7728058891370893E-4</v>
      </c>
      <c r="AB77" s="15">
        <f t="shared" si="391"/>
        <v>-1.2543921457108809E-10</v>
      </c>
      <c r="AC77" s="15">
        <f t="shared" si="391"/>
        <v>-2.265310854454583E-7</v>
      </c>
      <c r="AD77" s="13">
        <f t="shared" si="391"/>
        <v>-1.4131903648376465E-2</v>
      </c>
      <c r="AE77" s="13">
        <f t="shared" si="391"/>
        <v>1.8892534971237183</v>
      </c>
      <c r="AF77" s="12">
        <f t="shared" si="391"/>
        <v>9.4395637512207031E-2</v>
      </c>
      <c r="AG77" s="12">
        <f t="shared" si="391"/>
        <v>-10.12602710723877</v>
      </c>
      <c r="AH77" s="13">
        <f t="shared" si="391"/>
        <v>3.7903373595327139E-7</v>
      </c>
      <c r="AI77" s="13">
        <f t="shared" si="391"/>
        <v>9.5274292107205838E-5</v>
      </c>
      <c r="AJ77" s="11">
        <f t="shared" si="391"/>
        <v>8.625030517578125E-3</v>
      </c>
      <c r="AK77" s="11">
        <f t="shared" si="391"/>
        <v>1.5098128318786621</v>
      </c>
      <c r="AL77" s="11">
        <f t="shared" si="391"/>
        <v>-0.10000038146972656</v>
      </c>
      <c r="AM77" s="11">
        <f t="shared" si="391"/>
        <v>-10.300000190734863</v>
      </c>
      <c r="AN77" s="11">
        <f t="shared" si="391"/>
        <v>-2.320706844329834E-4</v>
      </c>
      <c r="AO77" s="11">
        <f t="shared" si="391"/>
        <v>-3.3362630754709244E-2</v>
      </c>
      <c r="AP77" s="11">
        <f t="shared" si="391"/>
        <v>38.362935185432434</v>
      </c>
      <c r="AQ77" s="11">
        <f t="shared" si="391"/>
        <v>7243750</v>
      </c>
      <c r="AR77" s="16">
        <f t="shared" si="391"/>
        <v>22575</v>
      </c>
      <c r="AS77" s="16">
        <f t="shared" si="391"/>
        <v>680375</v>
      </c>
      <c r="AT77" s="16">
        <f t="shared" si="391"/>
        <v>38.362935185432434</v>
      </c>
      <c r="AU77" s="7">
        <f t="shared" si="391"/>
        <v>0.10000038146972656</v>
      </c>
      <c r="AV77" s="7">
        <f t="shared" si="391"/>
        <v>10.300000190734863</v>
      </c>
      <c r="AW77" s="7">
        <f t="shared" si="391"/>
        <v>1420</v>
      </c>
      <c r="AX77" s="7">
        <f t="shared" si="391"/>
        <v>0</v>
      </c>
      <c r="AY77" s="11">
        <f t="shared" si="391"/>
        <v>45.453947782516479</v>
      </c>
      <c r="AZ77" s="16">
        <f t="shared" si="391"/>
        <v>9050</v>
      </c>
      <c r="BA77" s="16">
        <f t="shared" si="391"/>
        <v>-825</v>
      </c>
      <c r="BB77" s="16">
        <f t="shared" si="391"/>
        <v>5050</v>
      </c>
      <c r="BC77" s="11">
        <f t="shared" si="391"/>
        <v>0.93955647945404053</v>
      </c>
      <c r="BD77" s="11">
        <f t="shared" si="391"/>
        <v>8.4102153778076172E-5</v>
      </c>
      <c r="BE77" s="11">
        <f t="shared" si="391"/>
        <v>-53.830593109130859</v>
      </c>
      <c r="BF77" s="11">
        <f t="shared" si="391"/>
        <v>7.904815673828125E-2</v>
      </c>
      <c r="BG77" s="11">
        <f t="shared" si="391"/>
        <v>2.435107946395874</v>
      </c>
      <c r="BH77" s="11">
        <f t="shared" si="391"/>
        <v>-2.6998519897460938E-3</v>
      </c>
      <c r="BI77" s="13">
        <f t="shared" si="391"/>
        <v>1.2969068484380841E-4</v>
      </c>
      <c r="BJ77" s="13">
        <f t="shared" si="391"/>
        <v>-8.6278305388987064E-8</v>
      </c>
      <c r="BK77" s="11">
        <f t="shared" si="391"/>
        <v>45.453947782516479</v>
      </c>
      <c r="BL77" s="12">
        <f t="shared" si="391"/>
        <v>-4.4624204635620117</v>
      </c>
      <c r="BM77" s="12">
        <f t="shared" si="391"/>
        <v>-8.7223052978515625E-3</v>
      </c>
      <c r="BN77" s="13">
        <f t="shared" si="391"/>
        <v>0.98646450042724609</v>
      </c>
      <c r="BO77" s="13">
        <f t="shared" si="391"/>
        <v>1.574397087097168E-3</v>
      </c>
      <c r="BP77" s="15">
        <f t="shared" si="391"/>
        <v>-2.2113103170795512E-7</v>
      </c>
      <c r="BQ77" s="15">
        <f t="shared" si="391"/>
        <v>-4.3485215428518131E-11</v>
      </c>
      <c r="BR77" s="14">
        <f t="shared" si="391"/>
        <v>3.9042875869199634E-4</v>
      </c>
      <c r="BS77" s="14">
        <f t="shared" si="391"/>
        <v>5.1807728596031666E-7</v>
      </c>
      <c r="BT77" s="14">
        <f t="shared" si="391"/>
        <v>8.6308340542018414E-5</v>
      </c>
      <c r="BU77" s="14">
        <f t="shared" si="391"/>
        <v>8.3564373198896646E-8</v>
      </c>
      <c r="BV77" s="11">
        <f t="shared" si="391"/>
        <v>14067.5458984375</v>
      </c>
      <c r="BW77" s="11">
        <f t="shared" si="391"/>
        <v>33.5615234375</v>
      </c>
      <c r="BX77" s="11">
        <f t="shared" si="391"/>
        <v>4422.82080078125</v>
      </c>
      <c r="BY77" s="11">
        <f t="shared" si="391"/>
        <v>7.76220703125</v>
      </c>
      <c r="BZ77" s="7">
        <f t="shared" si="391"/>
        <v>1425.25</v>
      </c>
      <c r="CA77" s="7">
        <f t="shared" si="391"/>
        <v>1488.699951171875</v>
      </c>
      <c r="CB77" s="7">
        <f t="shared" ref="CB77:CP77" si="392">IFERROR(VALUE(CB382),"-")</f>
        <v>1310.6500244140625</v>
      </c>
      <c r="CC77" s="7">
        <f t="shared" si="392"/>
        <v>1420</v>
      </c>
      <c r="CD77" s="7">
        <f t="shared" si="392"/>
        <v>1408.199951171875</v>
      </c>
      <c r="CE77" s="3">
        <f t="shared" si="392"/>
        <v>50</v>
      </c>
      <c r="CF77" s="7">
        <f t="shared" si="392"/>
        <v>1403.699951171875</v>
      </c>
      <c r="CG77" s="3">
        <f t="shared" si="392"/>
        <v>50</v>
      </c>
      <c r="CH77" s="7">
        <f t="shared" si="392"/>
        <v>1416.989990234375</v>
      </c>
      <c r="CI77" s="7">
        <f t="shared" si="392"/>
        <v>10.300000190734863</v>
      </c>
      <c r="CJ77" s="3">
        <f t="shared" si="392"/>
        <v>1550</v>
      </c>
      <c r="CK77" s="7">
        <f t="shared" si="392"/>
        <v>10.25</v>
      </c>
      <c r="CL77" s="3">
        <f t="shared" si="392"/>
        <v>125</v>
      </c>
      <c r="CM77" s="7">
        <f t="shared" si="392"/>
        <v>13.390000343322754</v>
      </c>
      <c r="CN77" s="10">
        <f t="shared" si="392"/>
        <v>44783.638194444444</v>
      </c>
      <c r="CO77" s="10">
        <f t="shared" si="392"/>
        <v>44783.638194444444</v>
      </c>
      <c r="CP77" s="7">
        <f t="shared" si="392"/>
        <v>38295.69921875</v>
      </c>
      <c r="CQ77" s="7" t="str">
        <f t="shared" ref="CQ77" si="393">IFERROR(CQ382,"-")</f>
        <v>FairPrice</v>
      </c>
      <c r="CR77" s="10">
        <f t="shared" si="320"/>
        <v>44783.638194444444</v>
      </c>
      <c r="CS77" s="7">
        <f t="shared" si="320"/>
        <v>6.8354606628417969E-2</v>
      </c>
      <c r="CT77" s="7">
        <f t="shared" si="320"/>
        <v>1.784968149416216E-3</v>
      </c>
      <c r="CU77" s="7">
        <f t="shared" si="320"/>
        <v>657800</v>
      </c>
      <c r="CV77" s="7">
        <f t="shared" si="320"/>
        <v>3.4318941927637577E-2</v>
      </c>
      <c r="CW77" s="7">
        <f t="shared" si="320"/>
        <v>10.300000190734863</v>
      </c>
      <c r="CX77" s="7">
        <f t="shared" si="320"/>
        <v>9.8039591509493495E-3</v>
      </c>
      <c r="CY77" s="7">
        <f t="shared" si="320"/>
        <v>1420</v>
      </c>
      <c r="CZ77" s="7">
        <f t="shared" si="320"/>
        <v>0</v>
      </c>
      <c r="DA77" s="7">
        <f t="shared" si="320"/>
        <v>9875</v>
      </c>
      <c r="DB77" s="7">
        <f t="shared" si="320"/>
        <v>-8.3544303797468356E-2</v>
      </c>
      <c r="DC77" s="7">
        <f t="shared" si="320"/>
        <v>-1.8298625946044922E-2</v>
      </c>
      <c r="DD77" s="7">
        <f t="shared" si="320"/>
        <v>-4.0241306272125344E-4</v>
      </c>
      <c r="DE77" s="7">
        <f t="shared" si="320"/>
        <v>1420</v>
      </c>
      <c r="DF77" s="7">
        <f t="shared" si="320"/>
        <v>10.300000190734863</v>
      </c>
      <c r="DG77" s="7">
        <f t="shared" si="320"/>
        <v>38295.69921875</v>
      </c>
      <c r="DH77" s="7" t="str">
        <f t="shared" ref="DH77:DJ77" si="394">IFERROR(DH382,"-")</f>
        <v>W</v>
      </c>
      <c r="DI77" s="7" t="str">
        <f t="shared" si="394"/>
        <v>G</v>
      </c>
      <c r="DJ77" s="7" t="str">
        <f t="shared" si="394"/>
        <v>G</v>
      </c>
      <c r="DK77" s="64">
        <f t="shared" ref="DK77:DS77" si="395">IFERROR(VALUE(DK382),"-")</f>
        <v>38300</v>
      </c>
      <c r="DL77" s="64">
        <f t="shared" si="395"/>
        <v>3400000</v>
      </c>
      <c r="DM77" s="64">
        <f t="shared" si="395"/>
        <v>38500</v>
      </c>
      <c r="DN77" s="64">
        <f t="shared" si="395"/>
        <v>0</v>
      </c>
      <c r="DO77" s="64">
        <f t="shared" si="395"/>
        <v>24500</v>
      </c>
      <c r="DP77" s="64">
        <f t="shared" si="395"/>
        <v>2863350</v>
      </c>
      <c r="DQ77" s="64">
        <f t="shared" si="395"/>
        <v>38000</v>
      </c>
      <c r="DR77" s="64">
        <f t="shared" si="395"/>
        <v>0</v>
      </c>
      <c r="DS77" s="64">
        <f t="shared" si="395"/>
        <v>24500</v>
      </c>
      <c r="DT77" t="str">
        <f t="shared" si="338"/>
        <v>BANKNIFTY</v>
      </c>
      <c r="DU77" s="10">
        <f t="shared" si="339"/>
        <v>44784</v>
      </c>
    </row>
    <row r="78" spans="1:125" x14ac:dyDescent="0.25">
      <c r="A78" t="s">
        <v>31</v>
      </c>
      <c r="B78" s="2">
        <v>44833</v>
      </c>
      <c r="C78" s="1">
        <v>1800</v>
      </c>
      <c r="D78">
        <v>65</v>
      </c>
      <c r="G78" t="str">
        <f t="array" ref="G78">IFERROR(INDEX($A$2:$A$700,MATCH(0,COUNTIF($G$1:G77,$A$2:$A$700),0)),"")</f>
        <v>HAL</v>
      </c>
      <c r="M78" s="3"/>
      <c r="N78" s="3"/>
      <c r="O78" s="3">
        <f t="shared" si="340"/>
        <v>37000</v>
      </c>
      <c r="P78" s="7">
        <f t="shared" ref="P78:CA78" si="396">IFERROR(VALUE(P383),"-")</f>
        <v>12.350000381469727</v>
      </c>
      <c r="Q78" s="7">
        <f t="shared" si="396"/>
        <v>8.6000003814697266</v>
      </c>
      <c r="R78" s="7">
        <f t="shared" si="396"/>
        <v>24.399999618530273</v>
      </c>
      <c r="S78" s="7">
        <f t="shared" si="396"/>
        <v>15.149999618530273</v>
      </c>
      <c r="T78" s="11">
        <f t="shared" si="396"/>
        <v>0.41552734375</v>
      </c>
      <c r="U78" s="11">
        <f t="shared" si="396"/>
        <v>7339.474609375</v>
      </c>
      <c r="V78" s="11">
        <f t="shared" si="396"/>
        <v>-1.07421875</v>
      </c>
      <c r="W78" s="11">
        <f t="shared" si="396"/>
        <v>30431.916015625</v>
      </c>
      <c r="X78" s="14">
        <f t="shared" si="396"/>
        <v>1.1641532182693481E-9</v>
      </c>
      <c r="Y78" s="14">
        <f t="shared" si="396"/>
        <v>1.1231468670303002E-4</v>
      </c>
      <c r="Z78" s="14">
        <f t="shared" si="396"/>
        <v>-5.2794348448514938E-8</v>
      </c>
      <c r="AA78" s="14">
        <f t="shared" si="396"/>
        <v>6.1954202828928828E-4</v>
      </c>
      <c r="AB78" s="15">
        <f t="shared" si="396"/>
        <v>2.1003643269068561E-11</v>
      </c>
      <c r="AC78" s="15">
        <f t="shared" si="396"/>
        <v>-2.6610862846609962E-7</v>
      </c>
      <c r="AD78" s="13">
        <f t="shared" si="396"/>
        <v>1.1336803436279297E-4</v>
      </c>
      <c r="AE78" s="13">
        <f t="shared" si="396"/>
        <v>1.5513229370117188</v>
      </c>
      <c r="AF78" s="12">
        <f t="shared" si="396"/>
        <v>1.9168853759765625E-4</v>
      </c>
      <c r="AG78" s="12">
        <f t="shared" si="396"/>
        <v>-8.5572938919067383</v>
      </c>
      <c r="AH78" s="13">
        <f t="shared" si="396"/>
        <v>-6.2282197177410126E-9</v>
      </c>
      <c r="AI78" s="13">
        <f t="shared" si="396"/>
        <v>1.139324958785437E-4</v>
      </c>
      <c r="AJ78" s="11">
        <f t="shared" si="396"/>
        <v>-7.5459480285644531E-5</v>
      </c>
      <c r="AK78" s="11">
        <f t="shared" si="396"/>
        <v>1.7543323040008545</v>
      </c>
      <c r="AL78" s="11">
        <f t="shared" si="396"/>
        <v>0</v>
      </c>
      <c r="AM78" s="11">
        <f t="shared" si="396"/>
        <v>-12.350000381469727</v>
      </c>
      <c r="AN78" s="11">
        <f t="shared" si="396"/>
        <v>1.1213123798370361E-6</v>
      </c>
      <c r="AO78" s="11">
        <f t="shared" si="396"/>
        <v>-4.00814488530159E-2</v>
      </c>
      <c r="AP78" s="11">
        <f t="shared" si="396"/>
        <v>37.275752425193787</v>
      </c>
      <c r="AQ78" s="11">
        <f t="shared" si="396"/>
        <v>23525225</v>
      </c>
      <c r="AR78" s="16">
        <f t="shared" si="396"/>
        <v>523750</v>
      </c>
      <c r="AS78" s="16">
        <f t="shared" si="396"/>
        <v>2419300</v>
      </c>
      <c r="AT78" s="16">
        <f t="shared" si="396"/>
        <v>37.275752425193787</v>
      </c>
      <c r="AU78" s="7">
        <f t="shared" si="396"/>
        <v>0</v>
      </c>
      <c r="AV78" s="7">
        <f t="shared" si="396"/>
        <v>12.350000381469727</v>
      </c>
      <c r="AW78" s="7">
        <f t="shared" si="396"/>
        <v>1308.550048828125</v>
      </c>
      <c r="AX78" s="7">
        <f t="shared" si="396"/>
        <v>0</v>
      </c>
      <c r="AY78" s="11">
        <f t="shared" si="396"/>
        <v>37.583407759666443</v>
      </c>
      <c r="AZ78" s="16">
        <f t="shared" si="396"/>
        <v>102725</v>
      </c>
      <c r="BA78" s="16">
        <f t="shared" si="396"/>
        <v>-22500</v>
      </c>
      <c r="BB78" s="16">
        <f t="shared" si="396"/>
        <v>168325</v>
      </c>
      <c r="BC78" s="11">
        <f t="shared" si="396"/>
        <v>0.9586719274520874</v>
      </c>
      <c r="BD78" s="11">
        <f t="shared" si="396"/>
        <v>1.2382268905639648E-3</v>
      </c>
      <c r="BE78" s="11">
        <f t="shared" si="396"/>
        <v>-32.8724365234375</v>
      </c>
      <c r="BF78" s="11">
        <f t="shared" si="396"/>
        <v>1.0524864196777344</v>
      </c>
      <c r="BG78" s="11">
        <f t="shared" si="396"/>
        <v>1.7985196113586426</v>
      </c>
      <c r="BH78" s="11">
        <f t="shared" si="396"/>
        <v>-4.3516039848327637E-2</v>
      </c>
      <c r="BI78" s="13">
        <f t="shared" si="396"/>
        <v>1.1584133608266711E-4</v>
      </c>
      <c r="BJ78" s="13">
        <f t="shared" si="396"/>
        <v>-1.8968130461871624E-6</v>
      </c>
      <c r="BK78" s="11">
        <f t="shared" si="396"/>
        <v>37.583407759666443</v>
      </c>
      <c r="BL78" s="12">
        <f t="shared" si="396"/>
        <v>-8.2098503112792969</v>
      </c>
      <c r="BM78" s="12">
        <f t="shared" si="396"/>
        <v>-0.31981372833251953</v>
      </c>
      <c r="BN78" s="13">
        <f t="shared" si="396"/>
        <v>1.500555157661438</v>
      </c>
      <c r="BO78" s="13">
        <f t="shared" si="396"/>
        <v>4.7440528869628906E-2</v>
      </c>
      <c r="BP78" s="15">
        <f t="shared" si="396"/>
        <v>-2.6620855919645692E-7</v>
      </c>
      <c r="BQ78" s="15">
        <f t="shared" si="396"/>
        <v>2.0338575268397108E-10</v>
      </c>
      <c r="BR78" s="14">
        <f t="shared" si="396"/>
        <v>6.0944282449781895E-4</v>
      </c>
      <c r="BS78" s="14">
        <f t="shared" si="396"/>
        <v>9.5989089459180832E-6</v>
      </c>
      <c r="BT78" s="14">
        <f t="shared" si="396"/>
        <v>1.1139089474454522E-4</v>
      </c>
      <c r="BU78" s="14">
        <f t="shared" si="396"/>
        <v>9.171490091830492E-7</v>
      </c>
      <c r="BV78" s="11">
        <f t="shared" si="396"/>
        <v>28958.91015625</v>
      </c>
      <c r="BW78" s="11">
        <f t="shared" si="396"/>
        <v>1349.619140625</v>
      </c>
      <c r="BX78" s="11">
        <f t="shared" si="396"/>
        <v>7070.75634765625</v>
      </c>
      <c r="BY78" s="11">
        <f t="shared" si="396"/>
        <v>250.1865234375</v>
      </c>
      <c r="BZ78" s="7">
        <f t="shared" si="396"/>
        <v>1306.75</v>
      </c>
      <c r="CA78" s="7">
        <f t="shared" si="396"/>
        <v>1415.1500244140625</v>
      </c>
      <c r="CB78" s="7">
        <f t="shared" ref="CB78:CP78" si="397">IFERROR(VALUE(CB383),"-")</f>
        <v>1179.5999755859375</v>
      </c>
      <c r="CC78" s="7">
        <f t="shared" si="397"/>
        <v>1308.550048828125</v>
      </c>
      <c r="CD78" s="7">
        <f t="shared" si="397"/>
        <v>1310.949951171875</v>
      </c>
      <c r="CE78" s="3">
        <f t="shared" si="397"/>
        <v>25</v>
      </c>
      <c r="CF78" s="7">
        <f t="shared" si="397"/>
        <v>1308.1500244140625</v>
      </c>
      <c r="CG78" s="3">
        <f t="shared" si="397"/>
        <v>25</v>
      </c>
      <c r="CH78" s="7">
        <f t="shared" si="397"/>
        <v>1312.18994140625</v>
      </c>
      <c r="CI78" s="7">
        <f t="shared" si="397"/>
        <v>12.399999618530273</v>
      </c>
      <c r="CJ78" s="3">
        <f t="shared" si="397"/>
        <v>8575</v>
      </c>
      <c r="CK78" s="7">
        <f t="shared" si="397"/>
        <v>12.300000190734863</v>
      </c>
      <c r="CL78" s="3">
        <f t="shared" si="397"/>
        <v>1575</v>
      </c>
      <c r="CM78" s="7">
        <f t="shared" si="397"/>
        <v>15.109999656677246</v>
      </c>
      <c r="CN78" s="10">
        <f t="shared" si="397"/>
        <v>44783.638194444444</v>
      </c>
      <c r="CO78" s="10">
        <f t="shared" si="397"/>
        <v>44783.638194444444</v>
      </c>
      <c r="CP78" s="7">
        <f t="shared" si="397"/>
        <v>38295.69921875</v>
      </c>
      <c r="CQ78" s="7" t="str">
        <f t="shared" ref="CQ78" si="398">IFERROR(CQ383,"-")</f>
        <v>FairPrice</v>
      </c>
      <c r="CR78" s="10">
        <f t="shared" si="320"/>
        <v>44783.638194444444</v>
      </c>
      <c r="CS78" s="7">
        <f t="shared" si="320"/>
        <v>1.9490718841552734E-3</v>
      </c>
      <c r="CT78" s="7">
        <f t="shared" si="320"/>
        <v>5.2290662846516589E-5</v>
      </c>
      <c r="CU78" s="7">
        <f t="shared" si="320"/>
        <v>1895550</v>
      </c>
      <c r="CV78" s="7">
        <f t="shared" si="320"/>
        <v>0.27630503020231595</v>
      </c>
      <c r="CW78" s="7">
        <f t="shared" si="320"/>
        <v>12.350000381469727</v>
      </c>
      <c r="CX78" s="7">
        <f t="shared" si="320"/>
        <v>0</v>
      </c>
      <c r="CY78" s="7">
        <f t="shared" si="320"/>
        <v>1308.550048828125</v>
      </c>
      <c r="CZ78" s="7">
        <f t="shared" si="320"/>
        <v>0</v>
      </c>
      <c r="DA78" s="7">
        <f t="shared" si="320"/>
        <v>125225</v>
      </c>
      <c r="DB78" s="7">
        <f t="shared" si="320"/>
        <v>-0.17967658215212617</v>
      </c>
      <c r="DC78" s="7">
        <f t="shared" si="320"/>
        <v>-0.28866231441497803</v>
      </c>
      <c r="DD78" s="7">
        <f t="shared" si="320"/>
        <v>-7.6220368691314391E-3</v>
      </c>
      <c r="DE78" s="7">
        <f t="shared" si="320"/>
        <v>1308.550048828125</v>
      </c>
      <c r="DF78" s="7">
        <f t="shared" si="320"/>
        <v>12.350000381469727</v>
      </c>
      <c r="DG78" s="7">
        <f t="shared" ref="DG78" si="399">IFERROR(VALUE(DG383),"-")</f>
        <v>38295.69921875</v>
      </c>
      <c r="DH78" s="7" t="str">
        <f t="shared" ref="DH78:DJ78" si="400">IFERROR(DH383,"-")</f>
        <v>W</v>
      </c>
      <c r="DI78" s="7" t="str">
        <f t="shared" si="400"/>
        <v>W</v>
      </c>
      <c r="DJ78" s="7" t="str">
        <f t="shared" si="400"/>
        <v>G</v>
      </c>
      <c r="DK78" s="64">
        <f t="shared" ref="DK78:DS78" si="401">IFERROR(VALUE(DK383),"-")</f>
        <v>38300</v>
      </c>
      <c r="DL78" s="64">
        <f t="shared" si="401"/>
        <v>3400000</v>
      </c>
      <c r="DM78" s="64">
        <f t="shared" si="401"/>
        <v>38500</v>
      </c>
      <c r="DN78" s="64">
        <f t="shared" si="401"/>
        <v>0</v>
      </c>
      <c r="DO78" s="64">
        <f t="shared" si="401"/>
        <v>24500</v>
      </c>
      <c r="DP78" s="64">
        <f t="shared" si="401"/>
        <v>2863350</v>
      </c>
      <c r="DQ78" s="64">
        <f t="shared" si="401"/>
        <v>38000</v>
      </c>
      <c r="DR78" s="64">
        <f t="shared" si="401"/>
        <v>0</v>
      </c>
      <c r="DS78" s="64">
        <f t="shared" si="401"/>
        <v>24500</v>
      </c>
      <c r="DT78" t="str">
        <f t="shared" si="338"/>
        <v>BANKNIFTY</v>
      </c>
      <c r="DU78" s="10">
        <f t="shared" si="339"/>
        <v>44784</v>
      </c>
    </row>
    <row r="79" spans="1:125" x14ac:dyDescent="0.25">
      <c r="A79" t="s">
        <v>31</v>
      </c>
      <c r="B79" s="2">
        <v>44861</v>
      </c>
      <c r="C79" s="1">
        <v>1800</v>
      </c>
      <c r="D79">
        <v>65</v>
      </c>
      <c r="G79" t="str">
        <f t="array" ref="G79">IFERROR(INDEX($A$2:$A$700,MATCH(0,COUNTIF($G$1:G78,$A$2:$A$700),0)),"")</f>
        <v>HAVELLS</v>
      </c>
      <c r="M79" s="3"/>
      <c r="N79" s="3"/>
      <c r="O79" s="3">
        <f t="shared" si="340"/>
        <v>37100</v>
      </c>
      <c r="P79" s="7">
        <f t="shared" ref="P79:CA79" si="402">IFERROR(VALUE(P384),"-")</f>
        <v>14.25</v>
      </c>
      <c r="Q79" s="7">
        <f t="shared" si="402"/>
        <v>9.6000003814697266</v>
      </c>
      <c r="R79" s="7">
        <f t="shared" si="402"/>
        <v>29.25</v>
      </c>
      <c r="S79" s="7">
        <f t="shared" si="402"/>
        <v>15.550000190734863</v>
      </c>
      <c r="T79" s="11">
        <f t="shared" si="402"/>
        <v>0.357421875</v>
      </c>
      <c r="U79" s="11">
        <f t="shared" si="402"/>
        <v>6059.76904296875</v>
      </c>
      <c r="V79" s="11">
        <f t="shared" si="402"/>
        <v>-0.876953125</v>
      </c>
      <c r="W79" s="11">
        <f t="shared" si="402"/>
        <v>25534.19140625</v>
      </c>
      <c r="X79" s="14">
        <f t="shared" si="402"/>
        <v>1.3169483281672001E-9</v>
      </c>
      <c r="Y79" s="14">
        <f t="shared" si="402"/>
        <v>1.1608393833739683E-4</v>
      </c>
      <c r="Z79" s="14">
        <f t="shared" si="402"/>
        <v>-5.7450961321592331E-8</v>
      </c>
      <c r="AA79" s="14">
        <f t="shared" si="402"/>
        <v>6.6538347164168954E-4</v>
      </c>
      <c r="AB79" s="15">
        <f t="shared" si="402"/>
        <v>2.6034285838250071E-11</v>
      </c>
      <c r="AC79" s="15">
        <f t="shared" si="402"/>
        <v>-3.1246031539922114E-7</v>
      </c>
      <c r="AD79" s="13">
        <f t="shared" si="402"/>
        <v>9.8347663879394531E-5</v>
      </c>
      <c r="AE79" s="13">
        <f t="shared" si="402"/>
        <v>1.3081376552581787</v>
      </c>
      <c r="AF79" s="12">
        <f t="shared" si="402"/>
        <v>1.6832351684570313E-4</v>
      </c>
      <c r="AG79" s="12">
        <f t="shared" si="402"/>
        <v>-7.498136043548584</v>
      </c>
      <c r="AH79" s="13">
        <f t="shared" si="402"/>
        <v>-7.7852746471762657E-9</v>
      </c>
      <c r="AI79" s="13">
        <f t="shared" si="402"/>
        <v>1.3443597708828747E-4</v>
      </c>
      <c r="AJ79" s="11">
        <f t="shared" si="402"/>
        <v>-8.7857246398925781E-5</v>
      </c>
      <c r="AK79" s="11">
        <f t="shared" si="402"/>
        <v>1.9921032190322876</v>
      </c>
      <c r="AL79" s="11">
        <f t="shared" si="402"/>
        <v>0</v>
      </c>
      <c r="AM79" s="11">
        <f t="shared" si="402"/>
        <v>-14.25</v>
      </c>
      <c r="AN79" s="11">
        <f t="shared" si="402"/>
        <v>1.3932585716247559E-6</v>
      </c>
      <c r="AO79" s="11">
        <f t="shared" si="402"/>
        <v>-4.6915594488382339E-2</v>
      </c>
      <c r="AP79" s="11">
        <f t="shared" si="402"/>
        <v>35.872429609298706</v>
      </c>
      <c r="AQ79" s="11">
        <f t="shared" si="402"/>
        <v>10816250</v>
      </c>
      <c r="AR79" s="16">
        <f t="shared" si="402"/>
        <v>122775</v>
      </c>
      <c r="AS79" s="16">
        <f t="shared" si="402"/>
        <v>664475</v>
      </c>
      <c r="AT79" s="16">
        <f t="shared" si="402"/>
        <v>35.872429609298706</v>
      </c>
      <c r="AU79" s="7">
        <f t="shared" si="402"/>
        <v>0</v>
      </c>
      <c r="AV79" s="7">
        <f t="shared" si="402"/>
        <v>14.25</v>
      </c>
      <c r="AW79" s="7">
        <f t="shared" si="402"/>
        <v>1230.4000244140625</v>
      </c>
      <c r="AX79" s="7">
        <f t="shared" si="402"/>
        <v>0</v>
      </c>
      <c r="AY79" s="11">
        <f t="shared" si="402"/>
        <v>43.794578313827515</v>
      </c>
      <c r="AZ79" s="16">
        <f t="shared" si="402"/>
        <v>9425</v>
      </c>
      <c r="BA79" s="16">
        <f t="shared" si="402"/>
        <v>-1275</v>
      </c>
      <c r="BB79" s="16">
        <f t="shared" si="402"/>
        <v>24100</v>
      </c>
      <c r="BC79" s="11">
        <f t="shared" si="402"/>
        <v>0.91564655303955078</v>
      </c>
      <c r="BD79" s="11">
        <f t="shared" si="402"/>
        <v>7.8320503234863281E-5</v>
      </c>
      <c r="BE79" s="11">
        <f t="shared" si="402"/>
        <v>-66.977020263671875</v>
      </c>
      <c r="BF79" s="11">
        <f t="shared" si="402"/>
        <v>6.591033935546875E-2</v>
      </c>
      <c r="BG79" s="11">
        <f t="shared" si="402"/>
        <v>3.1446053981781006</v>
      </c>
      <c r="BH79" s="11">
        <f t="shared" si="402"/>
        <v>-2.2528171539306641E-3</v>
      </c>
      <c r="BI79" s="13">
        <f t="shared" si="402"/>
        <v>1.7382329679094255E-4</v>
      </c>
      <c r="BJ79" s="13">
        <f t="shared" si="402"/>
        <v>-6.3446350395679474E-8</v>
      </c>
      <c r="BK79" s="11">
        <f t="shared" si="402"/>
        <v>43.794578313827515</v>
      </c>
      <c r="BL79" s="12">
        <f t="shared" si="402"/>
        <v>-3.1782739162445068</v>
      </c>
      <c r="BM79" s="12">
        <f t="shared" si="402"/>
        <v>-4.4019222259521484E-3</v>
      </c>
      <c r="BN79" s="13">
        <f t="shared" si="402"/>
        <v>0.67694127559661865</v>
      </c>
      <c r="BO79" s="13">
        <f t="shared" si="402"/>
        <v>7.5674057006835938E-4</v>
      </c>
      <c r="BP79" s="15">
        <f t="shared" si="402"/>
        <v>-2.7332339413987938E-7</v>
      </c>
      <c r="BQ79" s="15">
        <f t="shared" si="402"/>
        <v>-8.7965190687100403E-11</v>
      </c>
      <c r="BR79" s="14">
        <f t="shared" si="402"/>
        <v>3.4229372977279127E-4</v>
      </c>
      <c r="BS79" s="14">
        <f t="shared" si="402"/>
        <v>5.3338590078055859E-7</v>
      </c>
      <c r="BT79" s="14">
        <f t="shared" si="402"/>
        <v>7.2905218985397369E-5</v>
      </c>
      <c r="BU79" s="14">
        <f t="shared" si="402"/>
        <v>9.4136339612305164E-8</v>
      </c>
      <c r="BV79" s="11">
        <f t="shared" si="402"/>
        <v>8890.8974609375</v>
      </c>
      <c r="BW79" s="11">
        <f t="shared" si="402"/>
        <v>15.3955078125</v>
      </c>
      <c r="BX79" s="11">
        <f t="shared" si="402"/>
        <v>2910.4638671875</v>
      </c>
      <c r="BY79" s="11">
        <f t="shared" si="402"/>
        <v>3.50390625</v>
      </c>
      <c r="BZ79" s="7">
        <f t="shared" si="402"/>
        <v>1228</v>
      </c>
      <c r="CA79" s="7">
        <f t="shared" si="402"/>
        <v>1320.300048828125</v>
      </c>
      <c r="CB79" s="7">
        <f t="shared" ref="CB79:CP79" si="403">IFERROR(VALUE(CB384),"-")</f>
        <v>1089.4000244140625</v>
      </c>
      <c r="CC79" s="7">
        <f t="shared" si="403"/>
        <v>1230.4000244140625</v>
      </c>
      <c r="CD79" s="7">
        <f t="shared" si="403"/>
        <v>1211.75</v>
      </c>
      <c r="CE79" s="3">
        <f t="shared" si="403"/>
        <v>25</v>
      </c>
      <c r="CF79" s="7">
        <f t="shared" si="403"/>
        <v>1207.75</v>
      </c>
      <c r="CG79" s="3">
        <f t="shared" si="403"/>
        <v>25</v>
      </c>
      <c r="CH79" s="7">
        <f t="shared" si="403"/>
        <v>1220.5</v>
      </c>
      <c r="CI79" s="7">
        <f t="shared" si="403"/>
        <v>14.300000190734863</v>
      </c>
      <c r="CJ79" s="3">
        <f t="shared" si="403"/>
        <v>650</v>
      </c>
      <c r="CK79" s="7">
        <f t="shared" si="403"/>
        <v>14.199999809265137</v>
      </c>
      <c r="CL79" s="3">
        <f t="shared" si="403"/>
        <v>50</v>
      </c>
      <c r="CM79" s="7">
        <f t="shared" si="403"/>
        <v>17.360000610351563</v>
      </c>
      <c r="CN79" s="10">
        <f t="shared" si="403"/>
        <v>44783.638194444444</v>
      </c>
      <c r="CO79" s="10">
        <f t="shared" si="403"/>
        <v>44783.638194444444</v>
      </c>
      <c r="CP79" s="7">
        <f t="shared" si="403"/>
        <v>38295.69921875</v>
      </c>
      <c r="CQ79" s="7" t="str">
        <f t="shared" ref="CQ79" si="404">IFERROR(CQ384,"-")</f>
        <v>FairPrice</v>
      </c>
      <c r="CR79" s="10">
        <f t="shared" ref="CR79:DG94" si="405">IFERROR(VALUE(CR384),"-")</f>
        <v>44783.638194444444</v>
      </c>
      <c r="CS79" s="7">
        <f t="shared" si="405"/>
        <v>1.952052116394043E-3</v>
      </c>
      <c r="CT79" s="7">
        <f t="shared" si="405"/>
        <v>5.4419462726199068E-5</v>
      </c>
      <c r="CU79" s="7">
        <f t="shared" si="405"/>
        <v>541700</v>
      </c>
      <c r="CV79" s="7">
        <f t="shared" si="405"/>
        <v>0.22664759091748199</v>
      </c>
      <c r="CW79" s="7">
        <f t="shared" si="405"/>
        <v>14.25</v>
      </c>
      <c r="CX79" s="7">
        <f t="shared" si="405"/>
        <v>0</v>
      </c>
      <c r="CY79" s="7">
        <f t="shared" si="405"/>
        <v>1230.4000244140625</v>
      </c>
      <c r="CZ79" s="7">
        <f t="shared" si="405"/>
        <v>0</v>
      </c>
      <c r="DA79" s="7">
        <f t="shared" si="405"/>
        <v>10700</v>
      </c>
      <c r="DB79" s="7">
        <f t="shared" si="405"/>
        <v>-0.1191588785046729</v>
      </c>
      <c r="DC79" s="7">
        <f t="shared" si="405"/>
        <v>-1.360476016998291E-2</v>
      </c>
      <c r="DD79" s="7">
        <f t="shared" si="405"/>
        <v>-3.1055294274594247E-4</v>
      </c>
      <c r="DE79" s="7">
        <f t="shared" si="405"/>
        <v>1230.4000244140625</v>
      </c>
      <c r="DF79" s="7">
        <f t="shared" si="405"/>
        <v>14.25</v>
      </c>
      <c r="DG79" s="7">
        <f t="shared" si="405"/>
        <v>38295.69921875</v>
      </c>
      <c r="DH79" s="7" t="str">
        <f t="shared" ref="DH79:DJ79" si="406">IFERROR(DH384,"-")</f>
        <v>W</v>
      </c>
      <c r="DI79" s="7" t="str">
        <f t="shared" si="406"/>
        <v>W</v>
      </c>
      <c r="DJ79" s="7" t="str">
        <f t="shared" si="406"/>
        <v>G</v>
      </c>
      <c r="DK79" s="64">
        <f t="shared" ref="DK79:DS79" si="407">IFERROR(VALUE(DK384),"-")</f>
        <v>38300</v>
      </c>
      <c r="DL79" s="64">
        <f t="shared" si="407"/>
        <v>3400000</v>
      </c>
      <c r="DM79" s="64">
        <f t="shared" si="407"/>
        <v>38500</v>
      </c>
      <c r="DN79" s="64">
        <f t="shared" si="407"/>
        <v>0</v>
      </c>
      <c r="DO79" s="64">
        <f t="shared" si="407"/>
        <v>24500</v>
      </c>
      <c r="DP79" s="64">
        <f t="shared" si="407"/>
        <v>2863350</v>
      </c>
      <c r="DQ79" s="64">
        <f t="shared" si="407"/>
        <v>38000</v>
      </c>
      <c r="DR79" s="64">
        <f t="shared" si="407"/>
        <v>0</v>
      </c>
      <c r="DS79" s="64">
        <f t="shared" si="407"/>
        <v>24500</v>
      </c>
      <c r="DT79" t="str">
        <f t="shared" si="338"/>
        <v>BANKNIFTY</v>
      </c>
      <c r="DU79" s="10">
        <f t="shared" si="339"/>
        <v>44784</v>
      </c>
    </row>
    <row r="80" spans="1:125" x14ac:dyDescent="0.25">
      <c r="A80" t="s">
        <v>32</v>
      </c>
      <c r="B80" s="2">
        <v>44798</v>
      </c>
      <c r="C80" s="1">
        <v>5850</v>
      </c>
      <c r="D80">
        <v>48</v>
      </c>
      <c r="G80" t="str">
        <f t="array" ref="G80">IFERROR(INDEX($A$2:$A$700,MATCH(0,COUNTIF($G$1:G79,$A$2:$A$700),0)),"")</f>
        <v>HCLTECH</v>
      </c>
      <c r="M80" s="3"/>
      <c r="N80" s="3"/>
      <c r="O80" s="3">
        <f t="shared" si="340"/>
        <v>37200</v>
      </c>
      <c r="P80" s="7">
        <f t="shared" ref="P80:CA80" si="408">IFERROR(VALUE(P385),"-")</f>
        <v>17.299999237060547</v>
      </c>
      <c r="Q80" s="7">
        <f t="shared" si="408"/>
        <v>11.050000190734863</v>
      </c>
      <c r="R80" s="7">
        <f t="shared" si="408"/>
        <v>34.799999237060547</v>
      </c>
      <c r="S80" s="7">
        <f t="shared" si="408"/>
        <v>15.050000190734863</v>
      </c>
      <c r="T80" s="11">
        <f t="shared" si="408"/>
        <v>0.29443359375</v>
      </c>
      <c r="U80" s="11">
        <f t="shared" si="408"/>
        <v>4777.984375</v>
      </c>
      <c r="V80" s="11">
        <f t="shared" si="408"/>
        <v>-0.66015625</v>
      </c>
      <c r="W80" s="11">
        <f t="shared" si="408"/>
        <v>20100.669921875</v>
      </c>
      <c r="X80" s="14">
        <f t="shared" si="408"/>
        <v>1.7025740817189217E-9</v>
      </c>
      <c r="Y80" s="14">
        <f t="shared" si="408"/>
        <v>1.1561645078472793E-4</v>
      </c>
      <c r="Z80" s="14">
        <f t="shared" si="408"/>
        <v>-5.8324076235294342E-8</v>
      </c>
      <c r="AA80" s="14">
        <f t="shared" si="408"/>
        <v>6.8322819424793124E-4</v>
      </c>
      <c r="AB80" s="15">
        <f t="shared" si="408"/>
        <v>3.2031266528065316E-11</v>
      </c>
      <c r="AC80" s="15">
        <f t="shared" si="408"/>
        <v>-3.6555925930770172E-7</v>
      </c>
      <c r="AD80" s="13">
        <f t="shared" si="408"/>
        <v>8.2254409790039063E-5</v>
      </c>
      <c r="AE80" s="13">
        <f t="shared" si="408"/>
        <v>1.0584138631820679</v>
      </c>
      <c r="AF80" s="12">
        <f t="shared" si="408"/>
        <v>1.4019012451171875E-4</v>
      </c>
      <c r="AG80" s="12">
        <f t="shared" si="408"/>
        <v>-6.2546305656433105</v>
      </c>
      <c r="AH80" s="13">
        <f t="shared" si="408"/>
        <v>-9.9098542705178261E-9</v>
      </c>
      <c r="AI80" s="13">
        <f t="shared" si="408"/>
        <v>1.6160644008778036E-4</v>
      </c>
      <c r="AJ80" s="11">
        <f t="shared" si="408"/>
        <v>-1.0466575622558594E-4</v>
      </c>
      <c r="AK80" s="11">
        <f t="shared" si="408"/>
        <v>2.3227956295013428</v>
      </c>
      <c r="AL80" s="11">
        <f t="shared" si="408"/>
        <v>0</v>
      </c>
      <c r="AM80" s="11">
        <f t="shared" si="408"/>
        <v>-17.299999237060547</v>
      </c>
      <c r="AN80" s="11">
        <f t="shared" si="408"/>
        <v>1.7918646335601807E-6</v>
      </c>
      <c r="AO80" s="11">
        <f t="shared" si="408"/>
        <v>-5.691484734416008E-2</v>
      </c>
      <c r="AP80" s="11">
        <f t="shared" si="408"/>
        <v>34.794813394546509</v>
      </c>
      <c r="AQ80" s="11">
        <f t="shared" si="408"/>
        <v>14346925</v>
      </c>
      <c r="AR80" s="16">
        <f t="shared" si="408"/>
        <v>105700</v>
      </c>
      <c r="AS80" s="16">
        <f t="shared" si="408"/>
        <v>1065825</v>
      </c>
      <c r="AT80" s="16">
        <f t="shared" si="408"/>
        <v>34.794813394546509</v>
      </c>
      <c r="AU80" s="7">
        <f t="shared" si="408"/>
        <v>0</v>
      </c>
      <c r="AV80" s="7">
        <f t="shared" si="408"/>
        <v>17.299999237060547</v>
      </c>
      <c r="AW80" s="7">
        <f t="shared" si="408"/>
        <v>1114</v>
      </c>
      <c r="AX80" s="7">
        <f t="shared" si="408"/>
        <v>0</v>
      </c>
      <c r="AY80" s="11">
        <f t="shared" si="408"/>
        <v>35.237827897071838</v>
      </c>
      <c r="AZ80" s="16">
        <f t="shared" si="408"/>
        <v>23750</v>
      </c>
      <c r="BA80" s="16">
        <f t="shared" si="408"/>
        <v>-3300</v>
      </c>
      <c r="BB80" s="16">
        <f t="shared" si="408"/>
        <v>44750</v>
      </c>
      <c r="BC80" s="11">
        <f t="shared" si="408"/>
        <v>0.94079267978668213</v>
      </c>
      <c r="BD80" s="11">
        <f t="shared" si="408"/>
        <v>1.1977553367614746E-3</v>
      </c>
      <c r="BE80" s="11">
        <f t="shared" si="408"/>
        <v>-41.060714721679688</v>
      </c>
      <c r="BF80" s="11">
        <f t="shared" si="408"/>
        <v>0.9003448486328125</v>
      </c>
      <c r="BG80" s="11">
        <f t="shared" si="408"/>
        <v>2.3960549831390381</v>
      </c>
      <c r="BH80" s="11">
        <f t="shared" si="408"/>
        <v>-3.7908077239990234E-2</v>
      </c>
      <c r="BI80" s="13">
        <f t="shared" si="408"/>
        <v>1.6460090409964323E-4</v>
      </c>
      <c r="BJ80" s="13">
        <f t="shared" si="408"/>
        <v>-1.5954574337229133E-6</v>
      </c>
      <c r="BK80" s="11">
        <f t="shared" si="408"/>
        <v>35.237827897071838</v>
      </c>
      <c r="BL80" s="12">
        <f t="shared" si="408"/>
        <v>-5.9107217788696289</v>
      </c>
      <c r="BM80" s="12">
        <f t="shared" si="408"/>
        <v>-0.16525077819824219</v>
      </c>
      <c r="BN80" s="13">
        <f t="shared" si="408"/>
        <v>1.0129084587097168</v>
      </c>
      <c r="BO80" s="13">
        <f t="shared" si="408"/>
        <v>2.2400140762329102E-2</v>
      </c>
      <c r="BP80" s="15">
        <f t="shared" si="408"/>
        <v>-3.6315975648903986E-7</v>
      </c>
      <c r="BQ80" s="15">
        <f t="shared" si="408"/>
        <v>-9.8825125860457774E-10</v>
      </c>
      <c r="BR80" s="14">
        <f t="shared" si="408"/>
        <v>6.5814686240628362E-4</v>
      </c>
      <c r="BS80" s="14">
        <f t="shared" si="408"/>
        <v>1.2325064744800329E-5</v>
      </c>
      <c r="BT80" s="14">
        <f t="shared" si="408"/>
        <v>1.1278530291747302E-4</v>
      </c>
      <c r="BU80" s="14">
        <f t="shared" si="408"/>
        <v>1.446853275410831E-6</v>
      </c>
      <c r="BV80" s="11">
        <f t="shared" si="408"/>
        <v>18758.576171875</v>
      </c>
      <c r="BW80" s="11">
        <f t="shared" si="408"/>
        <v>642.03515625</v>
      </c>
      <c r="BX80" s="11">
        <f t="shared" si="408"/>
        <v>4549.060546875</v>
      </c>
      <c r="BY80" s="11">
        <f t="shared" si="408"/>
        <v>112.18359375</v>
      </c>
      <c r="BZ80" s="7">
        <f t="shared" si="408"/>
        <v>1132.550048828125</v>
      </c>
      <c r="CA80" s="7">
        <f t="shared" si="408"/>
        <v>1220</v>
      </c>
      <c r="CB80" s="7">
        <f t="shared" ref="CB80:CP80" si="409">IFERROR(VALUE(CB385),"-")</f>
        <v>995.54998779296875</v>
      </c>
      <c r="CC80" s="7">
        <f t="shared" si="409"/>
        <v>1114</v>
      </c>
      <c r="CD80" s="7">
        <f t="shared" si="409"/>
        <v>1115.3499755859375</v>
      </c>
      <c r="CE80" s="3">
        <f t="shared" si="409"/>
        <v>25</v>
      </c>
      <c r="CF80" s="7">
        <f t="shared" si="409"/>
        <v>1112.8499755859375</v>
      </c>
      <c r="CG80" s="3">
        <f t="shared" si="409"/>
        <v>25</v>
      </c>
      <c r="CH80" s="7">
        <f t="shared" si="409"/>
        <v>1134.3399658203125</v>
      </c>
      <c r="CI80" s="7">
        <f t="shared" si="409"/>
        <v>17.350000381469727</v>
      </c>
      <c r="CJ80" s="3">
        <f t="shared" si="409"/>
        <v>7025</v>
      </c>
      <c r="CK80" s="7">
        <f t="shared" si="409"/>
        <v>17.25</v>
      </c>
      <c r="CL80" s="3">
        <f t="shared" si="409"/>
        <v>800</v>
      </c>
      <c r="CM80" s="7">
        <f t="shared" si="409"/>
        <v>20.329999923706055</v>
      </c>
      <c r="CN80" s="10">
        <f t="shared" si="409"/>
        <v>44783.638194444444</v>
      </c>
      <c r="CO80" s="10">
        <f t="shared" si="409"/>
        <v>44783.638194444444</v>
      </c>
      <c r="CP80" s="7">
        <f t="shared" si="409"/>
        <v>38295.69921875</v>
      </c>
      <c r="CQ80" s="7" t="str">
        <f t="shared" ref="CQ80" si="410">IFERROR(CQ385,"-")</f>
        <v>FairPrice</v>
      </c>
      <c r="CR80" s="10">
        <f t="shared" si="405"/>
        <v>44783.638194444444</v>
      </c>
      <c r="CS80" s="7">
        <f t="shared" si="405"/>
        <v>1.9788742065429688E-3</v>
      </c>
      <c r="CT80" s="7">
        <f t="shared" si="405"/>
        <v>5.6875912348737052E-5</v>
      </c>
      <c r="CU80" s="7">
        <f t="shared" si="405"/>
        <v>960125</v>
      </c>
      <c r="CV80" s="7">
        <f t="shared" si="405"/>
        <v>0.11008983205311808</v>
      </c>
      <c r="CW80" s="7">
        <f t="shared" si="405"/>
        <v>17.299999237060547</v>
      </c>
      <c r="CX80" s="7">
        <f t="shared" si="405"/>
        <v>0</v>
      </c>
      <c r="CY80" s="7">
        <f t="shared" si="405"/>
        <v>1114</v>
      </c>
      <c r="CZ80" s="7">
        <f t="shared" si="405"/>
        <v>0</v>
      </c>
      <c r="DA80" s="7">
        <f t="shared" si="405"/>
        <v>27050</v>
      </c>
      <c r="DB80" s="7">
        <f t="shared" si="405"/>
        <v>-0.12199630314232902</v>
      </c>
      <c r="DC80" s="7">
        <f t="shared" si="405"/>
        <v>-0.21335184574127197</v>
      </c>
      <c r="DD80" s="7">
        <f t="shared" si="405"/>
        <v>-6.0181874704613751E-3</v>
      </c>
      <c r="DE80" s="7">
        <f t="shared" si="405"/>
        <v>1114</v>
      </c>
      <c r="DF80" s="7">
        <f t="shared" si="405"/>
        <v>17.299999237060547</v>
      </c>
      <c r="DG80" s="7">
        <f t="shared" si="405"/>
        <v>38295.69921875</v>
      </c>
      <c r="DH80" s="7" t="str">
        <f t="shared" ref="DH80:DJ80" si="411">IFERROR(DH385,"-")</f>
        <v>W</v>
      </c>
      <c r="DI80" s="7" t="str">
        <f t="shared" si="411"/>
        <v>W</v>
      </c>
      <c r="DJ80" s="7" t="str">
        <f t="shared" si="411"/>
        <v>G</v>
      </c>
      <c r="DK80" s="64">
        <f t="shared" ref="DK80:DS80" si="412">IFERROR(VALUE(DK385),"-")</f>
        <v>38300</v>
      </c>
      <c r="DL80" s="64">
        <f t="shared" si="412"/>
        <v>3400000</v>
      </c>
      <c r="DM80" s="64">
        <f t="shared" si="412"/>
        <v>38500</v>
      </c>
      <c r="DN80" s="64">
        <f t="shared" si="412"/>
        <v>0</v>
      </c>
      <c r="DO80" s="64">
        <f t="shared" si="412"/>
        <v>24500</v>
      </c>
      <c r="DP80" s="64">
        <f t="shared" si="412"/>
        <v>2863350</v>
      </c>
      <c r="DQ80" s="64">
        <f t="shared" si="412"/>
        <v>38000</v>
      </c>
      <c r="DR80" s="64">
        <f t="shared" si="412"/>
        <v>0</v>
      </c>
      <c r="DS80" s="64">
        <f t="shared" si="412"/>
        <v>24500</v>
      </c>
      <c r="DT80" t="str">
        <f t="shared" si="338"/>
        <v>BANKNIFTY</v>
      </c>
      <c r="DU80" s="10">
        <f t="shared" si="339"/>
        <v>44784</v>
      </c>
    </row>
    <row r="81" spans="1:125" x14ac:dyDescent="0.25">
      <c r="A81" t="s">
        <v>32</v>
      </c>
      <c r="B81" s="2">
        <v>44833</v>
      </c>
      <c r="C81" s="1">
        <v>5850</v>
      </c>
      <c r="D81">
        <v>48</v>
      </c>
      <c r="G81" t="str">
        <f t="array" ref="G81">IFERROR(INDEX($A$2:$A$700,MATCH(0,COUNTIF($G$1:G80,$A$2:$A$700),0)),"")</f>
        <v>HDFC</v>
      </c>
      <c r="M81" s="3"/>
      <c r="N81" s="3"/>
      <c r="O81" s="3">
        <f t="shared" si="340"/>
        <v>37300</v>
      </c>
      <c r="P81" s="7">
        <f t="shared" ref="P81:CA81" si="413">IFERROR(VALUE(P386),"-")</f>
        <v>21</v>
      </c>
      <c r="Q81" s="7">
        <f t="shared" si="413"/>
        <v>13.199999809265137</v>
      </c>
      <c r="R81" s="7">
        <f t="shared" si="413"/>
        <v>45.549999237060547</v>
      </c>
      <c r="S81" s="7">
        <f t="shared" si="413"/>
        <v>30.899999618530273</v>
      </c>
      <c r="T81" s="11">
        <f t="shared" si="413"/>
        <v>7.541748046875</v>
      </c>
      <c r="U81" s="11">
        <f t="shared" si="413"/>
        <v>3756.286865234375</v>
      </c>
      <c r="V81" s="11">
        <f t="shared" si="413"/>
        <v>44.076171875</v>
      </c>
      <c r="W81" s="11">
        <f t="shared" si="413"/>
        <v>15706.62890625</v>
      </c>
      <c r="X81" s="14">
        <f t="shared" si="413"/>
        <v>1.5649129636585712E-7</v>
      </c>
      <c r="Y81" s="14">
        <f t="shared" si="413"/>
        <v>1.1069765605498105E-4</v>
      </c>
      <c r="Z81" s="14">
        <f t="shared" si="413"/>
        <v>1.2569362297654152E-6</v>
      </c>
      <c r="AA81" s="14">
        <f t="shared" si="413"/>
        <v>6.7593908170238137E-4</v>
      </c>
      <c r="AB81" s="15">
        <f t="shared" si="413"/>
        <v>-1.4614442989113741E-10</v>
      </c>
      <c r="AC81" s="15">
        <f t="shared" si="413"/>
        <v>-4.2570189862090047E-7</v>
      </c>
      <c r="AD81" s="13">
        <f t="shared" si="413"/>
        <v>1.5599727630615234E-3</v>
      </c>
      <c r="AE81" s="13">
        <f t="shared" si="413"/>
        <v>0.85346972942352295</v>
      </c>
      <c r="AF81" s="12">
        <f t="shared" si="413"/>
        <v>-1.1847496032714844E-2</v>
      </c>
      <c r="AG81" s="12">
        <f t="shared" si="413"/>
        <v>-5.2114338874816895</v>
      </c>
      <c r="AH81" s="13">
        <f t="shared" si="413"/>
        <v>-1.3760291039943695E-7</v>
      </c>
      <c r="AI81" s="13">
        <f t="shared" si="413"/>
        <v>1.9413515110500157E-4</v>
      </c>
      <c r="AJ81" s="11">
        <f t="shared" si="413"/>
        <v>-3.3478736877441406E-3</v>
      </c>
      <c r="AK81" s="11">
        <f t="shared" si="413"/>
        <v>2.7004196643829346</v>
      </c>
      <c r="AL81" s="11">
        <f t="shared" si="413"/>
        <v>4.9999237060546875E-2</v>
      </c>
      <c r="AM81" s="11">
        <f t="shared" si="413"/>
        <v>-21</v>
      </c>
      <c r="AN81" s="11">
        <f t="shared" si="413"/>
        <v>1.0929256677627563E-4</v>
      </c>
      <c r="AO81" s="11">
        <f t="shared" si="413"/>
        <v>-6.9052256643772125E-2</v>
      </c>
      <c r="AP81" s="11">
        <f t="shared" si="413"/>
        <v>33.673754334449768</v>
      </c>
      <c r="AQ81" s="11">
        <f t="shared" si="413"/>
        <v>14941925</v>
      </c>
      <c r="AR81" s="16">
        <f t="shared" si="413"/>
        <v>465550</v>
      </c>
      <c r="AS81" s="16">
        <f t="shared" si="413"/>
        <v>1162950</v>
      </c>
      <c r="AT81" s="16">
        <f t="shared" si="413"/>
        <v>33.673754334449768</v>
      </c>
      <c r="AU81" s="7">
        <f t="shared" si="413"/>
        <v>-4.9999237060546875E-2</v>
      </c>
      <c r="AV81" s="7">
        <f t="shared" si="413"/>
        <v>21</v>
      </c>
      <c r="AW81" s="7">
        <f t="shared" si="413"/>
        <v>1019.8499755859375</v>
      </c>
      <c r="AX81" s="7">
        <f t="shared" si="413"/>
        <v>0</v>
      </c>
      <c r="AY81" s="11">
        <f t="shared" si="413"/>
        <v>34.802338480949402</v>
      </c>
      <c r="AZ81" s="16">
        <f t="shared" si="413"/>
        <v>25300</v>
      </c>
      <c r="BA81" s="16">
        <f t="shared" si="413"/>
        <v>-18100</v>
      </c>
      <c r="BB81" s="16">
        <f t="shared" si="413"/>
        <v>114050</v>
      </c>
      <c r="BC81" s="11">
        <f t="shared" si="413"/>
        <v>0.92443186044692993</v>
      </c>
      <c r="BD81" s="11">
        <f t="shared" si="413"/>
        <v>1.0257959365844727E-4</v>
      </c>
      <c r="BE81" s="11">
        <f t="shared" si="413"/>
        <v>-48.976932525634766</v>
      </c>
      <c r="BF81" s="11">
        <f t="shared" si="413"/>
        <v>7.0964813232421875E-2</v>
      </c>
      <c r="BG81" s="11">
        <f t="shared" si="413"/>
        <v>2.8936352729797363</v>
      </c>
      <c r="BH81" s="11">
        <f t="shared" si="413"/>
        <v>-3.0519962310791016E-3</v>
      </c>
      <c r="BI81" s="13">
        <f t="shared" si="413"/>
        <v>2.0127856987528503E-4</v>
      </c>
      <c r="BJ81" s="13">
        <f t="shared" si="413"/>
        <v>-1.1608062777668238E-7</v>
      </c>
      <c r="BK81" s="11">
        <f t="shared" si="413"/>
        <v>34.802338480949402</v>
      </c>
      <c r="BL81" s="12">
        <f t="shared" si="413"/>
        <v>-4.5517125129699707</v>
      </c>
      <c r="BM81" s="12">
        <f t="shared" si="413"/>
        <v>-9.0279579162597656E-3</v>
      </c>
      <c r="BN81" s="13">
        <f t="shared" si="413"/>
        <v>0.77041119337081909</v>
      </c>
      <c r="BO81" s="13">
        <f t="shared" si="413"/>
        <v>1.2251734733581543E-3</v>
      </c>
      <c r="BP81" s="15">
        <f t="shared" si="413"/>
        <v>-4.1374678971806134E-7</v>
      </c>
      <c r="BQ81" s="15">
        <f t="shared" si="413"/>
        <v>-1.5327827895816881E-10</v>
      </c>
      <c r="BR81" s="14">
        <f t="shared" si="413"/>
        <v>5.9814495034515858E-4</v>
      </c>
      <c r="BS81" s="14">
        <f t="shared" si="413"/>
        <v>1.1118827387690544E-6</v>
      </c>
      <c r="BT81" s="14">
        <f t="shared" si="413"/>
        <v>1.0124049003934488E-4</v>
      </c>
      <c r="BU81" s="14">
        <f t="shared" si="413"/>
        <v>1.4840043149888515E-7</v>
      </c>
      <c r="BV81" s="11">
        <f t="shared" si="413"/>
        <v>13280.2392578125</v>
      </c>
      <c r="BW81" s="11">
        <f t="shared" si="413"/>
        <v>32.7216796875</v>
      </c>
      <c r="BX81" s="11">
        <f t="shared" si="413"/>
        <v>3352.7568359375</v>
      </c>
      <c r="BY81" s="11">
        <f t="shared" si="413"/>
        <v>5.822265625</v>
      </c>
      <c r="BZ81" s="7">
        <f t="shared" si="413"/>
        <v>1018.4500122070313</v>
      </c>
      <c r="CA81" s="7">
        <f t="shared" si="413"/>
        <v>1121.550048828125</v>
      </c>
      <c r="CB81" s="7">
        <f t="shared" ref="CB81:CP81" si="414">IFERROR(VALUE(CB386),"-")</f>
        <v>900</v>
      </c>
      <c r="CC81" s="7">
        <f t="shared" si="414"/>
        <v>1019.8499755859375</v>
      </c>
      <c r="CD81" s="7">
        <f t="shared" si="414"/>
        <v>1019.7999877929688</v>
      </c>
      <c r="CE81" s="3">
        <f t="shared" si="414"/>
        <v>100</v>
      </c>
      <c r="CF81" s="7">
        <f t="shared" si="414"/>
        <v>1016.5999755859375</v>
      </c>
      <c r="CG81" s="3">
        <f t="shared" si="414"/>
        <v>100</v>
      </c>
      <c r="CH81" s="7">
        <f t="shared" si="414"/>
        <v>1039.949951171875</v>
      </c>
      <c r="CI81" s="7">
        <f t="shared" si="414"/>
        <v>21.049999237060547</v>
      </c>
      <c r="CJ81" s="3">
        <f t="shared" si="414"/>
        <v>200</v>
      </c>
      <c r="CK81" s="7">
        <f t="shared" si="414"/>
        <v>21</v>
      </c>
      <c r="CL81" s="3">
        <f t="shared" si="414"/>
        <v>175</v>
      </c>
      <c r="CM81" s="7">
        <f t="shared" si="414"/>
        <v>24.329999923706055</v>
      </c>
      <c r="CN81" s="10">
        <f t="shared" si="414"/>
        <v>44783.638194444444</v>
      </c>
      <c r="CO81" s="10">
        <f t="shared" si="414"/>
        <v>44783.638194444444</v>
      </c>
      <c r="CP81" s="7">
        <f t="shared" si="414"/>
        <v>38295.69921875</v>
      </c>
      <c r="CQ81" s="7" t="str">
        <f t="shared" ref="CQ81" si="415">IFERROR(CQ386,"-")</f>
        <v>FairPrice</v>
      </c>
      <c r="CR81" s="10">
        <f t="shared" si="405"/>
        <v>44783.638194444444</v>
      </c>
      <c r="CS81" s="7">
        <f t="shared" si="405"/>
        <v>-1.6498565673828125E-2</v>
      </c>
      <c r="CT81" s="7">
        <f t="shared" si="405"/>
        <v>-4.8971332221040107E-4</v>
      </c>
      <c r="CU81" s="7">
        <f t="shared" si="405"/>
        <v>697400</v>
      </c>
      <c r="CV81" s="7">
        <f t="shared" si="405"/>
        <v>0.66755090335531975</v>
      </c>
      <c r="CW81" s="7">
        <f t="shared" si="405"/>
        <v>21</v>
      </c>
      <c r="CX81" s="7">
        <f t="shared" si="405"/>
        <v>-2.3752607540487893E-3</v>
      </c>
      <c r="CY81" s="7">
        <f t="shared" si="405"/>
        <v>1019.8499755859375</v>
      </c>
      <c r="CZ81" s="7">
        <f t="shared" si="405"/>
        <v>0</v>
      </c>
      <c r="DA81" s="7">
        <f t="shared" si="405"/>
        <v>43400</v>
      </c>
      <c r="DB81" s="7">
        <f t="shared" si="405"/>
        <v>-0.41705069124423966</v>
      </c>
      <c r="DC81" s="7">
        <f t="shared" si="405"/>
        <v>-1.5214085578918457E-2</v>
      </c>
      <c r="DD81" s="7">
        <f t="shared" si="405"/>
        <v>-4.3696596852543974E-4</v>
      </c>
      <c r="DE81" s="7">
        <f t="shared" si="405"/>
        <v>1019.8499755859375</v>
      </c>
      <c r="DF81" s="7">
        <f t="shared" si="405"/>
        <v>21</v>
      </c>
      <c r="DG81" s="7">
        <f t="shared" si="405"/>
        <v>38295.69921875</v>
      </c>
      <c r="DH81" s="7" t="str">
        <f t="shared" ref="DH81:DJ81" si="416">IFERROR(DH386,"-")</f>
        <v>W</v>
      </c>
      <c r="DI81" s="7" t="str">
        <f t="shared" si="416"/>
        <v>R</v>
      </c>
      <c r="DJ81" s="7" t="str">
        <f t="shared" si="416"/>
        <v>G</v>
      </c>
      <c r="DK81" s="64">
        <f t="shared" ref="DK81:DS81" si="417">IFERROR(VALUE(DK386),"-")</f>
        <v>38300</v>
      </c>
      <c r="DL81" s="64">
        <f t="shared" si="417"/>
        <v>3400000</v>
      </c>
      <c r="DM81" s="64">
        <f t="shared" si="417"/>
        <v>38500</v>
      </c>
      <c r="DN81" s="64">
        <f t="shared" si="417"/>
        <v>0</v>
      </c>
      <c r="DO81" s="64">
        <f t="shared" si="417"/>
        <v>24500</v>
      </c>
      <c r="DP81" s="64">
        <f t="shared" si="417"/>
        <v>2863350</v>
      </c>
      <c r="DQ81" s="64">
        <f t="shared" si="417"/>
        <v>38000</v>
      </c>
      <c r="DR81" s="64">
        <f t="shared" si="417"/>
        <v>0</v>
      </c>
      <c r="DS81" s="64">
        <f t="shared" si="417"/>
        <v>24500</v>
      </c>
      <c r="DT81" t="str">
        <f t="shared" si="338"/>
        <v>BANKNIFTY</v>
      </c>
      <c r="DU81" s="10">
        <f t="shared" si="339"/>
        <v>44784</v>
      </c>
    </row>
    <row r="82" spans="1:125" x14ac:dyDescent="0.25">
      <c r="A82" t="s">
        <v>32</v>
      </c>
      <c r="B82" s="2">
        <v>44861</v>
      </c>
      <c r="C82" s="1">
        <v>5850</v>
      </c>
      <c r="D82">
        <v>48</v>
      </c>
      <c r="G82" t="str">
        <f t="array" ref="G82">IFERROR(INDEX($A$2:$A$700,MATCH(0,COUNTIF($G$1:G81,$A$2:$A$700),0)),"")</f>
        <v>HDFCAMC</v>
      </c>
      <c r="M82" s="3"/>
      <c r="N82" s="3"/>
      <c r="O82" s="3">
        <f t="shared" si="340"/>
        <v>37400</v>
      </c>
      <c r="P82" s="7">
        <f t="shared" ref="P82:CA82" si="418">IFERROR(VALUE(P387),"-")</f>
        <v>26.049999237060547</v>
      </c>
      <c r="Q82" s="7">
        <f t="shared" si="418"/>
        <v>16.049999237060547</v>
      </c>
      <c r="R82" s="7">
        <f t="shared" si="418"/>
        <v>52.150001525878906</v>
      </c>
      <c r="S82" s="7">
        <f t="shared" si="418"/>
        <v>22</v>
      </c>
      <c r="T82" s="11">
        <f t="shared" si="418"/>
        <v>9.018310546875</v>
      </c>
      <c r="U82" s="11">
        <f t="shared" si="418"/>
        <v>2893.846923828125</v>
      </c>
      <c r="V82" s="11">
        <f t="shared" si="418"/>
        <v>55.12890625</v>
      </c>
      <c r="W82" s="11">
        <f t="shared" si="418"/>
        <v>11837.7724609375</v>
      </c>
      <c r="X82" s="14">
        <f t="shared" si="418"/>
        <v>3.3140531741082668E-7</v>
      </c>
      <c r="Y82" s="14">
        <f t="shared" si="418"/>
        <v>9.7937278042081743E-5</v>
      </c>
      <c r="Z82" s="14">
        <f t="shared" si="418"/>
        <v>2.6123016141355038E-6</v>
      </c>
      <c r="AA82" s="14">
        <f t="shared" si="418"/>
        <v>6.1596592422574759E-4</v>
      </c>
      <c r="AB82" s="15">
        <f t="shared" si="418"/>
        <v>-4.7458570406888612E-10</v>
      </c>
      <c r="AC82" s="15">
        <f t="shared" si="418"/>
        <v>-4.8958554543787614E-7</v>
      </c>
      <c r="AD82" s="13">
        <f t="shared" si="418"/>
        <v>1.9261837005615234E-3</v>
      </c>
      <c r="AE82" s="13">
        <f t="shared" si="418"/>
        <v>0.67463392019271851</v>
      </c>
      <c r="AF82" s="12">
        <f t="shared" si="418"/>
        <v>-1.5753269195556641E-2</v>
      </c>
      <c r="AG82" s="12">
        <f t="shared" si="418"/>
        <v>-4.243037223815918</v>
      </c>
      <c r="AH82" s="13">
        <f t="shared" si="418"/>
        <v>-2.1050800569355488E-7</v>
      </c>
      <c r="AI82" s="13">
        <f t="shared" si="418"/>
        <v>2.3402927035931498E-4</v>
      </c>
      <c r="AJ82" s="11">
        <f t="shared" si="418"/>
        <v>-5.8317184448242188E-3</v>
      </c>
      <c r="AK82" s="11">
        <f t="shared" si="418"/>
        <v>3.1605303287506104</v>
      </c>
      <c r="AL82" s="11">
        <f t="shared" si="418"/>
        <v>0.10000038146972656</v>
      </c>
      <c r="AM82" s="11">
        <f t="shared" si="418"/>
        <v>-26.049999237060547</v>
      </c>
      <c r="AN82" s="11">
        <f t="shared" si="418"/>
        <v>2.0682811737060547E-4</v>
      </c>
      <c r="AO82" s="11">
        <f t="shared" si="418"/>
        <v>-8.4923513233661652E-2</v>
      </c>
      <c r="AP82" s="11">
        <f t="shared" si="418"/>
        <v>32.692790031433105</v>
      </c>
      <c r="AQ82" s="11">
        <f t="shared" si="418"/>
        <v>16274100</v>
      </c>
      <c r="AR82" s="16">
        <f t="shared" si="418"/>
        <v>332425</v>
      </c>
      <c r="AS82" s="16">
        <f t="shared" si="418"/>
        <v>984650</v>
      </c>
      <c r="AT82" s="16">
        <f t="shared" si="418"/>
        <v>32.692790031433105</v>
      </c>
      <c r="AU82" s="7">
        <f t="shared" si="418"/>
        <v>-0.10000038146972656</v>
      </c>
      <c r="AV82" s="7">
        <f t="shared" si="418"/>
        <v>26.049999237060547</v>
      </c>
      <c r="AW82" s="7">
        <f t="shared" si="418"/>
        <v>923.54998779296875</v>
      </c>
      <c r="AX82" s="7">
        <f t="shared" si="418"/>
        <v>0</v>
      </c>
      <c r="AY82" s="11">
        <f t="shared" si="418"/>
        <v>33.266681432723999</v>
      </c>
      <c r="AZ82" s="16">
        <f t="shared" si="418"/>
        <v>44625</v>
      </c>
      <c r="BA82" s="16">
        <f t="shared" si="418"/>
        <v>-8375</v>
      </c>
      <c r="BB82" s="16">
        <f t="shared" si="418"/>
        <v>126925</v>
      </c>
      <c r="BC82" s="11">
        <f t="shared" si="418"/>
        <v>0.91136586666107178</v>
      </c>
      <c r="BD82" s="11">
        <f t="shared" si="418"/>
        <v>1.1125802993774414E-3</v>
      </c>
      <c r="BE82" s="11">
        <f t="shared" si="418"/>
        <v>-52.793163299560547</v>
      </c>
      <c r="BF82" s="11">
        <f t="shared" si="418"/>
        <v>0.7340087890625</v>
      </c>
      <c r="BG82" s="11">
        <f t="shared" si="418"/>
        <v>3.2632296085357666</v>
      </c>
      <c r="BH82" s="11">
        <f t="shared" si="418"/>
        <v>-3.0456304550170898E-2</v>
      </c>
      <c r="BI82" s="13">
        <f t="shared" si="418"/>
        <v>2.3745576618239284E-4</v>
      </c>
      <c r="BJ82" s="13">
        <f t="shared" si="418"/>
        <v>-1.1220836313441396E-6</v>
      </c>
      <c r="BK82" s="11">
        <f t="shared" si="418"/>
        <v>33.266681432723999</v>
      </c>
      <c r="BL82" s="12">
        <f t="shared" si="418"/>
        <v>-3.9678103923797607</v>
      </c>
      <c r="BM82" s="12">
        <f t="shared" si="418"/>
        <v>-7.5060367584228516E-2</v>
      </c>
      <c r="BN82" s="13">
        <f t="shared" si="418"/>
        <v>0.64192003011703491</v>
      </c>
      <c r="BO82" s="13">
        <f t="shared" si="418"/>
        <v>9.2917084693908691E-3</v>
      </c>
      <c r="BP82" s="15">
        <f t="shared" si="418"/>
        <v>-4.8003471420088317E-7</v>
      </c>
      <c r="BQ82" s="15">
        <f t="shared" si="418"/>
        <v>-2.3241568669618573E-9</v>
      </c>
      <c r="BR82" s="14">
        <f t="shared" si="418"/>
        <v>5.6857801973819733E-4</v>
      </c>
      <c r="BS82" s="14">
        <f t="shared" si="418"/>
        <v>1.3157434295862913E-5</v>
      </c>
      <c r="BT82" s="14">
        <f t="shared" si="418"/>
        <v>9.1985653853043914E-5</v>
      </c>
      <c r="BU82" s="14">
        <f t="shared" si="418"/>
        <v>1.7217607819475234E-6</v>
      </c>
      <c r="BV82" s="11">
        <f t="shared" si="418"/>
        <v>10880.7666015625</v>
      </c>
      <c r="BW82" s="11">
        <f t="shared" si="418"/>
        <v>260.33203125</v>
      </c>
      <c r="BX82" s="11">
        <f t="shared" si="418"/>
        <v>2740.136474609375</v>
      </c>
      <c r="BY82" s="11">
        <f t="shared" si="418"/>
        <v>43.42529296875</v>
      </c>
      <c r="BZ82" s="7">
        <f t="shared" si="418"/>
        <v>926.3499755859375</v>
      </c>
      <c r="CA82" s="7">
        <f t="shared" si="418"/>
        <v>1027.199951171875</v>
      </c>
      <c r="CB82" s="7">
        <f t="shared" ref="CB82:CP82" si="419">IFERROR(VALUE(CB387),"-")</f>
        <v>808.4000244140625</v>
      </c>
      <c r="CC82" s="7">
        <f t="shared" si="419"/>
        <v>923.54998779296875</v>
      </c>
      <c r="CD82" s="7">
        <f t="shared" si="419"/>
        <v>923.9000244140625</v>
      </c>
      <c r="CE82" s="3">
        <f t="shared" si="419"/>
        <v>25</v>
      </c>
      <c r="CF82" s="7">
        <f t="shared" si="419"/>
        <v>921.3499755859375</v>
      </c>
      <c r="CG82" s="3">
        <f t="shared" si="419"/>
        <v>25</v>
      </c>
      <c r="CH82" s="7">
        <f t="shared" si="419"/>
        <v>927.9000244140625</v>
      </c>
      <c r="CI82" s="7">
        <f t="shared" si="419"/>
        <v>26.200000762939453</v>
      </c>
      <c r="CJ82" s="3">
        <f t="shared" si="419"/>
        <v>150</v>
      </c>
      <c r="CK82" s="7">
        <f t="shared" si="419"/>
        <v>26.100000381469727</v>
      </c>
      <c r="CL82" s="3">
        <f t="shared" si="419"/>
        <v>50</v>
      </c>
      <c r="CM82" s="7">
        <f t="shared" si="419"/>
        <v>29.739999771118164</v>
      </c>
      <c r="CN82" s="10">
        <f t="shared" si="419"/>
        <v>44783.638194444444</v>
      </c>
      <c r="CO82" s="10">
        <f t="shared" si="419"/>
        <v>44783.638194444444</v>
      </c>
      <c r="CP82" s="7">
        <f t="shared" si="419"/>
        <v>38295.69921875</v>
      </c>
      <c r="CQ82" s="7" t="str">
        <f t="shared" ref="CQ82" si="420">IFERROR(CQ387,"-")</f>
        <v>FairPrice</v>
      </c>
      <c r="CR82" s="10">
        <f t="shared" si="405"/>
        <v>44783.638194444444</v>
      </c>
      <c r="CS82" s="7">
        <f t="shared" si="405"/>
        <v>-2.9557943344116211E-2</v>
      </c>
      <c r="CT82" s="7">
        <f t="shared" si="405"/>
        <v>-9.0329530652567564E-4</v>
      </c>
      <c r="CU82" s="7">
        <f t="shared" si="405"/>
        <v>652225</v>
      </c>
      <c r="CV82" s="7">
        <f t="shared" si="405"/>
        <v>0.50967840852466562</v>
      </c>
      <c r="CW82" s="7">
        <f t="shared" si="405"/>
        <v>26.049999237060547</v>
      </c>
      <c r="CX82" s="7">
        <f t="shared" si="405"/>
        <v>-3.8241064217402446E-3</v>
      </c>
      <c r="CY82" s="7">
        <f t="shared" si="405"/>
        <v>923.54998779296875</v>
      </c>
      <c r="CZ82" s="7">
        <f t="shared" si="405"/>
        <v>0</v>
      </c>
      <c r="DA82" s="7">
        <f t="shared" si="405"/>
        <v>53000</v>
      </c>
      <c r="DB82" s="7">
        <f t="shared" si="405"/>
        <v>-0.15801886792452829</v>
      </c>
      <c r="DC82" s="7">
        <f t="shared" si="405"/>
        <v>-0.15207827091217041</v>
      </c>
      <c r="DD82" s="7">
        <f t="shared" si="405"/>
        <v>-4.5506856705882876E-3</v>
      </c>
      <c r="DE82" s="7">
        <f t="shared" si="405"/>
        <v>923.54998779296875</v>
      </c>
      <c r="DF82" s="7">
        <f t="shared" si="405"/>
        <v>26.049999237060547</v>
      </c>
      <c r="DG82" s="7">
        <f t="shared" si="405"/>
        <v>38295.69921875</v>
      </c>
      <c r="DH82" s="7" t="str">
        <f t="shared" ref="DH82:DJ82" si="421">IFERROR(DH387,"-")</f>
        <v>W</v>
      </c>
      <c r="DI82" s="7" t="str">
        <f t="shared" si="421"/>
        <v>R</v>
      </c>
      <c r="DJ82" s="7" t="str">
        <f t="shared" si="421"/>
        <v>G</v>
      </c>
      <c r="DK82" s="64">
        <f t="shared" ref="DK82:DS82" si="422">IFERROR(VALUE(DK387),"-")</f>
        <v>38300</v>
      </c>
      <c r="DL82" s="64">
        <f t="shared" si="422"/>
        <v>3400000</v>
      </c>
      <c r="DM82" s="64">
        <f t="shared" si="422"/>
        <v>38500</v>
      </c>
      <c r="DN82" s="64">
        <f t="shared" si="422"/>
        <v>0</v>
      </c>
      <c r="DO82" s="64">
        <f t="shared" si="422"/>
        <v>24500</v>
      </c>
      <c r="DP82" s="64">
        <f t="shared" si="422"/>
        <v>2863350</v>
      </c>
      <c r="DQ82" s="64">
        <f t="shared" si="422"/>
        <v>38000</v>
      </c>
      <c r="DR82" s="64">
        <f t="shared" si="422"/>
        <v>0</v>
      </c>
      <c r="DS82" s="64">
        <f t="shared" si="422"/>
        <v>24500</v>
      </c>
      <c r="DT82" t="str">
        <f t="shared" si="338"/>
        <v>BANKNIFTY</v>
      </c>
      <c r="DU82" s="10">
        <f t="shared" si="339"/>
        <v>44784</v>
      </c>
    </row>
    <row r="83" spans="1:125" x14ac:dyDescent="0.25">
      <c r="A83" t="s">
        <v>33</v>
      </c>
      <c r="B83" s="2">
        <v>44784</v>
      </c>
      <c r="C83" s="1">
        <v>25</v>
      </c>
      <c r="D83">
        <v>139</v>
      </c>
      <c r="G83" t="str">
        <f t="array" ref="G83">IFERROR(INDEX($A$2:$A$700,MATCH(0,COUNTIF($G$1:G82,$A$2:$A$700),0)),"")</f>
        <v>HDFCBANK</v>
      </c>
      <c r="M83" s="3"/>
      <c r="N83" s="3"/>
      <c r="O83" s="3">
        <f t="shared" si="340"/>
        <v>37500</v>
      </c>
      <c r="P83" s="7">
        <f t="shared" ref="P83:CA83" si="423">IFERROR(VALUE(P388),"-")</f>
        <v>33</v>
      </c>
      <c r="Q83" s="7">
        <f t="shared" si="423"/>
        <v>20.399999618530273</v>
      </c>
      <c r="R83" s="7">
        <f t="shared" si="423"/>
        <v>64.550003051757813</v>
      </c>
      <c r="S83" s="7">
        <f t="shared" si="423"/>
        <v>54.950000762939453</v>
      </c>
      <c r="T83" s="11">
        <f t="shared" si="423"/>
        <v>7.76708984375</v>
      </c>
      <c r="U83" s="11">
        <f t="shared" si="423"/>
        <v>2188.494384765625</v>
      </c>
      <c r="V83" s="11">
        <f t="shared" si="423"/>
        <v>48.8759765625</v>
      </c>
      <c r="W83" s="11">
        <f t="shared" si="423"/>
        <v>8564.9814453125</v>
      </c>
      <c r="X83" s="14">
        <f t="shared" si="423"/>
        <v>4.8949732445180416E-7</v>
      </c>
      <c r="Y83" s="14">
        <f t="shared" si="423"/>
        <v>7.4235336796846241E-5</v>
      </c>
      <c r="Z83" s="14">
        <f t="shared" si="423"/>
        <v>3.7087884265929461E-6</v>
      </c>
      <c r="AA83" s="14">
        <f t="shared" si="423"/>
        <v>4.7904535313136876E-4</v>
      </c>
      <c r="AB83" s="15">
        <f t="shared" si="423"/>
        <v>-9.3558583103003912E-10</v>
      </c>
      <c r="AC83" s="15">
        <f t="shared" si="423"/>
        <v>-5.5176639079945744E-7</v>
      </c>
      <c r="AD83" s="13">
        <f t="shared" si="423"/>
        <v>1.7317533493041992E-3</v>
      </c>
      <c r="AE83" s="13">
        <f t="shared" si="423"/>
        <v>0.52247041463851929</v>
      </c>
      <c r="AF83" s="12">
        <f t="shared" si="423"/>
        <v>-1.5059471130371094E-2</v>
      </c>
      <c r="AG83" s="12">
        <f t="shared" si="423"/>
        <v>-3.371535062789917</v>
      </c>
      <c r="AH83" s="13">
        <f t="shared" si="423"/>
        <v>-2.1338928490877151E-7</v>
      </c>
      <c r="AI83" s="13">
        <f t="shared" si="423"/>
        <v>2.8206573915667832E-4</v>
      </c>
      <c r="AJ83" s="11">
        <f t="shared" si="423"/>
        <v>-7.4198246002197266E-3</v>
      </c>
      <c r="AK83" s="11">
        <f t="shared" si="423"/>
        <v>3.7126209735870361</v>
      </c>
      <c r="AL83" s="11">
        <f t="shared" si="423"/>
        <v>0.15000152587890625</v>
      </c>
      <c r="AM83" s="11">
        <f t="shared" si="423"/>
        <v>-33</v>
      </c>
      <c r="AN83" s="11">
        <f t="shared" si="423"/>
        <v>2.8927624225616455E-4</v>
      </c>
      <c r="AO83" s="11">
        <f t="shared" si="423"/>
        <v>-0.10566502809524536</v>
      </c>
      <c r="AP83" s="11">
        <f t="shared" si="423"/>
        <v>31.863591074943542</v>
      </c>
      <c r="AQ83" s="11">
        <f t="shared" si="423"/>
        <v>36216525</v>
      </c>
      <c r="AR83" s="16">
        <f t="shared" si="423"/>
        <v>409900</v>
      </c>
      <c r="AS83" s="16">
        <f t="shared" si="423"/>
        <v>2355500</v>
      </c>
      <c r="AT83" s="16">
        <f t="shared" si="423"/>
        <v>31.863591074943542</v>
      </c>
      <c r="AU83" s="7">
        <f t="shared" si="423"/>
        <v>-0.15000152587890625</v>
      </c>
      <c r="AV83" s="7">
        <f t="shared" si="423"/>
        <v>33</v>
      </c>
      <c r="AW83" s="7">
        <f t="shared" si="423"/>
        <v>830</v>
      </c>
      <c r="AX83" s="7">
        <f t="shared" si="423"/>
        <v>0</v>
      </c>
      <c r="AY83" s="11">
        <f t="shared" si="423"/>
        <v>32.213711738586426</v>
      </c>
      <c r="AZ83" s="16">
        <f t="shared" si="423"/>
        <v>181400</v>
      </c>
      <c r="BA83" s="16">
        <f t="shared" si="423"/>
        <v>-17950</v>
      </c>
      <c r="BB83" s="16">
        <f t="shared" si="423"/>
        <v>1225425</v>
      </c>
      <c r="BC83" s="11">
        <f t="shared" si="423"/>
        <v>0.89189499616622925</v>
      </c>
      <c r="BD83" s="11">
        <f t="shared" si="423"/>
        <v>9.7215175628662109E-5</v>
      </c>
      <c r="BE83" s="11">
        <f t="shared" si="423"/>
        <v>-59.130947113037109</v>
      </c>
      <c r="BF83" s="11">
        <f t="shared" si="423"/>
        <v>5.7331085205078125E-2</v>
      </c>
      <c r="BG83" s="11">
        <f t="shared" si="423"/>
        <v>3.7742855548858643</v>
      </c>
      <c r="BH83" s="11">
        <f t="shared" si="423"/>
        <v>-2.5196075439453125E-3</v>
      </c>
      <c r="BI83" s="13">
        <f t="shared" si="423"/>
        <v>2.8363260207697749E-4</v>
      </c>
      <c r="BJ83" s="13">
        <f t="shared" si="423"/>
        <v>-7.9948222264647484E-8</v>
      </c>
      <c r="BK83" s="11">
        <f t="shared" si="423"/>
        <v>32.213711738586426</v>
      </c>
      <c r="BL83" s="12">
        <f t="shared" si="423"/>
        <v>-3.2446746826171875</v>
      </c>
      <c r="BM83" s="12">
        <f t="shared" si="423"/>
        <v>-4.6248435974121094E-3</v>
      </c>
      <c r="BN83" s="13">
        <f t="shared" si="423"/>
        <v>0.50833642482757568</v>
      </c>
      <c r="BO83" s="13">
        <f t="shared" si="423"/>
        <v>5.7131052017211914E-4</v>
      </c>
      <c r="BP83" s="15">
        <f t="shared" si="423"/>
        <v>-5.4314136832545046E-7</v>
      </c>
      <c r="BQ83" s="15">
        <f t="shared" si="423"/>
        <v>-2.6932411856250837E-10</v>
      </c>
      <c r="BR83" s="14">
        <f t="shared" si="423"/>
        <v>4.4746242929250002E-4</v>
      </c>
      <c r="BS83" s="14">
        <f t="shared" si="423"/>
        <v>1.1665397323668003E-6</v>
      </c>
      <c r="BT83" s="14">
        <f t="shared" si="423"/>
        <v>7.0103007601574063E-5</v>
      </c>
      <c r="BU83" s="14">
        <f t="shared" si="423"/>
        <v>1.6165722627192736E-7</v>
      </c>
      <c r="BV83" s="11">
        <f t="shared" si="423"/>
        <v>8155.3681640625</v>
      </c>
      <c r="BW83" s="11">
        <f t="shared" si="423"/>
        <v>14.90478515625</v>
      </c>
      <c r="BX83" s="11">
        <f t="shared" si="423"/>
        <v>2124.8388671875</v>
      </c>
      <c r="BY83" s="11">
        <f t="shared" si="423"/>
        <v>2.517578125</v>
      </c>
      <c r="BZ83" s="7">
        <f t="shared" si="423"/>
        <v>796.1500244140625</v>
      </c>
      <c r="CA83" s="7">
        <f t="shared" si="423"/>
        <v>935</v>
      </c>
      <c r="CB83" s="7">
        <f t="shared" ref="CB83:CP83" si="424">IFERROR(VALUE(CB388),"-")</f>
        <v>717.8499755859375</v>
      </c>
      <c r="CC83" s="7">
        <f t="shared" si="424"/>
        <v>830</v>
      </c>
      <c r="CD83" s="7">
        <f t="shared" si="424"/>
        <v>831.29998779296875</v>
      </c>
      <c r="CE83" s="3">
        <f t="shared" si="424"/>
        <v>25</v>
      </c>
      <c r="CF83" s="7">
        <f t="shared" si="424"/>
        <v>830</v>
      </c>
      <c r="CG83" s="3">
        <f t="shared" si="424"/>
        <v>1000</v>
      </c>
      <c r="CH83" s="7">
        <f t="shared" si="424"/>
        <v>827.69000244140625</v>
      </c>
      <c r="CI83" s="7">
        <f t="shared" si="424"/>
        <v>33.049999237060547</v>
      </c>
      <c r="CJ83" s="3">
        <f t="shared" si="424"/>
        <v>25</v>
      </c>
      <c r="CK83" s="7">
        <f t="shared" si="424"/>
        <v>33</v>
      </c>
      <c r="CL83" s="3">
        <f t="shared" si="424"/>
        <v>375</v>
      </c>
      <c r="CM83" s="7">
        <f t="shared" si="424"/>
        <v>37.180000305175781</v>
      </c>
      <c r="CN83" s="10">
        <f t="shared" si="424"/>
        <v>44783.638194444444</v>
      </c>
      <c r="CO83" s="10">
        <f t="shared" si="424"/>
        <v>44783.638194444444</v>
      </c>
      <c r="CP83" s="7">
        <f t="shared" si="424"/>
        <v>38295.69921875</v>
      </c>
      <c r="CQ83" s="7" t="str">
        <f t="shared" ref="CQ83" si="425">IFERROR(CQ388,"-")</f>
        <v>FairPrice</v>
      </c>
      <c r="CR83" s="10">
        <f t="shared" si="405"/>
        <v>44783.638194444444</v>
      </c>
      <c r="CS83" s="7">
        <f t="shared" si="405"/>
        <v>-3.8248300552368164E-2</v>
      </c>
      <c r="CT83" s="7">
        <f t="shared" si="405"/>
        <v>-1.198937155383806E-3</v>
      </c>
      <c r="CU83" s="7">
        <f t="shared" si="405"/>
        <v>1945600</v>
      </c>
      <c r="CV83" s="7">
        <f t="shared" si="405"/>
        <v>0.21068050986842105</v>
      </c>
      <c r="CW83" s="7">
        <f t="shared" si="405"/>
        <v>33</v>
      </c>
      <c r="CX83" s="7">
        <f t="shared" si="405"/>
        <v>-4.524932699077131E-3</v>
      </c>
      <c r="CY83" s="7">
        <f t="shared" si="405"/>
        <v>830</v>
      </c>
      <c r="CZ83" s="7">
        <f t="shared" si="405"/>
        <v>0</v>
      </c>
      <c r="DA83" s="7">
        <f t="shared" si="405"/>
        <v>199350</v>
      </c>
      <c r="DB83" s="7">
        <f t="shared" si="405"/>
        <v>-9.0042638575369954E-2</v>
      </c>
      <c r="DC83" s="7">
        <f t="shared" si="405"/>
        <v>-1.1113286018371582E-2</v>
      </c>
      <c r="DD83" s="7">
        <f t="shared" si="405"/>
        <v>-3.4486722611794458E-4</v>
      </c>
      <c r="DE83" s="7">
        <f t="shared" si="405"/>
        <v>830</v>
      </c>
      <c r="DF83" s="7">
        <f t="shared" si="405"/>
        <v>33</v>
      </c>
      <c r="DG83" s="7">
        <f t="shared" si="405"/>
        <v>38295.69921875</v>
      </c>
      <c r="DH83" s="7" t="str">
        <f t="shared" ref="DH83:DJ83" si="426">IFERROR(DH388,"-")</f>
        <v>W</v>
      </c>
      <c r="DI83" s="7" t="str">
        <f t="shared" si="426"/>
        <v>R</v>
      </c>
      <c r="DJ83" s="7" t="str">
        <f t="shared" si="426"/>
        <v>G</v>
      </c>
      <c r="DK83" s="64">
        <f t="shared" ref="DK83:DS83" si="427">IFERROR(VALUE(DK388),"-")</f>
        <v>38300</v>
      </c>
      <c r="DL83" s="64">
        <f t="shared" si="427"/>
        <v>3400000</v>
      </c>
      <c r="DM83" s="64">
        <f t="shared" si="427"/>
        <v>38500</v>
      </c>
      <c r="DN83" s="64">
        <f t="shared" si="427"/>
        <v>0</v>
      </c>
      <c r="DO83" s="64">
        <f t="shared" si="427"/>
        <v>24500</v>
      </c>
      <c r="DP83" s="64">
        <f t="shared" si="427"/>
        <v>2863350</v>
      </c>
      <c r="DQ83" s="64">
        <f t="shared" si="427"/>
        <v>38000</v>
      </c>
      <c r="DR83" s="64">
        <f t="shared" si="427"/>
        <v>0</v>
      </c>
      <c r="DS83" s="64">
        <f t="shared" si="427"/>
        <v>24500</v>
      </c>
      <c r="DT83" t="str">
        <f t="shared" si="338"/>
        <v>BANKNIFTY</v>
      </c>
      <c r="DU83" s="10">
        <f t="shared" si="339"/>
        <v>44784</v>
      </c>
    </row>
    <row r="84" spans="1:125" x14ac:dyDescent="0.25">
      <c r="A84" t="s">
        <v>33</v>
      </c>
      <c r="B84" s="2">
        <v>44791</v>
      </c>
      <c r="C84" s="1">
        <v>25</v>
      </c>
      <c r="D84">
        <v>139</v>
      </c>
      <c r="G84" t="str">
        <f t="array" ref="G84">IFERROR(INDEX($A$2:$A$700,MATCH(0,COUNTIF($G$1:G83,$A$2:$A$700),0)),"")</f>
        <v>HDFCLIFE</v>
      </c>
      <c r="M84" s="3"/>
      <c r="N84" s="3"/>
      <c r="O84" s="3">
        <f t="shared" si="340"/>
        <v>37600</v>
      </c>
      <c r="P84" s="7">
        <f t="shared" ref="P84:CA84" si="428">IFERROR(VALUE(P389),"-")</f>
        <v>41.25</v>
      </c>
      <c r="Q84" s="7">
        <f t="shared" si="428"/>
        <v>25.700000762939453</v>
      </c>
      <c r="R84" s="7">
        <f t="shared" si="428"/>
        <v>82.5</v>
      </c>
      <c r="S84" s="7">
        <f t="shared" si="428"/>
        <v>44.150001525878906</v>
      </c>
      <c r="T84" s="11">
        <f t="shared" si="428"/>
        <v>1.6082763671875</v>
      </c>
      <c r="U84" s="11">
        <f t="shared" si="428"/>
        <v>1671.3082275390625</v>
      </c>
      <c r="V84" s="11">
        <f t="shared" si="428"/>
        <v>9.74072265625</v>
      </c>
      <c r="W84" s="11">
        <f t="shared" si="428"/>
        <v>6174.22216796875</v>
      </c>
      <c r="X84" s="14">
        <f t="shared" si="428"/>
        <v>1.5768091543577611E-7</v>
      </c>
      <c r="Y84" s="14">
        <f t="shared" si="428"/>
        <v>4.0794311644276604E-5</v>
      </c>
      <c r="Z84" s="14">
        <f t="shared" si="428"/>
        <v>1.1197407729923725E-6</v>
      </c>
      <c r="AA84" s="14">
        <f t="shared" si="428"/>
        <v>2.7137075085192919E-4</v>
      </c>
      <c r="AB84" s="15">
        <f t="shared" si="428"/>
        <v>-3.2827074392116629E-10</v>
      </c>
      <c r="AC84" s="15">
        <f t="shared" si="428"/>
        <v>-6.1263955331014586E-7</v>
      </c>
      <c r="AD84" s="13">
        <f t="shared" si="428"/>
        <v>3.8290023803710938E-4</v>
      </c>
      <c r="AE84" s="13">
        <f t="shared" si="428"/>
        <v>0.40564233064651489</v>
      </c>
      <c r="AF84" s="12">
        <f t="shared" si="428"/>
        <v>-3.2534599304199219E-3</v>
      </c>
      <c r="AG84" s="12">
        <f t="shared" si="428"/>
        <v>-2.6984024047851563</v>
      </c>
      <c r="AH84" s="13">
        <f t="shared" si="428"/>
        <v>-5.7974830269813538E-8</v>
      </c>
      <c r="AI84" s="13">
        <f t="shared" si="428"/>
        <v>3.3696266473270953E-4</v>
      </c>
      <c r="AJ84" s="11">
        <f t="shared" si="428"/>
        <v>-2.2292137145996094E-3</v>
      </c>
      <c r="AK84" s="11">
        <f t="shared" si="428"/>
        <v>4.302459716796875</v>
      </c>
      <c r="AL84" s="11">
        <f t="shared" si="428"/>
        <v>4.9999237060546875E-2</v>
      </c>
      <c r="AM84" s="11">
        <f t="shared" si="428"/>
        <v>-41.25</v>
      </c>
      <c r="AN84" s="11">
        <f t="shared" si="428"/>
        <v>9.3623995780944824E-5</v>
      </c>
      <c r="AO84" s="11">
        <f t="shared" si="428"/>
        <v>-0.13012760877609253</v>
      </c>
      <c r="AP84" s="11">
        <f t="shared" si="428"/>
        <v>30.909872055053711</v>
      </c>
      <c r="AQ84" s="11">
        <f t="shared" si="428"/>
        <v>22588650</v>
      </c>
      <c r="AR84" s="16">
        <f t="shared" si="428"/>
        <v>555225</v>
      </c>
      <c r="AS84" s="16">
        <f t="shared" si="428"/>
        <v>1256350</v>
      </c>
      <c r="AT84" s="16">
        <f t="shared" si="428"/>
        <v>30.909872055053711</v>
      </c>
      <c r="AU84" s="7">
        <f t="shared" si="428"/>
        <v>-4.9999237060546875E-2</v>
      </c>
      <c r="AV84" s="7">
        <f t="shared" si="428"/>
        <v>41.25</v>
      </c>
      <c r="AW84" s="7">
        <f t="shared" si="428"/>
        <v>741</v>
      </c>
      <c r="AX84" s="7">
        <f t="shared" si="428"/>
        <v>0</v>
      </c>
      <c r="AY84" s="11">
        <f t="shared" si="428"/>
        <v>31.843215227127075</v>
      </c>
      <c r="AZ84" s="16">
        <f t="shared" si="428"/>
        <v>64775</v>
      </c>
      <c r="BA84" s="16">
        <f t="shared" si="428"/>
        <v>-19525</v>
      </c>
      <c r="BB84" s="16">
        <f t="shared" si="428"/>
        <v>471675</v>
      </c>
      <c r="BC84" s="11">
        <f t="shared" si="428"/>
        <v>0.86284220218658447</v>
      </c>
      <c r="BD84" s="11">
        <f t="shared" si="428"/>
        <v>9.7262859344482422E-4</v>
      </c>
      <c r="BE84" s="11">
        <f t="shared" si="428"/>
        <v>-69.083763122558594</v>
      </c>
      <c r="BF84" s="11">
        <f t="shared" si="428"/>
        <v>0.56122589111328125</v>
      </c>
      <c r="BG84" s="11">
        <f t="shared" si="428"/>
        <v>4.461064338684082</v>
      </c>
      <c r="BH84" s="11">
        <f t="shared" si="428"/>
        <v>-2.159881591796875E-2</v>
      </c>
      <c r="BI84" s="13">
        <f t="shared" si="428"/>
        <v>3.3912991057150066E-4</v>
      </c>
      <c r="BJ84" s="13">
        <f t="shared" si="428"/>
        <v>-5.1286770030856133E-7</v>
      </c>
      <c r="BK84" s="11">
        <f t="shared" si="428"/>
        <v>31.843215227127075</v>
      </c>
      <c r="BL84" s="12">
        <f t="shared" si="428"/>
        <v>-2.4508504867553711</v>
      </c>
      <c r="BM84" s="12">
        <f t="shared" si="428"/>
        <v>-2.9949188232421875E-2</v>
      </c>
      <c r="BN84" s="13">
        <f t="shared" si="428"/>
        <v>0.37953716516494751</v>
      </c>
      <c r="BO84" s="13">
        <f t="shared" si="428"/>
        <v>3.4133493900299072E-3</v>
      </c>
      <c r="BP84" s="15">
        <f t="shared" si="428"/>
        <v>-5.8166790495306486E-7</v>
      </c>
      <c r="BQ84" s="15">
        <f t="shared" si="428"/>
        <v>-3.3289779821643606E-9</v>
      </c>
      <c r="BR84" s="14">
        <f t="shared" si="428"/>
        <v>1.88039819477126E-4</v>
      </c>
      <c r="BS84" s="14">
        <f t="shared" si="428"/>
        <v>1.0576535714790225E-5</v>
      </c>
      <c r="BT84" s="14">
        <f t="shared" si="428"/>
        <v>2.9119728424120694E-5</v>
      </c>
      <c r="BU84" s="14">
        <f t="shared" si="428"/>
        <v>1.5481091395486146E-6</v>
      </c>
      <c r="BV84" s="11">
        <f t="shared" si="428"/>
        <v>5445.4716796875</v>
      </c>
      <c r="BW84" s="11">
        <f t="shared" si="428"/>
        <v>88.255859375</v>
      </c>
      <c r="BX84" s="11">
        <f t="shared" si="428"/>
        <v>1560.0157470703125</v>
      </c>
      <c r="BY84" s="11">
        <f t="shared" si="428"/>
        <v>14.4312744140625</v>
      </c>
      <c r="BZ84" s="7">
        <f t="shared" si="428"/>
        <v>751.70001220703125</v>
      </c>
      <c r="CA84" s="7">
        <f t="shared" si="428"/>
        <v>841.20001220703125</v>
      </c>
      <c r="CB84" s="7">
        <f t="shared" ref="CB84:CP84" si="429">IFERROR(VALUE(CB389),"-")</f>
        <v>632.79998779296875</v>
      </c>
      <c r="CC84" s="7">
        <f t="shared" si="429"/>
        <v>741</v>
      </c>
      <c r="CD84" s="7">
        <f t="shared" si="429"/>
        <v>738.70001220703125</v>
      </c>
      <c r="CE84" s="3">
        <f t="shared" si="429"/>
        <v>25</v>
      </c>
      <c r="CF84" s="7">
        <f t="shared" si="429"/>
        <v>736.9000244140625</v>
      </c>
      <c r="CG84" s="3">
        <f t="shared" si="429"/>
        <v>500</v>
      </c>
      <c r="CH84" s="7">
        <f t="shared" si="429"/>
        <v>743.44000244140625</v>
      </c>
      <c r="CI84" s="7">
        <f t="shared" si="429"/>
        <v>41.400001525878906</v>
      </c>
      <c r="CJ84" s="3">
        <f t="shared" si="429"/>
        <v>550</v>
      </c>
      <c r="CK84" s="7">
        <f t="shared" si="429"/>
        <v>41.25</v>
      </c>
      <c r="CL84" s="3">
        <f t="shared" si="429"/>
        <v>1900</v>
      </c>
      <c r="CM84" s="7">
        <f t="shared" si="429"/>
        <v>46.009998321533203</v>
      </c>
      <c r="CN84" s="10">
        <f t="shared" si="429"/>
        <v>44783.638194444444</v>
      </c>
      <c r="CO84" s="10">
        <f t="shared" si="429"/>
        <v>44783.638194444444</v>
      </c>
      <c r="CP84" s="7">
        <f t="shared" si="429"/>
        <v>38295.69921875</v>
      </c>
      <c r="CQ84" s="7" t="str">
        <f t="shared" ref="CQ84" si="430">IFERROR(CQ389,"-")</f>
        <v>FairPrice</v>
      </c>
      <c r="CR84" s="10">
        <f t="shared" si="405"/>
        <v>44783.638194444444</v>
      </c>
      <c r="CS84" s="7">
        <f t="shared" si="405"/>
        <v>-9.4383955001831055E-3</v>
      </c>
      <c r="CT84" s="7">
        <f t="shared" si="405"/>
        <v>-3.0525892598015636E-4</v>
      </c>
      <c r="CU84" s="7">
        <f t="shared" si="405"/>
        <v>701125</v>
      </c>
      <c r="CV84" s="7">
        <f t="shared" si="405"/>
        <v>0.79190586557318599</v>
      </c>
      <c r="CW84" s="7">
        <f t="shared" si="405"/>
        <v>41.25</v>
      </c>
      <c r="CX84" s="7">
        <f t="shared" si="405"/>
        <v>-1.2106353022805886E-3</v>
      </c>
      <c r="CY84" s="7">
        <f t="shared" si="405"/>
        <v>741</v>
      </c>
      <c r="CZ84" s="7">
        <f t="shared" si="405"/>
        <v>0</v>
      </c>
      <c r="DA84" s="7">
        <f t="shared" si="405"/>
        <v>84300</v>
      </c>
      <c r="DB84" s="7">
        <f t="shared" si="405"/>
        <v>-0.23161328588374852</v>
      </c>
      <c r="DC84" s="7">
        <f t="shared" si="405"/>
        <v>-0.10539591312408447</v>
      </c>
      <c r="DD84" s="7">
        <f t="shared" si="405"/>
        <v>-3.2989200269585152E-3</v>
      </c>
      <c r="DE84" s="7">
        <f t="shared" si="405"/>
        <v>741</v>
      </c>
      <c r="DF84" s="7">
        <f t="shared" si="405"/>
        <v>41.25</v>
      </c>
      <c r="DG84" s="7">
        <f t="shared" si="405"/>
        <v>38295.69921875</v>
      </c>
      <c r="DH84" s="7" t="str">
        <f t="shared" ref="DH84:DJ84" si="431">IFERROR(DH389,"-")</f>
        <v>W</v>
      </c>
      <c r="DI84" s="7" t="str">
        <f t="shared" si="431"/>
        <v>R</v>
      </c>
      <c r="DJ84" s="7" t="str">
        <f t="shared" si="431"/>
        <v>G</v>
      </c>
      <c r="DK84" s="64">
        <f t="shared" ref="DK84:DS84" si="432">IFERROR(VALUE(DK389),"-")</f>
        <v>38300</v>
      </c>
      <c r="DL84" s="64">
        <f t="shared" si="432"/>
        <v>3400000</v>
      </c>
      <c r="DM84" s="64">
        <f t="shared" si="432"/>
        <v>38500</v>
      </c>
      <c r="DN84" s="64">
        <f t="shared" si="432"/>
        <v>0</v>
      </c>
      <c r="DO84" s="64">
        <f t="shared" si="432"/>
        <v>24500</v>
      </c>
      <c r="DP84" s="64">
        <f t="shared" si="432"/>
        <v>2863350</v>
      </c>
      <c r="DQ84" s="64">
        <f t="shared" si="432"/>
        <v>38000</v>
      </c>
      <c r="DR84" s="64">
        <f t="shared" si="432"/>
        <v>0</v>
      </c>
      <c r="DS84" s="64">
        <f t="shared" si="432"/>
        <v>24500</v>
      </c>
      <c r="DT84" t="str">
        <f t="shared" si="338"/>
        <v>BANKNIFTY</v>
      </c>
      <c r="DU84" s="10">
        <f t="shared" si="339"/>
        <v>44784</v>
      </c>
    </row>
    <row r="85" spans="1:125" x14ac:dyDescent="0.25">
      <c r="A85" t="s">
        <v>33</v>
      </c>
      <c r="B85" s="2">
        <v>44798</v>
      </c>
      <c r="C85" s="1">
        <v>25</v>
      </c>
      <c r="D85">
        <v>139</v>
      </c>
      <c r="G85" t="str">
        <f t="array" ref="G85">IFERROR(INDEX($A$2:$A$700,MATCH(0,COUNTIF($G$1:G84,$A$2:$A$700),0)),"")</f>
        <v>HEROMOTOCO</v>
      </c>
      <c r="M85" s="3"/>
      <c r="N85" s="3"/>
      <c r="O85" s="3">
        <f t="shared" si="340"/>
        <v>37700</v>
      </c>
      <c r="P85" s="7">
        <f t="shared" ref="P85:CA85" si="433">IFERROR(VALUE(P390),"-")</f>
        <v>52.900001525878906</v>
      </c>
      <c r="Q85" s="7">
        <f t="shared" si="433"/>
        <v>33.25</v>
      </c>
      <c r="R85" s="7">
        <f t="shared" si="433"/>
        <v>98.75</v>
      </c>
      <c r="S85" s="7">
        <f t="shared" si="433"/>
        <v>94</v>
      </c>
      <c r="T85" s="11">
        <f t="shared" si="433"/>
        <v>-1.5126953125</v>
      </c>
      <c r="U85" s="11">
        <f t="shared" si="433"/>
        <v>1254.40771484375</v>
      </c>
      <c r="V85" s="11">
        <f t="shared" si="433"/>
        <v>-11.0263671875</v>
      </c>
      <c r="W85" s="11">
        <f t="shared" si="433"/>
        <v>4175.24658203125</v>
      </c>
      <c r="X85" s="14">
        <f t="shared" si="433"/>
        <v>-2.3574375518364832E-7</v>
      </c>
      <c r="Y85" s="14">
        <f t="shared" si="433"/>
        <v>-8.4751263784710318E-6</v>
      </c>
      <c r="Z85" s="14">
        <f t="shared" si="433"/>
        <v>-1.5611476555932313E-6</v>
      </c>
      <c r="AA85" s="14">
        <f t="shared" si="433"/>
        <v>-5.7704055507201701E-5</v>
      </c>
      <c r="AB85" s="15">
        <f t="shared" si="433"/>
        <v>9.3695007308269851E-10</v>
      </c>
      <c r="AC85" s="15">
        <f t="shared" si="433"/>
        <v>-6.5259467874057009E-7</v>
      </c>
      <c r="AD85" s="13">
        <f t="shared" si="433"/>
        <v>-3.7047266960144043E-4</v>
      </c>
      <c r="AE85" s="13">
        <f t="shared" si="433"/>
        <v>0.30600205063819885</v>
      </c>
      <c r="AF85" s="12">
        <f t="shared" si="433"/>
        <v>4.1565895080566406E-3</v>
      </c>
      <c r="AG85" s="12">
        <f t="shared" si="433"/>
        <v>-2.0834567546844482</v>
      </c>
      <c r="AH85" s="13">
        <f t="shared" si="433"/>
        <v>-4.4994521886110306E-8</v>
      </c>
      <c r="AI85" s="13">
        <f t="shared" si="433"/>
        <v>3.997414605692029E-4</v>
      </c>
      <c r="AJ85" s="11">
        <f t="shared" si="433"/>
        <v>2.9249191284179688E-3</v>
      </c>
      <c r="AK85" s="11">
        <f t="shared" si="433"/>
        <v>4.9867234230041504</v>
      </c>
      <c r="AL85" s="11">
        <f t="shared" si="433"/>
        <v>-0.10000228881835938</v>
      </c>
      <c r="AM85" s="11">
        <f t="shared" si="433"/>
        <v>-52.900001525878906</v>
      </c>
      <c r="AN85" s="11">
        <f t="shared" si="433"/>
        <v>-1.5096366405487061E-4</v>
      </c>
      <c r="AO85" s="11">
        <f t="shared" si="433"/>
        <v>-0.16206490993499756</v>
      </c>
      <c r="AP85" s="11">
        <f t="shared" si="433"/>
        <v>30.199554562568665</v>
      </c>
      <c r="AQ85" s="11">
        <f t="shared" si="433"/>
        <v>27986300</v>
      </c>
      <c r="AR85" s="16">
        <f t="shared" si="433"/>
        <v>465300</v>
      </c>
      <c r="AS85" s="16">
        <f t="shared" si="433"/>
        <v>1580750</v>
      </c>
      <c r="AT85" s="16">
        <f t="shared" si="433"/>
        <v>30.199554562568665</v>
      </c>
      <c r="AU85" s="7">
        <f t="shared" si="433"/>
        <v>0.10000228881835938</v>
      </c>
      <c r="AV85" s="7">
        <f t="shared" si="433"/>
        <v>52.900001525878906</v>
      </c>
      <c r="AW85" s="7">
        <f t="shared" si="433"/>
        <v>648.20001220703125</v>
      </c>
      <c r="AX85" s="7">
        <f t="shared" si="433"/>
        <v>0</v>
      </c>
      <c r="AY85" s="11">
        <f t="shared" si="433"/>
        <v>30.122482776641846</v>
      </c>
      <c r="AZ85" s="16">
        <f t="shared" si="433"/>
        <v>153125</v>
      </c>
      <c r="BA85" s="16">
        <f t="shared" si="433"/>
        <v>-78250</v>
      </c>
      <c r="BB85" s="16">
        <f t="shared" si="433"/>
        <v>1110550</v>
      </c>
      <c r="BC85" s="11">
        <f t="shared" si="433"/>
        <v>0.83858323097229004</v>
      </c>
      <c r="BD85" s="11">
        <f t="shared" si="433"/>
        <v>8.6545944213867188E-5</v>
      </c>
      <c r="BE85" s="11">
        <f t="shared" si="433"/>
        <v>-72.863883972167969</v>
      </c>
      <c r="BF85" s="11">
        <f t="shared" si="433"/>
        <v>4.2633056640625E-2</v>
      </c>
      <c r="BG85" s="11">
        <f t="shared" si="433"/>
        <v>4.9737300872802734</v>
      </c>
      <c r="BH85" s="11">
        <f t="shared" si="433"/>
        <v>-1.8405914306640625E-3</v>
      </c>
      <c r="BI85" s="13">
        <f t="shared" si="433"/>
        <v>3.997179155703634E-4</v>
      </c>
      <c r="BJ85" s="13">
        <f t="shared" si="433"/>
        <v>-2.8463546186685562E-8</v>
      </c>
      <c r="BK85" s="11">
        <f t="shared" si="433"/>
        <v>30.122482776641846</v>
      </c>
      <c r="BL85" s="12">
        <f t="shared" si="433"/>
        <v>-2.1000487804412842</v>
      </c>
      <c r="BM85" s="12">
        <f t="shared" si="433"/>
        <v>-2.0487308502197266E-3</v>
      </c>
      <c r="BN85" s="13">
        <f t="shared" si="433"/>
        <v>0.30765184760093689</v>
      </c>
      <c r="BO85" s="13">
        <f t="shared" si="433"/>
        <v>2.3409724235534668E-4</v>
      </c>
      <c r="BP85" s="15">
        <f t="shared" si="433"/>
        <v>-6.5592439568717964E-7</v>
      </c>
      <c r="BQ85" s="15">
        <f t="shared" si="433"/>
        <v>-3.6391156754689291E-10</v>
      </c>
      <c r="BR85" s="14">
        <f t="shared" si="433"/>
        <v>-5.0919788918690756E-5</v>
      </c>
      <c r="BS85" s="14">
        <f t="shared" si="433"/>
        <v>9.1660695034079254E-7</v>
      </c>
      <c r="BT85" s="14">
        <f t="shared" si="433"/>
        <v>-7.4596205195121001E-6</v>
      </c>
      <c r="BU85" s="14">
        <f t="shared" si="433"/>
        <v>1.3591261449619196E-7</v>
      </c>
      <c r="BV85" s="11">
        <f t="shared" si="433"/>
        <v>4219.79833984375</v>
      </c>
      <c r="BW85" s="11">
        <f t="shared" si="433"/>
        <v>5.53955078125</v>
      </c>
      <c r="BX85" s="11">
        <f t="shared" si="433"/>
        <v>1261.0478515625</v>
      </c>
      <c r="BY85" s="11">
        <f t="shared" si="433"/>
        <v>0.9183349609375</v>
      </c>
      <c r="BZ85" s="7">
        <f t="shared" si="433"/>
        <v>647.29998779296875</v>
      </c>
      <c r="CA85" s="7">
        <f t="shared" si="433"/>
        <v>752.95001220703125</v>
      </c>
      <c r="CB85" s="7">
        <f t="shared" ref="CB85:CP85" si="434">IFERROR(VALUE(CB390),"-")</f>
        <v>551</v>
      </c>
      <c r="CC85" s="7">
        <f t="shared" si="434"/>
        <v>648.20001220703125</v>
      </c>
      <c r="CD85" s="7">
        <f t="shared" si="434"/>
        <v>649.79998779296875</v>
      </c>
      <c r="CE85" s="3">
        <f t="shared" si="434"/>
        <v>50</v>
      </c>
      <c r="CF85" s="7">
        <f t="shared" si="434"/>
        <v>648.0999755859375</v>
      </c>
      <c r="CG85" s="3">
        <f t="shared" si="434"/>
        <v>125</v>
      </c>
      <c r="CH85" s="7">
        <f t="shared" si="434"/>
        <v>660.1500244140625</v>
      </c>
      <c r="CI85" s="7">
        <f t="shared" si="434"/>
        <v>52.900001525878906</v>
      </c>
      <c r="CJ85" s="3">
        <f t="shared" si="434"/>
        <v>125</v>
      </c>
      <c r="CK85" s="7">
        <f t="shared" si="434"/>
        <v>52.700000762939453</v>
      </c>
      <c r="CL85" s="3">
        <f t="shared" si="434"/>
        <v>1675</v>
      </c>
      <c r="CM85" s="7">
        <f t="shared" si="434"/>
        <v>57.759998321533203</v>
      </c>
      <c r="CN85" s="10">
        <f t="shared" si="434"/>
        <v>44783.638194444444</v>
      </c>
      <c r="CO85" s="10">
        <f t="shared" si="434"/>
        <v>44783.638194444444</v>
      </c>
      <c r="CP85" s="7">
        <f t="shared" si="434"/>
        <v>38295.69921875</v>
      </c>
      <c r="CQ85" s="7" t="str">
        <f t="shared" ref="CQ85" si="435">IFERROR(CQ390,"-")</f>
        <v>FairPrice</v>
      </c>
      <c r="CR85" s="10">
        <f t="shared" si="405"/>
        <v>44783.638194444444</v>
      </c>
      <c r="CS85" s="7">
        <f t="shared" si="405"/>
        <v>2.2336840629577637E-2</v>
      </c>
      <c r="CT85" s="7">
        <f t="shared" si="405"/>
        <v>7.4018886815196917E-4</v>
      </c>
      <c r="CU85" s="7">
        <f t="shared" si="405"/>
        <v>1115450</v>
      </c>
      <c r="CV85" s="7">
        <f t="shared" si="405"/>
        <v>0.41714106414451568</v>
      </c>
      <c r="CW85" s="7">
        <f t="shared" si="405"/>
        <v>52.900001525878906</v>
      </c>
      <c r="CX85" s="7">
        <f t="shared" si="405"/>
        <v>1.8939827701392718E-3</v>
      </c>
      <c r="CY85" s="7">
        <f t="shared" si="405"/>
        <v>648.20001220703125</v>
      </c>
      <c r="CZ85" s="7">
        <f t="shared" si="405"/>
        <v>0</v>
      </c>
      <c r="DA85" s="7">
        <f t="shared" si="405"/>
        <v>231375</v>
      </c>
      <c r="DB85" s="7">
        <f t="shared" si="405"/>
        <v>-0.33819556996218259</v>
      </c>
      <c r="DC85" s="7">
        <f t="shared" si="405"/>
        <v>-7.7784061431884766E-3</v>
      </c>
      <c r="DD85" s="7">
        <f t="shared" si="405"/>
        <v>-2.5815926705715644E-4</v>
      </c>
      <c r="DE85" s="7">
        <f t="shared" si="405"/>
        <v>648.20001220703125</v>
      </c>
      <c r="DF85" s="7">
        <f t="shared" si="405"/>
        <v>52.900001525878906</v>
      </c>
      <c r="DG85" s="7">
        <f t="shared" si="405"/>
        <v>38295.69921875</v>
      </c>
      <c r="DH85" s="7" t="str">
        <f t="shared" ref="DH85:DJ85" si="436">IFERROR(DH390,"-")</f>
        <v>W</v>
      </c>
      <c r="DI85" s="7" t="str">
        <f t="shared" si="436"/>
        <v>G</v>
      </c>
      <c r="DJ85" s="7" t="str">
        <f t="shared" si="436"/>
        <v>G</v>
      </c>
      <c r="DK85" s="64">
        <f t="shared" ref="DK85:DS85" si="437">IFERROR(VALUE(DK390),"-")</f>
        <v>38300</v>
      </c>
      <c r="DL85" s="64">
        <f t="shared" si="437"/>
        <v>3400000</v>
      </c>
      <c r="DM85" s="64">
        <f t="shared" si="437"/>
        <v>38500</v>
      </c>
      <c r="DN85" s="64">
        <f t="shared" si="437"/>
        <v>0</v>
      </c>
      <c r="DO85" s="64">
        <f t="shared" si="437"/>
        <v>24500</v>
      </c>
      <c r="DP85" s="64">
        <f t="shared" si="437"/>
        <v>2863350</v>
      </c>
      <c r="DQ85" s="64">
        <f t="shared" si="437"/>
        <v>38000</v>
      </c>
      <c r="DR85" s="64">
        <f t="shared" si="437"/>
        <v>0</v>
      </c>
      <c r="DS85" s="64">
        <f t="shared" si="437"/>
        <v>24500</v>
      </c>
      <c r="DT85" t="str">
        <f t="shared" si="338"/>
        <v>BANKNIFTY</v>
      </c>
      <c r="DU85" s="10">
        <f t="shared" si="339"/>
        <v>44784</v>
      </c>
    </row>
    <row r="86" spans="1:125" x14ac:dyDescent="0.25">
      <c r="A86" t="s">
        <v>33</v>
      </c>
      <c r="B86" s="2">
        <v>44805</v>
      </c>
      <c r="C86" s="1">
        <v>25</v>
      </c>
      <c r="D86">
        <v>139</v>
      </c>
      <c r="G86" t="str">
        <f t="array" ref="G86">IFERROR(INDEX($A$2:$A$700,MATCH(0,COUNTIF($G$1:G85,$A$2:$A$700),0)),"")</f>
        <v>HINDALCO</v>
      </c>
      <c r="M86" s="3"/>
      <c r="N86" s="3"/>
      <c r="O86" s="3">
        <f t="shared" si="340"/>
        <v>37800</v>
      </c>
      <c r="P86" s="7">
        <f t="shared" ref="P86:CA86" si="438">IFERROR(VALUE(P391),"-")</f>
        <v>67.150001525878906</v>
      </c>
      <c r="Q86" s="7">
        <f t="shared" si="438"/>
        <v>43.25</v>
      </c>
      <c r="R86" s="7">
        <f t="shared" si="438"/>
        <v>121.90000152587891</v>
      </c>
      <c r="S86" s="7">
        <f t="shared" si="438"/>
        <v>117</v>
      </c>
      <c r="T86" s="11">
        <f t="shared" si="438"/>
        <v>-1.2197265625</v>
      </c>
      <c r="U86" s="11">
        <f t="shared" si="438"/>
        <v>953.86810302734375</v>
      </c>
      <c r="V86" s="11">
        <f t="shared" si="438"/>
        <v>-9.07568359375</v>
      </c>
      <c r="W86" s="11">
        <f t="shared" si="438"/>
        <v>2737.3046875</v>
      </c>
      <c r="X86" s="14">
        <f t="shared" si="438"/>
        <v>-2.5003828341141343E-7</v>
      </c>
      <c r="Y86" s="14">
        <f t="shared" si="438"/>
        <v>-6.9093279307708144E-5</v>
      </c>
      <c r="Z86" s="14">
        <f t="shared" si="438"/>
        <v>-1.2557138688862324E-6</v>
      </c>
      <c r="AA86" s="14">
        <f t="shared" si="438"/>
        <v>-4.8297934699803591E-4</v>
      </c>
      <c r="AB86" s="15">
        <f t="shared" si="438"/>
        <v>1.4306351658888161E-9</v>
      </c>
      <c r="AC86" s="15">
        <f t="shared" si="438"/>
        <v>-6.7162812911192304E-7</v>
      </c>
      <c r="AD86" s="13">
        <f t="shared" si="438"/>
        <v>-3.2673776149749756E-4</v>
      </c>
      <c r="AE86" s="13">
        <f t="shared" si="438"/>
        <v>0.22872321307659149</v>
      </c>
      <c r="AF86" s="12">
        <f t="shared" si="438"/>
        <v>3.9212703704833984E-3</v>
      </c>
      <c r="AG86" s="12">
        <f t="shared" si="438"/>
        <v>-1.5988326072692871</v>
      </c>
      <c r="AH86" s="13">
        <f t="shared" si="438"/>
        <v>-1.6938429325819016E-7</v>
      </c>
      <c r="AI86" s="13">
        <f t="shared" si="438"/>
        <v>4.6799320261925459E-4</v>
      </c>
      <c r="AJ86" s="11">
        <f t="shared" si="438"/>
        <v>3.276824951171875E-3</v>
      </c>
      <c r="AK86" s="11">
        <f t="shared" si="438"/>
        <v>5.6865029335021973</v>
      </c>
      <c r="AL86" s="11">
        <f t="shared" si="438"/>
        <v>-0.15000152587890625</v>
      </c>
      <c r="AM86" s="11">
        <f t="shared" si="438"/>
        <v>-67.150001525878906</v>
      </c>
      <c r="AN86" s="11">
        <f t="shared" si="438"/>
        <v>-1.980513334274292E-4</v>
      </c>
      <c r="AO86" s="11">
        <f t="shared" si="438"/>
        <v>-0.19979135692119598</v>
      </c>
      <c r="AP86" s="11">
        <f t="shared" si="438"/>
        <v>29.414933919906616</v>
      </c>
      <c r="AQ86" s="11">
        <f t="shared" si="438"/>
        <v>35637075</v>
      </c>
      <c r="AR86" s="16">
        <f t="shared" si="438"/>
        <v>327100</v>
      </c>
      <c r="AS86" s="16">
        <f t="shared" si="438"/>
        <v>1586225</v>
      </c>
      <c r="AT86" s="16">
        <f t="shared" si="438"/>
        <v>29.414933919906616</v>
      </c>
      <c r="AU86" s="7">
        <f t="shared" si="438"/>
        <v>0.15000152587890625</v>
      </c>
      <c r="AV86" s="7">
        <f t="shared" si="438"/>
        <v>67.150001525878906</v>
      </c>
      <c r="AW86" s="7">
        <f t="shared" si="438"/>
        <v>564.6500244140625</v>
      </c>
      <c r="AX86" s="7">
        <f t="shared" si="438"/>
        <v>0</v>
      </c>
      <c r="AY86" s="11">
        <f t="shared" si="438"/>
        <v>29.736626148223877</v>
      </c>
      <c r="AZ86" s="16">
        <f t="shared" si="438"/>
        <v>246500</v>
      </c>
      <c r="BA86" s="16">
        <f t="shared" si="438"/>
        <v>-153600</v>
      </c>
      <c r="BB86" s="16">
        <f t="shared" si="438"/>
        <v>3080350</v>
      </c>
      <c r="BC86" s="11">
        <f t="shared" si="438"/>
        <v>0.79766881465911865</v>
      </c>
      <c r="BD86" s="11">
        <f t="shared" si="438"/>
        <v>8.4775686264038086E-4</v>
      </c>
      <c r="BE86" s="11">
        <f t="shared" si="438"/>
        <v>-82.862289428710938</v>
      </c>
      <c r="BF86" s="11">
        <f t="shared" si="438"/>
        <v>0.41599273681640625</v>
      </c>
      <c r="BG86" s="11">
        <f t="shared" si="438"/>
        <v>5.7298688888549805</v>
      </c>
      <c r="BH86" s="11">
        <f t="shared" si="438"/>
        <v>-1.4375209808349609E-2</v>
      </c>
      <c r="BI86" s="13">
        <f t="shared" si="438"/>
        <v>4.6644188114441931E-4</v>
      </c>
      <c r="BJ86" s="13">
        <f t="shared" si="438"/>
        <v>2.5262124836444855E-8</v>
      </c>
      <c r="BK86" s="11">
        <f t="shared" si="438"/>
        <v>29.736626148223877</v>
      </c>
      <c r="BL86" s="12">
        <f t="shared" si="438"/>
        <v>-1.5521050691604614</v>
      </c>
      <c r="BM86" s="12">
        <f t="shared" si="438"/>
        <v>-1.3558864593505859E-2</v>
      </c>
      <c r="BN86" s="13">
        <f t="shared" si="438"/>
        <v>0.22445711493492126</v>
      </c>
      <c r="BO86" s="13">
        <f t="shared" si="438"/>
        <v>1.4034062623977661E-3</v>
      </c>
      <c r="BP86" s="15">
        <f t="shared" si="438"/>
        <v>-6.552996296704805E-7</v>
      </c>
      <c r="BQ86" s="15">
        <f t="shared" si="438"/>
        <v>-3.9867700252216309E-9</v>
      </c>
      <c r="BR86" s="14">
        <f t="shared" si="438"/>
        <v>-4.9994286382570863E-4</v>
      </c>
      <c r="BS86" s="14">
        <f t="shared" si="438"/>
        <v>6.4981286413967609E-6</v>
      </c>
      <c r="BT86" s="14">
        <f t="shared" si="438"/>
        <v>-7.2299051680602133E-5</v>
      </c>
      <c r="BU86" s="14">
        <f t="shared" si="438"/>
        <v>1.1232041288167238E-6</v>
      </c>
      <c r="BV86" s="11">
        <f t="shared" si="438"/>
        <v>2628.829833984375</v>
      </c>
      <c r="BW86" s="11">
        <f t="shared" si="438"/>
        <v>32.33837890625</v>
      </c>
      <c r="BX86" s="11">
        <f t="shared" si="438"/>
        <v>938.189453125</v>
      </c>
      <c r="BY86" s="11">
        <f t="shared" si="438"/>
        <v>5.14837646484375</v>
      </c>
      <c r="BZ86" s="7">
        <f t="shared" si="438"/>
        <v>571.54998779296875</v>
      </c>
      <c r="CA86" s="7">
        <f t="shared" si="438"/>
        <v>665.4000244140625</v>
      </c>
      <c r="CB86" s="7">
        <f t="shared" ref="CB86:CP86" si="439">IFERROR(VALUE(CB391),"-")</f>
        <v>470.04998779296875</v>
      </c>
      <c r="CC86" s="7">
        <f t="shared" si="439"/>
        <v>564.6500244140625</v>
      </c>
      <c r="CD86" s="7">
        <f t="shared" si="439"/>
        <v>564.54998779296875</v>
      </c>
      <c r="CE86" s="3">
        <f t="shared" si="439"/>
        <v>50</v>
      </c>
      <c r="CF86" s="7">
        <f t="shared" si="439"/>
        <v>563.54998779296875</v>
      </c>
      <c r="CG86" s="3">
        <f t="shared" si="439"/>
        <v>25</v>
      </c>
      <c r="CH86" s="7">
        <f t="shared" si="439"/>
        <v>574.46002197265625</v>
      </c>
      <c r="CI86" s="7">
        <f t="shared" si="439"/>
        <v>67.199996948242188</v>
      </c>
      <c r="CJ86" s="3">
        <f t="shared" si="439"/>
        <v>575</v>
      </c>
      <c r="CK86" s="7">
        <f t="shared" si="439"/>
        <v>67</v>
      </c>
      <c r="CL86" s="3">
        <f t="shared" si="439"/>
        <v>100</v>
      </c>
      <c r="CM86" s="7">
        <f t="shared" si="439"/>
        <v>73.639999389648438</v>
      </c>
      <c r="CN86" s="10">
        <f t="shared" si="439"/>
        <v>44783.638194444444</v>
      </c>
      <c r="CO86" s="10">
        <f t="shared" si="439"/>
        <v>44783.638194444444</v>
      </c>
      <c r="CP86" s="7">
        <f t="shared" si="439"/>
        <v>38295.69921875</v>
      </c>
      <c r="CQ86" s="7" t="str">
        <f t="shared" ref="CQ86" si="440">IFERROR(CQ391,"-")</f>
        <v>FairPrice</v>
      </c>
      <c r="CR86" s="10">
        <f t="shared" si="405"/>
        <v>44783.638194444444</v>
      </c>
      <c r="CS86" s="7">
        <f t="shared" si="405"/>
        <v>2.8777122497558594E-2</v>
      </c>
      <c r="CT86" s="7">
        <f t="shared" si="405"/>
        <v>9.7927478900867483E-4</v>
      </c>
      <c r="CU86" s="7">
        <f t="shared" si="405"/>
        <v>1259125</v>
      </c>
      <c r="CV86" s="7">
        <f t="shared" si="405"/>
        <v>0.25978357986697109</v>
      </c>
      <c r="CW86" s="7">
        <f t="shared" si="405"/>
        <v>67.150001525878906</v>
      </c>
      <c r="CX86" s="7">
        <f t="shared" si="405"/>
        <v>2.2388287444612873E-3</v>
      </c>
      <c r="CY86" s="7">
        <f t="shared" si="405"/>
        <v>564.6500244140625</v>
      </c>
      <c r="CZ86" s="7">
        <f t="shared" si="405"/>
        <v>0</v>
      </c>
      <c r="DA86" s="7">
        <f t="shared" si="405"/>
        <v>400100</v>
      </c>
      <c r="DB86" s="7">
        <f t="shared" si="405"/>
        <v>-0.38390402399400148</v>
      </c>
      <c r="DC86" s="7">
        <f t="shared" si="405"/>
        <v>-7.578432559967041E-2</v>
      </c>
      <c r="DD86" s="7">
        <f t="shared" si="405"/>
        <v>-2.5420395196226078E-3</v>
      </c>
      <c r="DE86" s="7">
        <f t="shared" si="405"/>
        <v>564.6500244140625</v>
      </c>
      <c r="DF86" s="7">
        <f t="shared" si="405"/>
        <v>67.150001525878906</v>
      </c>
      <c r="DG86" s="7">
        <f t="shared" si="405"/>
        <v>38295.69921875</v>
      </c>
      <c r="DH86" s="7" t="str">
        <f t="shared" ref="DH86:DJ86" si="441">IFERROR(DH391,"-")</f>
        <v>W</v>
      </c>
      <c r="DI86" s="7" t="str">
        <f t="shared" si="441"/>
        <v>G</v>
      </c>
      <c r="DJ86" s="7" t="str">
        <f t="shared" si="441"/>
        <v>G</v>
      </c>
      <c r="DK86" s="64">
        <f t="shared" ref="DK86:DS86" si="442">IFERROR(VALUE(DK391),"-")</f>
        <v>38300</v>
      </c>
      <c r="DL86" s="64">
        <f t="shared" si="442"/>
        <v>3400000</v>
      </c>
      <c r="DM86" s="64">
        <f t="shared" si="442"/>
        <v>38500</v>
      </c>
      <c r="DN86" s="64">
        <f t="shared" si="442"/>
        <v>0</v>
      </c>
      <c r="DO86" s="64">
        <f t="shared" si="442"/>
        <v>24500</v>
      </c>
      <c r="DP86" s="64">
        <f t="shared" si="442"/>
        <v>2863350</v>
      </c>
      <c r="DQ86" s="64">
        <f t="shared" si="442"/>
        <v>38000</v>
      </c>
      <c r="DR86" s="64">
        <f t="shared" si="442"/>
        <v>0</v>
      </c>
      <c r="DS86" s="64">
        <f t="shared" si="442"/>
        <v>24500</v>
      </c>
      <c r="DT86" t="str">
        <f t="shared" si="338"/>
        <v>BANKNIFTY</v>
      </c>
      <c r="DU86" s="10">
        <f t="shared" si="339"/>
        <v>44784</v>
      </c>
    </row>
    <row r="87" spans="1:125" x14ac:dyDescent="0.25">
      <c r="A87" t="s">
        <v>33</v>
      </c>
      <c r="B87" s="2">
        <v>44812</v>
      </c>
      <c r="C87" s="1">
        <v>25</v>
      </c>
      <c r="D87">
        <v>139</v>
      </c>
      <c r="G87" t="str">
        <f t="array" ref="G87">IFERROR(INDEX($A$2:$A$700,MATCH(0,COUNTIF($G$1:G86,$A$2:$A$700),0)),"")</f>
        <v>HINDCOPPER</v>
      </c>
      <c r="M87" s="3"/>
      <c r="N87" s="3"/>
      <c r="O87" s="3">
        <f t="shared" si="340"/>
        <v>37900</v>
      </c>
      <c r="P87" s="7">
        <f t="shared" ref="P87:CA87" si="443">IFERROR(VALUE(P392),"-")</f>
        <v>85.050003051757813</v>
      </c>
      <c r="Q87" s="7">
        <f t="shared" si="443"/>
        <v>56.75</v>
      </c>
      <c r="R87" s="7">
        <f t="shared" si="443"/>
        <v>149.60000610351563</v>
      </c>
      <c r="S87" s="7">
        <f t="shared" si="443"/>
        <v>132.75</v>
      </c>
      <c r="T87" s="11">
        <f t="shared" si="443"/>
        <v>-1.0467529296875</v>
      </c>
      <c r="U87" s="11">
        <f t="shared" si="443"/>
        <v>734.50006103515625</v>
      </c>
      <c r="V87" s="11">
        <f t="shared" si="443"/>
        <v>-7.9293212890625</v>
      </c>
      <c r="W87" s="11">
        <f t="shared" si="443"/>
        <v>1679.3759765625</v>
      </c>
      <c r="X87" s="14">
        <f t="shared" si="443"/>
        <v>-2.1261803340166807E-7</v>
      </c>
      <c r="Y87" s="14">
        <f t="shared" si="443"/>
        <v>-1.3997724454384297E-4</v>
      </c>
      <c r="Z87" s="14">
        <f t="shared" si="443"/>
        <v>-1.9557774066925049E-8</v>
      </c>
      <c r="AA87" s="14">
        <f t="shared" si="443"/>
        <v>-1.0053522419184446E-3</v>
      </c>
      <c r="AB87" s="15">
        <f t="shared" si="443"/>
        <v>2.2873791749589145E-9</v>
      </c>
      <c r="AC87" s="15">
        <f t="shared" si="443"/>
        <v>-6.5542388938411023E-7</v>
      </c>
      <c r="AD87" s="13">
        <f t="shared" si="443"/>
        <v>-3.1822919845581055E-4</v>
      </c>
      <c r="AE87" s="13">
        <f t="shared" si="443"/>
        <v>0.16648566722869873</v>
      </c>
      <c r="AF87" s="12">
        <f t="shared" si="443"/>
        <v>4.0847063064575195E-3</v>
      </c>
      <c r="AG87" s="12">
        <f t="shared" si="443"/>
        <v>-1.1957424879074097</v>
      </c>
      <c r="AH87" s="13">
        <f t="shared" si="443"/>
        <v>-4.457542672753334E-7</v>
      </c>
      <c r="AI87" s="13">
        <f t="shared" si="443"/>
        <v>5.40010049007833E-4</v>
      </c>
      <c r="AJ87" s="11">
        <f t="shared" si="443"/>
        <v>3.7770271301269531E-3</v>
      </c>
      <c r="AK87" s="11">
        <f t="shared" si="443"/>
        <v>6.3861227035522461</v>
      </c>
      <c r="AL87" s="11">
        <f t="shared" si="443"/>
        <v>-0.25</v>
      </c>
      <c r="AM87" s="11">
        <f t="shared" si="443"/>
        <v>-85.050003051757813</v>
      </c>
      <c r="AN87" s="11">
        <f t="shared" si="443"/>
        <v>-2.7799606323242188E-4</v>
      </c>
      <c r="AO87" s="11">
        <f t="shared" si="443"/>
        <v>-0.24477554857730865</v>
      </c>
      <c r="AP87" s="11">
        <f t="shared" si="443"/>
        <v>28.628584742546082</v>
      </c>
      <c r="AQ87" s="11">
        <f t="shared" si="443"/>
        <v>31039250</v>
      </c>
      <c r="AR87" s="16">
        <f t="shared" si="443"/>
        <v>292400</v>
      </c>
      <c r="AS87" s="16">
        <f t="shared" si="443"/>
        <v>1230600</v>
      </c>
      <c r="AT87" s="16">
        <f t="shared" si="443"/>
        <v>28.628584742546082</v>
      </c>
      <c r="AU87" s="7">
        <f t="shared" si="443"/>
        <v>0.25</v>
      </c>
      <c r="AV87" s="7">
        <f t="shared" si="443"/>
        <v>85.050003051757813</v>
      </c>
      <c r="AW87" s="7">
        <f t="shared" si="443"/>
        <v>481.95001220703125</v>
      </c>
      <c r="AX87" s="7">
        <f t="shared" si="443"/>
        <v>1.100006103515625</v>
      </c>
      <c r="AY87" s="11">
        <f t="shared" si="443"/>
        <v>28.82004976272583</v>
      </c>
      <c r="AZ87" s="16">
        <f t="shared" si="443"/>
        <v>256775</v>
      </c>
      <c r="BA87" s="16">
        <f t="shared" si="443"/>
        <v>8600</v>
      </c>
      <c r="BB87" s="16">
        <f t="shared" si="443"/>
        <v>4769675</v>
      </c>
      <c r="BC87" s="11">
        <f t="shared" si="443"/>
        <v>0.75386542081832886</v>
      </c>
      <c r="BD87" s="11">
        <f t="shared" si="443"/>
        <v>-1.1977553367614746E-3</v>
      </c>
      <c r="BE87" s="11">
        <f t="shared" si="443"/>
        <v>-89.776878356933594</v>
      </c>
      <c r="BF87" s="11">
        <f t="shared" si="443"/>
        <v>-0.7548675537109375</v>
      </c>
      <c r="BG87" s="11">
        <f t="shared" si="443"/>
        <v>6.4051671028137207</v>
      </c>
      <c r="BH87" s="11">
        <f t="shared" si="443"/>
        <v>1.6633510589599609E-2</v>
      </c>
      <c r="BI87" s="13">
        <f t="shared" si="443"/>
        <v>5.3801934700459242E-4</v>
      </c>
      <c r="BJ87" s="13">
        <f t="shared" si="443"/>
        <v>-1.7026322893798351E-6</v>
      </c>
      <c r="BK87" s="11">
        <f t="shared" si="443"/>
        <v>28.82004976272583</v>
      </c>
      <c r="BL87" s="12">
        <f t="shared" si="443"/>
        <v>-1.1765241622924805</v>
      </c>
      <c r="BM87" s="12">
        <f t="shared" si="443"/>
        <v>1.6829848289489746E-2</v>
      </c>
      <c r="BN87" s="13">
        <f t="shared" si="443"/>
        <v>0.16490541398525238</v>
      </c>
      <c r="BO87" s="13">
        <f t="shared" si="443"/>
        <v>-1.384347677230835E-3</v>
      </c>
      <c r="BP87" s="15">
        <f t="shared" si="443"/>
        <v>-6.4479434058739571E-7</v>
      </c>
      <c r="BQ87" s="15">
        <f t="shared" si="443"/>
        <v>9.2351797320588958E-9</v>
      </c>
      <c r="BR87" s="14">
        <f t="shared" si="443"/>
        <v>-1.0061073116958141E-3</v>
      </c>
      <c r="BS87" s="14">
        <f t="shared" si="443"/>
        <v>-8.2200858741998672E-7</v>
      </c>
      <c r="BT87" s="14">
        <f t="shared" si="443"/>
        <v>-1.4101923443377018E-4</v>
      </c>
      <c r="BU87" s="14">
        <f t="shared" si="443"/>
        <v>-9.3621201813220978E-7</v>
      </c>
      <c r="BV87" s="11">
        <f t="shared" si="443"/>
        <v>1642.0616455078125</v>
      </c>
      <c r="BW87" s="11">
        <f t="shared" si="443"/>
        <v>-32.75341796875</v>
      </c>
      <c r="BX87" s="11">
        <f t="shared" si="443"/>
        <v>729.3477783203125</v>
      </c>
      <c r="BY87" s="11">
        <f t="shared" si="443"/>
        <v>-4.52142333984375</v>
      </c>
      <c r="BZ87" s="7">
        <f t="shared" si="443"/>
        <v>462.20001220703125</v>
      </c>
      <c r="CA87" s="7">
        <f t="shared" si="443"/>
        <v>580</v>
      </c>
      <c r="CB87" s="7">
        <f t="shared" ref="CB87:CP87" si="444">IFERROR(VALUE(CB392),"-")</f>
        <v>400</v>
      </c>
      <c r="CC87" s="7">
        <f t="shared" si="444"/>
        <v>481.95001220703125</v>
      </c>
      <c r="CD87" s="7">
        <f t="shared" si="444"/>
        <v>481.54998779296875</v>
      </c>
      <c r="CE87" s="3">
        <f t="shared" si="444"/>
        <v>100</v>
      </c>
      <c r="CF87" s="7">
        <f t="shared" si="444"/>
        <v>480.29998779296875</v>
      </c>
      <c r="CG87" s="3">
        <f t="shared" si="444"/>
        <v>500</v>
      </c>
      <c r="CH87" s="7">
        <f t="shared" si="444"/>
        <v>492.94000244140625</v>
      </c>
      <c r="CI87" s="7">
        <f t="shared" si="444"/>
        <v>84.949996948242188</v>
      </c>
      <c r="CJ87" s="3">
        <f t="shared" si="444"/>
        <v>75</v>
      </c>
      <c r="CK87" s="7">
        <f t="shared" si="444"/>
        <v>84.849998474121094</v>
      </c>
      <c r="CL87" s="3">
        <f t="shared" si="444"/>
        <v>50</v>
      </c>
      <c r="CM87" s="7">
        <f t="shared" si="444"/>
        <v>92.580001831054688</v>
      </c>
      <c r="CN87" s="10">
        <f t="shared" si="444"/>
        <v>44783.638194444444</v>
      </c>
      <c r="CO87" s="10">
        <f t="shared" si="444"/>
        <v>44783.638194444444</v>
      </c>
      <c r="CP87" s="7">
        <f t="shared" si="444"/>
        <v>38295.69921875</v>
      </c>
      <c r="CQ87" s="7" t="str">
        <f t="shared" ref="CQ87" si="445">IFERROR(CQ392,"-")</f>
        <v>FairPrice</v>
      </c>
      <c r="CR87" s="10">
        <f t="shared" si="405"/>
        <v>44783.638194444444</v>
      </c>
      <c r="CS87" s="7">
        <f t="shared" si="405"/>
        <v>4.1693449020385742E-2</v>
      </c>
      <c r="CT87" s="7">
        <f t="shared" si="405"/>
        <v>1.4584813924775513E-3</v>
      </c>
      <c r="CU87" s="7">
        <f t="shared" si="405"/>
        <v>938200</v>
      </c>
      <c r="CV87" s="7">
        <f t="shared" si="405"/>
        <v>0.31166062673204009</v>
      </c>
      <c r="CW87" s="7">
        <f t="shared" si="405"/>
        <v>85.050003051757813</v>
      </c>
      <c r="CX87" s="7">
        <f t="shared" si="405"/>
        <v>2.9481131014513304E-3</v>
      </c>
      <c r="CY87" s="7">
        <f t="shared" si="405"/>
        <v>481.95001220703125</v>
      </c>
      <c r="CZ87" s="7">
        <f t="shared" si="405"/>
        <v>2.2876283447084323E-3</v>
      </c>
      <c r="DA87" s="7">
        <f t="shared" si="405"/>
        <v>248175</v>
      </c>
      <c r="DB87" s="7">
        <f t="shared" si="405"/>
        <v>3.4652966656593127E-2</v>
      </c>
      <c r="DC87" s="7">
        <f t="shared" si="405"/>
        <v>0.16668438911437988</v>
      </c>
      <c r="DD87" s="7">
        <f t="shared" si="405"/>
        <v>5.8172709188250961E-3</v>
      </c>
      <c r="DE87" s="7">
        <f t="shared" si="405"/>
        <v>481.95001220703125</v>
      </c>
      <c r="DF87" s="7">
        <f t="shared" si="405"/>
        <v>85.050003051757813</v>
      </c>
      <c r="DG87" s="7">
        <f t="shared" si="405"/>
        <v>38295.69921875</v>
      </c>
      <c r="DH87" s="7" t="str">
        <f t="shared" ref="DH87:DJ87" si="446">IFERROR(DH392,"-")</f>
        <v>G</v>
      </c>
      <c r="DI87" s="7" t="str">
        <f t="shared" si="446"/>
        <v>G</v>
      </c>
      <c r="DJ87" s="7" t="str">
        <f t="shared" si="446"/>
        <v>G</v>
      </c>
      <c r="DK87" s="64">
        <f t="shared" ref="DK87:DS87" si="447">IFERROR(VALUE(DK392),"-")</f>
        <v>38300</v>
      </c>
      <c r="DL87" s="64">
        <f t="shared" si="447"/>
        <v>3400000</v>
      </c>
      <c r="DM87" s="64">
        <f t="shared" si="447"/>
        <v>38500</v>
      </c>
      <c r="DN87" s="64">
        <f t="shared" si="447"/>
        <v>0</v>
      </c>
      <c r="DO87" s="64">
        <f t="shared" si="447"/>
        <v>24500</v>
      </c>
      <c r="DP87" s="64">
        <f t="shared" si="447"/>
        <v>2863350</v>
      </c>
      <c r="DQ87" s="64">
        <f t="shared" si="447"/>
        <v>38000</v>
      </c>
      <c r="DR87" s="64">
        <f t="shared" si="447"/>
        <v>0</v>
      </c>
      <c r="DS87" s="64">
        <f t="shared" si="447"/>
        <v>24500</v>
      </c>
      <c r="DT87" t="str">
        <f t="shared" si="338"/>
        <v>BANKNIFTY</v>
      </c>
      <c r="DU87" s="10">
        <f t="shared" si="339"/>
        <v>44784</v>
      </c>
    </row>
    <row r="88" spans="1:125" x14ac:dyDescent="0.25">
      <c r="A88" t="s">
        <v>33</v>
      </c>
      <c r="B88" s="2">
        <v>44833</v>
      </c>
      <c r="C88" s="1">
        <v>25</v>
      </c>
      <c r="D88">
        <v>139</v>
      </c>
      <c r="G88" t="str">
        <f t="array" ref="G88">IFERROR(INDEX($A$2:$A$700,MATCH(0,COUNTIF($G$1:G87,$A$2:$A$700),0)),"")</f>
        <v>HINDPETRO</v>
      </c>
      <c r="M88" s="3"/>
      <c r="N88" s="3"/>
      <c r="O88" s="3">
        <f t="shared" si="340"/>
        <v>38000</v>
      </c>
      <c r="P88" s="7">
        <f t="shared" ref="P88:CA88" si="448">IFERROR(VALUE(P393),"-")</f>
        <v>106.90000152587891</v>
      </c>
      <c r="Q88" s="7">
        <f t="shared" si="448"/>
        <v>74.099998474121094</v>
      </c>
      <c r="R88" s="7">
        <f t="shared" si="448"/>
        <v>183</v>
      </c>
      <c r="S88" s="7">
        <f t="shared" si="448"/>
        <v>149.94999694824219</v>
      </c>
      <c r="T88" s="11">
        <f t="shared" si="448"/>
        <v>0.57647705078125</v>
      </c>
      <c r="U88" s="11">
        <f t="shared" si="448"/>
        <v>580.05364990234375</v>
      </c>
      <c r="V88" s="11">
        <f t="shared" si="448"/>
        <v>3.96759033203125</v>
      </c>
      <c r="W88" s="11">
        <f t="shared" si="448"/>
        <v>928.89642333984375</v>
      </c>
      <c r="X88" s="14">
        <f t="shared" si="448"/>
        <v>3.8620783016085625E-8</v>
      </c>
      <c r="Y88" s="14">
        <f t="shared" si="448"/>
        <v>-2.1572790865320712E-4</v>
      </c>
      <c r="Z88" s="14">
        <f t="shared" si="448"/>
        <v>-1.5285331755876541E-6</v>
      </c>
      <c r="AA88" s="14">
        <f t="shared" si="448"/>
        <v>-1.5962632605805993E-3</v>
      </c>
      <c r="AB88" s="15">
        <f t="shared" si="448"/>
        <v>-1.9514914129104E-9</v>
      </c>
      <c r="AC88" s="15">
        <f t="shared" si="448"/>
        <v>-5.9432227317302022E-7</v>
      </c>
      <c r="AD88" s="13">
        <f t="shared" si="448"/>
        <v>2.1175295114517212E-4</v>
      </c>
      <c r="AE88" s="13">
        <f t="shared" si="448"/>
        <v>0.11589039862155914</v>
      </c>
      <c r="AF88" s="12">
        <f t="shared" si="448"/>
        <v>-2.5396347045898438E-3</v>
      </c>
      <c r="AG88" s="12">
        <f t="shared" si="448"/>
        <v>-0.85752272605895996</v>
      </c>
      <c r="AH88" s="13">
        <f t="shared" si="448"/>
        <v>5.0355447456240654E-7</v>
      </c>
      <c r="AI88" s="13">
        <f t="shared" si="448"/>
        <v>6.1283912509679794E-4</v>
      </c>
      <c r="AJ88" s="11">
        <f t="shared" si="448"/>
        <v>-2.8071403503417969E-3</v>
      </c>
      <c r="AK88" s="11">
        <f t="shared" si="448"/>
        <v>7.0347194671630859</v>
      </c>
      <c r="AL88" s="11">
        <f t="shared" si="448"/>
        <v>0.14614105224609375</v>
      </c>
      <c r="AM88" s="11">
        <f t="shared" si="448"/>
        <v>-95.071121215820313</v>
      </c>
      <c r="AN88" s="11">
        <f t="shared" si="448"/>
        <v>2.4610757827758789E-4</v>
      </c>
      <c r="AO88" s="11">
        <f t="shared" si="448"/>
        <v>-0.29702717065811157</v>
      </c>
      <c r="AP88" s="11">
        <f t="shared" si="448"/>
        <v>27.788332104682922</v>
      </c>
      <c r="AQ88" s="11">
        <f t="shared" si="448"/>
        <v>73033500</v>
      </c>
      <c r="AR88" s="16">
        <f t="shared" si="448"/>
        <v>561250</v>
      </c>
      <c r="AS88" s="16">
        <f t="shared" si="448"/>
        <v>2863350</v>
      </c>
      <c r="AT88" s="16">
        <f t="shared" si="448"/>
        <v>27.788332104682922</v>
      </c>
      <c r="AU88" s="7">
        <f t="shared" si="448"/>
        <v>-0.25</v>
      </c>
      <c r="AV88" s="7">
        <f t="shared" si="448"/>
        <v>106.90000152587891</v>
      </c>
      <c r="AW88" s="7">
        <f t="shared" si="448"/>
        <v>402.25</v>
      </c>
      <c r="AX88" s="7">
        <f t="shared" si="448"/>
        <v>-0.45001220703125</v>
      </c>
      <c r="AY88" s="11">
        <f t="shared" si="448"/>
        <v>27.742967009544373</v>
      </c>
      <c r="AZ88" s="16">
        <f t="shared" si="448"/>
        <v>1222125</v>
      </c>
      <c r="BA88" s="16">
        <f t="shared" si="448"/>
        <v>-16900</v>
      </c>
      <c r="BB88" s="16">
        <f t="shared" si="448"/>
        <v>27974975</v>
      </c>
      <c r="BC88" s="11">
        <f t="shared" si="448"/>
        <v>0.70323151350021362</v>
      </c>
      <c r="BD88" s="11">
        <f t="shared" si="448"/>
        <v>1.1029243469238281E-3</v>
      </c>
      <c r="BE88" s="11">
        <f t="shared" si="448"/>
        <v>-94.875907897949219</v>
      </c>
      <c r="BF88" s="11">
        <f t="shared" si="448"/>
        <v>0.5625762939453125</v>
      </c>
      <c r="BG88" s="11">
        <f t="shared" si="448"/>
        <v>7.0320582389831543</v>
      </c>
      <c r="BH88" s="11">
        <f t="shared" si="448"/>
        <v>-1.1979103088378906E-2</v>
      </c>
      <c r="BI88" s="13">
        <f t="shared" si="448"/>
        <v>6.135840667411685E-4</v>
      </c>
      <c r="BJ88" s="13">
        <f t="shared" si="448"/>
        <v>1.5722471289336681E-6</v>
      </c>
      <c r="BK88" s="11">
        <f t="shared" si="448"/>
        <v>27.742967009544373</v>
      </c>
      <c r="BL88" s="12">
        <f t="shared" si="448"/>
        <v>-0.8605462908744812</v>
      </c>
      <c r="BM88" s="12">
        <f t="shared" si="448"/>
        <v>-1.0457098484039307E-2</v>
      </c>
      <c r="BN88" s="13">
        <f t="shared" si="448"/>
        <v>0.11610414087772369</v>
      </c>
      <c r="BO88" s="13">
        <f t="shared" si="448"/>
        <v>9.2698633670806885E-4</v>
      </c>
      <c r="BP88" s="15">
        <f t="shared" si="448"/>
        <v>-5.9679319974748068E-7</v>
      </c>
      <c r="BQ88" s="15">
        <f t="shared" si="448"/>
        <v>-7.4339823186164722E-9</v>
      </c>
      <c r="BR88" s="14">
        <f t="shared" si="448"/>
        <v>-1.5990497777238488E-3</v>
      </c>
      <c r="BS88" s="14">
        <f t="shared" si="448"/>
        <v>-3.450317308306694E-6</v>
      </c>
      <c r="BT88" s="14">
        <f t="shared" si="448"/>
        <v>-2.1574238780885935E-4</v>
      </c>
      <c r="BU88" s="14">
        <f t="shared" si="448"/>
        <v>4.4269836507737637E-7</v>
      </c>
      <c r="BV88" s="11">
        <f t="shared" si="448"/>
        <v>933.49798583984375</v>
      </c>
      <c r="BW88" s="11">
        <f t="shared" si="448"/>
        <v>16.8399658203125</v>
      </c>
      <c r="BX88" s="11">
        <f t="shared" si="448"/>
        <v>580.63494873046875</v>
      </c>
      <c r="BY88" s="11">
        <f t="shared" si="448"/>
        <v>2.53656005859375</v>
      </c>
      <c r="BZ88" s="7">
        <f t="shared" si="448"/>
        <v>429.14999389648438</v>
      </c>
      <c r="CA88" s="7">
        <f t="shared" si="448"/>
        <v>500.14999389648438</v>
      </c>
      <c r="CB88" s="7">
        <f t="shared" ref="CB88:CP88" si="449">IFERROR(VALUE(CB393),"-")</f>
        <v>330</v>
      </c>
      <c r="CC88" s="7">
        <f t="shared" si="449"/>
        <v>402.25</v>
      </c>
      <c r="CD88" s="7">
        <f t="shared" si="449"/>
        <v>403.10000610351563</v>
      </c>
      <c r="CE88" s="3">
        <f t="shared" si="449"/>
        <v>125</v>
      </c>
      <c r="CF88" s="7">
        <f t="shared" si="449"/>
        <v>402.20001220703125</v>
      </c>
      <c r="CG88" s="3">
        <f t="shared" si="449"/>
        <v>25</v>
      </c>
      <c r="CH88" s="7">
        <f t="shared" si="449"/>
        <v>417.39999389648438</v>
      </c>
      <c r="CI88" s="7">
        <f t="shared" si="449"/>
        <v>107.15000152587891</v>
      </c>
      <c r="CJ88" s="3">
        <f t="shared" si="449"/>
        <v>50</v>
      </c>
      <c r="CK88" s="7">
        <f t="shared" si="449"/>
        <v>106.94999694824219</v>
      </c>
      <c r="CL88" s="3">
        <f t="shared" si="449"/>
        <v>75</v>
      </c>
      <c r="CM88" s="7">
        <f t="shared" si="449"/>
        <v>116.70999908447266</v>
      </c>
      <c r="CN88" s="10">
        <f t="shared" si="449"/>
        <v>44783.638194444444</v>
      </c>
      <c r="CO88" s="10">
        <f t="shared" si="449"/>
        <v>44783.638194444444</v>
      </c>
      <c r="CP88" s="7">
        <f t="shared" si="449"/>
        <v>38295.69921875</v>
      </c>
      <c r="CQ88" s="7" t="str">
        <f t="shared" ref="CQ88" si="450">IFERROR(CQ393,"-")</f>
        <v>FairPrice</v>
      </c>
      <c r="CR88" s="10">
        <f t="shared" si="405"/>
        <v>44783.638194444444</v>
      </c>
      <c r="CS88" s="7">
        <f t="shared" si="405"/>
        <v>-3.2818317413330078E-2</v>
      </c>
      <c r="CT88" s="7">
        <f t="shared" si="405"/>
        <v>-1.1796175541060642E-3</v>
      </c>
      <c r="CU88" s="7">
        <f t="shared" si="405"/>
        <v>2302100</v>
      </c>
      <c r="CV88" s="7">
        <f t="shared" si="405"/>
        <v>0.24379913991572913</v>
      </c>
      <c r="CW88" s="7">
        <f t="shared" si="405"/>
        <v>106.90000152587891</v>
      </c>
      <c r="CX88" s="7">
        <f t="shared" si="405"/>
        <v>-2.3331777549216357E-3</v>
      </c>
      <c r="CY88" s="7">
        <f t="shared" si="405"/>
        <v>402.25</v>
      </c>
      <c r="CZ88" s="7">
        <f t="shared" si="405"/>
        <v>-1.11748744323329E-3</v>
      </c>
      <c r="DA88" s="7">
        <f t="shared" si="405"/>
        <v>1239025</v>
      </c>
      <c r="DB88" s="7">
        <f t="shared" si="405"/>
        <v>-1.3639757067048687E-2</v>
      </c>
      <c r="DC88" s="7">
        <f t="shared" si="405"/>
        <v>-0.11824965476989746</v>
      </c>
      <c r="DD88" s="7">
        <f t="shared" si="405"/>
        <v>-4.2442387277852158E-3</v>
      </c>
      <c r="DE88" s="7">
        <f t="shared" si="405"/>
        <v>402.25</v>
      </c>
      <c r="DF88" s="7">
        <f t="shared" si="405"/>
        <v>106.90000152587891</v>
      </c>
      <c r="DG88" s="7">
        <f t="shared" si="405"/>
        <v>38295.69921875</v>
      </c>
      <c r="DH88" s="7" t="str">
        <f t="shared" ref="DH88:DJ88" si="451">IFERROR(DH393,"-")</f>
        <v>R</v>
      </c>
      <c r="DI88" s="7" t="str">
        <f t="shared" si="451"/>
        <v>R</v>
      </c>
      <c r="DJ88" s="7" t="str">
        <f t="shared" si="451"/>
        <v>G</v>
      </c>
      <c r="DK88" s="64">
        <f t="shared" ref="DK88:DS88" si="452">IFERROR(VALUE(DK393),"-")</f>
        <v>38300</v>
      </c>
      <c r="DL88" s="64">
        <f t="shared" si="452"/>
        <v>3400000</v>
      </c>
      <c r="DM88" s="64">
        <f t="shared" si="452"/>
        <v>38500</v>
      </c>
      <c r="DN88" s="64">
        <f t="shared" si="452"/>
        <v>0</v>
      </c>
      <c r="DO88" s="64">
        <f t="shared" si="452"/>
        <v>24500</v>
      </c>
      <c r="DP88" s="64">
        <f t="shared" si="452"/>
        <v>2863350</v>
      </c>
      <c r="DQ88" s="64">
        <f t="shared" si="452"/>
        <v>38000</v>
      </c>
      <c r="DR88" s="64">
        <f t="shared" si="452"/>
        <v>0</v>
      </c>
      <c r="DS88" s="64">
        <f t="shared" si="452"/>
        <v>24500</v>
      </c>
      <c r="DT88" t="str">
        <f t="shared" si="338"/>
        <v>BANKNIFTY</v>
      </c>
      <c r="DU88" s="10">
        <f t="shared" si="339"/>
        <v>44784</v>
      </c>
    </row>
    <row r="89" spans="1:125" x14ac:dyDescent="0.25">
      <c r="A89" t="s">
        <v>33</v>
      </c>
      <c r="B89" s="2">
        <v>44861</v>
      </c>
      <c r="C89" s="1">
        <v>25</v>
      </c>
      <c r="D89">
        <v>139</v>
      </c>
      <c r="G89" t="str">
        <f t="array" ref="G89">IFERROR(INDEX($A$2:$A$700,MATCH(0,COUNTIF($G$1:G88,$A$2:$A$700),0)),"")</f>
        <v>HINDUNILVR</v>
      </c>
      <c r="M89" s="3"/>
      <c r="N89" s="3"/>
      <c r="O89" s="3">
        <f t="shared" si="340"/>
        <v>38100</v>
      </c>
      <c r="P89" s="7">
        <f t="shared" ref="P89:CA89" si="453">IFERROR(VALUE(P394),"-")</f>
        <v>134.30000305175781</v>
      </c>
      <c r="Q89" s="7">
        <f t="shared" si="453"/>
        <v>96.599998474121094</v>
      </c>
      <c r="R89" s="7">
        <f t="shared" si="453"/>
        <v>222.60000610351563</v>
      </c>
      <c r="S89" s="7">
        <f t="shared" si="453"/>
        <v>186.55000305175781</v>
      </c>
      <c r="T89" s="11">
        <f t="shared" si="453"/>
        <v>3.94287109375E-2</v>
      </c>
      <c r="U89" s="11">
        <f t="shared" si="453"/>
        <v>475.26797485351563</v>
      </c>
      <c r="V89" s="11">
        <f t="shared" si="453"/>
        <v>9.356689453125E-2</v>
      </c>
      <c r="W89" s="11">
        <f t="shared" si="453"/>
        <v>410.03903198242188</v>
      </c>
      <c r="X89" s="14">
        <f t="shared" si="453"/>
        <v>3.3644028007984161E-8</v>
      </c>
      <c r="Y89" s="14">
        <f t="shared" si="453"/>
        <v>-2.886531874537468E-4</v>
      </c>
      <c r="Z89" s="14">
        <f t="shared" si="453"/>
        <v>5.9115700423717499E-7</v>
      </c>
      <c r="AA89" s="14">
        <f t="shared" si="453"/>
        <v>-2.1988532971590757E-3</v>
      </c>
      <c r="AB89" s="15">
        <f t="shared" si="453"/>
        <v>1.7053025658242404E-11</v>
      </c>
      <c r="AC89" s="15">
        <f t="shared" si="453"/>
        <v>-4.7000082759041106E-7</v>
      </c>
      <c r="AD89" s="13">
        <f t="shared" si="453"/>
        <v>1.7039477825164795E-5</v>
      </c>
      <c r="AE89" s="13">
        <f t="shared" si="453"/>
        <v>7.2635561227798462E-2</v>
      </c>
      <c r="AF89" s="12">
        <f t="shared" si="453"/>
        <v>-4.5597553253173828E-5</v>
      </c>
      <c r="AG89" s="12">
        <f t="shared" si="453"/>
        <v>-0.55331087112426758</v>
      </c>
      <c r="AH89" s="13">
        <f t="shared" si="453"/>
        <v>-7.5378920882940292E-8</v>
      </c>
      <c r="AI89" s="13">
        <f t="shared" si="453"/>
        <v>6.8042863858863711E-4</v>
      </c>
      <c r="AJ89" s="11">
        <f t="shared" si="453"/>
        <v>-3.2138824462890625E-4</v>
      </c>
      <c r="AK89" s="11">
        <f t="shared" si="453"/>
        <v>7.5868048667907715</v>
      </c>
      <c r="AL89" s="11">
        <f t="shared" si="453"/>
        <v>-1.093292236328125E-2</v>
      </c>
      <c r="AM89" s="11">
        <f t="shared" si="453"/>
        <v>-99.5953369140625</v>
      </c>
      <c r="AN89" s="11">
        <f t="shared" si="453"/>
        <v>2.2590160369873047E-5</v>
      </c>
      <c r="AO89" s="11">
        <f t="shared" si="453"/>
        <v>-0.35769826173782349</v>
      </c>
      <c r="AP89" s="11">
        <f t="shared" si="453"/>
        <v>26.992353796958923</v>
      </c>
      <c r="AQ89" s="11">
        <f t="shared" si="453"/>
        <v>38408025</v>
      </c>
      <c r="AR89" s="16">
        <f t="shared" si="453"/>
        <v>399000</v>
      </c>
      <c r="AS89" s="16">
        <f t="shared" si="453"/>
        <v>1262975</v>
      </c>
      <c r="AT89" s="16">
        <f t="shared" si="453"/>
        <v>26.992353796958923</v>
      </c>
      <c r="AU89" s="7">
        <f t="shared" si="453"/>
        <v>0</v>
      </c>
      <c r="AV89" s="7">
        <f t="shared" si="453"/>
        <v>134.30000305175781</v>
      </c>
      <c r="AW89" s="7">
        <f t="shared" si="453"/>
        <v>330.20001220703125</v>
      </c>
      <c r="AX89" s="7">
        <f t="shared" si="453"/>
        <v>-0.149993896484375</v>
      </c>
      <c r="AY89" s="11">
        <f t="shared" si="453"/>
        <v>27.023428678512573</v>
      </c>
      <c r="AZ89" s="16">
        <f t="shared" si="453"/>
        <v>576525</v>
      </c>
      <c r="BA89" s="16">
        <f t="shared" si="453"/>
        <v>59800</v>
      </c>
      <c r="BB89" s="16">
        <f t="shared" si="453"/>
        <v>20701600</v>
      </c>
      <c r="BC89" s="11">
        <f t="shared" si="453"/>
        <v>0.64221936464309692</v>
      </c>
      <c r="BD89" s="11">
        <f t="shared" si="453"/>
        <v>1.4996528625488281E-4</v>
      </c>
      <c r="BE89" s="11">
        <f t="shared" si="453"/>
        <v>-99.718284606933594</v>
      </c>
      <c r="BF89" s="11">
        <f t="shared" si="453"/>
        <v>9.87091064453125E-2</v>
      </c>
      <c r="BG89" s="11">
        <f t="shared" si="453"/>
        <v>7.587435245513916</v>
      </c>
      <c r="BH89" s="11">
        <f t="shared" si="453"/>
        <v>-1.2636184692382813E-3</v>
      </c>
      <c r="BI89" s="13">
        <f t="shared" si="453"/>
        <v>6.7969912197440863E-4</v>
      </c>
      <c r="BJ89" s="13">
        <f t="shared" si="453"/>
        <v>5.029141902923584E-7</v>
      </c>
      <c r="BK89" s="11">
        <f t="shared" si="453"/>
        <v>27.023428678512573</v>
      </c>
      <c r="BL89" s="12">
        <f t="shared" si="453"/>
        <v>-0.55225586891174316</v>
      </c>
      <c r="BM89" s="12">
        <f t="shared" si="453"/>
        <v>-1.211702823638916E-3</v>
      </c>
      <c r="BN89" s="13">
        <f t="shared" si="453"/>
        <v>7.2580531239509583E-2</v>
      </c>
      <c r="BO89" s="13">
        <f t="shared" si="453"/>
        <v>9.9636614322662354E-5</v>
      </c>
      <c r="BP89" s="15">
        <f t="shared" si="453"/>
        <v>-4.6870303549439996E-7</v>
      </c>
      <c r="BQ89" s="15">
        <f t="shared" si="453"/>
        <v>-1.2421423889463767E-9</v>
      </c>
      <c r="BR89" s="14">
        <f t="shared" si="453"/>
        <v>-2.1943817846477032E-3</v>
      </c>
      <c r="BS89" s="14">
        <f t="shared" si="453"/>
        <v>-2.7902424335479736E-6</v>
      </c>
      <c r="BT89" s="14">
        <f t="shared" si="453"/>
        <v>-2.8839783044531941E-4</v>
      </c>
      <c r="BU89" s="14">
        <f t="shared" si="453"/>
        <v>-1.2959935702383518E-7</v>
      </c>
      <c r="BV89" s="11">
        <f t="shared" si="453"/>
        <v>409.010498046875</v>
      </c>
      <c r="BW89" s="11">
        <f t="shared" si="453"/>
        <v>1.3388671875</v>
      </c>
      <c r="BX89" s="11">
        <f t="shared" si="453"/>
        <v>475.1619873046875</v>
      </c>
      <c r="BY89" s="11">
        <f t="shared" si="453"/>
        <v>0.203155517578125</v>
      </c>
      <c r="BZ89" s="7">
        <f t="shared" si="453"/>
        <v>345.85000610351563</v>
      </c>
      <c r="CA89" s="7">
        <f t="shared" si="453"/>
        <v>425</v>
      </c>
      <c r="CB89" s="7">
        <f t="shared" ref="CB89:CP89" si="454">IFERROR(VALUE(CB394),"-")</f>
        <v>265</v>
      </c>
      <c r="CC89" s="7">
        <f t="shared" si="454"/>
        <v>330.20001220703125</v>
      </c>
      <c r="CD89" s="7">
        <f t="shared" si="454"/>
        <v>331</v>
      </c>
      <c r="CE89" s="3">
        <f t="shared" si="454"/>
        <v>325</v>
      </c>
      <c r="CF89" s="7">
        <f t="shared" si="454"/>
        <v>330</v>
      </c>
      <c r="CG89" s="3">
        <f t="shared" si="454"/>
        <v>275</v>
      </c>
      <c r="CH89" s="7">
        <f t="shared" si="454"/>
        <v>347.3699951171875</v>
      </c>
      <c r="CI89" s="7">
        <f t="shared" si="454"/>
        <v>134.25</v>
      </c>
      <c r="CJ89" s="3">
        <f t="shared" si="454"/>
        <v>50</v>
      </c>
      <c r="CK89" s="7">
        <f t="shared" si="454"/>
        <v>133.85000610351563</v>
      </c>
      <c r="CL89" s="3">
        <f t="shared" si="454"/>
        <v>225</v>
      </c>
      <c r="CM89" s="7">
        <f t="shared" si="454"/>
        <v>146.77999877929688</v>
      </c>
      <c r="CN89" s="10">
        <f t="shared" si="454"/>
        <v>44783.638194444444</v>
      </c>
      <c r="CO89" s="10">
        <f t="shared" si="454"/>
        <v>44783.638194444444</v>
      </c>
      <c r="CP89" s="7">
        <f t="shared" si="454"/>
        <v>38295.69921875</v>
      </c>
      <c r="CQ89" s="7" t="str">
        <f t="shared" ref="CQ89" si="455">IFERROR(CQ394,"-")</f>
        <v>FairPrice</v>
      </c>
      <c r="CR89" s="10">
        <f t="shared" si="405"/>
        <v>44783.638194444444</v>
      </c>
      <c r="CS89" s="7">
        <f t="shared" si="405"/>
        <v>2.9414892196655273E-3</v>
      </c>
      <c r="CT89" s="7">
        <f t="shared" si="405"/>
        <v>1.0898678289567834E-4</v>
      </c>
      <c r="CU89" s="7">
        <f t="shared" si="405"/>
        <v>863975</v>
      </c>
      <c r="CV89" s="7">
        <f t="shared" si="405"/>
        <v>0.46181891837148065</v>
      </c>
      <c r="CW89" s="7">
        <f t="shared" si="405"/>
        <v>134.30000305175781</v>
      </c>
      <c r="CX89" s="7">
        <f t="shared" si="405"/>
        <v>0</v>
      </c>
      <c r="CY89" s="7">
        <f t="shared" si="405"/>
        <v>330.20001220703125</v>
      </c>
      <c r="CZ89" s="7">
        <f t="shared" si="405"/>
        <v>-4.5404538735614313E-4</v>
      </c>
      <c r="DA89" s="7">
        <f t="shared" si="405"/>
        <v>516725</v>
      </c>
      <c r="DB89" s="7">
        <f t="shared" si="405"/>
        <v>0.11572886932120567</v>
      </c>
      <c r="DC89" s="7">
        <f t="shared" si="405"/>
        <v>-2.3415684700012207E-2</v>
      </c>
      <c r="DD89" s="7">
        <f t="shared" si="405"/>
        <v>-8.6574553339985002E-4</v>
      </c>
      <c r="DE89" s="7">
        <f t="shared" si="405"/>
        <v>330.20001220703125</v>
      </c>
      <c r="DF89" s="7">
        <f t="shared" si="405"/>
        <v>134.30000305175781</v>
      </c>
      <c r="DG89" s="7">
        <f t="shared" si="405"/>
        <v>38295.69921875</v>
      </c>
      <c r="DH89" s="7" t="str">
        <f t="shared" ref="DH89:DJ89" si="456">IFERROR(DH394,"-")</f>
        <v>R</v>
      </c>
      <c r="DI89" s="7" t="str">
        <f t="shared" si="456"/>
        <v>W</v>
      </c>
      <c r="DJ89" s="7" t="str">
        <f t="shared" si="456"/>
        <v>G</v>
      </c>
      <c r="DK89" s="64">
        <f t="shared" ref="DK89:DS89" si="457">IFERROR(VALUE(DK394),"-")</f>
        <v>38300</v>
      </c>
      <c r="DL89" s="64">
        <f t="shared" si="457"/>
        <v>3400000</v>
      </c>
      <c r="DM89" s="64">
        <f t="shared" si="457"/>
        <v>38500</v>
      </c>
      <c r="DN89" s="64">
        <f t="shared" si="457"/>
        <v>0</v>
      </c>
      <c r="DO89" s="64">
        <f t="shared" si="457"/>
        <v>24500</v>
      </c>
      <c r="DP89" s="64">
        <f t="shared" si="457"/>
        <v>2863350</v>
      </c>
      <c r="DQ89" s="64">
        <f t="shared" si="457"/>
        <v>38000</v>
      </c>
      <c r="DR89" s="64">
        <f t="shared" si="457"/>
        <v>0</v>
      </c>
      <c r="DS89" s="64">
        <f t="shared" si="457"/>
        <v>24500</v>
      </c>
      <c r="DT89" t="str">
        <f t="shared" si="338"/>
        <v>BANKNIFTY</v>
      </c>
      <c r="DU89" s="10">
        <f t="shared" si="339"/>
        <v>44784</v>
      </c>
    </row>
    <row r="90" spans="1:125" x14ac:dyDescent="0.25">
      <c r="A90" t="s">
        <v>33</v>
      </c>
      <c r="B90" s="2">
        <v>44924</v>
      </c>
      <c r="C90" s="1">
        <v>25</v>
      </c>
      <c r="D90">
        <v>139</v>
      </c>
      <c r="G90" t="str">
        <f t="array" ref="G90">IFERROR(INDEX($A$2:$A$700,MATCH(0,COUNTIF($G$1:G89,$A$2:$A$700),0)),"")</f>
        <v>HONAUT</v>
      </c>
      <c r="M90" s="3"/>
      <c r="N90" s="3"/>
      <c r="O90" s="3">
        <f t="shared" si="340"/>
        <v>38200</v>
      </c>
      <c r="P90" s="7">
        <f t="shared" ref="P90:CA90" si="458">IFERROR(VALUE(P395),"-")</f>
        <v>167.30000305175781</v>
      </c>
      <c r="Q90" s="7">
        <f t="shared" si="458"/>
        <v>125.30000305175781</v>
      </c>
      <c r="R90" s="7">
        <f t="shared" si="458"/>
        <v>268</v>
      </c>
      <c r="S90" s="7">
        <f t="shared" si="458"/>
        <v>222.19999694824219</v>
      </c>
      <c r="T90" s="11">
        <f t="shared" si="458"/>
        <v>4.534912109375E-2</v>
      </c>
      <c r="U90" s="11">
        <f t="shared" si="458"/>
        <v>414.34371948242188</v>
      </c>
      <c r="V90" s="11">
        <f t="shared" si="458"/>
        <v>0.22205352783203125</v>
      </c>
      <c r="W90" s="11">
        <f t="shared" si="458"/>
        <v>102.48335266113281</v>
      </c>
      <c r="X90" s="14">
        <f t="shared" si="458"/>
        <v>-1.1434894986450672E-7</v>
      </c>
      <c r="Y90" s="14">
        <f t="shared" si="458"/>
        <v>-3.4714158391579986E-4</v>
      </c>
      <c r="Z90" s="14">
        <f t="shared" si="458"/>
        <v>-1.7532147467136383E-6</v>
      </c>
      <c r="AA90" s="14">
        <f t="shared" si="458"/>
        <v>-2.7301970403641462E-3</v>
      </c>
      <c r="AB90" s="15">
        <f t="shared" si="458"/>
        <v>-4.1595171751396265E-10</v>
      </c>
      <c r="AC90" s="15">
        <f t="shared" si="458"/>
        <v>-2.7926142820433597E-7</v>
      </c>
      <c r="AD90" s="13">
        <f t="shared" si="458"/>
        <v>3.5040080547332764E-5</v>
      </c>
      <c r="AE90" s="13">
        <f t="shared" si="458"/>
        <v>3.4236479550600052E-2</v>
      </c>
      <c r="AF90" s="12">
        <f t="shared" si="458"/>
        <v>-3.5974383354187012E-4</v>
      </c>
      <c r="AG90" s="12">
        <f t="shared" si="458"/>
        <v>-0.2692628800868988</v>
      </c>
      <c r="AH90" s="13">
        <f t="shared" si="458"/>
        <v>2.5570625439286232E-7</v>
      </c>
      <c r="AI90" s="13">
        <f t="shared" si="458"/>
        <v>7.3773920303210616E-4</v>
      </c>
      <c r="AJ90" s="11">
        <f t="shared" si="458"/>
        <v>-3.9958953857421875E-4</v>
      </c>
      <c r="AK90" s="11">
        <f t="shared" si="458"/>
        <v>7.9673514366149902</v>
      </c>
      <c r="AL90" s="11">
        <f t="shared" si="458"/>
        <v>3.679656982421875E-2</v>
      </c>
      <c r="AM90" s="11">
        <f t="shared" si="458"/>
        <v>-101.30400085449219</v>
      </c>
      <c r="AN90" s="11">
        <f t="shared" si="458"/>
        <v>6.2555074691772461E-5</v>
      </c>
      <c r="AO90" s="11">
        <f t="shared" si="458"/>
        <v>-0.42572620511054993</v>
      </c>
      <c r="AP90" s="11">
        <f t="shared" si="458"/>
        <v>26.144075393676758</v>
      </c>
      <c r="AQ90" s="11">
        <f t="shared" si="458"/>
        <v>66744700</v>
      </c>
      <c r="AR90" s="16">
        <f t="shared" si="458"/>
        <v>678900</v>
      </c>
      <c r="AS90" s="16">
        <f t="shared" si="458"/>
        <v>1939375</v>
      </c>
      <c r="AT90" s="16">
        <f t="shared" si="458"/>
        <v>26.144075393676758</v>
      </c>
      <c r="AU90" s="7">
        <f t="shared" si="458"/>
        <v>-9.99908447265625E-2</v>
      </c>
      <c r="AV90" s="7">
        <f t="shared" si="458"/>
        <v>167.30000305175781</v>
      </c>
      <c r="AW90" s="7">
        <f t="shared" si="458"/>
        <v>264</v>
      </c>
      <c r="AX90" s="7">
        <f t="shared" si="458"/>
        <v>-0.20001220703125</v>
      </c>
      <c r="AY90" s="11">
        <f t="shared" si="458"/>
        <v>26.272609829902649</v>
      </c>
      <c r="AZ90" s="16">
        <f t="shared" si="458"/>
        <v>1444275</v>
      </c>
      <c r="BA90" s="16">
        <f t="shared" si="458"/>
        <v>122800</v>
      </c>
      <c r="BB90" s="16">
        <f t="shared" si="458"/>
        <v>60665575</v>
      </c>
      <c r="BC90" s="11">
        <f t="shared" si="458"/>
        <v>0.57390314340591431</v>
      </c>
      <c r="BD90" s="11">
        <f t="shared" si="458"/>
        <v>5.6892633438110352E-4</v>
      </c>
      <c r="BE90" s="11">
        <f t="shared" si="458"/>
        <v>-101.81770324707031</v>
      </c>
      <c r="BF90" s="11">
        <f t="shared" si="458"/>
        <v>0.27227020263671875</v>
      </c>
      <c r="BG90" s="11">
        <f t="shared" si="458"/>
        <v>7.9689207077026367</v>
      </c>
      <c r="BH90" s="11">
        <f t="shared" si="458"/>
        <v>-2.2034645080566406E-3</v>
      </c>
      <c r="BI90" s="13">
        <f t="shared" si="458"/>
        <v>7.3424464790150523E-4</v>
      </c>
      <c r="BJ90" s="13">
        <f t="shared" si="458"/>
        <v>1.5954137779772282E-6</v>
      </c>
      <c r="BK90" s="11">
        <f t="shared" si="458"/>
        <v>26.272609829902649</v>
      </c>
      <c r="BL90" s="12">
        <f t="shared" si="458"/>
        <v>-0.26633152365684509</v>
      </c>
      <c r="BM90" s="12">
        <f t="shared" si="458"/>
        <v>-3.0081570148468018E-3</v>
      </c>
      <c r="BN90" s="13">
        <f t="shared" si="458"/>
        <v>3.4028779715299606E-2</v>
      </c>
      <c r="BO90" s="13">
        <f t="shared" si="458"/>
        <v>3.0370801687240601E-4</v>
      </c>
      <c r="BP90" s="15">
        <f t="shared" si="458"/>
        <v>-2.7536734137356689E-7</v>
      </c>
      <c r="BQ90" s="15">
        <f t="shared" si="458"/>
        <v>-3.2077878131531179E-9</v>
      </c>
      <c r="BR90" s="14">
        <f t="shared" si="458"/>
        <v>-2.7049568016082048E-3</v>
      </c>
      <c r="BS90" s="14">
        <f t="shared" si="458"/>
        <v>-1.0988209396600723E-5</v>
      </c>
      <c r="BT90" s="14">
        <f t="shared" si="458"/>
        <v>-3.456082777120173E-4</v>
      </c>
      <c r="BU90" s="14">
        <f t="shared" si="458"/>
        <v>-5.7893339544534683E-7</v>
      </c>
      <c r="BV90" s="11">
        <f t="shared" si="458"/>
        <v>100.85790252685547</v>
      </c>
      <c r="BW90" s="11">
        <f t="shared" si="458"/>
        <v>1.9148941040039063</v>
      </c>
      <c r="BX90" s="11">
        <f t="shared" si="458"/>
        <v>414.11947631835938</v>
      </c>
      <c r="BY90" s="11">
        <f t="shared" si="458"/>
        <v>0.3367919921875</v>
      </c>
      <c r="BZ90" s="7">
        <f t="shared" si="458"/>
        <v>290</v>
      </c>
      <c r="CA90" s="7">
        <f t="shared" si="458"/>
        <v>355</v>
      </c>
      <c r="CB90" s="7">
        <f t="shared" ref="CB90:CP90" si="459">IFERROR(VALUE(CB395),"-")</f>
        <v>210.75</v>
      </c>
      <c r="CC90" s="7">
        <f t="shared" si="459"/>
        <v>264</v>
      </c>
      <c r="CD90" s="7">
        <f t="shared" si="459"/>
        <v>264.64999389648438</v>
      </c>
      <c r="CE90" s="3">
        <f t="shared" si="459"/>
        <v>100</v>
      </c>
      <c r="CF90" s="7">
        <f t="shared" si="459"/>
        <v>264.04998779296875</v>
      </c>
      <c r="CG90" s="3">
        <f t="shared" si="459"/>
        <v>75</v>
      </c>
      <c r="CH90" s="7">
        <f t="shared" si="459"/>
        <v>282.67999267578125</v>
      </c>
      <c r="CI90" s="7">
        <f t="shared" si="459"/>
        <v>167.25</v>
      </c>
      <c r="CJ90" s="3">
        <f t="shared" si="459"/>
        <v>25</v>
      </c>
      <c r="CK90" s="7">
        <f t="shared" si="459"/>
        <v>166.85000610351563</v>
      </c>
      <c r="CL90" s="3">
        <f t="shared" si="459"/>
        <v>50</v>
      </c>
      <c r="CM90" s="7">
        <f t="shared" si="459"/>
        <v>184.32000732421875</v>
      </c>
      <c r="CN90" s="10">
        <f t="shared" si="459"/>
        <v>44783.638194444444</v>
      </c>
      <c r="CO90" s="10">
        <f t="shared" si="459"/>
        <v>44783.638194444444</v>
      </c>
      <c r="CP90" s="7">
        <f t="shared" si="459"/>
        <v>38295.69921875</v>
      </c>
      <c r="CQ90" s="7" t="str">
        <f t="shared" ref="CQ90" si="460">IFERROR(CQ395,"-")</f>
        <v>FairPrice</v>
      </c>
      <c r="CR90" s="10">
        <f t="shared" si="405"/>
        <v>44783.638194444444</v>
      </c>
      <c r="CS90" s="7">
        <f t="shared" si="405"/>
        <v>-9.3132257461547852E-3</v>
      </c>
      <c r="CT90" s="7">
        <f t="shared" si="405"/>
        <v>-3.5610015519129643E-4</v>
      </c>
      <c r="CU90" s="7">
        <f t="shared" si="405"/>
        <v>1260475</v>
      </c>
      <c r="CV90" s="7">
        <f t="shared" si="405"/>
        <v>0.53860647771673376</v>
      </c>
      <c r="CW90" s="7">
        <f t="shared" si="405"/>
        <v>167.30000305175781</v>
      </c>
      <c r="CX90" s="7">
        <f t="shared" si="405"/>
        <v>-5.9731689589184896E-4</v>
      </c>
      <c r="CY90" s="7">
        <f t="shared" si="405"/>
        <v>264</v>
      </c>
      <c r="CZ90" s="7">
        <f t="shared" si="405"/>
        <v>-7.5704843978022728E-4</v>
      </c>
      <c r="DA90" s="7">
        <f t="shared" si="405"/>
        <v>1321475</v>
      </c>
      <c r="DB90" s="7">
        <f t="shared" si="405"/>
        <v>9.2926464745833257E-2</v>
      </c>
      <c r="DC90" s="7">
        <f t="shared" si="405"/>
        <v>-6.4110755920410156E-2</v>
      </c>
      <c r="DD90" s="7">
        <f t="shared" si="405"/>
        <v>-2.4342725477719766E-3</v>
      </c>
      <c r="DE90" s="7">
        <f t="shared" si="405"/>
        <v>264</v>
      </c>
      <c r="DF90" s="7">
        <f t="shared" si="405"/>
        <v>167.30000305175781</v>
      </c>
      <c r="DG90" s="7">
        <f t="shared" si="405"/>
        <v>38295.69921875</v>
      </c>
      <c r="DH90" s="7" t="str">
        <f t="shared" ref="DH90:DJ90" si="461">IFERROR(DH395,"-")</f>
        <v>R</v>
      </c>
      <c r="DI90" s="7" t="str">
        <f t="shared" si="461"/>
        <v>R</v>
      </c>
      <c r="DJ90" s="7" t="str">
        <f t="shared" si="461"/>
        <v>G</v>
      </c>
      <c r="DK90" s="64">
        <f t="shared" ref="DK90:DS90" si="462">IFERROR(VALUE(DK395),"-")</f>
        <v>38300</v>
      </c>
      <c r="DL90" s="64">
        <f t="shared" si="462"/>
        <v>3400000</v>
      </c>
      <c r="DM90" s="64">
        <f t="shared" si="462"/>
        <v>38500</v>
      </c>
      <c r="DN90" s="64">
        <f t="shared" si="462"/>
        <v>0</v>
      </c>
      <c r="DO90" s="64">
        <f t="shared" si="462"/>
        <v>24500</v>
      </c>
      <c r="DP90" s="64">
        <f t="shared" si="462"/>
        <v>2863350</v>
      </c>
      <c r="DQ90" s="64">
        <f t="shared" si="462"/>
        <v>38000</v>
      </c>
      <c r="DR90" s="64">
        <f t="shared" si="462"/>
        <v>0</v>
      </c>
      <c r="DS90" s="64">
        <f t="shared" si="462"/>
        <v>24500</v>
      </c>
      <c r="DT90" t="str">
        <f t="shared" si="338"/>
        <v>BANKNIFTY</v>
      </c>
      <c r="DU90" s="10">
        <f t="shared" si="339"/>
        <v>44784</v>
      </c>
    </row>
    <row r="91" spans="1:125" x14ac:dyDescent="0.25">
      <c r="A91" t="s">
        <v>33</v>
      </c>
      <c r="B91" s="2">
        <v>45015</v>
      </c>
      <c r="C91" s="1">
        <v>25</v>
      </c>
      <c r="D91">
        <v>139</v>
      </c>
      <c r="G91" t="str">
        <f t="array" ref="G91">IFERROR(INDEX($A$2:$A$700,MATCH(0,COUNTIF($G$1:G90,$A$2:$A$700),0)),"")</f>
        <v>IBULHSGFIN</v>
      </c>
      <c r="M91" s="3"/>
      <c r="N91" s="3"/>
      <c r="O91" s="3">
        <f t="shared" si="340"/>
        <v>38300</v>
      </c>
      <c r="P91" s="7">
        <f t="shared" ref="P91:CA91" si="463">IFERROR(VALUE(P396),"-")</f>
        <v>207.10000610351563</v>
      </c>
      <c r="Q91" s="7">
        <f t="shared" si="463"/>
        <v>161.19999694824219</v>
      </c>
      <c r="R91" s="7">
        <f t="shared" si="463"/>
        <v>320.89999389648438</v>
      </c>
      <c r="S91" s="7">
        <f t="shared" si="463"/>
        <v>295.04998779296875</v>
      </c>
      <c r="T91" s="11">
        <f t="shared" si="463"/>
        <v>5.096435546875E-3</v>
      </c>
      <c r="U91" s="11">
        <f t="shared" si="463"/>
        <v>394.34835815429688</v>
      </c>
      <c r="V91" s="11">
        <f t="shared" si="463"/>
        <v>-6.6014595329761505E-2</v>
      </c>
      <c r="W91" s="11">
        <f t="shared" si="463"/>
        <v>8.5818521678447723E-2</v>
      </c>
      <c r="X91" s="14">
        <f t="shared" si="463"/>
        <v>1.508218701928854E-6</v>
      </c>
      <c r="Y91" s="14">
        <f t="shared" si="463"/>
        <v>-3.7773669464513659E-4</v>
      </c>
      <c r="Z91" s="14">
        <f t="shared" si="463"/>
        <v>2.495315857231617E-5</v>
      </c>
      <c r="AA91" s="14">
        <f t="shared" si="463"/>
        <v>-3.0734085012227297E-3</v>
      </c>
      <c r="AB91" s="15">
        <f t="shared" si="463"/>
        <v>-1.6716033002239783E-9</v>
      </c>
      <c r="AC91" s="15">
        <f t="shared" si="463"/>
        <v>-1.7616594405467367E-8</v>
      </c>
      <c r="AD91" s="13">
        <f t="shared" si="463"/>
        <v>2.0987982861697674E-4</v>
      </c>
      <c r="AE91" s="13">
        <f t="shared" si="463"/>
        <v>-2.9442340601235628E-3</v>
      </c>
      <c r="AF91" s="12">
        <f t="shared" si="463"/>
        <v>-1.813134178519249E-3</v>
      </c>
      <c r="AG91" s="12">
        <f t="shared" si="463"/>
        <v>2.3955399170517921E-2</v>
      </c>
      <c r="AH91" s="13">
        <f t="shared" si="463"/>
        <v>-3.1508388929069042E-6</v>
      </c>
      <c r="AI91" s="13">
        <f t="shared" si="463"/>
        <v>7.7671458711847663E-4</v>
      </c>
      <c r="AJ91" s="11">
        <f t="shared" si="463"/>
        <v>-3.719329833984375E-5</v>
      </c>
      <c r="AK91" s="11">
        <f t="shared" si="463"/>
        <v>8.1082611083984375</v>
      </c>
      <c r="AL91" s="11">
        <f t="shared" si="463"/>
        <v>-0.407440185546875</v>
      </c>
      <c r="AM91" s="11">
        <f t="shared" si="463"/>
        <v>-99.654441833496094</v>
      </c>
      <c r="AN91" s="11">
        <f t="shared" si="463"/>
        <v>4.5341253280639648E-4</v>
      </c>
      <c r="AO91" s="11">
        <f t="shared" si="463"/>
        <v>-0.50070315599441528</v>
      </c>
      <c r="AP91" s="11">
        <f t="shared" si="463"/>
        <v>25.271415710449219</v>
      </c>
      <c r="AQ91" s="11">
        <f t="shared" si="463"/>
        <v>81379150</v>
      </c>
      <c r="AR91" s="16">
        <f t="shared" si="463"/>
        <v>1603400</v>
      </c>
      <c r="AS91" s="16">
        <f t="shared" si="463"/>
        <v>2021400</v>
      </c>
      <c r="AT91" s="16">
        <f t="shared" si="463"/>
        <v>25.271415710449219</v>
      </c>
      <c r="AU91" s="7">
        <f t="shared" si="463"/>
        <v>0.5500030517578125</v>
      </c>
      <c r="AV91" s="7">
        <f t="shared" si="463"/>
        <v>207.10000610351563</v>
      </c>
      <c r="AW91" s="7">
        <f t="shared" si="463"/>
        <v>203.64999389648438</v>
      </c>
      <c r="AX91" s="7">
        <f t="shared" si="463"/>
        <v>-0.3000030517578125</v>
      </c>
      <c r="AY91" s="11">
        <f t="shared" si="463"/>
        <v>25.379332900047302</v>
      </c>
      <c r="AZ91" s="16">
        <f t="shared" si="463"/>
        <v>2462175</v>
      </c>
      <c r="BA91" s="16">
        <f t="shared" si="463"/>
        <v>1387900</v>
      </c>
      <c r="BB91" s="16">
        <f t="shared" si="463"/>
        <v>88115300</v>
      </c>
      <c r="BC91" s="11">
        <f t="shared" si="463"/>
        <v>0.49936127662658691</v>
      </c>
      <c r="BD91" s="11">
        <f t="shared" si="463"/>
        <v>1.0484457015991211E-4</v>
      </c>
      <c r="BE91" s="11">
        <f t="shared" si="463"/>
        <v>-100.08016204833984</v>
      </c>
      <c r="BF91" s="11">
        <f t="shared" si="463"/>
        <v>0.17755126953125</v>
      </c>
      <c r="BG91" s="11">
        <f t="shared" si="463"/>
        <v>8.1082744598388672</v>
      </c>
      <c r="BH91" s="11">
        <f t="shared" si="463"/>
        <v>-1.392364501953125E-4</v>
      </c>
      <c r="BI91" s="13">
        <f t="shared" si="463"/>
        <v>7.734110695309937E-4</v>
      </c>
      <c r="BJ91" s="13">
        <f t="shared" si="463"/>
        <v>1.4037941582500935E-6</v>
      </c>
      <c r="BK91" s="11">
        <f t="shared" si="463"/>
        <v>25.379332900047302</v>
      </c>
      <c r="BL91" s="12">
        <f t="shared" si="463"/>
        <v>2.3689568042755127E-2</v>
      </c>
      <c r="BM91" s="12">
        <f t="shared" si="463"/>
        <v>-4.0837004780769348E-4</v>
      </c>
      <c r="BN91" s="13">
        <f t="shared" si="463"/>
        <v>-2.9239954892545938E-3</v>
      </c>
      <c r="BO91" s="13">
        <f t="shared" si="463"/>
        <v>5.5630691349506378E-5</v>
      </c>
      <c r="BP91" s="15">
        <f t="shared" si="463"/>
        <v>-1.7795199980241705E-8</v>
      </c>
      <c r="BQ91" s="15">
        <f t="shared" si="463"/>
        <v>-4.205418235869729E-10</v>
      </c>
      <c r="BR91" s="14">
        <f t="shared" si="463"/>
        <v>-3.0473312363028526E-3</v>
      </c>
      <c r="BS91" s="14">
        <f t="shared" si="463"/>
        <v>-1.1010793969035149E-5</v>
      </c>
      <c r="BT91" s="14">
        <f t="shared" si="463"/>
        <v>-3.7613109452649951E-4</v>
      </c>
      <c r="BU91" s="14">
        <f t="shared" si="463"/>
        <v>-7.0061651058495045E-7</v>
      </c>
      <c r="BV91" s="11">
        <f t="shared" si="463"/>
        <v>7.7086545526981354E-2</v>
      </c>
      <c r="BW91" s="11">
        <f t="shared" si="463"/>
        <v>-1.4203868806362152E-2</v>
      </c>
      <c r="BX91" s="11">
        <f t="shared" si="463"/>
        <v>394.34774780273438</v>
      </c>
      <c r="BY91" s="11">
        <f t="shared" si="463"/>
        <v>8.11767578125E-3</v>
      </c>
      <c r="BZ91" s="7">
        <f t="shared" si="463"/>
        <v>239.35000610351563</v>
      </c>
      <c r="CA91" s="7">
        <f t="shared" si="463"/>
        <v>290</v>
      </c>
      <c r="CB91" s="7">
        <f t="shared" ref="CB91:CP91" si="464">IFERROR(VALUE(CB396),"-")</f>
        <v>164.64999389648438</v>
      </c>
      <c r="CC91" s="7">
        <f t="shared" si="464"/>
        <v>203.64999389648438</v>
      </c>
      <c r="CD91" s="7">
        <f t="shared" si="464"/>
        <v>204.19999694824219</v>
      </c>
      <c r="CE91" s="3">
        <f t="shared" si="464"/>
        <v>75</v>
      </c>
      <c r="CF91" s="7">
        <f t="shared" si="464"/>
        <v>203.75</v>
      </c>
      <c r="CG91" s="3">
        <f t="shared" si="464"/>
        <v>100</v>
      </c>
      <c r="CH91" s="7">
        <f t="shared" si="464"/>
        <v>224.97000122070313</v>
      </c>
      <c r="CI91" s="7">
        <f t="shared" si="464"/>
        <v>207.10000610351563</v>
      </c>
      <c r="CJ91" s="3">
        <f t="shared" si="464"/>
        <v>125</v>
      </c>
      <c r="CK91" s="7">
        <f t="shared" si="464"/>
        <v>206.69999694824219</v>
      </c>
      <c r="CL91" s="3">
        <f t="shared" si="464"/>
        <v>75</v>
      </c>
      <c r="CM91" s="7">
        <f t="shared" si="464"/>
        <v>221.69999694824219</v>
      </c>
      <c r="CN91" s="10">
        <f t="shared" si="464"/>
        <v>44783.638194444444</v>
      </c>
      <c r="CO91" s="10">
        <f t="shared" si="464"/>
        <v>44783.638194444444</v>
      </c>
      <c r="CP91" s="7">
        <f t="shared" si="464"/>
        <v>38295.69921875</v>
      </c>
      <c r="CQ91" s="7" t="str">
        <f t="shared" ref="CQ91" si="465">IFERROR(CQ396,"-")</f>
        <v>FairPrice</v>
      </c>
      <c r="CR91" s="10">
        <f t="shared" si="405"/>
        <v>44783.638194444444</v>
      </c>
      <c r="CS91" s="7">
        <f t="shared" si="405"/>
        <v>0.10235011577606201</v>
      </c>
      <c r="CT91" s="7">
        <f t="shared" si="405"/>
        <v>4.0665043917134389E-3</v>
      </c>
      <c r="CU91" s="7">
        <f t="shared" si="405"/>
        <v>418000</v>
      </c>
      <c r="CV91" s="7">
        <f t="shared" si="405"/>
        <v>3.8358851674641148</v>
      </c>
      <c r="CW91" s="7">
        <f t="shared" si="405"/>
        <v>207.10000610351563</v>
      </c>
      <c r="CX91" s="7">
        <f t="shared" si="405"/>
        <v>2.662808248034697E-3</v>
      </c>
      <c r="CY91" s="7">
        <f t="shared" si="405"/>
        <v>203.64999389648438</v>
      </c>
      <c r="CZ91" s="7">
        <f t="shared" si="405"/>
        <v>-1.4709637472264654E-3</v>
      </c>
      <c r="DA91" s="7">
        <f t="shared" si="405"/>
        <v>1074275</v>
      </c>
      <c r="DB91" s="7">
        <f t="shared" si="405"/>
        <v>1.2919410765399921</v>
      </c>
      <c r="DC91" s="7">
        <f t="shared" si="405"/>
        <v>-4.5689940452575684E-2</v>
      </c>
      <c r="DD91" s="7">
        <f t="shared" si="405"/>
        <v>-1.7970461910380483E-3</v>
      </c>
      <c r="DE91" s="7">
        <f t="shared" si="405"/>
        <v>203.64999389648438</v>
      </c>
      <c r="DF91" s="7">
        <f t="shared" si="405"/>
        <v>207.10000610351563</v>
      </c>
      <c r="DG91" s="7">
        <f t="shared" si="405"/>
        <v>38295.69921875</v>
      </c>
      <c r="DH91" s="7" t="str">
        <f t="shared" ref="DH91:DJ91" si="466">IFERROR(DH396,"-")</f>
        <v>R</v>
      </c>
      <c r="DI91" s="7" t="str">
        <f t="shared" si="466"/>
        <v>G</v>
      </c>
      <c r="DJ91" s="7" t="str">
        <f t="shared" si="466"/>
        <v>G</v>
      </c>
      <c r="DK91" s="64">
        <f t="shared" ref="DK91:DS91" si="467">IFERROR(VALUE(DK396),"-")</f>
        <v>38300</v>
      </c>
      <c r="DL91" s="64">
        <f t="shared" si="467"/>
        <v>3400000</v>
      </c>
      <c r="DM91" s="64">
        <f t="shared" si="467"/>
        <v>38500</v>
      </c>
      <c r="DN91" s="64">
        <f t="shared" si="467"/>
        <v>0</v>
      </c>
      <c r="DO91" s="64">
        <f t="shared" si="467"/>
        <v>24500</v>
      </c>
      <c r="DP91" s="64">
        <f t="shared" si="467"/>
        <v>2863350</v>
      </c>
      <c r="DQ91" s="64">
        <f t="shared" si="467"/>
        <v>38000</v>
      </c>
      <c r="DR91" s="64">
        <f t="shared" si="467"/>
        <v>0</v>
      </c>
      <c r="DS91" s="64">
        <f t="shared" si="467"/>
        <v>24500</v>
      </c>
      <c r="DT91" t="str">
        <f t="shared" si="338"/>
        <v>BANKNIFTY</v>
      </c>
      <c r="DU91" s="10">
        <f t="shared" si="339"/>
        <v>44784</v>
      </c>
    </row>
    <row r="92" spans="1:125" x14ac:dyDescent="0.25">
      <c r="A92" t="s">
        <v>33</v>
      </c>
      <c r="B92" s="2">
        <v>45106</v>
      </c>
      <c r="C92" s="1">
        <v>25</v>
      </c>
      <c r="D92">
        <v>139</v>
      </c>
      <c r="G92" t="str">
        <f t="array" ref="G92">IFERROR(INDEX($A$2:$A$700,MATCH(0,COUNTIF($G$1:G91,$A$2:$A$700),0)),"")</f>
        <v>ICICIBANK</v>
      </c>
      <c r="M92" s="3"/>
      <c r="N92" s="3"/>
      <c r="O92" s="3">
        <f t="shared" si="340"/>
        <v>38400</v>
      </c>
      <c r="P92" s="7">
        <f t="shared" ref="P92:CA92" si="468">IFERROR(VALUE(P397),"-")</f>
        <v>256.35000610351563</v>
      </c>
      <c r="Q92" s="7">
        <f t="shared" si="468"/>
        <v>205.5</v>
      </c>
      <c r="R92" s="7">
        <f t="shared" si="468"/>
        <v>379.64999389648438</v>
      </c>
      <c r="S92" s="7">
        <f t="shared" si="468"/>
        <v>303.39999389648438</v>
      </c>
      <c r="T92" s="11">
        <f t="shared" si="468"/>
        <v>0.125396728515625</v>
      </c>
      <c r="U92" s="11">
        <f t="shared" si="468"/>
        <v>419.85769653320313</v>
      </c>
      <c r="V92" s="11">
        <f t="shared" si="468"/>
        <v>1.026947021484375</v>
      </c>
      <c r="W92" s="11">
        <f t="shared" si="468"/>
        <v>145.50912475585938</v>
      </c>
      <c r="X92" s="14">
        <f t="shared" si="468"/>
        <v>-8.7494845502078533E-7</v>
      </c>
      <c r="Y92" s="14">
        <f t="shared" si="468"/>
        <v>-3.6351237213239074E-4</v>
      </c>
      <c r="Z92" s="14">
        <f t="shared" si="468"/>
        <v>-1.5157973393797874E-5</v>
      </c>
      <c r="AA92" s="14">
        <f t="shared" si="468"/>
        <v>-3.0361067038029432E-3</v>
      </c>
      <c r="AB92" s="15">
        <f t="shared" si="468"/>
        <v>2.3189556941360934E-9</v>
      </c>
      <c r="AC92" s="15">
        <f t="shared" si="468"/>
        <v>2.9443350513247424E-7</v>
      </c>
      <c r="AD92" s="13">
        <f t="shared" si="468"/>
        <v>-9.217485785484314E-5</v>
      </c>
      <c r="AE92" s="13">
        <f t="shared" si="468"/>
        <v>-4.2511798441410065E-2</v>
      </c>
      <c r="AF92" s="12">
        <f t="shared" si="468"/>
        <v>1.6880929470062256E-3</v>
      </c>
      <c r="AG92" s="12">
        <f t="shared" si="468"/>
        <v>0.3550645112991333</v>
      </c>
      <c r="AH92" s="13">
        <f t="shared" si="468"/>
        <v>2.0005390979349613E-6</v>
      </c>
      <c r="AI92" s="13">
        <f t="shared" si="468"/>
        <v>7.8126776497811079E-4</v>
      </c>
      <c r="AJ92" s="11">
        <f t="shared" si="468"/>
        <v>-9.1505050659179688E-4</v>
      </c>
      <c r="AK92" s="11">
        <f t="shared" si="468"/>
        <v>7.9451217651367188</v>
      </c>
      <c r="AL92" s="11">
        <f t="shared" si="468"/>
        <v>0.25817108154296875</v>
      </c>
      <c r="AM92" s="11">
        <f t="shared" si="468"/>
        <v>-95.12677001953125</v>
      </c>
      <c r="AN92" s="11">
        <f t="shared" si="468"/>
        <v>-1.8399953842163086E-4</v>
      </c>
      <c r="AO92" s="11">
        <f t="shared" si="468"/>
        <v>-0.57989859580993652</v>
      </c>
      <c r="AP92" s="11">
        <f t="shared" si="468"/>
        <v>24.618570506572723</v>
      </c>
      <c r="AQ92" s="11">
        <f t="shared" si="468"/>
        <v>37091850</v>
      </c>
      <c r="AR92" s="16">
        <f t="shared" si="468"/>
        <v>417000</v>
      </c>
      <c r="AS92" s="16">
        <f t="shared" si="468"/>
        <v>610650</v>
      </c>
      <c r="AT92" s="16">
        <f t="shared" si="468"/>
        <v>24.618570506572723</v>
      </c>
      <c r="AU92" s="7">
        <f t="shared" si="468"/>
        <v>-0.54998779296875</v>
      </c>
      <c r="AV92" s="7">
        <f t="shared" si="468"/>
        <v>256.35000610351563</v>
      </c>
      <c r="AW92" s="7">
        <f t="shared" si="468"/>
        <v>153.39999389648438</v>
      </c>
      <c r="AX92" s="7">
        <f t="shared" si="468"/>
        <v>-0.1500091552734375</v>
      </c>
      <c r="AY92" s="11">
        <f t="shared" si="468"/>
        <v>24.790571630001068</v>
      </c>
      <c r="AZ92" s="16">
        <f t="shared" si="468"/>
        <v>1976400</v>
      </c>
      <c r="BA92" s="16">
        <f t="shared" si="468"/>
        <v>1104550</v>
      </c>
      <c r="BB92" s="16">
        <f t="shared" si="468"/>
        <v>67016325</v>
      </c>
      <c r="BC92" s="11">
        <f t="shared" si="468"/>
        <v>0.42064690589904785</v>
      </c>
      <c r="BD92" s="11">
        <f t="shared" si="468"/>
        <v>2.6479363441467285E-4</v>
      </c>
      <c r="BE92" s="11">
        <f t="shared" si="468"/>
        <v>-95.816047668457031</v>
      </c>
      <c r="BF92" s="11">
        <f t="shared" si="468"/>
        <v>0.1668701171875</v>
      </c>
      <c r="BG92" s="11">
        <f t="shared" si="468"/>
        <v>7.9475111961364746</v>
      </c>
      <c r="BH92" s="11">
        <f t="shared" si="468"/>
        <v>1.0218620300292969E-3</v>
      </c>
      <c r="BI92" s="13">
        <f t="shared" si="468"/>
        <v>7.7604898251593113E-4</v>
      </c>
      <c r="BJ92" s="13">
        <f t="shared" si="468"/>
        <v>1.5930854715406895E-6</v>
      </c>
      <c r="BK92" s="11">
        <f t="shared" si="468"/>
        <v>24.790571630001068</v>
      </c>
      <c r="BL92" s="12">
        <f t="shared" si="468"/>
        <v>0.35036164522171021</v>
      </c>
      <c r="BM92" s="12">
        <f t="shared" si="468"/>
        <v>-5.2997469902038574E-4</v>
      </c>
      <c r="BN92" s="13">
        <f t="shared" si="468"/>
        <v>-4.2239975184202194E-2</v>
      </c>
      <c r="BO92" s="13">
        <f t="shared" si="468"/>
        <v>1.430213451385498E-4</v>
      </c>
      <c r="BP92" s="15">
        <f t="shared" si="468"/>
        <v>2.8814153552048083E-7</v>
      </c>
      <c r="BQ92" s="15">
        <f t="shared" si="468"/>
        <v>1.4296119843493216E-10</v>
      </c>
      <c r="BR92" s="14">
        <f t="shared" si="468"/>
        <v>-2.9966565780341625E-3</v>
      </c>
      <c r="BS92" s="14">
        <f t="shared" si="468"/>
        <v>-1.2754695490002632E-5</v>
      </c>
      <c r="BT92" s="14">
        <f t="shared" si="468"/>
        <v>-3.6128013744018972E-4</v>
      </c>
      <c r="BU92" s="14">
        <f t="shared" si="468"/>
        <v>-8.6484942585229874E-7</v>
      </c>
      <c r="BV92" s="11">
        <f t="shared" si="468"/>
        <v>142.59114074707031</v>
      </c>
      <c r="BW92" s="11">
        <f t="shared" si="468"/>
        <v>-0.6997222900390625</v>
      </c>
      <c r="BX92" s="11">
        <f t="shared" si="468"/>
        <v>419.50482177734375</v>
      </c>
      <c r="BY92" s="11">
        <f t="shared" si="468"/>
        <v>-0.156829833984375</v>
      </c>
      <c r="BZ92" s="7">
        <f t="shared" si="468"/>
        <v>185.05000305175781</v>
      </c>
      <c r="CA92" s="7">
        <f t="shared" si="468"/>
        <v>232</v>
      </c>
      <c r="CB92" s="7">
        <f t="shared" ref="CB92:CP92" si="469">IFERROR(VALUE(CB397),"-")</f>
        <v>123.90000152587891</v>
      </c>
      <c r="CC92" s="7">
        <f t="shared" si="469"/>
        <v>153.39999389648438</v>
      </c>
      <c r="CD92" s="7">
        <f t="shared" si="469"/>
        <v>153.69999694824219</v>
      </c>
      <c r="CE92" s="3">
        <f t="shared" si="469"/>
        <v>25</v>
      </c>
      <c r="CF92" s="7">
        <f t="shared" si="469"/>
        <v>153.35000610351563</v>
      </c>
      <c r="CG92" s="3">
        <f t="shared" si="469"/>
        <v>50</v>
      </c>
      <c r="CH92" s="7">
        <f t="shared" si="469"/>
        <v>176.50999450683594</v>
      </c>
      <c r="CI92" s="7">
        <f t="shared" si="469"/>
        <v>256.95001220703125</v>
      </c>
      <c r="CJ92" s="3">
        <f t="shared" si="469"/>
        <v>100</v>
      </c>
      <c r="CK92" s="7">
        <f t="shared" si="469"/>
        <v>256.35000610351563</v>
      </c>
      <c r="CL92" s="3">
        <f t="shared" si="469"/>
        <v>100</v>
      </c>
      <c r="CM92" s="7">
        <f t="shared" si="469"/>
        <v>267.66000366210938</v>
      </c>
      <c r="CN92" s="10">
        <f t="shared" si="469"/>
        <v>44783.638194444444</v>
      </c>
      <c r="CO92" s="10">
        <f t="shared" si="469"/>
        <v>44783.638194444444</v>
      </c>
      <c r="CP92" s="7">
        <f t="shared" si="469"/>
        <v>38295.69921875</v>
      </c>
      <c r="CQ92" s="7" t="str">
        <f t="shared" ref="CQ92" si="470">IFERROR(CQ397,"-")</f>
        <v>FairPrice</v>
      </c>
      <c r="CR92" s="10">
        <f t="shared" si="405"/>
        <v>44783.638194444444</v>
      </c>
      <c r="CS92" s="7">
        <f t="shared" si="405"/>
        <v>-6.5039098262786865E-2</v>
      </c>
      <c r="CT92" s="7">
        <f t="shared" si="405"/>
        <v>-2.6349103435036395E-3</v>
      </c>
      <c r="CU92" s="7">
        <f t="shared" si="405"/>
        <v>193650</v>
      </c>
      <c r="CV92" s="7">
        <f t="shared" si="405"/>
        <v>2.1533694810224633</v>
      </c>
      <c r="CW92" s="7">
        <f t="shared" si="405"/>
        <v>256.35000610351563</v>
      </c>
      <c r="CX92" s="7">
        <f t="shared" si="405"/>
        <v>-2.1408633944552087E-3</v>
      </c>
      <c r="CY92" s="7">
        <f t="shared" si="405"/>
        <v>153.39999389648438</v>
      </c>
      <c r="CZ92" s="7">
        <f t="shared" si="405"/>
        <v>-9.7694009959005488E-4</v>
      </c>
      <c r="DA92" s="7">
        <f t="shared" si="405"/>
        <v>871850</v>
      </c>
      <c r="DB92" s="7">
        <f t="shared" si="405"/>
        <v>1.2669037105006595</v>
      </c>
      <c r="DC92" s="7">
        <f t="shared" si="405"/>
        <v>-4.7442317008972168E-2</v>
      </c>
      <c r="DD92" s="7">
        <f t="shared" si="405"/>
        <v>-1.9100688609881063E-3</v>
      </c>
      <c r="DE92" s="7">
        <f t="shared" si="405"/>
        <v>153.39999389648438</v>
      </c>
      <c r="DF92" s="7">
        <f t="shared" si="405"/>
        <v>256.35000610351563</v>
      </c>
      <c r="DG92" s="7">
        <f t="shared" si="405"/>
        <v>38295.69921875</v>
      </c>
      <c r="DH92" s="7" t="str">
        <f t="shared" ref="DH92:DJ92" si="471">IFERROR(DH397,"-")</f>
        <v>R</v>
      </c>
      <c r="DI92" s="7" t="str">
        <f t="shared" si="471"/>
        <v>R</v>
      </c>
      <c r="DJ92" s="7" t="str">
        <f t="shared" si="471"/>
        <v>G</v>
      </c>
      <c r="DK92" s="64">
        <f t="shared" ref="DK92:DS92" si="472">IFERROR(VALUE(DK397),"-")</f>
        <v>38300</v>
      </c>
      <c r="DL92" s="64">
        <f t="shared" si="472"/>
        <v>3400000</v>
      </c>
      <c r="DM92" s="64">
        <f t="shared" si="472"/>
        <v>38500</v>
      </c>
      <c r="DN92" s="64">
        <f t="shared" si="472"/>
        <v>0</v>
      </c>
      <c r="DO92" s="64">
        <f t="shared" si="472"/>
        <v>24500</v>
      </c>
      <c r="DP92" s="64">
        <f t="shared" si="472"/>
        <v>2863350</v>
      </c>
      <c r="DQ92" s="64">
        <f t="shared" si="472"/>
        <v>38000</v>
      </c>
      <c r="DR92" s="64">
        <f t="shared" si="472"/>
        <v>0</v>
      </c>
      <c r="DS92" s="64">
        <f t="shared" si="472"/>
        <v>24500</v>
      </c>
      <c r="DT92" t="str">
        <f t="shared" si="338"/>
        <v>BANKNIFTY</v>
      </c>
      <c r="DU92" s="10">
        <f t="shared" si="339"/>
        <v>44784</v>
      </c>
    </row>
    <row r="93" spans="1:125" x14ac:dyDescent="0.25">
      <c r="A93" t="s">
        <v>34</v>
      </c>
      <c r="B93" s="2">
        <v>44798</v>
      </c>
      <c r="C93" s="1">
        <v>275</v>
      </c>
      <c r="D93">
        <v>93</v>
      </c>
      <c r="G93" t="str">
        <f t="array" ref="G93">IFERROR(INDEX($A$2:$A$700,MATCH(0,COUNTIF($G$1:G92,$A$2:$A$700),0)),"")</f>
        <v>ICICIGI</v>
      </c>
      <c r="M93" s="3"/>
      <c r="N93" s="3"/>
      <c r="O93" s="3">
        <f t="shared" si="340"/>
        <v>38500</v>
      </c>
      <c r="P93" s="7">
        <f t="shared" ref="P93:CA93" si="473">IFERROR(VALUE(P398),"-")</f>
        <v>314.60000610351563</v>
      </c>
      <c r="Q93" s="7">
        <f t="shared" si="473"/>
        <v>259.54998779296875</v>
      </c>
      <c r="R93" s="7">
        <f t="shared" si="473"/>
        <v>446.45001220703125</v>
      </c>
      <c r="S93" s="7">
        <f t="shared" si="473"/>
        <v>366.10000610351563</v>
      </c>
      <c r="T93" s="11">
        <f t="shared" si="473"/>
        <v>-0.15570068359375</v>
      </c>
      <c r="U93" s="11">
        <f t="shared" si="473"/>
        <v>503.48431396484375</v>
      </c>
      <c r="V93" s="11">
        <f t="shared" si="473"/>
        <v>-1.302001953125</v>
      </c>
      <c r="W93" s="11">
        <f t="shared" si="473"/>
        <v>636.5411376953125</v>
      </c>
      <c r="X93" s="14">
        <f t="shared" si="473"/>
        <v>1.4551915228366852E-10</v>
      </c>
      <c r="Y93" s="14">
        <f t="shared" si="473"/>
        <v>-3.0131256789900362E-4</v>
      </c>
      <c r="Z93" s="14">
        <f t="shared" si="473"/>
        <v>1.3594981282949448E-6</v>
      </c>
      <c r="AA93" s="14">
        <f t="shared" si="473"/>
        <v>-2.5744386948645115E-3</v>
      </c>
      <c r="AB93" s="15">
        <f t="shared" si="473"/>
        <v>-9.5758423412917182E-10</v>
      </c>
      <c r="AC93" s="15">
        <f t="shared" si="473"/>
        <v>6.0951606428716332E-7</v>
      </c>
      <c r="AD93" s="13">
        <f t="shared" si="473"/>
        <v>6.8746507167816162E-5</v>
      </c>
      <c r="AE93" s="13">
        <f t="shared" si="473"/>
        <v>-8.9317798614501953E-2</v>
      </c>
      <c r="AF93" s="12">
        <f t="shared" si="473"/>
        <v>-9.9039077758789063E-4</v>
      </c>
      <c r="AG93" s="12">
        <f t="shared" si="473"/>
        <v>0.76313835382461548</v>
      </c>
      <c r="AH93" s="13">
        <f t="shared" si="473"/>
        <v>-2.5617191568017006E-7</v>
      </c>
      <c r="AI93" s="13">
        <f t="shared" si="473"/>
        <v>7.4976217001676559E-4</v>
      </c>
      <c r="AJ93" s="11">
        <f t="shared" si="473"/>
        <v>7.610321044921875E-4</v>
      </c>
      <c r="AK93" s="11">
        <f t="shared" si="473"/>
        <v>7.4534006118774414</v>
      </c>
      <c r="AL93" s="11">
        <f t="shared" si="473"/>
        <v>-5.4901123046875E-2</v>
      </c>
      <c r="AM93" s="11">
        <f t="shared" si="473"/>
        <v>-87.23468017578125</v>
      </c>
      <c r="AN93" s="11">
        <f t="shared" si="473"/>
        <v>1.0931491851806641E-4</v>
      </c>
      <c r="AO93" s="11">
        <f t="shared" si="473"/>
        <v>-0.65924304723739624</v>
      </c>
      <c r="AP93" s="11">
        <f t="shared" si="473"/>
        <v>24.065527319908142</v>
      </c>
      <c r="AQ93" s="11">
        <f t="shared" si="473"/>
        <v>34150500</v>
      </c>
      <c r="AR93" s="16">
        <f t="shared" si="473"/>
        <v>458000</v>
      </c>
      <c r="AS93" s="16">
        <f t="shared" si="473"/>
        <v>718825</v>
      </c>
      <c r="AT93" s="16">
        <f t="shared" si="473"/>
        <v>24.065527319908142</v>
      </c>
      <c r="AU93" s="7">
        <f t="shared" si="473"/>
        <v>5.0018310546875E-2</v>
      </c>
      <c r="AV93" s="7">
        <f t="shared" si="473"/>
        <v>314.60000610351563</v>
      </c>
      <c r="AW93" s="7">
        <f t="shared" si="473"/>
        <v>110.30000305175781</v>
      </c>
      <c r="AX93" s="7">
        <f t="shared" si="473"/>
        <v>0.100006103515625</v>
      </c>
      <c r="AY93" s="11">
        <f t="shared" si="473"/>
        <v>24.074371159076691</v>
      </c>
      <c r="AZ93" s="16">
        <f t="shared" si="473"/>
        <v>3400000</v>
      </c>
      <c r="BA93" s="16">
        <f t="shared" si="473"/>
        <v>1242000</v>
      </c>
      <c r="BB93" s="16">
        <f t="shared" si="473"/>
        <v>85791525</v>
      </c>
      <c r="BC93" s="11">
        <f t="shared" si="473"/>
        <v>0.34088891744613647</v>
      </c>
      <c r="BD93" s="11">
        <f t="shared" si="473"/>
        <v>1.0922551155090332E-4</v>
      </c>
      <c r="BE93" s="11">
        <f t="shared" si="473"/>
        <v>-87.27984619140625</v>
      </c>
      <c r="BF93" s="11">
        <f t="shared" si="473"/>
        <v>-5.48858642578125E-2</v>
      </c>
      <c r="BG93" s="11">
        <f t="shared" si="473"/>
        <v>7.4545202255249023</v>
      </c>
      <c r="BH93" s="11">
        <f t="shared" si="473"/>
        <v>7.59124755859375E-4</v>
      </c>
      <c r="BI93" s="13">
        <f t="shared" si="473"/>
        <v>7.4959546327590942E-4</v>
      </c>
      <c r="BJ93" s="13">
        <f t="shared" si="473"/>
        <v>-2.5605550035834312E-7</v>
      </c>
      <c r="BK93" s="11">
        <f t="shared" si="473"/>
        <v>24.074371159076691</v>
      </c>
      <c r="BL93" s="12">
        <f t="shared" si="473"/>
        <v>0.76210534572601318</v>
      </c>
      <c r="BM93" s="12">
        <f t="shared" si="473"/>
        <v>-9.8848342895507813E-4</v>
      </c>
      <c r="BN93" s="13">
        <f t="shared" si="473"/>
        <v>-8.9229665696620941E-2</v>
      </c>
      <c r="BO93" s="13">
        <f t="shared" si="473"/>
        <v>6.8649649620056152E-5</v>
      </c>
      <c r="BP93" s="15">
        <f t="shared" si="473"/>
        <v>6.0859662198708975E-7</v>
      </c>
      <c r="BQ93" s="15">
        <f t="shared" si="473"/>
        <v>-9.5593577498220839E-10</v>
      </c>
      <c r="BR93" s="14">
        <f t="shared" si="473"/>
        <v>-2.5738482363522053E-3</v>
      </c>
      <c r="BS93" s="14">
        <f t="shared" si="473"/>
        <v>1.3601966202259064E-6</v>
      </c>
      <c r="BT93" s="14">
        <f t="shared" si="473"/>
        <v>-3.013541572727263E-4</v>
      </c>
      <c r="BU93" s="14">
        <f t="shared" si="473"/>
        <v>3.2014213502407074E-10</v>
      </c>
      <c r="BV93" s="11">
        <f t="shared" si="473"/>
        <v>635.123779296875</v>
      </c>
      <c r="BW93" s="11">
        <f t="shared" si="473"/>
        <v>-1.298583984375</v>
      </c>
      <c r="BX93" s="11">
        <f t="shared" si="473"/>
        <v>503.2835693359375</v>
      </c>
      <c r="BY93" s="11">
        <f t="shared" si="473"/>
        <v>-0.155303955078125</v>
      </c>
      <c r="BZ93" s="7">
        <f t="shared" si="473"/>
        <v>143.44999694824219</v>
      </c>
      <c r="CA93" s="7">
        <f t="shared" si="473"/>
        <v>181.55000305175781</v>
      </c>
      <c r="CB93" s="7">
        <f t="shared" ref="CB93:CP93" si="474">IFERROR(VALUE(CB398),"-")</f>
        <v>90</v>
      </c>
      <c r="CC93" s="7">
        <f t="shared" si="474"/>
        <v>110.30000305175781</v>
      </c>
      <c r="CD93" s="7">
        <f t="shared" si="474"/>
        <v>110.25</v>
      </c>
      <c r="CE93" s="3">
        <f t="shared" si="474"/>
        <v>100</v>
      </c>
      <c r="CF93" s="7">
        <f t="shared" si="474"/>
        <v>110.05000305175781</v>
      </c>
      <c r="CG93" s="3">
        <f t="shared" si="474"/>
        <v>75</v>
      </c>
      <c r="CH93" s="7">
        <f t="shared" si="474"/>
        <v>131.17999267578125</v>
      </c>
      <c r="CI93" s="7">
        <f t="shared" si="474"/>
        <v>314.54998779296875</v>
      </c>
      <c r="CJ93" s="3">
        <f t="shared" si="474"/>
        <v>25</v>
      </c>
      <c r="CK93" s="7">
        <f t="shared" si="474"/>
        <v>313.89999389648438</v>
      </c>
      <c r="CL93" s="3">
        <f t="shared" si="474"/>
        <v>250</v>
      </c>
      <c r="CM93" s="7">
        <f t="shared" si="474"/>
        <v>327.55999755859375</v>
      </c>
      <c r="CN93" s="10">
        <f t="shared" si="474"/>
        <v>44783.638194444444</v>
      </c>
      <c r="CO93" s="10">
        <f t="shared" si="474"/>
        <v>44783.638194444444</v>
      </c>
      <c r="CP93" s="7">
        <f t="shared" si="474"/>
        <v>38295.69921875</v>
      </c>
      <c r="CQ93" s="7" t="str">
        <f t="shared" ref="CQ93" si="475">IFERROR(CQ398,"-")</f>
        <v>FairPrice</v>
      </c>
      <c r="CR93" s="10">
        <f t="shared" si="405"/>
        <v>44783.638194444444</v>
      </c>
      <c r="CS93" s="7">
        <f t="shared" si="405"/>
        <v>1.1651217937469482E-2</v>
      </c>
      <c r="CT93" s="7">
        <f t="shared" si="405"/>
        <v>4.8438005949963831E-4</v>
      </c>
      <c r="CU93" s="7">
        <f t="shared" si="405"/>
        <v>260825</v>
      </c>
      <c r="CV93" s="7">
        <f t="shared" si="405"/>
        <v>1.7559666443017348</v>
      </c>
      <c r="CW93" s="7">
        <f t="shared" si="405"/>
        <v>314.60000610351563</v>
      </c>
      <c r="CX93" s="7">
        <f t="shared" si="405"/>
        <v>1.5901545855343083E-4</v>
      </c>
      <c r="CY93" s="7">
        <f t="shared" si="405"/>
        <v>110.30000305175781</v>
      </c>
      <c r="CZ93" s="7">
        <f t="shared" si="405"/>
        <v>9.0749642726936761E-4</v>
      </c>
      <c r="DA93" s="7">
        <f t="shared" si="405"/>
        <v>2158000</v>
      </c>
      <c r="DB93" s="7">
        <f t="shared" si="405"/>
        <v>0.57553290083410569</v>
      </c>
      <c r="DC93" s="7">
        <f t="shared" si="405"/>
        <v>1.1649727821350098E-2</v>
      </c>
      <c r="DD93" s="7">
        <f t="shared" si="405"/>
        <v>4.841400776147512E-4</v>
      </c>
      <c r="DE93" s="7">
        <f t="shared" si="405"/>
        <v>110.30000305175781</v>
      </c>
      <c r="DF93" s="7">
        <f t="shared" si="405"/>
        <v>314.60000610351563</v>
      </c>
      <c r="DG93" s="7">
        <f t="shared" si="405"/>
        <v>38295.69921875</v>
      </c>
      <c r="DH93" s="7" t="str">
        <f t="shared" ref="DH93:DJ93" si="476">IFERROR(DH398,"-")</f>
        <v>G</v>
      </c>
      <c r="DI93" s="7" t="str">
        <f t="shared" si="476"/>
        <v>G</v>
      </c>
      <c r="DJ93" s="7" t="str">
        <f t="shared" si="476"/>
        <v>G</v>
      </c>
      <c r="DK93" s="64">
        <f t="shared" ref="DK93:DS93" si="477">IFERROR(VALUE(DK398),"-")</f>
        <v>38300</v>
      </c>
      <c r="DL93" s="64">
        <f t="shared" si="477"/>
        <v>3400000</v>
      </c>
      <c r="DM93" s="64">
        <f t="shared" si="477"/>
        <v>38500</v>
      </c>
      <c r="DN93" s="64">
        <f t="shared" si="477"/>
        <v>0</v>
      </c>
      <c r="DO93" s="64">
        <f t="shared" si="477"/>
        <v>24500</v>
      </c>
      <c r="DP93" s="64">
        <f t="shared" si="477"/>
        <v>2863350</v>
      </c>
      <c r="DQ93" s="64">
        <f t="shared" si="477"/>
        <v>38000</v>
      </c>
      <c r="DR93" s="64">
        <f t="shared" si="477"/>
        <v>0</v>
      </c>
      <c r="DS93" s="64">
        <f t="shared" si="477"/>
        <v>24500</v>
      </c>
      <c r="DT93" t="str">
        <f t="shared" si="338"/>
        <v>BANKNIFTY</v>
      </c>
      <c r="DU93" s="10">
        <f t="shared" si="339"/>
        <v>44784</v>
      </c>
    </row>
    <row r="94" spans="1:125" x14ac:dyDescent="0.25">
      <c r="A94" t="s">
        <v>34</v>
      </c>
      <c r="B94" s="2">
        <v>44833</v>
      </c>
      <c r="C94" s="1">
        <v>275</v>
      </c>
      <c r="D94">
        <v>93</v>
      </c>
      <c r="G94" t="str">
        <f t="array" ref="G94">IFERROR(INDEX($A$2:$A$700,MATCH(0,COUNTIF($G$1:G93,$A$2:$A$700),0)),"")</f>
        <v>ICICIPRULI</v>
      </c>
      <c r="M94" s="3"/>
      <c r="N94" s="3"/>
      <c r="O94" s="3">
        <f t="shared" si="340"/>
        <v>38600</v>
      </c>
      <c r="P94" s="7">
        <f t="shared" ref="P94:CA94" si="478">IFERROR(VALUE(P399),"-")</f>
        <v>379.5</v>
      </c>
      <c r="Q94" s="7">
        <f t="shared" si="478"/>
        <v>321.25</v>
      </c>
      <c r="R94" s="7">
        <f t="shared" si="478"/>
        <v>519.79998779296875</v>
      </c>
      <c r="S94" s="7">
        <f t="shared" si="478"/>
        <v>423.75</v>
      </c>
      <c r="T94" s="11">
        <f t="shared" si="478"/>
        <v>1.90655517578125</v>
      </c>
      <c r="U94" s="11">
        <f t="shared" si="478"/>
        <v>679.091064453125</v>
      </c>
      <c r="V94" s="11">
        <f t="shared" si="478"/>
        <v>16.8624267578125</v>
      </c>
      <c r="W94" s="11">
        <f t="shared" si="478"/>
        <v>1738.6470947265625</v>
      </c>
      <c r="X94" s="14">
        <f t="shared" si="478"/>
        <v>3.9894075598567724E-7</v>
      </c>
      <c r="Y94" s="14">
        <f t="shared" si="478"/>
        <v>-1.9796818378381431E-4</v>
      </c>
      <c r="Z94" s="14">
        <f t="shared" si="478"/>
        <v>-1.5883706510066986E-6</v>
      </c>
      <c r="AA94" s="14">
        <f t="shared" si="478"/>
        <v>-1.7458731308579445E-3</v>
      </c>
      <c r="AB94" s="15">
        <f t="shared" si="478"/>
        <v>7.0312466959876474E-9</v>
      </c>
      <c r="AC94" s="15">
        <f t="shared" si="478"/>
        <v>9.0279547748650657E-7</v>
      </c>
      <c r="AD94" s="13">
        <f t="shared" si="478"/>
        <v>-6.0565769672393799E-4</v>
      </c>
      <c r="AE94" s="13">
        <f t="shared" si="478"/>
        <v>-0.15313580632209778</v>
      </c>
      <c r="AF94" s="12">
        <f t="shared" si="478"/>
        <v>9.2678070068359375E-3</v>
      </c>
      <c r="AG94" s="12">
        <f t="shared" si="478"/>
        <v>1.3504983186721802</v>
      </c>
      <c r="AH94" s="13">
        <f t="shared" si="478"/>
        <v>1.2625823728740215E-6</v>
      </c>
      <c r="AI94" s="13">
        <f t="shared" si="478"/>
        <v>6.8884430220350623E-4</v>
      </c>
      <c r="AJ94" s="11">
        <f t="shared" si="478"/>
        <v>-7.7838897705078125E-3</v>
      </c>
      <c r="AK94" s="11">
        <f t="shared" si="478"/>
        <v>6.6344094276428223</v>
      </c>
      <c r="AL94" s="11">
        <f t="shared" si="478"/>
        <v>0.3087615966796875</v>
      </c>
      <c r="AM94" s="11">
        <f t="shared" si="478"/>
        <v>-75.228950500488281</v>
      </c>
      <c r="AN94" s="11">
        <f t="shared" si="478"/>
        <v>-5.9497356414794922E-4</v>
      </c>
      <c r="AO94" s="11">
        <f t="shared" si="478"/>
        <v>-0.73677349090576172</v>
      </c>
      <c r="AP94" s="11">
        <f t="shared" si="478"/>
        <v>23.315426707267761</v>
      </c>
      <c r="AQ94" s="11">
        <f t="shared" si="478"/>
        <v>8920525</v>
      </c>
      <c r="AR94" s="16">
        <f t="shared" si="478"/>
        <v>139475</v>
      </c>
      <c r="AS94" s="16">
        <f t="shared" si="478"/>
        <v>189750</v>
      </c>
      <c r="AT94" s="16">
        <f t="shared" si="478"/>
        <v>23.315426707267761</v>
      </c>
      <c r="AU94" s="7">
        <f t="shared" si="478"/>
        <v>-0.5</v>
      </c>
      <c r="AV94" s="7">
        <f t="shared" si="478"/>
        <v>379.5</v>
      </c>
      <c r="AW94" s="7">
        <f t="shared" si="478"/>
        <v>76.150001525878906</v>
      </c>
      <c r="AX94" s="7">
        <f t="shared" si="478"/>
        <v>-0.15000152587890625</v>
      </c>
      <c r="AY94" s="11">
        <f t="shared" si="478"/>
        <v>23.459923267364502</v>
      </c>
      <c r="AZ94" s="16">
        <f t="shared" si="478"/>
        <v>1342500</v>
      </c>
      <c r="BA94" s="16">
        <f t="shared" si="478"/>
        <v>729125</v>
      </c>
      <c r="BB94" s="16">
        <f t="shared" si="478"/>
        <v>44258500</v>
      </c>
      <c r="BC94" s="11">
        <f t="shared" si="478"/>
        <v>0.26449686288833618</v>
      </c>
      <c r="BD94" s="11">
        <f t="shared" si="478"/>
        <v>-2.0325183868408203E-5</v>
      </c>
      <c r="BE94" s="11">
        <f t="shared" si="478"/>
        <v>-75.879463195800781</v>
      </c>
      <c r="BF94" s="11">
        <f t="shared" si="478"/>
        <v>0.1422882080078125</v>
      </c>
      <c r="BG94" s="11">
        <f t="shared" si="478"/>
        <v>6.6508488655090332</v>
      </c>
      <c r="BH94" s="11">
        <f t="shared" si="478"/>
        <v>-3.0851364135742188E-4</v>
      </c>
      <c r="BI94" s="13">
        <f t="shared" si="478"/>
        <v>6.8627001019194722E-4</v>
      </c>
      <c r="BJ94" s="13">
        <f t="shared" si="478"/>
        <v>1.2604868970811367E-6</v>
      </c>
      <c r="BK94" s="11">
        <f t="shared" si="478"/>
        <v>23.459923267364502</v>
      </c>
      <c r="BL94" s="12">
        <f t="shared" si="478"/>
        <v>1.3309909105300903</v>
      </c>
      <c r="BM94" s="12">
        <f t="shared" si="478"/>
        <v>2.6189088821411133E-3</v>
      </c>
      <c r="BN94" s="13">
        <f t="shared" si="478"/>
        <v>-0.15185260772705078</v>
      </c>
      <c r="BO94" s="13">
        <f t="shared" si="478"/>
        <v>-2.1636486053466797E-5</v>
      </c>
      <c r="BP94" s="15">
        <f t="shared" si="478"/>
        <v>8.8815863819036167E-7</v>
      </c>
      <c r="BQ94" s="15">
        <f t="shared" si="478"/>
        <v>3.4172558116551954E-9</v>
      </c>
      <c r="BR94" s="14">
        <f t="shared" si="478"/>
        <v>-1.742995111271739E-3</v>
      </c>
      <c r="BS94" s="14">
        <f t="shared" si="478"/>
        <v>-6.2652397900819778E-6</v>
      </c>
      <c r="BT94" s="14">
        <f t="shared" si="478"/>
        <v>-1.9885810615960509E-4</v>
      </c>
      <c r="BU94" s="14">
        <f t="shared" si="478"/>
        <v>-3.5243283491581678E-7</v>
      </c>
      <c r="BV94" s="11">
        <f t="shared" si="478"/>
        <v>1703.052978515625</v>
      </c>
      <c r="BW94" s="11">
        <f t="shared" si="478"/>
        <v>3.506591796875</v>
      </c>
      <c r="BX94" s="11">
        <f t="shared" si="478"/>
        <v>675.0509033203125</v>
      </c>
      <c r="BY94" s="11">
        <f t="shared" si="478"/>
        <v>8.160400390625E-2</v>
      </c>
      <c r="BZ94" s="7">
        <f t="shared" si="478"/>
        <v>112.69999694824219</v>
      </c>
      <c r="CA94" s="7">
        <f t="shared" si="478"/>
        <v>138</v>
      </c>
      <c r="CB94" s="7">
        <f t="shared" ref="CB94:CP94" si="479">IFERROR(VALUE(CB399),"-")</f>
        <v>63.200000762939453</v>
      </c>
      <c r="CC94" s="7">
        <f t="shared" si="479"/>
        <v>76.150001525878906</v>
      </c>
      <c r="CD94" s="7">
        <f t="shared" si="479"/>
        <v>76.300003051757813</v>
      </c>
      <c r="CE94" s="3">
        <f t="shared" si="479"/>
        <v>1000</v>
      </c>
      <c r="CF94" s="7">
        <f t="shared" si="479"/>
        <v>76.099998474121094</v>
      </c>
      <c r="CG94" s="3">
        <f t="shared" si="479"/>
        <v>1350</v>
      </c>
      <c r="CH94" s="7">
        <f t="shared" si="479"/>
        <v>93.919998168945313</v>
      </c>
      <c r="CI94" s="7">
        <f t="shared" si="479"/>
        <v>380.04998779296875</v>
      </c>
      <c r="CJ94" s="3">
        <f t="shared" si="479"/>
        <v>125</v>
      </c>
      <c r="CK94" s="7">
        <f t="shared" si="479"/>
        <v>379.29998779296875</v>
      </c>
      <c r="CL94" s="3">
        <f t="shared" si="479"/>
        <v>250</v>
      </c>
      <c r="CM94" s="7">
        <f t="shared" si="479"/>
        <v>394.98001098632813</v>
      </c>
      <c r="CN94" s="10">
        <f t="shared" si="479"/>
        <v>44783.638194444444</v>
      </c>
      <c r="CO94" s="10">
        <f t="shared" si="479"/>
        <v>44783.638194444444</v>
      </c>
      <c r="CP94" s="7">
        <f t="shared" si="479"/>
        <v>38295.69921875</v>
      </c>
      <c r="CQ94" s="7" t="str">
        <f t="shared" ref="CQ94" si="480">IFERROR(CQ399,"-")</f>
        <v>FairPrice</v>
      </c>
      <c r="CR94" s="10">
        <f t="shared" si="405"/>
        <v>44783.638194444444</v>
      </c>
      <c r="CS94" s="7">
        <f t="shared" si="405"/>
        <v>-6.9269537925720215E-2</v>
      </c>
      <c r="CT94" s="7">
        <f t="shared" si="405"/>
        <v>-2.9621739448489931E-3</v>
      </c>
      <c r="CU94" s="7">
        <f t="shared" si="405"/>
        <v>50275</v>
      </c>
      <c r="CV94" s="7">
        <f t="shared" si="405"/>
        <v>2.7742416708105422</v>
      </c>
      <c r="CW94" s="7">
        <f t="shared" si="405"/>
        <v>379.5</v>
      </c>
      <c r="CX94" s="7">
        <f t="shared" si="405"/>
        <v>-1.3157894736842105E-3</v>
      </c>
      <c r="CY94" s="7">
        <f t="shared" si="405"/>
        <v>76.150001525878906</v>
      </c>
      <c r="CZ94" s="7">
        <f t="shared" si="405"/>
        <v>-1.9659439040540182E-3</v>
      </c>
      <c r="DA94" s="7">
        <f t="shared" si="405"/>
        <v>613375</v>
      </c>
      <c r="DB94" s="7">
        <f t="shared" si="405"/>
        <v>1.188710006113715</v>
      </c>
      <c r="DC94" s="7">
        <f t="shared" si="405"/>
        <v>-4.3918192386627197E-2</v>
      </c>
      <c r="DD94" s="7">
        <f t="shared" si="405"/>
        <v>-1.8685538047826938E-3</v>
      </c>
      <c r="DE94" s="7">
        <f t="shared" si="405"/>
        <v>76.150001525878906</v>
      </c>
      <c r="DF94" s="7">
        <f t="shared" si="405"/>
        <v>379.5</v>
      </c>
      <c r="DG94" s="7">
        <f t="shared" ref="DG94" si="481">IFERROR(VALUE(DG399),"-")</f>
        <v>38295.69921875</v>
      </c>
      <c r="DH94" s="7" t="str">
        <f t="shared" ref="DH94:DJ94" si="482">IFERROR(DH399,"-")</f>
        <v>R</v>
      </c>
      <c r="DI94" s="7" t="str">
        <f t="shared" si="482"/>
        <v>R</v>
      </c>
      <c r="DJ94" s="7" t="str">
        <f t="shared" si="482"/>
        <v>G</v>
      </c>
      <c r="DK94" s="64">
        <f t="shared" ref="DK94:DS94" si="483">IFERROR(VALUE(DK399),"-")</f>
        <v>38300</v>
      </c>
      <c r="DL94" s="64">
        <f t="shared" si="483"/>
        <v>3400000</v>
      </c>
      <c r="DM94" s="64">
        <f t="shared" si="483"/>
        <v>38500</v>
      </c>
      <c r="DN94" s="64">
        <f t="shared" si="483"/>
        <v>0</v>
      </c>
      <c r="DO94" s="64">
        <f t="shared" si="483"/>
        <v>24500</v>
      </c>
      <c r="DP94" s="64">
        <f t="shared" si="483"/>
        <v>2863350</v>
      </c>
      <c r="DQ94" s="64">
        <f t="shared" si="483"/>
        <v>38000</v>
      </c>
      <c r="DR94" s="64">
        <f t="shared" si="483"/>
        <v>0</v>
      </c>
      <c r="DS94" s="64">
        <f t="shared" si="483"/>
        <v>24500</v>
      </c>
      <c r="DT94" t="str">
        <f t="shared" si="338"/>
        <v>BANKNIFTY</v>
      </c>
      <c r="DU94" s="10">
        <f t="shared" si="339"/>
        <v>44784</v>
      </c>
    </row>
    <row r="95" spans="1:125" x14ac:dyDescent="0.25">
      <c r="A95" t="s">
        <v>34</v>
      </c>
      <c r="B95" s="2">
        <v>44861</v>
      </c>
      <c r="C95" s="1">
        <v>275</v>
      </c>
      <c r="D95">
        <v>93</v>
      </c>
      <c r="G95" t="str">
        <f t="array" ref="G95">IFERROR(INDEX($A$2:$A$700,MATCH(0,COUNTIF($G$1:G94,$A$2:$A$700),0)),"")</f>
        <v>IDEA</v>
      </c>
      <c r="M95" s="3"/>
      <c r="N95" s="3"/>
      <c r="O95" s="3">
        <f t="shared" si="340"/>
        <v>38700</v>
      </c>
      <c r="P95" s="7">
        <f t="shared" ref="P95:CA95" si="484">IFERROR(VALUE(P400),"-")</f>
        <v>453.29998779296875</v>
      </c>
      <c r="Q95" s="7">
        <f t="shared" si="484"/>
        <v>385</v>
      </c>
      <c r="R95" s="7">
        <f t="shared" si="484"/>
        <v>600</v>
      </c>
      <c r="S95" s="7">
        <f t="shared" si="484"/>
        <v>475.70001220703125</v>
      </c>
      <c r="T95" s="11">
        <f t="shared" si="484"/>
        <v>-0.7069091796875</v>
      </c>
      <c r="U95" s="11">
        <f t="shared" si="484"/>
        <v>1011.4524536132813</v>
      </c>
      <c r="V95" s="11">
        <f t="shared" si="484"/>
        <v>-6.2978515625</v>
      </c>
      <c r="W95" s="11">
        <f t="shared" si="484"/>
        <v>3965.190185546875</v>
      </c>
      <c r="X95" s="14">
        <f t="shared" si="484"/>
        <v>-1.9973958842456341E-7</v>
      </c>
      <c r="Y95" s="14">
        <f t="shared" si="484"/>
        <v>-6.889247742947191E-5</v>
      </c>
      <c r="Z95" s="14">
        <f t="shared" si="484"/>
        <v>-1.5715486370027065E-6</v>
      </c>
      <c r="AA95" s="14">
        <f t="shared" si="484"/>
        <v>-6.2464165966957808E-4</v>
      </c>
      <c r="AB95" s="15">
        <f t="shared" si="484"/>
        <v>-8.4276052803033963E-10</v>
      </c>
      <c r="AC95" s="15">
        <f t="shared" si="484"/>
        <v>1.1024580999219324E-6</v>
      </c>
      <c r="AD95" s="13">
        <f t="shared" si="484"/>
        <v>1.8204748630523682E-4</v>
      </c>
      <c r="AE95" s="13">
        <f t="shared" si="484"/>
        <v>-0.24824647605419159</v>
      </c>
      <c r="AF95" s="12">
        <f t="shared" si="484"/>
        <v>-2.5165081024169922E-3</v>
      </c>
      <c r="AG95" s="12">
        <f t="shared" si="484"/>
        <v>2.2508277893066406</v>
      </c>
      <c r="AH95" s="13">
        <f t="shared" si="484"/>
        <v>9.8953023552894592E-9</v>
      </c>
      <c r="AI95" s="13">
        <f t="shared" si="484"/>
        <v>5.9449754189699888E-4</v>
      </c>
      <c r="AJ95" s="11">
        <f t="shared" si="484"/>
        <v>1.7666816711425781E-3</v>
      </c>
      <c r="AK95" s="11">
        <f t="shared" si="484"/>
        <v>5.569127082824707</v>
      </c>
      <c r="AL95" s="11">
        <f t="shared" si="484"/>
        <v>-4.3087005615234375E-2</v>
      </c>
      <c r="AM95" s="11">
        <f t="shared" si="484"/>
        <v>-61.422569274902344</v>
      </c>
      <c r="AN95" s="11">
        <f t="shared" si="484"/>
        <v>1.0669231414794922E-4</v>
      </c>
      <c r="AO95" s="11">
        <f t="shared" si="484"/>
        <v>-0.80696606636047363</v>
      </c>
      <c r="AP95" s="11">
        <f t="shared" si="484"/>
        <v>22.67783135175705</v>
      </c>
      <c r="AQ95" s="11">
        <f t="shared" si="484"/>
        <v>5639475</v>
      </c>
      <c r="AR95" s="16">
        <f t="shared" si="484"/>
        <v>85225</v>
      </c>
      <c r="AS95" s="16">
        <f t="shared" si="484"/>
        <v>120725</v>
      </c>
      <c r="AT95" s="16">
        <f t="shared" si="484"/>
        <v>22.67783135175705</v>
      </c>
      <c r="AU95" s="7">
        <f t="shared" si="484"/>
        <v>0</v>
      </c>
      <c r="AV95" s="7">
        <f t="shared" si="484"/>
        <v>453.29998779296875</v>
      </c>
      <c r="AW95" s="7">
        <f t="shared" si="484"/>
        <v>50.25</v>
      </c>
      <c r="AX95" s="7">
        <f t="shared" si="484"/>
        <v>-4.9999237060546875E-2</v>
      </c>
      <c r="AY95" s="11">
        <f t="shared" si="484"/>
        <v>22.915783524513245</v>
      </c>
      <c r="AZ95" s="16">
        <f t="shared" si="484"/>
        <v>1347100</v>
      </c>
      <c r="BA95" s="16">
        <f t="shared" si="484"/>
        <v>563125</v>
      </c>
      <c r="BB95" s="16">
        <f t="shared" si="484"/>
        <v>40858800</v>
      </c>
      <c r="BC95" s="11">
        <f t="shared" si="484"/>
        <v>0.19560375809669495</v>
      </c>
      <c r="BD95" s="11">
        <f t="shared" si="484"/>
        <v>-8.1926584243774414E-5</v>
      </c>
      <c r="BE95" s="11">
        <f t="shared" si="484"/>
        <v>-50.25</v>
      </c>
      <c r="BF95" s="11">
        <f t="shared" si="484"/>
        <v>4.9999237060546875E-2</v>
      </c>
      <c r="BG95" s="11">
        <f t="shared" si="484"/>
        <v>5.6141691207885742</v>
      </c>
      <c r="BH95" s="11">
        <f t="shared" si="484"/>
        <v>-1.5411376953125E-3</v>
      </c>
      <c r="BI95" s="13">
        <f t="shared" si="484"/>
        <v>5.930795450694859E-4</v>
      </c>
      <c r="BJ95" s="13">
        <f t="shared" si="484"/>
        <v>1.2392411008477211E-7</v>
      </c>
      <c r="BK95" s="11">
        <f t="shared" si="484"/>
        <v>22.915783524513245</v>
      </c>
      <c r="BL95" s="12">
        <f t="shared" si="484"/>
        <v>2.1864228248596191</v>
      </c>
      <c r="BM95" s="12">
        <f t="shared" si="484"/>
        <v>2.254486083984375E-3</v>
      </c>
      <c r="BN95" s="13">
        <f t="shared" si="484"/>
        <v>-0.24367344379425049</v>
      </c>
      <c r="BO95" s="13">
        <f t="shared" si="484"/>
        <v>-1.5395879745483398E-4</v>
      </c>
      <c r="BP95" s="15">
        <f t="shared" si="484"/>
        <v>1.0763501450128388E-6</v>
      </c>
      <c r="BQ95" s="15">
        <f t="shared" si="484"/>
        <v>1.1078782335971482E-9</v>
      </c>
      <c r="BR95" s="14">
        <f t="shared" si="484"/>
        <v>-6.5837340662255883E-4</v>
      </c>
      <c r="BS95" s="14">
        <f t="shared" si="484"/>
        <v>8.827773854136467E-7</v>
      </c>
      <c r="BT95" s="14">
        <f t="shared" si="484"/>
        <v>-7.3374700150452554E-5</v>
      </c>
      <c r="BU95" s="14">
        <f t="shared" si="484"/>
        <v>1.2775126378983259E-7</v>
      </c>
      <c r="BV95" s="11">
        <f t="shared" si="484"/>
        <v>3810.233154296875</v>
      </c>
      <c r="BW95" s="11">
        <f t="shared" si="484"/>
        <v>5.168212890625</v>
      </c>
      <c r="BX95" s="11">
        <f t="shared" si="484"/>
        <v>994.16827392578125</v>
      </c>
      <c r="BY95" s="11">
        <f t="shared" si="484"/>
        <v>0.56427001953125</v>
      </c>
      <c r="BZ95" s="7">
        <f t="shared" si="484"/>
        <v>79.400001525878906</v>
      </c>
      <c r="CA95" s="7">
        <f t="shared" si="484"/>
        <v>102.80000305175781</v>
      </c>
      <c r="CB95" s="7">
        <f t="shared" ref="CB95:CP95" si="485">IFERROR(VALUE(CB400),"-")</f>
        <v>43.400001525878906</v>
      </c>
      <c r="CC95" s="7">
        <f t="shared" si="485"/>
        <v>50.25</v>
      </c>
      <c r="CD95" s="7">
        <f t="shared" si="485"/>
        <v>50.349998474121094</v>
      </c>
      <c r="CE95" s="3">
        <f t="shared" si="485"/>
        <v>125</v>
      </c>
      <c r="CF95" s="7">
        <f t="shared" si="485"/>
        <v>50.25</v>
      </c>
      <c r="CG95" s="3">
        <f t="shared" si="485"/>
        <v>25</v>
      </c>
      <c r="CH95" s="7">
        <f t="shared" si="485"/>
        <v>67</v>
      </c>
      <c r="CI95" s="7">
        <f t="shared" si="485"/>
        <v>453.60000610351563</v>
      </c>
      <c r="CJ95" s="3">
        <f t="shared" si="485"/>
        <v>300</v>
      </c>
      <c r="CK95" s="7">
        <f t="shared" si="485"/>
        <v>452.5</v>
      </c>
      <c r="CL95" s="3">
        <f t="shared" si="485"/>
        <v>500</v>
      </c>
      <c r="CM95" s="7">
        <f t="shared" si="485"/>
        <v>465.1199951171875</v>
      </c>
      <c r="CN95" s="10">
        <f t="shared" si="485"/>
        <v>44783.638194444444</v>
      </c>
      <c r="CO95" s="10">
        <f t="shared" si="485"/>
        <v>44783.638194444444</v>
      </c>
      <c r="CP95" s="7">
        <f t="shared" si="485"/>
        <v>38295.69921875</v>
      </c>
      <c r="CQ95" s="7" t="str">
        <f t="shared" ref="CQ95" si="486">IFERROR(CQ400,"-")</f>
        <v>FairPrice</v>
      </c>
      <c r="CR95" s="10">
        <f t="shared" ref="CR95:DG110" si="487">IFERROR(VALUE(CR400),"-")</f>
        <v>44783.638194444444</v>
      </c>
      <c r="CS95" s="7">
        <f t="shared" si="487"/>
        <v>7.7366828918457031E-3</v>
      </c>
      <c r="CT95" s="7">
        <f t="shared" si="487"/>
        <v>3.4127263272840043E-4</v>
      </c>
      <c r="CU95" s="7">
        <f t="shared" si="487"/>
        <v>35500</v>
      </c>
      <c r="CV95" s="7">
        <f t="shared" si="487"/>
        <v>2.4007042253521127</v>
      </c>
      <c r="CW95" s="7">
        <f t="shared" si="487"/>
        <v>453.29998779296875</v>
      </c>
      <c r="CX95" s="7">
        <f t="shared" si="487"/>
        <v>0</v>
      </c>
      <c r="CY95" s="7">
        <f t="shared" si="487"/>
        <v>50.25</v>
      </c>
      <c r="CZ95" s="7">
        <f t="shared" si="487"/>
        <v>-9.9402063258299074E-4</v>
      </c>
      <c r="DA95" s="7">
        <f t="shared" si="487"/>
        <v>783975</v>
      </c>
      <c r="DB95" s="7">
        <f t="shared" si="487"/>
        <v>0.71829458847539784</v>
      </c>
      <c r="DC95" s="7">
        <f t="shared" si="487"/>
        <v>-1.0150671005249023E-2</v>
      </c>
      <c r="DD95" s="7">
        <f t="shared" si="487"/>
        <v>-4.4275931871222293E-4</v>
      </c>
      <c r="DE95" s="7">
        <f t="shared" si="487"/>
        <v>50.25</v>
      </c>
      <c r="DF95" s="7">
        <f t="shared" si="487"/>
        <v>453.29998779296875</v>
      </c>
      <c r="DG95" s="7">
        <f t="shared" si="487"/>
        <v>38295.69921875</v>
      </c>
      <c r="DH95" s="7" t="str">
        <f t="shared" ref="DH95:DJ95" si="488">IFERROR(DH400,"-")</f>
        <v>R</v>
      </c>
      <c r="DI95" s="7" t="str">
        <f t="shared" si="488"/>
        <v>W</v>
      </c>
      <c r="DJ95" s="7" t="str">
        <f t="shared" si="488"/>
        <v>G</v>
      </c>
      <c r="DK95" s="64">
        <f t="shared" ref="DK95:DS95" si="489">IFERROR(VALUE(DK400),"-")</f>
        <v>38300</v>
      </c>
      <c r="DL95" s="64">
        <f t="shared" si="489"/>
        <v>3400000</v>
      </c>
      <c r="DM95" s="64">
        <f t="shared" si="489"/>
        <v>38500</v>
      </c>
      <c r="DN95" s="64">
        <f t="shared" si="489"/>
        <v>0</v>
      </c>
      <c r="DO95" s="64">
        <f t="shared" si="489"/>
        <v>24500</v>
      </c>
      <c r="DP95" s="64">
        <f t="shared" si="489"/>
        <v>2863350</v>
      </c>
      <c r="DQ95" s="64">
        <f t="shared" si="489"/>
        <v>38000</v>
      </c>
      <c r="DR95" s="64">
        <f t="shared" si="489"/>
        <v>0</v>
      </c>
      <c r="DS95" s="64">
        <f t="shared" si="489"/>
        <v>24500</v>
      </c>
      <c r="DT95" t="str">
        <f t="shared" si="338"/>
        <v>BANKNIFTY</v>
      </c>
      <c r="DU95" s="10">
        <f t="shared" si="339"/>
        <v>44784</v>
      </c>
    </row>
    <row r="96" spans="1:125" x14ac:dyDescent="0.25">
      <c r="A96" t="s">
        <v>35</v>
      </c>
      <c r="B96" s="2">
        <v>44798</v>
      </c>
      <c r="C96" s="1">
        <v>3800</v>
      </c>
      <c r="D96">
        <v>80</v>
      </c>
      <c r="G96" t="str">
        <f t="array" ref="G96">IFERROR(INDEX($A$2:$A$700,MATCH(0,COUNTIF($G$1:G95,$A$2:$A$700),0)),"")</f>
        <v>IDFC</v>
      </c>
      <c r="M96" s="3"/>
      <c r="N96" s="3"/>
      <c r="O96" s="3">
        <f t="shared" si="340"/>
        <v>38800</v>
      </c>
      <c r="P96" s="7">
        <f t="shared" ref="P96:CA96" si="490">IFERROR(VALUE(P401),"-")</f>
        <v>533.8499755859375</v>
      </c>
      <c r="Q96" s="7">
        <f t="shared" si="490"/>
        <v>467.60000610351563</v>
      </c>
      <c r="R96" s="7">
        <f t="shared" si="490"/>
        <v>681.79998779296875</v>
      </c>
      <c r="S96" s="7">
        <f t="shared" si="490"/>
        <v>575.8499755859375</v>
      </c>
      <c r="T96" s="11">
        <f t="shared" si="490"/>
        <v>-2.14404296875</v>
      </c>
      <c r="U96" s="11">
        <f t="shared" si="490"/>
        <v>1659.5877685546875</v>
      </c>
      <c r="V96" s="11">
        <f t="shared" si="490"/>
        <v>-19.9248046875</v>
      </c>
      <c r="W96" s="11">
        <f t="shared" si="490"/>
        <v>8651.4248046875</v>
      </c>
      <c r="X96" s="14">
        <f t="shared" si="490"/>
        <v>-3.0784576665610075E-7</v>
      </c>
      <c r="Y96" s="14">
        <f t="shared" si="490"/>
        <v>6.0169517382746562E-5</v>
      </c>
      <c r="Z96" s="14">
        <f t="shared" si="490"/>
        <v>-3.1740055419504642E-6</v>
      </c>
      <c r="AA96" s="14">
        <f t="shared" si="490"/>
        <v>5.6296808179467916E-4</v>
      </c>
      <c r="AB96" s="15">
        <f t="shared" si="490"/>
        <v>-9.2927621153648943E-10</v>
      </c>
      <c r="AC96" s="15">
        <f t="shared" si="490"/>
        <v>1.1847658925034921E-6</v>
      </c>
      <c r="AD96" s="13">
        <f t="shared" si="490"/>
        <v>4.9039721488952637E-4</v>
      </c>
      <c r="AE96" s="13">
        <f t="shared" si="490"/>
        <v>-0.40771114826202393</v>
      </c>
      <c r="AF96" s="12">
        <f t="shared" si="490"/>
        <v>-6.5708160400390625E-3</v>
      </c>
      <c r="AG96" s="12">
        <f t="shared" si="490"/>
        <v>3.8146951198577881</v>
      </c>
      <c r="AH96" s="13">
        <f t="shared" si="490"/>
        <v>1.1557131074368954E-7</v>
      </c>
      <c r="AI96" s="13">
        <f t="shared" si="490"/>
        <v>4.7924683894962072E-4</v>
      </c>
      <c r="AJ96" s="11">
        <f t="shared" si="490"/>
        <v>2.941131591796875E-3</v>
      </c>
      <c r="AK96" s="11">
        <f t="shared" si="490"/>
        <v>4.3506135940551758</v>
      </c>
      <c r="AL96" s="11">
        <f t="shared" si="490"/>
        <v>-5.5545806884765625E-2</v>
      </c>
      <c r="AM96" s="11">
        <f t="shared" si="490"/>
        <v>-46.498966217041016</v>
      </c>
      <c r="AN96" s="11">
        <f t="shared" si="490"/>
        <v>1.3357400894165039E-4</v>
      </c>
      <c r="AO96" s="11">
        <f t="shared" si="490"/>
        <v>-0.86775851249694824</v>
      </c>
      <c r="AP96" s="11">
        <f t="shared" si="490"/>
        <v>21.97624146938324</v>
      </c>
      <c r="AQ96" s="11">
        <f t="shared" si="490"/>
        <v>2221150</v>
      </c>
      <c r="AR96" s="16">
        <f t="shared" si="490"/>
        <v>8075</v>
      </c>
      <c r="AS96" s="16">
        <f t="shared" si="490"/>
        <v>78275</v>
      </c>
      <c r="AT96" s="16">
        <f t="shared" si="490"/>
        <v>21.97624146938324</v>
      </c>
      <c r="AU96" s="7">
        <f t="shared" si="490"/>
        <v>0</v>
      </c>
      <c r="AV96" s="7">
        <f t="shared" si="490"/>
        <v>533.8499755859375</v>
      </c>
      <c r="AW96" s="7">
        <f t="shared" si="490"/>
        <v>31.75</v>
      </c>
      <c r="AX96" s="7">
        <f t="shared" si="490"/>
        <v>-4.9999237060546875E-2</v>
      </c>
      <c r="AY96" s="11">
        <f t="shared" si="490"/>
        <v>22.475945949554443</v>
      </c>
      <c r="AZ96" s="16">
        <f t="shared" si="490"/>
        <v>1864125</v>
      </c>
      <c r="BA96" s="16">
        <f t="shared" si="490"/>
        <v>816850</v>
      </c>
      <c r="BB96" s="16">
        <f t="shared" si="490"/>
        <v>41238000</v>
      </c>
      <c r="BC96" s="11">
        <f t="shared" si="490"/>
        <v>0.13766448199748993</v>
      </c>
      <c r="BD96" s="11">
        <f t="shared" si="490"/>
        <v>-3.8519501686096191E-5</v>
      </c>
      <c r="BE96" s="11">
        <f t="shared" si="490"/>
        <v>-31.75</v>
      </c>
      <c r="BF96" s="11">
        <f t="shared" si="490"/>
        <v>4.9999237060546875E-2</v>
      </c>
      <c r="BG96" s="11">
        <f t="shared" si="490"/>
        <v>4.4723105430603027</v>
      </c>
      <c r="BH96" s="11">
        <f t="shared" si="490"/>
        <v>-8.8644027709960938E-4</v>
      </c>
      <c r="BI96" s="13">
        <f t="shared" si="490"/>
        <v>4.8167986096814275E-4</v>
      </c>
      <c r="BJ96" s="13">
        <f t="shared" si="490"/>
        <v>5.0288508646190166E-7</v>
      </c>
      <c r="BK96" s="11">
        <f t="shared" si="490"/>
        <v>22.475945949554443</v>
      </c>
      <c r="BL96" s="12">
        <f t="shared" si="490"/>
        <v>3.5489118099212646</v>
      </c>
      <c r="BM96" s="12">
        <f t="shared" si="490"/>
        <v>5.5475234985351563E-3</v>
      </c>
      <c r="BN96" s="13">
        <f t="shared" si="490"/>
        <v>-0.38791248202323914</v>
      </c>
      <c r="BO96" s="13">
        <f t="shared" si="490"/>
        <v>-1.4710426330566406E-4</v>
      </c>
      <c r="BP96" s="15">
        <f t="shared" si="490"/>
        <v>1.1376575912436238E-6</v>
      </c>
      <c r="BQ96" s="15">
        <f t="shared" si="490"/>
        <v>2.7907844923902303E-9</v>
      </c>
      <c r="BR96" s="14">
        <f t="shared" si="490"/>
        <v>4.3508101953193545E-4</v>
      </c>
      <c r="BS96" s="14">
        <f t="shared" si="490"/>
        <v>1.7738784663379192E-6</v>
      </c>
      <c r="BT96" s="14">
        <f t="shared" si="490"/>
        <v>4.7556368372170255E-5</v>
      </c>
      <c r="BU96" s="14">
        <f t="shared" si="490"/>
        <v>1.3773387763649225E-7</v>
      </c>
      <c r="BV96" s="11">
        <f t="shared" si="490"/>
        <v>7868.5908203125</v>
      </c>
      <c r="BW96" s="11">
        <f t="shared" si="490"/>
        <v>13.50341796875</v>
      </c>
      <c r="BX96" s="11">
        <f t="shared" si="490"/>
        <v>1575.0045166015625</v>
      </c>
      <c r="BY96" s="11">
        <f t="shared" si="490"/>
        <v>0.6201171875</v>
      </c>
      <c r="BZ96" s="7">
        <f t="shared" si="490"/>
        <v>70</v>
      </c>
      <c r="CA96" s="7">
        <f t="shared" si="490"/>
        <v>74.650001525878906</v>
      </c>
      <c r="CB96" s="7">
        <f t="shared" ref="CB96:CP96" si="491">IFERROR(VALUE(CB401),"-")</f>
        <v>29.350000381469727</v>
      </c>
      <c r="CC96" s="7">
        <f t="shared" si="491"/>
        <v>31.75</v>
      </c>
      <c r="CD96" s="7">
        <f t="shared" si="491"/>
        <v>31.850000381469727</v>
      </c>
      <c r="CE96" s="3">
        <f t="shared" si="491"/>
        <v>125</v>
      </c>
      <c r="CF96" s="7">
        <f t="shared" si="491"/>
        <v>31.75</v>
      </c>
      <c r="CG96" s="3">
        <f t="shared" si="491"/>
        <v>1050</v>
      </c>
      <c r="CH96" s="7">
        <f t="shared" si="491"/>
        <v>45.930000305175781</v>
      </c>
      <c r="CI96" s="7">
        <f t="shared" si="491"/>
        <v>535</v>
      </c>
      <c r="CJ96" s="3">
        <f t="shared" si="491"/>
        <v>25</v>
      </c>
      <c r="CK96" s="7">
        <f t="shared" si="491"/>
        <v>533.79998779296875</v>
      </c>
      <c r="CL96" s="3">
        <f t="shared" si="491"/>
        <v>25</v>
      </c>
      <c r="CM96" s="7">
        <f t="shared" si="491"/>
        <v>539.90997314453125</v>
      </c>
      <c r="CN96" s="10">
        <f t="shared" si="491"/>
        <v>44783.638194444444</v>
      </c>
      <c r="CO96" s="10">
        <f t="shared" si="491"/>
        <v>44783.638194444444</v>
      </c>
      <c r="CP96" s="7">
        <f t="shared" si="491"/>
        <v>38295.69921875</v>
      </c>
      <c r="CQ96" s="7" t="str">
        <f t="shared" ref="CQ96" si="492">IFERROR(CQ401,"-")</f>
        <v>FairPrice</v>
      </c>
      <c r="CR96" s="10">
        <f t="shared" si="487"/>
        <v>44783.638194444444</v>
      </c>
      <c r="CS96" s="7">
        <f t="shared" si="487"/>
        <v>1.0451674461364746E-2</v>
      </c>
      <c r="CT96" s="7">
        <f t="shared" si="487"/>
        <v>4.7581601021152444E-4</v>
      </c>
      <c r="CU96" s="7">
        <f t="shared" si="487"/>
        <v>70200</v>
      </c>
      <c r="CV96" s="7">
        <f t="shared" si="487"/>
        <v>0.11502849002849003</v>
      </c>
      <c r="CW96" s="7">
        <f t="shared" si="487"/>
        <v>533.8499755859375</v>
      </c>
      <c r="CX96" s="7">
        <f t="shared" si="487"/>
        <v>0</v>
      </c>
      <c r="CY96" s="7">
        <f t="shared" si="487"/>
        <v>31.75</v>
      </c>
      <c r="CZ96" s="7">
        <f t="shared" si="487"/>
        <v>-1.572303089940847E-3</v>
      </c>
      <c r="DA96" s="7">
        <f t="shared" si="487"/>
        <v>1047275</v>
      </c>
      <c r="DB96" s="7">
        <f t="shared" si="487"/>
        <v>0.77997660595354612</v>
      </c>
      <c r="DC96" s="7">
        <f t="shared" si="487"/>
        <v>-2.7623772621154785E-2</v>
      </c>
      <c r="DD96" s="7">
        <f t="shared" si="487"/>
        <v>-1.2275284749127427E-3</v>
      </c>
      <c r="DE96" s="7">
        <f t="shared" si="487"/>
        <v>31.75</v>
      </c>
      <c r="DF96" s="7">
        <f t="shared" si="487"/>
        <v>533.8499755859375</v>
      </c>
      <c r="DG96" s="7">
        <f t="shared" si="487"/>
        <v>38295.69921875</v>
      </c>
      <c r="DH96" s="7" t="str">
        <f t="shared" ref="DH96:DJ96" si="493">IFERROR(DH401,"-")</f>
        <v>R</v>
      </c>
      <c r="DI96" s="7" t="str">
        <f t="shared" si="493"/>
        <v>W</v>
      </c>
      <c r="DJ96" s="7" t="str">
        <f t="shared" si="493"/>
        <v>G</v>
      </c>
      <c r="DK96" s="64">
        <f t="shared" ref="DK96:DS96" si="494">IFERROR(VALUE(DK401),"-")</f>
        <v>38300</v>
      </c>
      <c r="DL96" s="64">
        <f t="shared" si="494"/>
        <v>3400000</v>
      </c>
      <c r="DM96" s="64">
        <f t="shared" si="494"/>
        <v>38500</v>
      </c>
      <c r="DN96" s="64">
        <f t="shared" si="494"/>
        <v>0</v>
      </c>
      <c r="DO96" s="64">
        <f t="shared" si="494"/>
        <v>24500</v>
      </c>
      <c r="DP96" s="64">
        <f t="shared" si="494"/>
        <v>2863350</v>
      </c>
      <c r="DQ96" s="64">
        <f t="shared" si="494"/>
        <v>38000</v>
      </c>
      <c r="DR96" s="64">
        <f t="shared" si="494"/>
        <v>0</v>
      </c>
      <c r="DS96" s="64">
        <f t="shared" si="494"/>
        <v>24500</v>
      </c>
      <c r="DT96" t="str">
        <f t="shared" si="338"/>
        <v>BANKNIFTY</v>
      </c>
      <c r="DU96" s="10">
        <f t="shared" si="339"/>
        <v>44784</v>
      </c>
    </row>
    <row r="97" spans="1:125" x14ac:dyDescent="0.25">
      <c r="A97" t="s">
        <v>35</v>
      </c>
      <c r="B97" s="2">
        <v>44833</v>
      </c>
      <c r="C97" s="1">
        <v>3800</v>
      </c>
      <c r="D97">
        <v>80</v>
      </c>
      <c r="G97" t="str">
        <f t="array" ref="G97">IFERROR(INDEX($A$2:$A$700,MATCH(0,COUNTIF($G$1:G96,$A$2:$A$700),0)),"")</f>
        <v>IDFCFIRSTB</v>
      </c>
      <c r="M97" s="3"/>
      <c r="N97" s="3"/>
      <c r="O97" s="3">
        <f t="shared" si="340"/>
        <v>38900</v>
      </c>
      <c r="P97" s="7">
        <f t="shared" ref="P97:CA97" si="495">IFERROR(VALUE(P402),"-")</f>
        <v>623</v>
      </c>
      <c r="Q97" s="7">
        <f t="shared" si="495"/>
        <v>548.0999755859375</v>
      </c>
      <c r="R97" s="7">
        <f t="shared" si="495"/>
        <v>771.29998779296875</v>
      </c>
      <c r="S97" s="7">
        <f t="shared" si="495"/>
        <v>638.29998779296875</v>
      </c>
      <c r="T97" s="11">
        <f t="shared" si="495"/>
        <v>-5.9111328125</v>
      </c>
      <c r="U97" s="11">
        <f t="shared" si="495"/>
        <v>2712.880859375</v>
      </c>
      <c r="V97" s="11">
        <f t="shared" si="495"/>
        <v>-55.3173828125</v>
      </c>
      <c r="W97" s="11">
        <f t="shared" si="495"/>
        <v>16366.8974609375</v>
      </c>
      <c r="X97" s="14">
        <f t="shared" si="495"/>
        <v>-3.5576522350311279E-7</v>
      </c>
      <c r="Y97" s="14">
        <f t="shared" si="495"/>
        <v>1.434393780073151E-4</v>
      </c>
      <c r="Z97" s="14">
        <f t="shared" si="495"/>
        <v>-4.2660394683480263E-6</v>
      </c>
      <c r="AA97" s="14">
        <f t="shared" si="495"/>
        <v>1.3440464390441775E-3</v>
      </c>
      <c r="AB97" s="15">
        <f t="shared" si="495"/>
        <v>-7.6067863119533285E-10</v>
      </c>
      <c r="AC97" s="15">
        <f t="shared" si="495"/>
        <v>1.08633867057506E-6</v>
      </c>
      <c r="AD97" s="13">
        <f t="shared" si="495"/>
        <v>1.2503266334533691E-3</v>
      </c>
      <c r="AE97" s="13">
        <f t="shared" si="495"/>
        <v>-0.64194905757904053</v>
      </c>
      <c r="AF97" s="12">
        <f t="shared" si="495"/>
        <v>-1.5887260437011719E-2</v>
      </c>
      <c r="AG97" s="12">
        <f t="shared" si="495"/>
        <v>6.0151491165161133</v>
      </c>
      <c r="AH97" s="13">
        <f t="shared" si="495"/>
        <v>2.3949542082846165E-7</v>
      </c>
      <c r="AI97" s="13">
        <f t="shared" si="495"/>
        <v>3.6508182529360056E-4</v>
      </c>
      <c r="AJ97" s="11">
        <f t="shared" si="495"/>
        <v>4.1811466217041016E-3</v>
      </c>
      <c r="AK97" s="11">
        <f t="shared" si="495"/>
        <v>3.3093338012695313</v>
      </c>
      <c r="AL97" s="11">
        <f t="shared" si="495"/>
        <v>-6.90155029296875E-2</v>
      </c>
      <c r="AM97" s="11">
        <f t="shared" si="495"/>
        <v>-35.317886352539063</v>
      </c>
      <c r="AN97" s="11">
        <f t="shared" si="495"/>
        <v>1.5610456466674805E-4</v>
      </c>
      <c r="AO97" s="11">
        <f t="shared" si="495"/>
        <v>-0.90967530012130737</v>
      </c>
      <c r="AP97" s="11">
        <f t="shared" si="495"/>
        <v>21.943949162960052</v>
      </c>
      <c r="AQ97" s="11">
        <f t="shared" si="495"/>
        <v>712275</v>
      </c>
      <c r="AR97" s="16">
        <f t="shared" si="495"/>
        <v>-2825</v>
      </c>
      <c r="AS97" s="16">
        <f t="shared" si="495"/>
        <v>19950</v>
      </c>
      <c r="AT97" s="16">
        <f t="shared" si="495"/>
        <v>21.943949162960052</v>
      </c>
      <c r="AU97" s="7">
        <f t="shared" si="495"/>
        <v>0</v>
      </c>
      <c r="AV97" s="7">
        <f t="shared" si="495"/>
        <v>623</v>
      </c>
      <c r="AW97" s="7">
        <f t="shared" si="495"/>
        <v>19.649999618530273</v>
      </c>
      <c r="AX97" s="7">
        <f t="shared" si="495"/>
        <v>4.9999237060546875E-2</v>
      </c>
      <c r="AY97" s="11">
        <f t="shared" si="495"/>
        <v>22.254461050033569</v>
      </c>
      <c r="AZ97" s="16">
        <f t="shared" si="495"/>
        <v>1251875</v>
      </c>
      <c r="BA97" s="16">
        <f t="shared" si="495"/>
        <v>706850</v>
      </c>
      <c r="BB97" s="16">
        <f t="shared" si="495"/>
        <v>32689350</v>
      </c>
      <c r="BC97" s="11">
        <f t="shared" si="495"/>
        <v>9.3468576669692993E-2</v>
      </c>
      <c r="BD97" s="11">
        <f t="shared" si="495"/>
        <v>1.5198439359664917E-4</v>
      </c>
      <c r="BE97" s="11">
        <f t="shared" si="495"/>
        <v>-19.649999618530273</v>
      </c>
      <c r="BF97" s="11">
        <f t="shared" si="495"/>
        <v>-4.9999237060546875E-2</v>
      </c>
      <c r="BG97" s="11">
        <f t="shared" si="495"/>
        <v>3.3942742347717285</v>
      </c>
      <c r="BH97" s="11">
        <f t="shared" si="495"/>
        <v>4.0090084075927734E-3</v>
      </c>
      <c r="BI97" s="13">
        <f t="shared" si="495"/>
        <v>3.6922580329701304E-4</v>
      </c>
      <c r="BJ97" s="13">
        <f t="shared" si="495"/>
        <v>2.2153835743665695E-7</v>
      </c>
      <c r="BK97" s="11">
        <f t="shared" si="495"/>
        <v>22.254461050033569</v>
      </c>
      <c r="BL97" s="12">
        <f t="shared" si="495"/>
        <v>5.7018775939941406</v>
      </c>
      <c r="BM97" s="12">
        <f t="shared" si="495"/>
        <v>-1.4287948608398438E-2</v>
      </c>
      <c r="BN97" s="13">
        <f t="shared" si="495"/>
        <v>-0.61712664365768433</v>
      </c>
      <c r="BO97" s="13">
        <f t="shared" si="495"/>
        <v>1.1348128318786621E-3</v>
      </c>
      <c r="BP97" s="15">
        <f t="shared" si="495"/>
        <v>1.0676403690013103E-6</v>
      </c>
      <c r="BQ97" s="15">
        <f t="shared" si="495"/>
        <v>-7.5101524998899549E-10</v>
      </c>
      <c r="BR97" s="14">
        <f t="shared" si="495"/>
        <v>1.2562435586005449E-3</v>
      </c>
      <c r="BS97" s="14">
        <f t="shared" si="495"/>
        <v>-4.0190061554312706E-6</v>
      </c>
      <c r="BT97" s="14">
        <f t="shared" si="495"/>
        <v>1.3596598000731319E-4</v>
      </c>
      <c r="BU97" s="14">
        <f t="shared" si="495"/>
        <v>-3.4424010664224625E-7</v>
      </c>
      <c r="BV97" s="11">
        <f t="shared" si="495"/>
        <v>15293.6123046875</v>
      </c>
      <c r="BW97" s="11">
        <f t="shared" si="495"/>
        <v>-49.21484375</v>
      </c>
      <c r="BX97" s="11">
        <f t="shared" si="495"/>
        <v>2597.259765625</v>
      </c>
      <c r="BY97" s="11">
        <f t="shared" si="495"/>
        <v>-5.33349609375</v>
      </c>
      <c r="BZ97" s="7">
        <f t="shared" si="495"/>
        <v>35.049999237060547</v>
      </c>
      <c r="CA97" s="7">
        <f t="shared" si="495"/>
        <v>53.099998474121094</v>
      </c>
      <c r="CB97" s="7">
        <f t="shared" ref="CB97:CP97" si="496">IFERROR(VALUE(CB402),"-")</f>
        <v>19.149999618530273</v>
      </c>
      <c r="CC97" s="7">
        <f t="shared" si="496"/>
        <v>19.649999618530273</v>
      </c>
      <c r="CD97" s="7">
        <f t="shared" si="496"/>
        <v>19.649999618530273</v>
      </c>
      <c r="CE97" s="3">
        <f t="shared" si="496"/>
        <v>1225</v>
      </c>
      <c r="CF97" s="7">
        <f t="shared" si="496"/>
        <v>19.549999237060547</v>
      </c>
      <c r="CG97" s="3">
        <f t="shared" si="496"/>
        <v>275</v>
      </c>
      <c r="CH97" s="7">
        <f t="shared" si="496"/>
        <v>31.739999771118164</v>
      </c>
      <c r="CI97" s="7">
        <f t="shared" si="496"/>
        <v>623.45001220703125</v>
      </c>
      <c r="CJ97" s="3">
        <f t="shared" si="496"/>
        <v>25</v>
      </c>
      <c r="CK97" s="7">
        <f t="shared" si="496"/>
        <v>621.9000244140625</v>
      </c>
      <c r="CL97" s="3">
        <f t="shared" si="496"/>
        <v>25</v>
      </c>
      <c r="CM97" s="7">
        <f t="shared" si="496"/>
        <v>624.77001953125</v>
      </c>
      <c r="CN97" s="10">
        <f t="shared" si="496"/>
        <v>44783.638194444444</v>
      </c>
      <c r="CO97" s="10">
        <f t="shared" si="496"/>
        <v>44783.638194444444</v>
      </c>
      <c r="CP97" s="7">
        <f t="shared" si="496"/>
        <v>38295.69921875</v>
      </c>
      <c r="CQ97" s="7" t="str">
        <f t="shared" ref="CQ97" si="497">IFERROR(CQ402,"-")</f>
        <v>FairPrice</v>
      </c>
      <c r="CR97" s="10">
        <f t="shared" si="487"/>
        <v>44783.638194444444</v>
      </c>
      <c r="CS97" s="7">
        <f t="shared" si="487"/>
        <v>1.4227628707885742E-2</v>
      </c>
      <c r="CT97" s="7">
        <f t="shared" si="487"/>
        <v>6.4878291708645374E-4</v>
      </c>
      <c r="CU97" s="7">
        <f t="shared" si="487"/>
        <v>22775</v>
      </c>
      <c r="CV97" s="7">
        <f t="shared" si="487"/>
        <v>-0.12403951701427003</v>
      </c>
      <c r="CW97" s="7">
        <f t="shared" si="487"/>
        <v>623</v>
      </c>
      <c r="CX97" s="7">
        <f t="shared" si="487"/>
        <v>0</v>
      </c>
      <c r="CY97" s="7">
        <f t="shared" si="487"/>
        <v>19.649999618530273</v>
      </c>
      <c r="CZ97" s="7">
        <f t="shared" si="487"/>
        <v>2.5509814330318716E-3</v>
      </c>
      <c r="DA97" s="7">
        <f t="shared" si="487"/>
        <v>545025</v>
      </c>
      <c r="DB97" s="7">
        <f t="shared" si="487"/>
        <v>1.2969129856428605</v>
      </c>
      <c r="DC97" s="7">
        <f t="shared" si="487"/>
        <v>1.3844668865203857E-2</v>
      </c>
      <c r="DD97" s="7">
        <f t="shared" si="487"/>
        <v>6.2249483683044198E-4</v>
      </c>
      <c r="DE97" s="7">
        <f t="shared" si="487"/>
        <v>19.649999618530273</v>
      </c>
      <c r="DF97" s="7">
        <f t="shared" si="487"/>
        <v>623</v>
      </c>
      <c r="DG97" s="7">
        <f t="shared" si="487"/>
        <v>38295.69921875</v>
      </c>
      <c r="DH97" s="7" t="str">
        <f t="shared" ref="DH97:DJ97" si="498">IFERROR(DH402,"-")</f>
        <v>G</v>
      </c>
      <c r="DI97" s="7" t="str">
        <f t="shared" si="498"/>
        <v>W</v>
      </c>
      <c r="DJ97" s="7" t="str">
        <f t="shared" si="498"/>
        <v>G</v>
      </c>
      <c r="DK97" s="64">
        <f t="shared" ref="DK97:DS97" si="499">IFERROR(VALUE(DK402),"-")</f>
        <v>38300</v>
      </c>
      <c r="DL97" s="64">
        <f t="shared" si="499"/>
        <v>3400000</v>
      </c>
      <c r="DM97" s="64">
        <f t="shared" si="499"/>
        <v>38500</v>
      </c>
      <c r="DN97" s="64">
        <f t="shared" si="499"/>
        <v>0</v>
      </c>
      <c r="DO97" s="64">
        <f t="shared" si="499"/>
        <v>24500</v>
      </c>
      <c r="DP97" s="64">
        <f t="shared" si="499"/>
        <v>2863350</v>
      </c>
      <c r="DQ97" s="64">
        <f t="shared" si="499"/>
        <v>38000</v>
      </c>
      <c r="DR97" s="64">
        <f t="shared" si="499"/>
        <v>0</v>
      </c>
      <c r="DS97" s="64">
        <f t="shared" si="499"/>
        <v>24500</v>
      </c>
      <c r="DT97" t="str">
        <f t="shared" si="338"/>
        <v>BANKNIFTY</v>
      </c>
      <c r="DU97" s="10">
        <f t="shared" si="339"/>
        <v>44784</v>
      </c>
    </row>
    <row r="98" spans="1:125" x14ac:dyDescent="0.25">
      <c r="A98" t="s">
        <v>35</v>
      </c>
      <c r="B98" s="2">
        <v>44861</v>
      </c>
      <c r="C98" s="1">
        <v>3800</v>
      </c>
      <c r="D98">
        <v>80</v>
      </c>
      <c r="G98" t="str">
        <f t="array" ref="G98">IFERROR(INDEX($A$2:$A$700,MATCH(0,COUNTIF($G$1:G97,$A$2:$A$700),0)),"")</f>
        <v>IEX</v>
      </c>
      <c r="M98" s="3"/>
      <c r="N98" s="3"/>
      <c r="O98" s="3">
        <f t="shared" si="340"/>
        <v>39000</v>
      </c>
      <c r="P98" s="7">
        <f t="shared" ref="P98:CA98" si="500">IFERROR(VALUE(P403),"-")</f>
        <v>715</v>
      </c>
      <c r="Q98" s="7">
        <f t="shared" si="500"/>
        <v>631.1500244140625</v>
      </c>
      <c r="R98" s="7">
        <f t="shared" si="500"/>
        <v>860</v>
      </c>
      <c r="S98" s="7">
        <f t="shared" si="500"/>
        <v>729.79998779296875</v>
      </c>
      <c r="T98" s="11">
        <f t="shared" si="500"/>
        <v>-19.07373046875</v>
      </c>
      <c r="U98" s="11">
        <f t="shared" si="500"/>
        <v>4819.01708984375</v>
      </c>
      <c r="V98" s="11">
        <f t="shared" si="500"/>
        <v>-181.197265625</v>
      </c>
      <c r="W98" s="11">
        <f t="shared" si="500"/>
        <v>32713.224609375</v>
      </c>
      <c r="X98" s="14">
        <f t="shared" si="500"/>
        <v>-3.2693787943571806E-7</v>
      </c>
      <c r="Y98" s="14">
        <f t="shared" si="500"/>
        <v>1.9146558770444244E-4</v>
      </c>
      <c r="Z98" s="14">
        <f t="shared" si="500"/>
        <v>-4.9247173592448235E-6</v>
      </c>
      <c r="AA98" s="14">
        <f t="shared" si="500"/>
        <v>1.8171458505094051E-3</v>
      </c>
      <c r="AB98" s="15">
        <f t="shared" si="500"/>
        <v>-3.432774065004196E-10</v>
      </c>
      <c r="AC98" s="15">
        <f t="shared" si="500"/>
        <v>9.2699440301657887E-7</v>
      </c>
      <c r="AD98" s="13">
        <f t="shared" si="500"/>
        <v>3.7533044815063477E-3</v>
      </c>
      <c r="AE98" s="13">
        <f t="shared" si="500"/>
        <v>-1.0739144086837769</v>
      </c>
      <c r="AF98" s="12">
        <f t="shared" si="500"/>
        <v>-4.5857429504394531E-2</v>
      </c>
      <c r="AG98" s="12">
        <f t="shared" si="500"/>
        <v>10.192218780517578</v>
      </c>
      <c r="AH98" s="13">
        <f t="shared" si="500"/>
        <v>4.1496241465210915E-7</v>
      </c>
      <c r="AI98" s="13">
        <f t="shared" si="500"/>
        <v>2.6037279167212546E-4</v>
      </c>
      <c r="AJ98" s="11">
        <f t="shared" si="500"/>
        <v>5.8453083038330078E-3</v>
      </c>
      <c r="AK98" s="11">
        <f t="shared" si="500"/>
        <v>2.3302099704742432</v>
      </c>
      <c r="AL98" s="11">
        <f t="shared" si="500"/>
        <v>-8.6076736450195313E-2</v>
      </c>
      <c r="AM98" s="11">
        <f t="shared" si="500"/>
        <v>-24.552515029907227</v>
      </c>
      <c r="AN98" s="11">
        <f t="shared" si="500"/>
        <v>1.8352270126342773E-4</v>
      </c>
      <c r="AO98" s="11">
        <f t="shared" si="500"/>
        <v>-0.94285428524017334</v>
      </c>
      <c r="AP98" s="11">
        <f t="shared" si="500"/>
        <v>21.665145456790924</v>
      </c>
      <c r="AQ98" s="11">
        <f t="shared" si="500"/>
        <v>2121575</v>
      </c>
      <c r="AR98" s="16">
        <f t="shared" si="500"/>
        <v>7800</v>
      </c>
      <c r="AS98" s="16">
        <f t="shared" si="500"/>
        <v>71175</v>
      </c>
      <c r="AT98" s="16">
        <f t="shared" si="500"/>
        <v>21.665145456790924</v>
      </c>
      <c r="AU98" s="7">
        <f t="shared" si="500"/>
        <v>0</v>
      </c>
      <c r="AV98" s="7">
        <f t="shared" si="500"/>
        <v>715</v>
      </c>
      <c r="AW98" s="7">
        <f t="shared" si="500"/>
        <v>12.649999618530273</v>
      </c>
      <c r="AX98" s="7">
        <f t="shared" si="500"/>
        <v>-5.0000190734863281E-2</v>
      </c>
      <c r="AY98" s="11">
        <f t="shared" si="500"/>
        <v>22.465904057025909</v>
      </c>
      <c r="AZ98" s="16">
        <f t="shared" si="500"/>
        <v>3372650</v>
      </c>
      <c r="BA98" s="16">
        <f t="shared" si="500"/>
        <v>1298575</v>
      </c>
      <c r="BB98" s="16">
        <f t="shared" si="500"/>
        <v>59659000</v>
      </c>
      <c r="BC98" s="11">
        <f t="shared" si="500"/>
        <v>6.3933677971363068E-2</v>
      </c>
      <c r="BD98" s="11">
        <f t="shared" si="500"/>
        <v>-1.3522058725357056E-4</v>
      </c>
      <c r="BE98" s="11">
        <f t="shared" si="500"/>
        <v>-12.649999618530273</v>
      </c>
      <c r="BF98" s="11">
        <f t="shared" si="500"/>
        <v>5.0000190734863281E-2</v>
      </c>
      <c r="BG98" s="11">
        <f t="shared" si="500"/>
        <v>2.5441668033599854</v>
      </c>
      <c r="BH98" s="11">
        <f t="shared" si="500"/>
        <v>-4.2014122009277344E-3</v>
      </c>
      <c r="BI98" s="13">
        <f t="shared" si="500"/>
        <v>2.741360804066062E-4</v>
      </c>
      <c r="BJ98" s="13">
        <f t="shared" si="500"/>
        <v>-4.6304194256663322E-8</v>
      </c>
      <c r="BK98" s="11">
        <f t="shared" si="500"/>
        <v>22.465904057025909</v>
      </c>
      <c r="BL98" s="12">
        <f t="shared" si="500"/>
        <v>8.6844491958618164</v>
      </c>
      <c r="BM98" s="12">
        <f t="shared" si="500"/>
        <v>3.2952308654785156E-2</v>
      </c>
      <c r="BN98" s="13">
        <f t="shared" si="500"/>
        <v>-0.9488263726234436</v>
      </c>
      <c r="BO98" s="13">
        <f t="shared" si="500"/>
        <v>-2.2537708282470703E-3</v>
      </c>
      <c r="BP98" s="15">
        <f t="shared" si="500"/>
        <v>9.0693515630846377E-7</v>
      </c>
      <c r="BQ98" s="15">
        <f t="shared" si="500"/>
        <v>1.8406467461318243E-9</v>
      </c>
      <c r="BR98" s="14">
        <f t="shared" si="500"/>
        <v>1.6306701581925154E-3</v>
      </c>
      <c r="BS98" s="14">
        <f t="shared" si="500"/>
        <v>6.1016762629151344E-6</v>
      </c>
      <c r="BT98" s="14">
        <f t="shared" si="500"/>
        <v>1.7816016043070704E-4</v>
      </c>
      <c r="BU98" s="14">
        <f t="shared" si="500"/>
        <v>4.1381281334906816E-7</v>
      </c>
      <c r="BV98" s="11">
        <f t="shared" si="500"/>
        <v>26874.853515625</v>
      </c>
      <c r="BW98" s="11">
        <f t="shared" si="500"/>
        <v>120.759765625</v>
      </c>
      <c r="BX98" s="11">
        <f t="shared" si="500"/>
        <v>4192.98828125</v>
      </c>
      <c r="BY98" s="11">
        <f t="shared" si="500"/>
        <v>11.13818359375</v>
      </c>
      <c r="BZ98" s="7">
        <f t="shared" si="500"/>
        <v>33</v>
      </c>
      <c r="CA98" s="7">
        <f t="shared" si="500"/>
        <v>37</v>
      </c>
      <c r="CB98" s="7">
        <f t="shared" ref="CB98:CP98" si="501">IFERROR(VALUE(CB403),"-")</f>
        <v>12.199999809265137</v>
      </c>
      <c r="CC98" s="7">
        <f t="shared" si="501"/>
        <v>12.649999618530273</v>
      </c>
      <c r="CD98" s="7">
        <f t="shared" si="501"/>
        <v>12.699999809265137</v>
      </c>
      <c r="CE98" s="3">
        <f t="shared" si="501"/>
        <v>450</v>
      </c>
      <c r="CF98" s="7">
        <f t="shared" si="501"/>
        <v>12.649999618530273</v>
      </c>
      <c r="CG98" s="3">
        <f t="shared" si="501"/>
        <v>600</v>
      </c>
      <c r="CH98" s="7">
        <f t="shared" si="501"/>
        <v>21.920000076293945</v>
      </c>
      <c r="CI98" s="7">
        <f t="shared" si="501"/>
        <v>717.0999755859375</v>
      </c>
      <c r="CJ98" s="3">
        <f t="shared" si="501"/>
        <v>25</v>
      </c>
      <c r="CK98" s="7">
        <f t="shared" si="501"/>
        <v>715.20001220703125</v>
      </c>
      <c r="CL98" s="3">
        <f t="shared" si="501"/>
        <v>25</v>
      </c>
      <c r="CM98" s="7">
        <f t="shared" si="501"/>
        <v>718.65997314453125</v>
      </c>
      <c r="CN98" s="10">
        <f t="shared" si="501"/>
        <v>44783.638194444444</v>
      </c>
      <c r="CO98" s="10">
        <f t="shared" si="501"/>
        <v>44783.638194444444</v>
      </c>
      <c r="CP98" s="7">
        <f t="shared" si="501"/>
        <v>38295.69921875</v>
      </c>
      <c r="CQ98" s="7" t="str">
        <f t="shared" ref="CQ98" si="502">IFERROR(CQ403,"-")</f>
        <v>FairPrice</v>
      </c>
      <c r="CR98" s="10">
        <f t="shared" si="487"/>
        <v>44783.638194444444</v>
      </c>
      <c r="CS98" s="7">
        <f t="shared" si="487"/>
        <v>2.072751522064209E-2</v>
      </c>
      <c r="CT98" s="7">
        <f t="shared" si="487"/>
        <v>9.576379127679295E-4</v>
      </c>
      <c r="CU98" s="7">
        <f t="shared" si="487"/>
        <v>63375</v>
      </c>
      <c r="CV98" s="7">
        <f t="shared" si="487"/>
        <v>0.12307692307692308</v>
      </c>
      <c r="CW98" s="7">
        <f t="shared" si="487"/>
        <v>715</v>
      </c>
      <c r="CX98" s="7">
        <f t="shared" si="487"/>
        <v>0</v>
      </c>
      <c r="CY98" s="7">
        <f t="shared" si="487"/>
        <v>12.649999618530273</v>
      </c>
      <c r="CZ98" s="7">
        <f t="shared" si="487"/>
        <v>-3.9370229516370722E-3</v>
      </c>
      <c r="DA98" s="7">
        <f t="shared" si="487"/>
        <v>2074075</v>
      </c>
      <c r="DB98" s="7">
        <f t="shared" si="487"/>
        <v>0.62609838120607986</v>
      </c>
      <c r="DC98" s="7">
        <f t="shared" si="487"/>
        <v>-3.2974779605865479E-2</v>
      </c>
      <c r="DD98" s="7">
        <f t="shared" si="487"/>
        <v>-1.4656187912873801E-3</v>
      </c>
      <c r="DE98" s="7">
        <f t="shared" si="487"/>
        <v>12.649999618530273</v>
      </c>
      <c r="DF98" s="7">
        <f t="shared" si="487"/>
        <v>715</v>
      </c>
      <c r="DG98" s="7">
        <f t="shared" si="487"/>
        <v>38295.69921875</v>
      </c>
      <c r="DH98" s="7" t="str">
        <f t="shared" ref="DH98:DJ98" si="503">IFERROR(DH403,"-")</f>
        <v>R</v>
      </c>
      <c r="DI98" s="7" t="str">
        <f t="shared" si="503"/>
        <v>W</v>
      </c>
      <c r="DJ98" s="7" t="str">
        <f t="shared" si="503"/>
        <v>G</v>
      </c>
      <c r="DK98" s="64">
        <f t="shared" ref="DK98:DS98" si="504">IFERROR(VALUE(DK403),"-")</f>
        <v>38300</v>
      </c>
      <c r="DL98" s="64">
        <f t="shared" si="504"/>
        <v>3400000</v>
      </c>
      <c r="DM98" s="64">
        <f t="shared" si="504"/>
        <v>38500</v>
      </c>
      <c r="DN98" s="64">
        <f t="shared" si="504"/>
        <v>0</v>
      </c>
      <c r="DO98" s="64">
        <f t="shared" si="504"/>
        <v>24500</v>
      </c>
      <c r="DP98" s="64">
        <f t="shared" si="504"/>
        <v>2863350</v>
      </c>
      <c r="DQ98" s="64">
        <f t="shared" si="504"/>
        <v>38000</v>
      </c>
      <c r="DR98" s="64">
        <f t="shared" si="504"/>
        <v>0</v>
      </c>
      <c r="DS98" s="64">
        <f t="shared" si="504"/>
        <v>24500</v>
      </c>
      <c r="DT98" t="str">
        <f t="shared" si="338"/>
        <v>BANKNIFTY</v>
      </c>
      <c r="DU98" s="10">
        <f t="shared" si="339"/>
        <v>44784</v>
      </c>
    </row>
    <row r="99" spans="1:125" x14ac:dyDescent="0.25">
      <c r="A99" t="s">
        <v>36</v>
      </c>
      <c r="B99" s="2">
        <v>44798</v>
      </c>
      <c r="C99" s="1">
        <v>1100</v>
      </c>
      <c r="D99">
        <v>64</v>
      </c>
      <c r="G99" t="str">
        <f t="array" ref="G99">IFERROR(INDEX($A$2:$A$700,MATCH(0,COUNTIF($G$1:G98,$A$2:$A$700),0)),"")</f>
        <v>IGL</v>
      </c>
      <c r="M99" s="3"/>
      <c r="N99" s="3"/>
      <c r="O99" s="3">
        <f t="shared" si="340"/>
        <v>39100</v>
      </c>
      <c r="P99" s="7">
        <f t="shared" ref="P99:CA99" si="505">IFERROR(VALUE(P404),"-")</f>
        <v>804.5</v>
      </c>
      <c r="Q99" s="7">
        <f t="shared" si="505"/>
        <v>723.25</v>
      </c>
      <c r="R99" s="7">
        <f t="shared" si="505"/>
        <v>955</v>
      </c>
      <c r="S99" s="7">
        <f t="shared" si="505"/>
        <v>816.79998779296875</v>
      </c>
      <c r="T99" s="11">
        <f t="shared" si="505"/>
        <v>-326092.3125</v>
      </c>
      <c r="U99" s="11">
        <f t="shared" si="505"/>
        <v>359350.3125</v>
      </c>
      <c r="V99" s="11">
        <f t="shared" si="505"/>
        <v>-5313678</v>
      </c>
      <c r="W99" s="11">
        <f t="shared" si="505"/>
        <v>5106233</v>
      </c>
      <c r="X99" s="14">
        <f t="shared" si="505"/>
        <v>1.9597093341872096E-5</v>
      </c>
      <c r="Y99" s="14">
        <f t="shared" si="505"/>
        <v>6.4870902861002833E-5</v>
      </c>
      <c r="Z99" s="14">
        <f t="shared" si="505"/>
        <v>2.6756251463666558E-4</v>
      </c>
      <c r="AA99" s="14">
        <f t="shared" si="505"/>
        <v>1.0237845126539469E-3</v>
      </c>
      <c r="AB99" s="15">
        <f t="shared" si="505"/>
        <v>5.8399137969900039E-8</v>
      </c>
      <c r="AC99" s="15">
        <f t="shared" si="505"/>
        <v>1.8775249088776036E-7</v>
      </c>
      <c r="AD99" s="13">
        <f t="shared" si="505"/>
        <v>43.548038482666016</v>
      </c>
      <c r="AE99" s="13">
        <f t="shared" si="505"/>
        <v>-53.014347076416016</v>
      </c>
      <c r="AF99" s="12">
        <f t="shared" si="505"/>
        <v>-776.24456787109375</v>
      </c>
      <c r="AG99" s="12">
        <f t="shared" si="505"/>
        <v>836.66595458984375</v>
      </c>
      <c r="AH99" s="13">
        <f t="shared" si="505"/>
        <v>6.3914794736774638E-6</v>
      </c>
      <c r="AI99" s="13">
        <f t="shared" si="505"/>
        <v>1.6594949556747451E-5</v>
      </c>
      <c r="AJ99" s="11">
        <f t="shared" si="505"/>
        <v>3.7423409521579742E-2</v>
      </c>
      <c r="AK99" s="11">
        <f t="shared" si="505"/>
        <v>8.9312762022018433E-2</v>
      </c>
      <c r="AL99" s="11">
        <f t="shared" si="505"/>
        <v>-0.2552664577960968</v>
      </c>
      <c r="AM99" s="11">
        <f t="shared" si="505"/>
        <v>-0.56591975688934326</v>
      </c>
      <c r="AN99" s="11">
        <f t="shared" si="505"/>
        <v>5.9729814529418945E-4</v>
      </c>
      <c r="AO99" s="11">
        <f t="shared" si="505"/>
        <v>-0.99866259098052979</v>
      </c>
      <c r="AP99" s="11">
        <f t="shared" si="505"/>
        <v>13.028727471828461</v>
      </c>
      <c r="AQ99" s="11">
        <f t="shared" si="505"/>
        <v>180850</v>
      </c>
      <c r="AR99" s="16">
        <f t="shared" si="505"/>
        <v>6250</v>
      </c>
      <c r="AS99" s="16">
        <f t="shared" si="505"/>
        <v>10300</v>
      </c>
      <c r="AT99" s="16">
        <f t="shared" si="505"/>
        <v>13.028727471828461</v>
      </c>
      <c r="AU99" s="7">
        <f t="shared" si="505"/>
        <v>0</v>
      </c>
      <c r="AV99" s="7">
        <f t="shared" si="505"/>
        <v>804.5</v>
      </c>
      <c r="AW99" s="7">
        <f t="shared" si="505"/>
        <v>8.25</v>
      </c>
      <c r="AX99" s="7">
        <f t="shared" si="505"/>
        <v>5.0000190734863281E-2</v>
      </c>
      <c r="AY99" s="11">
        <f t="shared" si="505"/>
        <v>22.826237976551056</v>
      </c>
      <c r="AZ99" s="16">
        <f t="shared" si="505"/>
        <v>1216275</v>
      </c>
      <c r="BA99" s="16">
        <f t="shared" si="505"/>
        <v>589700</v>
      </c>
      <c r="BB99" s="16">
        <f t="shared" si="505"/>
        <v>21342325</v>
      </c>
      <c r="BC99" s="11">
        <f t="shared" si="505"/>
        <v>4.3665148317813873E-2</v>
      </c>
      <c r="BD99" s="11">
        <f t="shared" si="505"/>
        <v>1.8763914704322815E-4</v>
      </c>
      <c r="BE99" s="11">
        <f t="shared" si="505"/>
        <v>-8.25</v>
      </c>
      <c r="BF99" s="11">
        <f t="shared" si="505"/>
        <v>-5.0000190734863281E-2</v>
      </c>
      <c r="BG99" s="11">
        <f t="shared" si="505"/>
        <v>1.8803008794784546</v>
      </c>
      <c r="BH99" s="11">
        <f t="shared" si="505"/>
        <v>6.4858198165893555E-3</v>
      </c>
      <c r="BI99" s="13">
        <f t="shared" si="505"/>
        <v>1.994137855945155E-4</v>
      </c>
      <c r="BJ99" s="13">
        <f t="shared" si="505"/>
        <v>4.6959030441939831E-7</v>
      </c>
      <c r="BK99" s="11">
        <f t="shared" si="505"/>
        <v>22.826237976551056</v>
      </c>
      <c r="BL99" s="12">
        <f t="shared" si="505"/>
        <v>12.976319313049316</v>
      </c>
      <c r="BM99" s="12">
        <f t="shared" si="505"/>
        <v>-7.5292587280273438E-2</v>
      </c>
      <c r="BN99" s="13">
        <f t="shared" si="505"/>
        <v>-1.4405395984649658</v>
      </c>
      <c r="BO99" s="13">
        <f t="shared" si="505"/>
        <v>6.6474676132202148E-3</v>
      </c>
      <c r="BP99" s="15">
        <f t="shared" si="505"/>
        <v>7.2966116704265005E-7</v>
      </c>
      <c r="BQ99" s="15">
        <f t="shared" si="505"/>
        <v>2.5863755581667647E-11</v>
      </c>
      <c r="BR99" s="14">
        <f t="shared" si="505"/>
        <v>1.6979789361357689E-3</v>
      </c>
      <c r="BS99" s="14">
        <f t="shared" si="505"/>
        <v>-3.9977021515369415E-6</v>
      </c>
      <c r="BT99" s="14">
        <f t="shared" si="505"/>
        <v>1.8849766638595611E-4</v>
      </c>
      <c r="BU99" s="14">
        <f t="shared" si="505"/>
        <v>-2.2067979443818331E-7</v>
      </c>
      <c r="BV99" s="11">
        <f t="shared" si="505"/>
        <v>45089.77734375</v>
      </c>
      <c r="BW99" s="11">
        <f t="shared" si="505"/>
        <v>-316.44140625</v>
      </c>
      <c r="BX99" s="11">
        <f t="shared" si="505"/>
        <v>6706.0234375</v>
      </c>
      <c r="BY99" s="11">
        <f t="shared" si="505"/>
        <v>-35.05810546875</v>
      </c>
      <c r="BZ99" s="7">
        <f t="shared" si="505"/>
        <v>20</v>
      </c>
      <c r="CA99" s="7">
        <f t="shared" si="505"/>
        <v>26</v>
      </c>
      <c r="CB99" s="7">
        <f t="shared" ref="CB99:CP99" si="506">IFERROR(VALUE(CB404),"-")</f>
        <v>7.9499998092651367</v>
      </c>
      <c r="CC99" s="7">
        <f t="shared" si="506"/>
        <v>8.25</v>
      </c>
      <c r="CD99" s="7">
        <f t="shared" si="506"/>
        <v>8.25</v>
      </c>
      <c r="CE99" s="3">
        <f t="shared" si="506"/>
        <v>2050</v>
      </c>
      <c r="CF99" s="7">
        <f t="shared" si="506"/>
        <v>8.1999998092651367</v>
      </c>
      <c r="CG99" s="3">
        <f t="shared" si="506"/>
        <v>750</v>
      </c>
      <c r="CH99" s="7">
        <f t="shared" si="506"/>
        <v>14.630000114440918</v>
      </c>
      <c r="CI99" s="7">
        <f t="shared" si="506"/>
        <v>811.8499755859375</v>
      </c>
      <c r="CJ99" s="3">
        <f t="shared" si="506"/>
        <v>25</v>
      </c>
      <c r="CK99" s="7">
        <f t="shared" si="506"/>
        <v>809.29998779296875</v>
      </c>
      <c r="CL99" s="3">
        <f t="shared" si="506"/>
        <v>25</v>
      </c>
      <c r="CM99" s="7">
        <f t="shared" si="506"/>
        <v>820.5</v>
      </c>
      <c r="CN99" s="10">
        <f t="shared" si="506"/>
        <v>44783.638194444444</v>
      </c>
      <c r="CO99" s="10">
        <f t="shared" si="506"/>
        <v>44783.638194444444</v>
      </c>
      <c r="CP99" s="7">
        <f t="shared" si="506"/>
        <v>38295.69921875</v>
      </c>
      <c r="CQ99" s="7" t="str">
        <f t="shared" ref="CQ99" si="507">IFERROR(CQ404,"-")</f>
        <v>FairPrice</v>
      </c>
      <c r="CR99" s="10">
        <f t="shared" si="487"/>
        <v>44783.638194444444</v>
      </c>
      <c r="CS99" s="7">
        <f t="shared" si="487"/>
        <v>0.71818605065345764</v>
      </c>
      <c r="CT99" s="7">
        <f t="shared" si="487"/>
        <v>5.8339111667186853E-2</v>
      </c>
      <c r="CU99" s="7">
        <f t="shared" si="487"/>
        <v>4050</v>
      </c>
      <c r="CV99" s="7">
        <f t="shared" si="487"/>
        <v>1.5432098765432098</v>
      </c>
      <c r="CW99" s="7">
        <f t="shared" si="487"/>
        <v>804.5</v>
      </c>
      <c r="CX99" s="7">
        <f t="shared" si="487"/>
        <v>0</v>
      </c>
      <c r="CY99" s="7">
        <f t="shared" si="487"/>
        <v>8.25</v>
      </c>
      <c r="CZ99" s="7">
        <f t="shared" si="487"/>
        <v>6.097584377790879E-3</v>
      </c>
      <c r="DA99" s="7">
        <f t="shared" si="487"/>
        <v>626575</v>
      </c>
      <c r="DB99" s="7">
        <f t="shared" si="487"/>
        <v>0.94114830626820412</v>
      </c>
      <c r="DC99" s="7">
        <f t="shared" si="487"/>
        <v>2.5969743728637695E-2</v>
      </c>
      <c r="DD99" s="7">
        <f t="shared" si="487"/>
        <v>1.1390104477478303E-3</v>
      </c>
      <c r="DE99" s="7">
        <f t="shared" si="487"/>
        <v>8.25</v>
      </c>
      <c r="DF99" s="7">
        <f t="shared" si="487"/>
        <v>804.5</v>
      </c>
      <c r="DG99" s="7">
        <f t="shared" si="487"/>
        <v>38295.69921875</v>
      </c>
      <c r="DH99" s="7" t="str">
        <f t="shared" ref="DH99:DJ99" si="508">IFERROR(DH404,"-")</f>
        <v>G</v>
      </c>
      <c r="DI99" s="7" t="str">
        <f t="shared" si="508"/>
        <v>W</v>
      </c>
      <c r="DJ99" s="7" t="str">
        <f t="shared" si="508"/>
        <v>G</v>
      </c>
      <c r="DK99" s="64">
        <f t="shared" ref="DK99:DS99" si="509">IFERROR(VALUE(DK404),"-")</f>
        <v>38300</v>
      </c>
      <c r="DL99" s="64">
        <f t="shared" si="509"/>
        <v>3400000</v>
      </c>
      <c r="DM99" s="64">
        <f t="shared" si="509"/>
        <v>38500</v>
      </c>
      <c r="DN99" s="64">
        <f t="shared" si="509"/>
        <v>0</v>
      </c>
      <c r="DO99" s="64">
        <f t="shared" si="509"/>
        <v>24500</v>
      </c>
      <c r="DP99" s="64">
        <f t="shared" si="509"/>
        <v>2863350</v>
      </c>
      <c r="DQ99" s="64">
        <f t="shared" si="509"/>
        <v>38000</v>
      </c>
      <c r="DR99" s="64">
        <f t="shared" si="509"/>
        <v>0</v>
      </c>
      <c r="DS99" s="64">
        <f t="shared" si="509"/>
        <v>24500</v>
      </c>
      <c r="DT99" t="str">
        <f t="shared" si="338"/>
        <v>BANKNIFTY</v>
      </c>
      <c r="DU99" s="10">
        <f t="shared" si="339"/>
        <v>44784</v>
      </c>
    </row>
    <row r="100" spans="1:125" x14ac:dyDescent="0.25">
      <c r="A100" t="s">
        <v>36</v>
      </c>
      <c r="B100" s="2">
        <v>44833</v>
      </c>
      <c r="C100" s="1">
        <v>1100</v>
      </c>
      <c r="D100">
        <v>64</v>
      </c>
      <c r="G100" t="str">
        <f t="array" ref="G100">IFERROR(INDEX($A$2:$A$700,MATCH(0,COUNTIF($G$1:G99,$A$2:$A$700),0)),"")</f>
        <v>INDHOTEL</v>
      </c>
      <c r="M100" s="3"/>
      <c r="N100" s="3"/>
      <c r="O100" s="3">
        <f t="shared" si="340"/>
        <v>39200</v>
      </c>
      <c r="P100" s="7">
        <f t="shared" ref="P100:CA100" si="510">IFERROR(VALUE(P405),"-")</f>
        <v>904.45001220703125</v>
      </c>
      <c r="Q100" s="7">
        <f t="shared" si="510"/>
        <v>817.25</v>
      </c>
      <c r="R100" s="7">
        <f t="shared" si="510"/>
        <v>1047.5</v>
      </c>
      <c r="S100" s="7">
        <f t="shared" si="510"/>
        <v>909.79998779296875</v>
      </c>
      <c r="T100" s="11">
        <f t="shared" si="510"/>
        <v>-125808.46875</v>
      </c>
      <c r="U100" s="11">
        <f t="shared" si="510"/>
        <v>274448.875</v>
      </c>
      <c r="V100" s="11">
        <f t="shared" si="510"/>
        <v>-1757336.75</v>
      </c>
      <c r="W100" s="11">
        <f t="shared" si="510"/>
        <v>3369309.25</v>
      </c>
      <c r="X100" s="14">
        <f t="shared" si="510"/>
        <v>1.2031974620185792E-5</v>
      </c>
      <c r="Y100" s="14">
        <f t="shared" si="510"/>
        <v>6.6579777922015637E-5</v>
      </c>
      <c r="Z100" s="14">
        <f t="shared" si="510"/>
        <v>1.380608300678432E-4</v>
      </c>
      <c r="AA100" s="14">
        <f t="shared" si="510"/>
        <v>9.1250723926350474E-4</v>
      </c>
      <c r="AB100" s="15">
        <f t="shared" si="510"/>
        <v>3.2418185469396121E-8</v>
      </c>
      <c r="AC100" s="15">
        <f t="shared" si="510"/>
        <v>1.7263690210711502E-7</v>
      </c>
      <c r="AD100" s="13">
        <f t="shared" si="510"/>
        <v>17.262786865234375</v>
      </c>
      <c r="AE100" s="13">
        <f t="shared" si="510"/>
        <v>-41.320838928222656</v>
      </c>
      <c r="AF100" s="12">
        <f t="shared" si="510"/>
        <v>-265.42364501953125</v>
      </c>
      <c r="AG100" s="12">
        <f t="shared" si="510"/>
        <v>566.32159423828125</v>
      </c>
      <c r="AH100" s="13">
        <f t="shared" si="510"/>
        <v>4.3865820771316066E-6</v>
      </c>
      <c r="AI100" s="13">
        <f t="shared" si="510"/>
        <v>1.8031974832410924E-5</v>
      </c>
      <c r="AJ100" s="11">
        <f t="shared" si="510"/>
        <v>3.010934591293335E-2</v>
      </c>
      <c r="AK100" s="11">
        <f t="shared" si="510"/>
        <v>0.11175006628036499</v>
      </c>
      <c r="AL100" s="11">
        <f t="shared" si="510"/>
        <v>-0.24033528566360474</v>
      </c>
      <c r="AM100" s="11">
        <f t="shared" si="510"/>
        <v>-0.81536823511123657</v>
      </c>
      <c r="AN100" s="11">
        <f t="shared" si="510"/>
        <v>4.9757957458496094E-4</v>
      </c>
      <c r="AO100" s="11">
        <f t="shared" si="510"/>
        <v>-0.99829012155532837</v>
      </c>
      <c r="AP100" s="11">
        <f t="shared" si="510"/>
        <v>15.002603828907013</v>
      </c>
      <c r="AQ100" s="11">
        <f t="shared" si="510"/>
        <v>145075</v>
      </c>
      <c r="AR100" s="16">
        <f t="shared" si="510"/>
        <v>4700</v>
      </c>
      <c r="AS100" s="16">
        <f t="shared" si="510"/>
        <v>8200</v>
      </c>
      <c r="AT100" s="16">
        <f t="shared" si="510"/>
        <v>15.002603828907013</v>
      </c>
      <c r="AU100" s="7">
        <f t="shared" si="510"/>
        <v>0</v>
      </c>
      <c r="AV100" s="7">
        <f t="shared" si="510"/>
        <v>904.45001220703125</v>
      </c>
      <c r="AW100" s="7">
        <f t="shared" si="510"/>
        <v>6.1999998092651367</v>
      </c>
      <c r="AX100" s="7">
        <f t="shared" si="510"/>
        <v>-0.10000038146972656</v>
      </c>
      <c r="AY100" s="11">
        <f t="shared" si="510"/>
        <v>23.807419836521149</v>
      </c>
      <c r="AZ100" s="16">
        <f t="shared" si="510"/>
        <v>1421550</v>
      </c>
      <c r="BA100" s="16">
        <f t="shared" si="510"/>
        <v>828500</v>
      </c>
      <c r="BB100" s="16">
        <f t="shared" si="510"/>
        <v>20374650</v>
      </c>
      <c r="BC100" s="11">
        <f t="shared" si="510"/>
        <v>3.2818041741847992E-2</v>
      </c>
      <c r="BD100" s="11">
        <f t="shared" si="510"/>
        <v>-3.6768615245819092E-4</v>
      </c>
      <c r="BE100" s="11">
        <f t="shared" si="510"/>
        <v>-6.1999998092651367</v>
      </c>
      <c r="BF100" s="11">
        <f t="shared" si="510"/>
        <v>0.10000038146972656</v>
      </c>
      <c r="BG100" s="11">
        <f t="shared" si="510"/>
        <v>1.4895119667053223</v>
      </c>
      <c r="BH100" s="11">
        <f t="shared" si="510"/>
        <v>-1.3749599456787109E-2</v>
      </c>
      <c r="BI100" s="13">
        <f t="shared" si="510"/>
        <v>1.5145241923164576E-4</v>
      </c>
      <c r="BJ100" s="13">
        <f t="shared" si="510"/>
        <v>-8.9386594481766224E-7</v>
      </c>
      <c r="BK100" s="11">
        <f t="shared" si="510"/>
        <v>23.807419836521149</v>
      </c>
      <c r="BL100" s="12">
        <f t="shared" si="510"/>
        <v>16.908014297485352</v>
      </c>
      <c r="BM100" s="12">
        <f t="shared" si="510"/>
        <v>0.25415992736816406</v>
      </c>
      <c r="BN100" s="13">
        <f t="shared" si="510"/>
        <v>-1.9576071500778198</v>
      </c>
      <c r="BO100" s="13">
        <f t="shared" si="510"/>
        <v>-2.3157358169555664E-2</v>
      </c>
      <c r="BP100" s="15">
        <f t="shared" si="510"/>
        <v>5.7223627436542301E-7</v>
      </c>
      <c r="BQ100" s="15">
        <f t="shared" si="510"/>
        <v>9.7543306765146554E-11</v>
      </c>
      <c r="BR100" s="14">
        <f t="shared" si="510"/>
        <v>1.5345215797424316E-3</v>
      </c>
      <c r="BS100" s="14">
        <f t="shared" si="510"/>
        <v>7.7155418694019318E-6</v>
      </c>
      <c r="BT100" s="14">
        <f t="shared" si="510"/>
        <v>1.776666467776522E-4</v>
      </c>
      <c r="BU100" s="14">
        <f t="shared" si="510"/>
        <v>3.1852687243372202E-7</v>
      </c>
      <c r="BV100" s="11">
        <f t="shared" si="510"/>
        <v>63263.14453125</v>
      </c>
      <c r="BW100" s="11">
        <f t="shared" si="510"/>
        <v>1119.56640625</v>
      </c>
      <c r="BX100" s="11">
        <f t="shared" si="510"/>
        <v>9471.201171875</v>
      </c>
      <c r="BY100" s="11">
        <f t="shared" si="510"/>
        <v>125.923828125</v>
      </c>
      <c r="BZ100" s="7">
        <f t="shared" si="510"/>
        <v>10</v>
      </c>
      <c r="CA100" s="7">
        <f t="shared" si="510"/>
        <v>21</v>
      </c>
      <c r="CB100" s="7">
        <f t="shared" ref="CB100:CP100" si="511">IFERROR(VALUE(CB405),"-")</f>
        <v>6.0500001907348633</v>
      </c>
      <c r="CC100" s="7">
        <f t="shared" si="511"/>
        <v>6.1999998092651367</v>
      </c>
      <c r="CD100" s="7">
        <f t="shared" si="511"/>
        <v>6.25</v>
      </c>
      <c r="CE100" s="3">
        <f t="shared" si="511"/>
        <v>225</v>
      </c>
      <c r="CF100" s="7">
        <f t="shared" si="511"/>
        <v>6.1999998092651367</v>
      </c>
      <c r="CG100" s="3">
        <f t="shared" si="511"/>
        <v>2650</v>
      </c>
      <c r="CH100" s="7">
        <f t="shared" si="511"/>
        <v>10.239999771118164</v>
      </c>
      <c r="CI100" s="7">
        <f t="shared" si="511"/>
        <v>909</v>
      </c>
      <c r="CJ100" s="3">
        <f t="shared" si="511"/>
        <v>25</v>
      </c>
      <c r="CK100" s="7">
        <f t="shared" si="511"/>
        <v>907.1500244140625</v>
      </c>
      <c r="CL100" s="3">
        <f t="shared" si="511"/>
        <v>500</v>
      </c>
      <c r="CM100" s="7">
        <f t="shared" si="511"/>
        <v>908.719970703125</v>
      </c>
      <c r="CN100" s="10">
        <f t="shared" si="511"/>
        <v>44783.638194444444</v>
      </c>
      <c r="CO100" s="10">
        <f t="shared" si="511"/>
        <v>44783.638194444444</v>
      </c>
      <c r="CP100" s="7">
        <f t="shared" si="511"/>
        <v>38295.69921875</v>
      </c>
      <c r="CQ100" s="7" t="str">
        <f t="shared" ref="CQ100" si="512">IFERROR(CQ405,"-")</f>
        <v>FairPrice</v>
      </c>
      <c r="CR100" s="10">
        <f t="shared" si="487"/>
        <v>44783.638194444444</v>
      </c>
      <c r="CS100" s="7">
        <f t="shared" si="487"/>
        <v>0.51937699317932129</v>
      </c>
      <c r="CT100" s="7">
        <f t="shared" si="487"/>
        <v>3.5860585425487181E-2</v>
      </c>
      <c r="CU100" s="7">
        <f t="shared" si="487"/>
        <v>3500</v>
      </c>
      <c r="CV100" s="7">
        <f t="shared" si="487"/>
        <v>1.3428571428571427</v>
      </c>
      <c r="CW100" s="7">
        <f t="shared" si="487"/>
        <v>904.45001220703125</v>
      </c>
      <c r="CX100" s="7">
        <f t="shared" si="487"/>
        <v>0</v>
      </c>
      <c r="CY100" s="7">
        <f t="shared" si="487"/>
        <v>6.1999998092651367</v>
      </c>
      <c r="CZ100" s="7">
        <f t="shared" si="487"/>
        <v>-1.5873075943202794E-2</v>
      </c>
      <c r="DA100" s="7">
        <f t="shared" si="487"/>
        <v>593050</v>
      </c>
      <c r="DB100" s="7">
        <f t="shared" si="487"/>
        <v>1.39701542871596</v>
      </c>
      <c r="DC100" s="7">
        <f t="shared" si="487"/>
        <v>-7.8442692756652832E-2</v>
      </c>
      <c r="DD100" s="7">
        <f t="shared" si="487"/>
        <v>-3.284063644781622E-3</v>
      </c>
      <c r="DE100" s="7">
        <f t="shared" si="487"/>
        <v>6.1999998092651367</v>
      </c>
      <c r="DF100" s="7">
        <f t="shared" si="487"/>
        <v>904.45001220703125</v>
      </c>
      <c r="DG100" s="7">
        <f t="shared" si="487"/>
        <v>38295.69921875</v>
      </c>
      <c r="DH100" s="7" t="str">
        <f t="shared" ref="DH100:DJ100" si="513">IFERROR(DH405,"-")</f>
        <v>R</v>
      </c>
      <c r="DI100" s="7" t="str">
        <f t="shared" si="513"/>
        <v>W</v>
      </c>
      <c r="DJ100" s="7" t="str">
        <f t="shared" si="513"/>
        <v>G</v>
      </c>
      <c r="DK100" s="64">
        <f t="shared" ref="DK100:DS100" si="514">IFERROR(VALUE(DK405),"-")</f>
        <v>38300</v>
      </c>
      <c r="DL100" s="64">
        <f t="shared" si="514"/>
        <v>3400000</v>
      </c>
      <c r="DM100" s="64">
        <f t="shared" si="514"/>
        <v>38500</v>
      </c>
      <c r="DN100" s="64">
        <f t="shared" si="514"/>
        <v>0</v>
      </c>
      <c r="DO100" s="64">
        <f t="shared" si="514"/>
        <v>24500</v>
      </c>
      <c r="DP100" s="64">
        <f t="shared" si="514"/>
        <v>2863350</v>
      </c>
      <c r="DQ100" s="64">
        <f t="shared" si="514"/>
        <v>38000</v>
      </c>
      <c r="DR100" s="64">
        <f t="shared" si="514"/>
        <v>0</v>
      </c>
      <c r="DS100" s="64">
        <f t="shared" si="514"/>
        <v>24500</v>
      </c>
      <c r="DT100" t="str">
        <f t="shared" si="338"/>
        <v>BANKNIFTY</v>
      </c>
      <c r="DU100" s="10">
        <f t="shared" si="339"/>
        <v>44784</v>
      </c>
    </row>
    <row r="101" spans="1:125" x14ac:dyDescent="0.25">
      <c r="A101" t="s">
        <v>36</v>
      </c>
      <c r="B101" s="2">
        <v>44861</v>
      </c>
      <c r="C101" s="1">
        <v>1100</v>
      </c>
      <c r="D101">
        <v>64</v>
      </c>
      <c r="G101" t="str">
        <f t="array" ref="G101">IFERROR(INDEX($A$2:$A$700,MATCH(0,COUNTIF($G$1:G100,$A$2:$A$700),0)),"")</f>
        <v>INDIACEM</v>
      </c>
      <c r="M101" s="3"/>
      <c r="N101" s="3"/>
      <c r="O101" s="3">
        <f t="shared" si="340"/>
        <v>39300</v>
      </c>
      <c r="P101" s="7">
        <f t="shared" ref="P101:CA101" si="515">IFERROR(VALUE(P406),"-")</f>
        <v>1006</v>
      </c>
      <c r="Q101" s="7">
        <f t="shared" si="515"/>
        <v>908.8499755859375</v>
      </c>
      <c r="R101" s="7">
        <f t="shared" si="515"/>
        <v>1146.6500244140625</v>
      </c>
      <c r="S101" s="7">
        <f t="shared" si="515"/>
        <v>1027.3499755859375</v>
      </c>
      <c r="T101" s="11">
        <f t="shared" si="515"/>
        <v>-1001.3125</v>
      </c>
      <c r="U101" s="11">
        <f t="shared" si="515"/>
        <v>34462.515625</v>
      </c>
      <c r="V101" s="11">
        <f t="shared" si="515"/>
        <v>-9732.03125</v>
      </c>
      <c r="W101" s="11">
        <f t="shared" si="515"/>
        <v>280954.1875</v>
      </c>
      <c r="X101" s="14">
        <f t="shared" si="515"/>
        <v>1.0601070243865252E-6</v>
      </c>
      <c r="Y101" s="14">
        <f t="shared" si="515"/>
        <v>1.389099343214184E-4</v>
      </c>
      <c r="Z101" s="14">
        <f t="shared" si="515"/>
        <v>4.7690700739622116E-6</v>
      </c>
      <c r="AA101" s="14">
        <f t="shared" si="515"/>
        <v>1.3465707888826728E-3</v>
      </c>
      <c r="AB101" s="15">
        <f t="shared" si="515"/>
        <v>3.3371918561897473E-9</v>
      </c>
      <c r="AC101" s="15">
        <f t="shared" si="515"/>
        <v>3.5264673670099E-7</v>
      </c>
      <c r="AD101" s="13">
        <f t="shared" si="515"/>
        <v>0.16246175765991211</v>
      </c>
      <c r="AE101" s="13">
        <f t="shared" si="515"/>
        <v>-6.2157835960388184</v>
      </c>
      <c r="AF101" s="12">
        <f t="shared" si="515"/>
        <v>-1.8296966552734375</v>
      </c>
      <c r="AG101" s="12">
        <f t="shared" si="515"/>
        <v>60.254817962646484</v>
      </c>
      <c r="AH101" s="13">
        <f t="shared" si="515"/>
        <v>1.1694064596667886E-6</v>
      </c>
      <c r="AI101" s="13">
        <f t="shared" si="515"/>
        <v>6.6593645897228271E-5</v>
      </c>
      <c r="AJ101" s="11">
        <f t="shared" si="515"/>
        <v>1.2551248073577881E-2</v>
      </c>
      <c r="AK101" s="11">
        <f t="shared" si="515"/>
        <v>0.58348959684371948</v>
      </c>
      <c r="AL101" s="11">
        <f t="shared" si="515"/>
        <v>-0.15365028381347656</v>
      </c>
      <c r="AM101" s="11">
        <f t="shared" si="515"/>
        <v>-6.0191788673400879</v>
      </c>
      <c r="AN101" s="11">
        <f t="shared" si="515"/>
        <v>2.6887655258178711E-4</v>
      </c>
      <c r="AO101" s="11">
        <f t="shared" si="515"/>
        <v>-0.98910969495773315</v>
      </c>
      <c r="AP101" s="11">
        <f t="shared" si="515"/>
        <v>21.211178600788116</v>
      </c>
      <c r="AQ101" s="11">
        <f t="shared" si="515"/>
        <v>26650</v>
      </c>
      <c r="AR101" s="16">
        <f t="shared" si="515"/>
        <v>1225</v>
      </c>
      <c r="AS101" s="16">
        <f t="shared" si="515"/>
        <v>3925</v>
      </c>
      <c r="AT101" s="16">
        <f t="shared" si="515"/>
        <v>21.211178600788116</v>
      </c>
      <c r="AU101" s="7">
        <f t="shared" si="515"/>
        <v>0</v>
      </c>
      <c r="AV101" s="7">
        <f t="shared" si="515"/>
        <v>1006</v>
      </c>
      <c r="AW101" s="7">
        <f t="shared" si="515"/>
        <v>5.0999999046325684</v>
      </c>
      <c r="AX101" s="7">
        <f t="shared" si="515"/>
        <v>4.9999713897705078E-2</v>
      </c>
      <c r="AY101" s="11">
        <f t="shared" si="515"/>
        <v>25.099071860313416</v>
      </c>
      <c r="AZ101" s="16">
        <f t="shared" si="515"/>
        <v>846975</v>
      </c>
      <c r="BA101" s="16">
        <f t="shared" si="515"/>
        <v>212000</v>
      </c>
      <c r="BB101" s="16">
        <f t="shared" si="515"/>
        <v>14891325</v>
      </c>
      <c r="BC101" s="11">
        <f t="shared" si="515"/>
        <v>2.6390975341200829E-2</v>
      </c>
      <c r="BD101" s="11">
        <f t="shared" si="515"/>
        <v>1.9237585365772247E-4</v>
      </c>
      <c r="BE101" s="11">
        <f t="shared" si="515"/>
        <v>-5.0999999046325684</v>
      </c>
      <c r="BF101" s="11">
        <f t="shared" si="515"/>
        <v>-4.9999713897705078E-2</v>
      </c>
      <c r="BG101" s="11">
        <f t="shared" si="515"/>
        <v>1.2429426908493042</v>
      </c>
      <c r="BH101" s="11">
        <f t="shared" si="515"/>
        <v>7.5534582138061523E-3</v>
      </c>
      <c r="BI101" s="13">
        <f t="shared" si="515"/>
        <v>1.1988244659733027E-4</v>
      </c>
      <c r="BJ101" s="13">
        <f t="shared" si="515"/>
        <v>5.4399424698203802E-7</v>
      </c>
      <c r="BK101" s="11">
        <f t="shared" si="515"/>
        <v>25.099071860313416</v>
      </c>
      <c r="BL101" s="12">
        <f t="shared" si="515"/>
        <v>20.219463348388672</v>
      </c>
      <c r="BM101" s="12">
        <f t="shared" si="515"/>
        <v>-0.18912506103515625</v>
      </c>
      <c r="BN101" s="13">
        <f t="shared" si="515"/>
        <v>-2.4681220054626465</v>
      </c>
      <c r="BO101" s="13">
        <f t="shared" si="515"/>
        <v>1.9025325775146484E-2</v>
      </c>
      <c r="BP101" s="15">
        <f t="shared" si="515"/>
        <v>4.5200587805993564E-7</v>
      </c>
      <c r="BQ101" s="15">
        <f t="shared" si="515"/>
        <v>6.0089178077760153E-10</v>
      </c>
      <c r="BR101" s="14">
        <f t="shared" si="515"/>
        <v>1.326210331171751E-3</v>
      </c>
      <c r="BS101" s="14">
        <f t="shared" si="515"/>
        <v>-1.9061844795942307E-6</v>
      </c>
      <c r="BT101" s="14">
        <f t="shared" si="515"/>
        <v>1.618860405869782E-4</v>
      </c>
      <c r="BU101" s="14">
        <f t="shared" si="515"/>
        <v>3.1577656045556068E-8</v>
      </c>
      <c r="BV101" s="11">
        <f t="shared" si="515"/>
        <v>79588.625</v>
      </c>
      <c r="BW101" s="11">
        <f t="shared" si="515"/>
        <v>-876.9609375</v>
      </c>
      <c r="BX101" s="11">
        <f t="shared" si="515"/>
        <v>12287.5625</v>
      </c>
      <c r="BY101" s="11">
        <f t="shared" si="515"/>
        <v>-106.7587890625</v>
      </c>
      <c r="BZ101" s="7">
        <f t="shared" si="515"/>
        <v>12.449999809265137</v>
      </c>
      <c r="CA101" s="7">
        <f t="shared" si="515"/>
        <v>13</v>
      </c>
      <c r="CB101" s="7">
        <f t="shared" ref="CB101:CP101" si="516">IFERROR(VALUE(CB406),"-")</f>
        <v>4.9000000953674316</v>
      </c>
      <c r="CC101" s="7">
        <f t="shared" si="516"/>
        <v>5.0999999046325684</v>
      </c>
      <c r="CD101" s="7">
        <f t="shared" si="516"/>
        <v>5.0999999046325684</v>
      </c>
      <c r="CE101" s="3">
        <f t="shared" si="516"/>
        <v>925</v>
      </c>
      <c r="CF101" s="7">
        <f t="shared" si="516"/>
        <v>5.0500001907348633</v>
      </c>
      <c r="CG101" s="3">
        <f t="shared" si="516"/>
        <v>2150</v>
      </c>
      <c r="CH101" s="7">
        <f t="shared" si="516"/>
        <v>8.0699996948242188</v>
      </c>
      <c r="CI101" s="7">
        <f t="shared" si="516"/>
        <v>1009.2000122070313</v>
      </c>
      <c r="CJ101" s="3">
        <f t="shared" si="516"/>
        <v>50</v>
      </c>
      <c r="CK101" s="7">
        <f t="shared" si="516"/>
        <v>1004.5</v>
      </c>
      <c r="CL101" s="3">
        <f t="shared" si="516"/>
        <v>75</v>
      </c>
      <c r="CM101" s="7">
        <f t="shared" si="516"/>
        <v>998.5</v>
      </c>
      <c r="CN101" s="10">
        <f t="shared" si="516"/>
        <v>44783.638194444444</v>
      </c>
      <c r="CO101" s="10">
        <f t="shared" si="516"/>
        <v>44783.638194444444</v>
      </c>
      <c r="CP101" s="7">
        <f t="shared" si="516"/>
        <v>38295.69921875</v>
      </c>
      <c r="CQ101" s="7" t="str">
        <f t="shared" ref="CQ101" si="517">IFERROR(CQ406,"-")</f>
        <v>FairPrice</v>
      </c>
      <c r="CR101" s="10">
        <f t="shared" si="487"/>
        <v>44783.638194444444</v>
      </c>
      <c r="CS101" s="7">
        <f t="shared" si="487"/>
        <v>8.6148083209991455E-2</v>
      </c>
      <c r="CT101" s="7">
        <f t="shared" si="487"/>
        <v>4.0780098820831379E-3</v>
      </c>
      <c r="CU101" s="7">
        <f t="shared" si="487"/>
        <v>2700</v>
      </c>
      <c r="CV101" s="7">
        <f t="shared" si="487"/>
        <v>0.45370370370370372</v>
      </c>
      <c r="CW101" s="7">
        <f t="shared" si="487"/>
        <v>1006</v>
      </c>
      <c r="CX101" s="7">
        <f t="shared" si="487"/>
        <v>0</v>
      </c>
      <c r="CY101" s="7">
        <f t="shared" si="487"/>
        <v>5.0999999046325684</v>
      </c>
      <c r="CZ101" s="7">
        <f t="shared" si="487"/>
        <v>9.9009330711390033E-3</v>
      </c>
      <c r="DA101" s="7">
        <f t="shared" si="487"/>
        <v>634975</v>
      </c>
      <c r="DB101" s="7">
        <f t="shared" si="487"/>
        <v>0.33387141226032518</v>
      </c>
      <c r="DC101" s="7">
        <f t="shared" si="487"/>
        <v>3.9827823638916016E-2</v>
      </c>
      <c r="DD101" s="7">
        <f t="shared" si="487"/>
        <v>1.5893465732895822E-3</v>
      </c>
      <c r="DE101" s="7">
        <f t="shared" si="487"/>
        <v>5.0999999046325684</v>
      </c>
      <c r="DF101" s="7">
        <f t="shared" si="487"/>
        <v>1006</v>
      </c>
      <c r="DG101" s="7">
        <f t="shared" si="487"/>
        <v>38295.69921875</v>
      </c>
      <c r="DH101" s="7" t="str">
        <f t="shared" ref="DH101:DJ101" si="518">IFERROR(DH406,"-")</f>
        <v>G</v>
      </c>
      <c r="DI101" s="7" t="str">
        <f t="shared" si="518"/>
        <v>W</v>
      </c>
      <c r="DJ101" s="7" t="str">
        <f t="shared" si="518"/>
        <v>G</v>
      </c>
      <c r="DK101" s="64">
        <f t="shared" ref="DK101:DS101" si="519">IFERROR(VALUE(DK406),"-")</f>
        <v>38300</v>
      </c>
      <c r="DL101" s="64">
        <f t="shared" si="519"/>
        <v>3400000</v>
      </c>
      <c r="DM101" s="64">
        <f t="shared" si="519"/>
        <v>38500</v>
      </c>
      <c r="DN101" s="64">
        <f t="shared" si="519"/>
        <v>0</v>
      </c>
      <c r="DO101" s="64">
        <f t="shared" si="519"/>
        <v>24500</v>
      </c>
      <c r="DP101" s="64">
        <f t="shared" si="519"/>
        <v>2863350</v>
      </c>
      <c r="DQ101" s="64">
        <f t="shared" si="519"/>
        <v>38000</v>
      </c>
      <c r="DR101" s="64">
        <f t="shared" si="519"/>
        <v>0</v>
      </c>
      <c r="DS101" s="64">
        <f t="shared" si="519"/>
        <v>24500</v>
      </c>
      <c r="DT101" t="str">
        <f t="shared" si="338"/>
        <v>BANKNIFTY</v>
      </c>
      <c r="DU101" s="10">
        <f t="shared" si="339"/>
        <v>44784</v>
      </c>
    </row>
    <row r="102" spans="1:125" x14ac:dyDescent="0.25">
      <c r="A102" t="s">
        <v>37</v>
      </c>
      <c r="B102" s="2">
        <v>44798</v>
      </c>
      <c r="C102" s="1">
        <v>1000</v>
      </c>
      <c r="D102">
        <v>66</v>
      </c>
      <c r="G102" t="str">
        <f t="array" ref="G102">IFERROR(INDEX($A$2:$A$700,MATCH(0,COUNTIF($G$1:G101,$A$2:$A$700),0)),"")</f>
        <v>INDIAMART</v>
      </c>
      <c r="M102" s="3"/>
      <c r="N102" s="3"/>
      <c r="O102" s="3">
        <f t="shared" si="340"/>
        <v>39400</v>
      </c>
      <c r="P102" s="7">
        <f t="shared" ref="P102:CA102" si="520">IFERROR(VALUE(P407),"-")</f>
        <v>1115.050048828125</v>
      </c>
      <c r="Q102" s="7">
        <f t="shared" si="520"/>
        <v>1010</v>
      </c>
      <c r="R102" s="7">
        <f t="shared" si="520"/>
        <v>1224.800048828125</v>
      </c>
      <c r="S102" s="7">
        <f t="shared" si="520"/>
        <v>1101.9000244140625</v>
      </c>
      <c r="T102" s="11">
        <f t="shared" si="520"/>
        <v>-28.001953125</v>
      </c>
      <c r="U102" s="11">
        <f t="shared" si="520"/>
        <v>6985.40966796875</v>
      </c>
      <c r="V102" s="11">
        <f t="shared" si="520"/>
        <v>-187.29296875</v>
      </c>
      <c r="W102" s="11">
        <f t="shared" si="520"/>
        <v>34859.45703125</v>
      </c>
      <c r="X102" s="14">
        <f t="shared" si="520"/>
        <v>-1.1164229363203049E-7</v>
      </c>
      <c r="Y102" s="14">
        <f t="shared" si="520"/>
        <v>1.3978537754155695E-4</v>
      </c>
      <c r="Z102" s="14">
        <f t="shared" si="520"/>
        <v>-1.5916302800178528E-6</v>
      </c>
      <c r="AA102" s="14">
        <f t="shared" si="520"/>
        <v>9.2986953677609563E-4</v>
      </c>
      <c r="AB102" s="15">
        <f t="shared" si="520"/>
        <v>2.6773250283440575E-11</v>
      </c>
      <c r="AC102" s="15">
        <f t="shared" si="520"/>
        <v>3.9021020370455517E-7</v>
      </c>
      <c r="AD102" s="13">
        <f t="shared" si="520"/>
        <v>5.2788257598876953E-3</v>
      </c>
      <c r="AE102" s="13">
        <f t="shared" si="520"/>
        <v>-1.4949337244033813</v>
      </c>
      <c r="AF102" s="12">
        <f t="shared" si="520"/>
        <v>-4.4219970703125E-2</v>
      </c>
      <c r="AG102" s="12">
        <f t="shared" si="520"/>
        <v>9.9444828033447266</v>
      </c>
      <c r="AH102" s="13">
        <f t="shared" si="520"/>
        <v>2.6306952349841595E-7</v>
      </c>
      <c r="AI102" s="13">
        <f t="shared" si="520"/>
        <v>1.434990408597514E-4</v>
      </c>
      <c r="AJ102" s="11">
        <f t="shared" si="520"/>
        <v>4.8729181289672852E-3</v>
      </c>
      <c r="AK102" s="11">
        <f t="shared" si="520"/>
        <v>1.8322606086730957</v>
      </c>
      <c r="AL102" s="11">
        <f t="shared" si="520"/>
        <v>-9.8293304443359375E-2</v>
      </c>
      <c r="AM102" s="11">
        <f t="shared" si="520"/>
        <v>-27.543998718261719</v>
      </c>
      <c r="AN102" s="11">
        <f t="shared" si="520"/>
        <v>1.4001131057739258E-4</v>
      </c>
      <c r="AO102" s="11">
        <f t="shared" si="520"/>
        <v>-0.95771133899688721</v>
      </c>
      <c r="AP102" s="11">
        <f t="shared" si="520"/>
        <v>30.910098552703857</v>
      </c>
      <c r="AQ102" s="11">
        <f t="shared" si="520"/>
        <v>14075</v>
      </c>
      <c r="AR102" s="16">
        <f t="shared" si="520"/>
        <v>-125</v>
      </c>
      <c r="AS102" s="16">
        <f t="shared" si="520"/>
        <v>6350</v>
      </c>
      <c r="AT102" s="16">
        <f t="shared" si="520"/>
        <v>30.910098552703857</v>
      </c>
      <c r="AU102" s="7">
        <f t="shared" si="520"/>
        <v>0</v>
      </c>
      <c r="AV102" s="7">
        <f t="shared" si="520"/>
        <v>1115.050048828125</v>
      </c>
      <c r="AW102" s="7">
        <f t="shared" si="520"/>
        <v>4.5500001907348633</v>
      </c>
      <c r="AX102" s="7">
        <f t="shared" si="520"/>
        <v>5.0000190734863281E-2</v>
      </c>
      <c r="AY102" s="11">
        <f t="shared" si="520"/>
        <v>26.659548282623291</v>
      </c>
      <c r="AZ102" s="16">
        <f t="shared" si="520"/>
        <v>722975</v>
      </c>
      <c r="BA102" s="16">
        <f t="shared" si="520"/>
        <v>302275</v>
      </c>
      <c r="BB102" s="16">
        <f t="shared" si="520"/>
        <v>12797225</v>
      </c>
      <c r="BC102" s="11">
        <f t="shared" si="520"/>
        <v>2.2624578326940536E-2</v>
      </c>
      <c r="BD102" s="11">
        <f t="shared" si="520"/>
        <v>1.9380636513233185E-4</v>
      </c>
      <c r="BE102" s="11">
        <f t="shared" si="520"/>
        <v>-4.5500001907348633</v>
      </c>
      <c r="BF102" s="11">
        <f t="shared" si="520"/>
        <v>-5.0000190734863281E-2</v>
      </c>
      <c r="BG102" s="11">
        <f t="shared" si="520"/>
        <v>1.092227578163147</v>
      </c>
      <c r="BH102" s="11">
        <f t="shared" si="520"/>
        <v>7.8616142272949219E-3</v>
      </c>
      <c r="BI102" s="13">
        <f t="shared" si="520"/>
        <v>9.9180157121736556E-5</v>
      </c>
      <c r="BJ102" s="13">
        <f t="shared" si="520"/>
        <v>5.8393925428390503E-7</v>
      </c>
      <c r="BK102" s="11">
        <f t="shared" si="520"/>
        <v>26.659548282623291</v>
      </c>
      <c r="BL102" s="12">
        <f t="shared" si="520"/>
        <v>22.400920867919922</v>
      </c>
      <c r="BM102" s="12">
        <f t="shared" si="520"/>
        <v>-0.23457145690917969</v>
      </c>
      <c r="BN102" s="13">
        <f t="shared" si="520"/>
        <v>-2.9044103622436523</v>
      </c>
      <c r="BO102" s="13">
        <f t="shared" si="520"/>
        <v>2.6115655899047852E-2</v>
      </c>
      <c r="BP102" s="15">
        <f t="shared" si="520"/>
        <v>3.6392373203852912E-7</v>
      </c>
      <c r="BQ102" s="15">
        <f t="shared" si="520"/>
        <v>9.9137764664192218E-10</v>
      </c>
      <c r="BR102" s="14">
        <f t="shared" si="520"/>
        <v>1.1300850892439485E-3</v>
      </c>
      <c r="BS102" s="14">
        <f t="shared" si="520"/>
        <v>-2.7462374418973923E-7</v>
      </c>
      <c r="BT102" s="14">
        <f t="shared" si="520"/>
        <v>1.465221430407837E-4</v>
      </c>
      <c r="BU102" s="14">
        <f t="shared" si="520"/>
        <v>1.7901766113936901E-7</v>
      </c>
      <c r="BV102" s="11">
        <f t="shared" si="520"/>
        <v>91163.1875</v>
      </c>
      <c r="BW102" s="11">
        <f t="shared" si="520"/>
        <v>-1123.9140625</v>
      </c>
      <c r="BX102" s="11">
        <f t="shared" si="520"/>
        <v>14747.2392578125</v>
      </c>
      <c r="BY102" s="11">
        <f t="shared" si="520"/>
        <v>-149.345703125</v>
      </c>
      <c r="BZ102" s="7">
        <f t="shared" si="520"/>
        <v>5.75</v>
      </c>
      <c r="CA102" s="7">
        <f t="shared" si="520"/>
        <v>10.350000381469727</v>
      </c>
      <c r="CB102" s="7">
        <f t="shared" ref="CB102:CP102" si="521">IFERROR(VALUE(CB407),"-")</f>
        <v>4.25</v>
      </c>
      <c r="CC102" s="7">
        <f t="shared" si="521"/>
        <v>4.5500001907348633</v>
      </c>
      <c r="CD102" s="7">
        <f t="shared" si="521"/>
        <v>4.5999999046325684</v>
      </c>
      <c r="CE102" s="3">
        <f t="shared" si="521"/>
        <v>11825</v>
      </c>
      <c r="CF102" s="7">
        <f t="shared" si="521"/>
        <v>4.5500001907348633</v>
      </c>
      <c r="CG102" s="3">
        <f t="shared" si="521"/>
        <v>150</v>
      </c>
      <c r="CH102" s="7">
        <f t="shared" si="521"/>
        <v>6.690000057220459</v>
      </c>
      <c r="CI102" s="7">
        <f t="shared" si="521"/>
        <v>1108</v>
      </c>
      <c r="CJ102" s="3">
        <f t="shared" si="521"/>
        <v>25</v>
      </c>
      <c r="CK102" s="7">
        <f t="shared" si="521"/>
        <v>1104.699951171875</v>
      </c>
      <c r="CL102" s="3">
        <f t="shared" si="521"/>
        <v>25</v>
      </c>
      <c r="CM102" s="7">
        <f t="shared" si="521"/>
        <v>1105.3900146484375</v>
      </c>
      <c r="CN102" s="10">
        <f t="shared" si="521"/>
        <v>44783.638194444444</v>
      </c>
      <c r="CO102" s="10">
        <f t="shared" si="521"/>
        <v>44783.638194444444</v>
      </c>
      <c r="CP102" s="7">
        <f t="shared" si="521"/>
        <v>38295.69921875</v>
      </c>
      <c r="CQ102" s="7" t="str">
        <f t="shared" ref="CQ102" si="522">IFERROR(CQ407,"-")</f>
        <v>FairPrice</v>
      </c>
      <c r="CR102" s="10">
        <f t="shared" si="487"/>
        <v>44783.638194444444</v>
      </c>
      <c r="CS102" s="7">
        <f t="shared" si="487"/>
        <v>2.6836991310119629E-2</v>
      </c>
      <c r="CT102" s="7">
        <f t="shared" si="487"/>
        <v>8.6898177048980369E-4</v>
      </c>
      <c r="CU102" s="7">
        <f t="shared" si="487"/>
        <v>6475</v>
      </c>
      <c r="CV102" s="7">
        <f t="shared" si="487"/>
        <v>-1.9305019305019305E-2</v>
      </c>
      <c r="CW102" s="7">
        <f t="shared" si="487"/>
        <v>1115.050048828125</v>
      </c>
      <c r="CX102" s="7">
        <f t="shared" si="487"/>
        <v>0</v>
      </c>
      <c r="CY102" s="7">
        <f t="shared" si="487"/>
        <v>4.5500001907348633</v>
      </c>
      <c r="CZ102" s="7">
        <f t="shared" si="487"/>
        <v>1.1111153496636285E-2</v>
      </c>
      <c r="DA102" s="7">
        <f t="shared" si="487"/>
        <v>420700</v>
      </c>
      <c r="DB102" s="7">
        <f t="shared" si="487"/>
        <v>0.71850487283099596</v>
      </c>
      <c r="DC102" s="7">
        <f t="shared" si="487"/>
        <v>3.6740303039550781E-2</v>
      </c>
      <c r="DD102" s="7">
        <f t="shared" si="487"/>
        <v>1.3800311021934973E-3</v>
      </c>
      <c r="DE102" s="7">
        <f t="shared" si="487"/>
        <v>4.5500001907348633</v>
      </c>
      <c r="DF102" s="7">
        <f t="shared" si="487"/>
        <v>1115.050048828125</v>
      </c>
      <c r="DG102" s="7">
        <f t="shared" si="487"/>
        <v>38295.69921875</v>
      </c>
      <c r="DH102" s="7" t="str">
        <f t="shared" ref="DH102:DJ102" si="523">IFERROR(DH407,"-")</f>
        <v>G</v>
      </c>
      <c r="DI102" s="7" t="str">
        <f t="shared" si="523"/>
        <v>W</v>
      </c>
      <c r="DJ102" s="7" t="str">
        <f t="shared" si="523"/>
        <v>G</v>
      </c>
      <c r="DK102" s="64">
        <f t="shared" ref="DK102:DS102" si="524">IFERROR(VALUE(DK407),"-")</f>
        <v>38300</v>
      </c>
      <c r="DL102" s="64">
        <f t="shared" si="524"/>
        <v>3400000</v>
      </c>
      <c r="DM102" s="64">
        <f t="shared" si="524"/>
        <v>38500</v>
      </c>
      <c r="DN102" s="64">
        <f t="shared" si="524"/>
        <v>0</v>
      </c>
      <c r="DO102" s="64">
        <f t="shared" si="524"/>
        <v>24500</v>
      </c>
      <c r="DP102" s="64">
        <f t="shared" si="524"/>
        <v>2863350</v>
      </c>
      <c r="DQ102" s="64">
        <f t="shared" si="524"/>
        <v>38000</v>
      </c>
      <c r="DR102" s="64">
        <f t="shared" si="524"/>
        <v>0</v>
      </c>
      <c r="DS102" s="64">
        <f t="shared" si="524"/>
        <v>24500</v>
      </c>
      <c r="DT102" t="str">
        <f t="shared" si="338"/>
        <v>BANKNIFTY</v>
      </c>
      <c r="DU102" s="10">
        <f t="shared" si="339"/>
        <v>44784</v>
      </c>
    </row>
    <row r="103" spans="1:125" x14ac:dyDescent="0.25">
      <c r="A103" t="s">
        <v>37</v>
      </c>
      <c r="B103" s="2">
        <v>44833</v>
      </c>
      <c r="C103" s="1">
        <v>1000</v>
      </c>
      <c r="D103">
        <v>66</v>
      </c>
      <c r="G103" t="str">
        <f t="array" ref="G103">IFERROR(INDEX($A$2:$A$700,MATCH(0,COUNTIF($G$1:G102,$A$2:$A$700),0)),"")</f>
        <v>INDIGO</v>
      </c>
      <c r="M103" s="3"/>
      <c r="N103" s="3"/>
      <c r="O103" s="3">
        <f t="shared" si="340"/>
        <v>39500</v>
      </c>
      <c r="P103" s="7">
        <f t="shared" ref="P103:CA103" si="525">IFERROR(VALUE(P408),"-")</f>
        <v>1206.25</v>
      </c>
      <c r="Q103" s="7">
        <f t="shared" si="525"/>
        <v>1107.800048828125</v>
      </c>
      <c r="R103" s="7">
        <f t="shared" si="525"/>
        <v>1347.550048828125</v>
      </c>
      <c r="S103" s="7">
        <f t="shared" si="525"/>
        <v>1214.4000244140625</v>
      </c>
      <c r="T103" s="11">
        <f t="shared" si="525"/>
        <v>-889.34765625</v>
      </c>
      <c r="U103" s="11">
        <f t="shared" si="525"/>
        <v>35521.7734375</v>
      </c>
      <c r="V103" s="11">
        <f t="shared" si="525"/>
        <v>-7261.390625</v>
      </c>
      <c r="W103" s="11">
        <f t="shared" si="525"/>
        <v>243617.046875</v>
      </c>
      <c r="X103" s="14">
        <f t="shared" si="525"/>
        <v>7.7720324043184519E-7</v>
      </c>
      <c r="Y103" s="14">
        <f t="shared" si="525"/>
        <v>1.154269339167513E-4</v>
      </c>
      <c r="Z103" s="14">
        <f t="shared" si="525"/>
        <v>3.0206283554434776E-6</v>
      </c>
      <c r="AA103" s="14">
        <f t="shared" si="525"/>
        <v>9.3990226741880178E-4</v>
      </c>
      <c r="AB103" s="15">
        <f t="shared" si="525"/>
        <v>2.0192487681924831E-9</v>
      </c>
      <c r="AC103" s="15">
        <f t="shared" si="525"/>
        <v>2.4412938159912301E-7</v>
      </c>
      <c r="AD103" s="13">
        <f t="shared" si="525"/>
        <v>0.14394378662109375</v>
      </c>
      <c r="AE103" s="13">
        <f t="shared" si="525"/>
        <v>-6.3892402648925781</v>
      </c>
      <c r="AF103" s="12">
        <f t="shared" si="525"/>
        <v>-1.3606071472167969</v>
      </c>
      <c r="AG103" s="12">
        <f t="shared" si="525"/>
        <v>52.026519775390625</v>
      </c>
      <c r="AH103" s="13">
        <f t="shared" si="525"/>
        <v>8.3349004853516817E-7</v>
      </c>
      <c r="AI103" s="13">
        <f t="shared" si="525"/>
        <v>5.4700514738215134E-5</v>
      </c>
      <c r="AJ103" s="11">
        <f t="shared" si="525"/>
        <v>1.0630905628204346E-2</v>
      </c>
      <c r="AK103" s="11">
        <f t="shared" si="525"/>
        <v>0.57057410478591919</v>
      </c>
      <c r="AL103" s="11">
        <f t="shared" si="525"/>
        <v>-0.15483522415161133</v>
      </c>
      <c r="AM103" s="11">
        <f t="shared" si="525"/>
        <v>-7.0070710182189941</v>
      </c>
      <c r="AN103" s="11">
        <f t="shared" si="525"/>
        <v>2.2691488265991211E-4</v>
      </c>
      <c r="AO103" s="11">
        <f t="shared" si="525"/>
        <v>-0.98938608169555664</v>
      </c>
      <c r="AP103" s="11">
        <f t="shared" si="525"/>
        <v>25.251379609107971</v>
      </c>
      <c r="AQ103" s="11">
        <f t="shared" si="525"/>
        <v>217550</v>
      </c>
      <c r="AR103" s="16">
        <f t="shared" si="525"/>
        <v>-425</v>
      </c>
      <c r="AS103" s="16">
        <f t="shared" si="525"/>
        <v>12700</v>
      </c>
      <c r="AT103" s="16">
        <f t="shared" si="525"/>
        <v>25.251379609107971</v>
      </c>
      <c r="AU103" s="7">
        <f t="shared" si="525"/>
        <v>0</v>
      </c>
      <c r="AV103" s="7">
        <f t="shared" si="525"/>
        <v>1206.25</v>
      </c>
      <c r="AW103" s="7">
        <f t="shared" si="525"/>
        <v>3.7999999523162842</v>
      </c>
      <c r="AX103" s="7">
        <f t="shared" si="525"/>
        <v>0</v>
      </c>
      <c r="AY103" s="11">
        <f t="shared" si="525"/>
        <v>27.880731225013733</v>
      </c>
      <c r="AZ103" s="16">
        <f t="shared" si="525"/>
        <v>1981450</v>
      </c>
      <c r="BA103" s="16">
        <f t="shared" si="525"/>
        <v>263900</v>
      </c>
      <c r="BB103" s="16">
        <f t="shared" si="525"/>
        <v>21470250</v>
      </c>
      <c r="BC103" s="11">
        <f t="shared" si="525"/>
        <v>1.852889358997345E-2</v>
      </c>
      <c r="BD103" s="11">
        <f t="shared" si="525"/>
        <v>5.6996941566467285E-7</v>
      </c>
      <c r="BE103" s="11">
        <f t="shared" si="525"/>
        <v>-3.7999999523162842</v>
      </c>
      <c r="BF103" s="11">
        <f t="shared" si="525"/>
        <v>0</v>
      </c>
      <c r="BG103" s="11">
        <f t="shared" si="525"/>
        <v>0.92220228910446167</v>
      </c>
      <c r="BH103" s="11">
        <f t="shared" si="525"/>
        <v>5.4836273193359375E-6</v>
      </c>
      <c r="BI103" s="13">
        <f t="shared" si="525"/>
        <v>8.0072648415807635E-5</v>
      </c>
      <c r="BJ103" s="13">
        <f t="shared" si="525"/>
        <v>4.8748916015028954E-9</v>
      </c>
      <c r="BK103" s="11">
        <f t="shared" si="525"/>
        <v>27.880731225013733</v>
      </c>
      <c r="BL103" s="12">
        <f t="shared" si="525"/>
        <v>26.41874885559082</v>
      </c>
      <c r="BM103" s="12">
        <f t="shared" si="525"/>
        <v>-4.76837158203125E-4</v>
      </c>
      <c r="BN103" s="13">
        <f t="shared" si="525"/>
        <v>-3.5822486877441406</v>
      </c>
      <c r="BO103" s="13">
        <f t="shared" si="525"/>
        <v>-3.8623809814453125E-5</v>
      </c>
      <c r="BP103" s="15">
        <f t="shared" si="525"/>
        <v>2.9255039635245339E-7</v>
      </c>
      <c r="BQ103" s="15">
        <f t="shared" si="525"/>
        <v>2.6290081223123707E-11</v>
      </c>
      <c r="BR103" s="14">
        <f t="shared" si="525"/>
        <v>9.7032630583271384E-4</v>
      </c>
      <c r="BS103" s="14">
        <f t="shared" si="525"/>
        <v>5.7683791965246201E-8</v>
      </c>
      <c r="BT103" s="14">
        <f t="shared" si="525"/>
        <v>1.3157134526409209E-4</v>
      </c>
      <c r="BU103" s="14">
        <f t="shared" si="525"/>
        <v>1.1612428352236748E-8</v>
      </c>
      <c r="BV103" s="11">
        <f t="shared" si="525"/>
        <v>111960.1953125</v>
      </c>
      <c r="BW103" s="11">
        <f t="shared" si="525"/>
        <v>-4.96875</v>
      </c>
      <c r="BX103" s="11">
        <f t="shared" si="525"/>
        <v>18648.373046875</v>
      </c>
      <c r="BY103" s="11">
        <f t="shared" si="525"/>
        <v>-0.248046875</v>
      </c>
      <c r="BZ103" s="7">
        <f t="shared" si="525"/>
        <v>7.9000000953674316</v>
      </c>
      <c r="CA103" s="7">
        <f t="shared" si="525"/>
        <v>8.3999996185302734</v>
      </c>
      <c r="CB103" s="7">
        <f t="shared" ref="CB103:CP103" si="526">IFERROR(VALUE(CB408),"-")</f>
        <v>3.7000000476837158</v>
      </c>
      <c r="CC103" s="7">
        <f t="shared" si="526"/>
        <v>3.7999999523162842</v>
      </c>
      <c r="CD103" s="7">
        <f t="shared" si="526"/>
        <v>3.8499999046325684</v>
      </c>
      <c r="CE103" s="3">
        <f t="shared" si="526"/>
        <v>5025</v>
      </c>
      <c r="CF103" s="7">
        <f t="shared" si="526"/>
        <v>3.7999999523162842</v>
      </c>
      <c r="CG103" s="3">
        <f t="shared" si="526"/>
        <v>10550</v>
      </c>
      <c r="CH103" s="7">
        <f t="shared" si="526"/>
        <v>6.0100002288818359</v>
      </c>
      <c r="CI103" s="7">
        <f t="shared" si="526"/>
        <v>1207.25</v>
      </c>
      <c r="CJ103" s="3">
        <f t="shared" si="526"/>
        <v>50</v>
      </c>
      <c r="CK103" s="7">
        <f t="shared" si="526"/>
        <v>1205.199951171875</v>
      </c>
      <c r="CL103" s="3">
        <f t="shared" si="526"/>
        <v>50</v>
      </c>
      <c r="CM103" s="7">
        <f t="shared" si="526"/>
        <v>1187.219970703125</v>
      </c>
      <c r="CN103" s="10">
        <f t="shared" si="526"/>
        <v>44783.638194444444</v>
      </c>
      <c r="CO103" s="10">
        <f t="shared" si="526"/>
        <v>44783.638194444444</v>
      </c>
      <c r="CP103" s="7">
        <f t="shared" si="526"/>
        <v>38295.69921875</v>
      </c>
      <c r="CQ103" s="7" t="str">
        <f t="shared" ref="CQ103" si="527">IFERROR(CQ408,"-")</f>
        <v>FairPrice</v>
      </c>
      <c r="CR103" s="10">
        <f t="shared" si="487"/>
        <v>44783.638194444444</v>
      </c>
      <c r="CS103" s="7">
        <f t="shared" si="487"/>
        <v>8.8068842887878418E-2</v>
      </c>
      <c r="CT103" s="7">
        <f t="shared" si="487"/>
        <v>3.4998909207966549E-3</v>
      </c>
      <c r="CU103" s="7">
        <f t="shared" si="487"/>
        <v>13125</v>
      </c>
      <c r="CV103" s="7">
        <f t="shared" si="487"/>
        <v>-3.2380952380952378E-2</v>
      </c>
      <c r="CW103" s="7">
        <f t="shared" si="487"/>
        <v>1206.25</v>
      </c>
      <c r="CX103" s="7">
        <f t="shared" si="487"/>
        <v>0</v>
      </c>
      <c r="CY103" s="7">
        <f t="shared" si="487"/>
        <v>3.7999999523162842</v>
      </c>
      <c r="CZ103" s="7">
        <f t="shared" si="487"/>
        <v>0</v>
      </c>
      <c r="DA103" s="7">
        <f t="shared" si="487"/>
        <v>1717550</v>
      </c>
      <c r="DB103" s="7">
        <f t="shared" si="487"/>
        <v>0.15364909318506012</v>
      </c>
      <c r="DC103" s="7">
        <f t="shared" si="487"/>
        <v>-4.0233135223388672E-4</v>
      </c>
      <c r="DD103" s="7">
        <f t="shared" si="487"/>
        <v>-1.4430236540437371E-5</v>
      </c>
      <c r="DE103" s="7">
        <f t="shared" si="487"/>
        <v>3.7999999523162842</v>
      </c>
      <c r="DF103" s="7">
        <f t="shared" si="487"/>
        <v>1206.25</v>
      </c>
      <c r="DG103" s="7">
        <f t="shared" si="487"/>
        <v>38295.69921875</v>
      </c>
      <c r="DH103" s="7" t="str">
        <f t="shared" ref="DH103:DJ103" si="528">IFERROR(DH408,"-")</f>
        <v>W</v>
      </c>
      <c r="DI103" s="7" t="str">
        <f t="shared" si="528"/>
        <v>W</v>
      </c>
      <c r="DJ103" s="7" t="str">
        <f t="shared" si="528"/>
        <v>G</v>
      </c>
      <c r="DK103" s="64">
        <f t="shared" ref="DK103:DS103" si="529">IFERROR(VALUE(DK408),"-")</f>
        <v>38300</v>
      </c>
      <c r="DL103" s="64">
        <f t="shared" si="529"/>
        <v>3400000</v>
      </c>
      <c r="DM103" s="64">
        <f t="shared" si="529"/>
        <v>38500</v>
      </c>
      <c r="DN103" s="64">
        <f t="shared" si="529"/>
        <v>0</v>
      </c>
      <c r="DO103" s="64">
        <f t="shared" si="529"/>
        <v>24500</v>
      </c>
      <c r="DP103" s="64">
        <f t="shared" si="529"/>
        <v>2863350</v>
      </c>
      <c r="DQ103" s="64">
        <f t="shared" si="529"/>
        <v>38000</v>
      </c>
      <c r="DR103" s="64">
        <f t="shared" si="529"/>
        <v>0</v>
      </c>
      <c r="DS103" s="64">
        <f t="shared" si="529"/>
        <v>24500</v>
      </c>
      <c r="DT103" t="str">
        <f t="shared" si="338"/>
        <v>BANKNIFTY</v>
      </c>
      <c r="DU103" s="10">
        <f t="shared" si="339"/>
        <v>44784</v>
      </c>
    </row>
    <row r="104" spans="1:125" x14ac:dyDescent="0.25">
      <c r="A104" t="s">
        <v>37</v>
      </c>
      <c r="B104" s="2">
        <v>44861</v>
      </c>
      <c r="C104" s="1">
        <v>1000</v>
      </c>
      <c r="D104">
        <v>66</v>
      </c>
      <c r="G104" t="str">
        <f t="array" ref="G104">IFERROR(INDEX($A$2:$A$700,MATCH(0,COUNTIF($G$1:G103,$A$2:$A$700),0)),"")</f>
        <v>INDUSINDBK</v>
      </c>
      <c r="M104" s="3"/>
      <c r="N104" s="3"/>
      <c r="O104" s="3">
        <f t="shared" si="340"/>
        <v>39600</v>
      </c>
      <c r="P104" s="7">
        <f t="shared" ref="P104:CA104" si="530">IFERROR(VALUE(P409),"-")</f>
        <v>1258.5999755859375</v>
      </c>
      <c r="Q104" s="7">
        <f t="shared" si="530"/>
        <v>1217.4000244140625</v>
      </c>
      <c r="R104" s="7">
        <f t="shared" si="530"/>
        <v>1429.5</v>
      </c>
      <c r="S104" s="7">
        <f t="shared" si="530"/>
        <v>1347.25</v>
      </c>
      <c r="T104" s="11">
        <f t="shared" si="530"/>
        <v>0</v>
      </c>
      <c r="U104" s="11">
        <f t="shared" si="530"/>
        <v>0</v>
      </c>
      <c r="V104" s="11">
        <f t="shared" si="530"/>
        <v>0</v>
      </c>
      <c r="W104" s="11">
        <f t="shared" si="530"/>
        <v>0</v>
      </c>
      <c r="X104" s="14">
        <f t="shared" si="530"/>
        <v>0</v>
      </c>
      <c r="Y104" s="14">
        <f t="shared" si="530"/>
        <v>0</v>
      </c>
      <c r="Z104" s="14">
        <f t="shared" si="530"/>
        <v>0</v>
      </c>
      <c r="AA104" s="14">
        <f t="shared" si="530"/>
        <v>0</v>
      </c>
      <c r="AB104" s="15">
        <f t="shared" si="530"/>
        <v>0</v>
      </c>
      <c r="AC104" s="15">
        <f t="shared" si="530"/>
        <v>0</v>
      </c>
      <c r="AD104" s="13">
        <f t="shared" si="530"/>
        <v>0</v>
      </c>
      <c r="AE104" s="13">
        <f t="shared" si="530"/>
        <v>0</v>
      </c>
      <c r="AF104" s="12">
        <f t="shared" si="530"/>
        <v>0</v>
      </c>
      <c r="AG104" s="12">
        <f t="shared" si="530"/>
        <v>0</v>
      </c>
      <c r="AH104" s="13">
        <f t="shared" si="530"/>
        <v>0</v>
      </c>
      <c r="AI104" s="13">
        <f t="shared" si="530"/>
        <v>0</v>
      </c>
      <c r="AJ104" s="11">
        <f t="shared" si="530"/>
        <v>0</v>
      </c>
      <c r="AK104" s="11">
        <f t="shared" si="530"/>
        <v>0</v>
      </c>
      <c r="AL104" s="11">
        <f t="shared" si="530"/>
        <v>0</v>
      </c>
      <c r="AM104" s="11">
        <f t="shared" si="530"/>
        <v>0</v>
      </c>
      <c r="AN104" s="11">
        <f t="shared" si="530"/>
        <v>0</v>
      </c>
      <c r="AO104" s="11">
        <f t="shared" si="530"/>
        <v>0</v>
      </c>
      <c r="AP104" s="11">
        <f t="shared" si="530"/>
        <v>0</v>
      </c>
      <c r="AQ104" s="11">
        <f t="shared" si="530"/>
        <v>2650</v>
      </c>
      <c r="AR104" s="16">
        <f t="shared" si="530"/>
        <v>175</v>
      </c>
      <c r="AS104" s="16">
        <f t="shared" si="530"/>
        <v>1025</v>
      </c>
      <c r="AT104" s="16">
        <f t="shared" si="530"/>
        <v>0</v>
      </c>
      <c r="AU104" s="7">
        <f t="shared" si="530"/>
        <v>0</v>
      </c>
      <c r="AV104" s="7">
        <f t="shared" si="530"/>
        <v>1258.5999755859375</v>
      </c>
      <c r="AW104" s="7">
        <f t="shared" si="530"/>
        <v>3.3499999046325684</v>
      </c>
      <c r="AX104" s="7">
        <f t="shared" si="530"/>
        <v>0</v>
      </c>
      <c r="AY104" s="11">
        <f t="shared" si="530"/>
        <v>29.274344444274902</v>
      </c>
      <c r="AZ104" s="16">
        <f t="shared" si="530"/>
        <v>433725</v>
      </c>
      <c r="BA104" s="16">
        <f t="shared" si="530"/>
        <v>124600</v>
      </c>
      <c r="BB104" s="16">
        <f t="shared" si="530"/>
        <v>5628725</v>
      </c>
      <c r="BC104" s="11">
        <f t="shared" si="530"/>
        <v>1.5854842960834503E-2</v>
      </c>
      <c r="BD104" s="11">
        <f t="shared" si="530"/>
        <v>4.5448541641235352E-7</v>
      </c>
      <c r="BE104" s="11">
        <f t="shared" si="530"/>
        <v>-3.3499999046325684</v>
      </c>
      <c r="BF104" s="11">
        <f t="shared" si="530"/>
        <v>0</v>
      </c>
      <c r="BG104" s="11">
        <f t="shared" si="530"/>
        <v>0.80720442533493042</v>
      </c>
      <c r="BH104" s="11">
        <f t="shared" si="530"/>
        <v>3.4570693969726563E-6</v>
      </c>
      <c r="BI104" s="13">
        <f t="shared" si="530"/>
        <v>6.6751468693837523E-5</v>
      </c>
      <c r="BJ104" s="13">
        <f t="shared" si="530"/>
        <v>3.7907739169895649E-9</v>
      </c>
      <c r="BK104" s="11">
        <f t="shared" si="530"/>
        <v>29.274344444274902</v>
      </c>
      <c r="BL104" s="12">
        <f t="shared" si="530"/>
        <v>29.617046356201172</v>
      </c>
      <c r="BM104" s="12">
        <f t="shared" si="530"/>
        <v>-5.37872314453125E-4</v>
      </c>
      <c r="BN104" s="13">
        <f t="shared" si="530"/>
        <v>-4.2166566848754883</v>
      </c>
      <c r="BO104" s="13">
        <f t="shared" si="530"/>
        <v>-5.53131103515625E-5</v>
      </c>
      <c r="BP104" s="15">
        <f t="shared" si="530"/>
        <v>2.3924778247419454E-7</v>
      </c>
      <c r="BQ104" s="15">
        <f t="shared" si="530"/>
        <v>2.0094148567295633E-11</v>
      </c>
      <c r="BR104" s="14">
        <f t="shared" si="530"/>
        <v>8.3170377183705568E-4</v>
      </c>
      <c r="BS104" s="14">
        <f t="shared" si="530"/>
        <v>4.5693013817071915E-8</v>
      </c>
      <c r="BT104" s="14">
        <f t="shared" si="530"/>
        <v>1.1841185187222436E-4</v>
      </c>
      <c r="BU104" s="14">
        <f t="shared" si="530"/>
        <v>1.021544449031353E-8</v>
      </c>
      <c r="BV104" s="11">
        <f t="shared" si="530"/>
        <v>129301.671875</v>
      </c>
      <c r="BW104" s="11">
        <f t="shared" si="530"/>
        <v>-5.671875</v>
      </c>
      <c r="BX104" s="11">
        <f t="shared" si="530"/>
        <v>22370.080078125</v>
      </c>
      <c r="BY104" s="11">
        <f t="shared" si="530"/>
        <v>-0.236328125</v>
      </c>
      <c r="BZ104" s="7">
        <f t="shared" si="530"/>
        <v>6</v>
      </c>
      <c r="CA104" s="7">
        <f t="shared" si="530"/>
        <v>7.0999999046325684</v>
      </c>
      <c r="CB104" s="7">
        <f t="shared" ref="CB104:CP104" si="531">IFERROR(VALUE(CB409),"-")</f>
        <v>3.2000000476837158</v>
      </c>
      <c r="CC104" s="7">
        <f t="shared" si="531"/>
        <v>3.3499999046325684</v>
      </c>
      <c r="CD104" s="7">
        <f t="shared" si="531"/>
        <v>3.4000000953674316</v>
      </c>
      <c r="CE104" s="3">
        <f t="shared" si="531"/>
        <v>3225</v>
      </c>
      <c r="CF104" s="7">
        <f t="shared" si="531"/>
        <v>3.3499999046325684</v>
      </c>
      <c r="CG104" s="3">
        <f t="shared" si="531"/>
        <v>225</v>
      </c>
      <c r="CH104" s="7">
        <f t="shared" si="531"/>
        <v>5.2100000381469727</v>
      </c>
      <c r="CI104" s="7">
        <f t="shared" si="531"/>
        <v>1309.1500244140625</v>
      </c>
      <c r="CJ104" s="3">
        <f t="shared" si="531"/>
        <v>25</v>
      </c>
      <c r="CK104" s="7">
        <f t="shared" si="531"/>
        <v>1303</v>
      </c>
      <c r="CL104" s="3">
        <f t="shared" si="531"/>
        <v>75</v>
      </c>
      <c r="CM104" s="7">
        <f t="shared" si="531"/>
        <v>1336.0400390625</v>
      </c>
      <c r="CN104" s="10">
        <f t="shared" si="531"/>
        <v>44783.638194444444</v>
      </c>
      <c r="CO104" s="10">
        <f t="shared" si="531"/>
        <v>44783.638194444444</v>
      </c>
      <c r="CP104" s="7">
        <f t="shared" si="531"/>
        <v>38295.69921875</v>
      </c>
      <c r="CQ104" s="7" t="str">
        <f t="shared" ref="CQ104" si="532">IFERROR(CQ409,"-")</f>
        <v>FairPrice</v>
      </c>
      <c r="CR104" s="10">
        <f t="shared" si="487"/>
        <v>44783.638194444444</v>
      </c>
      <c r="CS104" s="7">
        <f t="shared" si="487"/>
        <v>0</v>
      </c>
      <c r="CT104" s="7">
        <f t="shared" si="487"/>
        <v>0</v>
      </c>
      <c r="CU104" s="7">
        <f t="shared" si="487"/>
        <v>850</v>
      </c>
      <c r="CV104" s="7">
        <f t="shared" si="487"/>
        <v>0.20588235294117646</v>
      </c>
      <c r="CW104" s="7">
        <f t="shared" si="487"/>
        <v>1258.5999755859375</v>
      </c>
      <c r="CX104" s="7">
        <f t="shared" si="487"/>
        <v>0</v>
      </c>
      <c r="CY104" s="7">
        <f t="shared" si="487"/>
        <v>3.3499999046325684</v>
      </c>
      <c r="CZ104" s="7">
        <f t="shared" si="487"/>
        <v>0</v>
      </c>
      <c r="DA104" s="7">
        <f t="shared" si="487"/>
        <v>309125</v>
      </c>
      <c r="DB104" s="7">
        <f t="shared" si="487"/>
        <v>0.4030731904569349</v>
      </c>
      <c r="DC104" s="7">
        <f t="shared" si="487"/>
        <v>-3.4868717193603516E-4</v>
      </c>
      <c r="DD104" s="7">
        <f t="shared" si="487"/>
        <v>-1.1910873680908916E-5</v>
      </c>
      <c r="DE104" s="7">
        <f t="shared" si="487"/>
        <v>3.3499999046325684</v>
      </c>
      <c r="DF104" s="7">
        <f t="shared" si="487"/>
        <v>1258.5999755859375</v>
      </c>
      <c r="DG104" s="7">
        <f t="shared" si="487"/>
        <v>38295.69921875</v>
      </c>
      <c r="DH104" s="7" t="str">
        <f t="shared" ref="DH104:DJ104" si="533">IFERROR(DH409,"-")</f>
        <v>W</v>
      </c>
      <c r="DI104" s="7" t="str">
        <f t="shared" si="533"/>
        <v>W</v>
      </c>
      <c r="DJ104" s="7" t="str">
        <f t="shared" si="533"/>
        <v>G</v>
      </c>
      <c r="DK104" s="64">
        <f t="shared" ref="DK104:DS104" si="534">IFERROR(VALUE(DK409),"-")</f>
        <v>38300</v>
      </c>
      <c r="DL104" s="64">
        <f t="shared" si="534"/>
        <v>3400000</v>
      </c>
      <c r="DM104" s="64">
        <f t="shared" si="534"/>
        <v>38500</v>
      </c>
      <c r="DN104" s="64">
        <f t="shared" si="534"/>
        <v>0</v>
      </c>
      <c r="DO104" s="64">
        <f t="shared" si="534"/>
        <v>24500</v>
      </c>
      <c r="DP104" s="64">
        <f t="shared" si="534"/>
        <v>2863350</v>
      </c>
      <c r="DQ104" s="64">
        <f t="shared" si="534"/>
        <v>38000</v>
      </c>
      <c r="DR104" s="64">
        <f t="shared" si="534"/>
        <v>0</v>
      </c>
      <c r="DS104" s="64">
        <f t="shared" si="534"/>
        <v>24500</v>
      </c>
      <c r="DT104" t="str">
        <f t="shared" si="338"/>
        <v>BANKNIFTY</v>
      </c>
      <c r="DU104" s="10">
        <f t="shared" si="339"/>
        <v>44784</v>
      </c>
    </row>
    <row r="105" spans="1:125" x14ac:dyDescent="0.25">
      <c r="A105" t="s">
        <v>38</v>
      </c>
      <c r="B105" s="2">
        <v>44798</v>
      </c>
      <c r="C105" s="1">
        <v>950</v>
      </c>
      <c r="D105">
        <v>63</v>
      </c>
      <c r="G105" t="str">
        <f t="array" ref="G105">IFERROR(INDEX($A$2:$A$700,MATCH(0,COUNTIF($G$1:G104,$A$2:$A$700),0)),"")</f>
        <v>INDUSTOWER</v>
      </c>
      <c r="M105" s="3"/>
      <c r="N105" s="3"/>
      <c r="O105" s="3">
        <f t="shared" si="340"/>
        <v>39700</v>
      </c>
      <c r="P105" s="7">
        <f t="shared" ref="P105:CA105" si="535">IFERROR(VALUE(P410),"-")</f>
        <v>1401.8499755859375</v>
      </c>
      <c r="Q105" s="7">
        <f t="shared" si="535"/>
        <v>1325.75</v>
      </c>
      <c r="R105" s="7">
        <f t="shared" si="535"/>
        <v>1502.25</v>
      </c>
      <c r="S105" s="7">
        <f t="shared" si="535"/>
        <v>1432.550048828125</v>
      </c>
      <c r="T105" s="11">
        <f t="shared" si="535"/>
        <v>0</v>
      </c>
      <c r="U105" s="11">
        <f t="shared" si="535"/>
        <v>0</v>
      </c>
      <c r="V105" s="11">
        <f t="shared" si="535"/>
        <v>0</v>
      </c>
      <c r="W105" s="11">
        <f t="shared" si="535"/>
        <v>0</v>
      </c>
      <c r="X105" s="14">
        <f t="shared" si="535"/>
        <v>0</v>
      </c>
      <c r="Y105" s="14">
        <f t="shared" si="535"/>
        <v>0</v>
      </c>
      <c r="Z105" s="14">
        <f t="shared" si="535"/>
        <v>0</v>
      </c>
      <c r="AA105" s="14">
        <f t="shared" si="535"/>
        <v>0</v>
      </c>
      <c r="AB105" s="15">
        <f t="shared" si="535"/>
        <v>0</v>
      </c>
      <c r="AC105" s="15">
        <f t="shared" si="535"/>
        <v>0</v>
      </c>
      <c r="AD105" s="13">
        <f t="shared" si="535"/>
        <v>0</v>
      </c>
      <c r="AE105" s="13">
        <f t="shared" si="535"/>
        <v>0</v>
      </c>
      <c r="AF105" s="12">
        <f t="shared" si="535"/>
        <v>0</v>
      </c>
      <c r="AG105" s="12">
        <f t="shared" si="535"/>
        <v>0</v>
      </c>
      <c r="AH105" s="13">
        <f t="shared" si="535"/>
        <v>0</v>
      </c>
      <c r="AI105" s="13">
        <f t="shared" si="535"/>
        <v>0</v>
      </c>
      <c r="AJ105" s="11">
        <f t="shared" si="535"/>
        <v>0</v>
      </c>
      <c r="AK105" s="11">
        <f t="shared" si="535"/>
        <v>0</v>
      </c>
      <c r="AL105" s="11">
        <f t="shared" si="535"/>
        <v>0</v>
      </c>
      <c r="AM105" s="11">
        <f t="shared" si="535"/>
        <v>0</v>
      </c>
      <c r="AN105" s="11">
        <f t="shared" si="535"/>
        <v>0</v>
      </c>
      <c r="AO105" s="11">
        <f t="shared" si="535"/>
        <v>0</v>
      </c>
      <c r="AP105" s="11">
        <f t="shared" si="535"/>
        <v>0</v>
      </c>
      <c r="AQ105" s="11">
        <f t="shared" si="535"/>
        <v>1575</v>
      </c>
      <c r="AR105" s="16">
        <f t="shared" si="535"/>
        <v>225</v>
      </c>
      <c r="AS105" s="16">
        <f t="shared" si="535"/>
        <v>900</v>
      </c>
      <c r="AT105" s="16">
        <f t="shared" si="535"/>
        <v>0</v>
      </c>
      <c r="AU105" s="7">
        <f t="shared" si="535"/>
        <v>0</v>
      </c>
      <c r="AV105" s="7">
        <f t="shared" si="535"/>
        <v>1401.8499755859375</v>
      </c>
      <c r="AW105" s="7">
        <f t="shared" si="535"/>
        <v>2.9500000476837158</v>
      </c>
      <c r="AX105" s="7">
        <f t="shared" si="535"/>
        <v>-4.999995231628418E-2</v>
      </c>
      <c r="AY105" s="11">
        <f t="shared" si="535"/>
        <v>30.609458684921265</v>
      </c>
      <c r="AZ105" s="16">
        <f t="shared" si="535"/>
        <v>512325</v>
      </c>
      <c r="BA105" s="16">
        <f t="shared" si="535"/>
        <v>198075</v>
      </c>
      <c r="BB105" s="16">
        <f t="shared" si="535"/>
        <v>4580875</v>
      </c>
      <c r="BC105" s="11">
        <f t="shared" si="535"/>
        <v>1.3595863245427608E-2</v>
      </c>
      <c r="BD105" s="11">
        <f t="shared" si="535"/>
        <v>-1.7804466187953949E-4</v>
      </c>
      <c r="BE105" s="11">
        <f t="shared" si="535"/>
        <v>-2.9500000476837158</v>
      </c>
      <c r="BF105" s="11">
        <f t="shared" si="535"/>
        <v>4.999995231628418E-2</v>
      </c>
      <c r="BG105" s="11">
        <f t="shared" si="535"/>
        <v>0.70722126960754395</v>
      </c>
      <c r="BH105" s="11">
        <f t="shared" si="535"/>
        <v>-7.9979896545410156E-3</v>
      </c>
      <c r="BI105" s="13">
        <f t="shared" si="535"/>
        <v>5.5932188843144104E-5</v>
      </c>
      <c r="BJ105" s="13">
        <f t="shared" si="535"/>
        <v>-5.0008020480163395E-7</v>
      </c>
      <c r="BK105" s="11">
        <f t="shared" si="535"/>
        <v>30.609458684921265</v>
      </c>
      <c r="BL105" s="12">
        <f t="shared" si="535"/>
        <v>33.247425079345703</v>
      </c>
      <c r="BM105" s="12">
        <f t="shared" si="535"/>
        <v>0.52123260498046875</v>
      </c>
      <c r="BN105" s="13">
        <f t="shared" si="535"/>
        <v>-4.9494051933288574</v>
      </c>
      <c r="BO105" s="13">
        <f t="shared" si="535"/>
        <v>-6.6567420959472656E-2</v>
      </c>
      <c r="BP105" s="15">
        <f t="shared" si="535"/>
        <v>1.9711907839337073E-7</v>
      </c>
      <c r="BQ105" s="15">
        <f t="shared" si="535"/>
        <v>-8.3683460161410039E-10</v>
      </c>
      <c r="BR105" s="14">
        <f t="shared" si="535"/>
        <v>7.152864127419889E-4</v>
      </c>
      <c r="BS105" s="14">
        <f t="shared" si="535"/>
        <v>-6.0512684285640717E-7</v>
      </c>
      <c r="BT105" s="14">
        <f t="shared" si="535"/>
        <v>1.0648169700289145E-4</v>
      </c>
      <c r="BU105" s="14">
        <f t="shared" si="535"/>
        <v>-3.3128162613138556E-7</v>
      </c>
      <c r="BV105" s="11">
        <f t="shared" si="535"/>
        <v>149253.4375</v>
      </c>
      <c r="BW105" s="11">
        <f t="shared" si="535"/>
        <v>2675.34375</v>
      </c>
      <c r="BX105" s="11">
        <f t="shared" si="535"/>
        <v>26739.814453125</v>
      </c>
      <c r="BY105" s="11">
        <f t="shared" si="535"/>
        <v>399.453125</v>
      </c>
      <c r="BZ105" s="7">
        <f t="shared" si="535"/>
        <v>5.9000000953674316</v>
      </c>
      <c r="CA105" s="7">
        <f t="shared" si="535"/>
        <v>6.4499998092651367</v>
      </c>
      <c r="CB105" s="7">
        <f t="shared" ref="CB105:CP105" si="536">IFERROR(VALUE(CB410),"-")</f>
        <v>2.8499999046325684</v>
      </c>
      <c r="CC105" s="7">
        <f t="shared" si="536"/>
        <v>2.9500000476837158</v>
      </c>
      <c r="CD105" s="7">
        <f t="shared" si="536"/>
        <v>3</v>
      </c>
      <c r="CE105" s="3">
        <f t="shared" si="536"/>
        <v>2100</v>
      </c>
      <c r="CF105" s="7">
        <f t="shared" si="536"/>
        <v>2.9500000476837158</v>
      </c>
      <c r="CG105" s="3">
        <f t="shared" si="536"/>
        <v>850</v>
      </c>
      <c r="CH105" s="7">
        <f t="shared" si="536"/>
        <v>4.6399998664855957</v>
      </c>
      <c r="CI105" s="7">
        <f t="shared" si="536"/>
        <v>1406.800048828125</v>
      </c>
      <c r="CJ105" s="3">
        <f t="shared" si="536"/>
        <v>50</v>
      </c>
      <c r="CK105" s="7">
        <f t="shared" si="536"/>
        <v>1402.25</v>
      </c>
      <c r="CL105" s="3">
        <f t="shared" si="536"/>
        <v>75</v>
      </c>
      <c r="CM105" s="7">
        <f t="shared" si="536"/>
        <v>1427.6199951171875</v>
      </c>
      <c r="CN105" s="10">
        <f t="shared" si="536"/>
        <v>44783.638194444444</v>
      </c>
      <c r="CO105" s="10">
        <f t="shared" si="536"/>
        <v>44783.638194444444</v>
      </c>
      <c r="CP105" s="7">
        <f t="shared" si="536"/>
        <v>38295.69921875</v>
      </c>
      <c r="CQ105" s="7" t="str">
        <f t="shared" ref="CQ105" si="537">IFERROR(CQ410,"-")</f>
        <v>FairPrice</v>
      </c>
      <c r="CR105" s="10">
        <f t="shared" si="487"/>
        <v>44783.638194444444</v>
      </c>
      <c r="CS105" s="7">
        <f t="shared" si="487"/>
        <v>0</v>
      </c>
      <c r="CT105" s="7">
        <f t="shared" si="487"/>
        <v>0</v>
      </c>
      <c r="CU105" s="7">
        <f t="shared" si="487"/>
        <v>675</v>
      </c>
      <c r="CV105" s="7">
        <f t="shared" si="487"/>
        <v>0.33333333333333331</v>
      </c>
      <c r="CW105" s="7">
        <f t="shared" si="487"/>
        <v>1401.8499755859375</v>
      </c>
      <c r="CX105" s="7">
        <f t="shared" si="487"/>
        <v>0</v>
      </c>
      <c r="CY105" s="7">
        <f t="shared" si="487"/>
        <v>2.9500000476837158</v>
      </c>
      <c r="CZ105" s="7">
        <f t="shared" si="487"/>
        <v>-1.6666650772094727E-2</v>
      </c>
      <c r="DA105" s="7">
        <f t="shared" si="487"/>
        <v>314250</v>
      </c>
      <c r="DB105" s="7">
        <f t="shared" si="487"/>
        <v>0.63031026252983291</v>
      </c>
      <c r="DC105" s="7">
        <f t="shared" si="487"/>
        <v>-7.0601701736450195E-2</v>
      </c>
      <c r="DD105" s="7">
        <f t="shared" si="487"/>
        <v>-2.3012243407171972E-3</v>
      </c>
      <c r="DE105" s="7">
        <f t="shared" si="487"/>
        <v>2.9500000476837158</v>
      </c>
      <c r="DF105" s="7">
        <f t="shared" si="487"/>
        <v>1401.8499755859375</v>
      </c>
      <c r="DG105" s="7">
        <f t="shared" si="487"/>
        <v>38295.69921875</v>
      </c>
      <c r="DH105" s="7" t="str">
        <f t="shared" ref="DH105:DJ105" si="538">IFERROR(DH410,"-")</f>
        <v>R</v>
      </c>
      <c r="DI105" s="7" t="str">
        <f t="shared" si="538"/>
        <v>W</v>
      </c>
      <c r="DJ105" s="7" t="str">
        <f t="shared" si="538"/>
        <v>G</v>
      </c>
      <c r="DK105" s="64">
        <f t="shared" ref="DK105:DS105" si="539">IFERROR(VALUE(DK410),"-")</f>
        <v>38300</v>
      </c>
      <c r="DL105" s="64">
        <f t="shared" si="539"/>
        <v>3400000</v>
      </c>
      <c r="DM105" s="64">
        <f t="shared" si="539"/>
        <v>38500</v>
      </c>
      <c r="DN105" s="64">
        <f t="shared" si="539"/>
        <v>0</v>
      </c>
      <c r="DO105" s="64">
        <f t="shared" si="539"/>
        <v>24500</v>
      </c>
      <c r="DP105" s="64">
        <f t="shared" si="539"/>
        <v>2863350</v>
      </c>
      <c r="DQ105" s="64">
        <f t="shared" si="539"/>
        <v>38000</v>
      </c>
      <c r="DR105" s="64">
        <f t="shared" si="539"/>
        <v>0</v>
      </c>
      <c r="DS105" s="64">
        <f t="shared" si="539"/>
        <v>24500</v>
      </c>
      <c r="DT105" t="str">
        <f t="shared" si="338"/>
        <v>BANKNIFTY</v>
      </c>
      <c r="DU105" s="10">
        <f t="shared" si="339"/>
        <v>44784</v>
      </c>
    </row>
    <row r="106" spans="1:125" x14ac:dyDescent="0.25">
      <c r="A106" t="s">
        <v>38</v>
      </c>
      <c r="B106" s="2">
        <v>44833</v>
      </c>
      <c r="C106" s="1">
        <v>950</v>
      </c>
      <c r="D106">
        <v>63</v>
      </c>
      <c r="G106" t="str">
        <f t="array" ref="G106">IFERROR(INDEX($A$2:$A$700,MATCH(0,COUNTIF($G$1:G105,$A$2:$A$700),0)),"")</f>
        <v>INFY</v>
      </c>
      <c r="M106" s="3"/>
      <c r="N106" s="3"/>
      <c r="O106" s="3">
        <f t="shared" si="340"/>
        <v>39800</v>
      </c>
      <c r="P106" s="7">
        <f t="shared" ref="P106:CA106" si="540">IFERROR(VALUE(P411),"-")</f>
        <v>1581.75</v>
      </c>
      <c r="Q106" s="7">
        <f t="shared" si="540"/>
        <v>1449.25</v>
      </c>
      <c r="R106" s="7">
        <f t="shared" si="540"/>
        <v>1623.199951171875</v>
      </c>
      <c r="S106" s="7">
        <f t="shared" si="540"/>
        <v>1550.5999755859375</v>
      </c>
      <c r="T106" s="11">
        <f t="shared" si="540"/>
        <v>-10.0638427734375</v>
      </c>
      <c r="U106" s="11">
        <f t="shared" si="540"/>
        <v>1804.0360107421875</v>
      </c>
      <c r="V106" s="11">
        <f t="shared" si="540"/>
        <v>-32.33544921875</v>
      </c>
      <c r="W106" s="11">
        <f t="shared" si="540"/>
        <v>3436.633544921875</v>
      </c>
      <c r="X106" s="14">
        <f t="shared" si="540"/>
        <v>-4.4595799408853054E-7</v>
      </c>
      <c r="Y106" s="14">
        <f t="shared" si="540"/>
        <v>2.8580609068740159E-5</v>
      </c>
      <c r="Z106" s="14">
        <f t="shared" si="540"/>
        <v>-1.6579069779254496E-6</v>
      </c>
      <c r="AA106" s="14">
        <f t="shared" si="540"/>
        <v>9.4448863819707185E-5</v>
      </c>
      <c r="AB106" s="15">
        <f t="shared" si="540"/>
        <v>-4.4832404455519281E-10</v>
      </c>
      <c r="AC106" s="15">
        <f t="shared" si="540"/>
        <v>1.4380955803972029E-7</v>
      </c>
      <c r="AD106" s="13">
        <f t="shared" si="540"/>
        <v>2.2991597652435303E-3</v>
      </c>
      <c r="AE106" s="13">
        <f t="shared" si="540"/>
        <v>-0.44483312964439392</v>
      </c>
      <c r="AF106" s="12">
        <f t="shared" si="540"/>
        <v>-1.0434985160827637E-2</v>
      </c>
      <c r="AG106" s="12">
        <f t="shared" si="540"/>
        <v>1.4700170755386353</v>
      </c>
      <c r="AH106" s="13">
        <f t="shared" si="540"/>
        <v>1.889857230708003E-7</v>
      </c>
      <c r="AI106" s="13">
        <f t="shared" si="540"/>
        <v>1.6279390547424555E-4</v>
      </c>
      <c r="AJ106" s="11">
        <f t="shared" si="540"/>
        <v>1.262664794921875E-2</v>
      </c>
      <c r="AK106" s="11">
        <f t="shared" si="540"/>
        <v>4.1845407485961914</v>
      </c>
      <c r="AL106" s="11">
        <f t="shared" si="540"/>
        <v>-0.62401580810546875</v>
      </c>
      <c r="AM106" s="11">
        <f t="shared" si="540"/>
        <v>-126.62590026855469</v>
      </c>
      <c r="AN106" s="11">
        <f t="shared" si="540"/>
        <v>5.4079294204711914E-4</v>
      </c>
      <c r="AO106" s="11">
        <f t="shared" si="540"/>
        <v>-0.87497454881668091</v>
      </c>
      <c r="AP106" s="11">
        <f t="shared" si="540"/>
        <v>62.223464250564575</v>
      </c>
      <c r="AQ106" s="11">
        <f t="shared" si="540"/>
        <v>300</v>
      </c>
      <c r="AR106" s="16">
        <f t="shared" si="540"/>
        <v>0</v>
      </c>
      <c r="AS106" s="16">
        <f t="shared" si="540"/>
        <v>125</v>
      </c>
      <c r="AT106" s="16">
        <f t="shared" si="540"/>
        <v>62.223464250564575</v>
      </c>
      <c r="AU106" s="7">
        <f t="shared" si="540"/>
        <v>0</v>
      </c>
      <c r="AV106" s="7">
        <f t="shared" si="540"/>
        <v>1581.75</v>
      </c>
      <c r="AW106" s="7">
        <f t="shared" si="540"/>
        <v>2.7999999523162842</v>
      </c>
      <c r="AX106" s="7">
        <f t="shared" si="540"/>
        <v>0</v>
      </c>
      <c r="AY106" s="11">
        <f t="shared" si="540"/>
        <v>32.220342755317688</v>
      </c>
      <c r="AZ106" s="16">
        <f t="shared" si="540"/>
        <v>447700</v>
      </c>
      <c r="BA106" s="16">
        <f t="shared" si="540"/>
        <v>12800</v>
      </c>
      <c r="BB106" s="16">
        <f t="shared" si="540"/>
        <v>4037725</v>
      </c>
      <c r="BC106" s="11">
        <f t="shared" si="540"/>
        <v>1.2391692027449608E-2</v>
      </c>
      <c r="BD106" s="11">
        <f t="shared" si="540"/>
        <v>3.119930624961853E-7</v>
      </c>
      <c r="BE106" s="11">
        <f t="shared" si="540"/>
        <v>-2.7999999523162842</v>
      </c>
      <c r="BF106" s="11">
        <f t="shared" si="540"/>
        <v>0</v>
      </c>
      <c r="BG106" s="11">
        <f t="shared" si="540"/>
        <v>0.65272748470306396</v>
      </c>
      <c r="BH106" s="11">
        <f t="shared" si="540"/>
        <v>1.0132789611816406E-6</v>
      </c>
      <c r="BI106" s="13">
        <f t="shared" si="540"/>
        <v>4.9041773308999836E-5</v>
      </c>
      <c r="BJ106" s="13">
        <f t="shared" si="540"/>
        <v>2.4483597371727228E-9</v>
      </c>
      <c r="BK106" s="11">
        <f t="shared" si="540"/>
        <v>32.220342755317688</v>
      </c>
      <c r="BL106" s="12">
        <f t="shared" si="540"/>
        <v>34.789012908935547</v>
      </c>
      <c r="BM106" s="12">
        <f t="shared" si="540"/>
        <v>-6.40869140625E-4</v>
      </c>
      <c r="BN106" s="13">
        <f t="shared" si="540"/>
        <v>-5.451444149017334</v>
      </c>
      <c r="BO106" s="13">
        <f t="shared" si="540"/>
        <v>-9.2029571533203125E-5</v>
      </c>
      <c r="BP106" s="15">
        <f t="shared" si="540"/>
        <v>1.6682749048868573E-7</v>
      </c>
      <c r="BQ106" s="15">
        <f t="shared" si="540"/>
        <v>1.2335021892795339E-11</v>
      </c>
      <c r="BR106" s="14">
        <f t="shared" si="540"/>
        <v>6.20602339040488E-4</v>
      </c>
      <c r="BS106" s="14">
        <f t="shared" si="540"/>
        <v>2.9045622795820236E-8</v>
      </c>
      <c r="BT106" s="14">
        <f t="shared" si="540"/>
        <v>9.7248499514535069E-5</v>
      </c>
      <c r="BU106" s="14">
        <f t="shared" si="540"/>
        <v>7.9890014603734016E-9</v>
      </c>
      <c r="BV106" s="11">
        <f t="shared" si="540"/>
        <v>158719.5</v>
      </c>
      <c r="BW106" s="11">
        <f t="shared" si="540"/>
        <v>-6.84375</v>
      </c>
      <c r="BX106" s="11">
        <f t="shared" si="540"/>
        <v>29769.873046875</v>
      </c>
      <c r="BY106" s="11">
        <f t="shared" si="540"/>
        <v>-0.1875</v>
      </c>
      <c r="BZ106" s="7">
        <f t="shared" si="540"/>
        <v>4.25</v>
      </c>
      <c r="CA106" s="7">
        <f t="shared" si="540"/>
        <v>5.5500001907348633</v>
      </c>
      <c r="CB106" s="7">
        <f t="shared" ref="CB106:CP106" si="541">IFERROR(VALUE(CB411),"-")</f>
        <v>2.7000000476837158</v>
      </c>
      <c r="CC106" s="7">
        <f t="shared" si="541"/>
        <v>2.7999999523162842</v>
      </c>
      <c r="CD106" s="7">
        <f t="shared" si="541"/>
        <v>2.7999999523162842</v>
      </c>
      <c r="CE106" s="3">
        <f t="shared" si="541"/>
        <v>925</v>
      </c>
      <c r="CF106" s="7">
        <f t="shared" si="541"/>
        <v>2.75</v>
      </c>
      <c r="CG106" s="3">
        <f t="shared" si="541"/>
        <v>500</v>
      </c>
      <c r="CH106" s="7">
        <f t="shared" si="541"/>
        <v>4.2300000190734863</v>
      </c>
      <c r="CI106" s="7">
        <f t="shared" si="541"/>
        <v>1508.6500244140625</v>
      </c>
      <c r="CJ106" s="3">
        <f t="shared" si="541"/>
        <v>25</v>
      </c>
      <c r="CK106" s="7">
        <f t="shared" si="541"/>
        <v>1501.699951171875</v>
      </c>
      <c r="CL106" s="3">
        <f t="shared" si="541"/>
        <v>75</v>
      </c>
      <c r="CM106" s="7">
        <f t="shared" si="541"/>
        <v>1563.2900390625</v>
      </c>
      <c r="CN106" s="10">
        <f t="shared" si="541"/>
        <v>44783.638194444444</v>
      </c>
      <c r="CO106" s="10">
        <f t="shared" si="541"/>
        <v>44783.638194444444</v>
      </c>
      <c r="CP106" s="7">
        <f t="shared" si="541"/>
        <v>38295.69921875</v>
      </c>
      <c r="CQ106" s="7" t="str">
        <f t="shared" ref="CQ106" si="542">IFERROR(CQ411,"-")</f>
        <v>FairPrice</v>
      </c>
      <c r="CR106" s="10">
        <f t="shared" si="487"/>
        <v>44783.638194444444</v>
      </c>
      <c r="CS106" s="7">
        <f t="shared" si="487"/>
        <v>0.11655688285827637</v>
      </c>
      <c r="CT106" s="7">
        <f t="shared" si="487"/>
        <v>1.8767136828790544E-3</v>
      </c>
      <c r="CU106" s="7">
        <f t="shared" si="487"/>
        <v>125</v>
      </c>
      <c r="CV106" s="7">
        <f t="shared" si="487"/>
        <v>0</v>
      </c>
      <c r="CW106" s="7">
        <f t="shared" si="487"/>
        <v>1581.75</v>
      </c>
      <c r="CX106" s="7">
        <f t="shared" si="487"/>
        <v>0</v>
      </c>
      <c r="CY106" s="7">
        <f t="shared" si="487"/>
        <v>2.7999999523162842</v>
      </c>
      <c r="CZ106" s="7">
        <f t="shared" si="487"/>
        <v>0</v>
      </c>
      <c r="DA106" s="7">
        <f t="shared" si="487"/>
        <v>434900</v>
      </c>
      <c r="DB106" s="7">
        <f t="shared" si="487"/>
        <v>2.943205334559669E-2</v>
      </c>
      <c r="DC106" s="7">
        <f t="shared" si="487"/>
        <v>-2.5331974029541016E-4</v>
      </c>
      <c r="DD106" s="7">
        <f t="shared" si="487"/>
        <v>-7.8620438835240969E-6</v>
      </c>
      <c r="DE106" s="7">
        <f t="shared" si="487"/>
        <v>2.7999999523162842</v>
      </c>
      <c r="DF106" s="7">
        <f t="shared" si="487"/>
        <v>1581.75</v>
      </c>
      <c r="DG106" s="7">
        <f t="shared" si="487"/>
        <v>38295.69921875</v>
      </c>
      <c r="DH106" s="7" t="str">
        <f t="shared" ref="DH106:DJ106" si="543">IFERROR(DH411,"-")</f>
        <v>W</v>
      </c>
      <c r="DI106" s="7" t="str">
        <f t="shared" si="543"/>
        <v>W</v>
      </c>
      <c r="DJ106" s="7" t="str">
        <f t="shared" si="543"/>
        <v>G</v>
      </c>
      <c r="DK106" s="64">
        <f t="shared" ref="DK106:DS106" si="544">IFERROR(VALUE(DK411),"-")</f>
        <v>38300</v>
      </c>
      <c r="DL106" s="64">
        <f t="shared" si="544"/>
        <v>3400000</v>
      </c>
      <c r="DM106" s="64">
        <f t="shared" si="544"/>
        <v>38500</v>
      </c>
      <c r="DN106" s="64">
        <f t="shared" si="544"/>
        <v>0</v>
      </c>
      <c r="DO106" s="64">
        <f t="shared" si="544"/>
        <v>24500</v>
      </c>
      <c r="DP106" s="64">
        <f t="shared" si="544"/>
        <v>2863350</v>
      </c>
      <c r="DQ106" s="64">
        <f t="shared" si="544"/>
        <v>38000</v>
      </c>
      <c r="DR106" s="64">
        <f t="shared" si="544"/>
        <v>0</v>
      </c>
      <c r="DS106" s="64">
        <f t="shared" si="544"/>
        <v>24500</v>
      </c>
      <c r="DT106" t="str">
        <f t="shared" si="338"/>
        <v>BANKNIFTY</v>
      </c>
      <c r="DU106" s="10">
        <f t="shared" si="339"/>
        <v>44784</v>
      </c>
    </row>
    <row r="107" spans="1:125" x14ac:dyDescent="0.25">
      <c r="A107" t="s">
        <v>38</v>
      </c>
      <c r="B107" s="2">
        <v>44861</v>
      </c>
      <c r="C107" s="1">
        <v>950</v>
      </c>
      <c r="D107">
        <v>63</v>
      </c>
      <c r="G107" t="str">
        <f t="array" ref="G107">IFERROR(INDEX($A$2:$A$700,MATCH(0,COUNTIF($G$1:G106,$A$2:$A$700),0)),"")</f>
        <v>INTELLECT</v>
      </c>
      <c r="M107" s="3"/>
      <c r="N107" s="3"/>
      <c r="O107" s="3">
        <f t="shared" si="340"/>
        <v>39900</v>
      </c>
      <c r="P107" s="7">
        <f t="shared" ref="P107:CA107" si="545">IFERROR(VALUE(P412),"-")</f>
        <v>1563.3499755859375</v>
      </c>
      <c r="Q107" s="7">
        <f t="shared" si="545"/>
        <v>1541.25</v>
      </c>
      <c r="R107" s="7">
        <f t="shared" si="545"/>
        <v>1700</v>
      </c>
      <c r="S107" s="7">
        <f t="shared" si="545"/>
        <v>1541.25</v>
      </c>
      <c r="T107" s="11">
        <f t="shared" si="545"/>
        <v>0</v>
      </c>
      <c r="U107" s="11">
        <f t="shared" si="545"/>
        <v>0</v>
      </c>
      <c r="V107" s="11">
        <f t="shared" si="545"/>
        <v>0</v>
      </c>
      <c r="W107" s="11">
        <f t="shared" si="545"/>
        <v>0</v>
      </c>
      <c r="X107" s="14">
        <f t="shared" si="545"/>
        <v>0</v>
      </c>
      <c r="Y107" s="14">
        <f t="shared" si="545"/>
        <v>0</v>
      </c>
      <c r="Z107" s="14">
        <f t="shared" si="545"/>
        <v>0</v>
      </c>
      <c r="AA107" s="14">
        <f t="shared" si="545"/>
        <v>0</v>
      </c>
      <c r="AB107" s="15">
        <f t="shared" si="545"/>
        <v>0</v>
      </c>
      <c r="AC107" s="15">
        <f t="shared" si="545"/>
        <v>0</v>
      </c>
      <c r="AD107" s="13">
        <f t="shared" si="545"/>
        <v>0</v>
      </c>
      <c r="AE107" s="13">
        <f t="shared" si="545"/>
        <v>0</v>
      </c>
      <c r="AF107" s="12">
        <f t="shared" si="545"/>
        <v>0</v>
      </c>
      <c r="AG107" s="12">
        <f t="shared" si="545"/>
        <v>0</v>
      </c>
      <c r="AH107" s="13">
        <f t="shared" si="545"/>
        <v>0</v>
      </c>
      <c r="AI107" s="13">
        <f t="shared" si="545"/>
        <v>0</v>
      </c>
      <c r="AJ107" s="11">
        <f t="shared" si="545"/>
        <v>0</v>
      </c>
      <c r="AK107" s="11">
        <f t="shared" si="545"/>
        <v>0</v>
      </c>
      <c r="AL107" s="11">
        <f t="shared" si="545"/>
        <v>0</v>
      </c>
      <c r="AM107" s="11">
        <f t="shared" si="545"/>
        <v>0</v>
      </c>
      <c r="AN107" s="11">
        <f t="shared" si="545"/>
        <v>0</v>
      </c>
      <c r="AO107" s="11">
        <f t="shared" si="545"/>
        <v>0</v>
      </c>
      <c r="AP107" s="11">
        <f t="shared" si="545"/>
        <v>0</v>
      </c>
      <c r="AQ107" s="11">
        <f t="shared" si="545"/>
        <v>525</v>
      </c>
      <c r="AR107" s="16">
        <f t="shared" si="545"/>
        <v>-75</v>
      </c>
      <c r="AS107" s="16">
        <f t="shared" si="545"/>
        <v>225</v>
      </c>
      <c r="AT107" s="16">
        <f t="shared" si="545"/>
        <v>0</v>
      </c>
      <c r="AU107" s="7">
        <f t="shared" si="545"/>
        <v>0</v>
      </c>
      <c r="AV107" s="7">
        <f t="shared" si="545"/>
        <v>1563.3499755859375</v>
      </c>
      <c r="AW107" s="7">
        <f t="shared" si="545"/>
        <v>2.5999999046325684</v>
      </c>
      <c r="AX107" s="7">
        <f t="shared" si="545"/>
        <v>0</v>
      </c>
      <c r="AY107" s="11">
        <f t="shared" si="545"/>
        <v>33.698338270187378</v>
      </c>
      <c r="AZ107" s="16">
        <f t="shared" si="545"/>
        <v>299075</v>
      </c>
      <c r="BA107" s="16">
        <f t="shared" si="545"/>
        <v>60025</v>
      </c>
      <c r="BB107" s="16">
        <f t="shared" si="545"/>
        <v>2122625</v>
      </c>
      <c r="BC107" s="11">
        <f t="shared" si="545"/>
        <v>1.1135032400488853E-2</v>
      </c>
      <c r="BD107" s="11">
        <f t="shared" si="545"/>
        <v>2.9047951102256775E-6</v>
      </c>
      <c r="BE107" s="11">
        <f t="shared" si="545"/>
        <v>-2.5999999046325684</v>
      </c>
      <c r="BF107" s="11">
        <f t="shared" si="545"/>
        <v>0</v>
      </c>
      <c r="BG107" s="11">
        <f t="shared" si="545"/>
        <v>0.59489285945892334</v>
      </c>
      <c r="BH107" s="11">
        <f t="shared" si="545"/>
        <v>1.3065338134765625E-4</v>
      </c>
      <c r="BI107" s="13">
        <f t="shared" si="545"/>
        <v>4.2734121961984783E-5</v>
      </c>
      <c r="BJ107" s="13">
        <f t="shared" si="545"/>
        <v>2.212982508353889E-8</v>
      </c>
      <c r="BK107" s="11">
        <f t="shared" si="545"/>
        <v>33.698338270187378</v>
      </c>
      <c r="BL107" s="12">
        <f t="shared" si="545"/>
        <v>37.171535491943359</v>
      </c>
      <c r="BM107" s="12">
        <f t="shared" si="545"/>
        <v>4.2724609375E-4</v>
      </c>
      <c r="BN107" s="13">
        <f t="shared" si="545"/>
        <v>-6.0917148590087891</v>
      </c>
      <c r="BO107" s="13">
        <f t="shared" si="545"/>
        <v>1.3957023620605469E-3</v>
      </c>
      <c r="BP107" s="15">
        <f t="shared" si="545"/>
        <v>1.4149853200251528E-7</v>
      </c>
      <c r="BQ107" s="15">
        <f t="shared" si="545"/>
        <v>1.0858514087885851E-10</v>
      </c>
      <c r="BR107" s="14">
        <f t="shared" si="545"/>
        <v>5.4091651691123843E-4</v>
      </c>
      <c r="BS107" s="14">
        <f t="shared" si="545"/>
        <v>3.7421705201268196E-7</v>
      </c>
      <c r="BT107" s="14">
        <f t="shared" si="545"/>
        <v>8.8646032963879406E-5</v>
      </c>
      <c r="BU107" s="14">
        <f t="shared" si="545"/>
        <v>4.0010490920394659E-8</v>
      </c>
      <c r="BV107" s="11">
        <f t="shared" si="545"/>
        <v>172688.390625</v>
      </c>
      <c r="BW107" s="11">
        <f t="shared" si="545"/>
        <v>-6.765625</v>
      </c>
      <c r="BX107" s="11">
        <f t="shared" si="545"/>
        <v>33675.11328125</v>
      </c>
      <c r="BY107" s="11">
        <f t="shared" si="545"/>
        <v>-8.9453125</v>
      </c>
      <c r="BZ107" s="7">
        <f t="shared" si="545"/>
        <v>4.75</v>
      </c>
      <c r="CA107" s="7">
        <f t="shared" si="545"/>
        <v>5.4000000953674316</v>
      </c>
      <c r="CB107" s="7">
        <f t="shared" ref="CB107:CP107" si="546">IFERROR(VALUE(CB412),"-")</f>
        <v>2.3499999046325684</v>
      </c>
      <c r="CC107" s="7">
        <f t="shared" si="546"/>
        <v>2.5999999046325684</v>
      </c>
      <c r="CD107" s="7">
        <f t="shared" si="546"/>
        <v>2.6500000953674316</v>
      </c>
      <c r="CE107" s="3">
        <f t="shared" si="546"/>
        <v>2550</v>
      </c>
      <c r="CF107" s="7">
        <f t="shared" si="546"/>
        <v>2.5999999046325684</v>
      </c>
      <c r="CG107" s="3">
        <f t="shared" si="546"/>
        <v>1250</v>
      </c>
      <c r="CH107" s="7">
        <f t="shared" si="546"/>
        <v>3.8399999141693115</v>
      </c>
      <c r="CI107" s="7">
        <f t="shared" si="546"/>
        <v>1621.5</v>
      </c>
      <c r="CJ107" s="3">
        <f t="shared" si="546"/>
        <v>125</v>
      </c>
      <c r="CK107" s="7">
        <f t="shared" si="546"/>
        <v>1588.949951171875</v>
      </c>
      <c r="CL107" s="3">
        <f t="shared" si="546"/>
        <v>125</v>
      </c>
      <c r="CM107" s="7">
        <f t="shared" si="546"/>
        <v>1645.280029296875</v>
      </c>
      <c r="CN107" s="10">
        <f t="shared" si="546"/>
        <v>44783.638194444444</v>
      </c>
      <c r="CO107" s="10">
        <f t="shared" si="546"/>
        <v>44783.638194444444</v>
      </c>
      <c r="CP107" s="7">
        <f t="shared" si="546"/>
        <v>38295.69921875</v>
      </c>
      <c r="CQ107" s="7" t="str">
        <f t="shared" ref="CQ107" si="547">IFERROR(CQ412,"-")</f>
        <v>FairPrice</v>
      </c>
      <c r="CR107" s="10">
        <f t="shared" si="487"/>
        <v>44783.638194444444</v>
      </c>
      <c r="CS107" s="7">
        <f t="shared" si="487"/>
        <v>0</v>
      </c>
      <c r="CT107" s="7">
        <f t="shared" si="487"/>
        <v>0</v>
      </c>
      <c r="CU107" s="7">
        <f t="shared" si="487"/>
        <v>300</v>
      </c>
      <c r="CV107" s="7">
        <f t="shared" si="487"/>
        <v>-0.25</v>
      </c>
      <c r="CW107" s="7">
        <f t="shared" si="487"/>
        <v>1563.3499755859375</v>
      </c>
      <c r="CX107" s="7">
        <f t="shared" si="487"/>
        <v>0</v>
      </c>
      <c r="CY107" s="7">
        <f t="shared" si="487"/>
        <v>2.5999999046325684</v>
      </c>
      <c r="CZ107" s="7">
        <f t="shared" si="487"/>
        <v>0</v>
      </c>
      <c r="DA107" s="7">
        <f t="shared" si="487"/>
        <v>239050</v>
      </c>
      <c r="DB107" s="7">
        <f t="shared" si="487"/>
        <v>0.25109809663250365</v>
      </c>
      <c r="DC107" s="7">
        <f t="shared" si="487"/>
        <v>-9.5665454864501953E-3</v>
      </c>
      <c r="DD107" s="7">
        <f t="shared" si="487"/>
        <v>-2.8380718228449041E-4</v>
      </c>
      <c r="DE107" s="7">
        <f t="shared" si="487"/>
        <v>2.5999999046325684</v>
      </c>
      <c r="DF107" s="7">
        <f t="shared" si="487"/>
        <v>1563.3499755859375</v>
      </c>
      <c r="DG107" s="7">
        <f t="shared" si="487"/>
        <v>38295.69921875</v>
      </c>
      <c r="DH107" s="7" t="str">
        <f t="shared" ref="DH107:DJ107" si="548">IFERROR(DH412,"-")</f>
        <v>W</v>
      </c>
      <c r="DI107" s="7" t="str">
        <f t="shared" si="548"/>
        <v>W</v>
      </c>
      <c r="DJ107" s="7" t="str">
        <f t="shared" si="548"/>
        <v>G</v>
      </c>
      <c r="DK107" s="64">
        <f t="shared" ref="DK107:DS107" si="549">IFERROR(VALUE(DK412),"-")</f>
        <v>38300</v>
      </c>
      <c r="DL107" s="64">
        <f t="shared" si="549"/>
        <v>3400000</v>
      </c>
      <c r="DM107" s="64">
        <f t="shared" si="549"/>
        <v>38500</v>
      </c>
      <c r="DN107" s="64">
        <f t="shared" si="549"/>
        <v>0</v>
      </c>
      <c r="DO107" s="64">
        <f t="shared" si="549"/>
        <v>24500</v>
      </c>
      <c r="DP107" s="64">
        <f t="shared" si="549"/>
        <v>2863350</v>
      </c>
      <c r="DQ107" s="64">
        <f t="shared" si="549"/>
        <v>38000</v>
      </c>
      <c r="DR107" s="64">
        <f t="shared" si="549"/>
        <v>0</v>
      </c>
      <c r="DS107" s="64">
        <f t="shared" si="549"/>
        <v>24500</v>
      </c>
      <c r="DT107" t="str">
        <f t="shared" si="338"/>
        <v>BANKNIFTY</v>
      </c>
      <c r="DU107" s="10">
        <f t="shared" si="339"/>
        <v>44784</v>
      </c>
    </row>
    <row r="108" spans="1:125" x14ac:dyDescent="0.25">
      <c r="A108" t="s">
        <v>39</v>
      </c>
      <c r="B108" s="2">
        <v>44798</v>
      </c>
      <c r="C108" s="1">
        <v>10500</v>
      </c>
      <c r="D108">
        <v>54</v>
      </c>
      <c r="G108" t="str">
        <f t="array" ref="G108">IFERROR(INDEX($A$2:$A$700,MATCH(0,COUNTIF($G$1:G107,$A$2:$A$700),0)),"")</f>
        <v>IOC</v>
      </c>
      <c r="M108" s="3"/>
      <c r="N108" s="3"/>
      <c r="O108" s="3">
        <f t="shared" si="340"/>
        <v>40000</v>
      </c>
      <c r="P108" s="7">
        <f t="shared" ref="P108:CA108" si="550">IFERROR(VALUE(P413),"-")</f>
        <v>1698.75</v>
      </c>
      <c r="Q108" s="7">
        <f t="shared" si="550"/>
        <v>1620</v>
      </c>
      <c r="R108" s="7">
        <f t="shared" si="550"/>
        <v>1830</v>
      </c>
      <c r="S108" s="7">
        <f t="shared" si="550"/>
        <v>1750.1500244140625</v>
      </c>
      <c r="T108" s="11">
        <f t="shared" si="550"/>
        <v>0</v>
      </c>
      <c r="U108" s="11">
        <f t="shared" si="550"/>
        <v>0</v>
      </c>
      <c r="V108" s="11">
        <f t="shared" si="550"/>
        <v>0</v>
      </c>
      <c r="W108" s="11">
        <f t="shared" si="550"/>
        <v>0</v>
      </c>
      <c r="X108" s="14">
        <f t="shared" si="550"/>
        <v>0</v>
      </c>
      <c r="Y108" s="14">
        <f t="shared" si="550"/>
        <v>0</v>
      </c>
      <c r="Z108" s="14">
        <f t="shared" si="550"/>
        <v>0</v>
      </c>
      <c r="AA108" s="14">
        <f t="shared" si="550"/>
        <v>0</v>
      </c>
      <c r="AB108" s="15">
        <f t="shared" si="550"/>
        <v>0</v>
      </c>
      <c r="AC108" s="15">
        <f t="shared" si="550"/>
        <v>0</v>
      </c>
      <c r="AD108" s="13">
        <f t="shared" si="550"/>
        <v>0</v>
      </c>
      <c r="AE108" s="13">
        <f t="shared" si="550"/>
        <v>0</v>
      </c>
      <c r="AF108" s="12">
        <f t="shared" si="550"/>
        <v>0</v>
      </c>
      <c r="AG108" s="12">
        <f t="shared" si="550"/>
        <v>0</v>
      </c>
      <c r="AH108" s="13">
        <f t="shared" si="550"/>
        <v>0</v>
      </c>
      <c r="AI108" s="13">
        <f t="shared" si="550"/>
        <v>0</v>
      </c>
      <c r="AJ108" s="11">
        <f t="shared" si="550"/>
        <v>0</v>
      </c>
      <c r="AK108" s="11">
        <f t="shared" si="550"/>
        <v>0</v>
      </c>
      <c r="AL108" s="11">
        <f t="shared" si="550"/>
        <v>0</v>
      </c>
      <c r="AM108" s="11">
        <f t="shared" si="550"/>
        <v>0</v>
      </c>
      <c r="AN108" s="11">
        <f t="shared" si="550"/>
        <v>0</v>
      </c>
      <c r="AO108" s="11">
        <f t="shared" si="550"/>
        <v>0</v>
      </c>
      <c r="AP108" s="11">
        <f t="shared" si="550"/>
        <v>0</v>
      </c>
      <c r="AQ108" s="11">
        <f t="shared" si="550"/>
        <v>12600</v>
      </c>
      <c r="AR108" s="16">
        <f t="shared" si="550"/>
        <v>2175</v>
      </c>
      <c r="AS108" s="16">
        <f t="shared" si="550"/>
        <v>5275</v>
      </c>
      <c r="AT108" s="16">
        <f t="shared" si="550"/>
        <v>0</v>
      </c>
      <c r="AU108" s="7">
        <f t="shared" si="550"/>
        <v>0</v>
      </c>
      <c r="AV108" s="7">
        <f t="shared" si="550"/>
        <v>1698.75</v>
      </c>
      <c r="AW108" s="7">
        <f t="shared" si="550"/>
        <v>2.5499999523162842</v>
      </c>
      <c r="AX108" s="7">
        <f t="shared" si="550"/>
        <v>0</v>
      </c>
      <c r="AY108" s="11">
        <f t="shared" si="550"/>
        <v>35.389646887779236</v>
      </c>
      <c r="AZ108" s="16">
        <f t="shared" si="550"/>
        <v>2614150</v>
      </c>
      <c r="BA108" s="16">
        <f t="shared" si="550"/>
        <v>474800</v>
      </c>
      <c r="BB108" s="16">
        <f t="shared" si="550"/>
        <v>14022575</v>
      </c>
      <c r="BC108" s="11">
        <f t="shared" si="550"/>
        <v>1.0471651330590248E-2</v>
      </c>
      <c r="BD108" s="11">
        <f t="shared" si="550"/>
        <v>2.3376196622848511E-7</v>
      </c>
      <c r="BE108" s="11">
        <f t="shared" si="550"/>
        <v>-2.5499999523162842</v>
      </c>
      <c r="BF108" s="11">
        <f t="shared" si="550"/>
        <v>0</v>
      </c>
      <c r="BG108" s="11">
        <f t="shared" si="550"/>
        <v>0.56390559673309326</v>
      </c>
      <c r="BH108" s="11">
        <f t="shared" si="550"/>
        <v>-4.76837158203125E-7</v>
      </c>
      <c r="BI108" s="13">
        <f t="shared" si="550"/>
        <v>3.8573994970647618E-5</v>
      </c>
      <c r="BJ108" s="13">
        <f t="shared" si="550"/>
        <v>1.7134880181401968E-9</v>
      </c>
      <c r="BK108" s="11">
        <f t="shared" si="550"/>
        <v>35.389646887779236</v>
      </c>
      <c r="BL108" s="12">
        <f t="shared" si="550"/>
        <v>37.73101806640625</v>
      </c>
      <c r="BM108" s="12">
        <f t="shared" si="550"/>
        <v>-7.05718994140625E-4</v>
      </c>
      <c r="BN108" s="13">
        <f t="shared" si="550"/>
        <v>-6.4940271377563477</v>
      </c>
      <c r="BO108" s="13">
        <f t="shared" si="550"/>
        <v>-1.2922286987304688E-4</v>
      </c>
      <c r="BP108" s="15">
        <f t="shared" si="550"/>
        <v>1.2282261252494209E-7</v>
      </c>
      <c r="BQ108" s="15">
        <f t="shared" si="550"/>
        <v>8.0859763329499401E-12</v>
      </c>
      <c r="BR108" s="14">
        <f t="shared" si="550"/>
        <v>4.7685214667581022E-4</v>
      </c>
      <c r="BS108" s="14">
        <f t="shared" si="550"/>
        <v>1.8975697457790375E-8</v>
      </c>
      <c r="BT108" s="14">
        <f t="shared" si="550"/>
        <v>8.2072816439904273E-5</v>
      </c>
      <c r="BU108" s="14">
        <f t="shared" si="550"/>
        <v>6.4392224885523319E-9</v>
      </c>
      <c r="BV108" s="11">
        <f t="shared" si="550"/>
        <v>177068.4375</v>
      </c>
      <c r="BW108" s="11">
        <f t="shared" si="550"/>
        <v>-7.5625</v>
      </c>
      <c r="BX108" s="11">
        <f t="shared" si="550"/>
        <v>36145.98828125</v>
      </c>
      <c r="BY108" s="11">
        <f t="shared" si="550"/>
        <v>-0.1015625</v>
      </c>
      <c r="BZ108" s="7">
        <f t="shared" si="550"/>
        <v>3.2999999523162842</v>
      </c>
      <c r="CA108" s="7">
        <f t="shared" si="550"/>
        <v>4.6500000953674316</v>
      </c>
      <c r="CB108" s="7">
        <f t="shared" ref="CB108:CP108" si="551">IFERROR(VALUE(CB413),"-")</f>
        <v>2.4000000953674316</v>
      </c>
      <c r="CC108" s="7">
        <f t="shared" si="551"/>
        <v>2.5499999523162842</v>
      </c>
      <c r="CD108" s="7">
        <f t="shared" si="551"/>
        <v>2.5499999523162842</v>
      </c>
      <c r="CE108" s="3">
        <f t="shared" si="551"/>
        <v>625</v>
      </c>
      <c r="CF108" s="7">
        <f t="shared" si="551"/>
        <v>2.5</v>
      </c>
      <c r="CG108" s="3">
        <f t="shared" si="551"/>
        <v>14100</v>
      </c>
      <c r="CH108" s="7">
        <f t="shared" si="551"/>
        <v>3.6800000667572021</v>
      </c>
      <c r="CI108" s="7">
        <f t="shared" si="551"/>
        <v>1706</v>
      </c>
      <c r="CJ108" s="3">
        <f t="shared" si="551"/>
        <v>25</v>
      </c>
      <c r="CK108" s="7">
        <f t="shared" si="551"/>
        <v>1701.449951171875</v>
      </c>
      <c r="CL108" s="3">
        <f t="shared" si="551"/>
        <v>50</v>
      </c>
      <c r="CM108" s="7">
        <f t="shared" si="551"/>
        <v>1695.77001953125</v>
      </c>
      <c r="CN108" s="10">
        <f t="shared" si="551"/>
        <v>44783.638194444444</v>
      </c>
      <c r="CO108" s="10">
        <f t="shared" si="551"/>
        <v>44783.638194444444</v>
      </c>
      <c r="CP108" s="7">
        <f t="shared" si="551"/>
        <v>38295.69921875</v>
      </c>
      <c r="CQ108" s="7" t="str">
        <f t="shared" ref="CQ108" si="552">IFERROR(CQ413,"-")</f>
        <v>FairPrice</v>
      </c>
      <c r="CR108" s="10">
        <f t="shared" si="487"/>
        <v>44783.638194444444</v>
      </c>
      <c r="CS108" s="7">
        <f t="shared" si="487"/>
        <v>0</v>
      </c>
      <c r="CT108" s="7">
        <f t="shared" si="487"/>
        <v>0</v>
      </c>
      <c r="CU108" s="7">
        <f t="shared" si="487"/>
        <v>3100</v>
      </c>
      <c r="CV108" s="7">
        <f t="shared" si="487"/>
        <v>0.70161290322580649</v>
      </c>
      <c r="CW108" s="7">
        <f t="shared" si="487"/>
        <v>1698.75</v>
      </c>
      <c r="CX108" s="7">
        <f t="shared" si="487"/>
        <v>0</v>
      </c>
      <c r="CY108" s="7">
        <f t="shared" si="487"/>
        <v>2.5499999523162842</v>
      </c>
      <c r="CZ108" s="7">
        <f t="shared" si="487"/>
        <v>0</v>
      </c>
      <c r="DA108" s="7">
        <f t="shared" si="487"/>
        <v>2139350</v>
      </c>
      <c r="DB108" s="7">
        <f t="shared" si="487"/>
        <v>0.22193656951877908</v>
      </c>
      <c r="DC108" s="7">
        <f t="shared" si="487"/>
        <v>-1.6391277313232422E-4</v>
      </c>
      <c r="DD108" s="7">
        <f t="shared" si="487"/>
        <v>-4.6316374522625545E-6</v>
      </c>
      <c r="DE108" s="7">
        <f t="shared" si="487"/>
        <v>2.5499999523162842</v>
      </c>
      <c r="DF108" s="7">
        <f t="shared" si="487"/>
        <v>1698.75</v>
      </c>
      <c r="DG108" s="7">
        <f t="shared" si="487"/>
        <v>38295.69921875</v>
      </c>
      <c r="DH108" s="7" t="str">
        <f t="shared" ref="DH108:DJ108" si="553">IFERROR(DH413,"-")</f>
        <v>W</v>
      </c>
      <c r="DI108" s="7" t="str">
        <f t="shared" si="553"/>
        <v>W</v>
      </c>
      <c r="DJ108" s="7" t="str">
        <f t="shared" si="553"/>
        <v>G</v>
      </c>
      <c r="DK108" s="64">
        <f t="shared" ref="DK108:DS108" si="554">IFERROR(VALUE(DK413),"-")</f>
        <v>38300</v>
      </c>
      <c r="DL108" s="64">
        <f t="shared" si="554"/>
        <v>3400000</v>
      </c>
      <c r="DM108" s="64">
        <f t="shared" si="554"/>
        <v>38500</v>
      </c>
      <c r="DN108" s="64">
        <f t="shared" si="554"/>
        <v>0</v>
      </c>
      <c r="DO108" s="64">
        <f t="shared" si="554"/>
        <v>24500</v>
      </c>
      <c r="DP108" s="64">
        <f t="shared" si="554"/>
        <v>2863350</v>
      </c>
      <c r="DQ108" s="64">
        <f t="shared" si="554"/>
        <v>38000</v>
      </c>
      <c r="DR108" s="64">
        <f t="shared" si="554"/>
        <v>0</v>
      </c>
      <c r="DS108" s="64">
        <f t="shared" si="554"/>
        <v>24500</v>
      </c>
      <c r="DT108" t="str">
        <f t="shared" si="338"/>
        <v>BANKNIFTY</v>
      </c>
      <c r="DU108" s="10">
        <f t="shared" si="339"/>
        <v>44784</v>
      </c>
    </row>
    <row r="109" spans="1:125" x14ac:dyDescent="0.25">
      <c r="A109" t="s">
        <v>39</v>
      </c>
      <c r="B109" s="2">
        <v>44833</v>
      </c>
      <c r="C109" s="1">
        <v>10500</v>
      </c>
      <c r="D109">
        <v>54</v>
      </c>
      <c r="G109" t="str">
        <f t="array" ref="G109">IFERROR(INDEX($A$2:$A$700,MATCH(0,COUNTIF($G$1:G108,$A$2:$A$700),0)),"")</f>
        <v>IPCALAB</v>
      </c>
      <c r="M109" s="3"/>
      <c r="N109" s="3"/>
      <c r="O109" s="3">
        <f t="shared" si="340"/>
        <v>40100</v>
      </c>
      <c r="P109" s="7">
        <f t="shared" ref="P109:CA109" si="555">IFERROR(VALUE(P414),"-")</f>
        <v>0</v>
      </c>
      <c r="Q109" s="7">
        <f t="shared" si="555"/>
        <v>0</v>
      </c>
      <c r="R109" s="7">
        <f t="shared" si="555"/>
        <v>0</v>
      </c>
      <c r="S109" s="7">
        <f t="shared" si="555"/>
        <v>0</v>
      </c>
      <c r="T109" s="11">
        <f t="shared" si="555"/>
        <v>0</v>
      </c>
      <c r="U109" s="11">
        <f t="shared" si="555"/>
        <v>0</v>
      </c>
      <c r="V109" s="11">
        <f t="shared" si="555"/>
        <v>0</v>
      </c>
      <c r="W109" s="11">
        <f t="shared" si="555"/>
        <v>0</v>
      </c>
      <c r="X109" s="14">
        <f t="shared" si="555"/>
        <v>0</v>
      </c>
      <c r="Y109" s="14">
        <f t="shared" si="555"/>
        <v>0</v>
      </c>
      <c r="Z109" s="14">
        <f t="shared" si="555"/>
        <v>0</v>
      </c>
      <c r="AA109" s="14">
        <f t="shared" si="555"/>
        <v>0</v>
      </c>
      <c r="AB109" s="15">
        <f t="shared" si="555"/>
        <v>0</v>
      </c>
      <c r="AC109" s="15">
        <f t="shared" si="555"/>
        <v>0</v>
      </c>
      <c r="AD109" s="13">
        <f t="shared" si="555"/>
        <v>0</v>
      </c>
      <c r="AE109" s="13">
        <f t="shared" si="555"/>
        <v>0</v>
      </c>
      <c r="AF109" s="12">
        <f t="shared" si="555"/>
        <v>0</v>
      </c>
      <c r="AG109" s="12">
        <f t="shared" si="555"/>
        <v>0</v>
      </c>
      <c r="AH109" s="13">
        <f t="shared" si="555"/>
        <v>0</v>
      </c>
      <c r="AI109" s="13">
        <f t="shared" si="555"/>
        <v>0</v>
      </c>
      <c r="AJ109" s="11">
        <f t="shared" si="555"/>
        <v>0</v>
      </c>
      <c r="AK109" s="11">
        <f t="shared" si="555"/>
        <v>0</v>
      </c>
      <c r="AL109" s="11">
        <f t="shared" si="555"/>
        <v>0</v>
      </c>
      <c r="AM109" s="11">
        <f t="shared" si="555"/>
        <v>0</v>
      </c>
      <c r="AN109" s="11">
        <f t="shared" si="555"/>
        <v>0</v>
      </c>
      <c r="AO109" s="11">
        <f t="shared" si="555"/>
        <v>0</v>
      </c>
      <c r="AP109" s="11">
        <f t="shared" si="555"/>
        <v>0</v>
      </c>
      <c r="AQ109" s="11">
        <f t="shared" si="555"/>
        <v>0</v>
      </c>
      <c r="AR109" s="16">
        <f t="shared" si="555"/>
        <v>0</v>
      </c>
      <c r="AS109" s="16">
        <f t="shared" si="555"/>
        <v>0</v>
      </c>
      <c r="AT109" s="16">
        <f t="shared" si="555"/>
        <v>0</v>
      </c>
      <c r="AU109" s="7">
        <f t="shared" si="555"/>
        <v>0</v>
      </c>
      <c r="AV109" s="7">
        <f t="shared" si="555"/>
        <v>0</v>
      </c>
      <c r="AW109" s="7">
        <f t="shared" si="555"/>
        <v>2.3499999046325684</v>
      </c>
      <c r="AX109" s="7">
        <f t="shared" si="555"/>
        <v>0</v>
      </c>
      <c r="AY109" s="11">
        <f t="shared" si="555"/>
        <v>36.768266558647156</v>
      </c>
      <c r="AZ109" s="16">
        <f t="shared" si="555"/>
        <v>100250</v>
      </c>
      <c r="BA109" s="16">
        <f t="shared" si="555"/>
        <v>100250</v>
      </c>
      <c r="BB109" s="16">
        <f t="shared" si="555"/>
        <v>956850</v>
      </c>
      <c r="BC109" s="11">
        <f t="shared" si="555"/>
        <v>9.3981148675084114E-3</v>
      </c>
      <c r="BD109" s="11">
        <f t="shared" si="555"/>
        <v>0</v>
      </c>
      <c r="BE109" s="11">
        <f t="shared" si="555"/>
        <v>-2.3499999046325684</v>
      </c>
      <c r="BF109" s="11">
        <f t="shared" si="555"/>
        <v>0</v>
      </c>
      <c r="BG109" s="11">
        <f t="shared" si="555"/>
        <v>0.51310187578201294</v>
      </c>
      <c r="BH109" s="11">
        <f t="shared" si="555"/>
        <v>0</v>
      </c>
      <c r="BI109" s="13">
        <f t="shared" si="555"/>
        <v>3.3781194360926747E-5</v>
      </c>
      <c r="BJ109" s="13">
        <f t="shared" si="555"/>
        <v>0</v>
      </c>
      <c r="BK109" s="11">
        <f t="shared" si="555"/>
        <v>36.768266558647156</v>
      </c>
      <c r="BL109" s="12">
        <f t="shared" si="555"/>
        <v>40.620712280273438</v>
      </c>
      <c r="BM109" s="12">
        <f t="shared" si="555"/>
        <v>0</v>
      </c>
      <c r="BN109" s="13">
        <f t="shared" si="555"/>
        <v>-7.2634215354919434</v>
      </c>
      <c r="BO109" s="13">
        <f t="shared" si="555"/>
        <v>0</v>
      </c>
      <c r="BP109" s="15">
        <f t="shared" si="555"/>
        <v>1.0532616556702123E-7</v>
      </c>
      <c r="BQ109" s="15">
        <f t="shared" si="555"/>
        <v>0</v>
      </c>
      <c r="BR109" s="14">
        <f t="shared" si="555"/>
        <v>4.1952621540986001E-4</v>
      </c>
      <c r="BS109" s="14">
        <f t="shared" si="555"/>
        <v>0</v>
      </c>
      <c r="BT109" s="14">
        <f t="shared" si="555"/>
        <v>7.5015814218204468E-5</v>
      </c>
      <c r="BU109" s="14">
        <f t="shared" si="555"/>
        <v>0</v>
      </c>
      <c r="BV109" s="11">
        <f t="shared" si="555"/>
        <v>193981.15625</v>
      </c>
      <c r="BW109" s="11">
        <f t="shared" si="555"/>
        <v>0</v>
      </c>
      <c r="BX109" s="11">
        <f t="shared" si="555"/>
        <v>40917.421875</v>
      </c>
      <c r="BY109" s="11">
        <f t="shared" si="555"/>
        <v>0</v>
      </c>
      <c r="BZ109" s="7">
        <f t="shared" si="555"/>
        <v>4.3499999046325684</v>
      </c>
      <c r="CA109" s="7">
        <f t="shared" si="555"/>
        <v>4.4000000953674316</v>
      </c>
      <c r="CB109" s="7">
        <f t="shared" ref="CB109:CP109" si="556">IFERROR(VALUE(CB414),"-")</f>
        <v>1.2000000476837158</v>
      </c>
      <c r="CC109" s="7">
        <f t="shared" si="556"/>
        <v>2.3499999046325684</v>
      </c>
      <c r="CD109" s="7">
        <f t="shared" si="556"/>
        <v>2.3499999046325684</v>
      </c>
      <c r="CE109" s="3">
        <f t="shared" si="556"/>
        <v>1325</v>
      </c>
      <c r="CF109" s="7">
        <f t="shared" si="556"/>
        <v>2.2999999523162842</v>
      </c>
      <c r="CG109" s="3">
        <f t="shared" si="556"/>
        <v>100</v>
      </c>
      <c r="CH109" s="7">
        <f t="shared" si="556"/>
        <v>3.380000114440918</v>
      </c>
      <c r="CI109" s="7">
        <f t="shared" si="556"/>
        <v>1870</v>
      </c>
      <c r="CJ109" s="3">
        <f t="shared" si="556"/>
        <v>125</v>
      </c>
      <c r="CK109" s="7">
        <f t="shared" si="556"/>
        <v>1781.050048828125</v>
      </c>
      <c r="CL109" s="3">
        <f t="shared" si="556"/>
        <v>50</v>
      </c>
      <c r="CM109" s="7">
        <f t="shared" si="556"/>
        <v>0</v>
      </c>
      <c r="CN109" s="10">
        <f t="shared" si="556"/>
        <v>44783.638194444444</v>
      </c>
      <c r="CO109" s="10">
        <f t="shared" si="556"/>
        <v>44783.638194444444</v>
      </c>
      <c r="CP109" s="7">
        <f t="shared" si="556"/>
        <v>38295.69921875</v>
      </c>
      <c r="CQ109" s="7" t="str">
        <f t="shared" ref="CQ109" si="557">IFERROR(CQ414,"-")</f>
        <v>FairPrice</v>
      </c>
      <c r="CR109" s="10">
        <f t="shared" si="487"/>
        <v>44783.638194444444</v>
      </c>
      <c r="CS109" s="7">
        <f t="shared" si="487"/>
        <v>0</v>
      </c>
      <c r="CT109" s="7">
        <f t="shared" si="487"/>
        <v>0</v>
      </c>
      <c r="CU109" s="7">
        <f t="shared" si="487"/>
        <v>0</v>
      </c>
      <c r="CV109" s="7">
        <f t="shared" si="487"/>
        <v>0</v>
      </c>
      <c r="CW109" s="7">
        <f t="shared" si="487"/>
        <v>0</v>
      </c>
      <c r="CX109" s="7">
        <f t="shared" si="487"/>
        <v>0</v>
      </c>
      <c r="CY109" s="7">
        <f t="shared" si="487"/>
        <v>2.3499999046325684</v>
      </c>
      <c r="CZ109" s="7">
        <f t="shared" si="487"/>
        <v>0</v>
      </c>
      <c r="DA109" s="7">
        <f t="shared" si="487"/>
        <v>0</v>
      </c>
      <c r="DB109" s="7">
        <f t="shared" si="487"/>
        <v>0</v>
      </c>
      <c r="DC109" s="7">
        <f t="shared" si="487"/>
        <v>0</v>
      </c>
      <c r="DD109" s="7">
        <f t="shared" si="487"/>
        <v>0</v>
      </c>
      <c r="DE109" s="7">
        <f t="shared" si="487"/>
        <v>2.3499999046325684</v>
      </c>
      <c r="DF109" s="7">
        <f t="shared" si="487"/>
        <v>0</v>
      </c>
      <c r="DG109" s="7">
        <f t="shared" si="487"/>
        <v>38295.69921875</v>
      </c>
      <c r="DH109" s="7" t="str">
        <f t="shared" ref="DH109:DJ109" si="558">IFERROR(DH414,"-")</f>
        <v>W</v>
      </c>
      <c r="DI109" s="7" t="str">
        <f t="shared" si="558"/>
        <v>W</v>
      </c>
      <c r="DJ109" s="7" t="str">
        <f t="shared" si="558"/>
        <v>G</v>
      </c>
      <c r="DK109" s="64">
        <f t="shared" ref="DK109:DS109" si="559">IFERROR(VALUE(DK414),"-")</f>
        <v>38300</v>
      </c>
      <c r="DL109" s="64">
        <f t="shared" si="559"/>
        <v>3400000</v>
      </c>
      <c r="DM109" s="64">
        <f t="shared" si="559"/>
        <v>38500</v>
      </c>
      <c r="DN109" s="64">
        <f t="shared" si="559"/>
        <v>0</v>
      </c>
      <c r="DO109" s="64">
        <f t="shared" si="559"/>
        <v>24500</v>
      </c>
      <c r="DP109" s="64">
        <f t="shared" si="559"/>
        <v>2863350</v>
      </c>
      <c r="DQ109" s="64">
        <f t="shared" si="559"/>
        <v>38000</v>
      </c>
      <c r="DR109" s="64">
        <f t="shared" si="559"/>
        <v>0</v>
      </c>
      <c r="DS109" s="64">
        <f t="shared" si="559"/>
        <v>24500</v>
      </c>
      <c r="DT109" t="str">
        <f t="shared" si="338"/>
        <v>BANKNIFTY</v>
      </c>
      <c r="DU109" s="10">
        <f t="shared" si="339"/>
        <v>44784</v>
      </c>
    </row>
    <row r="110" spans="1:125" x14ac:dyDescent="0.25">
      <c r="A110" t="s">
        <v>39</v>
      </c>
      <c r="B110" s="2">
        <v>44861</v>
      </c>
      <c r="C110" s="1">
        <v>10500</v>
      </c>
      <c r="D110">
        <v>54</v>
      </c>
      <c r="G110" t="str">
        <f t="array" ref="G110">IFERROR(INDEX($A$2:$A$700,MATCH(0,COUNTIF($G$1:G109,$A$2:$A$700),0)),"")</f>
        <v>IRCTC</v>
      </c>
      <c r="M110" s="3"/>
      <c r="N110" s="3"/>
      <c r="O110" s="3">
        <f t="shared" si="340"/>
        <v>40200</v>
      </c>
      <c r="P110" s="7">
        <f t="shared" ref="P110:CA110" si="560">IFERROR(VALUE(P415),"-")</f>
        <v>0</v>
      </c>
      <c r="Q110" s="7">
        <f t="shared" si="560"/>
        <v>0</v>
      </c>
      <c r="R110" s="7">
        <f t="shared" si="560"/>
        <v>0</v>
      </c>
      <c r="S110" s="7">
        <f t="shared" si="560"/>
        <v>0</v>
      </c>
      <c r="T110" s="11">
        <f t="shared" si="560"/>
        <v>0</v>
      </c>
      <c r="U110" s="11">
        <f t="shared" si="560"/>
        <v>0</v>
      </c>
      <c r="V110" s="11">
        <f t="shared" si="560"/>
        <v>0</v>
      </c>
      <c r="W110" s="11">
        <f t="shared" si="560"/>
        <v>0</v>
      </c>
      <c r="X110" s="14">
        <f t="shared" si="560"/>
        <v>0</v>
      </c>
      <c r="Y110" s="14">
        <f t="shared" si="560"/>
        <v>0</v>
      </c>
      <c r="Z110" s="14">
        <f t="shared" si="560"/>
        <v>0</v>
      </c>
      <c r="AA110" s="14">
        <f t="shared" si="560"/>
        <v>0</v>
      </c>
      <c r="AB110" s="15">
        <f t="shared" si="560"/>
        <v>0</v>
      </c>
      <c r="AC110" s="15">
        <f t="shared" si="560"/>
        <v>0</v>
      </c>
      <c r="AD110" s="13">
        <f t="shared" si="560"/>
        <v>0</v>
      </c>
      <c r="AE110" s="13">
        <f t="shared" si="560"/>
        <v>0</v>
      </c>
      <c r="AF110" s="12">
        <f t="shared" si="560"/>
        <v>0</v>
      </c>
      <c r="AG110" s="12">
        <f t="shared" si="560"/>
        <v>0</v>
      </c>
      <c r="AH110" s="13">
        <f t="shared" si="560"/>
        <v>0</v>
      </c>
      <c r="AI110" s="13">
        <f t="shared" si="560"/>
        <v>0</v>
      </c>
      <c r="AJ110" s="11">
        <f t="shared" si="560"/>
        <v>0</v>
      </c>
      <c r="AK110" s="11">
        <f t="shared" si="560"/>
        <v>0</v>
      </c>
      <c r="AL110" s="11">
        <f t="shared" si="560"/>
        <v>0</v>
      </c>
      <c r="AM110" s="11">
        <f t="shared" si="560"/>
        <v>0</v>
      </c>
      <c r="AN110" s="11">
        <f t="shared" si="560"/>
        <v>0</v>
      </c>
      <c r="AO110" s="11">
        <f t="shared" si="560"/>
        <v>0</v>
      </c>
      <c r="AP110" s="11">
        <f t="shared" si="560"/>
        <v>0</v>
      </c>
      <c r="AQ110" s="11">
        <f t="shared" si="560"/>
        <v>0</v>
      </c>
      <c r="AR110" s="16">
        <f t="shared" si="560"/>
        <v>0</v>
      </c>
      <c r="AS110" s="16">
        <f t="shared" si="560"/>
        <v>0</v>
      </c>
      <c r="AT110" s="16">
        <f t="shared" si="560"/>
        <v>0</v>
      </c>
      <c r="AU110" s="7">
        <f t="shared" si="560"/>
        <v>0</v>
      </c>
      <c r="AV110" s="7">
        <f t="shared" si="560"/>
        <v>0</v>
      </c>
      <c r="AW110" s="7">
        <f t="shared" si="560"/>
        <v>2.25</v>
      </c>
      <c r="AX110" s="7">
        <f t="shared" si="560"/>
        <v>0</v>
      </c>
      <c r="AY110" s="11">
        <f t="shared" si="560"/>
        <v>38.295769691467285</v>
      </c>
      <c r="AZ110" s="16">
        <f t="shared" si="560"/>
        <v>156300</v>
      </c>
      <c r="BA110" s="16">
        <f t="shared" si="560"/>
        <v>156300</v>
      </c>
      <c r="BB110" s="16">
        <f t="shared" si="560"/>
        <v>1322500</v>
      </c>
      <c r="BC110" s="11">
        <f t="shared" si="560"/>
        <v>8.7106097489595413E-3</v>
      </c>
      <c r="BD110" s="11">
        <f t="shared" si="560"/>
        <v>1.7601996660232544E-7</v>
      </c>
      <c r="BE110" s="11">
        <f t="shared" si="560"/>
        <v>-2.25</v>
      </c>
      <c r="BF110" s="11">
        <f t="shared" si="560"/>
        <v>0</v>
      </c>
      <c r="BG110" s="11">
        <f t="shared" si="560"/>
        <v>0.48006510734558105</v>
      </c>
      <c r="BH110" s="11">
        <f t="shared" si="560"/>
        <v>-1.2516975402832031E-6</v>
      </c>
      <c r="BI110" s="13">
        <f t="shared" si="560"/>
        <v>3.0346862331498414E-5</v>
      </c>
      <c r="BJ110" s="13">
        <f t="shared" si="560"/>
        <v>1.2150849215686321E-9</v>
      </c>
      <c r="BK110" s="11">
        <f t="shared" si="560"/>
        <v>38.295769691467285</v>
      </c>
      <c r="BL110" s="12">
        <f t="shared" si="560"/>
        <v>42.192935943603516</v>
      </c>
      <c r="BM110" s="12">
        <f t="shared" si="560"/>
        <v>-7.97271728515625E-4</v>
      </c>
      <c r="BN110" s="13">
        <f t="shared" si="560"/>
        <v>-7.8583226203918457</v>
      </c>
      <c r="BO110" s="13">
        <f t="shared" si="560"/>
        <v>-1.7499923706054688E-4</v>
      </c>
      <c r="BP110" s="15">
        <f t="shared" si="560"/>
        <v>9.1912191635401541E-8</v>
      </c>
      <c r="BQ110" s="15">
        <f t="shared" si="560"/>
        <v>5.4711790653527714E-12</v>
      </c>
      <c r="BR110" s="14">
        <f t="shared" si="560"/>
        <v>3.7258336669765413E-4</v>
      </c>
      <c r="BS110" s="14">
        <f t="shared" si="560"/>
        <v>1.280568540096283E-8</v>
      </c>
      <c r="BT110" s="14">
        <f t="shared" si="560"/>
        <v>6.9392670411616564E-5</v>
      </c>
      <c r="BU110" s="14">
        <f t="shared" si="560"/>
        <v>5.2386894822120667E-9</v>
      </c>
      <c r="BV110" s="11">
        <f t="shared" si="560"/>
        <v>203898.34375</v>
      </c>
      <c r="BW110" s="11">
        <f t="shared" si="560"/>
        <v>-8.625</v>
      </c>
      <c r="BX110" s="11">
        <f t="shared" si="560"/>
        <v>44635.84375</v>
      </c>
      <c r="BY110" s="11">
        <f t="shared" si="560"/>
        <v>-1.171875E-2</v>
      </c>
      <c r="BZ110" s="7">
        <f t="shared" si="560"/>
        <v>3.1500000953674316</v>
      </c>
      <c r="CA110" s="7">
        <f t="shared" si="560"/>
        <v>4.8499999046325684</v>
      </c>
      <c r="CB110" s="7">
        <f t="shared" ref="CB110:CP110" si="561">IFERROR(VALUE(CB415),"-")</f>
        <v>1.5499999523162842</v>
      </c>
      <c r="CC110" s="7">
        <f t="shared" si="561"/>
        <v>2.25</v>
      </c>
      <c r="CD110" s="7">
        <f t="shared" si="561"/>
        <v>2.25</v>
      </c>
      <c r="CE110" s="3">
        <f t="shared" si="561"/>
        <v>50</v>
      </c>
      <c r="CF110" s="7">
        <f t="shared" si="561"/>
        <v>2.2000000476837158</v>
      </c>
      <c r="CG110" s="3">
        <f t="shared" si="561"/>
        <v>925</v>
      </c>
      <c r="CH110" s="7">
        <f t="shared" si="561"/>
        <v>3.1700000762939453</v>
      </c>
      <c r="CI110" s="7">
        <f t="shared" si="561"/>
        <v>1960.550048828125</v>
      </c>
      <c r="CJ110" s="3">
        <f t="shared" si="561"/>
        <v>75</v>
      </c>
      <c r="CK110" s="7">
        <f t="shared" si="561"/>
        <v>1890.800048828125</v>
      </c>
      <c r="CL110" s="3">
        <f t="shared" si="561"/>
        <v>50</v>
      </c>
      <c r="CM110" s="7">
        <f t="shared" si="561"/>
        <v>0</v>
      </c>
      <c r="CN110" s="10">
        <f t="shared" si="561"/>
        <v>44783.638194444444</v>
      </c>
      <c r="CO110" s="10">
        <f t="shared" si="561"/>
        <v>44783.638194444444</v>
      </c>
      <c r="CP110" s="7">
        <f t="shared" si="561"/>
        <v>38295.69921875</v>
      </c>
      <c r="CQ110" s="7" t="str">
        <f t="shared" ref="CQ110" si="562">IFERROR(CQ415,"-")</f>
        <v>FairPrice</v>
      </c>
      <c r="CR110" s="10">
        <f t="shared" si="487"/>
        <v>44783.638194444444</v>
      </c>
      <c r="CS110" s="7">
        <f t="shared" si="487"/>
        <v>0</v>
      </c>
      <c r="CT110" s="7">
        <f t="shared" si="487"/>
        <v>0</v>
      </c>
      <c r="CU110" s="7">
        <f t="shared" si="487"/>
        <v>0</v>
      </c>
      <c r="CV110" s="7">
        <f t="shared" si="487"/>
        <v>0</v>
      </c>
      <c r="CW110" s="7">
        <f t="shared" si="487"/>
        <v>0</v>
      </c>
      <c r="CX110" s="7">
        <f t="shared" si="487"/>
        <v>0</v>
      </c>
      <c r="CY110" s="7">
        <f t="shared" si="487"/>
        <v>2.25</v>
      </c>
      <c r="CZ110" s="7">
        <f t="shared" si="487"/>
        <v>0</v>
      </c>
      <c r="DA110" s="7">
        <f t="shared" si="487"/>
        <v>0</v>
      </c>
      <c r="DB110" s="7">
        <f t="shared" si="487"/>
        <v>0</v>
      </c>
      <c r="DC110" s="7">
        <f t="shared" si="487"/>
        <v>-7.7486038208007813E-5</v>
      </c>
      <c r="DD110" s="7">
        <f t="shared" si="487"/>
        <v>-2.0233535466352644E-6</v>
      </c>
      <c r="DE110" s="7">
        <f t="shared" si="487"/>
        <v>2.25</v>
      </c>
      <c r="DF110" s="7">
        <f t="shared" si="487"/>
        <v>0</v>
      </c>
      <c r="DG110" s="7">
        <f t="shared" ref="DG110" si="563">IFERROR(VALUE(DG415),"-")</f>
        <v>38295.69921875</v>
      </c>
      <c r="DH110" s="7" t="str">
        <f t="shared" ref="DH110:DJ110" si="564">IFERROR(DH415,"-")</f>
        <v>W</v>
      </c>
      <c r="DI110" s="7" t="str">
        <f t="shared" si="564"/>
        <v>W</v>
      </c>
      <c r="DJ110" s="7" t="str">
        <f t="shared" si="564"/>
        <v>G</v>
      </c>
      <c r="DK110" s="64">
        <f t="shared" ref="DK110:DS110" si="565">IFERROR(VALUE(DK415),"-")</f>
        <v>38300</v>
      </c>
      <c r="DL110" s="64">
        <f t="shared" si="565"/>
        <v>3400000</v>
      </c>
      <c r="DM110" s="64">
        <f t="shared" si="565"/>
        <v>38500</v>
      </c>
      <c r="DN110" s="64">
        <f t="shared" si="565"/>
        <v>0</v>
      </c>
      <c r="DO110" s="64">
        <f t="shared" si="565"/>
        <v>24500</v>
      </c>
      <c r="DP110" s="64">
        <f t="shared" si="565"/>
        <v>2863350</v>
      </c>
      <c r="DQ110" s="64">
        <f t="shared" si="565"/>
        <v>38000</v>
      </c>
      <c r="DR110" s="64">
        <f t="shared" si="565"/>
        <v>0</v>
      </c>
      <c r="DS110" s="64">
        <f t="shared" si="565"/>
        <v>24500</v>
      </c>
      <c r="DT110" t="str">
        <f t="shared" si="338"/>
        <v>BANKNIFTY</v>
      </c>
      <c r="DU110" s="10">
        <f t="shared" si="339"/>
        <v>44784</v>
      </c>
    </row>
    <row r="111" spans="1:125" x14ac:dyDescent="0.25">
      <c r="A111" t="s">
        <v>40</v>
      </c>
      <c r="B111" s="2">
        <v>44798</v>
      </c>
      <c r="C111" s="1">
        <v>2300</v>
      </c>
      <c r="D111">
        <v>60</v>
      </c>
      <c r="G111" t="str">
        <f t="array" ref="G111">IFERROR(INDEX($A$2:$A$700,MATCH(0,COUNTIF($G$1:G110,$A$2:$A$700),0)),"")</f>
        <v>ITC</v>
      </c>
      <c r="M111" s="3"/>
      <c r="N111" s="3"/>
      <c r="O111" s="3">
        <f t="shared" si="340"/>
        <v>40300</v>
      </c>
      <c r="P111" s="7">
        <f t="shared" ref="P111:CA111" si="566">IFERROR(VALUE(P416),"-")</f>
        <v>0</v>
      </c>
      <c r="Q111" s="7">
        <f t="shared" si="566"/>
        <v>0</v>
      </c>
      <c r="R111" s="7">
        <f t="shared" si="566"/>
        <v>0</v>
      </c>
      <c r="S111" s="7">
        <f t="shared" si="566"/>
        <v>0</v>
      </c>
      <c r="T111" s="11">
        <f t="shared" si="566"/>
        <v>0</v>
      </c>
      <c r="U111" s="11">
        <f t="shared" si="566"/>
        <v>0</v>
      </c>
      <c r="V111" s="11">
        <f t="shared" si="566"/>
        <v>0</v>
      </c>
      <c r="W111" s="11">
        <f t="shared" si="566"/>
        <v>0</v>
      </c>
      <c r="X111" s="14">
        <f t="shared" si="566"/>
        <v>0</v>
      </c>
      <c r="Y111" s="14">
        <f t="shared" si="566"/>
        <v>0</v>
      </c>
      <c r="Z111" s="14">
        <f t="shared" si="566"/>
        <v>0</v>
      </c>
      <c r="AA111" s="14">
        <f t="shared" si="566"/>
        <v>0</v>
      </c>
      <c r="AB111" s="15">
        <f t="shared" si="566"/>
        <v>0</v>
      </c>
      <c r="AC111" s="15">
        <f t="shared" si="566"/>
        <v>0</v>
      </c>
      <c r="AD111" s="13">
        <f t="shared" si="566"/>
        <v>0</v>
      </c>
      <c r="AE111" s="13">
        <f t="shared" si="566"/>
        <v>0</v>
      </c>
      <c r="AF111" s="12">
        <f t="shared" si="566"/>
        <v>0</v>
      </c>
      <c r="AG111" s="12">
        <f t="shared" si="566"/>
        <v>0</v>
      </c>
      <c r="AH111" s="13">
        <f t="shared" si="566"/>
        <v>0</v>
      </c>
      <c r="AI111" s="13">
        <f t="shared" si="566"/>
        <v>0</v>
      </c>
      <c r="AJ111" s="11">
        <f t="shared" si="566"/>
        <v>0</v>
      </c>
      <c r="AK111" s="11">
        <f t="shared" si="566"/>
        <v>0</v>
      </c>
      <c r="AL111" s="11">
        <f t="shared" si="566"/>
        <v>0</v>
      </c>
      <c r="AM111" s="11">
        <f t="shared" si="566"/>
        <v>0</v>
      </c>
      <c r="AN111" s="11">
        <f t="shared" si="566"/>
        <v>0</v>
      </c>
      <c r="AO111" s="11">
        <f t="shared" si="566"/>
        <v>0</v>
      </c>
      <c r="AP111" s="11">
        <f t="shared" si="566"/>
        <v>0</v>
      </c>
      <c r="AQ111" s="11">
        <f t="shared" si="566"/>
        <v>0</v>
      </c>
      <c r="AR111" s="16">
        <f t="shared" si="566"/>
        <v>0</v>
      </c>
      <c r="AS111" s="16">
        <f t="shared" si="566"/>
        <v>0</v>
      </c>
      <c r="AT111" s="16">
        <f t="shared" si="566"/>
        <v>0</v>
      </c>
      <c r="AU111" s="7">
        <f t="shared" si="566"/>
        <v>0</v>
      </c>
      <c r="AV111" s="7">
        <f t="shared" si="566"/>
        <v>0</v>
      </c>
      <c r="AW111" s="7">
        <f t="shared" si="566"/>
        <v>0</v>
      </c>
      <c r="AX111" s="7">
        <f t="shared" si="566"/>
        <v>0</v>
      </c>
      <c r="AY111" s="11">
        <f t="shared" si="566"/>
        <v>0</v>
      </c>
      <c r="AZ111" s="16">
        <f t="shared" si="566"/>
        <v>0</v>
      </c>
      <c r="BA111" s="16">
        <f t="shared" si="566"/>
        <v>0</v>
      </c>
      <c r="BB111" s="16">
        <f t="shared" si="566"/>
        <v>0</v>
      </c>
      <c r="BC111" s="11">
        <f t="shared" si="566"/>
        <v>0</v>
      </c>
      <c r="BD111" s="11">
        <f t="shared" si="566"/>
        <v>0</v>
      </c>
      <c r="BE111" s="11">
        <f t="shared" si="566"/>
        <v>0</v>
      </c>
      <c r="BF111" s="11">
        <f t="shared" si="566"/>
        <v>0</v>
      </c>
      <c r="BG111" s="11">
        <f t="shared" si="566"/>
        <v>0</v>
      </c>
      <c r="BH111" s="11">
        <f t="shared" si="566"/>
        <v>0</v>
      </c>
      <c r="BI111" s="13">
        <f t="shared" si="566"/>
        <v>0</v>
      </c>
      <c r="BJ111" s="13">
        <f t="shared" si="566"/>
        <v>0</v>
      </c>
      <c r="BK111" s="11">
        <f t="shared" si="566"/>
        <v>0</v>
      </c>
      <c r="BL111" s="12">
        <f t="shared" si="566"/>
        <v>0</v>
      </c>
      <c r="BM111" s="12">
        <f t="shared" si="566"/>
        <v>0</v>
      </c>
      <c r="BN111" s="13">
        <f t="shared" si="566"/>
        <v>0</v>
      </c>
      <c r="BO111" s="13">
        <f t="shared" si="566"/>
        <v>0</v>
      </c>
      <c r="BP111" s="15">
        <f t="shared" si="566"/>
        <v>0</v>
      </c>
      <c r="BQ111" s="15">
        <f t="shared" si="566"/>
        <v>0</v>
      </c>
      <c r="BR111" s="14">
        <f t="shared" si="566"/>
        <v>0</v>
      </c>
      <c r="BS111" s="14">
        <f t="shared" si="566"/>
        <v>0</v>
      </c>
      <c r="BT111" s="14">
        <f t="shared" si="566"/>
        <v>0</v>
      </c>
      <c r="BU111" s="14">
        <f t="shared" si="566"/>
        <v>0</v>
      </c>
      <c r="BV111" s="11">
        <f t="shared" si="566"/>
        <v>0</v>
      </c>
      <c r="BW111" s="11">
        <f t="shared" si="566"/>
        <v>0</v>
      </c>
      <c r="BX111" s="11">
        <f t="shared" si="566"/>
        <v>0</v>
      </c>
      <c r="BY111" s="11">
        <f t="shared" si="566"/>
        <v>0</v>
      </c>
      <c r="BZ111" s="7">
        <f t="shared" si="566"/>
        <v>0</v>
      </c>
      <c r="CA111" s="7">
        <f t="shared" si="566"/>
        <v>0</v>
      </c>
      <c r="CB111" s="7">
        <f t="shared" ref="CB111:CP111" si="567">IFERROR(VALUE(CB416),"-")</f>
        <v>0</v>
      </c>
      <c r="CC111" s="7">
        <f t="shared" si="567"/>
        <v>0</v>
      </c>
      <c r="CD111" s="7">
        <f t="shared" si="567"/>
        <v>0</v>
      </c>
      <c r="CE111" s="3">
        <f t="shared" si="567"/>
        <v>0</v>
      </c>
      <c r="CF111" s="7">
        <f t="shared" si="567"/>
        <v>0</v>
      </c>
      <c r="CG111" s="3">
        <f t="shared" si="567"/>
        <v>0</v>
      </c>
      <c r="CH111" s="7">
        <f t="shared" si="567"/>
        <v>0</v>
      </c>
      <c r="CI111" s="7">
        <f t="shared" si="567"/>
        <v>0</v>
      </c>
      <c r="CJ111" s="3">
        <f t="shared" si="567"/>
        <v>0</v>
      </c>
      <c r="CK111" s="7">
        <f t="shared" si="567"/>
        <v>0</v>
      </c>
      <c r="CL111" s="3">
        <f t="shared" si="567"/>
        <v>0</v>
      </c>
      <c r="CM111" s="7">
        <f t="shared" si="567"/>
        <v>0</v>
      </c>
      <c r="CN111" s="10">
        <f t="shared" si="567"/>
        <v>44783.636701388888</v>
      </c>
      <c r="CO111" s="10">
        <f t="shared" si="567"/>
        <v>44783.636701388888</v>
      </c>
      <c r="CP111" s="7">
        <f t="shared" si="567"/>
        <v>38295.69921875</v>
      </c>
      <c r="CQ111" s="7" t="str">
        <f t="shared" ref="CQ111" si="568">IFERROR(CQ416,"-")</f>
        <v>FairPrice</v>
      </c>
      <c r="CR111" s="10">
        <f t="shared" ref="CR111:DG126" si="569">IFERROR(VALUE(CR416),"-")</f>
        <v>44783.638194444444</v>
      </c>
      <c r="CS111" s="7">
        <f t="shared" si="569"/>
        <v>0</v>
      </c>
      <c r="CT111" s="7">
        <f t="shared" si="569"/>
        <v>0</v>
      </c>
      <c r="CU111" s="7">
        <f t="shared" si="569"/>
        <v>0</v>
      </c>
      <c r="CV111" s="7">
        <f t="shared" si="569"/>
        <v>0</v>
      </c>
      <c r="CW111" s="7">
        <f t="shared" si="569"/>
        <v>0</v>
      </c>
      <c r="CX111" s="7">
        <f t="shared" si="569"/>
        <v>0</v>
      </c>
      <c r="CY111" s="7">
        <f t="shared" si="569"/>
        <v>0</v>
      </c>
      <c r="CZ111" s="7">
        <f t="shared" si="569"/>
        <v>0</v>
      </c>
      <c r="DA111" s="7">
        <f t="shared" si="569"/>
        <v>0</v>
      </c>
      <c r="DB111" s="7">
        <f t="shared" si="569"/>
        <v>0</v>
      </c>
      <c r="DC111" s="7">
        <f t="shared" si="569"/>
        <v>0</v>
      </c>
      <c r="DD111" s="7">
        <f t="shared" si="569"/>
        <v>0</v>
      </c>
      <c r="DE111" s="7">
        <f t="shared" si="569"/>
        <v>0</v>
      </c>
      <c r="DF111" s="7">
        <f t="shared" si="569"/>
        <v>0</v>
      </c>
      <c r="DG111" s="7">
        <f t="shared" si="569"/>
        <v>38295.69921875</v>
      </c>
      <c r="DH111" s="7" t="str">
        <f t="shared" ref="DH111:DJ111" si="570">IFERROR(DH416,"-")</f>
        <v>W</v>
      </c>
      <c r="DI111" s="7" t="str">
        <f t="shared" si="570"/>
        <v>W</v>
      </c>
      <c r="DJ111" s="7" t="str">
        <f t="shared" si="570"/>
        <v>G</v>
      </c>
      <c r="DK111" s="64">
        <f t="shared" ref="DK111:DS111" si="571">IFERROR(VALUE(DK416),"-")</f>
        <v>38300</v>
      </c>
      <c r="DL111" s="64">
        <f t="shared" si="571"/>
        <v>3400000</v>
      </c>
      <c r="DM111" s="64">
        <f t="shared" si="571"/>
        <v>38500</v>
      </c>
      <c r="DN111" s="64">
        <f t="shared" si="571"/>
        <v>0</v>
      </c>
      <c r="DO111" s="64">
        <f t="shared" si="571"/>
        <v>24500</v>
      </c>
      <c r="DP111" s="64">
        <f t="shared" si="571"/>
        <v>2863350</v>
      </c>
      <c r="DQ111" s="64">
        <f t="shared" si="571"/>
        <v>38000</v>
      </c>
      <c r="DR111" s="64">
        <f t="shared" si="571"/>
        <v>0</v>
      </c>
      <c r="DS111" s="64">
        <f t="shared" si="571"/>
        <v>24500</v>
      </c>
      <c r="DT111" t="str">
        <f t="shared" si="338"/>
        <v>BANKNIFTY</v>
      </c>
      <c r="DU111" s="10">
        <f t="shared" si="339"/>
        <v>44784</v>
      </c>
    </row>
    <row r="112" spans="1:125" x14ac:dyDescent="0.25">
      <c r="A112" t="s">
        <v>40</v>
      </c>
      <c r="B112" s="2">
        <v>44833</v>
      </c>
      <c r="C112" s="1">
        <v>2300</v>
      </c>
      <c r="D112">
        <v>60</v>
      </c>
      <c r="G112" t="str">
        <f t="array" ref="G112">IFERROR(INDEX($A$2:$A$700,MATCH(0,COUNTIF($G$1:G111,$A$2:$A$700),0)),"")</f>
        <v>JINDALSTEL</v>
      </c>
      <c r="M112" s="3"/>
      <c r="N112" s="3"/>
      <c r="O112" s="3">
        <f t="shared" si="340"/>
        <v>40400</v>
      </c>
      <c r="P112" s="7">
        <f t="shared" ref="P112:CA112" si="572">IFERROR(VALUE(P417),"-")</f>
        <v>0</v>
      </c>
      <c r="Q112" s="7">
        <f t="shared" si="572"/>
        <v>0</v>
      </c>
      <c r="R112" s="7">
        <f t="shared" si="572"/>
        <v>0</v>
      </c>
      <c r="S112" s="7">
        <f t="shared" si="572"/>
        <v>0</v>
      </c>
      <c r="T112" s="11">
        <f t="shared" si="572"/>
        <v>0</v>
      </c>
      <c r="U112" s="11">
        <f t="shared" si="572"/>
        <v>0</v>
      </c>
      <c r="V112" s="11">
        <f t="shared" si="572"/>
        <v>0</v>
      </c>
      <c r="W112" s="11">
        <f t="shared" si="572"/>
        <v>0</v>
      </c>
      <c r="X112" s="14">
        <f t="shared" si="572"/>
        <v>0</v>
      </c>
      <c r="Y112" s="14">
        <f t="shared" si="572"/>
        <v>0</v>
      </c>
      <c r="Z112" s="14">
        <f t="shared" si="572"/>
        <v>0</v>
      </c>
      <c r="AA112" s="14">
        <f t="shared" si="572"/>
        <v>0</v>
      </c>
      <c r="AB112" s="15">
        <f t="shared" si="572"/>
        <v>0</v>
      </c>
      <c r="AC112" s="15">
        <f t="shared" si="572"/>
        <v>0</v>
      </c>
      <c r="AD112" s="13">
        <f t="shared" si="572"/>
        <v>0</v>
      </c>
      <c r="AE112" s="13">
        <f t="shared" si="572"/>
        <v>0</v>
      </c>
      <c r="AF112" s="12">
        <f t="shared" si="572"/>
        <v>0</v>
      </c>
      <c r="AG112" s="12">
        <f t="shared" si="572"/>
        <v>0</v>
      </c>
      <c r="AH112" s="13">
        <f t="shared" si="572"/>
        <v>0</v>
      </c>
      <c r="AI112" s="13">
        <f t="shared" si="572"/>
        <v>0</v>
      </c>
      <c r="AJ112" s="11">
        <f t="shared" si="572"/>
        <v>0</v>
      </c>
      <c r="AK112" s="11">
        <f t="shared" si="572"/>
        <v>0</v>
      </c>
      <c r="AL112" s="11">
        <f t="shared" si="572"/>
        <v>0</v>
      </c>
      <c r="AM112" s="11">
        <f t="shared" si="572"/>
        <v>0</v>
      </c>
      <c r="AN112" s="11">
        <f t="shared" si="572"/>
        <v>0</v>
      </c>
      <c r="AO112" s="11">
        <f t="shared" si="572"/>
        <v>0</v>
      </c>
      <c r="AP112" s="11">
        <f t="shared" si="572"/>
        <v>0</v>
      </c>
      <c r="AQ112" s="11">
        <f t="shared" si="572"/>
        <v>0</v>
      </c>
      <c r="AR112" s="16">
        <f t="shared" si="572"/>
        <v>0</v>
      </c>
      <c r="AS112" s="16">
        <f t="shared" si="572"/>
        <v>0</v>
      </c>
      <c r="AT112" s="16">
        <f t="shared" si="572"/>
        <v>0</v>
      </c>
      <c r="AU112" s="7">
        <f t="shared" si="572"/>
        <v>0</v>
      </c>
      <c r="AV112" s="7">
        <f t="shared" si="572"/>
        <v>0</v>
      </c>
      <c r="AW112" s="7">
        <f t="shared" si="572"/>
        <v>0</v>
      </c>
      <c r="AX112" s="7">
        <f t="shared" si="572"/>
        <v>0</v>
      </c>
      <c r="AY112" s="11">
        <f t="shared" si="572"/>
        <v>0</v>
      </c>
      <c r="AZ112" s="16">
        <f t="shared" si="572"/>
        <v>0</v>
      </c>
      <c r="BA112" s="16">
        <f t="shared" si="572"/>
        <v>0</v>
      </c>
      <c r="BB112" s="16">
        <f t="shared" si="572"/>
        <v>0</v>
      </c>
      <c r="BC112" s="11">
        <f t="shared" si="572"/>
        <v>0</v>
      </c>
      <c r="BD112" s="11">
        <f t="shared" si="572"/>
        <v>0</v>
      </c>
      <c r="BE112" s="11">
        <f t="shared" si="572"/>
        <v>0</v>
      </c>
      <c r="BF112" s="11">
        <f t="shared" si="572"/>
        <v>0</v>
      </c>
      <c r="BG112" s="11">
        <f t="shared" si="572"/>
        <v>0</v>
      </c>
      <c r="BH112" s="11">
        <f t="shared" si="572"/>
        <v>0</v>
      </c>
      <c r="BI112" s="13">
        <f t="shared" si="572"/>
        <v>0</v>
      </c>
      <c r="BJ112" s="13">
        <f t="shared" si="572"/>
        <v>0</v>
      </c>
      <c r="BK112" s="11">
        <f t="shared" si="572"/>
        <v>0</v>
      </c>
      <c r="BL112" s="12">
        <f t="shared" si="572"/>
        <v>0</v>
      </c>
      <c r="BM112" s="12">
        <f t="shared" si="572"/>
        <v>0</v>
      </c>
      <c r="BN112" s="13">
        <f t="shared" si="572"/>
        <v>0</v>
      </c>
      <c r="BO112" s="13">
        <f t="shared" si="572"/>
        <v>0</v>
      </c>
      <c r="BP112" s="15">
        <f t="shared" si="572"/>
        <v>0</v>
      </c>
      <c r="BQ112" s="15">
        <f t="shared" si="572"/>
        <v>0</v>
      </c>
      <c r="BR112" s="14">
        <f t="shared" si="572"/>
        <v>0</v>
      </c>
      <c r="BS112" s="14">
        <f t="shared" si="572"/>
        <v>0</v>
      </c>
      <c r="BT112" s="14">
        <f t="shared" si="572"/>
        <v>0</v>
      </c>
      <c r="BU112" s="14">
        <f t="shared" si="572"/>
        <v>0</v>
      </c>
      <c r="BV112" s="11">
        <f t="shared" si="572"/>
        <v>0</v>
      </c>
      <c r="BW112" s="11">
        <f t="shared" si="572"/>
        <v>0</v>
      </c>
      <c r="BX112" s="11">
        <f t="shared" si="572"/>
        <v>0</v>
      </c>
      <c r="BY112" s="11">
        <f t="shared" si="572"/>
        <v>0</v>
      </c>
      <c r="BZ112" s="7">
        <f t="shared" si="572"/>
        <v>0</v>
      </c>
      <c r="CA112" s="7">
        <f t="shared" si="572"/>
        <v>0</v>
      </c>
      <c r="CB112" s="7">
        <f t="shared" ref="CB112:CP112" si="573">IFERROR(VALUE(CB417),"-")</f>
        <v>0</v>
      </c>
      <c r="CC112" s="7">
        <f t="shared" si="573"/>
        <v>0</v>
      </c>
      <c r="CD112" s="7">
        <f t="shared" si="573"/>
        <v>0</v>
      </c>
      <c r="CE112" s="3">
        <f t="shared" si="573"/>
        <v>0</v>
      </c>
      <c r="CF112" s="7">
        <f t="shared" si="573"/>
        <v>0</v>
      </c>
      <c r="CG112" s="3">
        <f t="shared" si="573"/>
        <v>0</v>
      </c>
      <c r="CH112" s="7">
        <f t="shared" si="573"/>
        <v>0</v>
      </c>
      <c r="CI112" s="7">
        <f t="shared" si="573"/>
        <v>0</v>
      </c>
      <c r="CJ112" s="3">
        <f t="shared" si="573"/>
        <v>0</v>
      </c>
      <c r="CK112" s="7">
        <f t="shared" si="573"/>
        <v>0</v>
      </c>
      <c r="CL112" s="3">
        <f t="shared" si="573"/>
        <v>0</v>
      </c>
      <c r="CM112" s="7">
        <f t="shared" si="573"/>
        <v>0</v>
      </c>
      <c r="CN112" s="10">
        <f t="shared" si="573"/>
        <v>44783.636701388888</v>
      </c>
      <c r="CO112" s="10">
        <f t="shared" si="573"/>
        <v>44783.636701388888</v>
      </c>
      <c r="CP112" s="7">
        <f t="shared" si="573"/>
        <v>38295.69921875</v>
      </c>
      <c r="CQ112" s="7" t="str">
        <f t="shared" ref="CQ112" si="574">IFERROR(CQ417,"-")</f>
        <v>FairPrice</v>
      </c>
      <c r="CR112" s="10">
        <f t="shared" si="569"/>
        <v>44783.638194444444</v>
      </c>
      <c r="CS112" s="7">
        <f t="shared" si="569"/>
        <v>0</v>
      </c>
      <c r="CT112" s="7">
        <f t="shared" si="569"/>
        <v>0</v>
      </c>
      <c r="CU112" s="7">
        <f t="shared" si="569"/>
        <v>0</v>
      </c>
      <c r="CV112" s="7">
        <f t="shared" si="569"/>
        <v>0</v>
      </c>
      <c r="CW112" s="7">
        <f t="shared" si="569"/>
        <v>0</v>
      </c>
      <c r="CX112" s="7">
        <f t="shared" si="569"/>
        <v>0</v>
      </c>
      <c r="CY112" s="7">
        <f t="shared" si="569"/>
        <v>0</v>
      </c>
      <c r="CZ112" s="7">
        <f t="shared" si="569"/>
        <v>0</v>
      </c>
      <c r="DA112" s="7">
        <f t="shared" si="569"/>
        <v>0</v>
      </c>
      <c r="DB112" s="7">
        <f t="shared" si="569"/>
        <v>0</v>
      </c>
      <c r="DC112" s="7">
        <f t="shared" si="569"/>
        <v>0</v>
      </c>
      <c r="DD112" s="7">
        <f t="shared" si="569"/>
        <v>0</v>
      </c>
      <c r="DE112" s="7">
        <f t="shared" si="569"/>
        <v>0</v>
      </c>
      <c r="DF112" s="7">
        <f t="shared" si="569"/>
        <v>0</v>
      </c>
      <c r="DG112" s="7">
        <f t="shared" si="569"/>
        <v>38295.69921875</v>
      </c>
      <c r="DH112" s="7" t="str">
        <f t="shared" ref="DH112:DJ112" si="575">IFERROR(DH417,"-")</f>
        <v>W</v>
      </c>
      <c r="DI112" s="7" t="str">
        <f t="shared" si="575"/>
        <v>W</v>
      </c>
      <c r="DJ112" s="7" t="str">
        <f t="shared" si="575"/>
        <v>G</v>
      </c>
      <c r="DK112" s="64">
        <f t="shared" ref="DK112:DS112" si="576">IFERROR(VALUE(DK417),"-")</f>
        <v>38300</v>
      </c>
      <c r="DL112" s="64">
        <f t="shared" si="576"/>
        <v>3400000</v>
      </c>
      <c r="DM112" s="64">
        <f t="shared" si="576"/>
        <v>38500</v>
      </c>
      <c r="DN112" s="64">
        <f t="shared" si="576"/>
        <v>0</v>
      </c>
      <c r="DO112" s="64">
        <f t="shared" si="576"/>
        <v>24500</v>
      </c>
      <c r="DP112" s="64">
        <f t="shared" si="576"/>
        <v>2863350</v>
      </c>
      <c r="DQ112" s="64">
        <f t="shared" si="576"/>
        <v>38000</v>
      </c>
      <c r="DR112" s="64">
        <f t="shared" si="576"/>
        <v>0</v>
      </c>
      <c r="DS112" s="64">
        <f t="shared" si="576"/>
        <v>24500</v>
      </c>
      <c r="DT112" t="str">
        <f t="shared" si="338"/>
        <v>BANKNIFTY</v>
      </c>
      <c r="DU112" s="10">
        <f t="shared" si="339"/>
        <v>44784</v>
      </c>
    </row>
    <row r="113" spans="1:125" x14ac:dyDescent="0.25">
      <c r="A113" t="s">
        <v>40</v>
      </c>
      <c r="B113" s="2">
        <v>44861</v>
      </c>
      <c r="C113" s="1">
        <v>2300</v>
      </c>
      <c r="D113">
        <v>60</v>
      </c>
      <c r="G113" t="str">
        <f t="array" ref="G113">IFERROR(INDEX($A$2:$A$700,MATCH(0,COUNTIF($G$1:G112,$A$2:$A$700),0)),"")</f>
        <v>JKCEMENT</v>
      </c>
      <c r="M113" s="3"/>
      <c r="N113" s="3"/>
      <c r="O113" s="3">
        <f t="shared" si="340"/>
        <v>40500</v>
      </c>
      <c r="P113" s="7">
        <f t="shared" ref="P113:CA113" si="577">IFERROR(VALUE(P418),"-")</f>
        <v>2291.35009765625</v>
      </c>
      <c r="Q113" s="7">
        <f t="shared" si="577"/>
        <v>2134.60009765625</v>
      </c>
      <c r="R113" s="7">
        <f t="shared" si="577"/>
        <v>2291.35009765625</v>
      </c>
      <c r="S113" s="7">
        <f t="shared" si="577"/>
        <v>2137.75</v>
      </c>
      <c r="T113" s="11">
        <f t="shared" si="577"/>
        <v>-0.9599609375</v>
      </c>
      <c r="U113" s="11">
        <f t="shared" si="577"/>
        <v>2188.754638671875</v>
      </c>
      <c r="V113" s="11">
        <f t="shared" si="577"/>
        <v>-2.54248046875</v>
      </c>
      <c r="W113" s="11">
        <f t="shared" si="577"/>
        <v>3293.154052734375</v>
      </c>
      <c r="X113" s="14">
        <f t="shared" si="577"/>
        <v>-2.2664607968181372E-8</v>
      </c>
      <c r="Y113" s="14">
        <f t="shared" si="577"/>
        <v>3.098341403529048E-5</v>
      </c>
      <c r="Z113" s="14">
        <f t="shared" si="577"/>
        <v>-7.129710866138339E-8</v>
      </c>
      <c r="AA113" s="14">
        <f t="shared" si="577"/>
        <v>7.6046213507652283E-5</v>
      </c>
      <c r="AB113" s="15">
        <f t="shared" si="577"/>
        <v>-1.5766943306516623E-11</v>
      </c>
      <c r="AC113" s="15">
        <f t="shared" si="577"/>
        <v>7.6370895385480253E-8</v>
      </c>
      <c r="AD113" s="13">
        <f t="shared" si="577"/>
        <v>2.0056962966918945E-4</v>
      </c>
      <c r="AE113" s="13">
        <f t="shared" si="577"/>
        <v>-0.53386789560317993</v>
      </c>
      <c r="AF113" s="12">
        <f t="shared" si="577"/>
        <v>-7.6222419738769531E-4</v>
      </c>
      <c r="AG113" s="12">
        <f t="shared" si="577"/>
        <v>1.310334324836731</v>
      </c>
      <c r="AH113" s="13">
        <f t="shared" si="577"/>
        <v>1.280568540096283E-8</v>
      </c>
      <c r="AI113" s="13">
        <f t="shared" si="577"/>
        <v>1.0908095282502472E-4</v>
      </c>
      <c r="AJ113" s="11">
        <f t="shared" si="577"/>
        <v>9.0384483337402344E-4</v>
      </c>
      <c r="AK113" s="11">
        <f t="shared" si="577"/>
        <v>3.7748250961303711</v>
      </c>
      <c r="AL113" s="11">
        <f t="shared" si="577"/>
        <v>-6.84814453125E-2</v>
      </c>
      <c r="AM113" s="11">
        <f t="shared" si="577"/>
        <v>-153.7972412109375</v>
      </c>
      <c r="AN113" s="11">
        <f t="shared" si="577"/>
        <v>3.8981437683105469E-5</v>
      </c>
      <c r="AO113" s="11">
        <f t="shared" si="577"/>
        <v>-0.89187318086624146</v>
      </c>
      <c r="AP113" s="11">
        <f t="shared" si="577"/>
        <v>83.774596452713013</v>
      </c>
      <c r="AQ113" s="11">
        <f t="shared" si="577"/>
        <v>200</v>
      </c>
      <c r="AR113" s="16">
        <f t="shared" si="577"/>
        <v>50</v>
      </c>
      <c r="AS113" s="16">
        <f t="shared" si="577"/>
        <v>175</v>
      </c>
      <c r="AT113" s="16">
        <f t="shared" si="577"/>
        <v>83.774596452713013</v>
      </c>
      <c r="AU113" s="7">
        <f t="shared" si="577"/>
        <v>0</v>
      </c>
      <c r="AV113" s="7">
        <f t="shared" si="577"/>
        <v>2291.35009765625</v>
      </c>
      <c r="AW113" s="7">
        <f t="shared" si="577"/>
        <v>2</v>
      </c>
      <c r="AX113" s="7">
        <f t="shared" si="577"/>
        <v>0</v>
      </c>
      <c r="AY113" s="11">
        <f t="shared" si="577"/>
        <v>42.788353562355042</v>
      </c>
      <c r="AZ113" s="16">
        <f t="shared" si="577"/>
        <v>1258350</v>
      </c>
      <c r="BA113" s="16">
        <f t="shared" si="577"/>
        <v>44075</v>
      </c>
      <c r="BB113" s="16">
        <f t="shared" si="577"/>
        <v>6418475</v>
      </c>
      <c r="BC113" s="11">
        <f t="shared" si="577"/>
        <v>7.0818881504237652E-3</v>
      </c>
      <c r="BD113" s="11">
        <f t="shared" si="577"/>
        <v>1.3625249266624451E-6</v>
      </c>
      <c r="BE113" s="11">
        <f t="shared" si="577"/>
        <v>-2</v>
      </c>
      <c r="BF113" s="11">
        <f t="shared" si="577"/>
        <v>0</v>
      </c>
      <c r="BG113" s="11">
        <f t="shared" si="577"/>
        <v>0.40015599131584167</v>
      </c>
      <c r="BH113" s="11">
        <f t="shared" si="577"/>
        <v>6.5028667449951172E-5</v>
      </c>
      <c r="BI113" s="13">
        <f t="shared" si="577"/>
        <v>2.2638534574070945E-5</v>
      </c>
      <c r="BJ113" s="13">
        <f t="shared" si="577"/>
        <v>8.6656655184924603E-9</v>
      </c>
      <c r="BK113" s="11">
        <f t="shared" si="577"/>
        <v>42.788353562355042</v>
      </c>
      <c r="BL113" s="12">
        <f t="shared" si="577"/>
        <v>46.774280548095703</v>
      </c>
      <c r="BM113" s="12">
        <f t="shared" si="577"/>
        <v>2.8228759765625E-4</v>
      </c>
      <c r="BN113" s="13">
        <f t="shared" si="577"/>
        <v>-9.7331466674804688</v>
      </c>
      <c r="BO113" s="13">
        <f t="shared" si="577"/>
        <v>1.5239715576171875E-3</v>
      </c>
      <c r="BP113" s="15">
        <f t="shared" si="577"/>
        <v>6.3265652272548323E-8</v>
      </c>
      <c r="BQ113" s="15">
        <f t="shared" si="577"/>
        <v>3.6024516703037079E-11</v>
      </c>
      <c r="BR113" s="14">
        <f t="shared" si="577"/>
        <v>2.6842020452022552E-4</v>
      </c>
      <c r="BS113" s="14">
        <f t="shared" si="577"/>
        <v>1.3926182873547077E-7</v>
      </c>
      <c r="BT113" s="14">
        <f t="shared" si="577"/>
        <v>5.5854910897323862E-5</v>
      </c>
      <c r="BU113" s="14">
        <f t="shared" si="577"/>
        <v>1.9903382053598762E-8</v>
      </c>
      <c r="BV113" s="11">
        <f t="shared" si="577"/>
        <v>233209.9375</v>
      </c>
      <c r="BW113" s="11">
        <f t="shared" si="577"/>
        <v>-6.859375</v>
      </c>
      <c r="BX113" s="11">
        <f t="shared" si="577"/>
        <v>56518.45703125</v>
      </c>
      <c r="BY113" s="11">
        <f t="shared" si="577"/>
        <v>-10.390625</v>
      </c>
      <c r="BZ113" s="7">
        <f t="shared" si="577"/>
        <v>2.0999999046325684</v>
      </c>
      <c r="CA113" s="7">
        <f t="shared" si="577"/>
        <v>3.4500000476837158</v>
      </c>
      <c r="CB113" s="7">
        <f t="shared" ref="CB113:CP113" si="578">IFERROR(VALUE(CB418),"-")</f>
        <v>1.9500000476837158</v>
      </c>
      <c r="CC113" s="7">
        <f t="shared" si="578"/>
        <v>2</v>
      </c>
      <c r="CD113" s="7">
        <f t="shared" si="578"/>
        <v>2</v>
      </c>
      <c r="CE113" s="3">
        <f t="shared" si="578"/>
        <v>3300</v>
      </c>
      <c r="CF113" s="7">
        <f t="shared" si="578"/>
        <v>1.9500000476837158</v>
      </c>
      <c r="CG113" s="3">
        <f t="shared" si="578"/>
        <v>12000</v>
      </c>
      <c r="CH113" s="7">
        <f t="shared" si="578"/>
        <v>2.8599998950958252</v>
      </c>
      <c r="CI113" s="7">
        <f t="shared" si="578"/>
        <v>2217.050048828125</v>
      </c>
      <c r="CJ113" s="3">
        <f t="shared" si="578"/>
        <v>250</v>
      </c>
      <c r="CK113" s="7">
        <f t="shared" si="578"/>
        <v>2182.89990234375</v>
      </c>
      <c r="CL113" s="3">
        <f t="shared" si="578"/>
        <v>250</v>
      </c>
      <c r="CM113" s="7">
        <f t="shared" si="578"/>
        <v>2157.169921875</v>
      </c>
      <c r="CN113" s="10">
        <f t="shared" si="578"/>
        <v>44783.638194444444</v>
      </c>
      <c r="CO113" s="10">
        <f t="shared" si="578"/>
        <v>44783.638194444444</v>
      </c>
      <c r="CP113" s="7">
        <f t="shared" si="578"/>
        <v>38295.69921875</v>
      </c>
      <c r="CQ113" s="7" t="str">
        <f t="shared" ref="CQ113" si="579">IFERROR(CQ418,"-")</f>
        <v>FairPrice</v>
      </c>
      <c r="CR113" s="10">
        <f t="shared" si="569"/>
        <v>44783.638194444444</v>
      </c>
      <c r="CS113" s="7">
        <f t="shared" si="569"/>
        <v>1.3625621795654297E-2</v>
      </c>
      <c r="CT113" s="7">
        <f t="shared" si="569"/>
        <v>1.6267268228253257E-4</v>
      </c>
      <c r="CU113" s="7">
        <f t="shared" si="569"/>
        <v>125</v>
      </c>
      <c r="CV113" s="7">
        <f t="shared" si="569"/>
        <v>0.4</v>
      </c>
      <c r="CW113" s="7">
        <f t="shared" si="569"/>
        <v>2291.35009765625</v>
      </c>
      <c r="CX113" s="7">
        <f t="shared" si="569"/>
        <v>0</v>
      </c>
      <c r="CY113" s="7">
        <f t="shared" si="569"/>
        <v>2</v>
      </c>
      <c r="CZ113" s="7">
        <f t="shared" si="569"/>
        <v>0</v>
      </c>
      <c r="DA113" s="7">
        <f t="shared" si="569"/>
        <v>1214275</v>
      </c>
      <c r="DB113" s="7">
        <f t="shared" si="569"/>
        <v>3.6297379094521423E-2</v>
      </c>
      <c r="DC113" s="7">
        <f t="shared" si="569"/>
        <v>-8.8065862655639648E-3</v>
      </c>
      <c r="DD113" s="7">
        <f t="shared" si="569"/>
        <v>-2.0577501486036825E-4</v>
      </c>
      <c r="DE113" s="7">
        <f t="shared" si="569"/>
        <v>2</v>
      </c>
      <c r="DF113" s="7">
        <f t="shared" si="569"/>
        <v>2291.35009765625</v>
      </c>
      <c r="DG113" s="7">
        <f t="shared" si="569"/>
        <v>38295.69921875</v>
      </c>
      <c r="DH113" s="7" t="str">
        <f t="shared" ref="DH113:DJ113" si="580">IFERROR(DH418,"-")</f>
        <v>W</v>
      </c>
      <c r="DI113" s="7" t="str">
        <f t="shared" si="580"/>
        <v>W</v>
      </c>
      <c r="DJ113" s="7" t="str">
        <f t="shared" si="580"/>
        <v>G</v>
      </c>
      <c r="DK113" s="64">
        <f t="shared" ref="DK113:DS113" si="581">IFERROR(VALUE(DK418),"-")</f>
        <v>38300</v>
      </c>
      <c r="DL113" s="64">
        <f t="shared" si="581"/>
        <v>3400000</v>
      </c>
      <c r="DM113" s="64">
        <f t="shared" si="581"/>
        <v>38500</v>
      </c>
      <c r="DN113" s="64">
        <f t="shared" si="581"/>
        <v>0</v>
      </c>
      <c r="DO113" s="64">
        <f t="shared" si="581"/>
        <v>24500</v>
      </c>
      <c r="DP113" s="64">
        <f t="shared" si="581"/>
        <v>2863350</v>
      </c>
      <c r="DQ113" s="64">
        <f t="shared" si="581"/>
        <v>38000</v>
      </c>
      <c r="DR113" s="64">
        <f t="shared" si="581"/>
        <v>0</v>
      </c>
      <c r="DS113" s="64">
        <f t="shared" si="581"/>
        <v>24500</v>
      </c>
      <c r="DT113" t="str">
        <f t="shared" si="338"/>
        <v>BANKNIFTY</v>
      </c>
      <c r="DU113" s="10">
        <f t="shared" si="339"/>
        <v>44784</v>
      </c>
    </row>
    <row r="114" spans="1:125" x14ac:dyDescent="0.25">
      <c r="A114" t="s">
        <v>41</v>
      </c>
      <c r="B114" s="2">
        <v>44798</v>
      </c>
      <c r="C114" s="1">
        <v>50</v>
      </c>
      <c r="D114">
        <v>65</v>
      </c>
      <c r="G114" t="str">
        <f t="array" ref="G114">IFERROR(INDEX($A$2:$A$700,MATCH(0,COUNTIF($G$1:G113,$A$2:$A$700),0)),"")</f>
        <v>JSWSTEEL</v>
      </c>
      <c r="M114" s="3"/>
      <c r="N114" s="3"/>
      <c r="O114" s="3">
        <f t="shared" si="340"/>
        <v>40600</v>
      </c>
      <c r="P114" s="7">
        <f t="shared" ref="P114:CA114" si="582">IFERROR(VALUE(P419),"-")</f>
        <v>0</v>
      </c>
      <c r="Q114" s="7">
        <f t="shared" si="582"/>
        <v>0</v>
      </c>
      <c r="R114" s="7">
        <f t="shared" si="582"/>
        <v>0</v>
      </c>
      <c r="S114" s="7">
        <f t="shared" si="582"/>
        <v>0</v>
      </c>
      <c r="T114" s="11">
        <f t="shared" si="582"/>
        <v>0</v>
      </c>
      <c r="U114" s="11">
        <f t="shared" si="582"/>
        <v>0</v>
      </c>
      <c r="V114" s="11">
        <f t="shared" si="582"/>
        <v>0</v>
      </c>
      <c r="W114" s="11">
        <f t="shared" si="582"/>
        <v>0</v>
      </c>
      <c r="X114" s="14">
        <f t="shared" si="582"/>
        <v>0</v>
      </c>
      <c r="Y114" s="14">
        <f t="shared" si="582"/>
        <v>0</v>
      </c>
      <c r="Z114" s="14">
        <f t="shared" si="582"/>
        <v>0</v>
      </c>
      <c r="AA114" s="14">
        <f t="shared" si="582"/>
        <v>0</v>
      </c>
      <c r="AB114" s="15">
        <f t="shared" si="582"/>
        <v>0</v>
      </c>
      <c r="AC114" s="15">
        <f t="shared" si="582"/>
        <v>0</v>
      </c>
      <c r="AD114" s="13">
        <f t="shared" si="582"/>
        <v>0</v>
      </c>
      <c r="AE114" s="13">
        <f t="shared" si="582"/>
        <v>0</v>
      </c>
      <c r="AF114" s="12">
        <f t="shared" si="582"/>
        <v>0</v>
      </c>
      <c r="AG114" s="12">
        <f t="shared" si="582"/>
        <v>0</v>
      </c>
      <c r="AH114" s="13">
        <f t="shared" si="582"/>
        <v>0</v>
      </c>
      <c r="AI114" s="13">
        <f t="shared" si="582"/>
        <v>0</v>
      </c>
      <c r="AJ114" s="11">
        <f t="shared" si="582"/>
        <v>0</v>
      </c>
      <c r="AK114" s="11">
        <f t="shared" si="582"/>
        <v>0</v>
      </c>
      <c r="AL114" s="11">
        <f t="shared" si="582"/>
        <v>0</v>
      </c>
      <c r="AM114" s="11">
        <f t="shared" si="582"/>
        <v>0</v>
      </c>
      <c r="AN114" s="11">
        <f t="shared" si="582"/>
        <v>0</v>
      </c>
      <c r="AO114" s="11">
        <f t="shared" si="582"/>
        <v>0</v>
      </c>
      <c r="AP114" s="11">
        <f t="shared" si="582"/>
        <v>0</v>
      </c>
      <c r="AQ114" s="11">
        <f t="shared" si="582"/>
        <v>0</v>
      </c>
      <c r="AR114" s="16">
        <f t="shared" si="582"/>
        <v>0</v>
      </c>
      <c r="AS114" s="16">
        <f t="shared" si="582"/>
        <v>0</v>
      </c>
      <c r="AT114" s="16">
        <f t="shared" si="582"/>
        <v>0</v>
      </c>
      <c r="AU114" s="7">
        <f t="shared" si="582"/>
        <v>0</v>
      </c>
      <c r="AV114" s="7">
        <f t="shared" si="582"/>
        <v>0</v>
      </c>
      <c r="AW114" s="7">
        <f t="shared" si="582"/>
        <v>0</v>
      </c>
      <c r="AX114" s="7">
        <f t="shared" si="582"/>
        <v>0</v>
      </c>
      <c r="AY114" s="11">
        <f t="shared" si="582"/>
        <v>0</v>
      </c>
      <c r="AZ114" s="16">
        <f t="shared" si="582"/>
        <v>0</v>
      </c>
      <c r="BA114" s="16">
        <f t="shared" si="582"/>
        <v>0</v>
      </c>
      <c r="BB114" s="16">
        <f t="shared" si="582"/>
        <v>0</v>
      </c>
      <c r="BC114" s="11">
        <f t="shared" si="582"/>
        <v>0</v>
      </c>
      <c r="BD114" s="11">
        <f t="shared" si="582"/>
        <v>0</v>
      </c>
      <c r="BE114" s="11">
        <f t="shared" si="582"/>
        <v>0</v>
      </c>
      <c r="BF114" s="11">
        <f t="shared" si="582"/>
        <v>0</v>
      </c>
      <c r="BG114" s="11">
        <f t="shared" si="582"/>
        <v>0</v>
      </c>
      <c r="BH114" s="11">
        <f t="shared" si="582"/>
        <v>0</v>
      </c>
      <c r="BI114" s="13">
        <f t="shared" si="582"/>
        <v>0</v>
      </c>
      <c r="BJ114" s="13">
        <f t="shared" si="582"/>
        <v>0</v>
      </c>
      <c r="BK114" s="11">
        <f t="shared" si="582"/>
        <v>0</v>
      </c>
      <c r="BL114" s="12">
        <f t="shared" si="582"/>
        <v>0</v>
      </c>
      <c r="BM114" s="12">
        <f t="shared" si="582"/>
        <v>0</v>
      </c>
      <c r="BN114" s="13">
        <f t="shared" si="582"/>
        <v>0</v>
      </c>
      <c r="BO114" s="13">
        <f t="shared" si="582"/>
        <v>0</v>
      </c>
      <c r="BP114" s="15">
        <f t="shared" si="582"/>
        <v>0</v>
      </c>
      <c r="BQ114" s="15">
        <f t="shared" si="582"/>
        <v>0</v>
      </c>
      <c r="BR114" s="14">
        <f t="shared" si="582"/>
        <v>0</v>
      </c>
      <c r="BS114" s="14">
        <f t="shared" si="582"/>
        <v>0</v>
      </c>
      <c r="BT114" s="14">
        <f t="shared" si="582"/>
        <v>0</v>
      </c>
      <c r="BU114" s="14">
        <f t="shared" si="582"/>
        <v>0</v>
      </c>
      <c r="BV114" s="11">
        <f t="shared" si="582"/>
        <v>0</v>
      </c>
      <c r="BW114" s="11">
        <f t="shared" si="582"/>
        <v>0</v>
      </c>
      <c r="BX114" s="11">
        <f t="shared" si="582"/>
        <v>0</v>
      </c>
      <c r="BY114" s="11">
        <f t="shared" si="582"/>
        <v>0</v>
      </c>
      <c r="BZ114" s="7">
        <f t="shared" si="582"/>
        <v>0</v>
      </c>
      <c r="CA114" s="7">
        <f t="shared" si="582"/>
        <v>0</v>
      </c>
      <c r="CB114" s="7">
        <f t="shared" ref="CB114:CP114" si="583">IFERROR(VALUE(CB419),"-")</f>
        <v>0</v>
      </c>
      <c r="CC114" s="7">
        <f t="shared" si="583"/>
        <v>0</v>
      </c>
      <c r="CD114" s="7">
        <f t="shared" si="583"/>
        <v>0</v>
      </c>
      <c r="CE114" s="3">
        <f t="shared" si="583"/>
        <v>0</v>
      </c>
      <c r="CF114" s="7">
        <f t="shared" si="583"/>
        <v>0</v>
      </c>
      <c r="CG114" s="3">
        <f t="shared" si="583"/>
        <v>0</v>
      </c>
      <c r="CH114" s="7">
        <f t="shared" si="583"/>
        <v>0</v>
      </c>
      <c r="CI114" s="7">
        <f t="shared" si="583"/>
        <v>0</v>
      </c>
      <c r="CJ114" s="3">
        <f t="shared" si="583"/>
        <v>0</v>
      </c>
      <c r="CK114" s="7">
        <f t="shared" si="583"/>
        <v>0</v>
      </c>
      <c r="CL114" s="3">
        <f t="shared" si="583"/>
        <v>0</v>
      </c>
      <c r="CM114" s="7">
        <f t="shared" si="583"/>
        <v>0</v>
      </c>
      <c r="CN114" s="10">
        <f t="shared" si="583"/>
        <v>44783.636701388888</v>
      </c>
      <c r="CO114" s="10">
        <f t="shared" si="583"/>
        <v>44783.636701388888</v>
      </c>
      <c r="CP114" s="7">
        <f t="shared" si="583"/>
        <v>38295.69921875</v>
      </c>
      <c r="CQ114" s="7" t="str">
        <f t="shared" ref="CQ114" si="584">IFERROR(CQ419,"-")</f>
        <v>FairPrice</v>
      </c>
      <c r="CR114" s="10">
        <f t="shared" si="569"/>
        <v>44783.638194444444</v>
      </c>
      <c r="CS114" s="7">
        <f t="shared" si="569"/>
        <v>0</v>
      </c>
      <c r="CT114" s="7">
        <f t="shared" si="569"/>
        <v>0</v>
      </c>
      <c r="CU114" s="7">
        <f t="shared" si="569"/>
        <v>0</v>
      </c>
      <c r="CV114" s="7">
        <f t="shared" si="569"/>
        <v>0</v>
      </c>
      <c r="CW114" s="7">
        <f t="shared" si="569"/>
        <v>0</v>
      </c>
      <c r="CX114" s="7">
        <f t="shared" si="569"/>
        <v>0</v>
      </c>
      <c r="CY114" s="7">
        <f t="shared" si="569"/>
        <v>0</v>
      </c>
      <c r="CZ114" s="7">
        <f t="shared" si="569"/>
        <v>0</v>
      </c>
      <c r="DA114" s="7">
        <f t="shared" si="569"/>
        <v>0</v>
      </c>
      <c r="DB114" s="7">
        <f t="shared" si="569"/>
        <v>0</v>
      </c>
      <c r="DC114" s="7">
        <f t="shared" si="569"/>
        <v>0</v>
      </c>
      <c r="DD114" s="7">
        <f t="shared" si="569"/>
        <v>0</v>
      </c>
      <c r="DE114" s="7">
        <f t="shared" si="569"/>
        <v>0</v>
      </c>
      <c r="DF114" s="7">
        <f t="shared" si="569"/>
        <v>0</v>
      </c>
      <c r="DG114" s="7">
        <f t="shared" si="569"/>
        <v>38295.69921875</v>
      </c>
      <c r="DH114" s="7" t="str">
        <f t="shared" ref="DH114:DJ114" si="585">IFERROR(DH419,"-")</f>
        <v>W</v>
      </c>
      <c r="DI114" s="7" t="str">
        <f t="shared" si="585"/>
        <v>W</v>
      </c>
      <c r="DJ114" s="7" t="str">
        <f t="shared" si="585"/>
        <v>G</v>
      </c>
      <c r="DK114" s="64">
        <f t="shared" ref="DK114:DS114" si="586">IFERROR(VALUE(DK419),"-")</f>
        <v>38300</v>
      </c>
      <c r="DL114" s="64">
        <f t="shared" si="586"/>
        <v>3400000</v>
      </c>
      <c r="DM114" s="64">
        <f t="shared" si="586"/>
        <v>38500</v>
      </c>
      <c r="DN114" s="64">
        <f t="shared" si="586"/>
        <v>0</v>
      </c>
      <c r="DO114" s="64">
        <f t="shared" si="586"/>
        <v>24500</v>
      </c>
      <c r="DP114" s="64">
        <f t="shared" si="586"/>
        <v>2863350</v>
      </c>
      <c r="DQ114" s="64">
        <f t="shared" si="586"/>
        <v>38000</v>
      </c>
      <c r="DR114" s="64">
        <f t="shared" si="586"/>
        <v>0</v>
      </c>
      <c r="DS114" s="64">
        <f t="shared" si="586"/>
        <v>24500</v>
      </c>
      <c r="DT114" t="str">
        <f t="shared" si="338"/>
        <v>BANKNIFTY</v>
      </c>
      <c r="DU114" s="10">
        <f t="shared" si="339"/>
        <v>44784</v>
      </c>
    </row>
    <row r="115" spans="1:125" x14ac:dyDescent="0.25">
      <c r="A115" t="s">
        <v>41</v>
      </c>
      <c r="B115" s="2">
        <v>44833</v>
      </c>
      <c r="C115" s="1">
        <v>50</v>
      </c>
      <c r="D115">
        <v>65</v>
      </c>
      <c r="G115" t="str">
        <f t="array" ref="G115">IFERROR(INDEX($A$2:$A$700,MATCH(0,COUNTIF($G$1:G114,$A$2:$A$700),0)),"")</f>
        <v>JUBLFOOD</v>
      </c>
      <c r="M115" s="3"/>
      <c r="N115" s="3"/>
      <c r="O115" s="3">
        <f t="shared" si="340"/>
        <v>40700</v>
      </c>
      <c r="P115" s="7">
        <f t="shared" ref="P115:CA115" si="587">IFERROR(VALUE(P420),"-")</f>
        <v>0</v>
      </c>
      <c r="Q115" s="7">
        <f t="shared" si="587"/>
        <v>0</v>
      </c>
      <c r="R115" s="7">
        <f t="shared" si="587"/>
        <v>0</v>
      </c>
      <c r="S115" s="7">
        <f t="shared" si="587"/>
        <v>0</v>
      </c>
      <c r="T115" s="11">
        <f t="shared" si="587"/>
        <v>0</v>
      </c>
      <c r="U115" s="11">
        <f t="shared" si="587"/>
        <v>0</v>
      </c>
      <c r="V115" s="11">
        <f t="shared" si="587"/>
        <v>0</v>
      </c>
      <c r="W115" s="11">
        <f t="shared" si="587"/>
        <v>0</v>
      </c>
      <c r="X115" s="14">
        <f t="shared" si="587"/>
        <v>0</v>
      </c>
      <c r="Y115" s="14">
        <f t="shared" si="587"/>
        <v>0</v>
      </c>
      <c r="Z115" s="14">
        <f t="shared" si="587"/>
        <v>0</v>
      </c>
      <c r="AA115" s="14">
        <f t="shared" si="587"/>
        <v>0</v>
      </c>
      <c r="AB115" s="15">
        <f t="shared" si="587"/>
        <v>0</v>
      </c>
      <c r="AC115" s="15">
        <f t="shared" si="587"/>
        <v>0</v>
      </c>
      <c r="AD115" s="13">
        <f t="shared" si="587"/>
        <v>0</v>
      </c>
      <c r="AE115" s="13">
        <f t="shared" si="587"/>
        <v>0</v>
      </c>
      <c r="AF115" s="12">
        <f t="shared" si="587"/>
        <v>0</v>
      </c>
      <c r="AG115" s="12">
        <f t="shared" si="587"/>
        <v>0</v>
      </c>
      <c r="AH115" s="13">
        <f t="shared" si="587"/>
        <v>0</v>
      </c>
      <c r="AI115" s="13">
        <f t="shared" si="587"/>
        <v>0</v>
      </c>
      <c r="AJ115" s="11">
        <f t="shared" si="587"/>
        <v>0</v>
      </c>
      <c r="AK115" s="11">
        <f t="shared" si="587"/>
        <v>0</v>
      </c>
      <c r="AL115" s="11">
        <f t="shared" si="587"/>
        <v>0</v>
      </c>
      <c r="AM115" s="11">
        <f t="shared" si="587"/>
        <v>0</v>
      </c>
      <c r="AN115" s="11">
        <f t="shared" si="587"/>
        <v>0</v>
      </c>
      <c r="AO115" s="11">
        <f t="shared" si="587"/>
        <v>0</v>
      </c>
      <c r="AP115" s="11">
        <f t="shared" si="587"/>
        <v>0</v>
      </c>
      <c r="AQ115" s="11">
        <f t="shared" si="587"/>
        <v>0</v>
      </c>
      <c r="AR115" s="16">
        <f t="shared" si="587"/>
        <v>0</v>
      </c>
      <c r="AS115" s="16">
        <f t="shared" si="587"/>
        <v>0</v>
      </c>
      <c r="AT115" s="16">
        <f t="shared" si="587"/>
        <v>0</v>
      </c>
      <c r="AU115" s="7">
        <f t="shared" si="587"/>
        <v>0</v>
      </c>
      <c r="AV115" s="7">
        <f t="shared" si="587"/>
        <v>0</v>
      </c>
      <c r="AW115" s="7">
        <f t="shared" si="587"/>
        <v>0</v>
      </c>
      <c r="AX115" s="7">
        <f t="shared" si="587"/>
        <v>0</v>
      </c>
      <c r="AY115" s="11">
        <f t="shared" si="587"/>
        <v>0</v>
      </c>
      <c r="AZ115" s="16">
        <f t="shared" si="587"/>
        <v>0</v>
      </c>
      <c r="BA115" s="16">
        <f t="shared" si="587"/>
        <v>0</v>
      </c>
      <c r="BB115" s="16">
        <f t="shared" si="587"/>
        <v>0</v>
      </c>
      <c r="BC115" s="11">
        <f t="shared" si="587"/>
        <v>0</v>
      </c>
      <c r="BD115" s="11">
        <f t="shared" si="587"/>
        <v>0</v>
      </c>
      <c r="BE115" s="11">
        <f t="shared" si="587"/>
        <v>0</v>
      </c>
      <c r="BF115" s="11">
        <f t="shared" si="587"/>
        <v>0</v>
      </c>
      <c r="BG115" s="11">
        <f t="shared" si="587"/>
        <v>0</v>
      </c>
      <c r="BH115" s="11">
        <f t="shared" si="587"/>
        <v>0</v>
      </c>
      <c r="BI115" s="13">
        <f t="shared" si="587"/>
        <v>0</v>
      </c>
      <c r="BJ115" s="13">
        <f t="shared" si="587"/>
        <v>0</v>
      </c>
      <c r="BK115" s="11">
        <f t="shared" si="587"/>
        <v>0</v>
      </c>
      <c r="BL115" s="12">
        <f t="shared" si="587"/>
        <v>0</v>
      </c>
      <c r="BM115" s="12">
        <f t="shared" si="587"/>
        <v>0</v>
      </c>
      <c r="BN115" s="13">
        <f t="shared" si="587"/>
        <v>0</v>
      </c>
      <c r="BO115" s="13">
        <f t="shared" si="587"/>
        <v>0</v>
      </c>
      <c r="BP115" s="15">
        <f t="shared" si="587"/>
        <v>0</v>
      </c>
      <c r="BQ115" s="15">
        <f t="shared" si="587"/>
        <v>0</v>
      </c>
      <c r="BR115" s="14">
        <f t="shared" si="587"/>
        <v>0</v>
      </c>
      <c r="BS115" s="14">
        <f t="shared" si="587"/>
        <v>0</v>
      </c>
      <c r="BT115" s="14">
        <f t="shared" si="587"/>
        <v>0</v>
      </c>
      <c r="BU115" s="14">
        <f t="shared" si="587"/>
        <v>0</v>
      </c>
      <c r="BV115" s="11">
        <f t="shared" si="587"/>
        <v>0</v>
      </c>
      <c r="BW115" s="11">
        <f t="shared" si="587"/>
        <v>0</v>
      </c>
      <c r="BX115" s="11">
        <f t="shared" si="587"/>
        <v>0</v>
      </c>
      <c r="BY115" s="11">
        <f t="shared" si="587"/>
        <v>0</v>
      </c>
      <c r="BZ115" s="7">
        <f t="shared" si="587"/>
        <v>0</v>
      </c>
      <c r="CA115" s="7">
        <f t="shared" si="587"/>
        <v>0</v>
      </c>
      <c r="CB115" s="7">
        <f t="shared" ref="CB115:CP115" si="588">IFERROR(VALUE(CB420),"-")</f>
        <v>0</v>
      </c>
      <c r="CC115" s="7">
        <f t="shared" si="588"/>
        <v>0</v>
      </c>
      <c r="CD115" s="7">
        <f t="shared" si="588"/>
        <v>0</v>
      </c>
      <c r="CE115" s="3">
        <f t="shared" si="588"/>
        <v>0</v>
      </c>
      <c r="CF115" s="7">
        <f t="shared" si="588"/>
        <v>0</v>
      </c>
      <c r="CG115" s="3">
        <f t="shared" si="588"/>
        <v>0</v>
      </c>
      <c r="CH115" s="7">
        <f t="shared" si="588"/>
        <v>0</v>
      </c>
      <c r="CI115" s="7">
        <f t="shared" si="588"/>
        <v>0</v>
      </c>
      <c r="CJ115" s="3">
        <f t="shared" si="588"/>
        <v>0</v>
      </c>
      <c r="CK115" s="7">
        <f t="shared" si="588"/>
        <v>0</v>
      </c>
      <c r="CL115" s="3">
        <f t="shared" si="588"/>
        <v>0</v>
      </c>
      <c r="CM115" s="7">
        <f t="shared" si="588"/>
        <v>0</v>
      </c>
      <c r="CN115" s="10">
        <f t="shared" si="588"/>
        <v>44783.636701388888</v>
      </c>
      <c r="CO115" s="10">
        <f t="shared" si="588"/>
        <v>44783.636701388888</v>
      </c>
      <c r="CP115" s="7">
        <f t="shared" si="588"/>
        <v>38295.69921875</v>
      </c>
      <c r="CQ115" s="7" t="str">
        <f t="shared" ref="CQ115" si="589">IFERROR(CQ420,"-")</f>
        <v>FairPrice</v>
      </c>
      <c r="CR115" s="10">
        <f t="shared" si="569"/>
        <v>44783.638194444444</v>
      </c>
      <c r="CS115" s="7">
        <f t="shared" si="569"/>
        <v>0</v>
      </c>
      <c r="CT115" s="7">
        <f t="shared" si="569"/>
        <v>0</v>
      </c>
      <c r="CU115" s="7">
        <f t="shared" si="569"/>
        <v>0</v>
      </c>
      <c r="CV115" s="7">
        <f t="shared" si="569"/>
        <v>0</v>
      </c>
      <c r="CW115" s="7">
        <f t="shared" si="569"/>
        <v>0</v>
      </c>
      <c r="CX115" s="7">
        <f t="shared" si="569"/>
        <v>0</v>
      </c>
      <c r="CY115" s="7">
        <f t="shared" si="569"/>
        <v>0</v>
      </c>
      <c r="CZ115" s="7">
        <f t="shared" si="569"/>
        <v>0</v>
      </c>
      <c r="DA115" s="7">
        <f t="shared" si="569"/>
        <v>0</v>
      </c>
      <c r="DB115" s="7">
        <f t="shared" si="569"/>
        <v>0</v>
      </c>
      <c r="DC115" s="7">
        <f t="shared" si="569"/>
        <v>0</v>
      </c>
      <c r="DD115" s="7">
        <f t="shared" si="569"/>
        <v>0</v>
      </c>
      <c r="DE115" s="7">
        <f t="shared" si="569"/>
        <v>0</v>
      </c>
      <c r="DF115" s="7">
        <f t="shared" si="569"/>
        <v>0</v>
      </c>
      <c r="DG115" s="7">
        <f t="shared" si="569"/>
        <v>38295.69921875</v>
      </c>
      <c r="DH115" s="7" t="str">
        <f t="shared" ref="DH115:DJ115" si="590">IFERROR(DH420,"-")</f>
        <v>W</v>
      </c>
      <c r="DI115" s="7" t="str">
        <f t="shared" si="590"/>
        <v>W</v>
      </c>
      <c r="DJ115" s="7" t="str">
        <f t="shared" si="590"/>
        <v>G</v>
      </c>
      <c r="DK115" s="64">
        <f t="shared" ref="DK115:DS115" si="591">IFERROR(VALUE(DK420),"-")</f>
        <v>38300</v>
      </c>
      <c r="DL115" s="64">
        <f t="shared" si="591"/>
        <v>3400000</v>
      </c>
      <c r="DM115" s="64">
        <f t="shared" si="591"/>
        <v>38500</v>
      </c>
      <c r="DN115" s="64">
        <f t="shared" si="591"/>
        <v>0</v>
      </c>
      <c r="DO115" s="64">
        <f t="shared" si="591"/>
        <v>24500</v>
      </c>
      <c r="DP115" s="64">
        <f t="shared" si="591"/>
        <v>2863350</v>
      </c>
      <c r="DQ115" s="64">
        <f t="shared" si="591"/>
        <v>38000</v>
      </c>
      <c r="DR115" s="64">
        <f t="shared" si="591"/>
        <v>0</v>
      </c>
      <c r="DS115" s="64">
        <f t="shared" si="591"/>
        <v>24500</v>
      </c>
      <c r="DT115" t="str">
        <f t="shared" si="338"/>
        <v>BANKNIFTY</v>
      </c>
      <c r="DU115" s="10">
        <f t="shared" si="339"/>
        <v>44784</v>
      </c>
    </row>
    <row r="116" spans="1:125" x14ac:dyDescent="0.25">
      <c r="A116" t="s">
        <v>41</v>
      </c>
      <c r="B116" s="2">
        <v>44861</v>
      </c>
      <c r="C116" s="1">
        <v>50</v>
      </c>
      <c r="D116">
        <v>65</v>
      </c>
      <c r="G116" t="str">
        <f t="array" ref="G116">IFERROR(INDEX($A$2:$A$700,MATCH(0,COUNTIF($G$1:G115,$A$2:$A$700),0)),"")</f>
        <v>KOTAKBANK</v>
      </c>
      <c r="M116" s="3"/>
      <c r="N116" s="3"/>
      <c r="O116" s="3">
        <f t="shared" si="340"/>
        <v>40800</v>
      </c>
      <c r="P116" s="7">
        <f t="shared" ref="P116:CA116" si="592">IFERROR(VALUE(P421),"-")</f>
        <v>0</v>
      </c>
      <c r="Q116" s="7">
        <f t="shared" si="592"/>
        <v>0</v>
      </c>
      <c r="R116" s="7">
        <f t="shared" si="592"/>
        <v>0</v>
      </c>
      <c r="S116" s="7">
        <f t="shared" si="592"/>
        <v>0</v>
      </c>
      <c r="T116" s="11">
        <f t="shared" si="592"/>
        <v>0</v>
      </c>
      <c r="U116" s="11">
        <f t="shared" si="592"/>
        <v>0</v>
      </c>
      <c r="V116" s="11">
        <f t="shared" si="592"/>
        <v>0</v>
      </c>
      <c r="W116" s="11">
        <f t="shared" si="592"/>
        <v>0</v>
      </c>
      <c r="X116" s="14">
        <f t="shared" si="592"/>
        <v>0</v>
      </c>
      <c r="Y116" s="14">
        <f t="shared" si="592"/>
        <v>0</v>
      </c>
      <c r="Z116" s="14">
        <f t="shared" si="592"/>
        <v>0</v>
      </c>
      <c r="AA116" s="14">
        <f t="shared" si="592"/>
        <v>0</v>
      </c>
      <c r="AB116" s="15">
        <f t="shared" si="592"/>
        <v>0</v>
      </c>
      <c r="AC116" s="15">
        <f t="shared" si="592"/>
        <v>0</v>
      </c>
      <c r="AD116" s="13">
        <f t="shared" si="592"/>
        <v>0</v>
      </c>
      <c r="AE116" s="13">
        <f t="shared" si="592"/>
        <v>0</v>
      </c>
      <c r="AF116" s="12">
        <f t="shared" si="592"/>
        <v>0</v>
      </c>
      <c r="AG116" s="12">
        <f t="shared" si="592"/>
        <v>0</v>
      </c>
      <c r="AH116" s="13">
        <f t="shared" si="592"/>
        <v>0</v>
      </c>
      <c r="AI116" s="13">
        <f t="shared" si="592"/>
        <v>0</v>
      </c>
      <c r="AJ116" s="11">
        <f t="shared" si="592"/>
        <v>0</v>
      </c>
      <c r="AK116" s="11">
        <f t="shared" si="592"/>
        <v>0</v>
      </c>
      <c r="AL116" s="11">
        <f t="shared" si="592"/>
        <v>0</v>
      </c>
      <c r="AM116" s="11">
        <f t="shared" si="592"/>
        <v>0</v>
      </c>
      <c r="AN116" s="11">
        <f t="shared" si="592"/>
        <v>0</v>
      </c>
      <c r="AO116" s="11">
        <f t="shared" si="592"/>
        <v>0</v>
      </c>
      <c r="AP116" s="11">
        <f t="shared" si="592"/>
        <v>0</v>
      </c>
      <c r="AQ116" s="11">
        <f t="shared" si="592"/>
        <v>0</v>
      </c>
      <c r="AR116" s="16">
        <f t="shared" si="592"/>
        <v>0</v>
      </c>
      <c r="AS116" s="16">
        <f t="shared" si="592"/>
        <v>0</v>
      </c>
      <c r="AT116" s="16">
        <f t="shared" si="592"/>
        <v>0</v>
      </c>
      <c r="AU116" s="7">
        <f t="shared" si="592"/>
        <v>0</v>
      </c>
      <c r="AV116" s="7">
        <f t="shared" si="592"/>
        <v>0</v>
      </c>
      <c r="AW116" s="7">
        <f t="shared" si="592"/>
        <v>0</v>
      </c>
      <c r="AX116" s="7">
        <f t="shared" si="592"/>
        <v>0</v>
      </c>
      <c r="AY116" s="11">
        <f t="shared" si="592"/>
        <v>0</v>
      </c>
      <c r="AZ116" s="16">
        <f t="shared" si="592"/>
        <v>0</v>
      </c>
      <c r="BA116" s="16">
        <f t="shared" si="592"/>
        <v>0</v>
      </c>
      <c r="BB116" s="16">
        <f t="shared" si="592"/>
        <v>0</v>
      </c>
      <c r="BC116" s="11">
        <f t="shared" si="592"/>
        <v>0</v>
      </c>
      <c r="BD116" s="11">
        <f t="shared" si="592"/>
        <v>0</v>
      </c>
      <c r="BE116" s="11">
        <f t="shared" si="592"/>
        <v>0</v>
      </c>
      <c r="BF116" s="11">
        <f t="shared" si="592"/>
        <v>0</v>
      </c>
      <c r="BG116" s="11">
        <f t="shared" si="592"/>
        <v>0</v>
      </c>
      <c r="BH116" s="11">
        <f t="shared" si="592"/>
        <v>0</v>
      </c>
      <c r="BI116" s="13">
        <f t="shared" si="592"/>
        <v>0</v>
      </c>
      <c r="BJ116" s="13">
        <f t="shared" si="592"/>
        <v>0</v>
      </c>
      <c r="BK116" s="11">
        <f t="shared" si="592"/>
        <v>0</v>
      </c>
      <c r="BL116" s="12">
        <f t="shared" si="592"/>
        <v>0</v>
      </c>
      <c r="BM116" s="12">
        <f t="shared" si="592"/>
        <v>0</v>
      </c>
      <c r="BN116" s="13">
        <f t="shared" si="592"/>
        <v>0</v>
      </c>
      <c r="BO116" s="13">
        <f t="shared" si="592"/>
        <v>0</v>
      </c>
      <c r="BP116" s="15">
        <f t="shared" si="592"/>
        <v>0</v>
      </c>
      <c r="BQ116" s="15">
        <f t="shared" si="592"/>
        <v>0</v>
      </c>
      <c r="BR116" s="14">
        <f t="shared" si="592"/>
        <v>0</v>
      </c>
      <c r="BS116" s="14">
        <f t="shared" si="592"/>
        <v>0</v>
      </c>
      <c r="BT116" s="14">
        <f t="shared" si="592"/>
        <v>0</v>
      </c>
      <c r="BU116" s="14">
        <f t="shared" si="592"/>
        <v>0</v>
      </c>
      <c r="BV116" s="11">
        <f t="shared" si="592"/>
        <v>0</v>
      </c>
      <c r="BW116" s="11">
        <f t="shared" si="592"/>
        <v>0</v>
      </c>
      <c r="BX116" s="11">
        <f t="shared" si="592"/>
        <v>0</v>
      </c>
      <c r="BY116" s="11">
        <f t="shared" si="592"/>
        <v>0</v>
      </c>
      <c r="BZ116" s="7">
        <f t="shared" si="592"/>
        <v>0</v>
      </c>
      <c r="CA116" s="7">
        <f t="shared" si="592"/>
        <v>0</v>
      </c>
      <c r="CB116" s="7">
        <f t="shared" ref="CB116:CP116" si="593">IFERROR(VALUE(CB421),"-")</f>
        <v>0</v>
      </c>
      <c r="CC116" s="7">
        <f t="shared" si="593"/>
        <v>0</v>
      </c>
      <c r="CD116" s="7">
        <f t="shared" si="593"/>
        <v>0</v>
      </c>
      <c r="CE116" s="3">
        <f t="shared" si="593"/>
        <v>0</v>
      </c>
      <c r="CF116" s="7">
        <f t="shared" si="593"/>
        <v>0</v>
      </c>
      <c r="CG116" s="3">
        <f t="shared" si="593"/>
        <v>0</v>
      </c>
      <c r="CH116" s="7">
        <f t="shared" si="593"/>
        <v>0</v>
      </c>
      <c r="CI116" s="7">
        <f t="shared" si="593"/>
        <v>0</v>
      </c>
      <c r="CJ116" s="3">
        <f t="shared" si="593"/>
        <v>0</v>
      </c>
      <c r="CK116" s="7">
        <f t="shared" si="593"/>
        <v>0</v>
      </c>
      <c r="CL116" s="3">
        <f t="shared" si="593"/>
        <v>0</v>
      </c>
      <c r="CM116" s="7">
        <f t="shared" si="593"/>
        <v>0</v>
      </c>
      <c r="CN116" s="10">
        <f t="shared" si="593"/>
        <v>44783.636701388888</v>
      </c>
      <c r="CO116" s="10">
        <f t="shared" si="593"/>
        <v>44783.636701388888</v>
      </c>
      <c r="CP116" s="7">
        <f t="shared" si="593"/>
        <v>38295.69921875</v>
      </c>
      <c r="CQ116" s="7" t="str">
        <f t="shared" ref="CQ116" si="594">IFERROR(CQ421,"-")</f>
        <v>FairPrice</v>
      </c>
      <c r="CR116" s="10">
        <f t="shared" si="569"/>
        <v>44783.638194444444</v>
      </c>
      <c r="CS116" s="7">
        <f t="shared" si="569"/>
        <v>0</v>
      </c>
      <c r="CT116" s="7">
        <f t="shared" si="569"/>
        <v>0</v>
      </c>
      <c r="CU116" s="7">
        <f t="shared" si="569"/>
        <v>0</v>
      </c>
      <c r="CV116" s="7">
        <f t="shared" si="569"/>
        <v>0</v>
      </c>
      <c r="CW116" s="7">
        <f t="shared" si="569"/>
        <v>0</v>
      </c>
      <c r="CX116" s="7">
        <f t="shared" si="569"/>
        <v>0</v>
      </c>
      <c r="CY116" s="7">
        <f t="shared" si="569"/>
        <v>0</v>
      </c>
      <c r="CZ116" s="7">
        <f t="shared" si="569"/>
        <v>0</v>
      </c>
      <c r="DA116" s="7">
        <f t="shared" si="569"/>
        <v>0</v>
      </c>
      <c r="DB116" s="7">
        <f t="shared" si="569"/>
        <v>0</v>
      </c>
      <c r="DC116" s="7">
        <f t="shared" si="569"/>
        <v>0</v>
      </c>
      <c r="DD116" s="7">
        <f t="shared" si="569"/>
        <v>0</v>
      </c>
      <c r="DE116" s="7">
        <f t="shared" si="569"/>
        <v>0</v>
      </c>
      <c r="DF116" s="7">
        <f t="shared" si="569"/>
        <v>0</v>
      </c>
      <c r="DG116" s="7">
        <f t="shared" si="569"/>
        <v>38295.69921875</v>
      </c>
      <c r="DH116" s="7" t="str">
        <f t="shared" ref="DH116:DJ116" si="595">IFERROR(DH421,"-")</f>
        <v>W</v>
      </c>
      <c r="DI116" s="7" t="str">
        <f t="shared" si="595"/>
        <v>W</v>
      </c>
      <c r="DJ116" s="7" t="str">
        <f t="shared" si="595"/>
        <v>G</v>
      </c>
      <c r="DK116" s="64">
        <f t="shared" ref="DK116:DS116" si="596">IFERROR(VALUE(DK421),"-")</f>
        <v>38300</v>
      </c>
      <c r="DL116" s="64">
        <f t="shared" si="596"/>
        <v>3400000</v>
      </c>
      <c r="DM116" s="64">
        <f t="shared" si="596"/>
        <v>38500</v>
      </c>
      <c r="DN116" s="64">
        <f t="shared" si="596"/>
        <v>0</v>
      </c>
      <c r="DO116" s="64">
        <f t="shared" si="596"/>
        <v>24500</v>
      </c>
      <c r="DP116" s="64">
        <f t="shared" si="596"/>
        <v>2863350</v>
      </c>
      <c r="DQ116" s="64">
        <f t="shared" si="596"/>
        <v>38000</v>
      </c>
      <c r="DR116" s="64">
        <f t="shared" si="596"/>
        <v>0</v>
      </c>
      <c r="DS116" s="64">
        <f t="shared" si="596"/>
        <v>24500</v>
      </c>
      <c r="DT116" t="str">
        <f t="shared" si="338"/>
        <v>BANKNIFTY</v>
      </c>
      <c r="DU116" s="10">
        <f t="shared" si="339"/>
        <v>44784</v>
      </c>
    </row>
    <row r="117" spans="1:125" x14ac:dyDescent="0.25">
      <c r="A117" t="s">
        <v>42</v>
      </c>
      <c r="B117" s="2">
        <v>44798</v>
      </c>
      <c r="C117" s="1">
        <v>1800</v>
      </c>
      <c r="D117">
        <v>65</v>
      </c>
      <c r="G117" t="str">
        <f t="array" ref="G117">IFERROR(INDEX($A$2:$A$700,MATCH(0,COUNTIF($G$1:G116,$A$2:$A$700),0)),"")</f>
        <v>L&amp;TFH</v>
      </c>
      <c r="M117" s="3"/>
      <c r="N117" s="3"/>
      <c r="O117" s="3">
        <f t="shared" si="340"/>
        <v>40900</v>
      </c>
      <c r="P117" s="7">
        <f t="shared" ref="P117:CA117" si="597">IFERROR(VALUE(P422),"-")</f>
        <v>0</v>
      </c>
      <c r="Q117" s="7">
        <f t="shared" si="597"/>
        <v>0</v>
      </c>
      <c r="R117" s="7">
        <f t="shared" si="597"/>
        <v>0</v>
      </c>
      <c r="S117" s="7">
        <f t="shared" si="597"/>
        <v>0</v>
      </c>
      <c r="T117" s="11">
        <f t="shared" si="597"/>
        <v>0</v>
      </c>
      <c r="U117" s="11">
        <f t="shared" si="597"/>
        <v>0</v>
      </c>
      <c r="V117" s="11">
        <f t="shared" si="597"/>
        <v>0</v>
      </c>
      <c r="W117" s="11">
        <f t="shared" si="597"/>
        <v>0</v>
      </c>
      <c r="X117" s="14">
        <f t="shared" si="597"/>
        <v>0</v>
      </c>
      <c r="Y117" s="14">
        <f t="shared" si="597"/>
        <v>0</v>
      </c>
      <c r="Z117" s="14">
        <f t="shared" si="597"/>
        <v>0</v>
      </c>
      <c r="AA117" s="14">
        <f t="shared" si="597"/>
        <v>0</v>
      </c>
      <c r="AB117" s="15">
        <f t="shared" si="597"/>
        <v>0</v>
      </c>
      <c r="AC117" s="15">
        <f t="shared" si="597"/>
        <v>0</v>
      </c>
      <c r="AD117" s="13">
        <f t="shared" si="597"/>
        <v>0</v>
      </c>
      <c r="AE117" s="13">
        <f t="shared" si="597"/>
        <v>0</v>
      </c>
      <c r="AF117" s="12">
        <f t="shared" si="597"/>
        <v>0</v>
      </c>
      <c r="AG117" s="12">
        <f t="shared" si="597"/>
        <v>0</v>
      </c>
      <c r="AH117" s="13">
        <f t="shared" si="597"/>
        <v>0</v>
      </c>
      <c r="AI117" s="13">
        <f t="shared" si="597"/>
        <v>0</v>
      </c>
      <c r="AJ117" s="11">
        <f t="shared" si="597"/>
        <v>0</v>
      </c>
      <c r="AK117" s="11">
        <f t="shared" si="597"/>
        <v>0</v>
      </c>
      <c r="AL117" s="11">
        <f t="shared" si="597"/>
        <v>0</v>
      </c>
      <c r="AM117" s="11">
        <f t="shared" si="597"/>
        <v>0</v>
      </c>
      <c r="AN117" s="11">
        <f t="shared" si="597"/>
        <v>0</v>
      </c>
      <c r="AO117" s="11">
        <f t="shared" si="597"/>
        <v>0</v>
      </c>
      <c r="AP117" s="11">
        <f t="shared" si="597"/>
        <v>0</v>
      </c>
      <c r="AQ117" s="11">
        <f t="shared" si="597"/>
        <v>0</v>
      </c>
      <c r="AR117" s="16">
        <f t="shared" si="597"/>
        <v>0</v>
      </c>
      <c r="AS117" s="16">
        <f t="shared" si="597"/>
        <v>0</v>
      </c>
      <c r="AT117" s="16">
        <f t="shared" si="597"/>
        <v>0</v>
      </c>
      <c r="AU117" s="7">
        <f t="shared" si="597"/>
        <v>0</v>
      </c>
      <c r="AV117" s="7">
        <f t="shared" si="597"/>
        <v>0</v>
      </c>
      <c r="AW117" s="7">
        <f t="shared" si="597"/>
        <v>0</v>
      </c>
      <c r="AX117" s="7">
        <f t="shared" si="597"/>
        <v>0</v>
      </c>
      <c r="AY117" s="11">
        <f t="shared" si="597"/>
        <v>0</v>
      </c>
      <c r="AZ117" s="16">
        <f t="shared" si="597"/>
        <v>0</v>
      </c>
      <c r="BA117" s="16">
        <f t="shared" si="597"/>
        <v>0</v>
      </c>
      <c r="BB117" s="16">
        <f t="shared" si="597"/>
        <v>0</v>
      </c>
      <c r="BC117" s="11">
        <f t="shared" si="597"/>
        <v>0</v>
      </c>
      <c r="BD117" s="11">
        <f t="shared" si="597"/>
        <v>0</v>
      </c>
      <c r="BE117" s="11">
        <f t="shared" si="597"/>
        <v>0</v>
      </c>
      <c r="BF117" s="11">
        <f t="shared" si="597"/>
        <v>0</v>
      </c>
      <c r="BG117" s="11">
        <f t="shared" si="597"/>
        <v>0</v>
      </c>
      <c r="BH117" s="11">
        <f t="shared" si="597"/>
        <v>0</v>
      </c>
      <c r="BI117" s="13">
        <f t="shared" si="597"/>
        <v>0</v>
      </c>
      <c r="BJ117" s="13">
        <f t="shared" si="597"/>
        <v>0</v>
      </c>
      <c r="BK117" s="11">
        <f t="shared" si="597"/>
        <v>0</v>
      </c>
      <c r="BL117" s="12">
        <f t="shared" si="597"/>
        <v>0</v>
      </c>
      <c r="BM117" s="12">
        <f t="shared" si="597"/>
        <v>0</v>
      </c>
      <c r="BN117" s="13">
        <f t="shared" si="597"/>
        <v>0</v>
      </c>
      <c r="BO117" s="13">
        <f t="shared" si="597"/>
        <v>0</v>
      </c>
      <c r="BP117" s="15">
        <f t="shared" si="597"/>
        <v>0</v>
      </c>
      <c r="BQ117" s="15">
        <f t="shared" si="597"/>
        <v>0</v>
      </c>
      <c r="BR117" s="14">
        <f t="shared" si="597"/>
        <v>0</v>
      </c>
      <c r="BS117" s="14">
        <f t="shared" si="597"/>
        <v>0</v>
      </c>
      <c r="BT117" s="14">
        <f t="shared" si="597"/>
        <v>0</v>
      </c>
      <c r="BU117" s="14">
        <f t="shared" si="597"/>
        <v>0</v>
      </c>
      <c r="BV117" s="11">
        <f t="shared" si="597"/>
        <v>0</v>
      </c>
      <c r="BW117" s="11">
        <f t="shared" si="597"/>
        <v>0</v>
      </c>
      <c r="BX117" s="11">
        <f t="shared" si="597"/>
        <v>0</v>
      </c>
      <c r="BY117" s="11">
        <f t="shared" si="597"/>
        <v>0</v>
      </c>
      <c r="BZ117" s="7">
        <f t="shared" si="597"/>
        <v>0</v>
      </c>
      <c r="CA117" s="7">
        <f t="shared" si="597"/>
        <v>0</v>
      </c>
      <c r="CB117" s="7">
        <f t="shared" ref="CB117:CP117" si="598">IFERROR(VALUE(CB422),"-")</f>
        <v>0</v>
      </c>
      <c r="CC117" s="7">
        <f t="shared" si="598"/>
        <v>0</v>
      </c>
      <c r="CD117" s="7">
        <f t="shared" si="598"/>
        <v>0</v>
      </c>
      <c r="CE117" s="3">
        <f t="shared" si="598"/>
        <v>0</v>
      </c>
      <c r="CF117" s="7">
        <f t="shared" si="598"/>
        <v>0</v>
      </c>
      <c r="CG117" s="3">
        <f t="shared" si="598"/>
        <v>0</v>
      </c>
      <c r="CH117" s="7">
        <f t="shared" si="598"/>
        <v>0</v>
      </c>
      <c r="CI117" s="7">
        <f t="shared" si="598"/>
        <v>0</v>
      </c>
      <c r="CJ117" s="3">
        <f t="shared" si="598"/>
        <v>0</v>
      </c>
      <c r="CK117" s="7">
        <f t="shared" si="598"/>
        <v>0</v>
      </c>
      <c r="CL117" s="3">
        <f t="shared" si="598"/>
        <v>0</v>
      </c>
      <c r="CM117" s="7">
        <f t="shared" si="598"/>
        <v>0</v>
      </c>
      <c r="CN117" s="10">
        <f t="shared" si="598"/>
        <v>44783.636701388888</v>
      </c>
      <c r="CO117" s="10">
        <f t="shared" si="598"/>
        <v>44783.636701388888</v>
      </c>
      <c r="CP117" s="7">
        <f t="shared" si="598"/>
        <v>38295.69921875</v>
      </c>
      <c r="CQ117" s="7" t="str">
        <f t="shared" ref="CQ117" si="599">IFERROR(CQ422,"-")</f>
        <v>FairPrice</v>
      </c>
      <c r="CR117" s="10">
        <f t="shared" si="569"/>
        <v>44783.638194444444</v>
      </c>
      <c r="CS117" s="7">
        <f t="shared" si="569"/>
        <v>0</v>
      </c>
      <c r="CT117" s="7">
        <f t="shared" si="569"/>
        <v>0</v>
      </c>
      <c r="CU117" s="7">
        <f t="shared" si="569"/>
        <v>0</v>
      </c>
      <c r="CV117" s="7">
        <f t="shared" si="569"/>
        <v>0</v>
      </c>
      <c r="CW117" s="7">
        <f t="shared" si="569"/>
        <v>0</v>
      </c>
      <c r="CX117" s="7">
        <f t="shared" si="569"/>
        <v>0</v>
      </c>
      <c r="CY117" s="7">
        <f t="shared" si="569"/>
        <v>0</v>
      </c>
      <c r="CZ117" s="7">
        <f t="shared" si="569"/>
        <v>0</v>
      </c>
      <c r="DA117" s="7">
        <f t="shared" si="569"/>
        <v>0</v>
      </c>
      <c r="DB117" s="7">
        <f t="shared" si="569"/>
        <v>0</v>
      </c>
      <c r="DC117" s="7">
        <f t="shared" si="569"/>
        <v>0</v>
      </c>
      <c r="DD117" s="7">
        <f t="shared" si="569"/>
        <v>0</v>
      </c>
      <c r="DE117" s="7">
        <f t="shared" si="569"/>
        <v>0</v>
      </c>
      <c r="DF117" s="7">
        <f t="shared" si="569"/>
        <v>0</v>
      </c>
      <c r="DG117" s="7">
        <f t="shared" si="569"/>
        <v>38295.69921875</v>
      </c>
      <c r="DH117" s="7" t="str">
        <f t="shared" ref="DH117:DJ117" si="600">IFERROR(DH422,"-")</f>
        <v>W</v>
      </c>
      <c r="DI117" s="7" t="str">
        <f t="shared" si="600"/>
        <v>W</v>
      </c>
      <c r="DJ117" s="7" t="str">
        <f t="shared" si="600"/>
        <v>G</v>
      </c>
      <c r="DK117" s="64">
        <f t="shared" ref="DK117:DS117" si="601">IFERROR(VALUE(DK422),"-")</f>
        <v>38300</v>
      </c>
      <c r="DL117" s="64">
        <f t="shared" si="601"/>
        <v>3400000</v>
      </c>
      <c r="DM117" s="64">
        <f t="shared" si="601"/>
        <v>38500</v>
      </c>
      <c r="DN117" s="64">
        <f t="shared" si="601"/>
        <v>0</v>
      </c>
      <c r="DO117" s="64">
        <f t="shared" si="601"/>
        <v>24500</v>
      </c>
      <c r="DP117" s="64">
        <f t="shared" si="601"/>
        <v>2863350</v>
      </c>
      <c r="DQ117" s="64">
        <f t="shared" si="601"/>
        <v>38000</v>
      </c>
      <c r="DR117" s="64">
        <f t="shared" si="601"/>
        <v>0</v>
      </c>
      <c r="DS117" s="64">
        <f t="shared" si="601"/>
        <v>24500</v>
      </c>
      <c r="DT117" t="str">
        <f t="shared" si="338"/>
        <v>BANKNIFTY</v>
      </c>
      <c r="DU117" s="10">
        <f t="shared" si="339"/>
        <v>44784</v>
      </c>
    </row>
    <row r="118" spans="1:125" x14ac:dyDescent="0.25">
      <c r="A118" t="s">
        <v>42</v>
      </c>
      <c r="B118" s="2">
        <v>44833</v>
      </c>
      <c r="C118" s="1">
        <v>1800</v>
      </c>
      <c r="D118">
        <v>65</v>
      </c>
      <c r="G118" t="str">
        <f t="array" ref="G118">IFERROR(INDEX($A$2:$A$700,MATCH(0,COUNTIF($G$1:G117,$A$2:$A$700),0)),"")</f>
        <v>LALPATHLAB</v>
      </c>
      <c r="M118" s="3"/>
      <c r="N118" s="3"/>
      <c r="O118" s="3">
        <f t="shared" si="340"/>
        <v>41000</v>
      </c>
      <c r="P118" s="7">
        <f t="shared" ref="P118:CA118" si="602">IFERROR(VALUE(P423),"-")</f>
        <v>2724</v>
      </c>
      <c r="Q118" s="7">
        <f t="shared" si="602"/>
        <v>2679</v>
      </c>
      <c r="R118" s="7">
        <f t="shared" si="602"/>
        <v>2724</v>
      </c>
      <c r="S118" s="7">
        <f t="shared" si="602"/>
        <v>2679.14990234375</v>
      </c>
      <c r="T118" s="11">
        <f t="shared" si="602"/>
        <v>-220.2451171875</v>
      </c>
      <c r="U118" s="11">
        <f t="shared" si="602"/>
        <v>8804.8115234375</v>
      </c>
      <c r="V118" s="11">
        <f t="shared" si="602"/>
        <v>-642.9453125</v>
      </c>
      <c r="W118" s="11">
        <f t="shared" si="602"/>
        <v>19817.4453125</v>
      </c>
      <c r="X118" s="14">
        <f t="shared" si="602"/>
        <v>-1.3847602531313896E-7</v>
      </c>
      <c r="Y118" s="14">
        <f t="shared" si="602"/>
        <v>6.1838029068894684E-5</v>
      </c>
      <c r="Z118" s="14">
        <f t="shared" si="602"/>
        <v>-1.2959353625774384E-6</v>
      </c>
      <c r="AA118" s="14">
        <f t="shared" si="602"/>
        <v>1.8082321912515908E-4</v>
      </c>
      <c r="AB118" s="15">
        <f t="shared" si="602"/>
        <v>1.2704504115390591E-10</v>
      </c>
      <c r="AC118" s="15">
        <f t="shared" si="602"/>
        <v>6.7314665841422539E-8</v>
      </c>
      <c r="AD118" s="13">
        <f t="shared" si="602"/>
        <v>4.0731668472290039E-2</v>
      </c>
      <c r="AE118" s="13">
        <f t="shared" si="602"/>
        <v>-1.8425697088241577</v>
      </c>
      <c r="AF118" s="12">
        <f t="shared" si="602"/>
        <v>-0.14618015289306641</v>
      </c>
      <c r="AG118" s="12">
        <f t="shared" si="602"/>
        <v>5.387937068939209</v>
      </c>
      <c r="AH118" s="13">
        <f t="shared" si="602"/>
        <v>6.5307904151268303E-7</v>
      </c>
      <c r="AI118" s="13">
        <f t="shared" si="602"/>
        <v>5.4283911595121026E-5</v>
      </c>
      <c r="AJ118" s="11">
        <f t="shared" si="602"/>
        <v>2.6504039764404297E-2</v>
      </c>
      <c r="AK118" s="11">
        <f t="shared" si="602"/>
        <v>1.5769120454788208</v>
      </c>
      <c r="AL118" s="11">
        <f t="shared" si="602"/>
        <v>-1.1657905578613281</v>
      </c>
      <c r="AM118" s="11">
        <f t="shared" si="602"/>
        <v>-53.927330017089844</v>
      </c>
      <c r="AN118" s="11">
        <f t="shared" si="602"/>
        <v>7.190704345703125E-4</v>
      </c>
      <c r="AO118" s="11">
        <f t="shared" si="602"/>
        <v>-0.96482586860656738</v>
      </c>
      <c r="AP118" s="11">
        <f t="shared" si="602"/>
        <v>70.320326089859009</v>
      </c>
      <c r="AQ118" s="11">
        <f t="shared" si="602"/>
        <v>225</v>
      </c>
      <c r="AR118" s="16">
        <f t="shared" si="602"/>
        <v>75</v>
      </c>
      <c r="AS118" s="16">
        <f t="shared" si="602"/>
        <v>250</v>
      </c>
      <c r="AT118" s="16">
        <f t="shared" si="602"/>
        <v>70.320326089859009</v>
      </c>
      <c r="AU118" s="7">
        <f t="shared" si="602"/>
        <v>0</v>
      </c>
      <c r="AV118" s="7">
        <f t="shared" si="602"/>
        <v>2724</v>
      </c>
      <c r="AW118" s="7">
        <f t="shared" si="602"/>
        <v>1.6499999761581421</v>
      </c>
      <c r="AX118" s="7">
        <f t="shared" si="602"/>
        <v>0</v>
      </c>
      <c r="AY118" s="11">
        <f t="shared" si="602"/>
        <v>49.885562062263489</v>
      </c>
      <c r="AZ118" s="16">
        <f t="shared" si="602"/>
        <v>909200</v>
      </c>
      <c r="BA118" s="16">
        <f t="shared" si="602"/>
        <v>62475</v>
      </c>
      <c r="BB118" s="16">
        <f t="shared" si="602"/>
        <v>5212375</v>
      </c>
      <c r="BC118" s="11">
        <f t="shared" si="602"/>
        <v>5.1717264577746391E-3</v>
      </c>
      <c r="BD118" s="11">
        <f t="shared" si="602"/>
        <v>7.4040144681930542E-8</v>
      </c>
      <c r="BE118" s="11">
        <f t="shared" si="602"/>
        <v>-1.6499999761581421</v>
      </c>
      <c r="BF118" s="11">
        <f t="shared" si="602"/>
        <v>0</v>
      </c>
      <c r="BG118" s="11">
        <f t="shared" si="602"/>
        <v>0.30285537242889404</v>
      </c>
      <c r="BH118" s="11">
        <f t="shared" si="602"/>
        <v>-2.2947788238525391E-6</v>
      </c>
      <c r="BI118" s="13">
        <f t="shared" si="602"/>
        <v>1.4696870493935421E-5</v>
      </c>
      <c r="BJ118" s="13">
        <f t="shared" si="602"/>
        <v>4.2018655221909285E-10</v>
      </c>
      <c r="BK118" s="11">
        <f t="shared" si="602"/>
        <v>49.885562062263489</v>
      </c>
      <c r="BL118" s="12">
        <f t="shared" si="602"/>
        <v>55.466300964355469</v>
      </c>
      <c r="BM118" s="12">
        <f t="shared" si="602"/>
        <v>-1.071929931640625E-3</v>
      </c>
      <c r="BN118" s="13">
        <f t="shared" si="602"/>
        <v>-13.456849098205566</v>
      </c>
      <c r="BO118" s="13">
        <f t="shared" si="602"/>
        <v>-3.814697265625E-4</v>
      </c>
      <c r="BP118" s="15">
        <f t="shared" si="602"/>
        <v>3.6784499002351367E-8</v>
      </c>
      <c r="BQ118" s="15">
        <f t="shared" si="602"/>
        <v>1.5667467323510209E-12</v>
      </c>
      <c r="BR118" s="14">
        <f t="shared" si="602"/>
        <v>1.6623918781988323E-4</v>
      </c>
      <c r="BS118" s="14">
        <f t="shared" si="602"/>
        <v>3.2159732654690742E-9</v>
      </c>
      <c r="BT118" s="14">
        <f t="shared" si="602"/>
        <v>4.0331800846615806E-5</v>
      </c>
      <c r="BU118" s="14">
        <f t="shared" si="602"/>
        <v>2.7066562324762344E-9</v>
      </c>
      <c r="BV118" s="11">
        <f t="shared" si="602"/>
        <v>289059.4375</v>
      </c>
      <c r="BW118" s="11">
        <f t="shared" si="602"/>
        <v>-12.03125</v>
      </c>
      <c r="BX118" s="11">
        <f t="shared" si="602"/>
        <v>80687.0703125</v>
      </c>
      <c r="BY118" s="11">
        <f t="shared" si="602"/>
        <v>0.5390625</v>
      </c>
      <c r="BZ118" s="7">
        <f t="shared" si="602"/>
        <v>1.8500000238418579</v>
      </c>
      <c r="CA118" s="7">
        <f t="shared" si="602"/>
        <v>2.9000000953674316</v>
      </c>
      <c r="CB118" s="7">
        <f t="shared" ref="CB118:CP118" si="603">IFERROR(VALUE(CB423),"-")</f>
        <v>1.6000000238418579</v>
      </c>
      <c r="CC118" s="7">
        <f t="shared" si="603"/>
        <v>1.6499999761581421</v>
      </c>
      <c r="CD118" s="7">
        <f t="shared" si="603"/>
        <v>1.7000000476837158</v>
      </c>
      <c r="CE118" s="3">
        <f t="shared" si="603"/>
        <v>6725</v>
      </c>
      <c r="CF118" s="7">
        <f t="shared" si="603"/>
        <v>1.6499999761581421</v>
      </c>
      <c r="CG118" s="3">
        <f t="shared" si="603"/>
        <v>3175</v>
      </c>
      <c r="CH118" s="7">
        <f t="shared" si="603"/>
        <v>2.4500000476837158</v>
      </c>
      <c r="CI118" s="7">
        <f t="shared" si="603"/>
        <v>2710.85009765625</v>
      </c>
      <c r="CJ118" s="3">
        <f t="shared" si="603"/>
        <v>50</v>
      </c>
      <c r="CK118" s="7">
        <f t="shared" si="603"/>
        <v>2694.5</v>
      </c>
      <c r="CL118" s="3">
        <f t="shared" si="603"/>
        <v>50</v>
      </c>
      <c r="CM118" s="7">
        <f t="shared" si="603"/>
        <v>2699.010009765625</v>
      </c>
      <c r="CN118" s="10">
        <f t="shared" si="603"/>
        <v>44783.638194444444</v>
      </c>
      <c r="CO118" s="10">
        <f t="shared" si="603"/>
        <v>44783.638194444444</v>
      </c>
      <c r="CP118" s="7">
        <f t="shared" si="603"/>
        <v>38295.69921875</v>
      </c>
      <c r="CQ118" s="7" t="str">
        <f t="shared" ref="CQ118" si="604">IFERROR(CQ423,"-")</f>
        <v>FairPrice</v>
      </c>
      <c r="CR118" s="10">
        <f t="shared" si="569"/>
        <v>44783.638194444444</v>
      </c>
      <c r="CS118" s="7">
        <f t="shared" si="569"/>
        <v>0.34101009368896484</v>
      </c>
      <c r="CT118" s="7">
        <f t="shared" si="569"/>
        <v>4.8730126728822026E-3</v>
      </c>
      <c r="CU118" s="7">
        <f t="shared" si="569"/>
        <v>175</v>
      </c>
      <c r="CV118" s="7">
        <f t="shared" si="569"/>
        <v>0.42857142857142855</v>
      </c>
      <c r="CW118" s="7">
        <f t="shared" si="569"/>
        <v>2724</v>
      </c>
      <c r="CX118" s="7">
        <f t="shared" si="569"/>
        <v>0</v>
      </c>
      <c r="CY118" s="7">
        <f t="shared" si="569"/>
        <v>1.6499999761581421</v>
      </c>
      <c r="CZ118" s="7">
        <f t="shared" si="569"/>
        <v>0</v>
      </c>
      <c r="DA118" s="7">
        <f t="shared" si="569"/>
        <v>846725</v>
      </c>
      <c r="DB118" s="7">
        <f t="shared" si="569"/>
        <v>7.3784286515692812E-2</v>
      </c>
      <c r="DC118" s="7">
        <f t="shared" si="569"/>
        <v>2.2351741790771484E-4</v>
      </c>
      <c r="DD118" s="7">
        <f t="shared" si="569"/>
        <v>4.4806234542595856E-6</v>
      </c>
      <c r="DE118" s="7">
        <f t="shared" si="569"/>
        <v>1.6499999761581421</v>
      </c>
      <c r="DF118" s="7">
        <f t="shared" si="569"/>
        <v>2724</v>
      </c>
      <c r="DG118" s="7">
        <f t="shared" si="569"/>
        <v>38295.69921875</v>
      </c>
      <c r="DH118" s="7" t="str">
        <f t="shared" ref="DH118:DJ118" si="605">IFERROR(DH423,"-")</f>
        <v>W</v>
      </c>
      <c r="DI118" s="7" t="str">
        <f t="shared" si="605"/>
        <v>W</v>
      </c>
      <c r="DJ118" s="7" t="str">
        <f t="shared" si="605"/>
        <v>G</v>
      </c>
      <c r="DK118" s="64">
        <f t="shared" ref="DK118:DS118" si="606">IFERROR(VALUE(DK423),"-")</f>
        <v>38300</v>
      </c>
      <c r="DL118" s="64">
        <f t="shared" si="606"/>
        <v>3400000</v>
      </c>
      <c r="DM118" s="64">
        <f t="shared" si="606"/>
        <v>38500</v>
      </c>
      <c r="DN118" s="64">
        <f t="shared" si="606"/>
        <v>0</v>
      </c>
      <c r="DO118" s="64">
        <f t="shared" si="606"/>
        <v>24500</v>
      </c>
      <c r="DP118" s="64">
        <f t="shared" si="606"/>
        <v>2863350</v>
      </c>
      <c r="DQ118" s="64">
        <f t="shared" si="606"/>
        <v>38000</v>
      </c>
      <c r="DR118" s="64">
        <f t="shared" si="606"/>
        <v>0</v>
      </c>
      <c r="DS118" s="64">
        <f t="shared" si="606"/>
        <v>24500</v>
      </c>
      <c r="DT118" t="str">
        <f t="shared" si="338"/>
        <v>BANKNIFTY</v>
      </c>
      <c r="DU118" s="10">
        <f t="shared" si="339"/>
        <v>44784</v>
      </c>
    </row>
    <row r="119" spans="1:125" x14ac:dyDescent="0.25">
      <c r="A119" t="s">
        <v>42</v>
      </c>
      <c r="B119" s="2">
        <v>44861</v>
      </c>
      <c r="C119" s="1">
        <v>1800</v>
      </c>
      <c r="D119">
        <v>65</v>
      </c>
      <c r="G119" t="str">
        <f t="array" ref="G119">IFERROR(INDEX($A$2:$A$700,MATCH(0,COUNTIF($G$1:G118,$A$2:$A$700),0)),"")</f>
        <v>LAURUSLABS</v>
      </c>
      <c r="M119" s="3"/>
      <c r="N119" s="3"/>
      <c r="O119" s="3">
        <f t="shared" si="340"/>
        <v>41100</v>
      </c>
      <c r="P119" s="7">
        <f t="shared" ref="P119:CA119" si="607">IFERROR(VALUE(P424),"-")</f>
        <v>0</v>
      </c>
      <c r="Q119" s="7">
        <f t="shared" si="607"/>
        <v>0</v>
      </c>
      <c r="R119" s="7">
        <f t="shared" si="607"/>
        <v>0</v>
      </c>
      <c r="S119" s="7">
        <f t="shared" si="607"/>
        <v>0</v>
      </c>
      <c r="T119" s="11">
        <f t="shared" si="607"/>
        <v>0</v>
      </c>
      <c r="U119" s="11">
        <f t="shared" si="607"/>
        <v>0</v>
      </c>
      <c r="V119" s="11">
        <f t="shared" si="607"/>
        <v>0</v>
      </c>
      <c r="W119" s="11">
        <f t="shared" si="607"/>
        <v>0</v>
      </c>
      <c r="X119" s="14">
        <f t="shared" si="607"/>
        <v>0</v>
      </c>
      <c r="Y119" s="14">
        <f t="shared" si="607"/>
        <v>0</v>
      </c>
      <c r="Z119" s="14">
        <f t="shared" si="607"/>
        <v>0</v>
      </c>
      <c r="AA119" s="14">
        <f t="shared" si="607"/>
        <v>0</v>
      </c>
      <c r="AB119" s="15">
        <f t="shared" si="607"/>
        <v>0</v>
      </c>
      <c r="AC119" s="15">
        <f t="shared" si="607"/>
        <v>0</v>
      </c>
      <c r="AD119" s="13">
        <f t="shared" si="607"/>
        <v>0</v>
      </c>
      <c r="AE119" s="13">
        <f t="shared" si="607"/>
        <v>0</v>
      </c>
      <c r="AF119" s="12">
        <f t="shared" si="607"/>
        <v>0</v>
      </c>
      <c r="AG119" s="12">
        <f t="shared" si="607"/>
        <v>0</v>
      </c>
      <c r="AH119" s="13">
        <f t="shared" si="607"/>
        <v>0</v>
      </c>
      <c r="AI119" s="13">
        <f t="shared" si="607"/>
        <v>0</v>
      </c>
      <c r="AJ119" s="11">
        <f t="shared" si="607"/>
        <v>0</v>
      </c>
      <c r="AK119" s="11">
        <f t="shared" si="607"/>
        <v>0</v>
      </c>
      <c r="AL119" s="11">
        <f t="shared" si="607"/>
        <v>0</v>
      </c>
      <c r="AM119" s="11">
        <f t="shared" si="607"/>
        <v>0</v>
      </c>
      <c r="AN119" s="11">
        <f t="shared" si="607"/>
        <v>0</v>
      </c>
      <c r="AO119" s="11">
        <f t="shared" si="607"/>
        <v>0</v>
      </c>
      <c r="AP119" s="11">
        <f t="shared" si="607"/>
        <v>0</v>
      </c>
      <c r="AQ119" s="11">
        <f t="shared" si="607"/>
        <v>0</v>
      </c>
      <c r="AR119" s="16">
        <f t="shared" si="607"/>
        <v>0</v>
      </c>
      <c r="AS119" s="16">
        <f t="shared" si="607"/>
        <v>0</v>
      </c>
      <c r="AT119" s="16">
        <f t="shared" si="607"/>
        <v>0</v>
      </c>
      <c r="AU119" s="7">
        <f t="shared" si="607"/>
        <v>0</v>
      </c>
      <c r="AV119" s="7">
        <f t="shared" si="607"/>
        <v>0</v>
      </c>
      <c r="AW119" s="7">
        <f t="shared" si="607"/>
        <v>0</v>
      </c>
      <c r="AX119" s="7">
        <f t="shared" si="607"/>
        <v>0</v>
      </c>
      <c r="AY119" s="11">
        <f t="shared" si="607"/>
        <v>0</v>
      </c>
      <c r="AZ119" s="16">
        <f t="shared" si="607"/>
        <v>0</v>
      </c>
      <c r="BA119" s="16">
        <f t="shared" si="607"/>
        <v>0</v>
      </c>
      <c r="BB119" s="16">
        <f t="shared" si="607"/>
        <v>0</v>
      </c>
      <c r="BC119" s="11">
        <f t="shared" si="607"/>
        <v>0</v>
      </c>
      <c r="BD119" s="11">
        <f t="shared" si="607"/>
        <v>0</v>
      </c>
      <c r="BE119" s="11">
        <f t="shared" si="607"/>
        <v>0</v>
      </c>
      <c r="BF119" s="11">
        <f t="shared" si="607"/>
        <v>0</v>
      </c>
      <c r="BG119" s="11">
        <f t="shared" si="607"/>
        <v>0</v>
      </c>
      <c r="BH119" s="11">
        <f t="shared" si="607"/>
        <v>0</v>
      </c>
      <c r="BI119" s="13">
        <f t="shared" si="607"/>
        <v>0</v>
      </c>
      <c r="BJ119" s="13">
        <f t="shared" si="607"/>
        <v>0</v>
      </c>
      <c r="BK119" s="11">
        <f t="shared" si="607"/>
        <v>0</v>
      </c>
      <c r="BL119" s="12">
        <f t="shared" si="607"/>
        <v>0</v>
      </c>
      <c r="BM119" s="12">
        <f t="shared" si="607"/>
        <v>0</v>
      </c>
      <c r="BN119" s="13">
        <f t="shared" si="607"/>
        <v>0</v>
      </c>
      <c r="BO119" s="13">
        <f t="shared" si="607"/>
        <v>0</v>
      </c>
      <c r="BP119" s="15">
        <f t="shared" si="607"/>
        <v>0</v>
      </c>
      <c r="BQ119" s="15">
        <f t="shared" si="607"/>
        <v>0</v>
      </c>
      <c r="BR119" s="14">
        <f t="shared" si="607"/>
        <v>0</v>
      </c>
      <c r="BS119" s="14">
        <f t="shared" si="607"/>
        <v>0</v>
      </c>
      <c r="BT119" s="14">
        <f t="shared" si="607"/>
        <v>0</v>
      </c>
      <c r="BU119" s="14">
        <f t="shared" si="607"/>
        <v>0</v>
      </c>
      <c r="BV119" s="11">
        <f t="shared" si="607"/>
        <v>0</v>
      </c>
      <c r="BW119" s="11">
        <f t="shared" si="607"/>
        <v>0</v>
      </c>
      <c r="BX119" s="11">
        <f t="shared" si="607"/>
        <v>0</v>
      </c>
      <c r="BY119" s="11">
        <f t="shared" si="607"/>
        <v>0</v>
      </c>
      <c r="BZ119" s="7">
        <f t="shared" si="607"/>
        <v>0</v>
      </c>
      <c r="CA119" s="7">
        <f t="shared" si="607"/>
        <v>0</v>
      </c>
      <c r="CB119" s="7">
        <f t="shared" ref="CB119:CP119" si="608">IFERROR(VALUE(CB424),"-")</f>
        <v>0</v>
      </c>
      <c r="CC119" s="7">
        <f t="shared" si="608"/>
        <v>0</v>
      </c>
      <c r="CD119" s="7">
        <f t="shared" si="608"/>
        <v>0</v>
      </c>
      <c r="CE119" s="3">
        <f t="shared" si="608"/>
        <v>0</v>
      </c>
      <c r="CF119" s="7">
        <f t="shared" si="608"/>
        <v>0</v>
      </c>
      <c r="CG119" s="3">
        <f t="shared" si="608"/>
        <v>0</v>
      </c>
      <c r="CH119" s="7">
        <f t="shared" si="608"/>
        <v>0</v>
      </c>
      <c r="CI119" s="7">
        <f t="shared" si="608"/>
        <v>0</v>
      </c>
      <c r="CJ119" s="3">
        <f t="shared" si="608"/>
        <v>0</v>
      </c>
      <c r="CK119" s="7">
        <f t="shared" si="608"/>
        <v>0</v>
      </c>
      <c r="CL119" s="3">
        <f t="shared" si="608"/>
        <v>0</v>
      </c>
      <c r="CM119" s="7">
        <f t="shared" si="608"/>
        <v>0</v>
      </c>
      <c r="CN119" s="10">
        <f t="shared" si="608"/>
        <v>44783.636701388888</v>
      </c>
      <c r="CO119" s="10">
        <f t="shared" si="608"/>
        <v>44783.636701388888</v>
      </c>
      <c r="CP119" s="7">
        <f t="shared" si="608"/>
        <v>38295.69921875</v>
      </c>
      <c r="CQ119" s="7" t="str">
        <f t="shared" ref="CQ119" si="609">IFERROR(CQ424,"-")</f>
        <v>FairPrice</v>
      </c>
      <c r="CR119" s="10">
        <f t="shared" si="569"/>
        <v>44783.638194444444</v>
      </c>
      <c r="CS119" s="7">
        <f t="shared" si="569"/>
        <v>0</v>
      </c>
      <c r="CT119" s="7">
        <f t="shared" si="569"/>
        <v>0</v>
      </c>
      <c r="CU119" s="7">
        <f t="shared" si="569"/>
        <v>0</v>
      </c>
      <c r="CV119" s="7">
        <f t="shared" si="569"/>
        <v>0</v>
      </c>
      <c r="CW119" s="7">
        <f t="shared" si="569"/>
        <v>0</v>
      </c>
      <c r="CX119" s="7">
        <f t="shared" si="569"/>
        <v>0</v>
      </c>
      <c r="CY119" s="7">
        <f t="shared" si="569"/>
        <v>0</v>
      </c>
      <c r="CZ119" s="7">
        <f t="shared" si="569"/>
        <v>0</v>
      </c>
      <c r="DA119" s="7">
        <f t="shared" si="569"/>
        <v>0</v>
      </c>
      <c r="DB119" s="7">
        <f t="shared" si="569"/>
        <v>0</v>
      </c>
      <c r="DC119" s="7">
        <f t="shared" si="569"/>
        <v>0</v>
      </c>
      <c r="DD119" s="7">
        <f t="shared" si="569"/>
        <v>0</v>
      </c>
      <c r="DE119" s="7">
        <f t="shared" si="569"/>
        <v>0</v>
      </c>
      <c r="DF119" s="7">
        <f t="shared" si="569"/>
        <v>0</v>
      </c>
      <c r="DG119" s="7">
        <f t="shared" si="569"/>
        <v>38295.69921875</v>
      </c>
      <c r="DH119" s="7" t="str">
        <f t="shared" ref="DH119:DJ119" si="610">IFERROR(DH424,"-")</f>
        <v>W</v>
      </c>
      <c r="DI119" s="7" t="str">
        <f t="shared" si="610"/>
        <v>W</v>
      </c>
      <c r="DJ119" s="7" t="str">
        <f t="shared" si="610"/>
        <v>G</v>
      </c>
      <c r="DK119" s="64">
        <f t="shared" ref="DK119:DS119" si="611">IFERROR(VALUE(DK424),"-")</f>
        <v>38300</v>
      </c>
      <c r="DL119" s="64">
        <f t="shared" si="611"/>
        <v>3400000</v>
      </c>
      <c r="DM119" s="64">
        <f t="shared" si="611"/>
        <v>38500</v>
      </c>
      <c r="DN119" s="64">
        <f t="shared" si="611"/>
        <v>0</v>
      </c>
      <c r="DO119" s="64">
        <f t="shared" si="611"/>
        <v>24500</v>
      </c>
      <c r="DP119" s="64">
        <f t="shared" si="611"/>
        <v>2863350</v>
      </c>
      <c r="DQ119" s="64">
        <f t="shared" si="611"/>
        <v>38000</v>
      </c>
      <c r="DR119" s="64">
        <f t="shared" si="611"/>
        <v>0</v>
      </c>
      <c r="DS119" s="64">
        <f t="shared" si="611"/>
        <v>24500</v>
      </c>
      <c r="DT119" t="str">
        <f t="shared" si="338"/>
        <v>BANKNIFTY</v>
      </c>
      <c r="DU119" s="10">
        <f t="shared" si="339"/>
        <v>44784</v>
      </c>
    </row>
    <row r="120" spans="1:125" x14ac:dyDescent="0.25">
      <c r="A120" t="s">
        <v>43</v>
      </c>
      <c r="B120" s="2">
        <v>44798</v>
      </c>
      <c r="C120" s="1">
        <v>200</v>
      </c>
      <c r="D120">
        <v>118</v>
      </c>
      <c r="G120" t="str">
        <f t="array" ref="G120">IFERROR(INDEX($A$2:$A$700,MATCH(0,COUNTIF($G$1:G119,$A$2:$A$700),0)),"")</f>
        <v>LICHSGFIN</v>
      </c>
      <c r="M120" s="3"/>
      <c r="N120" s="3"/>
      <c r="O120" s="3">
        <f t="shared" si="340"/>
        <v>41200</v>
      </c>
      <c r="P120" s="7">
        <f t="shared" ref="P120:CA120" si="612">IFERROR(VALUE(P425),"-")</f>
        <v>0</v>
      </c>
      <c r="Q120" s="7">
        <f t="shared" si="612"/>
        <v>0</v>
      </c>
      <c r="R120" s="7">
        <f t="shared" si="612"/>
        <v>0</v>
      </c>
      <c r="S120" s="7">
        <f t="shared" si="612"/>
        <v>0</v>
      </c>
      <c r="T120" s="11">
        <f t="shared" si="612"/>
        <v>0</v>
      </c>
      <c r="U120" s="11">
        <f t="shared" si="612"/>
        <v>0</v>
      </c>
      <c r="V120" s="11">
        <f t="shared" si="612"/>
        <v>0</v>
      </c>
      <c r="W120" s="11">
        <f t="shared" si="612"/>
        <v>0</v>
      </c>
      <c r="X120" s="14">
        <f t="shared" si="612"/>
        <v>0</v>
      </c>
      <c r="Y120" s="14">
        <f t="shared" si="612"/>
        <v>0</v>
      </c>
      <c r="Z120" s="14">
        <f t="shared" si="612"/>
        <v>0</v>
      </c>
      <c r="AA120" s="14">
        <f t="shared" si="612"/>
        <v>0</v>
      </c>
      <c r="AB120" s="15">
        <f t="shared" si="612"/>
        <v>0</v>
      </c>
      <c r="AC120" s="15">
        <f t="shared" si="612"/>
        <v>0</v>
      </c>
      <c r="AD120" s="13">
        <f t="shared" si="612"/>
        <v>0</v>
      </c>
      <c r="AE120" s="13">
        <f t="shared" si="612"/>
        <v>0</v>
      </c>
      <c r="AF120" s="12">
        <f t="shared" si="612"/>
        <v>0</v>
      </c>
      <c r="AG120" s="12">
        <f t="shared" si="612"/>
        <v>0</v>
      </c>
      <c r="AH120" s="13">
        <f t="shared" si="612"/>
        <v>0</v>
      </c>
      <c r="AI120" s="13">
        <f t="shared" si="612"/>
        <v>0</v>
      </c>
      <c r="AJ120" s="11">
        <f t="shared" si="612"/>
        <v>0</v>
      </c>
      <c r="AK120" s="11">
        <f t="shared" si="612"/>
        <v>0</v>
      </c>
      <c r="AL120" s="11">
        <f t="shared" si="612"/>
        <v>0</v>
      </c>
      <c r="AM120" s="11">
        <f t="shared" si="612"/>
        <v>0</v>
      </c>
      <c r="AN120" s="11">
        <f t="shared" si="612"/>
        <v>0</v>
      </c>
      <c r="AO120" s="11">
        <f t="shared" si="612"/>
        <v>0</v>
      </c>
      <c r="AP120" s="11">
        <f t="shared" si="612"/>
        <v>0</v>
      </c>
      <c r="AQ120" s="11">
        <f t="shared" si="612"/>
        <v>0</v>
      </c>
      <c r="AR120" s="16">
        <f t="shared" si="612"/>
        <v>0</v>
      </c>
      <c r="AS120" s="16">
        <f t="shared" si="612"/>
        <v>0</v>
      </c>
      <c r="AT120" s="16">
        <f t="shared" si="612"/>
        <v>0</v>
      </c>
      <c r="AU120" s="7">
        <f t="shared" si="612"/>
        <v>0</v>
      </c>
      <c r="AV120" s="7">
        <f t="shared" si="612"/>
        <v>0</v>
      </c>
      <c r="AW120" s="7">
        <f t="shared" si="612"/>
        <v>0</v>
      </c>
      <c r="AX120" s="7">
        <f t="shared" si="612"/>
        <v>0</v>
      </c>
      <c r="AY120" s="11">
        <f t="shared" si="612"/>
        <v>0</v>
      </c>
      <c r="AZ120" s="16">
        <f t="shared" si="612"/>
        <v>0</v>
      </c>
      <c r="BA120" s="16">
        <f t="shared" si="612"/>
        <v>0</v>
      </c>
      <c r="BB120" s="16">
        <f t="shared" si="612"/>
        <v>0</v>
      </c>
      <c r="BC120" s="11">
        <f t="shared" si="612"/>
        <v>0</v>
      </c>
      <c r="BD120" s="11">
        <f t="shared" si="612"/>
        <v>0</v>
      </c>
      <c r="BE120" s="11">
        <f t="shared" si="612"/>
        <v>0</v>
      </c>
      <c r="BF120" s="11">
        <f t="shared" si="612"/>
        <v>0</v>
      </c>
      <c r="BG120" s="11">
        <f t="shared" si="612"/>
        <v>0</v>
      </c>
      <c r="BH120" s="11">
        <f t="shared" si="612"/>
        <v>0</v>
      </c>
      <c r="BI120" s="13">
        <f t="shared" si="612"/>
        <v>0</v>
      </c>
      <c r="BJ120" s="13">
        <f t="shared" si="612"/>
        <v>0</v>
      </c>
      <c r="BK120" s="11">
        <f t="shared" si="612"/>
        <v>0</v>
      </c>
      <c r="BL120" s="12">
        <f t="shared" si="612"/>
        <v>0</v>
      </c>
      <c r="BM120" s="12">
        <f t="shared" si="612"/>
        <v>0</v>
      </c>
      <c r="BN120" s="13">
        <f t="shared" si="612"/>
        <v>0</v>
      </c>
      <c r="BO120" s="13">
        <f t="shared" si="612"/>
        <v>0</v>
      </c>
      <c r="BP120" s="15">
        <f t="shared" si="612"/>
        <v>0</v>
      </c>
      <c r="BQ120" s="15">
        <f t="shared" si="612"/>
        <v>0</v>
      </c>
      <c r="BR120" s="14">
        <f t="shared" si="612"/>
        <v>0</v>
      </c>
      <c r="BS120" s="14">
        <f t="shared" si="612"/>
        <v>0</v>
      </c>
      <c r="BT120" s="14">
        <f t="shared" si="612"/>
        <v>0</v>
      </c>
      <c r="BU120" s="14">
        <f t="shared" si="612"/>
        <v>0</v>
      </c>
      <c r="BV120" s="11">
        <f t="shared" si="612"/>
        <v>0</v>
      </c>
      <c r="BW120" s="11">
        <f t="shared" si="612"/>
        <v>0</v>
      </c>
      <c r="BX120" s="11">
        <f t="shared" si="612"/>
        <v>0</v>
      </c>
      <c r="BY120" s="11">
        <f t="shared" si="612"/>
        <v>0</v>
      </c>
      <c r="BZ120" s="7">
        <f t="shared" si="612"/>
        <v>0</v>
      </c>
      <c r="CA120" s="7">
        <f t="shared" si="612"/>
        <v>0</v>
      </c>
      <c r="CB120" s="7">
        <f t="shared" ref="CB120:CP120" si="613">IFERROR(VALUE(CB425),"-")</f>
        <v>0</v>
      </c>
      <c r="CC120" s="7">
        <f t="shared" si="613"/>
        <v>0</v>
      </c>
      <c r="CD120" s="7">
        <f t="shared" si="613"/>
        <v>0</v>
      </c>
      <c r="CE120" s="3">
        <f t="shared" si="613"/>
        <v>0</v>
      </c>
      <c r="CF120" s="7">
        <f t="shared" si="613"/>
        <v>0</v>
      </c>
      <c r="CG120" s="3">
        <f t="shared" si="613"/>
        <v>0</v>
      </c>
      <c r="CH120" s="7">
        <f t="shared" si="613"/>
        <v>0</v>
      </c>
      <c r="CI120" s="7">
        <f t="shared" si="613"/>
        <v>0</v>
      </c>
      <c r="CJ120" s="3">
        <f t="shared" si="613"/>
        <v>0</v>
      </c>
      <c r="CK120" s="7">
        <f t="shared" si="613"/>
        <v>0</v>
      </c>
      <c r="CL120" s="3">
        <f t="shared" si="613"/>
        <v>0</v>
      </c>
      <c r="CM120" s="7">
        <f t="shared" si="613"/>
        <v>0</v>
      </c>
      <c r="CN120" s="10">
        <f t="shared" si="613"/>
        <v>44783.636701388888</v>
      </c>
      <c r="CO120" s="10">
        <f t="shared" si="613"/>
        <v>44783.636701388888</v>
      </c>
      <c r="CP120" s="7">
        <f t="shared" si="613"/>
        <v>38295.69921875</v>
      </c>
      <c r="CQ120" s="7" t="str">
        <f t="shared" ref="CQ120" si="614">IFERROR(CQ425,"-")</f>
        <v>FairPrice</v>
      </c>
      <c r="CR120" s="10">
        <f t="shared" si="569"/>
        <v>44783.638194444444</v>
      </c>
      <c r="CS120" s="7">
        <f t="shared" si="569"/>
        <v>0</v>
      </c>
      <c r="CT120" s="7">
        <f t="shared" si="569"/>
        <v>0</v>
      </c>
      <c r="CU120" s="7">
        <f t="shared" si="569"/>
        <v>0</v>
      </c>
      <c r="CV120" s="7">
        <f t="shared" si="569"/>
        <v>0</v>
      </c>
      <c r="CW120" s="7">
        <f t="shared" si="569"/>
        <v>0</v>
      </c>
      <c r="CX120" s="7">
        <f t="shared" si="569"/>
        <v>0</v>
      </c>
      <c r="CY120" s="7">
        <f t="shared" si="569"/>
        <v>0</v>
      </c>
      <c r="CZ120" s="7">
        <f t="shared" si="569"/>
        <v>0</v>
      </c>
      <c r="DA120" s="7">
        <f t="shared" si="569"/>
        <v>0</v>
      </c>
      <c r="DB120" s="7">
        <f t="shared" si="569"/>
        <v>0</v>
      </c>
      <c r="DC120" s="7">
        <f t="shared" si="569"/>
        <v>0</v>
      </c>
      <c r="DD120" s="7">
        <f t="shared" si="569"/>
        <v>0</v>
      </c>
      <c r="DE120" s="7">
        <f t="shared" si="569"/>
        <v>0</v>
      </c>
      <c r="DF120" s="7">
        <f t="shared" si="569"/>
        <v>0</v>
      </c>
      <c r="DG120" s="7">
        <f t="shared" si="569"/>
        <v>38295.69921875</v>
      </c>
      <c r="DH120" s="7" t="str">
        <f t="shared" ref="DH120:DJ120" si="615">IFERROR(DH425,"-")</f>
        <v>W</v>
      </c>
      <c r="DI120" s="7" t="str">
        <f t="shared" si="615"/>
        <v>W</v>
      </c>
      <c r="DJ120" s="7" t="str">
        <f t="shared" si="615"/>
        <v>G</v>
      </c>
      <c r="DK120" s="64">
        <f t="shared" ref="DK120:DS120" si="616">IFERROR(VALUE(DK425),"-")</f>
        <v>38300</v>
      </c>
      <c r="DL120" s="64">
        <f t="shared" si="616"/>
        <v>3400000</v>
      </c>
      <c r="DM120" s="64">
        <f t="shared" si="616"/>
        <v>38500</v>
      </c>
      <c r="DN120" s="64">
        <f t="shared" si="616"/>
        <v>0</v>
      </c>
      <c r="DO120" s="64">
        <f t="shared" si="616"/>
        <v>24500</v>
      </c>
      <c r="DP120" s="64">
        <f t="shared" si="616"/>
        <v>2863350</v>
      </c>
      <c r="DQ120" s="64">
        <f t="shared" si="616"/>
        <v>38000</v>
      </c>
      <c r="DR120" s="64">
        <f t="shared" si="616"/>
        <v>0</v>
      </c>
      <c r="DS120" s="64">
        <f t="shared" si="616"/>
        <v>24500</v>
      </c>
      <c r="DT120" t="str">
        <f t="shared" si="338"/>
        <v>BANKNIFTY</v>
      </c>
      <c r="DU120" s="10">
        <f t="shared" si="339"/>
        <v>44784</v>
      </c>
    </row>
    <row r="121" spans="1:125" x14ac:dyDescent="0.25">
      <c r="A121" t="s">
        <v>43</v>
      </c>
      <c r="B121" s="2">
        <v>44833</v>
      </c>
      <c r="C121" s="1">
        <v>200</v>
      </c>
      <c r="D121">
        <v>118</v>
      </c>
      <c r="G121" t="str">
        <f t="array" ref="G121">IFERROR(INDEX($A$2:$A$700,MATCH(0,COUNTIF($G$1:G120,$A$2:$A$700),0)),"")</f>
        <v>LT</v>
      </c>
      <c r="M121" s="3"/>
      <c r="N121" s="3"/>
      <c r="O121" s="3">
        <f t="shared" si="340"/>
        <v>41300</v>
      </c>
      <c r="P121" s="7">
        <f t="shared" ref="P121:CA121" si="617">IFERROR(VALUE(P426),"-")</f>
        <v>0</v>
      </c>
      <c r="Q121" s="7">
        <f t="shared" si="617"/>
        <v>0</v>
      </c>
      <c r="R121" s="7">
        <f t="shared" si="617"/>
        <v>0</v>
      </c>
      <c r="S121" s="7">
        <f t="shared" si="617"/>
        <v>0</v>
      </c>
      <c r="T121" s="11">
        <f t="shared" si="617"/>
        <v>0</v>
      </c>
      <c r="U121" s="11">
        <f t="shared" si="617"/>
        <v>0</v>
      </c>
      <c r="V121" s="11">
        <f t="shared" si="617"/>
        <v>0</v>
      </c>
      <c r="W121" s="11">
        <f t="shared" si="617"/>
        <v>0</v>
      </c>
      <c r="X121" s="14">
        <f t="shared" si="617"/>
        <v>0</v>
      </c>
      <c r="Y121" s="14">
        <f t="shared" si="617"/>
        <v>0</v>
      </c>
      <c r="Z121" s="14">
        <f t="shared" si="617"/>
        <v>0</v>
      </c>
      <c r="AA121" s="14">
        <f t="shared" si="617"/>
        <v>0</v>
      </c>
      <c r="AB121" s="15">
        <f t="shared" si="617"/>
        <v>0</v>
      </c>
      <c r="AC121" s="15">
        <f t="shared" si="617"/>
        <v>0</v>
      </c>
      <c r="AD121" s="13">
        <f t="shared" si="617"/>
        <v>0</v>
      </c>
      <c r="AE121" s="13">
        <f t="shared" si="617"/>
        <v>0</v>
      </c>
      <c r="AF121" s="12">
        <f t="shared" si="617"/>
        <v>0</v>
      </c>
      <c r="AG121" s="12">
        <f t="shared" si="617"/>
        <v>0</v>
      </c>
      <c r="AH121" s="13">
        <f t="shared" si="617"/>
        <v>0</v>
      </c>
      <c r="AI121" s="13">
        <f t="shared" si="617"/>
        <v>0</v>
      </c>
      <c r="AJ121" s="11">
        <f t="shared" si="617"/>
        <v>0</v>
      </c>
      <c r="AK121" s="11">
        <f t="shared" si="617"/>
        <v>0</v>
      </c>
      <c r="AL121" s="11">
        <f t="shared" si="617"/>
        <v>0</v>
      </c>
      <c r="AM121" s="11">
        <f t="shared" si="617"/>
        <v>0</v>
      </c>
      <c r="AN121" s="11">
        <f t="shared" si="617"/>
        <v>0</v>
      </c>
      <c r="AO121" s="11">
        <f t="shared" si="617"/>
        <v>0</v>
      </c>
      <c r="AP121" s="11">
        <f t="shared" si="617"/>
        <v>0</v>
      </c>
      <c r="AQ121" s="11">
        <f t="shared" si="617"/>
        <v>0</v>
      </c>
      <c r="AR121" s="16">
        <f t="shared" si="617"/>
        <v>0</v>
      </c>
      <c r="AS121" s="16">
        <f t="shared" si="617"/>
        <v>0</v>
      </c>
      <c r="AT121" s="16">
        <f t="shared" si="617"/>
        <v>0</v>
      </c>
      <c r="AU121" s="7">
        <f t="shared" si="617"/>
        <v>0</v>
      </c>
      <c r="AV121" s="7">
        <f t="shared" si="617"/>
        <v>0</v>
      </c>
      <c r="AW121" s="7">
        <f t="shared" si="617"/>
        <v>0</v>
      </c>
      <c r="AX121" s="7">
        <f t="shared" si="617"/>
        <v>0</v>
      </c>
      <c r="AY121" s="11">
        <f t="shared" si="617"/>
        <v>0</v>
      </c>
      <c r="AZ121" s="16">
        <f t="shared" si="617"/>
        <v>0</v>
      </c>
      <c r="BA121" s="16">
        <f t="shared" si="617"/>
        <v>0</v>
      </c>
      <c r="BB121" s="16">
        <f t="shared" si="617"/>
        <v>0</v>
      </c>
      <c r="BC121" s="11">
        <f t="shared" si="617"/>
        <v>0</v>
      </c>
      <c r="BD121" s="11">
        <f t="shared" si="617"/>
        <v>0</v>
      </c>
      <c r="BE121" s="11">
        <f t="shared" si="617"/>
        <v>0</v>
      </c>
      <c r="BF121" s="11">
        <f t="shared" si="617"/>
        <v>0</v>
      </c>
      <c r="BG121" s="11">
        <f t="shared" si="617"/>
        <v>0</v>
      </c>
      <c r="BH121" s="11">
        <f t="shared" si="617"/>
        <v>0</v>
      </c>
      <c r="BI121" s="13">
        <f t="shared" si="617"/>
        <v>0</v>
      </c>
      <c r="BJ121" s="13">
        <f t="shared" si="617"/>
        <v>0</v>
      </c>
      <c r="BK121" s="11">
        <f t="shared" si="617"/>
        <v>0</v>
      </c>
      <c r="BL121" s="12">
        <f t="shared" si="617"/>
        <v>0</v>
      </c>
      <c r="BM121" s="12">
        <f t="shared" si="617"/>
        <v>0</v>
      </c>
      <c r="BN121" s="13">
        <f t="shared" si="617"/>
        <v>0</v>
      </c>
      <c r="BO121" s="13">
        <f t="shared" si="617"/>
        <v>0</v>
      </c>
      <c r="BP121" s="15">
        <f t="shared" si="617"/>
        <v>0</v>
      </c>
      <c r="BQ121" s="15">
        <f t="shared" si="617"/>
        <v>0</v>
      </c>
      <c r="BR121" s="14">
        <f t="shared" si="617"/>
        <v>0</v>
      </c>
      <c r="BS121" s="14">
        <f t="shared" si="617"/>
        <v>0</v>
      </c>
      <c r="BT121" s="14">
        <f t="shared" si="617"/>
        <v>0</v>
      </c>
      <c r="BU121" s="14">
        <f t="shared" si="617"/>
        <v>0</v>
      </c>
      <c r="BV121" s="11">
        <f t="shared" si="617"/>
        <v>0</v>
      </c>
      <c r="BW121" s="11">
        <f t="shared" si="617"/>
        <v>0</v>
      </c>
      <c r="BX121" s="11">
        <f t="shared" si="617"/>
        <v>0</v>
      </c>
      <c r="BY121" s="11">
        <f t="shared" si="617"/>
        <v>0</v>
      </c>
      <c r="BZ121" s="7">
        <f t="shared" si="617"/>
        <v>0</v>
      </c>
      <c r="CA121" s="7">
        <f t="shared" si="617"/>
        <v>0</v>
      </c>
      <c r="CB121" s="7">
        <f t="shared" ref="CB121:CP121" si="618">IFERROR(VALUE(CB426),"-")</f>
        <v>0</v>
      </c>
      <c r="CC121" s="7">
        <f t="shared" si="618"/>
        <v>0</v>
      </c>
      <c r="CD121" s="7">
        <f t="shared" si="618"/>
        <v>0</v>
      </c>
      <c r="CE121" s="3">
        <f t="shared" si="618"/>
        <v>0</v>
      </c>
      <c r="CF121" s="7">
        <f t="shared" si="618"/>
        <v>0</v>
      </c>
      <c r="CG121" s="3">
        <f t="shared" si="618"/>
        <v>0</v>
      </c>
      <c r="CH121" s="7">
        <f t="shared" si="618"/>
        <v>0</v>
      </c>
      <c r="CI121" s="7">
        <f t="shared" si="618"/>
        <v>0</v>
      </c>
      <c r="CJ121" s="3">
        <f t="shared" si="618"/>
        <v>0</v>
      </c>
      <c r="CK121" s="7">
        <f t="shared" si="618"/>
        <v>0</v>
      </c>
      <c r="CL121" s="3">
        <f t="shared" si="618"/>
        <v>0</v>
      </c>
      <c r="CM121" s="7">
        <f t="shared" si="618"/>
        <v>0</v>
      </c>
      <c r="CN121" s="10">
        <f t="shared" si="618"/>
        <v>44783.636701388888</v>
      </c>
      <c r="CO121" s="10">
        <f t="shared" si="618"/>
        <v>44783.636701388888</v>
      </c>
      <c r="CP121" s="7">
        <f t="shared" si="618"/>
        <v>38295.69921875</v>
      </c>
      <c r="CQ121" s="7" t="str">
        <f t="shared" ref="CQ121" si="619">IFERROR(CQ426,"-")</f>
        <v>FairPrice</v>
      </c>
      <c r="CR121" s="10">
        <f t="shared" si="569"/>
        <v>44783.638194444444</v>
      </c>
      <c r="CS121" s="7">
        <f t="shared" si="569"/>
        <v>0</v>
      </c>
      <c r="CT121" s="7">
        <f t="shared" si="569"/>
        <v>0</v>
      </c>
      <c r="CU121" s="7">
        <f t="shared" si="569"/>
        <v>0</v>
      </c>
      <c r="CV121" s="7">
        <f t="shared" si="569"/>
        <v>0</v>
      </c>
      <c r="CW121" s="7">
        <f t="shared" si="569"/>
        <v>0</v>
      </c>
      <c r="CX121" s="7">
        <f t="shared" si="569"/>
        <v>0</v>
      </c>
      <c r="CY121" s="7">
        <f t="shared" si="569"/>
        <v>0</v>
      </c>
      <c r="CZ121" s="7">
        <f t="shared" si="569"/>
        <v>0</v>
      </c>
      <c r="DA121" s="7">
        <f t="shared" si="569"/>
        <v>0</v>
      </c>
      <c r="DB121" s="7">
        <f t="shared" si="569"/>
        <v>0</v>
      </c>
      <c r="DC121" s="7">
        <f t="shared" si="569"/>
        <v>0</v>
      </c>
      <c r="DD121" s="7">
        <f t="shared" si="569"/>
        <v>0</v>
      </c>
      <c r="DE121" s="7">
        <f t="shared" si="569"/>
        <v>0</v>
      </c>
      <c r="DF121" s="7">
        <f t="shared" si="569"/>
        <v>0</v>
      </c>
      <c r="DG121" s="7">
        <f t="shared" si="569"/>
        <v>38295.69921875</v>
      </c>
      <c r="DH121" s="7" t="str">
        <f t="shared" ref="DH121:DJ121" si="620">IFERROR(DH426,"-")</f>
        <v>W</v>
      </c>
      <c r="DI121" s="7" t="str">
        <f t="shared" si="620"/>
        <v>W</v>
      </c>
      <c r="DJ121" s="7" t="str">
        <f t="shared" si="620"/>
        <v>G</v>
      </c>
      <c r="DK121" s="64">
        <f t="shared" ref="DK121:DS121" si="621">IFERROR(VALUE(DK426),"-")</f>
        <v>38300</v>
      </c>
      <c r="DL121" s="64">
        <f t="shared" si="621"/>
        <v>3400000</v>
      </c>
      <c r="DM121" s="64">
        <f t="shared" si="621"/>
        <v>38500</v>
      </c>
      <c r="DN121" s="64">
        <f t="shared" si="621"/>
        <v>0</v>
      </c>
      <c r="DO121" s="64">
        <f t="shared" si="621"/>
        <v>24500</v>
      </c>
      <c r="DP121" s="64">
        <f t="shared" si="621"/>
        <v>2863350</v>
      </c>
      <c r="DQ121" s="64">
        <f t="shared" si="621"/>
        <v>38000</v>
      </c>
      <c r="DR121" s="64">
        <f t="shared" si="621"/>
        <v>0</v>
      </c>
      <c r="DS121" s="64">
        <f t="shared" si="621"/>
        <v>24500</v>
      </c>
      <c r="DT121" t="str">
        <f t="shared" si="338"/>
        <v>BANKNIFTY</v>
      </c>
      <c r="DU121" s="10">
        <f t="shared" si="339"/>
        <v>44784</v>
      </c>
    </row>
    <row r="122" spans="1:125" x14ac:dyDescent="0.25">
      <c r="A122" t="s">
        <v>43</v>
      </c>
      <c r="B122" s="2">
        <v>44861</v>
      </c>
      <c r="C122" s="1">
        <v>200</v>
      </c>
      <c r="D122">
        <v>118</v>
      </c>
      <c r="G122" t="str">
        <f t="array" ref="G122">IFERROR(INDEX($A$2:$A$700,MATCH(0,COUNTIF($G$1:G121,$A$2:$A$700),0)),"")</f>
        <v>LTI</v>
      </c>
      <c r="M122" s="3"/>
      <c r="N122" s="3"/>
      <c r="O122" s="3">
        <f t="shared" si="340"/>
        <v>41400</v>
      </c>
      <c r="P122" s="7">
        <f t="shared" ref="P122:CA122" si="622">IFERROR(VALUE(P427),"-")</f>
        <v>0</v>
      </c>
      <c r="Q122" s="7">
        <f t="shared" si="622"/>
        <v>0</v>
      </c>
      <c r="R122" s="7">
        <f t="shared" si="622"/>
        <v>0</v>
      </c>
      <c r="S122" s="7">
        <f t="shared" si="622"/>
        <v>0</v>
      </c>
      <c r="T122" s="11">
        <f t="shared" si="622"/>
        <v>0</v>
      </c>
      <c r="U122" s="11">
        <f t="shared" si="622"/>
        <v>0</v>
      </c>
      <c r="V122" s="11">
        <f t="shared" si="622"/>
        <v>0</v>
      </c>
      <c r="W122" s="11">
        <f t="shared" si="622"/>
        <v>0</v>
      </c>
      <c r="X122" s="14">
        <f t="shared" si="622"/>
        <v>0</v>
      </c>
      <c r="Y122" s="14">
        <f t="shared" si="622"/>
        <v>0</v>
      </c>
      <c r="Z122" s="14">
        <f t="shared" si="622"/>
        <v>0</v>
      </c>
      <c r="AA122" s="14">
        <f t="shared" si="622"/>
        <v>0</v>
      </c>
      <c r="AB122" s="15">
        <f t="shared" si="622"/>
        <v>0</v>
      </c>
      <c r="AC122" s="15">
        <f t="shared" si="622"/>
        <v>0</v>
      </c>
      <c r="AD122" s="13">
        <f t="shared" si="622"/>
        <v>0</v>
      </c>
      <c r="AE122" s="13">
        <f t="shared" si="622"/>
        <v>0</v>
      </c>
      <c r="AF122" s="12">
        <f t="shared" si="622"/>
        <v>0</v>
      </c>
      <c r="AG122" s="12">
        <f t="shared" si="622"/>
        <v>0</v>
      </c>
      <c r="AH122" s="13">
        <f t="shared" si="622"/>
        <v>0</v>
      </c>
      <c r="AI122" s="13">
        <f t="shared" si="622"/>
        <v>0</v>
      </c>
      <c r="AJ122" s="11">
        <f t="shared" si="622"/>
        <v>0</v>
      </c>
      <c r="AK122" s="11">
        <f t="shared" si="622"/>
        <v>0</v>
      </c>
      <c r="AL122" s="11">
        <f t="shared" si="622"/>
        <v>0</v>
      </c>
      <c r="AM122" s="11">
        <f t="shared" si="622"/>
        <v>0</v>
      </c>
      <c r="AN122" s="11">
        <f t="shared" si="622"/>
        <v>0</v>
      </c>
      <c r="AO122" s="11">
        <f t="shared" si="622"/>
        <v>0</v>
      </c>
      <c r="AP122" s="11">
        <f t="shared" si="622"/>
        <v>0</v>
      </c>
      <c r="AQ122" s="11">
        <f t="shared" si="622"/>
        <v>0</v>
      </c>
      <c r="AR122" s="16">
        <f t="shared" si="622"/>
        <v>0</v>
      </c>
      <c r="AS122" s="16">
        <f t="shared" si="622"/>
        <v>0</v>
      </c>
      <c r="AT122" s="16">
        <f t="shared" si="622"/>
        <v>0</v>
      </c>
      <c r="AU122" s="7">
        <f t="shared" si="622"/>
        <v>0</v>
      </c>
      <c r="AV122" s="7">
        <f t="shared" si="622"/>
        <v>0</v>
      </c>
      <c r="AW122" s="7">
        <f t="shared" si="622"/>
        <v>0</v>
      </c>
      <c r="AX122" s="7">
        <f t="shared" si="622"/>
        <v>0</v>
      </c>
      <c r="AY122" s="11">
        <f t="shared" si="622"/>
        <v>0</v>
      </c>
      <c r="AZ122" s="16">
        <f t="shared" si="622"/>
        <v>0</v>
      </c>
      <c r="BA122" s="16">
        <f t="shared" si="622"/>
        <v>0</v>
      </c>
      <c r="BB122" s="16">
        <f t="shared" si="622"/>
        <v>0</v>
      </c>
      <c r="BC122" s="11">
        <f t="shared" si="622"/>
        <v>0</v>
      </c>
      <c r="BD122" s="11">
        <f t="shared" si="622"/>
        <v>0</v>
      </c>
      <c r="BE122" s="11">
        <f t="shared" si="622"/>
        <v>0</v>
      </c>
      <c r="BF122" s="11">
        <f t="shared" si="622"/>
        <v>0</v>
      </c>
      <c r="BG122" s="11">
        <f t="shared" si="622"/>
        <v>0</v>
      </c>
      <c r="BH122" s="11">
        <f t="shared" si="622"/>
        <v>0</v>
      </c>
      <c r="BI122" s="13">
        <f t="shared" si="622"/>
        <v>0</v>
      </c>
      <c r="BJ122" s="13">
        <f t="shared" si="622"/>
        <v>0</v>
      </c>
      <c r="BK122" s="11">
        <f t="shared" si="622"/>
        <v>0</v>
      </c>
      <c r="BL122" s="12">
        <f t="shared" si="622"/>
        <v>0</v>
      </c>
      <c r="BM122" s="12">
        <f t="shared" si="622"/>
        <v>0</v>
      </c>
      <c r="BN122" s="13">
        <f t="shared" si="622"/>
        <v>0</v>
      </c>
      <c r="BO122" s="13">
        <f t="shared" si="622"/>
        <v>0</v>
      </c>
      <c r="BP122" s="15">
        <f t="shared" si="622"/>
        <v>0</v>
      </c>
      <c r="BQ122" s="15">
        <f t="shared" si="622"/>
        <v>0</v>
      </c>
      <c r="BR122" s="14">
        <f t="shared" si="622"/>
        <v>0</v>
      </c>
      <c r="BS122" s="14">
        <f t="shared" si="622"/>
        <v>0</v>
      </c>
      <c r="BT122" s="14">
        <f t="shared" si="622"/>
        <v>0</v>
      </c>
      <c r="BU122" s="14">
        <f t="shared" si="622"/>
        <v>0</v>
      </c>
      <c r="BV122" s="11">
        <f t="shared" si="622"/>
        <v>0</v>
      </c>
      <c r="BW122" s="11">
        <f t="shared" si="622"/>
        <v>0</v>
      </c>
      <c r="BX122" s="11">
        <f t="shared" si="622"/>
        <v>0</v>
      </c>
      <c r="BY122" s="11">
        <f t="shared" si="622"/>
        <v>0</v>
      </c>
      <c r="BZ122" s="7">
        <f t="shared" si="622"/>
        <v>0</v>
      </c>
      <c r="CA122" s="7">
        <f t="shared" si="622"/>
        <v>0</v>
      </c>
      <c r="CB122" s="7">
        <f t="shared" ref="CB122:CP122" si="623">IFERROR(VALUE(CB427),"-")</f>
        <v>0</v>
      </c>
      <c r="CC122" s="7">
        <f t="shared" si="623"/>
        <v>0</v>
      </c>
      <c r="CD122" s="7">
        <f t="shared" si="623"/>
        <v>0</v>
      </c>
      <c r="CE122" s="3">
        <f t="shared" si="623"/>
        <v>0</v>
      </c>
      <c r="CF122" s="7">
        <f t="shared" si="623"/>
        <v>0</v>
      </c>
      <c r="CG122" s="3">
        <f t="shared" si="623"/>
        <v>0</v>
      </c>
      <c r="CH122" s="7">
        <f t="shared" si="623"/>
        <v>0</v>
      </c>
      <c r="CI122" s="7">
        <f t="shared" si="623"/>
        <v>0</v>
      </c>
      <c r="CJ122" s="3">
        <f t="shared" si="623"/>
        <v>0</v>
      </c>
      <c r="CK122" s="7">
        <f t="shared" si="623"/>
        <v>0</v>
      </c>
      <c r="CL122" s="3">
        <f t="shared" si="623"/>
        <v>0</v>
      </c>
      <c r="CM122" s="7">
        <f t="shared" si="623"/>
        <v>0</v>
      </c>
      <c r="CN122" s="10">
        <f t="shared" si="623"/>
        <v>44783.636701388888</v>
      </c>
      <c r="CO122" s="10">
        <f t="shared" si="623"/>
        <v>44783.636701388888</v>
      </c>
      <c r="CP122" s="7">
        <f t="shared" si="623"/>
        <v>38295.69921875</v>
      </c>
      <c r="CQ122" s="7" t="str">
        <f t="shared" ref="CQ122" si="624">IFERROR(CQ427,"-")</f>
        <v>FairPrice</v>
      </c>
      <c r="CR122" s="10">
        <f t="shared" si="569"/>
        <v>44783.638194444444</v>
      </c>
      <c r="CS122" s="7">
        <f t="shared" si="569"/>
        <v>0</v>
      </c>
      <c r="CT122" s="7">
        <f t="shared" si="569"/>
        <v>0</v>
      </c>
      <c r="CU122" s="7">
        <f t="shared" si="569"/>
        <v>0</v>
      </c>
      <c r="CV122" s="7">
        <f t="shared" si="569"/>
        <v>0</v>
      </c>
      <c r="CW122" s="7">
        <f t="shared" si="569"/>
        <v>0</v>
      </c>
      <c r="CX122" s="7">
        <f t="shared" si="569"/>
        <v>0</v>
      </c>
      <c r="CY122" s="7">
        <f t="shared" si="569"/>
        <v>0</v>
      </c>
      <c r="CZ122" s="7">
        <f t="shared" si="569"/>
        <v>0</v>
      </c>
      <c r="DA122" s="7">
        <f t="shared" si="569"/>
        <v>0</v>
      </c>
      <c r="DB122" s="7">
        <f t="shared" si="569"/>
        <v>0</v>
      </c>
      <c r="DC122" s="7">
        <f t="shared" si="569"/>
        <v>0</v>
      </c>
      <c r="DD122" s="7">
        <f t="shared" si="569"/>
        <v>0</v>
      </c>
      <c r="DE122" s="7">
        <f t="shared" si="569"/>
        <v>0</v>
      </c>
      <c r="DF122" s="7">
        <f t="shared" si="569"/>
        <v>0</v>
      </c>
      <c r="DG122" s="7">
        <f t="shared" si="569"/>
        <v>38295.69921875</v>
      </c>
      <c r="DH122" s="7" t="str">
        <f t="shared" ref="DH122:DJ122" si="625">IFERROR(DH427,"-")</f>
        <v>W</v>
      </c>
      <c r="DI122" s="7" t="str">
        <f t="shared" si="625"/>
        <v>W</v>
      </c>
      <c r="DJ122" s="7" t="str">
        <f t="shared" si="625"/>
        <v>G</v>
      </c>
      <c r="DK122" s="64">
        <f t="shared" ref="DK122:DS122" si="626">IFERROR(VALUE(DK427),"-")</f>
        <v>38300</v>
      </c>
      <c r="DL122" s="64">
        <f t="shared" si="626"/>
        <v>3400000</v>
      </c>
      <c r="DM122" s="64">
        <f t="shared" si="626"/>
        <v>38500</v>
      </c>
      <c r="DN122" s="64">
        <f t="shared" si="626"/>
        <v>0</v>
      </c>
      <c r="DO122" s="64">
        <f t="shared" si="626"/>
        <v>24500</v>
      </c>
      <c r="DP122" s="64">
        <f t="shared" si="626"/>
        <v>2863350</v>
      </c>
      <c r="DQ122" s="64">
        <f t="shared" si="626"/>
        <v>38000</v>
      </c>
      <c r="DR122" s="64">
        <f t="shared" si="626"/>
        <v>0</v>
      </c>
      <c r="DS122" s="64">
        <f t="shared" si="626"/>
        <v>24500</v>
      </c>
      <c r="DT122" t="str">
        <f t="shared" si="338"/>
        <v>BANKNIFTY</v>
      </c>
      <c r="DU122" s="10">
        <f t="shared" si="339"/>
        <v>44784</v>
      </c>
    </row>
    <row r="123" spans="1:125" x14ac:dyDescent="0.25">
      <c r="A123" t="s">
        <v>44</v>
      </c>
      <c r="B123" s="2">
        <v>44798</v>
      </c>
      <c r="C123" s="1">
        <v>1300</v>
      </c>
      <c r="D123">
        <v>43</v>
      </c>
      <c r="G123" t="str">
        <f t="array" ref="G123">IFERROR(INDEX($A$2:$A$700,MATCH(0,COUNTIF($G$1:G122,$A$2:$A$700),0)),"")</f>
        <v>LTTS</v>
      </c>
      <c r="M123" s="3"/>
      <c r="N123" s="3"/>
      <c r="O123" s="3">
        <f t="shared" si="340"/>
        <v>41500</v>
      </c>
      <c r="P123" s="7">
        <f t="shared" ref="P123:CA123" si="627">IFERROR(VALUE(P428),"-")</f>
        <v>3693.949951171875</v>
      </c>
      <c r="Q123" s="7">
        <f t="shared" si="627"/>
        <v>0</v>
      </c>
      <c r="R123" s="7">
        <f t="shared" si="627"/>
        <v>0</v>
      </c>
      <c r="S123" s="7">
        <f t="shared" si="627"/>
        <v>0</v>
      </c>
      <c r="T123" s="11">
        <f t="shared" si="627"/>
        <v>-7.0125732421875</v>
      </c>
      <c r="U123" s="11">
        <f t="shared" si="627"/>
        <v>838.557861328125</v>
      </c>
      <c r="V123" s="11">
        <f t="shared" si="627"/>
        <v>-8.485260009765625</v>
      </c>
      <c r="W123" s="11">
        <f t="shared" si="627"/>
        <v>346.85543823242188</v>
      </c>
      <c r="X123" s="14">
        <f t="shared" si="627"/>
        <v>-3.4332970244577155E-7</v>
      </c>
      <c r="Y123" s="14">
        <f t="shared" si="627"/>
        <v>-1.4339701010612771E-5</v>
      </c>
      <c r="Z123" s="14">
        <f t="shared" si="627"/>
        <v>-2.5851113605313003E-7</v>
      </c>
      <c r="AA123" s="14">
        <f t="shared" si="627"/>
        <v>-1.5483128663618118E-5</v>
      </c>
      <c r="AB123" s="15">
        <f t="shared" si="627"/>
        <v>-1.907967117631415E-10</v>
      </c>
      <c r="AC123" s="15">
        <f t="shared" si="627"/>
        <v>1.2785666747561208E-8</v>
      </c>
      <c r="AD123" s="13">
        <f t="shared" si="627"/>
        <v>1.8043220043182373E-3</v>
      </c>
      <c r="AE123" s="13">
        <f t="shared" si="627"/>
        <v>-0.2135297954082489</v>
      </c>
      <c r="AF123" s="12">
        <f t="shared" si="627"/>
        <v>-3.6743134260177612E-3</v>
      </c>
      <c r="AG123" s="12">
        <f t="shared" si="627"/>
        <v>0.23055636882781982</v>
      </c>
      <c r="AH123" s="13">
        <f t="shared" si="627"/>
        <v>-4.3757609091699123E-8</v>
      </c>
      <c r="AI123" s="13">
        <f t="shared" si="627"/>
        <v>7.8050135925877839E-5</v>
      </c>
      <c r="AJ123" s="11">
        <f t="shared" si="627"/>
        <v>2.1052360534667969E-2</v>
      </c>
      <c r="AK123" s="11">
        <f t="shared" si="627"/>
        <v>6.1825733184814453</v>
      </c>
      <c r="AL123" s="11">
        <f t="shared" si="627"/>
        <v>-6.155029296875</v>
      </c>
      <c r="AM123" s="11">
        <f t="shared" si="627"/>
        <v>-572.59906005859375</v>
      </c>
      <c r="AN123" s="11">
        <f t="shared" si="627"/>
        <v>1.706242561340332E-3</v>
      </c>
      <c r="AO123" s="11">
        <f t="shared" si="627"/>
        <v>-0.77000612020492554</v>
      </c>
      <c r="AP123" s="11">
        <f t="shared" si="627"/>
        <v>191.06681346893311</v>
      </c>
      <c r="AQ123" s="11">
        <f t="shared" si="627"/>
        <v>0</v>
      </c>
      <c r="AR123" s="16">
        <f t="shared" si="627"/>
        <v>0</v>
      </c>
      <c r="AS123" s="16">
        <f t="shared" si="627"/>
        <v>150</v>
      </c>
      <c r="AT123" s="16">
        <f t="shared" si="627"/>
        <v>191.06681346893311</v>
      </c>
      <c r="AU123" s="7">
        <f t="shared" si="627"/>
        <v>0</v>
      </c>
      <c r="AV123" s="7">
        <f t="shared" si="627"/>
        <v>3693.949951171875</v>
      </c>
      <c r="AW123" s="7">
        <f t="shared" si="627"/>
        <v>1.6000000238418579</v>
      </c>
      <c r="AX123" s="7">
        <f t="shared" si="627"/>
        <v>0</v>
      </c>
      <c r="AY123" s="11">
        <f t="shared" si="627"/>
        <v>57.496225833892822</v>
      </c>
      <c r="AZ123" s="16">
        <f t="shared" si="627"/>
        <v>359950</v>
      </c>
      <c r="BA123" s="16">
        <f t="shared" si="627"/>
        <v>-14975</v>
      </c>
      <c r="BB123" s="16">
        <f t="shared" si="627"/>
        <v>1599750</v>
      </c>
      <c r="BC123" s="11">
        <f t="shared" si="627"/>
        <v>4.4199945405125618E-3</v>
      </c>
      <c r="BD123" s="11">
        <f t="shared" si="627"/>
        <v>-5.3551048040390015E-8</v>
      </c>
      <c r="BE123" s="11">
        <f t="shared" si="627"/>
        <v>-1.6000000238418579</v>
      </c>
      <c r="BF123" s="11">
        <f t="shared" si="627"/>
        <v>0</v>
      </c>
      <c r="BG123" s="11">
        <f t="shared" si="627"/>
        <v>0.26327604055404663</v>
      </c>
      <c r="BH123" s="11">
        <f t="shared" si="627"/>
        <v>-8.8512897491455078E-6</v>
      </c>
      <c r="BI123" s="13">
        <f t="shared" si="627"/>
        <v>1.1085018741141539E-5</v>
      </c>
      <c r="BJ123" s="13">
        <f t="shared" si="627"/>
        <v>-2.6648194761946797E-10</v>
      </c>
      <c r="BK123" s="11">
        <f t="shared" si="627"/>
        <v>57.496225833892822</v>
      </c>
      <c r="BL123" s="12">
        <f t="shared" si="627"/>
        <v>56.600376129150391</v>
      </c>
      <c r="BM123" s="12">
        <f t="shared" si="627"/>
        <v>-1.3427734375E-3</v>
      </c>
      <c r="BN123" s="13">
        <f t="shared" si="627"/>
        <v>-15.826977729797363</v>
      </c>
      <c r="BO123" s="13">
        <f t="shared" si="627"/>
        <v>-8.8214874267578125E-4</v>
      </c>
      <c r="BP123" s="15">
        <f t="shared" si="627"/>
        <v>2.4546388033286348E-8</v>
      </c>
      <c r="BQ123" s="15">
        <f t="shared" si="627"/>
        <v>-8.8284934918192448E-13</v>
      </c>
      <c r="BR123" s="14">
        <f t="shared" si="627"/>
        <v>1.1441965034464374E-4</v>
      </c>
      <c r="BS123" s="14">
        <f t="shared" si="627"/>
        <v>-6.4537744037806988E-9</v>
      </c>
      <c r="BT123" s="14">
        <f t="shared" si="627"/>
        <v>3.1994790333556011E-5</v>
      </c>
      <c r="BU123" s="14">
        <f t="shared" si="627"/>
        <v>7.3487171903252602E-10</v>
      </c>
      <c r="BV123" s="11">
        <f t="shared" si="627"/>
        <v>301187.375</v>
      </c>
      <c r="BW123" s="11">
        <f t="shared" si="627"/>
        <v>-13.5625</v>
      </c>
      <c r="BX123" s="11">
        <f t="shared" si="627"/>
        <v>96364.65625</v>
      </c>
      <c r="BY123" s="11">
        <f t="shared" si="627"/>
        <v>3.2734375</v>
      </c>
      <c r="BZ123" s="7">
        <f t="shared" si="627"/>
        <v>1.7999999523162842</v>
      </c>
      <c r="CA123" s="7">
        <f t="shared" si="627"/>
        <v>2.5499999523162842</v>
      </c>
      <c r="CB123" s="7">
        <f t="shared" ref="CB123:CP123" si="628">IFERROR(VALUE(CB428),"-")</f>
        <v>1.6000000238418579</v>
      </c>
      <c r="CC123" s="7">
        <f t="shared" si="628"/>
        <v>1.6000000238418579</v>
      </c>
      <c r="CD123" s="7">
        <f t="shared" si="628"/>
        <v>1.6499999761581421</v>
      </c>
      <c r="CE123" s="3">
        <f t="shared" si="628"/>
        <v>1425</v>
      </c>
      <c r="CF123" s="7">
        <f t="shared" si="628"/>
        <v>1.6000000238418579</v>
      </c>
      <c r="CG123" s="3">
        <f t="shared" si="628"/>
        <v>1225</v>
      </c>
      <c r="CH123" s="7">
        <f t="shared" si="628"/>
        <v>2.1800000667572021</v>
      </c>
      <c r="CI123" s="7">
        <f t="shared" si="628"/>
        <v>3278.60009765625</v>
      </c>
      <c r="CJ123" s="3">
        <f t="shared" si="628"/>
        <v>750</v>
      </c>
      <c r="CK123" s="7">
        <f t="shared" si="628"/>
        <v>3156</v>
      </c>
      <c r="CL123" s="3">
        <f t="shared" si="628"/>
        <v>25</v>
      </c>
      <c r="CM123" s="7">
        <f t="shared" si="628"/>
        <v>0</v>
      </c>
      <c r="CN123" s="10">
        <f t="shared" si="628"/>
        <v>44783.638194444444</v>
      </c>
      <c r="CO123" s="10">
        <f t="shared" si="628"/>
        <v>44783.637499999997</v>
      </c>
      <c r="CP123" s="7">
        <f t="shared" si="628"/>
        <v>38295.69921875</v>
      </c>
      <c r="CQ123" s="7" t="str">
        <f t="shared" ref="CQ123" si="629">IFERROR(CQ428,"-")</f>
        <v>FairPrice</v>
      </c>
      <c r="CR123" s="10">
        <f t="shared" si="569"/>
        <v>44783.638194444444</v>
      </c>
      <c r="CS123" s="7">
        <f t="shared" si="569"/>
        <v>1.0484576225280762</v>
      </c>
      <c r="CT123" s="7">
        <f t="shared" si="569"/>
        <v>5.5176649532509472E-3</v>
      </c>
      <c r="CU123" s="7">
        <f t="shared" si="569"/>
        <v>150</v>
      </c>
      <c r="CV123" s="7">
        <f t="shared" si="569"/>
        <v>0</v>
      </c>
      <c r="CW123" s="7">
        <f t="shared" si="569"/>
        <v>3693.949951171875</v>
      </c>
      <c r="CX123" s="7">
        <f t="shared" si="569"/>
        <v>0</v>
      </c>
      <c r="CY123" s="7">
        <f t="shared" si="569"/>
        <v>1.6000000238418579</v>
      </c>
      <c r="CZ123" s="7">
        <f t="shared" si="569"/>
        <v>0</v>
      </c>
      <c r="DA123" s="7">
        <f t="shared" si="569"/>
        <v>374925</v>
      </c>
      <c r="DB123" s="7">
        <f t="shared" si="569"/>
        <v>-3.9941321597652867E-2</v>
      </c>
      <c r="DC123" s="7">
        <f t="shared" si="569"/>
        <v>2.0802021026611328E-3</v>
      </c>
      <c r="DD123" s="7">
        <f t="shared" si="569"/>
        <v>3.6181111655843606E-5</v>
      </c>
      <c r="DE123" s="7">
        <f t="shared" si="569"/>
        <v>1.6000000238418579</v>
      </c>
      <c r="DF123" s="7">
        <f t="shared" si="569"/>
        <v>3693.949951171875</v>
      </c>
      <c r="DG123" s="7">
        <f t="shared" si="569"/>
        <v>38295.69921875</v>
      </c>
      <c r="DH123" s="7" t="str">
        <f t="shared" ref="DH123:DJ123" si="630">IFERROR(DH428,"-")</f>
        <v>W</v>
      </c>
      <c r="DI123" s="7" t="str">
        <f t="shared" si="630"/>
        <v>W</v>
      </c>
      <c r="DJ123" s="7" t="str">
        <f t="shared" si="630"/>
        <v>G</v>
      </c>
      <c r="DK123" s="64">
        <f t="shared" ref="DK123:DS123" si="631">IFERROR(VALUE(DK428),"-")</f>
        <v>38300</v>
      </c>
      <c r="DL123" s="64">
        <f t="shared" si="631"/>
        <v>3400000</v>
      </c>
      <c r="DM123" s="64">
        <f t="shared" si="631"/>
        <v>38500</v>
      </c>
      <c r="DN123" s="64">
        <f t="shared" si="631"/>
        <v>0</v>
      </c>
      <c r="DO123" s="64">
        <f t="shared" si="631"/>
        <v>24500</v>
      </c>
      <c r="DP123" s="64">
        <f t="shared" si="631"/>
        <v>2863350</v>
      </c>
      <c r="DQ123" s="64">
        <f t="shared" si="631"/>
        <v>38000</v>
      </c>
      <c r="DR123" s="64">
        <f t="shared" si="631"/>
        <v>0</v>
      </c>
      <c r="DS123" s="64">
        <f t="shared" si="631"/>
        <v>24500</v>
      </c>
      <c r="DT123" t="str">
        <f t="shared" si="338"/>
        <v>BANKNIFTY</v>
      </c>
      <c r="DU123" s="10">
        <f t="shared" si="339"/>
        <v>44784</v>
      </c>
    </row>
    <row r="124" spans="1:125" x14ac:dyDescent="0.25">
      <c r="A124" t="s">
        <v>44</v>
      </c>
      <c r="B124" s="2">
        <v>44833</v>
      </c>
      <c r="C124" s="1">
        <v>1300</v>
      </c>
      <c r="D124">
        <v>43</v>
      </c>
      <c r="G124" t="str">
        <f t="array" ref="G124">IFERROR(INDEX($A$2:$A$700,MATCH(0,COUNTIF($G$1:G123,$A$2:$A$700),0)),"")</f>
        <v>LUPIN</v>
      </c>
      <c r="M124" s="3"/>
      <c r="N124" s="3"/>
      <c r="O124" s="3">
        <f t="shared" si="340"/>
        <v>41600</v>
      </c>
      <c r="P124" s="7">
        <f t="shared" ref="P124:CA124" si="632">IFERROR(VALUE(P429),"-")</f>
        <v>0</v>
      </c>
      <c r="Q124" s="7">
        <f t="shared" si="632"/>
        <v>0</v>
      </c>
      <c r="R124" s="7">
        <f t="shared" si="632"/>
        <v>0</v>
      </c>
      <c r="S124" s="7">
        <f t="shared" si="632"/>
        <v>0</v>
      </c>
      <c r="T124" s="11">
        <f t="shared" si="632"/>
        <v>0</v>
      </c>
      <c r="U124" s="11">
        <f t="shared" si="632"/>
        <v>0</v>
      </c>
      <c r="V124" s="11">
        <f t="shared" si="632"/>
        <v>0</v>
      </c>
      <c r="W124" s="11">
        <f t="shared" si="632"/>
        <v>0</v>
      </c>
      <c r="X124" s="14">
        <f t="shared" si="632"/>
        <v>0</v>
      </c>
      <c r="Y124" s="14">
        <f t="shared" si="632"/>
        <v>0</v>
      </c>
      <c r="Z124" s="14">
        <f t="shared" si="632"/>
        <v>0</v>
      </c>
      <c r="AA124" s="14">
        <f t="shared" si="632"/>
        <v>0</v>
      </c>
      <c r="AB124" s="15">
        <f t="shared" si="632"/>
        <v>0</v>
      </c>
      <c r="AC124" s="15">
        <f t="shared" si="632"/>
        <v>0</v>
      </c>
      <c r="AD124" s="13">
        <f t="shared" si="632"/>
        <v>0</v>
      </c>
      <c r="AE124" s="13">
        <f t="shared" si="632"/>
        <v>0</v>
      </c>
      <c r="AF124" s="12">
        <f t="shared" si="632"/>
        <v>0</v>
      </c>
      <c r="AG124" s="12">
        <f t="shared" si="632"/>
        <v>0</v>
      </c>
      <c r="AH124" s="13">
        <f t="shared" si="632"/>
        <v>0</v>
      </c>
      <c r="AI124" s="13">
        <f t="shared" si="632"/>
        <v>0</v>
      </c>
      <c r="AJ124" s="11">
        <f t="shared" si="632"/>
        <v>0</v>
      </c>
      <c r="AK124" s="11">
        <f t="shared" si="632"/>
        <v>0</v>
      </c>
      <c r="AL124" s="11">
        <f t="shared" si="632"/>
        <v>0</v>
      </c>
      <c r="AM124" s="11">
        <f t="shared" si="632"/>
        <v>0</v>
      </c>
      <c r="AN124" s="11">
        <f t="shared" si="632"/>
        <v>0</v>
      </c>
      <c r="AO124" s="11">
        <f t="shared" si="632"/>
        <v>0</v>
      </c>
      <c r="AP124" s="11">
        <f t="shared" si="632"/>
        <v>0</v>
      </c>
      <c r="AQ124" s="11">
        <f t="shared" si="632"/>
        <v>0</v>
      </c>
      <c r="AR124" s="16">
        <f t="shared" si="632"/>
        <v>0</v>
      </c>
      <c r="AS124" s="16">
        <f t="shared" si="632"/>
        <v>0</v>
      </c>
      <c r="AT124" s="16">
        <f t="shared" si="632"/>
        <v>0</v>
      </c>
      <c r="AU124" s="7">
        <f t="shared" si="632"/>
        <v>0</v>
      </c>
      <c r="AV124" s="7">
        <f t="shared" si="632"/>
        <v>0</v>
      </c>
      <c r="AW124" s="7">
        <f t="shared" si="632"/>
        <v>0</v>
      </c>
      <c r="AX124" s="7">
        <f t="shared" si="632"/>
        <v>0</v>
      </c>
      <c r="AY124" s="11">
        <f t="shared" si="632"/>
        <v>0</v>
      </c>
      <c r="AZ124" s="16">
        <f t="shared" si="632"/>
        <v>0</v>
      </c>
      <c r="BA124" s="16">
        <f t="shared" si="632"/>
        <v>0</v>
      </c>
      <c r="BB124" s="16">
        <f t="shared" si="632"/>
        <v>0</v>
      </c>
      <c r="BC124" s="11">
        <f t="shared" si="632"/>
        <v>0</v>
      </c>
      <c r="BD124" s="11">
        <f t="shared" si="632"/>
        <v>0</v>
      </c>
      <c r="BE124" s="11">
        <f t="shared" si="632"/>
        <v>0</v>
      </c>
      <c r="BF124" s="11">
        <f t="shared" si="632"/>
        <v>0</v>
      </c>
      <c r="BG124" s="11">
        <f t="shared" si="632"/>
        <v>0</v>
      </c>
      <c r="BH124" s="11">
        <f t="shared" si="632"/>
        <v>0</v>
      </c>
      <c r="BI124" s="13">
        <f t="shared" si="632"/>
        <v>0</v>
      </c>
      <c r="BJ124" s="13">
        <f t="shared" si="632"/>
        <v>0</v>
      </c>
      <c r="BK124" s="11">
        <f t="shared" si="632"/>
        <v>0</v>
      </c>
      <c r="BL124" s="12">
        <f t="shared" si="632"/>
        <v>0</v>
      </c>
      <c r="BM124" s="12">
        <f t="shared" si="632"/>
        <v>0</v>
      </c>
      <c r="BN124" s="13">
        <f t="shared" si="632"/>
        <v>0</v>
      </c>
      <c r="BO124" s="13">
        <f t="shared" si="632"/>
        <v>0</v>
      </c>
      <c r="BP124" s="15">
        <f t="shared" si="632"/>
        <v>0</v>
      </c>
      <c r="BQ124" s="15">
        <f t="shared" si="632"/>
        <v>0</v>
      </c>
      <c r="BR124" s="14">
        <f t="shared" si="632"/>
        <v>0</v>
      </c>
      <c r="BS124" s="14">
        <f t="shared" si="632"/>
        <v>0</v>
      </c>
      <c r="BT124" s="14">
        <f t="shared" si="632"/>
        <v>0</v>
      </c>
      <c r="BU124" s="14">
        <f t="shared" si="632"/>
        <v>0</v>
      </c>
      <c r="BV124" s="11">
        <f t="shared" si="632"/>
        <v>0</v>
      </c>
      <c r="BW124" s="11">
        <f t="shared" si="632"/>
        <v>0</v>
      </c>
      <c r="BX124" s="11">
        <f t="shared" si="632"/>
        <v>0</v>
      </c>
      <c r="BY124" s="11">
        <f t="shared" si="632"/>
        <v>0</v>
      </c>
      <c r="BZ124" s="7">
        <f t="shared" si="632"/>
        <v>0</v>
      </c>
      <c r="CA124" s="7">
        <f t="shared" si="632"/>
        <v>0</v>
      </c>
      <c r="CB124" s="7">
        <f t="shared" ref="CB124:CP124" si="633">IFERROR(VALUE(CB429),"-")</f>
        <v>0</v>
      </c>
      <c r="CC124" s="7">
        <f t="shared" si="633"/>
        <v>0</v>
      </c>
      <c r="CD124" s="7">
        <f t="shared" si="633"/>
        <v>0</v>
      </c>
      <c r="CE124" s="3">
        <f t="shared" si="633"/>
        <v>0</v>
      </c>
      <c r="CF124" s="7">
        <f t="shared" si="633"/>
        <v>0</v>
      </c>
      <c r="CG124" s="3">
        <f t="shared" si="633"/>
        <v>0</v>
      </c>
      <c r="CH124" s="7">
        <f t="shared" si="633"/>
        <v>0</v>
      </c>
      <c r="CI124" s="7">
        <f t="shared" si="633"/>
        <v>0</v>
      </c>
      <c r="CJ124" s="3">
        <f t="shared" si="633"/>
        <v>0</v>
      </c>
      <c r="CK124" s="7">
        <f t="shared" si="633"/>
        <v>0</v>
      </c>
      <c r="CL124" s="3">
        <f t="shared" si="633"/>
        <v>0</v>
      </c>
      <c r="CM124" s="7">
        <f t="shared" si="633"/>
        <v>0</v>
      </c>
      <c r="CN124" s="10">
        <f t="shared" si="633"/>
        <v>44783.636701388888</v>
      </c>
      <c r="CO124" s="10">
        <f t="shared" si="633"/>
        <v>44783.636701388888</v>
      </c>
      <c r="CP124" s="7">
        <f t="shared" si="633"/>
        <v>38295.69921875</v>
      </c>
      <c r="CQ124" s="7" t="str">
        <f t="shared" ref="CQ124" si="634">IFERROR(CQ429,"-")</f>
        <v>FairPrice</v>
      </c>
      <c r="CR124" s="10">
        <f t="shared" si="569"/>
        <v>44783.638194444444</v>
      </c>
      <c r="CS124" s="7">
        <f t="shared" si="569"/>
        <v>0</v>
      </c>
      <c r="CT124" s="7">
        <f t="shared" si="569"/>
        <v>0</v>
      </c>
      <c r="CU124" s="7">
        <f t="shared" si="569"/>
        <v>0</v>
      </c>
      <c r="CV124" s="7">
        <f t="shared" si="569"/>
        <v>0</v>
      </c>
      <c r="CW124" s="7">
        <f t="shared" si="569"/>
        <v>0</v>
      </c>
      <c r="CX124" s="7">
        <f t="shared" si="569"/>
        <v>0</v>
      </c>
      <c r="CY124" s="7">
        <f t="shared" si="569"/>
        <v>0</v>
      </c>
      <c r="CZ124" s="7">
        <f t="shared" si="569"/>
        <v>0</v>
      </c>
      <c r="DA124" s="7">
        <f t="shared" si="569"/>
        <v>0</v>
      </c>
      <c r="DB124" s="7">
        <f t="shared" si="569"/>
        <v>0</v>
      </c>
      <c r="DC124" s="7">
        <f t="shared" si="569"/>
        <v>0</v>
      </c>
      <c r="DD124" s="7">
        <f t="shared" si="569"/>
        <v>0</v>
      </c>
      <c r="DE124" s="7">
        <f t="shared" si="569"/>
        <v>0</v>
      </c>
      <c r="DF124" s="7">
        <f t="shared" si="569"/>
        <v>0</v>
      </c>
      <c r="DG124" s="7">
        <f t="shared" si="569"/>
        <v>38295.69921875</v>
      </c>
      <c r="DH124" s="7" t="str">
        <f t="shared" ref="DH124:DJ124" si="635">IFERROR(DH429,"-")</f>
        <v>W</v>
      </c>
      <c r="DI124" s="7" t="str">
        <f t="shared" si="635"/>
        <v>W</v>
      </c>
      <c r="DJ124" s="7" t="str">
        <f t="shared" si="635"/>
        <v>G</v>
      </c>
      <c r="DK124" s="64">
        <f t="shared" ref="DK124:DS124" si="636">IFERROR(VALUE(DK429),"-")</f>
        <v>38300</v>
      </c>
      <c r="DL124" s="64">
        <f t="shared" si="636"/>
        <v>3400000</v>
      </c>
      <c r="DM124" s="64">
        <f t="shared" si="636"/>
        <v>38500</v>
      </c>
      <c r="DN124" s="64">
        <f t="shared" si="636"/>
        <v>0</v>
      </c>
      <c r="DO124" s="64">
        <f t="shared" si="636"/>
        <v>24500</v>
      </c>
      <c r="DP124" s="64">
        <f t="shared" si="636"/>
        <v>2863350</v>
      </c>
      <c r="DQ124" s="64">
        <f t="shared" si="636"/>
        <v>38000</v>
      </c>
      <c r="DR124" s="64">
        <f t="shared" si="636"/>
        <v>0</v>
      </c>
      <c r="DS124" s="64">
        <f t="shared" si="636"/>
        <v>24500</v>
      </c>
      <c r="DT124" t="str">
        <f t="shared" si="338"/>
        <v>BANKNIFTY</v>
      </c>
      <c r="DU124" s="10">
        <f t="shared" si="339"/>
        <v>44784</v>
      </c>
    </row>
    <row r="125" spans="1:125" x14ac:dyDescent="0.25">
      <c r="A125" t="s">
        <v>44</v>
      </c>
      <c r="B125" s="2">
        <v>44861</v>
      </c>
      <c r="C125" s="1">
        <v>1300</v>
      </c>
      <c r="D125">
        <v>43</v>
      </c>
      <c r="G125" t="str">
        <f t="array" ref="G125">IFERROR(INDEX($A$2:$A$700,MATCH(0,COUNTIF($G$1:G124,$A$2:$A$700),0)),"")</f>
        <v>M&amp;M</v>
      </c>
      <c r="M125" s="3"/>
      <c r="N125" s="3"/>
      <c r="O125" s="3">
        <f t="shared" si="340"/>
        <v>41700</v>
      </c>
      <c r="P125" s="7">
        <f t="shared" ref="P125:CA125" si="637">IFERROR(VALUE(P430),"-")</f>
        <v>0</v>
      </c>
      <c r="Q125" s="7">
        <f t="shared" si="637"/>
        <v>0</v>
      </c>
      <c r="R125" s="7">
        <f t="shared" si="637"/>
        <v>0</v>
      </c>
      <c r="S125" s="7">
        <f t="shared" si="637"/>
        <v>0</v>
      </c>
      <c r="T125" s="11">
        <f t="shared" si="637"/>
        <v>0</v>
      </c>
      <c r="U125" s="11">
        <f t="shared" si="637"/>
        <v>0</v>
      </c>
      <c r="V125" s="11">
        <f t="shared" si="637"/>
        <v>0</v>
      </c>
      <c r="W125" s="11">
        <f t="shared" si="637"/>
        <v>0</v>
      </c>
      <c r="X125" s="14">
        <f t="shared" si="637"/>
        <v>0</v>
      </c>
      <c r="Y125" s="14">
        <f t="shared" si="637"/>
        <v>0</v>
      </c>
      <c r="Z125" s="14">
        <f t="shared" si="637"/>
        <v>0</v>
      </c>
      <c r="AA125" s="14">
        <f t="shared" si="637"/>
        <v>0</v>
      </c>
      <c r="AB125" s="15">
        <f t="shared" si="637"/>
        <v>0</v>
      </c>
      <c r="AC125" s="15">
        <f t="shared" si="637"/>
        <v>0</v>
      </c>
      <c r="AD125" s="13">
        <f t="shared" si="637"/>
        <v>0</v>
      </c>
      <c r="AE125" s="13">
        <f t="shared" si="637"/>
        <v>0</v>
      </c>
      <c r="AF125" s="12">
        <f t="shared" si="637"/>
        <v>0</v>
      </c>
      <c r="AG125" s="12">
        <f t="shared" si="637"/>
        <v>0</v>
      </c>
      <c r="AH125" s="13">
        <f t="shared" si="637"/>
        <v>0</v>
      </c>
      <c r="AI125" s="13">
        <f t="shared" si="637"/>
        <v>0</v>
      </c>
      <c r="AJ125" s="11">
        <f t="shared" si="637"/>
        <v>0</v>
      </c>
      <c r="AK125" s="11">
        <f t="shared" si="637"/>
        <v>0</v>
      </c>
      <c r="AL125" s="11">
        <f t="shared" si="637"/>
        <v>0</v>
      </c>
      <c r="AM125" s="11">
        <f t="shared" si="637"/>
        <v>0</v>
      </c>
      <c r="AN125" s="11">
        <f t="shared" si="637"/>
        <v>0</v>
      </c>
      <c r="AO125" s="11">
        <f t="shared" si="637"/>
        <v>0</v>
      </c>
      <c r="AP125" s="11">
        <f t="shared" si="637"/>
        <v>0</v>
      </c>
      <c r="AQ125" s="11">
        <f t="shared" si="637"/>
        <v>0</v>
      </c>
      <c r="AR125" s="16">
        <f t="shared" si="637"/>
        <v>0</v>
      </c>
      <c r="AS125" s="16">
        <f t="shared" si="637"/>
        <v>0</v>
      </c>
      <c r="AT125" s="16">
        <f t="shared" si="637"/>
        <v>0</v>
      </c>
      <c r="AU125" s="7">
        <f t="shared" si="637"/>
        <v>0</v>
      </c>
      <c r="AV125" s="7">
        <f t="shared" si="637"/>
        <v>0</v>
      </c>
      <c r="AW125" s="7">
        <f t="shared" si="637"/>
        <v>0</v>
      </c>
      <c r="AX125" s="7">
        <f t="shared" si="637"/>
        <v>0</v>
      </c>
      <c r="AY125" s="11">
        <f t="shared" si="637"/>
        <v>0</v>
      </c>
      <c r="AZ125" s="16">
        <f t="shared" si="637"/>
        <v>0</v>
      </c>
      <c r="BA125" s="16">
        <f t="shared" si="637"/>
        <v>0</v>
      </c>
      <c r="BB125" s="16">
        <f t="shared" si="637"/>
        <v>0</v>
      </c>
      <c r="BC125" s="11">
        <f t="shared" si="637"/>
        <v>0</v>
      </c>
      <c r="BD125" s="11">
        <f t="shared" si="637"/>
        <v>0</v>
      </c>
      <c r="BE125" s="11">
        <f t="shared" si="637"/>
        <v>0</v>
      </c>
      <c r="BF125" s="11">
        <f t="shared" si="637"/>
        <v>0</v>
      </c>
      <c r="BG125" s="11">
        <f t="shared" si="637"/>
        <v>0</v>
      </c>
      <c r="BH125" s="11">
        <f t="shared" si="637"/>
        <v>0</v>
      </c>
      <c r="BI125" s="13">
        <f t="shared" si="637"/>
        <v>0</v>
      </c>
      <c r="BJ125" s="13">
        <f t="shared" si="637"/>
        <v>0</v>
      </c>
      <c r="BK125" s="11">
        <f t="shared" si="637"/>
        <v>0</v>
      </c>
      <c r="BL125" s="12">
        <f t="shared" si="637"/>
        <v>0</v>
      </c>
      <c r="BM125" s="12">
        <f t="shared" si="637"/>
        <v>0</v>
      </c>
      <c r="BN125" s="13">
        <f t="shared" si="637"/>
        <v>0</v>
      </c>
      <c r="BO125" s="13">
        <f t="shared" si="637"/>
        <v>0</v>
      </c>
      <c r="BP125" s="15">
        <f t="shared" si="637"/>
        <v>0</v>
      </c>
      <c r="BQ125" s="15">
        <f t="shared" si="637"/>
        <v>0</v>
      </c>
      <c r="BR125" s="14">
        <f t="shared" si="637"/>
        <v>0</v>
      </c>
      <c r="BS125" s="14">
        <f t="shared" si="637"/>
        <v>0</v>
      </c>
      <c r="BT125" s="14">
        <f t="shared" si="637"/>
        <v>0</v>
      </c>
      <c r="BU125" s="14">
        <f t="shared" si="637"/>
        <v>0</v>
      </c>
      <c r="BV125" s="11">
        <f t="shared" si="637"/>
        <v>0</v>
      </c>
      <c r="BW125" s="11">
        <f t="shared" si="637"/>
        <v>0</v>
      </c>
      <c r="BX125" s="11">
        <f t="shared" si="637"/>
        <v>0</v>
      </c>
      <c r="BY125" s="11">
        <f t="shared" si="637"/>
        <v>0</v>
      </c>
      <c r="BZ125" s="7">
        <f t="shared" si="637"/>
        <v>0</v>
      </c>
      <c r="CA125" s="7">
        <f t="shared" si="637"/>
        <v>0</v>
      </c>
      <c r="CB125" s="7">
        <f t="shared" ref="CB125:CP125" si="638">IFERROR(VALUE(CB430),"-")</f>
        <v>0</v>
      </c>
      <c r="CC125" s="7">
        <f t="shared" si="638"/>
        <v>0</v>
      </c>
      <c r="CD125" s="7">
        <f t="shared" si="638"/>
        <v>0</v>
      </c>
      <c r="CE125" s="3">
        <f t="shared" si="638"/>
        <v>0</v>
      </c>
      <c r="CF125" s="7">
        <f t="shared" si="638"/>
        <v>0</v>
      </c>
      <c r="CG125" s="3">
        <f t="shared" si="638"/>
        <v>0</v>
      </c>
      <c r="CH125" s="7">
        <f t="shared" si="638"/>
        <v>0</v>
      </c>
      <c r="CI125" s="7">
        <f t="shared" si="638"/>
        <v>0</v>
      </c>
      <c r="CJ125" s="3">
        <f t="shared" si="638"/>
        <v>0</v>
      </c>
      <c r="CK125" s="7">
        <f t="shared" si="638"/>
        <v>0</v>
      </c>
      <c r="CL125" s="3">
        <f t="shared" si="638"/>
        <v>0</v>
      </c>
      <c r="CM125" s="7">
        <f t="shared" si="638"/>
        <v>0</v>
      </c>
      <c r="CN125" s="10">
        <f t="shared" si="638"/>
        <v>44783.636701388888</v>
      </c>
      <c r="CO125" s="10">
        <f t="shared" si="638"/>
        <v>44783.636701388888</v>
      </c>
      <c r="CP125" s="7">
        <f t="shared" si="638"/>
        <v>38295.69921875</v>
      </c>
      <c r="CQ125" s="7" t="str">
        <f t="shared" ref="CQ125" si="639">IFERROR(CQ430,"-")</f>
        <v>FairPrice</v>
      </c>
      <c r="CR125" s="10">
        <f t="shared" si="569"/>
        <v>44783.638194444444</v>
      </c>
      <c r="CS125" s="7">
        <f t="shared" si="569"/>
        <v>0</v>
      </c>
      <c r="CT125" s="7">
        <f t="shared" si="569"/>
        <v>0</v>
      </c>
      <c r="CU125" s="7">
        <f t="shared" si="569"/>
        <v>0</v>
      </c>
      <c r="CV125" s="7">
        <f t="shared" si="569"/>
        <v>0</v>
      </c>
      <c r="CW125" s="7">
        <f t="shared" si="569"/>
        <v>0</v>
      </c>
      <c r="CX125" s="7">
        <f t="shared" si="569"/>
        <v>0</v>
      </c>
      <c r="CY125" s="7">
        <f t="shared" si="569"/>
        <v>0</v>
      </c>
      <c r="CZ125" s="7">
        <f t="shared" si="569"/>
        <v>0</v>
      </c>
      <c r="DA125" s="7">
        <f t="shared" si="569"/>
        <v>0</v>
      </c>
      <c r="DB125" s="7">
        <f t="shared" si="569"/>
        <v>0</v>
      </c>
      <c r="DC125" s="7">
        <f t="shared" si="569"/>
        <v>0</v>
      </c>
      <c r="DD125" s="7">
        <f t="shared" si="569"/>
        <v>0</v>
      </c>
      <c r="DE125" s="7">
        <f t="shared" si="569"/>
        <v>0</v>
      </c>
      <c r="DF125" s="7">
        <f t="shared" si="569"/>
        <v>0</v>
      </c>
      <c r="DG125" s="7">
        <f t="shared" si="569"/>
        <v>38295.69921875</v>
      </c>
      <c r="DH125" s="7" t="str">
        <f t="shared" ref="DH125:DJ125" si="640">IFERROR(DH430,"-")</f>
        <v>W</v>
      </c>
      <c r="DI125" s="7" t="str">
        <f t="shared" si="640"/>
        <v>W</v>
      </c>
      <c r="DJ125" s="7" t="str">
        <f t="shared" si="640"/>
        <v>G</v>
      </c>
      <c r="DK125" s="64">
        <f t="shared" ref="DK125:DS125" si="641">IFERROR(VALUE(DK430),"-")</f>
        <v>38300</v>
      </c>
      <c r="DL125" s="64">
        <f t="shared" si="641"/>
        <v>3400000</v>
      </c>
      <c r="DM125" s="64">
        <f t="shared" si="641"/>
        <v>38500</v>
      </c>
      <c r="DN125" s="64">
        <f t="shared" si="641"/>
        <v>0</v>
      </c>
      <c r="DO125" s="64">
        <f t="shared" si="641"/>
        <v>24500</v>
      </c>
      <c r="DP125" s="64">
        <f t="shared" si="641"/>
        <v>2863350</v>
      </c>
      <c r="DQ125" s="64">
        <f t="shared" si="641"/>
        <v>38000</v>
      </c>
      <c r="DR125" s="64">
        <f t="shared" si="641"/>
        <v>0</v>
      </c>
      <c r="DS125" s="64">
        <f t="shared" si="641"/>
        <v>24500</v>
      </c>
      <c r="DT125" t="str">
        <f t="shared" si="338"/>
        <v>BANKNIFTY</v>
      </c>
      <c r="DU125" s="10">
        <f t="shared" si="339"/>
        <v>44784</v>
      </c>
    </row>
    <row r="126" spans="1:125" x14ac:dyDescent="0.25">
      <c r="A126" t="s">
        <v>45</v>
      </c>
      <c r="B126" s="2">
        <v>44798</v>
      </c>
      <c r="C126" s="1">
        <v>2700</v>
      </c>
      <c r="D126">
        <v>86</v>
      </c>
      <c r="G126" t="str">
        <f t="array" ref="G126">IFERROR(INDEX($A$2:$A$700,MATCH(0,COUNTIF($G$1:G125,$A$2:$A$700),0)),"")</f>
        <v>M&amp;MFIN</v>
      </c>
      <c r="M126" s="3"/>
      <c r="N126" s="3"/>
      <c r="O126" s="3">
        <f t="shared" si="340"/>
        <v>41800</v>
      </c>
      <c r="P126" s="7">
        <f t="shared" ref="P126:CA126" si="642">IFERROR(VALUE(P431),"-")</f>
        <v>0</v>
      </c>
      <c r="Q126" s="7">
        <f t="shared" si="642"/>
        <v>0</v>
      </c>
      <c r="R126" s="7">
        <f t="shared" si="642"/>
        <v>0</v>
      </c>
      <c r="S126" s="7">
        <f t="shared" si="642"/>
        <v>0</v>
      </c>
      <c r="T126" s="11">
        <f t="shared" si="642"/>
        <v>0</v>
      </c>
      <c r="U126" s="11">
        <f t="shared" si="642"/>
        <v>0</v>
      </c>
      <c r="V126" s="11">
        <f t="shared" si="642"/>
        <v>0</v>
      </c>
      <c r="W126" s="11">
        <f t="shared" si="642"/>
        <v>0</v>
      </c>
      <c r="X126" s="14">
        <f t="shared" si="642"/>
        <v>0</v>
      </c>
      <c r="Y126" s="14">
        <f t="shared" si="642"/>
        <v>0</v>
      </c>
      <c r="Z126" s="14">
        <f t="shared" si="642"/>
        <v>0</v>
      </c>
      <c r="AA126" s="14">
        <f t="shared" si="642"/>
        <v>0</v>
      </c>
      <c r="AB126" s="15">
        <f t="shared" si="642"/>
        <v>0</v>
      </c>
      <c r="AC126" s="15">
        <f t="shared" si="642"/>
        <v>0</v>
      </c>
      <c r="AD126" s="13">
        <f t="shared" si="642"/>
        <v>0</v>
      </c>
      <c r="AE126" s="13">
        <f t="shared" si="642"/>
        <v>0</v>
      </c>
      <c r="AF126" s="12">
        <f t="shared" si="642"/>
        <v>0</v>
      </c>
      <c r="AG126" s="12">
        <f t="shared" si="642"/>
        <v>0</v>
      </c>
      <c r="AH126" s="13">
        <f t="shared" si="642"/>
        <v>0</v>
      </c>
      <c r="AI126" s="13">
        <f t="shared" si="642"/>
        <v>0</v>
      </c>
      <c r="AJ126" s="11">
        <f t="shared" si="642"/>
        <v>0</v>
      </c>
      <c r="AK126" s="11">
        <f t="shared" si="642"/>
        <v>0</v>
      </c>
      <c r="AL126" s="11">
        <f t="shared" si="642"/>
        <v>0</v>
      </c>
      <c r="AM126" s="11">
        <f t="shared" si="642"/>
        <v>0</v>
      </c>
      <c r="AN126" s="11">
        <f t="shared" si="642"/>
        <v>0</v>
      </c>
      <c r="AO126" s="11">
        <f t="shared" si="642"/>
        <v>0</v>
      </c>
      <c r="AP126" s="11">
        <f t="shared" si="642"/>
        <v>0</v>
      </c>
      <c r="AQ126" s="11">
        <f t="shared" si="642"/>
        <v>0</v>
      </c>
      <c r="AR126" s="16">
        <f t="shared" si="642"/>
        <v>0</v>
      </c>
      <c r="AS126" s="16">
        <f t="shared" si="642"/>
        <v>0</v>
      </c>
      <c r="AT126" s="16">
        <f t="shared" si="642"/>
        <v>0</v>
      </c>
      <c r="AU126" s="7">
        <f t="shared" si="642"/>
        <v>0</v>
      </c>
      <c r="AV126" s="7">
        <f t="shared" si="642"/>
        <v>0</v>
      </c>
      <c r="AW126" s="7">
        <f t="shared" si="642"/>
        <v>0</v>
      </c>
      <c r="AX126" s="7">
        <f t="shared" si="642"/>
        <v>0</v>
      </c>
      <c r="AY126" s="11">
        <f t="shared" si="642"/>
        <v>0</v>
      </c>
      <c r="AZ126" s="16">
        <f t="shared" si="642"/>
        <v>0</v>
      </c>
      <c r="BA126" s="16">
        <f t="shared" si="642"/>
        <v>0</v>
      </c>
      <c r="BB126" s="16">
        <f t="shared" si="642"/>
        <v>0</v>
      </c>
      <c r="BC126" s="11">
        <f t="shared" si="642"/>
        <v>0</v>
      </c>
      <c r="BD126" s="11">
        <f t="shared" si="642"/>
        <v>0</v>
      </c>
      <c r="BE126" s="11">
        <f t="shared" si="642"/>
        <v>0</v>
      </c>
      <c r="BF126" s="11">
        <f t="shared" si="642"/>
        <v>0</v>
      </c>
      <c r="BG126" s="11">
        <f t="shared" si="642"/>
        <v>0</v>
      </c>
      <c r="BH126" s="11">
        <f t="shared" si="642"/>
        <v>0</v>
      </c>
      <c r="BI126" s="13">
        <f t="shared" si="642"/>
        <v>0</v>
      </c>
      <c r="BJ126" s="13">
        <f t="shared" si="642"/>
        <v>0</v>
      </c>
      <c r="BK126" s="11">
        <f t="shared" si="642"/>
        <v>0</v>
      </c>
      <c r="BL126" s="12">
        <f t="shared" si="642"/>
        <v>0</v>
      </c>
      <c r="BM126" s="12">
        <f t="shared" si="642"/>
        <v>0</v>
      </c>
      <c r="BN126" s="13">
        <f t="shared" si="642"/>
        <v>0</v>
      </c>
      <c r="BO126" s="13">
        <f t="shared" si="642"/>
        <v>0</v>
      </c>
      <c r="BP126" s="15">
        <f t="shared" si="642"/>
        <v>0</v>
      </c>
      <c r="BQ126" s="15">
        <f t="shared" si="642"/>
        <v>0</v>
      </c>
      <c r="BR126" s="14">
        <f t="shared" si="642"/>
        <v>0</v>
      </c>
      <c r="BS126" s="14">
        <f t="shared" si="642"/>
        <v>0</v>
      </c>
      <c r="BT126" s="14">
        <f t="shared" si="642"/>
        <v>0</v>
      </c>
      <c r="BU126" s="14">
        <f t="shared" si="642"/>
        <v>0</v>
      </c>
      <c r="BV126" s="11">
        <f t="shared" si="642"/>
        <v>0</v>
      </c>
      <c r="BW126" s="11">
        <f t="shared" si="642"/>
        <v>0</v>
      </c>
      <c r="BX126" s="11">
        <f t="shared" si="642"/>
        <v>0</v>
      </c>
      <c r="BY126" s="11">
        <f t="shared" si="642"/>
        <v>0</v>
      </c>
      <c r="BZ126" s="7">
        <f t="shared" si="642"/>
        <v>0</v>
      </c>
      <c r="CA126" s="7">
        <f t="shared" si="642"/>
        <v>0</v>
      </c>
      <c r="CB126" s="7">
        <f t="shared" ref="CB126:CP126" si="643">IFERROR(VALUE(CB431),"-")</f>
        <v>0</v>
      </c>
      <c r="CC126" s="7">
        <f t="shared" si="643"/>
        <v>0</v>
      </c>
      <c r="CD126" s="7">
        <f t="shared" si="643"/>
        <v>0</v>
      </c>
      <c r="CE126" s="3">
        <f t="shared" si="643"/>
        <v>0</v>
      </c>
      <c r="CF126" s="7">
        <f t="shared" si="643"/>
        <v>0</v>
      </c>
      <c r="CG126" s="3">
        <f t="shared" si="643"/>
        <v>0</v>
      </c>
      <c r="CH126" s="7">
        <f t="shared" si="643"/>
        <v>0</v>
      </c>
      <c r="CI126" s="7">
        <f t="shared" si="643"/>
        <v>0</v>
      </c>
      <c r="CJ126" s="3">
        <f t="shared" si="643"/>
        <v>0</v>
      </c>
      <c r="CK126" s="7">
        <f t="shared" si="643"/>
        <v>0</v>
      </c>
      <c r="CL126" s="3">
        <f t="shared" si="643"/>
        <v>0</v>
      </c>
      <c r="CM126" s="7">
        <f t="shared" si="643"/>
        <v>0</v>
      </c>
      <c r="CN126" s="10">
        <f t="shared" si="643"/>
        <v>44783.636701388888</v>
      </c>
      <c r="CO126" s="10">
        <f t="shared" si="643"/>
        <v>44783.636701388888</v>
      </c>
      <c r="CP126" s="7">
        <f t="shared" si="643"/>
        <v>38295.69921875</v>
      </c>
      <c r="CQ126" s="7" t="str">
        <f t="shared" ref="CQ126" si="644">IFERROR(CQ431,"-")</f>
        <v>FairPrice</v>
      </c>
      <c r="CR126" s="10">
        <f t="shared" si="569"/>
        <v>44783.638194444444</v>
      </c>
      <c r="CS126" s="7">
        <f t="shared" si="569"/>
        <v>0</v>
      </c>
      <c r="CT126" s="7">
        <f t="shared" si="569"/>
        <v>0</v>
      </c>
      <c r="CU126" s="7">
        <f t="shared" si="569"/>
        <v>0</v>
      </c>
      <c r="CV126" s="7">
        <f t="shared" si="569"/>
        <v>0</v>
      </c>
      <c r="CW126" s="7">
        <f t="shared" si="569"/>
        <v>0</v>
      </c>
      <c r="CX126" s="7">
        <f t="shared" si="569"/>
        <v>0</v>
      </c>
      <c r="CY126" s="7">
        <f t="shared" si="569"/>
        <v>0</v>
      </c>
      <c r="CZ126" s="7">
        <f t="shared" si="569"/>
        <v>0</v>
      </c>
      <c r="DA126" s="7">
        <f t="shared" si="569"/>
        <v>0</v>
      </c>
      <c r="DB126" s="7">
        <f t="shared" si="569"/>
        <v>0</v>
      </c>
      <c r="DC126" s="7">
        <f t="shared" si="569"/>
        <v>0</v>
      </c>
      <c r="DD126" s="7">
        <f t="shared" si="569"/>
        <v>0</v>
      </c>
      <c r="DE126" s="7">
        <f t="shared" si="569"/>
        <v>0</v>
      </c>
      <c r="DF126" s="7">
        <f t="shared" si="569"/>
        <v>0</v>
      </c>
      <c r="DG126" s="7">
        <f t="shared" ref="DG126" si="645">IFERROR(VALUE(DG431),"-")</f>
        <v>38295.69921875</v>
      </c>
      <c r="DH126" s="7" t="str">
        <f t="shared" ref="DH126:DJ126" si="646">IFERROR(DH431,"-")</f>
        <v>W</v>
      </c>
      <c r="DI126" s="7" t="str">
        <f t="shared" si="646"/>
        <v>W</v>
      </c>
      <c r="DJ126" s="7" t="str">
        <f t="shared" si="646"/>
        <v>G</v>
      </c>
      <c r="DK126" s="64">
        <f t="shared" ref="DK126:DS126" si="647">IFERROR(VALUE(DK431),"-")</f>
        <v>38300</v>
      </c>
      <c r="DL126" s="64">
        <f t="shared" si="647"/>
        <v>3400000</v>
      </c>
      <c r="DM126" s="64">
        <f t="shared" si="647"/>
        <v>38500</v>
      </c>
      <c r="DN126" s="64">
        <f t="shared" si="647"/>
        <v>0</v>
      </c>
      <c r="DO126" s="64">
        <f t="shared" si="647"/>
        <v>24500</v>
      </c>
      <c r="DP126" s="64">
        <f t="shared" si="647"/>
        <v>2863350</v>
      </c>
      <c r="DQ126" s="64">
        <f t="shared" si="647"/>
        <v>38000</v>
      </c>
      <c r="DR126" s="64">
        <f t="shared" si="647"/>
        <v>0</v>
      </c>
      <c r="DS126" s="64">
        <f t="shared" si="647"/>
        <v>24500</v>
      </c>
      <c r="DT126" t="str">
        <f t="shared" si="338"/>
        <v>BANKNIFTY</v>
      </c>
      <c r="DU126" s="10">
        <f t="shared" si="339"/>
        <v>44784</v>
      </c>
    </row>
    <row r="127" spans="1:125" x14ac:dyDescent="0.25">
      <c r="A127" t="s">
        <v>45</v>
      </c>
      <c r="B127" s="2">
        <v>44833</v>
      </c>
      <c r="C127" s="1">
        <v>2700</v>
      </c>
      <c r="D127">
        <v>86</v>
      </c>
      <c r="G127" t="str">
        <f t="array" ref="G127">IFERROR(INDEX($A$2:$A$700,MATCH(0,COUNTIF($G$1:G126,$A$2:$A$700),0)),"")</f>
        <v>MANAPPURAM</v>
      </c>
      <c r="M127" s="3"/>
      <c r="N127" s="3"/>
      <c r="O127" s="3">
        <f t="shared" si="340"/>
        <v>41900</v>
      </c>
      <c r="P127" s="7">
        <f t="shared" ref="P127:CA127" si="648">IFERROR(VALUE(P432),"-")</f>
        <v>0</v>
      </c>
      <c r="Q127" s="7">
        <f t="shared" si="648"/>
        <v>0</v>
      </c>
      <c r="R127" s="7">
        <f t="shared" si="648"/>
        <v>0</v>
      </c>
      <c r="S127" s="7">
        <f t="shared" si="648"/>
        <v>0</v>
      </c>
      <c r="T127" s="11">
        <f t="shared" si="648"/>
        <v>0</v>
      </c>
      <c r="U127" s="11">
        <f t="shared" si="648"/>
        <v>0</v>
      </c>
      <c r="V127" s="11">
        <f t="shared" si="648"/>
        <v>0</v>
      </c>
      <c r="W127" s="11">
        <f t="shared" si="648"/>
        <v>0</v>
      </c>
      <c r="X127" s="14">
        <f t="shared" si="648"/>
        <v>0</v>
      </c>
      <c r="Y127" s="14">
        <f t="shared" si="648"/>
        <v>0</v>
      </c>
      <c r="Z127" s="14">
        <f t="shared" si="648"/>
        <v>0</v>
      </c>
      <c r="AA127" s="14">
        <f t="shared" si="648"/>
        <v>0</v>
      </c>
      <c r="AB127" s="15">
        <f t="shared" si="648"/>
        <v>0</v>
      </c>
      <c r="AC127" s="15">
        <f t="shared" si="648"/>
        <v>0</v>
      </c>
      <c r="AD127" s="13">
        <f t="shared" si="648"/>
        <v>0</v>
      </c>
      <c r="AE127" s="13">
        <f t="shared" si="648"/>
        <v>0</v>
      </c>
      <c r="AF127" s="12">
        <f t="shared" si="648"/>
        <v>0</v>
      </c>
      <c r="AG127" s="12">
        <f t="shared" si="648"/>
        <v>0</v>
      </c>
      <c r="AH127" s="13">
        <f t="shared" si="648"/>
        <v>0</v>
      </c>
      <c r="AI127" s="13">
        <f t="shared" si="648"/>
        <v>0</v>
      </c>
      <c r="AJ127" s="11">
        <f t="shared" si="648"/>
        <v>0</v>
      </c>
      <c r="AK127" s="11">
        <f t="shared" si="648"/>
        <v>0</v>
      </c>
      <c r="AL127" s="11">
        <f t="shared" si="648"/>
        <v>0</v>
      </c>
      <c r="AM127" s="11">
        <f t="shared" si="648"/>
        <v>0</v>
      </c>
      <c r="AN127" s="11">
        <f t="shared" si="648"/>
        <v>0</v>
      </c>
      <c r="AO127" s="11">
        <f t="shared" si="648"/>
        <v>0</v>
      </c>
      <c r="AP127" s="11">
        <f t="shared" si="648"/>
        <v>0</v>
      </c>
      <c r="AQ127" s="11">
        <f t="shared" si="648"/>
        <v>0</v>
      </c>
      <c r="AR127" s="16">
        <f t="shared" si="648"/>
        <v>0</v>
      </c>
      <c r="AS127" s="16">
        <f t="shared" si="648"/>
        <v>0</v>
      </c>
      <c r="AT127" s="16">
        <f t="shared" si="648"/>
        <v>0</v>
      </c>
      <c r="AU127" s="7">
        <f t="shared" si="648"/>
        <v>0</v>
      </c>
      <c r="AV127" s="7">
        <f t="shared" si="648"/>
        <v>0</v>
      </c>
      <c r="AW127" s="7">
        <f t="shared" si="648"/>
        <v>0</v>
      </c>
      <c r="AX127" s="7">
        <f t="shared" si="648"/>
        <v>0</v>
      </c>
      <c r="AY127" s="11">
        <f t="shared" si="648"/>
        <v>0</v>
      </c>
      <c r="AZ127" s="16">
        <f t="shared" si="648"/>
        <v>0</v>
      </c>
      <c r="BA127" s="16">
        <f t="shared" si="648"/>
        <v>0</v>
      </c>
      <c r="BB127" s="16">
        <f t="shared" si="648"/>
        <v>0</v>
      </c>
      <c r="BC127" s="11">
        <f t="shared" si="648"/>
        <v>0</v>
      </c>
      <c r="BD127" s="11">
        <f t="shared" si="648"/>
        <v>0</v>
      </c>
      <c r="BE127" s="11">
        <f t="shared" si="648"/>
        <v>0</v>
      </c>
      <c r="BF127" s="11">
        <f t="shared" si="648"/>
        <v>0</v>
      </c>
      <c r="BG127" s="11">
        <f t="shared" si="648"/>
        <v>0</v>
      </c>
      <c r="BH127" s="11">
        <f t="shared" si="648"/>
        <v>0</v>
      </c>
      <c r="BI127" s="13">
        <f t="shared" si="648"/>
        <v>0</v>
      </c>
      <c r="BJ127" s="13">
        <f t="shared" si="648"/>
        <v>0</v>
      </c>
      <c r="BK127" s="11">
        <f t="shared" si="648"/>
        <v>0</v>
      </c>
      <c r="BL127" s="12">
        <f t="shared" si="648"/>
        <v>0</v>
      </c>
      <c r="BM127" s="12">
        <f t="shared" si="648"/>
        <v>0</v>
      </c>
      <c r="BN127" s="13">
        <f t="shared" si="648"/>
        <v>0</v>
      </c>
      <c r="BO127" s="13">
        <f t="shared" si="648"/>
        <v>0</v>
      </c>
      <c r="BP127" s="15">
        <f t="shared" si="648"/>
        <v>0</v>
      </c>
      <c r="BQ127" s="15">
        <f t="shared" si="648"/>
        <v>0</v>
      </c>
      <c r="BR127" s="14">
        <f t="shared" si="648"/>
        <v>0</v>
      </c>
      <c r="BS127" s="14">
        <f t="shared" si="648"/>
        <v>0</v>
      </c>
      <c r="BT127" s="14">
        <f t="shared" si="648"/>
        <v>0</v>
      </c>
      <c r="BU127" s="14">
        <f t="shared" si="648"/>
        <v>0</v>
      </c>
      <c r="BV127" s="11">
        <f t="shared" si="648"/>
        <v>0</v>
      </c>
      <c r="BW127" s="11">
        <f t="shared" si="648"/>
        <v>0</v>
      </c>
      <c r="BX127" s="11">
        <f t="shared" si="648"/>
        <v>0</v>
      </c>
      <c r="BY127" s="11">
        <f t="shared" si="648"/>
        <v>0</v>
      </c>
      <c r="BZ127" s="7">
        <f t="shared" si="648"/>
        <v>0</v>
      </c>
      <c r="CA127" s="7">
        <f t="shared" si="648"/>
        <v>0</v>
      </c>
      <c r="CB127" s="7">
        <f t="shared" ref="CB127:CP127" si="649">IFERROR(VALUE(CB432),"-")</f>
        <v>0</v>
      </c>
      <c r="CC127" s="7">
        <f t="shared" si="649"/>
        <v>0</v>
      </c>
      <c r="CD127" s="7">
        <f t="shared" si="649"/>
        <v>0</v>
      </c>
      <c r="CE127" s="3">
        <f t="shared" si="649"/>
        <v>0</v>
      </c>
      <c r="CF127" s="7">
        <f t="shared" si="649"/>
        <v>0</v>
      </c>
      <c r="CG127" s="3">
        <f t="shared" si="649"/>
        <v>0</v>
      </c>
      <c r="CH127" s="7">
        <f t="shared" si="649"/>
        <v>0</v>
      </c>
      <c r="CI127" s="7">
        <f t="shared" si="649"/>
        <v>0</v>
      </c>
      <c r="CJ127" s="3">
        <f t="shared" si="649"/>
        <v>0</v>
      </c>
      <c r="CK127" s="7">
        <f t="shared" si="649"/>
        <v>0</v>
      </c>
      <c r="CL127" s="3">
        <f t="shared" si="649"/>
        <v>0</v>
      </c>
      <c r="CM127" s="7">
        <f t="shared" si="649"/>
        <v>0</v>
      </c>
      <c r="CN127" s="10">
        <f t="shared" si="649"/>
        <v>44783.636701388888</v>
      </c>
      <c r="CO127" s="10">
        <f t="shared" si="649"/>
        <v>44783.636701388888</v>
      </c>
      <c r="CP127" s="7">
        <f t="shared" si="649"/>
        <v>38295.69921875</v>
      </c>
      <c r="CQ127" s="7" t="str">
        <f t="shared" ref="CQ127" si="650">IFERROR(CQ432,"-")</f>
        <v>FairPrice</v>
      </c>
      <c r="CR127" s="10">
        <f t="shared" ref="CR127:DG142" si="651">IFERROR(VALUE(CR432),"-")</f>
        <v>44783.638194444444</v>
      </c>
      <c r="CS127" s="7">
        <f t="shared" si="651"/>
        <v>0</v>
      </c>
      <c r="CT127" s="7">
        <f t="shared" si="651"/>
        <v>0</v>
      </c>
      <c r="CU127" s="7">
        <f t="shared" si="651"/>
        <v>0</v>
      </c>
      <c r="CV127" s="7">
        <f t="shared" si="651"/>
        <v>0</v>
      </c>
      <c r="CW127" s="7">
        <f t="shared" si="651"/>
        <v>0</v>
      </c>
      <c r="CX127" s="7">
        <f t="shared" si="651"/>
        <v>0</v>
      </c>
      <c r="CY127" s="7">
        <f t="shared" si="651"/>
        <v>0</v>
      </c>
      <c r="CZ127" s="7">
        <f t="shared" si="651"/>
        <v>0</v>
      </c>
      <c r="DA127" s="7">
        <f t="shared" si="651"/>
        <v>0</v>
      </c>
      <c r="DB127" s="7">
        <f t="shared" si="651"/>
        <v>0</v>
      </c>
      <c r="DC127" s="7">
        <f t="shared" si="651"/>
        <v>0</v>
      </c>
      <c r="DD127" s="7">
        <f t="shared" si="651"/>
        <v>0</v>
      </c>
      <c r="DE127" s="7">
        <f t="shared" si="651"/>
        <v>0</v>
      </c>
      <c r="DF127" s="7">
        <f t="shared" si="651"/>
        <v>0</v>
      </c>
      <c r="DG127" s="7">
        <f t="shared" si="651"/>
        <v>38295.69921875</v>
      </c>
      <c r="DH127" s="7" t="str">
        <f t="shared" ref="DH127:DJ127" si="652">IFERROR(DH432,"-")</f>
        <v>W</v>
      </c>
      <c r="DI127" s="7" t="str">
        <f t="shared" si="652"/>
        <v>W</v>
      </c>
      <c r="DJ127" s="7" t="str">
        <f t="shared" si="652"/>
        <v>G</v>
      </c>
      <c r="DK127" s="64">
        <f t="shared" ref="DK127:DS127" si="653">IFERROR(VALUE(DK432),"-")</f>
        <v>38300</v>
      </c>
      <c r="DL127" s="64">
        <f t="shared" si="653"/>
        <v>3400000</v>
      </c>
      <c r="DM127" s="64">
        <f t="shared" si="653"/>
        <v>38500</v>
      </c>
      <c r="DN127" s="64">
        <f t="shared" si="653"/>
        <v>0</v>
      </c>
      <c r="DO127" s="64">
        <f t="shared" si="653"/>
        <v>24500</v>
      </c>
      <c r="DP127" s="64">
        <f t="shared" si="653"/>
        <v>2863350</v>
      </c>
      <c r="DQ127" s="64">
        <f t="shared" si="653"/>
        <v>38000</v>
      </c>
      <c r="DR127" s="64">
        <f t="shared" si="653"/>
        <v>0</v>
      </c>
      <c r="DS127" s="64">
        <f t="shared" si="653"/>
        <v>24500</v>
      </c>
      <c r="DT127" t="str">
        <f t="shared" si="338"/>
        <v>BANKNIFTY</v>
      </c>
      <c r="DU127" s="10">
        <f t="shared" si="339"/>
        <v>44784</v>
      </c>
    </row>
    <row r="128" spans="1:125" x14ac:dyDescent="0.25">
      <c r="A128" t="s">
        <v>45</v>
      </c>
      <c r="B128" s="2">
        <v>44861</v>
      </c>
      <c r="C128" s="1">
        <v>2700</v>
      </c>
      <c r="D128">
        <v>86</v>
      </c>
      <c r="G128" t="str">
        <f t="array" ref="G128">IFERROR(INDEX($A$2:$A$700,MATCH(0,COUNTIF($G$1:G127,$A$2:$A$700),0)),"")</f>
        <v>MARICO</v>
      </c>
      <c r="M128" s="3"/>
      <c r="N128" s="3"/>
      <c r="O128" s="3">
        <f t="shared" si="340"/>
        <v>42000</v>
      </c>
      <c r="P128" s="7">
        <f t="shared" ref="P128:CA128" si="654">IFERROR(VALUE(P433),"-")</f>
        <v>3750</v>
      </c>
      <c r="Q128" s="7">
        <f t="shared" si="654"/>
        <v>0</v>
      </c>
      <c r="R128" s="7">
        <f t="shared" si="654"/>
        <v>0</v>
      </c>
      <c r="S128" s="7">
        <f t="shared" si="654"/>
        <v>0</v>
      </c>
      <c r="T128" s="11">
        <f t="shared" si="654"/>
        <v>-27.95068359375</v>
      </c>
      <c r="U128" s="11">
        <f t="shared" si="654"/>
        <v>5856.5478515625</v>
      </c>
      <c r="V128" s="11">
        <f t="shared" si="654"/>
        <v>-63.4169921875</v>
      </c>
      <c r="W128" s="11">
        <f t="shared" si="654"/>
        <v>8630.8037109375</v>
      </c>
      <c r="X128" s="14">
        <f t="shared" si="654"/>
        <v>-3.7856807466596365E-8</v>
      </c>
      <c r="Y128" s="14">
        <f t="shared" si="654"/>
        <v>4.2542349547147751E-5</v>
      </c>
      <c r="Z128" s="14">
        <f t="shared" si="654"/>
        <v>-2.4105975171551108E-7</v>
      </c>
      <c r="AA128" s="14">
        <f t="shared" si="654"/>
        <v>8.4967963630333543E-5</v>
      </c>
      <c r="AB128" s="15">
        <f t="shared" si="654"/>
        <v>-7.581490990560269E-12</v>
      </c>
      <c r="AC128" s="15">
        <f t="shared" si="654"/>
        <v>3.6656182089700451E-8</v>
      </c>
      <c r="AD128" s="13">
        <f t="shared" si="654"/>
        <v>5.0090551376342773E-3</v>
      </c>
      <c r="AE128" s="13">
        <f t="shared" si="654"/>
        <v>-1.2849500179290771</v>
      </c>
      <c r="AF128" s="12">
        <f t="shared" si="654"/>
        <v>-1.5016317367553711E-2</v>
      </c>
      <c r="AG128" s="12">
        <f t="shared" si="654"/>
        <v>2.5663743019104004</v>
      </c>
      <c r="AH128" s="13">
        <f t="shared" si="654"/>
        <v>1.0642907000146806E-7</v>
      </c>
      <c r="AI128" s="13">
        <f t="shared" si="654"/>
        <v>4.8456986405653879E-5</v>
      </c>
      <c r="AJ128" s="11">
        <f t="shared" si="654"/>
        <v>6.3157081604003906E-3</v>
      </c>
      <c r="AK128" s="11">
        <f t="shared" si="654"/>
        <v>2.0823662281036377</v>
      </c>
      <c r="AL128" s="11">
        <f t="shared" si="654"/>
        <v>-0.518035888671875</v>
      </c>
      <c r="AM128" s="11">
        <f t="shared" si="654"/>
        <v>-104.2613525390625</v>
      </c>
      <c r="AN128" s="11">
        <f t="shared" si="654"/>
        <v>2.0450353622436523E-4</v>
      </c>
      <c r="AO128" s="11">
        <f t="shared" si="654"/>
        <v>-0.95057201385498047</v>
      </c>
      <c r="AP128" s="11">
        <f t="shared" si="654"/>
        <v>103.4975528717041</v>
      </c>
      <c r="AQ128" s="11">
        <f t="shared" si="654"/>
        <v>0</v>
      </c>
      <c r="AR128" s="16">
        <f t="shared" si="654"/>
        <v>0</v>
      </c>
      <c r="AS128" s="16">
        <f t="shared" si="654"/>
        <v>50</v>
      </c>
      <c r="AT128" s="16">
        <f t="shared" si="654"/>
        <v>103.4975528717041</v>
      </c>
      <c r="AU128" s="7">
        <f t="shared" si="654"/>
        <v>0</v>
      </c>
      <c r="AV128" s="7">
        <f t="shared" si="654"/>
        <v>3750</v>
      </c>
      <c r="AW128" s="7">
        <f t="shared" si="654"/>
        <v>1.7000000476837158</v>
      </c>
      <c r="AX128" s="7">
        <f t="shared" si="654"/>
        <v>0</v>
      </c>
      <c r="AY128" s="11">
        <f t="shared" si="654"/>
        <v>65.482771396636963</v>
      </c>
      <c r="AZ128" s="16">
        <f t="shared" si="654"/>
        <v>502625</v>
      </c>
      <c r="BA128" s="16">
        <f t="shared" si="654"/>
        <v>224950</v>
      </c>
      <c r="BB128" s="16">
        <f t="shared" si="654"/>
        <v>1517925</v>
      </c>
      <c r="BC128" s="11">
        <f t="shared" si="654"/>
        <v>4.1518812067806721E-3</v>
      </c>
      <c r="BD128" s="11">
        <f t="shared" si="654"/>
        <v>8.6147338151931763E-8</v>
      </c>
      <c r="BE128" s="11">
        <f t="shared" si="654"/>
        <v>-1.7000000476837158</v>
      </c>
      <c r="BF128" s="11">
        <f t="shared" si="654"/>
        <v>0</v>
      </c>
      <c r="BG128" s="11">
        <f t="shared" si="654"/>
        <v>0.24895653128623962</v>
      </c>
      <c r="BH128" s="11">
        <f t="shared" si="654"/>
        <v>-1.0430812835693359E-7</v>
      </c>
      <c r="BI128" s="13">
        <f t="shared" si="654"/>
        <v>9.2032933025620878E-6</v>
      </c>
      <c r="BJ128" s="13">
        <f t="shared" si="654"/>
        <v>3.8107828004285693E-10</v>
      </c>
      <c r="BK128" s="11">
        <f t="shared" si="654"/>
        <v>65.482771396636963</v>
      </c>
      <c r="BL128" s="12">
        <f t="shared" si="654"/>
        <v>53.0631103515625</v>
      </c>
      <c r="BM128" s="12">
        <f t="shared" si="654"/>
        <v>-9.3841552734375E-4</v>
      </c>
      <c r="BN128" s="13">
        <f t="shared" si="654"/>
        <v>-16.898195266723633</v>
      </c>
      <c r="BO128" s="13">
        <f t="shared" si="654"/>
        <v>-3.662109375E-4</v>
      </c>
      <c r="BP128" s="15">
        <f t="shared" si="654"/>
        <v>1.8011451885513452E-8</v>
      </c>
      <c r="BQ128" s="15">
        <f t="shared" si="654"/>
        <v>1.1155520951433573E-12</v>
      </c>
      <c r="BR128" s="14">
        <f t="shared" si="654"/>
        <v>8.5149258666206151E-5</v>
      </c>
      <c r="BS128" s="14">
        <f t="shared" si="654"/>
        <v>3.2960087992250919E-9</v>
      </c>
      <c r="BT128" s="14">
        <f t="shared" si="654"/>
        <v>2.7116178898722865E-5</v>
      </c>
      <c r="BU128" s="14">
        <f t="shared" si="654"/>
        <v>2.1173036657273769E-9</v>
      </c>
      <c r="BV128" s="11">
        <f t="shared" si="654"/>
        <v>284665.46875</v>
      </c>
      <c r="BW128" s="11">
        <f t="shared" si="654"/>
        <v>-11.1875</v>
      </c>
      <c r="BX128" s="11">
        <f t="shared" si="654"/>
        <v>103496.1640625</v>
      </c>
      <c r="BY128" s="11">
        <f t="shared" si="654"/>
        <v>7.8125E-2</v>
      </c>
      <c r="BZ128" s="7">
        <f t="shared" si="654"/>
        <v>1.7999999523162842</v>
      </c>
      <c r="CA128" s="7">
        <f t="shared" si="654"/>
        <v>2.2000000476837158</v>
      </c>
      <c r="CB128" s="7">
        <f t="shared" ref="CB128:CP128" si="655">IFERROR(VALUE(CB433),"-")</f>
        <v>1.5499999523162842</v>
      </c>
      <c r="CC128" s="7">
        <f t="shared" si="655"/>
        <v>1.7000000476837158</v>
      </c>
      <c r="CD128" s="7">
        <f t="shared" si="655"/>
        <v>1.75</v>
      </c>
      <c r="CE128" s="3">
        <f t="shared" si="655"/>
        <v>125</v>
      </c>
      <c r="CF128" s="7">
        <f t="shared" si="655"/>
        <v>1.7000000476837158</v>
      </c>
      <c r="CG128" s="3">
        <f t="shared" si="655"/>
        <v>3050</v>
      </c>
      <c r="CH128" s="7">
        <f t="shared" si="655"/>
        <v>1.9199999570846558</v>
      </c>
      <c r="CI128" s="7">
        <f t="shared" si="655"/>
        <v>3807.35009765625</v>
      </c>
      <c r="CJ128" s="3">
        <f t="shared" si="655"/>
        <v>750</v>
      </c>
      <c r="CK128" s="7">
        <f t="shared" si="655"/>
        <v>3613.39990234375</v>
      </c>
      <c r="CL128" s="3">
        <f t="shared" si="655"/>
        <v>750</v>
      </c>
      <c r="CM128" s="7">
        <f t="shared" si="655"/>
        <v>0</v>
      </c>
      <c r="CN128" s="10">
        <f t="shared" si="655"/>
        <v>44783.638194444444</v>
      </c>
      <c r="CO128" s="10">
        <f t="shared" si="655"/>
        <v>44783.636805555558</v>
      </c>
      <c r="CP128" s="7">
        <f t="shared" si="655"/>
        <v>38295.69921875</v>
      </c>
      <c r="CQ128" s="7" t="str">
        <f t="shared" ref="CQ128" si="656">IFERROR(CQ433,"-")</f>
        <v>FairPrice</v>
      </c>
      <c r="CR128" s="10">
        <f t="shared" si="651"/>
        <v>44783.638194444444</v>
      </c>
      <c r="CS128" s="7">
        <f t="shared" si="651"/>
        <v>0.14321804046630859</v>
      </c>
      <c r="CT128" s="7">
        <f t="shared" si="651"/>
        <v>1.3856994068043907E-3</v>
      </c>
      <c r="CU128" s="7">
        <f t="shared" si="651"/>
        <v>50</v>
      </c>
      <c r="CV128" s="7">
        <f t="shared" si="651"/>
        <v>0</v>
      </c>
      <c r="CW128" s="7">
        <f t="shared" si="651"/>
        <v>3750</v>
      </c>
      <c r="CX128" s="7">
        <f t="shared" si="651"/>
        <v>0</v>
      </c>
      <c r="CY128" s="7">
        <f t="shared" si="651"/>
        <v>1.7000000476837158</v>
      </c>
      <c r="CZ128" s="7">
        <f t="shared" si="651"/>
        <v>0</v>
      </c>
      <c r="DA128" s="7">
        <f t="shared" si="651"/>
        <v>277675</v>
      </c>
      <c r="DB128" s="7">
        <f t="shared" si="651"/>
        <v>0.81011974430539302</v>
      </c>
      <c r="DC128" s="7">
        <f t="shared" si="651"/>
        <v>-2.5629997253417969E-4</v>
      </c>
      <c r="DD128" s="7">
        <f t="shared" si="651"/>
        <v>-3.9139908698426004E-6</v>
      </c>
      <c r="DE128" s="7">
        <f t="shared" si="651"/>
        <v>1.7000000476837158</v>
      </c>
      <c r="DF128" s="7">
        <f t="shared" si="651"/>
        <v>3750</v>
      </c>
      <c r="DG128" s="7">
        <f t="shared" si="651"/>
        <v>38295.69921875</v>
      </c>
      <c r="DH128" s="7" t="str">
        <f t="shared" ref="DH128:DJ128" si="657">IFERROR(DH433,"-")</f>
        <v>W</v>
      </c>
      <c r="DI128" s="7" t="str">
        <f t="shared" si="657"/>
        <v>W</v>
      </c>
      <c r="DJ128" s="7" t="str">
        <f t="shared" si="657"/>
        <v>G</v>
      </c>
      <c r="DK128" s="64">
        <f t="shared" ref="DK128:DS128" si="658">IFERROR(VALUE(DK433),"-")</f>
        <v>38300</v>
      </c>
      <c r="DL128" s="64">
        <f t="shared" si="658"/>
        <v>3400000</v>
      </c>
      <c r="DM128" s="64">
        <f t="shared" si="658"/>
        <v>38500</v>
      </c>
      <c r="DN128" s="64">
        <f t="shared" si="658"/>
        <v>0</v>
      </c>
      <c r="DO128" s="64">
        <f t="shared" si="658"/>
        <v>24500</v>
      </c>
      <c r="DP128" s="64">
        <f t="shared" si="658"/>
        <v>2863350</v>
      </c>
      <c r="DQ128" s="64">
        <f t="shared" si="658"/>
        <v>38000</v>
      </c>
      <c r="DR128" s="64">
        <f t="shared" si="658"/>
        <v>0</v>
      </c>
      <c r="DS128" s="64">
        <f t="shared" si="658"/>
        <v>24500</v>
      </c>
      <c r="DT128" t="str">
        <f t="shared" si="338"/>
        <v>BANKNIFTY</v>
      </c>
      <c r="DU128" s="10">
        <f t="shared" si="339"/>
        <v>44784</v>
      </c>
    </row>
    <row r="129" spans="1:125" x14ac:dyDescent="0.25">
      <c r="A129" t="s">
        <v>46</v>
      </c>
      <c r="B129" s="2">
        <v>44798</v>
      </c>
      <c r="C129" s="1">
        <v>975</v>
      </c>
      <c r="D129">
        <v>62</v>
      </c>
      <c r="G129" t="str">
        <f t="array" ref="G129">IFERROR(INDEX($A$2:$A$700,MATCH(0,COUNTIF($G$1:G128,$A$2:$A$700),0)),"")</f>
        <v>MARUTI</v>
      </c>
      <c r="M129" s="3"/>
      <c r="N129" s="3"/>
      <c r="O129" s="3">
        <f t="shared" si="340"/>
        <v>42100</v>
      </c>
      <c r="P129" s="7">
        <f t="shared" ref="P129:CA129" si="659">IFERROR(VALUE(P434),"-")</f>
        <v>0</v>
      </c>
      <c r="Q129" s="7">
        <f t="shared" si="659"/>
        <v>0</v>
      </c>
      <c r="R129" s="7">
        <f t="shared" si="659"/>
        <v>0</v>
      </c>
      <c r="S129" s="7">
        <f t="shared" si="659"/>
        <v>0</v>
      </c>
      <c r="T129" s="11">
        <f t="shared" si="659"/>
        <v>0</v>
      </c>
      <c r="U129" s="11">
        <f t="shared" si="659"/>
        <v>0</v>
      </c>
      <c r="V129" s="11">
        <f t="shared" si="659"/>
        <v>0</v>
      </c>
      <c r="W129" s="11">
        <f t="shared" si="659"/>
        <v>0</v>
      </c>
      <c r="X129" s="14">
        <f t="shared" si="659"/>
        <v>0</v>
      </c>
      <c r="Y129" s="14">
        <f t="shared" si="659"/>
        <v>0</v>
      </c>
      <c r="Z129" s="14">
        <f t="shared" si="659"/>
        <v>0</v>
      </c>
      <c r="AA129" s="14">
        <f t="shared" si="659"/>
        <v>0</v>
      </c>
      <c r="AB129" s="15">
        <f t="shared" si="659"/>
        <v>0</v>
      </c>
      <c r="AC129" s="15">
        <f t="shared" si="659"/>
        <v>0</v>
      </c>
      <c r="AD129" s="13">
        <f t="shared" si="659"/>
        <v>0</v>
      </c>
      <c r="AE129" s="13">
        <f t="shared" si="659"/>
        <v>0</v>
      </c>
      <c r="AF129" s="12">
        <f t="shared" si="659"/>
        <v>0</v>
      </c>
      <c r="AG129" s="12">
        <f t="shared" si="659"/>
        <v>0</v>
      </c>
      <c r="AH129" s="13">
        <f t="shared" si="659"/>
        <v>0</v>
      </c>
      <c r="AI129" s="13">
        <f t="shared" si="659"/>
        <v>0</v>
      </c>
      <c r="AJ129" s="11">
        <f t="shared" si="659"/>
        <v>0</v>
      </c>
      <c r="AK129" s="11">
        <f t="shared" si="659"/>
        <v>0</v>
      </c>
      <c r="AL129" s="11">
        <f t="shared" si="659"/>
        <v>0</v>
      </c>
      <c r="AM129" s="11">
        <f t="shared" si="659"/>
        <v>0</v>
      </c>
      <c r="AN129" s="11">
        <f t="shared" si="659"/>
        <v>0</v>
      </c>
      <c r="AO129" s="11">
        <f t="shared" si="659"/>
        <v>0</v>
      </c>
      <c r="AP129" s="11">
        <f t="shared" si="659"/>
        <v>0</v>
      </c>
      <c r="AQ129" s="11">
        <f t="shared" si="659"/>
        <v>0</v>
      </c>
      <c r="AR129" s="16">
        <f t="shared" si="659"/>
        <v>0</v>
      </c>
      <c r="AS129" s="16">
        <f t="shared" si="659"/>
        <v>0</v>
      </c>
      <c r="AT129" s="16">
        <f t="shared" si="659"/>
        <v>0</v>
      </c>
      <c r="AU129" s="7">
        <f t="shared" si="659"/>
        <v>0</v>
      </c>
      <c r="AV129" s="7">
        <f t="shared" si="659"/>
        <v>0</v>
      </c>
      <c r="AW129" s="7">
        <f t="shared" si="659"/>
        <v>0</v>
      </c>
      <c r="AX129" s="7">
        <f t="shared" si="659"/>
        <v>0</v>
      </c>
      <c r="AY129" s="11">
        <f t="shared" si="659"/>
        <v>0</v>
      </c>
      <c r="AZ129" s="16">
        <f t="shared" si="659"/>
        <v>0</v>
      </c>
      <c r="BA129" s="16">
        <f t="shared" si="659"/>
        <v>0</v>
      </c>
      <c r="BB129" s="16">
        <f t="shared" si="659"/>
        <v>0</v>
      </c>
      <c r="BC129" s="11">
        <f t="shared" si="659"/>
        <v>0</v>
      </c>
      <c r="BD129" s="11">
        <f t="shared" si="659"/>
        <v>0</v>
      </c>
      <c r="BE129" s="11">
        <f t="shared" si="659"/>
        <v>0</v>
      </c>
      <c r="BF129" s="11">
        <f t="shared" si="659"/>
        <v>0</v>
      </c>
      <c r="BG129" s="11">
        <f t="shared" si="659"/>
        <v>0</v>
      </c>
      <c r="BH129" s="11">
        <f t="shared" si="659"/>
        <v>0</v>
      </c>
      <c r="BI129" s="13">
        <f t="shared" si="659"/>
        <v>0</v>
      </c>
      <c r="BJ129" s="13">
        <f t="shared" si="659"/>
        <v>0</v>
      </c>
      <c r="BK129" s="11">
        <f t="shared" si="659"/>
        <v>0</v>
      </c>
      <c r="BL129" s="12">
        <f t="shared" si="659"/>
        <v>0</v>
      </c>
      <c r="BM129" s="12">
        <f t="shared" si="659"/>
        <v>0</v>
      </c>
      <c r="BN129" s="13">
        <f t="shared" si="659"/>
        <v>0</v>
      </c>
      <c r="BO129" s="13">
        <f t="shared" si="659"/>
        <v>0</v>
      </c>
      <c r="BP129" s="15">
        <f t="shared" si="659"/>
        <v>0</v>
      </c>
      <c r="BQ129" s="15">
        <f t="shared" si="659"/>
        <v>0</v>
      </c>
      <c r="BR129" s="14">
        <f t="shared" si="659"/>
        <v>0</v>
      </c>
      <c r="BS129" s="14">
        <f t="shared" si="659"/>
        <v>0</v>
      </c>
      <c r="BT129" s="14">
        <f t="shared" si="659"/>
        <v>0</v>
      </c>
      <c r="BU129" s="14">
        <f t="shared" si="659"/>
        <v>0</v>
      </c>
      <c r="BV129" s="11">
        <f t="shared" si="659"/>
        <v>0</v>
      </c>
      <c r="BW129" s="11">
        <f t="shared" si="659"/>
        <v>0</v>
      </c>
      <c r="BX129" s="11">
        <f t="shared" si="659"/>
        <v>0</v>
      </c>
      <c r="BY129" s="11">
        <f t="shared" si="659"/>
        <v>0</v>
      </c>
      <c r="BZ129" s="7">
        <f t="shared" si="659"/>
        <v>0</v>
      </c>
      <c r="CA129" s="7">
        <f t="shared" si="659"/>
        <v>0</v>
      </c>
      <c r="CB129" s="7">
        <f t="shared" ref="CB129:CP129" si="660">IFERROR(VALUE(CB434),"-")</f>
        <v>0</v>
      </c>
      <c r="CC129" s="7">
        <f t="shared" si="660"/>
        <v>0</v>
      </c>
      <c r="CD129" s="7">
        <f t="shared" si="660"/>
        <v>0</v>
      </c>
      <c r="CE129" s="3">
        <f t="shared" si="660"/>
        <v>0</v>
      </c>
      <c r="CF129" s="7">
        <f t="shared" si="660"/>
        <v>0</v>
      </c>
      <c r="CG129" s="3">
        <f t="shared" si="660"/>
        <v>0</v>
      </c>
      <c r="CH129" s="7">
        <f t="shared" si="660"/>
        <v>0</v>
      </c>
      <c r="CI129" s="7">
        <f t="shared" si="660"/>
        <v>0</v>
      </c>
      <c r="CJ129" s="3">
        <f t="shared" si="660"/>
        <v>0</v>
      </c>
      <c r="CK129" s="7">
        <f t="shared" si="660"/>
        <v>0</v>
      </c>
      <c r="CL129" s="3">
        <f t="shared" si="660"/>
        <v>0</v>
      </c>
      <c r="CM129" s="7">
        <f t="shared" si="660"/>
        <v>0</v>
      </c>
      <c r="CN129" s="10">
        <f t="shared" si="660"/>
        <v>44783.636701388888</v>
      </c>
      <c r="CO129" s="10">
        <f t="shared" si="660"/>
        <v>44783.636701388888</v>
      </c>
      <c r="CP129" s="7">
        <f t="shared" si="660"/>
        <v>38295.69921875</v>
      </c>
      <c r="CQ129" s="7" t="str">
        <f t="shared" ref="CQ129" si="661">IFERROR(CQ434,"-")</f>
        <v>FairPrice</v>
      </c>
      <c r="CR129" s="10">
        <f t="shared" si="651"/>
        <v>44783.638194444444</v>
      </c>
      <c r="CS129" s="7">
        <f t="shared" si="651"/>
        <v>0</v>
      </c>
      <c r="CT129" s="7">
        <f t="shared" si="651"/>
        <v>0</v>
      </c>
      <c r="CU129" s="7">
        <f t="shared" si="651"/>
        <v>0</v>
      </c>
      <c r="CV129" s="7">
        <f t="shared" si="651"/>
        <v>0</v>
      </c>
      <c r="CW129" s="7">
        <f t="shared" si="651"/>
        <v>0</v>
      </c>
      <c r="CX129" s="7">
        <f t="shared" si="651"/>
        <v>0</v>
      </c>
      <c r="CY129" s="7">
        <f t="shared" si="651"/>
        <v>0</v>
      </c>
      <c r="CZ129" s="7">
        <f t="shared" si="651"/>
        <v>0</v>
      </c>
      <c r="DA129" s="7">
        <f t="shared" si="651"/>
        <v>0</v>
      </c>
      <c r="DB129" s="7">
        <f t="shared" si="651"/>
        <v>0</v>
      </c>
      <c r="DC129" s="7">
        <f t="shared" si="651"/>
        <v>0</v>
      </c>
      <c r="DD129" s="7">
        <f t="shared" si="651"/>
        <v>0</v>
      </c>
      <c r="DE129" s="7">
        <f t="shared" si="651"/>
        <v>0</v>
      </c>
      <c r="DF129" s="7">
        <f t="shared" si="651"/>
        <v>0</v>
      </c>
      <c r="DG129" s="7">
        <f t="shared" si="651"/>
        <v>38295.69921875</v>
      </c>
      <c r="DH129" s="7" t="str">
        <f t="shared" ref="DH129:DJ129" si="662">IFERROR(DH434,"-")</f>
        <v>W</v>
      </c>
      <c r="DI129" s="7" t="str">
        <f t="shared" si="662"/>
        <v>W</v>
      </c>
      <c r="DJ129" s="7" t="str">
        <f t="shared" si="662"/>
        <v>G</v>
      </c>
      <c r="DK129" s="64">
        <f t="shared" ref="DK129:DS129" si="663">IFERROR(VALUE(DK434),"-")</f>
        <v>38300</v>
      </c>
      <c r="DL129" s="64">
        <f t="shared" si="663"/>
        <v>3400000</v>
      </c>
      <c r="DM129" s="64">
        <f t="shared" si="663"/>
        <v>38500</v>
      </c>
      <c r="DN129" s="64">
        <f t="shared" si="663"/>
        <v>0</v>
      </c>
      <c r="DO129" s="64">
        <f t="shared" si="663"/>
        <v>24500</v>
      </c>
      <c r="DP129" s="64">
        <f t="shared" si="663"/>
        <v>2863350</v>
      </c>
      <c r="DQ129" s="64">
        <f t="shared" si="663"/>
        <v>38000</v>
      </c>
      <c r="DR129" s="64">
        <f t="shared" si="663"/>
        <v>0</v>
      </c>
      <c r="DS129" s="64">
        <f t="shared" si="663"/>
        <v>24500</v>
      </c>
      <c r="DT129" t="str">
        <f t="shared" si="338"/>
        <v>BANKNIFTY</v>
      </c>
      <c r="DU129" s="10">
        <f t="shared" si="339"/>
        <v>44784</v>
      </c>
    </row>
    <row r="130" spans="1:125" x14ac:dyDescent="0.25">
      <c r="A130" t="s">
        <v>46</v>
      </c>
      <c r="B130" s="2">
        <v>44833</v>
      </c>
      <c r="C130" s="1">
        <v>975</v>
      </c>
      <c r="D130">
        <v>62</v>
      </c>
      <c r="G130" t="str">
        <f t="array" ref="G130">IFERROR(INDEX($A$2:$A$700,MATCH(0,COUNTIF($G$1:G129,$A$2:$A$700),0)),"")</f>
        <v>MCDOWELL-N</v>
      </c>
      <c r="M130" s="3"/>
      <c r="N130" s="3"/>
      <c r="O130" s="3">
        <f t="shared" si="340"/>
        <v>42200</v>
      </c>
      <c r="P130" s="7">
        <f t="shared" ref="P130:CA130" si="664">IFERROR(VALUE(P435),"-")</f>
        <v>0</v>
      </c>
      <c r="Q130" s="7">
        <f t="shared" si="664"/>
        <v>0</v>
      </c>
      <c r="R130" s="7">
        <f t="shared" si="664"/>
        <v>0</v>
      </c>
      <c r="S130" s="7">
        <f t="shared" si="664"/>
        <v>0</v>
      </c>
      <c r="T130" s="11">
        <f t="shared" si="664"/>
        <v>0</v>
      </c>
      <c r="U130" s="11">
        <f t="shared" si="664"/>
        <v>0</v>
      </c>
      <c r="V130" s="11">
        <f t="shared" si="664"/>
        <v>0</v>
      </c>
      <c r="W130" s="11">
        <f t="shared" si="664"/>
        <v>0</v>
      </c>
      <c r="X130" s="14">
        <f t="shared" si="664"/>
        <v>0</v>
      </c>
      <c r="Y130" s="14">
        <f t="shared" si="664"/>
        <v>0</v>
      </c>
      <c r="Z130" s="14">
        <f t="shared" si="664"/>
        <v>0</v>
      </c>
      <c r="AA130" s="14">
        <f t="shared" si="664"/>
        <v>0</v>
      </c>
      <c r="AB130" s="15">
        <f t="shared" si="664"/>
        <v>0</v>
      </c>
      <c r="AC130" s="15">
        <f t="shared" si="664"/>
        <v>0</v>
      </c>
      <c r="AD130" s="13">
        <f t="shared" si="664"/>
        <v>0</v>
      </c>
      <c r="AE130" s="13">
        <f t="shared" si="664"/>
        <v>0</v>
      </c>
      <c r="AF130" s="12">
        <f t="shared" si="664"/>
        <v>0</v>
      </c>
      <c r="AG130" s="12">
        <f t="shared" si="664"/>
        <v>0</v>
      </c>
      <c r="AH130" s="13">
        <f t="shared" si="664"/>
        <v>0</v>
      </c>
      <c r="AI130" s="13">
        <f t="shared" si="664"/>
        <v>0</v>
      </c>
      <c r="AJ130" s="11">
        <f t="shared" si="664"/>
        <v>0</v>
      </c>
      <c r="AK130" s="11">
        <f t="shared" si="664"/>
        <v>0</v>
      </c>
      <c r="AL130" s="11">
        <f t="shared" si="664"/>
        <v>0</v>
      </c>
      <c r="AM130" s="11">
        <f t="shared" si="664"/>
        <v>0</v>
      </c>
      <c r="AN130" s="11">
        <f t="shared" si="664"/>
        <v>0</v>
      </c>
      <c r="AO130" s="11">
        <f t="shared" si="664"/>
        <v>0</v>
      </c>
      <c r="AP130" s="11">
        <f t="shared" si="664"/>
        <v>0</v>
      </c>
      <c r="AQ130" s="11">
        <f t="shared" si="664"/>
        <v>0</v>
      </c>
      <c r="AR130" s="16">
        <f t="shared" si="664"/>
        <v>0</v>
      </c>
      <c r="AS130" s="16">
        <f t="shared" si="664"/>
        <v>0</v>
      </c>
      <c r="AT130" s="16">
        <f t="shared" si="664"/>
        <v>0</v>
      </c>
      <c r="AU130" s="7">
        <f t="shared" si="664"/>
        <v>0</v>
      </c>
      <c r="AV130" s="7">
        <f t="shared" si="664"/>
        <v>0</v>
      </c>
      <c r="AW130" s="7">
        <f t="shared" si="664"/>
        <v>0</v>
      </c>
      <c r="AX130" s="7">
        <f t="shared" si="664"/>
        <v>0</v>
      </c>
      <c r="AY130" s="11">
        <f t="shared" si="664"/>
        <v>0</v>
      </c>
      <c r="AZ130" s="16">
        <f t="shared" si="664"/>
        <v>0</v>
      </c>
      <c r="BA130" s="16">
        <f t="shared" si="664"/>
        <v>0</v>
      </c>
      <c r="BB130" s="16">
        <f t="shared" si="664"/>
        <v>0</v>
      </c>
      <c r="BC130" s="11">
        <f t="shared" si="664"/>
        <v>0</v>
      </c>
      <c r="BD130" s="11">
        <f t="shared" si="664"/>
        <v>0</v>
      </c>
      <c r="BE130" s="11">
        <f t="shared" si="664"/>
        <v>0</v>
      </c>
      <c r="BF130" s="11">
        <f t="shared" si="664"/>
        <v>0</v>
      </c>
      <c r="BG130" s="11">
        <f t="shared" si="664"/>
        <v>0</v>
      </c>
      <c r="BH130" s="11">
        <f t="shared" si="664"/>
        <v>0</v>
      </c>
      <c r="BI130" s="13">
        <f t="shared" si="664"/>
        <v>0</v>
      </c>
      <c r="BJ130" s="13">
        <f t="shared" si="664"/>
        <v>0</v>
      </c>
      <c r="BK130" s="11">
        <f t="shared" si="664"/>
        <v>0</v>
      </c>
      <c r="BL130" s="12">
        <f t="shared" si="664"/>
        <v>0</v>
      </c>
      <c r="BM130" s="12">
        <f t="shared" si="664"/>
        <v>0</v>
      </c>
      <c r="BN130" s="13">
        <f t="shared" si="664"/>
        <v>0</v>
      </c>
      <c r="BO130" s="13">
        <f t="shared" si="664"/>
        <v>0</v>
      </c>
      <c r="BP130" s="15">
        <f t="shared" si="664"/>
        <v>0</v>
      </c>
      <c r="BQ130" s="15">
        <f t="shared" si="664"/>
        <v>0</v>
      </c>
      <c r="BR130" s="14">
        <f t="shared" si="664"/>
        <v>0</v>
      </c>
      <c r="BS130" s="14">
        <f t="shared" si="664"/>
        <v>0</v>
      </c>
      <c r="BT130" s="14">
        <f t="shared" si="664"/>
        <v>0</v>
      </c>
      <c r="BU130" s="14">
        <f t="shared" si="664"/>
        <v>0</v>
      </c>
      <c r="BV130" s="11">
        <f t="shared" si="664"/>
        <v>0</v>
      </c>
      <c r="BW130" s="11">
        <f t="shared" si="664"/>
        <v>0</v>
      </c>
      <c r="BX130" s="11">
        <f t="shared" si="664"/>
        <v>0</v>
      </c>
      <c r="BY130" s="11">
        <f t="shared" si="664"/>
        <v>0</v>
      </c>
      <c r="BZ130" s="7">
        <f t="shared" si="664"/>
        <v>0</v>
      </c>
      <c r="CA130" s="7">
        <f t="shared" si="664"/>
        <v>0</v>
      </c>
      <c r="CB130" s="7">
        <f t="shared" ref="CB130:CP130" si="665">IFERROR(VALUE(CB435),"-")</f>
        <v>0</v>
      </c>
      <c r="CC130" s="7">
        <f t="shared" si="665"/>
        <v>0</v>
      </c>
      <c r="CD130" s="7">
        <f t="shared" si="665"/>
        <v>0</v>
      </c>
      <c r="CE130" s="3">
        <f t="shared" si="665"/>
        <v>0</v>
      </c>
      <c r="CF130" s="7">
        <f t="shared" si="665"/>
        <v>0</v>
      </c>
      <c r="CG130" s="3">
        <f t="shared" si="665"/>
        <v>0</v>
      </c>
      <c r="CH130" s="7">
        <f t="shared" si="665"/>
        <v>0</v>
      </c>
      <c r="CI130" s="7">
        <f t="shared" si="665"/>
        <v>0</v>
      </c>
      <c r="CJ130" s="3">
        <f t="shared" si="665"/>
        <v>0</v>
      </c>
      <c r="CK130" s="7">
        <f t="shared" si="665"/>
        <v>0</v>
      </c>
      <c r="CL130" s="3">
        <f t="shared" si="665"/>
        <v>0</v>
      </c>
      <c r="CM130" s="7">
        <f t="shared" si="665"/>
        <v>0</v>
      </c>
      <c r="CN130" s="10">
        <f t="shared" si="665"/>
        <v>44783.636701388888</v>
      </c>
      <c r="CO130" s="10">
        <f t="shared" si="665"/>
        <v>44783.636701388888</v>
      </c>
      <c r="CP130" s="7">
        <f t="shared" si="665"/>
        <v>38295.69921875</v>
      </c>
      <c r="CQ130" s="7" t="str">
        <f t="shared" ref="CQ130" si="666">IFERROR(CQ435,"-")</f>
        <v>FairPrice</v>
      </c>
      <c r="CR130" s="10">
        <f t="shared" si="651"/>
        <v>44783.638194444444</v>
      </c>
      <c r="CS130" s="7">
        <f t="shared" si="651"/>
        <v>0</v>
      </c>
      <c r="CT130" s="7">
        <f t="shared" si="651"/>
        <v>0</v>
      </c>
      <c r="CU130" s="7">
        <f t="shared" si="651"/>
        <v>0</v>
      </c>
      <c r="CV130" s="7">
        <f t="shared" si="651"/>
        <v>0</v>
      </c>
      <c r="CW130" s="7">
        <f t="shared" si="651"/>
        <v>0</v>
      </c>
      <c r="CX130" s="7">
        <f t="shared" si="651"/>
        <v>0</v>
      </c>
      <c r="CY130" s="7">
        <f t="shared" si="651"/>
        <v>0</v>
      </c>
      <c r="CZ130" s="7">
        <f t="shared" si="651"/>
        <v>0</v>
      </c>
      <c r="DA130" s="7">
        <f t="shared" si="651"/>
        <v>0</v>
      </c>
      <c r="DB130" s="7">
        <f t="shared" si="651"/>
        <v>0</v>
      </c>
      <c r="DC130" s="7">
        <f t="shared" si="651"/>
        <v>0</v>
      </c>
      <c r="DD130" s="7">
        <f t="shared" si="651"/>
        <v>0</v>
      </c>
      <c r="DE130" s="7">
        <f t="shared" si="651"/>
        <v>0</v>
      </c>
      <c r="DF130" s="7">
        <f t="shared" si="651"/>
        <v>0</v>
      </c>
      <c r="DG130" s="7">
        <f t="shared" si="651"/>
        <v>38295.69921875</v>
      </c>
      <c r="DH130" s="7" t="str">
        <f t="shared" ref="DH130:DJ130" si="667">IFERROR(DH435,"-")</f>
        <v>W</v>
      </c>
      <c r="DI130" s="7" t="str">
        <f t="shared" si="667"/>
        <v>W</v>
      </c>
      <c r="DJ130" s="7" t="str">
        <f t="shared" si="667"/>
        <v>G</v>
      </c>
      <c r="DK130" s="64">
        <f t="shared" ref="DK130:DS130" si="668">IFERROR(VALUE(DK435),"-")</f>
        <v>38300</v>
      </c>
      <c r="DL130" s="64">
        <f t="shared" si="668"/>
        <v>3400000</v>
      </c>
      <c r="DM130" s="64">
        <f t="shared" si="668"/>
        <v>38500</v>
      </c>
      <c r="DN130" s="64">
        <f t="shared" si="668"/>
        <v>0</v>
      </c>
      <c r="DO130" s="64">
        <f t="shared" si="668"/>
        <v>24500</v>
      </c>
      <c r="DP130" s="64">
        <f t="shared" si="668"/>
        <v>2863350</v>
      </c>
      <c r="DQ130" s="64">
        <f t="shared" si="668"/>
        <v>38000</v>
      </c>
      <c r="DR130" s="64">
        <f t="shared" si="668"/>
        <v>0</v>
      </c>
      <c r="DS130" s="64">
        <f t="shared" si="668"/>
        <v>24500</v>
      </c>
      <c r="DT130" t="str">
        <f t="shared" ref="DT130:DT193" si="669">IFERROR(DT435,"-")</f>
        <v>BANKNIFTY</v>
      </c>
      <c r="DU130" s="10">
        <f t="shared" ref="DU130:DU193" si="670">IFERROR(VALUE(DU435),"-")</f>
        <v>44784</v>
      </c>
    </row>
    <row r="131" spans="1:125" x14ac:dyDescent="0.25">
      <c r="A131" t="s">
        <v>46</v>
      </c>
      <c r="B131" s="2">
        <v>44861</v>
      </c>
      <c r="C131" s="1">
        <v>975</v>
      </c>
      <c r="D131">
        <v>62</v>
      </c>
      <c r="G131" t="str">
        <f t="array" ref="G131">IFERROR(INDEX($A$2:$A$700,MATCH(0,COUNTIF($G$1:G130,$A$2:$A$700),0)),"")</f>
        <v>MCX</v>
      </c>
      <c r="M131" s="3"/>
      <c r="N131" s="3"/>
      <c r="O131" s="3">
        <f t="shared" ref="O131:O194" si="671">IFERROR(IF(ISBLANK(O436), 0,VALUE(O436)),"-")</f>
        <v>42500</v>
      </c>
      <c r="P131" s="7">
        <f t="shared" ref="P131:CA131" si="672">IFERROR(VALUE(P436),"-")</f>
        <v>0</v>
      </c>
      <c r="Q131" s="7">
        <f t="shared" si="672"/>
        <v>0</v>
      </c>
      <c r="R131" s="7">
        <f t="shared" si="672"/>
        <v>0</v>
      </c>
      <c r="S131" s="7">
        <f t="shared" si="672"/>
        <v>0</v>
      </c>
      <c r="T131" s="11">
        <f t="shared" si="672"/>
        <v>0</v>
      </c>
      <c r="U131" s="11">
        <f t="shared" si="672"/>
        <v>0</v>
      </c>
      <c r="V131" s="11">
        <f t="shared" si="672"/>
        <v>0</v>
      </c>
      <c r="W131" s="11">
        <f t="shared" si="672"/>
        <v>0</v>
      </c>
      <c r="X131" s="14">
        <f t="shared" si="672"/>
        <v>0</v>
      </c>
      <c r="Y131" s="14">
        <f t="shared" si="672"/>
        <v>0</v>
      </c>
      <c r="Z131" s="14">
        <f t="shared" si="672"/>
        <v>0</v>
      </c>
      <c r="AA131" s="14">
        <f t="shared" si="672"/>
        <v>0</v>
      </c>
      <c r="AB131" s="15">
        <f t="shared" si="672"/>
        <v>0</v>
      </c>
      <c r="AC131" s="15">
        <f t="shared" si="672"/>
        <v>0</v>
      </c>
      <c r="AD131" s="13">
        <f t="shared" si="672"/>
        <v>0</v>
      </c>
      <c r="AE131" s="13">
        <f t="shared" si="672"/>
        <v>0</v>
      </c>
      <c r="AF131" s="12">
        <f t="shared" si="672"/>
        <v>0</v>
      </c>
      <c r="AG131" s="12">
        <f t="shared" si="672"/>
        <v>0</v>
      </c>
      <c r="AH131" s="13">
        <f t="shared" si="672"/>
        <v>0</v>
      </c>
      <c r="AI131" s="13">
        <f t="shared" si="672"/>
        <v>0</v>
      </c>
      <c r="AJ131" s="11">
        <f t="shared" si="672"/>
        <v>0</v>
      </c>
      <c r="AK131" s="11">
        <f t="shared" si="672"/>
        <v>0</v>
      </c>
      <c r="AL131" s="11">
        <f t="shared" si="672"/>
        <v>0</v>
      </c>
      <c r="AM131" s="11">
        <f t="shared" si="672"/>
        <v>0</v>
      </c>
      <c r="AN131" s="11">
        <f t="shared" si="672"/>
        <v>0</v>
      </c>
      <c r="AO131" s="11">
        <f t="shared" si="672"/>
        <v>0</v>
      </c>
      <c r="AP131" s="11">
        <f t="shared" si="672"/>
        <v>342.38</v>
      </c>
      <c r="AQ131" s="11">
        <f t="shared" si="672"/>
        <v>0</v>
      </c>
      <c r="AR131" s="16">
        <f t="shared" si="672"/>
        <v>0</v>
      </c>
      <c r="AS131" s="16">
        <f t="shared" si="672"/>
        <v>0</v>
      </c>
      <c r="AT131" s="16">
        <f t="shared" si="672"/>
        <v>0</v>
      </c>
      <c r="AU131" s="7">
        <f t="shared" si="672"/>
        <v>-7395.4</v>
      </c>
      <c r="AV131" s="7">
        <f t="shared" si="672"/>
        <v>0</v>
      </c>
      <c r="AW131" s="7">
        <f t="shared" si="672"/>
        <v>1.6499999761581421</v>
      </c>
      <c r="AX131" s="7">
        <f t="shared" si="672"/>
        <v>0</v>
      </c>
      <c r="AY131" s="11">
        <f t="shared" si="672"/>
        <v>72.696322202682495</v>
      </c>
      <c r="AZ131" s="16">
        <f t="shared" si="672"/>
        <v>154350</v>
      </c>
      <c r="BA131" s="16">
        <f t="shared" si="672"/>
        <v>11050</v>
      </c>
      <c r="BB131" s="16">
        <f t="shared" si="672"/>
        <v>348425</v>
      </c>
      <c r="BC131" s="11">
        <f t="shared" si="672"/>
        <v>3.6737490445375443E-3</v>
      </c>
      <c r="BD131" s="11">
        <f t="shared" si="672"/>
        <v>-3.3294782042503357E-8</v>
      </c>
      <c r="BE131" s="11">
        <f t="shared" si="672"/>
        <v>-1.6499999761581421</v>
      </c>
      <c r="BF131" s="11">
        <f t="shared" si="672"/>
        <v>0</v>
      </c>
      <c r="BG131" s="11">
        <f t="shared" si="672"/>
        <v>0.22310526669025421</v>
      </c>
      <c r="BH131" s="11">
        <f t="shared" si="672"/>
        <v>-6.9290399551391602E-6</v>
      </c>
      <c r="BI131" s="13">
        <f t="shared" si="672"/>
        <v>7.4295380727562588E-6</v>
      </c>
      <c r="BJ131" s="13">
        <f t="shared" si="672"/>
        <v>-1.3505996321327984E-10</v>
      </c>
      <c r="BK131" s="11">
        <f t="shared" si="672"/>
        <v>72.696322202682495</v>
      </c>
      <c r="BL131" s="12">
        <f t="shared" si="672"/>
        <v>54.233173370361328</v>
      </c>
      <c r="BM131" s="12">
        <f t="shared" si="672"/>
        <v>-1.27410888671875E-3</v>
      </c>
      <c r="BN131" s="13">
        <f t="shared" si="672"/>
        <v>-19.174179077148438</v>
      </c>
      <c r="BO131" s="13">
        <f t="shared" si="672"/>
        <v>-1.0089874267578125E-3</v>
      </c>
      <c r="BP131" s="15">
        <f t="shared" si="672"/>
        <v>1.328553000945476E-8</v>
      </c>
      <c r="BQ131" s="15">
        <f t="shared" si="672"/>
        <v>-3.6148861681795097E-13</v>
      </c>
      <c r="BR131" s="14">
        <f t="shared" si="672"/>
        <v>6.4277599449269474E-5</v>
      </c>
      <c r="BS131" s="14">
        <f t="shared" si="672"/>
        <v>-3.1068339012563229E-9</v>
      </c>
      <c r="BT131" s="14">
        <f t="shared" si="672"/>
        <v>2.2725394956069067E-5</v>
      </c>
      <c r="BU131" s="14">
        <f t="shared" si="672"/>
        <v>6.3300831243395805E-10</v>
      </c>
      <c r="BV131" s="11">
        <f t="shared" si="672"/>
        <v>295478.65625</v>
      </c>
      <c r="BW131" s="11">
        <f t="shared" si="672"/>
        <v>-13.375</v>
      </c>
      <c r="BX131" s="11">
        <f t="shared" si="672"/>
        <v>118797.9921875</v>
      </c>
      <c r="BY131" s="11">
        <f t="shared" si="672"/>
        <v>3.6328125</v>
      </c>
      <c r="BZ131" s="7">
        <f t="shared" si="672"/>
        <v>1.7999999523162842</v>
      </c>
      <c r="CA131" s="7">
        <f t="shared" si="672"/>
        <v>2.0999999046325684</v>
      </c>
      <c r="CB131" s="7">
        <f t="shared" ref="CB131:CP131" si="673">IFERROR(VALUE(CB436),"-")</f>
        <v>1.4500000476837158</v>
      </c>
      <c r="CC131" s="7">
        <f t="shared" si="673"/>
        <v>1.6499999761581421</v>
      </c>
      <c r="CD131" s="7">
        <f t="shared" si="673"/>
        <v>1.6499999761581421</v>
      </c>
      <c r="CE131" s="3">
        <f t="shared" si="673"/>
        <v>75</v>
      </c>
      <c r="CF131" s="7">
        <f t="shared" si="673"/>
        <v>1.6000000238418579</v>
      </c>
      <c r="CG131" s="3">
        <f t="shared" si="673"/>
        <v>2425</v>
      </c>
      <c r="CH131" s="7">
        <f t="shared" si="673"/>
        <v>1.7699999809265137</v>
      </c>
      <c r="CI131" s="7">
        <f t="shared" si="673"/>
        <v>0</v>
      </c>
      <c r="CJ131" s="3">
        <f t="shared" si="673"/>
        <v>0</v>
      </c>
      <c r="CK131" s="7">
        <f t="shared" si="673"/>
        <v>0</v>
      </c>
      <c r="CL131" s="3">
        <f t="shared" si="673"/>
        <v>0</v>
      </c>
      <c r="CM131" s="7">
        <f t="shared" si="673"/>
        <v>0</v>
      </c>
      <c r="CN131" s="10">
        <f t="shared" si="673"/>
        <v>44783.638194444444</v>
      </c>
      <c r="CO131" s="10">
        <f t="shared" si="673"/>
        <v>44783.636701388888</v>
      </c>
      <c r="CP131" s="7">
        <f t="shared" si="673"/>
        <v>38295.69921875</v>
      </c>
      <c r="CQ131" s="7" t="str">
        <f t="shared" ref="CQ131" si="674">IFERROR(CQ436,"-")</f>
        <v>FairPrice</v>
      </c>
      <c r="CR131" s="10">
        <f t="shared" si="651"/>
        <v>44783.638194444444</v>
      </c>
      <c r="CS131" s="7">
        <f t="shared" si="651"/>
        <v>-342.38</v>
      </c>
      <c r="CT131" s="7">
        <f t="shared" si="651"/>
        <v>-1</v>
      </c>
      <c r="CU131" s="7">
        <f t="shared" si="651"/>
        <v>0</v>
      </c>
      <c r="CV131" s="7">
        <f t="shared" si="651"/>
        <v>0</v>
      </c>
      <c r="CW131" s="7">
        <f t="shared" si="651"/>
        <v>7395.4</v>
      </c>
      <c r="CX131" s="7">
        <f t="shared" si="651"/>
        <v>-1</v>
      </c>
      <c r="CY131" s="7">
        <f t="shared" si="651"/>
        <v>1.6499999761581421</v>
      </c>
      <c r="CZ131" s="7">
        <f t="shared" si="651"/>
        <v>0</v>
      </c>
      <c r="DA131" s="7">
        <f t="shared" si="651"/>
        <v>143300</v>
      </c>
      <c r="DB131" s="7">
        <f t="shared" si="651"/>
        <v>7.7110956036287509E-2</v>
      </c>
      <c r="DC131" s="7">
        <f t="shared" si="651"/>
        <v>2.3961067199707031E-3</v>
      </c>
      <c r="DD131" s="7">
        <f t="shared" si="651"/>
        <v>3.2961580817737464E-5</v>
      </c>
      <c r="DE131" s="7">
        <f t="shared" si="651"/>
        <v>1.6499999761581421</v>
      </c>
      <c r="DF131" s="7">
        <f t="shared" si="651"/>
        <v>7395.4</v>
      </c>
      <c r="DG131" s="7">
        <f t="shared" si="651"/>
        <v>38295.69921875</v>
      </c>
      <c r="DH131" s="7" t="str">
        <f t="shared" ref="DH131:DJ131" si="675">IFERROR(DH436,"-")</f>
        <v>W</v>
      </c>
      <c r="DI131" s="7" t="str">
        <f t="shared" si="675"/>
        <v>R</v>
      </c>
      <c r="DJ131" s="7" t="str">
        <f t="shared" si="675"/>
        <v>G</v>
      </c>
      <c r="DK131" s="64">
        <f t="shared" ref="DK131:DS131" si="676">IFERROR(VALUE(DK436),"-")</f>
        <v>38300</v>
      </c>
      <c r="DL131" s="64">
        <f t="shared" si="676"/>
        <v>3400000</v>
      </c>
      <c r="DM131" s="64">
        <f t="shared" si="676"/>
        <v>38500</v>
      </c>
      <c r="DN131" s="64">
        <f t="shared" si="676"/>
        <v>0</v>
      </c>
      <c r="DO131" s="64">
        <f t="shared" si="676"/>
        <v>24500</v>
      </c>
      <c r="DP131" s="64">
        <f t="shared" si="676"/>
        <v>2863350</v>
      </c>
      <c r="DQ131" s="64">
        <f t="shared" si="676"/>
        <v>38000</v>
      </c>
      <c r="DR131" s="64">
        <f t="shared" si="676"/>
        <v>0</v>
      </c>
      <c r="DS131" s="64">
        <f t="shared" si="676"/>
        <v>24500</v>
      </c>
      <c r="DT131" t="str">
        <f t="shared" si="669"/>
        <v>BANKNIFTY</v>
      </c>
      <c r="DU131" s="10">
        <f t="shared" si="670"/>
        <v>44784</v>
      </c>
    </row>
    <row r="132" spans="1:125" x14ac:dyDescent="0.25">
      <c r="A132" t="s">
        <v>47</v>
      </c>
      <c r="B132" s="2">
        <v>44798</v>
      </c>
      <c r="C132" s="1">
        <v>1500</v>
      </c>
      <c r="D132">
        <v>46</v>
      </c>
      <c r="G132" t="str">
        <f t="array" ref="G132">IFERROR(INDEX($A$2:$A$700,MATCH(0,COUNTIF($G$1:G131,$A$2:$A$700),0)),"")</f>
        <v>METROPOLIS</v>
      </c>
      <c r="M132" s="3"/>
      <c r="N132" s="3"/>
      <c r="O132" s="3">
        <f t="shared" si="671"/>
        <v>43000</v>
      </c>
      <c r="P132" s="7">
        <f t="shared" ref="P132:CA132" si="677">IFERROR(VALUE(P437),"-")</f>
        <v>0</v>
      </c>
      <c r="Q132" s="7">
        <f t="shared" si="677"/>
        <v>0</v>
      </c>
      <c r="R132" s="7">
        <f t="shared" si="677"/>
        <v>0</v>
      </c>
      <c r="S132" s="7">
        <f t="shared" si="677"/>
        <v>0</v>
      </c>
      <c r="T132" s="11">
        <f t="shared" si="677"/>
        <v>0</v>
      </c>
      <c r="U132" s="11">
        <f t="shared" si="677"/>
        <v>0</v>
      </c>
      <c r="V132" s="11">
        <f t="shared" si="677"/>
        <v>0</v>
      </c>
      <c r="W132" s="11">
        <f t="shared" si="677"/>
        <v>0</v>
      </c>
      <c r="X132" s="14">
        <f t="shared" si="677"/>
        <v>0</v>
      </c>
      <c r="Y132" s="14">
        <f t="shared" si="677"/>
        <v>0</v>
      </c>
      <c r="Z132" s="14">
        <f t="shared" si="677"/>
        <v>0</v>
      </c>
      <c r="AA132" s="14">
        <f t="shared" si="677"/>
        <v>0</v>
      </c>
      <c r="AB132" s="15">
        <f t="shared" si="677"/>
        <v>0</v>
      </c>
      <c r="AC132" s="15">
        <f t="shared" si="677"/>
        <v>0</v>
      </c>
      <c r="AD132" s="13">
        <f t="shared" si="677"/>
        <v>0</v>
      </c>
      <c r="AE132" s="13">
        <f t="shared" si="677"/>
        <v>0</v>
      </c>
      <c r="AF132" s="12">
        <f t="shared" si="677"/>
        <v>0</v>
      </c>
      <c r="AG132" s="12">
        <f t="shared" si="677"/>
        <v>0</v>
      </c>
      <c r="AH132" s="13">
        <f t="shared" si="677"/>
        <v>0</v>
      </c>
      <c r="AI132" s="13">
        <f t="shared" si="677"/>
        <v>0</v>
      </c>
      <c r="AJ132" s="11">
        <f t="shared" si="677"/>
        <v>0</v>
      </c>
      <c r="AK132" s="11">
        <f t="shared" si="677"/>
        <v>0</v>
      </c>
      <c r="AL132" s="11">
        <f t="shared" si="677"/>
        <v>0</v>
      </c>
      <c r="AM132" s="11">
        <f t="shared" si="677"/>
        <v>0</v>
      </c>
      <c r="AN132" s="11">
        <f t="shared" si="677"/>
        <v>0</v>
      </c>
      <c r="AO132" s="11">
        <f t="shared" si="677"/>
        <v>0</v>
      </c>
      <c r="AP132" s="11">
        <f t="shared" si="677"/>
        <v>0</v>
      </c>
      <c r="AQ132" s="11">
        <f t="shared" si="677"/>
        <v>0</v>
      </c>
      <c r="AR132" s="16">
        <f t="shared" si="677"/>
        <v>0</v>
      </c>
      <c r="AS132" s="16">
        <f t="shared" si="677"/>
        <v>0</v>
      </c>
      <c r="AT132" s="16">
        <f t="shared" si="677"/>
        <v>0</v>
      </c>
      <c r="AU132" s="7">
        <f t="shared" si="677"/>
        <v>0</v>
      </c>
      <c r="AV132" s="7">
        <f t="shared" si="677"/>
        <v>0</v>
      </c>
      <c r="AW132" s="7">
        <f t="shared" si="677"/>
        <v>1.6000000238418579</v>
      </c>
      <c r="AX132" s="7">
        <f t="shared" si="677"/>
        <v>0</v>
      </c>
      <c r="AY132" s="11">
        <f t="shared" si="677"/>
        <v>79.703760147094727</v>
      </c>
      <c r="AZ132" s="16">
        <f t="shared" si="677"/>
        <v>468600</v>
      </c>
      <c r="BA132" s="16">
        <f t="shared" si="677"/>
        <v>-300</v>
      </c>
      <c r="BB132" s="16">
        <f t="shared" si="677"/>
        <v>1048775</v>
      </c>
      <c r="BC132" s="11">
        <f t="shared" si="677"/>
        <v>3.2845740206539631E-3</v>
      </c>
      <c r="BD132" s="11">
        <f t="shared" si="677"/>
        <v>2.6542693376541138E-8</v>
      </c>
      <c r="BE132" s="11">
        <f t="shared" si="677"/>
        <v>-1.6000000238418579</v>
      </c>
      <c r="BF132" s="11">
        <f t="shared" si="677"/>
        <v>0</v>
      </c>
      <c r="BG132" s="11">
        <f t="shared" si="677"/>
        <v>0.20175695419311523</v>
      </c>
      <c r="BH132" s="11">
        <f t="shared" si="677"/>
        <v>-2.6375055313110352E-6</v>
      </c>
      <c r="BI132" s="13">
        <f t="shared" si="677"/>
        <v>6.1279351939447224E-6</v>
      </c>
      <c r="BJ132" s="13">
        <f t="shared" si="677"/>
        <v>9.9134922493249178E-11</v>
      </c>
      <c r="BK132" s="11">
        <f t="shared" si="677"/>
        <v>79.703760147094727</v>
      </c>
      <c r="BL132" s="12">
        <f t="shared" si="677"/>
        <v>55.523414611816406</v>
      </c>
      <c r="BM132" s="12">
        <f t="shared" si="677"/>
        <v>-1.0986328125E-3</v>
      </c>
      <c r="BN132" s="13">
        <f t="shared" si="677"/>
        <v>-21.522579193115234</v>
      </c>
      <c r="BO132" s="13">
        <f t="shared" si="677"/>
        <v>-7.495880126953125E-4</v>
      </c>
      <c r="BP132" s="15">
        <f t="shared" si="677"/>
        <v>1.0121473437152417E-8</v>
      </c>
      <c r="BQ132" s="15">
        <f t="shared" si="677"/>
        <v>2.4513724383723456E-13</v>
      </c>
      <c r="BR132" s="14">
        <f t="shared" si="677"/>
        <v>4.9990834668278694E-5</v>
      </c>
      <c r="BS132" s="14">
        <f t="shared" si="677"/>
        <v>1.1641532182693481E-10</v>
      </c>
      <c r="BT132" s="14">
        <f t="shared" si="677"/>
        <v>1.9377981516299769E-5</v>
      </c>
      <c r="BU132" s="14">
        <f t="shared" si="677"/>
        <v>1.1041265679523349E-9</v>
      </c>
      <c r="BV132" s="11">
        <f t="shared" si="677"/>
        <v>306713.15625</v>
      </c>
      <c r="BW132" s="11">
        <f t="shared" si="677"/>
        <v>-12.625</v>
      </c>
      <c r="BX132" s="11">
        <f t="shared" si="677"/>
        <v>134739.140625</v>
      </c>
      <c r="BY132" s="11">
        <f t="shared" si="677"/>
        <v>1.859375</v>
      </c>
      <c r="BZ132" s="7">
        <f t="shared" si="677"/>
        <v>1.7999999523162842</v>
      </c>
      <c r="CA132" s="7">
        <f t="shared" si="677"/>
        <v>1.8500000238418579</v>
      </c>
      <c r="CB132" s="7">
        <f t="shared" ref="CB132:CP132" si="678">IFERROR(VALUE(CB437),"-")</f>
        <v>1.3999999761581421</v>
      </c>
      <c r="CC132" s="7">
        <f t="shared" si="678"/>
        <v>1.6000000238418579</v>
      </c>
      <c r="CD132" s="7">
        <f t="shared" si="678"/>
        <v>1.6499999761581421</v>
      </c>
      <c r="CE132" s="3">
        <f t="shared" si="678"/>
        <v>5000</v>
      </c>
      <c r="CF132" s="7">
        <f t="shared" si="678"/>
        <v>1.6000000238418579</v>
      </c>
      <c r="CG132" s="3">
        <f t="shared" si="678"/>
        <v>2900</v>
      </c>
      <c r="CH132" s="7">
        <f t="shared" si="678"/>
        <v>1.6599999666213989</v>
      </c>
      <c r="CI132" s="7">
        <f t="shared" si="678"/>
        <v>4795.75</v>
      </c>
      <c r="CJ132" s="3">
        <f t="shared" si="678"/>
        <v>125</v>
      </c>
      <c r="CK132" s="7">
        <f t="shared" si="678"/>
        <v>4500.14990234375</v>
      </c>
      <c r="CL132" s="3">
        <f t="shared" si="678"/>
        <v>500</v>
      </c>
      <c r="CM132" s="7">
        <f t="shared" si="678"/>
        <v>0</v>
      </c>
      <c r="CN132" s="10">
        <f t="shared" si="678"/>
        <v>44783.638194444444</v>
      </c>
      <c r="CO132" s="10">
        <f t="shared" si="678"/>
        <v>44783.638194444444</v>
      </c>
      <c r="CP132" s="7">
        <f t="shared" si="678"/>
        <v>38295.69921875</v>
      </c>
      <c r="CQ132" s="7" t="str">
        <f t="shared" ref="CQ132" si="679">IFERROR(CQ437,"-")</f>
        <v>FairPrice</v>
      </c>
      <c r="CR132" s="10">
        <f t="shared" si="651"/>
        <v>44783.638194444444</v>
      </c>
      <c r="CS132" s="7">
        <f t="shared" si="651"/>
        <v>0</v>
      </c>
      <c r="CT132" s="7">
        <f t="shared" si="651"/>
        <v>0</v>
      </c>
      <c r="CU132" s="7">
        <f t="shared" si="651"/>
        <v>0</v>
      </c>
      <c r="CV132" s="7">
        <f t="shared" si="651"/>
        <v>0</v>
      </c>
      <c r="CW132" s="7">
        <f t="shared" si="651"/>
        <v>0</v>
      </c>
      <c r="CX132" s="7">
        <f t="shared" si="651"/>
        <v>0</v>
      </c>
      <c r="CY132" s="7">
        <f t="shared" si="651"/>
        <v>1.6000000238418579</v>
      </c>
      <c r="CZ132" s="7">
        <f t="shared" si="651"/>
        <v>0</v>
      </c>
      <c r="DA132" s="7">
        <f t="shared" si="651"/>
        <v>468900</v>
      </c>
      <c r="DB132" s="7">
        <f t="shared" si="651"/>
        <v>-6.3979526551503517E-4</v>
      </c>
      <c r="DC132" s="7">
        <f t="shared" si="651"/>
        <v>9.1195106506347656E-4</v>
      </c>
      <c r="DD132" s="7">
        <f t="shared" si="651"/>
        <v>1.1441888034170712E-5</v>
      </c>
      <c r="DE132" s="7">
        <f t="shared" si="651"/>
        <v>1.6000000238418579</v>
      </c>
      <c r="DF132" s="7">
        <f t="shared" si="651"/>
        <v>0</v>
      </c>
      <c r="DG132" s="7">
        <f t="shared" si="651"/>
        <v>38295.69921875</v>
      </c>
      <c r="DH132" s="7" t="str">
        <f t="shared" ref="DH132:DJ132" si="680">IFERROR(DH437,"-")</f>
        <v>W</v>
      </c>
      <c r="DI132" s="7" t="str">
        <f t="shared" si="680"/>
        <v>W</v>
      </c>
      <c r="DJ132" s="7" t="str">
        <f t="shared" si="680"/>
        <v>G</v>
      </c>
      <c r="DK132" s="64">
        <f t="shared" ref="DK132:DS132" si="681">IFERROR(VALUE(DK437),"-")</f>
        <v>38300</v>
      </c>
      <c r="DL132" s="64">
        <f t="shared" si="681"/>
        <v>3400000</v>
      </c>
      <c r="DM132" s="64">
        <f t="shared" si="681"/>
        <v>38500</v>
      </c>
      <c r="DN132" s="64">
        <f t="shared" si="681"/>
        <v>0</v>
      </c>
      <c r="DO132" s="64">
        <f t="shared" si="681"/>
        <v>24500</v>
      </c>
      <c r="DP132" s="64">
        <f t="shared" si="681"/>
        <v>2863350</v>
      </c>
      <c r="DQ132" s="64">
        <f t="shared" si="681"/>
        <v>38000</v>
      </c>
      <c r="DR132" s="64">
        <f t="shared" si="681"/>
        <v>0</v>
      </c>
      <c r="DS132" s="64">
        <f t="shared" si="681"/>
        <v>24500</v>
      </c>
      <c r="DT132" t="str">
        <f t="shared" si="669"/>
        <v>BANKNIFTY</v>
      </c>
      <c r="DU132" s="10">
        <f t="shared" si="670"/>
        <v>44784</v>
      </c>
    </row>
    <row r="133" spans="1:125" x14ac:dyDescent="0.25">
      <c r="A133" t="s">
        <v>47</v>
      </c>
      <c r="B133" s="2">
        <v>44833</v>
      </c>
      <c r="C133" s="1">
        <v>1500</v>
      </c>
      <c r="D133">
        <v>46</v>
      </c>
      <c r="G133" t="str">
        <f t="array" ref="G133">IFERROR(INDEX($A$2:$A$700,MATCH(0,COUNTIF($G$1:G132,$A$2:$A$700),0)),"")</f>
        <v>MFSL</v>
      </c>
      <c r="M133" s="3"/>
      <c r="N133" s="3"/>
      <c r="O133" s="3">
        <f t="shared" si="671"/>
        <v>43500</v>
      </c>
      <c r="P133" s="7">
        <f t="shared" ref="P133:CA133" si="682">IFERROR(VALUE(P438),"-")</f>
        <v>0</v>
      </c>
      <c r="Q133" s="7">
        <f t="shared" si="682"/>
        <v>0</v>
      </c>
      <c r="R133" s="7">
        <f t="shared" si="682"/>
        <v>0</v>
      </c>
      <c r="S133" s="7">
        <f t="shared" si="682"/>
        <v>0</v>
      </c>
      <c r="T133" s="11">
        <f t="shared" si="682"/>
        <v>0</v>
      </c>
      <c r="U133" s="11">
        <f t="shared" si="682"/>
        <v>0</v>
      </c>
      <c r="V133" s="11">
        <f t="shared" si="682"/>
        <v>0</v>
      </c>
      <c r="W133" s="11">
        <f t="shared" si="682"/>
        <v>0</v>
      </c>
      <c r="X133" s="14">
        <f t="shared" si="682"/>
        <v>0</v>
      </c>
      <c r="Y133" s="14">
        <f t="shared" si="682"/>
        <v>0</v>
      </c>
      <c r="Z133" s="14">
        <f t="shared" si="682"/>
        <v>0</v>
      </c>
      <c r="AA133" s="14">
        <f t="shared" si="682"/>
        <v>0</v>
      </c>
      <c r="AB133" s="15">
        <f t="shared" si="682"/>
        <v>0</v>
      </c>
      <c r="AC133" s="15">
        <f t="shared" si="682"/>
        <v>0</v>
      </c>
      <c r="AD133" s="13">
        <f t="shared" si="682"/>
        <v>0</v>
      </c>
      <c r="AE133" s="13">
        <f t="shared" si="682"/>
        <v>0</v>
      </c>
      <c r="AF133" s="12">
        <f t="shared" si="682"/>
        <v>0</v>
      </c>
      <c r="AG133" s="12">
        <f t="shared" si="682"/>
        <v>0</v>
      </c>
      <c r="AH133" s="13">
        <f t="shared" si="682"/>
        <v>0</v>
      </c>
      <c r="AI133" s="13">
        <f t="shared" si="682"/>
        <v>0</v>
      </c>
      <c r="AJ133" s="11">
        <f t="shared" si="682"/>
        <v>0</v>
      </c>
      <c r="AK133" s="11">
        <f t="shared" si="682"/>
        <v>0</v>
      </c>
      <c r="AL133" s="11">
        <f t="shared" si="682"/>
        <v>0</v>
      </c>
      <c r="AM133" s="11">
        <f t="shared" si="682"/>
        <v>0</v>
      </c>
      <c r="AN133" s="11">
        <f t="shared" si="682"/>
        <v>0</v>
      </c>
      <c r="AO133" s="11">
        <f t="shared" si="682"/>
        <v>0</v>
      </c>
      <c r="AP133" s="11">
        <f t="shared" si="682"/>
        <v>0</v>
      </c>
      <c r="AQ133" s="11">
        <f t="shared" si="682"/>
        <v>0</v>
      </c>
      <c r="AR133" s="16">
        <f t="shared" si="682"/>
        <v>0</v>
      </c>
      <c r="AS133" s="16">
        <f t="shared" si="682"/>
        <v>0</v>
      </c>
      <c r="AT133" s="16">
        <f t="shared" si="682"/>
        <v>0</v>
      </c>
      <c r="AU133" s="7">
        <f t="shared" si="682"/>
        <v>0</v>
      </c>
      <c r="AV133" s="7">
        <f t="shared" si="682"/>
        <v>0</v>
      </c>
      <c r="AW133" s="7">
        <f t="shared" si="682"/>
        <v>0</v>
      </c>
      <c r="AX133" s="7">
        <f t="shared" si="682"/>
        <v>0</v>
      </c>
      <c r="AY133" s="11">
        <f t="shared" si="682"/>
        <v>0</v>
      </c>
      <c r="AZ133" s="16">
        <f t="shared" si="682"/>
        <v>0</v>
      </c>
      <c r="BA133" s="16">
        <f t="shared" si="682"/>
        <v>0</v>
      </c>
      <c r="BB133" s="16">
        <f t="shared" si="682"/>
        <v>0</v>
      </c>
      <c r="BC133" s="11">
        <f t="shared" si="682"/>
        <v>0</v>
      </c>
      <c r="BD133" s="11">
        <f t="shared" si="682"/>
        <v>0</v>
      </c>
      <c r="BE133" s="11">
        <f t="shared" si="682"/>
        <v>0</v>
      </c>
      <c r="BF133" s="11">
        <f t="shared" si="682"/>
        <v>0</v>
      </c>
      <c r="BG133" s="11">
        <f t="shared" si="682"/>
        <v>0</v>
      </c>
      <c r="BH133" s="11">
        <f t="shared" si="682"/>
        <v>0</v>
      </c>
      <c r="BI133" s="13">
        <f t="shared" si="682"/>
        <v>0</v>
      </c>
      <c r="BJ133" s="13">
        <f t="shared" si="682"/>
        <v>0</v>
      </c>
      <c r="BK133" s="11">
        <f t="shared" si="682"/>
        <v>0</v>
      </c>
      <c r="BL133" s="12">
        <f t="shared" si="682"/>
        <v>0</v>
      </c>
      <c r="BM133" s="12">
        <f t="shared" si="682"/>
        <v>0</v>
      </c>
      <c r="BN133" s="13">
        <f t="shared" si="682"/>
        <v>0</v>
      </c>
      <c r="BO133" s="13">
        <f t="shared" si="682"/>
        <v>0</v>
      </c>
      <c r="BP133" s="15">
        <f t="shared" si="682"/>
        <v>0</v>
      </c>
      <c r="BQ133" s="15">
        <f t="shared" si="682"/>
        <v>0</v>
      </c>
      <c r="BR133" s="14">
        <f t="shared" si="682"/>
        <v>0</v>
      </c>
      <c r="BS133" s="14">
        <f t="shared" si="682"/>
        <v>0</v>
      </c>
      <c r="BT133" s="14">
        <f t="shared" si="682"/>
        <v>0</v>
      </c>
      <c r="BU133" s="14">
        <f t="shared" si="682"/>
        <v>0</v>
      </c>
      <c r="BV133" s="11">
        <f t="shared" si="682"/>
        <v>0</v>
      </c>
      <c r="BW133" s="11">
        <f t="shared" si="682"/>
        <v>0</v>
      </c>
      <c r="BX133" s="11">
        <f t="shared" si="682"/>
        <v>0</v>
      </c>
      <c r="BY133" s="11">
        <f t="shared" si="682"/>
        <v>0</v>
      </c>
      <c r="BZ133" s="7">
        <f t="shared" si="682"/>
        <v>0</v>
      </c>
      <c r="CA133" s="7">
        <f t="shared" si="682"/>
        <v>0</v>
      </c>
      <c r="CB133" s="7">
        <f t="shared" ref="CB133:CP133" si="683">IFERROR(VALUE(CB438),"-")</f>
        <v>0</v>
      </c>
      <c r="CC133" s="7">
        <f t="shared" si="683"/>
        <v>0</v>
      </c>
      <c r="CD133" s="7">
        <f t="shared" si="683"/>
        <v>0</v>
      </c>
      <c r="CE133" s="3">
        <f t="shared" si="683"/>
        <v>0</v>
      </c>
      <c r="CF133" s="7">
        <f t="shared" si="683"/>
        <v>0</v>
      </c>
      <c r="CG133" s="3">
        <f t="shared" si="683"/>
        <v>0</v>
      </c>
      <c r="CH133" s="7">
        <f t="shared" si="683"/>
        <v>0</v>
      </c>
      <c r="CI133" s="7">
        <f t="shared" si="683"/>
        <v>0</v>
      </c>
      <c r="CJ133" s="3">
        <f t="shared" si="683"/>
        <v>0</v>
      </c>
      <c r="CK133" s="7">
        <f t="shared" si="683"/>
        <v>0</v>
      </c>
      <c r="CL133" s="3">
        <f t="shared" si="683"/>
        <v>0</v>
      </c>
      <c r="CM133" s="7">
        <f t="shared" si="683"/>
        <v>0</v>
      </c>
      <c r="CN133" s="10">
        <f t="shared" si="683"/>
        <v>44783.636701388888</v>
      </c>
      <c r="CO133" s="10">
        <f t="shared" si="683"/>
        <v>44783.636701388888</v>
      </c>
      <c r="CP133" s="7">
        <f t="shared" si="683"/>
        <v>38295.69921875</v>
      </c>
      <c r="CQ133" s="7" t="str">
        <f t="shared" ref="CQ133" si="684">IFERROR(CQ438,"-")</f>
        <v>FairPrice</v>
      </c>
      <c r="CR133" s="10">
        <f t="shared" si="651"/>
        <v>44783.638194444444</v>
      </c>
      <c r="CS133" s="7">
        <f t="shared" si="651"/>
        <v>0</v>
      </c>
      <c r="CT133" s="7">
        <f t="shared" si="651"/>
        <v>0</v>
      </c>
      <c r="CU133" s="7">
        <f t="shared" si="651"/>
        <v>0</v>
      </c>
      <c r="CV133" s="7">
        <f t="shared" si="651"/>
        <v>0</v>
      </c>
      <c r="CW133" s="7">
        <f t="shared" si="651"/>
        <v>0</v>
      </c>
      <c r="CX133" s="7">
        <f t="shared" si="651"/>
        <v>0</v>
      </c>
      <c r="CY133" s="7">
        <f t="shared" si="651"/>
        <v>0</v>
      </c>
      <c r="CZ133" s="7">
        <f t="shared" si="651"/>
        <v>0</v>
      </c>
      <c r="DA133" s="7">
        <f t="shared" si="651"/>
        <v>0</v>
      </c>
      <c r="DB133" s="7">
        <f t="shared" si="651"/>
        <v>0</v>
      </c>
      <c r="DC133" s="7">
        <f t="shared" si="651"/>
        <v>0</v>
      </c>
      <c r="DD133" s="7">
        <f t="shared" si="651"/>
        <v>0</v>
      </c>
      <c r="DE133" s="7">
        <f t="shared" si="651"/>
        <v>0</v>
      </c>
      <c r="DF133" s="7">
        <f t="shared" si="651"/>
        <v>0</v>
      </c>
      <c r="DG133" s="7">
        <f t="shared" si="651"/>
        <v>38295.69921875</v>
      </c>
      <c r="DH133" s="7" t="str">
        <f t="shared" ref="DH133:DJ133" si="685">IFERROR(DH438,"-")</f>
        <v>W</v>
      </c>
      <c r="DI133" s="7" t="str">
        <f t="shared" si="685"/>
        <v>W</v>
      </c>
      <c r="DJ133" s="7" t="str">
        <f t="shared" si="685"/>
        <v>G</v>
      </c>
      <c r="DK133" s="64">
        <f t="shared" ref="DK133:DS133" si="686">IFERROR(VALUE(DK438),"-")</f>
        <v>38300</v>
      </c>
      <c r="DL133" s="64">
        <f t="shared" si="686"/>
        <v>3400000</v>
      </c>
      <c r="DM133" s="64">
        <f t="shared" si="686"/>
        <v>38500</v>
      </c>
      <c r="DN133" s="64">
        <f t="shared" si="686"/>
        <v>0</v>
      </c>
      <c r="DO133" s="64">
        <f t="shared" si="686"/>
        <v>24500</v>
      </c>
      <c r="DP133" s="64">
        <f t="shared" si="686"/>
        <v>2863350</v>
      </c>
      <c r="DQ133" s="64">
        <f t="shared" si="686"/>
        <v>38000</v>
      </c>
      <c r="DR133" s="64">
        <f t="shared" si="686"/>
        <v>0</v>
      </c>
      <c r="DS133" s="64">
        <f t="shared" si="686"/>
        <v>24500</v>
      </c>
      <c r="DT133" t="str">
        <f t="shared" si="669"/>
        <v>BANKNIFTY</v>
      </c>
      <c r="DU133" s="10">
        <f t="shared" si="670"/>
        <v>44784</v>
      </c>
    </row>
    <row r="134" spans="1:125" x14ac:dyDescent="0.25">
      <c r="A134" t="s">
        <v>47</v>
      </c>
      <c r="B134" s="2">
        <v>44861</v>
      </c>
      <c r="C134" s="1">
        <v>1500</v>
      </c>
      <c r="D134">
        <v>46</v>
      </c>
      <c r="G134" t="str">
        <f t="array" ref="G134">IFERROR(INDEX($A$2:$A$700,MATCH(0,COUNTIF($G$1:G133,$A$2:$A$700),0)),"")</f>
        <v>MGL</v>
      </c>
      <c r="M134" s="3"/>
      <c r="N134" s="3"/>
      <c r="O134" s="3">
        <f t="shared" si="671"/>
        <v>44000</v>
      </c>
      <c r="P134" s="7">
        <f t="shared" ref="P134:CA134" si="687">IFERROR(VALUE(P439),"-")</f>
        <v>0</v>
      </c>
      <c r="Q134" s="7">
        <f t="shared" si="687"/>
        <v>0</v>
      </c>
      <c r="R134" s="7">
        <f t="shared" si="687"/>
        <v>0</v>
      </c>
      <c r="S134" s="7">
        <f t="shared" si="687"/>
        <v>0</v>
      </c>
      <c r="T134" s="11">
        <f t="shared" si="687"/>
        <v>0</v>
      </c>
      <c r="U134" s="11">
        <f t="shared" si="687"/>
        <v>0</v>
      </c>
      <c r="V134" s="11">
        <f t="shared" si="687"/>
        <v>0</v>
      </c>
      <c r="W134" s="11">
        <f t="shared" si="687"/>
        <v>0</v>
      </c>
      <c r="X134" s="14">
        <f t="shared" si="687"/>
        <v>0</v>
      </c>
      <c r="Y134" s="14">
        <f t="shared" si="687"/>
        <v>0</v>
      </c>
      <c r="Z134" s="14">
        <f t="shared" si="687"/>
        <v>0</v>
      </c>
      <c r="AA134" s="14">
        <f t="shared" si="687"/>
        <v>0</v>
      </c>
      <c r="AB134" s="15">
        <f t="shared" si="687"/>
        <v>0</v>
      </c>
      <c r="AC134" s="15">
        <f t="shared" si="687"/>
        <v>0</v>
      </c>
      <c r="AD134" s="13">
        <f t="shared" si="687"/>
        <v>0</v>
      </c>
      <c r="AE134" s="13">
        <f t="shared" si="687"/>
        <v>0</v>
      </c>
      <c r="AF134" s="12">
        <f t="shared" si="687"/>
        <v>0</v>
      </c>
      <c r="AG134" s="12">
        <f t="shared" si="687"/>
        <v>0</v>
      </c>
      <c r="AH134" s="13">
        <f t="shared" si="687"/>
        <v>0</v>
      </c>
      <c r="AI134" s="13">
        <f t="shared" si="687"/>
        <v>0</v>
      </c>
      <c r="AJ134" s="11">
        <f t="shared" si="687"/>
        <v>0</v>
      </c>
      <c r="AK134" s="11">
        <f t="shared" si="687"/>
        <v>0</v>
      </c>
      <c r="AL134" s="11">
        <f t="shared" si="687"/>
        <v>0</v>
      </c>
      <c r="AM134" s="11">
        <f t="shared" si="687"/>
        <v>0</v>
      </c>
      <c r="AN134" s="11">
        <f t="shared" si="687"/>
        <v>0</v>
      </c>
      <c r="AO134" s="11">
        <f t="shared" si="687"/>
        <v>0</v>
      </c>
      <c r="AP134" s="11">
        <f t="shared" si="687"/>
        <v>0</v>
      </c>
      <c r="AQ134" s="11">
        <f t="shared" si="687"/>
        <v>0</v>
      </c>
      <c r="AR134" s="16">
        <f t="shared" si="687"/>
        <v>0</v>
      </c>
      <c r="AS134" s="16">
        <f t="shared" si="687"/>
        <v>0</v>
      </c>
      <c r="AT134" s="16">
        <f t="shared" si="687"/>
        <v>0</v>
      </c>
      <c r="AU134" s="7">
        <f t="shared" si="687"/>
        <v>0</v>
      </c>
      <c r="AV134" s="7">
        <f t="shared" si="687"/>
        <v>0</v>
      </c>
      <c r="AW134" s="7">
        <f t="shared" si="687"/>
        <v>0</v>
      </c>
      <c r="AX134" s="7">
        <f t="shared" si="687"/>
        <v>0</v>
      </c>
      <c r="AY134" s="11">
        <f t="shared" si="687"/>
        <v>0</v>
      </c>
      <c r="AZ134" s="16">
        <f t="shared" si="687"/>
        <v>0</v>
      </c>
      <c r="BA134" s="16">
        <f t="shared" si="687"/>
        <v>0</v>
      </c>
      <c r="BB134" s="16">
        <f t="shared" si="687"/>
        <v>0</v>
      </c>
      <c r="BC134" s="11">
        <f t="shared" si="687"/>
        <v>0</v>
      </c>
      <c r="BD134" s="11">
        <f t="shared" si="687"/>
        <v>0</v>
      </c>
      <c r="BE134" s="11">
        <f t="shared" si="687"/>
        <v>0</v>
      </c>
      <c r="BF134" s="11">
        <f t="shared" si="687"/>
        <v>0</v>
      </c>
      <c r="BG134" s="11">
        <f t="shared" si="687"/>
        <v>0</v>
      </c>
      <c r="BH134" s="11">
        <f t="shared" si="687"/>
        <v>0</v>
      </c>
      <c r="BI134" s="13">
        <f t="shared" si="687"/>
        <v>0</v>
      </c>
      <c r="BJ134" s="13">
        <f t="shared" si="687"/>
        <v>0</v>
      </c>
      <c r="BK134" s="11">
        <f t="shared" si="687"/>
        <v>0</v>
      </c>
      <c r="BL134" s="12">
        <f t="shared" si="687"/>
        <v>0</v>
      </c>
      <c r="BM134" s="12">
        <f t="shared" si="687"/>
        <v>0</v>
      </c>
      <c r="BN134" s="13">
        <f t="shared" si="687"/>
        <v>0</v>
      </c>
      <c r="BO134" s="13">
        <f t="shared" si="687"/>
        <v>0</v>
      </c>
      <c r="BP134" s="15">
        <f t="shared" si="687"/>
        <v>0</v>
      </c>
      <c r="BQ134" s="15">
        <f t="shared" si="687"/>
        <v>0</v>
      </c>
      <c r="BR134" s="14">
        <f t="shared" si="687"/>
        <v>0</v>
      </c>
      <c r="BS134" s="14">
        <f t="shared" si="687"/>
        <v>0</v>
      </c>
      <c r="BT134" s="14">
        <f t="shared" si="687"/>
        <v>0</v>
      </c>
      <c r="BU134" s="14">
        <f t="shared" si="687"/>
        <v>0</v>
      </c>
      <c r="BV134" s="11">
        <f t="shared" si="687"/>
        <v>0</v>
      </c>
      <c r="BW134" s="11">
        <f t="shared" si="687"/>
        <v>0</v>
      </c>
      <c r="BX134" s="11">
        <f t="shared" si="687"/>
        <v>0</v>
      </c>
      <c r="BY134" s="11">
        <f t="shared" si="687"/>
        <v>0</v>
      </c>
      <c r="BZ134" s="7">
        <f t="shared" si="687"/>
        <v>0</v>
      </c>
      <c r="CA134" s="7">
        <f t="shared" si="687"/>
        <v>0</v>
      </c>
      <c r="CB134" s="7">
        <f t="shared" ref="CB134:CP134" si="688">IFERROR(VALUE(CB439),"-")</f>
        <v>0</v>
      </c>
      <c r="CC134" s="7">
        <f t="shared" si="688"/>
        <v>0</v>
      </c>
      <c r="CD134" s="7">
        <f t="shared" si="688"/>
        <v>0</v>
      </c>
      <c r="CE134" s="3">
        <f t="shared" si="688"/>
        <v>0</v>
      </c>
      <c r="CF134" s="7">
        <f t="shared" si="688"/>
        <v>0</v>
      </c>
      <c r="CG134" s="3">
        <f t="shared" si="688"/>
        <v>0</v>
      </c>
      <c r="CH134" s="7">
        <f t="shared" si="688"/>
        <v>0</v>
      </c>
      <c r="CI134" s="7">
        <f t="shared" si="688"/>
        <v>0</v>
      </c>
      <c r="CJ134" s="3">
        <f t="shared" si="688"/>
        <v>0</v>
      </c>
      <c r="CK134" s="7">
        <f t="shared" si="688"/>
        <v>0</v>
      </c>
      <c r="CL134" s="3">
        <f t="shared" si="688"/>
        <v>0</v>
      </c>
      <c r="CM134" s="7">
        <f t="shared" si="688"/>
        <v>0</v>
      </c>
      <c r="CN134" s="10">
        <f t="shared" si="688"/>
        <v>44783.636701388888</v>
      </c>
      <c r="CO134" s="10">
        <f t="shared" si="688"/>
        <v>44783.636701388888</v>
      </c>
      <c r="CP134" s="7">
        <f t="shared" si="688"/>
        <v>38295.69921875</v>
      </c>
      <c r="CQ134" s="7" t="str">
        <f t="shared" ref="CQ134" si="689">IFERROR(CQ439,"-")</f>
        <v>FairPrice</v>
      </c>
      <c r="CR134" s="10">
        <f t="shared" si="651"/>
        <v>44783.638194444444</v>
      </c>
      <c r="CS134" s="7">
        <f t="shared" si="651"/>
        <v>0</v>
      </c>
      <c r="CT134" s="7">
        <f t="shared" si="651"/>
        <v>0</v>
      </c>
      <c r="CU134" s="7">
        <f t="shared" si="651"/>
        <v>0</v>
      </c>
      <c r="CV134" s="7">
        <f t="shared" si="651"/>
        <v>0</v>
      </c>
      <c r="CW134" s="7">
        <f t="shared" si="651"/>
        <v>0</v>
      </c>
      <c r="CX134" s="7">
        <f t="shared" si="651"/>
        <v>0</v>
      </c>
      <c r="CY134" s="7">
        <f t="shared" si="651"/>
        <v>0</v>
      </c>
      <c r="CZ134" s="7">
        <f t="shared" si="651"/>
        <v>0</v>
      </c>
      <c r="DA134" s="7">
        <f t="shared" si="651"/>
        <v>0</v>
      </c>
      <c r="DB134" s="7">
        <f t="shared" si="651"/>
        <v>0</v>
      </c>
      <c r="DC134" s="7">
        <f t="shared" si="651"/>
        <v>0</v>
      </c>
      <c r="DD134" s="7">
        <f t="shared" si="651"/>
        <v>0</v>
      </c>
      <c r="DE134" s="7">
        <f t="shared" si="651"/>
        <v>0</v>
      </c>
      <c r="DF134" s="7">
        <f t="shared" si="651"/>
        <v>0</v>
      </c>
      <c r="DG134" s="7">
        <f t="shared" si="651"/>
        <v>38295.69921875</v>
      </c>
      <c r="DH134" s="7" t="str">
        <f t="shared" ref="DH134:DJ134" si="690">IFERROR(DH439,"-")</f>
        <v>W</v>
      </c>
      <c r="DI134" s="7" t="str">
        <f t="shared" si="690"/>
        <v>W</v>
      </c>
      <c r="DJ134" s="7" t="str">
        <f t="shared" si="690"/>
        <v>G</v>
      </c>
      <c r="DK134" s="64">
        <f t="shared" ref="DK134:DS134" si="691">IFERROR(VALUE(DK439),"-")</f>
        <v>38300</v>
      </c>
      <c r="DL134" s="64">
        <f t="shared" si="691"/>
        <v>3400000</v>
      </c>
      <c r="DM134" s="64">
        <f t="shared" si="691"/>
        <v>38500</v>
      </c>
      <c r="DN134" s="64">
        <f t="shared" si="691"/>
        <v>0</v>
      </c>
      <c r="DO134" s="64">
        <f t="shared" si="691"/>
        <v>24500</v>
      </c>
      <c r="DP134" s="64">
        <f t="shared" si="691"/>
        <v>2863350</v>
      </c>
      <c r="DQ134" s="64">
        <f t="shared" si="691"/>
        <v>38000</v>
      </c>
      <c r="DR134" s="64">
        <f t="shared" si="691"/>
        <v>0</v>
      </c>
      <c r="DS134" s="64">
        <f t="shared" si="691"/>
        <v>24500</v>
      </c>
      <c r="DT134" t="str">
        <f t="shared" si="669"/>
        <v>BANKNIFTY</v>
      </c>
      <c r="DU134" s="10">
        <f t="shared" si="670"/>
        <v>44784</v>
      </c>
    </row>
    <row r="135" spans="1:125" x14ac:dyDescent="0.25">
      <c r="A135" t="s">
        <v>48</v>
      </c>
      <c r="B135" s="2">
        <v>44798</v>
      </c>
      <c r="C135" s="1">
        <v>1250</v>
      </c>
      <c r="D135">
        <v>70</v>
      </c>
      <c r="G135" t="str">
        <f t="array" ref="G135">IFERROR(INDEX($A$2:$A$700,MATCH(0,COUNTIF($G$1:G134,$A$2:$A$700),0)),"")</f>
        <v>MIDCPNIFTY</v>
      </c>
      <c r="M135" s="3"/>
      <c r="N135" s="3"/>
      <c r="O135" s="3">
        <f t="shared" si="671"/>
        <v>44500</v>
      </c>
      <c r="P135" s="7">
        <f t="shared" ref="P135:CA135" si="692">IFERROR(VALUE(P440),"-")</f>
        <v>0</v>
      </c>
      <c r="Q135" s="7">
        <f t="shared" si="692"/>
        <v>0</v>
      </c>
      <c r="R135" s="7">
        <f t="shared" si="692"/>
        <v>0</v>
      </c>
      <c r="S135" s="7">
        <f t="shared" si="692"/>
        <v>0</v>
      </c>
      <c r="T135" s="11">
        <f t="shared" si="692"/>
        <v>0</v>
      </c>
      <c r="U135" s="11">
        <f t="shared" si="692"/>
        <v>0</v>
      </c>
      <c r="V135" s="11">
        <f t="shared" si="692"/>
        <v>0</v>
      </c>
      <c r="W135" s="11">
        <f t="shared" si="692"/>
        <v>0</v>
      </c>
      <c r="X135" s="14">
        <f t="shared" si="692"/>
        <v>0</v>
      </c>
      <c r="Y135" s="14">
        <f t="shared" si="692"/>
        <v>0</v>
      </c>
      <c r="Z135" s="14">
        <f t="shared" si="692"/>
        <v>0</v>
      </c>
      <c r="AA135" s="14">
        <f t="shared" si="692"/>
        <v>0</v>
      </c>
      <c r="AB135" s="15">
        <f t="shared" si="692"/>
        <v>0</v>
      </c>
      <c r="AC135" s="15">
        <f t="shared" si="692"/>
        <v>0</v>
      </c>
      <c r="AD135" s="13">
        <f t="shared" si="692"/>
        <v>0</v>
      </c>
      <c r="AE135" s="13">
        <f t="shared" si="692"/>
        <v>0</v>
      </c>
      <c r="AF135" s="12">
        <f t="shared" si="692"/>
        <v>0</v>
      </c>
      <c r="AG135" s="12">
        <f t="shared" si="692"/>
        <v>0</v>
      </c>
      <c r="AH135" s="13">
        <f t="shared" si="692"/>
        <v>0</v>
      </c>
      <c r="AI135" s="13">
        <f t="shared" si="692"/>
        <v>0</v>
      </c>
      <c r="AJ135" s="11">
        <f t="shared" si="692"/>
        <v>0</v>
      </c>
      <c r="AK135" s="11">
        <f t="shared" si="692"/>
        <v>0</v>
      </c>
      <c r="AL135" s="11">
        <f t="shared" si="692"/>
        <v>0</v>
      </c>
      <c r="AM135" s="11">
        <f t="shared" si="692"/>
        <v>0</v>
      </c>
      <c r="AN135" s="11">
        <f t="shared" si="692"/>
        <v>0</v>
      </c>
      <c r="AO135" s="11">
        <f t="shared" si="692"/>
        <v>0</v>
      </c>
      <c r="AP135" s="11">
        <f t="shared" si="692"/>
        <v>0</v>
      </c>
      <c r="AQ135" s="11">
        <f t="shared" si="692"/>
        <v>0</v>
      </c>
      <c r="AR135" s="16">
        <f t="shared" si="692"/>
        <v>0</v>
      </c>
      <c r="AS135" s="16">
        <f t="shared" si="692"/>
        <v>0</v>
      </c>
      <c r="AT135" s="16">
        <f t="shared" si="692"/>
        <v>0</v>
      </c>
      <c r="AU135" s="7">
        <f t="shared" si="692"/>
        <v>0</v>
      </c>
      <c r="AV135" s="7">
        <f t="shared" si="692"/>
        <v>0</v>
      </c>
      <c r="AW135" s="7">
        <f t="shared" si="692"/>
        <v>0</v>
      </c>
      <c r="AX135" s="7">
        <f t="shared" si="692"/>
        <v>0</v>
      </c>
      <c r="AY135" s="11">
        <f t="shared" si="692"/>
        <v>0</v>
      </c>
      <c r="AZ135" s="16">
        <f t="shared" si="692"/>
        <v>0</v>
      </c>
      <c r="BA135" s="16">
        <f t="shared" si="692"/>
        <v>0</v>
      </c>
      <c r="BB135" s="16">
        <f t="shared" si="692"/>
        <v>0</v>
      </c>
      <c r="BC135" s="11">
        <f t="shared" si="692"/>
        <v>0</v>
      </c>
      <c r="BD135" s="11">
        <f t="shared" si="692"/>
        <v>0</v>
      </c>
      <c r="BE135" s="11">
        <f t="shared" si="692"/>
        <v>0</v>
      </c>
      <c r="BF135" s="11">
        <f t="shared" si="692"/>
        <v>0</v>
      </c>
      <c r="BG135" s="11">
        <f t="shared" si="692"/>
        <v>0</v>
      </c>
      <c r="BH135" s="11">
        <f t="shared" si="692"/>
        <v>0</v>
      </c>
      <c r="BI135" s="13">
        <f t="shared" si="692"/>
        <v>0</v>
      </c>
      <c r="BJ135" s="13">
        <f t="shared" si="692"/>
        <v>0</v>
      </c>
      <c r="BK135" s="11">
        <f t="shared" si="692"/>
        <v>0</v>
      </c>
      <c r="BL135" s="12">
        <f t="shared" si="692"/>
        <v>0</v>
      </c>
      <c r="BM135" s="12">
        <f t="shared" si="692"/>
        <v>0</v>
      </c>
      <c r="BN135" s="13">
        <f t="shared" si="692"/>
        <v>0</v>
      </c>
      <c r="BO135" s="13">
        <f t="shared" si="692"/>
        <v>0</v>
      </c>
      <c r="BP135" s="15">
        <f t="shared" si="692"/>
        <v>0</v>
      </c>
      <c r="BQ135" s="15">
        <f t="shared" si="692"/>
        <v>0</v>
      </c>
      <c r="BR135" s="14">
        <f t="shared" si="692"/>
        <v>0</v>
      </c>
      <c r="BS135" s="14">
        <f t="shared" si="692"/>
        <v>0</v>
      </c>
      <c r="BT135" s="14">
        <f t="shared" si="692"/>
        <v>0</v>
      </c>
      <c r="BU135" s="14">
        <f t="shared" si="692"/>
        <v>0</v>
      </c>
      <c r="BV135" s="11">
        <f t="shared" si="692"/>
        <v>0</v>
      </c>
      <c r="BW135" s="11">
        <f t="shared" si="692"/>
        <v>0</v>
      </c>
      <c r="BX135" s="11">
        <f t="shared" si="692"/>
        <v>0</v>
      </c>
      <c r="BY135" s="11">
        <f t="shared" si="692"/>
        <v>0</v>
      </c>
      <c r="BZ135" s="7">
        <f t="shared" si="692"/>
        <v>0</v>
      </c>
      <c r="CA135" s="7">
        <f t="shared" si="692"/>
        <v>0</v>
      </c>
      <c r="CB135" s="7">
        <f t="shared" ref="CB135:CP135" si="693">IFERROR(VALUE(CB440),"-")</f>
        <v>0</v>
      </c>
      <c r="CC135" s="7">
        <f t="shared" si="693"/>
        <v>0</v>
      </c>
      <c r="CD135" s="7">
        <f t="shared" si="693"/>
        <v>0</v>
      </c>
      <c r="CE135" s="3">
        <f t="shared" si="693"/>
        <v>0</v>
      </c>
      <c r="CF135" s="7">
        <f t="shared" si="693"/>
        <v>0</v>
      </c>
      <c r="CG135" s="3">
        <f t="shared" si="693"/>
        <v>0</v>
      </c>
      <c r="CH135" s="7">
        <f t="shared" si="693"/>
        <v>0</v>
      </c>
      <c r="CI135" s="7">
        <f t="shared" si="693"/>
        <v>0</v>
      </c>
      <c r="CJ135" s="3">
        <f t="shared" si="693"/>
        <v>0</v>
      </c>
      <c r="CK135" s="7">
        <f t="shared" si="693"/>
        <v>0</v>
      </c>
      <c r="CL135" s="3">
        <f t="shared" si="693"/>
        <v>0</v>
      </c>
      <c r="CM135" s="7">
        <f t="shared" si="693"/>
        <v>0</v>
      </c>
      <c r="CN135" s="10">
        <f t="shared" si="693"/>
        <v>44783.636701388888</v>
      </c>
      <c r="CO135" s="10">
        <f t="shared" si="693"/>
        <v>44783.636701388888</v>
      </c>
      <c r="CP135" s="7">
        <f t="shared" si="693"/>
        <v>38295.69921875</v>
      </c>
      <c r="CQ135" s="7" t="str">
        <f t="shared" ref="CQ135" si="694">IFERROR(CQ440,"-")</f>
        <v>FairPrice</v>
      </c>
      <c r="CR135" s="10">
        <f t="shared" si="651"/>
        <v>44783.638194444444</v>
      </c>
      <c r="CS135" s="7">
        <f t="shared" si="651"/>
        <v>0</v>
      </c>
      <c r="CT135" s="7">
        <f t="shared" si="651"/>
        <v>0</v>
      </c>
      <c r="CU135" s="7">
        <f t="shared" si="651"/>
        <v>0</v>
      </c>
      <c r="CV135" s="7">
        <f t="shared" si="651"/>
        <v>0</v>
      </c>
      <c r="CW135" s="7">
        <f t="shared" si="651"/>
        <v>0</v>
      </c>
      <c r="CX135" s="7">
        <f t="shared" si="651"/>
        <v>0</v>
      </c>
      <c r="CY135" s="7">
        <f t="shared" si="651"/>
        <v>0</v>
      </c>
      <c r="CZ135" s="7">
        <f t="shared" si="651"/>
        <v>0</v>
      </c>
      <c r="DA135" s="7">
        <f t="shared" si="651"/>
        <v>0</v>
      </c>
      <c r="DB135" s="7">
        <f t="shared" si="651"/>
        <v>0</v>
      </c>
      <c r="DC135" s="7">
        <f t="shared" si="651"/>
        <v>0</v>
      </c>
      <c r="DD135" s="7">
        <f t="shared" si="651"/>
        <v>0</v>
      </c>
      <c r="DE135" s="7">
        <f t="shared" si="651"/>
        <v>0</v>
      </c>
      <c r="DF135" s="7">
        <f t="shared" si="651"/>
        <v>0</v>
      </c>
      <c r="DG135" s="7">
        <f t="shared" si="651"/>
        <v>38295.69921875</v>
      </c>
      <c r="DH135" s="7" t="str">
        <f t="shared" ref="DH135:DJ135" si="695">IFERROR(DH440,"-")</f>
        <v>W</v>
      </c>
      <c r="DI135" s="7" t="str">
        <f t="shared" si="695"/>
        <v>W</v>
      </c>
      <c r="DJ135" s="7" t="str">
        <f t="shared" si="695"/>
        <v>G</v>
      </c>
      <c r="DK135" s="64">
        <f t="shared" ref="DK135:DS135" si="696">IFERROR(VALUE(DK440),"-")</f>
        <v>38300</v>
      </c>
      <c r="DL135" s="64">
        <f t="shared" si="696"/>
        <v>3400000</v>
      </c>
      <c r="DM135" s="64">
        <f t="shared" si="696"/>
        <v>38500</v>
      </c>
      <c r="DN135" s="64">
        <f t="shared" si="696"/>
        <v>0</v>
      </c>
      <c r="DO135" s="64">
        <f t="shared" si="696"/>
        <v>24500</v>
      </c>
      <c r="DP135" s="64">
        <f t="shared" si="696"/>
        <v>2863350</v>
      </c>
      <c r="DQ135" s="64">
        <f t="shared" si="696"/>
        <v>38000</v>
      </c>
      <c r="DR135" s="64">
        <f t="shared" si="696"/>
        <v>0</v>
      </c>
      <c r="DS135" s="64">
        <f t="shared" si="696"/>
        <v>24500</v>
      </c>
      <c r="DT135" t="str">
        <f t="shared" si="669"/>
        <v>BANKNIFTY</v>
      </c>
      <c r="DU135" s="10">
        <f t="shared" si="670"/>
        <v>44784</v>
      </c>
    </row>
    <row r="136" spans="1:125" x14ac:dyDescent="0.25">
      <c r="A136" t="s">
        <v>48</v>
      </c>
      <c r="B136" s="2">
        <v>44833</v>
      </c>
      <c r="C136" s="1">
        <v>1250</v>
      </c>
      <c r="D136">
        <v>70</v>
      </c>
      <c r="G136" t="str">
        <f t="array" ref="G136">IFERROR(INDEX($A$2:$A$700,MATCH(0,COUNTIF($G$1:G135,$A$2:$A$700),0)),"")</f>
        <v>MINDTREE</v>
      </c>
      <c r="M136" s="3"/>
      <c r="N136" s="3"/>
      <c r="O136" s="3">
        <f t="shared" si="671"/>
        <v>45000</v>
      </c>
      <c r="P136" s="7">
        <f t="shared" ref="P136:CA136" si="697">IFERROR(VALUE(P441),"-")</f>
        <v>0</v>
      </c>
      <c r="Q136" s="7">
        <f t="shared" si="697"/>
        <v>0</v>
      </c>
      <c r="R136" s="7">
        <f t="shared" si="697"/>
        <v>0</v>
      </c>
      <c r="S136" s="7">
        <f t="shared" si="697"/>
        <v>0</v>
      </c>
      <c r="T136" s="11">
        <f t="shared" si="697"/>
        <v>0</v>
      </c>
      <c r="U136" s="11">
        <f t="shared" si="697"/>
        <v>0</v>
      </c>
      <c r="V136" s="11">
        <f t="shared" si="697"/>
        <v>0</v>
      </c>
      <c r="W136" s="11">
        <f t="shared" si="697"/>
        <v>0</v>
      </c>
      <c r="X136" s="14">
        <f t="shared" si="697"/>
        <v>0</v>
      </c>
      <c r="Y136" s="14">
        <f t="shared" si="697"/>
        <v>0</v>
      </c>
      <c r="Z136" s="14">
        <f t="shared" si="697"/>
        <v>0</v>
      </c>
      <c r="AA136" s="14">
        <f t="shared" si="697"/>
        <v>0</v>
      </c>
      <c r="AB136" s="15">
        <f t="shared" si="697"/>
        <v>0</v>
      </c>
      <c r="AC136" s="15">
        <f t="shared" si="697"/>
        <v>0</v>
      </c>
      <c r="AD136" s="13">
        <f t="shared" si="697"/>
        <v>0</v>
      </c>
      <c r="AE136" s="13">
        <f t="shared" si="697"/>
        <v>0</v>
      </c>
      <c r="AF136" s="12">
        <f t="shared" si="697"/>
        <v>0</v>
      </c>
      <c r="AG136" s="12">
        <f t="shared" si="697"/>
        <v>0</v>
      </c>
      <c r="AH136" s="13">
        <f t="shared" si="697"/>
        <v>0</v>
      </c>
      <c r="AI136" s="13">
        <f t="shared" si="697"/>
        <v>0</v>
      </c>
      <c r="AJ136" s="11">
        <f t="shared" si="697"/>
        <v>0</v>
      </c>
      <c r="AK136" s="11">
        <f t="shared" si="697"/>
        <v>0</v>
      </c>
      <c r="AL136" s="11">
        <f t="shared" si="697"/>
        <v>0</v>
      </c>
      <c r="AM136" s="11">
        <f t="shared" si="697"/>
        <v>0</v>
      </c>
      <c r="AN136" s="11">
        <f t="shared" si="697"/>
        <v>0</v>
      </c>
      <c r="AO136" s="11">
        <f t="shared" si="697"/>
        <v>0</v>
      </c>
      <c r="AP136" s="11">
        <f t="shared" si="697"/>
        <v>0</v>
      </c>
      <c r="AQ136" s="11">
        <f t="shared" si="697"/>
        <v>0</v>
      </c>
      <c r="AR136" s="16">
        <f t="shared" si="697"/>
        <v>0</v>
      </c>
      <c r="AS136" s="16">
        <f t="shared" si="697"/>
        <v>0</v>
      </c>
      <c r="AT136" s="16">
        <f t="shared" si="697"/>
        <v>0</v>
      </c>
      <c r="AU136" s="7">
        <f t="shared" si="697"/>
        <v>0</v>
      </c>
      <c r="AV136" s="7">
        <f t="shared" si="697"/>
        <v>0</v>
      </c>
      <c r="AW136" s="7">
        <f t="shared" si="697"/>
        <v>0</v>
      </c>
      <c r="AX136" s="7">
        <f t="shared" si="697"/>
        <v>0</v>
      </c>
      <c r="AY136" s="11">
        <f t="shared" si="697"/>
        <v>0</v>
      </c>
      <c r="AZ136" s="16">
        <f t="shared" si="697"/>
        <v>0</v>
      </c>
      <c r="BA136" s="16">
        <f t="shared" si="697"/>
        <v>0</v>
      </c>
      <c r="BB136" s="16">
        <f t="shared" si="697"/>
        <v>0</v>
      </c>
      <c r="BC136" s="11">
        <f t="shared" si="697"/>
        <v>0</v>
      </c>
      <c r="BD136" s="11">
        <f t="shared" si="697"/>
        <v>0</v>
      </c>
      <c r="BE136" s="11">
        <f t="shared" si="697"/>
        <v>0</v>
      </c>
      <c r="BF136" s="11">
        <f t="shared" si="697"/>
        <v>0</v>
      </c>
      <c r="BG136" s="11">
        <f t="shared" si="697"/>
        <v>0</v>
      </c>
      <c r="BH136" s="11">
        <f t="shared" si="697"/>
        <v>0</v>
      </c>
      <c r="BI136" s="13">
        <f t="shared" si="697"/>
        <v>0</v>
      </c>
      <c r="BJ136" s="13">
        <f t="shared" si="697"/>
        <v>0</v>
      </c>
      <c r="BK136" s="11">
        <f t="shared" si="697"/>
        <v>0</v>
      </c>
      <c r="BL136" s="12">
        <f t="shared" si="697"/>
        <v>0</v>
      </c>
      <c r="BM136" s="12">
        <f t="shared" si="697"/>
        <v>0</v>
      </c>
      <c r="BN136" s="13">
        <f t="shared" si="697"/>
        <v>0</v>
      </c>
      <c r="BO136" s="13">
        <f t="shared" si="697"/>
        <v>0</v>
      </c>
      <c r="BP136" s="15">
        <f t="shared" si="697"/>
        <v>0</v>
      </c>
      <c r="BQ136" s="15">
        <f t="shared" si="697"/>
        <v>0</v>
      </c>
      <c r="BR136" s="14">
        <f t="shared" si="697"/>
        <v>0</v>
      </c>
      <c r="BS136" s="14">
        <f t="shared" si="697"/>
        <v>0</v>
      </c>
      <c r="BT136" s="14">
        <f t="shared" si="697"/>
        <v>0</v>
      </c>
      <c r="BU136" s="14">
        <f t="shared" si="697"/>
        <v>0</v>
      </c>
      <c r="BV136" s="11">
        <f t="shared" si="697"/>
        <v>0</v>
      </c>
      <c r="BW136" s="11">
        <f t="shared" si="697"/>
        <v>0</v>
      </c>
      <c r="BX136" s="11">
        <f t="shared" si="697"/>
        <v>0</v>
      </c>
      <c r="BY136" s="11">
        <f t="shared" si="697"/>
        <v>0</v>
      </c>
      <c r="BZ136" s="7">
        <f t="shared" si="697"/>
        <v>0</v>
      </c>
      <c r="CA136" s="7">
        <f t="shared" si="697"/>
        <v>0</v>
      </c>
      <c r="CB136" s="7">
        <f t="shared" ref="CB136:CP136" si="698">IFERROR(VALUE(CB441),"-")</f>
        <v>0</v>
      </c>
      <c r="CC136" s="7">
        <f t="shared" si="698"/>
        <v>0</v>
      </c>
      <c r="CD136" s="7">
        <f t="shared" si="698"/>
        <v>0</v>
      </c>
      <c r="CE136" s="3">
        <f t="shared" si="698"/>
        <v>0</v>
      </c>
      <c r="CF136" s="7">
        <f t="shared" si="698"/>
        <v>0</v>
      </c>
      <c r="CG136" s="3">
        <f t="shared" si="698"/>
        <v>0</v>
      </c>
      <c r="CH136" s="7">
        <f t="shared" si="698"/>
        <v>0</v>
      </c>
      <c r="CI136" s="7">
        <f t="shared" si="698"/>
        <v>0</v>
      </c>
      <c r="CJ136" s="3">
        <f t="shared" si="698"/>
        <v>0</v>
      </c>
      <c r="CK136" s="7">
        <f t="shared" si="698"/>
        <v>0</v>
      </c>
      <c r="CL136" s="3">
        <f t="shared" si="698"/>
        <v>0</v>
      </c>
      <c r="CM136" s="7">
        <f t="shared" si="698"/>
        <v>0</v>
      </c>
      <c r="CN136" s="10">
        <f t="shared" si="698"/>
        <v>44783.636701388888</v>
      </c>
      <c r="CO136" s="10">
        <f t="shared" si="698"/>
        <v>44783.636701388888</v>
      </c>
      <c r="CP136" s="7">
        <f t="shared" si="698"/>
        <v>38295.69921875</v>
      </c>
      <c r="CQ136" s="7" t="str">
        <f t="shared" ref="CQ136" si="699">IFERROR(CQ441,"-")</f>
        <v>FairPrice</v>
      </c>
      <c r="CR136" s="10">
        <f t="shared" si="651"/>
        <v>44783.638194444444</v>
      </c>
      <c r="CS136" s="7">
        <f t="shared" si="651"/>
        <v>0</v>
      </c>
      <c r="CT136" s="7">
        <f t="shared" si="651"/>
        <v>0</v>
      </c>
      <c r="CU136" s="7">
        <f t="shared" si="651"/>
        <v>0</v>
      </c>
      <c r="CV136" s="7">
        <f t="shared" si="651"/>
        <v>0</v>
      </c>
      <c r="CW136" s="7">
        <f t="shared" si="651"/>
        <v>0</v>
      </c>
      <c r="CX136" s="7">
        <f t="shared" si="651"/>
        <v>0</v>
      </c>
      <c r="CY136" s="7">
        <f t="shared" si="651"/>
        <v>0</v>
      </c>
      <c r="CZ136" s="7">
        <f t="shared" si="651"/>
        <v>0</v>
      </c>
      <c r="DA136" s="7">
        <f t="shared" si="651"/>
        <v>0</v>
      </c>
      <c r="DB136" s="7">
        <f t="shared" si="651"/>
        <v>0</v>
      </c>
      <c r="DC136" s="7">
        <f t="shared" si="651"/>
        <v>0</v>
      </c>
      <c r="DD136" s="7">
        <f t="shared" si="651"/>
        <v>0</v>
      </c>
      <c r="DE136" s="7">
        <f t="shared" si="651"/>
        <v>0</v>
      </c>
      <c r="DF136" s="7">
        <f t="shared" si="651"/>
        <v>0</v>
      </c>
      <c r="DG136" s="7">
        <f t="shared" si="651"/>
        <v>38295.69921875</v>
      </c>
      <c r="DH136" s="7" t="str">
        <f t="shared" ref="DH136:DJ136" si="700">IFERROR(DH441,"-")</f>
        <v>W</v>
      </c>
      <c r="DI136" s="7" t="str">
        <f t="shared" si="700"/>
        <v>W</v>
      </c>
      <c r="DJ136" s="7" t="str">
        <f t="shared" si="700"/>
        <v>G</v>
      </c>
      <c r="DK136" s="64">
        <f t="shared" ref="DK136:DS136" si="701">IFERROR(VALUE(DK441),"-")</f>
        <v>38300</v>
      </c>
      <c r="DL136" s="64">
        <f t="shared" si="701"/>
        <v>3400000</v>
      </c>
      <c r="DM136" s="64">
        <f t="shared" si="701"/>
        <v>38500</v>
      </c>
      <c r="DN136" s="64">
        <f t="shared" si="701"/>
        <v>0</v>
      </c>
      <c r="DO136" s="64">
        <f t="shared" si="701"/>
        <v>24500</v>
      </c>
      <c r="DP136" s="64">
        <f t="shared" si="701"/>
        <v>2863350</v>
      </c>
      <c r="DQ136" s="64">
        <f t="shared" si="701"/>
        <v>38000</v>
      </c>
      <c r="DR136" s="64">
        <f t="shared" si="701"/>
        <v>0</v>
      </c>
      <c r="DS136" s="64">
        <f t="shared" si="701"/>
        <v>24500</v>
      </c>
      <c r="DT136" t="str">
        <f t="shared" si="669"/>
        <v>BANKNIFTY</v>
      </c>
      <c r="DU136" s="10">
        <f t="shared" si="670"/>
        <v>44784</v>
      </c>
    </row>
    <row r="137" spans="1:125" x14ac:dyDescent="0.25">
      <c r="A137" t="s">
        <v>48</v>
      </c>
      <c r="B137" s="2">
        <v>44861</v>
      </c>
      <c r="C137" s="1">
        <v>1250</v>
      </c>
      <c r="D137">
        <v>70</v>
      </c>
      <c r="G137" t="str">
        <f t="array" ref="G137">IFERROR(INDEX($A$2:$A$700,MATCH(0,COUNTIF($G$1:G136,$A$2:$A$700),0)),"")</f>
        <v>MOTHERSON</v>
      </c>
      <c r="M137" s="3"/>
      <c r="N137" s="3"/>
      <c r="O137" s="3">
        <f t="shared" si="671"/>
        <v>45500</v>
      </c>
      <c r="P137" s="7">
        <f t="shared" ref="P137:CA137" si="702">IFERROR(VALUE(P442),"-")</f>
        <v>0</v>
      </c>
      <c r="Q137" s="7">
        <f t="shared" si="702"/>
        <v>0</v>
      </c>
      <c r="R137" s="7">
        <f t="shared" si="702"/>
        <v>0</v>
      </c>
      <c r="S137" s="7">
        <f t="shared" si="702"/>
        <v>0</v>
      </c>
      <c r="T137" s="11">
        <f t="shared" si="702"/>
        <v>0</v>
      </c>
      <c r="U137" s="11">
        <f t="shared" si="702"/>
        <v>0</v>
      </c>
      <c r="V137" s="11">
        <f t="shared" si="702"/>
        <v>0</v>
      </c>
      <c r="W137" s="11">
        <f t="shared" si="702"/>
        <v>0</v>
      </c>
      <c r="X137" s="14">
        <f t="shared" si="702"/>
        <v>0</v>
      </c>
      <c r="Y137" s="14">
        <f t="shared" si="702"/>
        <v>0</v>
      </c>
      <c r="Z137" s="14">
        <f t="shared" si="702"/>
        <v>0</v>
      </c>
      <c r="AA137" s="14">
        <f t="shared" si="702"/>
        <v>0</v>
      </c>
      <c r="AB137" s="15">
        <f t="shared" si="702"/>
        <v>0</v>
      </c>
      <c r="AC137" s="15">
        <f t="shared" si="702"/>
        <v>0</v>
      </c>
      <c r="AD137" s="13">
        <f t="shared" si="702"/>
        <v>0</v>
      </c>
      <c r="AE137" s="13">
        <f t="shared" si="702"/>
        <v>0</v>
      </c>
      <c r="AF137" s="12">
        <f t="shared" si="702"/>
        <v>0</v>
      </c>
      <c r="AG137" s="12">
        <f t="shared" si="702"/>
        <v>0</v>
      </c>
      <c r="AH137" s="13">
        <f t="shared" si="702"/>
        <v>0</v>
      </c>
      <c r="AI137" s="13">
        <f t="shared" si="702"/>
        <v>0</v>
      </c>
      <c r="AJ137" s="11">
        <f t="shared" si="702"/>
        <v>0</v>
      </c>
      <c r="AK137" s="11">
        <f t="shared" si="702"/>
        <v>0</v>
      </c>
      <c r="AL137" s="11">
        <f t="shared" si="702"/>
        <v>0</v>
      </c>
      <c r="AM137" s="11">
        <f t="shared" si="702"/>
        <v>0</v>
      </c>
      <c r="AN137" s="11">
        <f t="shared" si="702"/>
        <v>0</v>
      </c>
      <c r="AO137" s="11">
        <f t="shared" si="702"/>
        <v>0</v>
      </c>
      <c r="AP137" s="11">
        <f t="shared" si="702"/>
        <v>0</v>
      </c>
      <c r="AQ137" s="11">
        <f t="shared" si="702"/>
        <v>0</v>
      </c>
      <c r="AR137" s="16">
        <f t="shared" si="702"/>
        <v>0</v>
      </c>
      <c r="AS137" s="16">
        <f t="shared" si="702"/>
        <v>0</v>
      </c>
      <c r="AT137" s="16">
        <f t="shared" si="702"/>
        <v>0</v>
      </c>
      <c r="AU137" s="7">
        <f t="shared" si="702"/>
        <v>0</v>
      </c>
      <c r="AV137" s="7">
        <f t="shared" si="702"/>
        <v>0</v>
      </c>
      <c r="AW137" s="7">
        <f t="shared" si="702"/>
        <v>0</v>
      </c>
      <c r="AX137" s="7">
        <f t="shared" si="702"/>
        <v>0</v>
      </c>
      <c r="AY137" s="11">
        <f t="shared" si="702"/>
        <v>0</v>
      </c>
      <c r="AZ137" s="16">
        <f t="shared" si="702"/>
        <v>0</v>
      </c>
      <c r="BA137" s="16">
        <f t="shared" si="702"/>
        <v>0</v>
      </c>
      <c r="BB137" s="16">
        <f t="shared" si="702"/>
        <v>0</v>
      </c>
      <c r="BC137" s="11">
        <f t="shared" si="702"/>
        <v>0</v>
      </c>
      <c r="BD137" s="11">
        <f t="shared" si="702"/>
        <v>0</v>
      </c>
      <c r="BE137" s="11">
        <f t="shared" si="702"/>
        <v>0</v>
      </c>
      <c r="BF137" s="11">
        <f t="shared" si="702"/>
        <v>0</v>
      </c>
      <c r="BG137" s="11">
        <f t="shared" si="702"/>
        <v>0</v>
      </c>
      <c r="BH137" s="11">
        <f t="shared" si="702"/>
        <v>0</v>
      </c>
      <c r="BI137" s="13">
        <f t="shared" si="702"/>
        <v>0</v>
      </c>
      <c r="BJ137" s="13">
        <f t="shared" si="702"/>
        <v>0</v>
      </c>
      <c r="BK137" s="11">
        <f t="shared" si="702"/>
        <v>0</v>
      </c>
      <c r="BL137" s="12">
        <f t="shared" si="702"/>
        <v>0</v>
      </c>
      <c r="BM137" s="12">
        <f t="shared" si="702"/>
        <v>0</v>
      </c>
      <c r="BN137" s="13">
        <f t="shared" si="702"/>
        <v>0</v>
      </c>
      <c r="BO137" s="13">
        <f t="shared" si="702"/>
        <v>0</v>
      </c>
      <c r="BP137" s="15">
        <f t="shared" si="702"/>
        <v>0</v>
      </c>
      <c r="BQ137" s="15">
        <f t="shared" si="702"/>
        <v>0</v>
      </c>
      <c r="BR137" s="14">
        <f t="shared" si="702"/>
        <v>0</v>
      </c>
      <c r="BS137" s="14">
        <f t="shared" si="702"/>
        <v>0</v>
      </c>
      <c r="BT137" s="14">
        <f t="shared" si="702"/>
        <v>0</v>
      </c>
      <c r="BU137" s="14">
        <f t="shared" si="702"/>
        <v>0</v>
      </c>
      <c r="BV137" s="11">
        <f t="shared" si="702"/>
        <v>0</v>
      </c>
      <c r="BW137" s="11">
        <f t="shared" si="702"/>
        <v>0</v>
      </c>
      <c r="BX137" s="11">
        <f t="shared" si="702"/>
        <v>0</v>
      </c>
      <c r="BY137" s="11">
        <f t="shared" si="702"/>
        <v>0</v>
      </c>
      <c r="BZ137" s="7">
        <f t="shared" si="702"/>
        <v>0</v>
      </c>
      <c r="CA137" s="7">
        <f t="shared" si="702"/>
        <v>0</v>
      </c>
      <c r="CB137" s="7">
        <f t="shared" ref="CB137:CP137" si="703">IFERROR(VALUE(CB442),"-")</f>
        <v>0</v>
      </c>
      <c r="CC137" s="7">
        <f t="shared" si="703"/>
        <v>0</v>
      </c>
      <c r="CD137" s="7">
        <f t="shared" si="703"/>
        <v>0</v>
      </c>
      <c r="CE137" s="3">
        <f t="shared" si="703"/>
        <v>0</v>
      </c>
      <c r="CF137" s="7">
        <f t="shared" si="703"/>
        <v>0</v>
      </c>
      <c r="CG137" s="3">
        <f t="shared" si="703"/>
        <v>0</v>
      </c>
      <c r="CH137" s="7">
        <f t="shared" si="703"/>
        <v>0</v>
      </c>
      <c r="CI137" s="7">
        <f t="shared" si="703"/>
        <v>0</v>
      </c>
      <c r="CJ137" s="3">
        <f t="shared" si="703"/>
        <v>0</v>
      </c>
      <c r="CK137" s="7">
        <f t="shared" si="703"/>
        <v>0</v>
      </c>
      <c r="CL137" s="3">
        <f t="shared" si="703"/>
        <v>0</v>
      </c>
      <c r="CM137" s="7">
        <f t="shared" si="703"/>
        <v>0</v>
      </c>
      <c r="CN137" s="10">
        <f t="shared" si="703"/>
        <v>44783.636701388888</v>
      </c>
      <c r="CO137" s="10">
        <f t="shared" si="703"/>
        <v>44783.636701388888</v>
      </c>
      <c r="CP137" s="7">
        <f t="shared" si="703"/>
        <v>38295.69921875</v>
      </c>
      <c r="CQ137" s="7" t="str">
        <f t="shared" ref="CQ137" si="704">IFERROR(CQ442,"-")</f>
        <v>FairPrice</v>
      </c>
      <c r="CR137" s="10">
        <f t="shared" si="651"/>
        <v>44783.638194444444</v>
      </c>
      <c r="CS137" s="7">
        <f t="shared" si="651"/>
        <v>0</v>
      </c>
      <c r="CT137" s="7">
        <f t="shared" si="651"/>
        <v>0</v>
      </c>
      <c r="CU137" s="7">
        <f t="shared" si="651"/>
        <v>0</v>
      </c>
      <c r="CV137" s="7">
        <f t="shared" si="651"/>
        <v>0</v>
      </c>
      <c r="CW137" s="7">
        <f t="shared" si="651"/>
        <v>0</v>
      </c>
      <c r="CX137" s="7">
        <f t="shared" si="651"/>
        <v>0</v>
      </c>
      <c r="CY137" s="7">
        <f t="shared" si="651"/>
        <v>0</v>
      </c>
      <c r="CZ137" s="7">
        <f t="shared" si="651"/>
        <v>0</v>
      </c>
      <c r="DA137" s="7">
        <f t="shared" si="651"/>
        <v>0</v>
      </c>
      <c r="DB137" s="7">
        <f t="shared" si="651"/>
        <v>0</v>
      </c>
      <c r="DC137" s="7">
        <f t="shared" si="651"/>
        <v>0</v>
      </c>
      <c r="DD137" s="7">
        <f t="shared" si="651"/>
        <v>0</v>
      </c>
      <c r="DE137" s="7">
        <f t="shared" si="651"/>
        <v>0</v>
      </c>
      <c r="DF137" s="7">
        <f t="shared" si="651"/>
        <v>0</v>
      </c>
      <c r="DG137" s="7">
        <f t="shared" si="651"/>
        <v>38295.69921875</v>
      </c>
      <c r="DH137" s="7" t="str">
        <f t="shared" ref="DH137:DJ137" si="705">IFERROR(DH442,"-")</f>
        <v>W</v>
      </c>
      <c r="DI137" s="7" t="str">
        <f t="shared" si="705"/>
        <v>W</v>
      </c>
      <c r="DJ137" s="7" t="str">
        <f t="shared" si="705"/>
        <v>G</v>
      </c>
      <c r="DK137" s="64">
        <f t="shared" ref="DK137:DS137" si="706">IFERROR(VALUE(DK442),"-")</f>
        <v>38300</v>
      </c>
      <c r="DL137" s="64">
        <f t="shared" si="706"/>
        <v>3400000</v>
      </c>
      <c r="DM137" s="64">
        <f t="shared" si="706"/>
        <v>38500</v>
      </c>
      <c r="DN137" s="64">
        <f t="shared" si="706"/>
        <v>0</v>
      </c>
      <c r="DO137" s="64">
        <f t="shared" si="706"/>
        <v>24500</v>
      </c>
      <c r="DP137" s="64">
        <f t="shared" si="706"/>
        <v>2863350</v>
      </c>
      <c r="DQ137" s="64">
        <f t="shared" si="706"/>
        <v>38000</v>
      </c>
      <c r="DR137" s="64">
        <f t="shared" si="706"/>
        <v>0</v>
      </c>
      <c r="DS137" s="64">
        <f t="shared" si="706"/>
        <v>24500</v>
      </c>
      <c r="DT137" t="str">
        <f t="shared" si="669"/>
        <v>BANKNIFTY</v>
      </c>
      <c r="DU137" s="10">
        <f t="shared" si="670"/>
        <v>44784</v>
      </c>
    </row>
    <row r="138" spans="1:125" x14ac:dyDescent="0.25">
      <c r="A138" t="s">
        <v>49</v>
      </c>
      <c r="B138" s="2">
        <v>44798</v>
      </c>
      <c r="C138" s="1">
        <v>650</v>
      </c>
      <c r="D138">
        <v>93</v>
      </c>
      <c r="G138" t="str">
        <f t="array" ref="G138">IFERROR(INDEX($A$2:$A$700,MATCH(0,COUNTIF($G$1:G137,$A$2:$A$700),0)),"")</f>
        <v>MPHASIS</v>
      </c>
      <c r="M138" s="3"/>
      <c r="N138" s="3"/>
      <c r="O138" s="3">
        <f t="shared" si="671"/>
        <v>46000</v>
      </c>
      <c r="P138" s="7">
        <f t="shared" ref="P138:CA138" si="707">IFERROR(VALUE(P443),"-")</f>
        <v>0</v>
      </c>
      <c r="Q138" s="7">
        <f t="shared" si="707"/>
        <v>0</v>
      </c>
      <c r="R138" s="7">
        <f t="shared" si="707"/>
        <v>0</v>
      </c>
      <c r="S138" s="7">
        <f t="shared" si="707"/>
        <v>0</v>
      </c>
      <c r="T138" s="11">
        <f t="shared" si="707"/>
        <v>0</v>
      </c>
      <c r="U138" s="11">
        <f t="shared" si="707"/>
        <v>0</v>
      </c>
      <c r="V138" s="11">
        <f t="shared" si="707"/>
        <v>0</v>
      </c>
      <c r="W138" s="11">
        <f t="shared" si="707"/>
        <v>0</v>
      </c>
      <c r="X138" s="14">
        <f t="shared" si="707"/>
        <v>0</v>
      </c>
      <c r="Y138" s="14">
        <f t="shared" si="707"/>
        <v>0</v>
      </c>
      <c r="Z138" s="14">
        <f t="shared" si="707"/>
        <v>0</v>
      </c>
      <c r="AA138" s="14">
        <f t="shared" si="707"/>
        <v>0</v>
      </c>
      <c r="AB138" s="15">
        <f t="shared" si="707"/>
        <v>0</v>
      </c>
      <c r="AC138" s="15">
        <f t="shared" si="707"/>
        <v>0</v>
      </c>
      <c r="AD138" s="13">
        <f t="shared" si="707"/>
        <v>0</v>
      </c>
      <c r="AE138" s="13">
        <f t="shared" si="707"/>
        <v>0</v>
      </c>
      <c r="AF138" s="12">
        <f t="shared" si="707"/>
        <v>0</v>
      </c>
      <c r="AG138" s="12">
        <f t="shared" si="707"/>
        <v>0</v>
      </c>
      <c r="AH138" s="13">
        <f t="shared" si="707"/>
        <v>0</v>
      </c>
      <c r="AI138" s="13">
        <f t="shared" si="707"/>
        <v>0</v>
      </c>
      <c r="AJ138" s="11">
        <f t="shared" si="707"/>
        <v>0</v>
      </c>
      <c r="AK138" s="11">
        <f t="shared" si="707"/>
        <v>0</v>
      </c>
      <c r="AL138" s="11">
        <f t="shared" si="707"/>
        <v>0</v>
      </c>
      <c r="AM138" s="11">
        <f t="shared" si="707"/>
        <v>0</v>
      </c>
      <c r="AN138" s="11">
        <f t="shared" si="707"/>
        <v>0</v>
      </c>
      <c r="AO138" s="11">
        <f t="shared" si="707"/>
        <v>0</v>
      </c>
      <c r="AP138" s="11">
        <f t="shared" si="707"/>
        <v>0</v>
      </c>
      <c r="AQ138" s="11">
        <f t="shared" si="707"/>
        <v>0</v>
      </c>
      <c r="AR138" s="16">
        <f t="shared" si="707"/>
        <v>0</v>
      </c>
      <c r="AS138" s="16">
        <f t="shared" si="707"/>
        <v>0</v>
      </c>
      <c r="AT138" s="16">
        <f t="shared" si="707"/>
        <v>0</v>
      </c>
      <c r="AU138" s="7">
        <f t="shared" si="707"/>
        <v>0</v>
      </c>
      <c r="AV138" s="7">
        <f t="shared" si="707"/>
        <v>0</v>
      </c>
      <c r="AW138" s="7">
        <f t="shared" si="707"/>
        <v>0</v>
      </c>
      <c r="AX138" s="7">
        <f t="shared" si="707"/>
        <v>0</v>
      </c>
      <c r="AY138" s="11">
        <f t="shared" si="707"/>
        <v>0</v>
      </c>
      <c r="AZ138" s="16">
        <f t="shared" si="707"/>
        <v>0</v>
      </c>
      <c r="BA138" s="16">
        <f t="shared" si="707"/>
        <v>0</v>
      </c>
      <c r="BB138" s="16">
        <f t="shared" si="707"/>
        <v>0</v>
      </c>
      <c r="BC138" s="11">
        <f t="shared" si="707"/>
        <v>0</v>
      </c>
      <c r="BD138" s="11">
        <f t="shared" si="707"/>
        <v>0</v>
      </c>
      <c r="BE138" s="11">
        <f t="shared" si="707"/>
        <v>0</v>
      </c>
      <c r="BF138" s="11">
        <f t="shared" si="707"/>
        <v>0</v>
      </c>
      <c r="BG138" s="11">
        <f t="shared" si="707"/>
        <v>0</v>
      </c>
      <c r="BH138" s="11">
        <f t="shared" si="707"/>
        <v>0</v>
      </c>
      <c r="BI138" s="13">
        <f t="shared" si="707"/>
        <v>0</v>
      </c>
      <c r="BJ138" s="13">
        <f t="shared" si="707"/>
        <v>0</v>
      </c>
      <c r="BK138" s="11">
        <f t="shared" si="707"/>
        <v>0</v>
      </c>
      <c r="BL138" s="12">
        <f t="shared" si="707"/>
        <v>0</v>
      </c>
      <c r="BM138" s="12">
        <f t="shared" si="707"/>
        <v>0</v>
      </c>
      <c r="BN138" s="13">
        <f t="shared" si="707"/>
        <v>0</v>
      </c>
      <c r="BO138" s="13">
        <f t="shared" si="707"/>
        <v>0</v>
      </c>
      <c r="BP138" s="15">
        <f t="shared" si="707"/>
        <v>0</v>
      </c>
      <c r="BQ138" s="15">
        <f t="shared" si="707"/>
        <v>0</v>
      </c>
      <c r="BR138" s="14">
        <f t="shared" si="707"/>
        <v>0</v>
      </c>
      <c r="BS138" s="14">
        <f t="shared" si="707"/>
        <v>0</v>
      </c>
      <c r="BT138" s="14">
        <f t="shared" si="707"/>
        <v>0</v>
      </c>
      <c r="BU138" s="14">
        <f t="shared" si="707"/>
        <v>0</v>
      </c>
      <c r="BV138" s="11">
        <f t="shared" si="707"/>
        <v>0</v>
      </c>
      <c r="BW138" s="11">
        <f t="shared" si="707"/>
        <v>0</v>
      </c>
      <c r="BX138" s="11">
        <f t="shared" si="707"/>
        <v>0</v>
      </c>
      <c r="BY138" s="11">
        <f t="shared" si="707"/>
        <v>0</v>
      </c>
      <c r="BZ138" s="7">
        <f t="shared" si="707"/>
        <v>0</v>
      </c>
      <c r="CA138" s="7">
        <f t="shared" si="707"/>
        <v>0</v>
      </c>
      <c r="CB138" s="7">
        <f t="shared" ref="CB138:CP138" si="708">IFERROR(VALUE(CB443),"-")</f>
        <v>0</v>
      </c>
      <c r="CC138" s="7">
        <f t="shared" si="708"/>
        <v>0</v>
      </c>
      <c r="CD138" s="7">
        <f t="shared" si="708"/>
        <v>0</v>
      </c>
      <c r="CE138" s="3">
        <f t="shared" si="708"/>
        <v>0</v>
      </c>
      <c r="CF138" s="7">
        <f t="shared" si="708"/>
        <v>0</v>
      </c>
      <c r="CG138" s="3">
        <f t="shared" si="708"/>
        <v>0</v>
      </c>
      <c r="CH138" s="7">
        <f t="shared" si="708"/>
        <v>0</v>
      </c>
      <c r="CI138" s="7">
        <f t="shared" si="708"/>
        <v>0</v>
      </c>
      <c r="CJ138" s="3">
        <f t="shared" si="708"/>
        <v>0</v>
      </c>
      <c r="CK138" s="7">
        <f t="shared" si="708"/>
        <v>0</v>
      </c>
      <c r="CL138" s="3">
        <f t="shared" si="708"/>
        <v>0</v>
      </c>
      <c r="CM138" s="7">
        <f t="shared" si="708"/>
        <v>0</v>
      </c>
      <c r="CN138" s="10">
        <f t="shared" si="708"/>
        <v>44783.636701388888</v>
      </c>
      <c r="CO138" s="10">
        <f t="shared" si="708"/>
        <v>44783.636701388888</v>
      </c>
      <c r="CP138" s="7">
        <f t="shared" si="708"/>
        <v>38295.69921875</v>
      </c>
      <c r="CQ138" s="7" t="str">
        <f t="shared" ref="CQ138" si="709">IFERROR(CQ443,"-")</f>
        <v>FairPrice</v>
      </c>
      <c r="CR138" s="10">
        <f t="shared" si="651"/>
        <v>44783.638194444444</v>
      </c>
      <c r="CS138" s="7">
        <f t="shared" si="651"/>
        <v>0</v>
      </c>
      <c r="CT138" s="7">
        <f t="shared" si="651"/>
        <v>0</v>
      </c>
      <c r="CU138" s="7">
        <f t="shared" si="651"/>
        <v>0</v>
      </c>
      <c r="CV138" s="7">
        <f t="shared" si="651"/>
        <v>0</v>
      </c>
      <c r="CW138" s="7">
        <f t="shared" si="651"/>
        <v>0</v>
      </c>
      <c r="CX138" s="7">
        <f t="shared" si="651"/>
        <v>0</v>
      </c>
      <c r="CY138" s="7">
        <f t="shared" si="651"/>
        <v>0</v>
      </c>
      <c r="CZ138" s="7">
        <f t="shared" si="651"/>
        <v>0</v>
      </c>
      <c r="DA138" s="7">
        <f t="shared" si="651"/>
        <v>0</v>
      </c>
      <c r="DB138" s="7">
        <f t="shared" si="651"/>
        <v>0</v>
      </c>
      <c r="DC138" s="7">
        <f t="shared" si="651"/>
        <v>0</v>
      </c>
      <c r="DD138" s="7">
        <f t="shared" si="651"/>
        <v>0</v>
      </c>
      <c r="DE138" s="7">
        <f t="shared" si="651"/>
        <v>0</v>
      </c>
      <c r="DF138" s="7">
        <f t="shared" si="651"/>
        <v>0</v>
      </c>
      <c r="DG138" s="7">
        <f t="shared" si="651"/>
        <v>38295.69921875</v>
      </c>
      <c r="DH138" s="7" t="str">
        <f t="shared" ref="DH138:DJ138" si="710">IFERROR(DH443,"-")</f>
        <v>W</v>
      </c>
      <c r="DI138" s="7" t="str">
        <f t="shared" si="710"/>
        <v>W</v>
      </c>
      <c r="DJ138" s="7" t="str">
        <f t="shared" si="710"/>
        <v>G</v>
      </c>
      <c r="DK138" s="64">
        <f t="shared" ref="DK138:DS138" si="711">IFERROR(VALUE(DK443),"-")</f>
        <v>38300</v>
      </c>
      <c r="DL138" s="64">
        <f t="shared" si="711"/>
        <v>3400000</v>
      </c>
      <c r="DM138" s="64">
        <f t="shared" si="711"/>
        <v>38500</v>
      </c>
      <c r="DN138" s="64">
        <f t="shared" si="711"/>
        <v>0</v>
      </c>
      <c r="DO138" s="64">
        <f t="shared" si="711"/>
        <v>24500</v>
      </c>
      <c r="DP138" s="64">
        <f t="shared" si="711"/>
        <v>2863350</v>
      </c>
      <c r="DQ138" s="64">
        <f t="shared" si="711"/>
        <v>38000</v>
      </c>
      <c r="DR138" s="64">
        <f t="shared" si="711"/>
        <v>0</v>
      </c>
      <c r="DS138" s="64">
        <f t="shared" si="711"/>
        <v>24500</v>
      </c>
      <c r="DT138" t="str">
        <f t="shared" si="669"/>
        <v>BANKNIFTY</v>
      </c>
      <c r="DU138" s="10">
        <f t="shared" si="670"/>
        <v>44784</v>
      </c>
    </row>
    <row r="139" spans="1:125" x14ac:dyDescent="0.25">
      <c r="A139" t="s">
        <v>49</v>
      </c>
      <c r="B139" s="2">
        <v>44833</v>
      </c>
      <c r="C139" s="1">
        <v>650</v>
      </c>
      <c r="D139">
        <v>93</v>
      </c>
      <c r="G139" t="str">
        <f t="array" ref="G139">IFERROR(INDEX($A$2:$A$700,MATCH(0,COUNTIF($G$1:G138,$A$2:$A$700),0)),"")</f>
        <v>MRF</v>
      </c>
      <c r="M139" s="3"/>
      <c r="N139" s="3"/>
      <c r="O139" s="3">
        <f t="shared" si="671"/>
        <v>46500</v>
      </c>
      <c r="P139" s="7">
        <f t="shared" ref="P139:CA139" si="712">IFERROR(VALUE(P444),"-")</f>
        <v>0</v>
      </c>
      <c r="Q139" s="7">
        <f t="shared" si="712"/>
        <v>0</v>
      </c>
      <c r="R139" s="7">
        <f t="shared" si="712"/>
        <v>0</v>
      </c>
      <c r="S139" s="7">
        <f t="shared" si="712"/>
        <v>0</v>
      </c>
      <c r="T139" s="11">
        <f t="shared" si="712"/>
        <v>0</v>
      </c>
      <c r="U139" s="11">
        <f t="shared" si="712"/>
        <v>0</v>
      </c>
      <c r="V139" s="11">
        <f t="shared" si="712"/>
        <v>0</v>
      </c>
      <c r="W139" s="11">
        <f t="shared" si="712"/>
        <v>0</v>
      </c>
      <c r="X139" s="14">
        <f t="shared" si="712"/>
        <v>0</v>
      </c>
      <c r="Y139" s="14">
        <f t="shared" si="712"/>
        <v>0</v>
      </c>
      <c r="Z139" s="14">
        <f t="shared" si="712"/>
        <v>0</v>
      </c>
      <c r="AA139" s="14">
        <f t="shared" si="712"/>
        <v>0</v>
      </c>
      <c r="AB139" s="15">
        <f t="shared" si="712"/>
        <v>0</v>
      </c>
      <c r="AC139" s="15">
        <f t="shared" si="712"/>
        <v>0</v>
      </c>
      <c r="AD139" s="13">
        <f t="shared" si="712"/>
        <v>0</v>
      </c>
      <c r="AE139" s="13">
        <f t="shared" si="712"/>
        <v>0</v>
      </c>
      <c r="AF139" s="12">
        <f t="shared" si="712"/>
        <v>0</v>
      </c>
      <c r="AG139" s="12">
        <f t="shared" si="712"/>
        <v>0</v>
      </c>
      <c r="AH139" s="13">
        <f t="shared" si="712"/>
        <v>0</v>
      </c>
      <c r="AI139" s="13">
        <f t="shared" si="712"/>
        <v>0</v>
      </c>
      <c r="AJ139" s="11">
        <f t="shared" si="712"/>
        <v>0</v>
      </c>
      <c r="AK139" s="11">
        <f t="shared" si="712"/>
        <v>0</v>
      </c>
      <c r="AL139" s="11">
        <f t="shared" si="712"/>
        <v>0</v>
      </c>
      <c r="AM139" s="11">
        <f t="shared" si="712"/>
        <v>0</v>
      </c>
      <c r="AN139" s="11">
        <f t="shared" si="712"/>
        <v>0</v>
      </c>
      <c r="AO139" s="11">
        <f t="shared" si="712"/>
        <v>0</v>
      </c>
      <c r="AP139" s="11">
        <f t="shared" si="712"/>
        <v>0</v>
      </c>
      <c r="AQ139" s="11">
        <f t="shared" si="712"/>
        <v>0</v>
      </c>
      <c r="AR139" s="16">
        <f t="shared" si="712"/>
        <v>0</v>
      </c>
      <c r="AS139" s="16">
        <f t="shared" si="712"/>
        <v>0</v>
      </c>
      <c r="AT139" s="16">
        <f t="shared" si="712"/>
        <v>0</v>
      </c>
      <c r="AU139" s="7">
        <f t="shared" si="712"/>
        <v>0</v>
      </c>
      <c r="AV139" s="7">
        <f t="shared" si="712"/>
        <v>0</v>
      </c>
      <c r="AW139" s="7">
        <f t="shared" si="712"/>
        <v>0</v>
      </c>
      <c r="AX139" s="7">
        <f t="shared" si="712"/>
        <v>0</v>
      </c>
      <c r="AY139" s="11">
        <f t="shared" si="712"/>
        <v>0</v>
      </c>
      <c r="AZ139" s="16">
        <f t="shared" si="712"/>
        <v>0</v>
      </c>
      <c r="BA139" s="16">
        <f t="shared" si="712"/>
        <v>0</v>
      </c>
      <c r="BB139" s="16">
        <f t="shared" si="712"/>
        <v>0</v>
      </c>
      <c r="BC139" s="11">
        <f t="shared" si="712"/>
        <v>0</v>
      </c>
      <c r="BD139" s="11">
        <f t="shared" si="712"/>
        <v>0</v>
      </c>
      <c r="BE139" s="11">
        <f t="shared" si="712"/>
        <v>0</v>
      </c>
      <c r="BF139" s="11">
        <f t="shared" si="712"/>
        <v>0</v>
      </c>
      <c r="BG139" s="11">
        <f t="shared" si="712"/>
        <v>0</v>
      </c>
      <c r="BH139" s="11">
        <f t="shared" si="712"/>
        <v>0</v>
      </c>
      <c r="BI139" s="13">
        <f t="shared" si="712"/>
        <v>0</v>
      </c>
      <c r="BJ139" s="13">
        <f t="shared" si="712"/>
        <v>0</v>
      </c>
      <c r="BK139" s="11">
        <f t="shared" si="712"/>
        <v>0</v>
      </c>
      <c r="BL139" s="12">
        <f t="shared" si="712"/>
        <v>0</v>
      </c>
      <c r="BM139" s="12">
        <f t="shared" si="712"/>
        <v>0</v>
      </c>
      <c r="BN139" s="13">
        <f t="shared" si="712"/>
        <v>0</v>
      </c>
      <c r="BO139" s="13">
        <f t="shared" si="712"/>
        <v>0</v>
      </c>
      <c r="BP139" s="15">
        <f t="shared" si="712"/>
        <v>0</v>
      </c>
      <c r="BQ139" s="15">
        <f t="shared" si="712"/>
        <v>0</v>
      </c>
      <c r="BR139" s="14">
        <f t="shared" si="712"/>
        <v>0</v>
      </c>
      <c r="BS139" s="14">
        <f t="shared" si="712"/>
        <v>0</v>
      </c>
      <c r="BT139" s="14">
        <f t="shared" si="712"/>
        <v>0</v>
      </c>
      <c r="BU139" s="14">
        <f t="shared" si="712"/>
        <v>0</v>
      </c>
      <c r="BV139" s="11">
        <f t="shared" si="712"/>
        <v>0</v>
      </c>
      <c r="BW139" s="11">
        <f t="shared" si="712"/>
        <v>0</v>
      </c>
      <c r="BX139" s="11">
        <f t="shared" si="712"/>
        <v>0</v>
      </c>
      <c r="BY139" s="11">
        <f t="shared" si="712"/>
        <v>0</v>
      </c>
      <c r="BZ139" s="7">
        <f t="shared" si="712"/>
        <v>0</v>
      </c>
      <c r="CA139" s="7">
        <f t="shared" si="712"/>
        <v>0</v>
      </c>
      <c r="CB139" s="7">
        <f t="shared" ref="CB139:CP139" si="713">IFERROR(VALUE(CB444),"-")</f>
        <v>0</v>
      </c>
      <c r="CC139" s="7">
        <f t="shared" si="713"/>
        <v>0</v>
      </c>
      <c r="CD139" s="7">
        <f t="shared" si="713"/>
        <v>0</v>
      </c>
      <c r="CE139" s="3">
        <f t="shared" si="713"/>
        <v>0</v>
      </c>
      <c r="CF139" s="7">
        <f t="shared" si="713"/>
        <v>0</v>
      </c>
      <c r="CG139" s="3">
        <f t="shared" si="713"/>
        <v>0</v>
      </c>
      <c r="CH139" s="7">
        <f t="shared" si="713"/>
        <v>0</v>
      </c>
      <c r="CI139" s="7">
        <f t="shared" si="713"/>
        <v>0</v>
      </c>
      <c r="CJ139" s="3">
        <f t="shared" si="713"/>
        <v>0</v>
      </c>
      <c r="CK139" s="7">
        <f t="shared" si="713"/>
        <v>0</v>
      </c>
      <c r="CL139" s="3">
        <f t="shared" si="713"/>
        <v>0</v>
      </c>
      <c r="CM139" s="7">
        <f t="shared" si="713"/>
        <v>0</v>
      </c>
      <c r="CN139" s="10">
        <f t="shared" si="713"/>
        <v>44783.636701388888</v>
      </c>
      <c r="CO139" s="10">
        <f t="shared" si="713"/>
        <v>44783.636701388888</v>
      </c>
      <c r="CP139" s="7">
        <f t="shared" si="713"/>
        <v>38295.69921875</v>
      </c>
      <c r="CQ139" s="7" t="str">
        <f t="shared" ref="CQ139" si="714">IFERROR(CQ444,"-")</f>
        <v>FairPrice</v>
      </c>
      <c r="CR139" s="10">
        <f t="shared" si="651"/>
        <v>44783.638194444444</v>
      </c>
      <c r="CS139" s="7">
        <f t="shared" si="651"/>
        <v>0</v>
      </c>
      <c r="CT139" s="7">
        <f t="shared" si="651"/>
        <v>0</v>
      </c>
      <c r="CU139" s="7">
        <f t="shared" si="651"/>
        <v>0</v>
      </c>
      <c r="CV139" s="7">
        <f t="shared" si="651"/>
        <v>0</v>
      </c>
      <c r="CW139" s="7">
        <f t="shared" si="651"/>
        <v>0</v>
      </c>
      <c r="CX139" s="7">
        <f t="shared" si="651"/>
        <v>0</v>
      </c>
      <c r="CY139" s="7">
        <f t="shared" si="651"/>
        <v>0</v>
      </c>
      <c r="CZ139" s="7">
        <f t="shared" si="651"/>
        <v>0</v>
      </c>
      <c r="DA139" s="7">
        <f t="shared" si="651"/>
        <v>0</v>
      </c>
      <c r="DB139" s="7">
        <f t="shared" si="651"/>
        <v>0</v>
      </c>
      <c r="DC139" s="7">
        <f t="shared" si="651"/>
        <v>0</v>
      </c>
      <c r="DD139" s="7">
        <f t="shared" si="651"/>
        <v>0</v>
      </c>
      <c r="DE139" s="7">
        <f t="shared" si="651"/>
        <v>0</v>
      </c>
      <c r="DF139" s="7">
        <f t="shared" si="651"/>
        <v>0</v>
      </c>
      <c r="DG139" s="7">
        <f t="shared" si="651"/>
        <v>38295.69921875</v>
      </c>
      <c r="DH139" s="7" t="str">
        <f t="shared" ref="DH139:DJ139" si="715">IFERROR(DH444,"-")</f>
        <v>W</v>
      </c>
      <c r="DI139" s="7" t="str">
        <f t="shared" si="715"/>
        <v>W</v>
      </c>
      <c r="DJ139" s="7" t="str">
        <f t="shared" si="715"/>
        <v>G</v>
      </c>
      <c r="DK139" s="64">
        <f t="shared" ref="DK139:DS139" si="716">IFERROR(VALUE(DK444),"-")</f>
        <v>38300</v>
      </c>
      <c r="DL139" s="64">
        <f t="shared" si="716"/>
        <v>3400000</v>
      </c>
      <c r="DM139" s="64">
        <f t="shared" si="716"/>
        <v>38500</v>
      </c>
      <c r="DN139" s="64">
        <f t="shared" si="716"/>
        <v>0</v>
      </c>
      <c r="DO139" s="64">
        <f t="shared" si="716"/>
        <v>24500</v>
      </c>
      <c r="DP139" s="64">
        <f t="shared" si="716"/>
        <v>2863350</v>
      </c>
      <c r="DQ139" s="64">
        <f t="shared" si="716"/>
        <v>38000</v>
      </c>
      <c r="DR139" s="64">
        <f t="shared" si="716"/>
        <v>0</v>
      </c>
      <c r="DS139" s="64">
        <f t="shared" si="716"/>
        <v>24500</v>
      </c>
      <c r="DT139" t="str">
        <f t="shared" si="669"/>
        <v>BANKNIFTY</v>
      </c>
      <c r="DU139" s="10">
        <f t="shared" si="670"/>
        <v>44784</v>
      </c>
    </row>
    <row r="140" spans="1:125" x14ac:dyDescent="0.25">
      <c r="A140" t="s">
        <v>49</v>
      </c>
      <c r="B140" s="2">
        <v>44861</v>
      </c>
      <c r="C140" s="1">
        <v>650</v>
      </c>
      <c r="D140">
        <v>93</v>
      </c>
      <c r="G140" t="str">
        <f t="array" ref="G140">IFERROR(INDEX($A$2:$A$700,MATCH(0,COUNTIF($G$1:G139,$A$2:$A$700),0)),"")</f>
        <v>MUTHOOTFIN</v>
      </c>
      <c r="M140" s="3"/>
      <c r="N140" s="3"/>
      <c r="O140" s="3">
        <f t="shared" si="671"/>
        <v>47000</v>
      </c>
      <c r="P140" s="7">
        <f t="shared" ref="P140:CA140" si="717">IFERROR(VALUE(P445),"-")</f>
        <v>0</v>
      </c>
      <c r="Q140" s="7">
        <f t="shared" si="717"/>
        <v>0</v>
      </c>
      <c r="R140" s="7">
        <f t="shared" si="717"/>
        <v>0</v>
      </c>
      <c r="S140" s="7">
        <f t="shared" si="717"/>
        <v>0</v>
      </c>
      <c r="T140" s="11">
        <f t="shared" si="717"/>
        <v>0</v>
      </c>
      <c r="U140" s="11">
        <f t="shared" si="717"/>
        <v>0</v>
      </c>
      <c r="V140" s="11">
        <f t="shared" si="717"/>
        <v>0</v>
      </c>
      <c r="W140" s="11">
        <f t="shared" si="717"/>
        <v>0</v>
      </c>
      <c r="X140" s="14">
        <f t="shared" si="717"/>
        <v>0</v>
      </c>
      <c r="Y140" s="14">
        <f t="shared" si="717"/>
        <v>0</v>
      </c>
      <c r="Z140" s="14">
        <f t="shared" si="717"/>
        <v>0</v>
      </c>
      <c r="AA140" s="14">
        <f t="shared" si="717"/>
        <v>0</v>
      </c>
      <c r="AB140" s="15">
        <f t="shared" si="717"/>
        <v>0</v>
      </c>
      <c r="AC140" s="15">
        <f t="shared" si="717"/>
        <v>0</v>
      </c>
      <c r="AD140" s="13">
        <f t="shared" si="717"/>
        <v>0</v>
      </c>
      <c r="AE140" s="13">
        <f t="shared" si="717"/>
        <v>0</v>
      </c>
      <c r="AF140" s="12">
        <f t="shared" si="717"/>
        <v>0</v>
      </c>
      <c r="AG140" s="12">
        <f t="shared" si="717"/>
        <v>0</v>
      </c>
      <c r="AH140" s="13">
        <f t="shared" si="717"/>
        <v>0</v>
      </c>
      <c r="AI140" s="13">
        <f t="shared" si="717"/>
        <v>0</v>
      </c>
      <c r="AJ140" s="11">
        <f t="shared" si="717"/>
        <v>0</v>
      </c>
      <c r="AK140" s="11">
        <f t="shared" si="717"/>
        <v>0</v>
      </c>
      <c r="AL140" s="11">
        <f t="shared" si="717"/>
        <v>0</v>
      </c>
      <c r="AM140" s="11">
        <f t="shared" si="717"/>
        <v>0</v>
      </c>
      <c r="AN140" s="11">
        <f t="shared" si="717"/>
        <v>0</v>
      </c>
      <c r="AO140" s="11">
        <f t="shared" si="717"/>
        <v>0</v>
      </c>
      <c r="AP140" s="11">
        <f t="shared" si="717"/>
        <v>0</v>
      </c>
      <c r="AQ140" s="11">
        <f t="shared" si="717"/>
        <v>0</v>
      </c>
      <c r="AR140" s="16">
        <f t="shared" si="717"/>
        <v>0</v>
      </c>
      <c r="AS140" s="16">
        <f t="shared" si="717"/>
        <v>0</v>
      </c>
      <c r="AT140" s="16">
        <f t="shared" si="717"/>
        <v>0</v>
      </c>
      <c r="AU140" s="7">
        <f t="shared" si="717"/>
        <v>0</v>
      </c>
      <c r="AV140" s="7">
        <f t="shared" si="717"/>
        <v>0</v>
      </c>
      <c r="AW140" s="7">
        <f t="shared" si="717"/>
        <v>0</v>
      </c>
      <c r="AX140" s="7">
        <f t="shared" si="717"/>
        <v>0</v>
      </c>
      <c r="AY140" s="11">
        <f t="shared" si="717"/>
        <v>0</v>
      </c>
      <c r="AZ140" s="16">
        <f t="shared" si="717"/>
        <v>0</v>
      </c>
      <c r="BA140" s="16">
        <f t="shared" si="717"/>
        <v>0</v>
      </c>
      <c r="BB140" s="16">
        <f t="shared" si="717"/>
        <v>0</v>
      </c>
      <c r="BC140" s="11">
        <f t="shared" si="717"/>
        <v>0</v>
      </c>
      <c r="BD140" s="11">
        <f t="shared" si="717"/>
        <v>0</v>
      </c>
      <c r="BE140" s="11">
        <f t="shared" si="717"/>
        <v>0</v>
      </c>
      <c r="BF140" s="11">
        <f t="shared" si="717"/>
        <v>0</v>
      </c>
      <c r="BG140" s="11">
        <f t="shared" si="717"/>
        <v>0</v>
      </c>
      <c r="BH140" s="11">
        <f t="shared" si="717"/>
        <v>0</v>
      </c>
      <c r="BI140" s="13">
        <f t="shared" si="717"/>
        <v>0</v>
      </c>
      <c r="BJ140" s="13">
        <f t="shared" si="717"/>
        <v>0</v>
      </c>
      <c r="BK140" s="11">
        <f t="shared" si="717"/>
        <v>0</v>
      </c>
      <c r="BL140" s="12">
        <f t="shared" si="717"/>
        <v>0</v>
      </c>
      <c r="BM140" s="12">
        <f t="shared" si="717"/>
        <v>0</v>
      </c>
      <c r="BN140" s="13">
        <f t="shared" si="717"/>
        <v>0</v>
      </c>
      <c r="BO140" s="13">
        <f t="shared" si="717"/>
        <v>0</v>
      </c>
      <c r="BP140" s="15">
        <f t="shared" si="717"/>
        <v>0</v>
      </c>
      <c r="BQ140" s="15">
        <f t="shared" si="717"/>
        <v>0</v>
      </c>
      <c r="BR140" s="14">
        <f t="shared" si="717"/>
        <v>0</v>
      </c>
      <c r="BS140" s="14">
        <f t="shared" si="717"/>
        <v>0</v>
      </c>
      <c r="BT140" s="14">
        <f t="shared" si="717"/>
        <v>0</v>
      </c>
      <c r="BU140" s="14">
        <f t="shared" si="717"/>
        <v>0</v>
      </c>
      <c r="BV140" s="11">
        <f t="shared" si="717"/>
        <v>0</v>
      </c>
      <c r="BW140" s="11">
        <f t="shared" si="717"/>
        <v>0</v>
      </c>
      <c r="BX140" s="11">
        <f t="shared" si="717"/>
        <v>0</v>
      </c>
      <c r="BY140" s="11">
        <f t="shared" si="717"/>
        <v>0</v>
      </c>
      <c r="BZ140" s="7">
        <f t="shared" si="717"/>
        <v>0</v>
      </c>
      <c r="CA140" s="7">
        <f t="shared" si="717"/>
        <v>0</v>
      </c>
      <c r="CB140" s="7">
        <f t="shared" ref="CB140:CP140" si="718">IFERROR(VALUE(CB445),"-")</f>
        <v>0</v>
      </c>
      <c r="CC140" s="7">
        <f t="shared" si="718"/>
        <v>0</v>
      </c>
      <c r="CD140" s="7">
        <f t="shared" si="718"/>
        <v>0</v>
      </c>
      <c r="CE140" s="3">
        <f t="shared" si="718"/>
        <v>0</v>
      </c>
      <c r="CF140" s="7">
        <f t="shared" si="718"/>
        <v>0</v>
      </c>
      <c r="CG140" s="3">
        <f t="shared" si="718"/>
        <v>0</v>
      </c>
      <c r="CH140" s="7">
        <f t="shared" si="718"/>
        <v>0</v>
      </c>
      <c r="CI140" s="7">
        <f t="shared" si="718"/>
        <v>0</v>
      </c>
      <c r="CJ140" s="3">
        <f t="shared" si="718"/>
        <v>0</v>
      </c>
      <c r="CK140" s="7">
        <f t="shared" si="718"/>
        <v>0</v>
      </c>
      <c r="CL140" s="3">
        <f t="shared" si="718"/>
        <v>0</v>
      </c>
      <c r="CM140" s="7">
        <f t="shared" si="718"/>
        <v>0</v>
      </c>
      <c r="CN140" s="10">
        <f t="shared" si="718"/>
        <v>44783.636701388888</v>
      </c>
      <c r="CO140" s="10">
        <f t="shared" si="718"/>
        <v>44783.636701388888</v>
      </c>
      <c r="CP140" s="7">
        <f t="shared" si="718"/>
        <v>38295.69921875</v>
      </c>
      <c r="CQ140" s="7" t="str">
        <f t="shared" ref="CQ140" si="719">IFERROR(CQ445,"-")</f>
        <v>FairPrice</v>
      </c>
      <c r="CR140" s="10">
        <f t="shared" si="651"/>
        <v>44783.638194444444</v>
      </c>
      <c r="CS140" s="7">
        <f t="shared" si="651"/>
        <v>0</v>
      </c>
      <c r="CT140" s="7">
        <f t="shared" si="651"/>
        <v>0</v>
      </c>
      <c r="CU140" s="7">
        <f t="shared" si="651"/>
        <v>0</v>
      </c>
      <c r="CV140" s="7">
        <f t="shared" si="651"/>
        <v>0</v>
      </c>
      <c r="CW140" s="7">
        <f t="shared" si="651"/>
        <v>0</v>
      </c>
      <c r="CX140" s="7">
        <f t="shared" si="651"/>
        <v>0</v>
      </c>
      <c r="CY140" s="7">
        <f t="shared" si="651"/>
        <v>0</v>
      </c>
      <c r="CZ140" s="7">
        <f t="shared" si="651"/>
        <v>0</v>
      </c>
      <c r="DA140" s="7">
        <f t="shared" si="651"/>
        <v>0</v>
      </c>
      <c r="DB140" s="7">
        <f t="shared" si="651"/>
        <v>0</v>
      </c>
      <c r="DC140" s="7">
        <f t="shared" si="651"/>
        <v>0</v>
      </c>
      <c r="DD140" s="7">
        <f t="shared" si="651"/>
        <v>0</v>
      </c>
      <c r="DE140" s="7">
        <f t="shared" si="651"/>
        <v>0</v>
      </c>
      <c r="DF140" s="7">
        <f t="shared" si="651"/>
        <v>0</v>
      </c>
      <c r="DG140" s="7">
        <f t="shared" si="651"/>
        <v>38295.69921875</v>
      </c>
      <c r="DH140" s="7" t="str">
        <f t="shared" ref="DH140:DJ140" si="720">IFERROR(DH445,"-")</f>
        <v>W</v>
      </c>
      <c r="DI140" s="7" t="str">
        <f t="shared" si="720"/>
        <v>W</v>
      </c>
      <c r="DJ140" s="7" t="str">
        <f t="shared" si="720"/>
        <v>G</v>
      </c>
      <c r="DK140" s="64">
        <f t="shared" ref="DK140:DS140" si="721">IFERROR(VALUE(DK445),"-")</f>
        <v>38300</v>
      </c>
      <c r="DL140" s="64">
        <f t="shared" si="721"/>
        <v>3400000</v>
      </c>
      <c r="DM140" s="64">
        <f t="shared" si="721"/>
        <v>38500</v>
      </c>
      <c r="DN140" s="64">
        <f t="shared" si="721"/>
        <v>0</v>
      </c>
      <c r="DO140" s="64">
        <f t="shared" si="721"/>
        <v>24500</v>
      </c>
      <c r="DP140" s="64">
        <f t="shared" si="721"/>
        <v>2863350</v>
      </c>
      <c r="DQ140" s="64">
        <f t="shared" si="721"/>
        <v>38000</v>
      </c>
      <c r="DR140" s="64">
        <f t="shared" si="721"/>
        <v>0</v>
      </c>
      <c r="DS140" s="64">
        <f t="shared" si="721"/>
        <v>24500</v>
      </c>
      <c r="DT140" t="str">
        <f t="shared" si="669"/>
        <v>BANKNIFTY</v>
      </c>
      <c r="DU140" s="10">
        <f t="shared" si="670"/>
        <v>44784</v>
      </c>
    </row>
    <row r="141" spans="1:125" x14ac:dyDescent="0.25">
      <c r="A141" t="s">
        <v>50</v>
      </c>
      <c r="B141" s="2">
        <v>44798</v>
      </c>
      <c r="C141" s="1">
        <v>4200</v>
      </c>
      <c r="D141">
        <v>76</v>
      </c>
      <c r="G141" t="str">
        <f t="array" ref="G141">IFERROR(INDEX($A$2:$A$700,MATCH(0,COUNTIF($G$1:G140,$A$2:$A$700),0)),"")</f>
        <v>NAM-INDIA</v>
      </c>
      <c r="M141" s="3"/>
      <c r="N141" s="3"/>
      <c r="O141" s="3">
        <f t="shared" si="671"/>
        <v>47500</v>
      </c>
      <c r="P141" s="7">
        <f t="shared" ref="P141:CA141" si="722">IFERROR(VALUE(P446),"-")</f>
        <v>0</v>
      </c>
      <c r="Q141" s="7">
        <f t="shared" si="722"/>
        <v>0</v>
      </c>
      <c r="R141" s="7">
        <f t="shared" si="722"/>
        <v>0</v>
      </c>
      <c r="S141" s="7">
        <f t="shared" si="722"/>
        <v>0</v>
      </c>
      <c r="T141" s="11">
        <f t="shared" si="722"/>
        <v>0</v>
      </c>
      <c r="U141" s="11">
        <f t="shared" si="722"/>
        <v>0</v>
      </c>
      <c r="V141" s="11">
        <f t="shared" si="722"/>
        <v>0</v>
      </c>
      <c r="W141" s="11">
        <f t="shared" si="722"/>
        <v>0</v>
      </c>
      <c r="X141" s="14">
        <f t="shared" si="722"/>
        <v>0</v>
      </c>
      <c r="Y141" s="14">
        <f t="shared" si="722"/>
        <v>0</v>
      </c>
      <c r="Z141" s="14">
        <f t="shared" si="722"/>
        <v>0</v>
      </c>
      <c r="AA141" s="14">
        <f t="shared" si="722"/>
        <v>0</v>
      </c>
      <c r="AB141" s="15">
        <f t="shared" si="722"/>
        <v>0</v>
      </c>
      <c r="AC141" s="15">
        <f t="shared" si="722"/>
        <v>0</v>
      </c>
      <c r="AD141" s="13">
        <f t="shared" si="722"/>
        <v>0</v>
      </c>
      <c r="AE141" s="13">
        <f t="shared" si="722"/>
        <v>0</v>
      </c>
      <c r="AF141" s="12">
        <f t="shared" si="722"/>
        <v>0</v>
      </c>
      <c r="AG141" s="12">
        <f t="shared" si="722"/>
        <v>0</v>
      </c>
      <c r="AH141" s="13">
        <f t="shared" si="722"/>
        <v>0</v>
      </c>
      <c r="AI141" s="13">
        <f t="shared" si="722"/>
        <v>0</v>
      </c>
      <c r="AJ141" s="11">
        <f t="shared" si="722"/>
        <v>0</v>
      </c>
      <c r="AK141" s="11">
        <f t="shared" si="722"/>
        <v>0</v>
      </c>
      <c r="AL141" s="11">
        <f t="shared" si="722"/>
        <v>0</v>
      </c>
      <c r="AM141" s="11">
        <f t="shared" si="722"/>
        <v>0</v>
      </c>
      <c r="AN141" s="11">
        <f t="shared" si="722"/>
        <v>0</v>
      </c>
      <c r="AO141" s="11">
        <f t="shared" si="722"/>
        <v>0</v>
      </c>
      <c r="AP141" s="11">
        <f t="shared" si="722"/>
        <v>0</v>
      </c>
      <c r="AQ141" s="11">
        <f t="shared" si="722"/>
        <v>0</v>
      </c>
      <c r="AR141" s="16">
        <f t="shared" si="722"/>
        <v>0</v>
      </c>
      <c r="AS141" s="16">
        <f t="shared" si="722"/>
        <v>0</v>
      </c>
      <c r="AT141" s="16">
        <f t="shared" si="722"/>
        <v>0</v>
      </c>
      <c r="AU141" s="7">
        <f t="shared" si="722"/>
        <v>0</v>
      </c>
      <c r="AV141" s="7">
        <f t="shared" si="722"/>
        <v>0</v>
      </c>
      <c r="AW141" s="7">
        <f t="shared" si="722"/>
        <v>0</v>
      </c>
      <c r="AX141" s="7">
        <f t="shared" si="722"/>
        <v>0</v>
      </c>
      <c r="AY141" s="11">
        <f t="shared" si="722"/>
        <v>0</v>
      </c>
      <c r="AZ141" s="16">
        <f t="shared" si="722"/>
        <v>0</v>
      </c>
      <c r="BA141" s="16">
        <f t="shared" si="722"/>
        <v>0</v>
      </c>
      <c r="BB141" s="16">
        <f t="shared" si="722"/>
        <v>0</v>
      </c>
      <c r="BC141" s="11">
        <f t="shared" si="722"/>
        <v>0</v>
      </c>
      <c r="BD141" s="11">
        <f t="shared" si="722"/>
        <v>0</v>
      </c>
      <c r="BE141" s="11">
        <f t="shared" si="722"/>
        <v>0</v>
      </c>
      <c r="BF141" s="11">
        <f t="shared" si="722"/>
        <v>0</v>
      </c>
      <c r="BG141" s="11">
        <f t="shared" si="722"/>
        <v>0</v>
      </c>
      <c r="BH141" s="11">
        <f t="shared" si="722"/>
        <v>0</v>
      </c>
      <c r="BI141" s="13">
        <f t="shared" si="722"/>
        <v>0</v>
      </c>
      <c r="BJ141" s="13">
        <f t="shared" si="722"/>
        <v>0</v>
      </c>
      <c r="BK141" s="11">
        <f t="shared" si="722"/>
        <v>0</v>
      </c>
      <c r="BL141" s="12">
        <f t="shared" si="722"/>
        <v>0</v>
      </c>
      <c r="BM141" s="12">
        <f t="shared" si="722"/>
        <v>0</v>
      </c>
      <c r="BN141" s="13">
        <f t="shared" si="722"/>
        <v>0</v>
      </c>
      <c r="BO141" s="13">
        <f t="shared" si="722"/>
        <v>0</v>
      </c>
      <c r="BP141" s="15">
        <f t="shared" si="722"/>
        <v>0</v>
      </c>
      <c r="BQ141" s="15">
        <f t="shared" si="722"/>
        <v>0</v>
      </c>
      <c r="BR141" s="14">
        <f t="shared" si="722"/>
        <v>0</v>
      </c>
      <c r="BS141" s="14">
        <f t="shared" si="722"/>
        <v>0</v>
      </c>
      <c r="BT141" s="14">
        <f t="shared" si="722"/>
        <v>0</v>
      </c>
      <c r="BU141" s="14">
        <f t="shared" si="722"/>
        <v>0</v>
      </c>
      <c r="BV141" s="11">
        <f t="shared" si="722"/>
        <v>0</v>
      </c>
      <c r="BW141" s="11">
        <f t="shared" si="722"/>
        <v>0</v>
      </c>
      <c r="BX141" s="11">
        <f t="shared" si="722"/>
        <v>0</v>
      </c>
      <c r="BY141" s="11">
        <f t="shared" si="722"/>
        <v>0</v>
      </c>
      <c r="BZ141" s="7">
        <f t="shared" si="722"/>
        <v>0</v>
      </c>
      <c r="CA141" s="7">
        <f t="shared" si="722"/>
        <v>0</v>
      </c>
      <c r="CB141" s="7">
        <f t="shared" ref="CB141:CP141" si="723">IFERROR(VALUE(CB446),"-")</f>
        <v>0</v>
      </c>
      <c r="CC141" s="7">
        <f t="shared" si="723"/>
        <v>0</v>
      </c>
      <c r="CD141" s="7">
        <f t="shared" si="723"/>
        <v>0</v>
      </c>
      <c r="CE141" s="3">
        <f t="shared" si="723"/>
        <v>0</v>
      </c>
      <c r="CF141" s="7">
        <f t="shared" si="723"/>
        <v>0</v>
      </c>
      <c r="CG141" s="3">
        <f t="shared" si="723"/>
        <v>0</v>
      </c>
      <c r="CH141" s="7">
        <f t="shared" si="723"/>
        <v>0</v>
      </c>
      <c r="CI141" s="7">
        <f t="shared" si="723"/>
        <v>0</v>
      </c>
      <c r="CJ141" s="3">
        <f t="shared" si="723"/>
        <v>0</v>
      </c>
      <c r="CK141" s="7">
        <f t="shared" si="723"/>
        <v>0</v>
      </c>
      <c r="CL141" s="3">
        <f t="shared" si="723"/>
        <v>0</v>
      </c>
      <c r="CM141" s="7">
        <f t="shared" si="723"/>
        <v>0</v>
      </c>
      <c r="CN141" s="10">
        <f t="shared" si="723"/>
        <v>44783.636701388888</v>
      </c>
      <c r="CO141" s="10">
        <f t="shared" si="723"/>
        <v>44783.636701388888</v>
      </c>
      <c r="CP141" s="7">
        <f t="shared" si="723"/>
        <v>38295.69921875</v>
      </c>
      <c r="CQ141" s="7" t="str">
        <f t="shared" ref="CQ141" si="724">IFERROR(CQ446,"-")</f>
        <v>FairPrice</v>
      </c>
      <c r="CR141" s="10">
        <f t="shared" si="651"/>
        <v>44783.638194444444</v>
      </c>
      <c r="CS141" s="7">
        <f t="shared" si="651"/>
        <v>0</v>
      </c>
      <c r="CT141" s="7">
        <f t="shared" si="651"/>
        <v>0</v>
      </c>
      <c r="CU141" s="7">
        <f t="shared" si="651"/>
        <v>0</v>
      </c>
      <c r="CV141" s="7">
        <f t="shared" si="651"/>
        <v>0</v>
      </c>
      <c r="CW141" s="7">
        <f t="shared" si="651"/>
        <v>0</v>
      </c>
      <c r="CX141" s="7">
        <f t="shared" si="651"/>
        <v>0</v>
      </c>
      <c r="CY141" s="7">
        <f t="shared" si="651"/>
        <v>0</v>
      </c>
      <c r="CZ141" s="7">
        <f t="shared" si="651"/>
        <v>0</v>
      </c>
      <c r="DA141" s="7">
        <f t="shared" si="651"/>
        <v>0</v>
      </c>
      <c r="DB141" s="7">
        <f t="shared" si="651"/>
        <v>0</v>
      </c>
      <c r="DC141" s="7">
        <f t="shared" si="651"/>
        <v>0</v>
      </c>
      <c r="DD141" s="7">
        <f t="shared" si="651"/>
        <v>0</v>
      </c>
      <c r="DE141" s="7">
        <f t="shared" si="651"/>
        <v>0</v>
      </c>
      <c r="DF141" s="7">
        <f t="shared" si="651"/>
        <v>0</v>
      </c>
      <c r="DG141" s="7">
        <f t="shared" si="651"/>
        <v>38295.69921875</v>
      </c>
      <c r="DH141" s="7" t="str">
        <f t="shared" ref="DH141:DJ141" si="725">IFERROR(DH446,"-")</f>
        <v>W</v>
      </c>
      <c r="DI141" s="7" t="str">
        <f t="shared" si="725"/>
        <v>W</v>
      </c>
      <c r="DJ141" s="7" t="str">
        <f t="shared" si="725"/>
        <v>G</v>
      </c>
      <c r="DK141" s="64">
        <f t="shared" ref="DK141:DS141" si="726">IFERROR(VALUE(DK446),"-")</f>
        <v>38300</v>
      </c>
      <c r="DL141" s="64">
        <f t="shared" si="726"/>
        <v>3400000</v>
      </c>
      <c r="DM141" s="64">
        <f t="shared" si="726"/>
        <v>38500</v>
      </c>
      <c r="DN141" s="64">
        <f t="shared" si="726"/>
        <v>0</v>
      </c>
      <c r="DO141" s="64">
        <f t="shared" si="726"/>
        <v>24500</v>
      </c>
      <c r="DP141" s="64">
        <f t="shared" si="726"/>
        <v>2863350</v>
      </c>
      <c r="DQ141" s="64">
        <f t="shared" si="726"/>
        <v>38000</v>
      </c>
      <c r="DR141" s="64">
        <f t="shared" si="726"/>
        <v>0</v>
      </c>
      <c r="DS141" s="64">
        <f t="shared" si="726"/>
        <v>24500</v>
      </c>
      <c r="DT141" t="str">
        <f t="shared" si="669"/>
        <v>BANKNIFTY</v>
      </c>
      <c r="DU141" s="10">
        <f t="shared" si="670"/>
        <v>44784</v>
      </c>
    </row>
    <row r="142" spans="1:125" x14ac:dyDescent="0.25">
      <c r="A142" t="s">
        <v>50</v>
      </c>
      <c r="B142" s="2">
        <v>44833</v>
      </c>
      <c r="C142" s="1">
        <v>4200</v>
      </c>
      <c r="D142">
        <v>76</v>
      </c>
      <c r="G142" t="str">
        <f t="array" ref="G142">IFERROR(INDEX($A$2:$A$700,MATCH(0,COUNTIF($G$1:G141,$A$2:$A$700),0)),"")</f>
        <v>NATIONALUM</v>
      </c>
      <c r="M142" s="3"/>
      <c r="N142" s="3"/>
      <c r="O142" s="3">
        <f t="shared" si="671"/>
        <v>48000</v>
      </c>
      <c r="P142" s="7">
        <f t="shared" ref="P142:CA142" si="727">IFERROR(VALUE(P447),"-")</f>
        <v>0</v>
      </c>
      <c r="Q142" s="7">
        <f t="shared" si="727"/>
        <v>0</v>
      </c>
      <c r="R142" s="7">
        <f t="shared" si="727"/>
        <v>0</v>
      </c>
      <c r="S142" s="7">
        <f t="shared" si="727"/>
        <v>0</v>
      </c>
      <c r="T142" s="11">
        <f t="shared" si="727"/>
        <v>0</v>
      </c>
      <c r="U142" s="11">
        <f t="shared" si="727"/>
        <v>0</v>
      </c>
      <c r="V142" s="11">
        <f t="shared" si="727"/>
        <v>0</v>
      </c>
      <c r="W142" s="11">
        <f t="shared" si="727"/>
        <v>0</v>
      </c>
      <c r="X142" s="14">
        <f t="shared" si="727"/>
        <v>0</v>
      </c>
      <c r="Y142" s="14">
        <f t="shared" si="727"/>
        <v>0</v>
      </c>
      <c r="Z142" s="14">
        <f t="shared" si="727"/>
        <v>0</v>
      </c>
      <c r="AA142" s="14">
        <f t="shared" si="727"/>
        <v>0</v>
      </c>
      <c r="AB142" s="15">
        <f t="shared" si="727"/>
        <v>0</v>
      </c>
      <c r="AC142" s="15">
        <f t="shared" si="727"/>
        <v>0</v>
      </c>
      <c r="AD142" s="13">
        <f t="shared" si="727"/>
        <v>0</v>
      </c>
      <c r="AE142" s="13">
        <f t="shared" si="727"/>
        <v>0</v>
      </c>
      <c r="AF142" s="12">
        <f t="shared" si="727"/>
        <v>0</v>
      </c>
      <c r="AG142" s="12">
        <f t="shared" si="727"/>
        <v>0</v>
      </c>
      <c r="AH142" s="13">
        <f t="shared" si="727"/>
        <v>0</v>
      </c>
      <c r="AI142" s="13">
        <f t="shared" si="727"/>
        <v>0</v>
      </c>
      <c r="AJ142" s="11">
        <f t="shared" si="727"/>
        <v>0</v>
      </c>
      <c r="AK142" s="11">
        <f t="shared" si="727"/>
        <v>0</v>
      </c>
      <c r="AL142" s="11">
        <f t="shared" si="727"/>
        <v>0</v>
      </c>
      <c r="AM142" s="11">
        <f t="shared" si="727"/>
        <v>0</v>
      </c>
      <c r="AN142" s="11">
        <f t="shared" si="727"/>
        <v>0</v>
      </c>
      <c r="AO142" s="11">
        <f t="shared" si="727"/>
        <v>0</v>
      </c>
      <c r="AP142" s="11">
        <f t="shared" si="727"/>
        <v>0</v>
      </c>
      <c r="AQ142" s="11">
        <f t="shared" si="727"/>
        <v>0</v>
      </c>
      <c r="AR142" s="16">
        <f t="shared" si="727"/>
        <v>0</v>
      </c>
      <c r="AS142" s="16">
        <f t="shared" si="727"/>
        <v>0</v>
      </c>
      <c r="AT142" s="16">
        <f t="shared" si="727"/>
        <v>0</v>
      </c>
      <c r="AU142" s="7">
        <f t="shared" si="727"/>
        <v>0</v>
      </c>
      <c r="AV142" s="7">
        <f t="shared" si="727"/>
        <v>0</v>
      </c>
      <c r="AW142" s="7">
        <f t="shared" si="727"/>
        <v>0</v>
      </c>
      <c r="AX142" s="7">
        <f t="shared" si="727"/>
        <v>0</v>
      </c>
      <c r="AY142" s="11">
        <f t="shared" si="727"/>
        <v>0</v>
      </c>
      <c r="AZ142" s="16">
        <f t="shared" si="727"/>
        <v>0</v>
      </c>
      <c r="BA142" s="16">
        <f t="shared" si="727"/>
        <v>0</v>
      </c>
      <c r="BB142" s="16">
        <f t="shared" si="727"/>
        <v>0</v>
      </c>
      <c r="BC142" s="11">
        <f t="shared" si="727"/>
        <v>0</v>
      </c>
      <c r="BD142" s="11">
        <f t="shared" si="727"/>
        <v>0</v>
      </c>
      <c r="BE142" s="11">
        <f t="shared" si="727"/>
        <v>0</v>
      </c>
      <c r="BF142" s="11">
        <f t="shared" si="727"/>
        <v>0</v>
      </c>
      <c r="BG142" s="11">
        <f t="shared" si="727"/>
        <v>0</v>
      </c>
      <c r="BH142" s="11">
        <f t="shared" si="727"/>
        <v>0</v>
      </c>
      <c r="BI142" s="13">
        <f t="shared" si="727"/>
        <v>0</v>
      </c>
      <c r="BJ142" s="13">
        <f t="shared" si="727"/>
        <v>0</v>
      </c>
      <c r="BK142" s="11">
        <f t="shared" si="727"/>
        <v>0</v>
      </c>
      <c r="BL142" s="12">
        <f t="shared" si="727"/>
        <v>0</v>
      </c>
      <c r="BM142" s="12">
        <f t="shared" si="727"/>
        <v>0</v>
      </c>
      <c r="BN142" s="13">
        <f t="shared" si="727"/>
        <v>0</v>
      </c>
      <c r="BO142" s="13">
        <f t="shared" si="727"/>
        <v>0</v>
      </c>
      <c r="BP142" s="15">
        <f t="shared" si="727"/>
        <v>0</v>
      </c>
      <c r="BQ142" s="15">
        <f t="shared" si="727"/>
        <v>0</v>
      </c>
      <c r="BR142" s="14">
        <f t="shared" si="727"/>
        <v>0</v>
      </c>
      <c r="BS142" s="14">
        <f t="shared" si="727"/>
        <v>0</v>
      </c>
      <c r="BT142" s="14">
        <f t="shared" si="727"/>
        <v>0</v>
      </c>
      <c r="BU142" s="14">
        <f t="shared" si="727"/>
        <v>0</v>
      </c>
      <c r="BV142" s="11">
        <f t="shared" si="727"/>
        <v>0</v>
      </c>
      <c r="BW142" s="11">
        <f t="shared" si="727"/>
        <v>0</v>
      </c>
      <c r="BX142" s="11">
        <f t="shared" si="727"/>
        <v>0</v>
      </c>
      <c r="BY142" s="11">
        <f t="shared" si="727"/>
        <v>0</v>
      </c>
      <c r="BZ142" s="7">
        <f t="shared" si="727"/>
        <v>0</v>
      </c>
      <c r="CA142" s="7">
        <f t="shared" si="727"/>
        <v>0</v>
      </c>
      <c r="CB142" s="7">
        <f t="shared" ref="CB142:CP142" si="728">IFERROR(VALUE(CB447),"-")</f>
        <v>0</v>
      </c>
      <c r="CC142" s="7">
        <f t="shared" si="728"/>
        <v>0</v>
      </c>
      <c r="CD142" s="7">
        <f t="shared" si="728"/>
        <v>0</v>
      </c>
      <c r="CE142" s="3">
        <f t="shared" si="728"/>
        <v>0</v>
      </c>
      <c r="CF142" s="7">
        <f t="shared" si="728"/>
        <v>0</v>
      </c>
      <c r="CG142" s="3">
        <f t="shared" si="728"/>
        <v>0</v>
      </c>
      <c r="CH142" s="7">
        <f t="shared" si="728"/>
        <v>0</v>
      </c>
      <c r="CI142" s="7">
        <f t="shared" si="728"/>
        <v>0</v>
      </c>
      <c r="CJ142" s="3">
        <f t="shared" si="728"/>
        <v>0</v>
      </c>
      <c r="CK142" s="7">
        <f t="shared" si="728"/>
        <v>0</v>
      </c>
      <c r="CL142" s="3">
        <f t="shared" si="728"/>
        <v>0</v>
      </c>
      <c r="CM142" s="7">
        <f t="shared" si="728"/>
        <v>0</v>
      </c>
      <c r="CN142" s="10">
        <f t="shared" si="728"/>
        <v>44783.636701388888</v>
      </c>
      <c r="CO142" s="10">
        <f t="shared" si="728"/>
        <v>44783.636701388888</v>
      </c>
      <c r="CP142" s="7">
        <f t="shared" si="728"/>
        <v>38295.69921875</v>
      </c>
      <c r="CQ142" s="7" t="str">
        <f t="shared" ref="CQ142" si="729">IFERROR(CQ447,"-")</f>
        <v>FairPrice</v>
      </c>
      <c r="CR142" s="10">
        <f t="shared" si="651"/>
        <v>44783.638194444444</v>
      </c>
      <c r="CS142" s="7">
        <f t="shared" si="651"/>
        <v>0</v>
      </c>
      <c r="CT142" s="7">
        <f t="shared" si="651"/>
        <v>0</v>
      </c>
      <c r="CU142" s="7">
        <f t="shared" si="651"/>
        <v>0</v>
      </c>
      <c r="CV142" s="7">
        <f t="shared" si="651"/>
        <v>0</v>
      </c>
      <c r="CW142" s="7">
        <f t="shared" si="651"/>
        <v>0</v>
      </c>
      <c r="CX142" s="7">
        <f t="shared" si="651"/>
        <v>0</v>
      </c>
      <c r="CY142" s="7">
        <f t="shared" si="651"/>
        <v>0</v>
      </c>
      <c r="CZ142" s="7">
        <f t="shared" si="651"/>
        <v>0</v>
      </c>
      <c r="DA142" s="7">
        <f t="shared" si="651"/>
        <v>0</v>
      </c>
      <c r="DB142" s="7">
        <f t="shared" si="651"/>
        <v>0</v>
      </c>
      <c r="DC142" s="7">
        <f t="shared" si="651"/>
        <v>0</v>
      </c>
      <c r="DD142" s="7">
        <f t="shared" si="651"/>
        <v>0</v>
      </c>
      <c r="DE142" s="7">
        <f t="shared" si="651"/>
        <v>0</v>
      </c>
      <c r="DF142" s="7">
        <f t="shared" si="651"/>
        <v>0</v>
      </c>
      <c r="DG142" s="7">
        <f t="shared" ref="DG142" si="730">IFERROR(VALUE(DG447),"-")</f>
        <v>38295.69921875</v>
      </c>
      <c r="DH142" s="7" t="str">
        <f t="shared" ref="DH142:DJ142" si="731">IFERROR(DH447,"-")</f>
        <v>W</v>
      </c>
      <c r="DI142" s="7" t="str">
        <f t="shared" si="731"/>
        <v>W</v>
      </c>
      <c r="DJ142" s="7" t="str">
        <f t="shared" si="731"/>
        <v>G</v>
      </c>
      <c r="DK142" s="64">
        <f t="shared" ref="DK142:DS142" si="732">IFERROR(VALUE(DK447),"-")</f>
        <v>38300</v>
      </c>
      <c r="DL142" s="64">
        <f t="shared" si="732"/>
        <v>3400000</v>
      </c>
      <c r="DM142" s="64">
        <f t="shared" si="732"/>
        <v>38500</v>
      </c>
      <c r="DN142" s="64">
        <f t="shared" si="732"/>
        <v>0</v>
      </c>
      <c r="DO142" s="64">
        <f t="shared" si="732"/>
        <v>24500</v>
      </c>
      <c r="DP142" s="64">
        <f t="shared" si="732"/>
        <v>2863350</v>
      </c>
      <c r="DQ142" s="64">
        <f t="shared" si="732"/>
        <v>38000</v>
      </c>
      <c r="DR142" s="64">
        <f t="shared" si="732"/>
        <v>0</v>
      </c>
      <c r="DS142" s="64">
        <f t="shared" si="732"/>
        <v>24500</v>
      </c>
      <c r="DT142" t="str">
        <f t="shared" si="669"/>
        <v>BANKNIFTY</v>
      </c>
      <c r="DU142" s="10">
        <f t="shared" si="670"/>
        <v>44784</v>
      </c>
    </row>
    <row r="143" spans="1:125" x14ac:dyDescent="0.25">
      <c r="A143" t="s">
        <v>50</v>
      </c>
      <c r="B143" s="2">
        <v>44861</v>
      </c>
      <c r="C143" s="1">
        <v>4200</v>
      </c>
      <c r="D143">
        <v>76</v>
      </c>
      <c r="G143" t="str">
        <f t="array" ref="G143">IFERROR(INDEX($A$2:$A$700,MATCH(0,COUNTIF($G$1:G142,$A$2:$A$700),0)),"")</f>
        <v>NAUKRI</v>
      </c>
      <c r="M143" s="3"/>
      <c r="N143" s="3"/>
      <c r="O143" s="3">
        <f t="shared" si="671"/>
        <v>0</v>
      </c>
      <c r="P143" s="7">
        <f t="shared" ref="P143:CA143" si="733">IFERROR(VALUE(P448),"-")</f>
        <v>0</v>
      </c>
      <c r="Q143" s="7">
        <f t="shared" si="733"/>
        <v>0</v>
      </c>
      <c r="R143" s="7">
        <f t="shared" si="733"/>
        <v>0</v>
      </c>
      <c r="S143" s="7">
        <f t="shared" si="733"/>
        <v>0</v>
      </c>
      <c r="T143" s="11">
        <f t="shared" si="733"/>
        <v>0</v>
      </c>
      <c r="U143" s="11">
        <f t="shared" si="733"/>
        <v>0</v>
      </c>
      <c r="V143" s="11">
        <f t="shared" si="733"/>
        <v>0</v>
      </c>
      <c r="W143" s="11">
        <f t="shared" si="733"/>
        <v>0</v>
      </c>
      <c r="X143" s="14">
        <f t="shared" si="733"/>
        <v>0</v>
      </c>
      <c r="Y143" s="14">
        <f t="shared" si="733"/>
        <v>0</v>
      </c>
      <c r="Z143" s="14">
        <f t="shared" si="733"/>
        <v>0</v>
      </c>
      <c r="AA143" s="14">
        <f t="shared" si="733"/>
        <v>0</v>
      </c>
      <c r="AB143" s="15">
        <f t="shared" si="733"/>
        <v>0</v>
      </c>
      <c r="AC143" s="15">
        <f t="shared" si="733"/>
        <v>0</v>
      </c>
      <c r="AD143" s="13">
        <f t="shared" si="733"/>
        <v>0</v>
      </c>
      <c r="AE143" s="13">
        <f t="shared" si="733"/>
        <v>0</v>
      </c>
      <c r="AF143" s="12">
        <f t="shared" si="733"/>
        <v>0</v>
      </c>
      <c r="AG143" s="12">
        <f t="shared" si="733"/>
        <v>0</v>
      </c>
      <c r="AH143" s="13">
        <f t="shared" si="733"/>
        <v>0</v>
      </c>
      <c r="AI143" s="13">
        <f t="shared" si="733"/>
        <v>0</v>
      </c>
      <c r="AJ143" s="11">
        <f t="shared" si="733"/>
        <v>0</v>
      </c>
      <c r="AK143" s="11">
        <f t="shared" si="733"/>
        <v>0</v>
      </c>
      <c r="AL143" s="11">
        <f t="shared" si="733"/>
        <v>0</v>
      </c>
      <c r="AM143" s="11">
        <f t="shared" si="733"/>
        <v>0</v>
      </c>
      <c r="AN143" s="11">
        <f t="shared" si="733"/>
        <v>0</v>
      </c>
      <c r="AO143" s="11">
        <f t="shared" si="733"/>
        <v>0</v>
      </c>
      <c r="AP143" s="11">
        <f t="shared" si="733"/>
        <v>0</v>
      </c>
      <c r="AQ143" s="11">
        <f t="shared" si="733"/>
        <v>0</v>
      </c>
      <c r="AR143" s="16">
        <f t="shared" si="733"/>
        <v>0</v>
      </c>
      <c r="AS143" s="16">
        <f t="shared" si="733"/>
        <v>0</v>
      </c>
      <c r="AT143" s="16">
        <f t="shared" si="733"/>
        <v>0</v>
      </c>
      <c r="AU143" s="7">
        <f t="shared" si="733"/>
        <v>0</v>
      </c>
      <c r="AV143" s="7">
        <f t="shared" si="733"/>
        <v>0</v>
      </c>
      <c r="AW143" s="7">
        <f t="shared" si="733"/>
        <v>0</v>
      </c>
      <c r="AX143" s="7">
        <f t="shared" si="733"/>
        <v>0</v>
      </c>
      <c r="AY143" s="11">
        <f t="shared" si="733"/>
        <v>0</v>
      </c>
      <c r="AZ143" s="16">
        <f t="shared" si="733"/>
        <v>0</v>
      </c>
      <c r="BA143" s="16">
        <f t="shared" si="733"/>
        <v>0</v>
      </c>
      <c r="BB143" s="16">
        <f t="shared" si="733"/>
        <v>0</v>
      </c>
      <c r="BC143" s="11">
        <f t="shared" si="733"/>
        <v>0</v>
      </c>
      <c r="BD143" s="11">
        <f t="shared" si="733"/>
        <v>0</v>
      </c>
      <c r="BE143" s="11">
        <f t="shared" si="733"/>
        <v>0</v>
      </c>
      <c r="BF143" s="11">
        <f t="shared" si="733"/>
        <v>0</v>
      </c>
      <c r="BG143" s="11">
        <f t="shared" si="733"/>
        <v>0</v>
      </c>
      <c r="BH143" s="11">
        <f t="shared" si="733"/>
        <v>0</v>
      </c>
      <c r="BI143" s="13">
        <f t="shared" si="733"/>
        <v>0</v>
      </c>
      <c r="BJ143" s="13">
        <f t="shared" si="733"/>
        <v>0</v>
      </c>
      <c r="BK143" s="11">
        <f t="shared" si="733"/>
        <v>0</v>
      </c>
      <c r="BL143" s="12">
        <f t="shared" si="733"/>
        <v>0</v>
      </c>
      <c r="BM143" s="12">
        <f t="shared" si="733"/>
        <v>0</v>
      </c>
      <c r="BN143" s="13">
        <f t="shared" si="733"/>
        <v>0</v>
      </c>
      <c r="BO143" s="13">
        <f t="shared" si="733"/>
        <v>0</v>
      </c>
      <c r="BP143" s="15">
        <f t="shared" si="733"/>
        <v>0</v>
      </c>
      <c r="BQ143" s="15">
        <f t="shared" si="733"/>
        <v>0</v>
      </c>
      <c r="BR143" s="14">
        <f t="shared" si="733"/>
        <v>0</v>
      </c>
      <c r="BS143" s="14">
        <f t="shared" si="733"/>
        <v>0</v>
      </c>
      <c r="BT143" s="14">
        <f t="shared" si="733"/>
        <v>0</v>
      </c>
      <c r="BU143" s="14">
        <f t="shared" si="733"/>
        <v>0</v>
      </c>
      <c r="BV143" s="11">
        <f t="shared" si="733"/>
        <v>0</v>
      </c>
      <c r="BW143" s="11">
        <f t="shared" si="733"/>
        <v>0</v>
      </c>
      <c r="BX143" s="11">
        <f t="shared" si="733"/>
        <v>0</v>
      </c>
      <c r="BY143" s="11">
        <f t="shared" si="733"/>
        <v>0</v>
      </c>
      <c r="BZ143" s="7">
        <f t="shared" si="733"/>
        <v>0</v>
      </c>
      <c r="CA143" s="7">
        <f t="shared" si="733"/>
        <v>0</v>
      </c>
      <c r="CB143" s="7">
        <f t="shared" ref="CB143:CP143" si="734">IFERROR(VALUE(CB448),"-")</f>
        <v>0</v>
      </c>
      <c r="CC143" s="7">
        <f t="shared" si="734"/>
        <v>0</v>
      </c>
      <c r="CD143" s="7">
        <f t="shared" si="734"/>
        <v>0</v>
      </c>
      <c r="CE143" s="3">
        <f t="shared" si="734"/>
        <v>0</v>
      </c>
      <c r="CF143" s="7">
        <f t="shared" si="734"/>
        <v>0</v>
      </c>
      <c r="CG143" s="3">
        <f t="shared" si="734"/>
        <v>0</v>
      </c>
      <c r="CH143" s="7">
        <f t="shared" si="734"/>
        <v>0</v>
      </c>
      <c r="CI143" s="7">
        <f t="shared" si="734"/>
        <v>0</v>
      </c>
      <c r="CJ143" s="3">
        <f t="shared" si="734"/>
        <v>0</v>
      </c>
      <c r="CK143" s="7">
        <f t="shared" si="734"/>
        <v>0</v>
      </c>
      <c r="CL143" s="3">
        <f t="shared" si="734"/>
        <v>0</v>
      </c>
      <c r="CM143" s="7">
        <f t="shared" si="734"/>
        <v>0</v>
      </c>
      <c r="CN143" s="10">
        <f t="shared" si="734"/>
        <v>0</v>
      </c>
      <c r="CO143" s="10">
        <f t="shared" si="734"/>
        <v>0</v>
      </c>
      <c r="CP143" s="7">
        <f t="shared" si="734"/>
        <v>0</v>
      </c>
      <c r="CQ143" s="7">
        <f t="shared" ref="CQ143" si="735">IFERROR(CQ448,"-")</f>
        <v>0</v>
      </c>
      <c r="CR143" s="10">
        <f t="shared" ref="CR143:DG158" si="736">IFERROR(VALUE(CR448),"-")</f>
        <v>0</v>
      </c>
      <c r="CS143" s="7">
        <f t="shared" si="736"/>
        <v>0</v>
      </c>
      <c r="CT143" s="7">
        <f t="shared" si="736"/>
        <v>0</v>
      </c>
      <c r="CU143" s="7">
        <f t="shared" si="736"/>
        <v>0</v>
      </c>
      <c r="CV143" s="7">
        <f t="shared" si="736"/>
        <v>0</v>
      </c>
      <c r="CW143" s="7">
        <f t="shared" si="736"/>
        <v>0</v>
      </c>
      <c r="CX143" s="7">
        <f t="shared" si="736"/>
        <v>0</v>
      </c>
      <c r="CY143" s="7">
        <f t="shared" si="736"/>
        <v>0</v>
      </c>
      <c r="CZ143" s="7">
        <f t="shared" si="736"/>
        <v>0</v>
      </c>
      <c r="DA143" s="7">
        <f t="shared" si="736"/>
        <v>0</v>
      </c>
      <c r="DB143" s="7">
        <f t="shared" si="736"/>
        <v>0</v>
      </c>
      <c r="DC143" s="7">
        <f t="shared" si="736"/>
        <v>0</v>
      </c>
      <c r="DD143" s="7">
        <f t="shared" si="736"/>
        <v>0</v>
      </c>
      <c r="DE143" s="7">
        <f t="shared" si="736"/>
        <v>0</v>
      </c>
      <c r="DF143" s="7">
        <f t="shared" si="736"/>
        <v>0</v>
      </c>
      <c r="DG143" s="7">
        <f t="shared" si="736"/>
        <v>0</v>
      </c>
      <c r="DH143" s="7">
        <f t="shared" ref="DH143:DJ143" si="737">IFERROR(DH448,"-")</f>
        <v>0</v>
      </c>
      <c r="DI143" s="7">
        <f t="shared" si="737"/>
        <v>0</v>
      </c>
      <c r="DJ143" s="7">
        <f t="shared" si="737"/>
        <v>0</v>
      </c>
      <c r="DK143" s="64">
        <f t="shared" ref="DK143:DS143" si="738">IFERROR(VALUE(DK448),"-")</f>
        <v>0</v>
      </c>
      <c r="DL143" s="64">
        <f t="shared" si="738"/>
        <v>0</v>
      </c>
      <c r="DM143" s="64">
        <f t="shared" si="738"/>
        <v>0</v>
      </c>
      <c r="DN143" s="64">
        <f t="shared" si="738"/>
        <v>0</v>
      </c>
      <c r="DO143" s="64">
        <f t="shared" si="738"/>
        <v>0</v>
      </c>
      <c r="DP143" s="64">
        <f t="shared" si="738"/>
        <v>0</v>
      </c>
      <c r="DQ143" s="64">
        <f t="shared" si="738"/>
        <v>0</v>
      </c>
      <c r="DR143" s="64">
        <f t="shared" si="738"/>
        <v>0</v>
      </c>
      <c r="DS143" s="64">
        <f t="shared" si="738"/>
        <v>0</v>
      </c>
      <c r="DT143">
        <f t="shared" si="669"/>
        <v>0</v>
      </c>
      <c r="DU143" s="10">
        <f t="shared" si="670"/>
        <v>0</v>
      </c>
    </row>
    <row r="144" spans="1:125" x14ac:dyDescent="0.25">
      <c r="A144" t="s">
        <v>51</v>
      </c>
      <c r="B144" s="2">
        <v>44798</v>
      </c>
      <c r="C144" s="1">
        <v>150</v>
      </c>
      <c r="D144">
        <v>77</v>
      </c>
      <c r="G144" t="str">
        <f t="array" ref="G144">IFERROR(INDEX($A$2:$A$700,MATCH(0,COUNTIF($G$1:G143,$A$2:$A$700),0)),"")</f>
        <v>NAVINFLUOR</v>
      </c>
      <c r="M144" s="3"/>
      <c r="N144" s="3"/>
      <c r="O144" s="3">
        <f t="shared" si="671"/>
        <v>0</v>
      </c>
      <c r="P144" s="7">
        <f t="shared" ref="P144:CA144" si="739">IFERROR(VALUE(P449),"-")</f>
        <v>0</v>
      </c>
      <c r="Q144" s="7">
        <f t="shared" si="739"/>
        <v>0</v>
      </c>
      <c r="R144" s="7">
        <f t="shared" si="739"/>
        <v>0</v>
      </c>
      <c r="S144" s="7">
        <f t="shared" si="739"/>
        <v>0</v>
      </c>
      <c r="T144" s="11">
        <f t="shared" si="739"/>
        <v>0</v>
      </c>
      <c r="U144" s="11">
        <f t="shared" si="739"/>
        <v>0</v>
      </c>
      <c r="V144" s="11">
        <f t="shared" si="739"/>
        <v>0</v>
      </c>
      <c r="W144" s="11">
        <f t="shared" si="739"/>
        <v>0</v>
      </c>
      <c r="X144" s="14">
        <f t="shared" si="739"/>
        <v>0</v>
      </c>
      <c r="Y144" s="14">
        <f t="shared" si="739"/>
        <v>0</v>
      </c>
      <c r="Z144" s="14">
        <f t="shared" si="739"/>
        <v>0</v>
      </c>
      <c r="AA144" s="14">
        <f t="shared" si="739"/>
        <v>0</v>
      </c>
      <c r="AB144" s="15">
        <f t="shared" si="739"/>
        <v>0</v>
      </c>
      <c r="AC144" s="15">
        <f t="shared" si="739"/>
        <v>0</v>
      </c>
      <c r="AD144" s="13">
        <f t="shared" si="739"/>
        <v>0</v>
      </c>
      <c r="AE144" s="13">
        <f t="shared" si="739"/>
        <v>0</v>
      </c>
      <c r="AF144" s="12">
        <f t="shared" si="739"/>
        <v>0</v>
      </c>
      <c r="AG144" s="12">
        <f t="shared" si="739"/>
        <v>0</v>
      </c>
      <c r="AH144" s="13">
        <f t="shared" si="739"/>
        <v>0</v>
      </c>
      <c r="AI144" s="13">
        <f t="shared" si="739"/>
        <v>0</v>
      </c>
      <c r="AJ144" s="11">
        <f t="shared" si="739"/>
        <v>0</v>
      </c>
      <c r="AK144" s="11">
        <f t="shared" si="739"/>
        <v>0</v>
      </c>
      <c r="AL144" s="11">
        <f t="shared" si="739"/>
        <v>0</v>
      </c>
      <c r="AM144" s="11">
        <f t="shared" si="739"/>
        <v>0</v>
      </c>
      <c r="AN144" s="11">
        <f t="shared" si="739"/>
        <v>0</v>
      </c>
      <c r="AO144" s="11">
        <f t="shared" si="739"/>
        <v>0</v>
      </c>
      <c r="AP144" s="11">
        <f t="shared" si="739"/>
        <v>0</v>
      </c>
      <c r="AQ144" s="11">
        <f t="shared" si="739"/>
        <v>0</v>
      </c>
      <c r="AR144" s="16">
        <f t="shared" si="739"/>
        <v>0</v>
      </c>
      <c r="AS144" s="16">
        <f t="shared" si="739"/>
        <v>0</v>
      </c>
      <c r="AT144" s="16">
        <f t="shared" si="739"/>
        <v>0</v>
      </c>
      <c r="AU144" s="7">
        <f t="shared" si="739"/>
        <v>0</v>
      </c>
      <c r="AV144" s="7">
        <f t="shared" si="739"/>
        <v>0</v>
      </c>
      <c r="AW144" s="7">
        <f t="shared" si="739"/>
        <v>0</v>
      </c>
      <c r="AX144" s="7">
        <f t="shared" si="739"/>
        <v>0</v>
      </c>
      <c r="AY144" s="11">
        <f t="shared" si="739"/>
        <v>0</v>
      </c>
      <c r="AZ144" s="16">
        <f t="shared" si="739"/>
        <v>0</v>
      </c>
      <c r="BA144" s="16">
        <f t="shared" si="739"/>
        <v>0</v>
      </c>
      <c r="BB144" s="16">
        <f t="shared" si="739"/>
        <v>0</v>
      </c>
      <c r="BC144" s="11">
        <f t="shared" si="739"/>
        <v>0</v>
      </c>
      <c r="BD144" s="11">
        <f t="shared" si="739"/>
        <v>0</v>
      </c>
      <c r="BE144" s="11">
        <f t="shared" si="739"/>
        <v>0</v>
      </c>
      <c r="BF144" s="11">
        <f t="shared" si="739"/>
        <v>0</v>
      </c>
      <c r="BG144" s="11">
        <f t="shared" si="739"/>
        <v>0</v>
      </c>
      <c r="BH144" s="11">
        <f t="shared" si="739"/>
        <v>0</v>
      </c>
      <c r="BI144" s="13">
        <f t="shared" si="739"/>
        <v>0</v>
      </c>
      <c r="BJ144" s="13">
        <f t="shared" si="739"/>
        <v>0</v>
      </c>
      <c r="BK144" s="11">
        <f t="shared" si="739"/>
        <v>0</v>
      </c>
      <c r="BL144" s="12">
        <f t="shared" si="739"/>
        <v>0</v>
      </c>
      <c r="BM144" s="12">
        <f t="shared" si="739"/>
        <v>0</v>
      </c>
      <c r="BN144" s="13">
        <f t="shared" si="739"/>
        <v>0</v>
      </c>
      <c r="BO144" s="13">
        <f t="shared" si="739"/>
        <v>0</v>
      </c>
      <c r="BP144" s="15">
        <f t="shared" si="739"/>
        <v>0</v>
      </c>
      <c r="BQ144" s="15">
        <f t="shared" si="739"/>
        <v>0</v>
      </c>
      <c r="BR144" s="14">
        <f t="shared" si="739"/>
        <v>0</v>
      </c>
      <c r="BS144" s="14">
        <f t="shared" si="739"/>
        <v>0</v>
      </c>
      <c r="BT144" s="14">
        <f t="shared" si="739"/>
        <v>0</v>
      </c>
      <c r="BU144" s="14">
        <f t="shared" si="739"/>
        <v>0</v>
      </c>
      <c r="BV144" s="11">
        <f t="shared" si="739"/>
        <v>0</v>
      </c>
      <c r="BW144" s="11">
        <f t="shared" si="739"/>
        <v>0</v>
      </c>
      <c r="BX144" s="11">
        <f t="shared" si="739"/>
        <v>0</v>
      </c>
      <c r="BY144" s="11">
        <f t="shared" si="739"/>
        <v>0</v>
      </c>
      <c r="BZ144" s="7">
        <f t="shared" si="739"/>
        <v>0</v>
      </c>
      <c r="CA144" s="7">
        <f t="shared" si="739"/>
        <v>0</v>
      </c>
      <c r="CB144" s="7">
        <f t="shared" ref="CB144:CP144" si="740">IFERROR(VALUE(CB449),"-")</f>
        <v>0</v>
      </c>
      <c r="CC144" s="7">
        <f t="shared" si="740"/>
        <v>0</v>
      </c>
      <c r="CD144" s="7">
        <f t="shared" si="740"/>
        <v>0</v>
      </c>
      <c r="CE144" s="3">
        <f t="shared" si="740"/>
        <v>0</v>
      </c>
      <c r="CF144" s="7">
        <f t="shared" si="740"/>
        <v>0</v>
      </c>
      <c r="CG144" s="3">
        <f t="shared" si="740"/>
        <v>0</v>
      </c>
      <c r="CH144" s="7">
        <f t="shared" si="740"/>
        <v>0</v>
      </c>
      <c r="CI144" s="7">
        <f t="shared" si="740"/>
        <v>0</v>
      </c>
      <c r="CJ144" s="3">
        <f t="shared" si="740"/>
        <v>0</v>
      </c>
      <c r="CK144" s="7">
        <f t="shared" si="740"/>
        <v>0</v>
      </c>
      <c r="CL144" s="3">
        <f t="shared" si="740"/>
        <v>0</v>
      </c>
      <c r="CM144" s="7">
        <f t="shared" si="740"/>
        <v>0</v>
      </c>
      <c r="CN144" s="10">
        <f t="shared" si="740"/>
        <v>0</v>
      </c>
      <c r="CO144" s="10">
        <f t="shared" si="740"/>
        <v>0</v>
      </c>
      <c r="CP144" s="7">
        <f t="shared" si="740"/>
        <v>0</v>
      </c>
      <c r="CQ144" s="7">
        <f t="shared" ref="CQ144" si="741">IFERROR(CQ449,"-")</f>
        <v>0</v>
      </c>
      <c r="CR144" s="10">
        <f t="shared" si="736"/>
        <v>0</v>
      </c>
      <c r="CS144" s="7">
        <f t="shared" si="736"/>
        <v>0</v>
      </c>
      <c r="CT144" s="7">
        <f t="shared" si="736"/>
        <v>0</v>
      </c>
      <c r="CU144" s="7">
        <f t="shared" si="736"/>
        <v>0</v>
      </c>
      <c r="CV144" s="7">
        <f t="shared" si="736"/>
        <v>0</v>
      </c>
      <c r="CW144" s="7">
        <f t="shared" si="736"/>
        <v>0</v>
      </c>
      <c r="CX144" s="7">
        <f t="shared" si="736"/>
        <v>0</v>
      </c>
      <c r="CY144" s="7">
        <f t="shared" si="736"/>
        <v>0</v>
      </c>
      <c r="CZ144" s="7">
        <f t="shared" si="736"/>
        <v>0</v>
      </c>
      <c r="DA144" s="7">
        <f t="shared" si="736"/>
        <v>0</v>
      </c>
      <c r="DB144" s="7">
        <f t="shared" si="736"/>
        <v>0</v>
      </c>
      <c r="DC144" s="7">
        <f t="shared" si="736"/>
        <v>0</v>
      </c>
      <c r="DD144" s="7">
        <f t="shared" si="736"/>
        <v>0</v>
      </c>
      <c r="DE144" s="7">
        <f t="shared" si="736"/>
        <v>0</v>
      </c>
      <c r="DF144" s="7">
        <f t="shared" si="736"/>
        <v>0</v>
      </c>
      <c r="DG144" s="7">
        <f t="shared" si="736"/>
        <v>0</v>
      </c>
      <c r="DH144" s="7">
        <f t="shared" ref="DH144:DJ144" si="742">IFERROR(DH449,"-")</f>
        <v>0</v>
      </c>
      <c r="DI144" s="7">
        <f t="shared" si="742"/>
        <v>0</v>
      </c>
      <c r="DJ144" s="7">
        <f t="shared" si="742"/>
        <v>0</v>
      </c>
      <c r="DK144" s="64">
        <f t="shared" ref="DK144:DS144" si="743">IFERROR(VALUE(DK449),"-")</f>
        <v>0</v>
      </c>
      <c r="DL144" s="64">
        <f t="shared" si="743"/>
        <v>0</v>
      </c>
      <c r="DM144" s="64">
        <f t="shared" si="743"/>
        <v>0</v>
      </c>
      <c r="DN144" s="64">
        <f t="shared" si="743"/>
        <v>0</v>
      </c>
      <c r="DO144" s="64">
        <f t="shared" si="743"/>
        <v>0</v>
      </c>
      <c r="DP144" s="64">
        <f t="shared" si="743"/>
        <v>0</v>
      </c>
      <c r="DQ144" s="64">
        <f t="shared" si="743"/>
        <v>0</v>
      </c>
      <c r="DR144" s="64">
        <f t="shared" si="743"/>
        <v>0</v>
      </c>
      <c r="DS144" s="64">
        <f t="shared" si="743"/>
        <v>0</v>
      </c>
      <c r="DT144">
        <f t="shared" si="669"/>
        <v>0</v>
      </c>
      <c r="DU144" s="10">
        <f t="shared" si="670"/>
        <v>0</v>
      </c>
    </row>
    <row r="145" spans="1:125" x14ac:dyDescent="0.25">
      <c r="A145" t="s">
        <v>51</v>
      </c>
      <c r="B145" s="2">
        <v>44833</v>
      </c>
      <c r="C145" s="1">
        <v>150</v>
      </c>
      <c r="D145">
        <v>77</v>
      </c>
      <c r="G145" t="str">
        <f t="array" ref="G145">IFERROR(INDEX($A$2:$A$700,MATCH(0,COUNTIF($G$1:G144,$A$2:$A$700),0)),"")</f>
        <v>NESTLEIND</v>
      </c>
      <c r="M145" s="3"/>
      <c r="N145" s="3"/>
      <c r="O145" s="3">
        <f t="shared" si="671"/>
        <v>0</v>
      </c>
      <c r="P145" s="7">
        <f t="shared" ref="P145:CA145" si="744">IFERROR(VALUE(P450),"-")</f>
        <v>0</v>
      </c>
      <c r="Q145" s="7">
        <f t="shared" si="744"/>
        <v>0</v>
      </c>
      <c r="R145" s="7">
        <f t="shared" si="744"/>
        <v>0</v>
      </c>
      <c r="S145" s="7">
        <f t="shared" si="744"/>
        <v>0</v>
      </c>
      <c r="T145" s="11">
        <f t="shared" si="744"/>
        <v>0</v>
      </c>
      <c r="U145" s="11">
        <f t="shared" si="744"/>
        <v>0</v>
      </c>
      <c r="V145" s="11">
        <f t="shared" si="744"/>
        <v>0</v>
      </c>
      <c r="W145" s="11">
        <f t="shared" si="744"/>
        <v>0</v>
      </c>
      <c r="X145" s="14">
        <f t="shared" si="744"/>
        <v>0</v>
      </c>
      <c r="Y145" s="14">
        <f t="shared" si="744"/>
        <v>0</v>
      </c>
      <c r="Z145" s="14">
        <f t="shared" si="744"/>
        <v>0</v>
      </c>
      <c r="AA145" s="14">
        <f t="shared" si="744"/>
        <v>0</v>
      </c>
      <c r="AB145" s="15">
        <f t="shared" si="744"/>
        <v>0</v>
      </c>
      <c r="AC145" s="15">
        <f t="shared" si="744"/>
        <v>0</v>
      </c>
      <c r="AD145" s="13">
        <f t="shared" si="744"/>
        <v>0</v>
      </c>
      <c r="AE145" s="13">
        <f t="shared" si="744"/>
        <v>0</v>
      </c>
      <c r="AF145" s="12">
        <f t="shared" si="744"/>
        <v>0</v>
      </c>
      <c r="AG145" s="12">
        <f t="shared" si="744"/>
        <v>0</v>
      </c>
      <c r="AH145" s="13">
        <f t="shared" si="744"/>
        <v>0</v>
      </c>
      <c r="AI145" s="13">
        <f t="shared" si="744"/>
        <v>0</v>
      </c>
      <c r="AJ145" s="11">
        <f t="shared" si="744"/>
        <v>0</v>
      </c>
      <c r="AK145" s="11">
        <f t="shared" si="744"/>
        <v>0</v>
      </c>
      <c r="AL145" s="11">
        <f t="shared" si="744"/>
        <v>0</v>
      </c>
      <c r="AM145" s="11">
        <f t="shared" si="744"/>
        <v>0</v>
      </c>
      <c r="AN145" s="11">
        <f t="shared" si="744"/>
        <v>0</v>
      </c>
      <c r="AO145" s="11">
        <f t="shared" si="744"/>
        <v>0</v>
      </c>
      <c r="AP145" s="11">
        <f t="shared" si="744"/>
        <v>0</v>
      </c>
      <c r="AQ145" s="11">
        <f t="shared" si="744"/>
        <v>0</v>
      </c>
      <c r="AR145" s="16">
        <f t="shared" si="744"/>
        <v>0</v>
      </c>
      <c r="AS145" s="16">
        <f t="shared" si="744"/>
        <v>0</v>
      </c>
      <c r="AT145" s="16">
        <f t="shared" si="744"/>
        <v>0</v>
      </c>
      <c r="AU145" s="7">
        <f t="shared" si="744"/>
        <v>0</v>
      </c>
      <c r="AV145" s="7">
        <f t="shared" si="744"/>
        <v>0</v>
      </c>
      <c r="AW145" s="7">
        <f t="shared" si="744"/>
        <v>0</v>
      </c>
      <c r="AX145" s="7">
        <f t="shared" si="744"/>
        <v>0</v>
      </c>
      <c r="AY145" s="11">
        <f t="shared" si="744"/>
        <v>0</v>
      </c>
      <c r="AZ145" s="16">
        <f t="shared" si="744"/>
        <v>0</v>
      </c>
      <c r="BA145" s="16">
        <f t="shared" si="744"/>
        <v>0</v>
      </c>
      <c r="BB145" s="16">
        <f t="shared" si="744"/>
        <v>0</v>
      </c>
      <c r="BC145" s="11">
        <f t="shared" si="744"/>
        <v>0</v>
      </c>
      <c r="BD145" s="11">
        <f t="shared" si="744"/>
        <v>0</v>
      </c>
      <c r="BE145" s="11">
        <f t="shared" si="744"/>
        <v>0</v>
      </c>
      <c r="BF145" s="11">
        <f t="shared" si="744"/>
        <v>0</v>
      </c>
      <c r="BG145" s="11">
        <f t="shared" si="744"/>
        <v>0</v>
      </c>
      <c r="BH145" s="11">
        <f t="shared" si="744"/>
        <v>0</v>
      </c>
      <c r="BI145" s="13">
        <f t="shared" si="744"/>
        <v>0</v>
      </c>
      <c r="BJ145" s="13">
        <f t="shared" si="744"/>
        <v>0</v>
      </c>
      <c r="BK145" s="11">
        <f t="shared" si="744"/>
        <v>0</v>
      </c>
      <c r="BL145" s="12">
        <f t="shared" si="744"/>
        <v>0</v>
      </c>
      <c r="BM145" s="12">
        <f t="shared" si="744"/>
        <v>0</v>
      </c>
      <c r="BN145" s="13">
        <f t="shared" si="744"/>
        <v>0</v>
      </c>
      <c r="BO145" s="13">
        <f t="shared" si="744"/>
        <v>0</v>
      </c>
      <c r="BP145" s="15">
        <f t="shared" si="744"/>
        <v>0</v>
      </c>
      <c r="BQ145" s="15">
        <f t="shared" si="744"/>
        <v>0</v>
      </c>
      <c r="BR145" s="14">
        <f t="shared" si="744"/>
        <v>0</v>
      </c>
      <c r="BS145" s="14">
        <f t="shared" si="744"/>
        <v>0</v>
      </c>
      <c r="BT145" s="14">
        <f t="shared" si="744"/>
        <v>0</v>
      </c>
      <c r="BU145" s="14">
        <f t="shared" si="744"/>
        <v>0</v>
      </c>
      <c r="BV145" s="11">
        <f t="shared" si="744"/>
        <v>0</v>
      </c>
      <c r="BW145" s="11">
        <f t="shared" si="744"/>
        <v>0</v>
      </c>
      <c r="BX145" s="11">
        <f t="shared" si="744"/>
        <v>0</v>
      </c>
      <c r="BY145" s="11">
        <f t="shared" si="744"/>
        <v>0</v>
      </c>
      <c r="BZ145" s="7">
        <f t="shared" si="744"/>
        <v>0</v>
      </c>
      <c r="CA145" s="7">
        <f t="shared" si="744"/>
        <v>0</v>
      </c>
      <c r="CB145" s="7">
        <f t="shared" ref="CB145:CP145" si="745">IFERROR(VALUE(CB450),"-")</f>
        <v>0</v>
      </c>
      <c r="CC145" s="7">
        <f t="shared" si="745"/>
        <v>0</v>
      </c>
      <c r="CD145" s="7">
        <f t="shared" si="745"/>
        <v>0</v>
      </c>
      <c r="CE145" s="3">
        <f t="shared" si="745"/>
        <v>0</v>
      </c>
      <c r="CF145" s="7">
        <f t="shared" si="745"/>
        <v>0</v>
      </c>
      <c r="CG145" s="3">
        <f t="shared" si="745"/>
        <v>0</v>
      </c>
      <c r="CH145" s="7">
        <f t="shared" si="745"/>
        <v>0</v>
      </c>
      <c r="CI145" s="7">
        <f t="shared" si="745"/>
        <v>0</v>
      </c>
      <c r="CJ145" s="3">
        <f t="shared" si="745"/>
        <v>0</v>
      </c>
      <c r="CK145" s="7">
        <f t="shared" si="745"/>
        <v>0</v>
      </c>
      <c r="CL145" s="3">
        <f t="shared" si="745"/>
        <v>0</v>
      </c>
      <c r="CM145" s="7">
        <f t="shared" si="745"/>
        <v>0</v>
      </c>
      <c r="CN145" s="10">
        <f t="shared" si="745"/>
        <v>0</v>
      </c>
      <c r="CO145" s="10">
        <f t="shared" si="745"/>
        <v>0</v>
      </c>
      <c r="CP145" s="7">
        <f t="shared" si="745"/>
        <v>0</v>
      </c>
      <c r="CQ145" s="7">
        <f t="shared" ref="CQ145" si="746">IFERROR(CQ450,"-")</f>
        <v>0</v>
      </c>
      <c r="CR145" s="10">
        <f t="shared" si="736"/>
        <v>0</v>
      </c>
      <c r="CS145" s="7">
        <f t="shared" si="736"/>
        <v>0</v>
      </c>
      <c r="CT145" s="7">
        <f t="shared" si="736"/>
        <v>0</v>
      </c>
      <c r="CU145" s="7">
        <f t="shared" si="736"/>
        <v>0</v>
      </c>
      <c r="CV145" s="7">
        <f t="shared" si="736"/>
        <v>0</v>
      </c>
      <c r="CW145" s="7">
        <f t="shared" si="736"/>
        <v>0</v>
      </c>
      <c r="CX145" s="7">
        <f t="shared" si="736"/>
        <v>0</v>
      </c>
      <c r="CY145" s="7">
        <f t="shared" si="736"/>
        <v>0</v>
      </c>
      <c r="CZ145" s="7">
        <f t="shared" si="736"/>
        <v>0</v>
      </c>
      <c r="DA145" s="7">
        <f t="shared" si="736"/>
        <v>0</v>
      </c>
      <c r="DB145" s="7">
        <f t="shared" si="736"/>
        <v>0</v>
      </c>
      <c r="DC145" s="7">
        <f t="shared" si="736"/>
        <v>0</v>
      </c>
      <c r="DD145" s="7">
        <f t="shared" si="736"/>
        <v>0</v>
      </c>
      <c r="DE145" s="7">
        <f t="shared" si="736"/>
        <v>0</v>
      </c>
      <c r="DF145" s="7">
        <f t="shared" si="736"/>
        <v>0</v>
      </c>
      <c r="DG145" s="7">
        <f t="shared" si="736"/>
        <v>0</v>
      </c>
      <c r="DH145" s="7">
        <f t="shared" ref="DH145:DJ145" si="747">IFERROR(DH450,"-")</f>
        <v>0</v>
      </c>
      <c r="DI145" s="7">
        <f t="shared" si="747"/>
        <v>0</v>
      </c>
      <c r="DJ145" s="7">
        <f t="shared" si="747"/>
        <v>0</v>
      </c>
      <c r="DK145" s="64">
        <f t="shared" ref="DK145:DS145" si="748">IFERROR(VALUE(DK450),"-")</f>
        <v>0</v>
      </c>
      <c r="DL145" s="64">
        <f t="shared" si="748"/>
        <v>0</v>
      </c>
      <c r="DM145" s="64">
        <f t="shared" si="748"/>
        <v>0</v>
      </c>
      <c r="DN145" s="64">
        <f t="shared" si="748"/>
        <v>0</v>
      </c>
      <c r="DO145" s="64">
        <f t="shared" si="748"/>
        <v>0</v>
      </c>
      <c r="DP145" s="64">
        <f t="shared" si="748"/>
        <v>0</v>
      </c>
      <c r="DQ145" s="64">
        <f t="shared" si="748"/>
        <v>0</v>
      </c>
      <c r="DR145" s="64">
        <f t="shared" si="748"/>
        <v>0</v>
      </c>
      <c r="DS145" s="64">
        <f t="shared" si="748"/>
        <v>0</v>
      </c>
      <c r="DT145">
        <f t="shared" si="669"/>
        <v>0</v>
      </c>
      <c r="DU145" s="10">
        <f t="shared" si="670"/>
        <v>0</v>
      </c>
    </row>
    <row r="146" spans="1:125" x14ac:dyDescent="0.25">
      <c r="A146" t="s">
        <v>51</v>
      </c>
      <c r="B146" s="2">
        <v>44861</v>
      </c>
      <c r="C146" s="1">
        <v>150</v>
      </c>
      <c r="D146">
        <v>77</v>
      </c>
      <c r="G146" t="str">
        <f t="array" ref="G146">IFERROR(INDEX($A$2:$A$700,MATCH(0,COUNTIF($G$1:G145,$A$2:$A$700),0)),"")</f>
        <v>NIFTY</v>
      </c>
      <c r="M146" s="3"/>
      <c r="N146" s="3"/>
      <c r="O146" s="3">
        <f t="shared" si="671"/>
        <v>0</v>
      </c>
      <c r="P146" s="7">
        <f t="shared" ref="P146:CA146" si="749">IFERROR(VALUE(P451),"-")</f>
        <v>0</v>
      </c>
      <c r="Q146" s="7">
        <f t="shared" si="749"/>
        <v>0</v>
      </c>
      <c r="R146" s="7">
        <f t="shared" si="749"/>
        <v>0</v>
      </c>
      <c r="S146" s="7">
        <f t="shared" si="749"/>
        <v>0</v>
      </c>
      <c r="T146" s="11">
        <f t="shared" si="749"/>
        <v>0</v>
      </c>
      <c r="U146" s="11">
        <f t="shared" si="749"/>
        <v>0</v>
      </c>
      <c r="V146" s="11">
        <f t="shared" si="749"/>
        <v>0</v>
      </c>
      <c r="W146" s="11">
        <f t="shared" si="749"/>
        <v>0</v>
      </c>
      <c r="X146" s="14">
        <f t="shared" si="749"/>
        <v>0</v>
      </c>
      <c r="Y146" s="14">
        <f t="shared" si="749"/>
        <v>0</v>
      </c>
      <c r="Z146" s="14">
        <f t="shared" si="749"/>
        <v>0</v>
      </c>
      <c r="AA146" s="14">
        <f t="shared" si="749"/>
        <v>0</v>
      </c>
      <c r="AB146" s="15">
        <f t="shared" si="749"/>
        <v>0</v>
      </c>
      <c r="AC146" s="15">
        <f t="shared" si="749"/>
        <v>0</v>
      </c>
      <c r="AD146" s="13">
        <f t="shared" si="749"/>
        <v>0</v>
      </c>
      <c r="AE146" s="13">
        <f t="shared" si="749"/>
        <v>0</v>
      </c>
      <c r="AF146" s="12">
        <f t="shared" si="749"/>
        <v>0</v>
      </c>
      <c r="AG146" s="12">
        <f t="shared" si="749"/>
        <v>0</v>
      </c>
      <c r="AH146" s="13">
        <f t="shared" si="749"/>
        <v>0</v>
      </c>
      <c r="AI146" s="13">
        <f t="shared" si="749"/>
        <v>0</v>
      </c>
      <c r="AJ146" s="11">
        <f t="shared" si="749"/>
        <v>0</v>
      </c>
      <c r="AK146" s="11">
        <f t="shared" si="749"/>
        <v>0</v>
      </c>
      <c r="AL146" s="11">
        <f t="shared" si="749"/>
        <v>0</v>
      </c>
      <c r="AM146" s="11">
        <f t="shared" si="749"/>
        <v>0</v>
      </c>
      <c r="AN146" s="11">
        <f t="shared" si="749"/>
        <v>0</v>
      </c>
      <c r="AO146" s="11">
        <f t="shared" si="749"/>
        <v>0</v>
      </c>
      <c r="AP146" s="11">
        <f t="shared" si="749"/>
        <v>0</v>
      </c>
      <c r="AQ146" s="11">
        <f t="shared" si="749"/>
        <v>0</v>
      </c>
      <c r="AR146" s="16">
        <f t="shared" si="749"/>
        <v>0</v>
      </c>
      <c r="AS146" s="16">
        <f t="shared" si="749"/>
        <v>0</v>
      </c>
      <c r="AT146" s="16">
        <f t="shared" si="749"/>
        <v>0</v>
      </c>
      <c r="AU146" s="7">
        <f t="shared" si="749"/>
        <v>0</v>
      </c>
      <c r="AV146" s="7">
        <f t="shared" si="749"/>
        <v>0</v>
      </c>
      <c r="AW146" s="7">
        <f t="shared" si="749"/>
        <v>0</v>
      </c>
      <c r="AX146" s="7">
        <f t="shared" si="749"/>
        <v>0</v>
      </c>
      <c r="AY146" s="11">
        <f t="shared" si="749"/>
        <v>0</v>
      </c>
      <c r="AZ146" s="16">
        <f t="shared" si="749"/>
        <v>0</v>
      </c>
      <c r="BA146" s="16">
        <f t="shared" si="749"/>
        <v>0</v>
      </c>
      <c r="BB146" s="16">
        <f t="shared" si="749"/>
        <v>0</v>
      </c>
      <c r="BC146" s="11">
        <f t="shared" si="749"/>
        <v>0</v>
      </c>
      <c r="BD146" s="11">
        <f t="shared" si="749"/>
        <v>0</v>
      </c>
      <c r="BE146" s="11">
        <f t="shared" si="749"/>
        <v>0</v>
      </c>
      <c r="BF146" s="11">
        <f t="shared" si="749"/>
        <v>0</v>
      </c>
      <c r="BG146" s="11">
        <f t="shared" si="749"/>
        <v>0</v>
      </c>
      <c r="BH146" s="11">
        <f t="shared" si="749"/>
        <v>0</v>
      </c>
      <c r="BI146" s="13">
        <f t="shared" si="749"/>
        <v>0</v>
      </c>
      <c r="BJ146" s="13">
        <f t="shared" si="749"/>
        <v>0</v>
      </c>
      <c r="BK146" s="11">
        <f t="shared" si="749"/>
        <v>0</v>
      </c>
      <c r="BL146" s="12">
        <f t="shared" si="749"/>
        <v>0</v>
      </c>
      <c r="BM146" s="12">
        <f t="shared" si="749"/>
        <v>0</v>
      </c>
      <c r="BN146" s="13">
        <f t="shared" si="749"/>
        <v>0</v>
      </c>
      <c r="BO146" s="13">
        <f t="shared" si="749"/>
        <v>0</v>
      </c>
      <c r="BP146" s="15">
        <f t="shared" si="749"/>
        <v>0</v>
      </c>
      <c r="BQ146" s="15">
        <f t="shared" si="749"/>
        <v>0</v>
      </c>
      <c r="BR146" s="14">
        <f t="shared" si="749"/>
        <v>0</v>
      </c>
      <c r="BS146" s="14">
        <f t="shared" si="749"/>
        <v>0</v>
      </c>
      <c r="BT146" s="14">
        <f t="shared" si="749"/>
        <v>0</v>
      </c>
      <c r="BU146" s="14">
        <f t="shared" si="749"/>
        <v>0</v>
      </c>
      <c r="BV146" s="11">
        <f t="shared" si="749"/>
        <v>0</v>
      </c>
      <c r="BW146" s="11">
        <f t="shared" si="749"/>
        <v>0</v>
      </c>
      <c r="BX146" s="11">
        <f t="shared" si="749"/>
        <v>0</v>
      </c>
      <c r="BY146" s="11">
        <f t="shared" si="749"/>
        <v>0</v>
      </c>
      <c r="BZ146" s="7">
        <f t="shared" si="749"/>
        <v>0</v>
      </c>
      <c r="CA146" s="7">
        <f t="shared" si="749"/>
        <v>0</v>
      </c>
      <c r="CB146" s="7">
        <f t="shared" ref="CB146:CP146" si="750">IFERROR(VALUE(CB451),"-")</f>
        <v>0</v>
      </c>
      <c r="CC146" s="7">
        <f t="shared" si="750"/>
        <v>0</v>
      </c>
      <c r="CD146" s="7">
        <f t="shared" si="750"/>
        <v>0</v>
      </c>
      <c r="CE146" s="3">
        <f t="shared" si="750"/>
        <v>0</v>
      </c>
      <c r="CF146" s="7">
        <f t="shared" si="750"/>
        <v>0</v>
      </c>
      <c r="CG146" s="3">
        <f t="shared" si="750"/>
        <v>0</v>
      </c>
      <c r="CH146" s="7">
        <f t="shared" si="750"/>
        <v>0</v>
      </c>
      <c r="CI146" s="7">
        <f t="shared" si="750"/>
        <v>0</v>
      </c>
      <c r="CJ146" s="3">
        <f t="shared" si="750"/>
        <v>0</v>
      </c>
      <c r="CK146" s="7">
        <f t="shared" si="750"/>
        <v>0</v>
      </c>
      <c r="CL146" s="3">
        <f t="shared" si="750"/>
        <v>0</v>
      </c>
      <c r="CM146" s="7">
        <f t="shared" si="750"/>
        <v>0</v>
      </c>
      <c r="CN146" s="10">
        <f t="shared" si="750"/>
        <v>0</v>
      </c>
      <c r="CO146" s="10">
        <f t="shared" si="750"/>
        <v>0</v>
      </c>
      <c r="CP146" s="7">
        <f t="shared" si="750"/>
        <v>0</v>
      </c>
      <c r="CQ146" s="7">
        <f t="shared" ref="CQ146" si="751">IFERROR(CQ451,"-")</f>
        <v>0</v>
      </c>
      <c r="CR146" s="10">
        <f t="shared" si="736"/>
        <v>0</v>
      </c>
      <c r="CS146" s="7">
        <f t="shared" si="736"/>
        <v>0</v>
      </c>
      <c r="CT146" s="7">
        <f t="shared" si="736"/>
        <v>0</v>
      </c>
      <c r="CU146" s="7">
        <f t="shared" si="736"/>
        <v>0</v>
      </c>
      <c r="CV146" s="7">
        <f t="shared" si="736"/>
        <v>0</v>
      </c>
      <c r="CW146" s="7">
        <f t="shared" si="736"/>
        <v>0</v>
      </c>
      <c r="CX146" s="7">
        <f t="shared" si="736"/>
        <v>0</v>
      </c>
      <c r="CY146" s="7">
        <f t="shared" si="736"/>
        <v>0</v>
      </c>
      <c r="CZ146" s="7">
        <f t="shared" si="736"/>
        <v>0</v>
      </c>
      <c r="DA146" s="7">
        <f t="shared" si="736"/>
        <v>0</v>
      </c>
      <c r="DB146" s="7">
        <f t="shared" si="736"/>
        <v>0</v>
      </c>
      <c r="DC146" s="7">
        <f t="shared" si="736"/>
        <v>0</v>
      </c>
      <c r="DD146" s="7">
        <f t="shared" si="736"/>
        <v>0</v>
      </c>
      <c r="DE146" s="7">
        <f t="shared" si="736"/>
        <v>0</v>
      </c>
      <c r="DF146" s="7">
        <f t="shared" si="736"/>
        <v>0</v>
      </c>
      <c r="DG146" s="7">
        <f t="shared" si="736"/>
        <v>0</v>
      </c>
      <c r="DH146" s="7">
        <f t="shared" ref="DH146:DJ146" si="752">IFERROR(DH451,"-")</f>
        <v>0</v>
      </c>
      <c r="DI146" s="7">
        <f t="shared" si="752"/>
        <v>0</v>
      </c>
      <c r="DJ146" s="7">
        <f t="shared" si="752"/>
        <v>0</v>
      </c>
      <c r="DK146" s="64">
        <f t="shared" ref="DK146:DS146" si="753">IFERROR(VALUE(DK451),"-")</f>
        <v>0</v>
      </c>
      <c r="DL146" s="64">
        <f t="shared" si="753"/>
        <v>0</v>
      </c>
      <c r="DM146" s="64">
        <f t="shared" si="753"/>
        <v>0</v>
      </c>
      <c r="DN146" s="64">
        <f t="shared" si="753"/>
        <v>0</v>
      </c>
      <c r="DO146" s="64">
        <f t="shared" si="753"/>
        <v>0</v>
      </c>
      <c r="DP146" s="64">
        <f t="shared" si="753"/>
        <v>0</v>
      </c>
      <c r="DQ146" s="64">
        <f t="shared" si="753"/>
        <v>0</v>
      </c>
      <c r="DR146" s="64">
        <f t="shared" si="753"/>
        <v>0</v>
      </c>
      <c r="DS146" s="64">
        <f t="shared" si="753"/>
        <v>0</v>
      </c>
      <c r="DT146">
        <f t="shared" si="669"/>
        <v>0</v>
      </c>
      <c r="DU146" s="10">
        <f t="shared" si="670"/>
        <v>0</v>
      </c>
    </row>
    <row r="147" spans="1:125" x14ac:dyDescent="0.25">
      <c r="A147" t="s">
        <v>52</v>
      </c>
      <c r="B147" s="2">
        <v>44798</v>
      </c>
      <c r="C147" s="1">
        <v>350</v>
      </c>
      <c r="D147">
        <v>101</v>
      </c>
      <c r="G147" t="str">
        <f t="array" ref="G147">IFERROR(INDEX($A$2:$A$700,MATCH(0,COUNTIF($G$1:G146,$A$2:$A$700),0)),"")</f>
        <v>NMDC</v>
      </c>
      <c r="M147" s="3"/>
      <c r="N147" s="3"/>
      <c r="O147" s="3">
        <f t="shared" si="671"/>
        <v>0</v>
      </c>
      <c r="P147" s="7">
        <f t="shared" ref="P147:CA147" si="754">IFERROR(VALUE(P452),"-")</f>
        <v>0</v>
      </c>
      <c r="Q147" s="7">
        <f t="shared" si="754"/>
        <v>0</v>
      </c>
      <c r="R147" s="7">
        <f t="shared" si="754"/>
        <v>0</v>
      </c>
      <c r="S147" s="7">
        <f t="shared" si="754"/>
        <v>0</v>
      </c>
      <c r="T147" s="11">
        <f t="shared" si="754"/>
        <v>0</v>
      </c>
      <c r="U147" s="11">
        <f t="shared" si="754"/>
        <v>0</v>
      </c>
      <c r="V147" s="11">
        <f t="shared" si="754"/>
        <v>0</v>
      </c>
      <c r="W147" s="11">
        <f t="shared" si="754"/>
        <v>0</v>
      </c>
      <c r="X147" s="14">
        <f t="shared" si="754"/>
        <v>0</v>
      </c>
      <c r="Y147" s="14">
        <f t="shared" si="754"/>
        <v>0</v>
      </c>
      <c r="Z147" s="14">
        <f t="shared" si="754"/>
        <v>0</v>
      </c>
      <c r="AA147" s="14">
        <f t="shared" si="754"/>
        <v>0</v>
      </c>
      <c r="AB147" s="15">
        <f t="shared" si="754"/>
        <v>0</v>
      </c>
      <c r="AC147" s="15">
        <f t="shared" si="754"/>
        <v>0</v>
      </c>
      <c r="AD147" s="13">
        <f t="shared" si="754"/>
        <v>0</v>
      </c>
      <c r="AE147" s="13">
        <f t="shared" si="754"/>
        <v>0</v>
      </c>
      <c r="AF147" s="12">
        <f t="shared" si="754"/>
        <v>0</v>
      </c>
      <c r="AG147" s="12">
        <f t="shared" si="754"/>
        <v>0</v>
      </c>
      <c r="AH147" s="13">
        <f t="shared" si="754"/>
        <v>0</v>
      </c>
      <c r="AI147" s="13">
        <f t="shared" si="754"/>
        <v>0</v>
      </c>
      <c r="AJ147" s="11">
        <f t="shared" si="754"/>
        <v>0</v>
      </c>
      <c r="AK147" s="11">
        <f t="shared" si="754"/>
        <v>0</v>
      </c>
      <c r="AL147" s="11">
        <f t="shared" si="754"/>
        <v>0</v>
      </c>
      <c r="AM147" s="11">
        <f t="shared" si="754"/>
        <v>0</v>
      </c>
      <c r="AN147" s="11">
        <f t="shared" si="754"/>
        <v>0</v>
      </c>
      <c r="AO147" s="11">
        <f t="shared" si="754"/>
        <v>0</v>
      </c>
      <c r="AP147" s="11">
        <f t="shared" si="754"/>
        <v>0</v>
      </c>
      <c r="AQ147" s="11">
        <f t="shared" si="754"/>
        <v>0</v>
      </c>
      <c r="AR147" s="16">
        <f t="shared" si="754"/>
        <v>0</v>
      </c>
      <c r="AS147" s="16">
        <f t="shared" si="754"/>
        <v>0</v>
      </c>
      <c r="AT147" s="16">
        <f t="shared" si="754"/>
        <v>0</v>
      </c>
      <c r="AU147" s="7">
        <f t="shared" si="754"/>
        <v>0</v>
      </c>
      <c r="AV147" s="7">
        <f t="shared" si="754"/>
        <v>0</v>
      </c>
      <c r="AW147" s="7">
        <f t="shared" si="754"/>
        <v>0</v>
      </c>
      <c r="AX147" s="7">
        <f t="shared" si="754"/>
        <v>0</v>
      </c>
      <c r="AY147" s="11">
        <f t="shared" si="754"/>
        <v>0</v>
      </c>
      <c r="AZ147" s="16">
        <f t="shared" si="754"/>
        <v>0</v>
      </c>
      <c r="BA147" s="16">
        <f t="shared" si="754"/>
        <v>0</v>
      </c>
      <c r="BB147" s="16">
        <f t="shared" si="754"/>
        <v>0</v>
      </c>
      <c r="BC147" s="11">
        <f t="shared" si="754"/>
        <v>0</v>
      </c>
      <c r="BD147" s="11">
        <f t="shared" si="754"/>
        <v>0</v>
      </c>
      <c r="BE147" s="11">
        <f t="shared" si="754"/>
        <v>0</v>
      </c>
      <c r="BF147" s="11">
        <f t="shared" si="754"/>
        <v>0</v>
      </c>
      <c r="BG147" s="11">
        <f t="shared" si="754"/>
        <v>0</v>
      </c>
      <c r="BH147" s="11">
        <f t="shared" si="754"/>
        <v>0</v>
      </c>
      <c r="BI147" s="13">
        <f t="shared" si="754"/>
        <v>0</v>
      </c>
      <c r="BJ147" s="13">
        <f t="shared" si="754"/>
        <v>0</v>
      </c>
      <c r="BK147" s="11">
        <f t="shared" si="754"/>
        <v>0</v>
      </c>
      <c r="BL147" s="12">
        <f t="shared" si="754"/>
        <v>0</v>
      </c>
      <c r="BM147" s="12">
        <f t="shared" si="754"/>
        <v>0</v>
      </c>
      <c r="BN147" s="13">
        <f t="shared" si="754"/>
        <v>0</v>
      </c>
      <c r="BO147" s="13">
        <f t="shared" si="754"/>
        <v>0</v>
      </c>
      <c r="BP147" s="15">
        <f t="shared" si="754"/>
        <v>0</v>
      </c>
      <c r="BQ147" s="15">
        <f t="shared" si="754"/>
        <v>0</v>
      </c>
      <c r="BR147" s="14">
        <f t="shared" si="754"/>
        <v>0</v>
      </c>
      <c r="BS147" s="14">
        <f t="shared" si="754"/>
        <v>0</v>
      </c>
      <c r="BT147" s="14">
        <f t="shared" si="754"/>
        <v>0</v>
      </c>
      <c r="BU147" s="14">
        <f t="shared" si="754"/>
        <v>0</v>
      </c>
      <c r="BV147" s="11">
        <f t="shared" si="754"/>
        <v>0</v>
      </c>
      <c r="BW147" s="11">
        <f t="shared" si="754"/>
        <v>0</v>
      </c>
      <c r="BX147" s="11">
        <f t="shared" si="754"/>
        <v>0</v>
      </c>
      <c r="BY147" s="11">
        <f t="shared" si="754"/>
        <v>0</v>
      </c>
      <c r="BZ147" s="7">
        <f t="shared" si="754"/>
        <v>0</v>
      </c>
      <c r="CA147" s="7">
        <f t="shared" si="754"/>
        <v>0</v>
      </c>
      <c r="CB147" s="7">
        <f t="shared" ref="CB147:CP147" si="755">IFERROR(VALUE(CB452),"-")</f>
        <v>0</v>
      </c>
      <c r="CC147" s="7">
        <f t="shared" si="755"/>
        <v>0</v>
      </c>
      <c r="CD147" s="7">
        <f t="shared" si="755"/>
        <v>0</v>
      </c>
      <c r="CE147" s="3">
        <f t="shared" si="755"/>
        <v>0</v>
      </c>
      <c r="CF147" s="7">
        <f t="shared" si="755"/>
        <v>0</v>
      </c>
      <c r="CG147" s="3">
        <f t="shared" si="755"/>
        <v>0</v>
      </c>
      <c r="CH147" s="7">
        <f t="shared" si="755"/>
        <v>0</v>
      </c>
      <c r="CI147" s="7">
        <f t="shared" si="755"/>
        <v>0</v>
      </c>
      <c r="CJ147" s="3">
        <f t="shared" si="755"/>
        <v>0</v>
      </c>
      <c r="CK147" s="7">
        <f t="shared" si="755"/>
        <v>0</v>
      </c>
      <c r="CL147" s="3">
        <f t="shared" si="755"/>
        <v>0</v>
      </c>
      <c r="CM147" s="7">
        <f t="shared" si="755"/>
        <v>0</v>
      </c>
      <c r="CN147" s="10">
        <f t="shared" si="755"/>
        <v>0</v>
      </c>
      <c r="CO147" s="10">
        <f t="shared" si="755"/>
        <v>0</v>
      </c>
      <c r="CP147" s="7">
        <f t="shared" si="755"/>
        <v>0</v>
      </c>
      <c r="CQ147" s="7">
        <f t="shared" ref="CQ147" si="756">IFERROR(CQ452,"-")</f>
        <v>0</v>
      </c>
      <c r="CR147" s="10">
        <f t="shared" si="736"/>
        <v>0</v>
      </c>
      <c r="CS147" s="7">
        <f t="shared" si="736"/>
        <v>0</v>
      </c>
      <c r="CT147" s="7">
        <f t="shared" si="736"/>
        <v>0</v>
      </c>
      <c r="CU147" s="7">
        <f t="shared" si="736"/>
        <v>0</v>
      </c>
      <c r="CV147" s="7">
        <f t="shared" si="736"/>
        <v>0</v>
      </c>
      <c r="CW147" s="7">
        <f t="shared" si="736"/>
        <v>0</v>
      </c>
      <c r="CX147" s="7">
        <f t="shared" si="736"/>
        <v>0</v>
      </c>
      <c r="CY147" s="7">
        <f t="shared" si="736"/>
        <v>0</v>
      </c>
      <c r="CZ147" s="7">
        <f t="shared" si="736"/>
        <v>0</v>
      </c>
      <c r="DA147" s="7">
        <f t="shared" si="736"/>
        <v>0</v>
      </c>
      <c r="DB147" s="7">
        <f t="shared" si="736"/>
        <v>0</v>
      </c>
      <c r="DC147" s="7">
        <f t="shared" si="736"/>
        <v>0</v>
      </c>
      <c r="DD147" s="7">
        <f t="shared" si="736"/>
        <v>0</v>
      </c>
      <c r="DE147" s="7">
        <f t="shared" si="736"/>
        <v>0</v>
      </c>
      <c r="DF147" s="7">
        <f t="shared" si="736"/>
        <v>0</v>
      </c>
      <c r="DG147" s="7">
        <f t="shared" si="736"/>
        <v>0</v>
      </c>
      <c r="DH147" s="7">
        <f t="shared" ref="DH147:DJ147" si="757">IFERROR(DH452,"-")</f>
        <v>0</v>
      </c>
      <c r="DI147" s="7">
        <f t="shared" si="757"/>
        <v>0</v>
      </c>
      <c r="DJ147" s="7">
        <f t="shared" si="757"/>
        <v>0</v>
      </c>
      <c r="DK147" s="64">
        <f t="shared" ref="DK147:DS147" si="758">IFERROR(VALUE(DK452),"-")</f>
        <v>0</v>
      </c>
      <c r="DL147" s="64">
        <f t="shared" si="758"/>
        <v>0</v>
      </c>
      <c r="DM147" s="64">
        <f t="shared" si="758"/>
        <v>0</v>
      </c>
      <c r="DN147" s="64">
        <f t="shared" si="758"/>
        <v>0</v>
      </c>
      <c r="DO147" s="64">
        <f t="shared" si="758"/>
        <v>0</v>
      </c>
      <c r="DP147" s="64">
        <f t="shared" si="758"/>
        <v>0</v>
      </c>
      <c r="DQ147" s="64">
        <f t="shared" si="758"/>
        <v>0</v>
      </c>
      <c r="DR147" s="64">
        <f t="shared" si="758"/>
        <v>0</v>
      </c>
      <c r="DS147" s="64">
        <f t="shared" si="758"/>
        <v>0</v>
      </c>
      <c r="DT147">
        <f t="shared" si="669"/>
        <v>0</v>
      </c>
      <c r="DU147" s="10">
        <f t="shared" si="670"/>
        <v>0</v>
      </c>
    </row>
    <row r="148" spans="1:125" x14ac:dyDescent="0.25">
      <c r="A148" t="s">
        <v>52</v>
      </c>
      <c r="B148" s="2">
        <v>44833</v>
      </c>
      <c r="C148" s="1">
        <v>350</v>
      </c>
      <c r="D148">
        <v>101</v>
      </c>
      <c r="G148" t="str">
        <f t="array" ref="G148">IFERROR(INDEX($A$2:$A$700,MATCH(0,COUNTIF($G$1:G147,$A$2:$A$700),0)),"")</f>
        <v>NTPC</v>
      </c>
      <c r="M148" s="3"/>
      <c r="N148" s="3"/>
      <c r="O148" s="3">
        <f t="shared" si="671"/>
        <v>0</v>
      </c>
      <c r="P148" s="7">
        <f t="shared" ref="P148:CA148" si="759">IFERROR(VALUE(P453),"-")</f>
        <v>0</v>
      </c>
      <c r="Q148" s="7">
        <f t="shared" si="759"/>
        <v>0</v>
      </c>
      <c r="R148" s="7">
        <f t="shared" si="759"/>
        <v>0</v>
      </c>
      <c r="S148" s="7">
        <f t="shared" si="759"/>
        <v>0</v>
      </c>
      <c r="T148" s="11">
        <f t="shared" si="759"/>
        <v>0</v>
      </c>
      <c r="U148" s="11">
        <f t="shared" si="759"/>
        <v>0</v>
      </c>
      <c r="V148" s="11">
        <f t="shared" si="759"/>
        <v>0</v>
      </c>
      <c r="W148" s="11">
        <f t="shared" si="759"/>
        <v>0</v>
      </c>
      <c r="X148" s="14">
        <f t="shared" si="759"/>
        <v>0</v>
      </c>
      <c r="Y148" s="14">
        <f t="shared" si="759"/>
        <v>0</v>
      </c>
      <c r="Z148" s="14">
        <f t="shared" si="759"/>
        <v>0</v>
      </c>
      <c r="AA148" s="14">
        <f t="shared" si="759"/>
        <v>0</v>
      </c>
      <c r="AB148" s="15">
        <f t="shared" si="759"/>
        <v>0</v>
      </c>
      <c r="AC148" s="15">
        <f t="shared" si="759"/>
        <v>0</v>
      </c>
      <c r="AD148" s="13">
        <f t="shared" si="759"/>
        <v>0</v>
      </c>
      <c r="AE148" s="13">
        <f t="shared" si="759"/>
        <v>0</v>
      </c>
      <c r="AF148" s="12">
        <f t="shared" si="759"/>
        <v>0</v>
      </c>
      <c r="AG148" s="12">
        <f t="shared" si="759"/>
        <v>0</v>
      </c>
      <c r="AH148" s="13">
        <f t="shared" si="759"/>
        <v>0</v>
      </c>
      <c r="AI148" s="13">
        <f t="shared" si="759"/>
        <v>0</v>
      </c>
      <c r="AJ148" s="11">
        <f t="shared" si="759"/>
        <v>0</v>
      </c>
      <c r="AK148" s="11">
        <f t="shared" si="759"/>
        <v>0</v>
      </c>
      <c r="AL148" s="11">
        <f t="shared" si="759"/>
        <v>0</v>
      </c>
      <c r="AM148" s="11">
        <f t="shared" si="759"/>
        <v>0</v>
      </c>
      <c r="AN148" s="11">
        <f t="shared" si="759"/>
        <v>0</v>
      </c>
      <c r="AO148" s="11">
        <f t="shared" si="759"/>
        <v>0</v>
      </c>
      <c r="AP148" s="11">
        <f t="shared" si="759"/>
        <v>0</v>
      </c>
      <c r="AQ148" s="11">
        <f t="shared" si="759"/>
        <v>0</v>
      </c>
      <c r="AR148" s="16">
        <f t="shared" si="759"/>
        <v>0</v>
      </c>
      <c r="AS148" s="16">
        <f t="shared" si="759"/>
        <v>0</v>
      </c>
      <c r="AT148" s="16">
        <f t="shared" si="759"/>
        <v>0</v>
      </c>
      <c r="AU148" s="7">
        <f t="shared" si="759"/>
        <v>0</v>
      </c>
      <c r="AV148" s="7">
        <f t="shared" si="759"/>
        <v>0</v>
      </c>
      <c r="AW148" s="7">
        <f t="shared" si="759"/>
        <v>0</v>
      </c>
      <c r="AX148" s="7">
        <f t="shared" si="759"/>
        <v>0</v>
      </c>
      <c r="AY148" s="11">
        <f t="shared" si="759"/>
        <v>0</v>
      </c>
      <c r="AZ148" s="16">
        <f t="shared" si="759"/>
        <v>0</v>
      </c>
      <c r="BA148" s="16">
        <f t="shared" si="759"/>
        <v>0</v>
      </c>
      <c r="BB148" s="16">
        <f t="shared" si="759"/>
        <v>0</v>
      </c>
      <c r="BC148" s="11">
        <f t="shared" si="759"/>
        <v>0</v>
      </c>
      <c r="BD148" s="11">
        <f t="shared" si="759"/>
        <v>0</v>
      </c>
      <c r="BE148" s="11">
        <f t="shared" si="759"/>
        <v>0</v>
      </c>
      <c r="BF148" s="11">
        <f t="shared" si="759"/>
        <v>0</v>
      </c>
      <c r="BG148" s="11">
        <f t="shared" si="759"/>
        <v>0</v>
      </c>
      <c r="BH148" s="11">
        <f t="shared" si="759"/>
        <v>0</v>
      </c>
      <c r="BI148" s="13">
        <f t="shared" si="759"/>
        <v>0</v>
      </c>
      <c r="BJ148" s="13">
        <f t="shared" si="759"/>
        <v>0</v>
      </c>
      <c r="BK148" s="11">
        <f t="shared" si="759"/>
        <v>0</v>
      </c>
      <c r="BL148" s="12">
        <f t="shared" si="759"/>
        <v>0</v>
      </c>
      <c r="BM148" s="12">
        <f t="shared" si="759"/>
        <v>0</v>
      </c>
      <c r="BN148" s="13">
        <f t="shared" si="759"/>
        <v>0</v>
      </c>
      <c r="BO148" s="13">
        <f t="shared" si="759"/>
        <v>0</v>
      </c>
      <c r="BP148" s="15">
        <f t="shared" si="759"/>
        <v>0</v>
      </c>
      <c r="BQ148" s="15">
        <f t="shared" si="759"/>
        <v>0</v>
      </c>
      <c r="BR148" s="14">
        <f t="shared" si="759"/>
        <v>0</v>
      </c>
      <c r="BS148" s="14">
        <f t="shared" si="759"/>
        <v>0</v>
      </c>
      <c r="BT148" s="14">
        <f t="shared" si="759"/>
        <v>0</v>
      </c>
      <c r="BU148" s="14">
        <f t="shared" si="759"/>
        <v>0</v>
      </c>
      <c r="BV148" s="11">
        <f t="shared" si="759"/>
        <v>0</v>
      </c>
      <c r="BW148" s="11">
        <f t="shared" si="759"/>
        <v>0</v>
      </c>
      <c r="BX148" s="11">
        <f t="shared" si="759"/>
        <v>0</v>
      </c>
      <c r="BY148" s="11">
        <f t="shared" si="759"/>
        <v>0</v>
      </c>
      <c r="BZ148" s="7">
        <f t="shared" si="759"/>
        <v>0</v>
      </c>
      <c r="CA148" s="7">
        <f t="shared" si="759"/>
        <v>0</v>
      </c>
      <c r="CB148" s="7">
        <f t="shared" ref="CB148:CP148" si="760">IFERROR(VALUE(CB453),"-")</f>
        <v>0</v>
      </c>
      <c r="CC148" s="7">
        <f t="shared" si="760"/>
        <v>0</v>
      </c>
      <c r="CD148" s="7">
        <f t="shared" si="760"/>
        <v>0</v>
      </c>
      <c r="CE148" s="3">
        <f t="shared" si="760"/>
        <v>0</v>
      </c>
      <c r="CF148" s="7">
        <f t="shared" si="760"/>
        <v>0</v>
      </c>
      <c r="CG148" s="3">
        <f t="shared" si="760"/>
        <v>0</v>
      </c>
      <c r="CH148" s="7">
        <f t="shared" si="760"/>
        <v>0</v>
      </c>
      <c r="CI148" s="7">
        <f t="shared" si="760"/>
        <v>0</v>
      </c>
      <c r="CJ148" s="3">
        <f t="shared" si="760"/>
        <v>0</v>
      </c>
      <c r="CK148" s="7">
        <f t="shared" si="760"/>
        <v>0</v>
      </c>
      <c r="CL148" s="3">
        <f t="shared" si="760"/>
        <v>0</v>
      </c>
      <c r="CM148" s="7">
        <f t="shared" si="760"/>
        <v>0</v>
      </c>
      <c r="CN148" s="10">
        <f t="shared" si="760"/>
        <v>0</v>
      </c>
      <c r="CO148" s="10">
        <f t="shared" si="760"/>
        <v>0</v>
      </c>
      <c r="CP148" s="7">
        <f t="shared" si="760"/>
        <v>0</v>
      </c>
      <c r="CQ148" s="7">
        <f t="shared" ref="CQ148" si="761">IFERROR(CQ453,"-")</f>
        <v>0</v>
      </c>
      <c r="CR148" s="10">
        <f t="shared" si="736"/>
        <v>0</v>
      </c>
      <c r="CS148" s="7">
        <f t="shared" si="736"/>
        <v>0</v>
      </c>
      <c r="CT148" s="7">
        <f t="shared" si="736"/>
        <v>0</v>
      </c>
      <c r="CU148" s="7">
        <f t="shared" si="736"/>
        <v>0</v>
      </c>
      <c r="CV148" s="7">
        <f t="shared" si="736"/>
        <v>0</v>
      </c>
      <c r="CW148" s="7">
        <f t="shared" si="736"/>
        <v>0</v>
      </c>
      <c r="CX148" s="7">
        <f t="shared" si="736"/>
        <v>0</v>
      </c>
      <c r="CY148" s="7">
        <f t="shared" si="736"/>
        <v>0</v>
      </c>
      <c r="CZ148" s="7">
        <f t="shared" si="736"/>
        <v>0</v>
      </c>
      <c r="DA148" s="7">
        <f t="shared" si="736"/>
        <v>0</v>
      </c>
      <c r="DB148" s="7">
        <f t="shared" si="736"/>
        <v>0</v>
      </c>
      <c r="DC148" s="7">
        <f t="shared" si="736"/>
        <v>0</v>
      </c>
      <c r="DD148" s="7">
        <f t="shared" si="736"/>
        <v>0</v>
      </c>
      <c r="DE148" s="7">
        <f t="shared" si="736"/>
        <v>0</v>
      </c>
      <c r="DF148" s="7">
        <f t="shared" si="736"/>
        <v>0</v>
      </c>
      <c r="DG148" s="7">
        <f t="shared" si="736"/>
        <v>0</v>
      </c>
      <c r="DH148" s="7">
        <f t="shared" ref="DH148:DJ148" si="762">IFERROR(DH453,"-")</f>
        <v>0</v>
      </c>
      <c r="DI148" s="7">
        <f t="shared" si="762"/>
        <v>0</v>
      </c>
      <c r="DJ148" s="7">
        <f t="shared" si="762"/>
        <v>0</v>
      </c>
      <c r="DK148" s="64">
        <f t="shared" ref="DK148:DS148" si="763">IFERROR(VALUE(DK453),"-")</f>
        <v>0</v>
      </c>
      <c r="DL148" s="64">
        <f t="shared" si="763"/>
        <v>0</v>
      </c>
      <c r="DM148" s="64">
        <f t="shared" si="763"/>
        <v>0</v>
      </c>
      <c r="DN148" s="64">
        <f t="shared" si="763"/>
        <v>0</v>
      </c>
      <c r="DO148" s="64">
        <f t="shared" si="763"/>
        <v>0</v>
      </c>
      <c r="DP148" s="64">
        <f t="shared" si="763"/>
        <v>0</v>
      </c>
      <c r="DQ148" s="64">
        <f t="shared" si="763"/>
        <v>0</v>
      </c>
      <c r="DR148" s="64">
        <f t="shared" si="763"/>
        <v>0</v>
      </c>
      <c r="DS148" s="64">
        <f t="shared" si="763"/>
        <v>0</v>
      </c>
      <c r="DT148">
        <f t="shared" si="669"/>
        <v>0</v>
      </c>
      <c r="DU148" s="10">
        <f t="shared" si="670"/>
        <v>0</v>
      </c>
    </row>
    <row r="149" spans="1:125" x14ac:dyDescent="0.25">
      <c r="A149" t="s">
        <v>52</v>
      </c>
      <c r="B149" s="2">
        <v>44861</v>
      </c>
      <c r="C149" s="1">
        <v>350</v>
      </c>
      <c r="D149">
        <v>101</v>
      </c>
      <c r="G149" t="str">
        <f t="array" ref="G149">IFERROR(INDEX($A$2:$A$700,MATCH(0,COUNTIF($G$1:G148,$A$2:$A$700),0)),"")</f>
        <v>OBEROIRLTY</v>
      </c>
      <c r="M149" s="3"/>
      <c r="N149" s="3"/>
      <c r="O149" s="3">
        <f t="shared" si="671"/>
        <v>0</v>
      </c>
      <c r="P149" s="7">
        <f t="shared" ref="P149:CA149" si="764">IFERROR(VALUE(P454),"-")</f>
        <v>0</v>
      </c>
      <c r="Q149" s="7">
        <f t="shared" si="764"/>
        <v>0</v>
      </c>
      <c r="R149" s="7">
        <f t="shared" si="764"/>
        <v>0</v>
      </c>
      <c r="S149" s="7">
        <f t="shared" si="764"/>
        <v>0</v>
      </c>
      <c r="T149" s="11">
        <f t="shared" si="764"/>
        <v>0</v>
      </c>
      <c r="U149" s="11">
        <f t="shared" si="764"/>
        <v>0</v>
      </c>
      <c r="V149" s="11">
        <f t="shared" si="764"/>
        <v>0</v>
      </c>
      <c r="W149" s="11">
        <f t="shared" si="764"/>
        <v>0</v>
      </c>
      <c r="X149" s="14">
        <f t="shared" si="764"/>
        <v>0</v>
      </c>
      <c r="Y149" s="14">
        <f t="shared" si="764"/>
        <v>0</v>
      </c>
      <c r="Z149" s="14">
        <f t="shared" si="764"/>
        <v>0</v>
      </c>
      <c r="AA149" s="14">
        <f t="shared" si="764"/>
        <v>0</v>
      </c>
      <c r="AB149" s="15">
        <f t="shared" si="764"/>
        <v>0</v>
      </c>
      <c r="AC149" s="15">
        <f t="shared" si="764"/>
        <v>0</v>
      </c>
      <c r="AD149" s="13">
        <f t="shared" si="764"/>
        <v>0</v>
      </c>
      <c r="AE149" s="13">
        <f t="shared" si="764"/>
        <v>0</v>
      </c>
      <c r="AF149" s="12">
        <f t="shared" si="764"/>
        <v>0</v>
      </c>
      <c r="AG149" s="12">
        <f t="shared" si="764"/>
        <v>0</v>
      </c>
      <c r="AH149" s="13">
        <f t="shared" si="764"/>
        <v>0</v>
      </c>
      <c r="AI149" s="13">
        <f t="shared" si="764"/>
        <v>0</v>
      </c>
      <c r="AJ149" s="11">
        <f t="shared" si="764"/>
        <v>0</v>
      </c>
      <c r="AK149" s="11">
        <f t="shared" si="764"/>
        <v>0</v>
      </c>
      <c r="AL149" s="11">
        <f t="shared" si="764"/>
        <v>0</v>
      </c>
      <c r="AM149" s="11">
        <f t="shared" si="764"/>
        <v>0</v>
      </c>
      <c r="AN149" s="11">
        <f t="shared" si="764"/>
        <v>0</v>
      </c>
      <c r="AO149" s="11">
        <f t="shared" si="764"/>
        <v>0</v>
      </c>
      <c r="AP149" s="11">
        <f t="shared" si="764"/>
        <v>0</v>
      </c>
      <c r="AQ149" s="11">
        <f t="shared" si="764"/>
        <v>0</v>
      </c>
      <c r="AR149" s="16">
        <f t="shared" si="764"/>
        <v>0</v>
      </c>
      <c r="AS149" s="16">
        <f t="shared" si="764"/>
        <v>0</v>
      </c>
      <c r="AT149" s="16">
        <f t="shared" si="764"/>
        <v>0</v>
      </c>
      <c r="AU149" s="7">
        <f t="shared" si="764"/>
        <v>0</v>
      </c>
      <c r="AV149" s="7">
        <f t="shared" si="764"/>
        <v>0</v>
      </c>
      <c r="AW149" s="7">
        <f t="shared" si="764"/>
        <v>0</v>
      </c>
      <c r="AX149" s="7">
        <f t="shared" si="764"/>
        <v>0</v>
      </c>
      <c r="AY149" s="11">
        <f t="shared" si="764"/>
        <v>0</v>
      </c>
      <c r="AZ149" s="16">
        <f t="shared" si="764"/>
        <v>0</v>
      </c>
      <c r="BA149" s="16">
        <f t="shared" si="764"/>
        <v>0</v>
      </c>
      <c r="BB149" s="16">
        <f t="shared" si="764"/>
        <v>0</v>
      </c>
      <c r="BC149" s="11">
        <f t="shared" si="764"/>
        <v>0</v>
      </c>
      <c r="BD149" s="11">
        <f t="shared" si="764"/>
        <v>0</v>
      </c>
      <c r="BE149" s="11">
        <f t="shared" si="764"/>
        <v>0</v>
      </c>
      <c r="BF149" s="11">
        <f t="shared" si="764"/>
        <v>0</v>
      </c>
      <c r="BG149" s="11">
        <f t="shared" si="764"/>
        <v>0</v>
      </c>
      <c r="BH149" s="11">
        <f t="shared" si="764"/>
        <v>0</v>
      </c>
      <c r="BI149" s="13">
        <f t="shared" si="764"/>
        <v>0</v>
      </c>
      <c r="BJ149" s="13">
        <f t="shared" si="764"/>
        <v>0</v>
      </c>
      <c r="BK149" s="11">
        <f t="shared" si="764"/>
        <v>0</v>
      </c>
      <c r="BL149" s="12">
        <f t="shared" si="764"/>
        <v>0</v>
      </c>
      <c r="BM149" s="12">
        <f t="shared" si="764"/>
        <v>0</v>
      </c>
      <c r="BN149" s="13">
        <f t="shared" si="764"/>
        <v>0</v>
      </c>
      <c r="BO149" s="13">
        <f t="shared" si="764"/>
        <v>0</v>
      </c>
      <c r="BP149" s="15">
        <f t="shared" si="764"/>
        <v>0</v>
      </c>
      <c r="BQ149" s="15">
        <f t="shared" si="764"/>
        <v>0</v>
      </c>
      <c r="BR149" s="14">
        <f t="shared" si="764"/>
        <v>0</v>
      </c>
      <c r="BS149" s="14">
        <f t="shared" si="764"/>
        <v>0</v>
      </c>
      <c r="BT149" s="14">
        <f t="shared" si="764"/>
        <v>0</v>
      </c>
      <c r="BU149" s="14">
        <f t="shared" si="764"/>
        <v>0</v>
      </c>
      <c r="BV149" s="11">
        <f t="shared" si="764"/>
        <v>0</v>
      </c>
      <c r="BW149" s="11">
        <f t="shared" si="764"/>
        <v>0</v>
      </c>
      <c r="BX149" s="11">
        <f t="shared" si="764"/>
        <v>0</v>
      </c>
      <c r="BY149" s="11">
        <f t="shared" si="764"/>
        <v>0</v>
      </c>
      <c r="BZ149" s="7">
        <f t="shared" si="764"/>
        <v>0</v>
      </c>
      <c r="CA149" s="7">
        <f t="shared" si="764"/>
        <v>0</v>
      </c>
      <c r="CB149" s="7">
        <f t="shared" ref="CB149:CP149" si="765">IFERROR(VALUE(CB454),"-")</f>
        <v>0</v>
      </c>
      <c r="CC149" s="7">
        <f t="shared" si="765"/>
        <v>0</v>
      </c>
      <c r="CD149" s="7">
        <f t="shared" si="765"/>
        <v>0</v>
      </c>
      <c r="CE149" s="3">
        <f t="shared" si="765"/>
        <v>0</v>
      </c>
      <c r="CF149" s="7">
        <f t="shared" si="765"/>
        <v>0</v>
      </c>
      <c r="CG149" s="3">
        <f t="shared" si="765"/>
        <v>0</v>
      </c>
      <c r="CH149" s="7">
        <f t="shared" si="765"/>
        <v>0</v>
      </c>
      <c r="CI149" s="7">
        <f t="shared" si="765"/>
        <v>0</v>
      </c>
      <c r="CJ149" s="3">
        <f t="shared" si="765"/>
        <v>0</v>
      </c>
      <c r="CK149" s="7">
        <f t="shared" si="765"/>
        <v>0</v>
      </c>
      <c r="CL149" s="3">
        <f t="shared" si="765"/>
        <v>0</v>
      </c>
      <c r="CM149" s="7">
        <f t="shared" si="765"/>
        <v>0</v>
      </c>
      <c r="CN149" s="10">
        <f t="shared" si="765"/>
        <v>0</v>
      </c>
      <c r="CO149" s="10">
        <f t="shared" si="765"/>
        <v>0</v>
      </c>
      <c r="CP149" s="7">
        <f t="shared" si="765"/>
        <v>0</v>
      </c>
      <c r="CQ149" s="7">
        <f t="shared" ref="CQ149" si="766">IFERROR(CQ454,"-")</f>
        <v>0</v>
      </c>
      <c r="CR149" s="10">
        <f t="shared" si="736"/>
        <v>0</v>
      </c>
      <c r="CS149" s="7">
        <f t="shared" si="736"/>
        <v>0</v>
      </c>
      <c r="CT149" s="7">
        <f t="shared" si="736"/>
        <v>0</v>
      </c>
      <c r="CU149" s="7">
        <f t="shared" si="736"/>
        <v>0</v>
      </c>
      <c r="CV149" s="7">
        <f t="shared" si="736"/>
        <v>0</v>
      </c>
      <c r="CW149" s="7">
        <f t="shared" si="736"/>
        <v>0</v>
      </c>
      <c r="CX149" s="7">
        <f t="shared" si="736"/>
        <v>0</v>
      </c>
      <c r="CY149" s="7">
        <f t="shared" si="736"/>
        <v>0</v>
      </c>
      <c r="CZ149" s="7">
        <f t="shared" si="736"/>
        <v>0</v>
      </c>
      <c r="DA149" s="7">
        <f t="shared" si="736"/>
        <v>0</v>
      </c>
      <c r="DB149" s="7">
        <f t="shared" si="736"/>
        <v>0</v>
      </c>
      <c r="DC149" s="7">
        <f t="shared" si="736"/>
        <v>0</v>
      </c>
      <c r="DD149" s="7">
        <f t="shared" si="736"/>
        <v>0</v>
      </c>
      <c r="DE149" s="7">
        <f t="shared" si="736"/>
        <v>0</v>
      </c>
      <c r="DF149" s="7">
        <f t="shared" si="736"/>
        <v>0</v>
      </c>
      <c r="DG149" s="7">
        <f t="shared" si="736"/>
        <v>0</v>
      </c>
      <c r="DH149" s="7">
        <f t="shared" ref="DH149:DJ149" si="767">IFERROR(DH454,"-")</f>
        <v>0</v>
      </c>
      <c r="DI149" s="7">
        <f t="shared" si="767"/>
        <v>0</v>
      </c>
      <c r="DJ149" s="7">
        <f t="shared" si="767"/>
        <v>0</v>
      </c>
      <c r="DK149" s="64">
        <f t="shared" ref="DK149:DS149" si="768">IFERROR(VALUE(DK454),"-")</f>
        <v>0</v>
      </c>
      <c r="DL149" s="64">
        <f t="shared" si="768"/>
        <v>0</v>
      </c>
      <c r="DM149" s="64">
        <f t="shared" si="768"/>
        <v>0</v>
      </c>
      <c r="DN149" s="64">
        <f t="shared" si="768"/>
        <v>0</v>
      </c>
      <c r="DO149" s="64">
        <f t="shared" si="768"/>
        <v>0</v>
      </c>
      <c r="DP149" s="64">
        <f t="shared" si="768"/>
        <v>0</v>
      </c>
      <c r="DQ149" s="64">
        <f t="shared" si="768"/>
        <v>0</v>
      </c>
      <c r="DR149" s="64">
        <f t="shared" si="768"/>
        <v>0</v>
      </c>
      <c r="DS149" s="64">
        <f t="shared" si="768"/>
        <v>0</v>
      </c>
      <c r="DT149">
        <f t="shared" si="669"/>
        <v>0</v>
      </c>
      <c r="DU149" s="10">
        <f t="shared" si="670"/>
        <v>0</v>
      </c>
    </row>
    <row r="150" spans="1:125" x14ac:dyDescent="0.25">
      <c r="A150" t="s">
        <v>53</v>
      </c>
      <c r="B150" s="2">
        <v>44798</v>
      </c>
      <c r="C150" s="1">
        <v>1000</v>
      </c>
      <c r="D150">
        <v>67</v>
      </c>
      <c r="G150" t="str">
        <f t="array" ref="G150">IFERROR(INDEX($A$2:$A$700,MATCH(0,COUNTIF($G$1:G149,$A$2:$A$700),0)),"")</f>
        <v>OFSS</v>
      </c>
      <c r="M150" s="3"/>
      <c r="N150" s="3"/>
      <c r="O150" s="3">
        <f t="shared" si="671"/>
        <v>0</v>
      </c>
      <c r="P150" s="7">
        <f t="shared" ref="P150:CA150" si="769">IFERROR(VALUE(P455),"-")</f>
        <v>0</v>
      </c>
      <c r="Q150" s="7">
        <f t="shared" si="769"/>
        <v>0</v>
      </c>
      <c r="R150" s="7">
        <f t="shared" si="769"/>
        <v>0</v>
      </c>
      <c r="S150" s="7">
        <f t="shared" si="769"/>
        <v>0</v>
      </c>
      <c r="T150" s="11">
        <f t="shared" si="769"/>
        <v>0</v>
      </c>
      <c r="U150" s="11">
        <f t="shared" si="769"/>
        <v>0</v>
      </c>
      <c r="V150" s="11">
        <f t="shared" si="769"/>
        <v>0</v>
      </c>
      <c r="W150" s="11">
        <f t="shared" si="769"/>
        <v>0</v>
      </c>
      <c r="X150" s="14">
        <f t="shared" si="769"/>
        <v>0</v>
      </c>
      <c r="Y150" s="14">
        <f t="shared" si="769"/>
        <v>0</v>
      </c>
      <c r="Z150" s="14">
        <f t="shared" si="769"/>
        <v>0</v>
      </c>
      <c r="AA150" s="14">
        <f t="shared" si="769"/>
        <v>0</v>
      </c>
      <c r="AB150" s="15">
        <f t="shared" si="769"/>
        <v>0</v>
      </c>
      <c r="AC150" s="15">
        <f t="shared" si="769"/>
        <v>0</v>
      </c>
      <c r="AD150" s="13">
        <f t="shared" si="769"/>
        <v>0</v>
      </c>
      <c r="AE150" s="13">
        <f t="shared" si="769"/>
        <v>0</v>
      </c>
      <c r="AF150" s="12">
        <f t="shared" si="769"/>
        <v>0</v>
      </c>
      <c r="AG150" s="12">
        <f t="shared" si="769"/>
        <v>0</v>
      </c>
      <c r="AH150" s="13">
        <f t="shared" si="769"/>
        <v>0</v>
      </c>
      <c r="AI150" s="13">
        <f t="shared" si="769"/>
        <v>0</v>
      </c>
      <c r="AJ150" s="11">
        <f t="shared" si="769"/>
        <v>0</v>
      </c>
      <c r="AK150" s="11">
        <f t="shared" si="769"/>
        <v>0</v>
      </c>
      <c r="AL150" s="11">
        <f t="shared" si="769"/>
        <v>0</v>
      </c>
      <c r="AM150" s="11">
        <f t="shared" si="769"/>
        <v>0</v>
      </c>
      <c r="AN150" s="11">
        <f t="shared" si="769"/>
        <v>0</v>
      </c>
      <c r="AO150" s="11">
        <f t="shared" si="769"/>
        <v>0</v>
      </c>
      <c r="AP150" s="11">
        <f t="shared" si="769"/>
        <v>0</v>
      </c>
      <c r="AQ150" s="11">
        <f t="shared" si="769"/>
        <v>0</v>
      </c>
      <c r="AR150" s="16">
        <f t="shared" si="769"/>
        <v>0</v>
      </c>
      <c r="AS150" s="16">
        <f t="shared" si="769"/>
        <v>0</v>
      </c>
      <c r="AT150" s="16">
        <f t="shared" si="769"/>
        <v>0</v>
      </c>
      <c r="AU150" s="7">
        <f t="shared" si="769"/>
        <v>0</v>
      </c>
      <c r="AV150" s="7">
        <f t="shared" si="769"/>
        <v>0</v>
      </c>
      <c r="AW150" s="7">
        <f t="shared" si="769"/>
        <v>0</v>
      </c>
      <c r="AX150" s="7">
        <f t="shared" si="769"/>
        <v>0</v>
      </c>
      <c r="AY150" s="11">
        <f t="shared" si="769"/>
        <v>0</v>
      </c>
      <c r="AZ150" s="16">
        <f t="shared" si="769"/>
        <v>0</v>
      </c>
      <c r="BA150" s="16">
        <f t="shared" si="769"/>
        <v>0</v>
      </c>
      <c r="BB150" s="16">
        <f t="shared" si="769"/>
        <v>0</v>
      </c>
      <c r="BC150" s="11">
        <f t="shared" si="769"/>
        <v>0</v>
      </c>
      <c r="BD150" s="11">
        <f t="shared" si="769"/>
        <v>0</v>
      </c>
      <c r="BE150" s="11">
        <f t="shared" si="769"/>
        <v>0</v>
      </c>
      <c r="BF150" s="11">
        <f t="shared" si="769"/>
        <v>0</v>
      </c>
      <c r="BG150" s="11">
        <f t="shared" si="769"/>
        <v>0</v>
      </c>
      <c r="BH150" s="11">
        <f t="shared" si="769"/>
        <v>0</v>
      </c>
      <c r="BI150" s="13">
        <f t="shared" si="769"/>
        <v>0</v>
      </c>
      <c r="BJ150" s="13">
        <f t="shared" si="769"/>
        <v>0</v>
      </c>
      <c r="BK150" s="11">
        <f t="shared" si="769"/>
        <v>0</v>
      </c>
      <c r="BL150" s="12">
        <f t="shared" si="769"/>
        <v>0</v>
      </c>
      <c r="BM150" s="12">
        <f t="shared" si="769"/>
        <v>0</v>
      </c>
      <c r="BN150" s="13">
        <f t="shared" si="769"/>
        <v>0</v>
      </c>
      <c r="BO150" s="13">
        <f t="shared" si="769"/>
        <v>0</v>
      </c>
      <c r="BP150" s="15">
        <f t="shared" si="769"/>
        <v>0</v>
      </c>
      <c r="BQ150" s="15">
        <f t="shared" si="769"/>
        <v>0</v>
      </c>
      <c r="BR150" s="14">
        <f t="shared" si="769"/>
        <v>0</v>
      </c>
      <c r="BS150" s="14">
        <f t="shared" si="769"/>
        <v>0</v>
      </c>
      <c r="BT150" s="14">
        <f t="shared" si="769"/>
        <v>0</v>
      </c>
      <c r="BU150" s="14">
        <f t="shared" si="769"/>
        <v>0</v>
      </c>
      <c r="BV150" s="11">
        <f t="shared" si="769"/>
        <v>0</v>
      </c>
      <c r="BW150" s="11">
        <f t="shared" si="769"/>
        <v>0</v>
      </c>
      <c r="BX150" s="11">
        <f t="shared" si="769"/>
        <v>0</v>
      </c>
      <c r="BY150" s="11">
        <f t="shared" si="769"/>
        <v>0</v>
      </c>
      <c r="BZ150" s="7">
        <f t="shared" si="769"/>
        <v>0</v>
      </c>
      <c r="CA150" s="7">
        <f t="shared" si="769"/>
        <v>0</v>
      </c>
      <c r="CB150" s="7">
        <f t="shared" ref="CB150:CP150" si="770">IFERROR(VALUE(CB455),"-")</f>
        <v>0</v>
      </c>
      <c r="CC150" s="7">
        <f t="shared" si="770"/>
        <v>0</v>
      </c>
      <c r="CD150" s="7">
        <f t="shared" si="770"/>
        <v>0</v>
      </c>
      <c r="CE150" s="3">
        <f t="shared" si="770"/>
        <v>0</v>
      </c>
      <c r="CF150" s="7">
        <f t="shared" si="770"/>
        <v>0</v>
      </c>
      <c r="CG150" s="3">
        <f t="shared" si="770"/>
        <v>0</v>
      </c>
      <c r="CH150" s="7">
        <f t="shared" si="770"/>
        <v>0</v>
      </c>
      <c r="CI150" s="7">
        <f t="shared" si="770"/>
        <v>0</v>
      </c>
      <c r="CJ150" s="3">
        <f t="shared" si="770"/>
        <v>0</v>
      </c>
      <c r="CK150" s="7">
        <f t="shared" si="770"/>
        <v>0</v>
      </c>
      <c r="CL150" s="3">
        <f t="shared" si="770"/>
        <v>0</v>
      </c>
      <c r="CM150" s="7">
        <f t="shared" si="770"/>
        <v>0</v>
      </c>
      <c r="CN150" s="10">
        <f t="shared" si="770"/>
        <v>0</v>
      </c>
      <c r="CO150" s="10">
        <f t="shared" si="770"/>
        <v>0</v>
      </c>
      <c r="CP150" s="7">
        <f t="shared" si="770"/>
        <v>0</v>
      </c>
      <c r="CQ150" s="7">
        <f t="shared" ref="CQ150" si="771">IFERROR(CQ455,"-")</f>
        <v>0</v>
      </c>
      <c r="CR150" s="10">
        <f t="shared" si="736"/>
        <v>0</v>
      </c>
      <c r="CS150" s="7">
        <f t="shared" si="736"/>
        <v>0</v>
      </c>
      <c r="CT150" s="7">
        <f t="shared" si="736"/>
        <v>0</v>
      </c>
      <c r="CU150" s="7">
        <f t="shared" si="736"/>
        <v>0</v>
      </c>
      <c r="CV150" s="7">
        <f t="shared" si="736"/>
        <v>0</v>
      </c>
      <c r="CW150" s="7">
        <f t="shared" si="736"/>
        <v>0</v>
      </c>
      <c r="CX150" s="7">
        <f t="shared" si="736"/>
        <v>0</v>
      </c>
      <c r="CY150" s="7">
        <f t="shared" si="736"/>
        <v>0</v>
      </c>
      <c r="CZ150" s="7">
        <f t="shared" si="736"/>
        <v>0</v>
      </c>
      <c r="DA150" s="7">
        <f t="shared" si="736"/>
        <v>0</v>
      </c>
      <c r="DB150" s="7">
        <f t="shared" si="736"/>
        <v>0</v>
      </c>
      <c r="DC150" s="7">
        <f t="shared" si="736"/>
        <v>0</v>
      </c>
      <c r="DD150" s="7">
        <f t="shared" si="736"/>
        <v>0</v>
      </c>
      <c r="DE150" s="7">
        <f t="shared" si="736"/>
        <v>0</v>
      </c>
      <c r="DF150" s="7">
        <f t="shared" si="736"/>
        <v>0</v>
      </c>
      <c r="DG150" s="7">
        <f t="shared" si="736"/>
        <v>0</v>
      </c>
      <c r="DH150" s="7">
        <f t="shared" ref="DH150:DJ150" si="772">IFERROR(DH455,"-")</f>
        <v>0</v>
      </c>
      <c r="DI150" s="7">
        <f t="shared" si="772"/>
        <v>0</v>
      </c>
      <c r="DJ150" s="7">
        <f t="shared" si="772"/>
        <v>0</v>
      </c>
      <c r="DK150" s="64">
        <f t="shared" ref="DK150:DS150" si="773">IFERROR(VALUE(DK455),"-")</f>
        <v>0</v>
      </c>
      <c r="DL150" s="64">
        <f t="shared" si="773"/>
        <v>0</v>
      </c>
      <c r="DM150" s="64">
        <f t="shared" si="773"/>
        <v>0</v>
      </c>
      <c r="DN150" s="64">
        <f t="shared" si="773"/>
        <v>0</v>
      </c>
      <c r="DO150" s="64">
        <f t="shared" si="773"/>
        <v>0</v>
      </c>
      <c r="DP150" s="64">
        <f t="shared" si="773"/>
        <v>0</v>
      </c>
      <c r="DQ150" s="64">
        <f t="shared" si="773"/>
        <v>0</v>
      </c>
      <c r="DR150" s="64">
        <f t="shared" si="773"/>
        <v>0</v>
      </c>
      <c r="DS150" s="64">
        <f t="shared" si="773"/>
        <v>0</v>
      </c>
      <c r="DT150">
        <f t="shared" si="669"/>
        <v>0</v>
      </c>
      <c r="DU150" s="10">
        <f t="shared" si="670"/>
        <v>0</v>
      </c>
    </row>
    <row r="151" spans="1:125" x14ac:dyDescent="0.25">
      <c r="A151" t="s">
        <v>53</v>
      </c>
      <c r="B151" s="2">
        <v>44833</v>
      </c>
      <c r="C151" s="1">
        <v>1000</v>
      </c>
      <c r="D151">
        <v>67</v>
      </c>
      <c r="G151" t="str">
        <f t="array" ref="G151">IFERROR(INDEX($A$2:$A$700,MATCH(0,COUNTIF($G$1:G150,$A$2:$A$700),0)),"")</f>
        <v>ONGC</v>
      </c>
      <c r="M151" s="3"/>
      <c r="N151" s="3"/>
      <c r="O151" s="3">
        <f t="shared" si="671"/>
        <v>0</v>
      </c>
      <c r="P151" s="7">
        <f t="shared" ref="P151:CA151" si="774">IFERROR(VALUE(P456),"-")</f>
        <v>0</v>
      </c>
      <c r="Q151" s="7">
        <f t="shared" si="774"/>
        <v>0</v>
      </c>
      <c r="R151" s="7">
        <f t="shared" si="774"/>
        <v>0</v>
      </c>
      <c r="S151" s="7">
        <f t="shared" si="774"/>
        <v>0</v>
      </c>
      <c r="T151" s="11">
        <f t="shared" si="774"/>
        <v>0</v>
      </c>
      <c r="U151" s="11">
        <f t="shared" si="774"/>
        <v>0</v>
      </c>
      <c r="V151" s="11">
        <f t="shared" si="774"/>
        <v>0</v>
      </c>
      <c r="W151" s="11">
        <f t="shared" si="774"/>
        <v>0</v>
      </c>
      <c r="X151" s="14">
        <f t="shared" si="774"/>
        <v>0</v>
      </c>
      <c r="Y151" s="14">
        <f t="shared" si="774"/>
        <v>0</v>
      </c>
      <c r="Z151" s="14">
        <f t="shared" si="774"/>
        <v>0</v>
      </c>
      <c r="AA151" s="14">
        <f t="shared" si="774"/>
        <v>0</v>
      </c>
      <c r="AB151" s="15">
        <f t="shared" si="774"/>
        <v>0</v>
      </c>
      <c r="AC151" s="15">
        <f t="shared" si="774"/>
        <v>0</v>
      </c>
      <c r="AD151" s="13">
        <f t="shared" si="774"/>
        <v>0</v>
      </c>
      <c r="AE151" s="13">
        <f t="shared" si="774"/>
        <v>0</v>
      </c>
      <c r="AF151" s="12">
        <f t="shared" si="774"/>
        <v>0</v>
      </c>
      <c r="AG151" s="12">
        <f t="shared" si="774"/>
        <v>0</v>
      </c>
      <c r="AH151" s="13">
        <f t="shared" si="774"/>
        <v>0</v>
      </c>
      <c r="AI151" s="13">
        <f t="shared" si="774"/>
        <v>0</v>
      </c>
      <c r="AJ151" s="11">
        <f t="shared" si="774"/>
        <v>0</v>
      </c>
      <c r="AK151" s="11">
        <f t="shared" si="774"/>
        <v>0</v>
      </c>
      <c r="AL151" s="11">
        <f t="shared" si="774"/>
        <v>0</v>
      </c>
      <c r="AM151" s="11">
        <f t="shared" si="774"/>
        <v>0</v>
      </c>
      <c r="AN151" s="11">
        <f t="shared" si="774"/>
        <v>0</v>
      </c>
      <c r="AO151" s="11">
        <f t="shared" si="774"/>
        <v>0</v>
      </c>
      <c r="AP151" s="11">
        <f t="shared" si="774"/>
        <v>0</v>
      </c>
      <c r="AQ151" s="11">
        <f t="shared" si="774"/>
        <v>0</v>
      </c>
      <c r="AR151" s="16">
        <f t="shared" si="774"/>
        <v>0</v>
      </c>
      <c r="AS151" s="16">
        <f t="shared" si="774"/>
        <v>0</v>
      </c>
      <c r="AT151" s="16">
        <f t="shared" si="774"/>
        <v>0</v>
      </c>
      <c r="AU151" s="7">
        <f t="shared" si="774"/>
        <v>0</v>
      </c>
      <c r="AV151" s="7">
        <f t="shared" si="774"/>
        <v>0</v>
      </c>
      <c r="AW151" s="7">
        <f t="shared" si="774"/>
        <v>0</v>
      </c>
      <c r="AX151" s="7">
        <f t="shared" si="774"/>
        <v>0</v>
      </c>
      <c r="AY151" s="11">
        <f t="shared" si="774"/>
        <v>0</v>
      </c>
      <c r="AZ151" s="16">
        <f t="shared" si="774"/>
        <v>0</v>
      </c>
      <c r="BA151" s="16">
        <f t="shared" si="774"/>
        <v>0</v>
      </c>
      <c r="BB151" s="16">
        <f t="shared" si="774"/>
        <v>0</v>
      </c>
      <c r="BC151" s="11">
        <f t="shared" si="774"/>
        <v>0</v>
      </c>
      <c r="BD151" s="11">
        <f t="shared" si="774"/>
        <v>0</v>
      </c>
      <c r="BE151" s="11">
        <f t="shared" si="774"/>
        <v>0</v>
      </c>
      <c r="BF151" s="11">
        <f t="shared" si="774"/>
        <v>0</v>
      </c>
      <c r="BG151" s="11">
        <f t="shared" si="774"/>
        <v>0</v>
      </c>
      <c r="BH151" s="11">
        <f t="shared" si="774"/>
        <v>0</v>
      </c>
      <c r="BI151" s="13">
        <f t="shared" si="774"/>
        <v>0</v>
      </c>
      <c r="BJ151" s="13">
        <f t="shared" si="774"/>
        <v>0</v>
      </c>
      <c r="BK151" s="11">
        <f t="shared" si="774"/>
        <v>0</v>
      </c>
      <c r="BL151" s="12">
        <f t="shared" si="774"/>
        <v>0</v>
      </c>
      <c r="BM151" s="12">
        <f t="shared" si="774"/>
        <v>0</v>
      </c>
      <c r="BN151" s="13">
        <f t="shared" si="774"/>
        <v>0</v>
      </c>
      <c r="BO151" s="13">
        <f t="shared" si="774"/>
        <v>0</v>
      </c>
      <c r="BP151" s="15">
        <f t="shared" si="774"/>
        <v>0</v>
      </c>
      <c r="BQ151" s="15">
        <f t="shared" si="774"/>
        <v>0</v>
      </c>
      <c r="BR151" s="14">
        <f t="shared" si="774"/>
        <v>0</v>
      </c>
      <c r="BS151" s="14">
        <f t="shared" si="774"/>
        <v>0</v>
      </c>
      <c r="BT151" s="14">
        <f t="shared" si="774"/>
        <v>0</v>
      </c>
      <c r="BU151" s="14">
        <f t="shared" si="774"/>
        <v>0</v>
      </c>
      <c r="BV151" s="11">
        <f t="shared" si="774"/>
        <v>0</v>
      </c>
      <c r="BW151" s="11">
        <f t="shared" si="774"/>
        <v>0</v>
      </c>
      <c r="BX151" s="11">
        <f t="shared" si="774"/>
        <v>0</v>
      </c>
      <c r="BY151" s="11">
        <f t="shared" si="774"/>
        <v>0</v>
      </c>
      <c r="BZ151" s="7">
        <f t="shared" si="774"/>
        <v>0</v>
      </c>
      <c r="CA151" s="7">
        <f t="shared" si="774"/>
        <v>0</v>
      </c>
      <c r="CB151" s="7">
        <f t="shared" ref="CB151:CP151" si="775">IFERROR(VALUE(CB456),"-")</f>
        <v>0</v>
      </c>
      <c r="CC151" s="7">
        <f t="shared" si="775"/>
        <v>0</v>
      </c>
      <c r="CD151" s="7">
        <f t="shared" si="775"/>
        <v>0</v>
      </c>
      <c r="CE151" s="3">
        <f t="shared" si="775"/>
        <v>0</v>
      </c>
      <c r="CF151" s="7">
        <f t="shared" si="775"/>
        <v>0</v>
      </c>
      <c r="CG151" s="3">
        <f t="shared" si="775"/>
        <v>0</v>
      </c>
      <c r="CH151" s="7">
        <f t="shared" si="775"/>
        <v>0</v>
      </c>
      <c r="CI151" s="7">
        <f t="shared" si="775"/>
        <v>0</v>
      </c>
      <c r="CJ151" s="3">
        <f t="shared" si="775"/>
        <v>0</v>
      </c>
      <c r="CK151" s="7">
        <f t="shared" si="775"/>
        <v>0</v>
      </c>
      <c r="CL151" s="3">
        <f t="shared" si="775"/>
        <v>0</v>
      </c>
      <c r="CM151" s="7">
        <f t="shared" si="775"/>
        <v>0</v>
      </c>
      <c r="CN151" s="10">
        <f t="shared" si="775"/>
        <v>0</v>
      </c>
      <c r="CO151" s="10">
        <f t="shared" si="775"/>
        <v>0</v>
      </c>
      <c r="CP151" s="7">
        <f t="shared" si="775"/>
        <v>0</v>
      </c>
      <c r="CQ151" s="7">
        <f t="shared" ref="CQ151" si="776">IFERROR(CQ456,"-")</f>
        <v>0</v>
      </c>
      <c r="CR151" s="10">
        <f t="shared" si="736"/>
        <v>0</v>
      </c>
      <c r="CS151" s="7">
        <f t="shared" si="736"/>
        <v>0</v>
      </c>
      <c r="CT151" s="7">
        <f t="shared" si="736"/>
        <v>0</v>
      </c>
      <c r="CU151" s="7">
        <f t="shared" si="736"/>
        <v>0</v>
      </c>
      <c r="CV151" s="7">
        <f t="shared" si="736"/>
        <v>0</v>
      </c>
      <c r="CW151" s="7">
        <f t="shared" si="736"/>
        <v>0</v>
      </c>
      <c r="CX151" s="7">
        <f t="shared" si="736"/>
        <v>0</v>
      </c>
      <c r="CY151" s="7">
        <f t="shared" si="736"/>
        <v>0</v>
      </c>
      <c r="CZ151" s="7">
        <f t="shared" si="736"/>
        <v>0</v>
      </c>
      <c r="DA151" s="7">
        <f t="shared" si="736"/>
        <v>0</v>
      </c>
      <c r="DB151" s="7">
        <f t="shared" si="736"/>
        <v>0</v>
      </c>
      <c r="DC151" s="7">
        <f t="shared" si="736"/>
        <v>0</v>
      </c>
      <c r="DD151" s="7">
        <f t="shared" si="736"/>
        <v>0</v>
      </c>
      <c r="DE151" s="7">
        <f t="shared" si="736"/>
        <v>0</v>
      </c>
      <c r="DF151" s="7">
        <f t="shared" si="736"/>
        <v>0</v>
      </c>
      <c r="DG151" s="7">
        <f t="shared" si="736"/>
        <v>0</v>
      </c>
      <c r="DH151" s="7">
        <f t="shared" ref="DH151:DJ151" si="777">IFERROR(DH456,"-")</f>
        <v>0</v>
      </c>
      <c r="DI151" s="7">
        <f t="shared" si="777"/>
        <v>0</v>
      </c>
      <c r="DJ151" s="7">
        <f t="shared" si="777"/>
        <v>0</v>
      </c>
      <c r="DK151" s="64">
        <f t="shared" ref="DK151:DS151" si="778">IFERROR(VALUE(DK456),"-")</f>
        <v>0</v>
      </c>
      <c r="DL151" s="64">
        <f t="shared" si="778"/>
        <v>0</v>
      </c>
      <c r="DM151" s="64">
        <f t="shared" si="778"/>
        <v>0</v>
      </c>
      <c r="DN151" s="64">
        <f t="shared" si="778"/>
        <v>0</v>
      </c>
      <c r="DO151" s="64">
        <f t="shared" si="778"/>
        <v>0</v>
      </c>
      <c r="DP151" s="64">
        <f t="shared" si="778"/>
        <v>0</v>
      </c>
      <c r="DQ151" s="64">
        <f t="shared" si="778"/>
        <v>0</v>
      </c>
      <c r="DR151" s="64">
        <f t="shared" si="778"/>
        <v>0</v>
      </c>
      <c r="DS151" s="64">
        <f t="shared" si="778"/>
        <v>0</v>
      </c>
      <c r="DT151">
        <f t="shared" si="669"/>
        <v>0</v>
      </c>
      <c r="DU151" s="10">
        <f t="shared" si="670"/>
        <v>0</v>
      </c>
    </row>
    <row r="152" spans="1:125" x14ac:dyDescent="0.25">
      <c r="A152" t="s">
        <v>53</v>
      </c>
      <c r="B152" s="2">
        <v>44861</v>
      </c>
      <c r="C152" s="1">
        <v>1000</v>
      </c>
      <c r="D152">
        <v>67</v>
      </c>
      <c r="G152" t="str">
        <f t="array" ref="G152">IFERROR(INDEX($A$2:$A$700,MATCH(0,COUNTIF($G$1:G151,$A$2:$A$700),0)),"")</f>
        <v>PAGEIND</v>
      </c>
      <c r="M152" s="3"/>
      <c r="N152" s="3"/>
      <c r="O152" s="3">
        <f t="shared" si="671"/>
        <v>0</v>
      </c>
      <c r="P152" s="7">
        <f t="shared" ref="P152:CA152" si="779">IFERROR(VALUE(P457),"-")</f>
        <v>0</v>
      </c>
      <c r="Q152" s="7">
        <f t="shared" si="779"/>
        <v>0</v>
      </c>
      <c r="R152" s="7">
        <f t="shared" si="779"/>
        <v>0</v>
      </c>
      <c r="S152" s="7">
        <f t="shared" si="779"/>
        <v>0</v>
      </c>
      <c r="T152" s="11">
        <f t="shared" si="779"/>
        <v>0</v>
      </c>
      <c r="U152" s="11">
        <f t="shared" si="779"/>
        <v>0</v>
      </c>
      <c r="V152" s="11">
        <f t="shared" si="779"/>
        <v>0</v>
      </c>
      <c r="W152" s="11">
        <f t="shared" si="779"/>
        <v>0</v>
      </c>
      <c r="X152" s="14">
        <f t="shared" si="779"/>
        <v>0</v>
      </c>
      <c r="Y152" s="14">
        <f t="shared" si="779"/>
        <v>0</v>
      </c>
      <c r="Z152" s="14">
        <f t="shared" si="779"/>
        <v>0</v>
      </c>
      <c r="AA152" s="14">
        <f t="shared" si="779"/>
        <v>0</v>
      </c>
      <c r="AB152" s="15">
        <f t="shared" si="779"/>
        <v>0</v>
      </c>
      <c r="AC152" s="15">
        <f t="shared" si="779"/>
        <v>0</v>
      </c>
      <c r="AD152" s="13">
        <f t="shared" si="779"/>
        <v>0</v>
      </c>
      <c r="AE152" s="13">
        <f t="shared" si="779"/>
        <v>0</v>
      </c>
      <c r="AF152" s="12">
        <f t="shared" si="779"/>
        <v>0</v>
      </c>
      <c r="AG152" s="12">
        <f t="shared" si="779"/>
        <v>0</v>
      </c>
      <c r="AH152" s="13">
        <f t="shared" si="779"/>
        <v>0</v>
      </c>
      <c r="AI152" s="13">
        <f t="shared" si="779"/>
        <v>0</v>
      </c>
      <c r="AJ152" s="11">
        <f t="shared" si="779"/>
        <v>0</v>
      </c>
      <c r="AK152" s="11">
        <f t="shared" si="779"/>
        <v>0</v>
      </c>
      <c r="AL152" s="11">
        <f t="shared" si="779"/>
        <v>0</v>
      </c>
      <c r="AM152" s="11">
        <f t="shared" si="779"/>
        <v>0</v>
      </c>
      <c r="AN152" s="11">
        <f t="shared" si="779"/>
        <v>0</v>
      </c>
      <c r="AO152" s="11">
        <f t="shared" si="779"/>
        <v>0</v>
      </c>
      <c r="AP152" s="11">
        <f t="shared" si="779"/>
        <v>0</v>
      </c>
      <c r="AQ152" s="11">
        <f t="shared" si="779"/>
        <v>0</v>
      </c>
      <c r="AR152" s="16">
        <f t="shared" si="779"/>
        <v>0</v>
      </c>
      <c r="AS152" s="16">
        <f t="shared" si="779"/>
        <v>0</v>
      </c>
      <c r="AT152" s="16">
        <f t="shared" si="779"/>
        <v>0</v>
      </c>
      <c r="AU152" s="7">
        <f t="shared" si="779"/>
        <v>0</v>
      </c>
      <c r="AV152" s="7">
        <f t="shared" si="779"/>
        <v>0</v>
      </c>
      <c r="AW152" s="7">
        <f t="shared" si="779"/>
        <v>0</v>
      </c>
      <c r="AX152" s="7">
        <f t="shared" si="779"/>
        <v>0</v>
      </c>
      <c r="AY152" s="11">
        <f t="shared" si="779"/>
        <v>0</v>
      </c>
      <c r="AZ152" s="16">
        <f t="shared" si="779"/>
        <v>0</v>
      </c>
      <c r="BA152" s="16">
        <f t="shared" si="779"/>
        <v>0</v>
      </c>
      <c r="BB152" s="16">
        <f t="shared" si="779"/>
        <v>0</v>
      </c>
      <c r="BC152" s="11">
        <f t="shared" si="779"/>
        <v>0</v>
      </c>
      <c r="BD152" s="11">
        <f t="shared" si="779"/>
        <v>0</v>
      </c>
      <c r="BE152" s="11">
        <f t="shared" si="779"/>
        <v>0</v>
      </c>
      <c r="BF152" s="11">
        <f t="shared" si="779"/>
        <v>0</v>
      </c>
      <c r="BG152" s="11">
        <f t="shared" si="779"/>
        <v>0</v>
      </c>
      <c r="BH152" s="11">
        <f t="shared" si="779"/>
        <v>0</v>
      </c>
      <c r="BI152" s="13">
        <f t="shared" si="779"/>
        <v>0</v>
      </c>
      <c r="BJ152" s="13">
        <f t="shared" si="779"/>
        <v>0</v>
      </c>
      <c r="BK152" s="11">
        <f t="shared" si="779"/>
        <v>0</v>
      </c>
      <c r="BL152" s="12">
        <f t="shared" si="779"/>
        <v>0</v>
      </c>
      <c r="BM152" s="12">
        <f t="shared" si="779"/>
        <v>0</v>
      </c>
      <c r="BN152" s="13">
        <f t="shared" si="779"/>
        <v>0</v>
      </c>
      <c r="BO152" s="13">
        <f t="shared" si="779"/>
        <v>0</v>
      </c>
      <c r="BP152" s="15">
        <f t="shared" si="779"/>
        <v>0</v>
      </c>
      <c r="BQ152" s="15">
        <f t="shared" si="779"/>
        <v>0</v>
      </c>
      <c r="BR152" s="14">
        <f t="shared" si="779"/>
        <v>0</v>
      </c>
      <c r="BS152" s="14">
        <f t="shared" si="779"/>
        <v>0</v>
      </c>
      <c r="BT152" s="14">
        <f t="shared" si="779"/>
        <v>0</v>
      </c>
      <c r="BU152" s="14">
        <f t="shared" si="779"/>
        <v>0</v>
      </c>
      <c r="BV152" s="11">
        <f t="shared" si="779"/>
        <v>0</v>
      </c>
      <c r="BW152" s="11">
        <f t="shared" si="779"/>
        <v>0</v>
      </c>
      <c r="BX152" s="11">
        <f t="shared" si="779"/>
        <v>0</v>
      </c>
      <c r="BY152" s="11">
        <f t="shared" si="779"/>
        <v>0</v>
      </c>
      <c r="BZ152" s="7">
        <f t="shared" si="779"/>
        <v>0</v>
      </c>
      <c r="CA152" s="7">
        <f t="shared" si="779"/>
        <v>0</v>
      </c>
      <c r="CB152" s="7">
        <f t="shared" ref="CB152:CP152" si="780">IFERROR(VALUE(CB457),"-")</f>
        <v>0</v>
      </c>
      <c r="CC152" s="7">
        <f t="shared" si="780"/>
        <v>0</v>
      </c>
      <c r="CD152" s="7">
        <f t="shared" si="780"/>
        <v>0</v>
      </c>
      <c r="CE152" s="3">
        <f t="shared" si="780"/>
        <v>0</v>
      </c>
      <c r="CF152" s="7">
        <f t="shared" si="780"/>
        <v>0</v>
      </c>
      <c r="CG152" s="3">
        <f t="shared" si="780"/>
        <v>0</v>
      </c>
      <c r="CH152" s="7">
        <f t="shared" si="780"/>
        <v>0</v>
      </c>
      <c r="CI152" s="7">
        <f t="shared" si="780"/>
        <v>0</v>
      </c>
      <c r="CJ152" s="3">
        <f t="shared" si="780"/>
        <v>0</v>
      </c>
      <c r="CK152" s="7">
        <f t="shared" si="780"/>
        <v>0</v>
      </c>
      <c r="CL152" s="3">
        <f t="shared" si="780"/>
        <v>0</v>
      </c>
      <c r="CM152" s="7">
        <f t="shared" si="780"/>
        <v>0</v>
      </c>
      <c r="CN152" s="10">
        <f t="shared" si="780"/>
        <v>0</v>
      </c>
      <c r="CO152" s="10">
        <f t="shared" si="780"/>
        <v>0</v>
      </c>
      <c r="CP152" s="7">
        <f t="shared" si="780"/>
        <v>0</v>
      </c>
      <c r="CQ152" s="7">
        <f t="shared" ref="CQ152" si="781">IFERROR(CQ457,"-")</f>
        <v>0</v>
      </c>
      <c r="CR152" s="10">
        <f t="shared" si="736"/>
        <v>0</v>
      </c>
      <c r="CS152" s="7">
        <f t="shared" si="736"/>
        <v>0</v>
      </c>
      <c r="CT152" s="7">
        <f t="shared" si="736"/>
        <v>0</v>
      </c>
      <c r="CU152" s="7">
        <f t="shared" si="736"/>
        <v>0</v>
      </c>
      <c r="CV152" s="7">
        <f t="shared" si="736"/>
        <v>0</v>
      </c>
      <c r="CW152" s="7">
        <f t="shared" si="736"/>
        <v>0</v>
      </c>
      <c r="CX152" s="7">
        <f t="shared" si="736"/>
        <v>0</v>
      </c>
      <c r="CY152" s="7">
        <f t="shared" si="736"/>
        <v>0</v>
      </c>
      <c r="CZ152" s="7">
        <f t="shared" si="736"/>
        <v>0</v>
      </c>
      <c r="DA152" s="7">
        <f t="shared" si="736"/>
        <v>0</v>
      </c>
      <c r="DB152" s="7">
        <f t="shared" si="736"/>
        <v>0</v>
      </c>
      <c r="DC152" s="7">
        <f t="shared" si="736"/>
        <v>0</v>
      </c>
      <c r="DD152" s="7">
        <f t="shared" si="736"/>
        <v>0</v>
      </c>
      <c r="DE152" s="7">
        <f t="shared" si="736"/>
        <v>0</v>
      </c>
      <c r="DF152" s="7">
        <f t="shared" si="736"/>
        <v>0</v>
      </c>
      <c r="DG152" s="7">
        <f t="shared" si="736"/>
        <v>0</v>
      </c>
      <c r="DH152" s="7">
        <f t="shared" ref="DH152:DJ152" si="782">IFERROR(DH457,"-")</f>
        <v>0</v>
      </c>
      <c r="DI152" s="7">
        <f t="shared" si="782"/>
        <v>0</v>
      </c>
      <c r="DJ152" s="7">
        <f t="shared" si="782"/>
        <v>0</v>
      </c>
      <c r="DK152" s="64">
        <f t="shared" ref="DK152:DS152" si="783">IFERROR(VALUE(DK457),"-")</f>
        <v>0</v>
      </c>
      <c r="DL152" s="64">
        <f t="shared" si="783"/>
        <v>0</v>
      </c>
      <c r="DM152" s="64">
        <f t="shared" si="783"/>
        <v>0</v>
      </c>
      <c r="DN152" s="64">
        <f t="shared" si="783"/>
        <v>0</v>
      </c>
      <c r="DO152" s="64">
        <f t="shared" si="783"/>
        <v>0</v>
      </c>
      <c r="DP152" s="64">
        <f t="shared" si="783"/>
        <v>0</v>
      </c>
      <c r="DQ152" s="64">
        <f t="shared" si="783"/>
        <v>0</v>
      </c>
      <c r="DR152" s="64">
        <f t="shared" si="783"/>
        <v>0</v>
      </c>
      <c r="DS152" s="64">
        <f t="shared" si="783"/>
        <v>0</v>
      </c>
      <c r="DT152">
        <f t="shared" si="669"/>
        <v>0</v>
      </c>
      <c r="DU152" s="10">
        <f t="shared" si="670"/>
        <v>0</v>
      </c>
    </row>
    <row r="153" spans="1:125" x14ac:dyDescent="0.25">
      <c r="A153" t="s">
        <v>54</v>
      </c>
      <c r="B153" s="2">
        <v>44798</v>
      </c>
      <c r="C153" s="1">
        <v>700</v>
      </c>
      <c r="D153">
        <v>74</v>
      </c>
      <c r="G153" t="str">
        <f t="array" ref="G153">IFERROR(INDEX($A$2:$A$700,MATCH(0,COUNTIF($G$1:G152,$A$2:$A$700),0)),"")</f>
        <v>PEL</v>
      </c>
      <c r="M153" s="3"/>
      <c r="N153" s="3"/>
      <c r="O153" s="3">
        <f t="shared" si="671"/>
        <v>0</v>
      </c>
      <c r="P153" s="7">
        <f t="shared" ref="P153:CA153" si="784">IFERROR(VALUE(P458),"-")</f>
        <v>0</v>
      </c>
      <c r="Q153" s="7">
        <f t="shared" si="784"/>
        <v>0</v>
      </c>
      <c r="R153" s="7">
        <f t="shared" si="784"/>
        <v>0</v>
      </c>
      <c r="S153" s="7">
        <f t="shared" si="784"/>
        <v>0</v>
      </c>
      <c r="T153" s="11">
        <f t="shared" si="784"/>
        <v>0</v>
      </c>
      <c r="U153" s="11">
        <f t="shared" si="784"/>
        <v>0</v>
      </c>
      <c r="V153" s="11">
        <f t="shared" si="784"/>
        <v>0</v>
      </c>
      <c r="W153" s="11">
        <f t="shared" si="784"/>
        <v>0</v>
      </c>
      <c r="X153" s="14">
        <f t="shared" si="784"/>
        <v>0</v>
      </c>
      <c r="Y153" s="14">
        <f t="shared" si="784"/>
        <v>0</v>
      </c>
      <c r="Z153" s="14">
        <f t="shared" si="784"/>
        <v>0</v>
      </c>
      <c r="AA153" s="14">
        <f t="shared" si="784"/>
        <v>0</v>
      </c>
      <c r="AB153" s="15">
        <f t="shared" si="784"/>
        <v>0</v>
      </c>
      <c r="AC153" s="15">
        <f t="shared" si="784"/>
        <v>0</v>
      </c>
      <c r="AD153" s="13">
        <f t="shared" si="784"/>
        <v>0</v>
      </c>
      <c r="AE153" s="13">
        <f t="shared" si="784"/>
        <v>0</v>
      </c>
      <c r="AF153" s="12">
        <f t="shared" si="784"/>
        <v>0</v>
      </c>
      <c r="AG153" s="12">
        <f t="shared" si="784"/>
        <v>0</v>
      </c>
      <c r="AH153" s="13">
        <f t="shared" si="784"/>
        <v>0</v>
      </c>
      <c r="AI153" s="13">
        <f t="shared" si="784"/>
        <v>0</v>
      </c>
      <c r="AJ153" s="11">
        <f t="shared" si="784"/>
        <v>0</v>
      </c>
      <c r="AK153" s="11">
        <f t="shared" si="784"/>
        <v>0</v>
      </c>
      <c r="AL153" s="11">
        <f t="shared" si="784"/>
        <v>0</v>
      </c>
      <c r="AM153" s="11">
        <f t="shared" si="784"/>
        <v>0</v>
      </c>
      <c r="AN153" s="11">
        <f t="shared" si="784"/>
        <v>0</v>
      </c>
      <c r="AO153" s="11">
        <f t="shared" si="784"/>
        <v>0</v>
      </c>
      <c r="AP153" s="11">
        <f t="shared" si="784"/>
        <v>0</v>
      </c>
      <c r="AQ153" s="11">
        <f t="shared" si="784"/>
        <v>0</v>
      </c>
      <c r="AR153" s="16">
        <f t="shared" si="784"/>
        <v>0</v>
      </c>
      <c r="AS153" s="16">
        <f t="shared" si="784"/>
        <v>0</v>
      </c>
      <c r="AT153" s="16">
        <f t="shared" si="784"/>
        <v>0</v>
      </c>
      <c r="AU153" s="7">
        <f t="shared" si="784"/>
        <v>0</v>
      </c>
      <c r="AV153" s="7">
        <f t="shared" si="784"/>
        <v>0</v>
      </c>
      <c r="AW153" s="7">
        <f t="shared" si="784"/>
        <v>0</v>
      </c>
      <c r="AX153" s="7">
        <f t="shared" si="784"/>
        <v>0</v>
      </c>
      <c r="AY153" s="11">
        <f t="shared" si="784"/>
        <v>0</v>
      </c>
      <c r="AZ153" s="16">
        <f t="shared" si="784"/>
        <v>0</v>
      </c>
      <c r="BA153" s="16">
        <f t="shared" si="784"/>
        <v>0</v>
      </c>
      <c r="BB153" s="16">
        <f t="shared" si="784"/>
        <v>0</v>
      </c>
      <c r="BC153" s="11">
        <f t="shared" si="784"/>
        <v>0</v>
      </c>
      <c r="BD153" s="11">
        <f t="shared" si="784"/>
        <v>0</v>
      </c>
      <c r="BE153" s="11">
        <f t="shared" si="784"/>
        <v>0</v>
      </c>
      <c r="BF153" s="11">
        <f t="shared" si="784"/>
        <v>0</v>
      </c>
      <c r="BG153" s="11">
        <f t="shared" si="784"/>
        <v>0</v>
      </c>
      <c r="BH153" s="11">
        <f t="shared" si="784"/>
        <v>0</v>
      </c>
      <c r="BI153" s="13">
        <f t="shared" si="784"/>
        <v>0</v>
      </c>
      <c r="BJ153" s="13">
        <f t="shared" si="784"/>
        <v>0</v>
      </c>
      <c r="BK153" s="11">
        <f t="shared" si="784"/>
        <v>0</v>
      </c>
      <c r="BL153" s="12">
        <f t="shared" si="784"/>
        <v>0</v>
      </c>
      <c r="BM153" s="12">
        <f t="shared" si="784"/>
        <v>0</v>
      </c>
      <c r="BN153" s="13">
        <f t="shared" si="784"/>
        <v>0</v>
      </c>
      <c r="BO153" s="13">
        <f t="shared" si="784"/>
        <v>0</v>
      </c>
      <c r="BP153" s="15">
        <f t="shared" si="784"/>
        <v>0</v>
      </c>
      <c r="BQ153" s="15">
        <f t="shared" si="784"/>
        <v>0</v>
      </c>
      <c r="BR153" s="14">
        <f t="shared" si="784"/>
        <v>0</v>
      </c>
      <c r="BS153" s="14">
        <f t="shared" si="784"/>
        <v>0</v>
      </c>
      <c r="BT153" s="14">
        <f t="shared" si="784"/>
        <v>0</v>
      </c>
      <c r="BU153" s="14">
        <f t="shared" si="784"/>
        <v>0</v>
      </c>
      <c r="BV153" s="11">
        <f t="shared" si="784"/>
        <v>0</v>
      </c>
      <c r="BW153" s="11">
        <f t="shared" si="784"/>
        <v>0</v>
      </c>
      <c r="BX153" s="11">
        <f t="shared" si="784"/>
        <v>0</v>
      </c>
      <c r="BY153" s="11">
        <f t="shared" si="784"/>
        <v>0</v>
      </c>
      <c r="BZ153" s="7">
        <f t="shared" si="784"/>
        <v>0</v>
      </c>
      <c r="CA153" s="7">
        <f t="shared" si="784"/>
        <v>0</v>
      </c>
      <c r="CB153" s="7">
        <f t="shared" ref="CB153:CP153" si="785">IFERROR(VALUE(CB458),"-")</f>
        <v>0</v>
      </c>
      <c r="CC153" s="7">
        <f t="shared" si="785"/>
        <v>0</v>
      </c>
      <c r="CD153" s="7">
        <f t="shared" si="785"/>
        <v>0</v>
      </c>
      <c r="CE153" s="3">
        <f t="shared" si="785"/>
        <v>0</v>
      </c>
      <c r="CF153" s="7">
        <f t="shared" si="785"/>
        <v>0</v>
      </c>
      <c r="CG153" s="3">
        <f t="shared" si="785"/>
        <v>0</v>
      </c>
      <c r="CH153" s="7">
        <f t="shared" si="785"/>
        <v>0</v>
      </c>
      <c r="CI153" s="7">
        <f t="shared" si="785"/>
        <v>0</v>
      </c>
      <c r="CJ153" s="3">
        <f t="shared" si="785"/>
        <v>0</v>
      </c>
      <c r="CK153" s="7">
        <f t="shared" si="785"/>
        <v>0</v>
      </c>
      <c r="CL153" s="3">
        <f t="shared" si="785"/>
        <v>0</v>
      </c>
      <c r="CM153" s="7">
        <f t="shared" si="785"/>
        <v>0</v>
      </c>
      <c r="CN153" s="10">
        <f t="shared" si="785"/>
        <v>0</v>
      </c>
      <c r="CO153" s="10">
        <f t="shared" si="785"/>
        <v>0</v>
      </c>
      <c r="CP153" s="7">
        <f t="shared" si="785"/>
        <v>0</v>
      </c>
      <c r="CQ153" s="7">
        <f t="shared" ref="CQ153" si="786">IFERROR(CQ458,"-")</f>
        <v>0</v>
      </c>
      <c r="CR153" s="10">
        <f t="shared" si="736"/>
        <v>0</v>
      </c>
      <c r="CS153" s="7">
        <f t="shared" si="736"/>
        <v>0</v>
      </c>
      <c r="CT153" s="7">
        <f t="shared" si="736"/>
        <v>0</v>
      </c>
      <c r="CU153" s="7">
        <f t="shared" si="736"/>
        <v>0</v>
      </c>
      <c r="CV153" s="7">
        <f t="shared" si="736"/>
        <v>0</v>
      </c>
      <c r="CW153" s="7">
        <f t="shared" si="736"/>
        <v>0</v>
      </c>
      <c r="CX153" s="7">
        <f t="shared" si="736"/>
        <v>0</v>
      </c>
      <c r="CY153" s="7">
        <f t="shared" si="736"/>
        <v>0</v>
      </c>
      <c r="CZ153" s="7">
        <f t="shared" si="736"/>
        <v>0</v>
      </c>
      <c r="DA153" s="7">
        <f t="shared" si="736"/>
        <v>0</v>
      </c>
      <c r="DB153" s="7">
        <f t="shared" si="736"/>
        <v>0</v>
      </c>
      <c r="DC153" s="7">
        <f t="shared" si="736"/>
        <v>0</v>
      </c>
      <c r="DD153" s="7">
        <f t="shared" si="736"/>
        <v>0</v>
      </c>
      <c r="DE153" s="7">
        <f t="shared" si="736"/>
        <v>0</v>
      </c>
      <c r="DF153" s="7">
        <f t="shared" si="736"/>
        <v>0</v>
      </c>
      <c r="DG153" s="7">
        <f t="shared" si="736"/>
        <v>0</v>
      </c>
      <c r="DH153" s="7">
        <f t="shared" ref="DH153:DJ153" si="787">IFERROR(DH458,"-")</f>
        <v>0</v>
      </c>
      <c r="DI153" s="7">
        <f t="shared" si="787"/>
        <v>0</v>
      </c>
      <c r="DJ153" s="7">
        <f t="shared" si="787"/>
        <v>0</v>
      </c>
      <c r="DK153" s="64">
        <f t="shared" ref="DK153:DS153" si="788">IFERROR(VALUE(DK458),"-")</f>
        <v>0</v>
      </c>
      <c r="DL153" s="64">
        <f t="shared" si="788"/>
        <v>0</v>
      </c>
      <c r="DM153" s="64">
        <f t="shared" si="788"/>
        <v>0</v>
      </c>
      <c r="DN153" s="64">
        <f t="shared" si="788"/>
        <v>0</v>
      </c>
      <c r="DO153" s="64">
        <f t="shared" si="788"/>
        <v>0</v>
      </c>
      <c r="DP153" s="64">
        <f t="shared" si="788"/>
        <v>0</v>
      </c>
      <c r="DQ153" s="64">
        <f t="shared" si="788"/>
        <v>0</v>
      </c>
      <c r="DR153" s="64">
        <f t="shared" si="788"/>
        <v>0</v>
      </c>
      <c r="DS153" s="64">
        <f t="shared" si="788"/>
        <v>0</v>
      </c>
      <c r="DT153">
        <f t="shared" si="669"/>
        <v>0</v>
      </c>
      <c r="DU153" s="10">
        <f t="shared" si="670"/>
        <v>0</v>
      </c>
    </row>
    <row r="154" spans="1:125" x14ac:dyDescent="0.25">
      <c r="A154" t="s">
        <v>54</v>
      </c>
      <c r="B154" s="2">
        <v>44833</v>
      </c>
      <c r="C154" s="1">
        <v>700</v>
      </c>
      <c r="D154">
        <v>74</v>
      </c>
      <c r="G154" t="str">
        <f t="array" ref="G154">IFERROR(INDEX($A$2:$A$700,MATCH(0,COUNTIF($G$1:G153,$A$2:$A$700),0)),"")</f>
        <v>PERSISTENT</v>
      </c>
      <c r="M154" s="3"/>
      <c r="N154" s="3"/>
      <c r="O154" s="3">
        <f t="shared" si="671"/>
        <v>0</v>
      </c>
      <c r="P154" s="7">
        <f t="shared" ref="P154:CA154" si="789">IFERROR(VALUE(P459),"-")</f>
        <v>0</v>
      </c>
      <c r="Q154" s="7">
        <f t="shared" si="789"/>
        <v>0</v>
      </c>
      <c r="R154" s="7">
        <f t="shared" si="789"/>
        <v>0</v>
      </c>
      <c r="S154" s="7">
        <f t="shared" si="789"/>
        <v>0</v>
      </c>
      <c r="T154" s="11">
        <f t="shared" si="789"/>
        <v>0</v>
      </c>
      <c r="U154" s="11">
        <f t="shared" si="789"/>
        <v>0</v>
      </c>
      <c r="V154" s="11">
        <f t="shared" si="789"/>
        <v>0</v>
      </c>
      <c r="W154" s="11">
        <f t="shared" si="789"/>
        <v>0</v>
      </c>
      <c r="X154" s="14">
        <f t="shared" si="789"/>
        <v>0</v>
      </c>
      <c r="Y154" s="14">
        <f t="shared" si="789"/>
        <v>0</v>
      </c>
      <c r="Z154" s="14">
        <f t="shared" si="789"/>
        <v>0</v>
      </c>
      <c r="AA154" s="14">
        <f t="shared" si="789"/>
        <v>0</v>
      </c>
      <c r="AB154" s="15">
        <f t="shared" si="789"/>
        <v>0</v>
      </c>
      <c r="AC154" s="15">
        <f t="shared" si="789"/>
        <v>0</v>
      </c>
      <c r="AD154" s="13">
        <f t="shared" si="789"/>
        <v>0</v>
      </c>
      <c r="AE154" s="13">
        <f t="shared" si="789"/>
        <v>0</v>
      </c>
      <c r="AF154" s="12">
        <f t="shared" si="789"/>
        <v>0</v>
      </c>
      <c r="AG154" s="12">
        <f t="shared" si="789"/>
        <v>0</v>
      </c>
      <c r="AH154" s="13">
        <f t="shared" si="789"/>
        <v>0</v>
      </c>
      <c r="AI154" s="13">
        <f t="shared" si="789"/>
        <v>0</v>
      </c>
      <c r="AJ154" s="11">
        <f t="shared" si="789"/>
        <v>0</v>
      </c>
      <c r="AK154" s="11">
        <f t="shared" si="789"/>
        <v>0</v>
      </c>
      <c r="AL154" s="11">
        <f t="shared" si="789"/>
        <v>0</v>
      </c>
      <c r="AM154" s="11">
        <f t="shared" si="789"/>
        <v>0</v>
      </c>
      <c r="AN154" s="11">
        <f t="shared" si="789"/>
        <v>0</v>
      </c>
      <c r="AO154" s="11">
        <f t="shared" si="789"/>
        <v>0</v>
      </c>
      <c r="AP154" s="11">
        <f t="shared" si="789"/>
        <v>0</v>
      </c>
      <c r="AQ154" s="11">
        <f t="shared" si="789"/>
        <v>0</v>
      </c>
      <c r="AR154" s="16">
        <f t="shared" si="789"/>
        <v>0</v>
      </c>
      <c r="AS154" s="16">
        <f t="shared" si="789"/>
        <v>0</v>
      </c>
      <c r="AT154" s="16">
        <f t="shared" si="789"/>
        <v>0</v>
      </c>
      <c r="AU154" s="7">
        <f t="shared" si="789"/>
        <v>0</v>
      </c>
      <c r="AV154" s="7">
        <f t="shared" si="789"/>
        <v>0</v>
      </c>
      <c r="AW154" s="7">
        <f t="shared" si="789"/>
        <v>0</v>
      </c>
      <c r="AX154" s="7">
        <f t="shared" si="789"/>
        <v>0</v>
      </c>
      <c r="AY154" s="11">
        <f t="shared" si="789"/>
        <v>0</v>
      </c>
      <c r="AZ154" s="16">
        <f t="shared" si="789"/>
        <v>0</v>
      </c>
      <c r="BA154" s="16">
        <f t="shared" si="789"/>
        <v>0</v>
      </c>
      <c r="BB154" s="16">
        <f t="shared" si="789"/>
        <v>0</v>
      </c>
      <c r="BC154" s="11">
        <f t="shared" si="789"/>
        <v>0</v>
      </c>
      <c r="BD154" s="11">
        <f t="shared" si="789"/>
        <v>0</v>
      </c>
      <c r="BE154" s="11">
        <f t="shared" si="789"/>
        <v>0</v>
      </c>
      <c r="BF154" s="11">
        <f t="shared" si="789"/>
        <v>0</v>
      </c>
      <c r="BG154" s="11">
        <f t="shared" si="789"/>
        <v>0</v>
      </c>
      <c r="BH154" s="11">
        <f t="shared" si="789"/>
        <v>0</v>
      </c>
      <c r="BI154" s="13">
        <f t="shared" si="789"/>
        <v>0</v>
      </c>
      <c r="BJ154" s="13">
        <f t="shared" si="789"/>
        <v>0</v>
      </c>
      <c r="BK154" s="11">
        <f t="shared" si="789"/>
        <v>0</v>
      </c>
      <c r="BL154" s="12">
        <f t="shared" si="789"/>
        <v>0</v>
      </c>
      <c r="BM154" s="12">
        <f t="shared" si="789"/>
        <v>0</v>
      </c>
      <c r="BN154" s="13">
        <f t="shared" si="789"/>
        <v>0</v>
      </c>
      <c r="BO154" s="13">
        <f t="shared" si="789"/>
        <v>0</v>
      </c>
      <c r="BP154" s="15">
        <f t="shared" si="789"/>
        <v>0</v>
      </c>
      <c r="BQ154" s="15">
        <f t="shared" si="789"/>
        <v>0</v>
      </c>
      <c r="BR154" s="14">
        <f t="shared" si="789"/>
        <v>0</v>
      </c>
      <c r="BS154" s="14">
        <f t="shared" si="789"/>
        <v>0</v>
      </c>
      <c r="BT154" s="14">
        <f t="shared" si="789"/>
        <v>0</v>
      </c>
      <c r="BU154" s="14">
        <f t="shared" si="789"/>
        <v>0</v>
      </c>
      <c r="BV154" s="11">
        <f t="shared" si="789"/>
        <v>0</v>
      </c>
      <c r="BW154" s="11">
        <f t="shared" si="789"/>
        <v>0</v>
      </c>
      <c r="BX154" s="11">
        <f t="shared" si="789"/>
        <v>0</v>
      </c>
      <c r="BY154" s="11">
        <f t="shared" si="789"/>
        <v>0</v>
      </c>
      <c r="BZ154" s="7">
        <f t="shared" si="789"/>
        <v>0</v>
      </c>
      <c r="CA154" s="7">
        <f t="shared" si="789"/>
        <v>0</v>
      </c>
      <c r="CB154" s="7">
        <f t="shared" ref="CB154:CP154" si="790">IFERROR(VALUE(CB459),"-")</f>
        <v>0</v>
      </c>
      <c r="CC154" s="7">
        <f t="shared" si="790"/>
        <v>0</v>
      </c>
      <c r="CD154" s="7">
        <f t="shared" si="790"/>
        <v>0</v>
      </c>
      <c r="CE154" s="3">
        <f t="shared" si="790"/>
        <v>0</v>
      </c>
      <c r="CF154" s="7">
        <f t="shared" si="790"/>
        <v>0</v>
      </c>
      <c r="CG154" s="3">
        <f t="shared" si="790"/>
        <v>0</v>
      </c>
      <c r="CH154" s="7">
        <f t="shared" si="790"/>
        <v>0</v>
      </c>
      <c r="CI154" s="7">
        <f t="shared" si="790"/>
        <v>0</v>
      </c>
      <c r="CJ154" s="3">
        <f t="shared" si="790"/>
        <v>0</v>
      </c>
      <c r="CK154" s="7">
        <f t="shared" si="790"/>
        <v>0</v>
      </c>
      <c r="CL154" s="3">
        <f t="shared" si="790"/>
        <v>0</v>
      </c>
      <c r="CM154" s="7">
        <f t="shared" si="790"/>
        <v>0</v>
      </c>
      <c r="CN154" s="10">
        <f t="shared" si="790"/>
        <v>0</v>
      </c>
      <c r="CO154" s="10">
        <f t="shared" si="790"/>
        <v>0</v>
      </c>
      <c r="CP154" s="7">
        <f t="shared" si="790"/>
        <v>0</v>
      </c>
      <c r="CQ154" s="7">
        <f t="shared" ref="CQ154" si="791">IFERROR(CQ459,"-")</f>
        <v>0</v>
      </c>
      <c r="CR154" s="10">
        <f t="shared" si="736"/>
        <v>0</v>
      </c>
      <c r="CS154" s="7">
        <f t="shared" si="736"/>
        <v>0</v>
      </c>
      <c r="CT154" s="7">
        <f t="shared" si="736"/>
        <v>0</v>
      </c>
      <c r="CU154" s="7">
        <f t="shared" si="736"/>
        <v>0</v>
      </c>
      <c r="CV154" s="7">
        <f t="shared" si="736"/>
        <v>0</v>
      </c>
      <c r="CW154" s="7">
        <f t="shared" si="736"/>
        <v>0</v>
      </c>
      <c r="CX154" s="7">
        <f t="shared" si="736"/>
        <v>0</v>
      </c>
      <c r="CY154" s="7">
        <f t="shared" si="736"/>
        <v>0</v>
      </c>
      <c r="CZ154" s="7">
        <f t="shared" si="736"/>
        <v>0</v>
      </c>
      <c r="DA154" s="7">
        <f t="shared" si="736"/>
        <v>0</v>
      </c>
      <c r="DB154" s="7">
        <f t="shared" si="736"/>
        <v>0</v>
      </c>
      <c r="DC154" s="7">
        <f t="shared" si="736"/>
        <v>0</v>
      </c>
      <c r="DD154" s="7">
        <f t="shared" si="736"/>
        <v>0</v>
      </c>
      <c r="DE154" s="7">
        <f t="shared" si="736"/>
        <v>0</v>
      </c>
      <c r="DF154" s="7">
        <f t="shared" si="736"/>
        <v>0</v>
      </c>
      <c r="DG154" s="7">
        <f t="shared" si="736"/>
        <v>0</v>
      </c>
      <c r="DH154" s="7">
        <f t="shared" ref="DH154:DJ154" si="792">IFERROR(DH459,"-")</f>
        <v>0</v>
      </c>
      <c r="DI154" s="7">
        <f t="shared" si="792"/>
        <v>0</v>
      </c>
      <c r="DJ154" s="7">
        <f t="shared" si="792"/>
        <v>0</v>
      </c>
      <c r="DK154" s="64">
        <f t="shared" ref="DK154:DS154" si="793">IFERROR(VALUE(DK459),"-")</f>
        <v>0</v>
      </c>
      <c r="DL154" s="64">
        <f t="shared" si="793"/>
        <v>0</v>
      </c>
      <c r="DM154" s="64">
        <f t="shared" si="793"/>
        <v>0</v>
      </c>
      <c r="DN154" s="64">
        <f t="shared" si="793"/>
        <v>0</v>
      </c>
      <c r="DO154" s="64">
        <f t="shared" si="793"/>
        <v>0</v>
      </c>
      <c r="DP154" s="64">
        <f t="shared" si="793"/>
        <v>0</v>
      </c>
      <c r="DQ154" s="64">
        <f t="shared" si="793"/>
        <v>0</v>
      </c>
      <c r="DR154" s="64">
        <f t="shared" si="793"/>
        <v>0</v>
      </c>
      <c r="DS154" s="64">
        <f t="shared" si="793"/>
        <v>0</v>
      </c>
      <c r="DT154">
        <f t="shared" si="669"/>
        <v>0</v>
      </c>
      <c r="DU154" s="10">
        <f t="shared" si="670"/>
        <v>0</v>
      </c>
    </row>
    <row r="155" spans="1:125" x14ac:dyDescent="0.25">
      <c r="A155" t="s">
        <v>54</v>
      </c>
      <c r="B155" s="2">
        <v>44861</v>
      </c>
      <c r="C155" s="1">
        <v>700</v>
      </c>
      <c r="D155">
        <v>74</v>
      </c>
      <c r="G155" t="str">
        <f t="array" ref="G155">IFERROR(INDEX($A$2:$A$700,MATCH(0,COUNTIF($G$1:G154,$A$2:$A$700),0)),"")</f>
        <v>PETRONET</v>
      </c>
      <c r="M155" s="3"/>
      <c r="N155" s="3"/>
      <c r="O155" s="3">
        <f t="shared" si="671"/>
        <v>0</v>
      </c>
      <c r="P155" s="7">
        <f t="shared" ref="P155:CA155" si="794">IFERROR(VALUE(P460),"-")</f>
        <v>0</v>
      </c>
      <c r="Q155" s="7">
        <f t="shared" si="794"/>
        <v>0</v>
      </c>
      <c r="R155" s="7">
        <f t="shared" si="794"/>
        <v>0</v>
      </c>
      <c r="S155" s="7">
        <f t="shared" si="794"/>
        <v>0</v>
      </c>
      <c r="T155" s="11">
        <f t="shared" si="794"/>
        <v>0</v>
      </c>
      <c r="U155" s="11">
        <f t="shared" si="794"/>
        <v>0</v>
      </c>
      <c r="V155" s="11">
        <f t="shared" si="794"/>
        <v>0</v>
      </c>
      <c r="W155" s="11">
        <f t="shared" si="794"/>
        <v>0</v>
      </c>
      <c r="X155" s="14">
        <f t="shared" si="794"/>
        <v>0</v>
      </c>
      <c r="Y155" s="14">
        <f t="shared" si="794"/>
        <v>0</v>
      </c>
      <c r="Z155" s="14">
        <f t="shared" si="794"/>
        <v>0</v>
      </c>
      <c r="AA155" s="14">
        <f t="shared" si="794"/>
        <v>0</v>
      </c>
      <c r="AB155" s="15">
        <f t="shared" si="794"/>
        <v>0</v>
      </c>
      <c r="AC155" s="15">
        <f t="shared" si="794"/>
        <v>0</v>
      </c>
      <c r="AD155" s="13">
        <f t="shared" si="794"/>
        <v>0</v>
      </c>
      <c r="AE155" s="13">
        <f t="shared" si="794"/>
        <v>0</v>
      </c>
      <c r="AF155" s="12">
        <f t="shared" si="794"/>
        <v>0</v>
      </c>
      <c r="AG155" s="12">
        <f t="shared" si="794"/>
        <v>0</v>
      </c>
      <c r="AH155" s="13">
        <f t="shared" si="794"/>
        <v>0</v>
      </c>
      <c r="AI155" s="13">
        <f t="shared" si="794"/>
        <v>0</v>
      </c>
      <c r="AJ155" s="11">
        <f t="shared" si="794"/>
        <v>0</v>
      </c>
      <c r="AK155" s="11">
        <f t="shared" si="794"/>
        <v>0</v>
      </c>
      <c r="AL155" s="11">
        <f t="shared" si="794"/>
        <v>0</v>
      </c>
      <c r="AM155" s="11">
        <f t="shared" si="794"/>
        <v>0</v>
      </c>
      <c r="AN155" s="11">
        <f t="shared" si="794"/>
        <v>0</v>
      </c>
      <c r="AO155" s="11">
        <f t="shared" si="794"/>
        <v>0</v>
      </c>
      <c r="AP155" s="11">
        <f t="shared" si="794"/>
        <v>0</v>
      </c>
      <c r="AQ155" s="11">
        <f t="shared" si="794"/>
        <v>0</v>
      </c>
      <c r="AR155" s="16">
        <f t="shared" si="794"/>
        <v>0</v>
      </c>
      <c r="AS155" s="16">
        <f t="shared" si="794"/>
        <v>0</v>
      </c>
      <c r="AT155" s="16">
        <f t="shared" si="794"/>
        <v>0</v>
      </c>
      <c r="AU155" s="7">
        <f t="shared" si="794"/>
        <v>0</v>
      </c>
      <c r="AV155" s="7">
        <f t="shared" si="794"/>
        <v>0</v>
      </c>
      <c r="AW155" s="7">
        <f t="shared" si="794"/>
        <v>0</v>
      </c>
      <c r="AX155" s="7">
        <f t="shared" si="794"/>
        <v>0</v>
      </c>
      <c r="AY155" s="11">
        <f t="shared" si="794"/>
        <v>0</v>
      </c>
      <c r="AZ155" s="16">
        <f t="shared" si="794"/>
        <v>0</v>
      </c>
      <c r="BA155" s="16">
        <f t="shared" si="794"/>
        <v>0</v>
      </c>
      <c r="BB155" s="16">
        <f t="shared" si="794"/>
        <v>0</v>
      </c>
      <c r="BC155" s="11">
        <f t="shared" si="794"/>
        <v>0</v>
      </c>
      <c r="BD155" s="11">
        <f t="shared" si="794"/>
        <v>0</v>
      </c>
      <c r="BE155" s="11">
        <f t="shared" si="794"/>
        <v>0</v>
      </c>
      <c r="BF155" s="11">
        <f t="shared" si="794"/>
        <v>0</v>
      </c>
      <c r="BG155" s="11">
        <f t="shared" si="794"/>
        <v>0</v>
      </c>
      <c r="BH155" s="11">
        <f t="shared" si="794"/>
        <v>0</v>
      </c>
      <c r="BI155" s="13">
        <f t="shared" si="794"/>
        <v>0</v>
      </c>
      <c r="BJ155" s="13">
        <f t="shared" si="794"/>
        <v>0</v>
      </c>
      <c r="BK155" s="11">
        <f t="shared" si="794"/>
        <v>0</v>
      </c>
      <c r="BL155" s="12">
        <f t="shared" si="794"/>
        <v>0</v>
      </c>
      <c r="BM155" s="12">
        <f t="shared" si="794"/>
        <v>0</v>
      </c>
      <c r="BN155" s="13">
        <f t="shared" si="794"/>
        <v>0</v>
      </c>
      <c r="BO155" s="13">
        <f t="shared" si="794"/>
        <v>0</v>
      </c>
      <c r="BP155" s="15">
        <f t="shared" si="794"/>
        <v>0</v>
      </c>
      <c r="BQ155" s="15">
        <f t="shared" si="794"/>
        <v>0</v>
      </c>
      <c r="BR155" s="14">
        <f t="shared" si="794"/>
        <v>0</v>
      </c>
      <c r="BS155" s="14">
        <f t="shared" si="794"/>
        <v>0</v>
      </c>
      <c r="BT155" s="14">
        <f t="shared" si="794"/>
        <v>0</v>
      </c>
      <c r="BU155" s="14">
        <f t="shared" si="794"/>
        <v>0</v>
      </c>
      <c r="BV155" s="11">
        <f t="shared" si="794"/>
        <v>0</v>
      </c>
      <c r="BW155" s="11">
        <f t="shared" si="794"/>
        <v>0</v>
      </c>
      <c r="BX155" s="11">
        <f t="shared" si="794"/>
        <v>0</v>
      </c>
      <c r="BY155" s="11">
        <f t="shared" si="794"/>
        <v>0</v>
      </c>
      <c r="BZ155" s="7">
        <f t="shared" si="794"/>
        <v>0</v>
      </c>
      <c r="CA155" s="7">
        <f t="shared" si="794"/>
        <v>0</v>
      </c>
      <c r="CB155" s="7">
        <f t="shared" ref="CB155:CP155" si="795">IFERROR(VALUE(CB460),"-")</f>
        <v>0</v>
      </c>
      <c r="CC155" s="7">
        <f t="shared" si="795"/>
        <v>0</v>
      </c>
      <c r="CD155" s="7">
        <f t="shared" si="795"/>
        <v>0</v>
      </c>
      <c r="CE155" s="3">
        <f t="shared" si="795"/>
        <v>0</v>
      </c>
      <c r="CF155" s="7">
        <f t="shared" si="795"/>
        <v>0</v>
      </c>
      <c r="CG155" s="3">
        <f t="shared" si="795"/>
        <v>0</v>
      </c>
      <c r="CH155" s="7">
        <f t="shared" si="795"/>
        <v>0</v>
      </c>
      <c r="CI155" s="7">
        <f t="shared" si="795"/>
        <v>0</v>
      </c>
      <c r="CJ155" s="3">
        <f t="shared" si="795"/>
        <v>0</v>
      </c>
      <c r="CK155" s="7">
        <f t="shared" si="795"/>
        <v>0</v>
      </c>
      <c r="CL155" s="3">
        <f t="shared" si="795"/>
        <v>0</v>
      </c>
      <c r="CM155" s="7">
        <f t="shared" si="795"/>
        <v>0</v>
      </c>
      <c r="CN155" s="10">
        <f t="shared" si="795"/>
        <v>0</v>
      </c>
      <c r="CO155" s="10">
        <f t="shared" si="795"/>
        <v>0</v>
      </c>
      <c r="CP155" s="7">
        <f t="shared" si="795"/>
        <v>0</v>
      </c>
      <c r="CQ155" s="7">
        <f t="shared" ref="CQ155" si="796">IFERROR(CQ460,"-")</f>
        <v>0</v>
      </c>
      <c r="CR155" s="10">
        <f t="shared" si="736"/>
        <v>0</v>
      </c>
      <c r="CS155" s="7">
        <f t="shared" si="736"/>
        <v>0</v>
      </c>
      <c r="CT155" s="7">
        <f t="shared" si="736"/>
        <v>0</v>
      </c>
      <c r="CU155" s="7">
        <f t="shared" si="736"/>
        <v>0</v>
      </c>
      <c r="CV155" s="7">
        <f t="shared" si="736"/>
        <v>0</v>
      </c>
      <c r="CW155" s="7">
        <f t="shared" si="736"/>
        <v>0</v>
      </c>
      <c r="CX155" s="7">
        <f t="shared" si="736"/>
        <v>0</v>
      </c>
      <c r="CY155" s="7">
        <f t="shared" si="736"/>
        <v>0</v>
      </c>
      <c r="CZ155" s="7">
        <f t="shared" si="736"/>
        <v>0</v>
      </c>
      <c r="DA155" s="7">
        <f t="shared" si="736"/>
        <v>0</v>
      </c>
      <c r="DB155" s="7">
        <f t="shared" si="736"/>
        <v>0</v>
      </c>
      <c r="DC155" s="7">
        <f t="shared" si="736"/>
        <v>0</v>
      </c>
      <c r="DD155" s="7">
        <f t="shared" si="736"/>
        <v>0</v>
      </c>
      <c r="DE155" s="7">
        <f t="shared" si="736"/>
        <v>0</v>
      </c>
      <c r="DF155" s="7">
        <f t="shared" si="736"/>
        <v>0</v>
      </c>
      <c r="DG155" s="7">
        <f t="shared" si="736"/>
        <v>0</v>
      </c>
      <c r="DH155" s="7">
        <f t="shared" ref="DH155:DJ155" si="797">IFERROR(DH460,"-")</f>
        <v>0</v>
      </c>
      <c r="DI155" s="7">
        <f t="shared" si="797"/>
        <v>0</v>
      </c>
      <c r="DJ155" s="7">
        <f t="shared" si="797"/>
        <v>0</v>
      </c>
      <c r="DK155" s="64">
        <f t="shared" ref="DK155:DS155" si="798">IFERROR(VALUE(DK460),"-")</f>
        <v>0</v>
      </c>
      <c r="DL155" s="64">
        <f t="shared" si="798"/>
        <v>0</v>
      </c>
      <c r="DM155" s="64">
        <f t="shared" si="798"/>
        <v>0</v>
      </c>
      <c r="DN155" s="64">
        <f t="shared" si="798"/>
        <v>0</v>
      </c>
      <c r="DO155" s="64">
        <f t="shared" si="798"/>
        <v>0</v>
      </c>
      <c r="DP155" s="64">
        <f t="shared" si="798"/>
        <v>0</v>
      </c>
      <c r="DQ155" s="64">
        <f t="shared" si="798"/>
        <v>0</v>
      </c>
      <c r="DR155" s="64">
        <f t="shared" si="798"/>
        <v>0</v>
      </c>
      <c r="DS155" s="64">
        <f t="shared" si="798"/>
        <v>0</v>
      </c>
      <c r="DT155">
        <f t="shared" si="669"/>
        <v>0</v>
      </c>
      <c r="DU155" s="10">
        <f t="shared" si="670"/>
        <v>0</v>
      </c>
    </row>
    <row r="156" spans="1:125" x14ac:dyDescent="0.25">
      <c r="A156" t="s">
        <v>55</v>
      </c>
      <c r="B156" s="2">
        <v>44798</v>
      </c>
      <c r="C156" s="1">
        <v>1500</v>
      </c>
      <c r="D156">
        <v>76</v>
      </c>
      <c r="G156" t="str">
        <f t="array" ref="G156">IFERROR(INDEX($A$2:$A$700,MATCH(0,COUNTIF($G$1:G155,$A$2:$A$700),0)),"")</f>
        <v>PFC</v>
      </c>
      <c r="M156" s="3"/>
      <c r="N156" s="3"/>
      <c r="O156" s="3">
        <f t="shared" si="671"/>
        <v>0</v>
      </c>
      <c r="P156" s="7">
        <f t="shared" ref="P156:CA156" si="799">IFERROR(VALUE(P461),"-")</f>
        <v>0</v>
      </c>
      <c r="Q156" s="7">
        <f t="shared" si="799"/>
        <v>0</v>
      </c>
      <c r="R156" s="7">
        <f t="shared" si="799"/>
        <v>0</v>
      </c>
      <c r="S156" s="7">
        <f t="shared" si="799"/>
        <v>0</v>
      </c>
      <c r="T156" s="11">
        <f t="shared" si="799"/>
        <v>0</v>
      </c>
      <c r="U156" s="11">
        <f t="shared" si="799"/>
        <v>0</v>
      </c>
      <c r="V156" s="11">
        <f t="shared" si="799"/>
        <v>0</v>
      </c>
      <c r="W156" s="11">
        <f t="shared" si="799"/>
        <v>0</v>
      </c>
      <c r="X156" s="14">
        <f t="shared" si="799"/>
        <v>0</v>
      </c>
      <c r="Y156" s="14">
        <f t="shared" si="799"/>
        <v>0</v>
      </c>
      <c r="Z156" s="14">
        <f t="shared" si="799"/>
        <v>0</v>
      </c>
      <c r="AA156" s="14">
        <f t="shared" si="799"/>
        <v>0</v>
      </c>
      <c r="AB156" s="15">
        <f t="shared" si="799"/>
        <v>0</v>
      </c>
      <c r="AC156" s="15">
        <f t="shared" si="799"/>
        <v>0</v>
      </c>
      <c r="AD156" s="13">
        <f t="shared" si="799"/>
        <v>0</v>
      </c>
      <c r="AE156" s="13">
        <f t="shared" si="799"/>
        <v>0</v>
      </c>
      <c r="AF156" s="12">
        <f t="shared" si="799"/>
        <v>0</v>
      </c>
      <c r="AG156" s="12">
        <f t="shared" si="799"/>
        <v>0</v>
      </c>
      <c r="AH156" s="13">
        <f t="shared" si="799"/>
        <v>0</v>
      </c>
      <c r="AI156" s="13">
        <f t="shared" si="799"/>
        <v>0</v>
      </c>
      <c r="AJ156" s="11">
        <f t="shared" si="799"/>
        <v>0</v>
      </c>
      <c r="AK156" s="11">
        <f t="shared" si="799"/>
        <v>0</v>
      </c>
      <c r="AL156" s="11">
        <f t="shared" si="799"/>
        <v>0</v>
      </c>
      <c r="AM156" s="11">
        <f t="shared" si="799"/>
        <v>0</v>
      </c>
      <c r="AN156" s="11">
        <f t="shared" si="799"/>
        <v>0</v>
      </c>
      <c r="AO156" s="11">
        <f t="shared" si="799"/>
        <v>0</v>
      </c>
      <c r="AP156" s="11">
        <f t="shared" si="799"/>
        <v>0</v>
      </c>
      <c r="AQ156" s="11">
        <f t="shared" si="799"/>
        <v>0</v>
      </c>
      <c r="AR156" s="16">
        <f t="shared" si="799"/>
        <v>0</v>
      </c>
      <c r="AS156" s="16">
        <f t="shared" si="799"/>
        <v>0</v>
      </c>
      <c r="AT156" s="16">
        <f t="shared" si="799"/>
        <v>0</v>
      </c>
      <c r="AU156" s="7">
        <f t="shared" si="799"/>
        <v>0</v>
      </c>
      <c r="AV156" s="7">
        <f t="shared" si="799"/>
        <v>0</v>
      </c>
      <c r="AW156" s="7">
        <f t="shared" si="799"/>
        <v>0</v>
      </c>
      <c r="AX156" s="7">
        <f t="shared" si="799"/>
        <v>0</v>
      </c>
      <c r="AY156" s="11">
        <f t="shared" si="799"/>
        <v>0</v>
      </c>
      <c r="AZ156" s="16">
        <f t="shared" si="799"/>
        <v>0</v>
      </c>
      <c r="BA156" s="16">
        <f t="shared" si="799"/>
        <v>0</v>
      </c>
      <c r="BB156" s="16">
        <f t="shared" si="799"/>
        <v>0</v>
      </c>
      <c r="BC156" s="11">
        <f t="shared" si="799"/>
        <v>0</v>
      </c>
      <c r="BD156" s="11">
        <f t="shared" si="799"/>
        <v>0</v>
      </c>
      <c r="BE156" s="11">
        <f t="shared" si="799"/>
        <v>0</v>
      </c>
      <c r="BF156" s="11">
        <f t="shared" si="799"/>
        <v>0</v>
      </c>
      <c r="BG156" s="11">
        <f t="shared" si="799"/>
        <v>0</v>
      </c>
      <c r="BH156" s="11">
        <f t="shared" si="799"/>
        <v>0</v>
      </c>
      <c r="BI156" s="13">
        <f t="shared" si="799"/>
        <v>0</v>
      </c>
      <c r="BJ156" s="13">
        <f t="shared" si="799"/>
        <v>0</v>
      </c>
      <c r="BK156" s="11">
        <f t="shared" si="799"/>
        <v>0</v>
      </c>
      <c r="BL156" s="12">
        <f t="shared" si="799"/>
        <v>0</v>
      </c>
      <c r="BM156" s="12">
        <f t="shared" si="799"/>
        <v>0</v>
      </c>
      <c r="BN156" s="13">
        <f t="shared" si="799"/>
        <v>0</v>
      </c>
      <c r="BO156" s="13">
        <f t="shared" si="799"/>
        <v>0</v>
      </c>
      <c r="BP156" s="15">
        <f t="shared" si="799"/>
        <v>0</v>
      </c>
      <c r="BQ156" s="15">
        <f t="shared" si="799"/>
        <v>0</v>
      </c>
      <c r="BR156" s="14">
        <f t="shared" si="799"/>
        <v>0</v>
      </c>
      <c r="BS156" s="14">
        <f t="shared" si="799"/>
        <v>0</v>
      </c>
      <c r="BT156" s="14">
        <f t="shared" si="799"/>
        <v>0</v>
      </c>
      <c r="BU156" s="14">
        <f t="shared" si="799"/>
        <v>0</v>
      </c>
      <c r="BV156" s="11">
        <f t="shared" si="799"/>
        <v>0</v>
      </c>
      <c r="BW156" s="11">
        <f t="shared" si="799"/>
        <v>0</v>
      </c>
      <c r="BX156" s="11">
        <f t="shared" si="799"/>
        <v>0</v>
      </c>
      <c r="BY156" s="11">
        <f t="shared" si="799"/>
        <v>0</v>
      </c>
      <c r="BZ156" s="7">
        <f t="shared" si="799"/>
        <v>0</v>
      </c>
      <c r="CA156" s="7">
        <f t="shared" si="799"/>
        <v>0</v>
      </c>
      <c r="CB156" s="7">
        <f t="shared" ref="CB156:CP156" si="800">IFERROR(VALUE(CB461),"-")</f>
        <v>0</v>
      </c>
      <c r="CC156" s="7">
        <f t="shared" si="800"/>
        <v>0</v>
      </c>
      <c r="CD156" s="7">
        <f t="shared" si="800"/>
        <v>0</v>
      </c>
      <c r="CE156" s="3">
        <f t="shared" si="800"/>
        <v>0</v>
      </c>
      <c r="CF156" s="7">
        <f t="shared" si="800"/>
        <v>0</v>
      </c>
      <c r="CG156" s="3">
        <f t="shared" si="800"/>
        <v>0</v>
      </c>
      <c r="CH156" s="7">
        <f t="shared" si="800"/>
        <v>0</v>
      </c>
      <c r="CI156" s="7">
        <f t="shared" si="800"/>
        <v>0</v>
      </c>
      <c r="CJ156" s="3">
        <f t="shared" si="800"/>
        <v>0</v>
      </c>
      <c r="CK156" s="7">
        <f t="shared" si="800"/>
        <v>0</v>
      </c>
      <c r="CL156" s="3">
        <f t="shared" si="800"/>
        <v>0</v>
      </c>
      <c r="CM156" s="7">
        <f t="shared" si="800"/>
        <v>0</v>
      </c>
      <c r="CN156" s="10">
        <f t="shared" si="800"/>
        <v>0</v>
      </c>
      <c r="CO156" s="10">
        <f t="shared" si="800"/>
        <v>0</v>
      </c>
      <c r="CP156" s="7">
        <f t="shared" si="800"/>
        <v>0</v>
      </c>
      <c r="CQ156" s="7">
        <f t="shared" ref="CQ156" si="801">IFERROR(CQ461,"-")</f>
        <v>0</v>
      </c>
      <c r="CR156" s="10">
        <f t="shared" si="736"/>
        <v>0</v>
      </c>
      <c r="CS156" s="7">
        <f t="shared" si="736"/>
        <v>0</v>
      </c>
      <c r="CT156" s="7">
        <f t="shared" si="736"/>
        <v>0</v>
      </c>
      <c r="CU156" s="7">
        <f t="shared" si="736"/>
        <v>0</v>
      </c>
      <c r="CV156" s="7">
        <f t="shared" si="736"/>
        <v>0</v>
      </c>
      <c r="CW156" s="7">
        <f t="shared" si="736"/>
        <v>0</v>
      </c>
      <c r="CX156" s="7">
        <f t="shared" si="736"/>
        <v>0</v>
      </c>
      <c r="CY156" s="7">
        <f t="shared" si="736"/>
        <v>0</v>
      </c>
      <c r="CZ156" s="7">
        <f t="shared" si="736"/>
        <v>0</v>
      </c>
      <c r="DA156" s="7">
        <f t="shared" si="736"/>
        <v>0</v>
      </c>
      <c r="DB156" s="7">
        <f t="shared" si="736"/>
        <v>0</v>
      </c>
      <c r="DC156" s="7">
        <f t="shared" si="736"/>
        <v>0</v>
      </c>
      <c r="DD156" s="7">
        <f t="shared" si="736"/>
        <v>0</v>
      </c>
      <c r="DE156" s="7">
        <f t="shared" si="736"/>
        <v>0</v>
      </c>
      <c r="DF156" s="7">
        <f t="shared" si="736"/>
        <v>0</v>
      </c>
      <c r="DG156" s="7">
        <f t="shared" si="736"/>
        <v>0</v>
      </c>
      <c r="DH156" s="7">
        <f t="shared" ref="DH156:DJ156" si="802">IFERROR(DH461,"-")</f>
        <v>0</v>
      </c>
      <c r="DI156" s="7">
        <f t="shared" si="802"/>
        <v>0</v>
      </c>
      <c r="DJ156" s="7">
        <f t="shared" si="802"/>
        <v>0</v>
      </c>
      <c r="DK156" s="64">
        <f t="shared" ref="DK156:DS156" si="803">IFERROR(VALUE(DK461),"-")</f>
        <v>0</v>
      </c>
      <c r="DL156" s="64">
        <f t="shared" si="803"/>
        <v>0</v>
      </c>
      <c r="DM156" s="64">
        <f t="shared" si="803"/>
        <v>0</v>
      </c>
      <c r="DN156" s="64">
        <f t="shared" si="803"/>
        <v>0</v>
      </c>
      <c r="DO156" s="64">
        <f t="shared" si="803"/>
        <v>0</v>
      </c>
      <c r="DP156" s="64">
        <f t="shared" si="803"/>
        <v>0</v>
      </c>
      <c r="DQ156" s="64">
        <f t="shared" si="803"/>
        <v>0</v>
      </c>
      <c r="DR156" s="64">
        <f t="shared" si="803"/>
        <v>0</v>
      </c>
      <c r="DS156" s="64">
        <f t="shared" si="803"/>
        <v>0</v>
      </c>
      <c r="DT156">
        <f t="shared" si="669"/>
        <v>0</v>
      </c>
      <c r="DU156" s="10">
        <f t="shared" si="670"/>
        <v>0</v>
      </c>
    </row>
    <row r="157" spans="1:125" x14ac:dyDescent="0.25">
      <c r="A157" t="s">
        <v>55</v>
      </c>
      <c r="B157" s="2">
        <v>44833</v>
      </c>
      <c r="C157" s="1">
        <v>1500</v>
      </c>
      <c r="D157">
        <v>76</v>
      </c>
      <c r="G157" t="str">
        <f t="array" ref="G157">IFERROR(INDEX($A$2:$A$700,MATCH(0,COUNTIF($G$1:G156,$A$2:$A$700),0)),"")</f>
        <v>PIDILITIND</v>
      </c>
      <c r="M157" s="3"/>
      <c r="N157" s="3"/>
      <c r="O157" s="3">
        <f t="shared" si="671"/>
        <v>0</v>
      </c>
      <c r="P157" s="7">
        <f t="shared" ref="P157:CA157" si="804">IFERROR(VALUE(P462),"-")</f>
        <v>0</v>
      </c>
      <c r="Q157" s="7">
        <f t="shared" si="804"/>
        <v>0</v>
      </c>
      <c r="R157" s="7">
        <f t="shared" si="804"/>
        <v>0</v>
      </c>
      <c r="S157" s="7">
        <f t="shared" si="804"/>
        <v>0</v>
      </c>
      <c r="T157" s="11">
        <f t="shared" si="804"/>
        <v>0</v>
      </c>
      <c r="U157" s="11">
        <f t="shared" si="804"/>
        <v>0</v>
      </c>
      <c r="V157" s="11">
        <f t="shared" si="804"/>
        <v>0</v>
      </c>
      <c r="W157" s="11">
        <f t="shared" si="804"/>
        <v>0</v>
      </c>
      <c r="X157" s="14">
        <f t="shared" si="804"/>
        <v>0</v>
      </c>
      <c r="Y157" s="14">
        <f t="shared" si="804"/>
        <v>0</v>
      </c>
      <c r="Z157" s="14">
        <f t="shared" si="804"/>
        <v>0</v>
      </c>
      <c r="AA157" s="14">
        <f t="shared" si="804"/>
        <v>0</v>
      </c>
      <c r="AB157" s="15">
        <f t="shared" si="804"/>
        <v>0</v>
      </c>
      <c r="AC157" s="15">
        <f t="shared" si="804"/>
        <v>0</v>
      </c>
      <c r="AD157" s="13">
        <f t="shared" si="804"/>
        <v>0</v>
      </c>
      <c r="AE157" s="13">
        <f t="shared" si="804"/>
        <v>0</v>
      </c>
      <c r="AF157" s="12">
        <f t="shared" si="804"/>
        <v>0</v>
      </c>
      <c r="AG157" s="12">
        <f t="shared" si="804"/>
        <v>0</v>
      </c>
      <c r="AH157" s="13">
        <f t="shared" si="804"/>
        <v>0</v>
      </c>
      <c r="AI157" s="13">
        <f t="shared" si="804"/>
        <v>0</v>
      </c>
      <c r="AJ157" s="11">
        <f t="shared" si="804"/>
        <v>0</v>
      </c>
      <c r="AK157" s="11">
        <f t="shared" si="804"/>
        <v>0</v>
      </c>
      <c r="AL157" s="11">
        <f t="shared" si="804"/>
        <v>0</v>
      </c>
      <c r="AM157" s="11">
        <f t="shared" si="804"/>
        <v>0</v>
      </c>
      <c r="AN157" s="11">
        <f t="shared" si="804"/>
        <v>0</v>
      </c>
      <c r="AO157" s="11">
        <f t="shared" si="804"/>
        <v>0</v>
      </c>
      <c r="AP157" s="11">
        <f t="shared" si="804"/>
        <v>0</v>
      </c>
      <c r="AQ157" s="11">
        <f t="shared" si="804"/>
        <v>0</v>
      </c>
      <c r="AR157" s="16">
        <f t="shared" si="804"/>
        <v>0</v>
      </c>
      <c r="AS157" s="16">
        <f t="shared" si="804"/>
        <v>0</v>
      </c>
      <c r="AT157" s="16">
        <f t="shared" si="804"/>
        <v>0</v>
      </c>
      <c r="AU157" s="7">
        <f t="shared" si="804"/>
        <v>0</v>
      </c>
      <c r="AV157" s="7">
        <f t="shared" si="804"/>
        <v>0</v>
      </c>
      <c r="AW157" s="7">
        <f t="shared" si="804"/>
        <v>0</v>
      </c>
      <c r="AX157" s="7">
        <f t="shared" si="804"/>
        <v>0</v>
      </c>
      <c r="AY157" s="11">
        <f t="shared" si="804"/>
        <v>0</v>
      </c>
      <c r="AZ157" s="16">
        <f t="shared" si="804"/>
        <v>0</v>
      </c>
      <c r="BA157" s="16">
        <f t="shared" si="804"/>
        <v>0</v>
      </c>
      <c r="BB157" s="16">
        <f t="shared" si="804"/>
        <v>0</v>
      </c>
      <c r="BC157" s="11">
        <f t="shared" si="804"/>
        <v>0</v>
      </c>
      <c r="BD157" s="11">
        <f t="shared" si="804"/>
        <v>0</v>
      </c>
      <c r="BE157" s="11">
        <f t="shared" si="804"/>
        <v>0</v>
      </c>
      <c r="BF157" s="11">
        <f t="shared" si="804"/>
        <v>0</v>
      </c>
      <c r="BG157" s="11">
        <f t="shared" si="804"/>
        <v>0</v>
      </c>
      <c r="BH157" s="11">
        <f t="shared" si="804"/>
        <v>0</v>
      </c>
      <c r="BI157" s="13">
        <f t="shared" si="804"/>
        <v>0</v>
      </c>
      <c r="BJ157" s="13">
        <f t="shared" si="804"/>
        <v>0</v>
      </c>
      <c r="BK157" s="11">
        <f t="shared" si="804"/>
        <v>0</v>
      </c>
      <c r="BL157" s="12">
        <f t="shared" si="804"/>
        <v>0</v>
      </c>
      <c r="BM157" s="12">
        <f t="shared" si="804"/>
        <v>0</v>
      </c>
      <c r="BN157" s="13">
        <f t="shared" si="804"/>
        <v>0</v>
      </c>
      <c r="BO157" s="13">
        <f t="shared" si="804"/>
        <v>0</v>
      </c>
      <c r="BP157" s="15">
        <f t="shared" si="804"/>
        <v>0</v>
      </c>
      <c r="BQ157" s="15">
        <f t="shared" si="804"/>
        <v>0</v>
      </c>
      <c r="BR157" s="14">
        <f t="shared" si="804"/>
        <v>0</v>
      </c>
      <c r="BS157" s="14">
        <f t="shared" si="804"/>
        <v>0</v>
      </c>
      <c r="BT157" s="14">
        <f t="shared" si="804"/>
        <v>0</v>
      </c>
      <c r="BU157" s="14">
        <f t="shared" si="804"/>
        <v>0</v>
      </c>
      <c r="BV157" s="11">
        <f t="shared" si="804"/>
        <v>0</v>
      </c>
      <c r="BW157" s="11">
        <f t="shared" si="804"/>
        <v>0</v>
      </c>
      <c r="BX157" s="11">
        <f t="shared" si="804"/>
        <v>0</v>
      </c>
      <c r="BY157" s="11">
        <f t="shared" si="804"/>
        <v>0</v>
      </c>
      <c r="BZ157" s="7">
        <f t="shared" si="804"/>
        <v>0</v>
      </c>
      <c r="CA157" s="7">
        <f t="shared" si="804"/>
        <v>0</v>
      </c>
      <c r="CB157" s="7">
        <f t="shared" ref="CB157:CP157" si="805">IFERROR(VALUE(CB462),"-")</f>
        <v>0</v>
      </c>
      <c r="CC157" s="7">
        <f t="shared" si="805"/>
        <v>0</v>
      </c>
      <c r="CD157" s="7">
        <f t="shared" si="805"/>
        <v>0</v>
      </c>
      <c r="CE157" s="3">
        <f t="shared" si="805"/>
        <v>0</v>
      </c>
      <c r="CF157" s="7">
        <f t="shared" si="805"/>
        <v>0</v>
      </c>
      <c r="CG157" s="3">
        <f t="shared" si="805"/>
        <v>0</v>
      </c>
      <c r="CH157" s="7">
        <f t="shared" si="805"/>
        <v>0</v>
      </c>
      <c r="CI157" s="7">
        <f t="shared" si="805"/>
        <v>0</v>
      </c>
      <c r="CJ157" s="3">
        <f t="shared" si="805"/>
        <v>0</v>
      </c>
      <c r="CK157" s="7">
        <f t="shared" si="805"/>
        <v>0</v>
      </c>
      <c r="CL157" s="3">
        <f t="shared" si="805"/>
        <v>0</v>
      </c>
      <c r="CM157" s="7">
        <f t="shared" si="805"/>
        <v>0</v>
      </c>
      <c r="CN157" s="10">
        <f t="shared" si="805"/>
        <v>0</v>
      </c>
      <c r="CO157" s="10">
        <f t="shared" si="805"/>
        <v>0</v>
      </c>
      <c r="CP157" s="7">
        <f t="shared" si="805"/>
        <v>0</v>
      </c>
      <c r="CQ157" s="7">
        <f t="shared" ref="CQ157" si="806">IFERROR(CQ462,"-")</f>
        <v>0</v>
      </c>
      <c r="CR157" s="10">
        <f t="shared" si="736"/>
        <v>0</v>
      </c>
      <c r="CS157" s="7">
        <f t="shared" si="736"/>
        <v>0</v>
      </c>
      <c r="CT157" s="7">
        <f t="shared" si="736"/>
        <v>0</v>
      </c>
      <c r="CU157" s="7">
        <f t="shared" si="736"/>
        <v>0</v>
      </c>
      <c r="CV157" s="7">
        <f t="shared" si="736"/>
        <v>0</v>
      </c>
      <c r="CW157" s="7">
        <f t="shared" si="736"/>
        <v>0</v>
      </c>
      <c r="CX157" s="7">
        <f t="shared" si="736"/>
        <v>0</v>
      </c>
      <c r="CY157" s="7">
        <f t="shared" si="736"/>
        <v>0</v>
      </c>
      <c r="CZ157" s="7">
        <f t="shared" si="736"/>
        <v>0</v>
      </c>
      <c r="DA157" s="7">
        <f t="shared" si="736"/>
        <v>0</v>
      </c>
      <c r="DB157" s="7">
        <f t="shared" si="736"/>
        <v>0</v>
      </c>
      <c r="DC157" s="7">
        <f t="shared" si="736"/>
        <v>0</v>
      </c>
      <c r="DD157" s="7">
        <f t="shared" si="736"/>
        <v>0</v>
      </c>
      <c r="DE157" s="7">
        <f t="shared" si="736"/>
        <v>0</v>
      </c>
      <c r="DF157" s="7">
        <f t="shared" si="736"/>
        <v>0</v>
      </c>
      <c r="DG157" s="7">
        <f t="shared" si="736"/>
        <v>0</v>
      </c>
      <c r="DH157" s="7">
        <f t="shared" ref="DH157:DJ157" si="807">IFERROR(DH462,"-")</f>
        <v>0</v>
      </c>
      <c r="DI157" s="7">
        <f t="shared" si="807"/>
        <v>0</v>
      </c>
      <c r="DJ157" s="7">
        <f t="shared" si="807"/>
        <v>0</v>
      </c>
      <c r="DK157" s="64">
        <f t="shared" ref="DK157:DS157" si="808">IFERROR(VALUE(DK462),"-")</f>
        <v>0</v>
      </c>
      <c r="DL157" s="64">
        <f t="shared" si="808"/>
        <v>0</v>
      </c>
      <c r="DM157" s="64">
        <f t="shared" si="808"/>
        <v>0</v>
      </c>
      <c r="DN157" s="64">
        <f t="shared" si="808"/>
        <v>0</v>
      </c>
      <c r="DO157" s="64">
        <f t="shared" si="808"/>
        <v>0</v>
      </c>
      <c r="DP157" s="64">
        <f t="shared" si="808"/>
        <v>0</v>
      </c>
      <c r="DQ157" s="64">
        <f t="shared" si="808"/>
        <v>0</v>
      </c>
      <c r="DR157" s="64">
        <f t="shared" si="808"/>
        <v>0</v>
      </c>
      <c r="DS157" s="64">
        <f t="shared" si="808"/>
        <v>0</v>
      </c>
      <c r="DT157">
        <f t="shared" si="669"/>
        <v>0</v>
      </c>
      <c r="DU157" s="10">
        <f t="shared" si="670"/>
        <v>0</v>
      </c>
    </row>
    <row r="158" spans="1:125" x14ac:dyDescent="0.25">
      <c r="A158" t="s">
        <v>55</v>
      </c>
      <c r="B158" s="2">
        <v>44861</v>
      </c>
      <c r="C158" s="1">
        <v>1500</v>
      </c>
      <c r="D158">
        <v>76</v>
      </c>
      <c r="G158" t="str">
        <f t="array" ref="G158">IFERROR(INDEX($A$2:$A$700,MATCH(0,COUNTIF($G$1:G157,$A$2:$A$700),0)),"")</f>
        <v>PIIND</v>
      </c>
      <c r="M158" s="3"/>
      <c r="N158" s="3"/>
      <c r="O158" s="3">
        <f t="shared" si="671"/>
        <v>0</v>
      </c>
      <c r="P158" s="7">
        <f t="shared" ref="P158:CA158" si="809">IFERROR(VALUE(P463),"-")</f>
        <v>0</v>
      </c>
      <c r="Q158" s="7">
        <f t="shared" si="809"/>
        <v>0</v>
      </c>
      <c r="R158" s="7">
        <f t="shared" si="809"/>
        <v>0</v>
      </c>
      <c r="S158" s="7">
        <f t="shared" si="809"/>
        <v>0</v>
      </c>
      <c r="T158" s="11">
        <f t="shared" si="809"/>
        <v>0</v>
      </c>
      <c r="U158" s="11">
        <f t="shared" si="809"/>
        <v>0</v>
      </c>
      <c r="V158" s="11">
        <f t="shared" si="809"/>
        <v>0</v>
      </c>
      <c r="W158" s="11">
        <f t="shared" si="809"/>
        <v>0</v>
      </c>
      <c r="X158" s="14">
        <f t="shared" si="809"/>
        <v>0</v>
      </c>
      <c r="Y158" s="14">
        <f t="shared" si="809"/>
        <v>0</v>
      </c>
      <c r="Z158" s="14">
        <f t="shared" si="809"/>
        <v>0</v>
      </c>
      <c r="AA158" s="14">
        <f t="shared" si="809"/>
        <v>0</v>
      </c>
      <c r="AB158" s="15">
        <f t="shared" si="809"/>
        <v>0</v>
      </c>
      <c r="AC158" s="15">
        <f t="shared" si="809"/>
        <v>0</v>
      </c>
      <c r="AD158" s="13">
        <f t="shared" si="809"/>
        <v>0</v>
      </c>
      <c r="AE158" s="13">
        <f t="shared" si="809"/>
        <v>0</v>
      </c>
      <c r="AF158" s="12">
        <f t="shared" si="809"/>
        <v>0</v>
      </c>
      <c r="AG158" s="12">
        <f t="shared" si="809"/>
        <v>0</v>
      </c>
      <c r="AH158" s="13">
        <f t="shared" si="809"/>
        <v>0</v>
      </c>
      <c r="AI158" s="13">
        <f t="shared" si="809"/>
        <v>0</v>
      </c>
      <c r="AJ158" s="11">
        <f t="shared" si="809"/>
        <v>0</v>
      </c>
      <c r="AK158" s="11">
        <f t="shared" si="809"/>
        <v>0</v>
      </c>
      <c r="AL158" s="11">
        <f t="shared" si="809"/>
        <v>0</v>
      </c>
      <c r="AM158" s="11">
        <f t="shared" si="809"/>
        <v>0</v>
      </c>
      <c r="AN158" s="11">
        <f t="shared" si="809"/>
        <v>0</v>
      </c>
      <c r="AO158" s="11">
        <f t="shared" si="809"/>
        <v>0</v>
      </c>
      <c r="AP158" s="11">
        <f t="shared" si="809"/>
        <v>0</v>
      </c>
      <c r="AQ158" s="11">
        <f t="shared" si="809"/>
        <v>0</v>
      </c>
      <c r="AR158" s="16">
        <f t="shared" si="809"/>
        <v>0</v>
      </c>
      <c r="AS158" s="16">
        <f t="shared" si="809"/>
        <v>0</v>
      </c>
      <c r="AT158" s="16">
        <f t="shared" si="809"/>
        <v>0</v>
      </c>
      <c r="AU158" s="7">
        <f t="shared" si="809"/>
        <v>0</v>
      </c>
      <c r="AV158" s="7">
        <f t="shared" si="809"/>
        <v>0</v>
      </c>
      <c r="AW158" s="7">
        <f t="shared" si="809"/>
        <v>0</v>
      </c>
      <c r="AX158" s="7">
        <f t="shared" si="809"/>
        <v>0</v>
      </c>
      <c r="AY158" s="11">
        <f t="shared" si="809"/>
        <v>0</v>
      </c>
      <c r="AZ158" s="16">
        <f t="shared" si="809"/>
        <v>0</v>
      </c>
      <c r="BA158" s="16">
        <f t="shared" si="809"/>
        <v>0</v>
      </c>
      <c r="BB158" s="16">
        <f t="shared" si="809"/>
        <v>0</v>
      </c>
      <c r="BC158" s="11">
        <f t="shared" si="809"/>
        <v>0</v>
      </c>
      <c r="BD158" s="11">
        <f t="shared" si="809"/>
        <v>0</v>
      </c>
      <c r="BE158" s="11">
        <f t="shared" si="809"/>
        <v>0</v>
      </c>
      <c r="BF158" s="11">
        <f t="shared" si="809"/>
        <v>0</v>
      </c>
      <c r="BG158" s="11">
        <f t="shared" si="809"/>
        <v>0</v>
      </c>
      <c r="BH158" s="11">
        <f t="shared" si="809"/>
        <v>0</v>
      </c>
      <c r="BI158" s="13">
        <f t="shared" si="809"/>
        <v>0</v>
      </c>
      <c r="BJ158" s="13">
        <f t="shared" si="809"/>
        <v>0</v>
      </c>
      <c r="BK158" s="11">
        <f t="shared" si="809"/>
        <v>0</v>
      </c>
      <c r="BL158" s="12">
        <f t="shared" si="809"/>
        <v>0</v>
      </c>
      <c r="BM158" s="12">
        <f t="shared" si="809"/>
        <v>0</v>
      </c>
      <c r="BN158" s="13">
        <f t="shared" si="809"/>
        <v>0</v>
      </c>
      <c r="BO158" s="13">
        <f t="shared" si="809"/>
        <v>0</v>
      </c>
      <c r="BP158" s="15">
        <f t="shared" si="809"/>
        <v>0</v>
      </c>
      <c r="BQ158" s="15">
        <f t="shared" si="809"/>
        <v>0</v>
      </c>
      <c r="BR158" s="14">
        <f t="shared" si="809"/>
        <v>0</v>
      </c>
      <c r="BS158" s="14">
        <f t="shared" si="809"/>
        <v>0</v>
      </c>
      <c r="BT158" s="14">
        <f t="shared" si="809"/>
        <v>0</v>
      </c>
      <c r="BU158" s="14">
        <f t="shared" si="809"/>
        <v>0</v>
      </c>
      <c r="BV158" s="11">
        <f t="shared" si="809"/>
        <v>0</v>
      </c>
      <c r="BW158" s="11">
        <f t="shared" si="809"/>
        <v>0</v>
      </c>
      <c r="BX158" s="11">
        <f t="shared" si="809"/>
        <v>0</v>
      </c>
      <c r="BY158" s="11">
        <f t="shared" si="809"/>
        <v>0</v>
      </c>
      <c r="BZ158" s="7">
        <f t="shared" si="809"/>
        <v>0</v>
      </c>
      <c r="CA158" s="7">
        <f t="shared" si="809"/>
        <v>0</v>
      </c>
      <c r="CB158" s="7">
        <f t="shared" ref="CB158:CP158" si="810">IFERROR(VALUE(CB463),"-")</f>
        <v>0</v>
      </c>
      <c r="CC158" s="7">
        <f t="shared" si="810"/>
        <v>0</v>
      </c>
      <c r="CD158" s="7">
        <f t="shared" si="810"/>
        <v>0</v>
      </c>
      <c r="CE158" s="3">
        <f t="shared" si="810"/>
        <v>0</v>
      </c>
      <c r="CF158" s="7">
        <f t="shared" si="810"/>
        <v>0</v>
      </c>
      <c r="CG158" s="3">
        <f t="shared" si="810"/>
        <v>0</v>
      </c>
      <c r="CH158" s="7">
        <f t="shared" si="810"/>
        <v>0</v>
      </c>
      <c r="CI158" s="7">
        <f t="shared" si="810"/>
        <v>0</v>
      </c>
      <c r="CJ158" s="3">
        <f t="shared" si="810"/>
        <v>0</v>
      </c>
      <c r="CK158" s="7">
        <f t="shared" si="810"/>
        <v>0</v>
      </c>
      <c r="CL158" s="3">
        <f t="shared" si="810"/>
        <v>0</v>
      </c>
      <c r="CM158" s="7">
        <f t="shared" si="810"/>
        <v>0</v>
      </c>
      <c r="CN158" s="10">
        <f t="shared" si="810"/>
        <v>0</v>
      </c>
      <c r="CO158" s="10">
        <f t="shared" si="810"/>
        <v>0</v>
      </c>
      <c r="CP158" s="7">
        <f t="shared" si="810"/>
        <v>0</v>
      </c>
      <c r="CQ158" s="7">
        <f t="shared" ref="CQ158" si="811">IFERROR(CQ463,"-")</f>
        <v>0</v>
      </c>
      <c r="CR158" s="10">
        <f t="shared" si="736"/>
        <v>0</v>
      </c>
      <c r="CS158" s="7">
        <f t="shared" si="736"/>
        <v>0</v>
      </c>
      <c r="CT158" s="7">
        <f t="shared" si="736"/>
        <v>0</v>
      </c>
      <c r="CU158" s="7">
        <f t="shared" si="736"/>
        <v>0</v>
      </c>
      <c r="CV158" s="7">
        <f t="shared" si="736"/>
        <v>0</v>
      </c>
      <c r="CW158" s="7">
        <f t="shared" si="736"/>
        <v>0</v>
      </c>
      <c r="CX158" s="7">
        <f t="shared" si="736"/>
        <v>0</v>
      </c>
      <c r="CY158" s="7">
        <f t="shared" si="736"/>
        <v>0</v>
      </c>
      <c r="CZ158" s="7">
        <f t="shared" si="736"/>
        <v>0</v>
      </c>
      <c r="DA158" s="7">
        <f t="shared" si="736"/>
        <v>0</v>
      </c>
      <c r="DB158" s="7">
        <f t="shared" si="736"/>
        <v>0</v>
      </c>
      <c r="DC158" s="7">
        <f t="shared" si="736"/>
        <v>0</v>
      </c>
      <c r="DD158" s="7">
        <f t="shared" si="736"/>
        <v>0</v>
      </c>
      <c r="DE158" s="7">
        <f t="shared" si="736"/>
        <v>0</v>
      </c>
      <c r="DF158" s="7">
        <f t="shared" si="736"/>
        <v>0</v>
      </c>
      <c r="DG158" s="7">
        <f t="shared" ref="DG158" si="812">IFERROR(VALUE(DG463),"-")</f>
        <v>0</v>
      </c>
      <c r="DH158" s="7">
        <f t="shared" ref="DH158:DJ158" si="813">IFERROR(DH463,"-")</f>
        <v>0</v>
      </c>
      <c r="DI158" s="7">
        <f t="shared" si="813"/>
        <v>0</v>
      </c>
      <c r="DJ158" s="7">
        <f t="shared" si="813"/>
        <v>0</v>
      </c>
      <c r="DK158" s="64">
        <f t="shared" ref="DK158:DS158" si="814">IFERROR(VALUE(DK463),"-")</f>
        <v>0</v>
      </c>
      <c r="DL158" s="64">
        <f t="shared" si="814"/>
        <v>0</v>
      </c>
      <c r="DM158" s="64">
        <f t="shared" si="814"/>
        <v>0</v>
      </c>
      <c r="DN158" s="64">
        <f t="shared" si="814"/>
        <v>0</v>
      </c>
      <c r="DO158" s="64">
        <f t="shared" si="814"/>
        <v>0</v>
      </c>
      <c r="DP158" s="64">
        <f t="shared" si="814"/>
        <v>0</v>
      </c>
      <c r="DQ158" s="64">
        <f t="shared" si="814"/>
        <v>0</v>
      </c>
      <c r="DR158" s="64">
        <f t="shared" si="814"/>
        <v>0</v>
      </c>
      <c r="DS158" s="64">
        <f t="shared" si="814"/>
        <v>0</v>
      </c>
      <c r="DT158">
        <f t="shared" si="669"/>
        <v>0</v>
      </c>
      <c r="DU158" s="10">
        <f t="shared" si="670"/>
        <v>0</v>
      </c>
    </row>
    <row r="159" spans="1:125" x14ac:dyDescent="0.25">
      <c r="A159" t="s">
        <v>56</v>
      </c>
      <c r="B159" s="2">
        <v>44798</v>
      </c>
      <c r="C159" s="1">
        <v>5000</v>
      </c>
      <c r="D159">
        <v>60</v>
      </c>
      <c r="G159" t="str">
        <f t="array" ref="G159">IFERROR(INDEX($A$2:$A$700,MATCH(0,COUNTIF($G$1:G158,$A$2:$A$700),0)),"")</f>
        <v>PNB</v>
      </c>
      <c r="M159" s="3"/>
      <c r="N159" s="3"/>
      <c r="O159" s="3">
        <f t="shared" si="671"/>
        <v>0</v>
      </c>
      <c r="P159" s="7">
        <f t="shared" ref="P159:CA159" si="815">IFERROR(VALUE(P464),"-")</f>
        <v>0</v>
      </c>
      <c r="Q159" s="7">
        <f t="shared" si="815"/>
        <v>0</v>
      </c>
      <c r="R159" s="7">
        <f t="shared" si="815"/>
        <v>0</v>
      </c>
      <c r="S159" s="7">
        <f t="shared" si="815"/>
        <v>0</v>
      </c>
      <c r="T159" s="11">
        <f t="shared" si="815"/>
        <v>0</v>
      </c>
      <c r="U159" s="11">
        <f t="shared" si="815"/>
        <v>0</v>
      </c>
      <c r="V159" s="11">
        <f t="shared" si="815"/>
        <v>0</v>
      </c>
      <c r="W159" s="11">
        <f t="shared" si="815"/>
        <v>0</v>
      </c>
      <c r="X159" s="14">
        <f t="shared" si="815"/>
        <v>0</v>
      </c>
      <c r="Y159" s="14">
        <f t="shared" si="815"/>
        <v>0</v>
      </c>
      <c r="Z159" s="14">
        <f t="shared" si="815"/>
        <v>0</v>
      </c>
      <c r="AA159" s="14">
        <f t="shared" si="815"/>
        <v>0</v>
      </c>
      <c r="AB159" s="15">
        <f t="shared" si="815"/>
        <v>0</v>
      </c>
      <c r="AC159" s="15">
        <f t="shared" si="815"/>
        <v>0</v>
      </c>
      <c r="AD159" s="13">
        <f t="shared" si="815"/>
        <v>0</v>
      </c>
      <c r="AE159" s="13">
        <f t="shared" si="815"/>
        <v>0</v>
      </c>
      <c r="AF159" s="12">
        <f t="shared" si="815"/>
        <v>0</v>
      </c>
      <c r="AG159" s="12">
        <f t="shared" si="815"/>
        <v>0</v>
      </c>
      <c r="AH159" s="13">
        <f t="shared" si="815"/>
        <v>0</v>
      </c>
      <c r="AI159" s="13">
        <f t="shared" si="815"/>
        <v>0</v>
      </c>
      <c r="AJ159" s="11">
        <f t="shared" si="815"/>
        <v>0</v>
      </c>
      <c r="AK159" s="11">
        <f t="shared" si="815"/>
        <v>0</v>
      </c>
      <c r="AL159" s="11">
        <f t="shared" si="815"/>
        <v>0</v>
      </c>
      <c r="AM159" s="11">
        <f t="shared" si="815"/>
        <v>0</v>
      </c>
      <c r="AN159" s="11">
        <f t="shared" si="815"/>
        <v>0</v>
      </c>
      <c r="AO159" s="11">
        <f t="shared" si="815"/>
        <v>0</v>
      </c>
      <c r="AP159" s="11">
        <f t="shared" si="815"/>
        <v>0</v>
      </c>
      <c r="AQ159" s="11">
        <f t="shared" si="815"/>
        <v>0</v>
      </c>
      <c r="AR159" s="16">
        <f t="shared" si="815"/>
        <v>0</v>
      </c>
      <c r="AS159" s="16">
        <f t="shared" si="815"/>
        <v>0</v>
      </c>
      <c r="AT159" s="16">
        <f t="shared" si="815"/>
        <v>0</v>
      </c>
      <c r="AU159" s="7">
        <f t="shared" si="815"/>
        <v>0</v>
      </c>
      <c r="AV159" s="7">
        <f t="shared" si="815"/>
        <v>0</v>
      </c>
      <c r="AW159" s="7">
        <f t="shared" si="815"/>
        <v>0</v>
      </c>
      <c r="AX159" s="7">
        <f t="shared" si="815"/>
        <v>0</v>
      </c>
      <c r="AY159" s="11">
        <f t="shared" si="815"/>
        <v>0</v>
      </c>
      <c r="AZ159" s="16">
        <f t="shared" si="815"/>
        <v>0</v>
      </c>
      <c r="BA159" s="16">
        <f t="shared" si="815"/>
        <v>0</v>
      </c>
      <c r="BB159" s="16">
        <f t="shared" si="815"/>
        <v>0</v>
      </c>
      <c r="BC159" s="11">
        <f t="shared" si="815"/>
        <v>0</v>
      </c>
      <c r="BD159" s="11">
        <f t="shared" si="815"/>
        <v>0</v>
      </c>
      <c r="BE159" s="11">
        <f t="shared" si="815"/>
        <v>0</v>
      </c>
      <c r="BF159" s="11">
        <f t="shared" si="815"/>
        <v>0</v>
      </c>
      <c r="BG159" s="11">
        <f t="shared" si="815"/>
        <v>0</v>
      </c>
      <c r="BH159" s="11">
        <f t="shared" si="815"/>
        <v>0</v>
      </c>
      <c r="BI159" s="13">
        <f t="shared" si="815"/>
        <v>0</v>
      </c>
      <c r="BJ159" s="13">
        <f t="shared" si="815"/>
        <v>0</v>
      </c>
      <c r="BK159" s="11">
        <f t="shared" si="815"/>
        <v>0</v>
      </c>
      <c r="BL159" s="12">
        <f t="shared" si="815"/>
        <v>0</v>
      </c>
      <c r="BM159" s="12">
        <f t="shared" si="815"/>
        <v>0</v>
      </c>
      <c r="BN159" s="13">
        <f t="shared" si="815"/>
        <v>0</v>
      </c>
      <c r="BO159" s="13">
        <f t="shared" si="815"/>
        <v>0</v>
      </c>
      <c r="BP159" s="15">
        <f t="shared" si="815"/>
        <v>0</v>
      </c>
      <c r="BQ159" s="15">
        <f t="shared" si="815"/>
        <v>0</v>
      </c>
      <c r="BR159" s="14">
        <f t="shared" si="815"/>
        <v>0</v>
      </c>
      <c r="BS159" s="14">
        <f t="shared" si="815"/>
        <v>0</v>
      </c>
      <c r="BT159" s="14">
        <f t="shared" si="815"/>
        <v>0</v>
      </c>
      <c r="BU159" s="14">
        <f t="shared" si="815"/>
        <v>0</v>
      </c>
      <c r="BV159" s="11">
        <f t="shared" si="815"/>
        <v>0</v>
      </c>
      <c r="BW159" s="11">
        <f t="shared" si="815"/>
        <v>0</v>
      </c>
      <c r="BX159" s="11">
        <f t="shared" si="815"/>
        <v>0</v>
      </c>
      <c r="BY159" s="11">
        <f t="shared" si="815"/>
        <v>0</v>
      </c>
      <c r="BZ159" s="7">
        <f t="shared" si="815"/>
        <v>0</v>
      </c>
      <c r="CA159" s="7">
        <f t="shared" si="815"/>
        <v>0</v>
      </c>
      <c r="CB159" s="7">
        <f t="shared" ref="CB159:CP159" si="816">IFERROR(VALUE(CB464),"-")</f>
        <v>0</v>
      </c>
      <c r="CC159" s="7">
        <f t="shared" si="816"/>
        <v>0</v>
      </c>
      <c r="CD159" s="7">
        <f t="shared" si="816"/>
        <v>0</v>
      </c>
      <c r="CE159" s="3">
        <f t="shared" si="816"/>
        <v>0</v>
      </c>
      <c r="CF159" s="7">
        <f t="shared" si="816"/>
        <v>0</v>
      </c>
      <c r="CG159" s="3">
        <f t="shared" si="816"/>
        <v>0</v>
      </c>
      <c r="CH159" s="7">
        <f t="shared" si="816"/>
        <v>0</v>
      </c>
      <c r="CI159" s="7">
        <f t="shared" si="816"/>
        <v>0</v>
      </c>
      <c r="CJ159" s="3">
        <f t="shared" si="816"/>
        <v>0</v>
      </c>
      <c r="CK159" s="7">
        <f t="shared" si="816"/>
        <v>0</v>
      </c>
      <c r="CL159" s="3">
        <f t="shared" si="816"/>
        <v>0</v>
      </c>
      <c r="CM159" s="7">
        <f t="shared" si="816"/>
        <v>0</v>
      </c>
      <c r="CN159" s="10">
        <f t="shared" si="816"/>
        <v>0</v>
      </c>
      <c r="CO159" s="10">
        <f t="shared" si="816"/>
        <v>0</v>
      </c>
      <c r="CP159" s="7">
        <f t="shared" si="816"/>
        <v>0</v>
      </c>
      <c r="CQ159" s="7">
        <f t="shared" ref="CQ159" si="817">IFERROR(CQ464,"-")</f>
        <v>0</v>
      </c>
      <c r="CR159" s="10">
        <f t="shared" ref="CR159:DG174" si="818">IFERROR(VALUE(CR464),"-")</f>
        <v>0</v>
      </c>
      <c r="CS159" s="7">
        <f t="shared" si="818"/>
        <v>0</v>
      </c>
      <c r="CT159" s="7">
        <f t="shared" si="818"/>
        <v>0</v>
      </c>
      <c r="CU159" s="7">
        <f t="shared" si="818"/>
        <v>0</v>
      </c>
      <c r="CV159" s="7">
        <f t="shared" si="818"/>
        <v>0</v>
      </c>
      <c r="CW159" s="7">
        <f t="shared" si="818"/>
        <v>0</v>
      </c>
      <c r="CX159" s="7">
        <f t="shared" si="818"/>
        <v>0</v>
      </c>
      <c r="CY159" s="7">
        <f t="shared" si="818"/>
        <v>0</v>
      </c>
      <c r="CZ159" s="7">
        <f t="shared" si="818"/>
        <v>0</v>
      </c>
      <c r="DA159" s="7">
        <f t="shared" si="818"/>
        <v>0</v>
      </c>
      <c r="DB159" s="7">
        <f t="shared" si="818"/>
        <v>0</v>
      </c>
      <c r="DC159" s="7">
        <f t="shared" si="818"/>
        <v>0</v>
      </c>
      <c r="DD159" s="7">
        <f t="shared" si="818"/>
        <v>0</v>
      </c>
      <c r="DE159" s="7">
        <f t="shared" si="818"/>
        <v>0</v>
      </c>
      <c r="DF159" s="7">
        <f t="shared" si="818"/>
        <v>0</v>
      </c>
      <c r="DG159" s="7">
        <f t="shared" si="818"/>
        <v>0</v>
      </c>
      <c r="DH159" s="7">
        <f t="shared" ref="DH159:DJ159" si="819">IFERROR(DH464,"-")</f>
        <v>0</v>
      </c>
      <c r="DI159" s="7">
        <f t="shared" si="819"/>
        <v>0</v>
      </c>
      <c r="DJ159" s="7">
        <f t="shared" si="819"/>
        <v>0</v>
      </c>
      <c r="DK159" s="64">
        <f t="shared" ref="DK159:DS159" si="820">IFERROR(VALUE(DK464),"-")</f>
        <v>0</v>
      </c>
      <c r="DL159" s="64">
        <f t="shared" si="820"/>
        <v>0</v>
      </c>
      <c r="DM159" s="64">
        <f t="shared" si="820"/>
        <v>0</v>
      </c>
      <c r="DN159" s="64">
        <f t="shared" si="820"/>
        <v>0</v>
      </c>
      <c r="DO159" s="64">
        <f t="shared" si="820"/>
        <v>0</v>
      </c>
      <c r="DP159" s="64">
        <f t="shared" si="820"/>
        <v>0</v>
      </c>
      <c r="DQ159" s="64">
        <f t="shared" si="820"/>
        <v>0</v>
      </c>
      <c r="DR159" s="64">
        <f t="shared" si="820"/>
        <v>0</v>
      </c>
      <c r="DS159" s="64">
        <f t="shared" si="820"/>
        <v>0</v>
      </c>
      <c r="DT159">
        <f t="shared" si="669"/>
        <v>0</v>
      </c>
      <c r="DU159" s="10">
        <f t="shared" si="670"/>
        <v>0</v>
      </c>
    </row>
    <row r="160" spans="1:125" x14ac:dyDescent="0.25">
      <c r="A160" t="s">
        <v>56</v>
      </c>
      <c r="B160" s="2">
        <v>44833</v>
      </c>
      <c r="C160" s="1">
        <v>5000</v>
      </c>
      <c r="D160">
        <v>60</v>
      </c>
      <c r="G160" t="str">
        <f t="array" ref="G160">IFERROR(INDEX($A$2:$A$700,MATCH(0,COUNTIF($G$1:G159,$A$2:$A$700),0)),"")</f>
        <v>POLYCAB</v>
      </c>
      <c r="M160" s="3"/>
      <c r="N160" s="3"/>
      <c r="O160" s="3">
        <f t="shared" si="671"/>
        <v>0</v>
      </c>
      <c r="P160" s="7">
        <f t="shared" ref="P160:CA160" si="821">IFERROR(VALUE(P465),"-")</f>
        <v>0</v>
      </c>
      <c r="Q160" s="7">
        <f t="shared" si="821"/>
        <v>0</v>
      </c>
      <c r="R160" s="7">
        <f t="shared" si="821"/>
        <v>0</v>
      </c>
      <c r="S160" s="7">
        <f t="shared" si="821"/>
        <v>0</v>
      </c>
      <c r="T160" s="11">
        <f t="shared" si="821"/>
        <v>0</v>
      </c>
      <c r="U160" s="11">
        <f t="shared" si="821"/>
        <v>0</v>
      </c>
      <c r="V160" s="11">
        <f t="shared" si="821"/>
        <v>0</v>
      </c>
      <c r="W160" s="11">
        <f t="shared" si="821"/>
        <v>0</v>
      </c>
      <c r="X160" s="14">
        <f t="shared" si="821"/>
        <v>0</v>
      </c>
      <c r="Y160" s="14">
        <f t="shared" si="821"/>
        <v>0</v>
      </c>
      <c r="Z160" s="14">
        <f t="shared" si="821"/>
        <v>0</v>
      </c>
      <c r="AA160" s="14">
        <f t="shared" si="821"/>
        <v>0</v>
      </c>
      <c r="AB160" s="15">
        <f t="shared" si="821"/>
        <v>0</v>
      </c>
      <c r="AC160" s="15">
        <f t="shared" si="821"/>
        <v>0</v>
      </c>
      <c r="AD160" s="13">
        <f t="shared" si="821"/>
        <v>0</v>
      </c>
      <c r="AE160" s="13">
        <f t="shared" si="821"/>
        <v>0</v>
      </c>
      <c r="AF160" s="12">
        <f t="shared" si="821"/>
        <v>0</v>
      </c>
      <c r="AG160" s="12">
        <f t="shared" si="821"/>
        <v>0</v>
      </c>
      <c r="AH160" s="13">
        <f t="shared" si="821"/>
        <v>0</v>
      </c>
      <c r="AI160" s="13">
        <f t="shared" si="821"/>
        <v>0</v>
      </c>
      <c r="AJ160" s="11">
        <f t="shared" si="821"/>
        <v>0</v>
      </c>
      <c r="AK160" s="11">
        <f t="shared" si="821"/>
        <v>0</v>
      </c>
      <c r="AL160" s="11">
        <f t="shared" si="821"/>
        <v>0</v>
      </c>
      <c r="AM160" s="11">
        <f t="shared" si="821"/>
        <v>0</v>
      </c>
      <c r="AN160" s="11">
        <f t="shared" si="821"/>
        <v>0</v>
      </c>
      <c r="AO160" s="11">
        <f t="shared" si="821"/>
        <v>0</v>
      </c>
      <c r="AP160" s="11">
        <f t="shared" si="821"/>
        <v>0</v>
      </c>
      <c r="AQ160" s="11">
        <f t="shared" si="821"/>
        <v>0</v>
      </c>
      <c r="AR160" s="16">
        <f t="shared" si="821"/>
        <v>0</v>
      </c>
      <c r="AS160" s="16">
        <f t="shared" si="821"/>
        <v>0</v>
      </c>
      <c r="AT160" s="16">
        <f t="shared" si="821"/>
        <v>0</v>
      </c>
      <c r="AU160" s="7">
        <f t="shared" si="821"/>
        <v>0</v>
      </c>
      <c r="AV160" s="7">
        <f t="shared" si="821"/>
        <v>0</v>
      </c>
      <c r="AW160" s="7">
        <f t="shared" si="821"/>
        <v>0</v>
      </c>
      <c r="AX160" s="7">
        <f t="shared" si="821"/>
        <v>0</v>
      </c>
      <c r="AY160" s="11">
        <f t="shared" si="821"/>
        <v>0</v>
      </c>
      <c r="AZ160" s="16">
        <f t="shared" si="821"/>
        <v>0</v>
      </c>
      <c r="BA160" s="16">
        <f t="shared" si="821"/>
        <v>0</v>
      </c>
      <c r="BB160" s="16">
        <f t="shared" si="821"/>
        <v>0</v>
      </c>
      <c r="BC160" s="11">
        <f t="shared" si="821"/>
        <v>0</v>
      </c>
      <c r="BD160" s="11">
        <f t="shared" si="821"/>
        <v>0</v>
      </c>
      <c r="BE160" s="11">
        <f t="shared" si="821"/>
        <v>0</v>
      </c>
      <c r="BF160" s="11">
        <f t="shared" si="821"/>
        <v>0</v>
      </c>
      <c r="BG160" s="11">
        <f t="shared" si="821"/>
        <v>0</v>
      </c>
      <c r="BH160" s="11">
        <f t="shared" si="821"/>
        <v>0</v>
      </c>
      <c r="BI160" s="13">
        <f t="shared" si="821"/>
        <v>0</v>
      </c>
      <c r="BJ160" s="13">
        <f t="shared" si="821"/>
        <v>0</v>
      </c>
      <c r="BK160" s="11">
        <f t="shared" si="821"/>
        <v>0</v>
      </c>
      <c r="BL160" s="12">
        <f t="shared" si="821"/>
        <v>0</v>
      </c>
      <c r="BM160" s="12">
        <f t="shared" si="821"/>
        <v>0</v>
      </c>
      <c r="BN160" s="13">
        <f t="shared" si="821"/>
        <v>0</v>
      </c>
      <c r="BO160" s="13">
        <f t="shared" si="821"/>
        <v>0</v>
      </c>
      <c r="BP160" s="15">
        <f t="shared" si="821"/>
        <v>0</v>
      </c>
      <c r="BQ160" s="15">
        <f t="shared" si="821"/>
        <v>0</v>
      </c>
      <c r="BR160" s="14">
        <f t="shared" si="821"/>
        <v>0</v>
      </c>
      <c r="BS160" s="14">
        <f t="shared" si="821"/>
        <v>0</v>
      </c>
      <c r="BT160" s="14">
        <f t="shared" si="821"/>
        <v>0</v>
      </c>
      <c r="BU160" s="14">
        <f t="shared" si="821"/>
        <v>0</v>
      </c>
      <c r="BV160" s="11">
        <f t="shared" si="821"/>
        <v>0</v>
      </c>
      <c r="BW160" s="11">
        <f t="shared" si="821"/>
        <v>0</v>
      </c>
      <c r="BX160" s="11">
        <f t="shared" si="821"/>
        <v>0</v>
      </c>
      <c r="BY160" s="11">
        <f t="shared" si="821"/>
        <v>0</v>
      </c>
      <c r="BZ160" s="7">
        <f t="shared" si="821"/>
        <v>0</v>
      </c>
      <c r="CA160" s="7">
        <f t="shared" si="821"/>
        <v>0</v>
      </c>
      <c r="CB160" s="7">
        <f t="shared" ref="CB160:CP160" si="822">IFERROR(VALUE(CB465),"-")</f>
        <v>0</v>
      </c>
      <c r="CC160" s="7">
        <f t="shared" si="822"/>
        <v>0</v>
      </c>
      <c r="CD160" s="7">
        <f t="shared" si="822"/>
        <v>0</v>
      </c>
      <c r="CE160" s="3">
        <f t="shared" si="822"/>
        <v>0</v>
      </c>
      <c r="CF160" s="7">
        <f t="shared" si="822"/>
        <v>0</v>
      </c>
      <c r="CG160" s="3">
        <f t="shared" si="822"/>
        <v>0</v>
      </c>
      <c r="CH160" s="7">
        <f t="shared" si="822"/>
        <v>0</v>
      </c>
      <c r="CI160" s="7">
        <f t="shared" si="822"/>
        <v>0</v>
      </c>
      <c r="CJ160" s="3">
        <f t="shared" si="822"/>
        <v>0</v>
      </c>
      <c r="CK160" s="7">
        <f t="shared" si="822"/>
        <v>0</v>
      </c>
      <c r="CL160" s="3">
        <f t="shared" si="822"/>
        <v>0</v>
      </c>
      <c r="CM160" s="7">
        <f t="shared" si="822"/>
        <v>0</v>
      </c>
      <c r="CN160" s="10">
        <f t="shared" si="822"/>
        <v>0</v>
      </c>
      <c r="CO160" s="10">
        <f t="shared" si="822"/>
        <v>0</v>
      </c>
      <c r="CP160" s="7">
        <f t="shared" si="822"/>
        <v>0</v>
      </c>
      <c r="CQ160" s="7">
        <f t="shared" ref="CQ160" si="823">IFERROR(CQ465,"-")</f>
        <v>0</v>
      </c>
      <c r="CR160" s="10">
        <f t="shared" si="818"/>
        <v>0</v>
      </c>
      <c r="CS160" s="7">
        <f t="shared" si="818"/>
        <v>0</v>
      </c>
      <c r="CT160" s="7">
        <f t="shared" si="818"/>
        <v>0</v>
      </c>
      <c r="CU160" s="7">
        <f t="shared" si="818"/>
        <v>0</v>
      </c>
      <c r="CV160" s="7">
        <f t="shared" si="818"/>
        <v>0</v>
      </c>
      <c r="CW160" s="7">
        <f t="shared" si="818"/>
        <v>0</v>
      </c>
      <c r="CX160" s="7">
        <f t="shared" si="818"/>
        <v>0</v>
      </c>
      <c r="CY160" s="7">
        <f t="shared" si="818"/>
        <v>0</v>
      </c>
      <c r="CZ160" s="7">
        <f t="shared" si="818"/>
        <v>0</v>
      </c>
      <c r="DA160" s="7">
        <f t="shared" si="818"/>
        <v>0</v>
      </c>
      <c r="DB160" s="7">
        <f t="shared" si="818"/>
        <v>0</v>
      </c>
      <c r="DC160" s="7">
        <f t="shared" si="818"/>
        <v>0</v>
      </c>
      <c r="DD160" s="7">
        <f t="shared" si="818"/>
        <v>0</v>
      </c>
      <c r="DE160" s="7">
        <f t="shared" si="818"/>
        <v>0</v>
      </c>
      <c r="DF160" s="7">
        <f t="shared" si="818"/>
        <v>0</v>
      </c>
      <c r="DG160" s="7">
        <f t="shared" si="818"/>
        <v>0</v>
      </c>
      <c r="DH160" s="7">
        <f t="shared" ref="DH160:DJ160" si="824">IFERROR(DH465,"-")</f>
        <v>0</v>
      </c>
      <c r="DI160" s="7">
        <f t="shared" si="824"/>
        <v>0</v>
      </c>
      <c r="DJ160" s="7">
        <f t="shared" si="824"/>
        <v>0</v>
      </c>
      <c r="DK160" s="64">
        <f t="shared" ref="DK160:DS160" si="825">IFERROR(VALUE(DK465),"-")</f>
        <v>0</v>
      </c>
      <c r="DL160" s="64">
        <f t="shared" si="825"/>
        <v>0</v>
      </c>
      <c r="DM160" s="64">
        <f t="shared" si="825"/>
        <v>0</v>
      </c>
      <c r="DN160" s="64">
        <f t="shared" si="825"/>
        <v>0</v>
      </c>
      <c r="DO160" s="64">
        <f t="shared" si="825"/>
        <v>0</v>
      </c>
      <c r="DP160" s="64">
        <f t="shared" si="825"/>
        <v>0</v>
      </c>
      <c r="DQ160" s="64">
        <f t="shared" si="825"/>
        <v>0</v>
      </c>
      <c r="DR160" s="64">
        <f t="shared" si="825"/>
        <v>0</v>
      </c>
      <c r="DS160" s="64">
        <f t="shared" si="825"/>
        <v>0</v>
      </c>
      <c r="DT160">
        <f t="shared" si="669"/>
        <v>0</v>
      </c>
      <c r="DU160" s="10">
        <f t="shared" si="670"/>
        <v>0</v>
      </c>
    </row>
    <row r="161" spans="1:125" x14ac:dyDescent="0.25">
      <c r="A161" t="s">
        <v>56</v>
      </c>
      <c r="B161" s="2">
        <v>44861</v>
      </c>
      <c r="C161" s="1">
        <v>5000</v>
      </c>
      <c r="D161">
        <v>60</v>
      </c>
      <c r="G161" t="str">
        <f t="array" ref="G161">IFERROR(INDEX($A$2:$A$700,MATCH(0,COUNTIF($G$1:G160,$A$2:$A$700),0)),"")</f>
        <v>POWERGRID</v>
      </c>
      <c r="M161" s="3"/>
      <c r="N161" s="3"/>
      <c r="O161" s="3">
        <f t="shared" si="671"/>
        <v>0</v>
      </c>
      <c r="P161" s="7">
        <f t="shared" ref="P161:CA161" si="826">IFERROR(VALUE(P466),"-")</f>
        <v>0</v>
      </c>
      <c r="Q161" s="7">
        <f t="shared" si="826"/>
        <v>0</v>
      </c>
      <c r="R161" s="7">
        <f t="shared" si="826"/>
        <v>0</v>
      </c>
      <c r="S161" s="7">
        <f t="shared" si="826"/>
        <v>0</v>
      </c>
      <c r="T161" s="11">
        <f t="shared" si="826"/>
        <v>0</v>
      </c>
      <c r="U161" s="11">
        <f t="shared" si="826"/>
        <v>0</v>
      </c>
      <c r="V161" s="11">
        <f t="shared" si="826"/>
        <v>0</v>
      </c>
      <c r="W161" s="11">
        <f t="shared" si="826"/>
        <v>0</v>
      </c>
      <c r="X161" s="14">
        <f t="shared" si="826"/>
        <v>0</v>
      </c>
      <c r="Y161" s="14">
        <f t="shared" si="826"/>
        <v>0</v>
      </c>
      <c r="Z161" s="14">
        <f t="shared" si="826"/>
        <v>0</v>
      </c>
      <c r="AA161" s="14">
        <f t="shared" si="826"/>
        <v>0</v>
      </c>
      <c r="AB161" s="15">
        <f t="shared" si="826"/>
        <v>0</v>
      </c>
      <c r="AC161" s="15">
        <f t="shared" si="826"/>
        <v>0</v>
      </c>
      <c r="AD161" s="13">
        <f t="shared" si="826"/>
        <v>0</v>
      </c>
      <c r="AE161" s="13">
        <f t="shared" si="826"/>
        <v>0</v>
      </c>
      <c r="AF161" s="12">
        <f t="shared" si="826"/>
        <v>0</v>
      </c>
      <c r="AG161" s="12">
        <f t="shared" si="826"/>
        <v>0</v>
      </c>
      <c r="AH161" s="13">
        <f t="shared" si="826"/>
        <v>0</v>
      </c>
      <c r="AI161" s="13">
        <f t="shared" si="826"/>
        <v>0</v>
      </c>
      <c r="AJ161" s="11">
        <f t="shared" si="826"/>
        <v>0</v>
      </c>
      <c r="AK161" s="11">
        <f t="shared" si="826"/>
        <v>0</v>
      </c>
      <c r="AL161" s="11">
        <f t="shared" si="826"/>
        <v>0</v>
      </c>
      <c r="AM161" s="11">
        <f t="shared" si="826"/>
        <v>0</v>
      </c>
      <c r="AN161" s="11">
        <f t="shared" si="826"/>
        <v>0</v>
      </c>
      <c r="AO161" s="11">
        <f t="shared" si="826"/>
        <v>0</v>
      </c>
      <c r="AP161" s="11">
        <f t="shared" si="826"/>
        <v>0</v>
      </c>
      <c r="AQ161" s="11">
        <f t="shared" si="826"/>
        <v>0</v>
      </c>
      <c r="AR161" s="16">
        <f t="shared" si="826"/>
        <v>0</v>
      </c>
      <c r="AS161" s="16">
        <f t="shared" si="826"/>
        <v>0</v>
      </c>
      <c r="AT161" s="16">
        <f t="shared" si="826"/>
        <v>0</v>
      </c>
      <c r="AU161" s="7">
        <f t="shared" si="826"/>
        <v>0</v>
      </c>
      <c r="AV161" s="7">
        <f t="shared" si="826"/>
        <v>0</v>
      </c>
      <c r="AW161" s="7">
        <f t="shared" si="826"/>
        <v>0</v>
      </c>
      <c r="AX161" s="7">
        <f t="shared" si="826"/>
        <v>0</v>
      </c>
      <c r="AY161" s="11">
        <f t="shared" si="826"/>
        <v>0</v>
      </c>
      <c r="AZ161" s="16">
        <f t="shared" si="826"/>
        <v>0</v>
      </c>
      <c r="BA161" s="16">
        <f t="shared" si="826"/>
        <v>0</v>
      </c>
      <c r="BB161" s="16">
        <f t="shared" si="826"/>
        <v>0</v>
      </c>
      <c r="BC161" s="11">
        <f t="shared" si="826"/>
        <v>0</v>
      </c>
      <c r="BD161" s="11">
        <f t="shared" si="826"/>
        <v>0</v>
      </c>
      <c r="BE161" s="11">
        <f t="shared" si="826"/>
        <v>0</v>
      </c>
      <c r="BF161" s="11">
        <f t="shared" si="826"/>
        <v>0</v>
      </c>
      <c r="BG161" s="11">
        <f t="shared" si="826"/>
        <v>0</v>
      </c>
      <c r="BH161" s="11">
        <f t="shared" si="826"/>
        <v>0</v>
      </c>
      <c r="BI161" s="13">
        <f t="shared" si="826"/>
        <v>0</v>
      </c>
      <c r="BJ161" s="13">
        <f t="shared" si="826"/>
        <v>0</v>
      </c>
      <c r="BK161" s="11">
        <f t="shared" si="826"/>
        <v>0</v>
      </c>
      <c r="BL161" s="12">
        <f t="shared" si="826"/>
        <v>0</v>
      </c>
      <c r="BM161" s="12">
        <f t="shared" si="826"/>
        <v>0</v>
      </c>
      <c r="BN161" s="13">
        <f t="shared" si="826"/>
        <v>0</v>
      </c>
      <c r="BO161" s="13">
        <f t="shared" si="826"/>
        <v>0</v>
      </c>
      <c r="BP161" s="15">
        <f t="shared" si="826"/>
        <v>0</v>
      </c>
      <c r="BQ161" s="15">
        <f t="shared" si="826"/>
        <v>0</v>
      </c>
      <c r="BR161" s="14">
        <f t="shared" si="826"/>
        <v>0</v>
      </c>
      <c r="BS161" s="14">
        <f t="shared" si="826"/>
        <v>0</v>
      </c>
      <c r="BT161" s="14">
        <f t="shared" si="826"/>
        <v>0</v>
      </c>
      <c r="BU161" s="14">
        <f t="shared" si="826"/>
        <v>0</v>
      </c>
      <c r="BV161" s="11">
        <f t="shared" si="826"/>
        <v>0</v>
      </c>
      <c r="BW161" s="11">
        <f t="shared" si="826"/>
        <v>0</v>
      </c>
      <c r="BX161" s="11">
        <f t="shared" si="826"/>
        <v>0</v>
      </c>
      <c r="BY161" s="11">
        <f t="shared" si="826"/>
        <v>0</v>
      </c>
      <c r="BZ161" s="7">
        <f t="shared" si="826"/>
        <v>0</v>
      </c>
      <c r="CA161" s="7">
        <f t="shared" si="826"/>
        <v>0</v>
      </c>
      <c r="CB161" s="7">
        <f t="shared" ref="CB161:CP161" si="827">IFERROR(VALUE(CB466),"-")</f>
        <v>0</v>
      </c>
      <c r="CC161" s="7">
        <f t="shared" si="827"/>
        <v>0</v>
      </c>
      <c r="CD161" s="7">
        <f t="shared" si="827"/>
        <v>0</v>
      </c>
      <c r="CE161" s="3">
        <f t="shared" si="827"/>
        <v>0</v>
      </c>
      <c r="CF161" s="7">
        <f t="shared" si="827"/>
        <v>0</v>
      </c>
      <c r="CG161" s="3">
        <f t="shared" si="827"/>
        <v>0</v>
      </c>
      <c r="CH161" s="7">
        <f t="shared" si="827"/>
        <v>0</v>
      </c>
      <c r="CI161" s="7">
        <f t="shared" si="827"/>
        <v>0</v>
      </c>
      <c r="CJ161" s="3">
        <f t="shared" si="827"/>
        <v>0</v>
      </c>
      <c r="CK161" s="7">
        <f t="shared" si="827"/>
        <v>0</v>
      </c>
      <c r="CL161" s="3">
        <f t="shared" si="827"/>
        <v>0</v>
      </c>
      <c r="CM161" s="7">
        <f t="shared" si="827"/>
        <v>0</v>
      </c>
      <c r="CN161" s="10">
        <f t="shared" si="827"/>
        <v>0</v>
      </c>
      <c r="CO161" s="10">
        <f t="shared" si="827"/>
        <v>0</v>
      </c>
      <c r="CP161" s="7">
        <f t="shared" si="827"/>
        <v>0</v>
      </c>
      <c r="CQ161" s="7">
        <f t="shared" ref="CQ161" si="828">IFERROR(CQ466,"-")</f>
        <v>0</v>
      </c>
      <c r="CR161" s="10">
        <f t="shared" si="818"/>
        <v>0</v>
      </c>
      <c r="CS161" s="7">
        <f t="shared" si="818"/>
        <v>0</v>
      </c>
      <c r="CT161" s="7">
        <f t="shared" si="818"/>
        <v>0</v>
      </c>
      <c r="CU161" s="7">
        <f t="shared" si="818"/>
        <v>0</v>
      </c>
      <c r="CV161" s="7">
        <f t="shared" si="818"/>
        <v>0</v>
      </c>
      <c r="CW161" s="7">
        <f t="shared" si="818"/>
        <v>0</v>
      </c>
      <c r="CX161" s="7">
        <f t="shared" si="818"/>
        <v>0</v>
      </c>
      <c r="CY161" s="7">
        <f t="shared" si="818"/>
        <v>0</v>
      </c>
      <c r="CZ161" s="7">
        <f t="shared" si="818"/>
        <v>0</v>
      </c>
      <c r="DA161" s="7">
        <f t="shared" si="818"/>
        <v>0</v>
      </c>
      <c r="DB161" s="7">
        <f t="shared" si="818"/>
        <v>0</v>
      </c>
      <c r="DC161" s="7">
        <f t="shared" si="818"/>
        <v>0</v>
      </c>
      <c r="DD161" s="7">
        <f t="shared" si="818"/>
        <v>0</v>
      </c>
      <c r="DE161" s="7">
        <f t="shared" si="818"/>
        <v>0</v>
      </c>
      <c r="DF161" s="7">
        <f t="shared" si="818"/>
        <v>0</v>
      </c>
      <c r="DG161" s="7">
        <f t="shared" si="818"/>
        <v>0</v>
      </c>
      <c r="DH161" s="7">
        <f t="shared" ref="DH161:DJ161" si="829">IFERROR(DH466,"-")</f>
        <v>0</v>
      </c>
      <c r="DI161" s="7">
        <f t="shared" si="829"/>
        <v>0</v>
      </c>
      <c r="DJ161" s="7">
        <f t="shared" si="829"/>
        <v>0</v>
      </c>
      <c r="DK161" s="64">
        <f t="shared" ref="DK161:DS161" si="830">IFERROR(VALUE(DK466),"-")</f>
        <v>0</v>
      </c>
      <c r="DL161" s="64">
        <f t="shared" si="830"/>
        <v>0</v>
      </c>
      <c r="DM161" s="64">
        <f t="shared" si="830"/>
        <v>0</v>
      </c>
      <c r="DN161" s="64">
        <f t="shared" si="830"/>
        <v>0</v>
      </c>
      <c r="DO161" s="64">
        <f t="shared" si="830"/>
        <v>0</v>
      </c>
      <c r="DP161" s="64">
        <f t="shared" si="830"/>
        <v>0</v>
      </c>
      <c r="DQ161" s="64">
        <f t="shared" si="830"/>
        <v>0</v>
      </c>
      <c r="DR161" s="64">
        <f t="shared" si="830"/>
        <v>0</v>
      </c>
      <c r="DS161" s="64">
        <f t="shared" si="830"/>
        <v>0</v>
      </c>
      <c r="DT161">
        <f t="shared" si="669"/>
        <v>0</v>
      </c>
      <c r="DU161" s="10">
        <f t="shared" si="670"/>
        <v>0</v>
      </c>
    </row>
    <row r="162" spans="1:125" x14ac:dyDescent="0.25">
      <c r="A162" t="s">
        <v>57</v>
      </c>
      <c r="B162" s="2">
        <v>44798</v>
      </c>
      <c r="C162" s="1">
        <v>600</v>
      </c>
      <c r="D162">
        <v>56</v>
      </c>
      <c r="G162" t="str">
        <f t="array" ref="G162">IFERROR(INDEX($A$2:$A$700,MATCH(0,COUNTIF($G$1:G161,$A$2:$A$700),0)),"")</f>
        <v>PVR</v>
      </c>
      <c r="M162" s="3"/>
      <c r="N162" s="3"/>
      <c r="O162" s="3">
        <f t="shared" si="671"/>
        <v>0</v>
      </c>
      <c r="P162" s="7">
        <f t="shared" ref="P162:CA162" si="831">IFERROR(VALUE(P467),"-")</f>
        <v>0</v>
      </c>
      <c r="Q162" s="7">
        <f t="shared" si="831"/>
        <v>0</v>
      </c>
      <c r="R162" s="7">
        <f t="shared" si="831"/>
        <v>0</v>
      </c>
      <c r="S162" s="7">
        <f t="shared" si="831"/>
        <v>0</v>
      </c>
      <c r="T162" s="11">
        <f t="shared" si="831"/>
        <v>0</v>
      </c>
      <c r="U162" s="11">
        <f t="shared" si="831"/>
        <v>0</v>
      </c>
      <c r="V162" s="11">
        <f t="shared" si="831"/>
        <v>0</v>
      </c>
      <c r="W162" s="11">
        <f t="shared" si="831"/>
        <v>0</v>
      </c>
      <c r="X162" s="14">
        <f t="shared" si="831"/>
        <v>0</v>
      </c>
      <c r="Y162" s="14">
        <f t="shared" si="831"/>
        <v>0</v>
      </c>
      <c r="Z162" s="14">
        <f t="shared" si="831"/>
        <v>0</v>
      </c>
      <c r="AA162" s="14">
        <f t="shared" si="831"/>
        <v>0</v>
      </c>
      <c r="AB162" s="15">
        <f t="shared" si="831"/>
        <v>0</v>
      </c>
      <c r="AC162" s="15">
        <f t="shared" si="831"/>
        <v>0</v>
      </c>
      <c r="AD162" s="13">
        <f t="shared" si="831"/>
        <v>0</v>
      </c>
      <c r="AE162" s="13">
        <f t="shared" si="831"/>
        <v>0</v>
      </c>
      <c r="AF162" s="12">
        <f t="shared" si="831"/>
        <v>0</v>
      </c>
      <c r="AG162" s="12">
        <f t="shared" si="831"/>
        <v>0</v>
      </c>
      <c r="AH162" s="13">
        <f t="shared" si="831"/>
        <v>0</v>
      </c>
      <c r="AI162" s="13">
        <f t="shared" si="831"/>
        <v>0</v>
      </c>
      <c r="AJ162" s="11">
        <f t="shared" si="831"/>
        <v>0</v>
      </c>
      <c r="AK162" s="11">
        <f t="shared" si="831"/>
        <v>0</v>
      </c>
      <c r="AL162" s="11">
        <f t="shared" si="831"/>
        <v>0</v>
      </c>
      <c r="AM162" s="11">
        <f t="shared" si="831"/>
        <v>0</v>
      </c>
      <c r="AN162" s="11">
        <f t="shared" si="831"/>
        <v>0</v>
      </c>
      <c r="AO162" s="11">
        <f t="shared" si="831"/>
        <v>0</v>
      </c>
      <c r="AP162" s="11">
        <f t="shared" si="831"/>
        <v>0</v>
      </c>
      <c r="AQ162" s="11">
        <f t="shared" si="831"/>
        <v>0</v>
      </c>
      <c r="AR162" s="16">
        <f t="shared" si="831"/>
        <v>0</v>
      </c>
      <c r="AS162" s="16">
        <f t="shared" si="831"/>
        <v>0</v>
      </c>
      <c r="AT162" s="16">
        <f t="shared" si="831"/>
        <v>0</v>
      </c>
      <c r="AU162" s="7">
        <f t="shared" si="831"/>
        <v>0</v>
      </c>
      <c r="AV162" s="7">
        <f t="shared" si="831"/>
        <v>0</v>
      </c>
      <c r="AW162" s="7">
        <f t="shared" si="831"/>
        <v>0</v>
      </c>
      <c r="AX162" s="7">
        <f t="shared" si="831"/>
        <v>0</v>
      </c>
      <c r="AY162" s="11">
        <f t="shared" si="831"/>
        <v>0</v>
      </c>
      <c r="AZ162" s="16">
        <f t="shared" si="831"/>
        <v>0</v>
      </c>
      <c r="BA162" s="16">
        <f t="shared" si="831"/>
        <v>0</v>
      </c>
      <c r="BB162" s="16">
        <f t="shared" si="831"/>
        <v>0</v>
      </c>
      <c r="BC162" s="11">
        <f t="shared" si="831"/>
        <v>0</v>
      </c>
      <c r="BD162" s="11">
        <f t="shared" si="831"/>
        <v>0</v>
      </c>
      <c r="BE162" s="11">
        <f t="shared" si="831"/>
        <v>0</v>
      </c>
      <c r="BF162" s="11">
        <f t="shared" si="831"/>
        <v>0</v>
      </c>
      <c r="BG162" s="11">
        <f t="shared" si="831"/>
        <v>0</v>
      </c>
      <c r="BH162" s="11">
        <f t="shared" si="831"/>
        <v>0</v>
      </c>
      <c r="BI162" s="13">
        <f t="shared" si="831"/>
        <v>0</v>
      </c>
      <c r="BJ162" s="13">
        <f t="shared" si="831"/>
        <v>0</v>
      </c>
      <c r="BK162" s="11">
        <f t="shared" si="831"/>
        <v>0</v>
      </c>
      <c r="BL162" s="12">
        <f t="shared" si="831"/>
        <v>0</v>
      </c>
      <c r="BM162" s="12">
        <f t="shared" si="831"/>
        <v>0</v>
      </c>
      <c r="BN162" s="13">
        <f t="shared" si="831"/>
        <v>0</v>
      </c>
      <c r="BO162" s="13">
        <f t="shared" si="831"/>
        <v>0</v>
      </c>
      <c r="BP162" s="15">
        <f t="shared" si="831"/>
        <v>0</v>
      </c>
      <c r="BQ162" s="15">
        <f t="shared" si="831"/>
        <v>0</v>
      </c>
      <c r="BR162" s="14">
        <f t="shared" si="831"/>
        <v>0</v>
      </c>
      <c r="BS162" s="14">
        <f t="shared" si="831"/>
        <v>0</v>
      </c>
      <c r="BT162" s="14">
        <f t="shared" si="831"/>
        <v>0</v>
      </c>
      <c r="BU162" s="14">
        <f t="shared" si="831"/>
        <v>0</v>
      </c>
      <c r="BV162" s="11">
        <f t="shared" si="831"/>
        <v>0</v>
      </c>
      <c r="BW162" s="11">
        <f t="shared" si="831"/>
        <v>0</v>
      </c>
      <c r="BX162" s="11">
        <f t="shared" si="831"/>
        <v>0</v>
      </c>
      <c r="BY162" s="11">
        <f t="shared" si="831"/>
        <v>0</v>
      </c>
      <c r="BZ162" s="7">
        <f t="shared" si="831"/>
        <v>0</v>
      </c>
      <c r="CA162" s="7">
        <f t="shared" si="831"/>
        <v>0</v>
      </c>
      <c r="CB162" s="7">
        <f t="shared" ref="CB162:CP162" si="832">IFERROR(VALUE(CB467),"-")</f>
        <v>0</v>
      </c>
      <c r="CC162" s="7">
        <f t="shared" si="832"/>
        <v>0</v>
      </c>
      <c r="CD162" s="7">
        <f t="shared" si="832"/>
        <v>0</v>
      </c>
      <c r="CE162" s="3">
        <f t="shared" si="832"/>
        <v>0</v>
      </c>
      <c r="CF162" s="7">
        <f t="shared" si="832"/>
        <v>0</v>
      </c>
      <c r="CG162" s="3">
        <f t="shared" si="832"/>
        <v>0</v>
      </c>
      <c r="CH162" s="7">
        <f t="shared" si="832"/>
        <v>0</v>
      </c>
      <c r="CI162" s="7">
        <f t="shared" si="832"/>
        <v>0</v>
      </c>
      <c r="CJ162" s="3">
        <f t="shared" si="832"/>
        <v>0</v>
      </c>
      <c r="CK162" s="7">
        <f t="shared" si="832"/>
        <v>0</v>
      </c>
      <c r="CL162" s="3">
        <f t="shared" si="832"/>
        <v>0</v>
      </c>
      <c r="CM162" s="7">
        <f t="shared" si="832"/>
        <v>0</v>
      </c>
      <c r="CN162" s="10">
        <f t="shared" si="832"/>
        <v>0</v>
      </c>
      <c r="CO162" s="10">
        <f t="shared" si="832"/>
        <v>0</v>
      </c>
      <c r="CP162" s="7">
        <f t="shared" si="832"/>
        <v>0</v>
      </c>
      <c r="CQ162" s="7">
        <f t="shared" ref="CQ162" si="833">IFERROR(CQ467,"-")</f>
        <v>0</v>
      </c>
      <c r="CR162" s="10">
        <f t="shared" si="818"/>
        <v>0</v>
      </c>
      <c r="CS162" s="7">
        <f t="shared" si="818"/>
        <v>0</v>
      </c>
      <c r="CT162" s="7">
        <f t="shared" si="818"/>
        <v>0</v>
      </c>
      <c r="CU162" s="7">
        <f t="shared" si="818"/>
        <v>0</v>
      </c>
      <c r="CV162" s="7">
        <f t="shared" si="818"/>
        <v>0</v>
      </c>
      <c r="CW162" s="7">
        <f t="shared" si="818"/>
        <v>0</v>
      </c>
      <c r="CX162" s="7">
        <f t="shared" si="818"/>
        <v>0</v>
      </c>
      <c r="CY162" s="7">
        <f t="shared" si="818"/>
        <v>0</v>
      </c>
      <c r="CZ162" s="7">
        <f t="shared" si="818"/>
        <v>0</v>
      </c>
      <c r="DA162" s="7">
        <f t="shared" si="818"/>
        <v>0</v>
      </c>
      <c r="DB162" s="7">
        <f t="shared" si="818"/>
        <v>0</v>
      </c>
      <c r="DC162" s="7">
        <f t="shared" si="818"/>
        <v>0</v>
      </c>
      <c r="DD162" s="7">
        <f t="shared" si="818"/>
        <v>0</v>
      </c>
      <c r="DE162" s="7">
        <f t="shared" si="818"/>
        <v>0</v>
      </c>
      <c r="DF162" s="7">
        <f t="shared" si="818"/>
        <v>0</v>
      </c>
      <c r="DG162" s="7">
        <f t="shared" si="818"/>
        <v>0</v>
      </c>
      <c r="DH162" s="7">
        <f t="shared" ref="DH162:DJ162" si="834">IFERROR(DH467,"-")</f>
        <v>0</v>
      </c>
      <c r="DI162" s="7">
        <f t="shared" si="834"/>
        <v>0</v>
      </c>
      <c r="DJ162" s="7">
        <f t="shared" si="834"/>
        <v>0</v>
      </c>
      <c r="DK162" s="64">
        <f t="shared" ref="DK162:DS162" si="835">IFERROR(VALUE(DK467),"-")</f>
        <v>0</v>
      </c>
      <c r="DL162" s="64">
        <f t="shared" si="835"/>
        <v>0</v>
      </c>
      <c r="DM162" s="64">
        <f t="shared" si="835"/>
        <v>0</v>
      </c>
      <c r="DN162" s="64">
        <f t="shared" si="835"/>
        <v>0</v>
      </c>
      <c r="DO162" s="64">
        <f t="shared" si="835"/>
        <v>0</v>
      </c>
      <c r="DP162" s="64">
        <f t="shared" si="835"/>
        <v>0</v>
      </c>
      <c r="DQ162" s="64">
        <f t="shared" si="835"/>
        <v>0</v>
      </c>
      <c r="DR162" s="64">
        <f t="shared" si="835"/>
        <v>0</v>
      </c>
      <c r="DS162" s="64">
        <f t="shared" si="835"/>
        <v>0</v>
      </c>
      <c r="DT162">
        <f t="shared" si="669"/>
        <v>0</v>
      </c>
      <c r="DU162" s="10">
        <f t="shared" si="670"/>
        <v>0</v>
      </c>
    </row>
    <row r="163" spans="1:125" x14ac:dyDescent="0.25">
      <c r="A163" t="s">
        <v>57</v>
      </c>
      <c r="B163" s="2">
        <v>44833</v>
      </c>
      <c r="C163" s="1">
        <v>600</v>
      </c>
      <c r="D163">
        <v>56</v>
      </c>
      <c r="G163" t="str">
        <f t="array" ref="G163">IFERROR(INDEX($A$2:$A$700,MATCH(0,COUNTIF($G$1:G162,$A$2:$A$700),0)),"")</f>
        <v>RAIN</v>
      </c>
      <c r="M163" s="3"/>
      <c r="N163" s="3"/>
      <c r="O163" s="3">
        <f t="shared" si="671"/>
        <v>0</v>
      </c>
      <c r="P163" s="7">
        <f t="shared" ref="P163:CA163" si="836">IFERROR(VALUE(P468),"-")</f>
        <v>0</v>
      </c>
      <c r="Q163" s="7">
        <f t="shared" si="836"/>
        <v>0</v>
      </c>
      <c r="R163" s="7">
        <f t="shared" si="836"/>
        <v>0</v>
      </c>
      <c r="S163" s="7">
        <f t="shared" si="836"/>
        <v>0</v>
      </c>
      <c r="T163" s="11">
        <f t="shared" si="836"/>
        <v>0</v>
      </c>
      <c r="U163" s="11">
        <f t="shared" si="836"/>
        <v>0</v>
      </c>
      <c r="V163" s="11">
        <f t="shared" si="836"/>
        <v>0</v>
      </c>
      <c r="W163" s="11">
        <f t="shared" si="836"/>
        <v>0</v>
      </c>
      <c r="X163" s="14">
        <f t="shared" si="836"/>
        <v>0</v>
      </c>
      <c r="Y163" s="14">
        <f t="shared" si="836"/>
        <v>0</v>
      </c>
      <c r="Z163" s="14">
        <f t="shared" si="836"/>
        <v>0</v>
      </c>
      <c r="AA163" s="14">
        <f t="shared" si="836"/>
        <v>0</v>
      </c>
      <c r="AB163" s="15">
        <f t="shared" si="836"/>
        <v>0</v>
      </c>
      <c r="AC163" s="15">
        <f t="shared" si="836"/>
        <v>0</v>
      </c>
      <c r="AD163" s="13">
        <f t="shared" si="836"/>
        <v>0</v>
      </c>
      <c r="AE163" s="13">
        <f t="shared" si="836"/>
        <v>0</v>
      </c>
      <c r="AF163" s="12">
        <f t="shared" si="836"/>
        <v>0</v>
      </c>
      <c r="AG163" s="12">
        <f t="shared" si="836"/>
        <v>0</v>
      </c>
      <c r="AH163" s="13">
        <f t="shared" si="836"/>
        <v>0</v>
      </c>
      <c r="AI163" s="13">
        <f t="shared" si="836"/>
        <v>0</v>
      </c>
      <c r="AJ163" s="11">
        <f t="shared" si="836"/>
        <v>0</v>
      </c>
      <c r="AK163" s="11">
        <f t="shared" si="836"/>
        <v>0</v>
      </c>
      <c r="AL163" s="11">
        <f t="shared" si="836"/>
        <v>0</v>
      </c>
      <c r="AM163" s="11">
        <f t="shared" si="836"/>
        <v>0</v>
      </c>
      <c r="AN163" s="11">
        <f t="shared" si="836"/>
        <v>0</v>
      </c>
      <c r="AO163" s="11">
        <f t="shared" si="836"/>
        <v>0</v>
      </c>
      <c r="AP163" s="11">
        <f t="shared" si="836"/>
        <v>0</v>
      </c>
      <c r="AQ163" s="11">
        <f t="shared" si="836"/>
        <v>0</v>
      </c>
      <c r="AR163" s="16">
        <f t="shared" si="836"/>
        <v>0</v>
      </c>
      <c r="AS163" s="16">
        <f t="shared" si="836"/>
        <v>0</v>
      </c>
      <c r="AT163" s="16">
        <f t="shared" si="836"/>
        <v>0</v>
      </c>
      <c r="AU163" s="7">
        <f t="shared" si="836"/>
        <v>0</v>
      </c>
      <c r="AV163" s="7">
        <f t="shared" si="836"/>
        <v>0</v>
      </c>
      <c r="AW163" s="7">
        <f t="shared" si="836"/>
        <v>0</v>
      </c>
      <c r="AX163" s="7">
        <f t="shared" si="836"/>
        <v>0</v>
      </c>
      <c r="AY163" s="11">
        <f t="shared" si="836"/>
        <v>0</v>
      </c>
      <c r="AZ163" s="16">
        <f t="shared" si="836"/>
        <v>0</v>
      </c>
      <c r="BA163" s="16">
        <f t="shared" si="836"/>
        <v>0</v>
      </c>
      <c r="BB163" s="16">
        <f t="shared" si="836"/>
        <v>0</v>
      </c>
      <c r="BC163" s="11">
        <f t="shared" si="836"/>
        <v>0</v>
      </c>
      <c r="BD163" s="11">
        <f t="shared" si="836"/>
        <v>0</v>
      </c>
      <c r="BE163" s="11">
        <f t="shared" si="836"/>
        <v>0</v>
      </c>
      <c r="BF163" s="11">
        <f t="shared" si="836"/>
        <v>0</v>
      </c>
      <c r="BG163" s="11">
        <f t="shared" si="836"/>
        <v>0</v>
      </c>
      <c r="BH163" s="11">
        <f t="shared" si="836"/>
        <v>0</v>
      </c>
      <c r="BI163" s="13">
        <f t="shared" si="836"/>
        <v>0</v>
      </c>
      <c r="BJ163" s="13">
        <f t="shared" si="836"/>
        <v>0</v>
      </c>
      <c r="BK163" s="11">
        <f t="shared" si="836"/>
        <v>0</v>
      </c>
      <c r="BL163" s="12">
        <f t="shared" si="836"/>
        <v>0</v>
      </c>
      <c r="BM163" s="12">
        <f t="shared" si="836"/>
        <v>0</v>
      </c>
      <c r="BN163" s="13">
        <f t="shared" si="836"/>
        <v>0</v>
      </c>
      <c r="BO163" s="13">
        <f t="shared" si="836"/>
        <v>0</v>
      </c>
      <c r="BP163" s="15">
        <f t="shared" si="836"/>
        <v>0</v>
      </c>
      <c r="BQ163" s="15">
        <f t="shared" si="836"/>
        <v>0</v>
      </c>
      <c r="BR163" s="14">
        <f t="shared" si="836"/>
        <v>0</v>
      </c>
      <c r="BS163" s="14">
        <f t="shared" si="836"/>
        <v>0</v>
      </c>
      <c r="BT163" s="14">
        <f t="shared" si="836"/>
        <v>0</v>
      </c>
      <c r="BU163" s="14">
        <f t="shared" si="836"/>
        <v>0</v>
      </c>
      <c r="BV163" s="11">
        <f t="shared" si="836"/>
        <v>0</v>
      </c>
      <c r="BW163" s="11">
        <f t="shared" si="836"/>
        <v>0</v>
      </c>
      <c r="BX163" s="11">
        <f t="shared" si="836"/>
        <v>0</v>
      </c>
      <c r="BY163" s="11">
        <f t="shared" si="836"/>
        <v>0</v>
      </c>
      <c r="BZ163" s="7">
        <f t="shared" si="836"/>
        <v>0</v>
      </c>
      <c r="CA163" s="7">
        <f t="shared" si="836"/>
        <v>0</v>
      </c>
      <c r="CB163" s="7">
        <f t="shared" ref="CB163:CP163" si="837">IFERROR(VALUE(CB468),"-")</f>
        <v>0</v>
      </c>
      <c r="CC163" s="7">
        <f t="shared" si="837"/>
        <v>0</v>
      </c>
      <c r="CD163" s="7">
        <f t="shared" si="837"/>
        <v>0</v>
      </c>
      <c r="CE163" s="3">
        <f t="shared" si="837"/>
        <v>0</v>
      </c>
      <c r="CF163" s="7">
        <f t="shared" si="837"/>
        <v>0</v>
      </c>
      <c r="CG163" s="3">
        <f t="shared" si="837"/>
        <v>0</v>
      </c>
      <c r="CH163" s="7">
        <f t="shared" si="837"/>
        <v>0</v>
      </c>
      <c r="CI163" s="7">
        <f t="shared" si="837"/>
        <v>0</v>
      </c>
      <c r="CJ163" s="3">
        <f t="shared" si="837"/>
        <v>0</v>
      </c>
      <c r="CK163" s="7">
        <f t="shared" si="837"/>
        <v>0</v>
      </c>
      <c r="CL163" s="3">
        <f t="shared" si="837"/>
        <v>0</v>
      </c>
      <c r="CM163" s="7">
        <f t="shared" si="837"/>
        <v>0</v>
      </c>
      <c r="CN163" s="10">
        <f t="shared" si="837"/>
        <v>0</v>
      </c>
      <c r="CO163" s="10">
        <f t="shared" si="837"/>
        <v>0</v>
      </c>
      <c r="CP163" s="7">
        <f t="shared" si="837"/>
        <v>0</v>
      </c>
      <c r="CQ163" s="7">
        <f t="shared" ref="CQ163" si="838">IFERROR(CQ468,"-")</f>
        <v>0</v>
      </c>
      <c r="CR163" s="10">
        <f t="shared" si="818"/>
        <v>0</v>
      </c>
      <c r="CS163" s="7">
        <f t="shared" si="818"/>
        <v>0</v>
      </c>
      <c r="CT163" s="7">
        <f t="shared" si="818"/>
        <v>0</v>
      </c>
      <c r="CU163" s="7">
        <f t="shared" si="818"/>
        <v>0</v>
      </c>
      <c r="CV163" s="7">
        <f t="shared" si="818"/>
        <v>0</v>
      </c>
      <c r="CW163" s="7">
        <f t="shared" si="818"/>
        <v>0</v>
      </c>
      <c r="CX163" s="7">
        <f t="shared" si="818"/>
        <v>0</v>
      </c>
      <c r="CY163" s="7">
        <f t="shared" si="818"/>
        <v>0</v>
      </c>
      <c r="CZ163" s="7">
        <f t="shared" si="818"/>
        <v>0</v>
      </c>
      <c r="DA163" s="7">
        <f t="shared" si="818"/>
        <v>0</v>
      </c>
      <c r="DB163" s="7">
        <f t="shared" si="818"/>
        <v>0</v>
      </c>
      <c r="DC163" s="7">
        <f t="shared" si="818"/>
        <v>0</v>
      </c>
      <c r="DD163" s="7">
        <f t="shared" si="818"/>
        <v>0</v>
      </c>
      <c r="DE163" s="7">
        <f t="shared" si="818"/>
        <v>0</v>
      </c>
      <c r="DF163" s="7">
        <f t="shared" si="818"/>
        <v>0</v>
      </c>
      <c r="DG163" s="7">
        <f t="shared" si="818"/>
        <v>0</v>
      </c>
      <c r="DH163" s="7">
        <f t="shared" ref="DH163:DJ163" si="839">IFERROR(DH468,"-")</f>
        <v>0</v>
      </c>
      <c r="DI163" s="7">
        <f t="shared" si="839"/>
        <v>0</v>
      </c>
      <c r="DJ163" s="7">
        <f t="shared" si="839"/>
        <v>0</v>
      </c>
      <c r="DK163" s="64">
        <f t="shared" ref="DK163:DS163" si="840">IFERROR(VALUE(DK468),"-")</f>
        <v>0</v>
      </c>
      <c r="DL163" s="64">
        <f t="shared" si="840"/>
        <v>0</v>
      </c>
      <c r="DM163" s="64">
        <f t="shared" si="840"/>
        <v>0</v>
      </c>
      <c r="DN163" s="64">
        <f t="shared" si="840"/>
        <v>0</v>
      </c>
      <c r="DO163" s="64">
        <f t="shared" si="840"/>
        <v>0</v>
      </c>
      <c r="DP163" s="64">
        <f t="shared" si="840"/>
        <v>0</v>
      </c>
      <c r="DQ163" s="64">
        <f t="shared" si="840"/>
        <v>0</v>
      </c>
      <c r="DR163" s="64">
        <f t="shared" si="840"/>
        <v>0</v>
      </c>
      <c r="DS163" s="64">
        <f t="shared" si="840"/>
        <v>0</v>
      </c>
      <c r="DT163">
        <f t="shared" si="669"/>
        <v>0</v>
      </c>
      <c r="DU163" s="10">
        <f t="shared" si="670"/>
        <v>0</v>
      </c>
    </row>
    <row r="164" spans="1:125" x14ac:dyDescent="0.25">
      <c r="A164" t="s">
        <v>57</v>
      </c>
      <c r="B164" s="2">
        <v>44861</v>
      </c>
      <c r="C164" s="1">
        <v>600</v>
      </c>
      <c r="D164">
        <v>56</v>
      </c>
      <c r="G164" t="str">
        <f t="array" ref="G164">IFERROR(INDEX($A$2:$A$700,MATCH(0,COUNTIF($G$1:G163,$A$2:$A$700),0)),"")</f>
        <v>RAMCOCEM</v>
      </c>
      <c r="M164" s="3"/>
      <c r="N164" s="3"/>
      <c r="O164" s="3">
        <f t="shared" si="671"/>
        <v>0</v>
      </c>
      <c r="P164" s="7">
        <f t="shared" ref="P164:CA164" si="841">IFERROR(VALUE(P469),"-")</f>
        <v>0</v>
      </c>
      <c r="Q164" s="7">
        <f t="shared" si="841"/>
        <v>0</v>
      </c>
      <c r="R164" s="7">
        <f t="shared" si="841"/>
        <v>0</v>
      </c>
      <c r="S164" s="7">
        <f t="shared" si="841"/>
        <v>0</v>
      </c>
      <c r="T164" s="11">
        <f t="shared" si="841"/>
        <v>0</v>
      </c>
      <c r="U164" s="11">
        <f t="shared" si="841"/>
        <v>0</v>
      </c>
      <c r="V164" s="11">
        <f t="shared" si="841"/>
        <v>0</v>
      </c>
      <c r="W164" s="11">
        <f t="shared" si="841"/>
        <v>0</v>
      </c>
      <c r="X164" s="14">
        <f t="shared" si="841"/>
        <v>0</v>
      </c>
      <c r="Y164" s="14">
        <f t="shared" si="841"/>
        <v>0</v>
      </c>
      <c r="Z164" s="14">
        <f t="shared" si="841"/>
        <v>0</v>
      </c>
      <c r="AA164" s="14">
        <f t="shared" si="841"/>
        <v>0</v>
      </c>
      <c r="AB164" s="15">
        <f t="shared" si="841"/>
        <v>0</v>
      </c>
      <c r="AC164" s="15">
        <f t="shared" si="841"/>
        <v>0</v>
      </c>
      <c r="AD164" s="13">
        <f t="shared" si="841"/>
        <v>0</v>
      </c>
      <c r="AE164" s="13">
        <f t="shared" si="841"/>
        <v>0</v>
      </c>
      <c r="AF164" s="12">
        <f t="shared" si="841"/>
        <v>0</v>
      </c>
      <c r="AG164" s="12">
        <f t="shared" si="841"/>
        <v>0</v>
      </c>
      <c r="AH164" s="13">
        <f t="shared" si="841"/>
        <v>0</v>
      </c>
      <c r="AI164" s="13">
        <f t="shared" si="841"/>
        <v>0</v>
      </c>
      <c r="AJ164" s="11">
        <f t="shared" si="841"/>
        <v>0</v>
      </c>
      <c r="AK164" s="11">
        <f t="shared" si="841"/>
        <v>0</v>
      </c>
      <c r="AL164" s="11">
        <f t="shared" si="841"/>
        <v>0</v>
      </c>
      <c r="AM164" s="11">
        <f t="shared" si="841"/>
        <v>0</v>
      </c>
      <c r="AN164" s="11">
        <f t="shared" si="841"/>
        <v>0</v>
      </c>
      <c r="AO164" s="11">
        <f t="shared" si="841"/>
        <v>0</v>
      </c>
      <c r="AP164" s="11">
        <f t="shared" si="841"/>
        <v>0</v>
      </c>
      <c r="AQ164" s="11">
        <f t="shared" si="841"/>
        <v>0</v>
      </c>
      <c r="AR164" s="16">
        <f t="shared" si="841"/>
        <v>0</v>
      </c>
      <c r="AS164" s="16">
        <f t="shared" si="841"/>
        <v>0</v>
      </c>
      <c r="AT164" s="16">
        <f t="shared" si="841"/>
        <v>0</v>
      </c>
      <c r="AU164" s="7">
        <f t="shared" si="841"/>
        <v>0</v>
      </c>
      <c r="AV164" s="7">
        <f t="shared" si="841"/>
        <v>0</v>
      </c>
      <c r="AW164" s="7">
        <f t="shared" si="841"/>
        <v>0</v>
      </c>
      <c r="AX164" s="7">
        <f t="shared" si="841"/>
        <v>0</v>
      </c>
      <c r="AY164" s="11">
        <f t="shared" si="841"/>
        <v>0</v>
      </c>
      <c r="AZ164" s="16">
        <f t="shared" si="841"/>
        <v>0</v>
      </c>
      <c r="BA164" s="16">
        <f t="shared" si="841"/>
        <v>0</v>
      </c>
      <c r="BB164" s="16">
        <f t="shared" si="841"/>
        <v>0</v>
      </c>
      <c r="BC164" s="11">
        <f t="shared" si="841"/>
        <v>0</v>
      </c>
      <c r="BD164" s="11">
        <f t="shared" si="841"/>
        <v>0</v>
      </c>
      <c r="BE164" s="11">
        <f t="shared" si="841"/>
        <v>0</v>
      </c>
      <c r="BF164" s="11">
        <f t="shared" si="841"/>
        <v>0</v>
      </c>
      <c r="BG164" s="11">
        <f t="shared" si="841"/>
        <v>0</v>
      </c>
      <c r="BH164" s="11">
        <f t="shared" si="841"/>
        <v>0</v>
      </c>
      <c r="BI164" s="13">
        <f t="shared" si="841"/>
        <v>0</v>
      </c>
      <c r="BJ164" s="13">
        <f t="shared" si="841"/>
        <v>0</v>
      </c>
      <c r="BK164" s="11">
        <f t="shared" si="841"/>
        <v>0</v>
      </c>
      <c r="BL164" s="12">
        <f t="shared" si="841"/>
        <v>0</v>
      </c>
      <c r="BM164" s="12">
        <f t="shared" si="841"/>
        <v>0</v>
      </c>
      <c r="BN164" s="13">
        <f t="shared" si="841"/>
        <v>0</v>
      </c>
      <c r="BO164" s="13">
        <f t="shared" si="841"/>
        <v>0</v>
      </c>
      <c r="BP164" s="15">
        <f t="shared" si="841"/>
        <v>0</v>
      </c>
      <c r="BQ164" s="15">
        <f t="shared" si="841"/>
        <v>0</v>
      </c>
      <c r="BR164" s="14">
        <f t="shared" si="841"/>
        <v>0</v>
      </c>
      <c r="BS164" s="14">
        <f t="shared" si="841"/>
        <v>0</v>
      </c>
      <c r="BT164" s="14">
        <f t="shared" si="841"/>
        <v>0</v>
      </c>
      <c r="BU164" s="14">
        <f t="shared" si="841"/>
        <v>0</v>
      </c>
      <c r="BV164" s="11">
        <f t="shared" si="841"/>
        <v>0</v>
      </c>
      <c r="BW164" s="11">
        <f t="shared" si="841"/>
        <v>0</v>
      </c>
      <c r="BX164" s="11">
        <f t="shared" si="841"/>
        <v>0</v>
      </c>
      <c r="BY164" s="11">
        <f t="shared" si="841"/>
        <v>0</v>
      </c>
      <c r="BZ164" s="7">
        <f t="shared" si="841"/>
        <v>0</v>
      </c>
      <c r="CA164" s="7">
        <f t="shared" si="841"/>
        <v>0</v>
      </c>
      <c r="CB164" s="7">
        <f t="shared" ref="CB164:CP164" si="842">IFERROR(VALUE(CB469),"-")</f>
        <v>0</v>
      </c>
      <c r="CC164" s="7">
        <f t="shared" si="842"/>
        <v>0</v>
      </c>
      <c r="CD164" s="7">
        <f t="shared" si="842"/>
        <v>0</v>
      </c>
      <c r="CE164" s="3">
        <f t="shared" si="842"/>
        <v>0</v>
      </c>
      <c r="CF164" s="7">
        <f t="shared" si="842"/>
        <v>0</v>
      </c>
      <c r="CG164" s="3">
        <f t="shared" si="842"/>
        <v>0</v>
      </c>
      <c r="CH164" s="7">
        <f t="shared" si="842"/>
        <v>0</v>
      </c>
      <c r="CI164" s="7">
        <f t="shared" si="842"/>
        <v>0</v>
      </c>
      <c r="CJ164" s="3">
        <f t="shared" si="842"/>
        <v>0</v>
      </c>
      <c r="CK164" s="7">
        <f t="shared" si="842"/>
        <v>0</v>
      </c>
      <c r="CL164" s="3">
        <f t="shared" si="842"/>
        <v>0</v>
      </c>
      <c r="CM164" s="7">
        <f t="shared" si="842"/>
        <v>0</v>
      </c>
      <c r="CN164" s="10">
        <f t="shared" si="842"/>
        <v>0</v>
      </c>
      <c r="CO164" s="10">
        <f t="shared" si="842"/>
        <v>0</v>
      </c>
      <c r="CP164" s="7">
        <f t="shared" si="842"/>
        <v>0</v>
      </c>
      <c r="CQ164" s="7">
        <f t="shared" ref="CQ164" si="843">IFERROR(CQ469,"-")</f>
        <v>0</v>
      </c>
      <c r="CR164" s="10">
        <f t="shared" si="818"/>
        <v>0</v>
      </c>
      <c r="CS164" s="7">
        <f t="shared" si="818"/>
        <v>0</v>
      </c>
      <c r="CT164" s="7">
        <f t="shared" si="818"/>
        <v>0</v>
      </c>
      <c r="CU164" s="7">
        <f t="shared" si="818"/>
        <v>0</v>
      </c>
      <c r="CV164" s="7">
        <f t="shared" si="818"/>
        <v>0</v>
      </c>
      <c r="CW164" s="7">
        <f t="shared" si="818"/>
        <v>0</v>
      </c>
      <c r="CX164" s="7">
        <f t="shared" si="818"/>
        <v>0</v>
      </c>
      <c r="CY164" s="7">
        <f t="shared" si="818"/>
        <v>0</v>
      </c>
      <c r="CZ164" s="7">
        <f t="shared" si="818"/>
        <v>0</v>
      </c>
      <c r="DA164" s="7">
        <f t="shared" si="818"/>
        <v>0</v>
      </c>
      <c r="DB164" s="7">
        <f t="shared" si="818"/>
        <v>0</v>
      </c>
      <c r="DC164" s="7">
        <f t="shared" si="818"/>
        <v>0</v>
      </c>
      <c r="DD164" s="7">
        <f t="shared" si="818"/>
        <v>0</v>
      </c>
      <c r="DE164" s="7">
        <f t="shared" si="818"/>
        <v>0</v>
      </c>
      <c r="DF164" s="7">
        <f t="shared" si="818"/>
        <v>0</v>
      </c>
      <c r="DG164" s="7">
        <f t="shared" si="818"/>
        <v>0</v>
      </c>
      <c r="DH164" s="7">
        <f t="shared" ref="DH164:DJ164" si="844">IFERROR(DH469,"-")</f>
        <v>0</v>
      </c>
      <c r="DI164" s="7">
        <f t="shared" si="844"/>
        <v>0</v>
      </c>
      <c r="DJ164" s="7">
        <f t="shared" si="844"/>
        <v>0</v>
      </c>
      <c r="DK164" s="64">
        <f t="shared" ref="DK164:DS164" si="845">IFERROR(VALUE(DK469),"-")</f>
        <v>0</v>
      </c>
      <c r="DL164" s="64">
        <f t="shared" si="845"/>
        <v>0</v>
      </c>
      <c r="DM164" s="64">
        <f t="shared" si="845"/>
        <v>0</v>
      </c>
      <c r="DN164" s="64">
        <f t="shared" si="845"/>
        <v>0</v>
      </c>
      <c r="DO164" s="64">
        <f t="shared" si="845"/>
        <v>0</v>
      </c>
      <c r="DP164" s="64">
        <f t="shared" si="845"/>
        <v>0</v>
      </c>
      <c r="DQ164" s="64">
        <f t="shared" si="845"/>
        <v>0</v>
      </c>
      <c r="DR164" s="64">
        <f t="shared" si="845"/>
        <v>0</v>
      </c>
      <c r="DS164" s="64">
        <f t="shared" si="845"/>
        <v>0</v>
      </c>
      <c r="DT164">
        <f t="shared" si="669"/>
        <v>0</v>
      </c>
      <c r="DU164" s="10">
        <f t="shared" si="670"/>
        <v>0</v>
      </c>
    </row>
    <row r="165" spans="1:125" x14ac:dyDescent="0.25">
      <c r="A165" t="s">
        <v>58</v>
      </c>
      <c r="B165" s="2">
        <v>44798</v>
      </c>
      <c r="C165" s="1">
        <v>1250</v>
      </c>
      <c r="D165">
        <v>101</v>
      </c>
      <c r="G165" t="str">
        <f t="array" ref="G165">IFERROR(INDEX($A$2:$A$700,MATCH(0,COUNTIF($G$1:G164,$A$2:$A$700),0)),"")</f>
        <v>RBLBANK</v>
      </c>
      <c r="M165" s="3"/>
      <c r="N165" s="3"/>
      <c r="O165" s="3">
        <f t="shared" si="671"/>
        <v>0</v>
      </c>
      <c r="P165" s="7">
        <f t="shared" ref="P165:CA165" si="846">IFERROR(VALUE(P470),"-")</f>
        <v>0</v>
      </c>
      <c r="Q165" s="7">
        <f t="shared" si="846"/>
        <v>0</v>
      </c>
      <c r="R165" s="7">
        <f t="shared" si="846"/>
        <v>0</v>
      </c>
      <c r="S165" s="7">
        <f t="shared" si="846"/>
        <v>0</v>
      </c>
      <c r="T165" s="11">
        <f t="shared" si="846"/>
        <v>0</v>
      </c>
      <c r="U165" s="11">
        <f t="shared" si="846"/>
        <v>0</v>
      </c>
      <c r="V165" s="11">
        <f t="shared" si="846"/>
        <v>0</v>
      </c>
      <c r="W165" s="11">
        <f t="shared" si="846"/>
        <v>0</v>
      </c>
      <c r="X165" s="14">
        <f t="shared" si="846"/>
        <v>0</v>
      </c>
      <c r="Y165" s="14">
        <f t="shared" si="846"/>
        <v>0</v>
      </c>
      <c r="Z165" s="14">
        <f t="shared" si="846"/>
        <v>0</v>
      </c>
      <c r="AA165" s="14">
        <f t="shared" si="846"/>
        <v>0</v>
      </c>
      <c r="AB165" s="15">
        <f t="shared" si="846"/>
        <v>0</v>
      </c>
      <c r="AC165" s="15">
        <f t="shared" si="846"/>
        <v>0</v>
      </c>
      <c r="AD165" s="13">
        <f t="shared" si="846"/>
        <v>0</v>
      </c>
      <c r="AE165" s="13">
        <f t="shared" si="846"/>
        <v>0</v>
      </c>
      <c r="AF165" s="12">
        <f t="shared" si="846"/>
        <v>0</v>
      </c>
      <c r="AG165" s="12">
        <f t="shared" si="846"/>
        <v>0</v>
      </c>
      <c r="AH165" s="13">
        <f t="shared" si="846"/>
        <v>0</v>
      </c>
      <c r="AI165" s="13">
        <f t="shared" si="846"/>
        <v>0</v>
      </c>
      <c r="AJ165" s="11">
        <f t="shared" si="846"/>
        <v>0</v>
      </c>
      <c r="AK165" s="11">
        <f t="shared" si="846"/>
        <v>0</v>
      </c>
      <c r="AL165" s="11">
        <f t="shared" si="846"/>
        <v>0</v>
      </c>
      <c r="AM165" s="11">
        <f t="shared" si="846"/>
        <v>0</v>
      </c>
      <c r="AN165" s="11">
        <f t="shared" si="846"/>
        <v>0</v>
      </c>
      <c r="AO165" s="11">
        <f t="shared" si="846"/>
        <v>0</v>
      </c>
      <c r="AP165" s="11">
        <f t="shared" si="846"/>
        <v>0</v>
      </c>
      <c r="AQ165" s="11">
        <f t="shared" si="846"/>
        <v>0</v>
      </c>
      <c r="AR165" s="16">
        <f t="shared" si="846"/>
        <v>0</v>
      </c>
      <c r="AS165" s="16">
        <f t="shared" si="846"/>
        <v>0</v>
      </c>
      <c r="AT165" s="16">
        <f t="shared" si="846"/>
        <v>0</v>
      </c>
      <c r="AU165" s="7">
        <f t="shared" si="846"/>
        <v>0</v>
      </c>
      <c r="AV165" s="7">
        <f t="shared" si="846"/>
        <v>0</v>
      </c>
      <c r="AW165" s="7">
        <f t="shared" si="846"/>
        <v>0</v>
      </c>
      <c r="AX165" s="7">
        <f t="shared" si="846"/>
        <v>0</v>
      </c>
      <c r="AY165" s="11">
        <f t="shared" si="846"/>
        <v>0</v>
      </c>
      <c r="AZ165" s="16">
        <f t="shared" si="846"/>
        <v>0</v>
      </c>
      <c r="BA165" s="16">
        <f t="shared" si="846"/>
        <v>0</v>
      </c>
      <c r="BB165" s="16">
        <f t="shared" si="846"/>
        <v>0</v>
      </c>
      <c r="BC165" s="11">
        <f t="shared" si="846"/>
        <v>0</v>
      </c>
      <c r="BD165" s="11">
        <f t="shared" si="846"/>
        <v>0</v>
      </c>
      <c r="BE165" s="11">
        <f t="shared" si="846"/>
        <v>0</v>
      </c>
      <c r="BF165" s="11">
        <f t="shared" si="846"/>
        <v>0</v>
      </c>
      <c r="BG165" s="11">
        <f t="shared" si="846"/>
        <v>0</v>
      </c>
      <c r="BH165" s="11">
        <f t="shared" si="846"/>
        <v>0</v>
      </c>
      <c r="BI165" s="13">
        <f t="shared" si="846"/>
        <v>0</v>
      </c>
      <c r="BJ165" s="13">
        <f t="shared" si="846"/>
        <v>0</v>
      </c>
      <c r="BK165" s="11">
        <f t="shared" si="846"/>
        <v>0</v>
      </c>
      <c r="BL165" s="12">
        <f t="shared" si="846"/>
        <v>0</v>
      </c>
      <c r="BM165" s="12">
        <f t="shared" si="846"/>
        <v>0</v>
      </c>
      <c r="BN165" s="13">
        <f t="shared" si="846"/>
        <v>0</v>
      </c>
      <c r="BO165" s="13">
        <f t="shared" si="846"/>
        <v>0</v>
      </c>
      <c r="BP165" s="15">
        <f t="shared" si="846"/>
        <v>0</v>
      </c>
      <c r="BQ165" s="15">
        <f t="shared" si="846"/>
        <v>0</v>
      </c>
      <c r="BR165" s="14">
        <f t="shared" si="846"/>
        <v>0</v>
      </c>
      <c r="BS165" s="14">
        <f t="shared" si="846"/>
        <v>0</v>
      </c>
      <c r="BT165" s="14">
        <f t="shared" si="846"/>
        <v>0</v>
      </c>
      <c r="BU165" s="14">
        <f t="shared" si="846"/>
        <v>0</v>
      </c>
      <c r="BV165" s="11">
        <f t="shared" si="846"/>
        <v>0</v>
      </c>
      <c r="BW165" s="11">
        <f t="shared" si="846"/>
        <v>0</v>
      </c>
      <c r="BX165" s="11">
        <f t="shared" si="846"/>
        <v>0</v>
      </c>
      <c r="BY165" s="11">
        <f t="shared" si="846"/>
        <v>0</v>
      </c>
      <c r="BZ165" s="7">
        <f t="shared" si="846"/>
        <v>0</v>
      </c>
      <c r="CA165" s="7">
        <f t="shared" si="846"/>
        <v>0</v>
      </c>
      <c r="CB165" s="7">
        <f t="shared" ref="CB165:CP165" si="847">IFERROR(VALUE(CB470),"-")</f>
        <v>0</v>
      </c>
      <c r="CC165" s="7">
        <f t="shared" si="847"/>
        <v>0</v>
      </c>
      <c r="CD165" s="7">
        <f t="shared" si="847"/>
        <v>0</v>
      </c>
      <c r="CE165" s="3">
        <f t="shared" si="847"/>
        <v>0</v>
      </c>
      <c r="CF165" s="7">
        <f t="shared" si="847"/>
        <v>0</v>
      </c>
      <c r="CG165" s="3">
        <f t="shared" si="847"/>
        <v>0</v>
      </c>
      <c r="CH165" s="7">
        <f t="shared" si="847"/>
        <v>0</v>
      </c>
      <c r="CI165" s="7">
        <f t="shared" si="847"/>
        <v>0</v>
      </c>
      <c r="CJ165" s="3">
        <f t="shared" si="847"/>
        <v>0</v>
      </c>
      <c r="CK165" s="7">
        <f t="shared" si="847"/>
        <v>0</v>
      </c>
      <c r="CL165" s="3">
        <f t="shared" si="847"/>
        <v>0</v>
      </c>
      <c r="CM165" s="7">
        <f t="shared" si="847"/>
        <v>0</v>
      </c>
      <c r="CN165" s="10">
        <f t="shared" si="847"/>
        <v>0</v>
      </c>
      <c r="CO165" s="10">
        <f t="shared" si="847"/>
        <v>0</v>
      </c>
      <c r="CP165" s="7">
        <f t="shared" si="847"/>
        <v>0</v>
      </c>
      <c r="CQ165" s="7">
        <f t="shared" ref="CQ165" si="848">IFERROR(CQ470,"-")</f>
        <v>0</v>
      </c>
      <c r="CR165" s="10">
        <f t="shared" si="818"/>
        <v>0</v>
      </c>
      <c r="CS165" s="7">
        <f t="shared" si="818"/>
        <v>0</v>
      </c>
      <c r="CT165" s="7">
        <f t="shared" si="818"/>
        <v>0</v>
      </c>
      <c r="CU165" s="7">
        <f t="shared" si="818"/>
        <v>0</v>
      </c>
      <c r="CV165" s="7">
        <f t="shared" si="818"/>
        <v>0</v>
      </c>
      <c r="CW165" s="7">
        <f t="shared" si="818"/>
        <v>0</v>
      </c>
      <c r="CX165" s="7">
        <f t="shared" si="818"/>
        <v>0</v>
      </c>
      <c r="CY165" s="7">
        <f t="shared" si="818"/>
        <v>0</v>
      </c>
      <c r="CZ165" s="7">
        <f t="shared" si="818"/>
        <v>0</v>
      </c>
      <c r="DA165" s="7">
        <f t="shared" si="818"/>
        <v>0</v>
      </c>
      <c r="DB165" s="7">
        <f t="shared" si="818"/>
        <v>0</v>
      </c>
      <c r="DC165" s="7">
        <f t="shared" si="818"/>
        <v>0</v>
      </c>
      <c r="DD165" s="7">
        <f t="shared" si="818"/>
        <v>0</v>
      </c>
      <c r="DE165" s="7">
        <f t="shared" si="818"/>
        <v>0</v>
      </c>
      <c r="DF165" s="7">
        <f t="shared" si="818"/>
        <v>0</v>
      </c>
      <c r="DG165" s="7">
        <f t="shared" si="818"/>
        <v>0</v>
      </c>
      <c r="DH165" s="7">
        <f t="shared" ref="DH165:DJ165" si="849">IFERROR(DH470,"-")</f>
        <v>0</v>
      </c>
      <c r="DI165" s="7">
        <f t="shared" si="849"/>
        <v>0</v>
      </c>
      <c r="DJ165" s="7">
        <f t="shared" si="849"/>
        <v>0</v>
      </c>
      <c r="DK165" s="64">
        <f t="shared" ref="DK165:DS165" si="850">IFERROR(VALUE(DK470),"-")</f>
        <v>0</v>
      </c>
      <c r="DL165" s="64">
        <f t="shared" si="850"/>
        <v>0</v>
      </c>
      <c r="DM165" s="64">
        <f t="shared" si="850"/>
        <v>0</v>
      </c>
      <c r="DN165" s="64">
        <f t="shared" si="850"/>
        <v>0</v>
      </c>
      <c r="DO165" s="64">
        <f t="shared" si="850"/>
        <v>0</v>
      </c>
      <c r="DP165" s="64">
        <f t="shared" si="850"/>
        <v>0</v>
      </c>
      <c r="DQ165" s="64">
        <f t="shared" si="850"/>
        <v>0</v>
      </c>
      <c r="DR165" s="64">
        <f t="shared" si="850"/>
        <v>0</v>
      </c>
      <c r="DS165" s="64">
        <f t="shared" si="850"/>
        <v>0</v>
      </c>
      <c r="DT165">
        <f t="shared" si="669"/>
        <v>0</v>
      </c>
      <c r="DU165" s="10">
        <f t="shared" si="670"/>
        <v>0</v>
      </c>
    </row>
    <row r="166" spans="1:125" x14ac:dyDescent="0.25">
      <c r="A166" t="s">
        <v>58</v>
      </c>
      <c r="B166" s="2">
        <v>44833</v>
      </c>
      <c r="C166" s="1">
        <v>1250</v>
      </c>
      <c r="D166">
        <v>101</v>
      </c>
      <c r="G166" t="str">
        <f t="array" ref="G166">IFERROR(INDEX($A$2:$A$700,MATCH(0,COUNTIF($G$1:G165,$A$2:$A$700),0)),"")</f>
        <v>RECLTD</v>
      </c>
      <c r="M166" s="3"/>
      <c r="N166" s="3"/>
      <c r="O166" s="3">
        <f t="shared" si="671"/>
        <v>0</v>
      </c>
      <c r="P166" s="7">
        <f t="shared" ref="P166:CA166" si="851">IFERROR(VALUE(P471),"-")</f>
        <v>0</v>
      </c>
      <c r="Q166" s="7">
        <f t="shared" si="851"/>
        <v>0</v>
      </c>
      <c r="R166" s="7">
        <f t="shared" si="851"/>
        <v>0</v>
      </c>
      <c r="S166" s="7">
        <f t="shared" si="851"/>
        <v>0</v>
      </c>
      <c r="T166" s="11">
        <f t="shared" si="851"/>
        <v>0</v>
      </c>
      <c r="U166" s="11">
        <f t="shared" si="851"/>
        <v>0</v>
      </c>
      <c r="V166" s="11">
        <f t="shared" si="851"/>
        <v>0</v>
      </c>
      <c r="W166" s="11">
        <f t="shared" si="851"/>
        <v>0</v>
      </c>
      <c r="X166" s="14">
        <f t="shared" si="851"/>
        <v>0</v>
      </c>
      <c r="Y166" s="14">
        <f t="shared" si="851"/>
        <v>0</v>
      </c>
      <c r="Z166" s="14">
        <f t="shared" si="851"/>
        <v>0</v>
      </c>
      <c r="AA166" s="14">
        <f t="shared" si="851"/>
        <v>0</v>
      </c>
      <c r="AB166" s="15">
        <f t="shared" si="851"/>
        <v>0</v>
      </c>
      <c r="AC166" s="15">
        <f t="shared" si="851"/>
        <v>0</v>
      </c>
      <c r="AD166" s="13">
        <f t="shared" si="851"/>
        <v>0</v>
      </c>
      <c r="AE166" s="13">
        <f t="shared" si="851"/>
        <v>0</v>
      </c>
      <c r="AF166" s="12">
        <f t="shared" si="851"/>
        <v>0</v>
      </c>
      <c r="AG166" s="12">
        <f t="shared" si="851"/>
        <v>0</v>
      </c>
      <c r="AH166" s="13">
        <f t="shared" si="851"/>
        <v>0</v>
      </c>
      <c r="AI166" s="13">
        <f t="shared" si="851"/>
        <v>0</v>
      </c>
      <c r="AJ166" s="11">
        <f t="shared" si="851"/>
        <v>0</v>
      </c>
      <c r="AK166" s="11">
        <f t="shared" si="851"/>
        <v>0</v>
      </c>
      <c r="AL166" s="11">
        <f t="shared" si="851"/>
        <v>0</v>
      </c>
      <c r="AM166" s="11">
        <f t="shared" si="851"/>
        <v>0</v>
      </c>
      <c r="AN166" s="11">
        <f t="shared" si="851"/>
        <v>0</v>
      </c>
      <c r="AO166" s="11">
        <f t="shared" si="851"/>
        <v>0</v>
      </c>
      <c r="AP166" s="11">
        <f t="shared" si="851"/>
        <v>0</v>
      </c>
      <c r="AQ166" s="11">
        <f t="shared" si="851"/>
        <v>0</v>
      </c>
      <c r="AR166" s="16">
        <f t="shared" si="851"/>
        <v>0</v>
      </c>
      <c r="AS166" s="16">
        <f t="shared" si="851"/>
        <v>0</v>
      </c>
      <c r="AT166" s="16">
        <f t="shared" si="851"/>
        <v>0</v>
      </c>
      <c r="AU166" s="7">
        <f t="shared" si="851"/>
        <v>0</v>
      </c>
      <c r="AV166" s="7">
        <f t="shared" si="851"/>
        <v>0</v>
      </c>
      <c r="AW166" s="7">
        <f t="shared" si="851"/>
        <v>0</v>
      </c>
      <c r="AX166" s="7">
        <f t="shared" si="851"/>
        <v>0</v>
      </c>
      <c r="AY166" s="11">
        <f t="shared" si="851"/>
        <v>0</v>
      </c>
      <c r="AZ166" s="16">
        <f t="shared" si="851"/>
        <v>0</v>
      </c>
      <c r="BA166" s="16">
        <f t="shared" si="851"/>
        <v>0</v>
      </c>
      <c r="BB166" s="16">
        <f t="shared" si="851"/>
        <v>0</v>
      </c>
      <c r="BC166" s="11">
        <f t="shared" si="851"/>
        <v>0</v>
      </c>
      <c r="BD166" s="11">
        <f t="shared" si="851"/>
        <v>0</v>
      </c>
      <c r="BE166" s="11">
        <f t="shared" si="851"/>
        <v>0</v>
      </c>
      <c r="BF166" s="11">
        <f t="shared" si="851"/>
        <v>0</v>
      </c>
      <c r="BG166" s="11">
        <f t="shared" si="851"/>
        <v>0</v>
      </c>
      <c r="BH166" s="11">
        <f t="shared" si="851"/>
        <v>0</v>
      </c>
      <c r="BI166" s="13">
        <f t="shared" si="851"/>
        <v>0</v>
      </c>
      <c r="BJ166" s="13">
        <f t="shared" si="851"/>
        <v>0</v>
      </c>
      <c r="BK166" s="11">
        <f t="shared" si="851"/>
        <v>0</v>
      </c>
      <c r="BL166" s="12">
        <f t="shared" si="851"/>
        <v>0</v>
      </c>
      <c r="BM166" s="12">
        <f t="shared" si="851"/>
        <v>0</v>
      </c>
      <c r="BN166" s="13">
        <f t="shared" si="851"/>
        <v>0</v>
      </c>
      <c r="BO166" s="13">
        <f t="shared" si="851"/>
        <v>0</v>
      </c>
      <c r="BP166" s="15">
        <f t="shared" si="851"/>
        <v>0</v>
      </c>
      <c r="BQ166" s="15">
        <f t="shared" si="851"/>
        <v>0</v>
      </c>
      <c r="BR166" s="14">
        <f t="shared" si="851"/>
        <v>0</v>
      </c>
      <c r="BS166" s="14">
        <f t="shared" si="851"/>
        <v>0</v>
      </c>
      <c r="BT166" s="14">
        <f t="shared" si="851"/>
        <v>0</v>
      </c>
      <c r="BU166" s="14">
        <f t="shared" si="851"/>
        <v>0</v>
      </c>
      <c r="BV166" s="11">
        <f t="shared" si="851"/>
        <v>0</v>
      </c>
      <c r="BW166" s="11">
        <f t="shared" si="851"/>
        <v>0</v>
      </c>
      <c r="BX166" s="11">
        <f t="shared" si="851"/>
        <v>0</v>
      </c>
      <c r="BY166" s="11">
        <f t="shared" si="851"/>
        <v>0</v>
      </c>
      <c r="BZ166" s="7">
        <f t="shared" si="851"/>
        <v>0</v>
      </c>
      <c r="CA166" s="7">
        <f t="shared" si="851"/>
        <v>0</v>
      </c>
      <c r="CB166" s="7">
        <f t="shared" ref="CB166:CP166" si="852">IFERROR(VALUE(CB471),"-")</f>
        <v>0</v>
      </c>
      <c r="CC166" s="7">
        <f t="shared" si="852"/>
        <v>0</v>
      </c>
      <c r="CD166" s="7">
        <f t="shared" si="852"/>
        <v>0</v>
      </c>
      <c r="CE166" s="3">
        <f t="shared" si="852"/>
        <v>0</v>
      </c>
      <c r="CF166" s="7">
        <f t="shared" si="852"/>
        <v>0</v>
      </c>
      <c r="CG166" s="3">
        <f t="shared" si="852"/>
        <v>0</v>
      </c>
      <c r="CH166" s="7">
        <f t="shared" si="852"/>
        <v>0</v>
      </c>
      <c r="CI166" s="7">
        <f t="shared" si="852"/>
        <v>0</v>
      </c>
      <c r="CJ166" s="3">
        <f t="shared" si="852"/>
        <v>0</v>
      </c>
      <c r="CK166" s="7">
        <f t="shared" si="852"/>
        <v>0</v>
      </c>
      <c r="CL166" s="3">
        <f t="shared" si="852"/>
        <v>0</v>
      </c>
      <c r="CM166" s="7">
        <f t="shared" si="852"/>
        <v>0</v>
      </c>
      <c r="CN166" s="10">
        <f t="shared" si="852"/>
        <v>0</v>
      </c>
      <c r="CO166" s="10">
        <f t="shared" si="852"/>
        <v>0</v>
      </c>
      <c r="CP166" s="7">
        <f t="shared" si="852"/>
        <v>0</v>
      </c>
      <c r="CQ166" s="7">
        <f t="shared" ref="CQ166" si="853">IFERROR(CQ471,"-")</f>
        <v>0</v>
      </c>
      <c r="CR166" s="10">
        <f t="shared" si="818"/>
        <v>0</v>
      </c>
      <c r="CS166" s="7">
        <f t="shared" si="818"/>
        <v>0</v>
      </c>
      <c r="CT166" s="7">
        <f t="shared" si="818"/>
        <v>0</v>
      </c>
      <c r="CU166" s="7">
        <f t="shared" si="818"/>
        <v>0</v>
      </c>
      <c r="CV166" s="7">
        <f t="shared" si="818"/>
        <v>0</v>
      </c>
      <c r="CW166" s="7">
        <f t="shared" si="818"/>
        <v>0</v>
      </c>
      <c r="CX166" s="7">
        <f t="shared" si="818"/>
        <v>0</v>
      </c>
      <c r="CY166" s="7">
        <f t="shared" si="818"/>
        <v>0</v>
      </c>
      <c r="CZ166" s="7">
        <f t="shared" si="818"/>
        <v>0</v>
      </c>
      <c r="DA166" s="7">
        <f t="shared" si="818"/>
        <v>0</v>
      </c>
      <c r="DB166" s="7">
        <f t="shared" si="818"/>
        <v>0</v>
      </c>
      <c r="DC166" s="7">
        <f t="shared" si="818"/>
        <v>0</v>
      </c>
      <c r="DD166" s="7">
        <f t="shared" si="818"/>
        <v>0</v>
      </c>
      <c r="DE166" s="7">
        <f t="shared" si="818"/>
        <v>0</v>
      </c>
      <c r="DF166" s="7">
        <f t="shared" si="818"/>
        <v>0</v>
      </c>
      <c r="DG166" s="7">
        <f t="shared" si="818"/>
        <v>0</v>
      </c>
      <c r="DH166" s="7">
        <f t="shared" ref="DH166:DJ166" si="854">IFERROR(DH471,"-")</f>
        <v>0</v>
      </c>
      <c r="DI166" s="7">
        <f t="shared" si="854"/>
        <v>0</v>
      </c>
      <c r="DJ166" s="7">
        <f t="shared" si="854"/>
        <v>0</v>
      </c>
      <c r="DK166" s="64">
        <f t="shared" ref="DK166:DS166" si="855">IFERROR(VALUE(DK471),"-")</f>
        <v>0</v>
      </c>
      <c r="DL166" s="64">
        <f t="shared" si="855"/>
        <v>0</v>
      </c>
      <c r="DM166" s="64">
        <f t="shared" si="855"/>
        <v>0</v>
      </c>
      <c r="DN166" s="64">
        <f t="shared" si="855"/>
        <v>0</v>
      </c>
      <c r="DO166" s="64">
        <f t="shared" si="855"/>
        <v>0</v>
      </c>
      <c r="DP166" s="64">
        <f t="shared" si="855"/>
        <v>0</v>
      </c>
      <c r="DQ166" s="64">
        <f t="shared" si="855"/>
        <v>0</v>
      </c>
      <c r="DR166" s="64">
        <f t="shared" si="855"/>
        <v>0</v>
      </c>
      <c r="DS166" s="64">
        <f t="shared" si="855"/>
        <v>0</v>
      </c>
      <c r="DT166">
        <f t="shared" si="669"/>
        <v>0</v>
      </c>
      <c r="DU166" s="10">
        <f t="shared" si="670"/>
        <v>0</v>
      </c>
    </row>
    <row r="167" spans="1:125" x14ac:dyDescent="0.25">
      <c r="A167" t="s">
        <v>58</v>
      </c>
      <c r="B167" s="2">
        <v>44861</v>
      </c>
      <c r="C167" s="1">
        <v>1250</v>
      </c>
      <c r="D167">
        <v>101</v>
      </c>
      <c r="G167" t="str">
        <f t="array" ref="G167">IFERROR(INDEX($A$2:$A$700,MATCH(0,COUNTIF($G$1:G166,$A$2:$A$700),0)),"")</f>
        <v>RELIANCE</v>
      </c>
      <c r="M167" s="3"/>
      <c r="N167" s="3"/>
      <c r="O167" s="3">
        <f t="shared" si="671"/>
        <v>0</v>
      </c>
      <c r="P167" s="7">
        <f t="shared" ref="P167:CA167" si="856">IFERROR(VALUE(P472),"-")</f>
        <v>0</v>
      </c>
      <c r="Q167" s="7">
        <f t="shared" si="856"/>
        <v>0</v>
      </c>
      <c r="R167" s="7">
        <f t="shared" si="856"/>
        <v>0</v>
      </c>
      <c r="S167" s="7">
        <f t="shared" si="856"/>
        <v>0</v>
      </c>
      <c r="T167" s="11">
        <f t="shared" si="856"/>
        <v>0</v>
      </c>
      <c r="U167" s="11">
        <f t="shared" si="856"/>
        <v>0</v>
      </c>
      <c r="V167" s="11">
        <f t="shared" si="856"/>
        <v>0</v>
      </c>
      <c r="W167" s="11">
        <f t="shared" si="856"/>
        <v>0</v>
      </c>
      <c r="X167" s="14">
        <f t="shared" si="856"/>
        <v>0</v>
      </c>
      <c r="Y167" s="14">
        <f t="shared" si="856"/>
        <v>0</v>
      </c>
      <c r="Z167" s="14">
        <f t="shared" si="856"/>
        <v>0</v>
      </c>
      <c r="AA167" s="14">
        <f t="shared" si="856"/>
        <v>0</v>
      </c>
      <c r="AB167" s="15">
        <f t="shared" si="856"/>
        <v>0</v>
      </c>
      <c r="AC167" s="15">
        <f t="shared" si="856"/>
        <v>0</v>
      </c>
      <c r="AD167" s="13">
        <f t="shared" si="856"/>
        <v>0</v>
      </c>
      <c r="AE167" s="13">
        <f t="shared" si="856"/>
        <v>0</v>
      </c>
      <c r="AF167" s="12">
        <f t="shared" si="856"/>
        <v>0</v>
      </c>
      <c r="AG167" s="12">
        <f t="shared" si="856"/>
        <v>0</v>
      </c>
      <c r="AH167" s="13">
        <f t="shared" si="856"/>
        <v>0</v>
      </c>
      <c r="AI167" s="13">
        <f t="shared" si="856"/>
        <v>0</v>
      </c>
      <c r="AJ167" s="11">
        <f t="shared" si="856"/>
        <v>0</v>
      </c>
      <c r="AK167" s="11">
        <f t="shared" si="856"/>
        <v>0</v>
      </c>
      <c r="AL167" s="11">
        <f t="shared" si="856"/>
        <v>0</v>
      </c>
      <c r="AM167" s="11">
        <f t="shared" si="856"/>
        <v>0</v>
      </c>
      <c r="AN167" s="11">
        <f t="shared" si="856"/>
        <v>0</v>
      </c>
      <c r="AO167" s="11">
        <f t="shared" si="856"/>
        <v>0</v>
      </c>
      <c r="AP167" s="11">
        <f t="shared" si="856"/>
        <v>0</v>
      </c>
      <c r="AQ167" s="11">
        <f t="shared" si="856"/>
        <v>0</v>
      </c>
      <c r="AR167" s="16">
        <f t="shared" si="856"/>
        <v>0</v>
      </c>
      <c r="AS167" s="16">
        <f t="shared" si="856"/>
        <v>0</v>
      </c>
      <c r="AT167" s="16">
        <f t="shared" si="856"/>
        <v>0</v>
      </c>
      <c r="AU167" s="7">
        <f t="shared" si="856"/>
        <v>0</v>
      </c>
      <c r="AV167" s="7">
        <f t="shared" si="856"/>
        <v>0</v>
      </c>
      <c r="AW167" s="7">
        <f t="shared" si="856"/>
        <v>0</v>
      </c>
      <c r="AX167" s="7">
        <f t="shared" si="856"/>
        <v>0</v>
      </c>
      <c r="AY167" s="11">
        <f t="shared" si="856"/>
        <v>0</v>
      </c>
      <c r="AZ167" s="16">
        <f t="shared" si="856"/>
        <v>0</v>
      </c>
      <c r="BA167" s="16">
        <f t="shared" si="856"/>
        <v>0</v>
      </c>
      <c r="BB167" s="16">
        <f t="shared" si="856"/>
        <v>0</v>
      </c>
      <c r="BC167" s="11">
        <f t="shared" si="856"/>
        <v>0</v>
      </c>
      <c r="BD167" s="11">
        <f t="shared" si="856"/>
        <v>0</v>
      </c>
      <c r="BE167" s="11">
        <f t="shared" si="856"/>
        <v>0</v>
      </c>
      <c r="BF167" s="11">
        <f t="shared" si="856"/>
        <v>0</v>
      </c>
      <c r="BG167" s="11">
        <f t="shared" si="856"/>
        <v>0</v>
      </c>
      <c r="BH167" s="11">
        <f t="shared" si="856"/>
        <v>0</v>
      </c>
      <c r="BI167" s="13">
        <f t="shared" si="856"/>
        <v>0</v>
      </c>
      <c r="BJ167" s="13">
        <f t="shared" si="856"/>
        <v>0</v>
      </c>
      <c r="BK167" s="11">
        <f t="shared" si="856"/>
        <v>0</v>
      </c>
      <c r="BL167" s="12">
        <f t="shared" si="856"/>
        <v>0</v>
      </c>
      <c r="BM167" s="12">
        <f t="shared" si="856"/>
        <v>0</v>
      </c>
      <c r="BN167" s="13">
        <f t="shared" si="856"/>
        <v>0</v>
      </c>
      <c r="BO167" s="13">
        <f t="shared" si="856"/>
        <v>0</v>
      </c>
      <c r="BP167" s="15">
        <f t="shared" si="856"/>
        <v>0</v>
      </c>
      <c r="BQ167" s="15">
        <f t="shared" si="856"/>
        <v>0</v>
      </c>
      <c r="BR167" s="14">
        <f t="shared" si="856"/>
        <v>0</v>
      </c>
      <c r="BS167" s="14">
        <f t="shared" si="856"/>
        <v>0</v>
      </c>
      <c r="BT167" s="14">
        <f t="shared" si="856"/>
        <v>0</v>
      </c>
      <c r="BU167" s="14">
        <f t="shared" si="856"/>
        <v>0</v>
      </c>
      <c r="BV167" s="11">
        <f t="shared" si="856"/>
        <v>0</v>
      </c>
      <c r="BW167" s="11">
        <f t="shared" si="856"/>
        <v>0</v>
      </c>
      <c r="BX167" s="11">
        <f t="shared" si="856"/>
        <v>0</v>
      </c>
      <c r="BY167" s="11">
        <f t="shared" si="856"/>
        <v>0</v>
      </c>
      <c r="BZ167" s="7">
        <f t="shared" si="856"/>
        <v>0</v>
      </c>
      <c r="CA167" s="7">
        <f t="shared" si="856"/>
        <v>0</v>
      </c>
      <c r="CB167" s="7">
        <f t="shared" ref="CB167:CP167" si="857">IFERROR(VALUE(CB472),"-")</f>
        <v>0</v>
      </c>
      <c r="CC167" s="7">
        <f t="shared" si="857"/>
        <v>0</v>
      </c>
      <c r="CD167" s="7">
        <f t="shared" si="857"/>
        <v>0</v>
      </c>
      <c r="CE167" s="3">
        <f t="shared" si="857"/>
        <v>0</v>
      </c>
      <c r="CF167" s="7">
        <f t="shared" si="857"/>
        <v>0</v>
      </c>
      <c r="CG167" s="3">
        <f t="shared" si="857"/>
        <v>0</v>
      </c>
      <c r="CH167" s="7">
        <f t="shared" si="857"/>
        <v>0</v>
      </c>
      <c r="CI167" s="7">
        <f t="shared" si="857"/>
        <v>0</v>
      </c>
      <c r="CJ167" s="3">
        <f t="shared" si="857"/>
        <v>0</v>
      </c>
      <c r="CK167" s="7">
        <f t="shared" si="857"/>
        <v>0</v>
      </c>
      <c r="CL167" s="3">
        <f t="shared" si="857"/>
        <v>0</v>
      </c>
      <c r="CM167" s="7">
        <f t="shared" si="857"/>
        <v>0</v>
      </c>
      <c r="CN167" s="10">
        <f t="shared" si="857"/>
        <v>0</v>
      </c>
      <c r="CO167" s="10">
        <f t="shared" si="857"/>
        <v>0</v>
      </c>
      <c r="CP167" s="7">
        <f t="shared" si="857"/>
        <v>0</v>
      </c>
      <c r="CQ167" s="7">
        <f t="shared" ref="CQ167" si="858">IFERROR(CQ472,"-")</f>
        <v>0</v>
      </c>
      <c r="CR167" s="10">
        <f t="shared" si="818"/>
        <v>0</v>
      </c>
      <c r="CS167" s="7">
        <f t="shared" si="818"/>
        <v>0</v>
      </c>
      <c r="CT167" s="7">
        <f t="shared" si="818"/>
        <v>0</v>
      </c>
      <c r="CU167" s="7">
        <f t="shared" si="818"/>
        <v>0</v>
      </c>
      <c r="CV167" s="7">
        <f t="shared" si="818"/>
        <v>0</v>
      </c>
      <c r="CW167" s="7">
        <f t="shared" si="818"/>
        <v>0</v>
      </c>
      <c r="CX167" s="7">
        <f t="shared" si="818"/>
        <v>0</v>
      </c>
      <c r="CY167" s="7">
        <f t="shared" si="818"/>
        <v>0</v>
      </c>
      <c r="CZ167" s="7">
        <f t="shared" si="818"/>
        <v>0</v>
      </c>
      <c r="DA167" s="7">
        <f t="shared" si="818"/>
        <v>0</v>
      </c>
      <c r="DB167" s="7">
        <f t="shared" si="818"/>
        <v>0</v>
      </c>
      <c r="DC167" s="7">
        <f t="shared" si="818"/>
        <v>0</v>
      </c>
      <c r="DD167" s="7">
        <f t="shared" si="818"/>
        <v>0</v>
      </c>
      <c r="DE167" s="7">
        <f t="shared" si="818"/>
        <v>0</v>
      </c>
      <c r="DF167" s="7">
        <f t="shared" si="818"/>
        <v>0</v>
      </c>
      <c r="DG167" s="7">
        <f t="shared" si="818"/>
        <v>0</v>
      </c>
      <c r="DH167" s="7">
        <f t="shared" ref="DH167:DJ167" si="859">IFERROR(DH472,"-")</f>
        <v>0</v>
      </c>
      <c r="DI167" s="7">
        <f t="shared" si="859"/>
        <v>0</v>
      </c>
      <c r="DJ167" s="7">
        <f t="shared" si="859"/>
        <v>0</v>
      </c>
      <c r="DK167" s="64">
        <f t="shared" ref="DK167:DS167" si="860">IFERROR(VALUE(DK472),"-")</f>
        <v>0</v>
      </c>
      <c r="DL167" s="64">
        <f t="shared" si="860"/>
        <v>0</v>
      </c>
      <c r="DM167" s="64">
        <f t="shared" si="860"/>
        <v>0</v>
      </c>
      <c r="DN167" s="64">
        <f t="shared" si="860"/>
        <v>0</v>
      </c>
      <c r="DO167" s="64">
        <f t="shared" si="860"/>
        <v>0</v>
      </c>
      <c r="DP167" s="64">
        <f t="shared" si="860"/>
        <v>0</v>
      </c>
      <c r="DQ167" s="64">
        <f t="shared" si="860"/>
        <v>0</v>
      </c>
      <c r="DR167" s="64">
        <f t="shared" si="860"/>
        <v>0</v>
      </c>
      <c r="DS167" s="64">
        <f t="shared" si="860"/>
        <v>0</v>
      </c>
      <c r="DT167">
        <f t="shared" si="669"/>
        <v>0</v>
      </c>
      <c r="DU167" s="10">
        <f t="shared" si="670"/>
        <v>0</v>
      </c>
    </row>
    <row r="168" spans="1:125" x14ac:dyDescent="0.25">
      <c r="A168" t="s">
        <v>59</v>
      </c>
      <c r="B168" s="2">
        <v>44798</v>
      </c>
      <c r="C168" s="1">
        <v>500</v>
      </c>
      <c r="D168">
        <v>76</v>
      </c>
      <c r="G168" t="str">
        <f t="array" ref="G168">IFERROR(INDEX($A$2:$A$700,MATCH(0,COUNTIF($G$1:G167,$A$2:$A$700),0)),"")</f>
        <v>SAIL</v>
      </c>
      <c r="M168" s="3"/>
      <c r="N168" s="3"/>
      <c r="O168" s="3">
        <f t="shared" si="671"/>
        <v>0</v>
      </c>
      <c r="P168" s="7">
        <f t="shared" ref="P168:CA168" si="861">IFERROR(VALUE(P473),"-")</f>
        <v>0</v>
      </c>
      <c r="Q168" s="7">
        <f t="shared" si="861"/>
        <v>0</v>
      </c>
      <c r="R168" s="7">
        <f t="shared" si="861"/>
        <v>0</v>
      </c>
      <c r="S168" s="7">
        <f t="shared" si="861"/>
        <v>0</v>
      </c>
      <c r="T168" s="11">
        <f t="shared" si="861"/>
        <v>0</v>
      </c>
      <c r="U168" s="11">
        <f t="shared" si="861"/>
        <v>0</v>
      </c>
      <c r="V168" s="11">
        <f t="shared" si="861"/>
        <v>0</v>
      </c>
      <c r="W168" s="11">
        <f t="shared" si="861"/>
        <v>0</v>
      </c>
      <c r="X168" s="14">
        <f t="shared" si="861"/>
        <v>0</v>
      </c>
      <c r="Y168" s="14">
        <f t="shared" si="861"/>
        <v>0</v>
      </c>
      <c r="Z168" s="14">
        <f t="shared" si="861"/>
        <v>0</v>
      </c>
      <c r="AA168" s="14">
        <f t="shared" si="861"/>
        <v>0</v>
      </c>
      <c r="AB168" s="15">
        <f t="shared" si="861"/>
        <v>0</v>
      </c>
      <c r="AC168" s="15">
        <f t="shared" si="861"/>
        <v>0</v>
      </c>
      <c r="AD168" s="13">
        <f t="shared" si="861"/>
        <v>0</v>
      </c>
      <c r="AE168" s="13">
        <f t="shared" si="861"/>
        <v>0</v>
      </c>
      <c r="AF168" s="12">
        <f t="shared" si="861"/>
        <v>0</v>
      </c>
      <c r="AG168" s="12">
        <f t="shared" si="861"/>
        <v>0</v>
      </c>
      <c r="AH168" s="13">
        <f t="shared" si="861"/>
        <v>0</v>
      </c>
      <c r="AI168" s="13">
        <f t="shared" si="861"/>
        <v>0</v>
      </c>
      <c r="AJ168" s="11">
        <f t="shared" si="861"/>
        <v>0</v>
      </c>
      <c r="AK168" s="11">
        <f t="shared" si="861"/>
        <v>0</v>
      </c>
      <c r="AL168" s="11">
        <f t="shared" si="861"/>
        <v>0</v>
      </c>
      <c r="AM168" s="11">
        <f t="shared" si="861"/>
        <v>0</v>
      </c>
      <c r="AN168" s="11">
        <f t="shared" si="861"/>
        <v>0</v>
      </c>
      <c r="AO168" s="11">
        <f t="shared" si="861"/>
        <v>0</v>
      </c>
      <c r="AP168" s="11">
        <f t="shared" si="861"/>
        <v>0</v>
      </c>
      <c r="AQ168" s="11">
        <f t="shared" si="861"/>
        <v>0</v>
      </c>
      <c r="AR168" s="16">
        <f t="shared" si="861"/>
        <v>0</v>
      </c>
      <c r="AS168" s="16">
        <f t="shared" si="861"/>
        <v>0</v>
      </c>
      <c r="AT168" s="16">
        <f t="shared" si="861"/>
        <v>0</v>
      </c>
      <c r="AU168" s="7">
        <f t="shared" si="861"/>
        <v>0</v>
      </c>
      <c r="AV168" s="7">
        <f t="shared" si="861"/>
        <v>0</v>
      </c>
      <c r="AW168" s="7">
        <f t="shared" si="861"/>
        <v>0</v>
      </c>
      <c r="AX168" s="7">
        <f t="shared" si="861"/>
        <v>0</v>
      </c>
      <c r="AY168" s="11">
        <f t="shared" si="861"/>
        <v>0</v>
      </c>
      <c r="AZ168" s="16">
        <f t="shared" si="861"/>
        <v>0</v>
      </c>
      <c r="BA168" s="16">
        <f t="shared" si="861"/>
        <v>0</v>
      </c>
      <c r="BB168" s="16">
        <f t="shared" si="861"/>
        <v>0</v>
      </c>
      <c r="BC168" s="11">
        <f t="shared" si="861"/>
        <v>0</v>
      </c>
      <c r="BD168" s="11">
        <f t="shared" si="861"/>
        <v>0</v>
      </c>
      <c r="BE168" s="11">
        <f t="shared" si="861"/>
        <v>0</v>
      </c>
      <c r="BF168" s="11">
        <f t="shared" si="861"/>
        <v>0</v>
      </c>
      <c r="BG168" s="11">
        <f t="shared" si="861"/>
        <v>0</v>
      </c>
      <c r="BH168" s="11">
        <f t="shared" si="861"/>
        <v>0</v>
      </c>
      <c r="BI168" s="13">
        <f t="shared" si="861"/>
        <v>0</v>
      </c>
      <c r="BJ168" s="13">
        <f t="shared" si="861"/>
        <v>0</v>
      </c>
      <c r="BK168" s="11">
        <f t="shared" si="861"/>
        <v>0</v>
      </c>
      <c r="BL168" s="12">
        <f t="shared" si="861"/>
        <v>0</v>
      </c>
      <c r="BM168" s="12">
        <f t="shared" si="861"/>
        <v>0</v>
      </c>
      <c r="BN168" s="13">
        <f t="shared" si="861"/>
        <v>0</v>
      </c>
      <c r="BO168" s="13">
        <f t="shared" si="861"/>
        <v>0</v>
      </c>
      <c r="BP168" s="15">
        <f t="shared" si="861"/>
        <v>0</v>
      </c>
      <c r="BQ168" s="15">
        <f t="shared" si="861"/>
        <v>0</v>
      </c>
      <c r="BR168" s="14">
        <f t="shared" si="861"/>
        <v>0</v>
      </c>
      <c r="BS168" s="14">
        <f t="shared" si="861"/>
        <v>0</v>
      </c>
      <c r="BT168" s="14">
        <f t="shared" si="861"/>
        <v>0</v>
      </c>
      <c r="BU168" s="14">
        <f t="shared" si="861"/>
        <v>0</v>
      </c>
      <c r="BV168" s="11">
        <f t="shared" si="861"/>
        <v>0</v>
      </c>
      <c r="BW168" s="11">
        <f t="shared" si="861"/>
        <v>0</v>
      </c>
      <c r="BX168" s="11">
        <f t="shared" si="861"/>
        <v>0</v>
      </c>
      <c r="BY168" s="11">
        <f t="shared" si="861"/>
        <v>0</v>
      </c>
      <c r="BZ168" s="7">
        <f t="shared" si="861"/>
        <v>0</v>
      </c>
      <c r="CA168" s="7">
        <f t="shared" si="861"/>
        <v>0</v>
      </c>
      <c r="CB168" s="7">
        <f t="shared" ref="CB168:CP168" si="862">IFERROR(VALUE(CB473),"-")</f>
        <v>0</v>
      </c>
      <c r="CC168" s="7">
        <f t="shared" si="862"/>
        <v>0</v>
      </c>
      <c r="CD168" s="7">
        <f t="shared" si="862"/>
        <v>0</v>
      </c>
      <c r="CE168" s="3">
        <f t="shared" si="862"/>
        <v>0</v>
      </c>
      <c r="CF168" s="7">
        <f t="shared" si="862"/>
        <v>0</v>
      </c>
      <c r="CG168" s="3">
        <f t="shared" si="862"/>
        <v>0</v>
      </c>
      <c r="CH168" s="7">
        <f t="shared" si="862"/>
        <v>0</v>
      </c>
      <c r="CI168" s="7">
        <f t="shared" si="862"/>
        <v>0</v>
      </c>
      <c r="CJ168" s="3">
        <f t="shared" si="862"/>
        <v>0</v>
      </c>
      <c r="CK168" s="7">
        <f t="shared" si="862"/>
        <v>0</v>
      </c>
      <c r="CL168" s="3">
        <f t="shared" si="862"/>
        <v>0</v>
      </c>
      <c r="CM168" s="7">
        <f t="shared" si="862"/>
        <v>0</v>
      </c>
      <c r="CN168" s="10">
        <f t="shared" si="862"/>
        <v>0</v>
      </c>
      <c r="CO168" s="10">
        <f t="shared" si="862"/>
        <v>0</v>
      </c>
      <c r="CP168" s="7">
        <f t="shared" si="862"/>
        <v>0</v>
      </c>
      <c r="CQ168" s="7">
        <f t="shared" ref="CQ168" si="863">IFERROR(CQ473,"-")</f>
        <v>0</v>
      </c>
      <c r="CR168" s="10">
        <f t="shared" si="818"/>
        <v>0</v>
      </c>
      <c r="CS168" s="7">
        <f t="shared" si="818"/>
        <v>0</v>
      </c>
      <c r="CT168" s="7">
        <f t="shared" si="818"/>
        <v>0</v>
      </c>
      <c r="CU168" s="7">
        <f t="shared" si="818"/>
        <v>0</v>
      </c>
      <c r="CV168" s="7">
        <f t="shared" si="818"/>
        <v>0</v>
      </c>
      <c r="CW168" s="7">
        <f t="shared" si="818"/>
        <v>0</v>
      </c>
      <c r="CX168" s="7">
        <f t="shared" si="818"/>
        <v>0</v>
      </c>
      <c r="CY168" s="7">
        <f t="shared" si="818"/>
        <v>0</v>
      </c>
      <c r="CZ168" s="7">
        <f t="shared" si="818"/>
        <v>0</v>
      </c>
      <c r="DA168" s="7">
        <f t="shared" si="818"/>
        <v>0</v>
      </c>
      <c r="DB168" s="7">
        <f t="shared" si="818"/>
        <v>0</v>
      </c>
      <c r="DC168" s="7">
        <f t="shared" si="818"/>
        <v>0</v>
      </c>
      <c r="DD168" s="7">
        <f t="shared" si="818"/>
        <v>0</v>
      </c>
      <c r="DE168" s="7">
        <f t="shared" si="818"/>
        <v>0</v>
      </c>
      <c r="DF168" s="7">
        <f t="shared" si="818"/>
        <v>0</v>
      </c>
      <c r="DG168" s="7">
        <f t="shared" si="818"/>
        <v>0</v>
      </c>
      <c r="DH168" s="7">
        <f t="shared" ref="DH168:DJ168" si="864">IFERROR(DH473,"-")</f>
        <v>0</v>
      </c>
      <c r="DI168" s="7">
        <f t="shared" si="864"/>
        <v>0</v>
      </c>
      <c r="DJ168" s="7">
        <f t="shared" si="864"/>
        <v>0</v>
      </c>
      <c r="DK168" s="64">
        <f t="shared" ref="DK168:DS168" si="865">IFERROR(VALUE(DK473),"-")</f>
        <v>0</v>
      </c>
      <c r="DL168" s="64">
        <f t="shared" si="865"/>
        <v>0</v>
      </c>
      <c r="DM168" s="64">
        <f t="shared" si="865"/>
        <v>0</v>
      </c>
      <c r="DN168" s="64">
        <f t="shared" si="865"/>
        <v>0</v>
      </c>
      <c r="DO168" s="64">
        <f t="shared" si="865"/>
        <v>0</v>
      </c>
      <c r="DP168" s="64">
        <f t="shared" si="865"/>
        <v>0</v>
      </c>
      <c r="DQ168" s="64">
        <f t="shared" si="865"/>
        <v>0</v>
      </c>
      <c r="DR168" s="64">
        <f t="shared" si="865"/>
        <v>0</v>
      </c>
      <c r="DS168" s="64">
        <f t="shared" si="865"/>
        <v>0</v>
      </c>
      <c r="DT168">
        <f t="shared" si="669"/>
        <v>0</v>
      </c>
      <c r="DU168" s="10">
        <f t="shared" si="670"/>
        <v>0</v>
      </c>
    </row>
    <row r="169" spans="1:125" x14ac:dyDescent="0.25">
      <c r="A169" t="s">
        <v>59</v>
      </c>
      <c r="B169" s="2">
        <v>44833</v>
      </c>
      <c r="C169" s="1">
        <v>500</v>
      </c>
      <c r="D169">
        <v>76</v>
      </c>
      <c r="G169" t="str">
        <f t="array" ref="G169">IFERROR(INDEX($A$2:$A$700,MATCH(0,COUNTIF($G$1:G168,$A$2:$A$700),0)),"")</f>
        <v>SBICARD</v>
      </c>
      <c r="M169" s="3"/>
      <c r="N169" s="3"/>
      <c r="O169" s="3">
        <f t="shared" si="671"/>
        <v>0</v>
      </c>
      <c r="P169" s="7">
        <f t="shared" ref="P169:CA169" si="866">IFERROR(VALUE(P474),"-")</f>
        <v>0</v>
      </c>
      <c r="Q169" s="7">
        <f t="shared" si="866"/>
        <v>0</v>
      </c>
      <c r="R169" s="7">
        <f t="shared" si="866"/>
        <v>0</v>
      </c>
      <c r="S169" s="7">
        <f t="shared" si="866"/>
        <v>0</v>
      </c>
      <c r="T169" s="11">
        <f t="shared" si="866"/>
        <v>0</v>
      </c>
      <c r="U169" s="11">
        <f t="shared" si="866"/>
        <v>0</v>
      </c>
      <c r="V169" s="11">
        <f t="shared" si="866"/>
        <v>0</v>
      </c>
      <c r="W169" s="11">
        <f t="shared" si="866"/>
        <v>0</v>
      </c>
      <c r="X169" s="14">
        <f t="shared" si="866"/>
        <v>0</v>
      </c>
      <c r="Y169" s="14">
        <f t="shared" si="866"/>
        <v>0</v>
      </c>
      <c r="Z169" s="14">
        <f t="shared" si="866"/>
        <v>0</v>
      </c>
      <c r="AA169" s="14">
        <f t="shared" si="866"/>
        <v>0</v>
      </c>
      <c r="AB169" s="15">
        <f t="shared" si="866"/>
        <v>0</v>
      </c>
      <c r="AC169" s="15">
        <f t="shared" si="866"/>
        <v>0</v>
      </c>
      <c r="AD169" s="13">
        <f t="shared" si="866"/>
        <v>0</v>
      </c>
      <c r="AE169" s="13">
        <f t="shared" si="866"/>
        <v>0</v>
      </c>
      <c r="AF169" s="12">
        <f t="shared" si="866"/>
        <v>0</v>
      </c>
      <c r="AG169" s="12">
        <f t="shared" si="866"/>
        <v>0</v>
      </c>
      <c r="AH169" s="13">
        <f t="shared" si="866"/>
        <v>0</v>
      </c>
      <c r="AI169" s="13">
        <f t="shared" si="866"/>
        <v>0</v>
      </c>
      <c r="AJ169" s="11">
        <f t="shared" si="866"/>
        <v>0</v>
      </c>
      <c r="AK169" s="11">
        <f t="shared" si="866"/>
        <v>0</v>
      </c>
      <c r="AL169" s="11">
        <f t="shared" si="866"/>
        <v>0</v>
      </c>
      <c r="AM169" s="11">
        <f t="shared" si="866"/>
        <v>0</v>
      </c>
      <c r="AN169" s="11">
        <f t="shared" si="866"/>
        <v>0</v>
      </c>
      <c r="AO169" s="11">
        <f t="shared" si="866"/>
        <v>0</v>
      </c>
      <c r="AP169" s="11">
        <f t="shared" si="866"/>
        <v>0</v>
      </c>
      <c r="AQ169" s="11">
        <f t="shared" si="866"/>
        <v>0</v>
      </c>
      <c r="AR169" s="16">
        <f t="shared" si="866"/>
        <v>0</v>
      </c>
      <c r="AS169" s="16">
        <f t="shared" si="866"/>
        <v>0</v>
      </c>
      <c r="AT169" s="16">
        <f t="shared" si="866"/>
        <v>0</v>
      </c>
      <c r="AU169" s="7">
        <f t="shared" si="866"/>
        <v>0</v>
      </c>
      <c r="AV169" s="7">
        <f t="shared" si="866"/>
        <v>0</v>
      </c>
      <c r="AW169" s="7">
        <f t="shared" si="866"/>
        <v>0</v>
      </c>
      <c r="AX169" s="7">
        <f t="shared" si="866"/>
        <v>0</v>
      </c>
      <c r="AY169" s="11">
        <f t="shared" si="866"/>
        <v>0</v>
      </c>
      <c r="AZ169" s="16">
        <f t="shared" si="866"/>
        <v>0</v>
      </c>
      <c r="BA169" s="16">
        <f t="shared" si="866"/>
        <v>0</v>
      </c>
      <c r="BB169" s="16">
        <f t="shared" si="866"/>
        <v>0</v>
      </c>
      <c r="BC169" s="11">
        <f t="shared" si="866"/>
        <v>0</v>
      </c>
      <c r="BD169" s="11">
        <f t="shared" si="866"/>
        <v>0</v>
      </c>
      <c r="BE169" s="11">
        <f t="shared" si="866"/>
        <v>0</v>
      </c>
      <c r="BF169" s="11">
        <f t="shared" si="866"/>
        <v>0</v>
      </c>
      <c r="BG169" s="11">
        <f t="shared" si="866"/>
        <v>0</v>
      </c>
      <c r="BH169" s="11">
        <f t="shared" si="866"/>
        <v>0</v>
      </c>
      <c r="BI169" s="13">
        <f t="shared" si="866"/>
        <v>0</v>
      </c>
      <c r="BJ169" s="13">
        <f t="shared" si="866"/>
        <v>0</v>
      </c>
      <c r="BK169" s="11">
        <f t="shared" si="866"/>
        <v>0</v>
      </c>
      <c r="BL169" s="12">
        <f t="shared" si="866"/>
        <v>0</v>
      </c>
      <c r="BM169" s="12">
        <f t="shared" si="866"/>
        <v>0</v>
      </c>
      <c r="BN169" s="13">
        <f t="shared" si="866"/>
        <v>0</v>
      </c>
      <c r="BO169" s="13">
        <f t="shared" si="866"/>
        <v>0</v>
      </c>
      <c r="BP169" s="15">
        <f t="shared" si="866"/>
        <v>0</v>
      </c>
      <c r="BQ169" s="15">
        <f t="shared" si="866"/>
        <v>0</v>
      </c>
      <c r="BR169" s="14">
        <f t="shared" si="866"/>
        <v>0</v>
      </c>
      <c r="BS169" s="14">
        <f t="shared" si="866"/>
        <v>0</v>
      </c>
      <c r="BT169" s="14">
        <f t="shared" si="866"/>
        <v>0</v>
      </c>
      <c r="BU169" s="14">
        <f t="shared" si="866"/>
        <v>0</v>
      </c>
      <c r="BV169" s="11">
        <f t="shared" si="866"/>
        <v>0</v>
      </c>
      <c r="BW169" s="11">
        <f t="shared" si="866"/>
        <v>0</v>
      </c>
      <c r="BX169" s="11">
        <f t="shared" si="866"/>
        <v>0</v>
      </c>
      <c r="BY169" s="11">
        <f t="shared" si="866"/>
        <v>0</v>
      </c>
      <c r="BZ169" s="7">
        <f t="shared" si="866"/>
        <v>0</v>
      </c>
      <c r="CA169" s="7">
        <f t="shared" si="866"/>
        <v>0</v>
      </c>
      <c r="CB169" s="7">
        <f t="shared" ref="CB169:CP169" si="867">IFERROR(VALUE(CB474),"-")</f>
        <v>0</v>
      </c>
      <c r="CC169" s="7">
        <f t="shared" si="867"/>
        <v>0</v>
      </c>
      <c r="CD169" s="7">
        <f t="shared" si="867"/>
        <v>0</v>
      </c>
      <c r="CE169" s="3">
        <f t="shared" si="867"/>
        <v>0</v>
      </c>
      <c r="CF169" s="7">
        <f t="shared" si="867"/>
        <v>0</v>
      </c>
      <c r="CG169" s="3">
        <f t="shared" si="867"/>
        <v>0</v>
      </c>
      <c r="CH169" s="7">
        <f t="shared" si="867"/>
        <v>0</v>
      </c>
      <c r="CI169" s="7">
        <f t="shared" si="867"/>
        <v>0</v>
      </c>
      <c r="CJ169" s="3">
        <f t="shared" si="867"/>
        <v>0</v>
      </c>
      <c r="CK169" s="7">
        <f t="shared" si="867"/>
        <v>0</v>
      </c>
      <c r="CL169" s="3">
        <f t="shared" si="867"/>
        <v>0</v>
      </c>
      <c r="CM169" s="7">
        <f t="shared" si="867"/>
        <v>0</v>
      </c>
      <c r="CN169" s="10">
        <f t="shared" si="867"/>
        <v>0</v>
      </c>
      <c r="CO169" s="10">
        <f t="shared" si="867"/>
        <v>0</v>
      </c>
      <c r="CP169" s="7">
        <f t="shared" si="867"/>
        <v>0</v>
      </c>
      <c r="CQ169" s="7">
        <f t="shared" ref="CQ169" si="868">IFERROR(CQ474,"-")</f>
        <v>0</v>
      </c>
      <c r="CR169" s="10">
        <f t="shared" si="818"/>
        <v>0</v>
      </c>
      <c r="CS169" s="7">
        <f t="shared" si="818"/>
        <v>0</v>
      </c>
      <c r="CT169" s="7">
        <f t="shared" si="818"/>
        <v>0</v>
      </c>
      <c r="CU169" s="7">
        <f t="shared" si="818"/>
        <v>0</v>
      </c>
      <c r="CV169" s="7">
        <f t="shared" si="818"/>
        <v>0</v>
      </c>
      <c r="CW169" s="7">
        <f t="shared" si="818"/>
        <v>0</v>
      </c>
      <c r="CX169" s="7">
        <f t="shared" si="818"/>
        <v>0</v>
      </c>
      <c r="CY169" s="7">
        <f t="shared" si="818"/>
        <v>0</v>
      </c>
      <c r="CZ169" s="7">
        <f t="shared" si="818"/>
        <v>0</v>
      </c>
      <c r="DA169" s="7">
        <f t="shared" si="818"/>
        <v>0</v>
      </c>
      <c r="DB169" s="7">
        <f t="shared" si="818"/>
        <v>0</v>
      </c>
      <c r="DC169" s="7">
        <f t="shared" si="818"/>
        <v>0</v>
      </c>
      <c r="DD169" s="7">
        <f t="shared" si="818"/>
        <v>0</v>
      </c>
      <c r="DE169" s="7">
        <f t="shared" si="818"/>
        <v>0</v>
      </c>
      <c r="DF169" s="7">
        <f t="shared" si="818"/>
        <v>0</v>
      </c>
      <c r="DG169" s="7">
        <f t="shared" si="818"/>
        <v>0</v>
      </c>
      <c r="DH169" s="7">
        <f t="shared" ref="DH169:DJ169" si="869">IFERROR(DH474,"-")</f>
        <v>0</v>
      </c>
      <c r="DI169" s="7">
        <f t="shared" si="869"/>
        <v>0</v>
      </c>
      <c r="DJ169" s="7">
        <f t="shared" si="869"/>
        <v>0</v>
      </c>
      <c r="DK169" s="64">
        <f t="shared" ref="DK169:DS169" si="870">IFERROR(VALUE(DK474),"-")</f>
        <v>0</v>
      </c>
      <c r="DL169" s="64">
        <f t="shared" si="870"/>
        <v>0</v>
      </c>
      <c r="DM169" s="64">
        <f t="shared" si="870"/>
        <v>0</v>
      </c>
      <c r="DN169" s="64">
        <f t="shared" si="870"/>
        <v>0</v>
      </c>
      <c r="DO169" s="64">
        <f t="shared" si="870"/>
        <v>0</v>
      </c>
      <c r="DP169" s="64">
        <f t="shared" si="870"/>
        <v>0</v>
      </c>
      <c r="DQ169" s="64">
        <f t="shared" si="870"/>
        <v>0</v>
      </c>
      <c r="DR169" s="64">
        <f t="shared" si="870"/>
        <v>0</v>
      </c>
      <c r="DS169" s="64">
        <f t="shared" si="870"/>
        <v>0</v>
      </c>
      <c r="DT169">
        <f t="shared" si="669"/>
        <v>0</v>
      </c>
      <c r="DU169" s="10">
        <f t="shared" si="670"/>
        <v>0</v>
      </c>
    </row>
    <row r="170" spans="1:125" x14ac:dyDescent="0.25">
      <c r="A170" t="s">
        <v>59</v>
      </c>
      <c r="B170" s="2">
        <v>44861</v>
      </c>
      <c r="C170" s="1">
        <v>500</v>
      </c>
      <c r="D170">
        <v>76</v>
      </c>
      <c r="G170" t="str">
        <f t="array" ref="G170">IFERROR(INDEX($A$2:$A$700,MATCH(0,COUNTIF($G$1:G169,$A$2:$A$700),0)),"")</f>
        <v>SBILIFE</v>
      </c>
      <c r="M170" s="3"/>
      <c r="N170" s="3"/>
      <c r="O170" s="3">
        <f t="shared" si="671"/>
        <v>0</v>
      </c>
      <c r="P170" s="7">
        <f t="shared" ref="P170:CA170" si="871">IFERROR(VALUE(P475),"-")</f>
        <v>0</v>
      </c>
      <c r="Q170" s="7">
        <f t="shared" si="871"/>
        <v>0</v>
      </c>
      <c r="R170" s="7">
        <f t="shared" si="871"/>
        <v>0</v>
      </c>
      <c r="S170" s="7">
        <f t="shared" si="871"/>
        <v>0</v>
      </c>
      <c r="T170" s="11">
        <f t="shared" si="871"/>
        <v>0</v>
      </c>
      <c r="U170" s="11">
        <f t="shared" si="871"/>
        <v>0</v>
      </c>
      <c r="V170" s="11">
        <f t="shared" si="871"/>
        <v>0</v>
      </c>
      <c r="W170" s="11">
        <f t="shared" si="871"/>
        <v>0</v>
      </c>
      <c r="X170" s="14">
        <f t="shared" si="871"/>
        <v>0</v>
      </c>
      <c r="Y170" s="14">
        <f t="shared" si="871"/>
        <v>0</v>
      </c>
      <c r="Z170" s="14">
        <f t="shared" si="871"/>
        <v>0</v>
      </c>
      <c r="AA170" s="14">
        <f t="shared" si="871"/>
        <v>0</v>
      </c>
      <c r="AB170" s="15">
        <f t="shared" si="871"/>
        <v>0</v>
      </c>
      <c r="AC170" s="15">
        <f t="shared" si="871"/>
        <v>0</v>
      </c>
      <c r="AD170" s="13">
        <f t="shared" si="871"/>
        <v>0</v>
      </c>
      <c r="AE170" s="13">
        <f t="shared" si="871"/>
        <v>0</v>
      </c>
      <c r="AF170" s="12">
        <f t="shared" si="871"/>
        <v>0</v>
      </c>
      <c r="AG170" s="12">
        <f t="shared" si="871"/>
        <v>0</v>
      </c>
      <c r="AH170" s="13">
        <f t="shared" si="871"/>
        <v>0</v>
      </c>
      <c r="AI170" s="13">
        <f t="shared" si="871"/>
        <v>0</v>
      </c>
      <c r="AJ170" s="11">
        <f t="shared" si="871"/>
        <v>0</v>
      </c>
      <c r="AK170" s="11">
        <f t="shared" si="871"/>
        <v>0</v>
      </c>
      <c r="AL170" s="11">
        <f t="shared" si="871"/>
        <v>0</v>
      </c>
      <c r="AM170" s="11">
        <f t="shared" si="871"/>
        <v>0</v>
      </c>
      <c r="AN170" s="11">
        <f t="shared" si="871"/>
        <v>0</v>
      </c>
      <c r="AO170" s="11">
        <f t="shared" si="871"/>
        <v>0</v>
      </c>
      <c r="AP170" s="11">
        <f t="shared" si="871"/>
        <v>0</v>
      </c>
      <c r="AQ170" s="11">
        <f t="shared" si="871"/>
        <v>0</v>
      </c>
      <c r="AR170" s="16">
        <f t="shared" si="871"/>
        <v>0</v>
      </c>
      <c r="AS170" s="16">
        <f t="shared" si="871"/>
        <v>0</v>
      </c>
      <c r="AT170" s="16">
        <f t="shared" si="871"/>
        <v>0</v>
      </c>
      <c r="AU170" s="7">
        <f t="shared" si="871"/>
        <v>0</v>
      </c>
      <c r="AV170" s="7">
        <f t="shared" si="871"/>
        <v>0</v>
      </c>
      <c r="AW170" s="7">
        <f t="shared" si="871"/>
        <v>0</v>
      </c>
      <c r="AX170" s="7">
        <f t="shared" si="871"/>
        <v>0</v>
      </c>
      <c r="AY170" s="11">
        <f t="shared" si="871"/>
        <v>0</v>
      </c>
      <c r="AZ170" s="16">
        <f t="shared" si="871"/>
        <v>0</v>
      </c>
      <c r="BA170" s="16">
        <f t="shared" si="871"/>
        <v>0</v>
      </c>
      <c r="BB170" s="16">
        <f t="shared" si="871"/>
        <v>0</v>
      </c>
      <c r="BC170" s="11">
        <f t="shared" si="871"/>
        <v>0</v>
      </c>
      <c r="BD170" s="11">
        <f t="shared" si="871"/>
        <v>0</v>
      </c>
      <c r="BE170" s="11">
        <f t="shared" si="871"/>
        <v>0</v>
      </c>
      <c r="BF170" s="11">
        <f t="shared" si="871"/>
        <v>0</v>
      </c>
      <c r="BG170" s="11">
        <f t="shared" si="871"/>
        <v>0</v>
      </c>
      <c r="BH170" s="11">
        <f t="shared" si="871"/>
        <v>0</v>
      </c>
      <c r="BI170" s="13">
        <f t="shared" si="871"/>
        <v>0</v>
      </c>
      <c r="BJ170" s="13">
        <f t="shared" si="871"/>
        <v>0</v>
      </c>
      <c r="BK170" s="11">
        <f t="shared" si="871"/>
        <v>0</v>
      </c>
      <c r="BL170" s="12">
        <f t="shared" si="871"/>
        <v>0</v>
      </c>
      <c r="BM170" s="12">
        <f t="shared" si="871"/>
        <v>0</v>
      </c>
      <c r="BN170" s="13">
        <f t="shared" si="871"/>
        <v>0</v>
      </c>
      <c r="BO170" s="13">
        <f t="shared" si="871"/>
        <v>0</v>
      </c>
      <c r="BP170" s="15">
        <f t="shared" si="871"/>
        <v>0</v>
      </c>
      <c r="BQ170" s="15">
        <f t="shared" si="871"/>
        <v>0</v>
      </c>
      <c r="BR170" s="14">
        <f t="shared" si="871"/>
        <v>0</v>
      </c>
      <c r="BS170" s="14">
        <f t="shared" si="871"/>
        <v>0</v>
      </c>
      <c r="BT170" s="14">
        <f t="shared" si="871"/>
        <v>0</v>
      </c>
      <c r="BU170" s="14">
        <f t="shared" si="871"/>
        <v>0</v>
      </c>
      <c r="BV170" s="11">
        <f t="shared" si="871"/>
        <v>0</v>
      </c>
      <c r="BW170" s="11">
        <f t="shared" si="871"/>
        <v>0</v>
      </c>
      <c r="BX170" s="11">
        <f t="shared" si="871"/>
        <v>0</v>
      </c>
      <c r="BY170" s="11">
        <f t="shared" si="871"/>
        <v>0</v>
      </c>
      <c r="BZ170" s="7">
        <f t="shared" si="871"/>
        <v>0</v>
      </c>
      <c r="CA170" s="7">
        <f t="shared" si="871"/>
        <v>0</v>
      </c>
      <c r="CB170" s="7">
        <f t="shared" ref="CB170:CP170" si="872">IFERROR(VALUE(CB475),"-")</f>
        <v>0</v>
      </c>
      <c r="CC170" s="7">
        <f t="shared" si="872"/>
        <v>0</v>
      </c>
      <c r="CD170" s="7">
        <f t="shared" si="872"/>
        <v>0</v>
      </c>
      <c r="CE170" s="3">
        <f t="shared" si="872"/>
        <v>0</v>
      </c>
      <c r="CF170" s="7">
        <f t="shared" si="872"/>
        <v>0</v>
      </c>
      <c r="CG170" s="3">
        <f t="shared" si="872"/>
        <v>0</v>
      </c>
      <c r="CH170" s="7">
        <f t="shared" si="872"/>
        <v>0</v>
      </c>
      <c r="CI170" s="7">
        <f t="shared" si="872"/>
        <v>0</v>
      </c>
      <c r="CJ170" s="3">
        <f t="shared" si="872"/>
        <v>0</v>
      </c>
      <c r="CK170" s="7">
        <f t="shared" si="872"/>
        <v>0</v>
      </c>
      <c r="CL170" s="3">
        <f t="shared" si="872"/>
        <v>0</v>
      </c>
      <c r="CM170" s="7">
        <f t="shared" si="872"/>
        <v>0</v>
      </c>
      <c r="CN170" s="10">
        <f t="shared" si="872"/>
        <v>0</v>
      </c>
      <c r="CO170" s="10">
        <f t="shared" si="872"/>
        <v>0</v>
      </c>
      <c r="CP170" s="7">
        <f t="shared" si="872"/>
        <v>0</v>
      </c>
      <c r="CQ170" s="7">
        <f t="shared" ref="CQ170" si="873">IFERROR(CQ475,"-")</f>
        <v>0</v>
      </c>
      <c r="CR170" s="10">
        <f t="shared" si="818"/>
        <v>0</v>
      </c>
      <c r="CS170" s="7">
        <f t="shared" si="818"/>
        <v>0</v>
      </c>
      <c r="CT170" s="7">
        <f t="shared" si="818"/>
        <v>0</v>
      </c>
      <c r="CU170" s="7">
        <f t="shared" si="818"/>
        <v>0</v>
      </c>
      <c r="CV170" s="7">
        <f t="shared" si="818"/>
        <v>0</v>
      </c>
      <c r="CW170" s="7">
        <f t="shared" si="818"/>
        <v>0</v>
      </c>
      <c r="CX170" s="7">
        <f t="shared" si="818"/>
        <v>0</v>
      </c>
      <c r="CY170" s="7">
        <f t="shared" si="818"/>
        <v>0</v>
      </c>
      <c r="CZ170" s="7">
        <f t="shared" si="818"/>
        <v>0</v>
      </c>
      <c r="DA170" s="7">
        <f t="shared" si="818"/>
        <v>0</v>
      </c>
      <c r="DB170" s="7">
        <f t="shared" si="818"/>
        <v>0</v>
      </c>
      <c r="DC170" s="7">
        <f t="shared" si="818"/>
        <v>0</v>
      </c>
      <c r="DD170" s="7">
        <f t="shared" si="818"/>
        <v>0</v>
      </c>
      <c r="DE170" s="7">
        <f t="shared" si="818"/>
        <v>0</v>
      </c>
      <c r="DF170" s="7">
        <f t="shared" si="818"/>
        <v>0</v>
      </c>
      <c r="DG170" s="7">
        <f t="shared" si="818"/>
        <v>0</v>
      </c>
      <c r="DH170" s="7">
        <f t="shared" ref="DH170:DJ170" si="874">IFERROR(DH475,"-")</f>
        <v>0</v>
      </c>
      <c r="DI170" s="7">
        <f t="shared" si="874"/>
        <v>0</v>
      </c>
      <c r="DJ170" s="7">
        <f t="shared" si="874"/>
        <v>0</v>
      </c>
      <c r="DK170" s="64">
        <f t="shared" ref="DK170:DS170" si="875">IFERROR(VALUE(DK475),"-")</f>
        <v>0</v>
      </c>
      <c r="DL170" s="64">
        <f t="shared" si="875"/>
        <v>0</v>
      </c>
      <c r="DM170" s="64">
        <f t="shared" si="875"/>
        <v>0</v>
      </c>
      <c r="DN170" s="64">
        <f t="shared" si="875"/>
        <v>0</v>
      </c>
      <c r="DO170" s="64">
        <f t="shared" si="875"/>
        <v>0</v>
      </c>
      <c r="DP170" s="64">
        <f t="shared" si="875"/>
        <v>0</v>
      </c>
      <c r="DQ170" s="64">
        <f t="shared" si="875"/>
        <v>0</v>
      </c>
      <c r="DR170" s="64">
        <f t="shared" si="875"/>
        <v>0</v>
      </c>
      <c r="DS170" s="64">
        <f t="shared" si="875"/>
        <v>0</v>
      </c>
      <c r="DT170">
        <f t="shared" si="669"/>
        <v>0</v>
      </c>
      <c r="DU170" s="10">
        <f t="shared" si="670"/>
        <v>0</v>
      </c>
    </row>
    <row r="171" spans="1:125" x14ac:dyDescent="0.25">
      <c r="A171" t="s">
        <v>60</v>
      </c>
      <c r="B171" s="2">
        <v>44798</v>
      </c>
      <c r="C171" s="1">
        <v>250</v>
      </c>
      <c r="D171">
        <v>43</v>
      </c>
      <c r="G171" t="str">
        <f t="array" ref="G171">IFERROR(INDEX($A$2:$A$700,MATCH(0,COUNTIF($G$1:G170,$A$2:$A$700),0)),"")</f>
        <v>SBIN</v>
      </c>
      <c r="M171" s="3"/>
      <c r="N171" s="3"/>
      <c r="O171" s="3">
        <f t="shared" si="671"/>
        <v>0</v>
      </c>
      <c r="P171" s="7">
        <f t="shared" ref="P171:CA171" si="876">IFERROR(VALUE(P476),"-")</f>
        <v>0</v>
      </c>
      <c r="Q171" s="7">
        <f t="shared" si="876"/>
        <v>0</v>
      </c>
      <c r="R171" s="7">
        <f t="shared" si="876"/>
        <v>0</v>
      </c>
      <c r="S171" s="7">
        <f t="shared" si="876"/>
        <v>0</v>
      </c>
      <c r="T171" s="11">
        <f t="shared" si="876"/>
        <v>0</v>
      </c>
      <c r="U171" s="11">
        <f t="shared" si="876"/>
        <v>0</v>
      </c>
      <c r="V171" s="11">
        <f t="shared" si="876"/>
        <v>0</v>
      </c>
      <c r="W171" s="11">
        <f t="shared" si="876"/>
        <v>0</v>
      </c>
      <c r="X171" s="14">
        <f t="shared" si="876"/>
        <v>0</v>
      </c>
      <c r="Y171" s="14">
        <f t="shared" si="876"/>
        <v>0</v>
      </c>
      <c r="Z171" s="14">
        <f t="shared" si="876"/>
        <v>0</v>
      </c>
      <c r="AA171" s="14">
        <f t="shared" si="876"/>
        <v>0</v>
      </c>
      <c r="AB171" s="15">
        <f t="shared" si="876"/>
        <v>0</v>
      </c>
      <c r="AC171" s="15">
        <f t="shared" si="876"/>
        <v>0</v>
      </c>
      <c r="AD171" s="13">
        <f t="shared" si="876"/>
        <v>0</v>
      </c>
      <c r="AE171" s="13">
        <f t="shared" si="876"/>
        <v>0</v>
      </c>
      <c r="AF171" s="12">
        <f t="shared" si="876"/>
        <v>0</v>
      </c>
      <c r="AG171" s="12">
        <f t="shared" si="876"/>
        <v>0</v>
      </c>
      <c r="AH171" s="13">
        <f t="shared" si="876"/>
        <v>0</v>
      </c>
      <c r="AI171" s="13">
        <f t="shared" si="876"/>
        <v>0</v>
      </c>
      <c r="AJ171" s="11">
        <f t="shared" si="876"/>
        <v>0</v>
      </c>
      <c r="AK171" s="11">
        <f t="shared" si="876"/>
        <v>0</v>
      </c>
      <c r="AL171" s="11">
        <f t="shared" si="876"/>
        <v>0</v>
      </c>
      <c r="AM171" s="11">
        <f t="shared" si="876"/>
        <v>0</v>
      </c>
      <c r="AN171" s="11">
        <f t="shared" si="876"/>
        <v>0</v>
      </c>
      <c r="AO171" s="11">
        <f t="shared" si="876"/>
        <v>0</v>
      </c>
      <c r="AP171" s="11">
        <f t="shared" si="876"/>
        <v>0</v>
      </c>
      <c r="AQ171" s="11">
        <f t="shared" si="876"/>
        <v>0</v>
      </c>
      <c r="AR171" s="16">
        <f t="shared" si="876"/>
        <v>0</v>
      </c>
      <c r="AS171" s="16">
        <f t="shared" si="876"/>
        <v>0</v>
      </c>
      <c r="AT171" s="16">
        <f t="shared" si="876"/>
        <v>0</v>
      </c>
      <c r="AU171" s="7">
        <f t="shared" si="876"/>
        <v>0</v>
      </c>
      <c r="AV171" s="7">
        <f t="shared" si="876"/>
        <v>0</v>
      </c>
      <c r="AW171" s="7">
        <f t="shared" si="876"/>
        <v>0</v>
      </c>
      <c r="AX171" s="7">
        <f t="shared" si="876"/>
        <v>0</v>
      </c>
      <c r="AY171" s="11">
        <f t="shared" si="876"/>
        <v>0</v>
      </c>
      <c r="AZ171" s="16">
        <f t="shared" si="876"/>
        <v>0</v>
      </c>
      <c r="BA171" s="16">
        <f t="shared" si="876"/>
        <v>0</v>
      </c>
      <c r="BB171" s="16">
        <f t="shared" si="876"/>
        <v>0</v>
      </c>
      <c r="BC171" s="11">
        <f t="shared" si="876"/>
        <v>0</v>
      </c>
      <c r="BD171" s="11">
        <f t="shared" si="876"/>
        <v>0</v>
      </c>
      <c r="BE171" s="11">
        <f t="shared" si="876"/>
        <v>0</v>
      </c>
      <c r="BF171" s="11">
        <f t="shared" si="876"/>
        <v>0</v>
      </c>
      <c r="BG171" s="11">
        <f t="shared" si="876"/>
        <v>0</v>
      </c>
      <c r="BH171" s="11">
        <f t="shared" si="876"/>
        <v>0</v>
      </c>
      <c r="BI171" s="13">
        <f t="shared" si="876"/>
        <v>0</v>
      </c>
      <c r="BJ171" s="13">
        <f t="shared" si="876"/>
        <v>0</v>
      </c>
      <c r="BK171" s="11">
        <f t="shared" si="876"/>
        <v>0</v>
      </c>
      <c r="BL171" s="12">
        <f t="shared" si="876"/>
        <v>0</v>
      </c>
      <c r="BM171" s="12">
        <f t="shared" si="876"/>
        <v>0</v>
      </c>
      <c r="BN171" s="13">
        <f t="shared" si="876"/>
        <v>0</v>
      </c>
      <c r="BO171" s="13">
        <f t="shared" si="876"/>
        <v>0</v>
      </c>
      <c r="BP171" s="15">
        <f t="shared" si="876"/>
        <v>0</v>
      </c>
      <c r="BQ171" s="15">
        <f t="shared" si="876"/>
        <v>0</v>
      </c>
      <c r="BR171" s="14">
        <f t="shared" si="876"/>
        <v>0</v>
      </c>
      <c r="BS171" s="14">
        <f t="shared" si="876"/>
        <v>0</v>
      </c>
      <c r="BT171" s="14">
        <f t="shared" si="876"/>
        <v>0</v>
      </c>
      <c r="BU171" s="14">
        <f t="shared" si="876"/>
        <v>0</v>
      </c>
      <c r="BV171" s="11">
        <f t="shared" si="876"/>
        <v>0</v>
      </c>
      <c r="BW171" s="11">
        <f t="shared" si="876"/>
        <v>0</v>
      </c>
      <c r="BX171" s="11">
        <f t="shared" si="876"/>
        <v>0</v>
      </c>
      <c r="BY171" s="11">
        <f t="shared" si="876"/>
        <v>0</v>
      </c>
      <c r="BZ171" s="7">
        <f t="shared" si="876"/>
        <v>0</v>
      </c>
      <c r="CA171" s="7">
        <f t="shared" si="876"/>
        <v>0</v>
      </c>
      <c r="CB171" s="7">
        <f t="shared" ref="CB171:CP171" si="877">IFERROR(VALUE(CB476),"-")</f>
        <v>0</v>
      </c>
      <c r="CC171" s="7">
        <f t="shared" si="877"/>
        <v>0</v>
      </c>
      <c r="CD171" s="7">
        <f t="shared" si="877"/>
        <v>0</v>
      </c>
      <c r="CE171" s="3">
        <f t="shared" si="877"/>
        <v>0</v>
      </c>
      <c r="CF171" s="7">
        <f t="shared" si="877"/>
        <v>0</v>
      </c>
      <c r="CG171" s="3">
        <f t="shared" si="877"/>
        <v>0</v>
      </c>
      <c r="CH171" s="7">
        <f t="shared" si="877"/>
        <v>0</v>
      </c>
      <c r="CI171" s="7">
        <f t="shared" si="877"/>
        <v>0</v>
      </c>
      <c r="CJ171" s="3">
        <f t="shared" si="877"/>
        <v>0</v>
      </c>
      <c r="CK171" s="7">
        <f t="shared" si="877"/>
        <v>0</v>
      </c>
      <c r="CL171" s="3">
        <f t="shared" si="877"/>
        <v>0</v>
      </c>
      <c r="CM171" s="7">
        <f t="shared" si="877"/>
        <v>0</v>
      </c>
      <c r="CN171" s="10">
        <f t="shared" si="877"/>
        <v>0</v>
      </c>
      <c r="CO171" s="10">
        <f t="shared" si="877"/>
        <v>0</v>
      </c>
      <c r="CP171" s="7">
        <f t="shared" si="877"/>
        <v>0</v>
      </c>
      <c r="CQ171" s="7">
        <f t="shared" ref="CQ171" si="878">IFERROR(CQ476,"-")</f>
        <v>0</v>
      </c>
      <c r="CR171" s="10">
        <f t="shared" si="818"/>
        <v>0</v>
      </c>
      <c r="CS171" s="7">
        <f t="shared" si="818"/>
        <v>0</v>
      </c>
      <c r="CT171" s="7">
        <f t="shared" si="818"/>
        <v>0</v>
      </c>
      <c r="CU171" s="7">
        <f t="shared" si="818"/>
        <v>0</v>
      </c>
      <c r="CV171" s="7">
        <f t="shared" si="818"/>
        <v>0</v>
      </c>
      <c r="CW171" s="7">
        <f t="shared" si="818"/>
        <v>0</v>
      </c>
      <c r="CX171" s="7">
        <f t="shared" si="818"/>
        <v>0</v>
      </c>
      <c r="CY171" s="7">
        <f t="shared" si="818"/>
        <v>0</v>
      </c>
      <c r="CZ171" s="7">
        <f t="shared" si="818"/>
        <v>0</v>
      </c>
      <c r="DA171" s="7">
        <f t="shared" si="818"/>
        <v>0</v>
      </c>
      <c r="DB171" s="7">
        <f t="shared" si="818"/>
        <v>0</v>
      </c>
      <c r="DC171" s="7">
        <f t="shared" si="818"/>
        <v>0</v>
      </c>
      <c r="DD171" s="7">
        <f t="shared" si="818"/>
        <v>0</v>
      </c>
      <c r="DE171" s="7">
        <f t="shared" si="818"/>
        <v>0</v>
      </c>
      <c r="DF171" s="7">
        <f t="shared" si="818"/>
        <v>0</v>
      </c>
      <c r="DG171" s="7">
        <f t="shared" si="818"/>
        <v>0</v>
      </c>
      <c r="DH171" s="7">
        <f t="shared" ref="DH171:DJ171" si="879">IFERROR(DH476,"-")</f>
        <v>0</v>
      </c>
      <c r="DI171" s="7">
        <f t="shared" si="879"/>
        <v>0</v>
      </c>
      <c r="DJ171" s="7">
        <f t="shared" si="879"/>
        <v>0</v>
      </c>
      <c r="DK171" s="64">
        <f t="shared" ref="DK171:DS171" si="880">IFERROR(VALUE(DK476),"-")</f>
        <v>0</v>
      </c>
      <c r="DL171" s="64">
        <f t="shared" si="880"/>
        <v>0</v>
      </c>
      <c r="DM171" s="64">
        <f t="shared" si="880"/>
        <v>0</v>
      </c>
      <c r="DN171" s="64">
        <f t="shared" si="880"/>
        <v>0</v>
      </c>
      <c r="DO171" s="64">
        <f t="shared" si="880"/>
        <v>0</v>
      </c>
      <c r="DP171" s="64">
        <f t="shared" si="880"/>
        <v>0</v>
      </c>
      <c r="DQ171" s="64">
        <f t="shared" si="880"/>
        <v>0</v>
      </c>
      <c r="DR171" s="64">
        <f t="shared" si="880"/>
        <v>0</v>
      </c>
      <c r="DS171" s="64">
        <f t="shared" si="880"/>
        <v>0</v>
      </c>
      <c r="DT171">
        <f t="shared" si="669"/>
        <v>0</v>
      </c>
      <c r="DU171" s="10">
        <f t="shared" si="670"/>
        <v>0</v>
      </c>
    </row>
    <row r="172" spans="1:125" x14ac:dyDescent="0.25">
      <c r="A172" t="s">
        <v>60</v>
      </c>
      <c r="B172" s="2">
        <v>44833</v>
      </c>
      <c r="C172" s="1">
        <v>250</v>
      </c>
      <c r="D172">
        <v>43</v>
      </c>
      <c r="G172" t="str">
        <f t="array" ref="G172">IFERROR(INDEX($A$2:$A$700,MATCH(0,COUNTIF($G$1:G171,$A$2:$A$700),0)),"")</f>
        <v>SHREECEM</v>
      </c>
      <c r="M172" s="3"/>
      <c r="N172" s="3"/>
      <c r="O172" s="3">
        <f t="shared" si="671"/>
        <v>0</v>
      </c>
      <c r="P172" s="7">
        <f t="shared" ref="P172:CA172" si="881">IFERROR(VALUE(P477),"-")</f>
        <v>0</v>
      </c>
      <c r="Q172" s="7">
        <f t="shared" si="881"/>
        <v>0</v>
      </c>
      <c r="R172" s="7">
        <f t="shared" si="881"/>
        <v>0</v>
      </c>
      <c r="S172" s="7">
        <f t="shared" si="881"/>
        <v>0</v>
      </c>
      <c r="T172" s="11">
        <f t="shared" si="881"/>
        <v>0</v>
      </c>
      <c r="U172" s="11">
        <f t="shared" si="881"/>
        <v>0</v>
      </c>
      <c r="V172" s="11">
        <f t="shared" si="881"/>
        <v>0</v>
      </c>
      <c r="W172" s="11">
        <f t="shared" si="881"/>
        <v>0</v>
      </c>
      <c r="X172" s="14">
        <f t="shared" si="881"/>
        <v>0</v>
      </c>
      <c r="Y172" s="14">
        <f t="shared" si="881"/>
        <v>0</v>
      </c>
      <c r="Z172" s="14">
        <f t="shared" si="881"/>
        <v>0</v>
      </c>
      <c r="AA172" s="14">
        <f t="shared" si="881"/>
        <v>0</v>
      </c>
      <c r="AB172" s="15">
        <f t="shared" si="881"/>
        <v>0</v>
      </c>
      <c r="AC172" s="15">
        <f t="shared" si="881"/>
        <v>0</v>
      </c>
      <c r="AD172" s="13">
        <f t="shared" si="881"/>
        <v>0</v>
      </c>
      <c r="AE172" s="13">
        <f t="shared" si="881"/>
        <v>0</v>
      </c>
      <c r="AF172" s="12">
        <f t="shared" si="881"/>
        <v>0</v>
      </c>
      <c r="AG172" s="12">
        <f t="shared" si="881"/>
        <v>0</v>
      </c>
      <c r="AH172" s="13">
        <f t="shared" si="881"/>
        <v>0</v>
      </c>
      <c r="AI172" s="13">
        <f t="shared" si="881"/>
        <v>0</v>
      </c>
      <c r="AJ172" s="11">
        <f t="shared" si="881"/>
        <v>0</v>
      </c>
      <c r="AK172" s="11">
        <f t="shared" si="881"/>
        <v>0</v>
      </c>
      <c r="AL172" s="11">
        <f t="shared" si="881"/>
        <v>0</v>
      </c>
      <c r="AM172" s="11">
        <f t="shared" si="881"/>
        <v>0</v>
      </c>
      <c r="AN172" s="11">
        <f t="shared" si="881"/>
        <v>0</v>
      </c>
      <c r="AO172" s="11">
        <f t="shared" si="881"/>
        <v>0</v>
      </c>
      <c r="AP172" s="11">
        <f t="shared" si="881"/>
        <v>0</v>
      </c>
      <c r="AQ172" s="11">
        <f t="shared" si="881"/>
        <v>0</v>
      </c>
      <c r="AR172" s="16">
        <f t="shared" si="881"/>
        <v>0</v>
      </c>
      <c r="AS172" s="16">
        <f t="shared" si="881"/>
        <v>0</v>
      </c>
      <c r="AT172" s="16">
        <f t="shared" si="881"/>
        <v>0</v>
      </c>
      <c r="AU172" s="7">
        <f t="shared" si="881"/>
        <v>0</v>
      </c>
      <c r="AV172" s="7">
        <f t="shared" si="881"/>
        <v>0</v>
      </c>
      <c r="AW172" s="7">
        <f t="shared" si="881"/>
        <v>0</v>
      </c>
      <c r="AX172" s="7">
        <f t="shared" si="881"/>
        <v>0</v>
      </c>
      <c r="AY172" s="11">
        <f t="shared" si="881"/>
        <v>0</v>
      </c>
      <c r="AZ172" s="16">
        <f t="shared" si="881"/>
        <v>0</v>
      </c>
      <c r="BA172" s="16">
        <f t="shared" si="881"/>
        <v>0</v>
      </c>
      <c r="BB172" s="16">
        <f t="shared" si="881"/>
        <v>0</v>
      </c>
      <c r="BC172" s="11">
        <f t="shared" si="881"/>
        <v>0</v>
      </c>
      <c r="BD172" s="11">
        <f t="shared" si="881"/>
        <v>0</v>
      </c>
      <c r="BE172" s="11">
        <f t="shared" si="881"/>
        <v>0</v>
      </c>
      <c r="BF172" s="11">
        <f t="shared" si="881"/>
        <v>0</v>
      </c>
      <c r="BG172" s="11">
        <f t="shared" si="881"/>
        <v>0</v>
      </c>
      <c r="BH172" s="11">
        <f t="shared" si="881"/>
        <v>0</v>
      </c>
      <c r="BI172" s="13">
        <f t="shared" si="881"/>
        <v>0</v>
      </c>
      <c r="BJ172" s="13">
        <f t="shared" si="881"/>
        <v>0</v>
      </c>
      <c r="BK172" s="11">
        <f t="shared" si="881"/>
        <v>0</v>
      </c>
      <c r="BL172" s="12">
        <f t="shared" si="881"/>
        <v>0</v>
      </c>
      <c r="BM172" s="12">
        <f t="shared" si="881"/>
        <v>0</v>
      </c>
      <c r="BN172" s="13">
        <f t="shared" si="881"/>
        <v>0</v>
      </c>
      <c r="BO172" s="13">
        <f t="shared" si="881"/>
        <v>0</v>
      </c>
      <c r="BP172" s="15">
        <f t="shared" si="881"/>
        <v>0</v>
      </c>
      <c r="BQ172" s="15">
        <f t="shared" si="881"/>
        <v>0</v>
      </c>
      <c r="BR172" s="14">
        <f t="shared" si="881"/>
        <v>0</v>
      </c>
      <c r="BS172" s="14">
        <f t="shared" si="881"/>
        <v>0</v>
      </c>
      <c r="BT172" s="14">
        <f t="shared" si="881"/>
        <v>0</v>
      </c>
      <c r="BU172" s="14">
        <f t="shared" si="881"/>
        <v>0</v>
      </c>
      <c r="BV172" s="11">
        <f t="shared" si="881"/>
        <v>0</v>
      </c>
      <c r="BW172" s="11">
        <f t="shared" si="881"/>
        <v>0</v>
      </c>
      <c r="BX172" s="11">
        <f t="shared" si="881"/>
        <v>0</v>
      </c>
      <c r="BY172" s="11">
        <f t="shared" si="881"/>
        <v>0</v>
      </c>
      <c r="BZ172" s="7">
        <f t="shared" si="881"/>
        <v>0</v>
      </c>
      <c r="CA172" s="7">
        <f t="shared" si="881"/>
        <v>0</v>
      </c>
      <c r="CB172" s="7">
        <f t="shared" ref="CB172:CP172" si="882">IFERROR(VALUE(CB477),"-")</f>
        <v>0</v>
      </c>
      <c r="CC172" s="7">
        <f t="shared" si="882"/>
        <v>0</v>
      </c>
      <c r="CD172" s="7">
        <f t="shared" si="882"/>
        <v>0</v>
      </c>
      <c r="CE172" s="3">
        <f t="shared" si="882"/>
        <v>0</v>
      </c>
      <c r="CF172" s="7">
        <f t="shared" si="882"/>
        <v>0</v>
      </c>
      <c r="CG172" s="3">
        <f t="shared" si="882"/>
        <v>0</v>
      </c>
      <c r="CH172" s="7">
        <f t="shared" si="882"/>
        <v>0</v>
      </c>
      <c r="CI172" s="7">
        <f t="shared" si="882"/>
        <v>0</v>
      </c>
      <c r="CJ172" s="3">
        <f t="shared" si="882"/>
        <v>0</v>
      </c>
      <c r="CK172" s="7">
        <f t="shared" si="882"/>
        <v>0</v>
      </c>
      <c r="CL172" s="3">
        <f t="shared" si="882"/>
        <v>0</v>
      </c>
      <c r="CM172" s="7">
        <f t="shared" si="882"/>
        <v>0</v>
      </c>
      <c r="CN172" s="10">
        <f t="shared" si="882"/>
        <v>0</v>
      </c>
      <c r="CO172" s="10">
        <f t="shared" si="882"/>
        <v>0</v>
      </c>
      <c r="CP172" s="7">
        <f t="shared" si="882"/>
        <v>0</v>
      </c>
      <c r="CQ172" s="7">
        <f t="shared" ref="CQ172" si="883">IFERROR(CQ477,"-")</f>
        <v>0</v>
      </c>
      <c r="CR172" s="10">
        <f t="shared" si="818"/>
        <v>0</v>
      </c>
      <c r="CS172" s="7">
        <f t="shared" si="818"/>
        <v>0</v>
      </c>
      <c r="CT172" s="7">
        <f t="shared" si="818"/>
        <v>0</v>
      </c>
      <c r="CU172" s="7">
        <f t="shared" si="818"/>
        <v>0</v>
      </c>
      <c r="CV172" s="7">
        <f t="shared" si="818"/>
        <v>0</v>
      </c>
      <c r="CW172" s="7">
        <f t="shared" si="818"/>
        <v>0</v>
      </c>
      <c r="CX172" s="7">
        <f t="shared" si="818"/>
        <v>0</v>
      </c>
      <c r="CY172" s="7">
        <f t="shared" si="818"/>
        <v>0</v>
      </c>
      <c r="CZ172" s="7">
        <f t="shared" si="818"/>
        <v>0</v>
      </c>
      <c r="DA172" s="7">
        <f t="shared" si="818"/>
        <v>0</v>
      </c>
      <c r="DB172" s="7">
        <f t="shared" si="818"/>
        <v>0</v>
      </c>
      <c r="DC172" s="7">
        <f t="shared" si="818"/>
        <v>0</v>
      </c>
      <c r="DD172" s="7">
        <f t="shared" si="818"/>
        <v>0</v>
      </c>
      <c r="DE172" s="7">
        <f t="shared" si="818"/>
        <v>0</v>
      </c>
      <c r="DF172" s="7">
        <f t="shared" si="818"/>
        <v>0</v>
      </c>
      <c r="DG172" s="7">
        <f t="shared" si="818"/>
        <v>0</v>
      </c>
      <c r="DH172" s="7">
        <f t="shared" ref="DH172:DJ172" si="884">IFERROR(DH477,"-")</f>
        <v>0</v>
      </c>
      <c r="DI172" s="7">
        <f t="shared" si="884"/>
        <v>0</v>
      </c>
      <c r="DJ172" s="7">
        <f t="shared" si="884"/>
        <v>0</v>
      </c>
      <c r="DK172" s="64">
        <f t="shared" ref="DK172:DS172" si="885">IFERROR(VALUE(DK477),"-")</f>
        <v>0</v>
      </c>
      <c r="DL172" s="64">
        <f t="shared" si="885"/>
        <v>0</v>
      </c>
      <c r="DM172" s="64">
        <f t="shared" si="885"/>
        <v>0</v>
      </c>
      <c r="DN172" s="64">
        <f t="shared" si="885"/>
        <v>0</v>
      </c>
      <c r="DO172" s="64">
        <f t="shared" si="885"/>
        <v>0</v>
      </c>
      <c r="DP172" s="64">
        <f t="shared" si="885"/>
        <v>0</v>
      </c>
      <c r="DQ172" s="64">
        <f t="shared" si="885"/>
        <v>0</v>
      </c>
      <c r="DR172" s="64">
        <f t="shared" si="885"/>
        <v>0</v>
      </c>
      <c r="DS172" s="64">
        <f t="shared" si="885"/>
        <v>0</v>
      </c>
      <c r="DT172">
        <f t="shared" si="669"/>
        <v>0</v>
      </c>
      <c r="DU172" s="10">
        <f t="shared" si="670"/>
        <v>0</v>
      </c>
    </row>
    <row r="173" spans="1:125" x14ac:dyDescent="0.25">
      <c r="A173" t="s">
        <v>60</v>
      </c>
      <c r="B173" s="2">
        <v>44861</v>
      </c>
      <c r="C173" s="1">
        <v>250</v>
      </c>
      <c r="D173">
        <v>43</v>
      </c>
      <c r="G173" t="str">
        <f t="array" ref="G173">IFERROR(INDEX($A$2:$A$700,MATCH(0,COUNTIF($G$1:G172,$A$2:$A$700),0)),"")</f>
        <v>SIEMENS</v>
      </c>
      <c r="M173" s="3"/>
      <c r="N173" s="3"/>
      <c r="O173" s="3">
        <f t="shared" si="671"/>
        <v>0</v>
      </c>
      <c r="P173" s="7">
        <f t="shared" ref="P173:CA173" si="886">IFERROR(VALUE(P478),"-")</f>
        <v>0</v>
      </c>
      <c r="Q173" s="7">
        <f t="shared" si="886"/>
        <v>0</v>
      </c>
      <c r="R173" s="7">
        <f t="shared" si="886"/>
        <v>0</v>
      </c>
      <c r="S173" s="7">
        <f t="shared" si="886"/>
        <v>0</v>
      </c>
      <c r="T173" s="11">
        <f t="shared" si="886"/>
        <v>0</v>
      </c>
      <c r="U173" s="11">
        <f t="shared" si="886"/>
        <v>0</v>
      </c>
      <c r="V173" s="11">
        <f t="shared" si="886"/>
        <v>0</v>
      </c>
      <c r="W173" s="11">
        <f t="shared" si="886"/>
        <v>0</v>
      </c>
      <c r="X173" s="14">
        <f t="shared" si="886"/>
        <v>0</v>
      </c>
      <c r="Y173" s="14">
        <f t="shared" si="886"/>
        <v>0</v>
      </c>
      <c r="Z173" s="14">
        <f t="shared" si="886"/>
        <v>0</v>
      </c>
      <c r="AA173" s="14">
        <f t="shared" si="886"/>
        <v>0</v>
      </c>
      <c r="AB173" s="15">
        <f t="shared" si="886"/>
        <v>0</v>
      </c>
      <c r="AC173" s="15">
        <f t="shared" si="886"/>
        <v>0</v>
      </c>
      <c r="AD173" s="13">
        <f t="shared" si="886"/>
        <v>0</v>
      </c>
      <c r="AE173" s="13">
        <f t="shared" si="886"/>
        <v>0</v>
      </c>
      <c r="AF173" s="12">
        <f t="shared" si="886"/>
        <v>0</v>
      </c>
      <c r="AG173" s="12">
        <f t="shared" si="886"/>
        <v>0</v>
      </c>
      <c r="AH173" s="13">
        <f t="shared" si="886"/>
        <v>0</v>
      </c>
      <c r="AI173" s="13">
        <f t="shared" si="886"/>
        <v>0</v>
      </c>
      <c r="AJ173" s="11">
        <f t="shared" si="886"/>
        <v>0</v>
      </c>
      <c r="AK173" s="11">
        <f t="shared" si="886"/>
        <v>0</v>
      </c>
      <c r="AL173" s="11">
        <f t="shared" si="886"/>
        <v>0</v>
      </c>
      <c r="AM173" s="11">
        <f t="shared" si="886"/>
        <v>0</v>
      </c>
      <c r="AN173" s="11">
        <f t="shared" si="886"/>
        <v>0</v>
      </c>
      <c r="AO173" s="11">
        <f t="shared" si="886"/>
        <v>0</v>
      </c>
      <c r="AP173" s="11">
        <f t="shared" si="886"/>
        <v>0</v>
      </c>
      <c r="AQ173" s="11">
        <f t="shared" si="886"/>
        <v>0</v>
      </c>
      <c r="AR173" s="16">
        <f t="shared" si="886"/>
        <v>0</v>
      </c>
      <c r="AS173" s="16">
        <f t="shared" si="886"/>
        <v>0</v>
      </c>
      <c r="AT173" s="16">
        <f t="shared" si="886"/>
        <v>0</v>
      </c>
      <c r="AU173" s="7">
        <f t="shared" si="886"/>
        <v>0</v>
      </c>
      <c r="AV173" s="7">
        <f t="shared" si="886"/>
        <v>0</v>
      </c>
      <c r="AW173" s="7">
        <f t="shared" si="886"/>
        <v>0</v>
      </c>
      <c r="AX173" s="7">
        <f t="shared" si="886"/>
        <v>0</v>
      </c>
      <c r="AY173" s="11">
        <f t="shared" si="886"/>
        <v>0</v>
      </c>
      <c r="AZ173" s="16">
        <f t="shared" si="886"/>
        <v>0</v>
      </c>
      <c r="BA173" s="16">
        <f t="shared" si="886"/>
        <v>0</v>
      </c>
      <c r="BB173" s="16">
        <f t="shared" si="886"/>
        <v>0</v>
      </c>
      <c r="BC173" s="11">
        <f t="shared" si="886"/>
        <v>0</v>
      </c>
      <c r="BD173" s="11">
        <f t="shared" si="886"/>
        <v>0</v>
      </c>
      <c r="BE173" s="11">
        <f t="shared" si="886"/>
        <v>0</v>
      </c>
      <c r="BF173" s="11">
        <f t="shared" si="886"/>
        <v>0</v>
      </c>
      <c r="BG173" s="11">
        <f t="shared" si="886"/>
        <v>0</v>
      </c>
      <c r="BH173" s="11">
        <f t="shared" si="886"/>
        <v>0</v>
      </c>
      <c r="BI173" s="13">
        <f t="shared" si="886"/>
        <v>0</v>
      </c>
      <c r="BJ173" s="13">
        <f t="shared" si="886"/>
        <v>0</v>
      </c>
      <c r="BK173" s="11">
        <f t="shared" si="886"/>
        <v>0</v>
      </c>
      <c r="BL173" s="12">
        <f t="shared" si="886"/>
        <v>0</v>
      </c>
      <c r="BM173" s="12">
        <f t="shared" si="886"/>
        <v>0</v>
      </c>
      <c r="BN173" s="13">
        <f t="shared" si="886"/>
        <v>0</v>
      </c>
      <c r="BO173" s="13">
        <f t="shared" si="886"/>
        <v>0</v>
      </c>
      <c r="BP173" s="15">
        <f t="shared" si="886"/>
        <v>0</v>
      </c>
      <c r="BQ173" s="15">
        <f t="shared" si="886"/>
        <v>0</v>
      </c>
      <c r="BR173" s="14">
        <f t="shared" si="886"/>
        <v>0</v>
      </c>
      <c r="BS173" s="14">
        <f t="shared" si="886"/>
        <v>0</v>
      </c>
      <c r="BT173" s="14">
        <f t="shared" si="886"/>
        <v>0</v>
      </c>
      <c r="BU173" s="14">
        <f t="shared" si="886"/>
        <v>0</v>
      </c>
      <c r="BV173" s="11">
        <f t="shared" si="886"/>
        <v>0</v>
      </c>
      <c r="BW173" s="11">
        <f t="shared" si="886"/>
        <v>0</v>
      </c>
      <c r="BX173" s="11">
        <f t="shared" si="886"/>
        <v>0</v>
      </c>
      <c r="BY173" s="11">
        <f t="shared" si="886"/>
        <v>0</v>
      </c>
      <c r="BZ173" s="7">
        <f t="shared" si="886"/>
        <v>0</v>
      </c>
      <c r="CA173" s="7">
        <f t="shared" si="886"/>
        <v>0</v>
      </c>
      <c r="CB173" s="7">
        <f t="shared" ref="CB173:CP173" si="887">IFERROR(VALUE(CB478),"-")</f>
        <v>0</v>
      </c>
      <c r="CC173" s="7">
        <f t="shared" si="887"/>
        <v>0</v>
      </c>
      <c r="CD173" s="7">
        <f t="shared" si="887"/>
        <v>0</v>
      </c>
      <c r="CE173" s="3">
        <f t="shared" si="887"/>
        <v>0</v>
      </c>
      <c r="CF173" s="7">
        <f t="shared" si="887"/>
        <v>0</v>
      </c>
      <c r="CG173" s="3">
        <f t="shared" si="887"/>
        <v>0</v>
      </c>
      <c r="CH173" s="7">
        <f t="shared" si="887"/>
        <v>0</v>
      </c>
      <c r="CI173" s="7">
        <f t="shared" si="887"/>
        <v>0</v>
      </c>
      <c r="CJ173" s="3">
        <f t="shared" si="887"/>
        <v>0</v>
      </c>
      <c r="CK173" s="7">
        <f t="shared" si="887"/>
        <v>0</v>
      </c>
      <c r="CL173" s="3">
        <f t="shared" si="887"/>
        <v>0</v>
      </c>
      <c r="CM173" s="7">
        <f t="shared" si="887"/>
        <v>0</v>
      </c>
      <c r="CN173" s="10">
        <f t="shared" si="887"/>
        <v>0</v>
      </c>
      <c r="CO173" s="10">
        <f t="shared" si="887"/>
        <v>0</v>
      </c>
      <c r="CP173" s="7">
        <f t="shared" si="887"/>
        <v>0</v>
      </c>
      <c r="CQ173" s="7">
        <f t="shared" ref="CQ173" si="888">IFERROR(CQ478,"-")</f>
        <v>0</v>
      </c>
      <c r="CR173" s="10">
        <f t="shared" si="818"/>
        <v>0</v>
      </c>
      <c r="CS173" s="7">
        <f t="shared" si="818"/>
        <v>0</v>
      </c>
      <c r="CT173" s="7">
        <f t="shared" si="818"/>
        <v>0</v>
      </c>
      <c r="CU173" s="7">
        <f t="shared" si="818"/>
        <v>0</v>
      </c>
      <c r="CV173" s="7">
        <f t="shared" si="818"/>
        <v>0</v>
      </c>
      <c r="CW173" s="7">
        <f t="shared" si="818"/>
        <v>0</v>
      </c>
      <c r="CX173" s="7">
        <f t="shared" si="818"/>
        <v>0</v>
      </c>
      <c r="CY173" s="7">
        <f t="shared" si="818"/>
        <v>0</v>
      </c>
      <c r="CZ173" s="7">
        <f t="shared" si="818"/>
        <v>0</v>
      </c>
      <c r="DA173" s="7">
        <f t="shared" si="818"/>
        <v>0</v>
      </c>
      <c r="DB173" s="7">
        <f t="shared" si="818"/>
        <v>0</v>
      </c>
      <c r="DC173" s="7">
        <f t="shared" si="818"/>
        <v>0</v>
      </c>
      <c r="DD173" s="7">
        <f t="shared" si="818"/>
        <v>0</v>
      </c>
      <c r="DE173" s="7">
        <f t="shared" si="818"/>
        <v>0</v>
      </c>
      <c r="DF173" s="7">
        <f t="shared" si="818"/>
        <v>0</v>
      </c>
      <c r="DG173" s="7">
        <f t="shared" si="818"/>
        <v>0</v>
      </c>
      <c r="DH173" s="7">
        <f t="shared" ref="DH173:DJ173" si="889">IFERROR(DH478,"-")</f>
        <v>0</v>
      </c>
      <c r="DI173" s="7">
        <f t="shared" si="889"/>
        <v>0</v>
      </c>
      <c r="DJ173" s="7">
        <f t="shared" si="889"/>
        <v>0</v>
      </c>
      <c r="DK173" s="64">
        <f t="shared" ref="DK173:DS173" si="890">IFERROR(VALUE(DK478),"-")</f>
        <v>0</v>
      </c>
      <c r="DL173" s="64">
        <f t="shared" si="890"/>
        <v>0</v>
      </c>
      <c r="DM173" s="64">
        <f t="shared" si="890"/>
        <v>0</v>
      </c>
      <c r="DN173" s="64">
        <f t="shared" si="890"/>
        <v>0</v>
      </c>
      <c r="DO173" s="64">
        <f t="shared" si="890"/>
        <v>0</v>
      </c>
      <c r="DP173" s="64">
        <f t="shared" si="890"/>
        <v>0</v>
      </c>
      <c r="DQ173" s="64">
        <f t="shared" si="890"/>
        <v>0</v>
      </c>
      <c r="DR173" s="64">
        <f t="shared" si="890"/>
        <v>0</v>
      </c>
      <c r="DS173" s="64">
        <f t="shared" si="890"/>
        <v>0</v>
      </c>
      <c r="DT173">
        <f t="shared" si="669"/>
        <v>0</v>
      </c>
      <c r="DU173" s="10">
        <f t="shared" si="670"/>
        <v>0</v>
      </c>
    </row>
    <row r="174" spans="1:125" x14ac:dyDescent="0.25">
      <c r="A174" t="s">
        <v>61</v>
      </c>
      <c r="B174" s="2">
        <v>44798</v>
      </c>
      <c r="C174" s="1">
        <v>2300</v>
      </c>
      <c r="D174">
        <v>57</v>
      </c>
      <c r="G174" t="str">
        <f t="array" ref="G174">IFERROR(INDEX($A$2:$A$700,MATCH(0,COUNTIF($G$1:G173,$A$2:$A$700),0)),"")</f>
        <v>SRF</v>
      </c>
      <c r="M174" s="3"/>
      <c r="N174" s="3"/>
      <c r="O174" s="3">
        <f t="shared" si="671"/>
        <v>0</v>
      </c>
      <c r="P174" s="7">
        <f t="shared" ref="P174:CA174" si="891">IFERROR(VALUE(P479),"-")</f>
        <v>0</v>
      </c>
      <c r="Q174" s="7">
        <f t="shared" si="891"/>
        <v>0</v>
      </c>
      <c r="R174" s="7">
        <f t="shared" si="891"/>
        <v>0</v>
      </c>
      <c r="S174" s="7">
        <f t="shared" si="891"/>
        <v>0</v>
      </c>
      <c r="T174" s="11">
        <f t="shared" si="891"/>
        <v>0</v>
      </c>
      <c r="U174" s="11">
        <f t="shared" si="891"/>
        <v>0</v>
      </c>
      <c r="V174" s="11">
        <f t="shared" si="891"/>
        <v>0</v>
      </c>
      <c r="W174" s="11">
        <f t="shared" si="891"/>
        <v>0</v>
      </c>
      <c r="X174" s="14">
        <f t="shared" si="891"/>
        <v>0</v>
      </c>
      <c r="Y174" s="14">
        <f t="shared" si="891"/>
        <v>0</v>
      </c>
      <c r="Z174" s="14">
        <f t="shared" si="891"/>
        <v>0</v>
      </c>
      <c r="AA174" s="14">
        <f t="shared" si="891"/>
        <v>0</v>
      </c>
      <c r="AB174" s="15">
        <f t="shared" si="891"/>
        <v>0</v>
      </c>
      <c r="AC174" s="15">
        <f t="shared" si="891"/>
        <v>0</v>
      </c>
      <c r="AD174" s="13">
        <f t="shared" si="891"/>
        <v>0</v>
      </c>
      <c r="AE174" s="13">
        <f t="shared" si="891"/>
        <v>0</v>
      </c>
      <c r="AF174" s="12">
        <f t="shared" si="891"/>
        <v>0</v>
      </c>
      <c r="AG174" s="12">
        <f t="shared" si="891"/>
        <v>0</v>
      </c>
      <c r="AH174" s="13">
        <f t="shared" si="891"/>
        <v>0</v>
      </c>
      <c r="AI174" s="13">
        <f t="shared" si="891"/>
        <v>0</v>
      </c>
      <c r="AJ174" s="11">
        <f t="shared" si="891"/>
        <v>0</v>
      </c>
      <c r="AK174" s="11">
        <f t="shared" si="891"/>
        <v>0</v>
      </c>
      <c r="AL174" s="11">
        <f t="shared" si="891"/>
        <v>0</v>
      </c>
      <c r="AM174" s="11">
        <f t="shared" si="891"/>
        <v>0</v>
      </c>
      <c r="AN174" s="11">
        <f t="shared" si="891"/>
        <v>0</v>
      </c>
      <c r="AO174" s="11">
        <f t="shared" si="891"/>
        <v>0</v>
      </c>
      <c r="AP174" s="11">
        <f t="shared" si="891"/>
        <v>0</v>
      </c>
      <c r="AQ174" s="11">
        <f t="shared" si="891"/>
        <v>0</v>
      </c>
      <c r="AR174" s="16">
        <f t="shared" si="891"/>
        <v>0</v>
      </c>
      <c r="AS174" s="16">
        <f t="shared" si="891"/>
        <v>0</v>
      </c>
      <c r="AT174" s="16">
        <f t="shared" si="891"/>
        <v>0</v>
      </c>
      <c r="AU174" s="7">
        <f t="shared" si="891"/>
        <v>0</v>
      </c>
      <c r="AV174" s="7">
        <f t="shared" si="891"/>
        <v>0</v>
      </c>
      <c r="AW174" s="7">
        <f t="shared" si="891"/>
        <v>0</v>
      </c>
      <c r="AX174" s="7">
        <f t="shared" si="891"/>
        <v>0</v>
      </c>
      <c r="AY174" s="11">
        <f t="shared" si="891"/>
        <v>0</v>
      </c>
      <c r="AZ174" s="16">
        <f t="shared" si="891"/>
        <v>0</v>
      </c>
      <c r="BA174" s="16">
        <f t="shared" si="891"/>
        <v>0</v>
      </c>
      <c r="BB174" s="16">
        <f t="shared" si="891"/>
        <v>0</v>
      </c>
      <c r="BC174" s="11">
        <f t="shared" si="891"/>
        <v>0</v>
      </c>
      <c r="BD174" s="11">
        <f t="shared" si="891"/>
        <v>0</v>
      </c>
      <c r="BE174" s="11">
        <f t="shared" si="891"/>
        <v>0</v>
      </c>
      <c r="BF174" s="11">
        <f t="shared" si="891"/>
        <v>0</v>
      </c>
      <c r="BG174" s="11">
        <f t="shared" si="891"/>
        <v>0</v>
      </c>
      <c r="BH174" s="11">
        <f t="shared" si="891"/>
        <v>0</v>
      </c>
      <c r="BI174" s="13">
        <f t="shared" si="891"/>
        <v>0</v>
      </c>
      <c r="BJ174" s="13">
        <f t="shared" si="891"/>
        <v>0</v>
      </c>
      <c r="BK174" s="11">
        <f t="shared" si="891"/>
        <v>0</v>
      </c>
      <c r="BL174" s="12">
        <f t="shared" si="891"/>
        <v>0</v>
      </c>
      <c r="BM174" s="12">
        <f t="shared" si="891"/>
        <v>0</v>
      </c>
      <c r="BN174" s="13">
        <f t="shared" si="891"/>
        <v>0</v>
      </c>
      <c r="BO174" s="13">
        <f t="shared" si="891"/>
        <v>0</v>
      </c>
      <c r="BP174" s="15">
        <f t="shared" si="891"/>
        <v>0</v>
      </c>
      <c r="BQ174" s="15">
        <f t="shared" si="891"/>
        <v>0</v>
      </c>
      <c r="BR174" s="14">
        <f t="shared" si="891"/>
        <v>0</v>
      </c>
      <c r="BS174" s="14">
        <f t="shared" si="891"/>
        <v>0</v>
      </c>
      <c r="BT174" s="14">
        <f t="shared" si="891"/>
        <v>0</v>
      </c>
      <c r="BU174" s="14">
        <f t="shared" si="891"/>
        <v>0</v>
      </c>
      <c r="BV174" s="11">
        <f t="shared" si="891"/>
        <v>0</v>
      </c>
      <c r="BW174" s="11">
        <f t="shared" si="891"/>
        <v>0</v>
      </c>
      <c r="BX174" s="11">
        <f t="shared" si="891"/>
        <v>0</v>
      </c>
      <c r="BY174" s="11">
        <f t="shared" si="891"/>
        <v>0</v>
      </c>
      <c r="BZ174" s="7">
        <f t="shared" si="891"/>
        <v>0</v>
      </c>
      <c r="CA174" s="7">
        <f t="shared" si="891"/>
        <v>0</v>
      </c>
      <c r="CB174" s="7">
        <f t="shared" ref="CB174:CP174" si="892">IFERROR(VALUE(CB479),"-")</f>
        <v>0</v>
      </c>
      <c r="CC174" s="7">
        <f t="shared" si="892"/>
        <v>0</v>
      </c>
      <c r="CD174" s="7">
        <f t="shared" si="892"/>
        <v>0</v>
      </c>
      <c r="CE174" s="3">
        <f t="shared" si="892"/>
        <v>0</v>
      </c>
      <c r="CF174" s="7">
        <f t="shared" si="892"/>
        <v>0</v>
      </c>
      <c r="CG174" s="3">
        <f t="shared" si="892"/>
        <v>0</v>
      </c>
      <c r="CH174" s="7">
        <f t="shared" si="892"/>
        <v>0</v>
      </c>
      <c r="CI174" s="7">
        <f t="shared" si="892"/>
        <v>0</v>
      </c>
      <c r="CJ174" s="3">
        <f t="shared" si="892"/>
        <v>0</v>
      </c>
      <c r="CK174" s="7">
        <f t="shared" si="892"/>
        <v>0</v>
      </c>
      <c r="CL174" s="3">
        <f t="shared" si="892"/>
        <v>0</v>
      </c>
      <c r="CM174" s="7">
        <f t="shared" si="892"/>
        <v>0</v>
      </c>
      <c r="CN174" s="10">
        <f t="shared" si="892"/>
        <v>0</v>
      </c>
      <c r="CO174" s="10">
        <f t="shared" si="892"/>
        <v>0</v>
      </c>
      <c r="CP174" s="7">
        <f t="shared" si="892"/>
        <v>0</v>
      </c>
      <c r="CQ174" s="7">
        <f t="shared" ref="CQ174" si="893">IFERROR(CQ479,"-")</f>
        <v>0</v>
      </c>
      <c r="CR174" s="10">
        <f t="shared" si="818"/>
        <v>0</v>
      </c>
      <c r="CS174" s="7">
        <f t="shared" si="818"/>
        <v>0</v>
      </c>
      <c r="CT174" s="7">
        <f t="shared" si="818"/>
        <v>0</v>
      </c>
      <c r="CU174" s="7">
        <f t="shared" si="818"/>
        <v>0</v>
      </c>
      <c r="CV174" s="7">
        <f t="shared" si="818"/>
        <v>0</v>
      </c>
      <c r="CW174" s="7">
        <f t="shared" si="818"/>
        <v>0</v>
      </c>
      <c r="CX174" s="7">
        <f t="shared" si="818"/>
        <v>0</v>
      </c>
      <c r="CY174" s="7">
        <f t="shared" si="818"/>
        <v>0</v>
      </c>
      <c r="CZ174" s="7">
        <f t="shared" si="818"/>
        <v>0</v>
      </c>
      <c r="DA174" s="7">
        <f t="shared" si="818"/>
        <v>0</v>
      </c>
      <c r="DB174" s="7">
        <f t="shared" si="818"/>
        <v>0</v>
      </c>
      <c r="DC174" s="7">
        <f t="shared" si="818"/>
        <v>0</v>
      </c>
      <c r="DD174" s="7">
        <f t="shared" si="818"/>
        <v>0</v>
      </c>
      <c r="DE174" s="7">
        <f t="shared" si="818"/>
        <v>0</v>
      </c>
      <c r="DF174" s="7">
        <f t="shared" si="818"/>
        <v>0</v>
      </c>
      <c r="DG174" s="7">
        <f t="shared" ref="DG174" si="894">IFERROR(VALUE(DG479),"-")</f>
        <v>0</v>
      </c>
      <c r="DH174" s="7">
        <f t="shared" ref="DH174:DJ174" si="895">IFERROR(DH479,"-")</f>
        <v>0</v>
      </c>
      <c r="DI174" s="7">
        <f t="shared" si="895"/>
        <v>0</v>
      </c>
      <c r="DJ174" s="7">
        <f t="shared" si="895"/>
        <v>0</v>
      </c>
      <c r="DK174" s="64">
        <f t="shared" ref="DK174:DS174" si="896">IFERROR(VALUE(DK479),"-")</f>
        <v>0</v>
      </c>
      <c r="DL174" s="64">
        <f t="shared" si="896"/>
        <v>0</v>
      </c>
      <c r="DM174" s="64">
        <f t="shared" si="896"/>
        <v>0</v>
      </c>
      <c r="DN174" s="64">
        <f t="shared" si="896"/>
        <v>0</v>
      </c>
      <c r="DO174" s="64">
        <f t="shared" si="896"/>
        <v>0</v>
      </c>
      <c r="DP174" s="64">
        <f t="shared" si="896"/>
        <v>0</v>
      </c>
      <c r="DQ174" s="64">
        <f t="shared" si="896"/>
        <v>0</v>
      </c>
      <c r="DR174" s="64">
        <f t="shared" si="896"/>
        <v>0</v>
      </c>
      <c r="DS174" s="64">
        <f t="shared" si="896"/>
        <v>0</v>
      </c>
      <c r="DT174">
        <f t="shared" si="669"/>
        <v>0</v>
      </c>
      <c r="DU174" s="10">
        <f t="shared" si="670"/>
        <v>0</v>
      </c>
    </row>
    <row r="175" spans="1:125" x14ac:dyDescent="0.25">
      <c r="A175" t="s">
        <v>61</v>
      </c>
      <c r="B175" s="2">
        <v>44833</v>
      </c>
      <c r="C175" s="1">
        <v>2300</v>
      </c>
      <c r="D175">
        <v>57</v>
      </c>
      <c r="G175" t="str">
        <f t="array" ref="G175">IFERROR(INDEX($A$2:$A$700,MATCH(0,COUNTIF($G$1:G174,$A$2:$A$700),0)),"")</f>
        <v>SRTRANSFIN</v>
      </c>
      <c r="M175" s="3"/>
      <c r="N175" s="3"/>
      <c r="O175" s="3">
        <f t="shared" si="671"/>
        <v>0</v>
      </c>
      <c r="P175" s="7">
        <f t="shared" ref="P175:CA175" si="897">IFERROR(VALUE(P480),"-")</f>
        <v>0</v>
      </c>
      <c r="Q175" s="7">
        <f t="shared" si="897"/>
        <v>0</v>
      </c>
      <c r="R175" s="7">
        <f t="shared" si="897"/>
        <v>0</v>
      </c>
      <c r="S175" s="7">
        <f t="shared" si="897"/>
        <v>0</v>
      </c>
      <c r="T175" s="11">
        <f t="shared" si="897"/>
        <v>0</v>
      </c>
      <c r="U175" s="11">
        <f t="shared" si="897"/>
        <v>0</v>
      </c>
      <c r="V175" s="11">
        <f t="shared" si="897"/>
        <v>0</v>
      </c>
      <c r="W175" s="11">
        <f t="shared" si="897"/>
        <v>0</v>
      </c>
      <c r="X175" s="14">
        <f t="shared" si="897"/>
        <v>0</v>
      </c>
      <c r="Y175" s="14">
        <f t="shared" si="897"/>
        <v>0</v>
      </c>
      <c r="Z175" s="14">
        <f t="shared" si="897"/>
        <v>0</v>
      </c>
      <c r="AA175" s="14">
        <f t="shared" si="897"/>
        <v>0</v>
      </c>
      <c r="AB175" s="15">
        <f t="shared" si="897"/>
        <v>0</v>
      </c>
      <c r="AC175" s="15">
        <f t="shared" si="897"/>
        <v>0</v>
      </c>
      <c r="AD175" s="13">
        <f t="shared" si="897"/>
        <v>0</v>
      </c>
      <c r="AE175" s="13">
        <f t="shared" si="897"/>
        <v>0</v>
      </c>
      <c r="AF175" s="12">
        <f t="shared" si="897"/>
        <v>0</v>
      </c>
      <c r="AG175" s="12">
        <f t="shared" si="897"/>
        <v>0</v>
      </c>
      <c r="AH175" s="13">
        <f t="shared" si="897"/>
        <v>0</v>
      </c>
      <c r="AI175" s="13">
        <f t="shared" si="897"/>
        <v>0</v>
      </c>
      <c r="AJ175" s="11">
        <f t="shared" si="897"/>
        <v>0</v>
      </c>
      <c r="AK175" s="11">
        <f t="shared" si="897"/>
        <v>0</v>
      </c>
      <c r="AL175" s="11">
        <f t="shared" si="897"/>
        <v>0</v>
      </c>
      <c r="AM175" s="11">
        <f t="shared" si="897"/>
        <v>0</v>
      </c>
      <c r="AN175" s="11">
        <f t="shared" si="897"/>
        <v>0</v>
      </c>
      <c r="AO175" s="11">
        <f t="shared" si="897"/>
        <v>0</v>
      </c>
      <c r="AP175" s="11">
        <f t="shared" si="897"/>
        <v>0</v>
      </c>
      <c r="AQ175" s="11">
        <f t="shared" si="897"/>
        <v>0</v>
      </c>
      <c r="AR175" s="16">
        <f t="shared" si="897"/>
        <v>0</v>
      </c>
      <c r="AS175" s="16">
        <f t="shared" si="897"/>
        <v>0</v>
      </c>
      <c r="AT175" s="16">
        <f t="shared" si="897"/>
        <v>0</v>
      </c>
      <c r="AU175" s="7">
        <f t="shared" si="897"/>
        <v>0</v>
      </c>
      <c r="AV175" s="7">
        <f t="shared" si="897"/>
        <v>0</v>
      </c>
      <c r="AW175" s="7">
        <f t="shared" si="897"/>
        <v>0</v>
      </c>
      <c r="AX175" s="7">
        <f t="shared" si="897"/>
        <v>0</v>
      </c>
      <c r="AY175" s="11">
        <f t="shared" si="897"/>
        <v>0</v>
      </c>
      <c r="AZ175" s="16">
        <f t="shared" si="897"/>
        <v>0</v>
      </c>
      <c r="BA175" s="16">
        <f t="shared" si="897"/>
        <v>0</v>
      </c>
      <c r="BB175" s="16">
        <f t="shared" si="897"/>
        <v>0</v>
      </c>
      <c r="BC175" s="11">
        <f t="shared" si="897"/>
        <v>0</v>
      </c>
      <c r="BD175" s="11">
        <f t="shared" si="897"/>
        <v>0</v>
      </c>
      <c r="BE175" s="11">
        <f t="shared" si="897"/>
        <v>0</v>
      </c>
      <c r="BF175" s="11">
        <f t="shared" si="897"/>
        <v>0</v>
      </c>
      <c r="BG175" s="11">
        <f t="shared" si="897"/>
        <v>0</v>
      </c>
      <c r="BH175" s="11">
        <f t="shared" si="897"/>
        <v>0</v>
      </c>
      <c r="BI175" s="13">
        <f t="shared" si="897"/>
        <v>0</v>
      </c>
      <c r="BJ175" s="13">
        <f t="shared" si="897"/>
        <v>0</v>
      </c>
      <c r="BK175" s="11">
        <f t="shared" si="897"/>
        <v>0</v>
      </c>
      <c r="BL175" s="12">
        <f t="shared" si="897"/>
        <v>0</v>
      </c>
      <c r="BM175" s="12">
        <f t="shared" si="897"/>
        <v>0</v>
      </c>
      <c r="BN175" s="13">
        <f t="shared" si="897"/>
        <v>0</v>
      </c>
      <c r="BO175" s="13">
        <f t="shared" si="897"/>
        <v>0</v>
      </c>
      <c r="BP175" s="15">
        <f t="shared" si="897"/>
        <v>0</v>
      </c>
      <c r="BQ175" s="15">
        <f t="shared" si="897"/>
        <v>0</v>
      </c>
      <c r="BR175" s="14">
        <f t="shared" si="897"/>
        <v>0</v>
      </c>
      <c r="BS175" s="14">
        <f t="shared" si="897"/>
        <v>0</v>
      </c>
      <c r="BT175" s="14">
        <f t="shared" si="897"/>
        <v>0</v>
      </c>
      <c r="BU175" s="14">
        <f t="shared" si="897"/>
        <v>0</v>
      </c>
      <c r="BV175" s="11">
        <f t="shared" si="897"/>
        <v>0</v>
      </c>
      <c r="BW175" s="11">
        <f t="shared" si="897"/>
        <v>0</v>
      </c>
      <c r="BX175" s="11">
        <f t="shared" si="897"/>
        <v>0</v>
      </c>
      <c r="BY175" s="11">
        <f t="shared" si="897"/>
        <v>0</v>
      </c>
      <c r="BZ175" s="7">
        <f t="shared" si="897"/>
        <v>0</v>
      </c>
      <c r="CA175" s="7">
        <f t="shared" si="897"/>
        <v>0</v>
      </c>
      <c r="CB175" s="7">
        <f t="shared" ref="CB175:CP175" si="898">IFERROR(VALUE(CB480),"-")</f>
        <v>0</v>
      </c>
      <c r="CC175" s="7">
        <f t="shared" si="898"/>
        <v>0</v>
      </c>
      <c r="CD175" s="7">
        <f t="shared" si="898"/>
        <v>0</v>
      </c>
      <c r="CE175" s="3">
        <f t="shared" si="898"/>
        <v>0</v>
      </c>
      <c r="CF175" s="7">
        <f t="shared" si="898"/>
        <v>0</v>
      </c>
      <c r="CG175" s="3">
        <f t="shared" si="898"/>
        <v>0</v>
      </c>
      <c r="CH175" s="7">
        <f t="shared" si="898"/>
        <v>0</v>
      </c>
      <c r="CI175" s="7">
        <f t="shared" si="898"/>
        <v>0</v>
      </c>
      <c r="CJ175" s="3">
        <f t="shared" si="898"/>
        <v>0</v>
      </c>
      <c r="CK175" s="7">
        <f t="shared" si="898"/>
        <v>0</v>
      </c>
      <c r="CL175" s="3">
        <f t="shared" si="898"/>
        <v>0</v>
      </c>
      <c r="CM175" s="7">
        <f t="shared" si="898"/>
        <v>0</v>
      </c>
      <c r="CN175" s="10">
        <f t="shared" si="898"/>
        <v>0</v>
      </c>
      <c r="CO175" s="10">
        <f t="shared" si="898"/>
        <v>0</v>
      </c>
      <c r="CP175" s="7">
        <f t="shared" si="898"/>
        <v>0</v>
      </c>
      <c r="CQ175" s="7">
        <f t="shared" ref="CQ175" si="899">IFERROR(CQ480,"-")</f>
        <v>0</v>
      </c>
      <c r="CR175" s="10">
        <f t="shared" ref="CR175:DG190" si="900">IFERROR(VALUE(CR480),"-")</f>
        <v>0</v>
      </c>
      <c r="CS175" s="7">
        <f t="shared" si="900"/>
        <v>0</v>
      </c>
      <c r="CT175" s="7">
        <f t="shared" si="900"/>
        <v>0</v>
      </c>
      <c r="CU175" s="7">
        <f t="shared" si="900"/>
        <v>0</v>
      </c>
      <c r="CV175" s="7">
        <f t="shared" si="900"/>
        <v>0</v>
      </c>
      <c r="CW175" s="7">
        <f t="shared" si="900"/>
        <v>0</v>
      </c>
      <c r="CX175" s="7">
        <f t="shared" si="900"/>
        <v>0</v>
      </c>
      <c r="CY175" s="7">
        <f t="shared" si="900"/>
        <v>0</v>
      </c>
      <c r="CZ175" s="7">
        <f t="shared" si="900"/>
        <v>0</v>
      </c>
      <c r="DA175" s="7">
        <f t="shared" si="900"/>
        <v>0</v>
      </c>
      <c r="DB175" s="7">
        <f t="shared" si="900"/>
        <v>0</v>
      </c>
      <c r="DC175" s="7">
        <f t="shared" si="900"/>
        <v>0</v>
      </c>
      <c r="DD175" s="7">
        <f t="shared" si="900"/>
        <v>0</v>
      </c>
      <c r="DE175" s="7">
        <f t="shared" si="900"/>
        <v>0</v>
      </c>
      <c r="DF175" s="7">
        <f t="shared" si="900"/>
        <v>0</v>
      </c>
      <c r="DG175" s="7">
        <f t="shared" si="900"/>
        <v>0</v>
      </c>
      <c r="DH175" s="7">
        <f t="shared" ref="DH175:DJ175" si="901">IFERROR(DH480,"-")</f>
        <v>0</v>
      </c>
      <c r="DI175" s="7">
        <f t="shared" si="901"/>
        <v>0</v>
      </c>
      <c r="DJ175" s="7">
        <f t="shared" si="901"/>
        <v>0</v>
      </c>
      <c r="DK175" s="64">
        <f t="shared" ref="DK175:DS175" si="902">IFERROR(VALUE(DK480),"-")</f>
        <v>0</v>
      </c>
      <c r="DL175" s="64">
        <f t="shared" si="902"/>
        <v>0</v>
      </c>
      <c r="DM175" s="64">
        <f t="shared" si="902"/>
        <v>0</v>
      </c>
      <c r="DN175" s="64">
        <f t="shared" si="902"/>
        <v>0</v>
      </c>
      <c r="DO175" s="64">
        <f t="shared" si="902"/>
        <v>0</v>
      </c>
      <c r="DP175" s="64">
        <f t="shared" si="902"/>
        <v>0</v>
      </c>
      <c r="DQ175" s="64">
        <f t="shared" si="902"/>
        <v>0</v>
      </c>
      <c r="DR175" s="64">
        <f t="shared" si="902"/>
        <v>0</v>
      </c>
      <c r="DS175" s="64">
        <f t="shared" si="902"/>
        <v>0</v>
      </c>
      <c r="DT175">
        <f t="shared" si="669"/>
        <v>0</v>
      </c>
      <c r="DU175" s="10">
        <f t="shared" si="670"/>
        <v>0</v>
      </c>
    </row>
    <row r="176" spans="1:125" x14ac:dyDescent="0.25">
      <c r="A176" t="s">
        <v>61</v>
      </c>
      <c r="B176" s="2">
        <v>44861</v>
      </c>
      <c r="C176" s="1">
        <v>2300</v>
      </c>
      <c r="D176">
        <v>57</v>
      </c>
      <c r="G176" t="str">
        <f t="array" ref="G176">IFERROR(INDEX($A$2:$A$700,MATCH(0,COUNTIF($G$1:G175,$A$2:$A$700),0)),"")</f>
        <v>SUNPHARMA</v>
      </c>
      <c r="M176" s="3"/>
      <c r="N176" s="3"/>
      <c r="O176" s="3">
        <f t="shared" si="671"/>
        <v>0</v>
      </c>
      <c r="P176" s="7">
        <f t="shared" ref="P176:CA176" si="903">IFERROR(VALUE(P481),"-")</f>
        <v>0</v>
      </c>
      <c r="Q176" s="7">
        <f t="shared" si="903"/>
        <v>0</v>
      </c>
      <c r="R176" s="7">
        <f t="shared" si="903"/>
        <v>0</v>
      </c>
      <c r="S176" s="7">
        <f t="shared" si="903"/>
        <v>0</v>
      </c>
      <c r="T176" s="11">
        <f t="shared" si="903"/>
        <v>0</v>
      </c>
      <c r="U176" s="11">
        <f t="shared" si="903"/>
        <v>0</v>
      </c>
      <c r="V176" s="11">
        <f t="shared" si="903"/>
        <v>0</v>
      </c>
      <c r="W176" s="11">
        <f t="shared" si="903"/>
        <v>0</v>
      </c>
      <c r="X176" s="14">
        <f t="shared" si="903"/>
        <v>0</v>
      </c>
      <c r="Y176" s="14">
        <f t="shared" si="903"/>
        <v>0</v>
      </c>
      <c r="Z176" s="14">
        <f t="shared" si="903"/>
        <v>0</v>
      </c>
      <c r="AA176" s="14">
        <f t="shared" si="903"/>
        <v>0</v>
      </c>
      <c r="AB176" s="15">
        <f t="shared" si="903"/>
        <v>0</v>
      </c>
      <c r="AC176" s="15">
        <f t="shared" si="903"/>
        <v>0</v>
      </c>
      <c r="AD176" s="13">
        <f t="shared" si="903"/>
        <v>0</v>
      </c>
      <c r="AE176" s="13">
        <f t="shared" si="903"/>
        <v>0</v>
      </c>
      <c r="AF176" s="12">
        <f t="shared" si="903"/>
        <v>0</v>
      </c>
      <c r="AG176" s="12">
        <f t="shared" si="903"/>
        <v>0</v>
      </c>
      <c r="AH176" s="13">
        <f t="shared" si="903"/>
        <v>0</v>
      </c>
      <c r="AI176" s="13">
        <f t="shared" si="903"/>
        <v>0</v>
      </c>
      <c r="AJ176" s="11">
        <f t="shared" si="903"/>
        <v>0</v>
      </c>
      <c r="AK176" s="11">
        <f t="shared" si="903"/>
        <v>0</v>
      </c>
      <c r="AL176" s="11">
        <f t="shared" si="903"/>
        <v>0</v>
      </c>
      <c r="AM176" s="11">
        <f t="shared" si="903"/>
        <v>0</v>
      </c>
      <c r="AN176" s="11">
        <f t="shared" si="903"/>
        <v>0</v>
      </c>
      <c r="AO176" s="11">
        <f t="shared" si="903"/>
        <v>0</v>
      </c>
      <c r="AP176" s="11">
        <f t="shared" si="903"/>
        <v>0</v>
      </c>
      <c r="AQ176" s="11">
        <f t="shared" si="903"/>
        <v>0</v>
      </c>
      <c r="AR176" s="16">
        <f t="shared" si="903"/>
        <v>0</v>
      </c>
      <c r="AS176" s="16">
        <f t="shared" si="903"/>
        <v>0</v>
      </c>
      <c r="AT176" s="16">
        <f t="shared" si="903"/>
        <v>0</v>
      </c>
      <c r="AU176" s="7">
        <f t="shared" si="903"/>
        <v>0</v>
      </c>
      <c r="AV176" s="7">
        <f t="shared" si="903"/>
        <v>0</v>
      </c>
      <c r="AW176" s="7">
        <f t="shared" si="903"/>
        <v>0</v>
      </c>
      <c r="AX176" s="7">
        <f t="shared" si="903"/>
        <v>0</v>
      </c>
      <c r="AY176" s="11">
        <f t="shared" si="903"/>
        <v>0</v>
      </c>
      <c r="AZ176" s="16">
        <f t="shared" si="903"/>
        <v>0</v>
      </c>
      <c r="BA176" s="16">
        <f t="shared" si="903"/>
        <v>0</v>
      </c>
      <c r="BB176" s="16">
        <f t="shared" si="903"/>
        <v>0</v>
      </c>
      <c r="BC176" s="11">
        <f t="shared" si="903"/>
        <v>0</v>
      </c>
      <c r="BD176" s="11">
        <f t="shared" si="903"/>
        <v>0</v>
      </c>
      <c r="BE176" s="11">
        <f t="shared" si="903"/>
        <v>0</v>
      </c>
      <c r="BF176" s="11">
        <f t="shared" si="903"/>
        <v>0</v>
      </c>
      <c r="BG176" s="11">
        <f t="shared" si="903"/>
        <v>0</v>
      </c>
      <c r="BH176" s="11">
        <f t="shared" si="903"/>
        <v>0</v>
      </c>
      <c r="BI176" s="13">
        <f t="shared" si="903"/>
        <v>0</v>
      </c>
      <c r="BJ176" s="13">
        <f t="shared" si="903"/>
        <v>0</v>
      </c>
      <c r="BK176" s="11">
        <f t="shared" si="903"/>
        <v>0</v>
      </c>
      <c r="BL176" s="12">
        <f t="shared" si="903"/>
        <v>0</v>
      </c>
      <c r="BM176" s="12">
        <f t="shared" si="903"/>
        <v>0</v>
      </c>
      <c r="BN176" s="13">
        <f t="shared" si="903"/>
        <v>0</v>
      </c>
      <c r="BO176" s="13">
        <f t="shared" si="903"/>
        <v>0</v>
      </c>
      <c r="BP176" s="15">
        <f t="shared" si="903"/>
        <v>0</v>
      </c>
      <c r="BQ176" s="15">
        <f t="shared" si="903"/>
        <v>0</v>
      </c>
      <c r="BR176" s="14">
        <f t="shared" si="903"/>
        <v>0</v>
      </c>
      <c r="BS176" s="14">
        <f t="shared" si="903"/>
        <v>0</v>
      </c>
      <c r="BT176" s="14">
        <f t="shared" si="903"/>
        <v>0</v>
      </c>
      <c r="BU176" s="14">
        <f t="shared" si="903"/>
        <v>0</v>
      </c>
      <c r="BV176" s="11">
        <f t="shared" si="903"/>
        <v>0</v>
      </c>
      <c r="BW176" s="11">
        <f t="shared" si="903"/>
        <v>0</v>
      </c>
      <c r="BX176" s="11">
        <f t="shared" si="903"/>
        <v>0</v>
      </c>
      <c r="BY176" s="11">
        <f t="shared" si="903"/>
        <v>0</v>
      </c>
      <c r="BZ176" s="7">
        <f t="shared" si="903"/>
        <v>0</v>
      </c>
      <c r="CA176" s="7">
        <f t="shared" si="903"/>
        <v>0</v>
      </c>
      <c r="CB176" s="7">
        <f t="shared" ref="CB176:CP176" si="904">IFERROR(VALUE(CB481),"-")</f>
        <v>0</v>
      </c>
      <c r="CC176" s="7">
        <f t="shared" si="904"/>
        <v>0</v>
      </c>
      <c r="CD176" s="7">
        <f t="shared" si="904"/>
        <v>0</v>
      </c>
      <c r="CE176" s="3">
        <f t="shared" si="904"/>
        <v>0</v>
      </c>
      <c r="CF176" s="7">
        <f t="shared" si="904"/>
        <v>0</v>
      </c>
      <c r="CG176" s="3">
        <f t="shared" si="904"/>
        <v>0</v>
      </c>
      <c r="CH176" s="7">
        <f t="shared" si="904"/>
        <v>0</v>
      </c>
      <c r="CI176" s="7">
        <f t="shared" si="904"/>
        <v>0</v>
      </c>
      <c r="CJ176" s="3">
        <f t="shared" si="904"/>
        <v>0</v>
      </c>
      <c r="CK176" s="7">
        <f t="shared" si="904"/>
        <v>0</v>
      </c>
      <c r="CL176" s="3">
        <f t="shared" si="904"/>
        <v>0</v>
      </c>
      <c r="CM176" s="7">
        <f t="shared" si="904"/>
        <v>0</v>
      </c>
      <c r="CN176" s="10">
        <f t="shared" si="904"/>
        <v>0</v>
      </c>
      <c r="CO176" s="10">
        <f t="shared" si="904"/>
        <v>0</v>
      </c>
      <c r="CP176" s="7">
        <f t="shared" si="904"/>
        <v>0</v>
      </c>
      <c r="CQ176" s="7">
        <f t="shared" ref="CQ176" si="905">IFERROR(CQ481,"-")</f>
        <v>0</v>
      </c>
      <c r="CR176" s="10">
        <f t="shared" si="900"/>
        <v>0</v>
      </c>
      <c r="CS176" s="7">
        <f t="shared" si="900"/>
        <v>0</v>
      </c>
      <c r="CT176" s="7">
        <f t="shared" si="900"/>
        <v>0</v>
      </c>
      <c r="CU176" s="7">
        <f t="shared" si="900"/>
        <v>0</v>
      </c>
      <c r="CV176" s="7">
        <f t="shared" si="900"/>
        <v>0</v>
      </c>
      <c r="CW176" s="7">
        <f t="shared" si="900"/>
        <v>0</v>
      </c>
      <c r="CX176" s="7">
        <f t="shared" si="900"/>
        <v>0</v>
      </c>
      <c r="CY176" s="7">
        <f t="shared" si="900"/>
        <v>0</v>
      </c>
      <c r="CZ176" s="7">
        <f t="shared" si="900"/>
        <v>0</v>
      </c>
      <c r="DA176" s="7">
        <f t="shared" si="900"/>
        <v>0</v>
      </c>
      <c r="DB176" s="7">
        <f t="shared" si="900"/>
        <v>0</v>
      </c>
      <c r="DC176" s="7">
        <f t="shared" si="900"/>
        <v>0</v>
      </c>
      <c r="DD176" s="7">
        <f t="shared" si="900"/>
        <v>0</v>
      </c>
      <c r="DE176" s="7">
        <f t="shared" si="900"/>
        <v>0</v>
      </c>
      <c r="DF176" s="7">
        <f t="shared" si="900"/>
        <v>0</v>
      </c>
      <c r="DG176" s="7">
        <f t="shared" si="900"/>
        <v>0</v>
      </c>
      <c r="DH176" s="7">
        <f t="shared" ref="DH176:DJ176" si="906">IFERROR(DH481,"-")</f>
        <v>0</v>
      </c>
      <c r="DI176" s="7">
        <f t="shared" si="906"/>
        <v>0</v>
      </c>
      <c r="DJ176" s="7">
        <f t="shared" si="906"/>
        <v>0</v>
      </c>
      <c r="DK176" s="64">
        <f t="shared" ref="DK176:DS176" si="907">IFERROR(VALUE(DK481),"-")</f>
        <v>0</v>
      </c>
      <c r="DL176" s="64">
        <f t="shared" si="907"/>
        <v>0</v>
      </c>
      <c r="DM176" s="64">
        <f t="shared" si="907"/>
        <v>0</v>
      </c>
      <c r="DN176" s="64">
        <f t="shared" si="907"/>
        <v>0</v>
      </c>
      <c r="DO176" s="64">
        <f t="shared" si="907"/>
        <v>0</v>
      </c>
      <c r="DP176" s="64">
        <f t="shared" si="907"/>
        <v>0</v>
      </c>
      <c r="DQ176" s="64">
        <f t="shared" si="907"/>
        <v>0</v>
      </c>
      <c r="DR176" s="64">
        <f t="shared" si="907"/>
        <v>0</v>
      </c>
      <c r="DS176" s="64">
        <f t="shared" si="907"/>
        <v>0</v>
      </c>
      <c r="DT176">
        <f t="shared" si="669"/>
        <v>0</v>
      </c>
      <c r="DU176" s="10">
        <f t="shared" si="670"/>
        <v>0</v>
      </c>
    </row>
    <row r="177" spans="1:125" x14ac:dyDescent="0.25">
      <c r="A177" t="s">
        <v>62</v>
      </c>
      <c r="B177" s="2">
        <v>44798</v>
      </c>
      <c r="C177" s="1">
        <v>150</v>
      </c>
      <c r="D177">
        <v>78</v>
      </c>
      <c r="G177" t="str">
        <f t="array" ref="G177">IFERROR(INDEX($A$2:$A$700,MATCH(0,COUNTIF($G$1:G176,$A$2:$A$700),0)),"")</f>
        <v>SUNTV</v>
      </c>
      <c r="M177" s="3"/>
      <c r="N177" s="3"/>
      <c r="O177" s="3">
        <f t="shared" si="671"/>
        <v>0</v>
      </c>
      <c r="P177" s="7">
        <f t="shared" ref="P177:CA177" si="908">IFERROR(VALUE(P482),"-")</f>
        <v>0</v>
      </c>
      <c r="Q177" s="7">
        <f t="shared" si="908"/>
        <v>0</v>
      </c>
      <c r="R177" s="7">
        <f t="shared" si="908"/>
        <v>0</v>
      </c>
      <c r="S177" s="7">
        <f t="shared" si="908"/>
        <v>0</v>
      </c>
      <c r="T177" s="11">
        <f t="shared" si="908"/>
        <v>0</v>
      </c>
      <c r="U177" s="11">
        <f t="shared" si="908"/>
        <v>0</v>
      </c>
      <c r="V177" s="11">
        <f t="shared" si="908"/>
        <v>0</v>
      </c>
      <c r="W177" s="11">
        <f t="shared" si="908"/>
        <v>0</v>
      </c>
      <c r="X177" s="14">
        <f t="shared" si="908"/>
        <v>0</v>
      </c>
      <c r="Y177" s="14">
        <f t="shared" si="908"/>
        <v>0</v>
      </c>
      <c r="Z177" s="14">
        <f t="shared" si="908"/>
        <v>0</v>
      </c>
      <c r="AA177" s="14">
        <f t="shared" si="908"/>
        <v>0</v>
      </c>
      <c r="AB177" s="15">
        <f t="shared" si="908"/>
        <v>0</v>
      </c>
      <c r="AC177" s="15">
        <f t="shared" si="908"/>
        <v>0</v>
      </c>
      <c r="AD177" s="13">
        <f t="shared" si="908"/>
        <v>0</v>
      </c>
      <c r="AE177" s="13">
        <f t="shared" si="908"/>
        <v>0</v>
      </c>
      <c r="AF177" s="12">
        <f t="shared" si="908"/>
        <v>0</v>
      </c>
      <c r="AG177" s="12">
        <f t="shared" si="908"/>
        <v>0</v>
      </c>
      <c r="AH177" s="13">
        <f t="shared" si="908"/>
        <v>0</v>
      </c>
      <c r="AI177" s="13">
        <f t="shared" si="908"/>
        <v>0</v>
      </c>
      <c r="AJ177" s="11">
        <f t="shared" si="908"/>
        <v>0</v>
      </c>
      <c r="AK177" s="11">
        <f t="shared" si="908"/>
        <v>0</v>
      </c>
      <c r="AL177" s="11">
        <f t="shared" si="908"/>
        <v>0</v>
      </c>
      <c r="AM177" s="11">
        <f t="shared" si="908"/>
        <v>0</v>
      </c>
      <c r="AN177" s="11">
        <f t="shared" si="908"/>
        <v>0</v>
      </c>
      <c r="AO177" s="11">
        <f t="shared" si="908"/>
        <v>0</v>
      </c>
      <c r="AP177" s="11">
        <f t="shared" si="908"/>
        <v>0</v>
      </c>
      <c r="AQ177" s="11">
        <f t="shared" si="908"/>
        <v>0</v>
      </c>
      <c r="AR177" s="16">
        <f t="shared" si="908"/>
        <v>0</v>
      </c>
      <c r="AS177" s="16">
        <f t="shared" si="908"/>
        <v>0</v>
      </c>
      <c r="AT177" s="16">
        <f t="shared" si="908"/>
        <v>0</v>
      </c>
      <c r="AU177" s="7">
        <f t="shared" si="908"/>
        <v>0</v>
      </c>
      <c r="AV177" s="7">
        <f t="shared" si="908"/>
        <v>0</v>
      </c>
      <c r="AW177" s="7">
        <f t="shared" si="908"/>
        <v>0</v>
      </c>
      <c r="AX177" s="7">
        <f t="shared" si="908"/>
        <v>0</v>
      </c>
      <c r="AY177" s="11">
        <f t="shared" si="908"/>
        <v>0</v>
      </c>
      <c r="AZ177" s="16">
        <f t="shared" si="908"/>
        <v>0</v>
      </c>
      <c r="BA177" s="16">
        <f t="shared" si="908"/>
        <v>0</v>
      </c>
      <c r="BB177" s="16">
        <f t="shared" si="908"/>
        <v>0</v>
      </c>
      <c r="BC177" s="11">
        <f t="shared" si="908"/>
        <v>0</v>
      </c>
      <c r="BD177" s="11">
        <f t="shared" si="908"/>
        <v>0</v>
      </c>
      <c r="BE177" s="11">
        <f t="shared" si="908"/>
        <v>0</v>
      </c>
      <c r="BF177" s="11">
        <f t="shared" si="908"/>
        <v>0</v>
      </c>
      <c r="BG177" s="11">
        <f t="shared" si="908"/>
        <v>0</v>
      </c>
      <c r="BH177" s="11">
        <f t="shared" si="908"/>
        <v>0</v>
      </c>
      <c r="BI177" s="13">
        <f t="shared" si="908"/>
        <v>0</v>
      </c>
      <c r="BJ177" s="13">
        <f t="shared" si="908"/>
        <v>0</v>
      </c>
      <c r="BK177" s="11">
        <f t="shared" si="908"/>
        <v>0</v>
      </c>
      <c r="BL177" s="12">
        <f t="shared" si="908"/>
        <v>0</v>
      </c>
      <c r="BM177" s="12">
        <f t="shared" si="908"/>
        <v>0</v>
      </c>
      <c r="BN177" s="13">
        <f t="shared" si="908"/>
        <v>0</v>
      </c>
      <c r="BO177" s="13">
        <f t="shared" si="908"/>
        <v>0</v>
      </c>
      <c r="BP177" s="15">
        <f t="shared" si="908"/>
        <v>0</v>
      </c>
      <c r="BQ177" s="15">
        <f t="shared" si="908"/>
        <v>0</v>
      </c>
      <c r="BR177" s="14">
        <f t="shared" si="908"/>
        <v>0</v>
      </c>
      <c r="BS177" s="14">
        <f t="shared" si="908"/>
        <v>0</v>
      </c>
      <c r="BT177" s="14">
        <f t="shared" si="908"/>
        <v>0</v>
      </c>
      <c r="BU177" s="14">
        <f t="shared" si="908"/>
        <v>0</v>
      </c>
      <c r="BV177" s="11">
        <f t="shared" si="908"/>
        <v>0</v>
      </c>
      <c r="BW177" s="11">
        <f t="shared" si="908"/>
        <v>0</v>
      </c>
      <c r="BX177" s="11">
        <f t="shared" si="908"/>
        <v>0</v>
      </c>
      <c r="BY177" s="11">
        <f t="shared" si="908"/>
        <v>0</v>
      </c>
      <c r="BZ177" s="7">
        <f t="shared" si="908"/>
        <v>0</v>
      </c>
      <c r="CA177" s="7">
        <f t="shared" si="908"/>
        <v>0</v>
      </c>
      <c r="CB177" s="7">
        <f t="shared" ref="CB177:CP177" si="909">IFERROR(VALUE(CB482),"-")</f>
        <v>0</v>
      </c>
      <c r="CC177" s="7">
        <f t="shared" si="909"/>
        <v>0</v>
      </c>
      <c r="CD177" s="7">
        <f t="shared" si="909"/>
        <v>0</v>
      </c>
      <c r="CE177" s="3">
        <f t="shared" si="909"/>
        <v>0</v>
      </c>
      <c r="CF177" s="7">
        <f t="shared" si="909"/>
        <v>0</v>
      </c>
      <c r="CG177" s="3">
        <f t="shared" si="909"/>
        <v>0</v>
      </c>
      <c r="CH177" s="7">
        <f t="shared" si="909"/>
        <v>0</v>
      </c>
      <c r="CI177" s="7">
        <f t="shared" si="909"/>
        <v>0</v>
      </c>
      <c r="CJ177" s="3">
        <f t="shared" si="909"/>
        <v>0</v>
      </c>
      <c r="CK177" s="7">
        <f t="shared" si="909"/>
        <v>0</v>
      </c>
      <c r="CL177" s="3">
        <f t="shared" si="909"/>
        <v>0</v>
      </c>
      <c r="CM177" s="7">
        <f t="shared" si="909"/>
        <v>0</v>
      </c>
      <c r="CN177" s="10">
        <f t="shared" si="909"/>
        <v>0</v>
      </c>
      <c r="CO177" s="10">
        <f t="shared" si="909"/>
        <v>0</v>
      </c>
      <c r="CP177" s="7">
        <f t="shared" si="909"/>
        <v>0</v>
      </c>
      <c r="CQ177" s="7">
        <f t="shared" ref="CQ177" si="910">IFERROR(CQ482,"-")</f>
        <v>0</v>
      </c>
      <c r="CR177" s="10">
        <f t="shared" si="900"/>
        <v>0</v>
      </c>
      <c r="CS177" s="7">
        <f t="shared" si="900"/>
        <v>0</v>
      </c>
      <c r="CT177" s="7">
        <f t="shared" si="900"/>
        <v>0</v>
      </c>
      <c r="CU177" s="7">
        <f t="shared" si="900"/>
        <v>0</v>
      </c>
      <c r="CV177" s="7">
        <f t="shared" si="900"/>
        <v>0</v>
      </c>
      <c r="CW177" s="7">
        <f t="shared" si="900"/>
        <v>0</v>
      </c>
      <c r="CX177" s="7">
        <f t="shared" si="900"/>
        <v>0</v>
      </c>
      <c r="CY177" s="7">
        <f t="shared" si="900"/>
        <v>0</v>
      </c>
      <c r="CZ177" s="7">
        <f t="shared" si="900"/>
        <v>0</v>
      </c>
      <c r="DA177" s="7">
        <f t="shared" si="900"/>
        <v>0</v>
      </c>
      <c r="DB177" s="7">
        <f t="shared" si="900"/>
        <v>0</v>
      </c>
      <c r="DC177" s="7">
        <f t="shared" si="900"/>
        <v>0</v>
      </c>
      <c r="DD177" s="7">
        <f t="shared" si="900"/>
        <v>0</v>
      </c>
      <c r="DE177" s="7">
        <f t="shared" si="900"/>
        <v>0</v>
      </c>
      <c r="DF177" s="7">
        <f t="shared" si="900"/>
        <v>0</v>
      </c>
      <c r="DG177" s="7">
        <f t="shared" si="900"/>
        <v>0</v>
      </c>
      <c r="DH177" s="7">
        <f t="shared" ref="DH177:DJ177" si="911">IFERROR(DH482,"-")</f>
        <v>0</v>
      </c>
      <c r="DI177" s="7">
        <f t="shared" si="911"/>
        <v>0</v>
      </c>
      <c r="DJ177" s="7">
        <f t="shared" si="911"/>
        <v>0</v>
      </c>
      <c r="DK177" s="64">
        <f t="shared" ref="DK177:DS177" si="912">IFERROR(VALUE(DK482),"-")</f>
        <v>0</v>
      </c>
      <c r="DL177" s="64">
        <f t="shared" si="912"/>
        <v>0</v>
      </c>
      <c r="DM177" s="64">
        <f t="shared" si="912"/>
        <v>0</v>
      </c>
      <c r="DN177" s="64">
        <f t="shared" si="912"/>
        <v>0</v>
      </c>
      <c r="DO177" s="64">
        <f t="shared" si="912"/>
        <v>0</v>
      </c>
      <c r="DP177" s="64">
        <f t="shared" si="912"/>
        <v>0</v>
      </c>
      <c r="DQ177" s="64">
        <f t="shared" si="912"/>
        <v>0</v>
      </c>
      <c r="DR177" s="64">
        <f t="shared" si="912"/>
        <v>0</v>
      </c>
      <c r="DS177" s="64">
        <f t="shared" si="912"/>
        <v>0</v>
      </c>
      <c r="DT177">
        <f t="shared" si="669"/>
        <v>0</v>
      </c>
      <c r="DU177" s="10">
        <f t="shared" si="670"/>
        <v>0</v>
      </c>
    </row>
    <row r="178" spans="1:125" x14ac:dyDescent="0.25">
      <c r="A178" t="s">
        <v>62</v>
      </c>
      <c r="B178" s="2">
        <v>44833</v>
      </c>
      <c r="C178" s="1">
        <v>150</v>
      </c>
      <c r="D178">
        <v>78</v>
      </c>
      <c r="G178" t="str">
        <f t="array" ref="G178">IFERROR(INDEX($A$2:$A$700,MATCH(0,COUNTIF($G$1:G177,$A$2:$A$700),0)),"")</f>
        <v>SYNGENE</v>
      </c>
      <c r="M178" s="3"/>
      <c r="N178" s="3"/>
      <c r="O178" s="3">
        <f t="shared" si="671"/>
        <v>0</v>
      </c>
      <c r="P178" s="7">
        <f t="shared" ref="P178:CA178" si="913">IFERROR(VALUE(P483),"-")</f>
        <v>0</v>
      </c>
      <c r="Q178" s="7">
        <f t="shared" si="913"/>
        <v>0</v>
      </c>
      <c r="R178" s="7">
        <f t="shared" si="913"/>
        <v>0</v>
      </c>
      <c r="S178" s="7">
        <f t="shared" si="913"/>
        <v>0</v>
      </c>
      <c r="T178" s="11">
        <f t="shared" si="913"/>
        <v>0</v>
      </c>
      <c r="U178" s="11">
        <f t="shared" si="913"/>
        <v>0</v>
      </c>
      <c r="V178" s="11">
        <f t="shared" si="913"/>
        <v>0</v>
      </c>
      <c r="W178" s="11">
        <f t="shared" si="913"/>
        <v>0</v>
      </c>
      <c r="X178" s="14">
        <f t="shared" si="913"/>
        <v>0</v>
      </c>
      <c r="Y178" s="14">
        <f t="shared" si="913"/>
        <v>0</v>
      </c>
      <c r="Z178" s="14">
        <f t="shared" si="913"/>
        <v>0</v>
      </c>
      <c r="AA178" s="14">
        <f t="shared" si="913"/>
        <v>0</v>
      </c>
      <c r="AB178" s="15">
        <f t="shared" si="913"/>
        <v>0</v>
      </c>
      <c r="AC178" s="15">
        <f t="shared" si="913"/>
        <v>0</v>
      </c>
      <c r="AD178" s="13">
        <f t="shared" si="913"/>
        <v>0</v>
      </c>
      <c r="AE178" s="13">
        <f t="shared" si="913"/>
        <v>0</v>
      </c>
      <c r="AF178" s="12">
        <f t="shared" si="913"/>
        <v>0</v>
      </c>
      <c r="AG178" s="12">
        <f t="shared" si="913"/>
        <v>0</v>
      </c>
      <c r="AH178" s="13">
        <f t="shared" si="913"/>
        <v>0</v>
      </c>
      <c r="AI178" s="13">
        <f t="shared" si="913"/>
        <v>0</v>
      </c>
      <c r="AJ178" s="11">
        <f t="shared" si="913"/>
        <v>0</v>
      </c>
      <c r="AK178" s="11">
        <f t="shared" si="913"/>
        <v>0</v>
      </c>
      <c r="AL178" s="11">
        <f t="shared" si="913"/>
        <v>0</v>
      </c>
      <c r="AM178" s="11">
        <f t="shared" si="913"/>
        <v>0</v>
      </c>
      <c r="AN178" s="11">
        <f t="shared" si="913"/>
        <v>0</v>
      </c>
      <c r="AO178" s="11">
        <f t="shared" si="913"/>
        <v>0</v>
      </c>
      <c r="AP178" s="11">
        <f t="shared" si="913"/>
        <v>0</v>
      </c>
      <c r="AQ178" s="11">
        <f t="shared" si="913"/>
        <v>0</v>
      </c>
      <c r="AR178" s="16">
        <f t="shared" si="913"/>
        <v>0</v>
      </c>
      <c r="AS178" s="16">
        <f t="shared" si="913"/>
        <v>0</v>
      </c>
      <c r="AT178" s="16">
        <f t="shared" si="913"/>
        <v>0</v>
      </c>
      <c r="AU178" s="7">
        <f t="shared" si="913"/>
        <v>0</v>
      </c>
      <c r="AV178" s="7">
        <f t="shared" si="913"/>
        <v>0</v>
      </c>
      <c r="AW178" s="7">
        <f t="shared" si="913"/>
        <v>0</v>
      </c>
      <c r="AX178" s="7">
        <f t="shared" si="913"/>
        <v>0</v>
      </c>
      <c r="AY178" s="11">
        <f t="shared" si="913"/>
        <v>0</v>
      </c>
      <c r="AZ178" s="16">
        <f t="shared" si="913"/>
        <v>0</v>
      </c>
      <c r="BA178" s="16">
        <f t="shared" si="913"/>
        <v>0</v>
      </c>
      <c r="BB178" s="16">
        <f t="shared" si="913"/>
        <v>0</v>
      </c>
      <c r="BC178" s="11">
        <f t="shared" si="913"/>
        <v>0</v>
      </c>
      <c r="BD178" s="11">
        <f t="shared" si="913"/>
        <v>0</v>
      </c>
      <c r="BE178" s="11">
        <f t="shared" si="913"/>
        <v>0</v>
      </c>
      <c r="BF178" s="11">
        <f t="shared" si="913"/>
        <v>0</v>
      </c>
      <c r="BG178" s="11">
        <f t="shared" si="913"/>
        <v>0</v>
      </c>
      <c r="BH178" s="11">
        <f t="shared" si="913"/>
        <v>0</v>
      </c>
      <c r="BI178" s="13">
        <f t="shared" si="913"/>
        <v>0</v>
      </c>
      <c r="BJ178" s="13">
        <f t="shared" si="913"/>
        <v>0</v>
      </c>
      <c r="BK178" s="11">
        <f t="shared" si="913"/>
        <v>0</v>
      </c>
      <c r="BL178" s="12">
        <f t="shared" si="913"/>
        <v>0</v>
      </c>
      <c r="BM178" s="12">
        <f t="shared" si="913"/>
        <v>0</v>
      </c>
      <c r="BN178" s="13">
        <f t="shared" si="913"/>
        <v>0</v>
      </c>
      <c r="BO178" s="13">
        <f t="shared" si="913"/>
        <v>0</v>
      </c>
      <c r="BP178" s="15">
        <f t="shared" si="913"/>
        <v>0</v>
      </c>
      <c r="BQ178" s="15">
        <f t="shared" si="913"/>
        <v>0</v>
      </c>
      <c r="BR178" s="14">
        <f t="shared" si="913"/>
        <v>0</v>
      </c>
      <c r="BS178" s="14">
        <f t="shared" si="913"/>
        <v>0</v>
      </c>
      <c r="BT178" s="14">
        <f t="shared" si="913"/>
        <v>0</v>
      </c>
      <c r="BU178" s="14">
        <f t="shared" si="913"/>
        <v>0</v>
      </c>
      <c r="BV178" s="11">
        <f t="shared" si="913"/>
        <v>0</v>
      </c>
      <c r="BW178" s="11">
        <f t="shared" si="913"/>
        <v>0</v>
      </c>
      <c r="BX178" s="11">
        <f t="shared" si="913"/>
        <v>0</v>
      </c>
      <c r="BY178" s="11">
        <f t="shared" si="913"/>
        <v>0</v>
      </c>
      <c r="BZ178" s="7">
        <f t="shared" si="913"/>
        <v>0</v>
      </c>
      <c r="CA178" s="7">
        <f t="shared" si="913"/>
        <v>0</v>
      </c>
      <c r="CB178" s="7">
        <f t="shared" ref="CB178:CP178" si="914">IFERROR(VALUE(CB483),"-")</f>
        <v>0</v>
      </c>
      <c r="CC178" s="7">
        <f t="shared" si="914"/>
        <v>0</v>
      </c>
      <c r="CD178" s="7">
        <f t="shared" si="914"/>
        <v>0</v>
      </c>
      <c r="CE178" s="3">
        <f t="shared" si="914"/>
        <v>0</v>
      </c>
      <c r="CF178" s="7">
        <f t="shared" si="914"/>
        <v>0</v>
      </c>
      <c r="CG178" s="3">
        <f t="shared" si="914"/>
        <v>0</v>
      </c>
      <c r="CH178" s="7">
        <f t="shared" si="914"/>
        <v>0</v>
      </c>
      <c r="CI178" s="7">
        <f t="shared" si="914"/>
        <v>0</v>
      </c>
      <c r="CJ178" s="3">
        <f t="shared" si="914"/>
        <v>0</v>
      </c>
      <c r="CK178" s="7">
        <f t="shared" si="914"/>
        <v>0</v>
      </c>
      <c r="CL178" s="3">
        <f t="shared" si="914"/>
        <v>0</v>
      </c>
      <c r="CM178" s="7">
        <f t="shared" si="914"/>
        <v>0</v>
      </c>
      <c r="CN178" s="10">
        <f t="shared" si="914"/>
        <v>0</v>
      </c>
      <c r="CO178" s="10">
        <f t="shared" si="914"/>
        <v>0</v>
      </c>
      <c r="CP178" s="7">
        <f t="shared" si="914"/>
        <v>0</v>
      </c>
      <c r="CQ178" s="7">
        <f t="shared" ref="CQ178" si="915">IFERROR(CQ483,"-")</f>
        <v>0</v>
      </c>
      <c r="CR178" s="10">
        <f t="shared" si="900"/>
        <v>0</v>
      </c>
      <c r="CS178" s="7">
        <f t="shared" si="900"/>
        <v>0</v>
      </c>
      <c r="CT178" s="7">
        <f t="shared" si="900"/>
        <v>0</v>
      </c>
      <c r="CU178" s="7">
        <f t="shared" si="900"/>
        <v>0</v>
      </c>
      <c r="CV178" s="7">
        <f t="shared" si="900"/>
        <v>0</v>
      </c>
      <c r="CW178" s="7">
        <f t="shared" si="900"/>
        <v>0</v>
      </c>
      <c r="CX178" s="7">
        <f t="shared" si="900"/>
        <v>0</v>
      </c>
      <c r="CY178" s="7">
        <f t="shared" si="900"/>
        <v>0</v>
      </c>
      <c r="CZ178" s="7">
        <f t="shared" si="900"/>
        <v>0</v>
      </c>
      <c r="DA178" s="7">
        <f t="shared" si="900"/>
        <v>0</v>
      </c>
      <c r="DB178" s="7">
        <f t="shared" si="900"/>
        <v>0</v>
      </c>
      <c r="DC178" s="7">
        <f t="shared" si="900"/>
        <v>0</v>
      </c>
      <c r="DD178" s="7">
        <f t="shared" si="900"/>
        <v>0</v>
      </c>
      <c r="DE178" s="7">
        <f t="shared" si="900"/>
        <v>0</v>
      </c>
      <c r="DF178" s="7">
        <f t="shared" si="900"/>
        <v>0</v>
      </c>
      <c r="DG178" s="7">
        <f t="shared" si="900"/>
        <v>0</v>
      </c>
      <c r="DH178" s="7">
        <f t="shared" ref="DH178:DJ178" si="916">IFERROR(DH483,"-")</f>
        <v>0</v>
      </c>
      <c r="DI178" s="7">
        <f t="shared" si="916"/>
        <v>0</v>
      </c>
      <c r="DJ178" s="7">
        <f t="shared" si="916"/>
        <v>0</v>
      </c>
      <c r="DK178" s="64">
        <f t="shared" ref="DK178:DS178" si="917">IFERROR(VALUE(DK483),"-")</f>
        <v>0</v>
      </c>
      <c r="DL178" s="64">
        <f t="shared" si="917"/>
        <v>0</v>
      </c>
      <c r="DM178" s="64">
        <f t="shared" si="917"/>
        <v>0</v>
      </c>
      <c r="DN178" s="64">
        <f t="shared" si="917"/>
        <v>0</v>
      </c>
      <c r="DO178" s="64">
        <f t="shared" si="917"/>
        <v>0</v>
      </c>
      <c r="DP178" s="64">
        <f t="shared" si="917"/>
        <v>0</v>
      </c>
      <c r="DQ178" s="64">
        <f t="shared" si="917"/>
        <v>0</v>
      </c>
      <c r="DR178" s="64">
        <f t="shared" si="917"/>
        <v>0</v>
      </c>
      <c r="DS178" s="64">
        <f t="shared" si="917"/>
        <v>0</v>
      </c>
      <c r="DT178">
        <f t="shared" si="669"/>
        <v>0</v>
      </c>
      <c r="DU178" s="10">
        <f t="shared" si="670"/>
        <v>0</v>
      </c>
    </row>
    <row r="179" spans="1:125" x14ac:dyDescent="0.25">
      <c r="A179" t="s">
        <v>62</v>
      </c>
      <c r="B179" s="2">
        <v>44861</v>
      </c>
      <c r="C179" s="1">
        <v>150</v>
      </c>
      <c r="D179">
        <v>78</v>
      </c>
      <c r="G179" t="str">
        <f t="array" ref="G179">IFERROR(INDEX($A$2:$A$700,MATCH(0,COUNTIF($G$1:G178,$A$2:$A$700),0)),"")</f>
        <v>TATACHEM</v>
      </c>
      <c r="M179" s="3"/>
      <c r="N179" s="3"/>
      <c r="O179" s="3">
        <f t="shared" si="671"/>
        <v>0</v>
      </c>
      <c r="P179" s="7">
        <f t="shared" ref="P179:CA179" si="918">IFERROR(VALUE(P484),"-")</f>
        <v>0</v>
      </c>
      <c r="Q179" s="7">
        <f t="shared" si="918"/>
        <v>0</v>
      </c>
      <c r="R179" s="7">
        <f t="shared" si="918"/>
        <v>0</v>
      </c>
      <c r="S179" s="7">
        <f t="shared" si="918"/>
        <v>0</v>
      </c>
      <c r="T179" s="11">
        <f t="shared" si="918"/>
        <v>0</v>
      </c>
      <c r="U179" s="11">
        <f t="shared" si="918"/>
        <v>0</v>
      </c>
      <c r="V179" s="11">
        <f t="shared" si="918"/>
        <v>0</v>
      </c>
      <c r="W179" s="11">
        <f t="shared" si="918"/>
        <v>0</v>
      </c>
      <c r="X179" s="14">
        <f t="shared" si="918"/>
        <v>0</v>
      </c>
      <c r="Y179" s="14">
        <f t="shared" si="918"/>
        <v>0</v>
      </c>
      <c r="Z179" s="14">
        <f t="shared" si="918"/>
        <v>0</v>
      </c>
      <c r="AA179" s="14">
        <f t="shared" si="918"/>
        <v>0</v>
      </c>
      <c r="AB179" s="15">
        <f t="shared" si="918"/>
        <v>0</v>
      </c>
      <c r="AC179" s="15">
        <f t="shared" si="918"/>
        <v>0</v>
      </c>
      <c r="AD179" s="13">
        <f t="shared" si="918"/>
        <v>0</v>
      </c>
      <c r="AE179" s="13">
        <f t="shared" si="918"/>
        <v>0</v>
      </c>
      <c r="AF179" s="12">
        <f t="shared" si="918"/>
        <v>0</v>
      </c>
      <c r="AG179" s="12">
        <f t="shared" si="918"/>
        <v>0</v>
      </c>
      <c r="AH179" s="13">
        <f t="shared" si="918"/>
        <v>0</v>
      </c>
      <c r="AI179" s="13">
        <f t="shared" si="918"/>
        <v>0</v>
      </c>
      <c r="AJ179" s="11">
        <f t="shared" si="918"/>
        <v>0</v>
      </c>
      <c r="AK179" s="11">
        <f t="shared" si="918"/>
        <v>0</v>
      </c>
      <c r="AL179" s="11">
        <f t="shared" si="918"/>
        <v>0</v>
      </c>
      <c r="AM179" s="11">
        <f t="shared" si="918"/>
        <v>0</v>
      </c>
      <c r="AN179" s="11">
        <f t="shared" si="918"/>
        <v>0</v>
      </c>
      <c r="AO179" s="11">
        <f t="shared" si="918"/>
        <v>0</v>
      </c>
      <c r="AP179" s="11">
        <f t="shared" si="918"/>
        <v>0</v>
      </c>
      <c r="AQ179" s="11">
        <f t="shared" si="918"/>
        <v>0</v>
      </c>
      <c r="AR179" s="16">
        <f t="shared" si="918"/>
        <v>0</v>
      </c>
      <c r="AS179" s="16">
        <f t="shared" si="918"/>
        <v>0</v>
      </c>
      <c r="AT179" s="16">
        <f t="shared" si="918"/>
        <v>0</v>
      </c>
      <c r="AU179" s="7">
        <f t="shared" si="918"/>
        <v>0</v>
      </c>
      <c r="AV179" s="7">
        <f t="shared" si="918"/>
        <v>0</v>
      </c>
      <c r="AW179" s="7">
        <f t="shared" si="918"/>
        <v>0</v>
      </c>
      <c r="AX179" s="7">
        <f t="shared" si="918"/>
        <v>0</v>
      </c>
      <c r="AY179" s="11">
        <f t="shared" si="918"/>
        <v>0</v>
      </c>
      <c r="AZ179" s="16">
        <f t="shared" si="918"/>
        <v>0</v>
      </c>
      <c r="BA179" s="16">
        <f t="shared" si="918"/>
        <v>0</v>
      </c>
      <c r="BB179" s="16">
        <f t="shared" si="918"/>
        <v>0</v>
      </c>
      <c r="BC179" s="11">
        <f t="shared" si="918"/>
        <v>0</v>
      </c>
      <c r="BD179" s="11">
        <f t="shared" si="918"/>
        <v>0</v>
      </c>
      <c r="BE179" s="11">
        <f t="shared" si="918"/>
        <v>0</v>
      </c>
      <c r="BF179" s="11">
        <f t="shared" si="918"/>
        <v>0</v>
      </c>
      <c r="BG179" s="11">
        <f t="shared" si="918"/>
        <v>0</v>
      </c>
      <c r="BH179" s="11">
        <f t="shared" si="918"/>
        <v>0</v>
      </c>
      <c r="BI179" s="13">
        <f t="shared" si="918"/>
        <v>0</v>
      </c>
      <c r="BJ179" s="13">
        <f t="shared" si="918"/>
        <v>0</v>
      </c>
      <c r="BK179" s="11">
        <f t="shared" si="918"/>
        <v>0</v>
      </c>
      <c r="BL179" s="12">
        <f t="shared" si="918"/>
        <v>0</v>
      </c>
      <c r="BM179" s="12">
        <f t="shared" si="918"/>
        <v>0</v>
      </c>
      <c r="BN179" s="13">
        <f t="shared" si="918"/>
        <v>0</v>
      </c>
      <c r="BO179" s="13">
        <f t="shared" si="918"/>
        <v>0</v>
      </c>
      <c r="BP179" s="15">
        <f t="shared" si="918"/>
        <v>0</v>
      </c>
      <c r="BQ179" s="15">
        <f t="shared" si="918"/>
        <v>0</v>
      </c>
      <c r="BR179" s="14">
        <f t="shared" si="918"/>
        <v>0</v>
      </c>
      <c r="BS179" s="14">
        <f t="shared" si="918"/>
        <v>0</v>
      </c>
      <c r="BT179" s="14">
        <f t="shared" si="918"/>
        <v>0</v>
      </c>
      <c r="BU179" s="14">
        <f t="shared" si="918"/>
        <v>0</v>
      </c>
      <c r="BV179" s="11">
        <f t="shared" si="918"/>
        <v>0</v>
      </c>
      <c r="BW179" s="11">
        <f t="shared" si="918"/>
        <v>0</v>
      </c>
      <c r="BX179" s="11">
        <f t="shared" si="918"/>
        <v>0</v>
      </c>
      <c r="BY179" s="11">
        <f t="shared" si="918"/>
        <v>0</v>
      </c>
      <c r="BZ179" s="7">
        <f t="shared" si="918"/>
        <v>0</v>
      </c>
      <c r="CA179" s="7">
        <f t="shared" si="918"/>
        <v>0</v>
      </c>
      <c r="CB179" s="7">
        <f t="shared" ref="CB179:CP179" si="919">IFERROR(VALUE(CB484),"-")</f>
        <v>0</v>
      </c>
      <c r="CC179" s="7">
        <f t="shared" si="919"/>
        <v>0</v>
      </c>
      <c r="CD179" s="7">
        <f t="shared" si="919"/>
        <v>0</v>
      </c>
      <c r="CE179" s="3">
        <f t="shared" si="919"/>
        <v>0</v>
      </c>
      <c r="CF179" s="7">
        <f t="shared" si="919"/>
        <v>0</v>
      </c>
      <c r="CG179" s="3">
        <f t="shared" si="919"/>
        <v>0</v>
      </c>
      <c r="CH179" s="7">
        <f t="shared" si="919"/>
        <v>0</v>
      </c>
      <c r="CI179" s="7">
        <f t="shared" si="919"/>
        <v>0</v>
      </c>
      <c r="CJ179" s="3">
        <f t="shared" si="919"/>
        <v>0</v>
      </c>
      <c r="CK179" s="7">
        <f t="shared" si="919"/>
        <v>0</v>
      </c>
      <c r="CL179" s="3">
        <f t="shared" si="919"/>
        <v>0</v>
      </c>
      <c r="CM179" s="7">
        <f t="shared" si="919"/>
        <v>0</v>
      </c>
      <c r="CN179" s="10">
        <f t="shared" si="919"/>
        <v>0</v>
      </c>
      <c r="CO179" s="10">
        <f t="shared" si="919"/>
        <v>0</v>
      </c>
      <c r="CP179" s="7">
        <f t="shared" si="919"/>
        <v>0</v>
      </c>
      <c r="CQ179" s="7">
        <f t="shared" ref="CQ179" si="920">IFERROR(CQ484,"-")</f>
        <v>0</v>
      </c>
      <c r="CR179" s="10">
        <f t="shared" si="900"/>
        <v>0</v>
      </c>
      <c r="CS179" s="7">
        <f t="shared" si="900"/>
        <v>0</v>
      </c>
      <c r="CT179" s="7">
        <f t="shared" si="900"/>
        <v>0</v>
      </c>
      <c r="CU179" s="7">
        <f t="shared" si="900"/>
        <v>0</v>
      </c>
      <c r="CV179" s="7">
        <f t="shared" si="900"/>
        <v>0</v>
      </c>
      <c r="CW179" s="7">
        <f t="shared" si="900"/>
        <v>0</v>
      </c>
      <c r="CX179" s="7">
        <f t="shared" si="900"/>
        <v>0</v>
      </c>
      <c r="CY179" s="7">
        <f t="shared" si="900"/>
        <v>0</v>
      </c>
      <c r="CZ179" s="7">
        <f t="shared" si="900"/>
        <v>0</v>
      </c>
      <c r="DA179" s="7">
        <f t="shared" si="900"/>
        <v>0</v>
      </c>
      <c r="DB179" s="7">
        <f t="shared" si="900"/>
        <v>0</v>
      </c>
      <c r="DC179" s="7">
        <f t="shared" si="900"/>
        <v>0</v>
      </c>
      <c r="DD179" s="7">
        <f t="shared" si="900"/>
        <v>0</v>
      </c>
      <c r="DE179" s="7">
        <f t="shared" si="900"/>
        <v>0</v>
      </c>
      <c r="DF179" s="7">
        <f t="shared" si="900"/>
        <v>0</v>
      </c>
      <c r="DG179" s="7">
        <f t="shared" si="900"/>
        <v>0</v>
      </c>
      <c r="DH179" s="7">
        <f t="shared" ref="DH179:DJ179" si="921">IFERROR(DH484,"-")</f>
        <v>0</v>
      </c>
      <c r="DI179" s="7">
        <f t="shared" si="921"/>
        <v>0</v>
      </c>
      <c r="DJ179" s="7">
        <f t="shared" si="921"/>
        <v>0</v>
      </c>
      <c r="DK179" s="64">
        <f t="shared" ref="DK179:DS179" si="922">IFERROR(VALUE(DK484),"-")</f>
        <v>0</v>
      </c>
      <c r="DL179" s="64">
        <f t="shared" si="922"/>
        <v>0</v>
      </c>
      <c r="DM179" s="64">
        <f t="shared" si="922"/>
        <v>0</v>
      </c>
      <c r="DN179" s="64">
        <f t="shared" si="922"/>
        <v>0</v>
      </c>
      <c r="DO179" s="64">
        <f t="shared" si="922"/>
        <v>0</v>
      </c>
      <c r="DP179" s="64">
        <f t="shared" si="922"/>
        <v>0</v>
      </c>
      <c r="DQ179" s="64">
        <f t="shared" si="922"/>
        <v>0</v>
      </c>
      <c r="DR179" s="64">
        <f t="shared" si="922"/>
        <v>0</v>
      </c>
      <c r="DS179" s="64">
        <f t="shared" si="922"/>
        <v>0</v>
      </c>
      <c r="DT179">
        <f t="shared" si="669"/>
        <v>0</v>
      </c>
      <c r="DU179" s="10">
        <f t="shared" si="670"/>
        <v>0</v>
      </c>
    </row>
    <row r="180" spans="1:125" x14ac:dyDescent="0.25">
      <c r="A180" t="s">
        <v>63</v>
      </c>
      <c r="B180" s="2">
        <v>44798</v>
      </c>
      <c r="C180" s="1">
        <v>125</v>
      </c>
      <c r="D180">
        <v>76</v>
      </c>
      <c r="G180" t="str">
        <f t="array" ref="G180">IFERROR(INDEX($A$2:$A$700,MATCH(0,COUNTIF($G$1:G179,$A$2:$A$700),0)),"")</f>
        <v>TATACOMM</v>
      </c>
      <c r="M180" s="3"/>
      <c r="N180" s="3"/>
      <c r="O180" s="3">
        <f t="shared" si="671"/>
        <v>0</v>
      </c>
      <c r="P180" s="7">
        <f t="shared" ref="P180:CA180" si="923">IFERROR(VALUE(P485),"-")</f>
        <v>0</v>
      </c>
      <c r="Q180" s="7">
        <f t="shared" si="923"/>
        <v>0</v>
      </c>
      <c r="R180" s="7">
        <f t="shared" si="923"/>
        <v>0</v>
      </c>
      <c r="S180" s="7">
        <f t="shared" si="923"/>
        <v>0</v>
      </c>
      <c r="T180" s="11">
        <f t="shared" si="923"/>
        <v>0</v>
      </c>
      <c r="U180" s="11">
        <f t="shared" si="923"/>
        <v>0</v>
      </c>
      <c r="V180" s="11">
        <f t="shared" si="923"/>
        <v>0</v>
      </c>
      <c r="W180" s="11">
        <f t="shared" si="923"/>
        <v>0</v>
      </c>
      <c r="X180" s="14">
        <f t="shared" si="923"/>
        <v>0</v>
      </c>
      <c r="Y180" s="14">
        <f t="shared" si="923"/>
        <v>0</v>
      </c>
      <c r="Z180" s="14">
        <f t="shared" si="923"/>
        <v>0</v>
      </c>
      <c r="AA180" s="14">
        <f t="shared" si="923"/>
        <v>0</v>
      </c>
      <c r="AB180" s="15">
        <f t="shared" si="923"/>
        <v>0</v>
      </c>
      <c r="AC180" s="15">
        <f t="shared" si="923"/>
        <v>0</v>
      </c>
      <c r="AD180" s="13">
        <f t="shared" si="923"/>
        <v>0</v>
      </c>
      <c r="AE180" s="13">
        <f t="shared" si="923"/>
        <v>0</v>
      </c>
      <c r="AF180" s="12">
        <f t="shared" si="923"/>
        <v>0</v>
      </c>
      <c r="AG180" s="12">
        <f t="shared" si="923"/>
        <v>0</v>
      </c>
      <c r="AH180" s="13">
        <f t="shared" si="923"/>
        <v>0</v>
      </c>
      <c r="AI180" s="13">
        <f t="shared" si="923"/>
        <v>0</v>
      </c>
      <c r="AJ180" s="11">
        <f t="shared" si="923"/>
        <v>0</v>
      </c>
      <c r="AK180" s="11">
        <f t="shared" si="923"/>
        <v>0</v>
      </c>
      <c r="AL180" s="11">
        <f t="shared" si="923"/>
        <v>0</v>
      </c>
      <c r="AM180" s="11">
        <f t="shared" si="923"/>
        <v>0</v>
      </c>
      <c r="AN180" s="11">
        <f t="shared" si="923"/>
        <v>0</v>
      </c>
      <c r="AO180" s="11">
        <f t="shared" si="923"/>
        <v>0</v>
      </c>
      <c r="AP180" s="11">
        <f t="shared" si="923"/>
        <v>0</v>
      </c>
      <c r="AQ180" s="11">
        <f t="shared" si="923"/>
        <v>0</v>
      </c>
      <c r="AR180" s="16">
        <f t="shared" si="923"/>
        <v>0</v>
      </c>
      <c r="AS180" s="16">
        <f t="shared" si="923"/>
        <v>0</v>
      </c>
      <c r="AT180" s="16">
        <f t="shared" si="923"/>
        <v>0</v>
      </c>
      <c r="AU180" s="7">
        <f t="shared" si="923"/>
        <v>0</v>
      </c>
      <c r="AV180" s="7">
        <f t="shared" si="923"/>
        <v>0</v>
      </c>
      <c r="AW180" s="7">
        <f t="shared" si="923"/>
        <v>0</v>
      </c>
      <c r="AX180" s="7">
        <f t="shared" si="923"/>
        <v>0</v>
      </c>
      <c r="AY180" s="11">
        <f t="shared" si="923"/>
        <v>0</v>
      </c>
      <c r="AZ180" s="16">
        <f t="shared" si="923"/>
        <v>0</v>
      </c>
      <c r="BA180" s="16">
        <f t="shared" si="923"/>
        <v>0</v>
      </c>
      <c r="BB180" s="16">
        <f t="shared" si="923"/>
        <v>0</v>
      </c>
      <c r="BC180" s="11">
        <f t="shared" si="923"/>
        <v>0</v>
      </c>
      <c r="BD180" s="11">
        <f t="shared" si="923"/>
        <v>0</v>
      </c>
      <c r="BE180" s="11">
        <f t="shared" si="923"/>
        <v>0</v>
      </c>
      <c r="BF180" s="11">
        <f t="shared" si="923"/>
        <v>0</v>
      </c>
      <c r="BG180" s="11">
        <f t="shared" si="923"/>
        <v>0</v>
      </c>
      <c r="BH180" s="11">
        <f t="shared" si="923"/>
        <v>0</v>
      </c>
      <c r="BI180" s="13">
        <f t="shared" si="923"/>
        <v>0</v>
      </c>
      <c r="BJ180" s="13">
        <f t="shared" si="923"/>
        <v>0</v>
      </c>
      <c r="BK180" s="11">
        <f t="shared" si="923"/>
        <v>0</v>
      </c>
      <c r="BL180" s="12">
        <f t="shared" si="923"/>
        <v>0</v>
      </c>
      <c r="BM180" s="12">
        <f t="shared" si="923"/>
        <v>0</v>
      </c>
      <c r="BN180" s="13">
        <f t="shared" si="923"/>
        <v>0</v>
      </c>
      <c r="BO180" s="13">
        <f t="shared" si="923"/>
        <v>0</v>
      </c>
      <c r="BP180" s="15">
        <f t="shared" si="923"/>
        <v>0</v>
      </c>
      <c r="BQ180" s="15">
        <f t="shared" si="923"/>
        <v>0</v>
      </c>
      <c r="BR180" s="14">
        <f t="shared" si="923"/>
        <v>0</v>
      </c>
      <c r="BS180" s="14">
        <f t="shared" si="923"/>
        <v>0</v>
      </c>
      <c r="BT180" s="14">
        <f t="shared" si="923"/>
        <v>0</v>
      </c>
      <c r="BU180" s="14">
        <f t="shared" si="923"/>
        <v>0</v>
      </c>
      <c r="BV180" s="11">
        <f t="shared" si="923"/>
        <v>0</v>
      </c>
      <c r="BW180" s="11">
        <f t="shared" si="923"/>
        <v>0</v>
      </c>
      <c r="BX180" s="11">
        <f t="shared" si="923"/>
        <v>0</v>
      </c>
      <c r="BY180" s="11">
        <f t="shared" si="923"/>
        <v>0</v>
      </c>
      <c r="BZ180" s="7">
        <f t="shared" si="923"/>
        <v>0</v>
      </c>
      <c r="CA180" s="7">
        <f t="shared" si="923"/>
        <v>0</v>
      </c>
      <c r="CB180" s="7">
        <f t="shared" ref="CB180:CP180" si="924">IFERROR(VALUE(CB485),"-")</f>
        <v>0</v>
      </c>
      <c r="CC180" s="7">
        <f t="shared" si="924"/>
        <v>0</v>
      </c>
      <c r="CD180" s="7">
        <f t="shared" si="924"/>
        <v>0</v>
      </c>
      <c r="CE180" s="3">
        <f t="shared" si="924"/>
        <v>0</v>
      </c>
      <c r="CF180" s="7">
        <f t="shared" si="924"/>
        <v>0</v>
      </c>
      <c r="CG180" s="3">
        <f t="shared" si="924"/>
        <v>0</v>
      </c>
      <c r="CH180" s="7">
        <f t="shared" si="924"/>
        <v>0</v>
      </c>
      <c r="CI180" s="7">
        <f t="shared" si="924"/>
        <v>0</v>
      </c>
      <c r="CJ180" s="3">
        <f t="shared" si="924"/>
        <v>0</v>
      </c>
      <c r="CK180" s="7">
        <f t="shared" si="924"/>
        <v>0</v>
      </c>
      <c r="CL180" s="3">
        <f t="shared" si="924"/>
        <v>0</v>
      </c>
      <c r="CM180" s="7">
        <f t="shared" si="924"/>
        <v>0</v>
      </c>
      <c r="CN180" s="10">
        <f t="shared" si="924"/>
        <v>0</v>
      </c>
      <c r="CO180" s="10">
        <f t="shared" si="924"/>
        <v>0</v>
      </c>
      <c r="CP180" s="7">
        <f t="shared" si="924"/>
        <v>0</v>
      </c>
      <c r="CQ180" s="7">
        <f t="shared" ref="CQ180" si="925">IFERROR(CQ485,"-")</f>
        <v>0</v>
      </c>
      <c r="CR180" s="10">
        <f t="shared" si="900"/>
        <v>0</v>
      </c>
      <c r="CS180" s="7">
        <f t="shared" si="900"/>
        <v>0</v>
      </c>
      <c r="CT180" s="7">
        <f t="shared" si="900"/>
        <v>0</v>
      </c>
      <c r="CU180" s="7">
        <f t="shared" si="900"/>
        <v>0</v>
      </c>
      <c r="CV180" s="7">
        <f t="shared" si="900"/>
        <v>0</v>
      </c>
      <c r="CW180" s="7">
        <f t="shared" si="900"/>
        <v>0</v>
      </c>
      <c r="CX180" s="7">
        <f t="shared" si="900"/>
        <v>0</v>
      </c>
      <c r="CY180" s="7">
        <f t="shared" si="900"/>
        <v>0</v>
      </c>
      <c r="CZ180" s="7">
        <f t="shared" si="900"/>
        <v>0</v>
      </c>
      <c r="DA180" s="7">
        <f t="shared" si="900"/>
        <v>0</v>
      </c>
      <c r="DB180" s="7">
        <f t="shared" si="900"/>
        <v>0</v>
      </c>
      <c r="DC180" s="7">
        <f t="shared" si="900"/>
        <v>0</v>
      </c>
      <c r="DD180" s="7">
        <f t="shared" si="900"/>
        <v>0</v>
      </c>
      <c r="DE180" s="7">
        <f t="shared" si="900"/>
        <v>0</v>
      </c>
      <c r="DF180" s="7">
        <f t="shared" si="900"/>
        <v>0</v>
      </c>
      <c r="DG180" s="7">
        <f t="shared" si="900"/>
        <v>0</v>
      </c>
      <c r="DH180" s="7">
        <f t="shared" ref="DH180:DJ180" si="926">IFERROR(DH485,"-")</f>
        <v>0</v>
      </c>
      <c r="DI180" s="7">
        <f t="shared" si="926"/>
        <v>0</v>
      </c>
      <c r="DJ180" s="7">
        <f t="shared" si="926"/>
        <v>0</v>
      </c>
      <c r="DK180" s="64">
        <f t="shared" ref="DK180:DS180" si="927">IFERROR(VALUE(DK485),"-")</f>
        <v>0</v>
      </c>
      <c r="DL180" s="64">
        <f t="shared" si="927"/>
        <v>0</v>
      </c>
      <c r="DM180" s="64">
        <f t="shared" si="927"/>
        <v>0</v>
      </c>
      <c r="DN180" s="64">
        <f t="shared" si="927"/>
        <v>0</v>
      </c>
      <c r="DO180" s="64">
        <f t="shared" si="927"/>
        <v>0</v>
      </c>
      <c r="DP180" s="64">
        <f t="shared" si="927"/>
        <v>0</v>
      </c>
      <c r="DQ180" s="64">
        <f t="shared" si="927"/>
        <v>0</v>
      </c>
      <c r="DR180" s="64">
        <f t="shared" si="927"/>
        <v>0</v>
      </c>
      <c r="DS180" s="64">
        <f t="shared" si="927"/>
        <v>0</v>
      </c>
      <c r="DT180">
        <f t="shared" si="669"/>
        <v>0</v>
      </c>
      <c r="DU180" s="10">
        <f t="shared" si="670"/>
        <v>0</v>
      </c>
    </row>
    <row r="181" spans="1:125" x14ac:dyDescent="0.25">
      <c r="A181" t="s">
        <v>63</v>
      </c>
      <c r="B181" s="2">
        <v>44833</v>
      </c>
      <c r="C181" s="1">
        <v>125</v>
      </c>
      <c r="D181">
        <v>76</v>
      </c>
      <c r="G181" t="str">
        <f t="array" ref="G181">IFERROR(INDEX($A$2:$A$700,MATCH(0,COUNTIF($G$1:G180,$A$2:$A$700),0)),"")</f>
        <v>TATACONSUM</v>
      </c>
      <c r="M181" s="3"/>
      <c r="N181" s="3"/>
      <c r="O181" s="3">
        <f t="shared" si="671"/>
        <v>0</v>
      </c>
      <c r="P181" s="7">
        <f t="shared" ref="P181:CA181" si="928">IFERROR(VALUE(P486),"-")</f>
        <v>0</v>
      </c>
      <c r="Q181" s="7">
        <f t="shared" si="928"/>
        <v>0</v>
      </c>
      <c r="R181" s="7">
        <f t="shared" si="928"/>
        <v>0</v>
      </c>
      <c r="S181" s="7">
        <f t="shared" si="928"/>
        <v>0</v>
      </c>
      <c r="T181" s="11">
        <f t="shared" si="928"/>
        <v>0</v>
      </c>
      <c r="U181" s="11">
        <f t="shared" si="928"/>
        <v>0</v>
      </c>
      <c r="V181" s="11">
        <f t="shared" si="928"/>
        <v>0</v>
      </c>
      <c r="W181" s="11">
        <f t="shared" si="928"/>
        <v>0</v>
      </c>
      <c r="X181" s="14">
        <f t="shared" si="928"/>
        <v>0</v>
      </c>
      <c r="Y181" s="14">
        <f t="shared" si="928"/>
        <v>0</v>
      </c>
      <c r="Z181" s="14">
        <f t="shared" si="928"/>
        <v>0</v>
      </c>
      <c r="AA181" s="14">
        <f t="shared" si="928"/>
        <v>0</v>
      </c>
      <c r="AB181" s="15">
        <f t="shared" si="928"/>
        <v>0</v>
      </c>
      <c r="AC181" s="15">
        <f t="shared" si="928"/>
        <v>0</v>
      </c>
      <c r="AD181" s="13">
        <f t="shared" si="928"/>
        <v>0</v>
      </c>
      <c r="AE181" s="13">
        <f t="shared" si="928"/>
        <v>0</v>
      </c>
      <c r="AF181" s="12">
        <f t="shared" si="928"/>
        <v>0</v>
      </c>
      <c r="AG181" s="12">
        <f t="shared" si="928"/>
        <v>0</v>
      </c>
      <c r="AH181" s="13">
        <f t="shared" si="928"/>
        <v>0</v>
      </c>
      <c r="AI181" s="13">
        <f t="shared" si="928"/>
        <v>0</v>
      </c>
      <c r="AJ181" s="11">
        <f t="shared" si="928"/>
        <v>0</v>
      </c>
      <c r="AK181" s="11">
        <f t="shared" si="928"/>
        <v>0</v>
      </c>
      <c r="AL181" s="11">
        <f t="shared" si="928"/>
        <v>0</v>
      </c>
      <c r="AM181" s="11">
        <f t="shared" si="928"/>
        <v>0</v>
      </c>
      <c r="AN181" s="11">
        <f t="shared" si="928"/>
        <v>0</v>
      </c>
      <c r="AO181" s="11">
        <f t="shared" si="928"/>
        <v>0</v>
      </c>
      <c r="AP181" s="11">
        <f t="shared" si="928"/>
        <v>0</v>
      </c>
      <c r="AQ181" s="11">
        <f t="shared" si="928"/>
        <v>0</v>
      </c>
      <c r="AR181" s="16">
        <f t="shared" si="928"/>
        <v>0</v>
      </c>
      <c r="AS181" s="16">
        <f t="shared" si="928"/>
        <v>0</v>
      </c>
      <c r="AT181" s="16">
        <f t="shared" si="928"/>
        <v>0</v>
      </c>
      <c r="AU181" s="7">
        <f t="shared" si="928"/>
        <v>0</v>
      </c>
      <c r="AV181" s="7">
        <f t="shared" si="928"/>
        <v>0</v>
      </c>
      <c r="AW181" s="7">
        <f t="shared" si="928"/>
        <v>0</v>
      </c>
      <c r="AX181" s="7">
        <f t="shared" si="928"/>
        <v>0</v>
      </c>
      <c r="AY181" s="11">
        <f t="shared" si="928"/>
        <v>0</v>
      </c>
      <c r="AZ181" s="16">
        <f t="shared" si="928"/>
        <v>0</v>
      </c>
      <c r="BA181" s="16">
        <f t="shared" si="928"/>
        <v>0</v>
      </c>
      <c r="BB181" s="16">
        <f t="shared" si="928"/>
        <v>0</v>
      </c>
      <c r="BC181" s="11">
        <f t="shared" si="928"/>
        <v>0</v>
      </c>
      <c r="BD181" s="11">
        <f t="shared" si="928"/>
        <v>0</v>
      </c>
      <c r="BE181" s="11">
        <f t="shared" si="928"/>
        <v>0</v>
      </c>
      <c r="BF181" s="11">
        <f t="shared" si="928"/>
        <v>0</v>
      </c>
      <c r="BG181" s="11">
        <f t="shared" si="928"/>
        <v>0</v>
      </c>
      <c r="BH181" s="11">
        <f t="shared" si="928"/>
        <v>0</v>
      </c>
      <c r="BI181" s="13">
        <f t="shared" si="928"/>
        <v>0</v>
      </c>
      <c r="BJ181" s="13">
        <f t="shared" si="928"/>
        <v>0</v>
      </c>
      <c r="BK181" s="11">
        <f t="shared" si="928"/>
        <v>0</v>
      </c>
      <c r="BL181" s="12">
        <f t="shared" si="928"/>
        <v>0</v>
      </c>
      <c r="BM181" s="12">
        <f t="shared" si="928"/>
        <v>0</v>
      </c>
      <c r="BN181" s="13">
        <f t="shared" si="928"/>
        <v>0</v>
      </c>
      <c r="BO181" s="13">
        <f t="shared" si="928"/>
        <v>0</v>
      </c>
      <c r="BP181" s="15">
        <f t="shared" si="928"/>
        <v>0</v>
      </c>
      <c r="BQ181" s="15">
        <f t="shared" si="928"/>
        <v>0</v>
      </c>
      <c r="BR181" s="14">
        <f t="shared" si="928"/>
        <v>0</v>
      </c>
      <c r="BS181" s="14">
        <f t="shared" si="928"/>
        <v>0</v>
      </c>
      <c r="BT181" s="14">
        <f t="shared" si="928"/>
        <v>0</v>
      </c>
      <c r="BU181" s="14">
        <f t="shared" si="928"/>
        <v>0</v>
      </c>
      <c r="BV181" s="11">
        <f t="shared" si="928"/>
        <v>0</v>
      </c>
      <c r="BW181" s="11">
        <f t="shared" si="928"/>
        <v>0</v>
      </c>
      <c r="BX181" s="11">
        <f t="shared" si="928"/>
        <v>0</v>
      </c>
      <c r="BY181" s="11">
        <f t="shared" si="928"/>
        <v>0</v>
      </c>
      <c r="BZ181" s="7">
        <f t="shared" si="928"/>
        <v>0</v>
      </c>
      <c r="CA181" s="7">
        <f t="shared" si="928"/>
        <v>0</v>
      </c>
      <c r="CB181" s="7">
        <f t="shared" ref="CB181:CP181" si="929">IFERROR(VALUE(CB486),"-")</f>
        <v>0</v>
      </c>
      <c r="CC181" s="7">
        <f t="shared" si="929"/>
        <v>0</v>
      </c>
      <c r="CD181" s="7">
        <f t="shared" si="929"/>
        <v>0</v>
      </c>
      <c r="CE181" s="3">
        <f t="shared" si="929"/>
        <v>0</v>
      </c>
      <c r="CF181" s="7">
        <f t="shared" si="929"/>
        <v>0</v>
      </c>
      <c r="CG181" s="3">
        <f t="shared" si="929"/>
        <v>0</v>
      </c>
      <c r="CH181" s="7">
        <f t="shared" si="929"/>
        <v>0</v>
      </c>
      <c r="CI181" s="7">
        <f t="shared" si="929"/>
        <v>0</v>
      </c>
      <c r="CJ181" s="3">
        <f t="shared" si="929"/>
        <v>0</v>
      </c>
      <c r="CK181" s="7">
        <f t="shared" si="929"/>
        <v>0</v>
      </c>
      <c r="CL181" s="3">
        <f t="shared" si="929"/>
        <v>0</v>
      </c>
      <c r="CM181" s="7">
        <f t="shared" si="929"/>
        <v>0</v>
      </c>
      <c r="CN181" s="10">
        <f t="shared" si="929"/>
        <v>0</v>
      </c>
      <c r="CO181" s="10">
        <f t="shared" si="929"/>
        <v>0</v>
      </c>
      <c r="CP181" s="7">
        <f t="shared" si="929"/>
        <v>0</v>
      </c>
      <c r="CQ181" s="7">
        <f t="shared" ref="CQ181" si="930">IFERROR(CQ486,"-")</f>
        <v>0</v>
      </c>
      <c r="CR181" s="10">
        <f t="shared" si="900"/>
        <v>0</v>
      </c>
      <c r="CS181" s="7">
        <f t="shared" si="900"/>
        <v>0</v>
      </c>
      <c r="CT181" s="7">
        <f t="shared" si="900"/>
        <v>0</v>
      </c>
      <c r="CU181" s="7">
        <f t="shared" si="900"/>
        <v>0</v>
      </c>
      <c r="CV181" s="7">
        <f t="shared" si="900"/>
        <v>0</v>
      </c>
      <c r="CW181" s="7">
        <f t="shared" si="900"/>
        <v>0</v>
      </c>
      <c r="CX181" s="7">
        <f t="shared" si="900"/>
        <v>0</v>
      </c>
      <c r="CY181" s="7">
        <f t="shared" si="900"/>
        <v>0</v>
      </c>
      <c r="CZ181" s="7">
        <f t="shared" si="900"/>
        <v>0</v>
      </c>
      <c r="DA181" s="7">
        <f t="shared" si="900"/>
        <v>0</v>
      </c>
      <c r="DB181" s="7">
        <f t="shared" si="900"/>
        <v>0</v>
      </c>
      <c r="DC181" s="7">
        <f t="shared" si="900"/>
        <v>0</v>
      </c>
      <c r="DD181" s="7">
        <f t="shared" si="900"/>
        <v>0</v>
      </c>
      <c r="DE181" s="7">
        <f t="shared" si="900"/>
        <v>0</v>
      </c>
      <c r="DF181" s="7">
        <f t="shared" si="900"/>
        <v>0</v>
      </c>
      <c r="DG181" s="7">
        <f t="shared" si="900"/>
        <v>0</v>
      </c>
      <c r="DH181" s="7">
        <f t="shared" ref="DH181:DJ181" si="931">IFERROR(DH486,"-")</f>
        <v>0</v>
      </c>
      <c r="DI181" s="7">
        <f t="shared" si="931"/>
        <v>0</v>
      </c>
      <c r="DJ181" s="7">
        <f t="shared" si="931"/>
        <v>0</v>
      </c>
      <c r="DK181" s="64">
        <f t="shared" ref="DK181:DS181" si="932">IFERROR(VALUE(DK486),"-")</f>
        <v>0</v>
      </c>
      <c r="DL181" s="64">
        <f t="shared" si="932"/>
        <v>0</v>
      </c>
      <c r="DM181" s="64">
        <f t="shared" si="932"/>
        <v>0</v>
      </c>
      <c r="DN181" s="64">
        <f t="shared" si="932"/>
        <v>0</v>
      </c>
      <c r="DO181" s="64">
        <f t="shared" si="932"/>
        <v>0</v>
      </c>
      <c r="DP181" s="64">
        <f t="shared" si="932"/>
        <v>0</v>
      </c>
      <c r="DQ181" s="64">
        <f t="shared" si="932"/>
        <v>0</v>
      </c>
      <c r="DR181" s="64">
        <f t="shared" si="932"/>
        <v>0</v>
      </c>
      <c r="DS181" s="64">
        <f t="shared" si="932"/>
        <v>0</v>
      </c>
      <c r="DT181">
        <f t="shared" si="669"/>
        <v>0</v>
      </c>
      <c r="DU181" s="10">
        <f t="shared" si="670"/>
        <v>0</v>
      </c>
    </row>
    <row r="182" spans="1:125" x14ac:dyDescent="0.25">
      <c r="A182" t="s">
        <v>63</v>
      </c>
      <c r="B182" s="2">
        <v>44861</v>
      </c>
      <c r="C182" s="1">
        <v>125</v>
      </c>
      <c r="D182">
        <v>76</v>
      </c>
      <c r="G182" t="str">
        <f t="array" ref="G182">IFERROR(INDEX($A$2:$A$700,MATCH(0,COUNTIF($G$1:G181,$A$2:$A$700),0)),"")</f>
        <v>TATAMOTORS</v>
      </c>
      <c r="M182" s="3"/>
      <c r="N182" s="3"/>
      <c r="O182" s="3">
        <f t="shared" si="671"/>
        <v>0</v>
      </c>
      <c r="P182" s="7">
        <f t="shared" ref="P182:CA182" si="933">IFERROR(VALUE(P487),"-")</f>
        <v>0</v>
      </c>
      <c r="Q182" s="7">
        <f t="shared" si="933"/>
        <v>0</v>
      </c>
      <c r="R182" s="7">
        <f t="shared" si="933"/>
        <v>0</v>
      </c>
      <c r="S182" s="7">
        <f t="shared" si="933"/>
        <v>0</v>
      </c>
      <c r="T182" s="11">
        <f t="shared" si="933"/>
        <v>0</v>
      </c>
      <c r="U182" s="11">
        <f t="shared" si="933"/>
        <v>0</v>
      </c>
      <c r="V182" s="11">
        <f t="shared" si="933"/>
        <v>0</v>
      </c>
      <c r="W182" s="11">
        <f t="shared" si="933"/>
        <v>0</v>
      </c>
      <c r="X182" s="14">
        <f t="shared" si="933"/>
        <v>0</v>
      </c>
      <c r="Y182" s="14">
        <f t="shared" si="933"/>
        <v>0</v>
      </c>
      <c r="Z182" s="14">
        <f t="shared" si="933"/>
        <v>0</v>
      </c>
      <c r="AA182" s="14">
        <f t="shared" si="933"/>
        <v>0</v>
      </c>
      <c r="AB182" s="15">
        <f t="shared" si="933"/>
        <v>0</v>
      </c>
      <c r="AC182" s="15">
        <f t="shared" si="933"/>
        <v>0</v>
      </c>
      <c r="AD182" s="13">
        <f t="shared" si="933"/>
        <v>0</v>
      </c>
      <c r="AE182" s="13">
        <f t="shared" si="933"/>
        <v>0</v>
      </c>
      <c r="AF182" s="12">
        <f t="shared" si="933"/>
        <v>0</v>
      </c>
      <c r="AG182" s="12">
        <f t="shared" si="933"/>
        <v>0</v>
      </c>
      <c r="AH182" s="13">
        <f t="shared" si="933"/>
        <v>0</v>
      </c>
      <c r="AI182" s="13">
        <f t="shared" si="933"/>
        <v>0</v>
      </c>
      <c r="AJ182" s="11">
        <f t="shared" si="933"/>
        <v>0</v>
      </c>
      <c r="AK182" s="11">
        <f t="shared" si="933"/>
        <v>0</v>
      </c>
      <c r="AL182" s="11">
        <f t="shared" si="933"/>
        <v>0</v>
      </c>
      <c r="AM182" s="11">
        <f t="shared" si="933"/>
        <v>0</v>
      </c>
      <c r="AN182" s="11">
        <f t="shared" si="933"/>
        <v>0</v>
      </c>
      <c r="AO182" s="11">
        <f t="shared" si="933"/>
        <v>0</v>
      </c>
      <c r="AP182" s="11">
        <f t="shared" si="933"/>
        <v>0</v>
      </c>
      <c r="AQ182" s="11">
        <f t="shared" si="933"/>
        <v>0</v>
      </c>
      <c r="AR182" s="16">
        <f t="shared" si="933"/>
        <v>0</v>
      </c>
      <c r="AS182" s="16">
        <f t="shared" si="933"/>
        <v>0</v>
      </c>
      <c r="AT182" s="16">
        <f t="shared" si="933"/>
        <v>0</v>
      </c>
      <c r="AU182" s="7">
        <f t="shared" si="933"/>
        <v>0</v>
      </c>
      <c r="AV182" s="7">
        <f t="shared" si="933"/>
        <v>0</v>
      </c>
      <c r="AW182" s="7">
        <f t="shared" si="933"/>
        <v>0</v>
      </c>
      <c r="AX182" s="7">
        <f t="shared" si="933"/>
        <v>0</v>
      </c>
      <c r="AY182" s="11">
        <f t="shared" si="933"/>
        <v>0</v>
      </c>
      <c r="AZ182" s="16">
        <f t="shared" si="933"/>
        <v>0</v>
      </c>
      <c r="BA182" s="16">
        <f t="shared" si="933"/>
        <v>0</v>
      </c>
      <c r="BB182" s="16">
        <f t="shared" si="933"/>
        <v>0</v>
      </c>
      <c r="BC182" s="11">
        <f t="shared" si="933"/>
        <v>0</v>
      </c>
      <c r="BD182" s="11">
        <f t="shared" si="933"/>
        <v>0</v>
      </c>
      <c r="BE182" s="11">
        <f t="shared" si="933"/>
        <v>0</v>
      </c>
      <c r="BF182" s="11">
        <f t="shared" si="933"/>
        <v>0</v>
      </c>
      <c r="BG182" s="11">
        <f t="shared" si="933"/>
        <v>0</v>
      </c>
      <c r="BH182" s="11">
        <f t="shared" si="933"/>
        <v>0</v>
      </c>
      <c r="BI182" s="13">
        <f t="shared" si="933"/>
        <v>0</v>
      </c>
      <c r="BJ182" s="13">
        <f t="shared" si="933"/>
        <v>0</v>
      </c>
      <c r="BK182" s="11">
        <f t="shared" si="933"/>
        <v>0</v>
      </c>
      <c r="BL182" s="12">
        <f t="shared" si="933"/>
        <v>0</v>
      </c>
      <c r="BM182" s="12">
        <f t="shared" si="933"/>
        <v>0</v>
      </c>
      <c r="BN182" s="13">
        <f t="shared" si="933"/>
        <v>0</v>
      </c>
      <c r="BO182" s="13">
        <f t="shared" si="933"/>
        <v>0</v>
      </c>
      <c r="BP182" s="15">
        <f t="shared" si="933"/>
        <v>0</v>
      </c>
      <c r="BQ182" s="15">
        <f t="shared" si="933"/>
        <v>0</v>
      </c>
      <c r="BR182" s="14">
        <f t="shared" si="933"/>
        <v>0</v>
      </c>
      <c r="BS182" s="14">
        <f t="shared" si="933"/>
        <v>0</v>
      </c>
      <c r="BT182" s="14">
        <f t="shared" si="933"/>
        <v>0</v>
      </c>
      <c r="BU182" s="14">
        <f t="shared" si="933"/>
        <v>0</v>
      </c>
      <c r="BV182" s="11">
        <f t="shared" si="933"/>
        <v>0</v>
      </c>
      <c r="BW182" s="11">
        <f t="shared" si="933"/>
        <v>0</v>
      </c>
      <c r="BX182" s="11">
        <f t="shared" si="933"/>
        <v>0</v>
      </c>
      <c r="BY182" s="11">
        <f t="shared" si="933"/>
        <v>0</v>
      </c>
      <c r="BZ182" s="7">
        <f t="shared" si="933"/>
        <v>0</v>
      </c>
      <c r="CA182" s="7">
        <f t="shared" si="933"/>
        <v>0</v>
      </c>
      <c r="CB182" s="7">
        <f t="shared" ref="CB182:CP182" si="934">IFERROR(VALUE(CB487),"-")</f>
        <v>0</v>
      </c>
      <c r="CC182" s="7">
        <f t="shared" si="934"/>
        <v>0</v>
      </c>
      <c r="CD182" s="7">
        <f t="shared" si="934"/>
        <v>0</v>
      </c>
      <c r="CE182" s="3">
        <f t="shared" si="934"/>
        <v>0</v>
      </c>
      <c r="CF182" s="7">
        <f t="shared" si="934"/>
        <v>0</v>
      </c>
      <c r="CG182" s="3">
        <f t="shared" si="934"/>
        <v>0</v>
      </c>
      <c r="CH182" s="7">
        <f t="shared" si="934"/>
        <v>0</v>
      </c>
      <c r="CI182" s="7">
        <f t="shared" si="934"/>
        <v>0</v>
      </c>
      <c r="CJ182" s="3">
        <f t="shared" si="934"/>
        <v>0</v>
      </c>
      <c r="CK182" s="7">
        <f t="shared" si="934"/>
        <v>0</v>
      </c>
      <c r="CL182" s="3">
        <f t="shared" si="934"/>
        <v>0</v>
      </c>
      <c r="CM182" s="7">
        <f t="shared" si="934"/>
        <v>0</v>
      </c>
      <c r="CN182" s="10">
        <f t="shared" si="934"/>
        <v>0</v>
      </c>
      <c r="CO182" s="10">
        <f t="shared" si="934"/>
        <v>0</v>
      </c>
      <c r="CP182" s="7">
        <f t="shared" si="934"/>
        <v>0</v>
      </c>
      <c r="CQ182" s="7">
        <f t="shared" ref="CQ182" si="935">IFERROR(CQ487,"-")</f>
        <v>0</v>
      </c>
      <c r="CR182" s="10">
        <f t="shared" si="900"/>
        <v>0</v>
      </c>
      <c r="CS182" s="7">
        <f t="shared" si="900"/>
        <v>0</v>
      </c>
      <c r="CT182" s="7">
        <f t="shared" si="900"/>
        <v>0</v>
      </c>
      <c r="CU182" s="7">
        <f t="shared" si="900"/>
        <v>0</v>
      </c>
      <c r="CV182" s="7">
        <f t="shared" si="900"/>
        <v>0</v>
      </c>
      <c r="CW182" s="7">
        <f t="shared" si="900"/>
        <v>0</v>
      </c>
      <c r="CX182" s="7">
        <f t="shared" si="900"/>
        <v>0</v>
      </c>
      <c r="CY182" s="7">
        <f t="shared" si="900"/>
        <v>0</v>
      </c>
      <c r="CZ182" s="7">
        <f t="shared" si="900"/>
        <v>0</v>
      </c>
      <c r="DA182" s="7">
        <f t="shared" si="900"/>
        <v>0</v>
      </c>
      <c r="DB182" s="7">
        <f t="shared" si="900"/>
        <v>0</v>
      </c>
      <c r="DC182" s="7">
        <f t="shared" si="900"/>
        <v>0</v>
      </c>
      <c r="DD182" s="7">
        <f t="shared" si="900"/>
        <v>0</v>
      </c>
      <c r="DE182" s="7">
        <f t="shared" si="900"/>
        <v>0</v>
      </c>
      <c r="DF182" s="7">
        <f t="shared" si="900"/>
        <v>0</v>
      </c>
      <c r="DG182" s="7">
        <f t="shared" si="900"/>
        <v>0</v>
      </c>
      <c r="DH182" s="7">
        <f t="shared" ref="DH182:DJ182" si="936">IFERROR(DH487,"-")</f>
        <v>0</v>
      </c>
      <c r="DI182" s="7">
        <f t="shared" si="936"/>
        <v>0</v>
      </c>
      <c r="DJ182" s="7">
        <f t="shared" si="936"/>
        <v>0</v>
      </c>
      <c r="DK182" s="64">
        <f t="shared" ref="DK182:DS182" si="937">IFERROR(VALUE(DK487),"-")</f>
        <v>0</v>
      </c>
      <c r="DL182" s="64">
        <f t="shared" si="937"/>
        <v>0</v>
      </c>
      <c r="DM182" s="64">
        <f t="shared" si="937"/>
        <v>0</v>
      </c>
      <c r="DN182" s="64">
        <f t="shared" si="937"/>
        <v>0</v>
      </c>
      <c r="DO182" s="64">
        <f t="shared" si="937"/>
        <v>0</v>
      </c>
      <c r="DP182" s="64">
        <f t="shared" si="937"/>
        <v>0</v>
      </c>
      <c r="DQ182" s="64">
        <f t="shared" si="937"/>
        <v>0</v>
      </c>
      <c r="DR182" s="64">
        <f t="shared" si="937"/>
        <v>0</v>
      </c>
      <c r="DS182" s="64">
        <f t="shared" si="937"/>
        <v>0</v>
      </c>
      <c r="DT182">
        <f t="shared" si="669"/>
        <v>0</v>
      </c>
      <c r="DU182" s="10">
        <f t="shared" si="670"/>
        <v>0</v>
      </c>
    </row>
    <row r="183" spans="1:125" x14ac:dyDescent="0.25">
      <c r="A183" t="s">
        <v>64</v>
      </c>
      <c r="B183" s="2">
        <v>44798</v>
      </c>
      <c r="C183" s="1">
        <v>1650</v>
      </c>
      <c r="D183">
        <v>72</v>
      </c>
      <c r="G183" t="str">
        <f t="array" ref="G183">IFERROR(INDEX($A$2:$A$700,MATCH(0,COUNTIF($G$1:G182,$A$2:$A$700),0)),"")</f>
        <v>TATAPOWER</v>
      </c>
      <c r="M183" s="3"/>
      <c r="N183" s="3"/>
      <c r="O183" s="3">
        <f t="shared" si="671"/>
        <v>0</v>
      </c>
      <c r="P183" s="7">
        <f t="shared" ref="P183:CA183" si="938">IFERROR(VALUE(P488),"-")</f>
        <v>0</v>
      </c>
      <c r="Q183" s="7">
        <f t="shared" si="938"/>
        <v>0</v>
      </c>
      <c r="R183" s="7">
        <f t="shared" si="938"/>
        <v>0</v>
      </c>
      <c r="S183" s="7">
        <f t="shared" si="938"/>
        <v>0</v>
      </c>
      <c r="T183" s="11">
        <f t="shared" si="938"/>
        <v>0</v>
      </c>
      <c r="U183" s="11">
        <f t="shared" si="938"/>
        <v>0</v>
      </c>
      <c r="V183" s="11">
        <f t="shared" si="938"/>
        <v>0</v>
      </c>
      <c r="W183" s="11">
        <f t="shared" si="938"/>
        <v>0</v>
      </c>
      <c r="X183" s="14">
        <f t="shared" si="938"/>
        <v>0</v>
      </c>
      <c r="Y183" s="14">
        <f t="shared" si="938"/>
        <v>0</v>
      </c>
      <c r="Z183" s="14">
        <f t="shared" si="938"/>
        <v>0</v>
      </c>
      <c r="AA183" s="14">
        <f t="shared" si="938"/>
        <v>0</v>
      </c>
      <c r="AB183" s="15">
        <f t="shared" si="938"/>
        <v>0</v>
      </c>
      <c r="AC183" s="15">
        <f t="shared" si="938"/>
        <v>0</v>
      </c>
      <c r="AD183" s="13">
        <f t="shared" si="938"/>
        <v>0</v>
      </c>
      <c r="AE183" s="13">
        <f t="shared" si="938"/>
        <v>0</v>
      </c>
      <c r="AF183" s="12">
        <f t="shared" si="938"/>
        <v>0</v>
      </c>
      <c r="AG183" s="12">
        <f t="shared" si="938"/>
        <v>0</v>
      </c>
      <c r="AH183" s="13">
        <f t="shared" si="938"/>
        <v>0</v>
      </c>
      <c r="AI183" s="13">
        <f t="shared" si="938"/>
        <v>0</v>
      </c>
      <c r="AJ183" s="11">
        <f t="shared" si="938"/>
        <v>0</v>
      </c>
      <c r="AK183" s="11">
        <f t="shared" si="938"/>
        <v>0</v>
      </c>
      <c r="AL183" s="11">
        <f t="shared" si="938"/>
        <v>0</v>
      </c>
      <c r="AM183" s="11">
        <f t="shared" si="938"/>
        <v>0</v>
      </c>
      <c r="AN183" s="11">
        <f t="shared" si="938"/>
        <v>0</v>
      </c>
      <c r="AO183" s="11">
        <f t="shared" si="938"/>
        <v>0</v>
      </c>
      <c r="AP183" s="11">
        <f t="shared" si="938"/>
        <v>0</v>
      </c>
      <c r="AQ183" s="11">
        <f t="shared" si="938"/>
        <v>0</v>
      </c>
      <c r="AR183" s="16">
        <f t="shared" si="938"/>
        <v>0</v>
      </c>
      <c r="AS183" s="16">
        <f t="shared" si="938"/>
        <v>0</v>
      </c>
      <c r="AT183" s="16">
        <f t="shared" si="938"/>
        <v>0</v>
      </c>
      <c r="AU183" s="7">
        <f t="shared" si="938"/>
        <v>0</v>
      </c>
      <c r="AV183" s="7">
        <f t="shared" si="938"/>
        <v>0</v>
      </c>
      <c r="AW183" s="7">
        <f t="shared" si="938"/>
        <v>0</v>
      </c>
      <c r="AX183" s="7">
        <f t="shared" si="938"/>
        <v>0</v>
      </c>
      <c r="AY183" s="11">
        <f t="shared" si="938"/>
        <v>0</v>
      </c>
      <c r="AZ183" s="16">
        <f t="shared" si="938"/>
        <v>0</v>
      </c>
      <c r="BA183" s="16">
        <f t="shared" si="938"/>
        <v>0</v>
      </c>
      <c r="BB183" s="16">
        <f t="shared" si="938"/>
        <v>0</v>
      </c>
      <c r="BC183" s="11">
        <f t="shared" si="938"/>
        <v>0</v>
      </c>
      <c r="BD183" s="11">
        <f t="shared" si="938"/>
        <v>0</v>
      </c>
      <c r="BE183" s="11">
        <f t="shared" si="938"/>
        <v>0</v>
      </c>
      <c r="BF183" s="11">
        <f t="shared" si="938"/>
        <v>0</v>
      </c>
      <c r="BG183" s="11">
        <f t="shared" si="938"/>
        <v>0</v>
      </c>
      <c r="BH183" s="11">
        <f t="shared" si="938"/>
        <v>0</v>
      </c>
      <c r="BI183" s="13">
        <f t="shared" si="938"/>
        <v>0</v>
      </c>
      <c r="BJ183" s="13">
        <f t="shared" si="938"/>
        <v>0</v>
      </c>
      <c r="BK183" s="11">
        <f t="shared" si="938"/>
        <v>0</v>
      </c>
      <c r="BL183" s="12">
        <f t="shared" si="938"/>
        <v>0</v>
      </c>
      <c r="BM183" s="12">
        <f t="shared" si="938"/>
        <v>0</v>
      </c>
      <c r="BN183" s="13">
        <f t="shared" si="938"/>
        <v>0</v>
      </c>
      <c r="BO183" s="13">
        <f t="shared" si="938"/>
        <v>0</v>
      </c>
      <c r="BP183" s="15">
        <f t="shared" si="938"/>
        <v>0</v>
      </c>
      <c r="BQ183" s="15">
        <f t="shared" si="938"/>
        <v>0</v>
      </c>
      <c r="BR183" s="14">
        <f t="shared" si="938"/>
        <v>0</v>
      </c>
      <c r="BS183" s="14">
        <f t="shared" si="938"/>
        <v>0</v>
      </c>
      <c r="BT183" s="14">
        <f t="shared" si="938"/>
        <v>0</v>
      </c>
      <c r="BU183" s="14">
        <f t="shared" si="938"/>
        <v>0</v>
      </c>
      <c r="BV183" s="11">
        <f t="shared" si="938"/>
        <v>0</v>
      </c>
      <c r="BW183" s="11">
        <f t="shared" si="938"/>
        <v>0</v>
      </c>
      <c r="BX183" s="11">
        <f t="shared" si="938"/>
        <v>0</v>
      </c>
      <c r="BY183" s="11">
        <f t="shared" si="938"/>
        <v>0</v>
      </c>
      <c r="BZ183" s="7">
        <f t="shared" si="938"/>
        <v>0</v>
      </c>
      <c r="CA183" s="7">
        <f t="shared" si="938"/>
        <v>0</v>
      </c>
      <c r="CB183" s="7">
        <f t="shared" ref="CB183:CP183" si="939">IFERROR(VALUE(CB488),"-")</f>
        <v>0</v>
      </c>
      <c r="CC183" s="7">
        <f t="shared" si="939"/>
        <v>0</v>
      </c>
      <c r="CD183" s="7">
        <f t="shared" si="939"/>
        <v>0</v>
      </c>
      <c r="CE183" s="3">
        <f t="shared" si="939"/>
        <v>0</v>
      </c>
      <c r="CF183" s="7">
        <f t="shared" si="939"/>
        <v>0</v>
      </c>
      <c r="CG183" s="3">
        <f t="shared" si="939"/>
        <v>0</v>
      </c>
      <c r="CH183" s="7">
        <f t="shared" si="939"/>
        <v>0</v>
      </c>
      <c r="CI183" s="7">
        <f t="shared" si="939"/>
        <v>0</v>
      </c>
      <c r="CJ183" s="3">
        <f t="shared" si="939"/>
        <v>0</v>
      </c>
      <c r="CK183" s="7">
        <f t="shared" si="939"/>
        <v>0</v>
      </c>
      <c r="CL183" s="3">
        <f t="shared" si="939"/>
        <v>0</v>
      </c>
      <c r="CM183" s="7">
        <f t="shared" si="939"/>
        <v>0</v>
      </c>
      <c r="CN183" s="10">
        <f t="shared" si="939"/>
        <v>0</v>
      </c>
      <c r="CO183" s="10">
        <f t="shared" si="939"/>
        <v>0</v>
      </c>
      <c r="CP183" s="7">
        <f t="shared" si="939"/>
        <v>0</v>
      </c>
      <c r="CQ183" s="7">
        <f t="shared" ref="CQ183" si="940">IFERROR(CQ488,"-")</f>
        <v>0</v>
      </c>
      <c r="CR183" s="10">
        <f t="shared" si="900"/>
        <v>0</v>
      </c>
      <c r="CS183" s="7">
        <f t="shared" si="900"/>
        <v>0</v>
      </c>
      <c r="CT183" s="7">
        <f t="shared" si="900"/>
        <v>0</v>
      </c>
      <c r="CU183" s="7">
        <f t="shared" si="900"/>
        <v>0</v>
      </c>
      <c r="CV183" s="7">
        <f t="shared" si="900"/>
        <v>0</v>
      </c>
      <c r="CW183" s="7">
        <f t="shared" si="900"/>
        <v>0</v>
      </c>
      <c r="CX183" s="7">
        <f t="shared" si="900"/>
        <v>0</v>
      </c>
      <c r="CY183" s="7">
        <f t="shared" si="900"/>
        <v>0</v>
      </c>
      <c r="CZ183" s="7">
        <f t="shared" si="900"/>
        <v>0</v>
      </c>
      <c r="DA183" s="7">
        <f t="shared" si="900"/>
        <v>0</v>
      </c>
      <c r="DB183" s="7">
        <f t="shared" si="900"/>
        <v>0</v>
      </c>
      <c r="DC183" s="7">
        <f t="shared" si="900"/>
        <v>0</v>
      </c>
      <c r="DD183" s="7">
        <f t="shared" si="900"/>
        <v>0</v>
      </c>
      <c r="DE183" s="7">
        <f t="shared" si="900"/>
        <v>0</v>
      </c>
      <c r="DF183" s="7">
        <f t="shared" si="900"/>
        <v>0</v>
      </c>
      <c r="DG183" s="7">
        <f t="shared" si="900"/>
        <v>0</v>
      </c>
      <c r="DH183" s="7">
        <f t="shared" ref="DH183:DJ183" si="941">IFERROR(DH488,"-")</f>
        <v>0</v>
      </c>
      <c r="DI183" s="7">
        <f t="shared" si="941"/>
        <v>0</v>
      </c>
      <c r="DJ183" s="7">
        <f t="shared" si="941"/>
        <v>0</v>
      </c>
      <c r="DK183" s="64">
        <f t="shared" ref="DK183:DS183" si="942">IFERROR(VALUE(DK488),"-")</f>
        <v>0</v>
      </c>
      <c r="DL183" s="64">
        <f t="shared" si="942"/>
        <v>0</v>
      </c>
      <c r="DM183" s="64">
        <f t="shared" si="942"/>
        <v>0</v>
      </c>
      <c r="DN183" s="64">
        <f t="shared" si="942"/>
        <v>0</v>
      </c>
      <c r="DO183" s="64">
        <f t="shared" si="942"/>
        <v>0</v>
      </c>
      <c r="DP183" s="64">
        <f t="shared" si="942"/>
        <v>0</v>
      </c>
      <c r="DQ183" s="64">
        <f t="shared" si="942"/>
        <v>0</v>
      </c>
      <c r="DR183" s="64">
        <f t="shared" si="942"/>
        <v>0</v>
      </c>
      <c r="DS183" s="64">
        <f t="shared" si="942"/>
        <v>0</v>
      </c>
      <c r="DT183">
        <f t="shared" si="669"/>
        <v>0</v>
      </c>
      <c r="DU183" s="10">
        <f t="shared" si="670"/>
        <v>0</v>
      </c>
    </row>
    <row r="184" spans="1:125" x14ac:dyDescent="0.25">
      <c r="A184" t="s">
        <v>64</v>
      </c>
      <c r="B184" s="2">
        <v>44833</v>
      </c>
      <c r="C184" s="1">
        <v>1650</v>
      </c>
      <c r="D184">
        <v>72</v>
      </c>
      <c r="G184" t="str">
        <f t="array" ref="G184">IFERROR(INDEX($A$2:$A$700,MATCH(0,COUNTIF($G$1:G183,$A$2:$A$700),0)),"")</f>
        <v>TATASTEEL</v>
      </c>
      <c r="M184" s="3"/>
      <c r="N184" s="3"/>
      <c r="O184" s="3">
        <f t="shared" si="671"/>
        <v>0</v>
      </c>
      <c r="P184" s="7">
        <f t="shared" ref="P184:CA184" si="943">IFERROR(VALUE(P489),"-")</f>
        <v>0</v>
      </c>
      <c r="Q184" s="7">
        <f t="shared" si="943"/>
        <v>0</v>
      </c>
      <c r="R184" s="7">
        <f t="shared" si="943"/>
        <v>0</v>
      </c>
      <c r="S184" s="7">
        <f t="shared" si="943"/>
        <v>0</v>
      </c>
      <c r="T184" s="11">
        <f t="shared" si="943"/>
        <v>0</v>
      </c>
      <c r="U184" s="11">
        <f t="shared" si="943"/>
        <v>0</v>
      </c>
      <c r="V184" s="11">
        <f t="shared" si="943"/>
        <v>0</v>
      </c>
      <c r="W184" s="11">
        <f t="shared" si="943"/>
        <v>0</v>
      </c>
      <c r="X184" s="14">
        <f t="shared" si="943"/>
        <v>0</v>
      </c>
      <c r="Y184" s="14">
        <f t="shared" si="943"/>
        <v>0</v>
      </c>
      <c r="Z184" s="14">
        <f t="shared" si="943"/>
        <v>0</v>
      </c>
      <c r="AA184" s="14">
        <f t="shared" si="943"/>
        <v>0</v>
      </c>
      <c r="AB184" s="15">
        <f t="shared" si="943"/>
        <v>0</v>
      </c>
      <c r="AC184" s="15">
        <f t="shared" si="943"/>
        <v>0</v>
      </c>
      <c r="AD184" s="13">
        <f t="shared" si="943"/>
        <v>0</v>
      </c>
      <c r="AE184" s="13">
        <f t="shared" si="943"/>
        <v>0</v>
      </c>
      <c r="AF184" s="12">
        <f t="shared" si="943"/>
        <v>0</v>
      </c>
      <c r="AG184" s="12">
        <f t="shared" si="943"/>
        <v>0</v>
      </c>
      <c r="AH184" s="13">
        <f t="shared" si="943"/>
        <v>0</v>
      </c>
      <c r="AI184" s="13">
        <f t="shared" si="943"/>
        <v>0</v>
      </c>
      <c r="AJ184" s="11">
        <f t="shared" si="943"/>
        <v>0</v>
      </c>
      <c r="AK184" s="11">
        <f t="shared" si="943"/>
        <v>0</v>
      </c>
      <c r="AL184" s="11">
        <f t="shared" si="943"/>
        <v>0</v>
      </c>
      <c r="AM184" s="11">
        <f t="shared" si="943"/>
        <v>0</v>
      </c>
      <c r="AN184" s="11">
        <f t="shared" si="943"/>
        <v>0</v>
      </c>
      <c r="AO184" s="11">
        <f t="shared" si="943"/>
        <v>0</v>
      </c>
      <c r="AP184" s="11">
        <f t="shared" si="943"/>
        <v>0</v>
      </c>
      <c r="AQ184" s="11">
        <f t="shared" si="943"/>
        <v>0</v>
      </c>
      <c r="AR184" s="16">
        <f t="shared" si="943"/>
        <v>0</v>
      </c>
      <c r="AS184" s="16">
        <f t="shared" si="943"/>
        <v>0</v>
      </c>
      <c r="AT184" s="16">
        <f t="shared" si="943"/>
        <v>0</v>
      </c>
      <c r="AU184" s="7">
        <f t="shared" si="943"/>
        <v>0</v>
      </c>
      <c r="AV184" s="7">
        <f t="shared" si="943"/>
        <v>0</v>
      </c>
      <c r="AW184" s="7">
        <f t="shared" si="943"/>
        <v>0</v>
      </c>
      <c r="AX184" s="7">
        <f t="shared" si="943"/>
        <v>0</v>
      </c>
      <c r="AY184" s="11">
        <f t="shared" si="943"/>
        <v>0</v>
      </c>
      <c r="AZ184" s="16">
        <f t="shared" si="943"/>
        <v>0</v>
      </c>
      <c r="BA184" s="16">
        <f t="shared" si="943"/>
        <v>0</v>
      </c>
      <c r="BB184" s="16">
        <f t="shared" si="943"/>
        <v>0</v>
      </c>
      <c r="BC184" s="11">
        <f t="shared" si="943"/>
        <v>0</v>
      </c>
      <c r="BD184" s="11">
        <f t="shared" si="943"/>
        <v>0</v>
      </c>
      <c r="BE184" s="11">
        <f t="shared" si="943"/>
        <v>0</v>
      </c>
      <c r="BF184" s="11">
        <f t="shared" si="943"/>
        <v>0</v>
      </c>
      <c r="BG184" s="11">
        <f t="shared" si="943"/>
        <v>0</v>
      </c>
      <c r="BH184" s="11">
        <f t="shared" si="943"/>
        <v>0</v>
      </c>
      <c r="BI184" s="13">
        <f t="shared" si="943"/>
        <v>0</v>
      </c>
      <c r="BJ184" s="13">
        <f t="shared" si="943"/>
        <v>0</v>
      </c>
      <c r="BK184" s="11">
        <f t="shared" si="943"/>
        <v>0</v>
      </c>
      <c r="BL184" s="12">
        <f t="shared" si="943"/>
        <v>0</v>
      </c>
      <c r="BM184" s="12">
        <f t="shared" si="943"/>
        <v>0</v>
      </c>
      <c r="BN184" s="13">
        <f t="shared" si="943"/>
        <v>0</v>
      </c>
      <c r="BO184" s="13">
        <f t="shared" si="943"/>
        <v>0</v>
      </c>
      <c r="BP184" s="15">
        <f t="shared" si="943"/>
        <v>0</v>
      </c>
      <c r="BQ184" s="15">
        <f t="shared" si="943"/>
        <v>0</v>
      </c>
      <c r="BR184" s="14">
        <f t="shared" si="943"/>
        <v>0</v>
      </c>
      <c r="BS184" s="14">
        <f t="shared" si="943"/>
        <v>0</v>
      </c>
      <c r="BT184" s="14">
        <f t="shared" si="943"/>
        <v>0</v>
      </c>
      <c r="BU184" s="14">
        <f t="shared" si="943"/>
        <v>0</v>
      </c>
      <c r="BV184" s="11">
        <f t="shared" si="943"/>
        <v>0</v>
      </c>
      <c r="BW184" s="11">
        <f t="shared" si="943"/>
        <v>0</v>
      </c>
      <c r="BX184" s="11">
        <f t="shared" si="943"/>
        <v>0</v>
      </c>
      <c r="BY184" s="11">
        <f t="shared" si="943"/>
        <v>0</v>
      </c>
      <c r="BZ184" s="7">
        <f t="shared" si="943"/>
        <v>0</v>
      </c>
      <c r="CA184" s="7">
        <f t="shared" si="943"/>
        <v>0</v>
      </c>
      <c r="CB184" s="7">
        <f t="shared" ref="CB184:CP184" si="944">IFERROR(VALUE(CB489),"-")</f>
        <v>0</v>
      </c>
      <c r="CC184" s="7">
        <f t="shared" si="944"/>
        <v>0</v>
      </c>
      <c r="CD184" s="7">
        <f t="shared" si="944"/>
        <v>0</v>
      </c>
      <c r="CE184" s="3">
        <f t="shared" si="944"/>
        <v>0</v>
      </c>
      <c r="CF184" s="7">
        <f t="shared" si="944"/>
        <v>0</v>
      </c>
      <c r="CG184" s="3">
        <f t="shared" si="944"/>
        <v>0</v>
      </c>
      <c r="CH184" s="7">
        <f t="shared" si="944"/>
        <v>0</v>
      </c>
      <c r="CI184" s="7">
        <f t="shared" si="944"/>
        <v>0</v>
      </c>
      <c r="CJ184" s="3">
        <f t="shared" si="944"/>
        <v>0</v>
      </c>
      <c r="CK184" s="7">
        <f t="shared" si="944"/>
        <v>0</v>
      </c>
      <c r="CL184" s="3">
        <f t="shared" si="944"/>
        <v>0</v>
      </c>
      <c r="CM184" s="7">
        <f t="shared" si="944"/>
        <v>0</v>
      </c>
      <c r="CN184" s="10">
        <f t="shared" si="944"/>
        <v>0</v>
      </c>
      <c r="CO184" s="10">
        <f t="shared" si="944"/>
        <v>0</v>
      </c>
      <c r="CP184" s="7">
        <f t="shared" si="944"/>
        <v>0</v>
      </c>
      <c r="CQ184" s="7">
        <f t="shared" ref="CQ184" si="945">IFERROR(CQ489,"-")</f>
        <v>0</v>
      </c>
      <c r="CR184" s="10">
        <f t="shared" si="900"/>
        <v>0</v>
      </c>
      <c r="CS184" s="7">
        <f t="shared" si="900"/>
        <v>0</v>
      </c>
      <c r="CT184" s="7">
        <f t="shared" si="900"/>
        <v>0</v>
      </c>
      <c r="CU184" s="7">
        <f t="shared" si="900"/>
        <v>0</v>
      </c>
      <c r="CV184" s="7">
        <f t="shared" si="900"/>
        <v>0</v>
      </c>
      <c r="CW184" s="7">
        <f t="shared" si="900"/>
        <v>0</v>
      </c>
      <c r="CX184" s="7">
        <f t="shared" si="900"/>
        <v>0</v>
      </c>
      <c r="CY184" s="7">
        <f t="shared" si="900"/>
        <v>0</v>
      </c>
      <c r="CZ184" s="7">
        <f t="shared" si="900"/>
        <v>0</v>
      </c>
      <c r="DA184" s="7">
        <f t="shared" si="900"/>
        <v>0</v>
      </c>
      <c r="DB184" s="7">
        <f t="shared" si="900"/>
        <v>0</v>
      </c>
      <c r="DC184" s="7">
        <f t="shared" si="900"/>
        <v>0</v>
      </c>
      <c r="DD184" s="7">
        <f t="shared" si="900"/>
        <v>0</v>
      </c>
      <c r="DE184" s="7">
        <f t="shared" si="900"/>
        <v>0</v>
      </c>
      <c r="DF184" s="7">
        <f t="shared" si="900"/>
        <v>0</v>
      </c>
      <c r="DG184" s="7">
        <f t="shared" si="900"/>
        <v>0</v>
      </c>
      <c r="DH184" s="7">
        <f t="shared" ref="DH184:DJ184" si="946">IFERROR(DH489,"-")</f>
        <v>0</v>
      </c>
      <c r="DI184" s="7">
        <f t="shared" si="946"/>
        <v>0</v>
      </c>
      <c r="DJ184" s="7">
        <f t="shared" si="946"/>
        <v>0</v>
      </c>
      <c r="DK184" s="64">
        <f t="shared" ref="DK184:DS184" si="947">IFERROR(VALUE(DK489),"-")</f>
        <v>0</v>
      </c>
      <c r="DL184" s="64">
        <f t="shared" si="947"/>
        <v>0</v>
      </c>
      <c r="DM184" s="64">
        <f t="shared" si="947"/>
        <v>0</v>
      </c>
      <c r="DN184" s="64">
        <f t="shared" si="947"/>
        <v>0</v>
      </c>
      <c r="DO184" s="64">
        <f t="shared" si="947"/>
        <v>0</v>
      </c>
      <c r="DP184" s="64">
        <f t="shared" si="947"/>
        <v>0</v>
      </c>
      <c r="DQ184" s="64">
        <f t="shared" si="947"/>
        <v>0</v>
      </c>
      <c r="DR184" s="64">
        <f t="shared" si="947"/>
        <v>0</v>
      </c>
      <c r="DS184" s="64">
        <f t="shared" si="947"/>
        <v>0</v>
      </c>
      <c r="DT184">
        <f t="shared" si="669"/>
        <v>0</v>
      </c>
      <c r="DU184" s="10">
        <f t="shared" si="670"/>
        <v>0</v>
      </c>
    </row>
    <row r="185" spans="1:125" x14ac:dyDescent="0.25">
      <c r="A185" t="s">
        <v>64</v>
      </c>
      <c r="B185" s="2">
        <v>44861</v>
      </c>
      <c r="C185" s="1">
        <v>1650</v>
      </c>
      <c r="D185">
        <v>72</v>
      </c>
      <c r="G185" t="str">
        <f t="array" ref="G185">IFERROR(INDEX($A$2:$A$700,MATCH(0,COUNTIF($G$1:G184,$A$2:$A$700),0)),"")</f>
        <v>TCS</v>
      </c>
      <c r="M185" s="3"/>
      <c r="N185" s="3"/>
      <c r="O185" s="3">
        <f t="shared" si="671"/>
        <v>0</v>
      </c>
      <c r="P185" s="7">
        <f t="shared" ref="P185:CA185" si="948">IFERROR(VALUE(P490),"-")</f>
        <v>0</v>
      </c>
      <c r="Q185" s="7">
        <f t="shared" si="948"/>
        <v>0</v>
      </c>
      <c r="R185" s="7">
        <f t="shared" si="948"/>
        <v>0</v>
      </c>
      <c r="S185" s="7">
        <f t="shared" si="948"/>
        <v>0</v>
      </c>
      <c r="T185" s="11">
        <f t="shared" si="948"/>
        <v>0</v>
      </c>
      <c r="U185" s="11">
        <f t="shared" si="948"/>
        <v>0</v>
      </c>
      <c r="V185" s="11">
        <f t="shared" si="948"/>
        <v>0</v>
      </c>
      <c r="W185" s="11">
        <f t="shared" si="948"/>
        <v>0</v>
      </c>
      <c r="X185" s="14">
        <f t="shared" si="948"/>
        <v>0</v>
      </c>
      <c r="Y185" s="14">
        <f t="shared" si="948"/>
        <v>0</v>
      </c>
      <c r="Z185" s="14">
        <f t="shared" si="948"/>
        <v>0</v>
      </c>
      <c r="AA185" s="14">
        <f t="shared" si="948"/>
        <v>0</v>
      </c>
      <c r="AB185" s="15">
        <f t="shared" si="948"/>
        <v>0</v>
      </c>
      <c r="AC185" s="15">
        <f t="shared" si="948"/>
        <v>0</v>
      </c>
      <c r="AD185" s="13">
        <f t="shared" si="948"/>
        <v>0</v>
      </c>
      <c r="AE185" s="13">
        <f t="shared" si="948"/>
        <v>0</v>
      </c>
      <c r="AF185" s="12">
        <f t="shared" si="948"/>
        <v>0</v>
      </c>
      <c r="AG185" s="12">
        <f t="shared" si="948"/>
        <v>0</v>
      </c>
      <c r="AH185" s="13">
        <f t="shared" si="948"/>
        <v>0</v>
      </c>
      <c r="AI185" s="13">
        <f t="shared" si="948"/>
        <v>0</v>
      </c>
      <c r="AJ185" s="11">
        <f t="shared" si="948"/>
        <v>0</v>
      </c>
      <c r="AK185" s="11">
        <f t="shared" si="948"/>
        <v>0</v>
      </c>
      <c r="AL185" s="11">
        <f t="shared" si="948"/>
        <v>0</v>
      </c>
      <c r="AM185" s="11">
        <f t="shared" si="948"/>
        <v>0</v>
      </c>
      <c r="AN185" s="11">
        <f t="shared" si="948"/>
        <v>0</v>
      </c>
      <c r="AO185" s="11">
        <f t="shared" si="948"/>
        <v>0</v>
      </c>
      <c r="AP185" s="11">
        <f t="shared" si="948"/>
        <v>0</v>
      </c>
      <c r="AQ185" s="11">
        <f t="shared" si="948"/>
        <v>0</v>
      </c>
      <c r="AR185" s="16">
        <f t="shared" si="948"/>
        <v>0</v>
      </c>
      <c r="AS185" s="16">
        <f t="shared" si="948"/>
        <v>0</v>
      </c>
      <c r="AT185" s="16">
        <f t="shared" si="948"/>
        <v>0</v>
      </c>
      <c r="AU185" s="7">
        <f t="shared" si="948"/>
        <v>0</v>
      </c>
      <c r="AV185" s="7">
        <f t="shared" si="948"/>
        <v>0</v>
      </c>
      <c r="AW185" s="7">
        <f t="shared" si="948"/>
        <v>0</v>
      </c>
      <c r="AX185" s="7">
        <f t="shared" si="948"/>
        <v>0</v>
      </c>
      <c r="AY185" s="11">
        <f t="shared" si="948"/>
        <v>0</v>
      </c>
      <c r="AZ185" s="16">
        <f t="shared" si="948"/>
        <v>0</v>
      </c>
      <c r="BA185" s="16">
        <f t="shared" si="948"/>
        <v>0</v>
      </c>
      <c r="BB185" s="16">
        <f t="shared" si="948"/>
        <v>0</v>
      </c>
      <c r="BC185" s="11">
        <f t="shared" si="948"/>
        <v>0</v>
      </c>
      <c r="BD185" s="11">
        <f t="shared" si="948"/>
        <v>0</v>
      </c>
      <c r="BE185" s="11">
        <f t="shared" si="948"/>
        <v>0</v>
      </c>
      <c r="BF185" s="11">
        <f t="shared" si="948"/>
        <v>0</v>
      </c>
      <c r="BG185" s="11">
        <f t="shared" si="948"/>
        <v>0</v>
      </c>
      <c r="BH185" s="11">
        <f t="shared" si="948"/>
        <v>0</v>
      </c>
      <c r="BI185" s="13">
        <f t="shared" si="948"/>
        <v>0</v>
      </c>
      <c r="BJ185" s="13">
        <f t="shared" si="948"/>
        <v>0</v>
      </c>
      <c r="BK185" s="11">
        <f t="shared" si="948"/>
        <v>0</v>
      </c>
      <c r="BL185" s="12">
        <f t="shared" si="948"/>
        <v>0</v>
      </c>
      <c r="BM185" s="12">
        <f t="shared" si="948"/>
        <v>0</v>
      </c>
      <c r="BN185" s="13">
        <f t="shared" si="948"/>
        <v>0</v>
      </c>
      <c r="BO185" s="13">
        <f t="shared" si="948"/>
        <v>0</v>
      </c>
      <c r="BP185" s="15">
        <f t="shared" si="948"/>
        <v>0</v>
      </c>
      <c r="BQ185" s="15">
        <f t="shared" si="948"/>
        <v>0</v>
      </c>
      <c r="BR185" s="14">
        <f t="shared" si="948"/>
        <v>0</v>
      </c>
      <c r="BS185" s="14">
        <f t="shared" si="948"/>
        <v>0</v>
      </c>
      <c r="BT185" s="14">
        <f t="shared" si="948"/>
        <v>0</v>
      </c>
      <c r="BU185" s="14">
        <f t="shared" si="948"/>
        <v>0</v>
      </c>
      <c r="BV185" s="11">
        <f t="shared" si="948"/>
        <v>0</v>
      </c>
      <c r="BW185" s="11">
        <f t="shared" si="948"/>
        <v>0</v>
      </c>
      <c r="BX185" s="11">
        <f t="shared" si="948"/>
        <v>0</v>
      </c>
      <c r="BY185" s="11">
        <f t="shared" si="948"/>
        <v>0</v>
      </c>
      <c r="BZ185" s="7">
        <f t="shared" si="948"/>
        <v>0</v>
      </c>
      <c r="CA185" s="7">
        <f t="shared" si="948"/>
        <v>0</v>
      </c>
      <c r="CB185" s="7">
        <f t="shared" ref="CB185:CP185" si="949">IFERROR(VALUE(CB490),"-")</f>
        <v>0</v>
      </c>
      <c r="CC185" s="7">
        <f t="shared" si="949"/>
        <v>0</v>
      </c>
      <c r="CD185" s="7">
        <f t="shared" si="949"/>
        <v>0</v>
      </c>
      <c r="CE185" s="3">
        <f t="shared" si="949"/>
        <v>0</v>
      </c>
      <c r="CF185" s="7">
        <f t="shared" si="949"/>
        <v>0</v>
      </c>
      <c r="CG185" s="3">
        <f t="shared" si="949"/>
        <v>0</v>
      </c>
      <c r="CH185" s="7">
        <f t="shared" si="949"/>
        <v>0</v>
      </c>
      <c r="CI185" s="7">
        <f t="shared" si="949"/>
        <v>0</v>
      </c>
      <c r="CJ185" s="3">
        <f t="shared" si="949"/>
        <v>0</v>
      </c>
      <c r="CK185" s="7">
        <f t="shared" si="949"/>
        <v>0</v>
      </c>
      <c r="CL185" s="3">
        <f t="shared" si="949"/>
        <v>0</v>
      </c>
      <c r="CM185" s="7">
        <f t="shared" si="949"/>
        <v>0</v>
      </c>
      <c r="CN185" s="10">
        <f t="shared" si="949"/>
        <v>0</v>
      </c>
      <c r="CO185" s="10">
        <f t="shared" si="949"/>
        <v>0</v>
      </c>
      <c r="CP185" s="7">
        <f t="shared" si="949"/>
        <v>0</v>
      </c>
      <c r="CQ185" s="7">
        <f t="shared" ref="CQ185" si="950">IFERROR(CQ490,"-")</f>
        <v>0</v>
      </c>
      <c r="CR185" s="10">
        <f t="shared" si="900"/>
        <v>0</v>
      </c>
      <c r="CS185" s="7">
        <f t="shared" si="900"/>
        <v>0</v>
      </c>
      <c r="CT185" s="7">
        <f t="shared" si="900"/>
        <v>0</v>
      </c>
      <c r="CU185" s="7">
        <f t="shared" si="900"/>
        <v>0</v>
      </c>
      <c r="CV185" s="7">
        <f t="shared" si="900"/>
        <v>0</v>
      </c>
      <c r="CW185" s="7">
        <f t="shared" si="900"/>
        <v>0</v>
      </c>
      <c r="CX185" s="7">
        <f t="shared" si="900"/>
        <v>0</v>
      </c>
      <c r="CY185" s="7">
        <f t="shared" si="900"/>
        <v>0</v>
      </c>
      <c r="CZ185" s="7">
        <f t="shared" si="900"/>
        <v>0</v>
      </c>
      <c r="DA185" s="7">
        <f t="shared" si="900"/>
        <v>0</v>
      </c>
      <c r="DB185" s="7">
        <f t="shared" si="900"/>
        <v>0</v>
      </c>
      <c r="DC185" s="7">
        <f t="shared" si="900"/>
        <v>0</v>
      </c>
      <c r="DD185" s="7">
        <f t="shared" si="900"/>
        <v>0</v>
      </c>
      <c r="DE185" s="7">
        <f t="shared" si="900"/>
        <v>0</v>
      </c>
      <c r="DF185" s="7">
        <f t="shared" si="900"/>
        <v>0</v>
      </c>
      <c r="DG185" s="7">
        <f t="shared" si="900"/>
        <v>0</v>
      </c>
      <c r="DH185" s="7">
        <f t="shared" ref="DH185:DJ185" si="951">IFERROR(DH490,"-")</f>
        <v>0</v>
      </c>
      <c r="DI185" s="7">
        <f t="shared" si="951"/>
        <v>0</v>
      </c>
      <c r="DJ185" s="7">
        <f t="shared" si="951"/>
        <v>0</v>
      </c>
      <c r="DK185" s="64">
        <f t="shared" ref="DK185:DS185" si="952">IFERROR(VALUE(DK490),"-")</f>
        <v>0</v>
      </c>
      <c r="DL185" s="64">
        <f t="shared" si="952"/>
        <v>0</v>
      </c>
      <c r="DM185" s="64">
        <f t="shared" si="952"/>
        <v>0</v>
      </c>
      <c r="DN185" s="64">
        <f t="shared" si="952"/>
        <v>0</v>
      </c>
      <c r="DO185" s="64">
        <f t="shared" si="952"/>
        <v>0</v>
      </c>
      <c r="DP185" s="64">
        <f t="shared" si="952"/>
        <v>0</v>
      </c>
      <c r="DQ185" s="64">
        <f t="shared" si="952"/>
        <v>0</v>
      </c>
      <c r="DR185" s="64">
        <f t="shared" si="952"/>
        <v>0</v>
      </c>
      <c r="DS185" s="64">
        <f t="shared" si="952"/>
        <v>0</v>
      </c>
      <c r="DT185">
        <f t="shared" si="669"/>
        <v>0</v>
      </c>
      <c r="DU185" s="10">
        <f t="shared" si="670"/>
        <v>0</v>
      </c>
    </row>
    <row r="186" spans="1:125" x14ac:dyDescent="0.25">
      <c r="A186" t="s">
        <v>65</v>
      </c>
      <c r="B186" s="2">
        <v>44798</v>
      </c>
      <c r="C186" s="1">
        <v>125</v>
      </c>
      <c r="D186">
        <v>81</v>
      </c>
      <c r="G186" t="str">
        <f t="array" ref="G186">IFERROR(INDEX($A$2:$A$700,MATCH(0,COUNTIF($G$1:G185,$A$2:$A$700),0)),"")</f>
        <v>TECHM</v>
      </c>
      <c r="M186" s="3"/>
      <c r="N186" s="3"/>
      <c r="O186" s="3">
        <f t="shared" si="671"/>
        <v>0</v>
      </c>
      <c r="P186" s="7">
        <f t="shared" ref="P186:CA186" si="953">IFERROR(VALUE(P491),"-")</f>
        <v>0</v>
      </c>
      <c r="Q186" s="7">
        <f t="shared" si="953"/>
        <v>0</v>
      </c>
      <c r="R186" s="7">
        <f t="shared" si="953"/>
        <v>0</v>
      </c>
      <c r="S186" s="7">
        <f t="shared" si="953"/>
        <v>0</v>
      </c>
      <c r="T186" s="11">
        <f t="shared" si="953"/>
        <v>0</v>
      </c>
      <c r="U186" s="11">
        <f t="shared" si="953"/>
        <v>0</v>
      </c>
      <c r="V186" s="11">
        <f t="shared" si="953"/>
        <v>0</v>
      </c>
      <c r="W186" s="11">
        <f t="shared" si="953"/>
        <v>0</v>
      </c>
      <c r="X186" s="14">
        <f t="shared" si="953"/>
        <v>0</v>
      </c>
      <c r="Y186" s="14">
        <f t="shared" si="953"/>
        <v>0</v>
      </c>
      <c r="Z186" s="14">
        <f t="shared" si="953"/>
        <v>0</v>
      </c>
      <c r="AA186" s="14">
        <f t="shared" si="953"/>
        <v>0</v>
      </c>
      <c r="AB186" s="15">
        <f t="shared" si="953"/>
        <v>0</v>
      </c>
      <c r="AC186" s="15">
        <f t="shared" si="953"/>
        <v>0</v>
      </c>
      <c r="AD186" s="13">
        <f t="shared" si="953"/>
        <v>0</v>
      </c>
      <c r="AE186" s="13">
        <f t="shared" si="953"/>
        <v>0</v>
      </c>
      <c r="AF186" s="12">
        <f t="shared" si="953"/>
        <v>0</v>
      </c>
      <c r="AG186" s="12">
        <f t="shared" si="953"/>
        <v>0</v>
      </c>
      <c r="AH186" s="13">
        <f t="shared" si="953"/>
        <v>0</v>
      </c>
      <c r="AI186" s="13">
        <f t="shared" si="953"/>
        <v>0</v>
      </c>
      <c r="AJ186" s="11">
        <f t="shared" si="953"/>
        <v>0</v>
      </c>
      <c r="AK186" s="11">
        <f t="shared" si="953"/>
        <v>0</v>
      </c>
      <c r="AL186" s="11">
        <f t="shared" si="953"/>
        <v>0</v>
      </c>
      <c r="AM186" s="11">
        <f t="shared" si="953"/>
        <v>0</v>
      </c>
      <c r="AN186" s="11">
        <f t="shared" si="953"/>
        <v>0</v>
      </c>
      <c r="AO186" s="11">
        <f t="shared" si="953"/>
        <v>0</v>
      </c>
      <c r="AP186" s="11">
        <f t="shared" si="953"/>
        <v>0</v>
      </c>
      <c r="AQ186" s="11">
        <f t="shared" si="953"/>
        <v>0</v>
      </c>
      <c r="AR186" s="16">
        <f t="shared" si="953"/>
        <v>0</v>
      </c>
      <c r="AS186" s="16">
        <f t="shared" si="953"/>
        <v>0</v>
      </c>
      <c r="AT186" s="16">
        <f t="shared" si="953"/>
        <v>0</v>
      </c>
      <c r="AU186" s="7">
        <f t="shared" si="953"/>
        <v>0</v>
      </c>
      <c r="AV186" s="7">
        <f t="shared" si="953"/>
        <v>0</v>
      </c>
      <c r="AW186" s="7">
        <f t="shared" si="953"/>
        <v>0</v>
      </c>
      <c r="AX186" s="7">
        <f t="shared" si="953"/>
        <v>0</v>
      </c>
      <c r="AY186" s="11">
        <f t="shared" si="953"/>
        <v>0</v>
      </c>
      <c r="AZ186" s="16">
        <f t="shared" si="953"/>
        <v>0</v>
      </c>
      <c r="BA186" s="16">
        <f t="shared" si="953"/>
        <v>0</v>
      </c>
      <c r="BB186" s="16">
        <f t="shared" si="953"/>
        <v>0</v>
      </c>
      <c r="BC186" s="11">
        <f t="shared" si="953"/>
        <v>0</v>
      </c>
      <c r="BD186" s="11">
        <f t="shared" si="953"/>
        <v>0</v>
      </c>
      <c r="BE186" s="11">
        <f t="shared" si="953"/>
        <v>0</v>
      </c>
      <c r="BF186" s="11">
        <f t="shared" si="953"/>
        <v>0</v>
      </c>
      <c r="BG186" s="11">
        <f t="shared" si="953"/>
        <v>0</v>
      </c>
      <c r="BH186" s="11">
        <f t="shared" si="953"/>
        <v>0</v>
      </c>
      <c r="BI186" s="13">
        <f t="shared" si="953"/>
        <v>0</v>
      </c>
      <c r="BJ186" s="13">
        <f t="shared" si="953"/>
        <v>0</v>
      </c>
      <c r="BK186" s="11">
        <f t="shared" si="953"/>
        <v>0</v>
      </c>
      <c r="BL186" s="12">
        <f t="shared" si="953"/>
        <v>0</v>
      </c>
      <c r="BM186" s="12">
        <f t="shared" si="953"/>
        <v>0</v>
      </c>
      <c r="BN186" s="13">
        <f t="shared" si="953"/>
        <v>0</v>
      </c>
      <c r="BO186" s="13">
        <f t="shared" si="953"/>
        <v>0</v>
      </c>
      <c r="BP186" s="15">
        <f t="shared" si="953"/>
        <v>0</v>
      </c>
      <c r="BQ186" s="15">
        <f t="shared" si="953"/>
        <v>0</v>
      </c>
      <c r="BR186" s="14">
        <f t="shared" si="953"/>
        <v>0</v>
      </c>
      <c r="BS186" s="14">
        <f t="shared" si="953"/>
        <v>0</v>
      </c>
      <c r="BT186" s="14">
        <f t="shared" si="953"/>
        <v>0</v>
      </c>
      <c r="BU186" s="14">
        <f t="shared" si="953"/>
        <v>0</v>
      </c>
      <c r="BV186" s="11">
        <f t="shared" si="953"/>
        <v>0</v>
      </c>
      <c r="BW186" s="11">
        <f t="shared" si="953"/>
        <v>0</v>
      </c>
      <c r="BX186" s="11">
        <f t="shared" si="953"/>
        <v>0</v>
      </c>
      <c r="BY186" s="11">
        <f t="shared" si="953"/>
        <v>0</v>
      </c>
      <c r="BZ186" s="7">
        <f t="shared" si="953"/>
        <v>0</v>
      </c>
      <c r="CA186" s="7">
        <f t="shared" si="953"/>
        <v>0</v>
      </c>
      <c r="CB186" s="7">
        <f t="shared" ref="CB186:CP186" si="954">IFERROR(VALUE(CB491),"-")</f>
        <v>0</v>
      </c>
      <c r="CC186" s="7">
        <f t="shared" si="954"/>
        <v>0</v>
      </c>
      <c r="CD186" s="7">
        <f t="shared" si="954"/>
        <v>0</v>
      </c>
      <c r="CE186" s="3">
        <f t="shared" si="954"/>
        <v>0</v>
      </c>
      <c r="CF186" s="7">
        <f t="shared" si="954"/>
        <v>0</v>
      </c>
      <c r="CG186" s="3">
        <f t="shared" si="954"/>
        <v>0</v>
      </c>
      <c r="CH186" s="7">
        <f t="shared" si="954"/>
        <v>0</v>
      </c>
      <c r="CI186" s="7">
        <f t="shared" si="954"/>
        <v>0</v>
      </c>
      <c r="CJ186" s="3">
        <f t="shared" si="954"/>
        <v>0</v>
      </c>
      <c r="CK186" s="7">
        <f t="shared" si="954"/>
        <v>0</v>
      </c>
      <c r="CL186" s="3">
        <f t="shared" si="954"/>
        <v>0</v>
      </c>
      <c r="CM186" s="7">
        <f t="shared" si="954"/>
        <v>0</v>
      </c>
      <c r="CN186" s="10">
        <f t="shared" si="954"/>
        <v>0</v>
      </c>
      <c r="CO186" s="10">
        <f t="shared" si="954"/>
        <v>0</v>
      </c>
      <c r="CP186" s="7">
        <f t="shared" si="954"/>
        <v>0</v>
      </c>
      <c r="CQ186" s="7">
        <f t="shared" ref="CQ186" si="955">IFERROR(CQ491,"-")</f>
        <v>0</v>
      </c>
      <c r="CR186" s="10">
        <f t="shared" si="900"/>
        <v>0</v>
      </c>
      <c r="CS186" s="7">
        <f t="shared" si="900"/>
        <v>0</v>
      </c>
      <c r="CT186" s="7">
        <f t="shared" si="900"/>
        <v>0</v>
      </c>
      <c r="CU186" s="7">
        <f t="shared" si="900"/>
        <v>0</v>
      </c>
      <c r="CV186" s="7">
        <f t="shared" si="900"/>
        <v>0</v>
      </c>
      <c r="CW186" s="7">
        <f t="shared" si="900"/>
        <v>0</v>
      </c>
      <c r="CX186" s="7">
        <f t="shared" si="900"/>
        <v>0</v>
      </c>
      <c r="CY186" s="7">
        <f t="shared" si="900"/>
        <v>0</v>
      </c>
      <c r="CZ186" s="7">
        <f t="shared" si="900"/>
        <v>0</v>
      </c>
      <c r="DA186" s="7">
        <f t="shared" si="900"/>
        <v>0</v>
      </c>
      <c r="DB186" s="7">
        <f t="shared" si="900"/>
        <v>0</v>
      </c>
      <c r="DC186" s="7">
        <f t="shared" si="900"/>
        <v>0</v>
      </c>
      <c r="DD186" s="7">
        <f t="shared" si="900"/>
        <v>0</v>
      </c>
      <c r="DE186" s="7">
        <f t="shared" si="900"/>
        <v>0</v>
      </c>
      <c r="DF186" s="7">
        <f t="shared" si="900"/>
        <v>0</v>
      </c>
      <c r="DG186" s="7">
        <f t="shared" si="900"/>
        <v>0</v>
      </c>
      <c r="DH186" s="7">
        <f t="shared" ref="DH186:DJ186" si="956">IFERROR(DH491,"-")</f>
        <v>0</v>
      </c>
      <c r="DI186" s="7">
        <f t="shared" si="956"/>
        <v>0</v>
      </c>
      <c r="DJ186" s="7">
        <f t="shared" si="956"/>
        <v>0</v>
      </c>
      <c r="DK186" s="64">
        <f t="shared" ref="DK186:DS186" si="957">IFERROR(VALUE(DK491),"-")</f>
        <v>0</v>
      </c>
      <c r="DL186" s="64">
        <f t="shared" si="957"/>
        <v>0</v>
      </c>
      <c r="DM186" s="64">
        <f t="shared" si="957"/>
        <v>0</v>
      </c>
      <c r="DN186" s="64">
        <f t="shared" si="957"/>
        <v>0</v>
      </c>
      <c r="DO186" s="64">
        <f t="shared" si="957"/>
        <v>0</v>
      </c>
      <c r="DP186" s="64">
        <f t="shared" si="957"/>
        <v>0</v>
      </c>
      <c r="DQ186" s="64">
        <f t="shared" si="957"/>
        <v>0</v>
      </c>
      <c r="DR186" s="64">
        <f t="shared" si="957"/>
        <v>0</v>
      </c>
      <c r="DS186" s="64">
        <f t="shared" si="957"/>
        <v>0</v>
      </c>
      <c r="DT186">
        <f t="shared" si="669"/>
        <v>0</v>
      </c>
      <c r="DU186" s="10">
        <f t="shared" si="670"/>
        <v>0</v>
      </c>
    </row>
    <row r="187" spans="1:125" x14ac:dyDescent="0.25">
      <c r="A187" t="s">
        <v>65</v>
      </c>
      <c r="B187" s="2">
        <v>44833</v>
      </c>
      <c r="C187" s="1">
        <v>125</v>
      </c>
      <c r="D187">
        <v>81</v>
      </c>
      <c r="G187" t="str">
        <f t="array" ref="G187">IFERROR(INDEX($A$2:$A$700,MATCH(0,COUNTIF($G$1:G186,$A$2:$A$700),0)),"")</f>
        <v>TITAN</v>
      </c>
      <c r="M187" s="3"/>
      <c r="N187" s="3"/>
      <c r="O187" s="3">
        <f t="shared" si="671"/>
        <v>0</v>
      </c>
      <c r="P187" s="7">
        <f t="shared" ref="P187:CA187" si="958">IFERROR(VALUE(P492),"-")</f>
        <v>0</v>
      </c>
      <c r="Q187" s="7">
        <f t="shared" si="958"/>
        <v>0</v>
      </c>
      <c r="R187" s="7">
        <f t="shared" si="958"/>
        <v>0</v>
      </c>
      <c r="S187" s="7">
        <f t="shared" si="958"/>
        <v>0</v>
      </c>
      <c r="T187" s="11">
        <f t="shared" si="958"/>
        <v>0</v>
      </c>
      <c r="U187" s="11">
        <f t="shared" si="958"/>
        <v>0</v>
      </c>
      <c r="V187" s="11">
        <f t="shared" si="958"/>
        <v>0</v>
      </c>
      <c r="W187" s="11">
        <f t="shared" si="958"/>
        <v>0</v>
      </c>
      <c r="X187" s="14">
        <f t="shared" si="958"/>
        <v>0</v>
      </c>
      <c r="Y187" s="14">
        <f t="shared" si="958"/>
        <v>0</v>
      </c>
      <c r="Z187" s="14">
        <f t="shared" si="958"/>
        <v>0</v>
      </c>
      <c r="AA187" s="14">
        <f t="shared" si="958"/>
        <v>0</v>
      </c>
      <c r="AB187" s="15">
        <f t="shared" si="958"/>
        <v>0</v>
      </c>
      <c r="AC187" s="15">
        <f t="shared" si="958"/>
        <v>0</v>
      </c>
      <c r="AD187" s="13">
        <f t="shared" si="958"/>
        <v>0</v>
      </c>
      <c r="AE187" s="13">
        <f t="shared" si="958"/>
        <v>0</v>
      </c>
      <c r="AF187" s="12">
        <f t="shared" si="958"/>
        <v>0</v>
      </c>
      <c r="AG187" s="12">
        <f t="shared" si="958"/>
        <v>0</v>
      </c>
      <c r="AH187" s="13">
        <f t="shared" si="958"/>
        <v>0</v>
      </c>
      <c r="AI187" s="13">
        <f t="shared" si="958"/>
        <v>0</v>
      </c>
      <c r="AJ187" s="11">
        <f t="shared" si="958"/>
        <v>0</v>
      </c>
      <c r="AK187" s="11">
        <f t="shared" si="958"/>
        <v>0</v>
      </c>
      <c r="AL187" s="11">
        <f t="shared" si="958"/>
        <v>0</v>
      </c>
      <c r="AM187" s="11">
        <f t="shared" si="958"/>
        <v>0</v>
      </c>
      <c r="AN187" s="11">
        <f t="shared" si="958"/>
        <v>0</v>
      </c>
      <c r="AO187" s="11">
        <f t="shared" si="958"/>
        <v>0</v>
      </c>
      <c r="AP187" s="11">
        <f t="shared" si="958"/>
        <v>0</v>
      </c>
      <c r="AQ187" s="11">
        <f t="shared" si="958"/>
        <v>0</v>
      </c>
      <c r="AR187" s="16">
        <f t="shared" si="958"/>
        <v>0</v>
      </c>
      <c r="AS187" s="16">
        <f t="shared" si="958"/>
        <v>0</v>
      </c>
      <c r="AT187" s="16">
        <f t="shared" si="958"/>
        <v>0</v>
      </c>
      <c r="AU187" s="7">
        <f t="shared" si="958"/>
        <v>0</v>
      </c>
      <c r="AV187" s="7">
        <f t="shared" si="958"/>
        <v>0</v>
      </c>
      <c r="AW187" s="7">
        <f t="shared" si="958"/>
        <v>0</v>
      </c>
      <c r="AX187" s="7">
        <f t="shared" si="958"/>
        <v>0</v>
      </c>
      <c r="AY187" s="11">
        <f t="shared" si="958"/>
        <v>0</v>
      </c>
      <c r="AZ187" s="16">
        <f t="shared" si="958"/>
        <v>0</v>
      </c>
      <c r="BA187" s="16">
        <f t="shared" si="958"/>
        <v>0</v>
      </c>
      <c r="BB187" s="16">
        <f t="shared" si="958"/>
        <v>0</v>
      </c>
      <c r="BC187" s="11">
        <f t="shared" si="958"/>
        <v>0</v>
      </c>
      <c r="BD187" s="11">
        <f t="shared" si="958"/>
        <v>0</v>
      </c>
      <c r="BE187" s="11">
        <f t="shared" si="958"/>
        <v>0</v>
      </c>
      <c r="BF187" s="11">
        <f t="shared" si="958"/>
        <v>0</v>
      </c>
      <c r="BG187" s="11">
        <f t="shared" si="958"/>
        <v>0</v>
      </c>
      <c r="BH187" s="11">
        <f t="shared" si="958"/>
        <v>0</v>
      </c>
      <c r="BI187" s="13">
        <f t="shared" si="958"/>
        <v>0</v>
      </c>
      <c r="BJ187" s="13">
        <f t="shared" si="958"/>
        <v>0</v>
      </c>
      <c r="BK187" s="11">
        <f t="shared" si="958"/>
        <v>0</v>
      </c>
      <c r="BL187" s="12">
        <f t="shared" si="958"/>
        <v>0</v>
      </c>
      <c r="BM187" s="12">
        <f t="shared" si="958"/>
        <v>0</v>
      </c>
      <c r="BN187" s="13">
        <f t="shared" si="958"/>
        <v>0</v>
      </c>
      <c r="BO187" s="13">
        <f t="shared" si="958"/>
        <v>0</v>
      </c>
      <c r="BP187" s="15">
        <f t="shared" si="958"/>
        <v>0</v>
      </c>
      <c r="BQ187" s="15">
        <f t="shared" si="958"/>
        <v>0</v>
      </c>
      <c r="BR187" s="14">
        <f t="shared" si="958"/>
        <v>0</v>
      </c>
      <c r="BS187" s="14">
        <f t="shared" si="958"/>
        <v>0</v>
      </c>
      <c r="BT187" s="14">
        <f t="shared" si="958"/>
        <v>0</v>
      </c>
      <c r="BU187" s="14">
        <f t="shared" si="958"/>
        <v>0</v>
      </c>
      <c r="BV187" s="11">
        <f t="shared" si="958"/>
        <v>0</v>
      </c>
      <c r="BW187" s="11">
        <f t="shared" si="958"/>
        <v>0</v>
      </c>
      <c r="BX187" s="11">
        <f t="shared" si="958"/>
        <v>0</v>
      </c>
      <c r="BY187" s="11">
        <f t="shared" si="958"/>
        <v>0</v>
      </c>
      <c r="BZ187" s="7">
        <f t="shared" si="958"/>
        <v>0</v>
      </c>
      <c r="CA187" s="7">
        <f t="shared" si="958"/>
        <v>0</v>
      </c>
      <c r="CB187" s="7">
        <f t="shared" ref="CB187:CP187" si="959">IFERROR(VALUE(CB492),"-")</f>
        <v>0</v>
      </c>
      <c r="CC187" s="7">
        <f t="shared" si="959"/>
        <v>0</v>
      </c>
      <c r="CD187" s="7">
        <f t="shared" si="959"/>
        <v>0</v>
      </c>
      <c r="CE187" s="3">
        <f t="shared" si="959"/>
        <v>0</v>
      </c>
      <c r="CF187" s="7">
        <f t="shared" si="959"/>
        <v>0</v>
      </c>
      <c r="CG187" s="3">
        <f t="shared" si="959"/>
        <v>0</v>
      </c>
      <c r="CH187" s="7">
        <f t="shared" si="959"/>
        <v>0</v>
      </c>
      <c r="CI187" s="7">
        <f t="shared" si="959"/>
        <v>0</v>
      </c>
      <c r="CJ187" s="3">
        <f t="shared" si="959"/>
        <v>0</v>
      </c>
      <c r="CK187" s="7">
        <f t="shared" si="959"/>
        <v>0</v>
      </c>
      <c r="CL187" s="3">
        <f t="shared" si="959"/>
        <v>0</v>
      </c>
      <c r="CM187" s="7">
        <f t="shared" si="959"/>
        <v>0</v>
      </c>
      <c r="CN187" s="10">
        <f t="shared" si="959"/>
        <v>0</v>
      </c>
      <c r="CO187" s="10">
        <f t="shared" si="959"/>
        <v>0</v>
      </c>
      <c r="CP187" s="7">
        <f t="shared" si="959"/>
        <v>0</v>
      </c>
      <c r="CQ187" s="7">
        <f t="shared" ref="CQ187" si="960">IFERROR(CQ492,"-")</f>
        <v>0</v>
      </c>
      <c r="CR187" s="10">
        <f t="shared" si="900"/>
        <v>0</v>
      </c>
      <c r="CS187" s="7">
        <f t="shared" si="900"/>
        <v>0</v>
      </c>
      <c r="CT187" s="7">
        <f t="shared" si="900"/>
        <v>0</v>
      </c>
      <c r="CU187" s="7">
        <f t="shared" si="900"/>
        <v>0</v>
      </c>
      <c r="CV187" s="7">
        <f t="shared" si="900"/>
        <v>0</v>
      </c>
      <c r="CW187" s="7">
        <f t="shared" si="900"/>
        <v>0</v>
      </c>
      <c r="CX187" s="7">
        <f t="shared" si="900"/>
        <v>0</v>
      </c>
      <c r="CY187" s="7">
        <f t="shared" si="900"/>
        <v>0</v>
      </c>
      <c r="CZ187" s="7">
        <f t="shared" si="900"/>
        <v>0</v>
      </c>
      <c r="DA187" s="7">
        <f t="shared" si="900"/>
        <v>0</v>
      </c>
      <c r="DB187" s="7">
        <f t="shared" si="900"/>
        <v>0</v>
      </c>
      <c r="DC187" s="7">
        <f t="shared" si="900"/>
        <v>0</v>
      </c>
      <c r="DD187" s="7">
        <f t="shared" si="900"/>
        <v>0</v>
      </c>
      <c r="DE187" s="7">
        <f t="shared" si="900"/>
        <v>0</v>
      </c>
      <c r="DF187" s="7">
        <f t="shared" si="900"/>
        <v>0</v>
      </c>
      <c r="DG187" s="7">
        <f t="shared" si="900"/>
        <v>0</v>
      </c>
      <c r="DH187" s="7">
        <f t="shared" ref="DH187:DJ187" si="961">IFERROR(DH492,"-")</f>
        <v>0</v>
      </c>
      <c r="DI187" s="7">
        <f t="shared" si="961"/>
        <v>0</v>
      </c>
      <c r="DJ187" s="7">
        <f t="shared" si="961"/>
        <v>0</v>
      </c>
      <c r="DK187" s="64">
        <f t="shared" ref="DK187:DS187" si="962">IFERROR(VALUE(DK492),"-")</f>
        <v>0</v>
      </c>
      <c r="DL187" s="64">
        <f t="shared" si="962"/>
        <v>0</v>
      </c>
      <c r="DM187" s="64">
        <f t="shared" si="962"/>
        <v>0</v>
      </c>
      <c r="DN187" s="64">
        <f t="shared" si="962"/>
        <v>0</v>
      </c>
      <c r="DO187" s="64">
        <f t="shared" si="962"/>
        <v>0</v>
      </c>
      <c r="DP187" s="64">
        <f t="shared" si="962"/>
        <v>0</v>
      </c>
      <c r="DQ187" s="64">
        <f t="shared" si="962"/>
        <v>0</v>
      </c>
      <c r="DR187" s="64">
        <f t="shared" si="962"/>
        <v>0</v>
      </c>
      <c r="DS187" s="64">
        <f t="shared" si="962"/>
        <v>0</v>
      </c>
      <c r="DT187">
        <f t="shared" si="669"/>
        <v>0</v>
      </c>
      <c r="DU187" s="10">
        <f t="shared" si="670"/>
        <v>0</v>
      </c>
    </row>
    <row r="188" spans="1:125" x14ac:dyDescent="0.25">
      <c r="A188" t="s">
        <v>65</v>
      </c>
      <c r="B188" s="2">
        <v>44861</v>
      </c>
      <c r="C188" s="1">
        <v>125</v>
      </c>
      <c r="D188">
        <v>81</v>
      </c>
      <c r="G188" t="str">
        <f t="array" ref="G188">IFERROR(INDEX($A$2:$A$700,MATCH(0,COUNTIF($G$1:G187,$A$2:$A$700),0)),"")</f>
        <v>TORNTPHARM</v>
      </c>
      <c r="M188" s="3"/>
      <c r="N188" s="3"/>
      <c r="O188" s="3">
        <f t="shared" si="671"/>
        <v>0</v>
      </c>
      <c r="P188" s="7">
        <f t="shared" ref="P188:CA188" si="963">IFERROR(VALUE(P493),"-")</f>
        <v>0</v>
      </c>
      <c r="Q188" s="7">
        <f t="shared" si="963"/>
        <v>0</v>
      </c>
      <c r="R188" s="7">
        <f t="shared" si="963"/>
        <v>0</v>
      </c>
      <c r="S188" s="7">
        <f t="shared" si="963"/>
        <v>0</v>
      </c>
      <c r="T188" s="11">
        <f t="shared" si="963"/>
        <v>0</v>
      </c>
      <c r="U188" s="11">
        <f t="shared" si="963"/>
        <v>0</v>
      </c>
      <c r="V188" s="11">
        <f t="shared" si="963"/>
        <v>0</v>
      </c>
      <c r="W188" s="11">
        <f t="shared" si="963"/>
        <v>0</v>
      </c>
      <c r="X188" s="14">
        <f t="shared" si="963"/>
        <v>0</v>
      </c>
      <c r="Y188" s="14">
        <f t="shared" si="963"/>
        <v>0</v>
      </c>
      <c r="Z188" s="14">
        <f t="shared" si="963"/>
        <v>0</v>
      </c>
      <c r="AA188" s="14">
        <f t="shared" si="963"/>
        <v>0</v>
      </c>
      <c r="AB188" s="15">
        <f t="shared" si="963"/>
        <v>0</v>
      </c>
      <c r="AC188" s="15">
        <f t="shared" si="963"/>
        <v>0</v>
      </c>
      <c r="AD188" s="13">
        <f t="shared" si="963"/>
        <v>0</v>
      </c>
      <c r="AE188" s="13">
        <f t="shared" si="963"/>
        <v>0</v>
      </c>
      <c r="AF188" s="12">
        <f t="shared" si="963"/>
        <v>0</v>
      </c>
      <c r="AG188" s="12">
        <f t="shared" si="963"/>
        <v>0</v>
      </c>
      <c r="AH188" s="13">
        <f t="shared" si="963"/>
        <v>0</v>
      </c>
      <c r="AI188" s="13">
        <f t="shared" si="963"/>
        <v>0</v>
      </c>
      <c r="AJ188" s="11">
        <f t="shared" si="963"/>
        <v>0</v>
      </c>
      <c r="AK188" s="11">
        <f t="shared" si="963"/>
        <v>0</v>
      </c>
      <c r="AL188" s="11">
        <f t="shared" si="963"/>
        <v>0</v>
      </c>
      <c r="AM188" s="11">
        <f t="shared" si="963"/>
        <v>0</v>
      </c>
      <c r="AN188" s="11">
        <f t="shared" si="963"/>
        <v>0</v>
      </c>
      <c r="AO188" s="11">
        <f t="shared" si="963"/>
        <v>0</v>
      </c>
      <c r="AP188" s="11">
        <f t="shared" si="963"/>
        <v>0</v>
      </c>
      <c r="AQ188" s="11">
        <f t="shared" si="963"/>
        <v>0</v>
      </c>
      <c r="AR188" s="16">
        <f t="shared" si="963"/>
        <v>0</v>
      </c>
      <c r="AS188" s="16">
        <f t="shared" si="963"/>
        <v>0</v>
      </c>
      <c r="AT188" s="16">
        <f t="shared" si="963"/>
        <v>0</v>
      </c>
      <c r="AU188" s="7">
        <f t="shared" si="963"/>
        <v>0</v>
      </c>
      <c r="AV188" s="7">
        <f t="shared" si="963"/>
        <v>0</v>
      </c>
      <c r="AW188" s="7">
        <f t="shared" si="963"/>
        <v>0</v>
      </c>
      <c r="AX188" s="7">
        <f t="shared" si="963"/>
        <v>0</v>
      </c>
      <c r="AY188" s="11">
        <f t="shared" si="963"/>
        <v>0</v>
      </c>
      <c r="AZ188" s="16">
        <f t="shared" si="963"/>
        <v>0</v>
      </c>
      <c r="BA188" s="16">
        <f t="shared" si="963"/>
        <v>0</v>
      </c>
      <c r="BB188" s="16">
        <f t="shared" si="963"/>
        <v>0</v>
      </c>
      <c r="BC188" s="11">
        <f t="shared" si="963"/>
        <v>0</v>
      </c>
      <c r="BD188" s="11">
        <f t="shared" si="963"/>
        <v>0</v>
      </c>
      <c r="BE188" s="11">
        <f t="shared" si="963"/>
        <v>0</v>
      </c>
      <c r="BF188" s="11">
        <f t="shared" si="963"/>
        <v>0</v>
      </c>
      <c r="BG188" s="11">
        <f t="shared" si="963"/>
        <v>0</v>
      </c>
      <c r="BH188" s="11">
        <f t="shared" si="963"/>
        <v>0</v>
      </c>
      <c r="BI188" s="13">
        <f t="shared" si="963"/>
        <v>0</v>
      </c>
      <c r="BJ188" s="13">
        <f t="shared" si="963"/>
        <v>0</v>
      </c>
      <c r="BK188" s="11">
        <f t="shared" si="963"/>
        <v>0</v>
      </c>
      <c r="BL188" s="12">
        <f t="shared" si="963"/>
        <v>0</v>
      </c>
      <c r="BM188" s="12">
        <f t="shared" si="963"/>
        <v>0</v>
      </c>
      <c r="BN188" s="13">
        <f t="shared" si="963"/>
        <v>0</v>
      </c>
      <c r="BO188" s="13">
        <f t="shared" si="963"/>
        <v>0</v>
      </c>
      <c r="BP188" s="15">
        <f t="shared" si="963"/>
        <v>0</v>
      </c>
      <c r="BQ188" s="15">
        <f t="shared" si="963"/>
        <v>0</v>
      </c>
      <c r="BR188" s="14">
        <f t="shared" si="963"/>
        <v>0</v>
      </c>
      <c r="BS188" s="14">
        <f t="shared" si="963"/>
        <v>0</v>
      </c>
      <c r="BT188" s="14">
        <f t="shared" si="963"/>
        <v>0</v>
      </c>
      <c r="BU188" s="14">
        <f t="shared" si="963"/>
        <v>0</v>
      </c>
      <c r="BV188" s="11">
        <f t="shared" si="963"/>
        <v>0</v>
      </c>
      <c r="BW188" s="11">
        <f t="shared" si="963"/>
        <v>0</v>
      </c>
      <c r="BX188" s="11">
        <f t="shared" si="963"/>
        <v>0</v>
      </c>
      <c r="BY188" s="11">
        <f t="shared" si="963"/>
        <v>0</v>
      </c>
      <c r="BZ188" s="7">
        <f t="shared" si="963"/>
        <v>0</v>
      </c>
      <c r="CA188" s="7">
        <f t="shared" si="963"/>
        <v>0</v>
      </c>
      <c r="CB188" s="7">
        <f t="shared" ref="CB188:CP188" si="964">IFERROR(VALUE(CB493),"-")</f>
        <v>0</v>
      </c>
      <c r="CC188" s="7">
        <f t="shared" si="964"/>
        <v>0</v>
      </c>
      <c r="CD188" s="7">
        <f t="shared" si="964"/>
        <v>0</v>
      </c>
      <c r="CE188" s="3">
        <f t="shared" si="964"/>
        <v>0</v>
      </c>
      <c r="CF188" s="7">
        <f t="shared" si="964"/>
        <v>0</v>
      </c>
      <c r="CG188" s="3">
        <f t="shared" si="964"/>
        <v>0</v>
      </c>
      <c r="CH188" s="7">
        <f t="shared" si="964"/>
        <v>0</v>
      </c>
      <c r="CI188" s="7">
        <f t="shared" si="964"/>
        <v>0</v>
      </c>
      <c r="CJ188" s="3">
        <f t="shared" si="964"/>
        <v>0</v>
      </c>
      <c r="CK188" s="7">
        <f t="shared" si="964"/>
        <v>0</v>
      </c>
      <c r="CL188" s="3">
        <f t="shared" si="964"/>
        <v>0</v>
      </c>
      <c r="CM188" s="7">
        <f t="shared" si="964"/>
        <v>0</v>
      </c>
      <c r="CN188" s="10">
        <f t="shared" si="964"/>
        <v>0</v>
      </c>
      <c r="CO188" s="10">
        <f t="shared" si="964"/>
        <v>0</v>
      </c>
      <c r="CP188" s="7">
        <f t="shared" si="964"/>
        <v>0</v>
      </c>
      <c r="CQ188" s="7">
        <f t="shared" ref="CQ188" si="965">IFERROR(CQ493,"-")</f>
        <v>0</v>
      </c>
      <c r="CR188" s="10">
        <f t="shared" si="900"/>
        <v>0</v>
      </c>
      <c r="CS188" s="7">
        <f t="shared" si="900"/>
        <v>0</v>
      </c>
      <c r="CT188" s="7">
        <f t="shared" si="900"/>
        <v>0</v>
      </c>
      <c r="CU188" s="7">
        <f t="shared" si="900"/>
        <v>0</v>
      </c>
      <c r="CV188" s="7">
        <f t="shared" si="900"/>
        <v>0</v>
      </c>
      <c r="CW188" s="7">
        <f t="shared" si="900"/>
        <v>0</v>
      </c>
      <c r="CX188" s="7">
        <f t="shared" si="900"/>
        <v>0</v>
      </c>
      <c r="CY188" s="7">
        <f t="shared" si="900"/>
        <v>0</v>
      </c>
      <c r="CZ188" s="7">
        <f t="shared" si="900"/>
        <v>0</v>
      </c>
      <c r="DA188" s="7">
        <f t="shared" si="900"/>
        <v>0</v>
      </c>
      <c r="DB188" s="7">
        <f t="shared" si="900"/>
        <v>0</v>
      </c>
      <c r="DC188" s="7">
        <f t="shared" si="900"/>
        <v>0</v>
      </c>
      <c r="DD188" s="7">
        <f t="shared" si="900"/>
        <v>0</v>
      </c>
      <c r="DE188" s="7">
        <f t="shared" si="900"/>
        <v>0</v>
      </c>
      <c r="DF188" s="7">
        <f t="shared" si="900"/>
        <v>0</v>
      </c>
      <c r="DG188" s="7">
        <f t="shared" si="900"/>
        <v>0</v>
      </c>
      <c r="DH188" s="7">
        <f t="shared" ref="DH188:DJ188" si="966">IFERROR(DH493,"-")</f>
        <v>0</v>
      </c>
      <c r="DI188" s="7">
        <f t="shared" si="966"/>
        <v>0</v>
      </c>
      <c r="DJ188" s="7">
        <f t="shared" si="966"/>
        <v>0</v>
      </c>
      <c r="DK188" s="64">
        <f t="shared" ref="DK188:DS188" si="967">IFERROR(VALUE(DK493),"-")</f>
        <v>0</v>
      </c>
      <c r="DL188" s="64">
        <f t="shared" si="967"/>
        <v>0</v>
      </c>
      <c r="DM188" s="64">
        <f t="shared" si="967"/>
        <v>0</v>
      </c>
      <c r="DN188" s="64">
        <f t="shared" si="967"/>
        <v>0</v>
      </c>
      <c r="DO188" s="64">
        <f t="shared" si="967"/>
        <v>0</v>
      </c>
      <c r="DP188" s="64">
        <f t="shared" si="967"/>
        <v>0</v>
      </c>
      <c r="DQ188" s="64">
        <f t="shared" si="967"/>
        <v>0</v>
      </c>
      <c r="DR188" s="64">
        <f t="shared" si="967"/>
        <v>0</v>
      </c>
      <c r="DS188" s="64">
        <f t="shared" si="967"/>
        <v>0</v>
      </c>
      <c r="DT188">
        <f t="shared" si="669"/>
        <v>0</v>
      </c>
      <c r="DU188" s="10">
        <f t="shared" si="670"/>
        <v>0</v>
      </c>
    </row>
    <row r="189" spans="1:125" x14ac:dyDescent="0.25">
      <c r="A189" t="s">
        <v>66</v>
      </c>
      <c r="B189" s="2">
        <v>44798</v>
      </c>
      <c r="C189" s="1">
        <v>350</v>
      </c>
      <c r="D189">
        <v>108</v>
      </c>
      <c r="G189" t="str">
        <f t="array" ref="G189">IFERROR(INDEX($A$2:$A$700,MATCH(0,COUNTIF($G$1:G188,$A$2:$A$700),0)),"")</f>
        <v>TORNTPOWER</v>
      </c>
      <c r="M189" s="3"/>
      <c r="N189" s="3"/>
      <c r="O189" s="3">
        <f t="shared" si="671"/>
        <v>0</v>
      </c>
      <c r="P189" s="7">
        <f t="shared" ref="P189:CA189" si="968">IFERROR(VALUE(P494),"-")</f>
        <v>0</v>
      </c>
      <c r="Q189" s="7">
        <f t="shared" si="968"/>
        <v>0</v>
      </c>
      <c r="R189" s="7">
        <f t="shared" si="968"/>
        <v>0</v>
      </c>
      <c r="S189" s="7">
        <f t="shared" si="968"/>
        <v>0</v>
      </c>
      <c r="T189" s="11">
        <f t="shared" si="968"/>
        <v>0</v>
      </c>
      <c r="U189" s="11">
        <f t="shared" si="968"/>
        <v>0</v>
      </c>
      <c r="V189" s="11">
        <f t="shared" si="968"/>
        <v>0</v>
      </c>
      <c r="W189" s="11">
        <f t="shared" si="968"/>
        <v>0</v>
      </c>
      <c r="X189" s="14">
        <f t="shared" si="968"/>
        <v>0</v>
      </c>
      <c r="Y189" s="14">
        <f t="shared" si="968"/>
        <v>0</v>
      </c>
      <c r="Z189" s="14">
        <f t="shared" si="968"/>
        <v>0</v>
      </c>
      <c r="AA189" s="14">
        <f t="shared" si="968"/>
        <v>0</v>
      </c>
      <c r="AB189" s="15">
        <f t="shared" si="968"/>
        <v>0</v>
      </c>
      <c r="AC189" s="15">
        <f t="shared" si="968"/>
        <v>0</v>
      </c>
      <c r="AD189" s="13">
        <f t="shared" si="968"/>
        <v>0</v>
      </c>
      <c r="AE189" s="13">
        <f t="shared" si="968"/>
        <v>0</v>
      </c>
      <c r="AF189" s="12">
        <f t="shared" si="968"/>
        <v>0</v>
      </c>
      <c r="AG189" s="12">
        <f t="shared" si="968"/>
        <v>0</v>
      </c>
      <c r="AH189" s="13">
        <f t="shared" si="968"/>
        <v>0</v>
      </c>
      <c r="AI189" s="13">
        <f t="shared" si="968"/>
        <v>0</v>
      </c>
      <c r="AJ189" s="11">
        <f t="shared" si="968"/>
        <v>0</v>
      </c>
      <c r="AK189" s="11">
        <f t="shared" si="968"/>
        <v>0</v>
      </c>
      <c r="AL189" s="11">
        <f t="shared" si="968"/>
        <v>0</v>
      </c>
      <c r="AM189" s="11">
        <f t="shared" si="968"/>
        <v>0</v>
      </c>
      <c r="AN189" s="11">
        <f t="shared" si="968"/>
        <v>0</v>
      </c>
      <c r="AO189" s="11">
        <f t="shared" si="968"/>
        <v>0</v>
      </c>
      <c r="AP189" s="11">
        <f t="shared" si="968"/>
        <v>0</v>
      </c>
      <c r="AQ189" s="11">
        <f t="shared" si="968"/>
        <v>0</v>
      </c>
      <c r="AR189" s="16">
        <f t="shared" si="968"/>
        <v>0</v>
      </c>
      <c r="AS189" s="16">
        <f t="shared" si="968"/>
        <v>0</v>
      </c>
      <c r="AT189" s="16">
        <f t="shared" si="968"/>
        <v>0</v>
      </c>
      <c r="AU189" s="7">
        <f t="shared" si="968"/>
        <v>0</v>
      </c>
      <c r="AV189" s="7">
        <f t="shared" si="968"/>
        <v>0</v>
      </c>
      <c r="AW189" s="7">
        <f t="shared" si="968"/>
        <v>0</v>
      </c>
      <c r="AX189" s="7">
        <f t="shared" si="968"/>
        <v>0</v>
      </c>
      <c r="AY189" s="11">
        <f t="shared" si="968"/>
        <v>0</v>
      </c>
      <c r="AZ189" s="16">
        <f t="shared" si="968"/>
        <v>0</v>
      </c>
      <c r="BA189" s="16">
        <f t="shared" si="968"/>
        <v>0</v>
      </c>
      <c r="BB189" s="16">
        <f t="shared" si="968"/>
        <v>0</v>
      </c>
      <c r="BC189" s="11">
        <f t="shared" si="968"/>
        <v>0</v>
      </c>
      <c r="BD189" s="11">
        <f t="shared" si="968"/>
        <v>0</v>
      </c>
      <c r="BE189" s="11">
        <f t="shared" si="968"/>
        <v>0</v>
      </c>
      <c r="BF189" s="11">
        <f t="shared" si="968"/>
        <v>0</v>
      </c>
      <c r="BG189" s="11">
        <f t="shared" si="968"/>
        <v>0</v>
      </c>
      <c r="BH189" s="11">
        <f t="shared" si="968"/>
        <v>0</v>
      </c>
      <c r="BI189" s="13">
        <f t="shared" si="968"/>
        <v>0</v>
      </c>
      <c r="BJ189" s="13">
        <f t="shared" si="968"/>
        <v>0</v>
      </c>
      <c r="BK189" s="11">
        <f t="shared" si="968"/>
        <v>0</v>
      </c>
      <c r="BL189" s="12">
        <f t="shared" si="968"/>
        <v>0</v>
      </c>
      <c r="BM189" s="12">
        <f t="shared" si="968"/>
        <v>0</v>
      </c>
      <c r="BN189" s="13">
        <f t="shared" si="968"/>
        <v>0</v>
      </c>
      <c r="BO189" s="13">
        <f t="shared" si="968"/>
        <v>0</v>
      </c>
      <c r="BP189" s="15">
        <f t="shared" si="968"/>
        <v>0</v>
      </c>
      <c r="BQ189" s="15">
        <f t="shared" si="968"/>
        <v>0</v>
      </c>
      <c r="BR189" s="14">
        <f t="shared" si="968"/>
        <v>0</v>
      </c>
      <c r="BS189" s="14">
        <f t="shared" si="968"/>
        <v>0</v>
      </c>
      <c r="BT189" s="14">
        <f t="shared" si="968"/>
        <v>0</v>
      </c>
      <c r="BU189" s="14">
        <f t="shared" si="968"/>
        <v>0</v>
      </c>
      <c r="BV189" s="11">
        <f t="shared" si="968"/>
        <v>0</v>
      </c>
      <c r="BW189" s="11">
        <f t="shared" si="968"/>
        <v>0</v>
      </c>
      <c r="BX189" s="11">
        <f t="shared" si="968"/>
        <v>0</v>
      </c>
      <c r="BY189" s="11">
        <f t="shared" si="968"/>
        <v>0</v>
      </c>
      <c r="BZ189" s="7">
        <f t="shared" si="968"/>
        <v>0</v>
      </c>
      <c r="CA189" s="7">
        <f t="shared" si="968"/>
        <v>0</v>
      </c>
      <c r="CB189" s="7">
        <f t="shared" ref="CB189:CP189" si="969">IFERROR(VALUE(CB494),"-")</f>
        <v>0</v>
      </c>
      <c r="CC189" s="7">
        <f t="shared" si="969"/>
        <v>0</v>
      </c>
      <c r="CD189" s="7">
        <f t="shared" si="969"/>
        <v>0</v>
      </c>
      <c r="CE189" s="3">
        <f t="shared" si="969"/>
        <v>0</v>
      </c>
      <c r="CF189" s="7">
        <f t="shared" si="969"/>
        <v>0</v>
      </c>
      <c r="CG189" s="3">
        <f t="shared" si="969"/>
        <v>0</v>
      </c>
      <c r="CH189" s="7">
        <f t="shared" si="969"/>
        <v>0</v>
      </c>
      <c r="CI189" s="7">
        <f t="shared" si="969"/>
        <v>0</v>
      </c>
      <c r="CJ189" s="3">
        <f t="shared" si="969"/>
        <v>0</v>
      </c>
      <c r="CK189" s="7">
        <f t="shared" si="969"/>
        <v>0</v>
      </c>
      <c r="CL189" s="3">
        <f t="shared" si="969"/>
        <v>0</v>
      </c>
      <c r="CM189" s="7">
        <f t="shared" si="969"/>
        <v>0</v>
      </c>
      <c r="CN189" s="10">
        <f t="shared" si="969"/>
        <v>0</v>
      </c>
      <c r="CO189" s="10">
        <f t="shared" si="969"/>
        <v>0</v>
      </c>
      <c r="CP189" s="7">
        <f t="shared" si="969"/>
        <v>0</v>
      </c>
      <c r="CQ189" s="7">
        <f t="shared" ref="CQ189" si="970">IFERROR(CQ494,"-")</f>
        <v>0</v>
      </c>
      <c r="CR189" s="10">
        <f t="shared" si="900"/>
        <v>0</v>
      </c>
      <c r="CS189" s="7">
        <f t="shared" si="900"/>
        <v>0</v>
      </c>
      <c r="CT189" s="7">
        <f t="shared" si="900"/>
        <v>0</v>
      </c>
      <c r="CU189" s="7">
        <f t="shared" si="900"/>
        <v>0</v>
      </c>
      <c r="CV189" s="7">
        <f t="shared" si="900"/>
        <v>0</v>
      </c>
      <c r="CW189" s="7">
        <f t="shared" si="900"/>
        <v>0</v>
      </c>
      <c r="CX189" s="7">
        <f t="shared" si="900"/>
        <v>0</v>
      </c>
      <c r="CY189" s="7">
        <f t="shared" si="900"/>
        <v>0</v>
      </c>
      <c r="CZ189" s="7">
        <f t="shared" si="900"/>
        <v>0</v>
      </c>
      <c r="DA189" s="7">
        <f t="shared" si="900"/>
        <v>0</v>
      </c>
      <c r="DB189" s="7">
        <f t="shared" si="900"/>
        <v>0</v>
      </c>
      <c r="DC189" s="7">
        <f t="shared" si="900"/>
        <v>0</v>
      </c>
      <c r="DD189" s="7">
        <f t="shared" si="900"/>
        <v>0</v>
      </c>
      <c r="DE189" s="7">
        <f t="shared" si="900"/>
        <v>0</v>
      </c>
      <c r="DF189" s="7">
        <f t="shared" si="900"/>
        <v>0</v>
      </c>
      <c r="DG189" s="7">
        <f t="shared" si="900"/>
        <v>0</v>
      </c>
      <c r="DH189" s="7">
        <f t="shared" ref="DH189:DJ189" si="971">IFERROR(DH494,"-")</f>
        <v>0</v>
      </c>
      <c r="DI189" s="7">
        <f t="shared" si="971"/>
        <v>0</v>
      </c>
      <c r="DJ189" s="7">
        <f t="shared" si="971"/>
        <v>0</v>
      </c>
      <c r="DK189" s="64">
        <f t="shared" ref="DK189:DS189" si="972">IFERROR(VALUE(DK494),"-")</f>
        <v>0</v>
      </c>
      <c r="DL189" s="64">
        <f t="shared" si="972"/>
        <v>0</v>
      </c>
      <c r="DM189" s="64">
        <f t="shared" si="972"/>
        <v>0</v>
      </c>
      <c r="DN189" s="64">
        <f t="shared" si="972"/>
        <v>0</v>
      </c>
      <c r="DO189" s="64">
        <f t="shared" si="972"/>
        <v>0</v>
      </c>
      <c r="DP189" s="64">
        <f t="shared" si="972"/>
        <v>0</v>
      </c>
      <c r="DQ189" s="64">
        <f t="shared" si="972"/>
        <v>0</v>
      </c>
      <c r="DR189" s="64">
        <f t="shared" si="972"/>
        <v>0</v>
      </c>
      <c r="DS189" s="64">
        <f t="shared" si="972"/>
        <v>0</v>
      </c>
      <c r="DT189">
        <f t="shared" si="669"/>
        <v>0</v>
      </c>
      <c r="DU189" s="10">
        <f t="shared" si="670"/>
        <v>0</v>
      </c>
    </row>
    <row r="190" spans="1:125" x14ac:dyDescent="0.25">
      <c r="A190" t="s">
        <v>66</v>
      </c>
      <c r="B190" s="2">
        <v>44833</v>
      </c>
      <c r="C190" s="1">
        <v>350</v>
      </c>
      <c r="D190">
        <v>108</v>
      </c>
      <c r="G190" t="str">
        <f t="array" ref="G190">IFERROR(INDEX($A$2:$A$700,MATCH(0,COUNTIF($G$1:G189,$A$2:$A$700),0)),"")</f>
        <v>TRENT</v>
      </c>
      <c r="M190" s="3"/>
      <c r="N190" s="3"/>
      <c r="O190" s="3">
        <f t="shared" si="671"/>
        <v>0</v>
      </c>
      <c r="P190" s="7">
        <f t="shared" ref="P190:CA190" si="973">IFERROR(VALUE(P495),"-")</f>
        <v>0</v>
      </c>
      <c r="Q190" s="7">
        <f t="shared" si="973"/>
        <v>0</v>
      </c>
      <c r="R190" s="7">
        <f t="shared" si="973"/>
        <v>0</v>
      </c>
      <c r="S190" s="7">
        <f t="shared" si="973"/>
        <v>0</v>
      </c>
      <c r="T190" s="11">
        <f t="shared" si="973"/>
        <v>0</v>
      </c>
      <c r="U190" s="11">
        <f t="shared" si="973"/>
        <v>0</v>
      </c>
      <c r="V190" s="11">
        <f t="shared" si="973"/>
        <v>0</v>
      </c>
      <c r="W190" s="11">
        <f t="shared" si="973"/>
        <v>0</v>
      </c>
      <c r="X190" s="14">
        <f t="shared" si="973"/>
        <v>0</v>
      </c>
      <c r="Y190" s="14">
        <f t="shared" si="973"/>
        <v>0</v>
      </c>
      <c r="Z190" s="14">
        <f t="shared" si="973"/>
        <v>0</v>
      </c>
      <c r="AA190" s="14">
        <f t="shared" si="973"/>
        <v>0</v>
      </c>
      <c r="AB190" s="15">
        <f t="shared" si="973"/>
        <v>0</v>
      </c>
      <c r="AC190" s="15">
        <f t="shared" si="973"/>
        <v>0</v>
      </c>
      <c r="AD190" s="13">
        <f t="shared" si="973"/>
        <v>0</v>
      </c>
      <c r="AE190" s="13">
        <f t="shared" si="973"/>
        <v>0</v>
      </c>
      <c r="AF190" s="12">
        <f t="shared" si="973"/>
        <v>0</v>
      </c>
      <c r="AG190" s="12">
        <f t="shared" si="973"/>
        <v>0</v>
      </c>
      <c r="AH190" s="13">
        <f t="shared" si="973"/>
        <v>0</v>
      </c>
      <c r="AI190" s="13">
        <f t="shared" si="973"/>
        <v>0</v>
      </c>
      <c r="AJ190" s="11">
        <f t="shared" si="973"/>
        <v>0</v>
      </c>
      <c r="AK190" s="11">
        <f t="shared" si="973"/>
        <v>0</v>
      </c>
      <c r="AL190" s="11">
        <f t="shared" si="973"/>
        <v>0</v>
      </c>
      <c r="AM190" s="11">
        <f t="shared" si="973"/>
        <v>0</v>
      </c>
      <c r="AN190" s="11">
        <f t="shared" si="973"/>
        <v>0</v>
      </c>
      <c r="AO190" s="11">
        <f t="shared" si="973"/>
        <v>0</v>
      </c>
      <c r="AP190" s="11">
        <f t="shared" si="973"/>
        <v>0</v>
      </c>
      <c r="AQ190" s="11">
        <f t="shared" si="973"/>
        <v>0</v>
      </c>
      <c r="AR190" s="16">
        <f t="shared" si="973"/>
        <v>0</v>
      </c>
      <c r="AS190" s="16">
        <f t="shared" si="973"/>
        <v>0</v>
      </c>
      <c r="AT190" s="16">
        <f t="shared" si="973"/>
        <v>0</v>
      </c>
      <c r="AU190" s="7">
        <f t="shared" si="973"/>
        <v>0</v>
      </c>
      <c r="AV190" s="7">
        <f t="shared" si="973"/>
        <v>0</v>
      </c>
      <c r="AW190" s="7">
        <f t="shared" si="973"/>
        <v>0</v>
      </c>
      <c r="AX190" s="7">
        <f t="shared" si="973"/>
        <v>0</v>
      </c>
      <c r="AY190" s="11">
        <f t="shared" si="973"/>
        <v>0</v>
      </c>
      <c r="AZ190" s="16">
        <f t="shared" si="973"/>
        <v>0</v>
      </c>
      <c r="BA190" s="16">
        <f t="shared" si="973"/>
        <v>0</v>
      </c>
      <c r="BB190" s="16">
        <f t="shared" si="973"/>
        <v>0</v>
      </c>
      <c r="BC190" s="11">
        <f t="shared" si="973"/>
        <v>0</v>
      </c>
      <c r="BD190" s="11">
        <f t="shared" si="973"/>
        <v>0</v>
      </c>
      <c r="BE190" s="11">
        <f t="shared" si="973"/>
        <v>0</v>
      </c>
      <c r="BF190" s="11">
        <f t="shared" si="973"/>
        <v>0</v>
      </c>
      <c r="BG190" s="11">
        <f t="shared" si="973"/>
        <v>0</v>
      </c>
      <c r="BH190" s="11">
        <f t="shared" si="973"/>
        <v>0</v>
      </c>
      <c r="BI190" s="13">
        <f t="shared" si="973"/>
        <v>0</v>
      </c>
      <c r="BJ190" s="13">
        <f t="shared" si="973"/>
        <v>0</v>
      </c>
      <c r="BK190" s="11">
        <f t="shared" si="973"/>
        <v>0</v>
      </c>
      <c r="BL190" s="12">
        <f t="shared" si="973"/>
        <v>0</v>
      </c>
      <c r="BM190" s="12">
        <f t="shared" si="973"/>
        <v>0</v>
      </c>
      <c r="BN190" s="13">
        <f t="shared" si="973"/>
        <v>0</v>
      </c>
      <c r="BO190" s="13">
        <f t="shared" si="973"/>
        <v>0</v>
      </c>
      <c r="BP190" s="15">
        <f t="shared" si="973"/>
        <v>0</v>
      </c>
      <c r="BQ190" s="15">
        <f t="shared" si="973"/>
        <v>0</v>
      </c>
      <c r="BR190" s="14">
        <f t="shared" si="973"/>
        <v>0</v>
      </c>
      <c r="BS190" s="14">
        <f t="shared" si="973"/>
        <v>0</v>
      </c>
      <c r="BT190" s="14">
        <f t="shared" si="973"/>
        <v>0</v>
      </c>
      <c r="BU190" s="14">
        <f t="shared" si="973"/>
        <v>0</v>
      </c>
      <c r="BV190" s="11">
        <f t="shared" si="973"/>
        <v>0</v>
      </c>
      <c r="BW190" s="11">
        <f t="shared" si="973"/>
        <v>0</v>
      </c>
      <c r="BX190" s="11">
        <f t="shared" si="973"/>
        <v>0</v>
      </c>
      <c r="BY190" s="11">
        <f t="shared" si="973"/>
        <v>0</v>
      </c>
      <c r="BZ190" s="7">
        <f t="shared" si="973"/>
        <v>0</v>
      </c>
      <c r="CA190" s="7">
        <f t="shared" si="973"/>
        <v>0</v>
      </c>
      <c r="CB190" s="7">
        <f t="shared" ref="CB190:CP190" si="974">IFERROR(VALUE(CB495),"-")</f>
        <v>0</v>
      </c>
      <c r="CC190" s="7">
        <f t="shared" si="974"/>
        <v>0</v>
      </c>
      <c r="CD190" s="7">
        <f t="shared" si="974"/>
        <v>0</v>
      </c>
      <c r="CE190" s="3">
        <f t="shared" si="974"/>
        <v>0</v>
      </c>
      <c r="CF190" s="7">
        <f t="shared" si="974"/>
        <v>0</v>
      </c>
      <c r="CG190" s="3">
        <f t="shared" si="974"/>
        <v>0</v>
      </c>
      <c r="CH190" s="7">
        <f t="shared" si="974"/>
        <v>0</v>
      </c>
      <c r="CI190" s="7">
        <f t="shared" si="974"/>
        <v>0</v>
      </c>
      <c r="CJ190" s="3">
        <f t="shared" si="974"/>
        <v>0</v>
      </c>
      <c r="CK190" s="7">
        <f t="shared" si="974"/>
        <v>0</v>
      </c>
      <c r="CL190" s="3">
        <f t="shared" si="974"/>
        <v>0</v>
      </c>
      <c r="CM190" s="7">
        <f t="shared" si="974"/>
        <v>0</v>
      </c>
      <c r="CN190" s="10">
        <f t="shared" si="974"/>
        <v>0</v>
      </c>
      <c r="CO190" s="10">
        <f t="shared" si="974"/>
        <v>0</v>
      </c>
      <c r="CP190" s="7">
        <f t="shared" si="974"/>
        <v>0</v>
      </c>
      <c r="CQ190" s="7">
        <f t="shared" ref="CQ190" si="975">IFERROR(CQ495,"-")</f>
        <v>0</v>
      </c>
      <c r="CR190" s="10">
        <f t="shared" si="900"/>
        <v>0</v>
      </c>
      <c r="CS190" s="7">
        <f t="shared" si="900"/>
        <v>0</v>
      </c>
      <c r="CT190" s="7">
        <f t="shared" si="900"/>
        <v>0</v>
      </c>
      <c r="CU190" s="7">
        <f t="shared" si="900"/>
        <v>0</v>
      </c>
      <c r="CV190" s="7">
        <f t="shared" si="900"/>
        <v>0</v>
      </c>
      <c r="CW190" s="7">
        <f t="shared" si="900"/>
        <v>0</v>
      </c>
      <c r="CX190" s="7">
        <f t="shared" si="900"/>
        <v>0</v>
      </c>
      <c r="CY190" s="7">
        <f t="shared" si="900"/>
        <v>0</v>
      </c>
      <c r="CZ190" s="7">
        <f t="shared" si="900"/>
        <v>0</v>
      </c>
      <c r="DA190" s="7">
        <f t="shared" si="900"/>
        <v>0</v>
      </c>
      <c r="DB190" s="7">
        <f t="shared" si="900"/>
        <v>0</v>
      </c>
      <c r="DC190" s="7">
        <f t="shared" si="900"/>
        <v>0</v>
      </c>
      <c r="DD190" s="7">
        <f t="shared" si="900"/>
        <v>0</v>
      </c>
      <c r="DE190" s="7">
        <f t="shared" si="900"/>
        <v>0</v>
      </c>
      <c r="DF190" s="7">
        <f t="shared" si="900"/>
        <v>0</v>
      </c>
      <c r="DG190" s="7">
        <f t="shared" ref="DG190" si="976">IFERROR(VALUE(DG495),"-")</f>
        <v>0</v>
      </c>
      <c r="DH190" s="7">
        <f t="shared" ref="DH190:DJ190" si="977">IFERROR(DH495,"-")</f>
        <v>0</v>
      </c>
      <c r="DI190" s="7">
        <f t="shared" si="977"/>
        <v>0</v>
      </c>
      <c r="DJ190" s="7">
        <f t="shared" si="977"/>
        <v>0</v>
      </c>
      <c r="DK190" s="64">
        <f t="shared" ref="DK190:DS190" si="978">IFERROR(VALUE(DK495),"-")</f>
        <v>0</v>
      </c>
      <c r="DL190" s="64">
        <f t="shared" si="978"/>
        <v>0</v>
      </c>
      <c r="DM190" s="64">
        <f t="shared" si="978"/>
        <v>0</v>
      </c>
      <c r="DN190" s="64">
        <f t="shared" si="978"/>
        <v>0</v>
      </c>
      <c r="DO190" s="64">
        <f t="shared" si="978"/>
        <v>0</v>
      </c>
      <c r="DP190" s="64">
        <f t="shared" si="978"/>
        <v>0</v>
      </c>
      <c r="DQ190" s="64">
        <f t="shared" si="978"/>
        <v>0</v>
      </c>
      <c r="DR190" s="64">
        <f t="shared" si="978"/>
        <v>0</v>
      </c>
      <c r="DS190" s="64">
        <f t="shared" si="978"/>
        <v>0</v>
      </c>
      <c r="DT190">
        <f t="shared" si="669"/>
        <v>0</v>
      </c>
      <c r="DU190" s="10">
        <f t="shared" si="670"/>
        <v>0</v>
      </c>
    </row>
    <row r="191" spans="1:125" x14ac:dyDescent="0.25">
      <c r="A191" t="s">
        <v>66</v>
      </c>
      <c r="B191" s="2">
        <v>44861</v>
      </c>
      <c r="C191" s="1">
        <v>350</v>
      </c>
      <c r="D191">
        <v>108</v>
      </c>
      <c r="G191" t="str">
        <f t="array" ref="G191">IFERROR(INDEX($A$2:$A$700,MATCH(0,COUNTIF($G$1:G190,$A$2:$A$700),0)),"")</f>
        <v>TVSMOTOR</v>
      </c>
      <c r="M191" s="3"/>
      <c r="N191" s="3"/>
      <c r="O191" s="3">
        <f t="shared" si="671"/>
        <v>0</v>
      </c>
      <c r="P191" s="7">
        <f t="shared" ref="P191:CA191" si="979">IFERROR(VALUE(P496),"-")</f>
        <v>0</v>
      </c>
      <c r="Q191" s="7">
        <f t="shared" si="979"/>
        <v>0</v>
      </c>
      <c r="R191" s="7">
        <f t="shared" si="979"/>
        <v>0</v>
      </c>
      <c r="S191" s="7">
        <f t="shared" si="979"/>
        <v>0</v>
      </c>
      <c r="T191" s="11">
        <f t="shared" si="979"/>
        <v>0</v>
      </c>
      <c r="U191" s="11">
        <f t="shared" si="979"/>
        <v>0</v>
      </c>
      <c r="V191" s="11">
        <f t="shared" si="979"/>
        <v>0</v>
      </c>
      <c r="W191" s="11">
        <f t="shared" si="979"/>
        <v>0</v>
      </c>
      <c r="X191" s="14">
        <f t="shared" si="979"/>
        <v>0</v>
      </c>
      <c r="Y191" s="14">
        <f t="shared" si="979"/>
        <v>0</v>
      </c>
      <c r="Z191" s="14">
        <f t="shared" si="979"/>
        <v>0</v>
      </c>
      <c r="AA191" s="14">
        <f t="shared" si="979"/>
        <v>0</v>
      </c>
      <c r="AB191" s="15">
        <f t="shared" si="979"/>
        <v>0</v>
      </c>
      <c r="AC191" s="15">
        <f t="shared" si="979"/>
        <v>0</v>
      </c>
      <c r="AD191" s="13">
        <f t="shared" si="979"/>
        <v>0</v>
      </c>
      <c r="AE191" s="13">
        <f t="shared" si="979"/>
        <v>0</v>
      </c>
      <c r="AF191" s="12">
        <f t="shared" si="979"/>
        <v>0</v>
      </c>
      <c r="AG191" s="12">
        <f t="shared" si="979"/>
        <v>0</v>
      </c>
      <c r="AH191" s="13">
        <f t="shared" si="979"/>
        <v>0</v>
      </c>
      <c r="AI191" s="13">
        <f t="shared" si="979"/>
        <v>0</v>
      </c>
      <c r="AJ191" s="11">
        <f t="shared" si="979"/>
        <v>0</v>
      </c>
      <c r="AK191" s="11">
        <f t="shared" si="979"/>
        <v>0</v>
      </c>
      <c r="AL191" s="11">
        <f t="shared" si="979"/>
        <v>0</v>
      </c>
      <c r="AM191" s="11">
        <f t="shared" si="979"/>
        <v>0</v>
      </c>
      <c r="AN191" s="11">
        <f t="shared" si="979"/>
        <v>0</v>
      </c>
      <c r="AO191" s="11">
        <f t="shared" si="979"/>
        <v>0</v>
      </c>
      <c r="AP191" s="11">
        <f t="shared" si="979"/>
        <v>0</v>
      </c>
      <c r="AQ191" s="11">
        <f t="shared" si="979"/>
        <v>0</v>
      </c>
      <c r="AR191" s="16">
        <f t="shared" si="979"/>
        <v>0</v>
      </c>
      <c r="AS191" s="16">
        <f t="shared" si="979"/>
        <v>0</v>
      </c>
      <c r="AT191" s="16">
        <f t="shared" si="979"/>
        <v>0</v>
      </c>
      <c r="AU191" s="7">
        <f t="shared" si="979"/>
        <v>0</v>
      </c>
      <c r="AV191" s="7">
        <f t="shared" si="979"/>
        <v>0</v>
      </c>
      <c r="AW191" s="7">
        <f t="shared" si="979"/>
        <v>0</v>
      </c>
      <c r="AX191" s="7">
        <f t="shared" si="979"/>
        <v>0</v>
      </c>
      <c r="AY191" s="11">
        <f t="shared" si="979"/>
        <v>0</v>
      </c>
      <c r="AZ191" s="16">
        <f t="shared" si="979"/>
        <v>0</v>
      </c>
      <c r="BA191" s="16">
        <f t="shared" si="979"/>
        <v>0</v>
      </c>
      <c r="BB191" s="16">
        <f t="shared" si="979"/>
        <v>0</v>
      </c>
      <c r="BC191" s="11">
        <f t="shared" si="979"/>
        <v>0</v>
      </c>
      <c r="BD191" s="11">
        <f t="shared" si="979"/>
        <v>0</v>
      </c>
      <c r="BE191" s="11">
        <f t="shared" si="979"/>
        <v>0</v>
      </c>
      <c r="BF191" s="11">
        <f t="shared" si="979"/>
        <v>0</v>
      </c>
      <c r="BG191" s="11">
        <f t="shared" si="979"/>
        <v>0</v>
      </c>
      <c r="BH191" s="11">
        <f t="shared" si="979"/>
        <v>0</v>
      </c>
      <c r="BI191" s="13">
        <f t="shared" si="979"/>
        <v>0</v>
      </c>
      <c r="BJ191" s="13">
        <f t="shared" si="979"/>
        <v>0</v>
      </c>
      <c r="BK191" s="11">
        <f t="shared" si="979"/>
        <v>0</v>
      </c>
      <c r="BL191" s="12">
        <f t="shared" si="979"/>
        <v>0</v>
      </c>
      <c r="BM191" s="12">
        <f t="shared" si="979"/>
        <v>0</v>
      </c>
      <c r="BN191" s="13">
        <f t="shared" si="979"/>
        <v>0</v>
      </c>
      <c r="BO191" s="13">
        <f t="shared" si="979"/>
        <v>0</v>
      </c>
      <c r="BP191" s="15">
        <f t="shared" si="979"/>
        <v>0</v>
      </c>
      <c r="BQ191" s="15">
        <f t="shared" si="979"/>
        <v>0</v>
      </c>
      <c r="BR191" s="14">
        <f t="shared" si="979"/>
        <v>0</v>
      </c>
      <c r="BS191" s="14">
        <f t="shared" si="979"/>
        <v>0</v>
      </c>
      <c r="BT191" s="14">
        <f t="shared" si="979"/>
        <v>0</v>
      </c>
      <c r="BU191" s="14">
        <f t="shared" si="979"/>
        <v>0</v>
      </c>
      <c r="BV191" s="11">
        <f t="shared" si="979"/>
        <v>0</v>
      </c>
      <c r="BW191" s="11">
        <f t="shared" si="979"/>
        <v>0</v>
      </c>
      <c r="BX191" s="11">
        <f t="shared" si="979"/>
        <v>0</v>
      </c>
      <c r="BY191" s="11">
        <f t="shared" si="979"/>
        <v>0</v>
      </c>
      <c r="BZ191" s="7">
        <f t="shared" si="979"/>
        <v>0</v>
      </c>
      <c r="CA191" s="7">
        <f t="shared" si="979"/>
        <v>0</v>
      </c>
      <c r="CB191" s="7">
        <f t="shared" ref="CB191:CP191" si="980">IFERROR(VALUE(CB496),"-")</f>
        <v>0</v>
      </c>
      <c r="CC191" s="7">
        <f t="shared" si="980"/>
        <v>0</v>
      </c>
      <c r="CD191" s="7">
        <f t="shared" si="980"/>
        <v>0</v>
      </c>
      <c r="CE191" s="3">
        <f t="shared" si="980"/>
        <v>0</v>
      </c>
      <c r="CF191" s="7">
        <f t="shared" si="980"/>
        <v>0</v>
      </c>
      <c r="CG191" s="3">
        <f t="shared" si="980"/>
        <v>0</v>
      </c>
      <c r="CH191" s="7">
        <f t="shared" si="980"/>
        <v>0</v>
      </c>
      <c r="CI191" s="7">
        <f t="shared" si="980"/>
        <v>0</v>
      </c>
      <c r="CJ191" s="3">
        <f t="shared" si="980"/>
        <v>0</v>
      </c>
      <c r="CK191" s="7">
        <f t="shared" si="980"/>
        <v>0</v>
      </c>
      <c r="CL191" s="3">
        <f t="shared" si="980"/>
        <v>0</v>
      </c>
      <c r="CM191" s="7">
        <f t="shared" si="980"/>
        <v>0</v>
      </c>
      <c r="CN191" s="10">
        <f t="shared" si="980"/>
        <v>0</v>
      </c>
      <c r="CO191" s="10">
        <f t="shared" si="980"/>
        <v>0</v>
      </c>
      <c r="CP191" s="7">
        <f t="shared" si="980"/>
        <v>0</v>
      </c>
      <c r="CQ191" s="7">
        <f t="shared" ref="CQ191" si="981">IFERROR(CQ496,"-")</f>
        <v>0</v>
      </c>
      <c r="CR191" s="10">
        <f t="shared" ref="CR191:DG206" si="982">IFERROR(VALUE(CR496),"-")</f>
        <v>0</v>
      </c>
      <c r="CS191" s="7">
        <f t="shared" si="982"/>
        <v>0</v>
      </c>
      <c r="CT191" s="7">
        <f t="shared" si="982"/>
        <v>0</v>
      </c>
      <c r="CU191" s="7">
        <f t="shared" si="982"/>
        <v>0</v>
      </c>
      <c r="CV191" s="7">
        <f t="shared" si="982"/>
        <v>0</v>
      </c>
      <c r="CW191" s="7">
        <f t="shared" si="982"/>
        <v>0</v>
      </c>
      <c r="CX191" s="7">
        <f t="shared" si="982"/>
        <v>0</v>
      </c>
      <c r="CY191" s="7">
        <f t="shared" si="982"/>
        <v>0</v>
      </c>
      <c r="CZ191" s="7">
        <f t="shared" si="982"/>
        <v>0</v>
      </c>
      <c r="DA191" s="7">
        <f t="shared" si="982"/>
        <v>0</v>
      </c>
      <c r="DB191" s="7">
        <f t="shared" si="982"/>
        <v>0</v>
      </c>
      <c r="DC191" s="7">
        <f t="shared" si="982"/>
        <v>0</v>
      </c>
      <c r="DD191" s="7">
        <f t="shared" si="982"/>
        <v>0</v>
      </c>
      <c r="DE191" s="7">
        <f t="shared" si="982"/>
        <v>0</v>
      </c>
      <c r="DF191" s="7">
        <f t="shared" si="982"/>
        <v>0</v>
      </c>
      <c r="DG191" s="7">
        <f t="shared" si="982"/>
        <v>0</v>
      </c>
      <c r="DH191" s="7">
        <f t="shared" ref="DH191:DJ191" si="983">IFERROR(DH496,"-")</f>
        <v>0</v>
      </c>
      <c r="DI191" s="7">
        <f t="shared" si="983"/>
        <v>0</v>
      </c>
      <c r="DJ191" s="7">
        <f t="shared" si="983"/>
        <v>0</v>
      </c>
      <c r="DK191" s="64">
        <f t="shared" ref="DK191:DS191" si="984">IFERROR(VALUE(DK496),"-")</f>
        <v>0</v>
      </c>
      <c r="DL191" s="64">
        <f t="shared" si="984"/>
        <v>0</v>
      </c>
      <c r="DM191" s="64">
        <f t="shared" si="984"/>
        <v>0</v>
      </c>
      <c r="DN191" s="64">
        <f t="shared" si="984"/>
        <v>0</v>
      </c>
      <c r="DO191" s="64">
        <f t="shared" si="984"/>
        <v>0</v>
      </c>
      <c r="DP191" s="64">
        <f t="shared" si="984"/>
        <v>0</v>
      </c>
      <c r="DQ191" s="64">
        <f t="shared" si="984"/>
        <v>0</v>
      </c>
      <c r="DR191" s="64">
        <f t="shared" si="984"/>
        <v>0</v>
      </c>
      <c r="DS191" s="64">
        <f t="shared" si="984"/>
        <v>0</v>
      </c>
      <c r="DT191">
        <f t="shared" si="669"/>
        <v>0</v>
      </c>
      <c r="DU191" s="10">
        <f t="shared" si="670"/>
        <v>0</v>
      </c>
    </row>
    <row r="192" spans="1:125" x14ac:dyDescent="0.25">
      <c r="A192" t="s">
        <v>67</v>
      </c>
      <c r="B192" s="2">
        <v>44798</v>
      </c>
      <c r="C192" s="1">
        <v>550</v>
      </c>
      <c r="D192">
        <v>84</v>
      </c>
      <c r="G192" t="str">
        <f t="array" ref="G192">IFERROR(INDEX($A$2:$A$700,MATCH(0,COUNTIF($G$1:G191,$A$2:$A$700),0)),"")</f>
        <v>UBL</v>
      </c>
      <c r="M192" s="3"/>
      <c r="N192" s="3"/>
      <c r="O192" s="3">
        <f t="shared" si="671"/>
        <v>0</v>
      </c>
      <c r="P192" s="7">
        <f t="shared" ref="P192:CA192" si="985">IFERROR(VALUE(P497),"-")</f>
        <v>0</v>
      </c>
      <c r="Q192" s="7">
        <f t="shared" si="985"/>
        <v>0</v>
      </c>
      <c r="R192" s="7">
        <f t="shared" si="985"/>
        <v>0</v>
      </c>
      <c r="S192" s="7">
        <f t="shared" si="985"/>
        <v>0</v>
      </c>
      <c r="T192" s="11">
        <f t="shared" si="985"/>
        <v>0</v>
      </c>
      <c r="U192" s="11">
        <f t="shared" si="985"/>
        <v>0</v>
      </c>
      <c r="V192" s="11">
        <f t="shared" si="985"/>
        <v>0</v>
      </c>
      <c r="W192" s="11">
        <f t="shared" si="985"/>
        <v>0</v>
      </c>
      <c r="X192" s="14">
        <f t="shared" si="985"/>
        <v>0</v>
      </c>
      <c r="Y192" s="14">
        <f t="shared" si="985"/>
        <v>0</v>
      </c>
      <c r="Z192" s="14">
        <f t="shared" si="985"/>
        <v>0</v>
      </c>
      <c r="AA192" s="14">
        <f t="shared" si="985"/>
        <v>0</v>
      </c>
      <c r="AB192" s="15">
        <f t="shared" si="985"/>
        <v>0</v>
      </c>
      <c r="AC192" s="15">
        <f t="shared" si="985"/>
        <v>0</v>
      </c>
      <c r="AD192" s="13">
        <f t="shared" si="985"/>
        <v>0</v>
      </c>
      <c r="AE192" s="13">
        <f t="shared" si="985"/>
        <v>0</v>
      </c>
      <c r="AF192" s="12">
        <f t="shared" si="985"/>
        <v>0</v>
      </c>
      <c r="AG192" s="12">
        <f t="shared" si="985"/>
        <v>0</v>
      </c>
      <c r="AH192" s="13">
        <f t="shared" si="985"/>
        <v>0</v>
      </c>
      <c r="AI192" s="13">
        <f t="shared" si="985"/>
        <v>0</v>
      </c>
      <c r="AJ192" s="11">
        <f t="shared" si="985"/>
        <v>0</v>
      </c>
      <c r="AK192" s="11">
        <f t="shared" si="985"/>
        <v>0</v>
      </c>
      <c r="AL192" s="11">
        <f t="shared" si="985"/>
        <v>0</v>
      </c>
      <c r="AM192" s="11">
        <f t="shared" si="985"/>
        <v>0</v>
      </c>
      <c r="AN192" s="11">
        <f t="shared" si="985"/>
        <v>0</v>
      </c>
      <c r="AO192" s="11">
        <f t="shared" si="985"/>
        <v>0</v>
      </c>
      <c r="AP192" s="11">
        <f t="shared" si="985"/>
        <v>0</v>
      </c>
      <c r="AQ192" s="11">
        <f t="shared" si="985"/>
        <v>0</v>
      </c>
      <c r="AR192" s="16">
        <f t="shared" si="985"/>
        <v>0</v>
      </c>
      <c r="AS192" s="16">
        <f t="shared" si="985"/>
        <v>0</v>
      </c>
      <c r="AT192" s="16">
        <f t="shared" si="985"/>
        <v>0</v>
      </c>
      <c r="AU192" s="7">
        <f t="shared" si="985"/>
        <v>0</v>
      </c>
      <c r="AV192" s="7">
        <f t="shared" si="985"/>
        <v>0</v>
      </c>
      <c r="AW192" s="7">
        <f t="shared" si="985"/>
        <v>0</v>
      </c>
      <c r="AX192" s="7">
        <f t="shared" si="985"/>
        <v>0</v>
      </c>
      <c r="AY192" s="11">
        <f t="shared" si="985"/>
        <v>0</v>
      </c>
      <c r="AZ192" s="16">
        <f t="shared" si="985"/>
        <v>0</v>
      </c>
      <c r="BA192" s="16">
        <f t="shared" si="985"/>
        <v>0</v>
      </c>
      <c r="BB192" s="16">
        <f t="shared" si="985"/>
        <v>0</v>
      </c>
      <c r="BC192" s="11">
        <f t="shared" si="985"/>
        <v>0</v>
      </c>
      <c r="BD192" s="11">
        <f t="shared" si="985"/>
        <v>0</v>
      </c>
      <c r="BE192" s="11">
        <f t="shared" si="985"/>
        <v>0</v>
      </c>
      <c r="BF192" s="11">
        <f t="shared" si="985"/>
        <v>0</v>
      </c>
      <c r="BG192" s="11">
        <f t="shared" si="985"/>
        <v>0</v>
      </c>
      <c r="BH192" s="11">
        <f t="shared" si="985"/>
        <v>0</v>
      </c>
      <c r="BI192" s="13">
        <f t="shared" si="985"/>
        <v>0</v>
      </c>
      <c r="BJ192" s="13">
        <f t="shared" si="985"/>
        <v>0</v>
      </c>
      <c r="BK192" s="11">
        <f t="shared" si="985"/>
        <v>0</v>
      </c>
      <c r="BL192" s="12">
        <f t="shared" si="985"/>
        <v>0</v>
      </c>
      <c r="BM192" s="12">
        <f t="shared" si="985"/>
        <v>0</v>
      </c>
      <c r="BN192" s="13">
        <f t="shared" si="985"/>
        <v>0</v>
      </c>
      <c r="BO192" s="13">
        <f t="shared" si="985"/>
        <v>0</v>
      </c>
      <c r="BP192" s="15">
        <f t="shared" si="985"/>
        <v>0</v>
      </c>
      <c r="BQ192" s="15">
        <f t="shared" si="985"/>
        <v>0</v>
      </c>
      <c r="BR192" s="14">
        <f t="shared" si="985"/>
        <v>0</v>
      </c>
      <c r="BS192" s="14">
        <f t="shared" si="985"/>
        <v>0</v>
      </c>
      <c r="BT192" s="14">
        <f t="shared" si="985"/>
        <v>0</v>
      </c>
      <c r="BU192" s="14">
        <f t="shared" si="985"/>
        <v>0</v>
      </c>
      <c r="BV192" s="11">
        <f t="shared" si="985"/>
        <v>0</v>
      </c>
      <c r="BW192" s="11">
        <f t="shared" si="985"/>
        <v>0</v>
      </c>
      <c r="BX192" s="11">
        <f t="shared" si="985"/>
        <v>0</v>
      </c>
      <c r="BY192" s="11">
        <f t="shared" si="985"/>
        <v>0</v>
      </c>
      <c r="BZ192" s="7">
        <f t="shared" si="985"/>
        <v>0</v>
      </c>
      <c r="CA192" s="7">
        <f t="shared" si="985"/>
        <v>0</v>
      </c>
      <c r="CB192" s="7">
        <f t="shared" ref="CB192:CP192" si="986">IFERROR(VALUE(CB497),"-")</f>
        <v>0</v>
      </c>
      <c r="CC192" s="7">
        <f t="shared" si="986"/>
        <v>0</v>
      </c>
      <c r="CD192" s="7">
        <f t="shared" si="986"/>
        <v>0</v>
      </c>
      <c r="CE192" s="3">
        <f t="shared" si="986"/>
        <v>0</v>
      </c>
      <c r="CF192" s="7">
        <f t="shared" si="986"/>
        <v>0</v>
      </c>
      <c r="CG192" s="3">
        <f t="shared" si="986"/>
        <v>0</v>
      </c>
      <c r="CH192" s="7">
        <f t="shared" si="986"/>
        <v>0</v>
      </c>
      <c r="CI192" s="7">
        <f t="shared" si="986"/>
        <v>0</v>
      </c>
      <c r="CJ192" s="3">
        <f t="shared" si="986"/>
        <v>0</v>
      </c>
      <c r="CK192" s="7">
        <f t="shared" si="986"/>
        <v>0</v>
      </c>
      <c r="CL192" s="3">
        <f t="shared" si="986"/>
        <v>0</v>
      </c>
      <c r="CM192" s="7">
        <f t="shared" si="986"/>
        <v>0</v>
      </c>
      <c r="CN192" s="10">
        <f t="shared" si="986"/>
        <v>0</v>
      </c>
      <c r="CO192" s="10">
        <f t="shared" si="986"/>
        <v>0</v>
      </c>
      <c r="CP192" s="7">
        <f t="shared" si="986"/>
        <v>0</v>
      </c>
      <c r="CQ192" s="7">
        <f t="shared" ref="CQ192" si="987">IFERROR(CQ497,"-")</f>
        <v>0</v>
      </c>
      <c r="CR192" s="10">
        <f t="shared" si="982"/>
        <v>0</v>
      </c>
      <c r="CS192" s="7">
        <f t="shared" si="982"/>
        <v>0</v>
      </c>
      <c r="CT192" s="7">
        <f t="shared" si="982"/>
        <v>0</v>
      </c>
      <c r="CU192" s="7">
        <f t="shared" si="982"/>
        <v>0</v>
      </c>
      <c r="CV192" s="7">
        <f t="shared" si="982"/>
        <v>0</v>
      </c>
      <c r="CW192" s="7">
        <f t="shared" si="982"/>
        <v>0</v>
      </c>
      <c r="CX192" s="7">
        <f t="shared" si="982"/>
        <v>0</v>
      </c>
      <c r="CY192" s="7">
        <f t="shared" si="982"/>
        <v>0</v>
      </c>
      <c r="CZ192" s="7">
        <f t="shared" si="982"/>
        <v>0</v>
      </c>
      <c r="DA192" s="7">
        <f t="shared" si="982"/>
        <v>0</v>
      </c>
      <c r="DB192" s="7">
        <f t="shared" si="982"/>
        <v>0</v>
      </c>
      <c r="DC192" s="7">
        <f t="shared" si="982"/>
        <v>0</v>
      </c>
      <c r="DD192" s="7">
        <f t="shared" si="982"/>
        <v>0</v>
      </c>
      <c r="DE192" s="7">
        <f t="shared" si="982"/>
        <v>0</v>
      </c>
      <c r="DF192" s="7">
        <f t="shared" si="982"/>
        <v>0</v>
      </c>
      <c r="DG192" s="7">
        <f t="shared" si="982"/>
        <v>0</v>
      </c>
      <c r="DH192" s="7">
        <f t="shared" ref="DH192:DJ192" si="988">IFERROR(DH497,"-")</f>
        <v>0</v>
      </c>
      <c r="DI192" s="7">
        <f t="shared" si="988"/>
        <v>0</v>
      </c>
      <c r="DJ192" s="7">
        <f t="shared" si="988"/>
        <v>0</v>
      </c>
      <c r="DK192" s="64">
        <f t="shared" ref="DK192:DS192" si="989">IFERROR(VALUE(DK497),"-")</f>
        <v>0</v>
      </c>
      <c r="DL192" s="64">
        <f t="shared" si="989"/>
        <v>0</v>
      </c>
      <c r="DM192" s="64">
        <f t="shared" si="989"/>
        <v>0</v>
      </c>
      <c r="DN192" s="64">
        <f t="shared" si="989"/>
        <v>0</v>
      </c>
      <c r="DO192" s="64">
        <f t="shared" si="989"/>
        <v>0</v>
      </c>
      <c r="DP192" s="64">
        <f t="shared" si="989"/>
        <v>0</v>
      </c>
      <c r="DQ192" s="64">
        <f t="shared" si="989"/>
        <v>0</v>
      </c>
      <c r="DR192" s="64">
        <f t="shared" si="989"/>
        <v>0</v>
      </c>
      <c r="DS192" s="64">
        <f t="shared" si="989"/>
        <v>0</v>
      </c>
      <c r="DT192">
        <f t="shared" si="669"/>
        <v>0</v>
      </c>
      <c r="DU192" s="10">
        <f t="shared" si="670"/>
        <v>0</v>
      </c>
    </row>
    <row r="193" spans="1:125" x14ac:dyDescent="0.25">
      <c r="A193" t="s">
        <v>67</v>
      </c>
      <c r="B193" s="2">
        <v>44833</v>
      </c>
      <c r="C193" s="1">
        <v>550</v>
      </c>
      <c r="D193">
        <v>84</v>
      </c>
      <c r="G193" t="str">
        <f t="array" ref="G193">IFERROR(INDEX($A$2:$A$700,MATCH(0,COUNTIF($G$1:G192,$A$2:$A$700),0)),"")</f>
        <v>ULTRACEMCO</v>
      </c>
      <c r="M193" s="3"/>
      <c r="N193" s="3"/>
      <c r="O193" s="3">
        <f t="shared" si="671"/>
        <v>0</v>
      </c>
      <c r="P193" s="7">
        <f t="shared" ref="P193:CA193" si="990">IFERROR(VALUE(P498),"-")</f>
        <v>0</v>
      </c>
      <c r="Q193" s="7">
        <f t="shared" si="990"/>
        <v>0</v>
      </c>
      <c r="R193" s="7">
        <f t="shared" si="990"/>
        <v>0</v>
      </c>
      <c r="S193" s="7">
        <f t="shared" si="990"/>
        <v>0</v>
      </c>
      <c r="T193" s="11">
        <f t="shared" si="990"/>
        <v>0</v>
      </c>
      <c r="U193" s="11">
        <f t="shared" si="990"/>
        <v>0</v>
      </c>
      <c r="V193" s="11">
        <f t="shared" si="990"/>
        <v>0</v>
      </c>
      <c r="W193" s="11">
        <f t="shared" si="990"/>
        <v>0</v>
      </c>
      <c r="X193" s="14">
        <f t="shared" si="990"/>
        <v>0</v>
      </c>
      <c r="Y193" s="14">
        <f t="shared" si="990"/>
        <v>0</v>
      </c>
      <c r="Z193" s="14">
        <f t="shared" si="990"/>
        <v>0</v>
      </c>
      <c r="AA193" s="14">
        <f t="shared" si="990"/>
        <v>0</v>
      </c>
      <c r="AB193" s="15">
        <f t="shared" si="990"/>
        <v>0</v>
      </c>
      <c r="AC193" s="15">
        <f t="shared" si="990"/>
        <v>0</v>
      </c>
      <c r="AD193" s="13">
        <f t="shared" si="990"/>
        <v>0</v>
      </c>
      <c r="AE193" s="13">
        <f t="shared" si="990"/>
        <v>0</v>
      </c>
      <c r="AF193" s="12">
        <f t="shared" si="990"/>
        <v>0</v>
      </c>
      <c r="AG193" s="12">
        <f t="shared" si="990"/>
        <v>0</v>
      </c>
      <c r="AH193" s="13">
        <f t="shared" si="990"/>
        <v>0</v>
      </c>
      <c r="AI193" s="13">
        <f t="shared" si="990"/>
        <v>0</v>
      </c>
      <c r="AJ193" s="11">
        <f t="shared" si="990"/>
        <v>0</v>
      </c>
      <c r="AK193" s="11">
        <f t="shared" si="990"/>
        <v>0</v>
      </c>
      <c r="AL193" s="11">
        <f t="shared" si="990"/>
        <v>0</v>
      </c>
      <c r="AM193" s="11">
        <f t="shared" si="990"/>
        <v>0</v>
      </c>
      <c r="AN193" s="11">
        <f t="shared" si="990"/>
        <v>0</v>
      </c>
      <c r="AO193" s="11">
        <f t="shared" si="990"/>
        <v>0</v>
      </c>
      <c r="AP193" s="11">
        <f t="shared" si="990"/>
        <v>0</v>
      </c>
      <c r="AQ193" s="11">
        <f t="shared" si="990"/>
        <v>0</v>
      </c>
      <c r="AR193" s="16">
        <f t="shared" si="990"/>
        <v>0</v>
      </c>
      <c r="AS193" s="16">
        <f t="shared" si="990"/>
        <v>0</v>
      </c>
      <c r="AT193" s="16">
        <f t="shared" si="990"/>
        <v>0</v>
      </c>
      <c r="AU193" s="7">
        <f t="shared" si="990"/>
        <v>0</v>
      </c>
      <c r="AV193" s="7">
        <f t="shared" si="990"/>
        <v>0</v>
      </c>
      <c r="AW193" s="7">
        <f t="shared" si="990"/>
        <v>0</v>
      </c>
      <c r="AX193" s="7">
        <f t="shared" si="990"/>
        <v>0</v>
      </c>
      <c r="AY193" s="11">
        <f t="shared" si="990"/>
        <v>0</v>
      </c>
      <c r="AZ193" s="16">
        <f t="shared" si="990"/>
        <v>0</v>
      </c>
      <c r="BA193" s="16">
        <f t="shared" si="990"/>
        <v>0</v>
      </c>
      <c r="BB193" s="16">
        <f t="shared" si="990"/>
        <v>0</v>
      </c>
      <c r="BC193" s="11">
        <f t="shared" si="990"/>
        <v>0</v>
      </c>
      <c r="BD193" s="11">
        <f t="shared" si="990"/>
        <v>0</v>
      </c>
      <c r="BE193" s="11">
        <f t="shared" si="990"/>
        <v>0</v>
      </c>
      <c r="BF193" s="11">
        <f t="shared" si="990"/>
        <v>0</v>
      </c>
      <c r="BG193" s="11">
        <f t="shared" si="990"/>
        <v>0</v>
      </c>
      <c r="BH193" s="11">
        <f t="shared" si="990"/>
        <v>0</v>
      </c>
      <c r="BI193" s="13">
        <f t="shared" si="990"/>
        <v>0</v>
      </c>
      <c r="BJ193" s="13">
        <f t="shared" si="990"/>
        <v>0</v>
      </c>
      <c r="BK193" s="11">
        <f t="shared" si="990"/>
        <v>0</v>
      </c>
      <c r="BL193" s="12">
        <f t="shared" si="990"/>
        <v>0</v>
      </c>
      <c r="BM193" s="12">
        <f t="shared" si="990"/>
        <v>0</v>
      </c>
      <c r="BN193" s="13">
        <f t="shared" si="990"/>
        <v>0</v>
      </c>
      <c r="BO193" s="13">
        <f t="shared" si="990"/>
        <v>0</v>
      </c>
      <c r="BP193" s="15">
        <f t="shared" si="990"/>
        <v>0</v>
      </c>
      <c r="BQ193" s="15">
        <f t="shared" si="990"/>
        <v>0</v>
      </c>
      <c r="BR193" s="14">
        <f t="shared" si="990"/>
        <v>0</v>
      </c>
      <c r="BS193" s="14">
        <f t="shared" si="990"/>
        <v>0</v>
      </c>
      <c r="BT193" s="14">
        <f t="shared" si="990"/>
        <v>0</v>
      </c>
      <c r="BU193" s="14">
        <f t="shared" si="990"/>
        <v>0</v>
      </c>
      <c r="BV193" s="11">
        <f t="shared" si="990"/>
        <v>0</v>
      </c>
      <c r="BW193" s="11">
        <f t="shared" si="990"/>
        <v>0</v>
      </c>
      <c r="BX193" s="11">
        <f t="shared" si="990"/>
        <v>0</v>
      </c>
      <c r="BY193" s="11">
        <f t="shared" si="990"/>
        <v>0</v>
      </c>
      <c r="BZ193" s="7">
        <f t="shared" si="990"/>
        <v>0</v>
      </c>
      <c r="CA193" s="7">
        <f t="shared" si="990"/>
        <v>0</v>
      </c>
      <c r="CB193" s="7">
        <f t="shared" ref="CB193:CP193" si="991">IFERROR(VALUE(CB498),"-")</f>
        <v>0</v>
      </c>
      <c r="CC193" s="7">
        <f t="shared" si="991"/>
        <v>0</v>
      </c>
      <c r="CD193" s="7">
        <f t="shared" si="991"/>
        <v>0</v>
      </c>
      <c r="CE193" s="3">
        <f t="shared" si="991"/>
        <v>0</v>
      </c>
      <c r="CF193" s="7">
        <f t="shared" si="991"/>
        <v>0</v>
      </c>
      <c r="CG193" s="3">
        <f t="shared" si="991"/>
        <v>0</v>
      </c>
      <c r="CH193" s="7">
        <f t="shared" si="991"/>
        <v>0</v>
      </c>
      <c r="CI193" s="7">
        <f t="shared" si="991"/>
        <v>0</v>
      </c>
      <c r="CJ193" s="3">
        <f t="shared" si="991"/>
        <v>0</v>
      </c>
      <c r="CK193" s="7">
        <f t="shared" si="991"/>
        <v>0</v>
      </c>
      <c r="CL193" s="3">
        <f t="shared" si="991"/>
        <v>0</v>
      </c>
      <c r="CM193" s="7">
        <f t="shared" si="991"/>
        <v>0</v>
      </c>
      <c r="CN193" s="10">
        <f t="shared" si="991"/>
        <v>0</v>
      </c>
      <c r="CO193" s="10">
        <f t="shared" si="991"/>
        <v>0</v>
      </c>
      <c r="CP193" s="7">
        <f t="shared" si="991"/>
        <v>0</v>
      </c>
      <c r="CQ193" s="7">
        <f t="shared" ref="CQ193" si="992">IFERROR(CQ498,"-")</f>
        <v>0</v>
      </c>
      <c r="CR193" s="10">
        <f t="shared" si="982"/>
        <v>0</v>
      </c>
      <c r="CS193" s="7">
        <f t="shared" si="982"/>
        <v>0</v>
      </c>
      <c r="CT193" s="7">
        <f t="shared" si="982"/>
        <v>0</v>
      </c>
      <c r="CU193" s="7">
        <f t="shared" si="982"/>
        <v>0</v>
      </c>
      <c r="CV193" s="7">
        <f t="shared" si="982"/>
        <v>0</v>
      </c>
      <c r="CW193" s="7">
        <f t="shared" si="982"/>
        <v>0</v>
      </c>
      <c r="CX193" s="7">
        <f t="shared" si="982"/>
        <v>0</v>
      </c>
      <c r="CY193" s="7">
        <f t="shared" si="982"/>
        <v>0</v>
      </c>
      <c r="CZ193" s="7">
        <f t="shared" si="982"/>
        <v>0</v>
      </c>
      <c r="DA193" s="7">
        <f t="shared" si="982"/>
        <v>0</v>
      </c>
      <c r="DB193" s="7">
        <f t="shared" si="982"/>
        <v>0</v>
      </c>
      <c r="DC193" s="7">
        <f t="shared" si="982"/>
        <v>0</v>
      </c>
      <c r="DD193" s="7">
        <f t="shared" si="982"/>
        <v>0</v>
      </c>
      <c r="DE193" s="7">
        <f t="shared" si="982"/>
        <v>0</v>
      </c>
      <c r="DF193" s="7">
        <f t="shared" si="982"/>
        <v>0</v>
      </c>
      <c r="DG193" s="7">
        <f t="shared" si="982"/>
        <v>0</v>
      </c>
      <c r="DH193" s="7">
        <f t="shared" ref="DH193:DJ193" si="993">IFERROR(DH498,"-")</f>
        <v>0</v>
      </c>
      <c r="DI193" s="7">
        <f t="shared" si="993"/>
        <v>0</v>
      </c>
      <c r="DJ193" s="7">
        <f t="shared" si="993"/>
        <v>0</v>
      </c>
      <c r="DK193" s="64">
        <f t="shared" ref="DK193:DS193" si="994">IFERROR(VALUE(DK498),"-")</f>
        <v>0</v>
      </c>
      <c r="DL193" s="64">
        <f t="shared" si="994"/>
        <v>0</v>
      </c>
      <c r="DM193" s="64">
        <f t="shared" si="994"/>
        <v>0</v>
      </c>
      <c r="DN193" s="64">
        <f t="shared" si="994"/>
        <v>0</v>
      </c>
      <c r="DO193" s="64">
        <f t="shared" si="994"/>
        <v>0</v>
      </c>
      <c r="DP193" s="64">
        <f t="shared" si="994"/>
        <v>0</v>
      </c>
      <c r="DQ193" s="64">
        <f t="shared" si="994"/>
        <v>0</v>
      </c>
      <c r="DR193" s="64">
        <f t="shared" si="994"/>
        <v>0</v>
      </c>
      <c r="DS193" s="64">
        <f t="shared" si="994"/>
        <v>0</v>
      </c>
      <c r="DT193">
        <f t="shared" si="669"/>
        <v>0</v>
      </c>
      <c r="DU193" s="10">
        <f t="shared" si="670"/>
        <v>0</v>
      </c>
    </row>
    <row r="194" spans="1:125" x14ac:dyDescent="0.25">
      <c r="A194" t="s">
        <v>67</v>
      </c>
      <c r="B194" s="2">
        <v>44861</v>
      </c>
      <c r="C194" s="1">
        <v>550</v>
      </c>
      <c r="D194">
        <v>84</v>
      </c>
      <c r="G194" t="str">
        <f t="array" ref="G194">IFERROR(INDEX($A$2:$A$700,MATCH(0,COUNTIF($G$1:G193,$A$2:$A$700),0)),"")</f>
        <v>UPL</v>
      </c>
      <c r="M194" s="3"/>
      <c r="N194" s="3"/>
      <c r="O194" s="3">
        <f t="shared" si="671"/>
        <v>0</v>
      </c>
      <c r="P194" s="7">
        <f t="shared" ref="P194:CA194" si="995">IFERROR(VALUE(P499),"-")</f>
        <v>0</v>
      </c>
      <c r="Q194" s="7">
        <f t="shared" si="995"/>
        <v>0</v>
      </c>
      <c r="R194" s="7">
        <f t="shared" si="995"/>
        <v>0</v>
      </c>
      <c r="S194" s="7">
        <f t="shared" si="995"/>
        <v>0</v>
      </c>
      <c r="T194" s="11">
        <f t="shared" si="995"/>
        <v>0</v>
      </c>
      <c r="U194" s="11">
        <f t="shared" si="995"/>
        <v>0</v>
      </c>
      <c r="V194" s="11">
        <f t="shared" si="995"/>
        <v>0</v>
      </c>
      <c r="W194" s="11">
        <f t="shared" si="995"/>
        <v>0</v>
      </c>
      <c r="X194" s="14">
        <f t="shared" si="995"/>
        <v>0</v>
      </c>
      <c r="Y194" s="14">
        <f t="shared" si="995"/>
        <v>0</v>
      </c>
      <c r="Z194" s="14">
        <f t="shared" si="995"/>
        <v>0</v>
      </c>
      <c r="AA194" s="14">
        <f t="shared" si="995"/>
        <v>0</v>
      </c>
      <c r="AB194" s="15">
        <f t="shared" si="995"/>
        <v>0</v>
      </c>
      <c r="AC194" s="15">
        <f t="shared" si="995"/>
        <v>0</v>
      </c>
      <c r="AD194" s="13">
        <f t="shared" si="995"/>
        <v>0</v>
      </c>
      <c r="AE194" s="13">
        <f t="shared" si="995"/>
        <v>0</v>
      </c>
      <c r="AF194" s="12">
        <f t="shared" si="995"/>
        <v>0</v>
      </c>
      <c r="AG194" s="12">
        <f t="shared" si="995"/>
        <v>0</v>
      </c>
      <c r="AH194" s="13">
        <f t="shared" si="995"/>
        <v>0</v>
      </c>
      <c r="AI194" s="13">
        <f t="shared" si="995"/>
        <v>0</v>
      </c>
      <c r="AJ194" s="11">
        <f t="shared" si="995"/>
        <v>0</v>
      </c>
      <c r="AK194" s="11">
        <f t="shared" si="995"/>
        <v>0</v>
      </c>
      <c r="AL194" s="11">
        <f t="shared" si="995"/>
        <v>0</v>
      </c>
      <c r="AM194" s="11">
        <f t="shared" si="995"/>
        <v>0</v>
      </c>
      <c r="AN194" s="11">
        <f t="shared" si="995"/>
        <v>0</v>
      </c>
      <c r="AO194" s="11">
        <f t="shared" si="995"/>
        <v>0</v>
      </c>
      <c r="AP194" s="11">
        <f t="shared" si="995"/>
        <v>0</v>
      </c>
      <c r="AQ194" s="11">
        <f t="shared" si="995"/>
        <v>0</v>
      </c>
      <c r="AR194" s="16">
        <f t="shared" si="995"/>
        <v>0</v>
      </c>
      <c r="AS194" s="16">
        <f t="shared" si="995"/>
        <v>0</v>
      </c>
      <c r="AT194" s="16">
        <f t="shared" si="995"/>
        <v>0</v>
      </c>
      <c r="AU194" s="7">
        <f t="shared" si="995"/>
        <v>0</v>
      </c>
      <c r="AV194" s="7">
        <f t="shared" si="995"/>
        <v>0</v>
      </c>
      <c r="AW194" s="7">
        <f t="shared" si="995"/>
        <v>0</v>
      </c>
      <c r="AX194" s="7">
        <f t="shared" si="995"/>
        <v>0</v>
      </c>
      <c r="AY194" s="11">
        <f t="shared" si="995"/>
        <v>0</v>
      </c>
      <c r="AZ194" s="16">
        <f t="shared" si="995"/>
        <v>0</v>
      </c>
      <c r="BA194" s="16">
        <f t="shared" si="995"/>
        <v>0</v>
      </c>
      <c r="BB194" s="16">
        <f t="shared" si="995"/>
        <v>0</v>
      </c>
      <c r="BC194" s="11">
        <f t="shared" si="995"/>
        <v>0</v>
      </c>
      <c r="BD194" s="11">
        <f t="shared" si="995"/>
        <v>0</v>
      </c>
      <c r="BE194" s="11">
        <f t="shared" si="995"/>
        <v>0</v>
      </c>
      <c r="BF194" s="11">
        <f t="shared" si="995"/>
        <v>0</v>
      </c>
      <c r="BG194" s="11">
        <f t="shared" si="995"/>
        <v>0</v>
      </c>
      <c r="BH194" s="11">
        <f t="shared" si="995"/>
        <v>0</v>
      </c>
      <c r="BI194" s="13">
        <f t="shared" si="995"/>
        <v>0</v>
      </c>
      <c r="BJ194" s="13">
        <f t="shared" si="995"/>
        <v>0</v>
      </c>
      <c r="BK194" s="11">
        <f t="shared" si="995"/>
        <v>0</v>
      </c>
      <c r="BL194" s="12">
        <f t="shared" si="995"/>
        <v>0</v>
      </c>
      <c r="BM194" s="12">
        <f t="shared" si="995"/>
        <v>0</v>
      </c>
      <c r="BN194" s="13">
        <f t="shared" si="995"/>
        <v>0</v>
      </c>
      <c r="BO194" s="13">
        <f t="shared" si="995"/>
        <v>0</v>
      </c>
      <c r="BP194" s="15">
        <f t="shared" si="995"/>
        <v>0</v>
      </c>
      <c r="BQ194" s="15">
        <f t="shared" si="995"/>
        <v>0</v>
      </c>
      <c r="BR194" s="14">
        <f t="shared" si="995"/>
        <v>0</v>
      </c>
      <c r="BS194" s="14">
        <f t="shared" si="995"/>
        <v>0</v>
      </c>
      <c r="BT194" s="14">
        <f t="shared" si="995"/>
        <v>0</v>
      </c>
      <c r="BU194" s="14">
        <f t="shared" si="995"/>
        <v>0</v>
      </c>
      <c r="BV194" s="11">
        <f t="shared" si="995"/>
        <v>0</v>
      </c>
      <c r="BW194" s="11">
        <f t="shared" si="995"/>
        <v>0</v>
      </c>
      <c r="BX194" s="11">
        <f t="shared" si="995"/>
        <v>0</v>
      </c>
      <c r="BY194" s="11">
        <f t="shared" si="995"/>
        <v>0</v>
      </c>
      <c r="BZ194" s="7">
        <f t="shared" si="995"/>
        <v>0</v>
      </c>
      <c r="CA194" s="7">
        <f t="shared" si="995"/>
        <v>0</v>
      </c>
      <c r="CB194" s="7">
        <f t="shared" ref="CB194:CP194" si="996">IFERROR(VALUE(CB499),"-")</f>
        <v>0</v>
      </c>
      <c r="CC194" s="7">
        <f t="shared" si="996"/>
        <v>0</v>
      </c>
      <c r="CD194" s="7">
        <f t="shared" si="996"/>
        <v>0</v>
      </c>
      <c r="CE194" s="3">
        <f t="shared" si="996"/>
        <v>0</v>
      </c>
      <c r="CF194" s="7">
        <f t="shared" si="996"/>
        <v>0</v>
      </c>
      <c r="CG194" s="3">
        <f t="shared" si="996"/>
        <v>0</v>
      </c>
      <c r="CH194" s="7">
        <f t="shared" si="996"/>
        <v>0</v>
      </c>
      <c r="CI194" s="7">
        <f t="shared" si="996"/>
        <v>0</v>
      </c>
      <c r="CJ194" s="3">
        <f t="shared" si="996"/>
        <v>0</v>
      </c>
      <c r="CK194" s="7">
        <f t="shared" si="996"/>
        <v>0</v>
      </c>
      <c r="CL194" s="3">
        <f t="shared" si="996"/>
        <v>0</v>
      </c>
      <c r="CM194" s="7">
        <f t="shared" si="996"/>
        <v>0</v>
      </c>
      <c r="CN194" s="10">
        <f t="shared" si="996"/>
        <v>0</v>
      </c>
      <c r="CO194" s="10">
        <f t="shared" si="996"/>
        <v>0</v>
      </c>
      <c r="CP194" s="7">
        <f t="shared" si="996"/>
        <v>0</v>
      </c>
      <c r="CQ194" s="7">
        <f t="shared" ref="CQ194" si="997">IFERROR(CQ499,"-")</f>
        <v>0</v>
      </c>
      <c r="CR194" s="10">
        <f t="shared" si="982"/>
        <v>0</v>
      </c>
      <c r="CS194" s="7">
        <f t="shared" si="982"/>
        <v>0</v>
      </c>
      <c r="CT194" s="7">
        <f t="shared" si="982"/>
        <v>0</v>
      </c>
      <c r="CU194" s="7">
        <f t="shared" si="982"/>
        <v>0</v>
      </c>
      <c r="CV194" s="7">
        <f t="shared" si="982"/>
        <v>0</v>
      </c>
      <c r="CW194" s="7">
        <f t="shared" si="982"/>
        <v>0</v>
      </c>
      <c r="CX194" s="7">
        <f t="shared" si="982"/>
        <v>0</v>
      </c>
      <c r="CY194" s="7">
        <f t="shared" si="982"/>
        <v>0</v>
      </c>
      <c r="CZ194" s="7">
        <f t="shared" si="982"/>
        <v>0</v>
      </c>
      <c r="DA194" s="7">
        <f t="shared" si="982"/>
        <v>0</v>
      </c>
      <c r="DB194" s="7">
        <f t="shared" si="982"/>
        <v>0</v>
      </c>
      <c r="DC194" s="7">
        <f t="shared" si="982"/>
        <v>0</v>
      </c>
      <c r="DD194" s="7">
        <f t="shared" si="982"/>
        <v>0</v>
      </c>
      <c r="DE194" s="7">
        <f t="shared" si="982"/>
        <v>0</v>
      </c>
      <c r="DF194" s="7">
        <f t="shared" si="982"/>
        <v>0</v>
      </c>
      <c r="DG194" s="7">
        <f t="shared" si="982"/>
        <v>0</v>
      </c>
      <c r="DH194" s="7">
        <f t="shared" ref="DH194:DJ194" si="998">IFERROR(DH499,"-")</f>
        <v>0</v>
      </c>
      <c r="DI194" s="7">
        <f t="shared" si="998"/>
        <v>0</v>
      </c>
      <c r="DJ194" s="7">
        <f t="shared" si="998"/>
        <v>0</v>
      </c>
      <c r="DK194" s="64">
        <f t="shared" ref="DK194:DS194" si="999">IFERROR(VALUE(DK499),"-")</f>
        <v>0</v>
      </c>
      <c r="DL194" s="64">
        <f t="shared" si="999"/>
        <v>0</v>
      </c>
      <c r="DM194" s="64">
        <f t="shared" si="999"/>
        <v>0</v>
      </c>
      <c r="DN194" s="64">
        <f t="shared" si="999"/>
        <v>0</v>
      </c>
      <c r="DO194" s="64">
        <f t="shared" si="999"/>
        <v>0</v>
      </c>
      <c r="DP194" s="64">
        <f t="shared" si="999"/>
        <v>0</v>
      </c>
      <c r="DQ194" s="64">
        <f t="shared" si="999"/>
        <v>0</v>
      </c>
      <c r="DR194" s="64">
        <f t="shared" si="999"/>
        <v>0</v>
      </c>
      <c r="DS194" s="64">
        <f t="shared" si="999"/>
        <v>0</v>
      </c>
      <c r="DT194">
        <f t="shared" ref="DT194:DT250" si="1000">IFERROR(DT499,"-")</f>
        <v>0</v>
      </c>
      <c r="DU194" s="10">
        <f t="shared" ref="DU194:DU250" si="1001">IFERROR(VALUE(DU499),"-")</f>
        <v>0</v>
      </c>
    </row>
    <row r="195" spans="1:125" x14ac:dyDescent="0.25">
      <c r="A195" t="s">
        <v>68</v>
      </c>
      <c r="B195" s="2">
        <v>44798</v>
      </c>
      <c r="C195" s="1">
        <v>3600</v>
      </c>
      <c r="D195">
        <v>158</v>
      </c>
      <c r="G195" t="str">
        <f t="array" ref="G195">IFERROR(INDEX($A$2:$A$700,MATCH(0,COUNTIF($G$1:G194,$A$2:$A$700),0)),"")</f>
        <v>VEDL</v>
      </c>
      <c r="M195" s="3"/>
      <c r="N195" s="3"/>
      <c r="O195" s="3">
        <f t="shared" ref="O195:O250" si="1002">IFERROR(IF(ISBLANK(O500), 0,VALUE(O500)),"-")</f>
        <v>0</v>
      </c>
      <c r="P195" s="7">
        <f t="shared" ref="P195:CA195" si="1003">IFERROR(VALUE(P500),"-")</f>
        <v>0</v>
      </c>
      <c r="Q195" s="7">
        <f t="shared" si="1003"/>
        <v>0</v>
      </c>
      <c r="R195" s="7">
        <f t="shared" si="1003"/>
        <v>0</v>
      </c>
      <c r="S195" s="7">
        <f t="shared" si="1003"/>
        <v>0</v>
      </c>
      <c r="T195" s="11">
        <f t="shared" si="1003"/>
        <v>0</v>
      </c>
      <c r="U195" s="11">
        <f t="shared" si="1003"/>
        <v>0</v>
      </c>
      <c r="V195" s="11">
        <f t="shared" si="1003"/>
        <v>0</v>
      </c>
      <c r="W195" s="11">
        <f t="shared" si="1003"/>
        <v>0</v>
      </c>
      <c r="X195" s="14">
        <f t="shared" si="1003"/>
        <v>0</v>
      </c>
      <c r="Y195" s="14">
        <f t="shared" si="1003"/>
        <v>0</v>
      </c>
      <c r="Z195" s="14">
        <f t="shared" si="1003"/>
        <v>0</v>
      </c>
      <c r="AA195" s="14">
        <f t="shared" si="1003"/>
        <v>0</v>
      </c>
      <c r="AB195" s="15">
        <f t="shared" si="1003"/>
        <v>0</v>
      </c>
      <c r="AC195" s="15">
        <f t="shared" si="1003"/>
        <v>0</v>
      </c>
      <c r="AD195" s="13">
        <f t="shared" si="1003"/>
        <v>0</v>
      </c>
      <c r="AE195" s="13">
        <f t="shared" si="1003"/>
        <v>0</v>
      </c>
      <c r="AF195" s="12">
        <f t="shared" si="1003"/>
        <v>0</v>
      </c>
      <c r="AG195" s="12">
        <f t="shared" si="1003"/>
        <v>0</v>
      </c>
      <c r="AH195" s="13">
        <f t="shared" si="1003"/>
        <v>0</v>
      </c>
      <c r="AI195" s="13">
        <f t="shared" si="1003"/>
        <v>0</v>
      </c>
      <c r="AJ195" s="11">
        <f t="shared" si="1003"/>
        <v>0</v>
      </c>
      <c r="AK195" s="11">
        <f t="shared" si="1003"/>
        <v>0</v>
      </c>
      <c r="AL195" s="11">
        <f t="shared" si="1003"/>
        <v>0</v>
      </c>
      <c r="AM195" s="11">
        <f t="shared" si="1003"/>
        <v>0</v>
      </c>
      <c r="AN195" s="11">
        <f t="shared" si="1003"/>
        <v>0</v>
      </c>
      <c r="AO195" s="11">
        <f t="shared" si="1003"/>
        <v>0</v>
      </c>
      <c r="AP195" s="11">
        <f t="shared" si="1003"/>
        <v>0</v>
      </c>
      <c r="AQ195" s="11">
        <f t="shared" si="1003"/>
        <v>0</v>
      </c>
      <c r="AR195" s="16">
        <f t="shared" si="1003"/>
        <v>0</v>
      </c>
      <c r="AS195" s="16">
        <f t="shared" si="1003"/>
        <v>0</v>
      </c>
      <c r="AT195" s="16">
        <f t="shared" si="1003"/>
        <v>0</v>
      </c>
      <c r="AU195" s="7">
        <f t="shared" si="1003"/>
        <v>0</v>
      </c>
      <c r="AV195" s="7">
        <f t="shared" si="1003"/>
        <v>0</v>
      </c>
      <c r="AW195" s="7">
        <f t="shared" si="1003"/>
        <v>0</v>
      </c>
      <c r="AX195" s="7">
        <f t="shared" si="1003"/>
        <v>0</v>
      </c>
      <c r="AY195" s="11">
        <f t="shared" si="1003"/>
        <v>0</v>
      </c>
      <c r="AZ195" s="16">
        <f t="shared" si="1003"/>
        <v>0</v>
      </c>
      <c r="BA195" s="16">
        <f t="shared" si="1003"/>
        <v>0</v>
      </c>
      <c r="BB195" s="16">
        <f t="shared" si="1003"/>
        <v>0</v>
      </c>
      <c r="BC195" s="11">
        <f t="shared" si="1003"/>
        <v>0</v>
      </c>
      <c r="BD195" s="11">
        <f t="shared" si="1003"/>
        <v>0</v>
      </c>
      <c r="BE195" s="11">
        <f t="shared" si="1003"/>
        <v>0</v>
      </c>
      <c r="BF195" s="11">
        <f t="shared" si="1003"/>
        <v>0</v>
      </c>
      <c r="BG195" s="11">
        <f t="shared" si="1003"/>
        <v>0</v>
      </c>
      <c r="BH195" s="11">
        <f t="shared" si="1003"/>
        <v>0</v>
      </c>
      <c r="BI195" s="13">
        <f t="shared" si="1003"/>
        <v>0</v>
      </c>
      <c r="BJ195" s="13">
        <f t="shared" si="1003"/>
        <v>0</v>
      </c>
      <c r="BK195" s="11">
        <f t="shared" si="1003"/>
        <v>0</v>
      </c>
      <c r="BL195" s="12">
        <f t="shared" si="1003"/>
        <v>0</v>
      </c>
      <c r="BM195" s="12">
        <f t="shared" si="1003"/>
        <v>0</v>
      </c>
      <c r="BN195" s="13">
        <f t="shared" si="1003"/>
        <v>0</v>
      </c>
      <c r="BO195" s="13">
        <f t="shared" si="1003"/>
        <v>0</v>
      </c>
      <c r="BP195" s="15">
        <f t="shared" si="1003"/>
        <v>0</v>
      </c>
      <c r="BQ195" s="15">
        <f t="shared" si="1003"/>
        <v>0</v>
      </c>
      <c r="BR195" s="14">
        <f t="shared" si="1003"/>
        <v>0</v>
      </c>
      <c r="BS195" s="14">
        <f t="shared" si="1003"/>
        <v>0</v>
      </c>
      <c r="BT195" s="14">
        <f t="shared" si="1003"/>
        <v>0</v>
      </c>
      <c r="BU195" s="14">
        <f t="shared" si="1003"/>
        <v>0</v>
      </c>
      <c r="BV195" s="11">
        <f t="shared" si="1003"/>
        <v>0</v>
      </c>
      <c r="BW195" s="11">
        <f t="shared" si="1003"/>
        <v>0</v>
      </c>
      <c r="BX195" s="11">
        <f t="shared" si="1003"/>
        <v>0</v>
      </c>
      <c r="BY195" s="11">
        <f t="shared" si="1003"/>
        <v>0</v>
      </c>
      <c r="BZ195" s="7">
        <f t="shared" si="1003"/>
        <v>0</v>
      </c>
      <c r="CA195" s="7">
        <f t="shared" si="1003"/>
        <v>0</v>
      </c>
      <c r="CB195" s="7">
        <f t="shared" ref="CB195:CP195" si="1004">IFERROR(VALUE(CB500),"-")</f>
        <v>0</v>
      </c>
      <c r="CC195" s="7">
        <f t="shared" si="1004"/>
        <v>0</v>
      </c>
      <c r="CD195" s="7">
        <f t="shared" si="1004"/>
        <v>0</v>
      </c>
      <c r="CE195" s="3">
        <f t="shared" si="1004"/>
        <v>0</v>
      </c>
      <c r="CF195" s="7">
        <f t="shared" si="1004"/>
        <v>0</v>
      </c>
      <c r="CG195" s="3">
        <f t="shared" si="1004"/>
        <v>0</v>
      </c>
      <c r="CH195" s="7">
        <f t="shared" si="1004"/>
        <v>0</v>
      </c>
      <c r="CI195" s="7">
        <f t="shared" si="1004"/>
        <v>0</v>
      </c>
      <c r="CJ195" s="3">
        <f t="shared" si="1004"/>
        <v>0</v>
      </c>
      <c r="CK195" s="7">
        <f t="shared" si="1004"/>
        <v>0</v>
      </c>
      <c r="CL195" s="3">
        <f t="shared" si="1004"/>
        <v>0</v>
      </c>
      <c r="CM195" s="7">
        <f t="shared" si="1004"/>
        <v>0</v>
      </c>
      <c r="CN195" s="10">
        <f t="shared" si="1004"/>
        <v>0</v>
      </c>
      <c r="CO195" s="10">
        <f t="shared" si="1004"/>
        <v>0</v>
      </c>
      <c r="CP195" s="7">
        <f t="shared" si="1004"/>
        <v>0</v>
      </c>
      <c r="CQ195" s="7">
        <f t="shared" ref="CQ195" si="1005">IFERROR(CQ500,"-")</f>
        <v>0</v>
      </c>
      <c r="CR195" s="10">
        <f t="shared" si="982"/>
        <v>0</v>
      </c>
      <c r="CS195" s="7">
        <f t="shared" si="982"/>
        <v>0</v>
      </c>
      <c r="CT195" s="7">
        <f t="shared" si="982"/>
        <v>0</v>
      </c>
      <c r="CU195" s="7">
        <f t="shared" si="982"/>
        <v>0</v>
      </c>
      <c r="CV195" s="7">
        <f t="shared" si="982"/>
        <v>0</v>
      </c>
      <c r="CW195" s="7">
        <f t="shared" si="982"/>
        <v>0</v>
      </c>
      <c r="CX195" s="7">
        <f t="shared" si="982"/>
        <v>0</v>
      </c>
      <c r="CY195" s="7">
        <f t="shared" si="982"/>
        <v>0</v>
      </c>
      <c r="CZ195" s="7">
        <f t="shared" si="982"/>
        <v>0</v>
      </c>
      <c r="DA195" s="7">
        <f t="shared" si="982"/>
        <v>0</v>
      </c>
      <c r="DB195" s="7">
        <f t="shared" si="982"/>
        <v>0</v>
      </c>
      <c r="DC195" s="7">
        <f t="shared" si="982"/>
        <v>0</v>
      </c>
      <c r="DD195" s="7">
        <f t="shared" si="982"/>
        <v>0</v>
      </c>
      <c r="DE195" s="7">
        <f t="shared" si="982"/>
        <v>0</v>
      </c>
      <c r="DF195" s="7">
        <f t="shared" si="982"/>
        <v>0</v>
      </c>
      <c r="DG195" s="7">
        <f t="shared" si="982"/>
        <v>0</v>
      </c>
      <c r="DH195" s="7">
        <f t="shared" ref="DH195:DJ195" si="1006">IFERROR(DH500,"-")</f>
        <v>0</v>
      </c>
      <c r="DI195" s="7">
        <f t="shared" si="1006"/>
        <v>0</v>
      </c>
      <c r="DJ195" s="7">
        <f t="shared" si="1006"/>
        <v>0</v>
      </c>
      <c r="DK195" s="64">
        <f t="shared" ref="DK195:DS195" si="1007">IFERROR(VALUE(DK500),"-")</f>
        <v>0</v>
      </c>
      <c r="DL195" s="64">
        <f t="shared" si="1007"/>
        <v>0</v>
      </c>
      <c r="DM195" s="64">
        <f t="shared" si="1007"/>
        <v>0</v>
      </c>
      <c r="DN195" s="64">
        <f t="shared" si="1007"/>
        <v>0</v>
      </c>
      <c r="DO195" s="64">
        <f t="shared" si="1007"/>
        <v>0</v>
      </c>
      <c r="DP195" s="64">
        <f t="shared" si="1007"/>
        <v>0</v>
      </c>
      <c r="DQ195" s="64">
        <f t="shared" si="1007"/>
        <v>0</v>
      </c>
      <c r="DR195" s="64">
        <f t="shared" si="1007"/>
        <v>0</v>
      </c>
      <c r="DS195" s="64">
        <f t="shared" si="1007"/>
        <v>0</v>
      </c>
      <c r="DT195">
        <f t="shared" si="1000"/>
        <v>0</v>
      </c>
      <c r="DU195" s="10">
        <f t="shared" si="1001"/>
        <v>0</v>
      </c>
    </row>
    <row r="196" spans="1:125" x14ac:dyDescent="0.25">
      <c r="A196" t="s">
        <v>68</v>
      </c>
      <c r="B196" s="2">
        <v>44833</v>
      </c>
      <c r="C196" s="1">
        <v>3600</v>
      </c>
      <c r="D196">
        <v>158</v>
      </c>
      <c r="G196" t="str">
        <f t="array" ref="G196">IFERROR(INDEX($A$2:$A$700,MATCH(0,COUNTIF($G$1:G195,$A$2:$A$700),0)),"")</f>
        <v>VOLTAS</v>
      </c>
      <c r="M196" s="3"/>
      <c r="N196" s="3"/>
      <c r="O196" s="3">
        <f t="shared" si="1002"/>
        <v>0</v>
      </c>
      <c r="P196" s="7">
        <f t="shared" ref="P196:CA196" si="1008">IFERROR(VALUE(P501),"-")</f>
        <v>0</v>
      </c>
      <c r="Q196" s="7">
        <f t="shared" si="1008"/>
        <v>0</v>
      </c>
      <c r="R196" s="7">
        <f t="shared" si="1008"/>
        <v>0</v>
      </c>
      <c r="S196" s="7">
        <f t="shared" si="1008"/>
        <v>0</v>
      </c>
      <c r="T196" s="11">
        <f t="shared" si="1008"/>
        <v>0</v>
      </c>
      <c r="U196" s="11">
        <f t="shared" si="1008"/>
        <v>0</v>
      </c>
      <c r="V196" s="11">
        <f t="shared" si="1008"/>
        <v>0</v>
      </c>
      <c r="W196" s="11">
        <f t="shared" si="1008"/>
        <v>0</v>
      </c>
      <c r="X196" s="14">
        <f t="shared" si="1008"/>
        <v>0</v>
      </c>
      <c r="Y196" s="14">
        <f t="shared" si="1008"/>
        <v>0</v>
      </c>
      <c r="Z196" s="14">
        <f t="shared" si="1008"/>
        <v>0</v>
      </c>
      <c r="AA196" s="14">
        <f t="shared" si="1008"/>
        <v>0</v>
      </c>
      <c r="AB196" s="15">
        <f t="shared" si="1008"/>
        <v>0</v>
      </c>
      <c r="AC196" s="15">
        <f t="shared" si="1008"/>
        <v>0</v>
      </c>
      <c r="AD196" s="13">
        <f t="shared" si="1008"/>
        <v>0</v>
      </c>
      <c r="AE196" s="13">
        <f t="shared" si="1008"/>
        <v>0</v>
      </c>
      <c r="AF196" s="12">
        <f t="shared" si="1008"/>
        <v>0</v>
      </c>
      <c r="AG196" s="12">
        <f t="shared" si="1008"/>
        <v>0</v>
      </c>
      <c r="AH196" s="13">
        <f t="shared" si="1008"/>
        <v>0</v>
      </c>
      <c r="AI196" s="13">
        <f t="shared" si="1008"/>
        <v>0</v>
      </c>
      <c r="AJ196" s="11">
        <f t="shared" si="1008"/>
        <v>0</v>
      </c>
      <c r="AK196" s="11">
        <f t="shared" si="1008"/>
        <v>0</v>
      </c>
      <c r="AL196" s="11">
        <f t="shared" si="1008"/>
        <v>0</v>
      </c>
      <c r="AM196" s="11">
        <f t="shared" si="1008"/>
        <v>0</v>
      </c>
      <c r="AN196" s="11">
        <f t="shared" si="1008"/>
        <v>0</v>
      </c>
      <c r="AO196" s="11">
        <f t="shared" si="1008"/>
        <v>0</v>
      </c>
      <c r="AP196" s="11">
        <f t="shared" si="1008"/>
        <v>0</v>
      </c>
      <c r="AQ196" s="11">
        <f t="shared" si="1008"/>
        <v>0</v>
      </c>
      <c r="AR196" s="16">
        <f t="shared" si="1008"/>
        <v>0</v>
      </c>
      <c r="AS196" s="16">
        <f t="shared" si="1008"/>
        <v>0</v>
      </c>
      <c r="AT196" s="16">
        <f t="shared" si="1008"/>
        <v>0</v>
      </c>
      <c r="AU196" s="7">
        <f t="shared" si="1008"/>
        <v>0</v>
      </c>
      <c r="AV196" s="7">
        <f t="shared" si="1008"/>
        <v>0</v>
      </c>
      <c r="AW196" s="7">
        <f t="shared" si="1008"/>
        <v>0</v>
      </c>
      <c r="AX196" s="7">
        <f t="shared" si="1008"/>
        <v>0</v>
      </c>
      <c r="AY196" s="11">
        <f t="shared" si="1008"/>
        <v>0</v>
      </c>
      <c r="AZ196" s="16">
        <f t="shared" si="1008"/>
        <v>0</v>
      </c>
      <c r="BA196" s="16">
        <f t="shared" si="1008"/>
        <v>0</v>
      </c>
      <c r="BB196" s="16">
        <f t="shared" si="1008"/>
        <v>0</v>
      </c>
      <c r="BC196" s="11">
        <f t="shared" si="1008"/>
        <v>0</v>
      </c>
      <c r="BD196" s="11">
        <f t="shared" si="1008"/>
        <v>0</v>
      </c>
      <c r="BE196" s="11">
        <f t="shared" si="1008"/>
        <v>0</v>
      </c>
      <c r="BF196" s="11">
        <f t="shared" si="1008"/>
        <v>0</v>
      </c>
      <c r="BG196" s="11">
        <f t="shared" si="1008"/>
        <v>0</v>
      </c>
      <c r="BH196" s="11">
        <f t="shared" si="1008"/>
        <v>0</v>
      </c>
      <c r="BI196" s="13">
        <f t="shared" si="1008"/>
        <v>0</v>
      </c>
      <c r="BJ196" s="13">
        <f t="shared" si="1008"/>
        <v>0</v>
      </c>
      <c r="BK196" s="11">
        <f t="shared" si="1008"/>
        <v>0</v>
      </c>
      <c r="BL196" s="12">
        <f t="shared" si="1008"/>
        <v>0</v>
      </c>
      <c r="BM196" s="12">
        <f t="shared" si="1008"/>
        <v>0</v>
      </c>
      <c r="BN196" s="13">
        <f t="shared" si="1008"/>
        <v>0</v>
      </c>
      <c r="BO196" s="13">
        <f t="shared" si="1008"/>
        <v>0</v>
      </c>
      <c r="BP196" s="15">
        <f t="shared" si="1008"/>
        <v>0</v>
      </c>
      <c r="BQ196" s="15">
        <f t="shared" si="1008"/>
        <v>0</v>
      </c>
      <c r="BR196" s="14">
        <f t="shared" si="1008"/>
        <v>0</v>
      </c>
      <c r="BS196" s="14">
        <f t="shared" si="1008"/>
        <v>0</v>
      </c>
      <c r="BT196" s="14">
        <f t="shared" si="1008"/>
        <v>0</v>
      </c>
      <c r="BU196" s="14">
        <f t="shared" si="1008"/>
        <v>0</v>
      </c>
      <c r="BV196" s="11">
        <f t="shared" si="1008"/>
        <v>0</v>
      </c>
      <c r="BW196" s="11">
        <f t="shared" si="1008"/>
        <v>0</v>
      </c>
      <c r="BX196" s="11">
        <f t="shared" si="1008"/>
        <v>0</v>
      </c>
      <c r="BY196" s="11">
        <f t="shared" si="1008"/>
        <v>0</v>
      </c>
      <c r="BZ196" s="7">
        <f t="shared" si="1008"/>
        <v>0</v>
      </c>
      <c r="CA196" s="7">
        <f t="shared" si="1008"/>
        <v>0</v>
      </c>
      <c r="CB196" s="7">
        <f t="shared" ref="CB196:CP196" si="1009">IFERROR(VALUE(CB501),"-")</f>
        <v>0</v>
      </c>
      <c r="CC196" s="7">
        <f t="shared" si="1009"/>
        <v>0</v>
      </c>
      <c r="CD196" s="7">
        <f t="shared" si="1009"/>
        <v>0</v>
      </c>
      <c r="CE196" s="3">
        <f t="shared" si="1009"/>
        <v>0</v>
      </c>
      <c r="CF196" s="7">
        <f t="shared" si="1009"/>
        <v>0</v>
      </c>
      <c r="CG196" s="3">
        <f t="shared" si="1009"/>
        <v>0</v>
      </c>
      <c r="CH196" s="7">
        <f t="shared" si="1009"/>
        <v>0</v>
      </c>
      <c r="CI196" s="7">
        <f t="shared" si="1009"/>
        <v>0</v>
      </c>
      <c r="CJ196" s="3">
        <f t="shared" si="1009"/>
        <v>0</v>
      </c>
      <c r="CK196" s="7">
        <f t="shared" si="1009"/>
        <v>0</v>
      </c>
      <c r="CL196" s="3">
        <f t="shared" si="1009"/>
        <v>0</v>
      </c>
      <c r="CM196" s="7">
        <f t="shared" si="1009"/>
        <v>0</v>
      </c>
      <c r="CN196" s="10">
        <f t="shared" si="1009"/>
        <v>0</v>
      </c>
      <c r="CO196" s="10">
        <f t="shared" si="1009"/>
        <v>0</v>
      </c>
      <c r="CP196" s="7">
        <f t="shared" si="1009"/>
        <v>0</v>
      </c>
      <c r="CQ196" s="7">
        <f t="shared" ref="CQ196" si="1010">IFERROR(CQ501,"-")</f>
        <v>0</v>
      </c>
      <c r="CR196" s="10">
        <f t="shared" si="982"/>
        <v>0</v>
      </c>
      <c r="CS196" s="7">
        <f t="shared" si="982"/>
        <v>0</v>
      </c>
      <c r="CT196" s="7">
        <f t="shared" si="982"/>
        <v>0</v>
      </c>
      <c r="CU196" s="7">
        <f t="shared" si="982"/>
        <v>0</v>
      </c>
      <c r="CV196" s="7">
        <f t="shared" si="982"/>
        <v>0</v>
      </c>
      <c r="CW196" s="7">
        <f t="shared" si="982"/>
        <v>0</v>
      </c>
      <c r="CX196" s="7">
        <f t="shared" si="982"/>
        <v>0</v>
      </c>
      <c r="CY196" s="7">
        <f t="shared" si="982"/>
        <v>0</v>
      </c>
      <c r="CZ196" s="7">
        <f t="shared" si="982"/>
        <v>0</v>
      </c>
      <c r="DA196" s="7">
        <f t="shared" si="982"/>
        <v>0</v>
      </c>
      <c r="DB196" s="7">
        <f t="shared" si="982"/>
        <v>0</v>
      </c>
      <c r="DC196" s="7">
        <f t="shared" si="982"/>
        <v>0</v>
      </c>
      <c r="DD196" s="7">
        <f t="shared" si="982"/>
        <v>0</v>
      </c>
      <c r="DE196" s="7">
        <f t="shared" si="982"/>
        <v>0</v>
      </c>
      <c r="DF196" s="7">
        <f t="shared" si="982"/>
        <v>0</v>
      </c>
      <c r="DG196" s="7">
        <f t="shared" si="982"/>
        <v>0</v>
      </c>
      <c r="DH196" s="7">
        <f t="shared" ref="DH196:DJ196" si="1011">IFERROR(DH501,"-")</f>
        <v>0</v>
      </c>
      <c r="DI196" s="7">
        <f t="shared" si="1011"/>
        <v>0</v>
      </c>
      <c r="DJ196" s="7">
        <f t="shared" si="1011"/>
        <v>0</v>
      </c>
      <c r="DK196" s="64">
        <f t="shared" ref="DK196:DS196" si="1012">IFERROR(VALUE(DK501),"-")</f>
        <v>0</v>
      </c>
      <c r="DL196" s="64">
        <f t="shared" si="1012"/>
        <v>0</v>
      </c>
      <c r="DM196" s="64">
        <f t="shared" si="1012"/>
        <v>0</v>
      </c>
      <c r="DN196" s="64">
        <f t="shared" si="1012"/>
        <v>0</v>
      </c>
      <c r="DO196" s="64">
        <f t="shared" si="1012"/>
        <v>0</v>
      </c>
      <c r="DP196" s="64">
        <f t="shared" si="1012"/>
        <v>0</v>
      </c>
      <c r="DQ196" s="64">
        <f t="shared" si="1012"/>
        <v>0</v>
      </c>
      <c r="DR196" s="64">
        <f t="shared" si="1012"/>
        <v>0</v>
      </c>
      <c r="DS196" s="64">
        <f t="shared" si="1012"/>
        <v>0</v>
      </c>
      <c r="DT196">
        <f t="shared" si="1000"/>
        <v>0</v>
      </c>
      <c r="DU196" s="10">
        <f t="shared" si="1001"/>
        <v>0</v>
      </c>
    </row>
    <row r="197" spans="1:125" x14ac:dyDescent="0.25">
      <c r="A197" t="s">
        <v>68</v>
      </c>
      <c r="B197" s="2">
        <v>44861</v>
      </c>
      <c r="C197" s="1">
        <v>3600</v>
      </c>
      <c r="D197">
        <v>158</v>
      </c>
      <c r="G197" t="str">
        <f t="array" ref="G197">IFERROR(INDEX($A$2:$A$700,MATCH(0,COUNTIF($G$1:G196,$A$2:$A$700),0)),"")</f>
        <v>WHIRLPOOL</v>
      </c>
      <c r="M197" s="3"/>
      <c r="N197" s="3"/>
      <c r="O197" s="3">
        <f t="shared" si="1002"/>
        <v>0</v>
      </c>
      <c r="P197" s="7">
        <f t="shared" ref="P197:CA197" si="1013">IFERROR(VALUE(P502),"-")</f>
        <v>0</v>
      </c>
      <c r="Q197" s="7">
        <f t="shared" si="1013"/>
        <v>0</v>
      </c>
      <c r="R197" s="7">
        <f t="shared" si="1013"/>
        <v>0</v>
      </c>
      <c r="S197" s="7">
        <f t="shared" si="1013"/>
        <v>0</v>
      </c>
      <c r="T197" s="11">
        <f t="shared" si="1013"/>
        <v>0</v>
      </c>
      <c r="U197" s="11">
        <f t="shared" si="1013"/>
        <v>0</v>
      </c>
      <c r="V197" s="11">
        <f t="shared" si="1013"/>
        <v>0</v>
      </c>
      <c r="W197" s="11">
        <f t="shared" si="1013"/>
        <v>0</v>
      </c>
      <c r="X197" s="14">
        <f t="shared" si="1013"/>
        <v>0</v>
      </c>
      <c r="Y197" s="14">
        <f t="shared" si="1013"/>
        <v>0</v>
      </c>
      <c r="Z197" s="14">
        <f t="shared" si="1013"/>
        <v>0</v>
      </c>
      <c r="AA197" s="14">
        <f t="shared" si="1013"/>
        <v>0</v>
      </c>
      <c r="AB197" s="15">
        <f t="shared" si="1013"/>
        <v>0</v>
      </c>
      <c r="AC197" s="15">
        <f t="shared" si="1013"/>
        <v>0</v>
      </c>
      <c r="AD197" s="13">
        <f t="shared" si="1013"/>
        <v>0</v>
      </c>
      <c r="AE197" s="13">
        <f t="shared" si="1013"/>
        <v>0</v>
      </c>
      <c r="AF197" s="12">
        <f t="shared" si="1013"/>
        <v>0</v>
      </c>
      <c r="AG197" s="12">
        <f t="shared" si="1013"/>
        <v>0</v>
      </c>
      <c r="AH197" s="13">
        <f t="shared" si="1013"/>
        <v>0</v>
      </c>
      <c r="AI197" s="13">
        <f t="shared" si="1013"/>
        <v>0</v>
      </c>
      <c r="AJ197" s="11">
        <f t="shared" si="1013"/>
        <v>0</v>
      </c>
      <c r="AK197" s="11">
        <f t="shared" si="1013"/>
        <v>0</v>
      </c>
      <c r="AL197" s="11">
        <f t="shared" si="1013"/>
        <v>0</v>
      </c>
      <c r="AM197" s="11">
        <f t="shared" si="1013"/>
        <v>0</v>
      </c>
      <c r="AN197" s="11">
        <f t="shared" si="1013"/>
        <v>0</v>
      </c>
      <c r="AO197" s="11">
        <f t="shared" si="1013"/>
        <v>0</v>
      </c>
      <c r="AP197" s="11">
        <f t="shared" si="1013"/>
        <v>0</v>
      </c>
      <c r="AQ197" s="11">
        <f t="shared" si="1013"/>
        <v>0</v>
      </c>
      <c r="AR197" s="16">
        <f t="shared" si="1013"/>
        <v>0</v>
      </c>
      <c r="AS197" s="16">
        <f t="shared" si="1013"/>
        <v>0</v>
      </c>
      <c r="AT197" s="16">
        <f t="shared" si="1013"/>
        <v>0</v>
      </c>
      <c r="AU197" s="7">
        <f t="shared" si="1013"/>
        <v>0</v>
      </c>
      <c r="AV197" s="7">
        <f t="shared" si="1013"/>
        <v>0</v>
      </c>
      <c r="AW197" s="7">
        <f t="shared" si="1013"/>
        <v>0</v>
      </c>
      <c r="AX197" s="7">
        <f t="shared" si="1013"/>
        <v>0</v>
      </c>
      <c r="AY197" s="11">
        <f t="shared" si="1013"/>
        <v>0</v>
      </c>
      <c r="AZ197" s="16">
        <f t="shared" si="1013"/>
        <v>0</v>
      </c>
      <c r="BA197" s="16">
        <f t="shared" si="1013"/>
        <v>0</v>
      </c>
      <c r="BB197" s="16">
        <f t="shared" si="1013"/>
        <v>0</v>
      </c>
      <c r="BC197" s="11">
        <f t="shared" si="1013"/>
        <v>0</v>
      </c>
      <c r="BD197" s="11">
        <f t="shared" si="1013"/>
        <v>0</v>
      </c>
      <c r="BE197" s="11">
        <f t="shared" si="1013"/>
        <v>0</v>
      </c>
      <c r="BF197" s="11">
        <f t="shared" si="1013"/>
        <v>0</v>
      </c>
      <c r="BG197" s="11">
        <f t="shared" si="1013"/>
        <v>0</v>
      </c>
      <c r="BH197" s="11">
        <f t="shared" si="1013"/>
        <v>0</v>
      </c>
      <c r="BI197" s="13">
        <f t="shared" si="1013"/>
        <v>0</v>
      </c>
      <c r="BJ197" s="13">
        <f t="shared" si="1013"/>
        <v>0</v>
      </c>
      <c r="BK197" s="11">
        <f t="shared" si="1013"/>
        <v>0</v>
      </c>
      <c r="BL197" s="12">
        <f t="shared" si="1013"/>
        <v>0</v>
      </c>
      <c r="BM197" s="12">
        <f t="shared" si="1013"/>
        <v>0</v>
      </c>
      <c r="BN197" s="13">
        <f t="shared" si="1013"/>
        <v>0</v>
      </c>
      <c r="BO197" s="13">
        <f t="shared" si="1013"/>
        <v>0</v>
      </c>
      <c r="BP197" s="15">
        <f t="shared" si="1013"/>
        <v>0</v>
      </c>
      <c r="BQ197" s="15">
        <f t="shared" si="1013"/>
        <v>0</v>
      </c>
      <c r="BR197" s="14">
        <f t="shared" si="1013"/>
        <v>0</v>
      </c>
      <c r="BS197" s="14">
        <f t="shared" si="1013"/>
        <v>0</v>
      </c>
      <c r="BT197" s="14">
        <f t="shared" si="1013"/>
        <v>0</v>
      </c>
      <c r="BU197" s="14">
        <f t="shared" si="1013"/>
        <v>0</v>
      </c>
      <c r="BV197" s="11">
        <f t="shared" si="1013"/>
        <v>0</v>
      </c>
      <c r="BW197" s="11">
        <f t="shared" si="1013"/>
        <v>0</v>
      </c>
      <c r="BX197" s="11">
        <f t="shared" si="1013"/>
        <v>0</v>
      </c>
      <c r="BY197" s="11">
        <f t="shared" si="1013"/>
        <v>0</v>
      </c>
      <c r="BZ197" s="7">
        <f t="shared" si="1013"/>
        <v>0</v>
      </c>
      <c r="CA197" s="7">
        <f t="shared" si="1013"/>
        <v>0</v>
      </c>
      <c r="CB197" s="7">
        <f t="shared" ref="CB197:CP197" si="1014">IFERROR(VALUE(CB502),"-")</f>
        <v>0</v>
      </c>
      <c r="CC197" s="7">
        <f t="shared" si="1014"/>
        <v>0</v>
      </c>
      <c r="CD197" s="7">
        <f t="shared" si="1014"/>
        <v>0</v>
      </c>
      <c r="CE197" s="3">
        <f t="shared" si="1014"/>
        <v>0</v>
      </c>
      <c r="CF197" s="7">
        <f t="shared" si="1014"/>
        <v>0</v>
      </c>
      <c r="CG197" s="3">
        <f t="shared" si="1014"/>
        <v>0</v>
      </c>
      <c r="CH197" s="7">
        <f t="shared" si="1014"/>
        <v>0</v>
      </c>
      <c r="CI197" s="7">
        <f t="shared" si="1014"/>
        <v>0</v>
      </c>
      <c r="CJ197" s="3">
        <f t="shared" si="1014"/>
        <v>0</v>
      </c>
      <c r="CK197" s="7">
        <f t="shared" si="1014"/>
        <v>0</v>
      </c>
      <c r="CL197" s="3">
        <f t="shared" si="1014"/>
        <v>0</v>
      </c>
      <c r="CM197" s="7">
        <f t="shared" si="1014"/>
        <v>0</v>
      </c>
      <c r="CN197" s="10">
        <f t="shared" si="1014"/>
        <v>0</v>
      </c>
      <c r="CO197" s="10">
        <f t="shared" si="1014"/>
        <v>0</v>
      </c>
      <c r="CP197" s="7">
        <f t="shared" si="1014"/>
        <v>0</v>
      </c>
      <c r="CQ197" s="7">
        <f t="shared" ref="CQ197" si="1015">IFERROR(CQ502,"-")</f>
        <v>0</v>
      </c>
      <c r="CR197" s="10">
        <f t="shared" si="982"/>
        <v>0</v>
      </c>
      <c r="CS197" s="7">
        <f t="shared" si="982"/>
        <v>0</v>
      </c>
      <c r="CT197" s="7">
        <f t="shared" si="982"/>
        <v>0</v>
      </c>
      <c r="CU197" s="7">
        <f t="shared" si="982"/>
        <v>0</v>
      </c>
      <c r="CV197" s="7">
        <f t="shared" si="982"/>
        <v>0</v>
      </c>
      <c r="CW197" s="7">
        <f t="shared" si="982"/>
        <v>0</v>
      </c>
      <c r="CX197" s="7">
        <f t="shared" si="982"/>
        <v>0</v>
      </c>
      <c r="CY197" s="7">
        <f t="shared" si="982"/>
        <v>0</v>
      </c>
      <c r="CZ197" s="7">
        <f t="shared" si="982"/>
        <v>0</v>
      </c>
      <c r="DA197" s="7">
        <f t="shared" si="982"/>
        <v>0</v>
      </c>
      <c r="DB197" s="7">
        <f t="shared" si="982"/>
        <v>0</v>
      </c>
      <c r="DC197" s="7">
        <f t="shared" si="982"/>
        <v>0</v>
      </c>
      <c r="DD197" s="7">
        <f t="shared" si="982"/>
        <v>0</v>
      </c>
      <c r="DE197" s="7">
        <f t="shared" si="982"/>
        <v>0</v>
      </c>
      <c r="DF197" s="7">
        <f t="shared" si="982"/>
        <v>0</v>
      </c>
      <c r="DG197" s="7">
        <f t="shared" si="982"/>
        <v>0</v>
      </c>
      <c r="DH197" s="7">
        <f t="shared" ref="DH197:DJ197" si="1016">IFERROR(DH502,"-")</f>
        <v>0</v>
      </c>
      <c r="DI197" s="7">
        <f t="shared" si="1016"/>
        <v>0</v>
      </c>
      <c r="DJ197" s="7">
        <f t="shared" si="1016"/>
        <v>0</v>
      </c>
      <c r="DK197" s="64">
        <f t="shared" ref="DK197:DS197" si="1017">IFERROR(VALUE(DK502),"-")</f>
        <v>0</v>
      </c>
      <c r="DL197" s="64">
        <f t="shared" si="1017"/>
        <v>0</v>
      </c>
      <c r="DM197" s="64">
        <f t="shared" si="1017"/>
        <v>0</v>
      </c>
      <c r="DN197" s="64">
        <f t="shared" si="1017"/>
        <v>0</v>
      </c>
      <c r="DO197" s="64">
        <f t="shared" si="1017"/>
        <v>0</v>
      </c>
      <c r="DP197" s="64">
        <f t="shared" si="1017"/>
        <v>0</v>
      </c>
      <c r="DQ197" s="64">
        <f t="shared" si="1017"/>
        <v>0</v>
      </c>
      <c r="DR197" s="64">
        <f t="shared" si="1017"/>
        <v>0</v>
      </c>
      <c r="DS197" s="64">
        <f t="shared" si="1017"/>
        <v>0</v>
      </c>
      <c r="DT197">
        <f t="shared" si="1000"/>
        <v>0</v>
      </c>
      <c r="DU197" s="10">
        <f t="shared" si="1001"/>
        <v>0</v>
      </c>
    </row>
    <row r="198" spans="1:125" x14ac:dyDescent="0.25">
      <c r="A198" t="s">
        <v>69</v>
      </c>
      <c r="B198" s="2">
        <v>44798</v>
      </c>
      <c r="C198" s="1">
        <v>10000</v>
      </c>
      <c r="D198">
        <v>101</v>
      </c>
      <c r="G198" t="str">
        <f t="array" ref="G198">IFERROR(INDEX($A$2:$A$700,MATCH(0,COUNTIF($G$1:G197,$A$2:$A$700),0)),"")</f>
        <v>WIPRO</v>
      </c>
      <c r="M198" s="3"/>
      <c r="N198" s="3"/>
      <c r="O198" s="3">
        <f t="shared" si="1002"/>
        <v>0</v>
      </c>
      <c r="P198" s="7">
        <f t="shared" ref="P198:CA198" si="1018">IFERROR(VALUE(P503),"-")</f>
        <v>0</v>
      </c>
      <c r="Q198" s="7">
        <f t="shared" si="1018"/>
        <v>0</v>
      </c>
      <c r="R198" s="7">
        <f t="shared" si="1018"/>
        <v>0</v>
      </c>
      <c r="S198" s="7">
        <f t="shared" si="1018"/>
        <v>0</v>
      </c>
      <c r="T198" s="11">
        <f t="shared" si="1018"/>
        <v>0</v>
      </c>
      <c r="U198" s="11">
        <f t="shared" si="1018"/>
        <v>0</v>
      </c>
      <c r="V198" s="11">
        <f t="shared" si="1018"/>
        <v>0</v>
      </c>
      <c r="W198" s="11">
        <f t="shared" si="1018"/>
        <v>0</v>
      </c>
      <c r="X198" s="14">
        <f t="shared" si="1018"/>
        <v>0</v>
      </c>
      <c r="Y198" s="14">
        <f t="shared" si="1018"/>
        <v>0</v>
      </c>
      <c r="Z198" s="14">
        <f t="shared" si="1018"/>
        <v>0</v>
      </c>
      <c r="AA198" s="14">
        <f t="shared" si="1018"/>
        <v>0</v>
      </c>
      <c r="AB198" s="15">
        <f t="shared" si="1018"/>
        <v>0</v>
      </c>
      <c r="AC198" s="15">
        <f t="shared" si="1018"/>
        <v>0</v>
      </c>
      <c r="AD198" s="13">
        <f t="shared" si="1018"/>
        <v>0</v>
      </c>
      <c r="AE198" s="13">
        <f t="shared" si="1018"/>
        <v>0</v>
      </c>
      <c r="AF198" s="12">
        <f t="shared" si="1018"/>
        <v>0</v>
      </c>
      <c r="AG198" s="12">
        <f t="shared" si="1018"/>
        <v>0</v>
      </c>
      <c r="AH198" s="13">
        <f t="shared" si="1018"/>
        <v>0</v>
      </c>
      <c r="AI198" s="13">
        <f t="shared" si="1018"/>
        <v>0</v>
      </c>
      <c r="AJ198" s="11">
        <f t="shared" si="1018"/>
        <v>0</v>
      </c>
      <c r="AK198" s="11">
        <f t="shared" si="1018"/>
        <v>0</v>
      </c>
      <c r="AL198" s="11">
        <f t="shared" si="1018"/>
        <v>0</v>
      </c>
      <c r="AM198" s="11">
        <f t="shared" si="1018"/>
        <v>0</v>
      </c>
      <c r="AN198" s="11">
        <f t="shared" si="1018"/>
        <v>0</v>
      </c>
      <c r="AO198" s="11">
        <f t="shared" si="1018"/>
        <v>0</v>
      </c>
      <c r="AP198" s="11">
        <f t="shared" si="1018"/>
        <v>0</v>
      </c>
      <c r="AQ198" s="11">
        <f t="shared" si="1018"/>
        <v>0</v>
      </c>
      <c r="AR198" s="16">
        <f t="shared" si="1018"/>
        <v>0</v>
      </c>
      <c r="AS198" s="16">
        <f t="shared" si="1018"/>
        <v>0</v>
      </c>
      <c r="AT198" s="16">
        <f t="shared" si="1018"/>
        <v>0</v>
      </c>
      <c r="AU198" s="7">
        <f t="shared" si="1018"/>
        <v>0</v>
      </c>
      <c r="AV198" s="7">
        <f t="shared" si="1018"/>
        <v>0</v>
      </c>
      <c r="AW198" s="7">
        <f t="shared" si="1018"/>
        <v>0</v>
      </c>
      <c r="AX198" s="7">
        <f t="shared" si="1018"/>
        <v>0</v>
      </c>
      <c r="AY198" s="11">
        <f t="shared" si="1018"/>
        <v>0</v>
      </c>
      <c r="AZ198" s="16">
        <f t="shared" si="1018"/>
        <v>0</v>
      </c>
      <c r="BA198" s="16">
        <f t="shared" si="1018"/>
        <v>0</v>
      </c>
      <c r="BB198" s="16">
        <f t="shared" si="1018"/>
        <v>0</v>
      </c>
      <c r="BC198" s="11">
        <f t="shared" si="1018"/>
        <v>0</v>
      </c>
      <c r="BD198" s="11">
        <f t="shared" si="1018"/>
        <v>0</v>
      </c>
      <c r="BE198" s="11">
        <f t="shared" si="1018"/>
        <v>0</v>
      </c>
      <c r="BF198" s="11">
        <f t="shared" si="1018"/>
        <v>0</v>
      </c>
      <c r="BG198" s="11">
        <f t="shared" si="1018"/>
        <v>0</v>
      </c>
      <c r="BH198" s="11">
        <f t="shared" si="1018"/>
        <v>0</v>
      </c>
      <c r="BI198" s="13">
        <f t="shared" si="1018"/>
        <v>0</v>
      </c>
      <c r="BJ198" s="13">
        <f t="shared" si="1018"/>
        <v>0</v>
      </c>
      <c r="BK198" s="11">
        <f t="shared" si="1018"/>
        <v>0</v>
      </c>
      <c r="BL198" s="12">
        <f t="shared" si="1018"/>
        <v>0</v>
      </c>
      <c r="BM198" s="12">
        <f t="shared" si="1018"/>
        <v>0</v>
      </c>
      <c r="BN198" s="13">
        <f t="shared" si="1018"/>
        <v>0</v>
      </c>
      <c r="BO198" s="13">
        <f t="shared" si="1018"/>
        <v>0</v>
      </c>
      <c r="BP198" s="15">
        <f t="shared" si="1018"/>
        <v>0</v>
      </c>
      <c r="BQ198" s="15">
        <f t="shared" si="1018"/>
        <v>0</v>
      </c>
      <c r="BR198" s="14">
        <f t="shared" si="1018"/>
        <v>0</v>
      </c>
      <c r="BS198" s="14">
        <f t="shared" si="1018"/>
        <v>0</v>
      </c>
      <c r="BT198" s="14">
        <f t="shared" si="1018"/>
        <v>0</v>
      </c>
      <c r="BU198" s="14">
        <f t="shared" si="1018"/>
        <v>0</v>
      </c>
      <c r="BV198" s="11">
        <f t="shared" si="1018"/>
        <v>0</v>
      </c>
      <c r="BW198" s="11">
        <f t="shared" si="1018"/>
        <v>0</v>
      </c>
      <c r="BX198" s="11">
        <f t="shared" si="1018"/>
        <v>0</v>
      </c>
      <c r="BY198" s="11">
        <f t="shared" si="1018"/>
        <v>0</v>
      </c>
      <c r="BZ198" s="7">
        <f t="shared" si="1018"/>
        <v>0</v>
      </c>
      <c r="CA198" s="7">
        <f t="shared" si="1018"/>
        <v>0</v>
      </c>
      <c r="CB198" s="7">
        <f t="shared" ref="CB198:CP198" si="1019">IFERROR(VALUE(CB503),"-")</f>
        <v>0</v>
      </c>
      <c r="CC198" s="7">
        <f t="shared" si="1019"/>
        <v>0</v>
      </c>
      <c r="CD198" s="7">
        <f t="shared" si="1019"/>
        <v>0</v>
      </c>
      <c r="CE198" s="3">
        <f t="shared" si="1019"/>
        <v>0</v>
      </c>
      <c r="CF198" s="7">
        <f t="shared" si="1019"/>
        <v>0</v>
      </c>
      <c r="CG198" s="3">
        <f t="shared" si="1019"/>
        <v>0</v>
      </c>
      <c r="CH198" s="7">
        <f t="shared" si="1019"/>
        <v>0</v>
      </c>
      <c r="CI198" s="7">
        <f t="shared" si="1019"/>
        <v>0</v>
      </c>
      <c r="CJ198" s="3">
        <f t="shared" si="1019"/>
        <v>0</v>
      </c>
      <c r="CK198" s="7">
        <f t="shared" si="1019"/>
        <v>0</v>
      </c>
      <c r="CL198" s="3">
        <f t="shared" si="1019"/>
        <v>0</v>
      </c>
      <c r="CM198" s="7">
        <f t="shared" si="1019"/>
        <v>0</v>
      </c>
      <c r="CN198" s="10">
        <f t="shared" si="1019"/>
        <v>0</v>
      </c>
      <c r="CO198" s="10">
        <f t="shared" si="1019"/>
        <v>0</v>
      </c>
      <c r="CP198" s="7">
        <f t="shared" si="1019"/>
        <v>0</v>
      </c>
      <c r="CQ198" s="7">
        <f t="shared" ref="CQ198" si="1020">IFERROR(CQ503,"-")</f>
        <v>0</v>
      </c>
      <c r="CR198" s="10">
        <f t="shared" si="982"/>
        <v>0</v>
      </c>
      <c r="CS198" s="7">
        <f t="shared" si="982"/>
        <v>0</v>
      </c>
      <c r="CT198" s="7">
        <f t="shared" si="982"/>
        <v>0</v>
      </c>
      <c r="CU198" s="7">
        <f t="shared" si="982"/>
        <v>0</v>
      </c>
      <c r="CV198" s="7">
        <f t="shared" si="982"/>
        <v>0</v>
      </c>
      <c r="CW198" s="7">
        <f t="shared" si="982"/>
        <v>0</v>
      </c>
      <c r="CX198" s="7">
        <f t="shared" si="982"/>
        <v>0</v>
      </c>
      <c r="CY198" s="7">
        <f t="shared" si="982"/>
        <v>0</v>
      </c>
      <c r="CZ198" s="7">
        <f t="shared" si="982"/>
        <v>0</v>
      </c>
      <c r="DA198" s="7">
        <f t="shared" si="982"/>
        <v>0</v>
      </c>
      <c r="DB198" s="7">
        <f t="shared" si="982"/>
        <v>0</v>
      </c>
      <c r="DC198" s="7">
        <f t="shared" si="982"/>
        <v>0</v>
      </c>
      <c r="DD198" s="7">
        <f t="shared" si="982"/>
        <v>0</v>
      </c>
      <c r="DE198" s="7">
        <f t="shared" si="982"/>
        <v>0</v>
      </c>
      <c r="DF198" s="7">
        <f t="shared" si="982"/>
        <v>0</v>
      </c>
      <c r="DG198" s="7">
        <f t="shared" si="982"/>
        <v>0</v>
      </c>
      <c r="DH198" s="7">
        <f t="shared" ref="DH198:DJ198" si="1021">IFERROR(DH503,"-")</f>
        <v>0</v>
      </c>
      <c r="DI198" s="7">
        <f t="shared" si="1021"/>
        <v>0</v>
      </c>
      <c r="DJ198" s="7">
        <f t="shared" si="1021"/>
        <v>0</v>
      </c>
      <c r="DK198" s="64">
        <f t="shared" ref="DK198:DS198" si="1022">IFERROR(VALUE(DK503),"-")</f>
        <v>0</v>
      </c>
      <c r="DL198" s="64">
        <f t="shared" si="1022"/>
        <v>0</v>
      </c>
      <c r="DM198" s="64">
        <f t="shared" si="1022"/>
        <v>0</v>
      </c>
      <c r="DN198" s="64">
        <f t="shared" si="1022"/>
        <v>0</v>
      </c>
      <c r="DO198" s="64">
        <f t="shared" si="1022"/>
        <v>0</v>
      </c>
      <c r="DP198" s="64">
        <f t="shared" si="1022"/>
        <v>0</v>
      </c>
      <c r="DQ198" s="64">
        <f t="shared" si="1022"/>
        <v>0</v>
      </c>
      <c r="DR198" s="64">
        <f t="shared" si="1022"/>
        <v>0</v>
      </c>
      <c r="DS198" s="64">
        <f t="shared" si="1022"/>
        <v>0</v>
      </c>
      <c r="DT198">
        <f t="shared" si="1000"/>
        <v>0</v>
      </c>
      <c r="DU198" s="10">
        <f t="shared" si="1001"/>
        <v>0</v>
      </c>
    </row>
    <row r="199" spans="1:125" x14ac:dyDescent="0.25">
      <c r="A199" t="s">
        <v>69</v>
      </c>
      <c r="B199" s="2">
        <v>44833</v>
      </c>
      <c r="C199" s="1">
        <v>10000</v>
      </c>
      <c r="D199">
        <v>101</v>
      </c>
      <c r="G199" t="str">
        <f t="array" ref="G199">IFERROR(INDEX($A$2:$A$700,MATCH(0,COUNTIF($G$1:G198,$A$2:$A$700),0)),"")</f>
        <v>ZEEL</v>
      </c>
      <c r="M199" s="3"/>
      <c r="N199" s="3"/>
      <c r="O199" s="3">
        <f t="shared" si="1002"/>
        <v>0</v>
      </c>
      <c r="P199" s="7">
        <f t="shared" ref="P199:CA199" si="1023">IFERROR(VALUE(P504),"-")</f>
        <v>0</v>
      </c>
      <c r="Q199" s="7">
        <f t="shared" si="1023"/>
        <v>0</v>
      </c>
      <c r="R199" s="7">
        <f t="shared" si="1023"/>
        <v>0</v>
      </c>
      <c r="S199" s="7">
        <f t="shared" si="1023"/>
        <v>0</v>
      </c>
      <c r="T199" s="11">
        <f t="shared" si="1023"/>
        <v>0</v>
      </c>
      <c r="U199" s="11">
        <f t="shared" si="1023"/>
        <v>0</v>
      </c>
      <c r="V199" s="11">
        <f t="shared" si="1023"/>
        <v>0</v>
      </c>
      <c r="W199" s="11">
        <f t="shared" si="1023"/>
        <v>0</v>
      </c>
      <c r="X199" s="14">
        <f t="shared" si="1023"/>
        <v>0</v>
      </c>
      <c r="Y199" s="14">
        <f t="shared" si="1023"/>
        <v>0</v>
      </c>
      <c r="Z199" s="14">
        <f t="shared" si="1023"/>
        <v>0</v>
      </c>
      <c r="AA199" s="14">
        <f t="shared" si="1023"/>
        <v>0</v>
      </c>
      <c r="AB199" s="15">
        <f t="shared" si="1023"/>
        <v>0</v>
      </c>
      <c r="AC199" s="15">
        <f t="shared" si="1023"/>
        <v>0</v>
      </c>
      <c r="AD199" s="13">
        <f t="shared" si="1023"/>
        <v>0</v>
      </c>
      <c r="AE199" s="13">
        <f t="shared" si="1023"/>
        <v>0</v>
      </c>
      <c r="AF199" s="12">
        <f t="shared" si="1023"/>
        <v>0</v>
      </c>
      <c r="AG199" s="12">
        <f t="shared" si="1023"/>
        <v>0</v>
      </c>
      <c r="AH199" s="13">
        <f t="shared" si="1023"/>
        <v>0</v>
      </c>
      <c r="AI199" s="13">
        <f t="shared" si="1023"/>
        <v>0</v>
      </c>
      <c r="AJ199" s="11">
        <f t="shared" si="1023"/>
        <v>0</v>
      </c>
      <c r="AK199" s="11">
        <f t="shared" si="1023"/>
        <v>0</v>
      </c>
      <c r="AL199" s="11">
        <f t="shared" si="1023"/>
        <v>0</v>
      </c>
      <c r="AM199" s="11">
        <f t="shared" si="1023"/>
        <v>0</v>
      </c>
      <c r="AN199" s="11">
        <f t="shared" si="1023"/>
        <v>0</v>
      </c>
      <c r="AO199" s="11">
        <f t="shared" si="1023"/>
        <v>0</v>
      </c>
      <c r="AP199" s="11">
        <f t="shared" si="1023"/>
        <v>0</v>
      </c>
      <c r="AQ199" s="11">
        <f t="shared" si="1023"/>
        <v>0</v>
      </c>
      <c r="AR199" s="16">
        <f t="shared" si="1023"/>
        <v>0</v>
      </c>
      <c r="AS199" s="16">
        <f t="shared" si="1023"/>
        <v>0</v>
      </c>
      <c r="AT199" s="16">
        <f t="shared" si="1023"/>
        <v>0</v>
      </c>
      <c r="AU199" s="7">
        <f t="shared" si="1023"/>
        <v>0</v>
      </c>
      <c r="AV199" s="7">
        <f t="shared" si="1023"/>
        <v>0</v>
      </c>
      <c r="AW199" s="7">
        <f t="shared" si="1023"/>
        <v>0</v>
      </c>
      <c r="AX199" s="7">
        <f t="shared" si="1023"/>
        <v>0</v>
      </c>
      <c r="AY199" s="11">
        <f t="shared" si="1023"/>
        <v>0</v>
      </c>
      <c r="AZ199" s="16">
        <f t="shared" si="1023"/>
        <v>0</v>
      </c>
      <c r="BA199" s="16">
        <f t="shared" si="1023"/>
        <v>0</v>
      </c>
      <c r="BB199" s="16">
        <f t="shared" si="1023"/>
        <v>0</v>
      </c>
      <c r="BC199" s="11">
        <f t="shared" si="1023"/>
        <v>0</v>
      </c>
      <c r="BD199" s="11">
        <f t="shared" si="1023"/>
        <v>0</v>
      </c>
      <c r="BE199" s="11">
        <f t="shared" si="1023"/>
        <v>0</v>
      </c>
      <c r="BF199" s="11">
        <f t="shared" si="1023"/>
        <v>0</v>
      </c>
      <c r="BG199" s="11">
        <f t="shared" si="1023"/>
        <v>0</v>
      </c>
      <c r="BH199" s="11">
        <f t="shared" si="1023"/>
        <v>0</v>
      </c>
      <c r="BI199" s="13">
        <f t="shared" si="1023"/>
        <v>0</v>
      </c>
      <c r="BJ199" s="13">
        <f t="shared" si="1023"/>
        <v>0</v>
      </c>
      <c r="BK199" s="11">
        <f t="shared" si="1023"/>
        <v>0</v>
      </c>
      <c r="BL199" s="12">
        <f t="shared" si="1023"/>
        <v>0</v>
      </c>
      <c r="BM199" s="12">
        <f t="shared" si="1023"/>
        <v>0</v>
      </c>
      <c r="BN199" s="13">
        <f t="shared" si="1023"/>
        <v>0</v>
      </c>
      <c r="BO199" s="13">
        <f t="shared" si="1023"/>
        <v>0</v>
      </c>
      <c r="BP199" s="15">
        <f t="shared" si="1023"/>
        <v>0</v>
      </c>
      <c r="BQ199" s="15">
        <f t="shared" si="1023"/>
        <v>0</v>
      </c>
      <c r="BR199" s="14">
        <f t="shared" si="1023"/>
        <v>0</v>
      </c>
      <c r="BS199" s="14">
        <f t="shared" si="1023"/>
        <v>0</v>
      </c>
      <c r="BT199" s="14">
        <f t="shared" si="1023"/>
        <v>0</v>
      </c>
      <c r="BU199" s="14">
        <f t="shared" si="1023"/>
        <v>0</v>
      </c>
      <c r="BV199" s="11">
        <f t="shared" si="1023"/>
        <v>0</v>
      </c>
      <c r="BW199" s="11">
        <f t="shared" si="1023"/>
        <v>0</v>
      </c>
      <c r="BX199" s="11">
        <f t="shared" si="1023"/>
        <v>0</v>
      </c>
      <c r="BY199" s="11">
        <f t="shared" si="1023"/>
        <v>0</v>
      </c>
      <c r="BZ199" s="7">
        <f t="shared" si="1023"/>
        <v>0</v>
      </c>
      <c r="CA199" s="7">
        <f t="shared" si="1023"/>
        <v>0</v>
      </c>
      <c r="CB199" s="7">
        <f t="shared" ref="CB199:CP199" si="1024">IFERROR(VALUE(CB504),"-")</f>
        <v>0</v>
      </c>
      <c r="CC199" s="7">
        <f t="shared" si="1024"/>
        <v>0</v>
      </c>
      <c r="CD199" s="7">
        <f t="shared" si="1024"/>
        <v>0</v>
      </c>
      <c r="CE199" s="3">
        <f t="shared" si="1024"/>
        <v>0</v>
      </c>
      <c r="CF199" s="7">
        <f t="shared" si="1024"/>
        <v>0</v>
      </c>
      <c r="CG199" s="3">
        <f t="shared" si="1024"/>
        <v>0</v>
      </c>
      <c r="CH199" s="7">
        <f t="shared" si="1024"/>
        <v>0</v>
      </c>
      <c r="CI199" s="7">
        <f t="shared" si="1024"/>
        <v>0</v>
      </c>
      <c r="CJ199" s="3">
        <f t="shared" si="1024"/>
        <v>0</v>
      </c>
      <c r="CK199" s="7">
        <f t="shared" si="1024"/>
        <v>0</v>
      </c>
      <c r="CL199" s="3">
        <f t="shared" si="1024"/>
        <v>0</v>
      </c>
      <c r="CM199" s="7">
        <f t="shared" si="1024"/>
        <v>0</v>
      </c>
      <c r="CN199" s="10">
        <f t="shared" si="1024"/>
        <v>0</v>
      </c>
      <c r="CO199" s="10">
        <f t="shared" si="1024"/>
        <v>0</v>
      </c>
      <c r="CP199" s="7">
        <f t="shared" si="1024"/>
        <v>0</v>
      </c>
      <c r="CQ199" s="7">
        <f t="shared" ref="CQ199" si="1025">IFERROR(CQ504,"-")</f>
        <v>0</v>
      </c>
      <c r="CR199" s="10">
        <f t="shared" si="982"/>
        <v>0</v>
      </c>
      <c r="CS199" s="7">
        <f t="shared" si="982"/>
        <v>0</v>
      </c>
      <c r="CT199" s="7">
        <f t="shared" si="982"/>
        <v>0</v>
      </c>
      <c r="CU199" s="7">
        <f t="shared" si="982"/>
        <v>0</v>
      </c>
      <c r="CV199" s="7">
        <f t="shared" si="982"/>
        <v>0</v>
      </c>
      <c r="CW199" s="7">
        <f t="shared" si="982"/>
        <v>0</v>
      </c>
      <c r="CX199" s="7">
        <f t="shared" si="982"/>
        <v>0</v>
      </c>
      <c r="CY199" s="7">
        <f t="shared" si="982"/>
        <v>0</v>
      </c>
      <c r="CZ199" s="7">
        <f t="shared" si="982"/>
        <v>0</v>
      </c>
      <c r="DA199" s="7">
        <f t="shared" si="982"/>
        <v>0</v>
      </c>
      <c r="DB199" s="7">
        <f t="shared" si="982"/>
        <v>0</v>
      </c>
      <c r="DC199" s="7">
        <f t="shared" si="982"/>
        <v>0</v>
      </c>
      <c r="DD199" s="7">
        <f t="shared" si="982"/>
        <v>0</v>
      </c>
      <c r="DE199" s="7">
        <f t="shared" si="982"/>
        <v>0</v>
      </c>
      <c r="DF199" s="7">
        <f t="shared" si="982"/>
        <v>0</v>
      </c>
      <c r="DG199" s="7">
        <f t="shared" si="982"/>
        <v>0</v>
      </c>
      <c r="DH199" s="7">
        <f t="shared" ref="DH199:DJ199" si="1026">IFERROR(DH504,"-")</f>
        <v>0</v>
      </c>
      <c r="DI199" s="7">
        <f t="shared" si="1026"/>
        <v>0</v>
      </c>
      <c r="DJ199" s="7">
        <f t="shared" si="1026"/>
        <v>0</v>
      </c>
      <c r="DK199" s="64">
        <f t="shared" ref="DK199:DS199" si="1027">IFERROR(VALUE(DK504),"-")</f>
        <v>0</v>
      </c>
      <c r="DL199" s="64">
        <f t="shared" si="1027"/>
        <v>0</v>
      </c>
      <c r="DM199" s="64">
        <f t="shared" si="1027"/>
        <v>0</v>
      </c>
      <c r="DN199" s="64">
        <f t="shared" si="1027"/>
        <v>0</v>
      </c>
      <c r="DO199" s="64">
        <f t="shared" si="1027"/>
        <v>0</v>
      </c>
      <c r="DP199" s="64">
        <f t="shared" si="1027"/>
        <v>0</v>
      </c>
      <c r="DQ199" s="64">
        <f t="shared" si="1027"/>
        <v>0</v>
      </c>
      <c r="DR199" s="64">
        <f t="shared" si="1027"/>
        <v>0</v>
      </c>
      <c r="DS199" s="64">
        <f t="shared" si="1027"/>
        <v>0</v>
      </c>
      <c r="DT199">
        <f t="shared" si="1000"/>
        <v>0</v>
      </c>
      <c r="DU199" s="10">
        <f t="shared" si="1001"/>
        <v>0</v>
      </c>
    </row>
    <row r="200" spans="1:125" x14ac:dyDescent="0.25">
      <c r="A200" t="s">
        <v>69</v>
      </c>
      <c r="B200" s="2">
        <v>44861</v>
      </c>
      <c r="C200" s="1">
        <v>10000</v>
      </c>
      <c r="D200">
        <v>101</v>
      </c>
      <c r="G200" t="str">
        <f t="array" ref="G200">IFERROR(INDEX($A$2:$A$700,MATCH(0,COUNTIF($G$1:G199,$A$2:$A$700),0)),"")</f>
        <v>ZYDUSLIFE</v>
      </c>
      <c r="M200" s="3"/>
      <c r="N200" s="3"/>
      <c r="O200" s="3">
        <f t="shared" si="1002"/>
        <v>0</v>
      </c>
      <c r="P200" s="7">
        <f t="shared" ref="P200:CA200" si="1028">IFERROR(VALUE(P505),"-")</f>
        <v>0</v>
      </c>
      <c r="Q200" s="7">
        <f t="shared" si="1028"/>
        <v>0</v>
      </c>
      <c r="R200" s="7">
        <f t="shared" si="1028"/>
        <v>0</v>
      </c>
      <c r="S200" s="7">
        <f t="shared" si="1028"/>
        <v>0</v>
      </c>
      <c r="T200" s="11">
        <f t="shared" si="1028"/>
        <v>0</v>
      </c>
      <c r="U200" s="11">
        <f t="shared" si="1028"/>
        <v>0</v>
      </c>
      <c r="V200" s="11">
        <f t="shared" si="1028"/>
        <v>0</v>
      </c>
      <c r="W200" s="11">
        <f t="shared" si="1028"/>
        <v>0</v>
      </c>
      <c r="X200" s="14">
        <f t="shared" si="1028"/>
        <v>0</v>
      </c>
      <c r="Y200" s="14">
        <f t="shared" si="1028"/>
        <v>0</v>
      </c>
      <c r="Z200" s="14">
        <f t="shared" si="1028"/>
        <v>0</v>
      </c>
      <c r="AA200" s="14">
        <f t="shared" si="1028"/>
        <v>0</v>
      </c>
      <c r="AB200" s="15">
        <f t="shared" si="1028"/>
        <v>0</v>
      </c>
      <c r="AC200" s="15">
        <f t="shared" si="1028"/>
        <v>0</v>
      </c>
      <c r="AD200" s="13">
        <f t="shared" si="1028"/>
        <v>0</v>
      </c>
      <c r="AE200" s="13">
        <f t="shared" si="1028"/>
        <v>0</v>
      </c>
      <c r="AF200" s="12">
        <f t="shared" si="1028"/>
        <v>0</v>
      </c>
      <c r="AG200" s="12">
        <f t="shared" si="1028"/>
        <v>0</v>
      </c>
      <c r="AH200" s="13">
        <f t="shared" si="1028"/>
        <v>0</v>
      </c>
      <c r="AI200" s="13">
        <f t="shared" si="1028"/>
        <v>0</v>
      </c>
      <c r="AJ200" s="11">
        <f t="shared" si="1028"/>
        <v>0</v>
      </c>
      <c r="AK200" s="11">
        <f t="shared" si="1028"/>
        <v>0</v>
      </c>
      <c r="AL200" s="11">
        <f t="shared" si="1028"/>
        <v>0</v>
      </c>
      <c r="AM200" s="11">
        <f t="shared" si="1028"/>
        <v>0</v>
      </c>
      <c r="AN200" s="11">
        <f t="shared" si="1028"/>
        <v>0</v>
      </c>
      <c r="AO200" s="11">
        <f t="shared" si="1028"/>
        <v>0</v>
      </c>
      <c r="AP200" s="11">
        <f t="shared" si="1028"/>
        <v>0</v>
      </c>
      <c r="AQ200" s="11">
        <f t="shared" si="1028"/>
        <v>0</v>
      </c>
      <c r="AR200" s="16">
        <f t="shared" si="1028"/>
        <v>0</v>
      </c>
      <c r="AS200" s="16">
        <f t="shared" si="1028"/>
        <v>0</v>
      </c>
      <c r="AT200" s="16">
        <f t="shared" si="1028"/>
        <v>0</v>
      </c>
      <c r="AU200" s="7">
        <f t="shared" si="1028"/>
        <v>0</v>
      </c>
      <c r="AV200" s="7">
        <f t="shared" si="1028"/>
        <v>0</v>
      </c>
      <c r="AW200" s="7">
        <f t="shared" si="1028"/>
        <v>0</v>
      </c>
      <c r="AX200" s="7">
        <f t="shared" si="1028"/>
        <v>0</v>
      </c>
      <c r="AY200" s="11">
        <f t="shared" si="1028"/>
        <v>0</v>
      </c>
      <c r="AZ200" s="16">
        <f t="shared" si="1028"/>
        <v>0</v>
      </c>
      <c r="BA200" s="16">
        <f t="shared" si="1028"/>
        <v>0</v>
      </c>
      <c r="BB200" s="16">
        <f t="shared" si="1028"/>
        <v>0</v>
      </c>
      <c r="BC200" s="11">
        <f t="shared" si="1028"/>
        <v>0</v>
      </c>
      <c r="BD200" s="11">
        <f t="shared" si="1028"/>
        <v>0</v>
      </c>
      <c r="BE200" s="11">
        <f t="shared" si="1028"/>
        <v>0</v>
      </c>
      <c r="BF200" s="11">
        <f t="shared" si="1028"/>
        <v>0</v>
      </c>
      <c r="BG200" s="11">
        <f t="shared" si="1028"/>
        <v>0</v>
      </c>
      <c r="BH200" s="11">
        <f t="shared" si="1028"/>
        <v>0</v>
      </c>
      <c r="BI200" s="13">
        <f t="shared" si="1028"/>
        <v>0</v>
      </c>
      <c r="BJ200" s="13">
        <f t="shared" si="1028"/>
        <v>0</v>
      </c>
      <c r="BK200" s="11">
        <f t="shared" si="1028"/>
        <v>0</v>
      </c>
      <c r="BL200" s="12">
        <f t="shared" si="1028"/>
        <v>0</v>
      </c>
      <c r="BM200" s="12">
        <f t="shared" si="1028"/>
        <v>0</v>
      </c>
      <c r="BN200" s="13">
        <f t="shared" si="1028"/>
        <v>0</v>
      </c>
      <c r="BO200" s="13">
        <f t="shared" si="1028"/>
        <v>0</v>
      </c>
      <c r="BP200" s="15">
        <f t="shared" si="1028"/>
        <v>0</v>
      </c>
      <c r="BQ200" s="15">
        <f t="shared" si="1028"/>
        <v>0</v>
      </c>
      <c r="BR200" s="14">
        <f t="shared" si="1028"/>
        <v>0</v>
      </c>
      <c r="BS200" s="14">
        <f t="shared" si="1028"/>
        <v>0</v>
      </c>
      <c r="BT200" s="14">
        <f t="shared" si="1028"/>
        <v>0</v>
      </c>
      <c r="BU200" s="14">
        <f t="shared" si="1028"/>
        <v>0</v>
      </c>
      <c r="BV200" s="11">
        <f t="shared" si="1028"/>
        <v>0</v>
      </c>
      <c r="BW200" s="11">
        <f t="shared" si="1028"/>
        <v>0</v>
      </c>
      <c r="BX200" s="11">
        <f t="shared" si="1028"/>
        <v>0</v>
      </c>
      <c r="BY200" s="11">
        <f t="shared" si="1028"/>
        <v>0</v>
      </c>
      <c r="BZ200" s="7">
        <f t="shared" si="1028"/>
        <v>0</v>
      </c>
      <c r="CA200" s="7">
        <f t="shared" si="1028"/>
        <v>0</v>
      </c>
      <c r="CB200" s="7">
        <f t="shared" ref="CB200:CP200" si="1029">IFERROR(VALUE(CB505),"-")</f>
        <v>0</v>
      </c>
      <c r="CC200" s="7">
        <f t="shared" si="1029"/>
        <v>0</v>
      </c>
      <c r="CD200" s="7">
        <f t="shared" si="1029"/>
        <v>0</v>
      </c>
      <c r="CE200" s="3">
        <f t="shared" si="1029"/>
        <v>0</v>
      </c>
      <c r="CF200" s="7">
        <f t="shared" si="1029"/>
        <v>0</v>
      </c>
      <c r="CG200" s="3">
        <f t="shared" si="1029"/>
        <v>0</v>
      </c>
      <c r="CH200" s="7">
        <f t="shared" si="1029"/>
        <v>0</v>
      </c>
      <c r="CI200" s="7">
        <f t="shared" si="1029"/>
        <v>0</v>
      </c>
      <c r="CJ200" s="3">
        <f t="shared" si="1029"/>
        <v>0</v>
      </c>
      <c r="CK200" s="7">
        <f t="shared" si="1029"/>
        <v>0</v>
      </c>
      <c r="CL200" s="3">
        <f t="shared" si="1029"/>
        <v>0</v>
      </c>
      <c r="CM200" s="7">
        <f t="shared" si="1029"/>
        <v>0</v>
      </c>
      <c r="CN200" s="10">
        <f t="shared" si="1029"/>
        <v>0</v>
      </c>
      <c r="CO200" s="10">
        <f t="shared" si="1029"/>
        <v>0</v>
      </c>
      <c r="CP200" s="7">
        <f t="shared" si="1029"/>
        <v>0</v>
      </c>
      <c r="CQ200" s="7">
        <f t="shared" ref="CQ200" si="1030">IFERROR(CQ505,"-")</f>
        <v>0</v>
      </c>
      <c r="CR200" s="10">
        <f t="shared" si="982"/>
        <v>0</v>
      </c>
      <c r="CS200" s="7">
        <f t="shared" si="982"/>
        <v>0</v>
      </c>
      <c r="CT200" s="7">
        <f t="shared" si="982"/>
        <v>0</v>
      </c>
      <c r="CU200" s="7">
        <f t="shared" si="982"/>
        <v>0</v>
      </c>
      <c r="CV200" s="7">
        <f t="shared" si="982"/>
        <v>0</v>
      </c>
      <c r="CW200" s="7">
        <f t="shared" si="982"/>
        <v>0</v>
      </c>
      <c r="CX200" s="7">
        <f t="shared" si="982"/>
        <v>0</v>
      </c>
      <c r="CY200" s="7">
        <f t="shared" si="982"/>
        <v>0</v>
      </c>
      <c r="CZ200" s="7">
        <f t="shared" si="982"/>
        <v>0</v>
      </c>
      <c r="DA200" s="7">
        <f t="shared" si="982"/>
        <v>0</v>
      </c>
      <c r="DB200" s="7">
        <f t="shared" si="982"/>
        <v>0</v>
      </c>
      <c r="DC200" s="7">
        <f t="shared" si="982"/>
        <v>0</v>
      </c>
      <c r="DD200" s="7">
        <f t="shared" si="982"/>
        <v>0</v>
      </c>
      <c r="DE200" s="7">
        <f t="shared" si="982"/>
        <v>0</v>
      </c>
      <c r="DF200" s="7">
        <f t="shared" si="982"/>
        <v>0</v>
      </c>
      <c r="DG200" s="7">
        <f t="shared" si="982"/>
        <v>0</v>
      </c>
      <c r="DH200" s="7">
        <f t="shared" ref="DH200:DJ200" si="1031">IFERROR(DH505,"-")</f>
        <v>0</v>
      </c>
      <c r="DI200" s="7">
        <f t="shared" si="1031"/>
        <v>0</v>
      </c>
      <c r="DJ200" s="7">
        <f t="shared" si="1031"/>
        <v>0</v>
      </c>
      <c r="DK200" s="64">
        <f t="shared" ref="DK200:DS200" si="1032">IFERROR(VALUE(DK505),"-")</f>
        <v>0</v>
      </c>
      <c r="DL200" s="64">
        <f t="shared" si="1032"/>
        <v>0</v>
      </c>
      <c r="DM200" s="64">
        <f t="shared" si="1032"/>
        <v>0</v>
      </c>
      <c r="DN200" s="64">
        <f t="shared" si="1032"/>
        <v>0</v>
      </c>
      <c r="DO200" s="64">
        <f t="shared" si="1032"/>
        <v>0</v>
      </c>
      <c r="DP200" s="64">
        <f t="shared" si="1032"/>
        <v>0</v>
      </c>
      <c r="DQ200" s="64">
        <f t="shared" si="1032"/>
        <v>0</v>
      </c>
      <c r="DR200" s="64">
        <f t="shared" si="1032"/>
        <v>0</v>
      </c>
      <c r="DS200" s="64">
        <f t="shared" si="1032"/>
        <v>0</v>
      </c>
      <c r="DT200">
        <f t="shared" si="1000"/>
        <v>0</v>
      </c>
      <c r="DU200" s="10">
        <f t="shared" si="1001"/>
        <v>0</v>
      </c>
    </row>
    <row r="201" spans="1:125" x14ac:dyDescent="0.25">
      <c r="A201" t="s">
        <v>70</v>
      </c>
      <c r="B201" s="2">
        <v>44781</v>
      </c>
      <c r="C201" s="1">
        <v>40</v>
      </c>
      <c r="D201">
        <v>142</v>
      </c>
      <c r="G201">
        <f t="array" ref="G201">IFERROR(INDEX($A$2:$A$700,MATCH(0,COUNTIF($G$1:G200,$A$2:$A$700),0)),"")</f>
        <v>0</v>
      </c>
      <c r="M201" s="3"/>
      <c r="N201" s="3"/>
      <c r="O201" s="3">
        <f t="shared" si="1002"/>
        <v>0</v>
      </c>
      <c r="P201" s="7">
        <f t="shared" ref="P201:CA201" si="1033">IFERROR(VALUE(P506),"-")</f>
        <v>0</v>
      </c>
      <c r="Q201" s="7">
        <f t="shared" si="1033"/>
        <v>0</v>
      </c>
      <c r="R201" s="7">
        <f t="shared" si="1033"/>
        <v>0</v>
      </c>
      <c r="S201" s="7">
        <f t="shared" si="1033"/>
        <v>0</v>
      </c>
      <c r="T201" s="11">
        <f t="shared" si="1033"/>
        <v>0</v>
      </c>
      <c r="U201" s="11">
        <f t="shared" si="1033"/>
        <v>0</v>
      </c>
      <c r="V201" s="11">
        <f t="shared" si="1033"/>
        <v>0</v>
      </c>
      <c r="W201" s="11">
        <f t="shared" si="1033"/>
        <v>0</v>
      </c>
      <c r="X201" s="14">
        <f t="shared" si="1033"/>
        <v>0</v>
      </c>
      <c r="Y201" s="14">
        <f t="shared" si="1033"/>
        <v>0</v>
      </c>
      <c r="Z201" s="14">
        <f t="shared" si="1033"/>
        <v>0</v>
      </c>
      <c r="AA201" s="14">
        <f t="shared" si="1033"/>
        <v>0</v>
      </c>
      <c r="AB201" s="15">
        <f t="shared" si="1033"/>
        <v>0</v>
      </c>
      <c r="AC201" s="15">
        <f t="shared" si="1033"/>
        <v>0</v>
      </c>
      <c r="AD201" s="13">
        <f t="shared" si="1033"/>
        <v>0</v>
      </c>
      <c r="AE201" s="13">
        <f t="shared" si="1033"/>
        <v>0</v>
      </c>
      <c r="AF201" s="12">
        <f t="shared" si="1033"/>
        <v>0</v>
      </c>
      <c r="AG201" s="12">
        <f t="shared" si="1033"/>
        <v>0</v>
      </c>
      <c r="AH201" s="13">
        <f t="shared" si="1033"/>
        <v>0</v>
      </c>
      <c r="AI201" s="13">
        <f t="shared" si="1033"/>
        <v>0</v>
      </c>
      <c r="AJ201" s="11">
        <f t="shared" si="1033"/>
        <v>0</v>
      </c>
      <c r="AK201" s="11">
        <f t="shared" si="1033"/>
        <v>0</v>
      </c>
      <c r="AL201" s="11">
        <f t="shared" si="1033"/>
        <v>0</v>
      </c>
      <c r="AM201" s="11">
        <f t="shared" si="1033"/>
        <v>0</v>
      </c>
      <c r="AN201" s="11">
        <f t="shared" si="1033"/>
        <v>0</v>
      </c>
      <c r="AO201" s="11">
        <f t="shared" si="1033"/>
        <v>0</v>
      </c>
      <c r="AP201" s="11">
        <f t="shared" si="1033"/>
        <v>0</v>
      </c>
      <c r="AQ201" s="11">
        <f t="shared" si="1033"/>
        <v>0</v>
      </c>
      <c r="AR201" s="16">
        <f t="shared" si="1033"/>
        <v>0</v>
      </c>
      <c r="AS201" s="16">
        <f t="shared" si="1033"/>
        <v>0</v>
      </c>
      <c r="AT201" s="16">
        <f t="shared" si="1033"/>
        <v>0</v>
      </c>
      <c r="AU201" s="7">
        <f t="shared" si="1033"/>
        <v>0</v>
      </c>
      <c r="AV201" s="7">
        <f t="shared" si="1033"/>
        <v>0</v>
      </c>
      <c r="AW201" s="7">
        <f t="shared" si="1033"/>
        <v>0</v>
      </c>
      <c r="AX201" s="7">
        <f t="shared" si="1033"/>
        <v>0</v>
      </c>
      <c r="AY201" s="11">
        <f t="shared" si="1033"/>
        <v>0</v>
      </c>
      <c r="AZ201" s="16">
        <f t="shared" si="1033"/>
        <v>0</v>
      </c>
      <c r="BA201" s="16">
        <f t="shared" si="1033"/>
        <v>0</v>
      </c>
      <c r="BB201" s="16">
        <f t="shared" si="1033"/>
        <v>0</v>
      </c>
      <c r="BC201" s="11">
        <f t="shared" si="1033"/>
        <v>0</v>
      </c>
      <c r="BD201" s="11">
        <f t="shared" si="1033"/>
        <v>0</v>
      </c>
      <c r="BE201" s="11">
        <f t="shared" si="1033"/>
        <v>0</v>
      </c>
      <c r="BF201" s="11">
        <f t="shared" si="1033"/>
        <v>0</v>
      </c>
      <c r="BG201" s="11">
        <f t="shared" si="1033"/>
        <v>0</v>
      </c>
      <c r="BH201" s="11">
        <f t="shared" si="1033"/>
        <v>0</v>
      </c>
      <c r="BI201" s="13">
        <f t="shared" si="1033"/>
        <v>0</v>
      </c>
      <c r="BJ201" s="13">
        <f t="shared" si="1033"/>
        <v>0</v>
      </c>
      <c r="BK201" s="11">
        <f t="shared" si="1033"/>
        <v>0</v>
      </c>
      <c r="BL201" s="12">
        <f t="shared" si="1033"/>
        <v>0</v>
      </c>
      <c r="BM201" s="12">
        <f t="shared" si="1033"/>
        <v>0</v>
      </c>
      <c r="BN201" s="13">
        <f t="shared" si="1033"/>
        <v>0</v>
      </c>
      <c r="BO201" s="13">
        <f t="shared" si="1033"/>
        <v>0</v>
      </c>
      <c r="BP201" s="15">
        <f t="shared" si="1033"/>
        <v>0</v>
      </c>
      <c r="BQ201" s="15">
        <f t="shared" si="1033"/>
        <v>0</v>
      </c>
      <c r="BR201" s="14">
        <f t="shared" si="1033"/>
        <v>0</v>
      </c>
      <c r="BS201" s="14">
        <f t="shared" si="1033"/>
        <v>0</v>
      </c>
      <c r="BT201" s="14">
        <f t="shared" si="1033"/>
        <v>0</v>
      </c>
      <c r="BU201" s="14">
        <f t="shared" si="1033"/>
        <v>0</v>
      </c>
      <c r="BV201" s="11">
        <f t="shared" si="1033"/>
        <v>0</v>
      </c>
      <c r="BW201" s="11">
        <f t="shared" si="1033"/>
        <v>0</v>
      </c>
      <c r="BX201" s="11">
        <f t="shared" si="1033"/>
        <v>0</v>
      </c>
      <c r="BY201" s="11">
        <f t="shared" si="1033"/>
        <v>0</v>
      </c>
      <c r="BZ201" s="7">
        <f t="shared" si="1033"/>
        <v>0</v>
      </c>
      <c r="CA201" s="7">
        <f t="shared" si="1033"/>
        <v>0</v>
      </c>
      <c r="CB201" s="7">
        <f t="shared" ref="CB201:CP201" si="1034">IFERROR(VALUE(CB506),"-")</f>
        <v>0</v>
      </c>
      <c r="CC201" s="7">
        <f t="shared" si="1034"/>
        <v>0</v>
      </c>
      <c r="CD201" s="7">
        <f t="shared" si="1034"/>
        <v>0</v>
      </c>
      <c r="CE201" s="3">
        <f t="shared" si="1034"/>
        <v>0</v>
      </c>
      <c r="CF201" s="7">
        <f t="shared" si="1034"/>
        <v>0</v>
      </c>
      <c r="CG201" s="3">
        <f t="shared" si="1034"/>
        <v>0</v>
      </c>
      <c r="CH201" s="7">
        <f t="shared" si="1034"/>
        <v>0</v>
      </c>
      <c r="CI201" s="7">
        <f t="shared" si="1034"/>
        <v>0</v>
      </c>
      <c r="CJ201" s="3">
        <f t="shared" si="1034"/>
        <v>0</v>
      </c>
      <c r="CK201" s="7">
        <f t="shared" si="1034"/>
        <v>0</v>
      </c>
      <c r="CL201" s="3">
        <f t="shared" si="1034"/>
        <v>0</v>
      </c>
      <c r="CM201" s="7">
        <f t="shared" si="1034"/>
        <v>0</v>
      </c>
      <c r="CN201" s="10">
        <f t="shared" si="1034"/>
        <v>0</v>
      </c>
      <c r="CO201" s="10">
        <f t="shared" si="1034"/>
        <v>0</v>
      </c>
      <c r="CP201" s="7">
        <f t="shared" si="1034"/>
        <v>0</v>
      </c>
      <c r="CQ201" s="7">
        <f t="shared" ref="CQ201" si="1035">IFERROR(CQ506,"-")</f>
        <v>0</v>
      </c>
      <c r="CR201" s="10">
        <f t="shared" si="982"/>
        <v>0</v>
      </c>
      <c r="CS201" s="7">
        <f t="shared" si="982"/>
        <v>0</v>
      </c>
      <c r="CT201" s="7">
        <f t="shared" si="982"/>
        <v>0</v>
      </c>
      <c r="CU201" s="7">
        <f t="shared" si="982"/>
        <v>0</v>
      </c>
      <c r="CV201" s="7">
        <f t="shared" si="982"/>
        <v>0</v>
      </c>
      <c r="CW201" s="7">
        <f t="shared" si="982"/>
        <v>0</v>
      </c>
      <c r="CX201" s="7">
        <f t="shared" si="982"/>
        <v>0</v>
      </c>
      <c r="CY201" s="7">
        <f t="shared" si="982"/>
        <v>0</v>
      </c>
      <c r="CZ201" s="7">
        <f t="shared" si="982"/>
        <v>0</v>
      </c>
      <c r="DA201" s="7">
        <f t="shared" si="982"/>
        <v>0</v>
      </c>
      <c r="DB201" s="7">
        <f t="shared" si="982"/>
        <v>0</v>
      </c>
      <c r="DC201" s="7">
        <f t="shared" si="982"/>
        <v>0</v>
      </c>
      <c r="DD201" s="7">
        <f t="shared" si="982"/>
        <v>0</v>
      </c>
      <c r="DE201" s="7">
        <f t="shared" si="982"/>
        <v>0</v>
      </c>
      <c r="DF201" s="7">
        <f t="shared" si="982"/>
        <v>0</v>
      </c>
      <c r="DG201" s="7">
        <f t="shared" si="982"/>
        <v>0</v>
      </c>
      <c r="DH201" s="7">
        <f t="shared" ref="DH201:DJ201" si="1036">IFERROR(DH506,"-")</f>
        <v>0</v>
      </c>
      <c r="DI201" s="7">
        <f t="shared" si="1036"/>
        <v>0</v>
      </c>
      <c r="DJ201" s="7">
        <f t="shared" si="1036"/>
        <v>0</v>
      </c>
      <c r="DK201" s="64">
        <f t="shared" ref="DK201:DS201" si="1037">IFERROR(VALUE(DK506),"-")</f>
        <v>0</v>
      </c>
      <c r="DL201" s="64">
        <f t="shared" si="1037"/>
        <v>0</v>
      </c>
      <c r="DM201" s="64">
        <f t="shared" si="1037"/>
        <v>0</v>
      </c>
      <c r="DN201" s="64">
        <f t="shared" si="1037"/>
        <v>0</v>
      </c>
      <c r="DO201" s="64">
        <f t="shared" si="1037"/>
        <v>0</v>
      </c>
      <c r="DP201" s="64">
        <f t="shared" si="1037"/>
        <v>0</v>
      </c>
      <c r="DQ201" s="64">
        <f t="shared" si="1037"/>
        <v>0</v>
      </c>
      <c r="DR201" s="64">
        <f t="shared" si="1037"/>
        <v>0</v>
      </c>
      <c r="DS201" s="64">
        <f t="shared" si="1037"/>
        <v>0</v>
      </c>
      <c r="DT201">
        <f t="shared" si="1000"/>
        <v>0</v>
      </c>
      <c r="DU201" s="10">
        <f t="shared" si="1001"/>
        <v>0</v>
      </c>
    </row>
    <row r="202" spans="1:125" x14ac:dyDescent="0.25">
      <c r="A202" t="s">
        <v>70</v>
      </c>
      <c r="B202" s="2">
        <v>44789</v>
      </c>
      <c r="C202" s="1">
        <v>40</v>
      </c>
      <c r="D202">
        <v>142</v>
      </c>
      <c r="G202" t="str">
        <f t="array" ref="G202">IFERROR(INDEX($A$2:$A$700,MATCH(0,COUNTIF($G$1:G201,$A$2:$A$700),0)),"")</f>
        <v/>
      </c>
      <c r="M202" s="3"/>
      <c r="N202" s="3"/>
      <c r="O202" s="3">
        <f t="shared" si="1002"/>
        <v>0</v>
      </c>
      <c r="P202" s="7">
        <f t="shared" ref="P202:CA202" si="1038">IFERROR(VALUE(P507),"-")</f>
        <v>0</v>
      </c>
      <c r="Q202" s="7">
        <f t="shared" si="1038"/>
        <v>0</v>
      </c>
      <c r="R202" s="7">
        <f t="shared" si="1038"/>
        <v>0</v>
      </c>
      <c r="S202" s="7">
        <f t="shared" si="1038"/>
        <v>0</v>
      </c>
      <c r="T202" s="11">
        <f t="shared" si="1038"/>
        <v>0</v>
      </c>
      <c r="U202" s="11">
        <f t="shared" si="1038"/>
        <v>0</v>
      </c>
      <c r="V202" s="11">
        <f t="shared" si="1038"/>
        <v>0</v>
      </c>
      <c r="W202" s="11">
        <f t="shared" si="1038"/>
        <v>0</v>
      </c>
      <c r="X202" s="14">
        <f t="shared" si="1038"/>
        <v>0</v>
      </c>
      <c r="Y202" s="14">
        <f t="shared" si="1038"/>
        <v>0</v>
      </c>
      <c r="Z202" s="14">
        <f t="shared" si="1038"/>
        <v>0</v>
      </c>
      <c r="AA202" s="14">
        <f t="shared" si="1038"/>
        <v>0</v>
      </c>
      <c r="AB202" s="15">
        <f t="shared" si="1038"/>
        <v>0</v>
      </c>
      <c r="AC202" s="15">
        <f t="shared" si="1038"/>
        <v>0</v>
      </c>
      <c r="AD202" s="13">
        <f t="shared" si="1038"/>
        <v>0</v>
      </c>
      <c r="AE202" s="13">
        <f t="shared" si="1038"/>
        <v>0</v>
      </c>
      <c r="AF202" s="12">
        <f t="shared" si="1038"/>
        <v>0</v>
      </c>
      <c r="AG202" s="12">
        <f t="shared" si="1038"/>
        <v>0</v>
      </c>
      <c r="AH202" s="13">
        <f t="shared" si="1038"/>
        <v>0</v>
      </c>
      <c r="AI202" s="13">
        <f t="shared" si="1038"/>
        <v>0</v>
      </c>
      <c r="AJ202" s="11">
        <f t="shared" si="1038"/>
        <v>0</v>
      </c>
      <c r="AK202" s="11">
        <f t="shared" si="1038"/>
        <v>0</v>
      </c>
      <c r="AL202" s="11">
        <f t="shared" si="1038"/>
        <v>0</v>
      </c>
      <c r="AM202" s="11">
        <f t="shared" si="1038"/>
        <v>0</v>
      </c>
      <c r="AN202" s="11">
        <f t="shared" si="1038"/>
        <v>0</v>
      </c>
      <c r="AO202" s="11">
        <f t="shared" si="1038"/>
        <v>0</v>
      </c>
      <c r="AP202" s="11">
        <f t="shared" si="1038"/>
        <v>0</v>
      </c>
      <c r="AQ202" s="11">
        <f t="shared" si="1038"/>
        <v>0</v>
      </c>
      <c r="AR202" s="16">
        <f t="shared" si="1038"/>
        <v>0</v>
      </c>
      <c r="AS202" s="16">
        <f t="shared" si="1038"/>
        <v>0</v>
      </c>
      <c r="AT202" s="16">
        <f t="shared" si="1038"/>
        <v>0</v>
      </c>
      <c r="AU202" s="7">
        <f t="shared" si="1038"/>
        <v>0</v>
      </c>
      <c r="AV202" s="7">
        <f t="shared" si="1038"/>
        <v>0</v>
      </c>
      <c r="AW202" s="7">
        <f t="shared" si="1038"/>
        <v>0</v>
      </c>
      <c r="AX202" s="7">
        <f t="shared" si="1038"/>
        <v>0</v>
      </c>
      <c r="AY202" s="11">
        <f t="shared" si="1038"/>
        <v>0</v>
      </c>
      <c r="AZ202" s="16">
        <f t="shared" si="1038"/>
        <v>0</v>
      </c>
      <c r="BA202" s="16">
        <f t="shared" si="1038"/>
        <v>0</v>
      </c>
      <c r="BB202" s="16">
        <f t="shared" si="1038"/>
        <v>0</v>
      </c>
      <c r="BC202" s="11">
        <f t="shared" si="1038"/>
        <v>0</v>
      </c>
      <c r="BD202" s="11">
        <f t="shared" si="1038"/>
        <v>0</v>
      </c>
      <c r="BE202" s="11">
        <f t="shared" si="1038"/>
        <v>0</v>
      </c>
      <c r="BF202" s="11">
        <f t="shared" si="1038"/>
        <v>0</v>
      </c>
      <c r="BG202" s="11">
        <f t="shared" si="1038"/>
        <v>0</v>
      </c>
      <c r="BH202" s="11">
        <f t="shared" si="1038"/>
        <v>0</v>
      </c>
      <c r="BI202" s="13">
        <f t="shared" si="1038"/>
        <v>0</v>
      </c>
      <c r="BJ202" s="13">
        <f t="shared" si="1038"/>
        <v>0</v>
      </c>
      <c r="BK202" s="11">
        <f t="shared" si="1038"/>
        <v>0</v>
      </c>
      <c r="BL202" s="12">
        <f t="shared" si="1038"/>
        <v>0</v>
      </c>
      <c r="BM202" s="12">
        <f t="shared" si="1038"/>
        <v>0</v>
      </c>
      <c r="BN202" s="13">
        <f t="shared" si="1038"/>
        <v>0</v>
      </c>
      <c r="BO202" s="13">
        <f t="shared" si="1038"/>
        <v>0</v>
      </c>
      <c r="BP202" s="15">
        <f t="shared" si="1038"/>
        <v>0</v>
      </c>
      <c r="BQ202" s="15">
        <f t="shared" si="1038"/>
        <v>0</v>
      </c>
      <c r="BR202" s="14">
        <f t="shared" si="1038"/>
        <v>0</v>
      </c>
      <c r="BS202" s="14">
        <f t="shared" si="1038"/>
        <v>0</v>
      </c>
      <c r="BT202" s="14">
        <f t="shared" si="1038"/>
        <v>0</v>
      </c>
      <c r="BU202" s="14">
        <f t="shared" si="1038"/>
        <v>0</v>
      </c>
      <c r="BV202" s="11">
        <f t="shared" si="1038"/>
        <v>0</v>
      </c>
      <c r="BW202" s="11">
        <f t="shared" si="1038"/>
        <v>0</v>
      </c>
      <c r="BX202" s="11">
        <f t="shared" si="1038"/>
        <v>0</v>
      </c>
      <c r="BY202" s="11">
        <f t="shared" si="1038"/>
        <v>0</v>
      </c>
      <c r="BZ202" s="7">
        <f t="shared" si="1038"/>
        <v>0</v>
      </c>
      <c r="CA202" s="7">
        <f t="shared" si="1038"/>
        <v>0</v>
      </c>
      <c r="CB202" s="7">
        <f t="shared" ref="CB202:CP202" si="1039">IFERROR(VALUE(CB507),"-")</f>
        <v>0</v>
      </c>
      <c r="CC202" s="7">
        <f t="shared" si="1039"/>
        <v>0</v>
      </c>
      <c r="CD202" s="7">
        <f t="shared" si="1039"/>
        <v>0</v>
      </c>
      <c r="CE202" s="3">
        <f t="shared" si="1039"/>
        <v>0</v>
      </c>
      <c r="CF202" s="7">
        <f t="shared" si="1039"/>
        <v>0</v>
      </c>
      <c r="CG202" s="3">
        <f t="shared" si="1039"/>
        <v>0</v>
      </c>
      <c r="CH202" s="7">
        <f t="shared" si="1039"/>
        <v>0</v>
      </c>
      <c r="CI202" s="7">
        <f t="shared" si="1039"/>
        <v>0</v>
      </c>
      <c r="CJ202" s="3">
        <f t="shared" si="1039"/>
        <v>0</v>
      </c>
      <c r="CK202" s="7">
        <f t="shared" si="1039"/>
        <v>0</v>
      </c>
      <c r="CL202" s="3">
        <f t="shared" si="1039"/>
        <v>0</v>
      </c>
      <c r="CM202" s="7">
        <f t="shared" si="1039"/>
        <v>0</v>
      </c>
      <c r="CN202" s="10">
        <f t="shared" si="1039"/>
        <v>0</v>
      </c>
      <c r="CO202" s="10">
        <f t="shared" si="1039"/>
        <v>0</v>
      </c>
      <c r="CP202" s="7">
        <f t="shared" si="1039"/>
        <v>0</v>
      </c>
      <c r="CQ202" s="7">
        <f t="shared" ref="CQ202" si="1040">IFERROR(CQ507,"-")</f>
        <v>0</v>
      </c>
      <c r="CR202" s="10">
        <f t="shared" si="982"/>
        <v>0</v>
      </c>
      <c r="CS202" s="7">
        <f t="shared" si="982"/>
        <v>0</v>
      </c>
      <c r="CT202" s="7">
        <f t="shared" si="982"/>
        <v>0</v>
      </c>
      <c r="CU202" s="7">
        <f t="shared" si="982"/>
        <v>0</v>
      </c>
      <c r="CV202" s="7">
        <f t="shared" si="982"/>
        <v>0</v>
      </c>
      <c r="CW202" s="7">
        <f t="shared" si="982"/>
        <v>0</v>
      </c>
      <c r="CX202" s="7">
        <f t="shared" si="982"/>
        <v>0</v>
      </c>
      <c r="CY202" s="7">
        <f t="shared" si="982"/>
        <v>0</v>
      </c>
      <c r="CZ202" s="7">
        <f t="shared" si="982"/>
        <v>0</v>
      </c>
      <c r="DA202" s="7">
        <f t="shared" si="982"/>
        <v>0</v>
      </c>
      <c r="DB202" s="7">
        <f t="shared" si="982"/>
        <v>0</v>
      </c>
      <c r="DC202" s="7">
        <f t="shared" si="982"/>
        <v>0</v>
      </c>
      <c r="DD202" s="7">
        <f t="shared" si="982"/>
        <v>0</v>
      </c>
      <c r="DE202" s="7">
        <f t="shared" si="982"/>
        <v>0</v>
      </c>
      <c r="DF202" s="7">
        <f t="shared" si="982"/>
        <v>0</v>
      </c>
      <c r="DG202" s="7">
        <f t="shared" si="982"/>
        <v>0</v>
      </c>
      <c r="DH202" s="7">
        <f t="shared" ref="DH202:DJ202" si="1041">IFERROR(DH507,"-")</f>
        <v>0</v>
      </c>
      <c r="DI202" s="7">
        <f t="shared" si="1041"/>
        <v>0</v>
      </c>
      <c r="DJ202" s="7">
        <f t="shared" si="1041"/>
        <v>0</v>
      </c>
      <c r="DK202" s="64">
        <f t="shared" ref="DK202:DS202" si="1042">IFERROR(VALUE(DK507),"-")</f>
        <v>0</v>
      </c>
      <c r="DL202" s="64">
        <f t="shared" si="1042"/>
        <v>0</v>
      </c>
      <c r="DM202" s="64">
        <f t="shared" si="1042"/>
        <v>0</v>
      </c>
      <c r="DN202" s="64">
        <f t="shared" si="1042"/>
        <v>0</v>
      </c>
      <c r="DO202" s="64">
        <f t="shared" si="1042"/>
        <v>0</v>
      </c>
      <c r="DP202" s="64">
        <f t="shared" si="1042"/>
        <v>0</v>
      </c>
      <c r="DQ202" s="64">
        <f t="shared" si="1042"/>
        <v>0</v>
      </c>
      <c r="DR202" s="64">
        <f t="shared" si="1042"/>
        <v>0</v>
      </c>
      <c r="DS202" s="64">
        <f t="shared" si="1042"/>
        <v>0</v>
      </c>
      <c r="DT202">
        <f t="shared" si="1000"/>
        <v>0</v>
      </c>
      <c r="DU202" s="10">
        <f t="shared" si="1001"/>
        <v>0</v>
      </c>
    </row>
    <row r="203" spans="1:125" x14ac:dyDescent="0.25">
      <c r="A203" t="s">
        <v>70</v>
      </c>
      <c r="B203" s="2">
        <v>44796</v>
      </c>
      <c r="C203" s="1">
        <v>40</v>
      </c>
      <c r="D203">
        <v>142</v>
      </c>
      <c r="G203" t="str">
        <f t="array" ref="G203">IFERROR(INDEX($A$2:$A$700,MATCH(0,COUNTIF($G$1:G202,$A$2:$A$700),0)),"")</f>
        <v/>
      </c>
      <c r="M203" s="3"/>
      <c r="N203" s="3"/>
      <c r="O203" s="3">
        <f t="shared" si="1002"/>
        <v>0</v>
      </c>
      <c r="P203" s="7">
        <f t="shared" ref="P203:CA203" si="1043">IFERROR(VALUE(P508),"-")</f>
        <v>0</v>
      </c>
      <c r="Q203" s="7">
        <f t="shared" si="1043"/>
        <v>0</v>
      </c>
      <c r="R203" s="7">
        <f t="shared" si="1043"/>
        <v>0</v>
      </c>
      <c r="S203" s="7">
        <f t="shared" si="1043"/>
        <v>0</v>
      </c>
      <c r="T203" s="11">
        <f t="shared" si="1043"/>
        <v>0</v>
      </c>
      <c r="U203" s="11">
        <f t="shared" si="1043"/>
        <v>0</v>
      </c>
      <c r="V203" s="11">
        <f t="shared" si="1043"/>
        <v>0</v>
      </c>
      <c r="W203" s="11">
        <f t="shared" si="1043"/>
        <v>0</v>
      </c>
      <c r="X203" s="14">
        <f t="shared" si="1043"/>
        <v>0</v>
      </c>
      <c r="Y203" s="14">
        <f t="shared" si="1043"/>
        <v>0</v>
      </c>
      <c r="Z203" s="14">
        <f t="shared" si="1043"/>
        <v>0</v>
      </c>
      <c r="AA203" s="14">
        <f t="shared" si="1043"/>
        <v>0</v>
      </c>
      <c r="AB203" s="15">
        <f t="shared" si="1043"/>
        <v>0</v>
      </c>
      <c r="AC203" s="15">
        <f t="shared" si="1043"/>
        <v>0</v>
      </c>
      <c r="AD203" s="13">
        <f t="shared" si="1043"/>
        <v>0</v>
      </c>
      <c r="AE203" s="13">
        <f t="shared" si="1043"/>
        <v>0</v>
      </c>
      <c r="AF203" s="12">
        <f t="shared" si="1043"/>
        <v>0</v>
      </c>
      <c r="AG203" s="12">
        <f t="shared" si="1043"/>
        <v>0</v>
      </c>
      <c r="AH203" s="13">
        <f t="shared" si="1043"/>
        <v>0</v>
      </c>
      <c r="AI203" s="13">
        <f t="shared" si="1043"/>
        <v>0</v>
      </c>
      <c r="AJ203" s="11">
        <f t="shared" si="1043"/>
        <v>0</v>
      </c>
      <c r="AK203" s="11">
        <f t="shared" si="1043"/>
        <v>0</v>
      </c>
      <c r="AL203" s="11">
        <f t="shared" si="1043"/>
        <v>0</v>
      </c>
      <c r="AM203" s="11">
        <f t="shared" si="1043"/>
        <v>0</v>
      </c>
      <c r="AN203" s="11">
        <f t="shared" si="1043"/>
        <v>0</v>
      </c>
      <c r="AO203" s="11">
        <f t="shared" si="1043"/>
        <v>0</v>
      </c>
      <c r="AP203" s="11">
        <f t="shared" si="1043"/>
        <v>0</v>
      </c>
      <c r="AQ203" s="11">
        <f t="shared" si="1043"/>
        <v>0</v>
      </c>
      <c r="AR203" s="16">
        <f t="shared" si="1043"/>
        <v>0</v>
      </c>
      <c r="AS203" s="16">
        <f t="shared" si="1043"/>
        <v>0</v>
      </c>
      <c r="AT203" s="16">
        <f t="shared" si="1043"/>
        <v>0</v>
      </c>
      <c r="AU203" s="7">
        <f t="shared" si="1043"/>
        <v>0</v>
      </c>
      <c r="AV203" s="7">
        <f t="shared" si="1043"/>
        <v>0</v>
      </c>
      <c r="AW203" s="7">
        <f t="shared" si="1043"/>
        <v>0</v>
      </c>
      <c r="AX203" s="7">
        <f t="shared" si="1043"/>
        <v>0</v>
      </c>
      <c r="AY203" s="11">
        <f t="shared" si="1043"/>
        <v>0</v>
      </c>
      <c r="AZ203" s="16">
        <f t="shared" si="1043"/>
        <v>0</v>
      </c>
      <c r="BA203" s="16">
        <f t="shared" si="1043"/>
        <v>0</v>
      </c>
      <c r="BB203" s="16">
        <f t="shared" si="1043"/>
        <v>0</v>
      </c>
      <c r="BC203" s="11">
        <f t="shared" si="1043"/>
        <v>0</v>
      </c>
      <c r="BD203" s="11">
        <f t="shared" si="1043"/>
        <v>0</v>
      </c>
      <c r="BE203" s="11">
        <f t="shared" si="1043"/>
        <v>0</v>
      </c>
      <c r="BF203" s="11">
        <f t="shared" si="1043"/>
        <v>0</v>
      </c>
      <c r="BG203" s="11">
        <f t="shared" si="1043"/>
        <v>0</v>
      </c>
      <c r="BH203" s="11">
        <f t="shared" si="1043"/>
        <v>0</v>
      </c>
      <c r="BI203" s="13">
        <f t="shared" si="1043"/>
        <v>0</v>
      </c>
      <c r="BJ203" s="13">
        <f t="shared" si="1043"/>
        <v>0</v>
      </c>
      <c r="BK203" s="11">
        <f t="shared" si="1043"/>
        <v>0</v>
      </c>
      <c r="BL203" s="12">
        <f t="shared" si="1043"/>
        <v>0</v>
      </c>
      <c r="BM203" s="12">
        <f t="shared" si="1043"/>
        <v>0</v>
      </c>
      <c r="BN203" s="13">
        <f t="shared" si="1043"/>
        <v>0</v>
      </c>
      <c r="BO203" s="13">
        <f t="shared" si="1043"/>
        <v>0</v>
      </c>
      <c r="BP203" s="15">
        <f t="shared" si="1043"/>
        <v>0</v>
      </c>
      <c r="BQ203" s="15">
        <f t="shared" si="1043"/>
        <v>0</v>
      </c>
      <c r="BR203" s="14">
        <f t="shared" si="1043"/>
        <v>0</v>
      </c>
      <c r="BS203" s="14">
        <f t="shared" si="1043"/>
        <v>0</v>
      </c>
      <c r="BT203" s="14">
        <f t="shared" si="1043"/>
        <v>0</v>
      </c>
      <c r="BU203" s="14">
        <f t="shared" si="1043"/>
        <v>0</v>
      </c>
      <c r="BV203" s="11">
        <f t="shared" si="1043"/>
        <v>0</v>
      </c>
      <c r="BW203" s="11">
        <f t="shared" si="1043"/>
        <v>0</v>
      </c>
      <c r="BX203" s="11">
        <f t="shared" si="1043"/>
        <v>0</v>
      </c>
      <c r="BY203" s="11">
        <f t="shared" si="1043"/>
        <v>0</v>
      </c>
      <c r="BZ203" s="7">
        <f t="shared" si="1043"/>
        <v>0</v>
      </c>
      <c r="CA203" s="7">
        <f t="shared" si="1043"/>
        <v>0</v>
      </c>
      <c r="CB203" s="7">
        <f t="shared" ref="CB203:CP203" si="1044">IFERROR(VALUE(CB508),"-")</f>
        <v>0</v>
      </c>
      <c r="CC203" s="7">
        <f t="shared" si="1044"/>
        <v>0</v>
      </c>
      <c r="CD203" s="7">
        <f t="shared" si="1044"/>
        <v>0</v>
      </c>
      <c r="CE203" s="3">
        <f t="shared" si="1044"/>
        <v>0</v>
      </c>
      <c r="CF203" s="7">
        <f t="shared" si="1044"/>
        <v>0</v>
      </c>
      <c r="CG203" s="3">
        <f t="shared" si="1044"/>
        <v>0</v>
      </c>
      <c r="CH203" s="7">
        <f t="shared" si="1044"/>
        <v>0</v>
      </c>
      <c r="CI203" s="7">
        <f t="shared" si="1044"/>
        <v>0</v>
      </c>
      <c r="CJ203" s="3">
        <f t="shared" si="1044"/>
        <v>0</v>
      </c>
      <c r="CK203" s="7">
        <f t="shared" si="1044"/>
        <v>0</v>
      </c>
      <c r="CL203" s="3">
        <f t="shared" si="1044"/>
        <v>0</v>
      </c>
      <c r="CM203" s="7">
        <f t="shared" si="1044"/>
        <v>0</v>
      </c>
      <c r="CN203" s="10">
        <f t="shared" si="1044"/>
        <v>0</v>
      </c>
      <c r="CO203" s="10">
        <f t="shared" si="1044"/>
        <v>0</v>
      </c>
      <c r="CP203" s="7">
        <f t="shared" si="1044"/>
        <v>0</v>
      </c>
      <c r="CQ203" s="7">
        <f t="shared" ref="CQ203" si="1045">IFERROR(CQ508,"-")</f>
        <v>0</v>
      </c>
      <c r="CR203" s="10">
        <f t="shared" si="982"/>
        <v>0</v>
      </c>
      <c r="CS203" s="7">
        <f t="shared" si="982"/>
        <v>0</v>
      </c>
      <c r="CT203" s="7">
        <f t="shared" si="982"/>
        <v>0</v>
      </c>
      <c r="CU203" s="7">
        <f t="shared" si="982"/>
        <v>0</v>
      </c>
      <c r="CV203" s="7">
        <f t="shared" si="982"/>
        <v>0</v>
      </c>
      <c r="CW203" s="7">
        <f t="shared" si="982"/>
        <v>0</v>
      </c>
      <c r="CX203" s="7">
        <f t="shared" si="982"/>
        <v>0</v>
      </c>
      <c r="CY203" s="7">
        <f t="shared" si="982"/>
        <v>0</v>
      </c>
      <c r="CZ203" s="7">
        <f t="shared" si="982"/>
        <v>0</v>
      </c>
      <c r="DA203" s="7">
        <f t="shared" si="982"/>
        <v>0</v>
      </c>
      <c r="DB203" s="7">
        <f t="shared" si="982"/>
        <v>0</v>
      </c>
      <c r="DC203" s="7">
        <f t="shared" si="982"/>
        <v>0</v>
      </c>
      <c r="DD203" s="7">
        <f t="shared" si="982"/>
        <v>0</v>
      </c>
      <c r="DE203" s="7">
        <f t="shared" si="982"/>
        <v>0</v>
      </c>
      <c r="DF203" s="7">
        <f t="shared" si="982"/>
        <v>0</v>
      </c>
      <c r="DG203" s="7">
        <f t="shared" si="982"/>
        <v>0</v>
      </c>
      <c r="DH203" s="7">
        <f t="shared" ref="DH203:DJ203" si="1046">IFERROR(DH508,"-")</f>
        <v>0</v>
      </c>
      <c r="DI203" s="7">
        <f t="shared" si="1046"/>
        <v>0</v>
      </c>
      <c r="DJ203" s="7">
        <f t="shared" si="1046"/>
        <v>0</v>
      </c>
      <c r="DK203" s="64">
        <f t="shared" ref="DK203:DS203" si="1047">IFERROR(VALUE(DK508),"-")</f>
        <v>0</v>
      </c>
      <c r="DL203" s="64">
        <f t="shared" si="1047"/>
        <v>0</v>
      </c>
      <c r="DM203" s="64">
        <f t="shared" si="1047"/>
        <v>0</v>
      </c>
      <c r="DN203" s="64">
        <f t="shared" si="1047"/>
        <v>0</v>
      </c>
      <c r="DO203" s="64">
        <f t="shared" si="1047"/>
        <v>0</v>
      </c>
      <c r="DP203" s="64">
        <f t="shared" si="1047"/>
        <v>0</v>
      </c>
      <c r="DQ203" s="64">
        <f t="shared" si="1047"/>
        <v>0</v>
      </c>
      <c r="DR203" s="64">
        <f t="shared" si="1047"/>
        <v>0</v>
      </c>
      <c r="DS203" s="64">
        <f t="shared" si="1047"/>
        <v>0</v>
      </c>
      <c r="DT203">
        <f t="shared" si="1000"/>
        <v>0</v>
      </c>
      <c r="DU203" s="10">
        <f t="shared" si="1001"/>
        <v>0</v>
      </c>
    </row>
    <row r="204" spans="1:125" x14ac:dyDescent="0.25">
      <c r="A204" t="s">
        <v>70</v>
      </c>
      <c r="B204" s="2">
        <v>44803</v>
      </c>
      <c r="C204" s="1">
        <v>40</v>
      </c>
      <c r="D204">
        <v>142</v>
      </c>
      <c r="G204" t="str">
        <f t="array" ref="G204">IFERROR(INDEX($A$2:$A$700,MATCH(0,COUNTIF($G$1:G203,$A$2:$A$700),0)),"")</f>
        <v/>
      </c>
      <c r="M204" s="3"/>
      <c r="N204" s="3"/>
      <c r="O204" s="3">
        <f t="shared" si="1002"/>
        <v>0</v>
      </c>
      <c r="P204" s="7">
        <f t="shared" ref="P204:CA204" si="1048">IFERROR(VALUE(P509),"-")</f>
        <v>0</v>
      </c>
      <c r="Q204" s="7">
        <f t="shared" si="1048"/>
        <v>0</v>
      </c>
      <c r="R204" s="7">
        <f t="shared" si="1048"/>
        <v>0</v>
      </c>
      <c r="S204" s="7">
        <f t="shared" si="1048"/>
        <v>0</v>
      </c>
      <c r="T204" s="11">
        <f t="shared" si="1048"/>
        <v>0</v>
      </c>
      <c r="U204" s="11">
        <f t="shared" si="1048"/>
        <v>0</v>
      </c>
      <c r="V204" s="11">
        <f t="shared" si="1048"/>
        <v>0</v>
      </c>
      <c r="W204" s="11">
        <f t="shared" si="1048"/>
        <v>0</v>
      </c>
      <c r="X204" s="14">
        <f t="shared" si="1048"/>
        <v>0</v>
      </c>
      <c r="Y204" s="14">
        <f t="shared" si="1048"/>
        <v>0</v>
      </c>
      <c r="Z204" s="14">
        <f t="shared" si="1048"/>
        <v>0</v>
      </c>
      <c r="AA204" s="14">
        <f t="shared" si="1048"/>
        <v>0</v>
      </c>
      <c r="AB204" s="15">
        <f t="shared" si="1048"/>
        <v>0</v>
      </c>
      <c r="AC204" s="15">
        <f t="shared" si="1048"/>
        <v>0</v>
      </c>
      <c r="AD204" s="13">
        <f t="shared" si="1048"/>
        <v>0</v>
      </c>
      <c r="AE204" s="13">
        <f t="shared" si="1048"/>
        <v>0</v>
      </c>
      <c r="AF204" s="12">
        <f t="shared" si="1048"/>
        <v>0</v>
      </c>
      <c r="AG204" s="12">
        <f t="shared" si="1048"/>
        <v>0</v>
      </c>
      <c r="AH204" s="13">
        <f t="shared" si="1048"/>
        <v>0</v>
      </c>
      <c r="AI204" s="13">
        <f t="shared" si="1048"/>
        <v>0</v>
      </c>
      <c r="AJ204" s="11">
        <f t="shared" si="1048"/>
        <v>0</v>
      </c>
      <c r="AK204" s="11">
        <f t="shared" si="1048"/>
        <v>0</v>
      </c>
      <c r="AL204" s="11">
        <f t="shared" si="1048"/>
        <v>0</v>
      </c>
      <c r="AM204" s="11">
        <f t="shared" si="1048"/>
        <v>0</v>
      </c>
      <c r="AN204" s="11">
        <f t="shared" si="1048"/>
        <v>0</v>
      </c>
      <c r="AO204" s="11">
        <f t="shared" si="1048"/>
        <v>0</v>
      </c>
      <c r="AP204" s="11">
        <f t="shared" si="1048"/>
        <v>0</v>
      </c>
      <c r="AQ204" s="11">
        <f t="shared" si="1048"/>
        <v>0</v>
      </c>
      <c r="AR204" s="16">
        <f t="shared" si="1048"/>
        <v>0</v>
      </c>
      <c r="AS204" s="16">
        <f t="shared" si="1048"/>
        <v>0</v>
      </c>
      <c r="AT204" s="16">
        <f t="shared" si="1048"/>
        <v>0</v>
      </c>
      <c r="AU204" s="7">
        <f t="shared" si="1048"/>
        <v>0</v>
      </c>
      <c r="AV204" s="7">
        <f t="shared" si="1048"/>
        <v>0</v>
      </c>
      <c r="AW204" s="7">
        <f t="shared" si="1048"/>
        <v>0</v>
      </c>
      <c r="AX204" s="7">
        <f t="shared" si="1048"/>
        <v>0</v>
      </c>
      <c r="AY204" s="11">
        <f t="shared" si="1048"/>
        <v>0</v>
      </c>
      <c r="AZ204" s="16">
        <f t="shared" si="1048"/>
        <v>0</v>
      </c>
      <c r="BA204" s="16">
        <f t="shared" si="1048"/>
        <v>0</v>
      </c>
      <c r="BB204" s="16">
        <f t="shared" si="1048"/>
        <v>0</v>
      </c>
      <c r="BC204" s="11">
        <f t="shared" si="1048"/>
        <v>0</v>
      </c>
      <c r="BD204" s="11">
        <f t="shared" si="1048"/>
        <v>0</v>
      </c>
      <c r="BE204" s="11">
        <f t="shared" si="1048"/>
        <v>0</v>
      </c>
      <c r="BF204" s="11">
        <f t="shared" si="1048"/>
        <v>0</v>
      </c>
      <c r="BG204" s="11">
        <f t="shared" si="1048"/>
        <v>0</v>
      </c>
      <c r="BH204" s="11">
        <f t="shared" si="1048"/>
        <v>0</v>
      </c>
      <c r="BI204" s="13">
        <f t="shared" si="1048"/>
        <v>0</v>
      </c>
      <c r="BJ204" s="13">
        <f t="shared" si="1048"/>
        <v>0</v>
      </c>
      <c r="BK204" s="11">
        <f t="shared" si="1048"/>
        <v>0</v>
      </c>
      <c r="BL204" s="12">
        <f t="shared" si="1048"/>
        <v>0</v>
      </c>
      <c r="BM204" s="12">
        <f t="shared" si="1048"/>
        <v>0</v>
      </c>
      <c r="BN204" s="13">
        <f t="shared" si="1048"/>
        <v>0</v>
      </c>
      <c r="BO204" s="13">
        <f t="shared" si="1048"/>
        <v>0</v>
      </c>
      <c r="BP204" s="15">
        <f t="shared" si="1048"/>
        <v>0</v>
      </c>
      <c r="BQ204" s="15">
        <f t="shared" si="1048"/>
        <v>0</v>
      </c>
      <c r="BR204" s="14">
        <f t="shared" si="1048"/>
        <v>0</v>
      </c>
      <c r="BS204" s="14">
        <f t="shared" si="1048"/>
        <v>0</v>
      </c>
      <c r="BT204" s="14">
        <f t="shared" si="1048"/>
        <v>0</v>
      </c>
      <c r="BU204" s="14">
        <f t="shared" si="1048"/>
        <v>0</v>
      </c>
      <c r="BV204" s="11">
        <f t="shared" si="1048"/>
        <v>0</v>
      </c>
      <c r="BW204" s="11">
        <f t="shared" si="1048"/>
        <v>0</v>
      </c>
      <c r="BX204" s="11">
        <f t="shared" si="1048"/>
        <v>0</v>
      </c>
      <c r="BY204" s="11">
        <f t="shared" si="1048"/>
        <v>0</v>
      </c>
      <c r="BZ204" s="7">
        <f t="shared" si="1048"/>
        <v>0</v>
      </c>
      <c r="CA204" s="7">
        <f t="shared" si="1048"/>
        <v>0</v>
      </c>
      <c r="CB204" s="7">
        <f t="shared" ref="CB204:CP204" si="1049">IFERROR(VALUE(CB509),"-")</f>
        <v>0</v>
      </c>
      <c r="CC204" s="7">
        <f t="shared" si="1049"/>
        <v>0</v>
      </c>
      <c r="CD204" s="7">
        <f t="shared" si="1049"/>
        <v>0</v>
      </c>
      <c r="CE204" s="3">
        <f t="shared" si="1049"/>
        <v>0</v>
      </c>
      <c r="CF204" s="7">
        <f t="shared" si="1049"/>
        <v>0</v>
      </c>
      <c r="CG204" s="3">
        <f t="shared" si="1049"/>
        <v>0</v>
      </c>
      <c r="CH204" s="7">
        <f t="shared" si="1049"/>
        <v>0</v>
      </c>
      <c r="CI204" s="7">
        <f t="shared" si="1049"/>
        <v>0</v>
      </c>
      <c r="CJ204" s="3">
        <f t="shared" si="1049"/>
        <v>0</v>
      </c>
      <c r="CK204" s="7">
        <f t="shared" si="1049"/>
        <v>0</v>
      </c>
      <c r="CL204" s="3">
        <f t="shared" si="1049"/>
        <v>0</v>
      </c>
      <c r="CM204" s="7">
        <f t="shared" si="1049"/>
        <v>0</v>
      </c>
      <c r="CN204" s="10">
        <f t="shared" si="1049"/>
        <v>0</v>
      </c>
      <c r="CO204" s="10">
        <f t="shared" si="1049"/>
        <v>0</v>
      </c>
      <c r="CP204" s="7">
        <f t="shared" si="1049"/>
        <v>0</v>
      </c>
      <c r="CQ204" s="7">
        <f t="shared" ref="CQ204" si="1050">IFERROR(CQ509,"-")</f>
        <v>0</v>
      </c>
      <c r="CR204" s="10">
        <f t="shared" si="982"/>
        <v>0</v>
      </c>
      <c r="CS204" s="7">
        <f t="shared" si="982"/>
        <v>0</v>
      </c>
      <c r="CT204" s="7">
        <f t="shared" si="982"/>
        <v>0</v>
      </c>
      <c r="CU204" s="7">
        <f t="shared" si="982"/>
        <v>0</v>
      </c>
      <c r="CV204" s="7">
        <f t="shared" si="982"/>
        <v>0</v>
      </c>
      <c r="CW204" s="7">
        <f t="shared" si="982"/>
        <v>0</v>
      </c>
      <c r="CX204" s="7">
        <f t="shared" si="982"/>
        <v>0</v>
      </c>
      <c r="CY204" s="7">
        <f t="shared" si="982"/>
        <v>0</v>
      </c>
      <c r="CZ204" s="7">
        <f t="shared" si="982"/>
        <v>0</v>
      </c>
      <c r="DA204" s="7">
        <f t="shared" si="982"/>
        <v>0</v>
      </c>
      <c r="DB204" s="7">
        <f t="shared" si="982"/>
        <v>0</v>
      </c>
      <c r="DC204" s="7">
        <f t="shared" si="982"/>
        <v>0</v>
      </c>
      <c r="DD204" s="7">
        <f t="shared" si="982"/>
        <v>0</v>
      </c>
      <c r="DE204" s="7">
        <f t="shared" si="982"/>
        <v>0</v>
      </c>
      <c r="DF204" s="7">
        <f t="shared" si="982"/>
        <v>0</v>
      </c>
      <c r="DG204" s="7">
        <f t="shared" si="982"/>
        <v>0</v>
      </c>
      <c r="DH204" s="7">
        <f t="shared" ref="DH204:DJ204" si="1051">IFERROR(DH509,"-")</f>
        <v>0</v>
      </c>
      <c r="DI204" s="7">
        <f t="shared" si="1051"/>
        <v>0</v>
      </c>
      <c r="DJ204" s="7">
        <f t="shared" si="1051"/>
        <v>0</v>
      </c>
      <c r="DK204" s="64">
        <f t="shared" ref="DK204:DS204" si="1052">IFERROR(VALUE(DK509),"-")</f>
        <v>0</v>
      </c>
      <c r="DL204" s="64">
        <f t="shared" si="1052"/>
        <v>0</v>
      </c>
      <c r="DM204" s="64">
        <f t="shared" si="1052"/>
        <v>0</v>
      </c>
      <c r="DN204" s="64">
        <f t="shared" si="1052"/>
        <v>0</v>
      </c>
      <c r="DO204" s="64">
        <f t="shared" si="1052"/>
        <v>0</v>
      </c>
      <c r="DP204" s="64">
        <f t="shared" si="1052"/>
        <v>0</v>
      </c>
      <c r="DQ204" s="64">
        <f t="shared" si="1052"/>
        <v>0</v>
      </c>
      <c r="DR204" s="64">
        <f t="shared" si="1052"/>
        <v>0</v>
      </c>
      <c r="DS204" s="64">
        <f t="shared" si="1052"/>
        <v>0</v>
      </c>
      <c r="DT204">
        <f t="shared" si="1000"/>
        <v>0</v>
      </c>
      <c r="DU204" s="10">
        <f t="shared" si="1001"/>
        <v>0</v>
      </c>
    </row>
    <row r="205" spans="1:125" x14ac:dyDescent="0.25">
      <c r="A205" t="s">
        <v>70</v>
      </c>
      <c r="B205" s="2">
        <v>44810</v>
      </c>
      <c r="C205" s="1">
        <v>40</v>
      </c>
      <c r="D205">
        <v>142</v>
      </c>
      <c r="G205" t="str">
        <f t="array" ref="G205">IFERROR(INDEX($A$2:$A$700,MATCH(0,COUNTIF($G$1:G204,$A$2:$A$700),0)),"")</f>
        <v/>
      </c>
      <c r="M205" s="3"/>
      <c r="N205" s="3"/>
      <c r="O205" s="3">
        <f t="shared" si="1002"/>
        <v>0</v>
      </c>
      <c r="P205" s="7">
        <f t="shared" ref="P205:CA205" si="1053">IFERROR(VALUE(P510),"-")</f>
        <v>0</v>
      </c>
      <c r="Q205" s="7">
        <f t="shared" si="1053"/>
        <v>0</v>
      </c>
      <c r="R205" s="7">
        <f t="shared" si="1053"/>
        <v>0</v>
      </c>
      <c r="S205" s="7">
        <f t="shared" si="1053"/>
        <v>0</v>
      </c>
      <c r="T205" s="11">
        <f t="shared" si="1053"/>
        <v>0</v>
      </c>
      <c r="U205" s="11">
        <f t="shared" si="1053"/>
        <v>0</v>
      </c>
      <c r="V205" s="11">
        <f t="shared" si="1053"/>
        <v>0</v>
      </c>
      <c r="W205" s="11">
        <f t="shared" si="1053"/>
        <v>0</v>
      </c>
      <c r="X205" s="14">
        <f t="shared" si="1053"/>
        <v>0</v>
      </c>
      <c r="Y205" s="14">
        <f t="shared" si="1053"/>
        <v>0</v>
      </c>
      <c r="Z205" s="14">
        <f t="shared" si="1053"/>
        <v>0</v>
      </c>
      <c r="AA205" s="14">
        <f t="shared" si="1053"/>
        <v>0</v>
      </c>
      <c r="AB205" s="15">
        <f t="shared" si="1053"/>
        <v>0</v>
      </c>
      <c r="AC205" s="15">
        <f t="shared" si="1053"/>
        <v>0</v>
      </c>
      <c r="AD205" s="13">
        <f t="shared" si="1053"/>
        <v>0</v>
      </c>
      <c r="AE205" s="13">
        <f t="shared" si="1053"/>
        <v>0</v>
      </c>
      <c r="AF205" s="12">
        <f t="shared" si="1053"/>
        <v>0</v>
      </c>
      <c r="AG205" s="12">
        <f t="shared" si="1053"/>
        <v>0</v>
      </c>
      <c r="AH205" s="13">
        <f t="shared" si="1053"/>
        <v>0</v>
      </c>
      <c r="AI205" s="13">
        <f t="shared" si="1053"/>
        <v>0</v>
      </c>
      <c r="AJ205" s="11">
        <f t="shared" si="1053"/>
        <v>0</v>
      </c>
      <c r="AK205" s="11">
        <f t="shared" si="1053"/>
        <v>0</v>
      </c>
      <c r="AL205" s="11">
        <f t="shared" si="1053"/>
        <v>0</v>
      </c>
      <c r="AM205" s="11">
        <f t="shared" si="1053"/>
        <v>0</v>
      </c>
      <c r="AN205" s="11">
        <f t="shared" si="1053"/>
        <v>0</v>
      </c>
      <c r="AO205" s="11">
        <f t="shared" si="1053"/>
        <v>0</v>
      </c>
      <c r="AP205" s="11">
        <f t="shared" si="1053"/>
        <v>0</v>
      </c>
      <c r="AQ205" s="11">
        <f t="shared" si="1053"/>
        <v>0</v>
      </c>
      <c r="AR205" s="16">
        <f t="shared" si="1053"/>
        <v>0</v>
      </c>
      <c r="AS205" s="16">
        <f t="shared" si="1053"/>
        <v>0</v>
      </c>
      <c r="AT205" s="16">
        <f t="shared" si="1053"/>
        <v>0</v>
      </c>
      <c r="AU205" s="7">
        <f t="shared" si="1053"/>
        <v>0</v>
      </c>
      <c r="AV205" s="7">
        <f t="shared" si="1053"/>
        <v>0</v>
      </c>
      <c r="AW205" s="7">
        <f t="shared" si="1053"/>
        <v>0</v>
      </c>
      <c r="AX205" s="7">
        <f t="shared" si="1053"/>
        <v>0</v>
      </c>
      <c r="AY205" s="11">
        <f t="shared" si="1053"/>
        <v>0</v>
      </c>
      <c r="AZ205" s="16">
        <f t="shared" si="1053"/>
        <v>0</v>
      </c>
      <c r="BA205" s="16">
        <f t="shared" si="1053"/>
        <v>0</v>
      </c>
      <c r="BB205" s="16">
        <f t="shared" si="1053"/>
        <v>0</v>
      </c>
      <c r="BC205" s="11">
        <f t="shared" si="1053"/>
        <v>0</v>
      </c>
      <c r="BD205" s="11">
        <f t="shared" si="1053"/>
        <v>0</v>
      </c>
      <c r="BE205" s="11">
        <f t="shared" si="1053"/>
        <v>0</v>
      </c>
      <c r="BF205" s="11">
        <f t="shared" si="1053"/>
        <v>0</v>
      </c>
      <c r="BG205" s="11">
        <f t="shared" si="1053"/>
        <v>0</v>
      </c>
      <c r="BH205" s="11">
        <f t="shared" si="1053"/>
        <v>0</v>
      </c>
      <c r="BI205" s="13">
        <f t="shared" si="1053"/>
        <v>0</v>
      </c>
      <c r="BJ205" s="13">
        <f t="shared" si="1053"/>
        <v>0</v>
      </c>
      <c r="BK205" s="11">
        <f t="shared" si="1053"/>
        <v>0</v>
      </c>
      <c r="BL205" s="12">
        <f t="shared" si="1053"/>
        <v>0</v>
      </c>
      <c r="BM205" s="12">
        <f t="shared" si="1053"/>
        <v>0</v>
      </c>
      <c r="BN205" s="13">
        <f t="shared" si="1053"/>
        <v>0</v>
      </c>
      <c r="BO205" s="13">
        <f t="shared" si="1053"/>
        <v>0</v>
      </c>
      <c r="BP205" s="15">
        <f t="shared" si="1053"/>
        <v>0</v>
      </c>
      <c r="BQ205" s="15">
        <f t="shared" si="1053"/>
        <v>0</v>
      </c>
      <c r="BR205" s="14">
        <f t="shared" si="1053"/>
        <v>0</v>
      </c>
      <c r="BS205" s="14">
        <f t="shared" si="1053"/>
        <v>0</v>
      </c>
      <c r="BT205" s="14">
        <f t="shared" si="1053"/>
        <v>0</v>
      </c>
      <c r="BU205" s="14">
        <f t="shared" si="1053"/>
        <v>0</v>
      </c>
      <c r="BV205" s="11">
        <f t="shared" si="1053"/>
        <v>0</v>
      </c>
      <c r="BW205" s="11">
        <f t="shared" si="1053"/>
        <v>0</v>
      </c>
      <c r="BX205" s="11">
        <f t="shared" si="1053"/>
        <v>0</v>
      </c>
      <c r="BY205" s="11">
        <f t="shared" si="1053"/>
        <v>0</v>
      </c>
      <c r="BZ205" s="7">
        <f t="shared" si="1053"/>
        <v>0</v>
      </c>
      <c r="CA205" s="7">
        <f t="shared" si="1053"/>
        <v>0</v>
      </c>
      <c r="CB205" s="7">
        <f t="shared" ref="CB205:CP205" si="1054">IFERROR(VALUE(CB510),"-")</f>
        <v>0</v>
      </c>
      <c r="CC205" s="7">
        <f t="shared" si="1054"/>
        <v>0</v>
      </c>
      <c r="CD205" s="7">
        <f t="shared" si="1054"/>
        <v>0</v>
      </c>
      <c r="CE205" s="3">
        <f t="shared" si="1054"/>
        <v>0</v>
      </c>
      <c r="CF205" s="7">
        <f t="shared" si="1054"/>
        <v>0</v>
      </c>
      <c r="CG205" s="3">
        <f t="shared" si="1054"/>
        <v>0</v>
      </c>
      <c r="CH205" s="7">
        <f t="shared" si="1054"/>
        <v>0</v>
      </c>
      <c r="CI205" s="7">
        <f t="shared" si="1054"/>
        <v>0</v>
      </c>
      <c r="CJ205" s="3">
        <f t="shared" si="1054"/>
        <v>0</v>
      </c>
      <c r="CK205" s="7">
        <f t="shared" si="1054"/>
        <v>0</v>
      </c>
      <c r="CL205" s="3">
        <f t="shared" si="1054"/>
        <v>0</v>
      </c>
      <c r="CM205" s="7">
        <f t="shared" si="1054"/>
        <v>0</v>
      </c>
      <c r="CN205" s="10">
        <f t="shared" si="1054"/>
        <v>0</v>
      </c>
      <c r="CO205" s="10">
        <f t="shared" si="1054"/>
        <v>0</v>
      </c>
      <c r="CP205" s="7">
        <f t="shared" si="1054"/>
        <v>0</v>
      </c>
      <c r="CQ205" s="7">
        <f t="shared" ref="CQ205" si="1055">IFERROR(CQ510,"-")</f>
        <v>0</v>
      </c>
      <c r="CR205" s="10">
        <f t="shared" si="982"/>
        <v>0</v>
      </c>
      <c r="CS205" s="7">
        <f t="shared" si="982"/>
        <v>0</v>
      </c>
      <c r="CT205" s="7">
        <f t="shared" si="982"/>
        <v>0</v>
      </c>
      <c r="CU205" s="7">
        <f t="shared" si="982"/>
        <v>0</v>
      </c>
      <c r="CV205" s="7">
        <f t="shared" si="982"/>
        <v>0</v>
      </c>
      <c r="CW205" s="7">
        <f t="shared" si="982"/>
        <v>0</v>
      </c>
      <c r="CX205" s="7">
        <f t="shared" si="982"/>
        <v>0</v>
      </c>
      <c r="CY205" s="7">
        <f t="shared" si="982"/>
        <v>0</v>
      </c>
      <c r="CZ205" s="7">
        <f t="shared" si="982"/>
        <v>0</v>
      </c>
      <c r="DA205" s="7">
        <f t="shared" si="982"/>
        <v>0</v>
      </c>
      <c r="DB205" s="7">
        <f t="shared" si="982"/>
        <v>0</v>
      </c>
      <c r="DC205" s="7">
        <f t="shared" si="982"/>
        <v>0</v>
      </c>
      <c r="DD205" s="7">
        <f t="shared" si="982"/>
        <v>0</v>
      </c>
      <c r="DE205" s="7">
        <f t="shared" si="982"/>
        <v>0</v>
      </c>
      <c r="DF205" s="7">
        <f t="shared" si="982"/>
        <v>0</v>
      </c>
      <c r="DG205" s="7">
        <f t="shared" si="982"/>
        <v>0</v>
      </c>
      <c r="DH205" s="7">
        <f t="shared" ref="DH205:DJ205" si="1056">IFERROR(DH510,"-")</f>
        <v>0</v>
      </c>
      <c r="DI205" s="7">
        <f t="shared" si="1056"/>
        <v>0</v>
      </c>
      <c r="DJ205" s="7">
        <f t="shared" si="1056"/>
        <v>0</v>
      </c>
      <c r="DK205" s="64">
        <f t="shared" ref="DK205:DS205" si="1057">IFERROR(VALUE(DK510),"-")</f>
        <v>0</v>
      </c>
      <c r="DL205" s="64">
        <f t="shared" si="1057"/>
        <v>0</v>
      </c>
      <c r="DM205" s="64">
        <f t="shared" si="1057"/>
        <v>0</v>
      </c>
      <c r="DN205" s="64">
        <f t="shared" si="1057"/>
        <v>0</v>
      </c>
      <c r="DO205" s="64">
        <f t="shared" si="1057"/>
        <v>0</v>
      </c>
      <c r="DP205" s="64">
        <f t="shared" si="1057"/>
        <v>0</v>
      </c>
      <c r="DQ205" s="64">
        <f t="shared" si="1057"/>
        <v>0</v>
      </c>
      <c r="DR205" s="64">
        <f t="shared" si="1057"/>
        <v>0</v>
      </c>
      <c r="DS205" s="64">
        <f t="shared" si="1057"/>
        <v>0</v>
      </c>
      <c r="DT205">
        <f t="shared" si="1000"/>
        <v>0</v>
      </c>
      <c r="DU205" s="10">
        <f t="shared" si="1001"/>
        <v>0</v>
      </c>
    </row>
    <row r="206" spans="1:125" x14ac:dyDescent="0.25">
      <c r="A206" t="s">
        <v>70</v>
      </c>
      <c r="B206" s="2">
        <v>44817</v>
      </c>
      <c r="C206" s="1">
        <v>40</v>
      </c>
      <c r="D206">
        <v>142</v>
      </c>
      <c r="G206" t="str">
        <f t="array" ref="G206">IFERROR(INDEX($A$2:$A$700,MATCH(0,COUNTIF($G$1:G205,$A$2:$A$700),0)),"")</f>
        <v/>
      </c>
      <c r="M206" s="3"/>
      <c r="N206" s="3"/>
      <c r="O206" s="3">
        <f t="shared" si="1002"/>
        <v>0</v>
      </c>
      <c r="P206" s="7">
        <f t="shared" ref="P206:CA206" si="1058">IFERROR(VALUE(P511),"-")</f>
        <v>0</v>
      </c>
      <c r="Q206" s="7">
        <f t="shared" si="1058"/>
        <v>0</v>
      </c>
      <c r="R206" s="7">
        <f t="shared" si="1058"/>
        <v>0</v>
      </c>
      <c r="S206" s="7">
        <f t="shared" si="1058"/>
        <v>0</v>
      </c>
      <c r="T206" s="11">
        <f t="shared" si="1058"/>
        <v>0</v>
      </c>
      <c r="U206" s="11">
        <f t="shared" si="1058"/>
        <v>0</v>
      </c>
      <c r="V206" s="11">
        <f t="shared" si="1058"/>
        <v>0</v>
      </c>
      <c r="W206" s="11">
        <f t="shared" si="1058"/>
        <v>0</v>
      </c>
      <c r="X206" s="14">
        <f t="shared" si="1058"/>
        <v>0</v>
      </c>
      <c r="Y206" s="14">
        <f t="shared" si="1058"/>
        <v>0</v>
      </c>
      <c r="Z206" s="14">
        <f t="shared" si="1058"/>
        <v>0</v>
      </c>
      <c r="AA206" s="14">
        <f t="shared" si="1058"/>
        <v>0</v>
      </c>
      <c r="AB206" s="15">
        <f t="shared" si="1058"/>
        <v>0</v>
      </c>
      <c r="AC206" s="15">
        <f t="shared" si="1058"/>
        <v>0</v>
      </c>
      <c r="AD206" s="13">
        <f t="shared" si="1058"/>
        <v>0</v>
      </c>
      <c r="AE206" s="13">
        <f t="shared" si="1058"/>
        <v>0</v>
      </c>
      <c r="AF206" s="12">
        <f t="shared" si="1058"/>
        <v>0</v>
      </c>
      <c r="AG206" s="12">
        <f t="shared" si="1058"/>
        <v>0</v>
      </c>
      <c r="AH206" s="13">
        <f t="shared" si="1058"/>
        <v>0</v>
      </c>
      <c r="AI206" s="13">
        <f t="shared" si="1058"/>
        <v>0</v>
      </c>
      <c r="AJ206" s="11">
        <f t="shared" si="1058"/>
        <v>0</v>
      </c>
      <c r="AK206" s="11">
        <f t="shared" si="1058"/>
        <v>0</v>
      </c>
      <c r="AL206" s="11">
        <f t="shared" si="1058"/>
        <v>0</v>
      </c>
      <c r="AM206" s="11">
        <f t="shared" si="1058"/>
        <v>0</v>
      </c>
      <c r="AN206" s="11">
        <f t="shared" si="1058"/>
        <v>0</v>
      </c>
      <c r="AO206" s="11">
        <f t="shared" si="1058"/>
        <v>0</v>
      </c>
      <c r="AP206" s="11">
        <f t="shared" si="1058"/>
        <v>0</v>
      </c>
      <c r="AQ206" s="11">
        <f t="shared" si="1058"/>
        <v>0</v>
      </c>
      <c r="AR206" s="16">
        <f t="shared" si="1058"/>
        <v>0</v>
      </c>
      <c r="AS206" s="16">
        <f t="shared" si="1058"/>
        <v>0</v>
      </c>
      <c r="AT206" s="16">
        <f t="shared" si="1058"/>
        <v>0</v>
      </c>
      <c r="AU206" s="7">
        <f t="shared" si="1058"/>
        <v>0</v>
      </c>
      <c r="AV206" s="7">
        <f t="shared" si="1058"/>
        <v>0</v>
      </c>
      <c r="AW206" s="7">
        <f t="shared" si="1058"/>
        <v>0</v>
      </c>
      <c r="AX206" s="7">
        <f t="shared" si="1058"/>
        <v>0</v>
      </c>
      <c r="AY206" s="11">
        <f t="shared" si="1058"/>
        <v>0</v>
      </c>
      <c r="AZ206" s="16">
        <f t="shared" si="1058"/>
        <v>0</v>
      </c>
      <c r="BA206" s="16">
        <f t="shared" si="1058"/>
        <v>0</v>
      </c>
      <c r="BB206" s="16">
        <f t="shared" si="1058"/>
        <v>0</v>
      </c>
      <c r="BC206" s="11">
        <f t="shared" si="1058"/>
        <v>0</v>
      </c>
      <c r="BD206" s="11">
        <f t="shared" si="1058"/>
        <v>0</v>
      </c>
      <c r="BE206" s="11">
        <f t="shared" si="1058"/>
        <v>0</v>
      </c>
      <c r="BF206" s="11">
        <f t="shared" si="1058"/>
        <v>0</v>
      </c>
      <c r="BG206" s="11">
        <f t="shared" si="1058"/>
        <v>0</v>
      </c>
      <c r="BH206" s="11">
        <f t="shared" si="1058"/>
        <v>0</v>
      </c>
      <c r="BI206" s="13">
        <f t="shared" si="1058"/>
        <v>0</v>
      </c>
      <c r="BJ206" s="13">
        <f t="shared" si="1058"/>
        <v>0</v>
      </c>
      <c r="BK206" s="11">
        <f t="shared" si="1058"/>
        <v>0</v>
      </c>
      <c r="BL206" s="12">
        <f t="shared" si="1058"/>
        <v>0</v>
      </c>
      <c r="BM206" s="12">
        <f t="shared" si="1058"/>
        <v>0</v>
      </c>
      <c r="BN206" s="13">
        <f t="shared" si="1058"/>
        <v>0</v>
      </c>
      <c r="BO206" s="13">
        <f t="shared" si="1058"/>
        <v>0</v>
      </c>
      <c r="BP206" s="15">
        <f t="shared" si="1058"/>
        <v>0</v>
      </c>
      <c r="BQ206" s="15">
        <f t="shared" si="1058"/>
        <v>0</v>
      </c>
      <c r="BR206" s="14">
        <f t="shared" si="1058"/>
        <v>0</v>
      </c>
      <c r="BS206" s="14">
        <f t="shared" si="1058"/>
        <v>0</v>
      </c>
      <c r="BT206" s="14">
        <f t="shared" si="1058"/>
        <v>0</v>
      </c>
      <c r="BU206" s="14">
        <f t="shared" si="1058"/>
        <v>0</v>
      </c>
      <c r="BV206" s="11">
        <f t="shared" si="1058"/>
        <v>0</v>
      </c>
      <c r="BW206" s="11">
        <f t="shared" si="1058"/>
        <v>0</v>
      </c>
      <c r="BX206" s="11">
        <f t="shared" si="1058"/>
        <v>0</v>
      </c>
      <c r="BY206" s="11">
        <f t="shared" si="1058"/>
        <v>0</v>
      </c>
      <c r="BZ206" s="7">
        <f t="shared" si="1058"/>
        <v>0</v>
      </c>
      <c r="CA206" s="7">
        <f t="shared" si="1058"/>
        <v>0</v>
      </c>
      <c r="CB206" s="7">
        <f t="shared" ref="CB206:CP206" si="1059">IFERROR(VALUE(CB511),"-")</f>
        <v>0</v>
      </c>
      <c r="CC206" s="7">
        <f t="shared" si="1059"/>
        <v>0</v>
      </c>
      <c r="CD206" s="7">
        <f t="shared" si="1059"/>
        <v>0</v>
      </c>
      <c r="CE206" s="3">
        <f t="shared" si="1059"/>
        <v>0</v>
      </c>
      <c r="CF206" s="7">
        <f t="shared" si="1059"/>
        <v>0</v>
      </c>
      <c r="CG206" s="3">
        <f t="shared" si="1059"/>
        <v>0</v>
      </c>
      <c r="CH206" s="7">
        <f t="shared" si="1059"/>
        <v>0</v>
      </c>
      <c r="CI206" s="7">
        <f t="shared" si="1059"/>
        <v>0</v>
      </c>
      <c r="CJ206" s="3">
        <f t="shared" si="1059"/>
        <v>0</v>
      </c>
      <c r="CK206" s="7">
        <f t="shared" si="1059"/>
        <v>0</v>
      </c>
      <c r="CL206" s="3">
        <f t="shared" si="1059"/>
        <v>0</v>
      </c>
      <c r="CM206" s="7">
        <f t="shared" si="1059"/>
        <v>0</v>
      </c>
      <c r="CN206" s="10">
        <f t="shared" si="1059"/>
        <v>0</v>
      </c>
      <c r="CO206" s="10">
        <f t="shared" si="1059"/>
        <v>0</v>
      </c>
      <c r="CP206" s="7">
        <f t="shared" si="1059"/>
        <v>0</v>
      </c>
      <c r="CQ206" s="7">
        <f t="shared" ref="CQ206" si="1060">IFERROR(CQ511,"-")</f>
        <v>0</v>
      </c>
      <c r="CR206" s="10">
        <f t="shared" si="982"/>
        <v>0</v>
      </c>
      <c r="CS206" s="7">
        <f t="shared" si="982"/>
        <v>0</v>
      </c>
      <c r="CT206" s="7">
        <f t="shared" si="982"/>
        <v>0</v>
      </c>
      <c r="CU206" s="7">
        <f t="shared" si="982"/>
        <v>0</v>
      </c>
      <c r="CV206" s="7">
        <f t="shared" si="982"/>
        <v>0</v>
      </c>
      <c r="CW206" s="7">
        <f t="shared" si="982"/>
        <v>0</v>
      </c>
      <c r="CX206" s="7">
        <f t="shared" si="982"/>
        <v>0</v>
      </c>
      <c r="CY206" s="7">
        <f t="shared" si="982"/>
        <v>0</v>
      </c>
      <c r="CZ206" s="7">
        <f t="shared" si="982"/>
        <v>0</v>
      </c>
      <c r="DA206" s="7">
        <f t="shared" si="982"/>
        <v>0</v>
      </c>
      <c r="DB206" s="7">
        <f t="shared" si="982"/>
        <v>0</v>
      </c>
      <c r="DC206" s="7">
        <f t="shared" si="982"/>
        <v>0</v>
      </c>
      <c r="DD206" s="7">
        <f t="shared" si="982"/>
        <v>0</v>
      </c>
      <c r="DE206" s="7">
        <f t="shared" si="982"/>
        <v>0</v>
      </c>
      <c r="DF206" s="7">
        <f t="shared" si="982"/>
        <v>0</v>
      </c>
      <c r="DG206" s="7">
        <f t="shared" ref="DG206" si="1061">IFERROR(VALUE(DG511),"-")</f>
        <v>0</v>
      </c>
      <c r="DH206" s="7">
        <f t="shared" ref="DH206:DJ206" si="1062">IFERROR(DH511,"-")</f>
        <v>0</v>
      </c>
      <c r="DI206" s="7">
        <f t="shared" si="1062"/>
        <v>0</v>
      </c>
      <c r="DJ206" s="7">
        <f t="shared" si="1062"/>
        <v>0</v>
      </c>
      <c r="DK206" s="64">
        <f t="shared" ref="DK206:DS206" si="1063">IFERROR(VALUE(DK511),"-")</f>
        <v>0</v>
      </c>
      <c r="DL206" s="64">
        <f t="shared" si="1063"/>
        <v>0</v>
      </c>
      <c r="DM206" s="64">
        <f t="shared" si="1063"/>
        <v>0</v>
      </c>
      <c r="DN206" s="64">
        <f t="shared" si="1063"/>
        <v>0</v>
      </c>
      <c r="DO206" s="64">
        <f t="shared" si="1063"/>
        <v>0</v>
      </c>
      <c r="DP206" s="64">
        <f t="shared" si="1063"/>
        <v>0</v>
      </c>
      <c r="DQ206" s="64">
        <f t="shared" si="1063"/>
        <v>0</v>
      </c>
      <c r="DR206" s="64">
        <f t="shared" si="1063"/>
        <v>0</v>
      </c>
      <c r="DS206" s="64">
        <f t="shared" si="1063"/>
        <v>0</v>
      </c>
      <c r="DT206">
        <f t="shared" si="1000"/>
        <v>0</v>
      </c>
      <c r="DU206" s="10">
        <f t="shared" si="1001"/>
        <v>0</v>
      </c>
    </row>
    <row r="207" spans="1:125" x14ac:dyDescent="0.25">
      <c r="A207" t="s">
        <v>70</v>
      </c>
      <c r="B207" s="2">
        <v>44824</v>
      </c>
      <c r="C207" s="1">
        <v>40</v>
      </c>
      <c r="D207">
        <v>142</v>
      </c>
      <c r="G207" t="str">
        <f t="array" ref="G207">IFERROR(INDEX($A$2:$A$700,MATCH(0,COUNTIF($G$1:G206,$A$2:$A$700),0)),"")</f>
        <v/>
      </c>
      <c r="M207" s="3"/>
      <c r="N207" s="3"/>
      <c r="O207" s="3">
        <f t="shared" si="1002"/>
        <v>0</v>
      </c>
      <c r="P207" s="7">
        <f t="shared" ref="P207:CA207" si="1064">IFERROR(VALUE(P512),"-")</f>
        <v>0</v>
      </c>
      <c r="Q207" s="7">
        <f t="shared" si="1064"/>
        <v>0</v>
      </c>
      <c r="R207" s="7">
        <f t="shared" si="1064"/>
        <v>0</v>
      </c>
      <c r="S207" s="7">
        <f t="shared" si="1064"/>
        <v>0</v>
      </c>
      <c r="T207" s="11">
        <f t="shared" si="1064"/>
        <v>0</v>
      </c>
      <c r="U207" s="11">
        <f t="shared" si="1064"/>
        <v>0</v>
      </c>
      <c r="V207" s="11">
        <f t="shared" si="1064"/>
        <v>0</v>
      </c>
      <c r="W207" s="11">
        <f t="shared" si="1064"/>
        <v>0</v>
      </c>
      <c r="X207" s="14">
        <f t="shared" si="1064"/>
        <v>0</v>
      </c>
      <c r="Y207" s="14">
        <f t="shared" si="1064"/>
        <v>0</v>
      </c>
      <c r="Z207" s="14">
        <f t="shared" si="1064"/>
        <v>0</v>
      </c>
      <c r="AA207" s="14">
        <f t="shared" si="1064"/>
        <v>0</v>
      </c>
      <c r="AB207" s="15">
        <f t="shared" si="1064"/>
        <v>0</v>
      </c>
      <c r="AC207" s="15">
        <f t="shared" si="1064"/>
        <v>0</v>
      </c>
      <c r="AD207" s="13">
        <f t="shared" si="1064"/>
        <v>0</v>
      </c>
      <c r="AE207" s="13">
        <f t="shared" si="1064"/>
        <v>0</v>
      </c>
      <c r="AF207" s="12">
        <f t="shared" si="1064"/>
        <v>0</v>
      </c>
      <c r="AG207" s="12">
        <f t="shared" si="1064"/>
        <v>0</v>
      </c>
      <c r="AH207" s="13">
        <f t="shared" si="1064"/>
        <v>0</v>
      </c>
      <c r="AI207" s="13">
        <f t="shared" si="1064"/>
        <v>0</v>
      </c>
      <c r="AJ207" s="11">
        <f t="shared" si="1064"/>
        <v>0</v>
      </c>
      <c r="AK207" s="11">
        <f t="shared" si="1064"/>
        <v>0</v>
      </c>
      <c r="AL207" s="11">
        <f t="shared" si="1064"/>
        <v>0</v>
      </c>
      <c r="AM207" s="11">
        <f t="shared" si="1064"/>
        <v>0</v>
      </c>
      <c r="AN207" s="11">
        <f t="shared" si="1064"/>
        <v>0</v>
      </c>
      <c r="AO207" s="11">
        <f t="shared" si="1064"/>
        <v>0</v>
      </c>
      <c r="AP207" s="11">
        <f t="shared" si="1064"/>
        <v>0</v>
      </c>
      <c r="AQ207" s="11">
        <f t="shared" si="1064"/>
        <v>0</v>
      </c>
      <c r="AR207" s="16">
        <f t="shared" si="1064"/>
        <v>0</v>
      </c>
      <c r="AS207" s="16">
        <f t="shared" si="1064"/>
        <v>0</v>
      </c>
      <c r="AT207" s="16">
        <f t="shared" si="1064"/>
        <v>0</v>
      </c>
      <c r="AU207" s="7">
        <f t="shared" si="1064"/>
        <v>0</v>
      </c>
      <c r="AV207" s="7">
        <f t="shared" si="1064"/>
        <v>0</v>
      </c>
      <c r="AW207" s="7">
        <f t="shared" si="1064"/>
        <v>0</v>
      </c>
      <c r="AX207" s="7">
        <f t="shared" si="1064"/>
        <v>0</v>
      </c>
      <c r="AY207" s="11">
        <f t="shared" si="1064"/>
        <v>0</v>
      </c>
      <c r="AZ207" s="16">
        <f t="shared" si="1064"/>
        <v>0</v>
      </c>
      <c r="BA207" s="16">
        <f t="shared" si="1064"/>
        <v>0</v>
      </c>
      <c r="BB207" s="16">
        <f t="shared" si="1064"/>
        <v>0</v>
      </c>
      <c r="BC207" s="11">
        <f t="shared" si="1064"/>
        <v>0</v>
      </c>
      <c r="BD207" s="11">
        <f t="shared" si="1064"/>
        <v>0</v>
      </c>
      <c r="BE207" s="11">
        <f t="shared" si="1064"/>
        <v>0</v>
      </c>
      <c r="BF207" s="11">
        <f t="shared" si="1064"/>
        <v>0</v>
      </c>
      <c r="BG207" s="11">
        <f t="shared" si="1064"/>
        <v>0</v>
      </c>
      <c r="BH207" s="11">
        <f t="shared" si="1064"/>
        <v>0</v>
      </c>
      <c r="BI207" s="13">
        <f t="shared" si="1064"/>
        <v>0</v>
      </c>
      <c r="BJ207" s="13">
        <f t="shared" si="1064"/>
        <v>0</v>
      </c>
      <c r="BK207" s="11">
        <f t="shared" si="1064"/>
        <v>0</v>
      </c>
      <c r="BL207" s="12">
        <f t="shared" si="1064"/>
        <v>0</v>
      </c>
      <c r="BM207" s="12">
        <f t="shared" si="1064"/>
        <v>0</v>
      </c>
      <c r="BN207" s="13">
        <f t="shared" si="1064"/>
        <v>0</v>
      </c>
      <c r="BO207" s="13">
        <f t="shared" si="1064"/>
        <v>0</v>
      </c>
      <c r="BP207" s="15">
        <f t="shared" si="1064"/>
        <v>0</v>
      </c>
      <c r="BQ207" s="15">
        <f t="shared" si="1064"/>
        <v>0</v>
      </c>
      <c r="BR207" s="14">
        <f t="shared" si="1064"/>
        <v>0</v>
      </c>
      <c r="BS207" s="14">
        <f t="shared" si="1064"/>
        <v>0</v>
      </c>
      <c r="BT207" s="14">
        <f t="shared" si="1064"/>
        <v>0</v>
      </c>
      <c r="BU207" s="14">
        <f t="shared" si="1064"/>
        <v>0</v>
      </c>
      <c r="BV207" s="11">
        <f t="shared" si="1064"/>
        <v>0</v>
      </c>
      <c r="BW207" s="11">
        <f t="shared" si="1064"/>
        <v>0</v>
      </c>
      <c r="BX207" s="11">
        <f t="shared" si="1064"/>
        <v>0</v>
      </c>
      <c r="BY207" s="11">
        <f t="shared" si="1064"/>
        <v>0</v>
      </c>
      <c r="BZ207" s="7">
        <f t="shared" si="1064"/>
        <v>0</v>
      </c>
      <c r="CA207" s="7">
        <f t="shared" si="1064"/>
        <v>0</v>
      </c>
      <c r="CB207" s="7">
        <f t="shared" ref="CB207:CP207" si="1065">IFERROR(VALUE(CB512),"-")</f>
        <v>0</v>
      </c>
      <c r="CC207" s="7">
        <f t="shared" si="1065"/>
        <v>0</v>
      </c>
      <c r="CD207" s="7">
        <f t="shared" si="1065"/>
        <v>0</v>
      </c>
      <c r="CE207" s="3">
        <f t="shared" si="1065"/>
        <v>0</v>
      </c>
      <c r="CF207" s="7">
        <f t="shared" si="1065"/>
        <v>0</v>
      </c>
      <c r="CG207" s="3">
        <f t="shared" si="1065"/>
        <v>0</v>
      </c>
      <c r="CH207" s="7">
        <f t="shared" si="1065"/>
        <v>0</v>
      </c>
      <c r="CI207" s="7">
        <f t="shared" si="1065"/>
        <v>0</v>
      </c>
      <c r="CJ207" s="3">
        <f t="shared" si="1065"/>
        <v>0</v>
      </c>
      <c r="CK207" s="7">
        <f t="shared" si="1065"/>
        <v>0</v>
      </c>
      <c r="CL207" s="3">
        <f t="shared" si="1065"/>
        <v>0</v>
      </c>
      <c r="CM207" s="7">
        <f t="shared" si="1065"/>
        <v>0</v>
      </c>
      <c r="CN207" s="10">
        <f t="shared" si="1065"/>
        <v>0</v>
      </c>
      <c r="CO207" s="10">
        <f t="shared" si="1065"/>
        <v>0</v>
      </c>
      <c r="CP207" s="7">
        <f t="shared" si="1065"/>
        <v>0</v>
      </c>
      <c r="CQ207" s="7">
        <f t="shared" ref="CQ207" si="1066">IFERROR(CQ512,"-")</f>
        <v>0</v>
      </c>
      <c r="CR207" s="10">
        <f t="shared" ref="CR207:DG222" si="1067">IFERROR(VALUE(CR512),"-")</f>
        <v>0</v>
      </c>
      <c r="CS207" s="7">
        <f t="shared" si="1067"/>
        <v>0</v>
      </c>
      <c r="CT207" s="7">
        <f t="shared" si="1067"/>
        <v>0</v>
      </c>
      <c r="CU207" s="7">
        <f t="shared" si="1067"/>
        <v>0</v>
      </c>
      <c r="CV207" s="7">
        <f t="shared" si="1067"/>
        <v>0</v>
      </c>
      <c r="CW207" s="7">
        <f t="shared" si="1067"/>
        <v>0</v>
      </c>
      <c r="CX207" s="7">
        <f t="shared" si="1067"/>
        <v>0</v>
      </c>
      <c r="CY207" s="7">
        <f t="shared" si="1067"/>
        <v>0</v>
      </c>
      <c r="CZ207" s="7">
        <f t="shared" si="1067"/>
        <v>0</v>
      </c>
      <c r="DA207" s="7">
        <f t="shared" si="1067"/>
        <v>0</v>
      </c>
      <c r="DB207" s="7">
        <f t="shared" si="1067"/>
        <v>0</v>
      </c>
      <c r="DC207" s="7">
        <f t="shared" si="1067"/>
        <v>0</v>
      </c>
      <c r="DD207" s="7">
        <f t="shared" si="1067"/>
        <v>0</v>
      </c>
      <c r="DE207" s="7">
        <f t="shared" si="1067"/>
        <v>0</v>
      </c>
      <c r="DF207" s="7">
        <f t="shared" si="1067"/>
        <v>0</v>
      </c>
      <c r="DG207" s="7">
        <f t="shared" si="1067"/>
        <v>0</v>
      </c>
      <c r="DH207" s="7">
        <f t="shared" ref="DH207:DJ207" si="1068">IFERROR(DH512,"-")</f>
        <v>0</v>
      </c>
      <c r="DI207" s="7">
        <f t="shared" si="1068"/>
        <v>0</v>
      </c>
      <c r="DJ207" s="7">
        <f t="shared" si="1068"/>
        <v>0</v>
      </c>
      <c r="DK207" s="64">
        <f t="shared" ref="DK207:DS207" si="1069">IFERROR(VALUE(DK512),"-")</f>
        <v>0</v>
      </c>
      <c r="DL207" s="64">
        <f t="shared" si="1069"/>
        <v>0</v>
      </c>
      <c r="DM207" s="64">
        <f t="shared" si="1069"/>
        <v>0</v>
      </c>
      <c r="DN207" s="64">
        <f t="shared" si="1069"/>
        <v>0</v>
      </c>
      <c r="DO207" s="64">
        <f t="shared" si="1069"/>
        <v>0</v>
      </c>
      <c r="DP207" s="64">
        <f t="shared" si="1069"/>
        <v>0</v>
      </c>
      <c r="DQ207" s="64">
        <f t="shared" si="1069"/>
        <v>0</v>
      </c>
      <c r="DR207" s="64">
        <f t="shared" si="1069"/>
        <v>0</v>
      </c>
      <c r="DS207" s="64">
        <f t="shared" si="1069"/>
        <v>0</v>
      </c>
      <c r="DT207">
        <f t="shared" si="1000"/>
        <v>0</v>
      </c>
      <c r="DU207" s="10">
        <f t="shared" si="1001"/>
        <v>0</v>
      </c>
    </row>
    <row r="208" spans="1:125" x14ac:dyDescent="0.25">
      <c r="A208" t="s">
        <v>70</v>
      </c>
      <c r="B208" s="2">
        <v>44831</v>
      </c>
      <c r="C208" s="1">
        <v>40</v>
      </c>
      <c r="D208">
        <v>142</v>
      </c>
      <c r="G208" t="str">
        <f t="array" ref="G208">IFERROR(INDEX($A$2:$A$700,MATCH(0,COUNTIF($G$1:G207,$A$2:$A$700),0)),"")</f>
        <v/>
      </c>
      <c r="M208" s="3"/>
      <c r="N208" s="3"/>
      <c r="O208" s="3">
        <f t="shared" si="1002"/>
        <v>0</v>
      </c>
      <c r="P208" s="7">
        <f t="shared" ref="P208:CA208" si="1070">IFERROR(VALUE(P513),"-")</f>
        <v>0</v>
      </c>
      <c r="Q208" s="7">
        <f t="shared" si="1070"/>
        <v>0</v>
      </c>
      <c r="R208" s="7">
        <f t="shared" si="1070"/>
        <v>0</v>
      </c>
      <c r="S208" s="7">
        <f t="shared" si="1070"/>
        <v>0</v>
      </c>
      <c r="T208" s="11">
        <f t="shared" si="1070"/>
        <v>0</v>
      </c>
      <c r="U208" s="11">
        <f t="shared" si="1070"/>
        <v>0</v>
      </c>
      <c r="V208" s="11">
        <f t="shared" si="1070"/>
        <v>0</v>
      </c>
      <c r="W208" s="11">
        <f t="shared" si="1070"/>
        <v>0</v>
      </c>
      <c r="X208" s="14">
        <f t="shared" si="1070"/>
        <v>0</v>
      </c>
      <c r="Y208" s="14">
        <f t="shared" si="1070"/>
        <v>0</v>
      </c>
      <c r="Z208" s="14">
        <f t="shared" si="1070"/>
        <v>0</v>
      </c>
      <c r="AA208" s="14">
        <f t="shared" si="1070"/>
        <v>0</v>
      </c>
      <c r="AB208" s="15">
        <f t="shared" si="1070"/>
        <v>0</v>
      </c>
      <c r="AC208" s="15">
        <f t="shared" si="1070"/>
        <v>0</v>
      </c>
      <c r="AD208" s="13">
        <f t="shared" si="1070"/>
        <v>0</v>
      </c>
      <c r="AE208" s="13">
        <f t="shared" si="1070"/>
        <v>0</v>
      </c>
      <c r="AF208" s="12">
        <f t="shared" si="1070"/>
        <v>0</v>
      </c>
      <c r="AG208" s="12">
        <f t="shared" si="1070"/>
        <v>0</v>
      </c>
      <c r="AH208" s="13">
        <f t="shared" si="1070"/>
        <v>0</v>
      </c>
      <c r="AI208" s="13">
        <f t="shared" si="1070"/>
        <v>0</v>
      </c>
      <c r="AJ208" s="11">
        <f t="shared" si="1070"/>
        <v>0</v>
      </c>
      <c r="AK208" s="11">
        <f t="shared" si="1070"/>
        <v>0</v>
      </c>
      <c r="AL208" s="11">
        <f t="shared" si="1070"/>
        <v>0</v>
      </c>
      <c r="AM208" s="11">
        <f t="shared" si="1070"/>
        <v>0</v>
      </c>
      <c r="AN208" s="11">
        <f t="shared" si="1070"/>
        <v>0</v>
      </c>
      <c r="AO208" s="11">
        <f t="shared" si="1070"/>
        <v>0</v>
      </c>
      <c r="AP208" s="11">
        <f t="shared" si="1070"/>
        <v>0</v>
      </c>
      <c r="AQ208" s="11">
        <f t="shared" si="1070"/>
        <v>0</v>
      </c>
      <c r="AR208" s="16">
        <f t="shared" si="1070"/>
        <v>0</v>
      </c>
      <c r="AS208" s="16">
        <f t="shared" si="1070"/>
        <v>0</v>
      </c>
      <c r="AT208" s="16">
        <f t="shared" si="1070"/>
        <v>0</v>
      </c>
      <c r="AU208" s="7">
        <f t="shared" si="1070"/>
        <v>0</v>
      </c>
      <c r="AV208" s="7">
        <f t="shared" si="1070"/>
        <v>0</v>
      </c>
      <c r="AW208" s="7">
        <f t="shared" si="1070"/>
        <v>0</v>
      </c>
      <c r="AX208" s="7">
        <f t="shared" si="1070"/>
        <v>0</v>
      </c>
      <c r="AY208" s="11">
        <f t="shared" si="1070"/>
        <v>0</v>
      </c>
      <c r="AZ208" s="16">
        <f t="shared" si="1070"/>
        <v>0</v>
      </c>
      <c r="BA208" s="16">
        <f t="shared" si="1070"/>
        <v>0</v>
      </c>
      <c r="BB208" s="16">
        <f t="shared" si="1070"/>
        <v>0</v>
      </c>
      <c r="BC208" s="11">
        <f t="shared" si="1070"/>
        <v>0</v>
      </c>
      <c r="BD208" s="11">
        <f t="shared" si="1070"/>
        <v>0</v>
      </c>
      <c r="BE208" s="11">
        <f t="shared" si="1070"/>
        <v>0</v>
      </c>
      <c r="BF208" s="11">
        <f t="shared" si="1070"/>
        <v>0</v>
      </c>
      <c r="BG208" s="11">
        <f t="shared" si="1070"/>
        <v>0</v>
      </c>
      <c r="BH208" s="11">
        <f t="shared" si="1070"/>
        <v>0</v>
      </c>
      <c r="BI208" s="13">
        <f t="shared" si="1070"/>
        <v>0</v>
      </c>
      <c r="BJ208" s="13">
        <f t="shared" si="1070"/>
        <v>0</v>
      </c>
      <c r="BK208" s="11">
        <f t="shared" si="1070"/>
        <v>0</v>
      </c>
      <c r="BL208" s="12">
        <f t="shared" si="1070"/>
        <v>0</v>
      </c>
      <c r="BM208" s="12">
        <f t="shared" si="1070"/>
        <v>0</v>
      </c>
      <c r="BN208" s="13">
        <f t="shared" si="1070"/>
        <v>0</v>
      </c>
      <c r="BO208" s="13">
        <f t="shared" si="1070"/>
        <v>0</v>
      </c>
      <c r="BP208" s="15">
        <f t="shared" si="1070"/>
        <v>0</v>
      </c>
      <c r="BQ208" s="15">
        <f t="shared" si="1070"/>
        <v>0</v>
      </c>
      <c r="BR208" s="14">
        <f t="shared" si="1070"/>
        <v>0</v>
      </c>
      <c r="BS208" s="14">
        <f t="shared" si="1070"/>
        <v>0</v>
      </c>
      <c r="BT208" s="14">
        <f t="shared" si="1070"/>
        <v>0</v>
      </c>
      <c r="BU208" s="14">
        <f t="shared" si="1070"/>
        <v>0</v>
      </c>
      <c r="BV208" s="11">
        <f t="shared" si="1070"/>
        <v>0</v>
      </c>
      <c r="BW208" s="11">
        <f t="shared" si="1070"/>
        <v>0</v>
      </c>
      <c r="BX208" s="11">
        <f t="shared" si="1070"/>
        <v>0</v>
      </c>
      <c r="BY208" s="11">
        <f t="shared" si="1070"/>
        <v>0</v>
      </c>
      <c r="BZ208" s="7">
        <f t="shared" si="1070"/>
        <v>0</v>
      </c>
      <c r="CA208" s="7">
        <f t="shared" si="1070"/>
        <v>0</v>
      </c>
      <c r="CB208" s="7">
        <f t="shared" ref="CB208:CP208" si="1071">IFERROR(VALUE(CB513),"-")</f>
        <v>0</v>
      </c>
      <c r="CC208" s="7">
        <f t="shared" si="1071"/>
        <v>0</v>
      </c>
      <c r="CD208" s="7">
        <f t="shared" si="1071"/>
        <v>0</v>
      </c>
      <c r="CE208" s="3">
        <f t="shared" si="1071"/>
        <v>0</v>
      </c>
      <c r="CF208" s="7">
        <f t="shared" si="1071"/>
        <v>0</v>
      </c>
      <c r="CG208" s="3">
        <f t="shared" si="1071"/>
        <v>0</v>
      </c>
      <c r="CH208" s="7">
        <f t="shared" si="1071"/>
        <v>0</v>
      </c>
      <c r="CI208" s="7">
        <f t="shared" si="1071"/>
        <v>0</v>
      </c>
      <c r="CJ208" s="3">
        <f t="shared" si="1071"/>
        <v>0</v>
      </c>
      <c r="CK208" s="7">
        <f t="shared" si="1071"/>
        <v>0</v>
      </c>
      <c r="CL208" s="3">
        <f t="shared" si="1071"/>
        <v>0</v>
      </c>
      <c r="CM208" s="7">
        <f t="shared" si="1071"/>
        <v>0</v>
      </c>
      <c r="CN208" s="10">
        <f t="shared" si="1071"/>
        <v>0</v>
      </c>
      <c r="CO208" s="10">
        <f t="shared" si="1071"/>
        <v>0</v>
      </c>
      <c r="CP208" s="7">
        <f t="shared" si="1071"/>
        <v>0</v>
      </c>
      <c r="CQ208" s="7">
        <f t="shared" ref="CQ208" si="1072">IFERROR(CQ513,"-")</f>
        <v>0</v>
      </c>
      <c r="CR208" s="10">
        <f t="shared" si="1067"/>
        <v>0</v>
      </c>
      <c r="CS208" s="7">
        <f t="shared" si="1067"/>
        <v>0</v>
      </c>
      <c r="CT208" s="7">
        <f t="shared" si="1067"/>
        <v>0</v>
      </c>
      <c r="CU208" s="7">
        <f t="shared" si="1067"/>
        <v>0</v>
      </c>
      <c r="CV208" s="7">
        <f t="shared" si="1067"/>
        <v>0</v>
      </c>
      <c r="CW208" s="7">
        <f t="shared" si="1067"/>
        <v>0</v>
      </c>
      <c r="CX208" s="7">
        <f t="shared" si="1067"/>
        <v>0</v>
      </c>
      <c r="CY208" s="7">
        <f t="shared" si="1067"/>
        <v>0</v>
      </c>
      <c r="CZ208" s="7">
        <f t="shared" si="1067"/>
        <v>0</v>
      </c>
      <c r="DA208" s="7">
        <f t="shared" si="1067"/>
        <v>0</v>
      </c>
      <c r="DB208" s="7">
        <f t="shared" si="1067"/>
        <v>0</v>
      </c>
      <c r="DC208" s="7">
        <f t="shared" si="1067"/>
        <v>0</v>
      </c>
      <c r="DD208" s="7">
        <f t="shared" si="1067"/>
        <v>0</v>
      </c>
      <c r="DE208" s="7">
        <f t="shared" si="1067"/>
        <v>0</v>
      </c>
      <c r="DF208" s="7">
        <f t="shared" si="1067"/>
        <v>0</v>
      </c>
      <c r="DG208" s="7">
        <f t="shared" si="1067"/>
        <v>0</v>
      </c>
      <c r="DH208" s="7">
        <f t="shared" ref="DH208:DJ208" si="1073">IFERROR(DH513,"-")</f>
        <v>0</v>
      </c>
      <c r="DI208" s="7">
        <f t="shared" si="1073"/>
        <v>0</v>
      </c>
      <c r="DJ208" s="7">
        <f t="shared" si="1073"/>
        <v>0</v>
      </c>
      <c r="DK208" s="64">
        <f t="shared" ref="DK208:DS208" si="1074">IFERROR(VALUE(DK513),"-")</f>
        <v>0</v>
      </c>
      <c r="DL208" s="64">
        <f t="shared" si="1074"/>
        <v>0</v>
      </c>
      <c r="DM208" s="64">
        <f t="shared" si="1074"/>
        <v>0</v>
      </c>
      <c r="DN208" s="64">
        <f t="shared" si="1074"/>
        <v>0</v>
      </c>
      <c r="DO208" s="64">
        <f t="shared" si="1074"/>
        <v>0</v>
      </c>
      <c r="DP208" s="64">
        <f t="shared" si="1074"/>
        <v>0</v>
      </c>
      <c r="DQ208" s="64">
        <f t="shared" si="1074"/>
        <v>0</v>
      </c>
      <c r="DR208" s="64">
        <f t="shared" si="1074"/>
        <v>0</v>
      </c>
      <c r="DS208" s="64">
        <f t="shared" si="1074"/>
        <v>0</v>
      </c>
      <c r="DT208">
        <f t="shared" si="1000"/>
        <v>0</v>
      </c>
      <c r="DU208" s="10">
        <f t="shared" si="1001"/>
        <v>0</v>
      </c>
    </row>
    <row r="209" spans="1:125" x14ac:dyDescent="0.25">
      <c r="A209" t="s">
        <v>70</v>
      </c>
      <c r="B209" s="2">
        <v>44838</v>
      </c>
      <c r="C209" s="1">
        <v>40</v>
      </c>
      <c r="D209">
        <v>142</v>
      </c>
      <c r="G209" t="str">
        <f t="array" ref="G209">IFERROR(INDEX($A$2:$A$700,MATCH(0,COUNTIF($G$1:G208,$A$2:$A$700),0)),"")</f>
        <v/>
      </c>
      <c r="M209" s="3"/>
      <c r="N209" s="3"/>
      <c r="O209" s="3">
        <f t="shared" si="1002"/>
        <v>0</v>
      </c>
      <c r="P209" s="7">
        <f t="shared" ref="P209:CA209" si="1075">IFERROR(VALUE(P514),"-")</f>
        <v>0</v>
      </c>
      <c r="Q209" s="7">
        <f t="shared" si="1075"/>
        <v>0</v>
      </c>
      <c r="R209" s="7">
        <f t="shared" si="1075"/>
        <v>0</v>
      </c>
      <c r="S209" s="7">
        <f t="shared" si="1075"/>
        <v>0</v>
      </c>
      <c r="T209" s="11">
        <f t="shared" si="1075"/>
        <v>0</v>
      </c>
      <c r="U209" s="11">
        <f t="shared" si="1075"/>
        <v>0</v>
      </c>
      <c r="V209" s="11">
        <f t="shared" si="1075"/>
        <v>0</v>
      </c>
      <c r="W209" s="11">
        <f t="shared" si="1075"/>
        <v>0</v>
      </c>
      <c r="X209" s="14">
        <f t="shared" si="1075"/>
        <v>0</v>
      </c>
      <c r="Y209" s="14">
        <f t="shared" si="1075"/>
        <v>0</v>
      </c>
      <c r="Z209" s="14">
        <f t="shared" si="1075"/>
        <v>0</v>
      </c>
      <c r="AA209" s="14">
        <f t="shared" si="1075"/>
        <v>0</v>
      </c>
      <c r="AB209" s="15">
        <f t="shared" si="1075"/>
        <v>0</v>
      </c>
      <c r="AC209" s="15">
        <f t="shared" si="1075"/>
        <v>0</v>
      </c>
      <c r="AD209" s="13">
        <f t="shared" si="1075"/>
        <v>0</v>
      </c>
      <c r="AE209" s="13">
        <f t="shared" si="1075"/>
        <v>0</v>
      </c>
      <c r="AF209" s="12">
        <f t="shared" si="1075"/>
        <v>0</v>
      </c>
      <c r="AG209" s="12">
        <f t="shared" si="1075"/>
        <v>0</v>
      </c>
      <c r="AH209" s="13">
        <f t="shared" si="1075"/>
        <v>0</v>
      </c>
      <c r="AI209" s="13">
        <f t="shared" si="1075"/>
        <v>0</v>
      </c>
      <c r="AJ209" s="11">
        <f t="shared" si="1075"/>
        <v>0</v>
      </c>
      <c r="AK209" s="11">
        <f t="shared" si="1075"/>
        <v>0</v>
      </c>
      <c r="AL209" s="11">
        <f t="shared" si="1075"/>
        <v>0</v>
      </c>
      <c r="AM209" s="11">
        <f t="shared" si="1075"/>
        <v>0</v>
      </c>
      <c r="AN209" s="11">
        <f t="shared" si="1075"/>
        <v>0</v>
      </c>
      <c r="AO209" s="11">
        <f t="shared" si="1075"/>
        <v>0</v>
      </c>
      <c r="AP209" s="11">
        <f t="shared" si="1075"/>
        <v>0</v>
      </c>
      <c r="AQ209" s="11">
        <f t="shared" si="1075"/>
        <v>0</v>
      </c>
      <c r="AR209" s="16">
        <f t="shared" si="1075"/>
        <v>0</v>
      </c>
      <c r="AS209" s="16">
        <f t="shared" si="1075"/>
        <v>0</v>
      </c>
      <c r="AT209" s="16">
        <f t="shared" si="1075"/>
        <v>0</v>
      </c>
      <c r="AU209" s="7">
        <f t="shared" si="1075"/>
        <v>0</v>
      </c>
      <c r="AV209" s="7">
        <f t="shared" si="1075"/>
        <v>0</v>
      </c>
      <c r="AW209" s="7">
        <f t="shared" si="1075"/>
        <v>0</v>
      </c>
      <c r="AX209" s="7">
        <f t="shared" si="1075"/>
        <v>0</v>
      </c>
      <c r="AY209" s="11">
        <f t="shared" si="1075"/>
        <v>0</v>
      </c>
      <c r="AZ209" s="16">
        <f t="shared" si="1075"/>
        <v>0</v>
      </c>
      <c r="BA209" s="16">
        <f t="shared" si="1075"/>
        <v>0</v>
      </c>
      <c r="BB209" s="16">
        <f t="shared" si="1075"/>
        <v>0</v>
      </c>
      <c r="BC209" s="11">
        <f t="shared" si="1075"/>
        <v>0</v>
      </c>
      <c r="BD209" s="11">
        <f t="shared" si="1075"/>
        <v>0</v>
      </c>
      <c r="BE209" s="11">
        <f t="shared" si="1075"/>
        <v>0</v>
      </c>
      <c r="BF209" s="11">
        <f t="shared" si="1075"/>
        <v>0</v>
      </c>
      <c r="BG209" s="11">
        <f t="shared" si="1075"/>
        <v>0</v>
      </c>
      <c r="BH209" s="11">
        <f t="shared" si="1075"/>
        <v>0</v>
      </c>
      <c r="BI209" s="13">
        <f t="shared" si="1075"/>
        <v>0</v>
      </c>
      <c r="BJ209" s="13">
        <f t="shared" si="1075"/>
        <v>0</v>
      </c>
      <c r="BK209" s="11">
        <f t="shared" si="1075"/>
        <v>0</v>
      </c>
      <c r="BL209" s="12">
        <f t="shared" si="1075"/>
        <v>0</v>
      </c>
      <c r="BM209" s="12">
        <f t="shared" si="1075"/>
        <v>0</v>
      </c>
      <c r="BN209" s="13">
        <f t="shared" si="1075"/>
        <v>0</v>
      </c>
      <c r="BO209" s="13">
        <f t="shared" si="1075"/>
        <v>0</v>
      </c>
      <c r="BP209" s="15">
        <f t="shared" si="1075"/>
        <v>0</v>
      </c>
      <c r="BQ209" s="15">
        <f t="shared" si="1075"/>
        <v>0</v>
      </c>
      <c r="BR209" s="14">
        <f t="shared" si="1075"/>
        <v>0</v>
      </c>
      <c r="BS209" s="14">
        <f t="shared" si="1075"/>
        <v>0</v>
      </c>
      <c r="BT209" s="14">
        <f t="shared" si="1075"/>
        <v>0</v>
      </c>
      <c r="BU209" s="14">
        <f t="shared" si="1075"/>
        <v>0</v>
      </c>
      <c r="BV209" s="11">
        <f t="shared" si="1075"/>
        <v>0</v>
      </c>
      <c r="BW209" s="11">
        <f t="shared" si="1075"/>
        <v>0</v>
      </c>
      <c r="BX209" s="11">
        <f t="shared" si="1075"/>
        <v>0</v>
      </c>
      <c r="BY209" s="11">
        <f t="shared" si="1075"/>
        <v>0</v>
      </c>
      <c r="BZ209" s="7">
        <f t="shared" si="1075"/>
        <v>0</v>
      </c>
      <c r="CA209" s="7">
        <f t="shared" si="1075"/>
        <v>0</v>
      </c>
      <c r="CB209" s="7">
        <f t="shared" ref="CB209:CP209" si="1076">IFERROR(VALUE(CB514),"-")</f>
        <v>0</v>
      </c>
      <c r="CC209" s="7">
        <f t="shared" si="1076"/>
        <v>0</v>
      </c>
      <c r="CD209" s="7">
        <f t="shared" si="1076"/>
        <v>0</v>
      </c>
      <c r="CE209" s="3">
        <f t="shared" si="1076"/>
        <v>0</v>
      </c>
      <c r="CF209" s="7">
        <f t="shared" si="1076"/>
        <v>0</v>
      </c>
      <c r="CG209" s="3">
        <f t="shared" si="1076"/>
        <v>0</v>
      </c>
      <c r="CH209" s="7">
        <f t="shared" si="1076"/>
        <v>0</v>
      </c>
      <c r="CI209" s="7">
        <f t="shared" si="1076"/>
        <v>0</v>
      </c>
      <c r="CJ209" s="3">
        <f t="shared" si="1076"/>
        <v>0</v>
      </c>
      <c r="CK209" s="7">
        <f t="shared" si="1076"/>
        <v>0</v>
      </c>
      <c r="CL209" s="3">
        <f t="shared" si="1076"/>
        <v>0</v>
      </c>
      <c r="CM209" s="7">
        <f t="shared" si="1076"/>
        <v>0</v>
      </c>
      <c r="CN209" s="10">
        <f t="shared" si="1076"/>
        <v>0</v>
      </c>
      <c r="CO209" s="10">
        <f t="shared" si="1076"/>
        <v>0</v>
      </c>
      <c r="CP209" s="7">
        <f t="shared" si="1076"/>
        <v>0</v>
      </c>
      <c r="CQ209" s="7">
        <f t="shared" ref="CQ209" si="1077">IFERROR(CQ514,"-")</f>
        <v>0</v>
      </c>
      <c r="CR209" s="10">
        <f t="shared" si="1067"/>
        <v>0</v>
      </c>
      <c r="CS209" s="7">
        <f t="shared" si="1067"/>
        <v>0</v>
      </c>
      <c r="CT209" s="7">
        <f t="shared" si="1067"/>
        <v>0</v>
      </c>
      <c r="CU209" s="7">
        <f t="shared" si="1067"/>
        <v>0</v>
      </c>
      <c r="CV209" s="7">
        <f t="shared" si="1067"/>
        <v>0</v>
      </c>
      <c r="CW209" s="7">
        <f t="shared" si="1067"/>
        <v>0</v>
      </c>
      <c r="CX209" s="7">
        <f t="shared" si="1067"/>
        <v>0</v>
      </c>
      <c r="CY209" s="7">
        <f t="shared" si="1067"/>
        <v>0</v>
      </c>
      <c r="CZ209" s="7">
        <f t="shared" si="1067"/>
        <v>0</v>
      </c>
      <c r="DA209" s="7">
        <f t="shared" si="1067"/>
        <v>0</v>
      </c>
      <c r="DB209" s="7">
        <f t="shared" si="1067"/>
        <v>0</v>
      </c>
      <c r="DC209" s="7">
        <f t="shared" si="1067"/>
        <v>0</v>
      </c>
      <c r="DD209" s="7">
        <f t="shared" si="1067"/>
        <v>0</v>
      </c>
      <c r="DE209" s="7">
        <f t="shared" si="1067"/>
        <v>0</v>
      </c>
      <c r="DF209" s="7">
        <f t="shared" si="1067"/>
        <v>0</v>
      </c>
      <c r="DG209" s="7">
        <f t="shared" si="1067"/>
        <v>0</v>
      </c>
      <c r="DH209" s="7">
        <f t="shared" ref="DH209:DJ209" si="1078">IFERROR(DH514,"-")</f>
        <v>0</v>
      </c>
      <c r="DI209" s="7">
        <f t="shared" si="1078"/>
        <v>0</v>
      </c>
      <c r="DJ209" s="7">
        <f t="shared" si="1078"/>
        <v>0</v>
      </c>
      <c r="DK209" s="64">
        <f t="shared" ref="DK209:DS209" si="1079">IFERROR(VALUE(DK514),"-")</f>
        <v>0</v>
      </c>
      <c r="DL209" s="64">
        <f t="shared" si="1079"/>
        <v>0</v>
      </c>
      <c r="DM209" s="64">
        <f t="shared" si="1079"/>
        <v>0</v>
      </c>
      <c r="DN209" s="64">
        <f t="shared" si="1079"/>
        <v>0</v>
      </c>
      <c r="DO209" s="64">
        <f t="shared" si="1079"/>
        <v>0</v>
      </c>
      <c r="DP209" s="64">
        <f t="shared" si="1079"/>
        <v>0</v>
      </c>
      <c r="DQ209" s="64">
        <f t="shared" si="1079"/>
        <v>0</v>
      </c>
      <c r="DR209" s="64">
        <f t="shared" si="1079"/>
        <v>0</v>
      </c>
      <c r="DS209" s="64">
        <f t="shared" si="1079"/>
        <v>0</v>
      </c>
      <c r="DT209">
        <f t="shared" si="1000"/>
        <v>0</v>
      </c>
      <c r="DU209" s="10">
        <f t="shared" si="1001"/>
        <v>0</v>
      </c>
    </row>
    <row r="210" spans="1:125" x14ac:dyDescent="0.25">
      <c r="A210" t="s">
        <v>70</v>
      </c>
      <c r="B210" s="2">
        <v>44859</v>
      </c>
      <c r="C210" s="1">
        <v>40</v>
      </c>
      <c r="D210">
        <v>142</v>
      </c>
      <c r="G210" t="str">
        <f t="array" ref="G210">IFERROR(INDEX($A$2:$A$700,MATCH(0,COUNTIF($G$1:G209,$A$2:$A$700),0)),"")</f>
        <v/>
      </c>
      <c r="M210" s="3"/>
      <c r="N210" s="3"/>
      <c r="O210" s="3">
        <f t="shared" si="1002"/>
        <v>0</v>
      </c>
      <c r="P210" s="7">
        <f t="shared" ref="P210:CA210" si="1080">IFERROR(VALUE(P515),"-")</f>
        <v>0</v>
      </c>
      <c r="Q210" s="7">
        <f t="shared" si="1080"/>
        <v>0</v>
      </c>
      <c r="R210" s="7">
        <f t="shared" si="1080"/>
        <v>0</v>
      </c>
      <c r="S210" s="7">
        <f t="shared" si="1080"/>
        <v>0</v>
      </c>
      <c r="T210" s="11">
        <f t="shared" si="1080"/>
        <v>0</v>
      </c>
      <c r="U210" s="11">
        <f t="shared" si="1080"/>
        <v>0</v>
      </c>
      <c r="V210" s="11">
        <f t="shared" si="1080"/>
        <v>0</v>
      </c>
      <c r="W210" s="11">
        <f t="shared" si="1080"/>
        <v>0</v>
      </c>
      <c r="X210" s="14">
        <f t="shared" si="1080"/>
        <v>0</v>
      </c>
      <c r="Y210" s="14">
        <f t="shared" si="1080"/>
        <v>0</v>
      </c>
      <c r="Z210" s="14">
        <f t="shared" si="1080"/>
        <v>0</v>
      </c>
      <c r="AA210" s="14">
        <f t="shared" si="1080"/>
        <v>0</v>
      </c>
      <c r="AB210" s="15">
        <f t="shared" si="1080"/>
        <v>0</v>
      </c>
      <c r="AC210" s="15">
        <f t="shared" si="1080"/>
        <v>0</v>
      </c>
      <c r="AD210" s="13">
        <f t="shared" si="1080"/>
        <v>0</v>
      </c>
      <c r="AE210" s="13">
        <f t="shared" si="1080"/>
        <v>0</v>
      </c>
      <c r="AF210" s="12">
        <f t="shared" si="1080"/>
        <v>0</v>
      </c>
      <c r="AG210" s="12">
        <f t="shared" si="1080"/>
        <v>0</v>
      </c>
      <c r="AH210" s="13">
        <f t="shared" si="1080"/>
        <v>0</v>
      </c>
      <c r="AI210" s="13">
        <f t="shared" si="1080"/>
        <v>0</v>
      </c>
      <c r="AJ210" s="11">
        <f t="shared" si="1080"/>
        <v>0</v>
      </c>
      <c r="AK210" s="11">
        <f t="shared" si="1080"/>
        <v>0</v>
      </c>
      <c r="AL210" s="11">
        <f t="shared" si="1080"/>
        <v>0</v>
      </c>
      <c r="AM210" s="11">
        <f t="shared" si="1080"/>
        <v>0</v>
      </c>
      <c r="AN210" s="11">
        <f t="shared" si="1080"/>
        <v>0</v>
      </c>
      <c r="AO210" s="11">
        <f t="shared" si="1080"/>
        <v>0</v>
      </c>
      <c r="AP210" s="11">
        <f t="shared" si="1080"/>
        <v>0</v>
      </c>
      <c r="AQ210" s="11">
        <f t="shared" si="1080"/>
        <v>0</v>
      </c>
      <c r="AR210" s="16">
        <f t="shared" si="1080"/>
        <v>0</v>
      </c>
      <c r="AS210" s="16">
        <f t="shared" si="1080"/>
        <v>0</v>
      </c>
      <c r="AT210" s="16">
        <f t="shared" si="1080"/>
        <v>0</v>
      </c>
      <c r="AU210" s="7">
        <f t="shared" si="1080"/>
        <v>0</v>
      </c>
      <c r="AV210" s="7">
        <f t="shared" si="1080"/>
        <v>0</v>
      </c>
      <c r="AW210" s="7">
        <f t="shared" si="1080"/>
        <v>0</v>
      </c>
      <c r="AX210" s="7">
        <f t="shared" si="1080"/>
        <v>0</v>
      </c>
      <c r="AY210" s="11">
        <f t="shared" si="1080"/>
        <v>0</v>
      </c>
      <c r="AZ210" s="16">
        <f t="shared" si="1080"/>
        <v>0</v>
      </c>
      <c r="BA210" s="16">
        <f t="shared" si="1080"/>
        <v>0</v>
      </c>
      <c r="BB210" s="16">
        <f t="shared" si="1080"/>
        <v>0</v>
      </c>
      <c r="BC210" s="11">
        <f t="shared" si="1080"/>
        <v>0</v>
      </c>
      <c r="BD210" s="11">
        <f t="shared" si="1080"/>
        <v>0</v>
      </c>
      <c r="BE210" s="11">
        <f t="shared" si="1080"/>
        <v>0</v>
      </c>
      <c r="BF210" s="11">
        <f t="shared" si="1080"/>
        <v>0</v>
      </c>
      <c r="BG210" s="11">
        <f t="shared" si="1080"/>
        <v>0</v>
      </c>
      <c r="BH210" s="11">
        <f t="shared" si="1080"/>
        <v>0</v>
      </c>
      <c r="BI210" s="13">
        <f t="shared" si="1080"/>
        <v>0</v>
      </c>
      <c r="BJ210" s="13">
        <f t="shared" si="1080"/>
        <v>0</v>
      </c>
      <c r="BK210" s="11">
        <f t="shared" si="1080"/>
        <v>0</v>
      </c>
      <c r="BL210" s="12">
        <f t="shared" si="1080"/>
        <v>0</v>
      </c>
      <c r="BM210" s="12">
        <f t="shared" si="1080"/>
        <v>0</v>
      </c>
      <c r="BN210" s="13">
        <f t="shared" si="1080"/>
        <v>0</v>
      </c>
      <c r="BO210" s="13">
        <f t="shared" si="1080"/>
        <v>0</v>
      </c>
      <c r="BP210" s="15">
        <f t="shared" si="1080"/>
        <v>0</v>
      </c>
      <c r="BQ210" s="15">
        <f t="shared" si="1080"/>
        <v>0</v>
      </c>
      <c r="BR210" s="14">
        <f t="shared" si="1080"/>
        <v>0</v>
      </c>
      <c r="BS210" s="14">
        <f t="shared" si="1080"/>
        <v>0</v>
      </c>
      <c r="BT210" s="14">
        <f t="shared" si="1080"/>
        <v>0</v>
      </c>
      <c r="BU210" s="14">
        <f t="shared" si="1080"/>
        <v>0</v>
      </c>
      <c r="BV210" s="11">
        <f t="shared" si="1080"/>
        <v>0</v>
      </c>
      <c r="BW210" s="11">
        <f t="shared" si="1080"/>
        <v>0</v>
      </c>
      <c r="BX210" s="11">
        <f t="shared" si="1080"/>
        <v>0</v>
      </c>
      <c r="BY210" s="11">
        <f t="shared" si="1080"/>
        <v>0</v>
      </c>
      <c r="BZ210" s="7">
        <f t="shared" si="1080"/>
        <v>0</v>
      </c>
      <c r="CA210" s="7">
        <f t="shared" si="1080"/>
        <v>0</v>
      </c>
      <c r="CB210" s="7">
        <f t="shared" ref="CB210:CP210" si="1081">IFERROR(VALUE(CB515),"-")</f>
        <v>0</v>
      </c>
      <c r="CC210" s="7">
        <f t="shared" si="1081"/>
        <v>0</v>
      </c>
      <c r="CD210" s="7">
        <f t="shared" si="1081"/>
        <v>0</v>
      </c>
      <c r="CE210" s="3">
        <f t="shared" si="1081"/>
        <v>0</v>
      </c>
      <c r="CF210" s="7">
        <f t="shared" si="1081"/>
        <v>0</v>
      </c>
      <c r="CG210" s="3">
        <f t="shared" si="1081"/>
        <v>0</v>
      </c>
      <c r="CH210" s="7">
        <f t="shared" si="1081"/>
        <v>0</v>
      </c>
      <c r="CI210" s="7">
        <f t="shared" si="1081"/>
        <v>0</v>
      </c>
      <c r="CJ210" s="3">
        <f t="shared" si="1081"/>
        <v>0</v>
      </c>
      <c r="CK210" s="7">
        <f t="shared" si="1081"/>
        <v>0</v>
      </c>
      <c r="CL210" s="3">
        <f t="shared" si="1081"/>
        <v>0</v>
      </c>
      <c r="CM210" s="7">
        <f t="shared" si="1081"/>
        <v>0</v>
      </c>
      <c r="CN210" s="10">
        <f t="shared" si="1081"/>
        <v>0</v>
      </c>
      <c r="CO210" s="10">
        <f t="shared" si="1081"/>
        <v>0</v>
      </c>
      <c r="CP210" s="7">
        <f t="shared" si="1081"/>
        <v>0</v>
      </c>
      <c r="CQ210" s="7">
        <f t="shared" ref="CQ210" si="1082">IFERROR(CQ515,"-")</f>
        <v>0</v>
      </c>
      <c r="CR210" s="10">
        <f t="shared" si="1067"/>
        <v>0</v>
      </c>
      <c r="CS210" s="7">
        <f t="shared" si="1067"/>
        <v>0</v>
      </c>
      <c r="CT210" s="7">
        <f t="shared" si="1067"/>
        <v>0</v>
      </c>
      <c r="CU210" s="7">
        <f t="shared" si="1067"/>
        <v>0</v>
      </c>
      <c r="CV210" s="7">
        <f t="shared" si="1067"/>
        <v>0</v>
      </c>
      <c r="CW210" s="7">
        <f t="shared" si="1067"/>
        <v>0</v>
      </c>
      <c r="CX210" s="7">
        <f t="shared" si="1067"/>
        <v>0</v>
      </c>
      <c r="CY210" s="7">
        <f t="shared" si="1067"/>
        <v>0</v>
      </c>
      <c r="CZ210" s="7">
        <f t="shared" si="1067"/>
        <v>0</v>
      </c>
      <c r="DA210" s="7">
        <f t="shared" si="1067"/>
        <v>0</v>
      </c>
      <c r="DB210" s="7">
        <f t="shared" si="1067"/>
        <v>0</v>
      </c>
      <c r="DC210" s="7">
        <f t="shared" si="1067"/>
        <v>0</v>
      </c>
      <c r="DD210" s="7">
        <f t="shared" si="1067"/>
        <v>0</v>
      </c>
      <c r="DE210" s="7">
        <f t="shared" si="1067"/>
        <v>0</v>
      </c>
      <c r="DF210" s="7">
        <f t="shared" si="1067"/>
        <v>0</v>
      </c>
      <c r="DG210" s="7">
        <f t="shared" si="1067"/>
        <v>0</v>
      </c>
      <c r="DH210" s="7">
        <f t="shared" ref="DH210:DJ210" si="1083">IFERROR(DH515,"-")</f>
        <v>0</v>
      </c>
      <c r="DI210" s="7">
        <f t="shared" si="1083"/>
        <v>0</v>
      </c>
      <c r="DJ210" s="7">
        <f t="shared" si="1083"/>
        <v>0</v>
      </c>
      <c r="DK210" s="64">
        <f t="shared" ref="DK210:DS210" si="1084">IFERROR(VALUE(DK515),"-")</f>
        <v>0</v>
      </c>
      <c r="DL210" s="64">
        <f t="shared" si="1084"/>
        <v>0</v>
      </c>
      <c r="DM210" s="64">
        <f t="shared" si="1084"/>
        <v>0</v>
      </c>
      <c r="DN210" s="64">
        <f t="shared" si="1084"/>
        <v>0</v>
      </c>
      <c r="DO210" s="64">
        <f t="shared" si="1084"/>
        <v>0</v>
      </c>
      <c r="DP210" s="64">
        <f t="shared" si="1084"/>
        <v>0</v>
      </c>
      <c r="DQ210" s="64">
        <f t="shared" si="1084"/>
        <v>0</v>
      </c>
      <c r="DR210" s="64">
        <f t="shared" si="1084"/>
        <v>0</v>
      </c>
      <c r="DS210" s="64">
        <f t="shared" si="1084"/>
        <v>0</v>
      </c>
      <c r="DT210">
        <f t="shared" si="1000"/>
        <v>0</v>
      </c>
      <c r="DU210" s="10">
        <f t="shared" si="1001"/>
        <v>0</v>
      </c>
    </row>
    <row r="211" spans="1:125" x14ac:dyDescent="0.25">
      <c r="A211" t="s">
        <v>71</v>
      </c>
      <c r="B211" s="2">
        <v>44798</v>
      </c>
      <c r="C211" s="1">
        <v>5200</v>
      </c>
      <c r="D211">
        <v>48</v>
      </c>
      <c r="G211" t="str">
        <f t="array" ref="G211">IFERROR(INDEX($A$2:$A$700,MATCH(0,COUNTIF($G$1:G210,$A$2:$A$700),0)),"")</f>
        <v/>
      </c>
      <c r="M211" s="3"/>
      <c r="N211" s="3"/>
      <c r="O211" s="3">
        <f t="shared" si="1002"/>
        <v>0</v>
      </c>
      <c r="P211" s="7">
        <f t="shared" ref="P211:CA211" si="1085">IFERROR(VALUE(P516),"-")</f>
        <v>0</v>
      </c>
      <c r="Q211" s="7">
        <f t="shared" si="1085"/>
        <v>0</v>
      </c>
      <c r="R211" s="7">
        <f t="shared" si="1085"/>
        <v>0</v>
      </c>
      <c r="S211" s="7">
        <f t="shared" si="1085"/>
        <v>0</v>
      </c>
      <c r="T211" s="11">
        <f t="shared" si="1085"/>
        <v>0</v>
      </c>
      <c r="U211" s="11">
        <f t="shared" si="1085"/>
        <v>0</v>
      </c>
      <c r="V211" s="11">
        <f t="shared" si="1085"/>
        <v>0</v>
      </c>
      <c r="W211" s="11">
        <f t="shared" si="1085"/>
        <v>0</v>
      </c>
      <c r="X211" s="14">
        <f t="shared" si="1085"/>
        <v>0</v>
      </c>
      <c r="Y211" s="14">
        <f t="shared" si="1085"/>
        <v>0</v>
      </c>
      <c r="Z211" s="14">
        <f t="shared" si="1085"/>
        <v>0</v>
      </c>
      <c r="AA211" s="14">
        <f t="shared" si="1085"/>
        <v>0</v>
      </c>
      <c r="AB211" s="15">
        <f t="shared" si="1085"/>
        <v>0</v>
      </c>
      <c r="AC211" s="15">
        <f t="shared" si="1085"/>
        <v>0</v>
      </c>
      <c r="AD211" s="13">
        <f t="shared" si="1085"/>
        <v>0</v>
      </c>
      <c r="AE211" s="13">
        <f t="shared" si="1085"/>
        <v>0</v>
      </c>
      <c r="AF211" s="12">
        <f t="shared" si="1085"/>
        <v>0</v>
      </c>
      <c r="AG211" s="12">
        <f t="shared" si="1085"/>
        <v>0</v>
      </c>
      <c r="AH211" s="13">
        <f t="shared" si="1085"/>
        <v>0</v>
      </c>
      <c r="AI211" s="13">
        <f t="shared" si="1085"/>
        <v>0</v>
      </c>
      <c r="AJ211" s="11">
        <f t="shared" si="1085"/>
        <v>0</v>
      </c>
      <c r="AK211" s="11">
        <f t="shared" si="1085"/>
        <v>0</v>
      </c>
      <c r="AL211" s="11">
        <f t="shared" si="1085"/>
        <v>0</v>
      </c>
      <c r="AM211" s="11">
        <f t="shared" si="1085"/>
        <v>0</v>
      </c>
      <c r="AN211" s="11">
        <f t="shared" si="1085"/>
        <v>0</v>
      </c>
      <c r="AO211" s="11">
        <f t="shared" si="1085"/>
        <v>0</v>
      </c>
      <c r="AP211" s="11">
        <f t="shared" si="1085"/>
        <v>0</v>
      </c>
      <c r="AQ211" s="11">
        <f t="shared" si="1085"/>
        <v>0</v>
      </c>
      <c r="AR211" s="16">
        <f t="shared" si="1085"/>
        <v>0</v>
      </c>
      <c r="AS211" s="16">
        <f t="shared" si="1085"/>
        <v>0</v>
      </c>
      <c r="AT211" s="16">
        <f t="shared" si="1085"/>
        <v>0</v>
      </c>
      <c r="AU211" s="7">
        <f t="shared" si="1085"/>
        <v>0</v>
      </c>
      <c r="AV211" s="7">
        <f t="shared" si="1085"/>
        <v>0</v>
      </c>
      <c r="AW211" s="7">
        <f t="shared" si="1085"/>
        <v>0</v>
      </c>
      <c r="AX211" s="7">
        <f t="shared" si="1085"/>
        <v>0</v>
      </c>
      <c r="AY211" s="11">
        <f t="shared" si="1085"/>
        <v>0</v>
      </c>
      <c r="AZ211" s="16">
        <f t="shared" si="1085"/>
        <v>0</v>
      </c>
      <c r="BA211" s="16">
        <f t="shared" si="1085"/>
        <v>0</v>
      </c>
      <c r="BB211" s="16">
        <f t="shared" si="1085"/>
        <v>0</v>
      </c>
      <c r="BC211" s="11">
        <f t="shared" si="1085"/>
        <v>0</v>
      </c>
      <c r="BD211" s="11">
        <f t="shared" si="1085"/>
        <v>0</v>
      </c>
      <c r="BE211" s="11">
        <f t="shared" si="1085"/>
        <v>0</v>
      </c>
      <c r="BF211" s="11">
        <f t="shared" si="1085"/>
        <v>0</v>
      </c>
      <c r="BG211" s="11">
        <f t="shared" si="1085"/>
        <v>0</v>
      </c>
      <c r="BH211" s="11">
        <f t="shared" si="1085"/>
        <v>0</v>
      </c>
      <c r="BI211" s="13">
        <f t="shared" si="1085"/>
        <v>0</v>
      </c>
      <c r="BJ211" s="13">
        <f t="shared" si="1085"/>
        <v>0</v>
      </c>
      <c r="BK211" s="11">
        <f t="shared" si="1085"/>
        <v>0</v>
      </c>
      <c r="BL211" s="12">
        <f t="shared" si="1085"/>
        <v>0</v>
      </c>
      <c r="BM211" s="12">
        <f t="shared" si="1085"/>
        <v>0</v>
      </c>
      <c r="BN211" s="13">
        <f t="shared" si="1085"/>
        <v>0</v>
      </c>
      <c r="BO211" s="13">
        <f t="shared" si="1085"/>
        <v>0</v>
      </c>
      <c r="BP211" s="15">
        <f t="shared" si="1085"/>
        <v>0</v>
      </c>
      <c r="BQ211" s="15">
        <f t="shared" si="1085"/>
        <v>0</v>
      </c>
      <c r="BR211" s="14">
        <f t="shared" si="1085"/>
        <v>0</v>
      </c>
      <c r="BS211" s="14">
        <f t="shared" si="1085"/>
        <v>0</v>
      </c>
      <c r="BT211" s="14">
        <f t="shared" si="1085"/>
        <v>0</v>
      </c>
      <c r="BU211" s="14">
        <f t="shared" si="1085"/>
        <v>0</v>
      </c>
      <c r="BV211" s="11">
        <f t="shared" si="1085"/>
        <v>0</v>
      </c>
      <c r="BW211" s="11">
        <f t="shared" si="1085"/>
        <v>0</v>
      </c>
      <c r="BX211" s="11">
        <f t="shared" si="1085"/>
        <v>0</v>
      </c>
      <c r="BY211" s="11">
        <f t="shared" si="1085"/>
        <v>0</v>
      </c>
      <c r="BZ211" s="7">
        <f t="shared" si="1085"/>
        <v>0</v>
      </c>
      <c r="CA211" s="7">
        <f t="shared" si="1085"/>
        <v>0</v>
      </c>
      <c r="CB211" s="7">
        <f t="shared" ref="CB211:CP211" si="1086">IFERROR(VALUE(CB516),"-")</f>
        <v>0</v>
      </c>
      <c r="CC211" s="7">
        <f t="shared" si="1086"/>
        <v>0</v>
      </c>
      <c r="CD211" s="7">
        <f t="shared" si="1086"/>
        <v>0</v>
      </c>
      <c r="CE211" s="3">
        <f t="shared" si="1086"/>
        <v>0</v>
      </c>
      <c r="CF211" s="7">
        <f t="shared" si="1086"/>
        <v>0</v>
      </c>
      <c r="CG211" s="3">
        <f t="shared" si="1086"/>
        <v>0</v>
      </c>
      <c r="CH211" s="7">
        <f t="shared" si="1086"/>
        <v>0</v>
      </c>
      <c r="CI211" s="7">
        <f t="shared" si="1086"/>
        <v>0</v>
      </c>
      <c r="CJ211" s="3">
        <f t="shared" si="1086"/>
        <v>0</v>
      </c>
      <c r="CK211" s="7">
        <f t="shared" si="1086"/>
        <v>0</v>
      </c>
      <c r="CL211" s="3">
        <f t="shared" si="1086"/>
        <v>0</v>
      </c>
      <c r="CM211" s="7">
        <f t="shared" si="1086"/>
        <v>0</v>
      </c>
      <c r="CN211" s="10">
        <f t="shared" si="1086"/>
        <v>0</v>
      </c>
      <c r="CO211" s="10">
        <f t="shared" si="1086"/>
        <v>0</v>
      </c>
      <c r="CP211" s="7">
        <f t="shared" si="1086"/>
        <v>0</v>
      </c>
      <c r="CQ211" s="7">
        <f t="shared" ref="CQ211" si="1087">IFERROR(CQ516,"-")</f>
        <v>0</v>
      </c>
      <c r="CR211" s="10">
        <f t="shared" si="1067"/>
        <v>0</v>
      </c>
      <c r="CS211" s="7">
        <f t="shared" si="1067"/>
        <v>0</v>
      </c>
      <c r="CT211" s="7">
        <f t="shared" si="1067"/>
        <v>0</v>
      </c>
      <c r="CU211" s="7">
        <f t="shared" si="1067"/>
        <v>0</v>
      </c>
      <c r="CV211" s="7">
        <f t="shared" si="1067"/>
        <v>0</v>
      </c>
      <c r="CW211" s="7">
        <f t="shared" si="1067"/>
        <v>0</v>
      </c>
      <c r="CX211" s="7">
        <f t="shared" si="1067"/>
        <v>0</v>
      </c>
      <c r="CY211" s="7">
        <f t="shared" si="1067"/>
        <v>0</v>
      </c>
      <c r="CZ211" s="7">
        <f t="shared" si="1067"/>
        <v>0</v>
      </c>
      <c r="DA211" s="7">
        <f t="shared" si="1067"/>
        <v>0</v>
      </c>
      <c r="DB211" s="7">
        <f t="shared" si="1067"/>
        <v>0</v>
      </c>
      <c r="DC211" s="7">
        <f t="shared" si="1067"/>
        <v>0</v>
      </c>
      <c r="DD211" s="7">
        <f t="shared" si="1067"/>
        <v>0</v>
      </c>
      <c r="DE211" s="7">
        <f t="shared" si="1067"/>
        <v>0</v>
      </c>
      <c r="DF211" s="7">
        <f t="shared" si="1067"/>
        <v>0</v>
      </c>
      <c r="DG211" s="7">
        <f t="shared" si="1067"/>
        <v>0</v>
      </c>
      <c r="DH211" s="7">
        <f t="shared" ref="DH211:DJ211" si="1088">IFERROR(DH516,"-")</f>
        <v>0</v>
      </c>
      <c r="DI211" s="7">
        <f t="shared" si="1088"/>
        <v>0</v>
      </c>
      <c r="DJ211" s="7">
        <f t="shared" si="1088"/>
        <v>0</v>
      </c>
      <c r="DK211" s="64">
        <f t="shared" ref="DK211:DS211" si="1089">IFERROR(VALUE(DK516),"-")</f>
        <v>0</v>
      </c>
      <c r="DL211" s="64">
        <f t="shared" si="1089"/>
        <v>0</v>
      </c>
      <c r="DM211" s="64">
        <f t="shared" si="1089"/>
        <v>0</v>
      </c>
      <c r="DN211" s="64">
        <f t="shared" si="1089"/>
        <v>0</v>
      </c>
      <c r="DO211" s="64">
        <f t="shared" si="1089"/>
        <v>0</v>
      </c>
      <c r="DP211" s="64">
        <f t="shared" si="1089"/>
        <v>0</v>
      </c>
      <c r="DQ211" s="64">
        <f t="shared" si="1089"/>
        <v>0</v>
      </c>
      <c r="DR211" s="64">
        <f t="shared" si="1089"/>
        <v>0</v>
      </c>
      <c r="DS211" s="64">
        <f t="shared" si="1089"/>
        <v>0</v>
      </c>
      <c r="DT211">
        <f t="shared" si="1000"/>
        <v>0</v>
      </c>
      <c r="DU211" s="10">
        <f t="shared" si="1001"/>
        <v>0</v>
      </c>
    </row>
    <row r="212" spans="1:125" x14ac:dyDescent="0.25">
      <c r="A212" t="s">
        <v>71</v>
      </c>
      <c r="B212" s="2">
        <v>44833</v>
      </c>
      <c r="C212" s="1">
        <v>5200</v>
      </c>
      <c r="D212">
        <v>48</v>
      </c>
      <c r="G212" t="str">
        <f t="array" ref="G212">IFERROR(INDEX($A$2:$A$700,MATCH(0,COUNTIF($G$1:G211,$A$2:$A$700),0)),"")</f>
        <v/>
      </c>
      <c r="M212" s="3"/>
      <c r="N212" s="3"/>
      <c r="O212" s="3">
        <f t="shared" si="1002"/>
        <v>0</v>
      </c>
      <c r="P212" s="7">
        <f t="shared" ref="P212:CA212" si="1090">IFERROR(VALUE(P517),"-")</f>
        <v>0</v>
      </c>
      <c r="Q212" s="7">
        <f t="shared" si="1090"/>
        <v>0</v>
      </c>
      <c r="R212" s="7">
        <f t="shared" si="1090"/>
        <v>0</v>
      </c>
      <c r="S212" s="7">
        <f t="shared" si="1090"/>
        <v>0</v>
      </c>
      <c r="T212" s="11">
        <f t="shared" si="1090"/>
        <v>0</v>
      </c>
      <c r="U212" s="11">
        <f t="shared" si="1090"/>
        <v>0</v>
      </c>
      <c r="V212" s="11">
        <f t="shared" si="1090"/>
        <v>0</v>
      </c>
      <c r="W212" s="11">
        <f t="shared" si="1090"/>
        <v>0</v>
      </c>
      <c r="X212" s="14">
        <f t="shared" si="1090"/>
        <v>0</v>
      </c>
      <c r="Y212" s="14">
        <f t="shared" si="1090"/>
        <v>0</v>
      </c>
      <c r="Z212" s="14">
        <f t="shared" si="1090"/>
        <v>0</v>
      </c>
      <c r="AA212" s="14">
        <f t="shared" si="1090"/>
        <v>0</v>
      </c>
      <c r="AB212" s="15">
        <f t="shared" si="1090"/>
        <v>0</v>
      </c>
      <c r="AC212" s="15">
        <f t="shared" si="1090"/>
        <v>0</v>
      </c>
      <c r="AD212" s="13">
        <f t="shared" si="1090"/>
        <v>0</v>
      </c>
      <c r="AE212" s="13">
        <f t="shared" si="1090"/>
        <v>0</v>
      </c>
      <c r="AF212" s="12">
        <f t="shared" si="1090"/>
        <v>0</v>
      </c>
      <c r="AG212" s="12">
        <f t="shared" si="1090"/>
        <v>0</v>
      </c>
      <c r="AH212" s="13">
        <f t="shared" si="1090"/>
        <v>0</v>
      </c>
      <c r="AI212" s="13">
        <f t="shared" si="1090"/>
        <v>0</v>
      </c>
      <c r="AJ212" s="11">
        <f t="shared" si="1090"/>
        <v>0</v>
      </c>
      <c r="AK212" s="11">
        <f t="shared" si="1090"/>
        <v>0</v>
      </c>
      <c r="AL212" s="11">
        <f t="shared" si="1090"/>
        <v>0</v>
      </c>
      <c r="AM212" s="11">
        <f t="shared" si="1090"/>
        <v>0</v>
      </c>
      <c r="AN212" s="11">
        <f t="shared" si="1090"/>
        <v>0</v>
      </c>
      <c r="AO212" s="11">
        <f t="shared" si="1090"/>
        <v>0</v>
      </c>
      <c r="AP212" s="11">
        <f t="shared" si="1090"/>
        <v>0</v>
      </c>
      <c r="AQ212" s="11">
        <f t="shared" si="1090"/>
        <v>0</v>
      </c>
      <c r="AR212" s="16">
        <f t="shared" si="1090"/>
        <v>0</v>
      </c>
      <c r="AS212" s="16">
        <f t="shared" si="1090"/>
        <v>0</v>
      </c>
      <c r="AT212" s="16">
        <f t="shared" si="1090"/>
        <v>0</v>
      </c>
      <c r="AU212" s="7">
        <f t="shared" si="1090"/>
        <v>0</v>
      </c>
      <c r="AV212" s="7">
        <f t="shared" si="1090"/>
        <v>0</v>
      </c>
      <c r="AW212" s="7">
        <f t="shared" si="1090"/>
        <v>0</v>
      </c>
      <c r="AX212" s="7">
        <f t="shared" si="1090"/>
        <v>0</v>
      </c>
      <c r="AY212" s="11">
        <f t="shared" si="1090"/>
        <v>0</v>
      </c>
      <c r="AZ212" s="16">
        <f t="shared" si="1090"/>
        <v>0</v>
      </c>
      <c r="BA212" s="16">
        <f t="shared" si="1090"/>
        <v>0</v>
      </c>
      <c r="BB212" s="16">
        <f t="shared" si="1090"/>
        <v>0</v>
      </c>
      <c r="BC212" s="11">
        <f t="shared" si="1090"/>
        <v>0</v>
      </c>
      <c r="BD212" s="11">
        <f t="shared" si="1090"/>
        <v>0</v>
      </c>
      <c r="BE212" s="11">
        <f t="shared" si="1090"/>
        <v>0</v>
      </c>
      <c r="BF212" s="11">
        <f t="shared" si="1090"/>
        <v>0</v>
      </c>
      <c r="BG212" s="11">
        <f t="shared" si="1090"/>
        <v>0</v>
      </c>
      <c r="BH212" s="11">
        <f t="shared" si="1090"/>
        <v>0</v>
      </c>
      <c r="BI212" s="13">
        <f t="shared" si="1090"/>
        <v>0</v>
      </c>
      <c r="BJ212" s="13">
        <f t="shared" si="1090"/>
        <v>0</v>
      </c>
      <c r="BK212" s="11">
        <f t="shared" si="1090"/>
        <v>0</v>
      </c>
      <c r="BL212" s="12">
        <f t="shared" si="1090"/>
        <v>0</v>
      </c>
      <c r="BM212" s="12">
        <f t="shared" si="1090"/>
        <v>0</v>
      </c>
      <c r="BN212" s="13">
        <f t="shared" si="1090"/>
        <v>0</v>
      </c>
      <c r="BO212" s="13">
        <f t="shared" si="1090"/>
        <v>0</v>
      </c>
      <c r="BP212" s="15">
        <f t="shared" si="1090"/>
        <v>0</v>
      </c>
      <c r="BQ212" s="15">
        <f t="shared" si="1090"/>
        <v>0</v>
      </c>
      <c r="BR212" s="14">
        <f t="shared" si="1090"/>
        <v>0</v>
      </c>
      <c r="BS212" s="14">
        <f t="shared" si="1090"/>
        <v>0</v>
      </c>
      <c r="BT212" s="14">
        <f t="shared" si="1090"/>
        <v>0</v>
      </c>
      <c r="BU212" s="14">
        <f t="shared" si="1090"/>
        <v>0</v>
      </c>
      <c r="BV212" s="11">
        <f t="shared" si="1090"/>
        <v>0</v>
      </c>
      <c r="BW212" s="11">
        <f t="shared" si="1090"/>
        <v>0</v>
      </c>
      <c r="BX212" s="11">
        <f t="shared" si="1090"/>
        <v>0</v>
      </c>
      <c r="BY212" s="11">
        <f t="shared" si="1090"/>
        <v>0</v>
      </c>
      <c r="BZ212" s="7">
        <f t="shared" si="1090"/>
        <v>0</v>
      </c>
      <c r="CA212" s="7">
        <f t="shared" si="1090"/>
        <v>0</v>
      </c>
      <c r="CB212" s="7">
        <f t="shared" ref="CB212:CP212" si="1091">IFERROR(VALUE(CB517),"-")</f>
        <v>0</v>
      </c>
      <c r="CC212" s="7">
        <f t="shared" si="1091"/>
        <v>0</v>
      </c>
      <c r="CD212" s="7">
        <f t="shared" si="1091"/>
        <v>0</v>
      </c>
      <c r="CE212" s="3">
        <f t="shared" si="1091"/>
        <v>0</v>
      </c>
      <c r="CF212" s="7">
        <f t="shared" si="1091"/>
        <v>0</v>
      </c>
      <c r="CG212" s="3">
        <f t="shared" si="1091"/>
        <v>0</v>
      </c>
      <c r="CH212" s="7">
        <f t="shared" si="1091"/>
        <v>0</v>
      </c>
      <c r="CI212" s="7">
        <f t="shared" si="1091"/>
        <v>0</v>
      </c>
      <c r="CJ212" s="3">
        <f t="shared" si="1091"/>
        <v>0</v>
      </c>
      <c r="CK212" s="7">
        <f t="shared" si="1091"/>
        <v>0</v>
      </c>
      <c r="CL212" s="3">
        <f t="shared" si="1091"/>
        <v>0</v>
      </c>
      <c r="CM212" s="7">
        <f t="shared" si="1091"/>
        <v>0</v>
      </c>
      <c r="CN212" s="10">
        <f t="shared" si="1091"/>
        <v>0</v>
      </c>
      <c r="CO212" s="10">
        <f t="shared" si="1091"/>
        <v>0</v>
      </c>
      <c r="CP212" s="7">
        <f t="shared" si="1091"/>
        <v>0</v>
      </c>
      <c r="CQ212" s="7">
        <f t="shared" ref="CQ212" si="1092">IFERROR(CQ517,"-")</f>
        <v>0</v>
      </c>
      <c r="CR212" s="10">
        <f t="shared" si="1067"/>
        <v>0</v>
      </c>
      <c r="CS212" s="7">
        <f t="shared" si="1067"/>
        <v>0</v>
      </c>
      <c r="CT212" s="7">
        <f t="shared" si="1067"/>
        <v>0</v>
      </c>
      <c r="CU212" s="7">
        <f t="shared" si="1067"/>
        <v>0</v>
      </c>
      <c r="CV212" s="7">
        <f t="shared" si="1067"/>
        <v>0</v>
      </c>
      <c r="CW212" s="7">
        <f t="shared" si="1067"/>
        <v>0</v>
      </c>
      <c r="CX212" s="7">
        <f t="shared" si="1067"/>
        <v>0</v>
      </c>
      <c r="CY212" s="7">
        <f t="shared" si="1067"/>
        <v>0</v>
      </c>
      <c r="CZ212" s="7">
        <f t="shared" si="1067"/>
        <v>0</v>
      </c>
      <c r="DA212" s="7">
        <f t="shared" si="1067"/>
        <v>0</v>
      </c>
      <c r="DB212" s="7">
        <f t="shared" si="1067"/>
        <v>0</v>
      </c>
      <c r="DC212" s="7">
        <f t="shared" si="1067"/>
        <v>0</v>
      </c>
      <c r="DD212" s="7">
        <f t="shared" si="1067"/>
        <v>0</v>
      </c>
      <c r="DE212" s="7">
        <f t="shared" si="1067"/>
        <v>0</v>
      </c>
      <c r="DF212" s="7">
        <f t="shared" si="1067"/>
        <v>0</v>
      </c>
      <c r="DG212" s="7">
        <f t="shared" si="1067"/>
        <v>0</v>
      </c>
      <c r="DH212" s="7">
        <f t="shared" ref="DH212:DJ212" si="1093">IFERROR(DH517,"-")</f>
        <v>0</v>
      </c>
      <c r="DI212" s="7">
        <f t="shared" si="1093"/>
        <v>0</v>
      </c>
      <c r="DJ212" s="7">
        <f t="shared" si="1093"/>
        <v>0</v>
      </c>
      <c r="DK212" s="64">
        <f t="shared" ref="DK212:DS212" si="1094">IFERROR(VALUE(DK517),"-")</f>
        <v>0</v>
      </c>
      <c r="DL212" s="64">
        <f t="shared" si="1094"/>
        <v>0</v>
      </c>
      <c r="DM212" s="64">
        <f t="shared" si="1094"/>
        <v>0</v>
      </c>
      <c r="DN212" s="64">
        <f t="shared" si="1094"/>
        <v>0</v>
      </c>
      <c r="DO212" s="64">
        <f t="shared" si="1094"/>
        <v>0</v>
      </c>
      <c r="DP212" s="64">
        <f t="shared" si="1094"/>
        <v>0</v>
      </c>
      <c r="DQ212" s="64">
        <f t="shared" si="1094"/>
        <v>0</v>
      </c>
      <c r="DR212" s="64">
        <f t="shared" si="1094"/>
        <v>0</v>
      </c>
      <c r="DS212" s="64">
        <f t="shared" si="1094"/>
        <v>0</v>
      </c>
      <c r="DT212">
        <f t="shared" si="1000"/>
        <v>0</v>
      </c>
      <c r="DU212" s="10">
        <f t="shared" si="1001"/>
        <v>0</v>
      </c>
    </row>
    <row r="213" spans="1:125" x14ac:dyDescent="0.25">
      <c r="A213" t="s">
        <v>71</v>
      </c>
      <c r="B213" s="2">
        <v>44861</v>
      </c>
      <c r="C213" s="1">
        <v>5200</v>
      </c>
      <c r="D213">
        <v>48</v>
      </c>
      <c r="G213" t="str">
        <f t="array" ref="G213">IFERROR(INDEX($A$2:$A$700,MATCH(0,COUNTIF($G$1:G212,$A$2:$A$700),0)),"")</f>
        <v/>
      </c>
      <c r="M213" s="3"/>
      <c r="N213" s="3"/>
      <c r="O213" s="3">
        <f t="shared" si="1002"/>
        <v>0</v>
      </c>
      <c r="P213" s="7">
        <f t="shared" ref="P213:CA213" si="1095">IFERROR(VALUE(P518),"-")</f>
        <v>0</v>
      </c>
      <c r="Q213" s="7">
        <f t="shared" si="1095"/>
        <v>0</v>
      </c>
      <c r="R213" s="7">
        <f t="shared" si="1095"/>
        <v>0</v>
      </c>
      <c r="S213" s="7">
        <f t="shared" si="1095"/>
        <v>0</v>
      </c>
      <c r="T213" s="11">
        <f t="shared" si="1095"/>
        <v>0</v>
      </c>
      <c r="U213" s="11">
        <f t="shared" si="1095"/>
        <v>0</v>
      </c>
      <c r="V213" s="11">
        <f t="shared" si="1095"/>
        <v>0</v>
      </c>
      <c r="W213" s="11">
        <f t="shared" si="1095"/>
        <v>0</v>
      </c>
      <c r="X213" s="14">
        <f t="shared" si="1095"/>
        <v>0</v>
      </c>
      <c r="Y213" s="14">
        <f t="shared" si="1095"/>
        <v>0</v>
      </c>
      <c r="Z213" s="14">
        <f t="shared" si="1095"/>
        <v>0</v>
      </c>
      <c r="AA213" s="14">
        <f t="shared" si="1095"/>
        <v>0</v>
      </c>
      <c r="AB213" s="15">
        <f t="shared" si="1095"/>
        <v>0</v>
      </c>
      <c r="AC213" s="15">
        <f t="shared" si="1095"/>
        <v>0</v>
      </c>
      <c r="AD213" s="13">
        <f t="shared" si="1095"/>
        <v>0</v>
      </c>
      <c r="AE213" s="13">
        <f t="shared" si="1095"/>
        <v>0</v>
      </c>
      <c r="AF213" s="12">
        <f t="shared" si="1095"/>
        <v>0</v>
      </c>
      <c r="AG213" s="12">
        <f t="shared" si="1095"/>
        <v>0</v>
      </c>
      <c r="AH213" s="13">
        <f t="shared" si="1095"/>
        <v>0</v>
      </c>
      <c r="AI213" s="13">
        <f t="shared" si="1095"/>
        <v>0</v>
      </c>
      <c r="AJ213" s="11">
        <f t="shared" si="1095"/>
        <v>0</v>
      </c>
      <c r="AK213" s="11">
        <f t="shared" si="1095"/>
        <v>0</v>
      </c>
      <c r="AL213" s="11">
        <f t="shared" si="1095"/>
        <v>0</v>
      </c>
      <c r="AM213" s="11">
        <f t="shared" si="1095"/>
        <v>0</v>
      </c>
      <c r="AN213" s="11">
        <f t="shared" si="1095"/>
        <v>0</v>
      </c>
      <c r="AO213" s="11">
        <f t="shared" si="1095"/>
        <v>0</v>
      </c>
      <c r="AP213" s="11">
        <f t="shared" si="1095"/>
        <v>0</v>
      </c>
      <c r="AQ213" s="11">
        <f t="shared" si="1095"/>
        <v>0</v>
      </c>
      <c r="AR213" s="16">
        <f t="shared" si="1095"/>
        <v>0</v>
      </c>
      <c r="AS213" s="16">
        <f t="shared" si="1095"/>
        <v>0</v>
      </c>
      <c r="AT213" s="16">
        <f t="shared" si="1095"/>
        <v>0</v>
      </c>
      <c r="AU213" s="7">
        <f t="shared" si="1095"/>
        <v>0</v>
      </c>
      <c r="AV213" s="7">
        <f t="shared" si="1095"/>
        <v>0</v>
      </c>
      <c r="AW213" s="7">
        <f t="shared" si="1095"/>
        <v>0</v>
      </c>
      <c r="AX213" s="7">
        <f t="shared" si="1095"/>
        <v>0</v>
      </c>
      <c r="AY213" s="11">
        <f t="shared" si="1095"/>
        <v>0</v>
      </c>
      <c r="AZ213" s="16">
        <f t="shared" si="1095"/>
        <v>0</v>
      </c>
      <c r="BA213" s="16">
        <f t="shared" si="1095"/>
        <v>0</v>
      </c>
      <c r="BB213" s="16">
        <f t="shared" si="1095"/>
        <v>0</v>
      </c>
      <c r="BC213" s="11">
        <f t="shared" si="1095"/>
        <v>0</v>
      </c>
      <c r="BD213" s="11">
        <f t="shared" si="1095"/>
        <v>0</v>
      </c>
      <c r="BE213" s="11">
        <f t="shared" si="1095"/>
        <v>0</v>
      </c>
      <c r="BF213" s="11">
        <f t="shared" si="1095"/>
        <v>0</v>
      </c>
      <c r="BG213" s="11">
        <f t="shared" si="1095"/>
        <v>0</v>
      </c>
      <c r="BH213" s="11">
        <f t="shared" si="1095"/>
        <v>0</v>
      </c>
      <c r="BI213" s="13">
        <f t="shared" si="1095"/>
        <v>0</v>
      </c>
      <c r="BJ213" s="13">
        <f t="shared" si="1095"/>
        <v>0</v>
      </c>
      <c r="BK213" s="11">
        <f t="shared" si="1095"/>
        <v>0</v>
      </c>
      <c r="BL213" s="12">
        <f t="shared" si="1095"/>
        <v>0</v>
      </c>
      <c r="BM213" s="12">
        <f t="shared" si="1095"/>
        <v>0</v>
      </c>
      <c r="BN213" s="13">
        <f t="shared" si="1095"/>
        <v>0</v>
      </c>
      <c r="BO213" s="13">
        <f t="shared" si="1095"/>
        <v>0</v>
      </c>
      <c r="BP213" s="15">
        <f t="shared" si="1095"/>
        <v>0</v>
      </c>
      <c r="BQ213" s="15">
        <f t="shared" si="1095"/>
        <v>0</v>
      </c>
      <c r="BR213" s="14">
        <f t="shared" si="1095"/>
        <v>0</v>
      </c>
      <c r="BS213" s="14">
        <f t="shared" si="1095"/>
        <v>0</v>
      </c>
      <c r="BT213" s="14">
        <f t="shared" si="1095"/>
        <v>0</v>
      </c>
      <c r="BU213" s="14">
        <f t="shared" si="1095"/>
        <v>0</v>
      </c>
      <c r="BV213" s="11">
        <f t="shared" si="1095"/>
        <v>0</v>
      </c>
      <c r="BW213" s="11">
        <f t="shared" si="1095"/>
        <v>0</v>
      </c>
      <c r="BX213" s="11">
        <f t="shared" si="1095"/>
        <v>0</v>
      </c>
      <c r="BY213" s="11">
        <f t="shared" si="1095"/>
        <v>0</v>
      </c>
      <c r="BZ213" s="7">
        <f t="shared" si="1095"/>
        <v>0</v>
      </c>
      <c r="CA213" s="7">
        <f t="shared" si="1095"/>
        <v>0</v>
      </c>
      <c r="CB213" s="7">
        <f t="shared" ref="CB213:CP213" si="1096">IFERROR(VALUE(CB518),"-")</f>
        <v>0</v>
      </c>
      <c r="CC213" s="7">
        <f t="shared" si="1096"/>
        <v>0</v>
      </c>
      <c r="CD213" s="7">
        <f t="shared" si="1096"/>
        <v>0</v>
      </c>
      <c r="CE213" s="3">
        <f t="shared" si="1096"/>
        <v>0</v>
      </c>
      <c r="CF213" s="7">
        <f t="shared" si="1096"/>
        <v>0</v>
      </c>
      <c r="CG213" s="3">
        <f t="shared" si="1096"/>
        <v>0</v>
      </c>
      <c r="CH213" s="7">
        <f t="shared" si="1096"/>
        <v>0</v>
      </c>
      <c r="CI213" s="7">
        <f t="shared" si="1096"/>
        <v>0</v>
      </c>
      <c r="CJ213" s="3">
        <f t="shared" si="1096"/>
        <v>0</v>
      </c>
      <c r="CK213" s="7">
        <f t="shared" si="1096"/>
        <v>0</v>
      </c>
      <c r="CL213" s="3">
        <f t="shared" si="1096"/>
        <v>0</v>
      </c>
      <c r="CM213" s="7">
        <f t="shared" si="1096"/>
        <v>0</v>
      </c>
      <c r="CN213" s="10">
        <f t="shared" si="1096"/>
        <v>0</v>
      </c>
      <c r="CO213" s="10">
        <f t="shared" si="1096"/>
        <v>0</v>
      </c>
      <c r="CP213" s="7">
        <f t="shared" si="1096"/>
        <v>0</v>
      </c>
      <c r="CQ213" s="7">
        <f t="shared" ref="CQ213" si="1097">IFERROR(CQ518,"-")</f>
        <v>0</v>
      </c>
      <c r="CR213" s="10">
        <f t="shared" si="1067"/>
        <v>0</v>
      </c>
      <c r="CS213" s="7">
        <f t="shared" si="1067"/>
        <v>0</v>
      </c>
      <c r="CT213" s="7">
        <f t="shared" si="1067"/>
        <v>0</v>
      </c>
      <c r="CU213" s="7">
        <f t="shared" si="1067"/>
        <v>0</v>
      </c>
      <c r="CV213" s="7">
        <f t="shared" si="1067"/>
        <v>0</v>
      </c>
      <c r="CW213" s="7">
        <f t="shared" si="1067"/>
        <v>0</v>
      </c>
      <c r="CX213" s="7">
        <f t="shared" si="1067"/>
        <v>0</v>
      </c>
      <c r="CY213" s="7">
        <f t="shared" si="1067"/>
        <v>0</v>
      </c>
      <c r="CZ213" s="7">
        <f t="shared" si="1067"/>
        <v>0</v>
      </c>
      <c r="DA213" s="7">
        <f t="shared" si="1067"/>
        <v>0</v>
      </c>
      <c r="DB213" s="7">
        <f t="shared" si="1067"/>
        <v>0</v>
      </c>
      <c r="DC213" s="7">
        <f t="shared" si="1067"/>
        <v>0</v>
      </c>
      <c r="DD213" s="7">
        <f t="shared" si="1067"/>
        <v>0</v>
      </c>
      <c r="DE213" s="7">
        <f t="shared" si="1067"/>
        <v>0</v>
      </c>
      <c r="DF213" s="7">
        <f t="shared" si="1067"/>
        <v>0</v>
      </c>
      <c r="DG213" s="7">
        <f t="shared" si="1067"/>
        <v>0</v>
      </c>
      <c r="DH213" s="7">
        <f t="shared" ref="DH213:DJ213" si="1098">IFERROR(DH518,"-")</f>
        <v>0</v>
      </c>
      <c r="DI213" s="7">
        <f t="shared" si="1098"/>
        <v>0</v>
      </c>
      <c r="DJ213" s="7">
        <f t="shared" si="1098"/>
        <v>0</v>
      </c>
      <c r="DK213" s="64">
        <f t="shared" ref="DK213:DS213" si="1099">IFERROR(VALUE(DK518),"-")</f>
        <v>0</v>
      </c>
      <c r="DL213" s="64">
        <f t="shared" si="1099"/>
        <v>0</v>
      </c>
      <c r="DM213" s="64">
        <f t="shared" si="1099"/>
        <v>0</v>
      </c>
      <c r="DN213" s="64">
        <f t="shared" si="1099"/>
        <v>0</v>
      </c>
      <c r="DO213" s="64">
        <f t="shared" si="1099"/>
        <v>0</v>
      </c>
      <c r="DP213" s="64">
        <f t="shared" si="1099"/>
        <v>0</v>
      </c>
      <c r="DQ213" s="64">
        <f t="shared" si="1099"/>
        <v>0</v>
      </c>
      <c r="DR213" s="64">
        <f t="shared" si="1099"/>
        <v>0</v>
      </c>
      <c r="DS213" s="64">
        <f t="shared" si="1099"/>
        <v>0</v>
      </c>
      <c r="DT213">
        <f t="shared" si="1000"/>
        <v>0</v>
      </c>
      <c r="DU213" s="10">
        <f t="shared" si="1001"/>
        <v>0</v>
      </c>
    </row>
    <row r="214" spans="1:125" x14ac:dyDescent="0.25">
      <c r="A214" t="s">
        <v>72</v>
      </c>
      <c r="B214" s="2">
        <v>44798</v>
      </c>
      <c r="C214" s="1">
        <v>6100</v>
      </c>
      <c r="D214">
        <v>58</v>
      </c>
      <c r="G214" t="str">
        <f t="array" ref="G214">IFERROR(INDEX($A$2:$A$700,MATCH(0,COUNTIF($G$1:G213,$A$2:$A$700),0)),"")</f>
        <v/>
      </c>
      <c r="M214" s="3"/>
      <c r="N214" s="3"/>
      <c r="O214" s="3">
        <f t="shared" si="1002"/>
        <v>0</v>
      </c>
      <c r="P214" s="7">
        <f t="shared" ref="P214:CA214" si="1100">IFERROR(VALUE(P519),"-")</f>
        <v>0</v>
      </c>
      <c r="Q214" s="7">
        <f t="shared" si="1100"/>
        <v>0</v>
      </c>
      <c r="R214" s="7">
        <f t="shared" si="1100"/>
        <v>0</v>
      </c>
      <c r="S214" s="7">
        <f t="shared" si="1100"/>
        <v>0</v>
      </c>
      <c r="T214" s="11">
        <f t="shared" si="1100"/>
        <v>0</v>
      </c>
      <c r="U214" s="11">
        <f t="shared" si="1100"/>
        <v>0</v>
      </c>
      <c r="V214" s="11">
        <f t="shared" si="1100"/>
        <v>0</v>
      </c>
      <c r="W214" s="11">
        <f t="shared" si="1100"/>
        <v>0</v>
      </c>
      <c r="X214" s="14">
        <f t="shared" si="1100"/>
        <v>0</v>
      </c>
      <c r="Y214" s="14">
        <f t="shared" si="1100"/>
        <v>0</v>
      </c>
      <c r="Z214" s="14">
        <f t="shared" si="1100"/>
        <v>0</v>
      </c>
      <c r="AA214" s="14">
        <f t="shared" si="1100"/>
        <v>0</v>
      </c>
      <c r="AB214" s="15">
        <f t="shared" si="1100"/>
        <v>0</v>
      </c>
      <c r="AC214" s="15">
        <f t="shared" si="1100"/>
        <v>0</v>
      </c>
      <c r="AD214" s="13">
        <f t="shared" si="1100"/>
        <v>0</v>
      </c>
      <c r="AE214" s="13">
        <f t="shared" si="1100"/>
        <v>0</v>
      </c>
      <c r="AF214" s="12">
        <f t="shared" si="1100"/>
        <v>0</v>
      </c>
      <c r="AG214" s="12">
        <f t="shared" si="1100"/>
        <v>0</v>
      </c>
      <c r="AH214" s="13">
        <f t="shared" si="1100"/>
        <v>0</v>
      </c>
      <c r="AI214" s="13">
        <f t="shared" si="1100"/>
        <v>0</v>
      </c>
      <c r="AJ214" s="11">
        <f t="shared" si="1100"/>
        <v>0</v>
      </c>
      <c r="AK214" s="11">
        <f t="shared" si="1100"/>
        <v>0</v>
      </c>
      <c r="AL214" s="11">
        <f t="shared" si="1100"/>
        <v>0</v>
      </c>
      <c r="AM214" s="11">
        <f t="shared" si="1100"/>
        <v>0</v>
      </c>
      <c r="AN214" s="11">
        <f t="shared" si="1100"/>
        <v>0</v>
      </c>
      <c r="AO214" s="11">
        <f t="shared" si="1100"/>
        <v>0</v>
      </c>
      <c r="AP214" s="11">
        <f t="shared" si="1100"/>
        <v>0</v>
      </c>
      <c r="AQ214" s="11">
        <f t="shared" si="1100"/>
        <v>0</v>
      </c>
      <c r="AR214" s="16">
        <f t="shared" si="1100"/>
        <v>0</v>
      </c>
      <c r="AS214" s="16">
        <f t="shared" si="1100"/>
        <v>0</v>
      </c>
      <c r="AT214" s="16">
        <f t="shared" si="1100"/>
        <v>0</v>
      </c>
      <c r="AU214" s="7">
        <f t="shared" si="1100"/>
        <v>0</v>
      </c>
      <c r="AV214" s="7">
        <f t="shared" si="1100"/>
        <v>0</v>
      </c>
      <c r="AW214" s="7">
        <f t="shared" si="1100"/>
        <v>0</v>
      </c>
      <c r="AX214" s="7">
        <f t="shared" si="1100"/>
        <v>0</v>
      </c>
      <c r="AY214" s="11">
        <f t="shared" si="1100"/>
        <v>0</v>
      </c>
      <c r="AZ214" s="16">
        <f t="shared" si="1100"/>
        <v>0</v>
      </c>
      <c r="BA214" s="16">
        <f t="shared" si="1100"/>
        <v>0</v>
      </c>
      <c r="BB214" s="16">
        <f t="shared" si="1100"/>
        <v>0</v>
      </c>
      <c r="BC214" s="11">
        <f t="shared" si="1100"/>
        <v>0</v>
      </c>
      <c r="BD214" s="11">
        <f t="shared" si="1100"/>
        <v>0</v>
      </c>
      <c r="BE214" s="11">
        <f t="shared" si="1100"/>
        <v>0</v>
      </c>
      <c r="BF214" s="11">
        <f t="shared" si="1100"/>
        <v>0</v>
      </c>
      <c r="BG214" s="11">
        <f t="shared" si="1100"/>
        <v>0</v>
      </c>
      <c r="BH214" s="11">
        <f t="shared" si="1100"/>
        <v>0</v>
      </c>
      <c r="BI214" s="13">
        <f t="shared" si="1100"/>
        <v>0</v>
      </c>
      <c r="BJ214" s="13">
        <f t="shared" si="1100"/>
        <v>0</v>
      </c>
      <c r="BK214" s="11">
        <f t="shared" si="1100"/>
        <v>0</v>
      </c>
      <c r="BL214" s="12">
        <f t="shared" si="1100"/>
        <v>0</v>
      </c>
      <c r="BM214" s="12">
        <f t="shared" si="1100"/>
        <v>0</v>
      </c>
      <c r="BN214" s="13">
        <f t="shared" si="1100"/>
        <v>0</v>
      </c>
      <c r="BO214" s="13">
        <f t="shared" si="1100"/>
        <v>0</v>
      </c>
      <c r="BP214" s="15">
        <f t="shared" si="1100"/>
        <v>0</v>
      </c>
      <c r="BQ214" s="15">
        <f t="shared" si="1100"/>
        <v>0</v>
      </c>
      <c r="BR214" s="14">
        <f t="shared" si="1100"/>
        <v>0</v>
      </c>
      <c r="BS214" s="14">
        <f t="shared" si="1100"/>
        <v>0</v>
      </c>
      <c r="BT214" s="14">
        <f t="shared" si="1100"/>
        <v>0</v>
      </c>
      <c r="BU214" s="14">
        <f t="shared" si="1100"/>
        <v>0</v>
      </c>
      <c r="BV214" s="11">
        <f t="shared" si="1100"/>
        <v>0</v>
      </c>
      <c r="BW214" s="11">
        <f t="shared" si="1100"/>
        <v>0</v>
      </c>
      <c r="BX214" s="11">
        <f t="shared" si="1100"/>
        <v>0</v>
      </c>
      <c r="BY214" s="11">
        <f t="shared" si="1100"/>
        <v>0</v>
      </c>
      <c r="BZ214" s="7">
        <f t="shared" si="1100"/>
        <v>0</v>
      </c>
      <c r="CA214" s="7">
        <f t="shared" si="1100"/>
        <v>0</v>
      </c>
      <c r="CB214" s="7">
        <f t="shared" ref="CB214:CP214" si="1101">IFERROR(VALUE(CB519),"-")</f>
        <v>0</v>
      </c>
      <c r="CC214" s="7">
        <f t="shared" si="1101"/>
        <v>0</v>
      </c>
      <c r="CD214" s="7">
        <f t="shared" si="1101"/>
        <v>0</v>
      </c>
      <c r="CE214" s="3">
        <f t="shared" si="1101"/>
        <v>0</v>
      </c>
      <c r="CF214" s="7">
        <f t="shared" si="1101"/>
        <v>0</v>
      </c>
      <c r="CG214" s="3">
        <f t="shared" si="1101"/>
        <v>0</v>
      </c>
      <c r="CH214" s="7">
        <f t="shared" si="1101"/>
        <v>0</v>
      </c>
      <c r="CI214" s="7">
        <f t="shared" si="1101"/>
        <v>0</v>
      </c>
      <c r="CJ214" s="3">
        <f t="shared" si="1101"/>
        <v>0</v>
      </c>
      <c r="CK214" s="7">
        <f t="shared" si="1101"/>
        <v>0</v>
      </c>
      <c r="CL214" s="3">
        <f t="shared" si="1101"/>
        <v>0</v>
      </c>
      <c r="CM214" s="7">
        <f t="shared" si="1101"/>
        <v>0</v>
      </c>
      <c r="CN214" s="10">
        <f t="shared" si="1101"/>
        <v>0</v>
      </c>
      <c r="CO214" s="10">
        <f t="shared" si="1101"/>
        <v>0</v>
      </c>
      <c r="CP214" s="7">
        <f t="shared" si="1101"/>
        <v>0</v>
      </c>
      <c r="CQ214" s="7">
        <f t="shared" ref="CQ214" si="1102">IFERROR(CQ519,"-")</f>
        <v>0</v>
      </c>
      <c r="CR214" s="10">
        <f t="shared" si="1067"/>
        <v>0</v>
      </c>
      <c r="CS214" s="7">
        <f t="shared" si="1067"/>
        <v>0</v>
      </c>
      <c r="CT214" s="7">
        <f t="shared" si="1067"/>
        <v>0</v>
      </c>
      <c r="CU214" s="7">
        <f t="shared" si="1067"/>
        <v>0</v>
      </c>
      <c r="CV214" s="7">
        <f t="shared" si="1067"/>
        <v>0</v>
      </c>
      <c r="CW214" s="7">
        <f t="shared" si="1067"/>
        <v>0</v>
      </c>
      <c r="CX214" s="7">
        <f t="shared" si="1067"/>
        <v>0</v>
      </c>
      <c r="CY214" s="7">
        <f t="shared" si="1067"/>
        <v>0</v>
      </c>
      <c r="CZ214" s="7">
        <f t="shared" si="1067"/>
        <v>0</v>
      </c>
      <c r="DA214" s="7">
        <f t="shared" si="1067"/>
        <v>0</v>
      </c>
      <c r="DB214" s="7">
        <f t="shared" si="1067"/>
        <v>0</v>
      </c>
      <c r="DC214" s="7">
        <f t="shared" si="1067"/>
        <v>0</v>
      </c>
      <c r="DD214" s="7">
        <f t="shared" si="1067"/>
        <v>0</v>
      </c>
      <c r="DE214" s="7">
        <f t="shared" si="1067"/>
        <v>0</v>
      </c>
      <c r="DF214" s="7">
        <f t="shared" si="1067"/>
        <v>0</v>
      </c>
      <c r="DG214" s="7">
        <f t="shared" si="1067"/>
        <v>0</v>
      </c>
      <c r="DH214" s="7">
        <f t="shared" ref="DH214:DJ214" si="1103">IFERROR(DH519,"-")</f>
        <v>0</v>
      </c>
      <c r="DI214" s="7">
        <f t="shared" si="1103"/>
        <v>0</v>
      </c>
      <c r="DJ214" s="7">
        <f t="shared" si="1103"/>
        <v>0</v>
      </c>
      <c r="DK214" s="64">
        <f t="shared" ref="DK214:DS214" si="1104">IFERROR(VALUE(DK519),"-")</f>
        <v>0</v>
      </c>
      <c r="DL214" s="64">
        <f t="shared" si="1104"/>
        <v>0</v>
      </c>
      <c r="DM214" s="64">
        <f t="shared" si="1104"/>
        <v>0</v>
      </c>
      <c r="DN214" s="64">
        <f t="shared" si="1104"/>
        <v>0</v>
      </c>
      <c r="DO214" s="64">
        <f t="shared" si="1104"/>
        <v>0</v>
      </c>
      <c r="DP214" s="64">
        <f t="shared" si="1104"/>
        <v>0</v>
      </c>
      <c r="DQ214" s="64">
        <f t="shared" si="1104"/>
        <v>0</v>
      </c>
      <c r="DR214" s="64">
        <f t="shared" si="1104"/>
        <v>0</v>
      </c>
      <c r="DS214" s="64">
        <f t="shared" si="1104"/>
        <v>0</v>
      </c>
      <c r="DT214">
        <f t="shared" si="1000"/>
        <v>0</v>
      </c>
      <c r="DU214" s="10">
        <f t="shared" si="1001"/>
        <v>0</v>
      </c>
    </row>
    <row r="215" spans="1:125" x14ac:dyDescent="0.25">
      <c r="A215" t="s">
        <v>72</v>
      </c>
      <c r="B215" s="2">
        <v>44833</v>
      </c>
      <c r="C215" s="1">
        <v>6100</v>
      </c>
      <c r="D215">
        <v>58</v>
      </c>
      <c r="G215" t="str">
        <f t="array" ref="G215">IFERROR(INDEX($A$2:$A$700,MATCH(0,COUNTIF($G$1:G214,$A$2:$A$700),0)),"")</f>
        <v/>
      </c>
      <c r="M215" s="3"/>
      <c r="N215" s="3"/>
      <c r="O215" s="3">
        <f t="shared" si="1002"/>
        <v>0</v>
      </c>
      <c r="P215" s="7">
        <f t="shared" ref="P215:CA215" si="1105">IFERROR(VALUE(P520),"-")</f>
        <v>0</v>
      </c>
      <c r="Q215" s="7">
        <f t="shared" si="1105"/>
        <v>0</v>
      </c>
      <c r="R215" s="7">
        <f t="shared" si="1105"/>
        <v>0</v>
      </c>
      <c r="S215" s="7">
        <f t="shared" si="1105"/>
        <v>0</v>
      </c>
      <c r="T215" s="11">
        <f t="shared" si="1105"/>
        <v>0</v>
      </c>
      <c r="U215" s="11">
        <f t="shared" si="1105"/>
        <v>0</v>
      </c>
      <c r="V215" s="11">
        <f t="shared" si="1105"/>
        <v>0</v>
      </c>
      <c r="W215" s="11">
        <f t="shared" si="1105"/>
        <v>0</v>
      </c>
      <c r="X215" s="14">
        <f t="shared" si="1105"/>
        <v>0</v>
      </c>
      <c r="Y215" s="14">
        <f t="shared" si="1105"/>
        <v>0</v>
      </c>
      <c r="Z215" s="14">
        <f t="shared" si="1105"/>
        <v>0</v>
      </c>
      <c r="AA215" s="14">
        <f t="shared" si="1105"/>
        <v>0</v>
      </c>
      <c r="AB215" s="15">
        <f t="shared" si="1105"/>
        <v>0</v>
      </c>
      <c r="AC215" s="15">
        <f t="shared" si="1105"/>
        <v>0</v>
      </c>
      <c r="AD215" s="13">
        <f t="shared" si="1105"/>
        <v>0</v>
      </c>
      <c r="AE215" s="13">
        <f t="shared" si="1105"/>
        <v>0</v>
      </c>
      <c r="AF215" s="12">
        <f t="shared" si="1105"/>
        <v>0</v>
      </c>
      <c r="AG215" s="12">
        <f t="shared" si="1105"/>
        <v>0</v>
      </c>
      <c r="AH215" s="13">
        <f t="shared" si="1105"/>
        <v>0</v>
      </c>
      <c r="AI215" s="13">
        <f t="shared" si="1105"/>
        <v>0</v>
      </c>
      <c r="AJ215" s="11">
        <f t="shared" si="1105"/>
        <v>0</v>
      </c>
      <c r="AK215" s="11">
        <f t="shared" si="1105"/>
        <v>0</v>
      </c>
      <c r="AL215" s="11">
        <f t="shared" si="1105"/>
        <v>0</v>
      </c>
      <c r="AM215" s="11">
        <f t="shared" si="1105"/>
        <v>0</v>
      </c>
      <c r="AN215" s="11">
        <f t="shared" si="1105"/>
        <v>0</v>
      </c>
      <c r="AO215" s="11">
        <f t="shared" si="1105"/>
        <v>0</v>
      </c>
      <c r="AP215" s="11">
        <f t="shared" si="1105"/>
        <v>0</v>
      </c>
      <c r="AQ215" s="11">
        <f t="shared" si="1105"/>
        <v>0</v>
      </c>
      <c r="AR215" s="16">
        <f t="shared" si="1105"/>
        <v>0</v>
      </c>
      <c r="AS215" s="16">
        <f t="shared" si="1105"/>
        <v>0</v>
      </c>
      <c r="AT215" s="16">
        <f t="shared" si="1105"/>
        <v>0</v>
      </c>
      <c r="AU215" s="7">
        <f t="shared" si="1105"/>
        <v>0</v>
      </c>
      <c r="AV215" s="7">
        <f t="shared" si="1105"/>
        <v>0</v>
      </c>
      <c r="AW215" s="7">
        <f t="shared" si="1105"/>
        <v>0</v>
      </c>
      <c r="AX215" s="7">
        <f t="shared" si="1105"/>
        <v>0</v>
      </c>
      <c r="AY215" s="11">
        <f t="shared" si="1105"/>
        <v>0</v>
      </c>
      <c r="AZ215" s="16">
        <f t="shared" si="1105"/>
        <v>0</v>
      </c>
      <c r="BA215" s="16">
        <f t="shared" si="1105"/>
        <v>0</v>
      </c>
      <c r="BB215" s="16">
        <f t="shared" si="1105"/>
        <v>0</v>
      </c>
      <c r="BC215" s="11">
        <f t="shared" si="1105"/>
        <v>0</v>
      </c>
      <c r="BD215" s="11">
        <f t="shared" si="1105"/>
        <v>0</v>
      </c>
      <c r="BE215" s="11">
        <f t="shared" si="1105"/>
        <v>0</v>
      </c>
      <c r="BF215" s="11">
        <f t="shared" si="1105"/>
        <v>0</v>
      </c>
      <c r="BG215" s="11">
        <f t="shared" si="1105"/>
        <v>0</v>
      </c>
      <c r="BH215" s="11">
        <f t="shared" si="1105"/>
        <v>0</v>
      </c>
      <c r="BI215" s="13">
        <f t="shared" si="1105"/>
        <v>0</v>
      </c>
      <c r="BJ215" s="13">
        <f t="shared" si="1105"/>
        <v>0</v>
      </c>
      <c r="BK215" s="11">
        <f t="shared" si="1105"/>
        <v>0</v>
      </c>
      <c r="BL215" s="12">
        <f t="shared" si="1105"/>
        <v>0</v>
      </c>
      <c r="BM215" s="12">
        <f t="shared" si="1105"/>
        <v>0</v>
      </c>
      <c r="BN215" s="13">
        <f t="shared" si="1105"/>
        <v>0</v>
      </c>
      <c r="BO215" s="13">
        <f t="shared" si="1105"/>
        <v>0</v>
      </c>
      <c r="BP215" s="15">
        <f t="shared" si="1105"/>
        <v>0</v>
      </c>
      <c r="BQ215" s="15">
        <f t="shared" si="1105"/>
        <v>0</v>
      </c>
      <c r="BR215" s="14">
        <f t="shared" si="1105"/>
        <v>0</v>
      </c>
      <c r="BS215" s="14">
        <f t="shared" si="1105"/>
        <v>0</v>
      </c>
      <c r="BT215" s="14">
        <f t="shared" si="1105"/>
        <v>0</v>
      </c>
      <c r="BU215" s="14">
        <f t="shared" si="1105"/>
        <v>0</v>
      </c>
      <c r="BV215" s="11">
        <f t="shared" si="1105"/>
        <v>0</v>
      </c>
      <c r="BW215" s="11">
        <f t="shared" si="1105"/>
        <v>0</v>
      </c>
      <c r="BX215" s="11">
        <f t="shared" si="1105"/>
        <v>0</v>
      </c>
      <c r="BY215" s="11">
        <f t="shared" si="1105"/>
        <v>0</v>
      </c>
      <c r="BZ215" s="7">
        <f t="shared" si="1105"/>
        <v>0</v>
      </c>
      <c r="CA215" s="7">
        <f t="shared" si="1105"/>
        <v>0</v>
      </c>
      <c r="CB215" s="7">
        <f t="shared" ref="CB215:CP215" si="1106">IFERROR(VALUE(CB520),"-")</f>
        <v>0</v>
      </c>
      <c r="CC215" s="7">
        <f t="shared" si="1106"/>
        <v>0</v>
      </c>
      <c r="CD215" s="7">
        <f t="shared" si="1106"/>
        <v>0</v>
      </c>
      <c r="CE215" s="3">
        <f t="shared" si="1106"/>
        <v>0</v>
      </c>
      <c r="CF215" s="7">
        <f t="shared" si="1106"/>
        <v>0</v>
      </c>
      <c r="CG215" s="3">
        <f t="shared" si="1106"/>
        <v>0</v>
      </c>
      <c r="CH215" s="7">
        <f t="shared" si="1106"/>
        <v>0</v>
      </c>
      <c r="CI215" s="7">
        <f t="shared" si="1106"/>
        <v>0</v>
      </c>
      <c r="CJ215" s="3">
        <f t="shared" si="1106"/>
        <v>0</v>
      </c>
      <c r="CK215" s="7">
        <f t="shared" si="1106"/>
        <v>0</v>
      </c>
      <c r="CL215" s="3">
        <f t="shared" si="1106"/>
        <v>0</v>
      </c>
      <c r="CM215" s="7">
        <f t="shared" si="1106"/>
        <v>0</v>
      </c>
      <c r="CN215" s="10">
        <f t="shared" si="1106"/>
        <v>0</v>
      </c>
      <c r="CO215" s="10">
        <f t="shared" si="1106"/>
        <v>0</v>
      </c>
      <c r="CP215" s="7">
        <f t="shared" si="1106"/>
        <v>0</v>
      </c>
      <c r="CQ215" s="7">
        <f t="shared" ref="CQ215" si="1107">IFERROR(CQ520,"-")</f>
        <v>0</v>
      </c>
      <c r="CR215" s="10">
        <f t="shared" si="1067"/>
        <v>0</v>
      </c>
      <c r="CS215" s="7">
        <f t="shared" si="1067"/>
        <v>0</v>
      </c>
      <c r="CT215" s="7">
        <f t="shared" si="1067"/>
        <v>0</v>
      </c>
      <c r="CU215" s="7">
        <f t="shared" si="1067"/>
        <v>0</v>
      </c>
      <c r="CV215" s="7">
        <f t="shared" si="1067"/>
        <v>0</v>
      </c>
      <c r="CW215" s="7">
        <f t="shared" si="1067"/>
        <v>0</v>
      </c>
      <c r="CX215" s="7">
        <f t="shared" si="1067"/>
        <v>0</v>
      </c>
      <c r="CY215" s="7">
        <f t="shared" si="1067"/>
        <v>0</v>
      </c>
      <c r="CZ215" s="7">
        <f t="shared" si="1067"/>
        <v>0</v>
      </c>
      <c r="DA215" s="7">
        <f t="shared" si="1067"/>
        <v>0</v>
      </c>
      <c r="DB215" s="7">
        <f t="shared" si="1067"/>
        <v>0</v>
      </c>
      <c r="DC215" s="7">
        <f t="shared" si="1067"/>
        <v>0</v>
      </c>
      <c r="DD215" s="7">
        <f t="shared" si="1067"/>
        <v>0</v>
      </c>
      <c r="DE215" s="7">
        <f t="shared" si="1067"/>
        <v>0</v>
      </c>
      <c r="DF215" s="7">
        <f t="shared" si="1067"/>
        <v>0</v>
      </c>
      <c r="DG215" s="7">
        <f t="shared" si="1067"/>
        <v>0</v>
      </c>
      <c r="DH215" s="7">
        <f t="shared" ref="DH215:DJ215" si="1108">IFERROR(DH520,"-")</f>
        <v>0</v>
      </c>
      <c r="DI215" s="7">
        <f t="shared" si="1108"/>
        <v>0</v>
      </c>
      <c r="DJ215" s="7">
        <f t="shared" si="1108"/>
        <v>0</v>
      </c>
      <c r="DK215" s="64">
        <f t="shared" ref="DK215:DS215" si="1109">IFERROR(VALUE(DK520),"-")</f>
        <v>0</v>
      </c>
      <c r="DL215" s="64">
        <f t="shared" si="1109"/>
        <v>0</v>
      </c>
      <c r="DM215" s="64">
        <f t="shared" si="1109"/>
        <v>0</v>
      </c>
      <c r="DN215" s="64">
        <f t="shared" si="1109"/>
        <v>0</v>
      </c>
      <c r="DO215" s="64">
        <f t="shared" si="1109"/>
        <v>0</v>
      </c>
      <c r="DP215" s="64">
        <f t="shared" si="1109"/>
        <v>0</v>
      </c>
      <c r="DQ215" s="64">
        <f t="shared" si="1109"/>
        <v>0</v>
      </c>
      <c r="DR215" s="64">
        <f t="shared" si="1109"/>
        <v>0</v>
      </c>
      <c r="DS215" s="64">
        <f t="shared" si="1109"/>
        <v>0</v>
      </c>
      <c r="DT215">
        <f t="shared" si="1000"/>
        <v>0</v>
      </c>
      <c r="DU215" s="10">
        <f t="shared" si="1001"/>
        <v>0</v>
      </c>
    </row>
    <row r="216" spans="1:125" x14ac:dyDescent="0.25">
      <c r="A216" t="s">
        <v>72</v>
      </c>
      <c r="B216" s="2">
        <v>44861</v>
      </c>
      <c r="C216" s="1">
        <v>6100</v>
      </c>
      <c r="D216">
        <v>58</v>
      </c>
      <c r="G216" t="str">
        <f t="array" ref="G216">IFERROR(INDEX($A$2:$A$700,MATCH(0,COUNTIF($G$1:G215,$A$2:$A$700),0)),"")</f>
        <v/>
      </c>
      <c r="M216" s="3"/>
      <c r="N216" s="3"/>
      <c r="O216" s="3">
        <f t="shared" si="1002"/>
        <v>0</v>
      </c>
      <c r="P216" s="7">
        <f t="shared" ref="P216:CA216" si="1110">IFERROR(VALUE(P521),"-")</f>
        <v>0</v>
      </c>
      <c r="Q216" s="7">
        <f t="shared" si="1110"/>
        <v>0</v>
      </c>
      <c r="R216" s="7">
        <f t="shared" si="1110"/>
        <v>0</v>
      </c>
      <c r="S216" s="7">
        <f t="shared" si="1110"/>
        <v>0</v>
      </c>
      <c r="T216" s="11">
        <f t="shared" si="1110"/>
        <v>0</v>
      </c>
      <c r="U216" s="11">
        <f t="shared" si="1110"/>
        <v>0</v>
      </c>
      <c r="V216" s="11">
        <f t="shared" si="1110"/>
        <v>0</v>
      </c>
      <c r="W216" s="11">
        <f t="shared" si="1110"/>
        <v>0</v>
      </c>
      <c r="X216" s="14">
        <f t="shared" si="1110"/>
        <v>0</v>
      </c>
      <c r="Y216" s="14">
        <f t="shared" si="1110"/>
        <v>0</v>
      </c>
      <c r="Z216" s="14">
        <f t="shared" si="1110"/>
        <v>0</v>
      </c>
      <c r="AA216" s="14">
        <f t="shared" si="1110"/>
        <v>0</v>
      </c>
      <c r="AB216" s="15">
        <f t="shared" si="1110"/>
        <v>0</v>
      </c>
      <c r="AC216" s="15">
        <f t="shared" si="1110"/>
        <v>0</v>
      </c>
      <c r="AD216" s="13">
        <f t="shared" si="1110"/>
        <v>0</v>
      </c>
      <c r="AE216" s="13">
        <f t="shared" si="1110"/>
        <v>0</v>
      </c>
      <c r="AF216" s="12">
        <f t="shared" si="1110"/>
        <v>0</v>
      </c>
      <c r="AG216" s="12">
        <f t="shared" si="1110"/>
        <v>0</v>
      </c>
      <c r="AH216" s="13">
        <f t="shared" si="1110"/>
        <v>0</v>
      </c>
      <c r="AI216" s="13">
        <f t="shared" si="1110"/>
        <v>0</v>
      </c>
      <c r="AJ216" s="11">
        <f t="shared" si="1110"/>
        <v>0</v>
      </c>
      <c r="AK216" s="11">
        <f t="shared" si="1110"/>
        <v>0</v>
      </c>
      <c r="AL216" s="11">
        <f t="shared" si="1110"/>
        <v>0</v>
      </c>
      <c r="AM216" s="11">
        <f t="shared" si="1110"/>
        <v>0</v>
      </c>
      <c r="AN216" s="11">
        <f t="shared" si="1110"/>
        <v>0</v>
      </c>
      <c r="AO216" s="11">
        <f t="shared" si="1110"/>
        <v>0</v>
      </c>
      <c r="AP216" s="11">
        <f t="shared" si="1110"/>
        <v>0</v>
      </c>
      <c r="AQ216" s="11">
        <f t="shared" si="1110"/>
        <v>0</v>
      </c>
      <c r="AR216" s="16">
        <f t="shared" si="1110"/>
        <v>0</v>
      </c>
      <c r="AS216" s="16">
        <f t="shared" si="1110"/>
        <v>0</v>
      </c>
      <c r="AT216" s="16">
        <f t="shared" si="1110"/>
        <v>0</v>
      </c>
      <c r="AU216" s="7">
        <f t="shared" si="1110"/>
        <v>0</v>
      </c>
      <c r="AV216" s="7">
        <f t="shared" si="1110"/>
        <v>0</v>
      </c>
      <c r="AW216" s="7">
        <f t="shared" si="1110"/>
        <v>0</v>
      </c>
      <c r="AX216" s="7">
        <f t="shared" si="1110"/>
        <v>0</v>
      </c>
      <c r="AY216" s="11">
        <f t="shared" si="1110"/>
        <v>0</v>
      </c>
      <c r="AZ216" s="16">
        <f t="shared" si="1110"/>
        <v>0</v>
      </c>
      <c r="BA216" s="16">
        <f t="shared" si="1110"/>
        <v>0</v>
      </c>
      <c r="BB216" s="16">
        <f t="shared" si="1110"/>
        <v>0</v>
      </c>
      <c r="BC216" s="11">
        <f t="shared" si="1110"/>
        <v>0</v>
      </c>
      <c r="BD216" s="11">
        <f t="shared" si="1110"/>
        <v>0</v>
      </c>
      <c r="BE216" s="11">
        <f t="shared" si="1110"/>
        <v>0</v>
      </c>
      <c r="BF216" s="11">
        <f t="shared" si="1110"/>
        <v>0</v>
      </c>
      <c r="BG216" s="11">
        <f t="shared" si="1110"/>
        <v>0</v>
      </c>
      <c r="BH216" s="11">
        <f t="shared" si="1110"/>
        <v>0</v>
      </c>
      <c r="BI216" s="13">
        <f t="shared" si="1110"/>
        <v>0</v>
      </c>
      <c r="BJ216" s="13">
        <f t="shared" si="1110"/>
        <v>0</v>
      </c>
      <c r="BK216" s="11">
        <f t="shared" si="1110"/>
        <v>0</v>
      </c>
      <c r="BL216" s="12">
        <f t="shared" si="1110"/>
        <v>0</v>
      </c>
      <c r="BM216" s="12">
        <f t="shared" si="1110"/>
        <v>0</v>
      </c>
      <c r="BN216" s="13">
        <f t="shared" si="1110"/>
        <v>0</v>
      </c>
      <c r="BO216" s="13">
        <f t="shared" si="1110"/>
        <v>0</v>
      </c>
      <c r="BP216" s="15">
        <f t="shared" si="1110"/>
        <v>0</v>
      </c>
      <c r="BQ216" s="15">
        <f t="shared" si="1110"/>
        <v>0</v>
      </c>
      <c r="BR216" s="14">
        <f t="shared" si="1110"/>
        <v>0</v>
      </c>
      <c r="BS216" s="14">
        <f t="shared" si="1110"/>
        <v>0</v>
      </c>
      <c r="BT216" s="14">
        <f t="shared" si="1110"/>
        <v>0</v>
      </c>
      <c r="BU216" s="14">
        <f t="shared" si="1110"/>
        <v>0</v>
      </c>
      <c r="BV216" s="11">
        <f t="shared" si="1110"/>
        <v>0</v>
      </c>
      <c r="BW216" s="11">
        <f t="shared" si="1110"/>
        <v>0</v>
      </c>
      <c r="BX216" s="11">
        <f t="shared" si="1110"/>
        <v>0</v>
      </c>
      <c r="BY216" s="11">
        <f t="shared" si="1110"/>
        <v>0</v>
      </c>
      <c r="BZ216" s="7">
        <f t="shared" si="1110"/>
        <v>0</v>
      </c>
      <c r="CA216" s="7">
        <f t="shared" si="1110"/>
        <v>0</v>
      </c>
      <c r="CB216" s="7">
        <f t="shared" ref="CB216:CP216" si="1111">IFERROR(VALUE(CB521),"-")</f>
        <v>0</v>
      </c>
      <c r="CC216" s="7">
        <f t="shared" si="1111"/>
        <v>0</v>
      </c>
      <c r="CD216" s="7">
        <f t="shared" si="1111"/>
        <v>0</v>
      </c>
      <c r="CE216" s="3">
        <f t="shared" si="1111"/>
        <v>0</v>
      </c>
      <c r="CF216" s="7">
        <f t="shared" si="1111"/>
        <v>0</v>
      </c>
      <c r="CG216" s="3">
        <f t="shared" si="1111"/>
        <v>0</v>
      </c>
      <c r="CH216" s="7">
        <f t="shared" si="1111"/>
        <v>0</v>
      </c>
      <c r="CI216" s="7">
        <f t="shared" si="1111"/>
        <v>0</v>
      </c>
      <c r="CJ216" s="3">
        <f t="shared" si="1111"/>
        <v>0</v>
      </c>
      <c r="CK216" s="7">
        <f t="shared" si="1111"/>
        <v>0</v>
      </c>
      <c r="CL216" s="3">
        <f t="shared" si="1111"/>
        <v>0</v>
      </c>
      <c r="CM216" s="7">
        <f t="shared" si="1111"/>
        <v>0</v>
      </c>
      <c r="CN216" s="10">
        <f t="shared" si="1111"/>
        <v>0</v>
      </c>
      <c r="CO216" s="10">
        <f t="shared" si="1111"/>
        <v>0</v>
      </c>
      <c r="CP216" s="7">
        <f t="shared" si="1111"/>
        <v>0</v>
      </c>
      <c r="CQ216" s="7">
        <f t="shared" ref="CQ216" si="1112">IFERROR(CQ521,"-")</f>
        <v>0</v>
      </c>
      <c r="CR216" s="10">
        <f t="shared" si="1067"/>
        <v>0</v>
      </c>
      <c r="CS216" s="7">
        <f t="shared" si="1067"/>
        <v>0</v>
      </c>
      <c r="CT216" s="7">
        <f t="shared" si="1067"/>
        <v>0</v>
      </c>
      <c r="CU216" s="7">
        <f t="shared" si="1067"/>
        <v>0</v>
      </c>
      <c r="CV216" s="7">
        <f t="shared" si="1067"/>
        <v>0</v>
      </c>
      <c r="CW216" s="7">
        <f t="shared" si="1067"/>
        <v>0</v>
      </c>
      <c r="CX216" s="7">
        <f t="shared" si="1067"/>
        <v>0</v>
      </c>
      <c r="CY216" s="7">
        <f t="shared" si="1067"/>
        <v>0</v>
      </c>
      <c r="CZ216" s="7">
        <f t="shared" si="1067"/>
        <v>0</v>
      </c>
      <c r="DA216" s="7">
        <f t="shared" si="1067"/>
        <v>0</v>
      </c>
      <c r="DB216" s="7">
        <f t="shared" si="1067"/>
        <v>0</v>
      </c>
      <c r="DC216" s="7">
        <f t="shared" si="1067"/>
        <v>0</v>
      </c>
      <c r="DD216" s="7">
        <f t="shared" si="1067"/>
        <v>0</v>
      </c>
      <c r="DE216" s="7">
        <f t="shared" si="1067"/>
        <v>0</v>
      </c>
      <c r="DF216" s="7">
        <f t="shared" si="1067"/>
        <v>0</v>
      </c>
      <c r="DG216" s="7">
        <f t="shared" si="1067"/>
        <v>0</v>
      </c>
      <c r="DH216" s="7">
        <f t="shared" ref="DH216:DJ216" si="1113">IFERROR(DH521,"-")</f>
        <v>0</v>
      </c>
      <c r="DI216" s="7">
        <f t="shared" si="1113"/>
        <v>0</v>
      </c>
      <c r="DJ216" s="7">
        <f t="shared" si="1113"/>
        <v>0</v>
      </c>
      <c r="DK216" s="64">
        <f t="shared" ref="DK216:DS216" si="1114">IFERROR(VALUE(DK521),"-")</f>
        <v>0</v>
      </c>
      <c r="DL216" s="64">
        <f t="shared" si="1114"/>
        <v>0</v>
      </c>
      <c r="DM216" s="64">
        <f t="shared" si="1114"/>
        <v>0</v>
      </c>
      <c r="DN216" s="64">
        <f t="shared" si="1114"/>
        <v>0</v>
      </c>
      <c r="DO216" s="64">
        <f t="shared" si="1114"/>
        <v>0</v>
      </c>
      <c r="DP216" s="64">
        <f t="shared" si="1114"/>
        <v>0</v>
      </c>
      <c r="DQ216" s="64">
        <f t="shared" si="1114"/>
        <v>0</v>
      </c>
      <c r="DR216" s="64">
        <f t="shared" si="1114"/>
        <v>0</v>
      </c>
      <c r="DS216" s="64">
        <f t="shared" si="1114"/>
        <v>0</v>
      </c>
      <c r="DT216">
        <f t="shared" si="1000"/>
        <v>0</v>
      </c>
      <c r="DU216" s="10">
        <f t="shared" si="1001"/>
        <v>0</v>
      </c>
    </row>
    <row r="217" spans="1:125" x14ac:dyDescent="0.25">
      <c r="A217" t="s">
        <v>73</v>
      </c>
      <c r="B217" s="2">
        <v>44798</v>
      </c>
      <c r="C217" s="1">
        <v>1150</v>
      </c>
      <c r="D217">
        <v>85</v>
      </c>
      <c r="G217" t="str">
        <f t="array" ref="G217">IFERROR(INDEX($A$2:$A$700,MATCH(0,COUNTIF($G$1:G216,$A$2:$A$700),0)),"")</f>
        <v/>
      </c>
      <c r="M217" s="3"/>
      <c r="N217" s="3"/>
      <c r="O217" s="3">
        <f t="shared" si="1002"/>
        <v>0</v>
      </c>
      <c r="P217" s="7">
        <f t="shared" ref="P217:CA217" si="1115">IFERROR(VALUE(P522),"-")</f>
        <v>0</v>
      </c>
      <c r="Q217" s="7">
        <f t="shared" si="1115"/>
        <v>0</v>
      </c>
      <c r="R217" s="7">
        <f t="shared" si="1115"/>
        <v>0</v>
      </c>
      <c r="S217" s="7">
        <f t="shared" si="1115"/>
        <v>0</v>
      </c>
      <c r="T217" s="11">
        <f t="shared" si="1115"/>
        <v>0</v>
      </c>
      <c r="U217" s="11">
        <f t="shared" si="1115"/>
        <v>0</v>
      </c>
      <c r="V217" s="11">
        <f t="shared" si="1115"/>
        <v>0</v>
      </c>
      <c r="W217" s="11">
        <f t="shared" si="1115"/>
        <v>0</v>
      </c>
      <c r="X217" s="14">
        <f t="shared" si="1115"/>
        <v>0</v>
      </c>
      <c r="Y217" s="14">
        <f t="shared" si="1115"/>
        <v>0</v>
      </c>
      <c r="Z217" s="14">
        <f t="shared" si="1115"/>
        <v>0</v>
      </c>
      <c r="AA217" s="14">
        <f t="shared" si="1115"/>
        <v>0</v>
      </c>
      <c r="AB217" s="15">
        <f t="shared" si="1115"/>
        <v>0</v>
      </c>
      <c r="AC217" s="15">
        <f t="shared" si="1115"/>
        <v>0</v>
      </c>
      <c r="AD217" s="13">
        <f t="shared" si="1115"/>
        <v>0</v>
      </c>
      <c r="AE217" s="13">
        <f t="shared" si="1115"/>
        <v>0</v>
      </c>
      <c r="AF217" s="12">
        <f t="shared" si="1115"/>
        <v>0</v>
      </c>
      <c r="AG217" s="12">
        <f t="shared" si="1115"/>
        <v>0</v>
      </c>
      <c r="AH217" s="13">
        <f t="shared" si="1115"/>
        <v>0</v>
      </c>
      <c r="AI217" s="13">
        <f t="shared" si="1115"/>
        <v>0</v>
      </c>
      <c r="AJ217" s="11">
        <f t="shared" si="1115"/>
        <v>0</v>
      </c>
      <c r="AK217" s="11">
        <f t="shared" si="1115"/>
        <v>0</v>
      </c>
      <c r="AL217" s="11">
        <f t="shared" si="1115"/>
        <v>0</v>
      </c>
      <c r="AM217" s="11">
        <f t="shared" si="1115"/>
        <v>0</v>
      </c>
      <c r="AN217" s="11">
        <f t="shared" si="1115"/>
        <v>0</v>
      </c>
      <c r="AO217" s="11">
        <f t="shared" si="1115"/>
        <v>0</v>
      </c>
      <c r="AP217" s="11">
        <f t="shared" si="1115"/>
        <v>0</v>
      </c>
      <c r="AQ217" s="11">
        <f t="shared" si="1115"/>
        <v>0</v>
      </c>
      <c r="AR217" s="16">
        <f t="shared" si="1115"/>
        <v>0</v>
      </c>
      <c r="AS217" s="16">
        <f t="shared" si="1115"/>
        <v>0</v>
      </c>
      <c r="AT217" s="16">
        <f t="shared" si="1115"/>
        <v>0</v>
      </c>
      <c r="AU217" s="7">
        <f t="shared" si="1115"/>
        <v>0</v>
      </c>
      <c r="AV217" s="7">
        <f t="shared" si="1115"/>
        <v>0</v>
      </c>
      <c r="AW217" s="7">
        <f t="shared" si="1115"/>
        <v>0</v>
      </c>
      <c r="AX217" s="7">
        <f t="shared" si="1115"/>
        <v>0</v>
      </c>
      <c r="AY217" s="11">
        <f t="shared" si="1115"/>
        <v>0</v>
      </c>
      <c r="AZ217" s="16">
        <f t="shared" si="1115"/>
        <v>0</v>
      </c>
      <c r="BA217" s="16">
        <f t="shared" si="1115"/>
        <v>0</v>
      </c>
      <c r="BB217" s="16">
        <f t="shared" si="1115"/>
        <v>0</v>
      </c>
      <c r="BC217" s="11">
        <f t="shared" si="1115"/>
        <v>0</v>
      </c>
      <c r="BD217" s="11">
        <f t="shared" si="1115"/>
        <v>0</v>
      </c>
      <c r="BE217" s="11">
        <f t="shared" si="1115"/>
        <v>0</v>
      </c>
      <c r="BF217" s="11">
        <f t="shared" si="1115"/>
        <v>0</v>
      </c>
      <c r="BG217" s="11">
        <f t="shared" si="1115"/>
        <v>0</v>
      </c>
      <c r="BH217" s="11">
        <f t="shared" si="1115"/>
        <v>0</v>
      </c>
      <c r="BI217" s="13">
        <f t="shared" si="1115"/>
        <v>0</v>
      </c>
      <c r="BJ217" s="13">
        <f t="shared" si="1115"/>
        <v>0</v>
      </c>
      <c r="BK217" s="11">
        <f t="shared" si="1115"/>
        <v>0</v>
      </c>
      <c r="BL217" s="12">
        <f t="shared" si="1115"/>
        <v>0</v>
      </c>
      <c r="BM217" s="12">
        <f t="shared" si="1115"/>
        <v>0</v>
      </c>
      <c r="BN217" s="13">
        <f t="shared" si="1115"/>
        <v>0</v>
      </c>
      <c r="BO217" s="13">
        <f t="shared" si="1115"/>
        <v>0</v>
      </c>
      <c r="BP217" s="15">
        <f t="shared" si="1115"/>
        <v>0</v>
      </c>
      <c r="BQ217" s="15">
        <f t="shared" si="1115"/>
        <v>0</v>
      </c>
      <c r="BR217" s="14">
        <f t="shared" si="1115"/>
        <v>0</v>
      </c>
      <c r="BS217" s="14">
        <f t="shared" si="1115"/>
        <v>0</v>
      </c>
      <c r="BT217" s="14">
        <f t="shared" si="1115"/>
        <v>0</v>
      </c>
      <c r="BU217" s="14">
        <f t="shared" si="1115"/>
        <v>0</v>
      </c>
      <c r="BV217" s="11">
        <f t="shared" si="1115"/>
        <v>0</v>
      </c>
      <c r="BW217" s="11">
        <f t="shared" si="1115"/>
        <v>0</v>
      </c>
      <c r="BX217" s="11">
        <f t="shared" si="1115"/>
        <v>0</v>
      </c>
      <c r="BY217" s="11">
        <f t="shared" si="1115"/>
        <v>0</v>
      </c>
      <c r="BZ217" s="7">
        <f t="shared" si="1115"/>
        <v>0</v>
      </c>
      <c r="CA217" s="7">
        <f t="shared" si="1115"/>
        <v>0</v>
      </c>
      <c r="CB217" s="7">
        <f t="shared" ref="CB217:CP217" si="1116">IFERROR(VALUE(CB522),"-")</f>
        <v>0</v>
      </c>
      <c r="CC217" s="7">
        <f t="shared" si="1116"/>
        <v>0</v>
      </c>
      <c r="CD217" s="7">
        <f t="shared" si="1116"/>
        <v>0</v>
      </c>
      <c r="CE217" s="3">
        <f t="shared" si="1116"/>
        <v>0</v>
      </c>
      <c r="CF217" s="7">
        <f t="shared" si="1116"/>
        <v>0</v>
      </c>
      <c r="CG217" s="3">
        <f t="shared" si="1116"/>
        <v>0</v>
      </c>
      <c r="CH217" s="7">
        <f t="shared" si="1116"/>
        <v>0</v>
      </c>
      <c r="CI217" s="7">
        <f t="shared" si="1116"/>
        <v>0</v>
      </c>
      <c r="CJ217" s="3">
        <f t="shared" si="1116"/>
        <v>0</v>
      </c>
      <c r="CK217" s="7">
        <f t="shared" si="1116"/>
        <v>0</v>
      </c>
      <c r="CL217" s="3">
        <f t="shared" si="1116"/>
        <v>0</v>
      </c>
      <c r="CM217" s="7">
        <f t="shared" si="1116"/>
        <v>0</v>
      </c>
      <c r="CN217" s="10">
        <f t="shared" si="1116"/>
        <v>0</v>
      </c>
      <c r="CO217" s="10">
        <f t="shared" si="1116"/>
        <v>0</v>
      </c>
      <c r="CP217" s="7">
        <f t="shared" si="1116"/>
        <v>0</v>
      </c>
      <c r="CQ217" s="7">
        <f t="shared" ref="CQ217" si="1117">IFERROR(CQ522,"-")</f>
        <v>0</v>
      </c>
      <c r="CR217" s="10">
        <f t="shared" si="1067"/>
        <v>0</v>
      </c>
      <c r="CS217" s="7">
        <f t="shared" si="1067"/>
        <v>0</v>
      </c>
      <c r="CT217" s="7">
        <f t="shared" si="1067"/>
        <v>0</v>
      </c>
      <c r="CU217" s="7">
        <f t="shared" si="1067"/>
        <v>0</v>
      </c>
      <c r="CV217" s="7">
        <f t="shared" si="1067"/>
        <v>0</v>
      </c>
      <c r="CW217" s="7">
        <f t="shared" si="1067"/>
        <v>0</v>
      </c>
      <c r="CX217" s="7">
        <f t="shared" si="1067"/>
        <v>0</v>
      </c>
      <c r="CY217" s="7">
        <f t="shared" si="1067"/>
        <v>0</v>
      </c>
      <c r="CZ217" s="7">
        <f t="shared" si="1067"/>
        <v>0</v>
      </c>
      <c r="DA217" s="7">
        <f t="shared" si="1067"/>
        <v>0</v>
      </c>
      <c r="DB217" s="7">
        <f t="shared" si="1067"/>
        <v>0</v>
      </c>
      <c r="DC217" s="7">
        <f t="shared" si="1067"/>
        <v>0</v>
      </c>
      <c r="DD217" s="7">
        <f t="shared" si="1067"/>
        <v>0</v>
      </c>
      <c r="DE217" s="7">
        <f t="shared" si="1067"/>
        <v>0</v>
      </c>
      <c r="DF217" s="7">
        <f t="shared" si="1067"/>
        <v>0</v>
      </c>
      <c r="DG217" s="7">
        <f t="shared" si="1067"/>
        <v>0</v>
      </c>
      <c r="DH217" s="7">
        <f t="shared" ref="DH217:DJ217" si="1118">IFERROR(DH522,"-")</f>
        <v>0</v>
      </c>
      <c r="DI217" s="7">
        <f t="shared" si="1118"/>
        <v>0</v>
      </c>
      <c r="DJ217" s="7">
        <f t="shared" si="1118"/>
        <v>0</v>
      </c>
      <c r="DK217" s="64">
        <f t="shared" ref="DK217:DS217" si="1119">IFERROR(VALUE(DK522),"-")</f>
        <v>0</v>
      </c>
      <c r="DL217" s="64">
        <f t="shared" si="1119"/>
        <v>0</v>
      </c>
      <c r="DM217" s="64">
        <f t="shared" si="1119"/>
        <v>0</v>
      </c>
      <c r="DN217" s="64">
        <f t="shared" si="1119"/>
        <v>0</v>
      </c>
      <c r="DO217" s="64">
        <f t="shared" si="1119"/>
        <v>0</v>
      </c>
      <c r="DP217" s="64">
        <f t="shared" si="1119"/>
        <v>0</v>
      </c>
      <c r="DQ217" s="64">
        <f t="shared" si="1119"/>
        <v>0</v>
      </c>
      <c r="DR217" s="64">
        <f t="shared" si="1119"/>
        <v>0</v>
      </c>
      <c r="DS217" s="64">
        <f t="shared" si="1119"/>
        <v>0</v>
      </c>
      <c r="DT217">
        <f t="shared" si="1000"/>
        <v>0</v>
      </c>
      <c r="DU217" s="10">
        <f t="shared" si="1001"/>
        <v>0</v>
      </c>
    </row>
    <row r="218" spans="1:125" x14ac:dyDescent="0.25">
      <c r="A218" t="s">
        <v>73</v>
      </c>
      <c r="B218" s="2">
        <v>44833</v>
      </c>
      <c r="C218" s="1">
        <v>1150</v>
      </c>
      <c r="D218">
        <v>85</v>
      </c>
      <c r="G218" t="str">
        <f t="array" ref="G218">IFERROR(INDEX($A$2:$A$700,MATCH(0,COUNTIF($G$1:G217,$A$2:$A$700),0)),"")</f>
        <v/>
      </c>
      <c r="M218" s="3"/>
      <c r="N218" s="3"/>
      <c r="O218" s="3">
        <f t="shared" si="1002"/>
        <v>0</v>
      </c>
      <c r="P218" s="7">
        <f t="shared" ref="P218:CA218" si="1120">IFERROR(VALUE(P523),"-")</f>
        <v>0</v>
      </c>
      <c r="Q218" s="7">
        <f t="shared" si="1120"/>
        <v>0</v>
      </c>
      <c r="R218" s="7">
        <f t="shared" si="1120"/>
        <v>0</v>
      </c>
      <c r="S218" s="7">
        <f t="shared" si="1120"/>
        <v>0</v>
      </c>
      <c r="T218" s="11">
        <f t="shared" si="1120"/>
        <v>0</v>
      </c>
      <c r="U218" s="11">
        <f t="shared" si="1120"/>
        <v>0</v>
      </c>
      <c r="V218" s="11">
        <f t="shared" si="1120"/>
        <v>0</v>
      </c>
      <c r="W218" s="11">
        <f t="shared" si="1120"/>
        <v>0</v>
      </c>
      <c r="X218" s="14">
        <f t="shared" si="1120"/>
        <v>0</v>
      </c>
      <c r="Y218" s="14">
        <f t="shared" si="1120"/>
        <v>0</v>
      </c>
      <c r="Z218" s="14">
        <f t="shared" si="1120"/>
        <v>0</v>
      </c>
      <c r="AA218" s="14">
        <f t="shared" si="1120"/>
        <v>0</v>
      </c>
      <c r="AB218" s="15">
        <f t="shared" si="1120"/>
        <v>0</v>
      </c>
      <c r="AC218" s="15">
        <f t="shared" si="1120"/>
        <v>0</v>
      </c>
      <c r="AD218" s="13">
        <f t="shared" si="1120"/>
        <v>0</v>
      </c>
      <c r="AE218" s="13">
        <f t="shared" si="1120"/>
        <v>0</v>
      </c>
      <c r="AF218" s="12">
        <f t="shared" si="1120"/>
        <v>0</v>
      </c>
      <c r="AG218" s="12">
        <f t="shared" si="1120"/>
        <v>0</v>
      </c>
      <c r="AH218" s="13">
        <f t="shared" si="1120"/>
        <v>0</v>
      </c>
      <c r="AI218" s="13">
        <f t="shared" si="1120"/>
        <v>0</v>
      </c>
      <c r="AJ218" s="11">
        <f t="shared" si="1120"/>
        <v>0</v>
      </c>
      <c r="AK218" s="11">
        <f t="shared" si="1120"/>
        <v>0</v>
      </c>
      <c r="AL218" s="11">
        <f t="shared" si="1120"/>
        <v>0</v>
      </c>
      <c r="AM218" s="11">
        <f t="shared" si="1120"/>
        <v>0</v>
      </c>
      <c r="AN218" s="11">
        <f t="shared" si="1120"/>
        <v>0</v>
      </c>
      <c r="AO218" s="11">
        <f t="shared" si="1120"/>
        <v>0</v>
      </c>
      <c r="AP218" s="11">
        <f t="shared" si="1120"/>
        <v>0</v>
      </c>
      <c r="AQ218" s="11">
        <f t="shared" si="1120"/>
        <v>0</v>
      </c>
      <c r="AR218" s="16">
        <f t="shared" si="1120"/>
        <v>0</v>
      </c>
      <c r="AS218" s="16">
        <f t="shared" si="1120"/>
        <v>0</v>
      </c>
      <c r="AT218" s="16">
        <f t="shared" si="1120"/>
        <v>0</v>
      </c>
      <c r="AU218" s="7">
        <f t="shared" si="1120"/>
        <v>0</v>
      </c>
      <c r="AV218" s="7">
        <f t="shared" si="1120"/>
        <v>0</v>
      </c>
      <c r="AW218" s="7">
        <f t="shared" si="1120"/>
        <v>0</v>
      </c>
      <c r="AX218" s="7">
        <f t="shared" si="1120"/>
        <v>0</v>
      </c>
      <c r="AY218" s="11">
        <f t="shared" si="1120"/>
        <v>0</v>
      </c>
      <c r="AZ218" s="16">
        <f t="shared" si="1120"/>
        <v>0</v>
      </c>
      <c r="BA218" s="16">
        <f t="shared" si="1120"/>
        <v>0</v>
      </c>
      <c r="BB218" s="16">
        <f t="shared" si="1120"/>
        <v>0</v>
      </c>
      <c r="BC218" s="11">
        <f t="shared" si="1120"/>
        <v>0</v>
      </c>
      <c r="BD218" s="11">
        <f t="shared" si="1120"/>
        <v>0</v>
      </c>
      <c r="BE218" s="11">
        <f t="shared" si="1120"/>
        <v>0</v>
      </c>
      <c r="BF218" s="11">
        <f t="shared" si="1120"/>
        <v>0</v>
      </c>
      <c r="BG218" s="11">
        <f t="shared" si="1120"/>
        <v>0</v>
      </c>
      <c r="BH218" s="11">
        <f t="shared" si="1120"/>
        <v>0</v>
      </c>
      <c r="BI218" s="13">
        <f t="shared" si="1120"/>
        <v>0</v>
      </c>
      <c r="BJ218" s="13">
        <f t="shared" si="1120"/>
        <v>0</v>
      </c>
      <c r="BK218" s="11">
        <f t="shared" si="1120"/>
        <v>0</v>
      </c>
      <c r="BL218" s="12">
        <f t="shared" si="1120"/>
        <v>0</v>
      </c>
      <c r="BM218" s="12">
        <f t="shared" si="1120"/>
        <v>0</v>
      </c>
      <c r="BN218" s="13">
        <f t="shared" si="1120"/>
        <v>0</v>
      </c>
      <c r="BO218" s="13">
        <f t="shared" si="1120"/>
        <v>0</v>
      </c>
      <c r="BP218" s="15">
        <f t="shared" si="1120"/>
        <v>0</v>
      </c>
      <c r="BQ218" s="15">
        <f t="shared" si="1120"/>
        <v>0</v>
      </c>
      <c r="BR218" s="14">
        <f t="shared" si="1120"/>
        <v>0</v>
      </c>
      <c r="BS218" s="14">
        <f t="shared" si="1120"/>
        <v>0</v>
      </c>
      <c r="BT218" s="14">
        <f t="shared" si="1120"/>
        <v>0</v>
      </c>
      <c r="BU218" s="14">
        <f t="shared" si="1120"/>
        <v>0</v>
      </c>
      <c r="BV218" s="11">
        <f t="shared" si="1120"/>
        <v>0</v>
      </c>
      <c r="BW218" s="11">
        <f t="shared" si="1120"/>
        <v>0</v>
      </c>
      <c r="BX218" s="11">
        <f t="shared" si="1120"/>
        <v>0</v>
      </c>
      <c r="BY218" s="11">
        <f t="shared" si="1120"/>
        <v>0</v>
      </c>
      <c r="BZ218" s="7">
        <f t="shared" si="1120"/>
        <v>0</v>
      </c>
      <c r="CA218" s="7">
        <f t="shared" si="1120"/>
        <v>0</v>
      </c>
      <c r="CB218" s="7">
        <f t="shared" ref="CB218:CP218" si="1121">IFERROR(VALUE(CB523),"-")</f>
        <v>0</v>
      </c>
      <c r="CC218" s="7">
        <f t="shared" si="1121"/>
        <v>0</v>
      </c>
      <c r="CD218" s="7">
        <f t="shared" si="1121"/>
        <v>0</v>
      </c>
      <c r="CE218" s="3">
        <f t="shared" si="1121"/>
        <v>0</v>
      </c>
      <c r="CF218" s="7">
        <f t="shared" si="1121"/>
        <v>0</v>
      </c>
      <c r="CG218" s="3">
        <f t="shared" si="1121"/>
        <v>0</v>
      </c>
      <c r="CH218" s="7">
        <f t="shared" si="1121"/>
        <v>0</v>
      </c>
      <c r="CI218" s="7">
        <f t="shared" si="1121"/>
        <v>0</v>
      </c>
      <c r="CJ218" s="3">
        <f t="shared" si="1121"/>
        <v>0</v>
      </c>
      <c r="CK218" s="7">
        <f t="shared" si="1121"/>
        <v>0</v>
      </c>
      <c r="CL218" s="3">
        <f t="shared" si="1121"/>
        <v>0</v>
      </c>
      <c r="CM218" s="7">
        <f t="shared" si="1121"/>
        <v>0</v>
      </c>
      <c r="CN218" s="10">
        <f t="shared" si="1121"/>
        <v>0</v>
      </c>
      <c r="CO218" s="10">
        <f t="shared" si="1121"/>
        <v>0</v>
      </c>
      <c r="CP218" s="7">
        <f t="shared" si="1121"/>
        <v>0</v>
      </c>
      <c r="CQ218" s="7">
        <f t="shared" ref="CQ218" si="1122">IFERROR(CQ523,"-")</f>
        <v>0</v>
      </c>
      <c r="CR218" s="10">
        <f t="shared" si="1067"/>
        <v>0</v>
      </c>
      <c r="CS218" s="7">
        <f t="shared" si="1067"/>
        <v>0</v>
      </c>
      <c r="CT218" s="7">
        <f t="shared" si="1067"/>
        <v>0</v>
      </c>
      <c r="CU218" s="7">
        <f t="shared" si="1067"/>
        <v>0</v>
      </c>
      <c r="CV218" s="7">
        <f t="shared" si="1067"/>
        <v>0</v>
      </c>
      <c r="CW218" s="7">
        <f t="shared" si="1067"/>
        <v>0</v>
      </c>
      <c r="CX218" s="7">
        <f t="shared" si="1067"/>
        <v>0</v>
      </c>
      <c r="CY218" s="7">
        <f t="shared" si="1067"/>
        <v>0</v>
      </c>
      <c r="CZ218" s="7">
        <f t="shared" si="1067"/>
        <v>0</v>
      </c>
      <c r="DA218" s="7">
        <f t="shared" si="1067"/>
        <v>0</v>
      </c>
      <c r="DB218" s="7">
        <f t="shared" si="1067"/>
        <v>0</v>
      </c>
      <c r="DC218" s="7">
        <f t="shared" si="1067"/>
        <v>0</v>
      </c>
      <c r="DD218" s="7">
        <f t="shared" si="1067"/>
        <v>0</v>
      </c>
      <c r="DE218" s="7">
        <f t="shared" si="1067"/>
        <v>0</v>
      </c>
      <c r="DF218" s="7">
        <f t="shared" si="1067"/>
        <v>0</v>
      </c>
      <c r="DG218" s="7">
        <f t="shared" si="1067"/>
        <v>0</v>
      </c>
      <c r="DH218" s="7">
        <f t="shared" ref="DH218:DJ218" si="1123">IFERROR(DH523,"-")</f>
        <v>0</v>
      </c>
      <c r="DI218" s="7">
        <f t="shared" si="1123"/>
        <v>0</v>
      </c>
      <c r="DJ218" s="7">
        <f t="shared" si="1123"/>
        <v>0</v>
      </c>
      <c r="DK218" s="64">
        <f t="shared" ref="DK218:DS218" si="1124">IFERROR(VALUE(DK523),"-")</f>
        <v>0</v>
      </c>
      <c r="DL218" s="64">
        <f t="shared" si="1124"/>
        <v>0</v>
      </c>
      <c r="DM218" s="64">
        <f t="shared" si="1124"/>
        <v>0</v>
      </c>
      <c r="DN218" s="64">
        <f t="shared" si="1124"/>
        <v>0</v>
      </c>
      <c r="DO218" s="64">
        <f t="shared" si="1124"/>
        <v>0</v>
      </c>
      <c r="DP218" s="64">
        <f t="shared" si="1124"/>
        <v>0</v>
      </c>
      <c r="DQ218" s="64">
        <f t="shared" si="1124"/>
        <v>0</v>
      </c>
      <c r="DR218" s="64">
        <f t="shared" si="1124"/>
        <v>0</v>
      </c>
      <c r="DS218" s="64">
        <f t="shared" si="1124"/>
        <v>0</v>
      </c>
      <c r="DT218">
        <f t="shared" si="1000"/>
        <v>0</v>
      </c>
      <c r="DU218" s="10">
        <f t="shared" si="1001"/>
        <v>0</v>
      </c>
    </row>
    <row r="219" spans="1:125" x14ac:dyDescent="0.25">
      <c r="A219" t="s">
        <v>73</v>
      </c>
      <c r="B219" s="2">
        <v>44861</v>
      </c>
      <c r="C219" s="1">
        <v>1150</v>
      </c>
      <c r="D219">
        <v>85</v>
      </c>
      <c r="G219" t="str">
        <f t="array" ref="G219">IFERROR(INDEX($A$2:$A$700,MATCH(0,COUNTIF($G$1:G218,$A$2:$A$700),0)),"")</f>
        <v/>
      </c>
      <c r="M219" s="3"/>
      <c r="N219" s="3"/>
      <c r="O219" s="3">
        <f t="shared" si="1002"/>
        <v>0</v>
      </c>
      <c r="P219" s="7">
        <f t="shared" ref="P219:CA219" si="1125">IFERROR(VALUE(P524),"-")</f>
        <v>0</v>
      </c>
      <c r="Q219" s="7">
        <f t="shared" si="1125"/>
        <v>0</v>
      </c>
      <c r="R219" s="7">
        <f t="shared" si="1125"/>
        <v>0</v>
      </c>
      <c r="S219" s="7">
        <f t="shared" si="1125"/>
        <v>0</v>
      </c>
      <c r="T219" s="11">
        <f t="shared" si="1125"/>
        <v>0</v>
      </c>
      <c r="U219" s="11">
        <f t="shared" si="1125"/>
        <v>0</v>
      </c>
      <c r="V219" s="11">
        <f t="shared" si="1125"/>
        <v>0</v>
      </c>
      <c r="W219" s="11">
        <f t="shared" si="1125"/>
        <v>0</v>
      </c>
      <c r="X219" s="14">
        <f t="shared" si="1125"/>
        <v>0</v>
      </c>
      <c r="Y219" s="14">
        <f t="shared" si="1125"/>
        <v>0</v>
      </c>
      <c r="Z219" s="14">
        <f t="shared" si="1125"/>
        <v>0</v>
      </c>
      <c r="AA219" s="14">
        <f t="shared" si="1125"/>
        <v>0</v>
      </c>
      <c r="AB219" s="15">
        <f t="shared" si="1125"/>
        <v>0</v>
      </c>
      <c r="AC219" s="15">
        <f t="shared" si="1125"/>
        <v>0</v>
      </c>
      <c r="AD219" s="13">
        <f t="shared" si="1125"/>
        <v>0</v>
      </c>
      <c r="AE219" s="13">
        <f t="shared" si="1125"/>
        <v>0</v>
      </c>
      <c r="AF219" s="12">
        <f t="shared" si="1125"/>
        <v>0</v>
      </c>
      <c r="AG219" s="12">
        <f t="shared" si="1125"/>
        <v>0</v>
      </c>
      <c r="AH219" s="13">
        <f t="shared" si="1125"/>
        <v>0</v>
      </c>
      <c r="AI219" s="13">
        <f t="shared" si="1125"/>
        <v>0</v>
      </c>
      <c r="AJ219" s="11">
        <f t="shared" si="1125"/>
        <v>0</v>
      </c>
      <c r="AK219" s="11">
        <f t="shared" si="1125"/>
        <v>0</v>
      </c>
      <c r="AL219" s="11">
        <f t="shared" si="1125"/>
        <v>0</v>
      </c>
      <c r="AM219" s="11">
        <f t="shared" si="1125"/>
        <v>0</v>
      </c>
      <c r="AN219" s="11">
        <f t="shared" si="1125"/>
        <v>0</v>
      </c>
      <c r="AO219" s="11">
        <f t="shared" si="1125"/>
        <v>0</v>
      </c>
      <c r="AP219" s="11">
        <f t="shared" si="1125"/>
        <v>0</v>
      </c>
      <c r="AQ219" s="11">
        <f t="shared" si="1125"/>
        <v>0</v>
      </c>
      <c r="AR219" s="16">
        <f t="shared" si="1125"/>
        <v>0</v>
      </c>
      <c r="AS219" s="16">
        <f t="shared" si="1125"/>
        <v>0</v>
      </c>
      <c r="AT219" s="16">
        <f t="shared" si="1125"/>
        <v>0</v>
      </c>
      <c r="AU219" s="7">
        <f t="shared" si="1125"/>
        <v>0</v>
      </c>
      <c r="AV219" s="7">
        <f t="shared" si="1125"/>
        <v>0</v>
      </c>
      <c r="AW219" s="7">
        <f t="shared" si="1125"/>
        <v>0</v>
      </c>
      <c r="AX219" s="7">
        <f t="shared" si="1125"/>
        <v>0</v>
      </c>
      <c r="AY219" s="11">
        <f t="shared" si="1125"/>
        <v>0</v>
      </c>
      <c r="AZ219" s="16">
        <f t="shared" si="1125"/>
        <v>0</v>
      </c>
      <c r="BA219" s="16">
        <f t="shared" si="1125"/>
        <v>0</v>
      </c>
      <c r="BB219" s="16">
        <f t="shared" si="1125"/>
        <v>0</v>
      </c>
      <c r="BC219" s="11">
        <f t="shared" si="1125"/>
        <v>0</v>
      </c>
      <c r="BD219" s="11">
        <f t="shared" si="1125"/>
        <v>0</v>
      </c>
      <c r="BE219" s="11">
        <f t="shared" si="1125"/>
        <v>0</v>
      </c>
      <c r="BF219" s="11">
        <f t="shared" si="1125"/>
        <v>0</v>
      </c>
      <c r="BG219" s="11">
        <f t="shared" si="1125"/>
        <v>0</v>
      </c>
      <c r="BH219" s="11">
        <f t="shared" si="1125"/>
        <v>0</v>
      </c>
      <c r="BI219" s="13">
        <f t="shared" si="1125"/>
        <v>0</v>
      </c>
      <c r="BJ219" s="13">
        <f t="shared" si="1125"/>
        <v>0</v>
      </c>
      <c r="BK219" s="11">
        <f t="shared" si="1125"/>
        <v>0</v>
      </c>
      <c r="BL219" s="12">
        <f t="shared" si="1125"/>
        <v>0</v>
      </c>
      <c r="BM219" s="12">
        <f t="shared" si="1125"/>
        <v>0</v>
      </c>
      <c r="BN219" s="13">
        <f t="shared" si="1125"/>
        <v>0</v>
      </c>
      <c r="BO219" s="13">
        <f t="shared" si="1125"/>
        <v>0</v>
      </c>
      <c r="BP219" s="15">
        <f t="shared" si="1125"/>
        <v>0</v>
      </c>
      <c r="BQ219" s="15">
        <f t="shared" si="1125"/>
        <v>0</v>
      </c>
      <c r="BR219" s="14">
        <f t="shared" si="1125"/>
        <v>0</v>
      </c>
      <c r="BS219" s="14">
        <f t="shared" si="1125"/>
        <v>0</v>
      </c>
      <c r="BT219" s="14">
        <f t="shared" si="1125"/>
        <v>0</v>
      </c>
      <c r="BU219" s="14">
        <f t="shared" si="1125"/>
        <v>0</v>
      </c>
      <c r="BV219" s="11">
        <f t="shared" si="1125"/>
        <v>0</v>
      </c>
      <c r="BW219" s="11">
        <f t="shared" si="1125"/>
        <v>0</v>
      </c>
      <c r="BX219" s="11">
        <f t="shared" si="1125"/>
        <v>0</v>
      </c>
      <c r="BY219" s="11">
        <f t="shared" si="1125"/>
        <v>0</v>
      </c>
      <c r="BZ219" s="7">
        <f t="shared" si="1125"/>
        <v>0</v>
      </c>
      <c r="CA219" s="7">
        <f t="shared" si="1125"/>
        <v>0</v>
      </c>
      <c r="CB219" s="7">
        <f t="shared" ref="CB219:CP219" si="1126">IFERROR(VALUE(CB524),"-")</f>
        <v>0</v>
      </c>
      <c r="CC219" s="7">
        <f t="shared" si="1126"/>
        <v>0</v>
      </c>
      <c r="CD219" s="7">
        <f t="shared" si="1126"/>
        <v>0</v>
      </c>
      <c r="CE219" s="3">
        <f t="shared" si="1126"/>
        <v>0</v>
      </c>
      <c r="CF219" s="7">
        <f t="shared" si="1126"/>
        <v>0</v>
      </c>
      <c r="CG219" s="3">
        <f t="shared" si="1126"/>
        <v>0</v>
      </c>
      <c r="CH219" s="7">
        <f t="shared" si="1126"/>
        <v>0</v>
      </c>
      <c r="CI219" s="7">
        <f t="shared" si="1126"/>
        <v>0</v>
      </c>
      <c r="CJ219" s="3">
        <f t="shared" si="1126"/>
        <v>0</v>
      </c>
      <c r="CK219" s="7">
        <f t="shared" si="1126"/>
        <v>0</v>
      </c>
      <c r="CL219" s="3">
        <f t="shared" si="1126"/>
        <v>0</v>
      </c>
      <c r="CM219" s="7">
        <f t="shared" si="1126"/>
        <v>0</v>
      </c>
      <c r="CN219" s="10">
        <f t="shared" si="1126"/>
        <v>0</v>
      </c>
      <c r="CO219" s="10">
        <f t="shared" si="1126"/>
        <v>0</v>
      </c>
      <c r="CP219" s="7">
        <f t="shared" si="1126"/>
        <v>0</v>
      </c>
      <c r="CQ219" s="7">
        <f t="shared" ref="CQ219" si="1127">IFERROR(CQ524,"-")</f>
        <v>0</v>
      </c>
      <c r="CR219" s="10">
        <f t="shared" si="1067"/>
        <v>0</v>
      </c>
      <c r="CS219" s="7">
        <f t="shared" si="1067"/>
        <v>0</v>
      </c>
      <c r="CT219" s="7">
        <f t="shared" si="1067"/>
        <v>0</v>
      </c>
      <c r="CU219" s="7">
        <f t="shared" si="1067"/>
        <v>0</v>
      </c>
      <c r="CV219" s="7">
        <f t="shared" si="1067"/>
        <v>0</v>
      </c>
      <c r="CW219" s="7">
        <f t="shared" si="1067"/>
        <v>0</v>
      </c>
      <c r="CX219" s="7">
        <f t="shared" si="1067"/>
        <v>0</v>
      </c>
      <c r="CY219" s="7">
        <f t="shared" si="1067"/>
        <v>0</v>
      </c>
      <c r="CZ219" s="7">
        <f t="shared" si="1067"/>
        <v>0</v>
      </c>
      <c r="DA219" s="7">
        <f t="shared" si="1067"/>
        <v>0</v>
      </c>
      <c r="DB219" s="7">
        <f t="shared" si="1067"/>
        <v>0</v>
      </c>
      <c r="DC219" s="7">
        <f t="shared" si="1067"/>
        <v>0</v>
      </c>
      <c r="DD219" s="7">
        <f t="shared" si="1067"/>
        <v>0</v>
      </c>
      <c r="DE219" s="7">
        <f t="shared" si="1067"/>
        <v>0</v>
      </c>
      <c r="DF219" s="7">
        <f t="shared" si="1067"/>
        <v>0</v>
      </c>
      <c r="DG219" s="7">
        <f t="shared" si="1067"/>
        <v>0</v>
      </c>
      <c r="DH219" s="7">
        <f t="shared" ref="DH219:DJ219" si="1128">IFERROR(DH524,"-")</f>
        <v>0</v>
      </c>
      <c r="DI219" s="7">
        <f t="shared" si="1128"/>
        <v>0</v>
      </c>
      <c r="DJ219" s="7">
        <f t="shared" si="1128"/>
        <v>0</v>
      </c>
      <c r="DK219" s="64">
        <f t="shared" ref="DK219:DS219" si="1129">IFERROR(VALUE(DK524),"-")</f>
        <v>0</v>
      </c>
      <c r="DL219" s="64">
        <f t="shared" si="1129"/>
        <v>0</v>
      </c>
      <c r="DM219" s="64">
        <f t="shared" si="1129"/>
        <v>0</v>
      </c>
      <c r="DN219" s="64">
        <f t="shared" si="1129"/>
        <v>0</v>
      </c>
      <c r="DO219" s="64">
        <f t="shared" si="1129"/>
        <v>0</v>
      </c>
      <c r="DP219" s="64">
        <f t="shared" si="1129"/>
        <v>0</v>
      </c>
      <c r="DQ219" s="64">
        <f t="shared" si="1129"/>
        <v>0</v>
      </c>
      <c r="DR219" s="64">
        <f t="shared" si="1129"/>
        <v>0</v>
      </c>
      <c r="DS219" s="64">
        <f t="shared" si="1129"/>
        <v>0</v>
      </c>
      <c r="DT219">
        <f t="shared" si="1000"/>
        <v>0</v>
      </c>
      <c r="DU219" s="10">
        <f t="shared" si="1001"/>
        <v>0</v>
      </c>
    </row>
    <row r="220" spans="1:125" x14ac:dyDescent="0.25">
      <c r="A220" t="s">
        <v>74</v>
      </c>
      <c r="B220" s="2">
        <v>44798</v>
      </c>
      <c r="C220" s="1">
        <v>22500</v>
      </c>
      <c r="D220">
        <v>39</v>
      </c>
      <c r="G220" t="str">
        <f t="array" ref="G220">IFERROR(INDEX($A$2:$A$700,MATCH(0,COUNTIF($G$1:G219,$A$2:$A$700),0)),"")</f>
        <v/>
      </c>
      <c r="M220" s="3"/>
      <c r="N220" s="3"/>
      <c r="O220" s="3">
        <f t="shared" si="1002"/>
        <v>0</v>
      </c>
      <c r="P220" s="7">
        <f t="shared" ref="P220:CA220" si="1130">IFERROR(VALUE(P525),"-")</f>
        <v>0</v>
      </c>
      <c r="Q220" s="7">
        <f t="shared" si="1130"/>
        <v>0</v>
      </c>
      <c r="R220" s="7">
        <f t="shared" si="1130"/>
        <v>0</v>
      </c>
      <c r="S220" s="7">
        <f t="shared" si="1130"/>
        <v>0</v>
      </c>
      <c r="T220" s="11">
        <f t="shared" si="1130"/>
        <v>0</v>
      </c>
      <c r="U220" s="11">
        <f t="shared" si="1130"/>
        <v>0</v>
      </c>
      <c r="V220" s="11">
        <f t="shared" si="1130"/>
        <v>0</v>
      </c>
      <c r="W220" s="11">
        <f t="shared" si="1130"/>
        <v>0</v>
      </c>
      <c r="X220" s="14">
        <f t="shared" si="1130"/>
        <v>0</v>
      </c>
      <c r="Y220" s="14">
        <f t="shared" si="1130"/>
        <v>0</v>
      </c>
      <c r="Z220" s="14">
        <f t="shared" si="1130"/>
        <v>0</v>
      </c>
      <c r="AA220" s="14">
        <f t="shared" si="1130"/>
        <v>0</v>
      </c>
      <c r="AB220" s="15">
        <f t="shared" si="1130"/>
        <v>0</v>
      </c>
      <c r="AC220" s="15">
        <f t="shared" si="1130"/>
        <v>0</v>
      </c>
      <c r="AD220" s="13">
        <f t="shared" si="1130"/>
        <v>0</v>
      </c>
      <c r="AE220" s="13">
        <f t="shared" si="1130"/>
        <v>0</v>
      </c>
      <c r="AF220" s="12">
        <f t="shared" si="1130"/>
        <v>0</v>
      </c>
      <c r="AG220" s="12">
        <f t="shared" si="1130"/>
        <v>0</v>
      </c>
      <c r="AH220" s="13">
        <f t="shared" si="1130"/>
        <v>0</v>
      </c>
      <c r="AI220" s="13">
        <f t="shared" si="1130"/>
        <v>0</v>
      </c>
      <c r="AJ220" s="11">
        <f t="shared" si="1130"/>
        <v>0</v>
      </c>
      <c r="AK220" s="11">
        <f t="shared" si="1130"/>
        <v>0</v>
      </c>
      <c r="AL220" s="11">
        <f t="shared" si="1130"/>
        <v>0</v>
      </c>
      <c r="AM220" s="11">
        <f t="shared" si="1130"/>
        <v>0</v>
      </c>
      <c r="AN220" s="11">
        <f t="shared" si="1130"/>
        <v>0</v>
      </c>
      <c r="AO220" s="11">
        <f t="shared" si="1130"/>
        <v>0</v>
      </c>
      <c r="AP220" s="11">
        <f t="shared" si="1130"/>
        <v>0</v>
      </c>
      <c r="AQ220" s="11">
        <f t="shared" si="1130"/>
        <v>0</v>
      </c>
      <c r="AR220" s="16">
        <f t="shared" si="1130"/>
        <v>0</v>
      </c>
      <c r="AS220" s="16">
        <f t="shared" si="1130"/>
        <v>0</v>
      </c>
      <c r="AT220" s="16">
        <f t="shared" si="1130"/>
        <v>0</v>
      </c>
      <c r="AU220" s="7">
        <f t="shared" si="1130"/>
        <v>0</v>
      </c>
      <c r="AV220" s="7">
        <f t="shared" si="1130"/>
        <v>0</v>
      </c>
      <c r="AW220" s="7">
        <f t="shared" si="1130"/>
        <v>0</v>
      </c>
      <c r="AX220" s="7">
        <f t="shared" si="1130"/>
        <v>0</v>
      </c>
      <c r="AY220" s="11">
        <f t="shared" si="1130"/>
        <v>0</v>
      </c>
      <c r="AZ220" s="16">
        <f t="shared" si="1130"/>
        <v>0</v>
      </c>
      <c r="BA220" s="16">
        <f t="shared" si="1130"/>
        <v>0</v>
      </c>
      <c r="BB220" s="16">
        <f t="shared" si="1130"/>
        <v>0</v>
      </c>
      <c r="BC220" s="11">
        <f t="shared" si="1130"/>
        <v>0</v>
      </c>
      <c r="BD220" s="11">
        <f t="shared" si="1130"/>
        <v>0</v>
      </c>
      <c r="BE220" s="11">
        <f t="shared" si="1130"/>
        <v>0</v>
      </c>
      <c r="BF220" s="11">
        <f t="shared" si="1130"/>
        <v>0</v>
      </c>
      <c r="BG220" s="11">
        <f t="shared" si="1130"/>
        <v>0</v>
      </c>
      <c r="BH220" s="11">
        <f t="shared" si="1130"/>
        <v>0</v>
      </c>
      <c r="BI220" s="13">
        <f t="shared" si="1130"/>
        <v>0</v>
      </c>
      <c r="BJ220" s="13">
        <f t="shared" si="1130"/>
        <v>0</v>
      </c>
      <c r="BK220" s="11">
        <f t="shared" si="1130"/>
        <v>0</v>
      </c>
      <c r="BL220" s="12">
        <f t="shared" si="1130"/>
        <v>0</v>
      </c>
      <c r="BM220" s="12">
        <f t="shared" si="1130"/>
        <v>0</v>
      </c>
      <c r="BN220" s="13">
        <f t="shared" si="1130"/>
        <v>0</v>
      </c>
      <c r="BO220" s="13">
        <f t="shared" si="1130"/>
        <v>0</v>
      </c>
      <c r="BP220" s="15">
        <f t="shared" si="1130"/>
        <v>0</v>
      </c>
      <c r="BQ220" s="15">
        <f t="shared" si="1130"/>
        <v>0</v>
      </c>
      <c r="BR220" s="14">
        <f t="shared" si="1130"/>
        <v>0</v>
      </c>
      <c r="BS220" s="14">
        <f t="shared" si="1130"/>
        <v>0</v>
      </c>
      <c r="BT220" s="14">
        <f t="shared" si="1130"/>
        <v>0</v>
      </c>
      <c r="BU220" s="14">
        <f t="shared" si="1130"/>
        <v>0</v>
      </c>
      <c r="BV220" s="11">
        <f t="shared" si="1130"/>
        <v>0</v>
      </c>
      <c r="BW220" s="11">
        <f t="shared" si="1130"/>
        <v>0</v>
      </c>
      <c r="BX220" s="11">
        <f t="shared" si="1130"/>
        <v>0</v>
      </c>
      <c r="BY220" s="11">
        <f t="shared" si="1130"/>
        <v>0</v>
      </c>
      <c r="BZ220" s="7">
        <f t="shared" si="1130"/>
        <v>0</v>
      </c>
      <c r="CA220" s="7">
        <f t="shared" si="1130"/>
        <v>0</v>
      </c>
      <c r="CB220" s="7">
        <f t="shared" ref="CB220:CP220" si="1131">IFERROR(VALUE(CB525),"-")</f>
        <v>0</v>
      </c>
      <c r="CC220" s="7">
        <f t="shared" si="1131"/>
        <v>0</v>
      </c>
      <c r="CD220" s="7">
        <f t="shared" si="1131"/>
        <v>0</v>
      </c>
      <c r="CE220" s="3">
        <f t="shared" si="1131"/>
        <v>0</v>
      </c>
      <c r="CF220" s="7">
        <f t="shared" si="1131"/>
        <v>0</v>
      </c>
      <c r="CG220" s="3">
        <f t="shared" si="1131"/>
        <v>0</v>
      </c>
      <c r="CH220" s="7">
        <f t="shared" si="1131"/>
        <v>0</v>
      </c>
      <c r="CI220" s="7">
        <f t="shared" si="1131"/>
        <v>0</v>
      </c>
      <c r="CJ220" s="3">
        <f t="shared" si="1131"/>
        <v>0</v>
      </c>
      <c r="CK220" s="7">
        <f t="shared" si="1131"/>
        <v>0</v>
      </c>
      <c r="CL220" s="3">
        <f t="shared" si="1131"/>
        <v>0</v>
      </c>
      <c r="CM220" s="7">
        <f t="shared" si="1131"/>
        <v>0</v>
      </c>
      <c r="CN220" s="10">
        <f t="shared" si="1131"/>
        <v>0</v>
      </c>
      <c r="CO220" s="10">
        <f t="shared" si="1131"/>
        <v>0</v>
      </c>
      <c r="CP220" s="7">
        <f t="shared" si="1131"/>
        <v>0</v>
      </c>
      <c r="CQ220" s="7">
        <f t="shared" ref="CQ220" si="1132">IFERROR(CQ525,"-")</f>
        <v>0</v>
      </c>
      <c r="CR220" s="10">
        <f t="shared" si="1067"/>
        <v>0</v>
      </c>
      <c r="CS220" s="7">
        <f t="shared" si="1067"/>
        <v>0</v>
      </c>
      <c r="CT220" s="7">
        <f t="shared" si="1067"/>
        <v>0</v>
      </c>
      <c r="CU220" s="7">
        <f t="shared" si="1067"/>
        <v>0</v>
      </c>
      <c r="CV220" s="7">
        <f t="shared" si="1067"/>
        <v>0</v>
      </c>
      <c r="CW220" s="7">
        <f t="shared" si="1067"/>
        <v>0</v>
      </c>
      <c r="CX220" s="7">
        <f t="shared" si="1067"/>
        <v>0</v>
      </c>
      <c r="CY220" s="7">
        <f t="shared" si="1067"/>
        <v>0</v>
      </c>
      <c r="CZ220" s="7">
        <f t="shared" si="1067"/>
        <v>0</v>
      </c>
      <c r="DA220" s="7">
        <f t="shared" si="1067"/>
        <v>0</v>
      </c>
      <c r="DB220" s="7">
        <f t="shared" si="1067"/>
        <v>0</v>
      </c>
      <c r="DC220" s="7">
        <f t="shared" si="1067"/>
        <v>0</v>
      </c>
      <c r="DD220" s="7">
        <f t="shared" si="1067"/>
        <v>0</v>
      </c>
      <c r="DE220" s="7">
        <f t="shared" si="1067"/>
        <v>0</v>
      </c>
      <c r="DF220" s="7">
        <f t="shared" si="1067"/>
        <v>0</v>
      </c>
      <c r="DG220" s="7">
        <f t="shared" si="1067"/>
        <v>0</v>
      </c>
      <c r="DH220" s="7">
        <f t="shared" ref="DH220:DJ220" si="1133">IFERROR(DH525,"-")</f>
        <v>0</v>
      </c>
      <c r="DI220" s="7">
        <f t="shared" si="1133"/>
        <v>0</v>
      </c>
      <c r="DJ220" s="7">
        <f t="shared" si="1133"/>
        <v>0</v>
      </c>
      <c r="DK220" s="64">
        <f t="shared" ref="DK220:DS220" si="1134">IFERROR(VALUE(DK525),"-")</f>
        <v>0</v>
      </c>
      <c r="DL220" s="64">
        <f t="shared" si="1134"/>
        <v>0</v>
      </c>
      <c r="DM220" s="64">
        <f t="shared" si="1134"/>
        <v>0</v>
      </c>
      <c r="DN220" s="64">
        <f t="shared" si="1134"/>
        <v>0</v>
      </c>
      <c r="DO220" s="64">
        <f t="shared" si="1134"/>
        <v>0</v>
      </c>
      <c r="DP220" s="64">
        <f t="shared" si="1134"/>
        <v>0</v>
      </c>
      <c r="DQ220" s="64">
        <f t="shared" si="1134"/>
        <v>0</v>
      </c>
      <c r="DR220" s="64">
        <f t="shared" si="1134"/>
        <v>0</v>
      </c>
      <c r="DS220" s="64">
        <f t="shared" si="1134"/>
        <v>0</v>
      </c>
      <c r="DT220">
        <f t="shared" si="1000"/>
        <v>0</v>
      </c>
      <c r="DU220" s="10">
        <f t="shared" si="1001"/>
        <v>0</v>
      </c>
    </row>
    <row r="221" spans="1:125" x14ac:dyDescent="0.25">
      <c r="A221" t="s">
        <v>74</v>
      </c>
      <c r="B221" s="2">
        <v>44833</v>
      </c>
      <c r="C221" s="1">
        <v>22500</v>
      </c>
      <c r="D221">
        <v>39</v>
      </c>
      <c r="M221" s="3"/>
      <c r="N221" s="3"/>
      <c r="O221" s="3">
        <f t="shared" si="1002"/>
        <v>0</v>
      </c>
      <c r="P221" s="7">
        <f t="shared" ref="P221:CA221" si="1135">IFERROR(VALUE(P526),"-")</f>
        <v>0</v>
      </c>
      <c r="Q221" s="7">
        <f t="shared" si="1135"/>
        <v>0</v>
      </c>
      <c r="R221" s="7">
        <f t="shared" si="1135"/>
        <v>0</v>
      </c>
      <c r="S221" s="7">
        <f t="shared" si="1135"/>
        <v>0</v>
      </c>
      <c r="T221" s="11">
        <f t="shared" si="1135"/>
        <v>0</v>
      </c>
      <c r="U221" s="11">
        <f t="shared" si="1135"/>
        <v>0</v>
      </c>
      <c r="V221" s="11">
        <f t="shared" si="1135"/>
        <v>0</v>
      </c>
      <c r="W221" s="11">
        <f t="shared" si="1135"/>
        <v>0</v>
      </c>
      <c r="X221" s="14">
        <f t="shared" si="1135"/>
        <v>0</v>
      </c>
      <c r="Y221" s="14">
        <f t="shared" si="1135"/>
        <v>0</v>
      </c>
      <c r="Z221" s="14">
        <f t="shared" si="1135"/>
        <v>0</v>
      </c>
      <c r="AA221" s="14">
        <f t="shared" si="1135"/>
        <v>0</v>
      </c>
      <c r="AB221" s="15">
        <f t="shared" si="1135"/>
        <v>0</v>
      </c>
      <c r="AC221" s="15">
        <f t="shared" si="1135"/>
        <v>0</v>
      </c>
      <c r="AD221" s="13">
        <f t="shared" si="1135"/>
        <v>0</v>
      </c>
      <c r="AE221" s="13">
        <f t="shared" si="1135"/>
        <v>0</v>
      </c>
      <c r="AF221" s="12">
        <f t="shared" si="1135"/>
        <v>0</v>
      </c>
      <c r="AG221" s="12">
        <f t="shared" si="1135"/>
        <v>0</v>
      </c>
      <c r="AH221" s="13">
        <f t="shared" si="1135"/>
        <v>0</v>
      </c>
      <c r="AI221" s="13">
        <f t="shared" si="1135"/>
        <v>0</v>
      </c>
      <c r="AJ221" s="11">
        <f t="shared" si="1135"/>
        <v>0</v>
      </c>
      <c r="AK221" s="11">
        <f t="shared" si="1135"/>
        <v>0</v>
      </c>
      <c r="AL221" s="11">
        <f t="shared" si="1135"/>
        <v>0</v>
      </c>
      <c r="AM221" s="11">
        <f t="shared" si="1135"/>
        <v>0</v>
      </c>
      <c r="AN221" s="11">
        <f t="shared" si="1135"/>
        <v>0</v>
      </c>
      <c r="AO221" s="11">
        <f t="shared" si="1135"/>
        <v>0</v>
      </c>
      <c r="AP221" s="11">
        <f t="shared" si="1135"/>
        <v>0</v>
      </c>
      <c r="AQ221" s="11">
        <f t="shared" si="1135"/>
        <v>0</v>
      </c>
      <c r="AR221" s="16">
        <f t="shared" si="1135"/>
        <v>0</v>
      </c>
      <c r="AS221" s="16">
        <f t="shared" si="1135"/>
        <v>0</v>
      </c>
      <c r="AT221" s="16">
        <f t="shared" si="1135"/>
        <v>0</v>
      </c>
      <c r="AU221" s="7">
        <f t="shared" si="1135"/>
        <v>0</v>
      </c>
      <c r="AV221" s="7">
        <f t="shared" si="1135"/>
        <v>0</v>
      </c>
      <c r="AW221" s="7">
        <f t="shared" si="1135"/>
        <v>0</v>
      </c>
      <c r="AX221" s="7">
        <f t="shared" si="1135"/>
        <v>0</v>
      </c>
      <c r="AY221" s="11">
        <f t="shared" si="1135"/>
        <v>0</v>
      </c>
      <c r="AZ221" s="16">
        <f t="shared" si="1135"/>
        <v>0</v>
      </c>
      <c r="BA221" s="16">
        <f t="shared" si="1135"/>
        <v>0</v>
      </c>
      <c r="BB221" s="16">
        <f t="shared" si="1135"/>
        <v>0</v>
      </c>
      <c r="BC221" s="11">
        <f t="shared" si="1135"/>
        <v>0</v>
      </c>
      <c r="BD221" s="11">
        <f t="shared" si="1135"/>
        <v>0</v>
      </c>
      <c r="BE221" s="11">
        <f t="shared" si="1135"/>
        <v>0</v>
      </c>
      <c r="BF221" s="11">
        <f t="shared" si="1135"/>
        <v>0</v>
      </c>
      <c r="BG221" s="11">
        <f t="shared" si="1135"/>
        <v>0</v>
      </c>
      <c r="BH221" s="11">
        <f t="shared" si="1135"/>
        <v>0</v>
      </c>
      <c r="BI221" s="13">
        <f t="shared" si="1135"/>
        <v>0</v>
      </c>
      <c r="BJ221" s="13">
        <f t="shared" si="1135"/>
        <v>0</v>
      </c>
      <c r="BK221" s="11">
        <f t="shared" si="1135"/>
        <v>0</v>
      </c>
      <c r="BL221" s="12">
        <f t="shared" si="1135"/>
        <v>0</v>
      </c>
      <c r="BM221" s="12">
        <f t="shared" si="1135"/>
        <v>0</v>
      </c>
      <c r="BN221" s="13">
        <f t="shared" si="1135"/>
        <v>0</v>
      </c>
      <c r="BO221" s="13">
        <f t="shared" si="1135"/>
        <v>0</v>
      </c>
      <c r="BP221" s="15">
        <f t="shared" si="1135"/>
        <v>0</v>
      </c>
      <c r="BQ221" s="15">
        <f t="shared" si="1135"/>
        <v>0</v>
      </c>
      <c r="BR221" s="14">
        <f t="shared" si="1135"/>
        <v>0</v>
      </c>
      <c r="BS221" s="14">
        <f t="shared" si="1135"/>
        <v>0</v>
      </c>
      <c r="BT221" s="14">
        <f t="shared" si="1135"/>
        <v>0</v>
      </c>
      <c r="BU221" s="14">
        <f t="shared" si="1135"/>
        <v>0</v>
      </c>
      <c r="BV221" s="11">
        <f t="shared" si="1135"/>
        <v>0</v>
      </c>
      <c r="BW221" s="11">
        <f t="shared" si="1135"/>
        <v>0</v>
      </c>
      <c r="BX221" s="11">
        <f t="shared" si="1135"/>
        <v>0</v>
      </c>
      <c r="BY221" s="11">
        <f t="shared" si="1135"/>
        <v>0</v>
      </c>
      <c r="BZ221" s="7">
        <f t="shared" si="1135"/>
        <v>0</v>
      </c>
      <c r="CA221" s="7">
        <f t="shared" si="1135"/>
        <v>0</v>
      </c>
      <c r="CB221" s="7">
        <f t="shared" ref="CB221:CP221" si="1136">IFERROR(VALUE(CB526),"-")</f>
        <v>0</v>
      </c>
      <c r="CC221" s="7">
        <f t="shared" si="1136"/>
        <v>0</v>
      </c>
      <c r="CD221" s="7">
        <f t="shared" si="1136"/>
        <v>0</v>
      </c>
      <c r="CE221" s="3">
        <f t="shared" si="1136"/>
        <v>0</v>
      </c>
      <c r="CF221" s="7">
        <f t="shared" si="1136"/>
        <v>0</v>
      </c>
      <c r="CG221" s="3">
        <f t="shared" si="1136"/>
        <v>0</v>
      </c>
      <c r="CH221" s="7">
        <f t="shared" si="1136"/>
        <v>0</v>
      </c>
      <c r="CI221" s="7">
        <f t="shared" si="1136"/>
        <v>0</v>
      </c>
      <c r="CJ221" s="3">
        <f t="shared" si="1136"/>
        <v>0</v>
      </c>
      <c r="CK221" s="7">
        <f t="shared" si="1136"/>
        <v>0</v>
      </c>
      <c r="CL221" s="3">
        <f t="shared" si="1136"/>
        <v>0</v>
      </c>
      <c r="CM221" s="7">
        <f t="shared" si="1136"/>
        <v>0</v>
      </c>
      <c r="CN221" s="10">
        <f t="shared" si="1136"/>
        <v>0</v>
      </c>
      <c r="CO221" s="10">
        <f t="shared" si="1136"/>
        <v>0</v>
      </c>
      <c r="CP221" s="7">
        <f t="shared" si="1136"/>
        <v>0</v>
      </c>
      <c r="CQ221" s="7">
        <f t="shared" ref="CQ221" si="1137">IFERROR(CQ526,"-")</f>
        <v>0</v>
      </c>
      <c r="CR221" s="10">
        <f t="shared" si="1067"/>
        <v>0</v>
      </c>
      <c r="CS221" s="7">
        <f t="shared" si="1067"/>
        <v>0</v>
      </c>
      <c r="CT221" s="7">
        <f t="shared" si="1067"/>
        <v>0</v>
      </c>
      <c r="CU221" s="7">
        <f t="shared" si="1067"/>
        <v>0</v>
      </c>
      <c r="CV221" s="7">
        <f t="shared" si="1067"/>
        <v>0</v>
      </c>
      <c r="CW221" s="7">
        <f t="shared" si="1067"/>
        <v>0</v>
      </c>
      <c r="CX221" s="7">
        <f t="shared" si="1067"/>
        <v>0</v>
      </c>
      <c r="CY221" s="7">
        <f t="shared" si="1067"/>
        <v>0</v>
      </c>
      <c r="CZ221" s="7">
        <f t="shared" si="1067"/>
        <v>0</v>
      </c>
      <c r="DA221" s="7">
        <f t="shared" si="1067"/>
        <v>0</v>
      </c>
      <c r="DB221" s="7">
        <f t="shared" si="1067"/>
        <v>0</v>
      </c>
      <c r="DC221" s="7">
        <f t="shared" si="1067"/>
        <v>0</v>
      </c>
      <c r="DD221" s="7">
        <f t="shared" si="1067"/>
        <v>0</v>
      </c>
      <c r="DE221" s="7">
        <f t="shared" si="1067"/>
        <v>0</v>
      </c>
      <c r="DF221" s="7">
        <f t="shared" si="1067"/>
        <v>0</v>
      </c>
      <c r="DG221" s="7">
        <f t="shared" si="1067"/>
        <v>0</v>
      </c>
      <c r="DH221" s="7">
        <f t="shared" ref="DH221:DJ221" si="1138">IFERROR(DH526,"-")</f>
        <v>0</v>
      </c>
      <c r="DI221" s="7">
        <f t="shared" si="1138"/>
        <v>0</v>
      </c>
      <c r="DJ221" s="7">
        <f t="shared" si="1138"/>
        <v>0</v>
      </c>
      <c r="DK221" s="64">
        <f t="shared" ref="DK221:DS221" si="1139">IFERROR(VALUE(DK526),"-")</f>
        <v>0</v>
      </c>
      <c r="DL221" s="64">
        <f t="shared" si="1139"/>
        <v>0</v>
      </c>
      <c r="DM221" s="64">
        <f t="shared" si="1139"/>
        <v>0</v>
      </c>
      <c r="DN221" s="64">
        <f t="shared" si="1139"/>
        <v>0</v>
      </c>
      <c r="DO221" s="64">
        <f t="shared" si="1139"/>
        <v>0</v>
      </c>
      <c r="DP221" s="64">
        <f t="shared" si="1139"/>
        <v>0</v>
      </c>
      <c r="DQ221" s="64">
        <f t="shared" si="1139"/>
        <v>0</v>
      </c>
      <c r="DR221" s="64">
        <f t="shared" si="1139"/>
        <v>0</v>
      </c>
      <c r="DS221" s="64">
        <f t="shared" si="1139"/>
        <v>0</v>
      </c>
      <c r="DT221">
        <f t="shared" si="1000"/>
        <v>0</v>
      </c>
      <c r="DU221" s="10">
        <f t="shared" si="1001"/>
        <v>0</v>
      </c>
    </row>
    <row r="222" spans="1:125" x14ac:dyDescent="0.25">
      <c r="A222" t="s">
        <v>74</v>
      </c>
      <c r="B222" s="2">
        <v>44861</v>
      </c>
      <c r="C222" s="1">
        <v>22500</v>
      </c>
      <c r="D222">
        <v>39</v>
      </c>
      <c r="M222" s="3"/>
      <c r="N222" s="3"/>
      <c r="O222" s="3">
        <f t="shared" si="1002"/>
        <v>0</v>
      </c>
      <c r="P222" s="7">
        <f t="shared" ref="P222:CA222" si="1140">IFERROR(VALUE(P527),"-")</f>
        <v>0</v>
      </c>
      <c r="Q222" s="7">
        <f t="shared" si="1140"/>
        <v>0</v>
      </c>
      <c r="R222" s="7">
        <f t="shared" si="1140"/>
        <v>0</v>
      </c>
      <c r="S222" s="7">
        <f t="shared" si="1140"/>
        <v>0</v>
      </c>
      <c r="T222" s="11">
        <f t="shared" si="1140"/>
        <v>0</v>
      </c>
      <c r="U222" s="11">
        <f t="shared" si="1140"/>
        <v>0</v>
      </c>
      <c r="V222" s="11">
        <f t="shared" si="1140"/>
        <v>0</v>
      </c>
      <c r="W222" s="11">
        <f t="shared" si="1140"/>
        <v>0</v>
      </c>
      <c r="X222" s="14">
        <f t="shared" si="1140"/>
        <v>0</v>
      </c>
      <c r="Y222" s="14">
        <f t="shared" si="1140"/>
        <v>0</v>
      </c>
      <c r="Z222" s="14">
        <f t="shared" si="1140"/>
        <v>0</v>
      </c>
      <c r="AA222" s="14">
        <f t="shared" si="1140"/>
        <v>0</v>
      </c>
      <c r="AB222" s="15">
        <f t="shared" si="1140"/>
        <v>0</v>
      </c>
      <c r="AC222" s="15">
        <f t="shared" si="1140"/>
        <v>0</v>
      </c>
      <c r="AD222" s="13">
        <f t="shared" si="1140"/>
        <v>0</v>
      </c>
      <c r="AE222" s="13">
        <f t="shared" si="1140"/>
        <v>0</v>
      </c>
      <c r="AF222" s="12">
        <f t="shared" si="1140"/>
        <v>0</v>
      </c>
      <c r="AG222" s="12">
        <f t="shared" si="1140"/>
        <v>0</v>
      </c>
      <c r="AH222" s="13">
        <f t="shared" si="1140"/>
        <v>0</v>
      </c>
      <c r="AI222" s="13">
        <f t="shared" si="1140"/>
        <v>0</v>
      </c>
      <c r="AJ222" s="11">
        <f t="shared" si="1140"/>
        <v>0</v>
      </c>
      <c r="AK222" s="11">
        <f t="shared" si="1140"/>
        <v>0</v>
      </c>
      <c r="AL222" s="11">
        <f t="shared" si="1140"/>
        <v>0</v>
      </c>
      <c r="AM222" s="11">
        <f t="shared" si="1140"/>
        <v>0</v>
      </c>
      <c r="AN222" s="11">
        <f t="shared" si="1140"/>
        <v>0</v>
      </c>
      <c r="AO222" s="11">
        <f t="shared" si="1140"/>
        <v>0</v>
      </c>
      <c r="AP222" s="11">
        <f t="shared" si="1140"/>
        <v>0</v>
      </c>
      <c r="AQ222" s="11">
        <f t="shared" si="1140"/>
        <v>0</v>
      </c>
      <c r="AR222" s="16">
        <f t="shared" si="1140"/>
        <v>0</v>
      </c>
      <c r="AS222" s="16">
        <f t="shared" si="1140"/>
        <v>0</v>
      </c>
      <c r="AT222" s="16">
        <f t="shared" si="1140"/>
        <v>0</v>
      </c>
      <c r="AU222" s="7">
        <f t="shared" si="1140"/>
        <v>0</v>
      </c>
      <c r="AV222" s="7">
        <f t="shared" si="1140"/>
        <v>0</v>
      </c>
      <c r="AW222" s="7">
        <f t="shared" si="1140"/>
        <v>0</v>
      </c>
      <c r="AX222" s="7">
        <f t="shared" si="1140"/>
        <v>0</v>
      </c>
      <c r="AY222" s="11">
        <f t="shared" si="1140"/>
        <v>0</v>
      </c>
      <c r="AZ222" s="16">
        <f t="shared" si="1140"/>
        <v>0</v>
      </c>
      <c r="BA222" s="16">
        <f t="shared" si="1140"/>
        <v>0</v>
      </c>
      <c r="BB222" s="16">
        <f t="shared" si="1140"/>
        <v>0</v>
      </c>
      <c r="BC222" s="11">
        <f t="shared" si="1140"/>
        <v>0</v>
      </c>
      <c r="BD222" s="11">
        <f t="shared" si="1140"/>
        <v>0</v>
      </c>
      <c r="BE222" s="11">
        <f t="shared" si="1140"/>
        <v>0</v>
      </c>
      <c r="BF222" s="11">
        <f t="shared" si="1140"/>
        <v>0</v>
      </c>
      <c r="BG222" s="11">
        <f t="shared" si="1140"/>
        <v>0</v>
      </c>
      <c r="BH222" s="11">
        <f t="shared" si="1140"/>
        <v>0</v>
      </c>
      <c r="BI222" s="13">
        <f t="shared" si="1140"/>
        <v>0</v>
      </c>
      <c r="BJ222" s="13">
        <f t="shared" si="1140"/>
        <v>0</v>
      </c>
      <c r="BK222" s="11">
        <f t="shared" si="1140"/>
        <v>0</v>
      </c>
      <c r="BL222" s="12">
        <f t="shared" si="1140"/>
        <v>0</v>
      </c>
      <c r="BM222" s="12">
        <f t="shared" si="1140"/>
        <v>0</v>
      </c>
      <c r="BN222" s="13">
        <f t="shared" si="1140"/>
        <v>0</v>
      </c>
      <c r="BO222" s="13">
        <f t="shared" si="1140"/>
        <v>0</v>
      </c>
      <c r="BP222" s="15">
        <f t="shared" si="1140"/>
        <v>0</v>
      </c>
      <c r="BQ222" s="15">
        <f t="shared" si="1140"/>
        <v>0</v>
      </c>
      <c r="BR222" s="14">
        <f t="shared" si="1140"/>
        <v>0</v>
      </c>
      <c r="BS222" s="14">
        <f t="shared" si="1140"/>
        <v>0</v>
      </c>
      <c r="BT222" s="14">
        <f t="shared" si="1140"/>
        <v>0</v>
      </c>
      <c r="BU222" s="14">
        <f t="shared" si="1140"/>
        <v>0</v>
      </c>
      <c r="BV222" s="11">
        <f t="shared" si="1140"/>
        <v>0</v>
      </c>
      <c r="BW222" s="11">
        <f t="shared" si="1140"/>
        <v>0</v>
      </c>
      <c r="BX222" s="11">
        <f t="shared" si="1140"/>
        <v>0</v>
      </c>
      <c r="BY222" s="11">
        <f t="shared" si="1140"/>
        <v>0</v>
      </c>
      <c r="BZ222" s="7">
        <f t="shared" si="1140"/>
        <v>0</v>
      </c>
      <c r="CA222" s="7">
        <f t="shared" si="1140"/>
        <v>0</v>
      </c>
      <c r="CB222" s="7">
        <f t="shared" ref="CB222:CP222" si="1141">IFERROR(VALUE(CB527),"-")</f>
        <v>0</v>
      </c>
      <c r="CC222" s="7">
        <f t="shared" si="1141"/>
        <v>0</v>
      </c>
      <c r="CD222" s="7">
        <f t="shared" si="1141"/>
        <v>0</v>
      </c>
      <c r="CE222" s="3">
        <f t="shared" si="1141"/>
        <v>0</v>
      </c>
      <c r="CF222" s="7">
        <f t="shared" si="1141"/>
        <v>0</v>
      </c>
      <c r="CG222" s="3">
        <f t="shared" si="1141"/>
        <v>0</v>
      </c>
      <c r="CH222" s="7">
        <f t="shared" si="1141"/>
        <v>0</v>
      </c>
      <c r="CI222" s="7">
        <f t="shared" si="1141"/>
        <v>0</v>
      </c>
      <c r="CJ222" s="3">
        <f t="shared" si="1141"/>
        <v>0</v>
      </c>
      <c r="CK222" s="7">
        <f t="shared" si="1141"/>
        <v>0</v>
      </c>
      <c r="CL222" s="3">
        <f t="shared" si="1141"/>
        <v>0</v>
      </c>
      <c r="CM222" s="7">
        <f t="shared" si="1141"/>
        <v>0</v>
      </c>
      <c r="CN222" s="10">
        <f t="shared" si="1141"/>
        <v>0</v>
      </c>
      <c r="CO222" s="10">
        <f t="shared" si="1141"/>
        <v>0</v>
      </c>
      <c r="CP222" s="7">
        <f t="shared" si="1141"/>
        <v>0</v>
      </c>
      <c r="CQ222" s="7">
        <f t="shared" ref="CQ222" si="1142">IFERROR(CQ527,"-")</f>
        <v>0</v>
      </c>
      <c r="CR222" s="10">
        <f t="shared" si="1067"/>
        <v>0</v>
      </c>
      <c r="CS222" s="7">
        <f t="shared" si="1067"/>
        <v>0</v>
      </c>
      <c r="CT222" s="7">
        <f t="shared" si="1067"/>
        <v>0</v>
      </c>
      <c r="CU222" s="7">
        <f t="shared" si="1067"/>
        <v>0</v>
      </c>
      <c r="CV222" s="7">
        <f t="shared" si="1067"/>
        <v>0</v>
      </c>
      <c r="CW222" s="7">
        <f t="shared" si="1067"/>
        <v>0</v>
      </c>
      <c r="CX222" s="7">
        <f t="shared" si="1067"/>
        <v>0</v>
      </c>
      <c r="CY222" s="7">
        <f t="shared" si="1067"/>
        <v>0</v>
      </c>
      <c r="CZ222" s="7">
        <f t="shared" si="1067"/>
        <v>0</v>
      </c>
      <c r="DA222" s="7">
        <f t="shared" si="1067"/>
        <v>0</v>
      </c>
      <c r="DB222" s="7">
        <f t="shared" si="1067"/>
        <v>0</v>
      </c>
      <c r="DC222" s="7">
        <f t="shared" si="1067"/>
        <v>0</v>
      </c>
      <c r="DD222" s="7">
        <f t="shared" si="1067"/>
        <v>0</v>
      </c>
      <c r="DE222" s="7">
        <f t="shared" si="1067"/>
        <v>0</v>
      </c>
      <c r="DF222" s="7">
        <f t="shared" si="1067"/>
        <v>0</v>
      </c>
      <c r="DG222" s="7">
        <f t="shared" ref="DG222" si="1143">IFERROR(VALUE(DG527),"-")</f>
        <v>0</v>
      </c>
      <c r="DH222" s="7">
        <f t="shared" ref="DH222:DJ222" si="1144">IFERROR(DH527,"-")</f>
        <v>0</v>
      </c>
      <c r="DI222" s="7">
        <f t="shared" si="1144"/>
        <v>0</v>
      </c>
      <c r="DJ222" s="7">
        <f t="shared" si="1144"/>
        <v>0</v>
      </c>
      <c r="DK222" s="64">
        <f t="shared" ref="DK222:DS222" si="1145">IFERROR(VALUE(DK527),"-")</f>
        <v>0</v>
      </c>
      <c r="DL222" s="64">
        <f t="shared" si="1145"/>
        <v>0</v>
      </c>
      <c r="DM222" s="64">
        <f t="shared" si="1145"/>
        <v>0</v>
      </c>
      <c r="DN222" s="64">
        <f t="shared" si="1145"/>
        <v>0</v>
      </c>
      <c r="DO222" s="64">
        <f t="shared" si="1145"/>
        <v>0</v>
      </c>
      <c r="DP222" s="64">
        <f t="shared" si="1145"/>
        <v>0</v>
      </c>
      <c r="DQ222" s="64">
        <f t="shared" si="1145"/>
        <v>0</v>
      </c>
      <c r="DR222" s="64">
        <f t="shared" si="1145"/>
        <v>0</v>
      </c>
      <c r="DS222" s="64">
        <f t="shared" si="1145"/>
        <v>0</v>
      </c>
      <c r="DT222">
        <f t="shared" si="1000"/>
        <v>0</v>
      </c>
      <c r="DU222" s="10">
        <f t="shared" si="1001"/>
        <v>0</v>
      </c>
    </row>
    <row r="223" spans="1:125" x14ac:dyDescent="0.25">
      <c r="A223" t="s">
        <v>75</v>
      </c>
      <c r="B223" s="2">
        <v>44798</v>
      </c>
      <c r="C223" s="1">
        <v>1300</v>
      </c>
      <c r="D223">
        <v>39</v>
      </c>
      <c r="M223" s="3"/>
      <c r="N223" s="3"/>
      <c r="O223" s="3">
        <f t="shared" si="1002"/>
        <v>0</v>
      </c>
      <c r="P223" s="7">
        <f t="shared" ref="P223:CA223" si="1146">IFERROR(VALUE(P528),"-")</f>
        <v>0</v>
      </c>
      <c r="Q223" s="7">
        <f t="shared" si="1146"/>
        <v>0</v>
      </c>
      <c r="R223" s="7">
        <f t="shared" si="1146"/>
        <v>0</v>
      </c>
      <c r="S223" s="7">
        <f t="shared" si="1146"/>
        <v>0</v>
      </c>
      <c r="T223" s="11">
        <f t="shared" si="1146"/>
        <v>0</v>
      </c>
      <c r="U223" s="11">
        <f t="shared" si="1146"/>
        <v>0</v>
      </c>
      <c r="V223" s="11">
        <f t="shared" si="1146"/>
        <v>0</v>
      </c>
      <c r="W223" s="11">
        <f t="shared" si="1146"/>
        <v>0</v>
      </c>
      <c r="X223" s="14">
        <f t="shared" si="1146"/>
        <v>0</v>
      </c>
      <c r="Y223" s="14">
        <f t="shared" si="1146"/>
        <v>0</v>
      </c>
      <c r="Z223" s="14">
        <f t="shared" si="1146"/>
        <v>0</v>
      </c>
      <c r="AA223" s="14">
        <f t="shared" si="1146"/>
        <v>0</v>
      </c>
      <c r="AB223" s="15">
        <f t="shared" si="1146"/>
        <v>0</v>
      </c>
      <c r="AC223" s="15">
        <f t="shared" si="1146"/>
        <v>0</v>
      </c>
      <c r="AD223" s="13">
        <f t="shared" si="1146"/>
        <v>0</v>
      </c>
      <c r="AE223" s="13">
        <f t="shared" si="1146"/>
        <v>0</v>
      </c>
      <c r="AF223" s="12">
        <f t="shared" si="1146"/>
        <v>0</v>
      </c>
      <c r="AG223" s="12">
        <f t="shared" si="1146"/>
        <v>0</v>
      </c>
      <c r="AH223" s="13">
        <f t="shared" si="1146"/>
        <v>0</v>
      </c>
      <c r="AI223" s="13">
        <f t="shared" si="1146"/>
        <v>0</v>
      </c>
      <c r="AJ223" s="11">
        <f t="shared" si="1146"/>
        <v>0</v>
      </c>
      <c r="AK223" s="11">
        <f t="shared" si="1146"/>
        <v>0</v>
      </c>
      <c r="AL223" s="11">
        <f t="shared" si="1146"/>
        <v>0</v>
      </c>
      <c r="AM223" s="11">
        <f t="shared" si="1146"/>
        <v>0</v>
      </c>
      <c r="AN223" s="11">
        <f t="shared" si="1146"/>
        <v>0</v>
      </c>
      <c r="AO223" s="11">
        <f t="shared" si="1146"/>
        <v>0</v>
      </c>
      <c r="AP223" s="11">
        <f t="shared" si="1146"/>
        <v>0</v>
      </c>
      <c r="AQ223" s="11">
        <f t="shared" si="1146"/>
        <v>0</v>
      </c>
      <c r="AR223" s="16">
        <f t="shared" si="1146"/>
        <v>0</v>
      </c>
      <c r="AS223" s="16">
        <f t="shared" si="1146"/>
        <v>0</v>
      </c>
      <c r="AT223" s="16">
        <f t="shared" si="1146"/>
        <v>0</v>
      </c>
      <c r="AU223" s="7">
        <f t="shared" si="1146"/>
        <v>0</v>
      </c>
      <c r="AV223" s="7">
        <f t="shared" si="1146"/>
        <v>0</v>
      </c>
      <c r="AW223" s="7">
        <f t="shared" si="1146"/>
        <v>0</v>
      </c>
      <c r="AX223" s="7">
        <f t="shared" si="1146"/>
        <v>0</v>
      </c>
      <c r="AY223" s="11">
        <f t="shared" si="1146"/>
        <v>0</v>
      </c>
      <c r="AZ223" s="16">
        <f t="shared" si="1146"/>
        <v>0</v>
      </c>
      <c r="BA223" s="16">
        <f t="shared" si="1146"/>
        <v>0</v>
      </c>
      <c r="BB223" s="16">
        <f t="shared" si="1146"/>
        <v>0</v>
      </c>
      <c r="BC223" s="11">
        <f t="shared" si="1146"/>
        <v>0</v>
      </c>
      <c r="BD223" s="11">
        <f t="shared" si="1146"/>
        <v>0</v>
      </c>
      <c r="BE223" s="11">
        <f t="shared" si="1146"/>
        <v>0</v>
      </c>
      <c r="BF223" s="11">
        <f t="shared" si="1146"/>
        <v>0</v>
      </c>
      <c r="BG223" s="11">
        <f t="shared" si="1146"/>
        <v>0</v>
      </c>
      <c r="BH223" s="11">
        <f t="shared" si="1146"/>
        <v>0</v>
      </c>
      <c r="BI223" s="13">
        <f t="shared" si="1146"/>
        <v>0</v>
      </c>
      <c r="BJ223" s="13">
        <f t="shared" si="1146"/>
        <v>0</v>
      </c>
      <c r="BK223" s="11">
        <f t="shared" si="1146"/>
        <v>0</v>
      </c>
      <c r="BL223" s="12">
        <f t="shared" si="1146"/>
        <v>0</v>
      </c>
      <c r="BM223" s="12">
        <f t="shared" si="1146"/>
        <v>0</v>
      </c>
      <c r="BN223" s="13">
        <f t="shared" si="1146"/>
        <v>0</v>
      </c>
      <c r="BO223" s="13">
        <f t="shared" si="1146"/>
        <v>0</v>
      </c>
      <c r="BP223" s="15">
        <f t="shared" si="1146"/>
        <v>0</v>
      </c>
      <c r="BQ223" s="15">
        <f t="shared" si="1146"/>
        <v>0</v>
      </c>
      <c r="BR223" s="14">
        <f t="shared" si="1146"/>
        <v>0</v>
      </c>
      <c r="BS223" s="14">
        <f t="shared" si="1146"/>
        <v>0</v>
      </c>
      <c r="BT223" s="14">
        <f t="shared" si="1146"/>
        <v>0</v>
      </c>
      <c r="BU223" s="14">
        <f t="shared" si="1146"/>
        <v>0</v>
      </c>
      <c r="BV223" s="11">
        <f t="shared" si="1146"/>
        <v>0</v>
      </c>
      <c r="BW223" s="11">
        <f t="shared" si="1146"/>
        <v>0</v>
      </c>
      <c r="BX223" s="11">
        <f t="shared" si="1146"/>
        <v>0</v>
      </c>
      <c r="BY223" s="11">
        <f t="shared" si="1146"/>
        <v>0</v>
      </c>
      <c r="BZ223" s="7">
        <f t="shared" si="1146"/>
        <v>0</v>
      </c>
      <c r="CA223" s="7">
        <f t="shared" si="1146"/>
        <v>0</v>
      </c>
      <c r="CB223" s="7">
        <f t="shared" ref="CB223:CP223" si="1147">IFERROR(VALUE(CB528),"-")</f>
        <v>0</v>
      </c>
      <c r="CC223" s="7">
        <f t="shared" si="1147"/>
        <v>0</v>
      </c>
      <c r="CD223" s="7">
        <f t="shared" si="1147"/>
        <v>0</v>
      </c>
      <c r="CE223" s="3">
        <f t="shared" si="1147"/>
        <v>0</v>
      </c>
      <c r="CF223" s="7">
        <f t="shared" si="1147"/>
        <v>0</v>
      </c>
      <c r="CG223" s="3">
        <f t="shared" si="1147"/>
        <v>0</v>
      </c>
      <c r="CH223" s="7">
        <f t="shared" si="1147"/>
        <v>0</v>
      </c>
      <c r="CI223" s="7">
        <f t="shared" si="1147"/>
        <v>0</v>
      </c>
      <c r="CJ223" s="3">
        <f t="shared" si="1147"/>
        <v>0</v>
      </c>
      <c r="CK223" s="7">
        <f t="shared" si="1147"/>
        <v>0</v>
      </c>
      <c r="CL223" s="3">
        <f t="shared" si="1147"/>
        <v>0</v>
      </c>
      <c r="CM223" s="7">
        <f t="shared" si="1147"/>
        <v>0</v>
      </c>
      <c r="CN223" s="10">
        <f t="shared" si="1147"/>
        <v>0</v>
      </c>
      <c r="CO223" s="10">
        <f t="shared" si="1147"/>
        <v>0</v>
      </c>
      <c r="CP223" s="7">
        <f t="shared" si="1147"/>
        <v>0</v>
      </c>
      <c r="CQ223" s="7">
        <f t="shared" ref="CQ223" si="1148">IFERROR(CQ528,"-")</f>
        <v>0</v>
      </c>
      <c r="CR223" s="10">
        <f t="shared" ref="CR223:DG238" si="1149">IFERROR(VALUE(CR528),"-")</f>
        <v>0</v>
      </c>
      <c r="CS223" s="7">
        <f t="shared" si="1149"/>
        <v>0</v>
      </c>
      <c r="CT223" s="7">
        <f t="shared" si="1149"/>
        <v>0</v>
      </c>
      <c r="CU223" s="7">
        <f t="shared" si="1149"/>
        <v>0</v>
      </c>
      <c r="CV223" s="7">
        <f t="shared" si="1149"/>
        <v>0</v>
      </c>
      <c r="CW223" s="7">
        <f t="shared" si="1149"/>
        <v>0</v>
      </c>
      <c r="CX223" s="7">
        <f t="shared" si="1149"/>
        <v>0</v>
      </c>
      <c r="CY223" s="7">
        <f t="shared" si="1149"/>
        <v>0</v>
      </c>
      <c r="CZ223" s="7">
        <f t="shared" si="1149"/>
        <v>0</v>
      </c>
      <c r="DA223" s="7">
        <f t="shared" si="1149"/>
        <v>0</v>
      </c>
      <c r="DB223" s="7">
        <f t="shared" si="1149"/>
        <v>0</v>
      </c>
      <c r="DC223" s="7">
        <f t="shared" si="1149"/>
        <v>0</v>
      </c>
      <c r="DD223" s="7">
        <f t="shared" si="1149"/>
        <v>0</v>
      </c>
      <c r="DE223" s="7">
        <f t="shared" si="1149"/>
        <v>0</v>
      </c>
      <c r="DF223" s="7">
        <f t="shared" si="1149"/>
        <v>0</v>
      </c>
      <c r="DG223" s="7">
        <f t="shared" si="1149"/>
        <v>0</v>
      </c>
      <c r="DH223" s="7">
        <f t="shared" ref="DH223:DJ223" si="1150">IFERROR(DH528,"-")</f>
        <v>0</v>
      </c>
      <c r="DI223" s="7">
        <f t="shared" si="1150"/>
        <v>0</v>
      </c>
      <c r="DJ223" s="7">
        <f t="shared" si="1150"/>
        <v>0</v>
      </c>
      <c r="DK223" s="64">
        <f t="shared" ref="DK223:DS223" si="1151">IFERROR(VALUE(DK528),"-")</f>
        <v>0</v>
      </c>
      <c r="DL223" s="64">
        <f t="shared" si="1151"/>
        <v>0</v>
      </c>
      <c r="DM223" s="64">
        <f t="shared" si="1151"/>
        <v>0</v>
      </c>
      <c r="DN223" s="64">
        <f t="shared" si="1151"/>
        <v>0</v>
      </c>
      <c r="DO223" s="64">
        <f t="shared" si="1151"/>
        <v>0</v>
      </c>
      <c r="DP223" s="64">
        <f t="shared" si="1151"/>
        <v>0</v>
      </c>
      <c r="DQ223" s="64">
        <f t="shared" si="1151"/>
        <v>0</v>
      </c>
      <c r="DR223" s="64">
        <f t="shared" si="1151"/>
        <v>0</v>
      </c>
      <c r="DS223" s="64">
        <f t="shared" si="1151"/>
        <v>0</v>
      </c>
      <c r="DT223">
        <f t="shared" si="1000"/>
        <v>0</v>
      </c>
      <c r="DU223" s="10">
        <f t="shared" si="1001"/>
        <v>0</v>
      </c>
    </row>
    <row r="224" spans="1:125" x14ac:dyDescent="0.25">
      <c r="A224" t="s">
        <v>75</v>
      </c>
      <c r="B224" s="2">
        <v>44833</v>
      </c>
      <c r="C224" s="1">
        <v>1300</v>
      </c>
      <c r="D224">
        <v>39</v>
      </c>
      <c r="M224" s="3"/>
      <c r="N224" s="3"/>
      <c r="O224" s="3">
        <f t="shared" si="1002"/>
        <v>0</v>
      </c>
      <c r="P224" s="7">
        <f t="shared" ref="P224:CA224" si="1152">IFERROR(VALUE(P529),"-")</f>
        <v>0</v>
      </c>
      <c r="Q224" s="7">
        <f t="shared" si="1152"/>
        <v>0</v>
      </c>
      <c r="R224" s="7">
        <f t="shared" si="1152"/>
        <v>0</v>
      </c>
      <c r="S224" s="7">
        <f t="shared" si="1152"/>
        <v>0</v>
      </c>
      <c r="T224" s="11">
        <f t="shared" si="1152"/>
        <v>0</v>
      </c>
      <c r="U224" s="11">
        <f t="shared" si="1152"/>
        <v>0</v>
      </c>
      <c r="V224" s="11">
        <f t="shared" si="1152"/>
        <v>0</v>
      </c>
      <c r="W224" s="11">
        <f t="shared" si="1152"/>
        <v>0</v>
      </c>
      <c r="X224" s="14">
        <f t="shared" si="1152"/>
        <v>0</v>
      </c>
      <c r="Y224" s="14">
        <f t="shared" si="1152"/>
        <v>0</v>
      </c>
      <c r="Z224" s="14">
        <f t="shared" si="1152"/>
        <v>0</v>
      </c>
      <c r="AA224" s="14">
        <f t="shared" si="1152"/>
        <v>0</v>
      </c>
      <c r="AB224" s="15">
        <f t="shared" si="1152"/>
        <v>0</v>
      </c>
      <c r="AC224" s="15">
        <f t="shared" si="1152"/>
        <v>0</v>
      </c>
      <c r="AD224" s="13">
        <f t="shared" si="1152"/>
        <v>0</v>
      </c>
      <c r="AE224" s="13">
        <f t="shared" si="1152"/>
        <v>0</v>
      </c>
      <c r="AF224" s="12">
        <f t="shared" si="1152"/>
        <v>0</v>
      </c>
      <c r="AG224" s="12">
        <f t="shared" si="1152"/>
        <v>0</v>
      </c>
      <c r="AH224" s="13">
        <f t="shared" si="1152"/>
        <v>0</v>
      </c>
      <c r="AI224" s="13">
        <f t="shared" si="1152"/>
        <v>0</v>
      </c>
      <c r="AJ224" s="11">
        <f t="shared" si="1152"/>
        <v>0</v>
      </c>
      <c r="AK224" s="11">
        <f t="shared" si="1152"/>
        <v>0</v>
      </c>
      <c r="AL224" s="11">
        <f t="shared" si="1152"/>
        <v>0</v>
      </c>
      <c r="AM224" s="11">
        <f t="shared" si="1152"/>
        <v>0</v>
      </c>
      <c r="AN224" s="11">
        <f t="shared" si="1152"/>
        <v>0</v>
      </c>
      <c r="AO224" s="11">
        <f t="shared" si="1152"/>
        <v>0</v>
      </c>
      <c r="AP224" s="11">
        <f t="shared" si="1152"/>
        <v>0</v>
      </c>
      <c r="AQ224" s="11">
        <f t="shared" si="1152"/>
        <v>0</v>
      </c>
      <c r="AR224" s="16">
        <f t="shared" si="1152"/>
        <v>0</v>
      </c>
      <c r="AS224" s="16">
        <f t="shared" si="1152"/>
        <v>0</v>
      </c>
      <c r="AT224" s="16">
        <f t="shared" si="1152"/>
        <v>0</v>
      </c>
      <c r="AU224" s="7">
        <f t="shared" si="1152"/>
        <v>0</v>
      </c>
      <c r="AV224" s="7">
        <f t="shared" si="1152"/>
        <v>0</v>
      </c>
      <c r="AW224" s="7">
        <f t="shared" si="1152"/>
        <v>0</v>
      </c>
      <c r="AX224" s="7">
        <f t="shared" si="1152"/>
        <v>0</v>
      </c>
      <c r="AY224" s="11">
        <f t="shared" si="1152"/>
        <v>0</v>
      </c>
      <c r="AZ224" s="16">
        <f t="shared" si="1152"/>
        <v>0</v>
      </c>
      <c r="BA224" s="16">
        <f t="shared" si="1152"/>
        <v>0</v>
      </c>
      <c r="BB224" s="16">
        <f t="shared" si="1152"/>
        <v>0</v>
      </c>
      <c r="BC224" s="11">
        <f t="shared" si="1152"/>
        <v>0</v>
      </c>
      <c r="BD224" s="11">
        <f t="shared" si="1152"/>
        <v>0</v>
      </c>
      <c r="BE224" s="11">
        <f t="shared" si="1152"/>
        <v>0</v>
      </c>
      <c r="BF224" s="11">
        <f t="shared" si="1152"/>
        <v>0</v>
      </c>
      <c r="BG224" s="11">
        <f t="shared" si="1152"/>
        <v>0</v>
      </c>
      <c r="BH224" s="11">
        <f t="shared" si="1152"/>
        <v>0</v>
      </c>
      <c r="BI224" s="13">
        <f t="shared" si="1152"/>
        <v>0</v>
      </c>
      <c r="BJ224" s="13">
        <f t="shared" si="1152"/>
        <v>0</v>
      </c>
      <c r="BK224" s="11">
        <f t="shared" si="1152"/>
        <v>0</v>
      </c>
      <c r="BL224" s="12">
        <f t="shared" si="1152"/>
        <v>0</v>
      </c>
      <c r="BM224" s="12">
        <f t="shared" si="1152"/>
        <v>0</v>
      </c>
      <c r="BN224" s="13">
        <f t="shared" si="1152"/>
        <v>0</v>
      </c>
      <c r="BO224" s="13">
        <f t="shared" si="1152"/>
        <v>0</v>
      </c>
      <c r="BP224" s="15">
        <f t="shared" si="1152"/>
        <v>0</v>
      </c>
      <c r="BQ224" s="15">
        <f t="shared" si="1152"/>
        <v>0</v>
      </c>
      <c r="BR224" s="14">
        <f t="shared" si="1152"/>
        <v>0</v>
      </c>
      <c r="BS224" s="14">
        <f t="shared" si="1152"/>
        <v>0</v>
      </c>
      <c r="BT224" s="14">
        <f t="shared" si="1152"/>
        <v>0</v>
      </c>
      <c r="BU224" s="14">
        <f t="shared" si="1152"/>
        <v>0</v>
      </c>
      <c r="BV224" s="11">
        <f t="shared" si="1152"/>
        <v>0</v>
      </c>
      <c r="BW224" s="11">
        <f t="shared" si="1152"/>
        <v>0</v>
      </c>
      <c r="BX224" s="11">
        <f t="shared" si="1152"/>
        <v>0</v>
      </c>
      <c r="BY224" s="11">
        <f t="shared" si="1152"/>
        <v>0</v>
      </c>
      <c r="BZ224" s="7">
        <f t="shared" si="1152"/>
        <v>0</v>
      </c>
      <c r="CA224" s="7">
        <f t="shared" si="1152"/>
        <v>0</v>
      </c>
      <c r="CB224" s="7">
        <f t="shared" ref="CB224:CP224" si="1153">IFERROR(VALUE(CB529),"-")</f>
        <v>0</v>
      </c>
      <c r="CC224" s="7">
        <f t="shared" si="1153"/>
        <v>0</v>
      </c>
      <c r="CD224" s="7">
        <f t="shared" si="1153"/>
        <v>0</v>
      </c>
      <c r="CE224" s="3">
        <f t="shared" si="1153"/>
        <v>0</v>
      </c>
      <c r="CF224" s="7">
        <f t="shared" si="1153"/>
        <v>0</v>
      </c>
      <c r="CG224" s="3">
        <f t="shared" si="1153"/>
        <v>0</v>
      </c>
      <c r="CH224" s="7">
        <f t="shared" si="1153"/>
        <v>0</v>
      </c>
      <c r="CI224" s="7">
        <f t="shared" si="1153"/>
        <v>0</v>
      </c>
      <c r="CJ224" s="3">
        <f t="shared" si="1153"/>
        <v>0</v>
      </c>
      <c r="CK224" s="7">
        <f t="shared" si="1153"/>
        <v>0</v>
      </c>
      <c r="CL224" s="3">
        <f t="shared" si="1153"/>
        <v>0</v>
      </c>
      <c r="CM224" s="7">
        <f t="shared" si="1153"/>
        <v>0</v>
      </c>
      <c r="CN224" s="10">
        <f t="shared" si="1153"/>
        <v>0</v>
      </c>
      <c r="CO224" s="10">
        <f t="shared" si="1153"/>
        <v>0</v>
      </c>
      <c r="CP224" s="7">
        <f t="shared" si="1153"/>
        <v>0</v>
      </c>
      <c r="CQ224" s="7">
        <f t="shared" ref="CQ224" si="1154">IFERROR(CQ529,"-")</f>
        <v>0</v>
      </c>
      <c r="CR224" s="10">
        <f t="shared" si="1149"/>
        <v>0</v>
      </c>
      <c r="CS224" s="7">
        <f t="shared" si="1149"/>
        <v>0</v>
      </c>
      <c r="CT224" s="7">
        <f t="shared" si="1149"/>
        <v>0</v>
      </c>
      <c r="CU224" s="7">
        <f t="shared" si="1149"/>
        <v>0</v>
      </c>
      <c r="CV224" s="7">
        <f t="shared" si="1149"/>
        <v>0</v>
      </c>
      <c r="CW224" s="7">
        <f t="shared" si="1149"/>
        <v>0</v>
      </c>
      <c r="CX224" s="7">
        <f t="shared" si="1149"/>
        <v>0</v>
      </c>
      <c r="CY224" s="7">
        <f t="shared" si="1149"/>
        <v>0</v>
      </c>
      <c r="CZ224" s="7">
        <f t="shared" si="1149"/>
        <v>0</v>
      </c>
      <c r="DA224" s="7">
        <f t="shared" si="1149"/>
        <v>0</v>
      </c>
      <c r="DB224" s="7">
        <f t="shared" si="1149"/>
        <v>0</v>
      </c>
      <c r="DC224" s="7">
        <f t="shared" si="1149"/>
        <v>0</v>
      </c>
      <c r="DD224" s="7">
        <f t="shared" si="1149"/>
        <v>0</v>
      </c>
      <c r="DE224" s="7">
        <f t="shared" si="1149"/>
        <v>0</v>
      </c>
      <c r="DF224" s="7">
        <f t="shared" si="1149"/>
        <v>0</v>
      </c>
      <c r="DG224" s="7">
        <f t="shared" si="1149"/>
        <v>0</v>
      </c>
      <c r="DH224" s="7">
        <f t="shared" ref="DH224:DJ224" si="1155">IFERROR(DH529,"-")</f>
        <v>0</v>
      </c>
      <c r="DI224" s="7">
        <f t="shared" si="1155"/>
        <v>0</v>
      </c>
      <c r="DJ224" s="7">
        <f t="shared" si="1155"/>
        <v>0</v>
      </c>
      <c r="DK224" s="64">
        <f t="shared" ref="DK224:DS224" si="1156">IFERROR(VALUE(DK529),"-")</f>
        <v>0</v>
      </c>
      <c r="DL224" s="64">
        <f t="shared" si="1156"/>
        <v>0</v>
      </c>
      <c r="DM224" s="64">
        <f t="shared" si="1156"/>
        <v>0</v>
      </c>
      <c r="DN224" s="64">
        <f t="shared" si="1156"/>
        <v>0</v>
      </c>
      <c r="DO224" s="64">
        <f t="shared" si="1156"/>
        <v>0</v>
      </c>
      <c r="DP224" s="64">
        <f t="shared" si="1156"/>
        <v>0</v>
      </c>
      <c r="DQ224" s="64">
        <f t="shared" si="1156"/>
        <v>0</v>
      </c>
      <c r="DR224" s="64">
        <f t="shared" si="1156"/>
        <v>0</v>
      </c>
      <c r="DS224" s="64">
        <f t="shared" si="1156"/>
        <v>0</v>
      </c>
      <c r="DT224">
        <f t="shared" si="1000"/>
        <v>0</v>
      </c>
      <c r="DU224" s="10">
        <f t="shared" si="1001"/>
        <v>0</v>
      </c>
    </row>
    <row r="225" spans="1:125" x14ac:dyDescent="0.25">
      <c r="A225" t="s">
        <v>75</v>
      </c>
      <c r="B225" s="2">
        <v>44861</v>
      </c>
      <c r="C225" s="1">
        <v>1300</v>
      </c>
      <c r="D225">
        <v>39</v>
      </c>
      <c r="M225" s="3"/>
      <c r="N225" s="3"/>
      <c r="O225" s="3">
        <f t="shared" si="1002"/>
        <v>0</v>
      </c>
      <c r="P225" s="7">
        <f t="shared" ref="P225:CA225" si="1157">IFERROR(VALUE(P530),"-")</f>
        <v>0</v>
      </c>
      <c r="Q225" s="7">
        <f t="shared" si="1157"/>
        <v>0</v>
      </c>
      <c r="R225" s="7">
        <f t="shared" si="1157"/>
        <v>0</v>
      </c>
      <c r="S225" s="7">
        <f t="shared" si="1157"/>
        <v>0</v>
      </c>
      <c r="T225" s="11">
        <f t="shared" si="1157"/>
        <v>0</v>
      </c>
      <c r="U225" s="11">
        <f t="shared" si="1157"/>
        <v>0</v>
      </c>
      <c r="V225" s="11">
        <f t="shared" si="1157"/>
        <v>0</v>
      </c>
      <c r="W225" s="11">
        <f t="shared" si="1157"/>
        <v>0</v>
      </c>
      <c r="X225" s="14">
        <f t="shared" si="1157"/>
        <v>0</v>
      </c>
      <c r="Y225" s="14">
        <f t="shared" si="1157"/>
        <v>0</v>
      </c>
      <c r="Z225" s="14">
        <f t="shared" si="1157"/>
        <v>0</v>
      </c>
      <c r="AA225" s="14">
        <f t="shared" si="1157"/>
        <v>0</v>
      </c>
      <c r="AB225" s="15">
        <f t="shared" si="1157"/>
        <v>0</v>
      </c>
      <c r="AC225" s="15">
        <f t="shared" si="1157"/>
        <v>0</v>
      </c>
      <c r="AD225" s="13">
        <f t="shared" si="1157"/>
        <v>0</v>
      </c>
      <c r="AE225" s="13">
        <f t="shared" si="1157"/>
        <v>0</v>
      </c>
      <c r="AF225" s="12">
        <f t="shared" si="1157"/>
        <v>0</v>
      </c>
      <c r="AG225" s="12">
        <f t="shared" si="1157"/>
        <v>0</v>
      </c>
      <c r="AH225" s="13">
        <f t="shared" si="1157"/>
        <v>0</v>
      </c>
      <c r="AI225" s="13">
        <f t="shared" si="1157"/>
        <v>0</v>
      </c>
      <c r="AJ225" s="11">
        <f t="shared" si="1157"/>
        <v>0</v>
      </c>
      <c r="AK225" s="11">
        <f t="shared" si="1157"/>
        <v>0</v>
      </c>
      <c r="AL225" s="11">
        <f t="shared" si="1157"/>
        <v>0</v>
      </c>
      <c r="AM225" s="11">
        <f t="shared" si="1157"/>
        <v>0</v>
      </c>
      <c r="AN225" s="11">
        <f t="shared" si="1157"/>
        <v>0</v>
      </c>
      <c r="AO225" s="11">
        <f t="shared" si="1157"/>
        <v>0</v>
      </c>
      <c r="AP225" s="11">
        <f t="shared" si="1157"/>
        <v>0</v>
      </c>
      <c r="AQ225" s="11">
        <f t="shared" si="1157"/>
        <v>0</v>
      </c>
      <c r="AR225" s="16">
        <f t="shared" si="1157"/>
        <v>0</v>
      </c>
      <c r="AS225" s="16">
        <f t="shared" si="1157"/>
        <v>0</v>
      </c>
      <c r="AT225" s="16">
        <f t="shared" si="1157"/>
        <v>0</v>
      </c>
      <c r="AU225" s="7">
        <f t="shared" si="1157"/>
        <v>0</v>
      </c>
      <c r="AV225" s="7">
        <f t="shared" si="1157"/>
        <v>0</v>
      </c>
      <c r="AW225" s="7">
        <f t="shared" si="1157"/>
        <v>0</v>
      </c>
      <c r="AX225" s="7">
        <f t="shared" si="1157"/>
        <v>0</v>
      </c>
      <c r="AY225" s="11">
        <f t="shared" si="1157"/>
        <v>0</v>
      </c>
      <c r="AZ225" s="16">
        <f t="shared" si="1157"/>
        <v>0</v>
      </c>
      <c r="BA225" s="16">
        <f t="shared" si="1157"/>
        <v>0</v>
      </c>
      <c r="BB225" s="16">
        <f t="shared" si="1157"/>
        <v>0</v>
      </c>
      <c r="BC225" s="11">
        <f t="shared" si="1157"/>
        <v>0</v>
      </c>
      <c r="BD225" s="11">
        <f t="shared" si="1157"/>
        <v>0</v>
      </c>
      <c r="BE225" s="11">
        <f t="shared" si="1157"/>
        <v>0</v>
      </c>
      <c r="BF225" s="11">
        <f t="shared" si="1157"/>
        <v>0</v>
      </c>
      <c r="BG225" s="11">
        <f t="shared" si="1157"/>
        <v>0</v>
      </c>
      <c r="BH225" s="11">
        <f t="shared" si="1157"/>
        <v>0</v>
      </c>
      <c r="BI225" s="13">
        <f t="shared" si="1157"/>
        <v>0</v>
      </c>
      <c r="BJ225" s="13">
        <f t="shared" si="1157"/>
        <v>0</v>
      </c>
      <c r="BK225" s="11">
        <f t="shared" si="1157"/>
        <v>0</v>
      </c>
      <c r="BL225" s="12">
        <f t="shared" si="1157"/>
        <v>0</v>
      </c>
      <c r="BM225" s="12">
        <f t="shared" si="1157"/>
        <v>0</v>
      </c>
      <c r="BN225" s="13">
        <f t="shared" si="1157"/>
        <v>0</v>
      </c>
      <c r="BO225" s="13">
        <f t="shared" si="1157"/>
        <v>0</v>
      </c>
      <c r="BP225" s="15">
        <f t="shared" si="1157"/>
        <v>0</v>
      </c>
      <c r="BQ225" s="15">
        <f t="shared" si="1157"/>
        <v>0</v>
      </c>
      <c r="BR225" s="14">
        <f t="shared" si="1157"/>
        <v>0</v>
      </c>
      <c r="BS225" s="14">
        <f t="shared" si="1157"/>
        <v>0</v>
      </c>
      <c r="BT225" s="14">
        <f t="shared" si="1157"/>
        <v>0</v>
      </c>
      <c r="BU225" s="14">
        <f t="shared" si="1157"/>
        <v>0</v>
      </c>
      <c r="BV225" s="11">
        <f t="shared" si="1157"/>
        <v>0</v>
      </c>
      <c r="BW225" s="11">
        <f t="shared" si="1157"/>
        <v>0</v>
      </c>
      <c r="BX225" s="11">
        <f t="shared" si="1157"/>
        <v>0</v>
      </c>
      <c r="BY225" s="11">
        <f t="shared" si="1157"/>
        <v>0</v>
      </c>
      <c r="BZ225" s="7">
        <f t="shared" si="1157"/>
        <v>0</v>
      </c>
      <c r="CA225" s="7">
        <f t="shared" si="1157"/>
        <v>0</v>
      </c>
      <c r="CB225" s="7">
        <f t="shared" ref="CB225:CP225" si="1158">IFERROR(VALUE(CB530),"-")</f>
        <v>0</v>
      </c>
      <c r="CC225" s="7">
        <f t="shared" si="1158"/>
        <v>0</v>
      </c>
      <c r="CD225" s="7">
        <f t="shared" si="1158"/>
        <v>0</v>
      </c>
      <c r="CE225" s="3">
        <f t="shared" si="1158"/>
        <v>0</v>
      </c>
      <c r="CF225" s="7">
        <f t="shared" si="1158"/>
        <v>0</v>
      </c>
      <c r="CG225" s="3">
        <f t="shared" si="1158"/>
        <v>0</v>
      </c>
      <c r="CH225" s="7">
        <f t="shared" si="1158"/>
        <v>0</v>
      </c>
      <c r="CI225" s="7">
        <f t="shared" si="1158"/>
        <v>0</v>
      </c>
      <c r="CJ225" s="3">
        <f t="shared" si="1158"/>
        <v>0</v>
      </c>
      <c r="CK225" s="7">
        <f t="shared" si="1158"/>
        <v>0</v>
      </c>
      <c r="CL225" s="3">
        <f t="shared" si="1158"/>
        <v>0</v>
      </c>
      <c r="CM225" s="7">
        <f t="shared" si="1158"/>
        <v>0</v>
      </c>
      <c r="CN225" s="10">
        <f t="shared" si="1158"/>
        <v>0</v>
      </c>
      <c r="CO225" s="10">
        <f t="shared" si="1158"/>
        <v>0</v>
      </c>
      <c r="CP225" s="7">
        <f t="shared" si="1158"/>
        <v>0</v>
      </c>
      <c r="CQ225" s="7">
        <f t="shared" ref="CQ225" si="1159">IFERROR(CQ530,"-")</f>
        <v>0</v>
      </c>
      <c r="CR225" s="10">
        <f t="shared" si="1149"/>
        <v>0</v>
      </c>
      <c r="CS225" s="7">
        <f t="shared" si="1149"/>
        <v>0</v>
      </c>
      <c r="CT225" s="7">
        <f t="shared" si="1149"/>
        <v>0</v>
      </c>
      <c r="CU225" s="7">
        <f t="shared" si="1149"/>
        <v>0</v>
      </c>
      <c r="CV225" s="7">
        <f t="shared" si="1149"/>
        <v>0</v>
      </c>
      <c r="CW225" s="7">
        <f t="shared" si="1149"/>
        <v>0</v>
      </c>
      <c r="CX225" s="7">
        <f t="shared" si="1149"/>
        <v>0</v>
      </c>
      <c r="CY225" s="7">
        <f t="shared" si="1149"/>
        <v>0</v>
      </c>
      <c r="CZ225" s="7">
        <f t="shared" si="1149"/>
        <v>0</v>
      </c>
      <c r="DA225" s="7">
        <f t="shared" si="1149"/>
        <v>0</v>
      </c>
      <c r="DB225" s="7">
        <f t="shared" si="1149"/>
        <v>0</v>
      </c>
      <c r="DC225" s="7">
        <f t="shared" si="1149"/>
        <v>0</v>
      </c>
      <c r="DD225" s="7">
        <f t="shared" si="1149"/>
        <v>0</v>
      </c>
      <c r="DE225" s="7">
        <f t="shared" si="1149"/>
        <v>0</v>
      </c>
      <c r="DF225" s="7">
        <f t="shared" si="1149"/>
        <v>0</v>
      </c>
      <c r="DG225" s="7">
        <f t="shared" si="1149"/>
        <v>0</v>
      </c>
      <c r="DH225" s="7">
        <f t="shared" ref="DH225:DJ225" si="1160">IFERROR(DH530,"-")</f>
        <v>0</v>
      </c>
      <c r="DI225" s="7">
        <f t="shared" si="1160"/>
        <v>0</v>
      </c>
      <c r="DJ225" s="7">
        <f t="shared" si="1160"/>
        <v>0</v>
      </c>
      <c r="DK225" s="64">
        <f t="shared" ref="DK225:DS225" si="1161">IFERROR(VALUE(DK530),"-")</f>
        <v>0</v>
      </c>
      <c r="DL225" s="64">
        <f t="shared" si="1161"/>
        <v>0</v>
      </c>
      <c r="DM225" s="64">
        <f t="shared" si="1161"/>
        <v>0</v>
      </c>
      <c r="DN225" s="64">
        <f t="shared" si="1161"/>
        <v>0</v>
      </c>
      <c r="DO225" s="64">
        <f t="shared" si="1161"/>
        <v>0</v>
      </c>
      <c r="DP225" s="64">
        <f t="shared" si="1161"/>
        <v>0</v>
      </c>
      <c r="DQ225" s="64">
        <f t="shared" si="1161"/>
        <v>0</v>
      </c>
      <c r="DR225" s="64">
        <f t="shared" si="1161"/>
        <v>0</v>
      </c>
      <c r="DS225" s="64">
        <f t="shared" si="1161"/>
        <v>0</v>
      </c>
      <c r="DT225">
        <f t="shared" si="1000"/>
        <v>0</v>
      </c>
      <c r="DU225" s="10">
        <f t="shared" si="1001"/>
        <v>0</v>
      </c>
    </row>
    <row r="226" spans="1:125" x14ac:dyDescent="0.25">
      <c r="A226" t="s">
        <v>76</v>
      </c>
      <c r="B226" s="2">
        <v>44798</v>
      </c>
      <c r="C226" s="1">
        <v>1000</v>
      </c>
      <c r="D226">
        <v>76</v>
      </c>
      <c r="M226" s="3"/>
      <c r="N226" s="3"/>
      <c r="O226" s="3">
        <f t="shared" si="1002"/>
        <v>0</v>
      </c>
      <c r="P226" s="7">
        <f t="shared" ref="P226:CA226" si="1162">IFERROR(VALUE(P531),"-")</f>
        <v>0</v>
      </c>
      <c r="Q226" s="7">
        <f t="shared" si="1162"/>
        <v>0</v>
      </c>
      <c r="R226" s="7">
        <f t="shared" si="1162"/>
        <v>0</v>
      </c>
      <c r="S226" s="7">
        <f t="shared" si="1162"/>
        <v>0</v>
      </c>
      <c r="T226" s="11">
        <f t="shared" si="1162"/>
        <v>0</v>
      </c>
      <c r="U226" s="11">
        <f t="shared" si="1162"/>
        <v>0</v>
      </c>
      <c r="V226" s="11">
        <f t="shared" si="1162"/>
        <v>0</v>
      </c>
      <c r="W226" s="11">
        <f t="shared" si="1162"/>
        <v>0</v>
      </c>
      <c r="X226" s="14">
        <f t="shared" si="1162"/>
        <v>0</v>
      </c>
      <c r="Y226" s="14">
        <f t="shared" si="1162"/>
        <v>0</v>
      </c>
      <c r="Z226" s="14">
        <f t="shared" si="1162"/>
        <v>0</v>
      </c>
      <c r="AA226" s="14">
        <f t="shared" si="1162"/>
        <v>0</v>
      </c>
      <c r="AB226" s="15">
        <f t="shared" si="1162"/>
        <v>0</v>
      </c>
      <c r="AC226" s="15">
        <f t="shared" si="1162"/>
        <v>0</v>
      </c>
      <c r="AD226" s="13">
        <f t="shared" si="1162"/>
        <v>0</v>
      </c>
      <c r="AE226" s="13">
        <f t="shared" si="1162"/>
        <v>0</v>
      </c>
      <c r="AF226" s="12">
        <f t="shared" si="1162"/>
        <v>0</v>
      </c>
      <c r="AG226" s="12">
        <f t="shared" si="1162"/>
        <v>0</v>
      </c>
      <c r="AH226" s="13">
        <f t="shared" si="1162"/>
        <v>0</v>
      </c>
      <c r="AI226" s="13">
        <f t="shared" si="1162"/>
        <v>0</v>
      </c>
      <c r="AJ226" s="11">
        <f t="shared" si="1162"/>
        <v>0</v>
      </c>
      <c r="AK226" s="11">
        <f t="shared" si="1162"/>
        <v>0</v>
      </c>
      <c r="AL226" s="11">
        <f t="shared" si="1162"/>
        <v>0</v>
      </c>
      <c r="AM226" s="11">
        <f t="shared" si="1162"/>
        <v>0</v>
      </c>
      <c r="AN226" s="11">
        <f t="shared" si="1162"/>
        <v>0</v>
      </c>
      <c r="AO226" s="11">
        <f t="shared" si="1162"/>
        <v>0</v>
      </c>
      <c r="AP226" s="11">
        <f t="shared" si="1162"/>
        <v>0</v>
      </c>
      <c r="AQ226" s="11">
        <f t="shared" si="1162"/>
        <v>0</v>
      </c>
      <c r="AR226" s="16">
        <f t="shared" si="1162"/>
        <v>0</v>
      </c>
      <c r="AS226" s="16">
        <f t="shared" si="1162"/>
        <v>0</v>
      </c>
      <c r="AT226" s="16">
        <f t="shared" si="1162"/>
        <v>0</v>
      </c>
      <c r="AU226" s="7">
        <f t="shared" si="1162"/>
        <v>0</v>
      </c>
      <c r="AV226" s="7">
        <f t="shared" si="1162"/>
        <v>0</v>
      </c>
      <c r="AW226" s="7">
        <f t="shared" si="1162"/>
        <v>0</v>
      </c>
      <c r="AX226" s="7">
        <f t="shared" si="1162"/>
        <v>0</v>
      </c>
      <c r="AY226" s="11">
        <f t="shared" si="1162"/>
        <v>0</v>
      </c>
      <c r="AZ226" s="16">
        <f t="shared" si="1162"/>
        <v>0</v>
      </c>
      <c r="BA226" s="16">
        <f t="shared" si="1162"/>
        <v>0</v>
      </c>
      <c r="BB226" s="16">
        <f t="shared" si="1162"/>
        <v>0</v>
      </c>
      <c r="BC226" s="11">
        <f t="shared" si="1162"/>
        <v>0</v>
      </c>
      <c r="BD226" s="11">
        <f t="shared" si="1162"/>
        <v>0</v>
      </c>
      <c r="BE226" s="11">
        <f t="shared" si="1162"/>
        <v>0</v>
      </c>
      <c r="BF226" s="11">
        <f t="shared" si="1162"/>
        <v>0</v>
      </c>
      <c r="BG226" s="11">
        <f t="shared" si="1162"/>
        <v>0</v>
      </c>
      <c r="BH226" s="11">
        <f t="shared" si="1162"/>
        <v>0</v>
      </c>
      <c r="BI226" s="13">
        <f t="shared" si="1162"/>
        <v>0</v>
      </c>
      <c r="BJ226" s="13">
        <f t="shared" si="1162"/>
        <v>0</v>
      </c>
      <c r="BK226" s="11">
        <f t="shared" si="1162"/>
        <v>0</v>
      </c>
      <c r="BL226" s="12">
        <f t="shared" si="1162"/>
        <v>0</v>
      </c>
      <c r="BM226" s="12">
        <f t="shared" si="1162"/>
        <v>0</v>
      </c>
      <c r="BN226" s="13">
        <f t="shared" si="1162"/>
        <v>0</v>
      </c>
      <c r="BO226" s="13">
        <f t="shared" si="1162"/>
        <v>0</v>
      </c>
      <c r="BP226" s="15">
        <f t="shared" si="1162"/>
        <v>0</v>
      </c>
      <c r="BQ226" s="15">
        <f t="shared" si="1162"/>
        <v>0</v>
      </c>
      <c r="BR226" s="14">
        <f t="shared" si="1162"/>
        <v>0</v>
      </c>
      <c r="BS226" s="14">
        <f t="shared" si="1162"/>
        <v>0</v>
      </c>
      <c r="BT226" s="14">
        <f t="shared" si="1162"/>
        <v>0</v>
      </c>
      <c r="BU226" s="14">
        <f t="shared" si="1162"/>
        <v>0</v>
      </c>
      <c r="BV226" s="11">
        <f t="shared" si="1162"/>
        <v>0</v>
      </c>
      <c r="BW226" s="11">
        <f t="shared" si="1162"/>
        <v>0</v>
      </c>
      <c r="BX226" s="11">
        <f t="shared" si="1162"/>
        <v>0</v>
      </c>
      <c r="BY226" s="11">
        <f t="shared" si="1162"/>
        <v>0</v>
      </c>
      <c r="BZ226" s="7">
        <f t="shared" si="1162"/>
        <v>0</v>
      </c>
      <c r="CA226" s="7">
        <f t="shared" si="1162"/>
        <v>0</v>
      </c>
      <c r="CB226" s="7">
        <f t="shared" ref="CB226:CP226" si="1163">IFERROR(VALUE(CB531),"-")</f>
        <v>0</v>
      </c>
      <c r="CC226" s="7">
        <f t="shared" si="1163"/>
        <v>0</v>
      </c>
      <c r="CD226" s="7">
        <f t="shared" si="1163"/>
        <v>0</v>
      </c>
      <c r="CE226" s="3">
        <f t="shared" si="1163"/>
        <v>0</v>
      </c>
      <c r="CF226" s="7">
        <f t="shared" si="1163"/>
        <v>0</v>
      </c>
      <c r="CG226" s="3">
        <f t="shared" si="1163"/>
        <v>0</v>
      </c>
      <c r="CH226" s="7">
        <f t="shared" si="1163"/>
        <v>0</v>
      </c>
      <c r="CI226" s="7">
        <f t="shared" si="1163"/>
        <v>0</v>
      </c>
      <c r="CJ226" s="3">
        <f t="shared" si="1163"/>
        <v>0</v>
      </c>
      <c r="CK226" s="7">
        <f t="shared" si="1163"/>
        <v>0</v>
      </c>
      <c r="CL226" s="3">
        <f t="shared" si="1163"/>
        <v>0</v>
      </c>
      <c r="CM226" s="7">
        <f t="shared" si="1163"/>
        <v>0</v>
      </c>
      <c r="CN226" s="10">
        <f t="shared" si="1163"/>
        <v>0</v>
      </c>
      <c r="CO226" s="10">
        <f t="shared" si="1163"/>
        <v>0</v>
      </c>
      <c r="CP226" s="7">
        <f t="shared" si="1163"/>
        <v>0</v>
      </c>
      <c r="CQ226" s="7">
        <f t="shared" ref="CQ226" si="1164">IFERROR(CQ531,"-")</f>
        <v>0</v>
      </c>
      <c r="CR226" s="10">
        <f t="shared" si="1149"/>
        <v>0</v>
      </c>
      <c r="CS226" s="7">
        <f t="shared" si="1149"/>
        <v>0</v>
      </c>
      <c r="CT226" s="7">
        <f t="shared" si="1149"/>
        <v>0</v>
      </c>
      <c r="CU226" s="7">
        <f t="shared" si="1149"/>
        <v>0</v>
      </c>
      <c r="CV226" s="7">
        <f t="shared" si="1149"/>
        <v>0</v>
      </c>
      <c r="CW226" s="7">
        <f t="shared" si="1149"/>
        <v>0</v>
      </c>
      <c r="CX226" s="7">
        <f t="shared" si="1149"/>
        <v>0</v>
      </c>
      <c r="CY226" s="7">
        <f t="shared" si="1149"/>
        <v>0</v>
      </c>
      <c r="CZ226" s="7">
        <f t="shared" si="1149"/>
        <v>0</v>
      </c>
      <c r="DA226" s="7">
        <f t="shared" si="1149"/>
        <v>0</v>
      </c>
      <c r="DB226" s="7">
        <f t="shared" si="1149"/>
        <v>0</v>
      </c>
      <c r="DC226" s="7">
        <f t="shared" si="1149"/>
        <v>0</v>
      </c>
      <c r="DD226" s="7">
        <f t="shared" si="1149"/>
        <v>0</v>
      </c>
      <c r="DE226" s="7">
        <f t="shared" si="1149"/>
        <v>0</v>
      </c>
      <c r="DF226" s="7">
        <f t="shared" si="1149"/>
        <v>0</v>
      </c>
      <c r="DG226" s="7">
        <f t="shared" si="1149"/>
        <v>0</v>
      </c>
      <c r="DH226" s="7">
        <f t="shared" ref="DH226:DJ226" si="1165">IFERROR(DH531,"-")</f>
        <v>0</v>
      </c>
      <c r="DI226" s="7">
        <f t="shared" si="1165"/>
        <v>0</v>
      </c>
      <c r="DJ226" s="7">
        <f t="shared" si="1165"/>
        <v>0</v>
      </c>
      <c r="DK226" s="64">
        <f t="shared" ref="DK226:DS226" si="1166">IFERROR(VALUE(DK531),"-")</f>
        <v>0</v>
      </c>
      <c r="DL226" s="64">
        <f t="shared" si="1166"/>
        <v>0</v>
      </c>
      <c r="DM226" s="64">
        <f t="shared" si="1166"/>
        <v>0</v>
      </c>
      <c r="DN226" s="64">
        <f t="shared" si="1166"/>
        <v>0</v>
      </c>
      <c r="DO226" s="64">
        <f t="shared" si="1166"/>
        <v>0</v>
      </c>
      <c r="DP226" s="64">
        <f t="shared" si="1166"/>
        <v>0</v>
      </c>
      <c r="DQ226" s="64">
        <f t="shared" si="1166"/>
        <v>0</v>
      </c>
      <c r="DR226" s="64">
        <f t="shared" si="1166"/>
        <v>0</v>
      </c>
      <c r="DS226" s="64">
        <f t="shared" si="1166"/>
        <v>0</v>
      </c>
      <c r="DT226">
        <f t="shared" si="1000"/>
        <v>0</v>
      </c>
      <c r="DU226" s="10">
        <f t="shared" si="1001"/>
        <v>0</v>
      </c>
    </row>
    <row r="227" spans="1:125" x14ac:dyDescent="0.25">
      <c r="A227" t="s">
        <v>76</v>
      </c>
      <c r="B227" s="2">
        <v>44833</v>
      </c>
      <c r="C227" s="1">
        <v>1000</v>
      </c>
      <c r="D227">
        <v>76</v>
      </c>
      <c r="M227" s="3"/>
      <c r="N227" s="3"/>
      <c r="O227" s="3">
        <f t="shared" si="1002"/>
        <v>0</v>
      </c>
      <c r="P227" s="7">
        <f t="shared" ref="P227:CA227" si="1167">IFERROR(VALUE(P532),"-")</f>
        <v>0</v>
      </c>
      <c r="Q227" s="7">
        <f t="shared" si="1167"/>
        <v>0</v>
      </c>
      <c r="R227" s="7">
        <f t="shared" si="1167"/>
        <v>0</v>
      </c>
      <c r="S227" s="7">
        <f t="shared" si="1167"/>
        <v>0</v>
      </c>
      <c r="T227" s="11">
        <f t="shared" si="1167"/>
        <v>0</v>
      </c>
      <c r="U227" s="11">
        <f t="shared" si="1167"/>
        <v>0</v>
      </c>
      <c r="V227" s="11">
        <f t="shared" si="1167"/>
        <v>0</v>
      </c>
      <c r="W227" s="11">
        <f t="shared" si="1167"/>
        <v>0</v>
      </c>
      <c r="X227" s="14">
        <f t="shared" si="1167"/>
        <v>0</v>
      </c>
      <c r="Y227" s="14">
        <f t="shared" si="1167"/>
        <v>0</v>
      </c>
      <c r="Z227" s="14">
        <f t="shared" si="1167"/>
        <v>0</v>
      </c>
      <c r="AA227" s="14">
        <f t="shared" si="1167"/>
        <v>0</v>
      </c>
      <c r="AB227" s="15">
        <f t="shared" si="1167"/>
        <v>0</v>
      </c>
      <c r="AC227" s="15">
        <f t="shared" si="1167"/>
        <v>0</v>
      </c>
      <c r="AD227" s="13">
        <f t="shared" si="1167"/>
        <v>0</v>
      </c>
      <c r="AE227" s="13">
        <f t="shared" si="1167"/>
        <v>0</v>
      </c>
      <c r="AF227" s="12">
        <f t="shared" si="1167"/>
        <v>0</v>
      </c>
      <c r="AG227" s="12">
        <f t="shared" si="1167"/>
        <v>0</v>
      </c>
      <c r="AH227" s="13">
        <f t="shared" si="1167"/>
        <v>0</v>
      </c>
      <c r="AI227" s="13">
        <f t="shared" si="1167"/>
        <v>0</v>
      </c>
      <c r="AJ227" s="11">
        <f t="shared" si="1167"/>
        <v>0</v>
      </c>
      <c r="AK227" s="11">
        <f t="shared" si="1167"/>
        <v>0</v>
      </c>
      <c r="AL227" s="11">
        <f t="shared" si="1167"/>
        <v>0</v>
      </c>
      <c r="AM227" s="11">
        <f t="shared" si="1167"/>
        <v>0</v>
      </c>
      <c r="AN227" s="11">
        <f t="shared" si="1167"/>
        <v>0</v>
      </c>
      <c r="AO227" s="11">
        <f t="shared" si="1167"/>
        <v>0</v>
      </c>
      <c r="AP227" s="11">
        <f t="shared" si="1167"/>
        <v>0</v>
      </c>
      <c r="AQ227" s="11">
        <f t="shared" si="1167"/>
        <v>0</v>
      </c>
      <c r="AR227" s="16">
        <f t="shared" si="1167"/>
        <v>0</v>
      </c>
      <c r="AS227" s="16">
        <f t="shared" si="1167"/>
        <v>0</v>
      </c>
      <c r="AT227" s="16">
        <f t="shared" si="1167"/>
        <v>0</v>
      </c>
      <c r="AU227" s="7">
        <f t="shared" si="1167"/>
        <v>0</v>
      </c>
      <c r="AV227" s="7">
        <f t="shared" si="1167"/>
        <v>0</v>
      </c>
      <c r="AW227" s="7">
        <f t="shared" si="1167"/>
        <v>0</v>
      </c>
      <c r="AX227" s="7">
        <f t="shared" si="1167"/>
        <v>0</v>
      </c>
      <c r="AY227" s="11">
        <f t="shared" si="1167"/>
        <v>0</v>
      </c>
      <c r="AZ227" s="16">
        <f t="shared" si="1167"/>
        <v>0</v>
      </c>
      <c r="BA227" s="16">
        <f t="shared" si="1167"/>
        <v>0</v>
      </c>
      <c r="BB227" s="16">
        <f t="shared" si="1167"/>
        <v>0</v>
      </c>
      <c r="BC227" s="11">
        <f t="shared" si="1167"/>
        <v>0</v>
      </c>
      <c r="BD227" s="11">
        <f t="shared" si="1167"/>
        <v>0</v>
      </c>
      <c r="BE227" s="11">
        <f t="shared" si="1167"/>
        <v>0</v>
      </c>
      <c r="BF227" s="11">
        <f t="shared" si="1167"/>
        <v>0</v>
      </c>
      <c r="BG227" s="11">
        <f t="shared" si="1167"/>
        <v>0</v>
      </c>
      <c r="BH227" s="11">
        <f t="shared" si="1167"/>
        <v>0</v>
      </c>
      <c r="BI227" s="13">
        <f t="shared" si="1167"/>
        <v>0</v>
      </c>
      <c r="BJ227" s="13">
        <f t="shared" si="1167"/>
        <v>0</v>
      </c>
      <c r="BK227" s="11">
        <f t="shared" si="1167"/>
        <v>0</v>
      </c>
      <c r="BL227" s="12">
        <f t="shared" si="1167"/>
        <v>0</v>
      </c>
      <c r="BM227" s="12">
        <f t="shared" si="1167"/>
        <v>0</v>
      </c>
      <c r="BN227" s="13">
        <f t="shared" si="1167"/>
        <v>0</v>
      </c>
      <c r="BO227" s="13">
        <f t="shared" si="1167"/>
        <v>0</v>
      </c>
      <c r="BP227" s="15">
        <f t="shared" si="1167"/>
        <v>0</v>
      </c>
      <c r="BQ227" s="15">
        <f t="shared" si="1167"/>
        <v>0</v>
      </c>
      <c r="BR227" s="14">
        <f t="shared" si="1167"/>
        <v>0</v>
      </c>
      <c r="BS227" s="14">
        <f t="shared" si="1167"/>
        <v>0</v>
      </c>
      <c r="BT227" s="14">
        <f t="shared" si="1167"/>
        <v>0</v>
      </c>
      <c r="BU227" s="14">
        <f t="shared" si="1167"/>
        <v>0</v>
      </c>
      <c r="BV227" s="11">
        <f t="shared" si="1167"/>
        <v>0</v>
      </c>
      <c r="BW227" s="11">
        <f t="shared" si="1167"/>
        <v>0</v>
      </c>
      <c r="BX227" s="11">
        <f t="shared" si="1167"/>
        <v>0</v>
      </c>
      <c r="BY227" s="11">
        <f t="shared" si="1167"/>
        <v>0</v>
      </c>
      <c r="BZ227" s="7">
        <f t="shared" si="1167"/>
        <v>0</v>
      </c>
      <c r="CA227" s="7">
        <f t="shared" si="1167"/>
        <v>0</v>
      </c>
      <c r="CB227" s="7">
        <f t="shared" ref="CB227:CP227" si="1168">IFERROR(VALUE(CB532),"-")</f>
        <v>0</v>
      </c>
      <c r="CC227" s="7">
        <f t="shared" si="1168"/>
        <v>0</v>
      </c>
      <c r="CD227" s="7">
        <f t="shared" si="1168"/>
        <v>0</v>
      </c>
      <c r="CE227" s="3">
        <f t="shared" si="1168"/>
        <v>0</v>
      </c>
      <c r="CF227" s="7">
        <f t="shared" si="1168"/>
        <v>0</v>
      </c>
      <c r="CG227" s="3">
        <f t="shared" si="1168"/>
        <v>0</v>
      </c>
      <c r="CH227" s="7">
        <f t="shared" si="1168"/>
        <v>0</v>
      </c>
      <c r="CI227" s="7">
        <f t="shared" si="1168"/>
        <v>0</v>
      </c>
      <c r="CJ227" s="3">
        <f t="shared" si="1168"/>
        <v>0</v>
      </c>
      <c r="CK227" s="7">
        <f t="shared" si="1168"/>
        <v>0</v>
      </c>
      <c r="CL227" s="3">
        <f t="shared" si="1168"/>
        <v>0</v>
      </c>
      <c r="CM227" s="7">
        <f t="shared" si="1168"/>
        <v>0</v>
      </c>
      <c r="CN227" s="10">
        <f t="shared" si="1168"/>
        <v>0</v>
      </c>
      <c r="CO227" s="10">
        <f t="shared" si="1168"/>
        <v>0</v>
      </c>
      <c r="CP227" s="7">
        <f t="shared" si="1168"/>
        <v>0</v>
      </c>
      <c r="CQ227" s="7">
        <f t="shared" ref="CQ227" si="1169">IFERROR(CQ532,"-")</f>
        <v>0</v>
      </c>
      <c r="CR227" s="10">
        <f t="shared" si="1149"/>
        <v>0</v>
      </c>
      <c r="CS227" s="7">
        <f t="shared" si="1149"/>
        <v>0</v>
      </c>
      <c r="CT227" s="7">
        <f t="shared" si="1149"/>
        <v>0</v>
      </c>
      <c r="CU227" s="7">
        <f t="shared" si="1149"/>
        <v>0</v>
      </c>
      <c r="CV227" s="7">
        <f t="shared" si="1149"/>
        <v>0</v>
      </c>
      <c r="CW227" s="7">
        <f t="shared" si="1149"/>
        <v>0</v>
      </c>
      <c r="CX227" s="7">
        <f t="shared" si="1149"/>
        <v>0</v>
      </c>
      <c r="CY227" s="7">
        <f t="shared" si="1149"/>
        <v>0</v>
      </c>
      <c r="CZ227" s="7">
        <f t="shared" si="1149"/>
        <v>0</v>
      </c>
      <c r="DA227" s="7">
        <f t="shared" si="1149"/>
        <v>0</v>
      </c>
      <c r="DB227" s="7">
        <f t="shared" si="1149"/>
        <v>0</v>
      </c>
      <c r="DC227" s="7">
        <f t="shared" si="1149"/>
        <v>0</v>
      </c>
      <c r="DD227" s="7">
        <f t="shared" si="1149"/>
        <v>0</v>
      </c>
      <c r="DE227" s="7">
        <f t="shared" si="1149"/>
        <v>0</v>
      </c>
      <c r="DF227" s="7">
        <f t="shared" si="1149"/>
        <v>0</v>
      </c>
      <c r="DG227" s="7">
        <f t="shared" si="1149"/>
        <v>0</v>
      </c>
      <c r="DH227" s="7">
        <f t="shared" ref="DH227:DJ227" si="1170">IFERROR(DH532,"-")</f>
        <v>0</v>
      </c>
      <c r="DI227" s="7">
        <f t="shared" si="1170"/>
        <v>0</v>
      </c>
      <c r="DJ227" s="7">
        <f t="shared" si="1170"/>
        <v>0</v>
      </c>
      <c r="DK227" s="64">
        <f t="shared" ref="DK227:DS227" si="1171">IFERROR(VALUE(DK532),"-")</f>
        <v>0</v>
      </c>
      <c r="DL227" s="64">
        <f t="shared" si="1171"/>
        <v>0</v>
      </c>
      <c r="DM227" s="64">
        <f t="shared" si="1171"/>
        <v>0</v>
      </c>
      <c r="DN227" s="64">
        <f t="shared" si="1171"/>
        <v>0</v>
      </c>
      <c r="DO227" s="64">
        <f t="shared" si="1171"/>
        <v>0</v>
      </c>
      <c r="DP227" s="64">
        <f t="shared" si="1171"/>
        <v>0</v>
      </c>
      <c r="DQ227" s="64">
        <f t="shared" si="1171"/>
        <v>0</v>
      </c>
      <c r="DR227" s="64">
        <f t="shared" si="1171"/>
        <v>0</v>
      </c>
      <c r="DS227" s="64">
        <f t="shared" si="1171"/>
        <v>0</v>
      </c>
      <c r="DT227">
        <f t="shared" si="1000"/>
        <v>0</v>
      </c>
      <c r="DU227" s="10">
        <f t="shared" si="1001"/>
        <v>0</v>
      </c>
    </row>
    <row r="228" spans="1:125" x14ac:dyDescent="0.25">
      <c r="A228" t="s">
        <v>76</v>
      </c>
      <c r="B228" s="2">
        <v>44861</v>
      </c>
      <c r="C228" s="1">
        <v>1000</v>
      </c>
      <c r="D228">
        <v>76</v>
      </c>
      <c r="M228" s="3"/>
      <c r="N228" s="3"/>
      <c r="O228" s="3">
        <f t="shared" si="1002"/>
        <v>0</v>
      </c>
      <c r="P228" s="7">
        <f t="shared" ref="P228:CA228" si="1172">IFERROR(VALUE(P533),"-")</f>
        <v>0</v>
      </c>
      <c r="Q228" s="7">
        <f t="shared" si="1172"/>
        <v>0</v>
      </c>
      <c r="R228" s="7">
        <f t="shared" si="1172"/>
        <v>0</v>
      </c>
      <c r="S228" s="7">
        <f t="shared" si="1172"/>
        <v>0</v>
      </c>
      <c r="T228" s="11">
        <f t="shared" si="1172"/>
        <v>0</v>
      </c>
      <c r="U228" s="11">
        <f t="shared" si="1172"/>
        <v>0</v>
      </c>
      <c r="V228" s="11">
        <f t="shared" si="1172"/>
        <v>0</v>
      </c>
      <c r="W228" s="11">
        <f t="shared" si="1172"/>
        <v>0</v>
      </c>
      <c r="X228" s="14">
        <f t="shared" si="1172"/>
        <v>0</v>
      </c>
      <c r="Y228" s="14">
        <f t="shared" si="1172"/>
        <v>0</v>
      </c>
      <c r="Z228" s="14">
        <f t="shared" si="1172"/>
        <v>0</v>
      </c>
      <c r="AA228" s="14">
        <f t="shared" si="1172"/>
        <v>0</v>
      </c>
      <c r="AB228" s="15">
        <f t="shared" si="1172"/>
        <v>0</v>
      </c>
      <c r="AC228" s="15">
        <f t="shared" si="1172"/>
        <v>0</v>
      </c>
      <c r="AD228" s="13">
        <f t="shared" si="1172"/>
        <v>0</v>
      </c>
      <c r="AE228" s="13">
        <f t="shared" si="1172"/>
        <v>0</v>
      </c>
      <c r="AF228" s="12">
        <f t="shared" si="1172"/>
        <v>0</v>
      </c>
      <c r="AG228" s="12">
        <f t="shared" si="1172"/>
        <v>0</v>
      </c>
      <c r="AH228" s="13">
        <f t="shared" si="1172"/>
        <v>0</v>
      </c>
      <c r="AI228" s="13">
        <f t="shared" si="1172"/>
        <v>0</v>
      </c>
      <c r="AJ228" s="11">
        <f t="shared" si="1172"/>
        <v>0</v>
      </c>
      <c r="AK228" s="11">
        <f t="shared" si="1172"/>
        <v>0</v>
      </c>
      <c r="AL228" s="11">
        <f t="shared" si="1172"/>
        <v>0</v>
      </c>
      <c r="AM228" s="11">
        <f t="shared" si="1172"/>
        <v>0</v>
      </c>
      <c r="AN228" s="11">
        <f t="shared" si="1172"/>
        <v>0</v>
      </c>
      <c r="AO228" s="11">
        <f t="shared" si="1172"/>
        <v>0</v>
      </c>
      <c r="AP228" s="11">
        <f t="shared" si="1172"/>
        <v>0</v>
      </c>
      <c r="AQ228" s="11">
        <f t="shared" si="1172"/>
        <v>0</v>
      </c>
      <c r="AR228" s="16">
        <f t="shared" si="1172"/>
        <v>0</v>
      </c>
      <c r="AS228" s="16">
        <f t="shared" si="1172"/>
        <v>0</v>
      </c>
      <c r="AT228" s="16">
        <f t="shared" si="1172"/>
        <v>0</v>
      </c>
      <c r="AU228" s="7">
        <f t="shared" si="1172"/>
        <v>0</v>
      </c>
      <c r="AV228" s="7">
        <f t="shared" si="1172"/>
        <v>0</v>
      </c>
      <c r="AW228" s="7">
        <f t="shared" si="1172"/>
        <v>0</v>
      </c>
      <c r="AX228" s="7">
        <f t="shared" si="1172"/>
        <v>0</v>
      </c>
      <c r="AY228" s="11">
        <f t="shared" si="1172"/>
        <v>0</v>
      </c>
      <c r="AZ228" s="16">
        <f t="shared" si="1172"/>
        <v>0</v>
      </c>
      <c r="BA228" s="16">
        <f t="shared" si="1172"/>
        <v>0</v>
      </c>
      <c r="BB228" s="16">
        <f t="shared" si="1172"/>
        <v>0</v>
      </c>
      <c r="BC228" s="11">
        <f t="shared" si="1172"/>
        <v>0</v>
      </c>
      <c r="BD228" s="11">
        <f t="shared" si="1172"/>
        <v>0</v>
      </c>
      <c r="BE228" s="11">
        <f t="shared" si="1172"/>
        <v>0</v>
      </c>
      <c r="BF228" s="11">
        <f t="shared" si="1172"/>
        <v>0</v>
      </c>
      <c r="BG228" s="11">
        <f t="shared" si="1172"/>
        <v>0</v>
      </c>
      <c r="BH228" s="11">
        <f t="shared" si="1172"/>
        <v>0</v>
      </c>
      <c r="BI228" s="13">
        <f t="shared" si="1172"/>
        <v>0</v>
      </c>
      <c r="BJ228" s="13">
        <f t="shared" si="1172"/>
        <v>0</v>
      </c>
      <c r="BK228" s="11">
        <f t="shared" si="1172"/>
        <v>0</v>
      </c>
      <c r="BL228" s="12">
        <f t="shared" si="1172"/>
        <v>0</v>
      </c>
      <c r="BM228" s="12">
        <f t="shared" si="1172"/>
        <v>0</v>
      </c>
      <c r="BN228" s="13">
        <f t="shared" si="1172"/>
        <v>0</v>
      </c>
      <c r="BO228" s="13">
        <f t="shared" si="1172"/>
        <v>0</v>
      </c>
      <c r="BP228" s="15">
        <f t="shared" si="1172"/>
        <v>0</v>
      </c>
      <c r="BQ228" s="15">
        <f t="shared" si="1172"/>
        <v>0</v>
      </c>
      <c r="BR228" s="14">
        <f t="shared" si="1172"/>
        <v>0</v>
      </c>
      <c r="BS228" s="14">
        <f t="shared" si="1172"/>
        <v>0</v>
      </c>
      <c r="BT228" s="14">
        <f t="shared" si="1172"/>
        <v>0</v>
      </c>
      <c r="BU228" s="14">
        <f t="shared" si="1172"/>
        <v>0</v>
      </c>
      <c r="BV228" s="11">
        <f t="shared" si="1172"/>
        <v>0</v>
      </c>
      <c r="BW228" s="11">
        <f t="shared" si="1172"/>
        <v>0</v>
      </c>
      <c r="BX228" s="11">
        <f t="shared" si="1172"/>
        <v>0</v>
      </c>
      <c r="BY228" s="11">
        <f t="shared" si="1172"/>
        <v>0</v>
      </c>
      <c r="BZ228" s="7">
        <f t="shared" si="1172"/>
        <v>0</v>
      </c>
      <c r="CA228" s="7">
        <f t="shared" si="1172"/>
        <v>0</v>
      </c>
      <c r="CB228" s="7">
        <f t="shared" ref="CB228:CP228" si="1173">IFERROR(VALUE(CB533),"-")</f>
        <v>0</v>
      </c>
      <c r="CC228" s="7">
        <f t="shared" si="1173"/>
        <v>0</v>
      </c>
      <c r="CD228" s="7">
        <f t="shared" si="1173"/>
        <v>0</v>
      </c>
      <c r="CE228" s="3">
        <f t="shared" si="1173"/>
        <v>0</v>
      </c>
      <c r="CF228" s="7">
        <f t="shared" si="1173"/>
        <v>0</v>
      </c>
      <c r="CG228" s="3">
        <f t="shared" si="1173"/>
        <v>0</v>
      </c>
      <c r="CH228" s="7">
        <f t="shared" si="1173"/>
        <v>0</v>
      </c>
      <c r="CI228" s="7">
        <f t="shared" si="1173"/>
        <v>0</v>
      </c>
      <c r="CJ228" s="3">
        <f t="shared" si="1173"/>
        <v>0</v>
      </c>
      <c r="CK228" s="7">
        <f t="shared" si="1173"/>
        <v>0</v>
      </c>
      <c r="CL228" s="3">
        <f t="shared" si="1173"/>
        <v>0</v>
      </c>
      <c r="CM228" s="7">
        <f t="shared" si="1173"/>
        <v>0</v>
      </c>
      <c r="CN228" s="10">
        <f t="shared" si="1173"/>
        <v>0</v>
      </c>
      <c r="CO228" s="10">
        <f t="shared" si="1173"/>
        <v>0</v>
      </c>
      <c r="CP228" s="7">
        <f t="shared" si="1173"/>
        <v>0</v>
      </c>
      <c r="CQ228" s="7">
        <f t="shared" ref="CQ228" si="1174">IFERROR(CQ533,"-")</f>
        <v>0</v>
      </c>
      <c r="CR228" s="10">
        <f t="shared" si="1149"/>
        <v>0</v>
      </c>
      <c r="CS228" s="7">
        <f t="shared" si="1149"/>
        <v>0</v>
      </c>
      <c r="CT228" s="7">
        <f t="shared" si="1149"/>
        <v>0</v>
      </c>
      <c r="CU228" s="7">
        <f t="shared" si="1149"/>
        <v>0</v>
      </c>
      <c r="CV228" s="7">
        <f t="shared" si="1149"/>
        <v>0</v>
      </c>
      <c r="CW228" s="7">
        <f t="shared" si="1149"/>
        <v>0</v>
      </c>
      <c r="CX228" s="7">
        <f t="shared" si="1149"/>
        <v>0</v>
      </c>
      <c r="CY228" s="7">
        <f t="shared" si="1149"/>
        <v>0</v>
      </c>
      <c r="CZ228" s="7">
        <f t="shared" si="1149"/>
        <v>0</v>
      </c>
      <c r="DA228" s="7">
        <f t="shared" si="1149"/>
        <v>0</v>
      </c>
      <c r="DB228" s="7">
        <f t="shared" si="1149"/>
        <v>0</v>
      </c>
      <c r="DC228" s="7">
        <f t="shared" si="1149"/>
        <v>0</v>
      </c>
      <c r="DD228" s="7">
        <f t="shared" si="1149"/>
        <v>0</v>
      </c>
      <c r="DE228" s="7">
        <f t="shared" si="1149"/>
        <v>0</v>
      </c>
      <c r="DF228" s="7">
        <f t="shared" si="1149"/>
        <v>0</v>
      </c>
      <c r="DG228" s="7">
        <f t="shared" si="1149"/>
        <v>0</v>
      </c>
      <c r="DH228" s="7">
        <f t="shared" ref="DH228:DJ228" si="1175">IFERROR(DH533,"-")</f>
        <v>0</v>
      </c>
      <c r="DI228" s="7">
        <f t="shared" si="1175"/>
        <v>0</v>
      </c>
      <c r="DJ228" s="7">
        <f t="shared" si="1175"/>
        <v>0</v>
      </c>
      <c r="DK228" s="64">
        <f t="shared" ref="DK228:DS228" si="1176">IFERROR(VALUE(DK533),"-")</f>
        <v>0</v>
      </c>
      <c r="DL228" s="64">
        <f t="shared" si="1176"/>
        <v>0</v>
      </c>
      <c r="DM228" s="64">
        <f t="shared" si="1176"/>
        <v>0</v>
      </c>
      <c r="DN228" s="64">
        <f t="shared" si="1176"/>
        <v>0</v>
      </c>
      <c r="DO228" s="64">
        <f t="shared" si="1176"/>
        <v>0</v>
      </c>
      <c r="DP228" s="64">
        <f t="shared" si="1176"/>
        <v>0</v>
      </c>
      <c r="DQ228" s="64">
        <f t="shared" si="1176"/>
        <v>0</v>
      </c>
      <c r="DR228" s="64">
        <f t="shared" si="1176"/>
        <v>0</v>
      </c>
      <c r="DS228" s="64">
        <f t="shared" si="1176"/>
        <v>0</v>
      </c>
      <c r="DT228">
        <f t="shared" si="1000"/>
        <v>0</v>
      </c>
      <c r="DU228" s="10">
        <f t="shared" si="1001"/>
        <v>0</v>
      </c>
    </row>
    <row r="229" spans="1:125" x14ac:dyDescent="0.25">
      <c r="A229" t="s">
        <v>77</v>
      </c>
      <c r="B229" s="2">
        <v>44798</v>
      </c>
      <c r="C229" s="1">
        <v>325</v>
      </c>
      <c r="D229">
        <v>74</v>
      </c>
      <c r="M229" s="3"/>
      <c r="N229" s="3"/>
      <c r="O229" s="3">
        <f t="shared" si="1002"/>
        <v>0</v>
      </c>
      <c r="P229" s="7">
        <f t="shared" ref="P229:CA229" si="1177">IFERROR(VALUE(P534),"-")</f>
        <v>0</v>
      </c>
      <c r="Q229" s="7">
        <f t="shared" si="1177"/>
        <v>0</v>
      </c>
      <c r="R229" s="7">
        <f t="shared" si="1177"/>
        <v>0</v>
      </c>
      <c r="S229" s="7">
        <f t="shared" si="1177"/>
        <v>0</v>
      </c>
      <c r="T229" s="11">
        <f t="shared" si="1177"/>
        <v>0</v>
      </c>
      <c r="U229" s="11">
        <f t="shared" si="1177"/>
        <v>0</v>
      </c>
      <c r="V229" s="11">
        <f t="shared" si="1177"/>
        <v>0</v>
      </c>
      <c r="W229" s="11">
        <f t="shared" si="1177"/>
        <v>0</v>
      </c>
      <c r="X229" s="14">
        <f t="shared" si="1177"/>
        <v>0</v>
      </c>
      <c r="Y229" s="14">
        <f t="shared" si="1177"/>
        <v>0</v>
      </c>
      <c r="Z229" s="14">
        <f t="shared" si="1177"/>
        <v>0</v>
      </c>
      <c r="AA229" s="14">
        <f t="shared" si="1177"/>
        <v>0</v>
      </c>
      <c r="AB229" s="15">
        <f t="shared" si="1177"/>
        <v>0</v>
      </c>
      <c r="AC229" s="15">
        <f t="shared" si="1177"/>
        <v>0</v>
      </c>
      <c r="AD229" s="13">
        <f t="shared" si="1177"/>
        <v>0</v>
      </c>
      <c r="AE229" s="13">
        <f t="shared" si="1177"/>
        <v>0</v>
      </c>
      <c r="AF229" s="12">
        <f t="shared" si="1177"/>
        <v>0</v>
      </c>
      <c r="AG229" s="12">
        <f t="shared" si="1177"/>
        <v>0</v>
      </c>
      <c r="AH229" s="13">
        <f t="shared" si="1177"/>
        <v>0</v>
      </c>
      <c r="AI229" s="13">
        <f t="shared" si="1177"/>
        <v>0</v>
      </c>
      <c r="AJ229" s="11">
        <f t="shared" si="1177"/>
        <v>0</v>
      </c>
      <c r="AK229" s="11">
        <f t="shared" si="1177"/>
        <v>0</v>
      </c>
      <c r="AL229" s="11">
        <f t="shared" si="1177"/>
        <v>0</v>
      </c>
      <c r="AM229" s="11">
        <f t="shared" si="1177"/>
        <v>0</v>
      </c>
      <c r="AN229" s="11">
        <f t="shared" si="1177"/>
        <v>0</v>
      </c>
      <c r="AO229" s="11">
        <f t="shared" si="1177"/>
        <v>0</v>
      </c>
      <c r="AP229" s="11">
        <f t="shared" si="1177"/>
        <v>0</v>
      </c>
      <c r="AQ229" s="11">
        <f t="shared" si="1177"/>
        <v>0</v>
      </c>
      <c r="AR229" s="16">
        <f t="shared" si="1177"/>
        <v>0</v>
      </c>
      <c r="AS229" s="16">
        <f t="shared" si="1177"/>
        <v>0</v>
      </c>
      <c r="AT229" s="16">
        <f t="shared" si="1177"/>
        <v>0</v>
      </c>
      <c r="AU229" s="7">
        <f t="shared" si="1177"/>
        <v>0</v>
      </c>
      <c r="AV229" s="7">
        <f t="shared" si="1177"/>
        <v>0</v>
      </c>
      <c r="AW229" s="7">
        <f t="shared" si="1177"/>
        <v>0</v>
      </c>
      <c r="AX229" s="7">
        <f t="shared" si="1177"/>
        <v>0</v>
      </c>
      <c r="AY229" s="11">
        <f t="shared" si="1177"/>
        <v>0</v>
      </c>
      <c r="AZ229" s="16">
        <f t="shared" si="1177"/>
        <v>0</v>
      </c>
      <c r="BA229" s="16">
        <f t="shared" si="1177"/>
        <v>0</v>
      </c>
      <c r="BB229" s="16">
        <f t="shared" si="1177"/>
        <v>0</v>
      </c>
      <c r="BC229" s="11">
        <f t="shared" si="1177"/>
        <v>0</v>
      </c>
      <c r="BD229" s="11">
        <f t="shared" si="1177"/>
        <v>0</v>
      </c>
      <c r="BE229" s="11">
        <f t="shared" si="1177"/>
        <v>0</v>
      </c>
      <c r="BF229" s="11">
        <f t="shared" si="1177"/>
        <v>0</v>
      </c>
      <c r="BG229" s="11">
        <f t="shared" si="1177"/>
        <v>0</v>
      </c>
      <c r="BH229" s="11">
        <f t="shared" si="1177"/>
        <v>0</v>
      </c>
      <c r="BI229" s="13">
        <f t="shared" si="1177"/>
        <v>0</v>
      </c>
      <c r="BJ229" s="13">
        <f t="shared" si="1177"/>
        <v>0</v>
      </c>
      <c r="BK229" s="11">
        <f t="shared" si="1177"/>
        <v>0</v>
      </c>
      <c r="BL229" s="12">
        <f t="shared" si="1177"/>
        <v>0</v>
      </c>
      <c r="BM229" s="12">
        <f t="shared" si="1177"/>
        <v>0</v>
      </c>
      <c r="BN229" s="13">
        <f t="shared" si="1177"/>
        <v>0</v>
      </c>
      <c r="BO229" s="13">
        <f t="shared" si="1177"/>
        <v>0</v>
      </c>
      <c r="BP229" s="15">
        <f t="shared" si="1177"/>
        <v>0</v>
      </c>
      <c r="BQ229" s="15">
        <f t="shared" si="1177"/>
        <v>0</v>
      </c>
      <c r="BR229" s="14">
        <f t="shared" si="1177"/>
        <v>0</v>
      </c>
      <c r="BS229" s="14">
        <f t="shared" si="1177"/>
        <v>0</v>
      </c>
      <c r="BT229" s="14">
        <f t="shared" si="1177"/>
        <v>0</v>
      </c>
      <c r="BU229" s="14">
        <f t="shared" si="1177"/>
        <v>0</v>
      </c>
      <c r="BV229" s="11">
        <f t="shared" si="1177"/>
        <v>0</v>
      </c>
      <c r="BW229" s="11">
        <f t="shared" si="1177"/>
        <v>0</v>
      </c>
      <c r="BX229" s="11">
        <f t="shared" si="1177"/>
        <v>0</v>
      </c>
      <c r="BY229" s="11">
        <f t="shared" si="1177"/>
        <v>0</v>
      </c>
      <c r="BZ229" s="7">
        <f t="shared" si="1177"/>
        <v>0</v>
      </c>
      <c r="CA229" s="7">
        <f t="shared" si="1177"/>
        <v>0</v>
      </c>
      <c r="CB229" s="7">
        <f t="shared" ref="CB229:CP229" si="1178">IFERROR(VALUE(CB534),"-")</f>
        <v>0</v>
      </c>
      <c r="CC229" s="7">
        <f t="shared" si="1178"/>
        <v>0</v>
      </c>
      <c r="CD229" s="7">
        <f t="shared" si="1178"/>
        <v>0</v>
      </c>
      <c r="CE229" s="3">
        <f t="shared" si="1178"/>
        <v>0</v>
      </c>
      <c r="CF229" s="7">
        <f t="shared" si="1178"/>
        <v>0</v>
      </c>
      <c r="CG229" s="3">
        <f t="shared" si="1178"/>
        <v>0</v>
      </c>
      <c r="CH229" s="7">
        <f t="shared" si="1178"/>
        <v>0</v>
      </c>
      <c r="CI229" s="7">
        <f t="shared" si="1178"/>
        <v>0</v>
      </c>
      <c r="CJ229" s="3">
        <f t="shared" si="1178"/>
        <v>0</v>
      </c>
      <c r="CK229" s="7">
        <f t="shared" si="1178"/>
        <v>0</v>
      </c>
      <c r="CL229" s="3">
        <f t="shared" si="1178"/>
        <v>0</v>
      </c>
      <c r="CM229" s="7">
        <f t="shared" si="1178"/>
        <v>0</v>
      </c>
      <c r="CN229" s="10">
        <f t="shared" si="1178"/>
        <v>0</v>
      </c>
      <c r="CO229" s="10">
        <f t="shared" si="1178"/>
        <v>0</v>
      </c>
      <c r="CP229" s="7">
        <f t="shared" si="1178"/>
        <v>0</v>
      </c>
      <c r="CQ229" s="7">
        <f t="shared" ref="CQ229" si="1179">IFERROR(CQ534,"-")</f>
        <v>0</v>
      </c>
      <c r="CR229" s="10">
        <f t="shared" si="1149"/>
        <v>0</v>
      </c>
      <c r="CS229" s="7">
        <f t="shared" si="1149"/>
        <v>0</v>
      </c>
      <c r="CT229" s="7">
        <f t="shared" si="1149"/>
        <v>0</v>
      </c>
      <c r="CU229" s="7">
        <f t="shared" si="1149"/>
        <v>0</v>
      </c>
      <c r="CV229" s="7">
        <f t="shared" si="1149"/>
        <v>0</v>
      </c>
      <c r="CW229" s="7">
        <f t="shared" si="1149"/>
        <v>0</v>
      </c>
      <c r="CX229" s="7">
        <f t="shared" si="1149"/>
        <v>0</v>
      </c>
      <c r="CY229" s="7">
        <f t="shared" si="1149"/>
        <v>0</v>
      </c>
      <c r="CZ229" s="7">
        <f t="shared" si="1149"/>
        <v>0</v>
      </c>
      <c r="DA229" s="7">
        <f t="shared" si="1149"/>
        <v>0</v>
      </c>
      <c r="DB229" s="7">
        <f t="shared" si="1149"/>
        <v>0</v>
      </c>
      <c r="DC229" s="7">
        <f t="shared" si="1149"/>
        <v>0</v>
      </c>
      <c r="DD229" s="7">
        <f t="shared" si="1149"/>
        <v>0</v>
      </c>
      <c r="DE229" s="7">
        <f t="shared" si="1149"/>
        <v>0</v>
      </c>
      <c r="DF229" s="7">
        <f t="shared" si="1149"/>
        <v>0</v>
      </c>
      <c r="DG229" s="7">
        <f t="shared" si="1149"/>
        <v>0</v>
      </c>
      <c r="DH229" s="7">
        <f t="shared" ref="DH229:DJ229" si="1180">IFERROR(DH534,"-")</f>
        <v>0</v>
      </c>
      <c r="DI229" s="7">
        <f t="shared" si="1180"/>
        <v>0</v>
      </c>
      <c r="DJ229" s="7">
        <f t="shared" si="1180"/>
        <v>0</v>
      </c>
      <c r="DK229" s="64">
        <f t="shared" ref="DK229:DS229" si="1181">IFERROR(VALUE(DK534),"-")</f>
        <v>0</v>
      </c>
      <c r="DL229" s="64">
        <f t="shared" si="1181"/>
        <v>0</v>
      </c>
      <c r="DM229" s="64">
        <f t="shared" si="1181"/>
        <v>0</v>
      </c>
      <c r="DN229" s="64">
        <f t="shared" si="1181"/>
        <v>0</v>
      </c>
      <c r="DO229" s="64">
        <f t="shared" si="1181"/>
        <v>0</v>
      </c>
      <c r="DP229" s="64">
        <f t="shared" si="1181"/>
        <v>0</v>
      </c>
      <c r="DQ229" s="64">
        <f t="shared" si="1181"/>
        <v>0</v>
      </c>
      <c r="DR229" s="64">
        <f t="shared" si="1181"/>
        <v>0</v>
      </c>
      <c r="DS229" s="64">
        <f t="shared" si="1181"/>
        <v>0</v>
      </c>
      <c r="DT229">
        <f t="shared" si="1000"/>
        <v>0</v>
      </c>
      <c r="DU229" s="10">
        <f t="shared" si="1001"/>
        <v>0</v>
      </c>
    </row>
    <row r="230" spans="1:125" x14ac:dyDescent="0.25">
      <c r="A230" t="s">
        <v>77</v>
      </c>
      <c r="B230" s="2">
        <v>44833</v>
      </c>
      <c r="C230" s="1">
        <v>325</v>
      </c>
      <c r="D230">
        <v>74</v>
      </c>
      <c r="M230" s="3"/>
      <c r="N230" s="3"/>
      <c r="O230" s="3">
        <f t="shared" si="1002"/>
        <v>0</v>
      </c>
      <c r="P230" s="7">
        <f t="shared" ref="P230:CA230" si="1182">IFERROR(VALUE(P535),"-")</f>
        <v>0</v>
      </c>
      <c r="Q230" s="7">
        <f t="shared" si="1182"/>
        <v>0</v>
      </c>
      <c r="R230" s="7">
        <f t="shared" si="1182"/>
        <v>0</v>
      </c>
      <c r="S230" s="7">
        <f t="shared" si="1182"/>
        <v>0</v>
      </c>
      <c r="T230" s="11">
        <f t="shared" si="1182"/>
        <v>0</v>
      </c>
      <c r="U230" s="11">
        <f t="shared" si="1182"/>
        <v>0</v>
      </c>
      <c r="V230" s="11">
        <f t="shared" si="1182"/>
        <v>0</v>
      </c>
      <c r="W230" s="11">
        <f t="shared" si="1182"/>
        <v>0</v>
      </c>
      <c r="X230" s="14">
        <f t="shared" si="1182"/>
        <v>0</v>
      </c>
      <c r="Y230" s="14">
        <f t="shared" si="1182"/>
        <v>0</v>
      </c>
      <c r="Z230" s="14">
        <f t="shared" si="1182"/>
        <v>0</v>
      </c>
      <c r="AA230" s="14">
        <f t="shared" si="1182"/>
        <v>0</v>
      </c>
      <c r="AB230" s="15">
        <f t="shared" si="1182"/>
        <v>0</v>
      </c>
      <c r="AC230" s="15">
        <f t="shared" si="1182"/>
        <v>0</v>
      </c>
      <c r="AD230" s="13">
        <f t="shared" si="1182"/>
        <v>0</v>
      </c>
      <c r="AE230" s="13">
        <f t="shared" si="1182"/>
        <v>0</v>
      </c>
      <c r="AF230" s="12">
        <f t="shared" si="1182"/>
        <v>0</v>
      </c>
      <c r="AG230" s="12">
        <f t="shared" si="1182"/>
        <v>0</v>
      </c>
      <c r="AH230" s="13">
        <f t="shared" si="1182"/>
        <v>0</v>
      </c>
      <c r="AI230" s="13">
        <f t="shared" si="1182"/>
        <v>0</v>
      </c>
      <c r="AJ230" s="11">
        <f t="shared" si="1182"/>
        <v>0</v>
      </c>
      <c r="AK230" s="11">
        <f t="shared" si="1182"/>
        <v>0</v>
      </c>
      <c r="AL230" s="11">
        <f t="shared" si="1182"/>
        <v>0</v>
      </c>
      <c r="AM230" s="11">
        <f t="shared" si="1182"/>
        <v>0</v>
      </c>
      <c r="AN230" s="11">
        <f t="shared" si="1182"/>
        <v>0</v>
      </c>
      <c r="AO230" s="11">
        <f t="shared" si="1182"/>
        <v>0</v>
      </c>
      <c r="AP230" s="11">
        <f t="shared" si="1182"/>
        <v>0</v>
      </c>
      <c r="AQ230" s="11">
        <f t="shared" si="1182"/>
        <v>0</v>
      </c>
      <c r="AR230" s="16">
        <f t="shared" si="1182"/>
        <v>0</v>
      </c>
      <c r="AS230" s="16">
        <f t="shared" si="1182"/>
        <v>0</v>
      </c>
      <c r="AT230" s="16">
        <f t="shared" si="1182"/>
        <v>0</v>
      </c>
      <c r="AU230" s="7">
        <f t="shared" si="1182"/>
        <v>0</v>
      </c>
      <c r="AV230" s="7">
        <f t="shared" si="1182"/>
        <v>0</v>
      </c>
      <c r="AW230" s="7">
        <f t="shared" si="1182"/>
        <v>0</v>
      </c>
      <c r="AX230" s="7">
        <f t="shared" si="1182"/>
        <v>0</v>
      </c>
      <c r="AY230" s="11">
        <f t="shared" si="1182"/>
        <v>0</v>
      </c>
      <c r="AZ230" s="16">
        <f t="shared" si="1182"/>
        <v>0</v>
      </c>
      <c r="BA230" s="16">
        <f t="shared" si="1182"/>
        <v>0</v>
      </c>
      <c r="BB230" s="16">
        <f t="shared" si="1182"/>
        <v>0</v>
      </c>
      <c r="BC230" s="11">
        <f t="shared" si="1182"/>
        <v>0</v>
      </c>
      <c r="BD230" s="11">
        <f t="shared" si="1182"/>
        <v>0</v>
      </c>
      <c r="BE230" s="11">
        <f t="shared" si="1182"/>
        <v>0</v>
      </c>
      <c r="BF230" s="11">
        <f t="shared" si="1182"/>
        <v>0</v>
      </c>
      <c r="BG230" s="11">
        <f t="shared" si="1182"/>
        <v>0</v>
      </c>
      <c r="BH230" s="11">
        <f t="shared" si="1182"/>
        <v>0</v>
      </c>
      <c r="BI230" s="13">
        <f t="shared" si="1182"/>
        <v>0</v>
      </c>
      <c r="BJ230" s="13">
        <f t="shared" si="1182"/>
        <v>0</v>
      </c>
      <c r="BK230" s="11">
        <f t="shared" si="1182"/>
        <v>0</v>
      </c>
      <c r="BL230" s="12">
        <f t="shared" si="1182"/>
        <v>0</v>
      </c>
      <c r="BM230" s="12">
        <f t="shared" si="1182"/>
        <v>0</v>
      </c>
      <c r="BN230" s="13">
        <f t="shared" si="1182"/>
        <v>0</v>
      </c>
      <c r="BO230" s="13">
        <f t="shared" si="1182"/>
        <v>0</v>
      </c>
      <c r="BP230" s="15">
        <f t="shared" si="1182"/>
        <v>0</v>
      </c>
      <c r="BQ230" s="15">
        <f t="shared" si="1182"/>
        <v>0</v>
      </c>
      <c r="BR230" s="14">
        <f t="shared" si="1182"/>
        <v>0</v>
      </c>
      <c r="BS230" s="14">
        <f t="shared" si="1182"/>
        <v>0</v>
      </c>
      <c r="BT230" s="14">
        <f t="shared" si="1182"/>
        <v>0</v>
      </c>
      <c r="BU230" s="14">
        <f t="shared" si="1182"/>
        <v>0</v>
      </c>
      <c r="BV230" s="11">
        <f t="shared" si="1182"/>
        <v>0</v>
      </c>
      <c r="BW230" s="11">
        <f t="shared" si="1182"/>
        <v>0</v>
      </c>
      <c r="BX230" s="11">
        <f t="shared" si="1182"/>
        <v>0</v>
      </c>
      <c r="BY230" s="11">
        <f t="shared" si="1182"/>
        <v>0</v>
      </c>
      <c r="BZ230" s="7">
        <f t="shared" si="1182"/>
        <v>0</v>
      </c>
      <c r="CA230" s="7">
        <f t="shared" si="1182"/>
        <v>0</v>
      </c>
      <c r="CB230" s="7">
        <f t="shared" ref="CB230:CP230" si="1183">IFERROR(VALUE(CB535),"-")</f>
        <v>0</v>
      </c>
      <c r="CC230" s="7">
        <f t="shared" si="1183"/>
        <v>0</v>
      </c>
      <c r="CD230" s="7">
        <f t="shared" si="1183"/>
        <v>0</v>
      </c>
      <c r="CE230" s="3">
        <f t="shared" si="1183"/>
        <v>0</v>
      </c>
      <c r="CF230" s="7">
        <f t="shared" si="1183"/>
        <v>0</v>
      </c>
      <c r="CG230" s="3">
        <f t="shared" si="1183"/>
        <v>0</v>
      </c>
      <c r="CH230" s="7">
        <f t="shared" si="1183"/>
        <v>0</v>
      </c>
      <c r="CI230" s="7">
        <f t="shared" si="1183"/>
        <v>0</v>
      </c>
      <c r="CJ230" s="3">
        <f t="shared" si="1183"/>
        <v>0</v>
      </c>
      <c r="CK230" s="7">
        <f t="shared" si="1183"/>
        <v>0</v>
      </c>
      <c r="CL230" s="3">
        <f t="shared" si="1183"/>
        <v>0</v>
      </c>
      <c r="CM230" s="7">
        <f t="shared" si="1183"/>
        <v>0</v>
      </c>
      <c r="CN230" s="10">
        <f t="shared" si="1183"/>
        <v>0</v>
      </c>
      <c r="CO230" s="10">
        <f t="shared" si="1183"/>
        <v>0</v>
      </c>
      <c r="CP230" s="7">
        <f t="shared" si="1183"/>
        <v>0</v>
      </c>
      <c r="CQ230" s="7">
        <f t="shared" ref="CQ230" si="1184">IFERROR(CQ535,"-")</f>
        <v>0</v>
      </c>
      <c r="CR230" s="10">
        <f t="shared" si="1149"/>
        <v>0</v>
      </c>
      <c r="CS230" s="7">
        <f t="shared" si="1149"/>
        <v>0</v>
      </c>
      <c r="CT230" s="7">
        <f t="shared" si="1149"/>
        <v>0</v>
      </c>
      <c r="CU230" s="7">
        <f t="shared" si="1149"/>
        <v>0</v>
      </c>
      <c r="CV230" s="7">
        <f t="shared" si="1149"/>
        <v>0</v>
      </c>
      <c r="CW230" s="7">
        <f t="shared" si="1149"/>
        <v>0</v>
      </c>
      <c r="CX230" s="7">
        <f t="shared" si="1149"/>
        <v>0</v>
      </c>
      <c r="CY230" s="7">
        <f t="shared" si="1149"/>
        <v>0</v>
      </c>
      <c r="CZ230" s="7">
        <f t="shared" si="1149"/>
        <v>0</v>
      </c>
      <c r="DA230" s="7">
        <f t="shared" si="1149"/>
        <v>0</v>
      </c>
      <c r="DB230" s="7">
        <f t="shared" si="1149"/>
        <v>0</v>
      </c>
      <c r="DC230" s="7">
        <f t="shared" si="1149"/>
        <v>0</v>
      </c>
      <c r="DD230" s="7">
        <f t="shared" si="1149"/>
        <v>0</v>
      </c>
      <c r="DE230" s="7">
        <f t="shared" si="1149"/>
        <v>0</v>
      </c>
      <c r="DF230" s="7">
        <f t="shared" si="1149"/>
        <v>0</v>
      </c>
      <c r="DG230" s="7">
        <f t="shared" si="1149"/>
        <v>0</v>
      </c>
      <c r="DH230" s="7">
        <f t="shared" ref="DH230:DJ230" si="1185">IFERROR(DH535,"-")</f>
        <v>0</v>
      </c>
      <c r="DI230" s="7">
        <f t="shared" si="1185"/>
        <v>0</v>
      </c>
      <c r="DJ230" s="7">
        <f t="shared" si="1185"/>
        <v>0</v>
      </c>
      <c r="DK230" s="64">
        <f t="shared" ref="DK230:DS230" si="1186">IFERROR(VALUE(DK535),"-")</f>
        <v>0</v>
      </c>
      <c r="DL230" s="64">
        <f t="shared" si="1186"/>
        <v>0</v>
      </c>
      <c r="DM230" s="64">
        <f t="shared" si="1186"/>
        <v>0</v>
      </c>
      <c r="DN230" s="64">
        <f t="shared" si="1186"/>
        <v>0</v>
      </c>
      <c r="DO230" s="64">
        <f t="shared" si="1186"/>
        <v>0</v>
      </c>
      <c r="DP230" s="64">
        <f t="shared" si="1186"/>
        <v>0</v>
      </c>
      <c r="DQ230" s="64">
        <f t="shared" si="1186"/>
        <v>0</v>
      </c>
      <c r="DR230" s="64">
        <f t="shared" si="1186"/>
        <v>0</v>
      </c>
      <c r="DS230" s="64">
        <f t="shared" si="1186"/>
        <v>0</v>
      </c>
      <c r="DT230">
        <f t="shared" si="1000"/>
        <v>0</v>
      </c>
      <c r="DU230" s="10">
        <f t="shared" si="1001"/>
        <v>0</v>
      </c>
    </row>
    <row r="231" spans="1:125" x14ac:dyDescent="0.25">
      <c r="A231" t="s">
        <v>77</v>
      </c>
      <c r="B231" s="2">
        <v>44861</v>
      </c>
      <c r="C231" s="1">
        <v>325</v>
      </c>
      <c r="D231">
        <v>74</v>
      </c>
      <c r="M231" s="3"/>
      <c r="N231" s="3"/>
      <c r="O231" s="3">
        <f t="shared" si="1002"/>
        <v>0</v>
      </c>
      <c r="P231" s="7">
        <f t="shared" ref="P231:CA231" si="1187">IFERROR(VALUE(P536),"-")</f>
        <v>0</v>
      </c>
      <c r="Q231" s="7">
        <f t="shared" si="1187"/>
        <v>0</v>
      </c>
      <c r="R231" s="7">
        <f t="shared" si="1187"/>
        <v>0</v>
      </c>
      <c r="S231" s="7">
        <f t="shared" si="1187"/>
        <v>0</v>
      </c>
      <c r="T231" s="11">
        <f t="shared" si="1187"/>
        <v>0</v>
      </c>
      <c r="U231" s="11">
        <f t="shared" si="1187"/>
        <v>0</v>
      </c>
      <c r="V231" s="11">
        <f t="shared" si="1187"/>
        <v>0</v>
      </c>
      <c r="W231" s="11">
        <f t="shared" si="1187"/>
        <v>0</v>
      </c>
      <c r="X231" s="14">
        <f t="shared" si="1187"/>
        <v>0</v>
      </c>
      <c r="Y231" s="14">
        <f t="shared" si="1187"/>
        <v>0</v>
      </c>
      <c r="Z231" s="14">
        <f t="shared" si="1187"/>
        <v>0</v>
      </c>
      <c r="AA231" s="14">
        <f t="shared" si="1187"/>
        <v>0</v>
      </c>
      <c r="AB231" s="15">
        <f t="shared" si="1187"/>
        <v>0</v>
      </c>
      <c r="AC231" s="15">
        <f t="shared" si="1187"/>
        <v>0</v>
      </c>
      <c r="AD231" s="13">
        <f t="shared" si="1187"/>
        <v>0</v>
      </c>
      <c r="AE231" s="13">
        <f t="shared" si="1187"/>
        <v>0</v>
      </c>
      <c r="AF231" s="12">
        <f t="shared" si="1187"/>
        <v>0</v>
      </c>
      <c r="AG231" s="12">
        <f t="shared" si="1187"/>
        <v>0</v>
      </c>
      <c r="AH231" s="13">
        <f t="shared" si="1187"/>
        <v>0</v>
      </c>
      <c r="AI231" s="13">
        <f t="shared" si="1187"/>
        <v>0</v>
      </c>
      <c r="AJ231" s="11">
        <f t="shared" si="1187"/>
        <v>0</v>
      </c>
      <c r="AK231" s="11">
        <f t="shared" si="1187"/>
        <v>0</v>
      </c>
      <c r="AL231" s="11">
        <f t="shared" si="1187"/>
        <v>0</v>
      </c>
      <c r="AM231" s="11">
        <f t="shared" si="1187"/>
        <v>0</v>
      </c>
      <c r="AN231" s="11">
        <f t="shared" si="1187"/>
        <v>0</v>
      </c>
      <c r="AO231" s="11">
        <f t="shared" si="1187"/>
        <v>0</v>
      </c>
      <c r="AP231" s="11">
        <f t="shared" si="1187"/>
        <v>0</v>
      </c>
      <c r="AQ231" s="11">
        <f t="shared" si="1187"/>
        <v>0</v>
      </c>
      <c r="AR231" s="16">
        <f t="shared" si="1187"/>
        <v>0</v>
      </c>
      <c r="AS231" s="16">
        <f t="shared" si="1187"/>
        <v>0</v>
      </c>
      <c r="AT231" s="16">
        <f t="shared" si="1187"/>
        <v>0</v>
      </c>
      <c r="AU231" s="7">
        <f t="shared" si="1187"/>
        <v>0</v>
      </c>
      <c r="AV231" s="7">
        <f t="shared" si="1187"/>
        <v>0</v>
      </c>
      <c r="AW231" s="7">
        <f t="shared" si="1187"/>
        <v>0</v>
      </c>
      <c r="AX231" s="7">
        <f t="shared" si="1187"/>
        <v>0</v>
      </c>
      <c r="AY231" s="11">
        <f t="shared" si="1187"/>
        <v>0</v>
      </c>
      <c r="AZ231" s="16">
        <f t="shared" si="1187"/>
        <v>0</v>
      </c>
      <c r="BA231" s="16">
        <f t="shared" si="1187"/>
        <v>0</v>
      </c>
      <c r="BB231" s="16">
        <f t="shared" si="1187"/>
        <v>0</v>
      </c>
      <c r="BC231" s="11">
        <f t="shared" si="1187"/>
        <v>0</v>
      </c>
      <c r="BD231" s="11">
        <f t="shared" si="1187"/>
        <v>0</v>
      </c>
      <c r="BE231" s="11">
        <f t="shared" si="1187"/>
        <v>0</v>
      </c>
      <c r="BF231" s="11">
        <f t="shared" si="1187"/>
        <v>0</v>
      </c>
      <c r="BG231" s="11">
        <f t="shared" si="1187"/>
        <v>0</v>
      </c>
      <c r="BH231" s="11">
        <f t="shared" si="1187"/>
        <v>0</v>
      </c>
      <c r="BI231" s="13">
        <f t="shared" si="1187"/>
        <v>0</v>
      </c>
      <c r="BJ231" s="13">
        <f t="shared" si="1187"/>
        <v>0</v>
      </c>
      <c r="BK231" s="11">
        <f t="shared" si="1187"/>
        <v>0</v>
      </c>
      <c r="BL231" s="12">
        <f t="shared" si="1187"/>
        <v>0</v>
      </c>
      <c r="BM231" s="12">
        <f t="shared" si="1187"/>
        <v>0</v>
      </c>
      <c r="BN231" s="13">
        <f t="shared" si="1187"/>
        <v>0</v>
      </c>
      <c r="BO231" s="13">
        <f t="shared" si="1187"/>
        <v>0</v>
      </c>
      <c r="BP231" s="15">
        <f t="shared" si="1187"/>
        <v>0</v>
      </c>
      <c r="BQ231" s="15">
        <f t="shared" si="1187"/>
        <v>0</v>
      </c>
      <c r="BR231" s="14">
        <f t="shared" si="1187"/>
        <v>0</v>
      </c>
      <c r="BS231" s="14">
        <f t="shared" si="1187"/>
        <v>0</v>
      </c>
      <c r="BT231" s="14">
        <f t="shared" si="1187"/>
        <v>0</v>
      </c>
      <c r="BU231" s="14">
        <f t="shared" si="1187"/>
        <v>0</v>
      </c>
      <c r="BV231" s="11">
        <f t="shared" si="1187"/>
        <v>0</v>
      </c>
      <c r="BW231" s="11">
        <f t="shared" si="1187"/>
        <v>0</v>
      </c>
      <c r="BX231" s="11">
        <f t="shared" si="1187"/>
        <v>0</v>
      </c>
      <c r="BY231" s="11">
        <f t="shared" si="1187"/>
        <v>0</v>
      </c>
      <c r="BZ231" s="7">
        <f t="shared" si="1187"/>
        <v>0</v>
      </c>
      <c r="CA231" s="7">
        <f t="shared" si="1187"/>
        <v>0</v>
      </c>
      <c r="CB231" s="7">
        <f t="shared" ref="CB231:CP231" si="1188">IFERROR(VALUE(CB536),"-")</f>
        <v>0</v>
      </c>
      <c r="CC231" s="7">
        <f t="shared" si="1188"/>
        <v>0</v>
      </c>
      <c r="CD231" s="7">
        <f t="shared" si="1188"/>
        <v>0</v>
      </c>
      <c r="CE231" s="3">
        <f t="shared" si="1188"/>
        <v>0</v>
      </c>
      <c r="CF231" s="7">
        <f t="shared" si="1188"/>
        <v>0</v>
      </c>
      <c r="CG231" s="3">
        <f t="shared" si="1188"/>
        <v>0</v>
      </c>
      <c r="CH231" s="7">
        <f t="shared" si="1188"/>
        <v>0</v>
      </c>
      <c r="CI231" s="7">
        <f t="shared" si="1188"/>
        <v>0</v>
      </c>
      <c r="CJ231" s="3">
        <f t="shared" si="1188"/>
        <v>0</v>
      </c>
      <c r="CK231" s="7">
        <f t="shared" si="1188"/>
        <v>0</v>
      </c>
      <c r="CL231" s="3">
        <f t="shared" si="1188"/>
        <v>0</v>
      </c>
      <c r="CM231" s="7">
        <f t="shared" si="1188"/>
        <v>0</v>
      </c>
      <c r="CN231" s="10">
        <f t="shared" si="1188"/>
        <v>0</v>
      </c>
      <c r="CO231" s="10">
        <f t="shared" si="1188"/>
        <v>0</v>
      </c>
      <c r="CP231" s="7">
        <f t="shared" si="1188"/>
        <v>0</v>
      </c>
      <c r="CQ231" s="7">
        <f t="shared" ref="CQ231" si="1189">IFERROR(CQ536,"-")</f>
        <v>0</v>
      </c>
      <c r="CR231" s="10">
        <f t="shared" si="1149"/>
        <v>0</v>
      </c>
      <c r="CS231" s="7">
        <f t="shared" si="1149"/>
        <v>0</v>
      </c>
      <c r="CT231" s="7">
        <f t="shared" si="1149"/>
        <v>0</v>
      </c>
      <c r="CU231" s="7">
        <f t="shared" si="1149"/>
        <v>0</v>
      </c>
      <c r="CV231" s="7">
        <f t="shared" si="1149"/>
        <v>0</v>
      </c>
      <c r="CW231" s="7">
        <f t="shared" si="1149"/>
        <v>0</v>
      </c>
      <c r="CX231" s="7">
        <f t="shared" si="1149"/>
        <v>0</v>
      </c>
      <c r="CY231" s="7">
        <f t="shared" si="1149"/>
        <v>0</v>
      </c>
      <c r="CZ231" s="7">
        <f t="shared" si="1149"/>
        <v>0</v>
      </c>
      <c r="DA231" s="7">
        <f t="shared" si="1149"/>
        <v>0</v>
      </c>
      <c r="DB231" s="7">
        <f t="shared" si="1149"/>
        <v>0</v>
      </c>
      <c r="DC231" s="7">
        <f t="shared" si="1149"/>
        <v>0</v>
      </c>
      <c r="DD231" s="7">
        <f t="shared" si="1149"/>
        <v>0</v>
      </c>
      <c r="DE231" s="7">
        <f t="shared" si="1149"/>
        <v>0</v>
      </c>
      <c r="DF231" s="7">
        <f t="shared" si="1149"/>
        <v>0</v>
      </c>
      <c r="DG231" s="7">
        <f t="shared" si="1149"/>
        <v>0</v>
      </c>
      <c r="DH231" s="7">
        <f t="shared" ref="DH231:DJ231" si="1190">IFERROR(DH536,"-")</f>
        <v>0</v>
      </c>
      <c r="DI231" s="7">
        <f t="shared" si="1190"/>
        <v>0</v>
      </c>
      <c r="DJ231" s="7">
        <f t="shared" si="1190"/>
        <v>0</v>
      </c>
      <c r="DK231" s="64">
        <f t="shared" ref="DK231:DS231" si="1191">IFERROR(VALUE(DK536),"-")</f>
        <v>0</v>
      </c>
      <c r="DL231" s="64">
        <f t="shared" si="1191"/>
        <v>0</v>
      </c>
      <c r="DM231" s="64">
        <f t="shared" si="1191"/>
        <v>0</v>
      </c>
      <c r="DN231" s="64">
        <f t="shared" si="1191"/>
        <v>0</v>
      </c>
      <c r="DO231" s="64">
        <f t="shared" si="1191"/>
        <v>0</v>
      </c>
      <c r="DP231" s="64">
        <f t="shared" si="1191"/>
        <v>0</v>
      </c>
      <c r="DQ231" s="64">
        <f t="shared" si="1191"/>
        <v>0</v>
      </c>
      <c r="DR231" s="64">
        <f t="shared" si="1191"/>
        <v>0</v>
      </c>
      <c r="DS231" s="64">
        <f t="shared" si="1191"/>
        <v>0</v>
      </c>
      <c r="DT231">
        <f t="shared" si="1000"/>
        <v>0</v>
      </c>
      <c r="DU231" s="10">
        <f t="shared" si="1001"/>
        <v>0</v>
      </c>
    </row>
    <row r="232" spans="1:125" x14ac:dyDescent="0.25">
      <c r="A232" t="s">
        <v>78</v>
      </c>
      <c r="B232" s="2">
        <v>44798</v>
      </c>
      <c r="C232" s="1">
        <v>2000</v>
      </c>
      <c r="D232">
        <v>64</v>
      </c>
      <c r="M232" s="3"/>
      <c r="N232" s="3"/>
      <c r="O232" s="3">
        <f t="shared" si="1002"/>
        <v>0</v>
      </c>
      <c r="P232" s="7">
        <f t="shared" ref="P232:CA232" si="1192">IFERROR(VALUE(P537),"-")</f>
        <v>0</v>
      </c>
      <c r="Q232" s="7">
        <f t="shared" si="1192"/>
        <v>0</v>
      </c>
      <c r="R232" s="7">
        <f t="shared" si="1192"/>
        <v>0</v>
      </c>
      <c r="S232" s="7">
        <f t="shared" si="1192"/>
        <v>0</v>
      </c>
      <c r="T232" s="11">
        <f t="shared" si="1192"/>
        <v>0</v>
      </c>
      <c r="U232" s="11">
        <f t="shared" si="1192"/>
        <v>0</v>
      </c>
      <c r="V232" s="11">
        <f t="shared" si="1192"/>
        <v>0</v>
      </c>
      <c r="W232" s="11">
        <f t="shared" si="1192"/>
        <v>0</v>
      </c>
      <c r="X232" s="14">
        <f t="shared" si="1192"/>
        <v>0</v>
      </c>
      <c r="Y232" s="14">
        <f t="shared" si="1192"/>
        <v>0</v>
      </c>
      <c r="Z232" s="14">
        <f t="shared" si="1192"/>
        <v>0</v>
      </c>
      <c r="AA232" s="14">
        <f t="shared" si="1192"/>
        <v>0</v>
      </c>
      <c r="AB232" s="15">
        <f t="shared" si="1192"/>
        <v>0</v>
      </c>
      <c r="AC232" s="15">
        <f t="shared" si="1192"/>
        <v>0</v>
      </c>
      <c r="AD232" s="13">
        <f t="shared" si="1192"/>
        <v>0</v>
      </c>
      <c r="AE232" s="13">
        <f t="shared" si="1192"/>
        <v>0</v>
      </c>
      <c r="AF232" s="12">
        <f t="shared" si="1192"/>
        <v>0</v>
      </c>
      <c r="AG232" s="12">
        <f t="shared" si="1192"/>
        <v>0</v>
      </c>
      <c r="AH232" s="13">
        <f t="shared" si="1192"/>
        <v>0</v>
      </c>
      <c r="AI232" s="13">
        <f t="shared" si="1192"/>
        <v>0</v>
      </c>
      <c r="AJ232" s="11">
        <f t="shared" si="1192"/>
        <v>0</v>
      </c>
      <c r="AK232" s="11">
        <f t="shared" si="1192"/>
        <v>0</v>
      </c>
      <c r="AL232" s="11">
        <f t="shared" si="1192"/>
        <v>0</v>
      </c>
      <c r="AM232" s="11">
        <f t="shared" si="1192"/>
        <v>0</v>
      </c>
      <c r="AN232" s="11">
        <f t="shared" si="1192"/>
        <v>0</v>
      </c>
      <c r="AO232" s="11">
        <f t="shared" si="1192"/>
        <v>0</v>
      </c>
      <c r="AP232" s="11">
        <f t="shared" si="1192"/>
        <v>0</v>
      </c>
      <c r="AQ232" s="11">
        <f t="shared" si="1192"/>
        <v>0</v>
      </c>
      <c r="AR232" s="16">
        <f t="shared" si="1192"/>
        <v>0</v>
      </c>
      <c r="AS232" s="16">
        <f t="shared" si="1192"/>
        <v>0</v>
      </c>
      <c r="AT232" s="16">
        <f t="shared" si="1192"/>
        <v>0</v>
      </c>
      <c r="AU232" s="7">
        <f t="shared" si="1192"/>
        <v>0</v>
      </c>
      <c r="AV232" s="7">
        <f t="shared" si="1192"/>
        <v>0</v>
      </c>
      <c r="AW232" s="7">
        <f t="shared" si="1192"/>
        <v>0</v>
      </c>
      <c r="AX232" s="7">
        <f t="shared" si="1192"/>
        <v>0</v>
      </c>
      <c r="AY232" s="11">
        <f t="shared" si="1192"/>
        <v>0</v>
      </c>
      <c r="AZ232" s="16">
        <f t="shared" si="1192"/>
        <v>0</v>
      </c>
      <c r="BA232" s="16">
        <f t="shared" si="1192"/>
        <v>0</v>
      </c>
      <c r="BB232" s="16">
        <f t="shared" si="1192"/>
        <v>0</v>
      </c>
      <c r="BC232" s="11">
        <f t="shared" si="1192"/>
        <v>0</v>
      </c>
      <c r="BD232" s="11">
        <f t="shared" si="1192"/>
        <v>0</v>
      </c>
      <c r="BE232" s="11">
        <f t="shared" si="1192"/>
        <v>0</v>
      </c>
      <c r="BF232" s="11">
        <f t="shared" si="1192"/>
        <v>0</v>
      </c>
      <c r="BG232" s="11">
        <f t="shared" si="1192"/>
        <v>0</v>
      </c>
      <c r="BH232" s="11">
        <f t="shared" si="1192"/>
        <v>0</v>
      </c>
      <c r="BI232" s="13">
        <f t="shared" si="1192"/>
        <v>0</v>
      </c>
      <c r="BJ232" s="13">
        <f t="shared" si="1192"/>
        <v>0</v>
      </c>
      <c r="BK232" s="11">
        <f t="shared" si="1192"/>
        <v>0</v>
      </c>
      <c r="BL232" s="12">
        <f t="shared" si="1192"/>
        <v>0</v>
      </c>
      <c r="BM232" s="12">
        <f t="shared" si="1192"/>
        <v>0</v>
      </c>
      <c r="BN232" s="13">
        <f t="shared" si="1192"/>
        <v>0</v>
      </c>
      <c r="BO232" s="13">
        <f t="shared" si="1192"/>
        <v>0</v>
      </c>
      <c r="BP232" s="15">
        <f t="shared" si="1192"/>
        <v>0</v>
      </c>
      <c r="BQ232" s="15">
        <f t="shared" si="1192"/>
        <v>0</v>
      </c>
      <c r="BR232" s="14">
        <f t="shared" si="1192"/>
        <v>0</v>
      </c>
      <c r="BS232" s="14">
        <f t="shared" si="1192"/>
        <v>0</v>
      </c>
      <c r="BT232" s="14">
        <f t="shared" si="1192"/>
        <v>0</v>
      </c>
      <c r="BU232" s="14">
        <f t="shared" si="1192"/>
        <v>0</v>
      </c>
      <c r="BV232" s="11">
        <f t="shared" si="1192"/>
        <v>0</v>
      </c>
      <c r="BW232" s="11">
        <f t="shared" si="1192"/>
        <v>0</v>
      </c>
      <c r="BX232" s="11">
        <f t="shared" si="1192"/>
        <v>0</v>
      </c>
      <c r="BY232" s="11">
        <f t="shared" si="1192"/>
        <v>0</v>
      </c>
      <c r="BZ232" s="7">
        <f t="shared" si="1192"/>
        <v>0</v>
      </c>
      <c r="CA232" s="7">
        <f t="shared" si="1192"/>
        <v>0</v>
      </c>
      <c r="CB232" s="7">
        <f t="shared" ref="CB232:CP232" si="1193">IFERROR(VALUE(CB537),"-")</f>
        <v>0</v>
      </c>
      <c r="CC232" s="7">
        <f t="shared" si="1193"/>
        <v>0</v>
      </c>
      <c r="CD232" s="7">
        <f t="shared" si="1193"/>
        <v>0</v>
      </c>
      <c r="CE232" s="3">
        <f t="shared" si="1193"/>
        <v>0</v>
      </c>
      <c r="CF232" s="7">
        <f t="shared" si="1193"/>
        <v>0</v>
      </c>
      <c r="CG232" s="3">
        <f t="shared" si="1193"/>
        <v>0</v>
      </c>
      <c r="CH232" s="7">
        <f t="shared" si="1193"/>
        <v>0</v>
      </c>
      <c r="CI232" s="7">
        <f t="shared" si="1193"/>
        <v>0</v>
      </c>
      <c r="CJ232" s="3">
        <f t="shared" si="1193"/>
        <v>0</v>
      </c>
      <c r="CK232" s="7">
        <f t="shared" si="1193"/>
        <v>0</v>
      </c>
      <c r="CL232" s="3">
        <f t="shared" si="1193"/>
        <v>0</v>
      </c>
      <c r="CM232" s="7">
        <f t="shared" si="1193"/>
        <v>0</v>
      </c>
      <c r="CN232" s="10">
        <f t="shared" si="1193"/>
        <v>0</v>
      </c>
      <c r="CO232" s="10">
        <f t="shared" si="1193"/>
        <v>0</v>
      </c>
      <c r="CP232" s="7">
        <f t="shared" si="1193"/>
        <v>0</v>
      </c>
      <c r="CQ232" s="7">
        <f t="shared" ref="CQ232" si="1194">IFERROR(CQ537,"-")</f>
        <v>0</v>
      </c>
      <c r="CR232" s="10">
        <f t="shared" si="1149"/>
        <v>0</v>
      </c>
      <c r="CS232" s="7">
        <f t="shared" si="1149"/>
        <v>0</v>
      </c>
      <c r="CT232" s="7">
        <f t="shared" si="1149"/>
        <v>0</v>
      </c>
      <c r="CU232" s="7">
        <f t="shared" si="1149"/>
        <v>0</v>
      </c>
      <c r="CV232" s="7">
        <f t="shared" si="1149"/>
        <v>0</v>
      </c>
      <c r="CW232" s="7">
        <f t="shared" si="1149"/>
        <v>0</v>
      </c>
      <c r="CX232" s="7">
        <f t="shared" si="1149"/>
        <v>0</v>
      </c>
      <c r="CY232" s="7">
        <f t="shared" si="1149"/>
        <v>0</v>
      </c>
      <c r="CZ232" s="7">
        <f t="shared" si="1149"/>
        <v>0</v>
      </c>
      <c r="DA232" s="7">
        <f t="shared" si="1149"/>
        <v>0</v>
      </c>
      <c r="DB232" s="7">
        <f t="shared" si="1149"/>
        <v>0</v>
      </c>
      <c r="DC232" s="7">
        <f t="shared" si="1149"/>
        <v>0</v>
      </c>
      <c r="DD232" s="7">
        <f t="shared" si="1149"/>
        <v>0</v>
      </c>
      <c r="DE232" s="7">
        <f t="shared" si="1149"/>
        <v>0</v>
      </c>
      <c r="DF232" s="7">
        <f t="shared" si="1149"/>
        <v>0</v>
      </c>
      <c r="DG232" s="7">
        <f t="shared" si="1149"/>
        <v>0</v>
      </c>
      <c r="DH232" s="7">
        <f t="shared" ref="DH232:DJ232" si="1195">IFERROR(DH537,"-")</f>
        <v>0</v>
      </c>
      <c r="DI232" s="7">
        <f t="shared" si="1195"/>
        <v>0</v>
      </c>
      <c r="DJ232" s="7">
        <f t="shared" si="1195"/>
        <v>0</v>
      </c>
      <c r="DK232" s="64">
        <f t="shared" ref="DK232:DS232" si="1196">IFERROR(VALUE(DK537),"-")</f>
        <v>0</v>
      </c>
      <c r="DL232" s="64">
        <f t="shared" si="1196"/>
        <v>0</v>
      </c>
      <c r="DM232" s="64">
        <f t="shared" si="1196"/>
        <v>0</v>
      </c>
      <c r="DN232" s="64">
        <f t="shared" si="1196"/>
        <v>0</v>
      </c>
      <c r="DO232" s="64">
        <f t="shared" si="1196"/>
        <v>0</v>
      </c>
      <c r="DP232" s="64">
        <f t="shared" si="1196"/>
        <v>0</v>
      </c>
      <c r="DQ232" s="64">
        <f t="shared" si="1196"/>
        <v>0</v>
      </c>
      <c r="DR232" s="64">
        <f t="shared" si="1196"/>
        <v>0</v>
      </c>
      <c r="DS232" s="64">
        <f t="shared" si="1196"/>
        <v>0</v>
      </c>
      <c r="DT232">
        <f t="shared" si="1000"/>
        <v>0</v>
      </c>
      <c r="DU232" s="10">
        <f t="shared" si="1001"/>
        <v>0</v>
      </c>
    </row>
    <row r="233" spans="1:125" x14ac:dyDescent="0.25">
      <c r="A233" t="s">
        <v>78</v>
      </c>
      <c r="B233" s="2">
        <v>44833</v>
      </c>
      <c r="C233" s="1">
        <v>2000</v>
      </c>
      <c r="D233">
        <v>64</v>
      </c>
      <c r="M233" s="3"/>
      <c r="N233" s="3"/>
      <c r="O233" s="3">
        <f t="shared" si="1002"/>
        <v>0</v>
      </c>
      <c r="P233" s="7">
        <f t="shared" ref="P233:CA233" si="1197">IFERROR(VALUE(P538),"-")</f>
        <v>0</v>
      </c>
      <c r="Q233" s="7">
        <f t="shared" si="1197"/>
        <v>0</v>
      </c>
      <c r="R233" s="7">
        <f t="shared" si="1197"/>
        <v>0</v>
      </c>
      <c r="S233" s="7">
        <f t="shared" si="1197"/>
        <v>0</v>
      </c>
      <c r="T233" s="11">
        <f t="shared" si="1197"/>
        <v>0</v>
      </c>
      <c r="U233" s="11">
        <f t="shared" si="1197"/>
        <v>0</v>
      </c>
      <c r="V233" s="11">
        <f t="shared" si="1197"/>
        <v>0</v>
      </c>
      <c r="W233" s="11">
        <f t="shared" si="1197"/>
        <v>0</v>
      </c>
      <c r="X233" s="14">
        <f t="shared" si="1197"/>
        <v>0</v>
      </c>
      <c r="Y233" s="14">
        <f t="shared" si="1197"/>
        <v>0</v>
      </c>
      <c r="Z233" s="14">
        <f t="shared" si="1197"/>
        <v>0</v>
      </c>
      <c r="AA233" s="14">
        <f t="shared" si="1197"/>
        <v>0</v>
      </c>
      <c r="AB233" s="15">
        <f t="shared" si="1197"/>
        <v>0</v>
      </c>
      <c r="AC233" s="15">
        <f t="shared" si="1197"/>
        <v>0</v>
      </c>
      <c r="AD233" s="13">
        <f t="shared" si="1197"/>
        <v>0</v>
      </c>
      <c r="AE233" s="13">
        <f t="shared" si="1197"/>
        <v>0</v>
      </c>
      <c r="AF233" s="12">
        <f t="shared" si="1197"/>
        <v>0</v>
      </c>
      <c r="AG233" s="12">
        <f t="shared" si="1197"/>
        <v>0</v>
      </c>
      <c r="AH233" s="13">
        <f t="shared" si="1197"/>
        <v>0</v>
      </c>
      <c r="AI233" s="13">
        <f t="shared" si="1197"/>
        <v>0</v>
      </c>
      <c r="AJ233" s="11">
        <f t="shared" si="1197"/>
        <v>0</v>
      </c>
      <c r="AK233" s="11">
        <f t="shared" si="1197"/>
        <v>0</v>
      </c>
      <c r="AL233" s="11">
        <f t="shared" si="1197"/>
        <v>0</v>
      </c>
      <c r="AM233" s="11">
        <f t="shared" si="1197"/>
        <v>0</v>
      </c>
      <c r="AN233" s="11">
        <f t="shared" si="1197"/>
        <v>0</v>
      </c>
      <c r="AO233" s="11">
        <f t="shared" si="1197"/>
        <v>0</v>
      </c>
      <c r="AP233" s="11">
        <f t="shared" si="1197"/>
        <v>0</v>
      </c>
      <c r="AQ233" s="11">
        <f t="shared" si="1197"/>
        <v>0</v>
      </c>
      <c r="AR233" s="16">
        <f t="shared" si="1197"/>
        <v>0</v>
      </c>
      <c r="AS233" s="16">
        <f t="shared" si="1197"/>
        <v>0</v>
      </c>
      <c r="AT233" s="16">
        <f t="shared" si="1197"/>
        <v>0</v>
      </c>
      <c r="AU233" s="7">
        <f t="shared" si="1197"/>
        <v>0</v>
      </c>
      <c r="AV233" s="7">
        <f t="shared" si="1197"/>
        <v>0</v>
      </c>
      <c r="AW233" s="7">
        <f t="shared" si="1197"/>
        <v>0</v>
      </c>
      <c r="AX233" s="7">
        <f t="shared" si="1197"/>
        <v>0</v>
      </c>
      <c r="AY233" s="11">
        <f t="shared" si="1197"/>
        <v>0</v>
      </c>
      <c r="AZ233" s="16">
        <f t="shared" si="1197"/>
        <v>0</v>
      </c>
      <c r="BA233" s="16">
        <f t="shared" si="1197"/>
        <v>0</v>
      </c>
      <c r="BB233" s="16">
        <f t="shared" si="1197"/>
        <v>0</v>
      </c>
      <c r="BC233" s="11">
        <f t="shared" si="1197"/>
        <v>0</v>
      </c>
      <c r="BD233" s="11">
        <f t="shared" si="1197"/>
        <v>0</v>
      </c>
      <c r="BE233" s="11">
        <f t="shared" si="1197"/>
        <v>0</v>
      </c>
      <c r="BF233" s="11">
        <f t="shared" si="1197"/>
        <v>0</v>
      </c>
      <c r="BG233" s="11">
        <f t="shared" si="1197"/>
        <v>0</v>
      </c>
      <c r="BH233" s="11">
        <f t="shared" si="1197"/>
        <v>0</v>
      </c>
      <c r="BI233" s="13">
        <f t="shared" si="1197"/>
        <v>0</v>
      </c>
      <c r="BJ233" s="13">
        <f t="shared" si="1197"/>
        <v>0</v>
      </c>
      <c r="BK233" s="11">
        <f t="shared" si="1197"/>
        <v>0</v>
      </c>
      <c r="BL233" s="12">
        <f t="shared" si="1197"/>
        <v>0</v>
      </c>
      <c r="BM233" s="12">
        <f t="shared" si="1197"/>
        <v>0</v>
      </c>
      <c r="BN233" s="13">
        <f t="shared" si="1197"/>
        <v>0</v>
      </c>
      <c r="BO233" s="13">
        <f t="shared" si="1197"/>
        <v>0</v>
      </c>
      <c r="BP233" s="15">
        <f t="shared" si="1197"/>
        <v>0</v>
      </c>
      <c r="BQ233" s="15">
        <f t="shared" si="1197"/>
        <v>0</v>
      </c>
      <c r="BR233" s="14">
        <f t="shared" si="1197"/>
        <v>0</v>
      </c>
      <c r="BS233" s="14">
        <f t="shared" si="1197"/>
        <v>0</v>
      </c>
      <c r="BT233" s="14">
        <f t="shared" si="1197"/>
        <v>0</v>
      </c>
      <c r="BU233" s="14">
        <f t="shared" si="1197"/>
        <v>0</v>
      </c>
      <c r="BV233" s="11">
        <f t="shared" si="1197"/>
        <v>0</v>
      </c>
      <c r="BW233" s="11">
        <f t="shared" si="1197"/>
        <v>0</v>
      </c>
      <c r="BX233" s="11">
        <f t="shared" si="1197"/>
        <v>0</v>
      </c>
      <c r="BY233" s="11">
        <f t="shared" si="1197"/>
        <v>0</v>
      </c>
      <c r="BZ233" s="7">
        <f t="shared" si="1197"/>
        <v>0</v>
      </c>
      <c r="CA233" s="7">
        <f t="shared" si="1197"/>
        <v>0</v>
      </c>
      <c r="CB233" s="7">
        <f t="shared" ref="CB233:CP233" si="1198">IFERROR(VALUE(CB538),"-")</f>
        <v>0</v>
      </c>
      <c r="CC233" s="7">
        <f t="shared" si="1198"/>
        <v>0</v>
      </c>
      <c r="CD233" s="7">
        <f t="shared" si="1198"/>
        <v>0</v>
      </c>
      <c r="CE233" s="3">
        <f t="shared" si="1198"/>
        <v>0</v>
      </c>
      <c r="CF233" s="7">
        <f t="shared" si="1198"/>
        <v>0</v>
      </c>
      <c r="CG233" s="3">
        <f t="shared" si="1198"/>
        <v>0</v>
      </c>
      <c r="CH233" s="7">
        <f t="shared" si="1198"/>
        <v>0</v>
      </c>
      <c r="CI233" s="7">
        <f t="shared" si="1198"/>
        <v>0</v>
      </c>
      <c r="CJ233" s="3">
        <f t="shared" si="1198"/>
        <v>0</v>
      </c>
      <c r="CK233" s="7">
        <f t="shared" si="1198"/>
        <v>0</v>
      </c>
      <c r="CL233" s="3">
        <f t="shared" si="1198"/>
        <v>0</v>
      </c>
      <c r="CM233" s="7">
        <f t="shared" si="1198"/>
        <v>0</v>
      </c>
      <c r="CN233" s="10">
        <f t="shared" si="1198"/>
        <v>0</v>
      </c>
      <c r="CO233" s="10">
        <f t="shared" si="1198"/>
        <v>0</v>
      </c>
      <c r="CP233" s="7">
        <f t="shared" si="1198"/>
        <v>0</v>
      </c>
      <c r="CQ233" s="7">
        <f t="shared" ref="CQ233" si="1199">IFERROR(CQ538,"-")</f>
        <v>0</v>
      </c>
      <c r="CR233" s="10">
        <f t="shared" si="1149"/>
        <v>0</v>
      </c>
      <c r="CS233" s="7">
        <f t="shared" si="1149"/>
        <v>0</v>
      </c>
      <c r="CT233" s="7">
        <f t="shared" si="1149"/>
        <v>0</v>
      </c>
      <c r="CU233" s="7">
        <f t="shared" si="1149"/>
        <v>0</v>
      </c>
      <c r="CV233" s="7">
        <f t="shared" si="1149"/>
        <v>0</v>
      </c>
      <c r="CW233" s="7">
        <f t="shared" si="1149"/>
        <v>0</v>
      </c>
      <c r="CX233" s="7">
        <f t="shared" si="1149"/>
        <v>0</v>
      </c>
      <c r="CY233" s="7">
        <f t="shared" si="1149"/>
        <v>0</v>
      </c>
      <c r="CZ233" s="7">
        <f t="shared" si="1149"/>
        <v>0</v>
      </c>
      <c r="DA233" s="7">
        <f t="shared" si="1149"/>
        <v>0</v>
      </c>
      <c r="DB233" s="7">
        <f t="shared" si="1149"/>
        <v>0</v>
      </c>
      <c r="DC233" s="7">
        <f t="shared" si="1149"/>
        <v>0</v>
      </c>
      <c r="DD233" s="7">
        <f t="shared" si="1149"/>
        <v>0</v>
      </c>
      <c r="DE233" s="7">
        <f t="shared" si="1149"/>
        <v>0</v>
      </c>
      <c r="DF233" s="7">
        <f t="shared" si="1149"/>
        <v>0</v>
      </c>
      <c r="DG233" s="7">
        <f t="shared" si="1149"/>
        <v>0</v>
      </c>
      <c r="DH233" s="7">
        <f t="shared" ref="DH233:DJ233" si="1200">IFERROR(DH538,"-")</f>
        <v>0</v>
      </c>
      <c r="DI233" s="7">
        <f t="shared" si="1200"/>
        <v>0</v>
      </c>
      <c r="DJ233" s="7">
        <f t="shared" si="1200"/>
        <v>0</v>
      </c>
      <c r="DK233" s="64">
        <f t="shared" ref="DK233:DS233" si="1201">IFERROR(VALUE(DK538),"-")</f>
        <v>0</v>
      </c>
      <c r="DL233" s="64">
        <f t="shared" si="1201"/>
        <v>0</v>
      </c>
      <c r="DM233" s="64">
        <f t="shared" si="1201"/>
        <v>0</v>
      </c>
      <c r="DN233" s="64">
        <f t="shared" si="1201"/>
        <v>0</v>
      </c>
      <c r="DO233" s="64">
        <f t="shared" si="1201"/>
        <v>0</v>
      </c>
      <c r="DP233" s="64">
        <f t="shared" si="1201"/>
        <v>0</v>
      </c>
      <c r="DQ233" s="64">
        <f t="shared" si="1201"/>
        <v>0</v>
      </c>
      <c r="DR233" s="64">
        <f t="shared" si="1201"/>
        <v>0</v>
      </c>
      <c r="DS233" s="64">
        <f t="shared" si="1201"/>
        <v>0</v>
      </c>
      <c r="DT233">
        <f t="shared" si="1000"/>
        <v>0</v>
      </c>
      <c r="DU233" s="10">
        <f t="shared" si="1001"/>
        <v>0</v>
      </c>
    </row>
    <row r="234" spans="1:125" x14ac:dyDescent="0.25">
      <c r="A234" t="s">
        <v>78</v>
      </c>
      <c r="B234" s="2">
        <v>44861</v>
      </c>
      <c r="C234" s="1">
        <v>2000</v>
      </c>
      <c r="D234">
        <v>64</v>
      </c>
      <c r="M234" s="3"/>
      <c r="N234" s="3"/>
      <c r="O234" s="3">
        <f t="shared" si="1002"/>
        <v>0</v>
      </c>
      <c r="P234" s="7">
        <f t="shared" ref="P234:CA234" si="1202">IFERROR(VALUE(P539),"-")</f>
        <v>0</v>
      </c>
      <c r="Q234" s="7">
        <f t="shared" si="1202"/>
        <v>0</v>
      </c>
      <c r="R234" s="7">
        <f t="shared" si="1202"/>
        <v>0</v>
      </c>
      <c r="S234" s="7">
        <f t="shared" si="1202"/>
        <v>0</v>
      </c>
      <c r="T234" s="11">
        <f t="shared" si="1202"/>
        <v>0</v>
      </c>
      <c r="U234" s="11">
        <f t="shared" si="1202"/>
        <v>0</v>
      </c>
      <c r="V234" s="11">
        <f t="shared" si="1202"/>
        <v>0</v>
      </c>
      <c r="W234" s="11">
        <f t="shared" si="1202"/>
        <v>0</v>
      </c>
      <c r="X234" s="14">
        <f t="shared" si="1202"/>
        <v>0</v>
      </c>
      <c r="Y234" s="14">
        <f t="shared" si="1202"/>
        <v>0</v>
      </c>
      <c r="Z234" s="14">
        <f t="shared" si="1202"/>
        <v>0</v>
      </c>
      <c r="AA234" s="14">
        <f t="shared" si="1202"/>
        <v>0</v>
      </c>
      <c r="AB234" s="15">
        <f t="shared" si="1202"/>
        <v>0</v>
      </c>
      <c r="AC234" s="15">
        <f t="shared" si="1202"/>
        <v>0</v>
      </c>
      <c r="AD234" s="13">
        <f t="shared" si="1202"/>
        <v>0</v>
      </c>
      <c r="AE234" s="13">
        <f t="shared" si="1202"/>
        <v>0</v>
      </c>
      <c r="AF234" s="12">
        <f t="shared" si="1202"/>
        <v>0</v>
      </c>
      <c r="AG234" s="12">
        <f t="shared" si="1202"/>
        <v>0</v>
      </c>
      <c r="AH234" s="13">
        <f t="shared" si="1202"/>
        <v>0</v>
      </c>
      <c r="AI234" s="13">
        <f t="shared" si="1202"/>
        <v>0</v>
      </c>
      <c r="AJ234" s="11">
        <f t="shared" si="1202"/>
        <v>0</v>
      </c>
      <c r="AK234" s="11">
        <f t="shared" si="1202"/>
        <v>0</v>
      </c>
      <c r="AL234" s="11">
        <f t="shared" si="1202"/>
        <v>0</v>
      </c>
      <c r="AM234" s="11">
        <f t="shared" si="1202"/>
        <v>0</v>
      </c>
      <c r="AN234" s="11">
        <f t="shared" si="1202"/>
        <v>0</v>
      </c>
      <c r="AO234" s="11">
        <f t="shared" si="1202"/>
        <v>0</v>
      </c>
      <c r="AP234" s="11">
        <f t="shared" si="1202"/>
        <v>0</v>
      </c>
      <c r="AQ234" s="11">
        <f t="shared" si="1202"/>
        <v>0</v>
      </c>
      <c r="AR234" s="16">
        <f t="shared" si="1202"/>
        <v>0</v>
      </c>
      <c r="AS234" s="16">
        <f t="shared" si="1202"/>
        <v>0</v>
      </c>
      <c r="AT234" s="16">
        <f t="shared" si="1202"/>
        <v>0</v>
      </c>
      <c r="AU234" s="7">
        <f t="shared" si="1202"/>
        <v>0</v>
      </c>
      <c r="AV234" s="7">
        <f t="shared" si="1202"/>
        <v>0</v>
      </c>
      <c r="AW234" s="7">
        <f t="shared" si="1202"/>
        <v>0</v>
      </c>
      <c r="AX234" s="7">
        <f t="shared" si="1202"/>
        <v>0</v>
      </c>
      <c r="AY234" s="11">
        <f t="shared" si="1202"/>
        <v>0</v>
      </c>
      <c r="AZ234" s="16">
        <f t="shared" si="1202"/>
        <v>0</v>
      </c>
      <c r="BA234" s="16">
        <f t="shared" si="1202"/>
        <v>0</v>
      </c>
      <c r="BB234" s="16">
        <f t="shared" si="1202"/>
        <v>0</v>
      </c>
      <c r="BC234" s="11">
        <f t="shared" si="1202"/>
        <v>0</v>
      </c>
      <c r="BD234" s="11">
        <f t="shared" si="1202"/>
        <v>0</v>
      </c>
      <c r="BE234" s="11">
        <f t="shared" si="1202"/>
        <v>0</v>
      </c>
      <c r="BF234" s="11">
        <f t="shared" si="1202"/>
        <v>0</v>
      </c>
      <c r="BG234" s="11">
        <f t="shared" si="1202"/>
        <v>0</v>
      </c>
      <c r="BH234" s="11">
        <f t="shared" si="1202"/>
        <v>0</v>
      </c>
      <c r="BI234" s="13">
        <f t="shared" si="1202"/>
        <v>0</v>
      </c>
      <c r="BJ234" s="13">
        <f t="shared" si="1202"/>
        <v>0</v>
      </c>
      <c r="BK234" s="11">
        <f t="shared" si="1202"/>
        <v>0</v>
      </c>
      <c r="BL234" s="12">
        <f t="shared" si="1202"/>
        <v>0</v>
      </c>
      <c r="BM234" s="12">
        <f t="shared" si="1202"/>
        <v>0</v>
      </c>
      <c r="BN234" s="13">
        <f t="shared" si="1202"/>
        <v>0</v>
      </c>
      <c r="BO234" s="13">
        <f t="shared" si="1202"/>
        <v>0</v>
      </c>
      <c r="BP234" s="15">
        <f t="shared" si="1202"/>
        <v>0</v>
      </c>
      <c r="BQ234" s="15">
        <f t="shared" si="1202"/>
        <v>0</v>
      </c>
      <c r="BR234" s="14">
        <f t="shared" si="1202"/>
        <v>0</v>
      </c>
      <c r="BS234" s="14">
        <f t="shared" si="1202"/>
        <v>0</v>
      </c>
      <c r="BT234" s="14">
        <f t="shared" si="1202"/>
        <v>0</v>
      </c>
      <c r="BU234" s="14">
        <f t="shared" si="1202"/>
        <v>0</v>
      </c>
      <c r="BV234" s="11">
        <f t="shared" si="1202"/>
        <v>0</v>
      </c>
      <c r="BW234" s="11">
        <f t="shared" si="1202"/>
        <v>0</v>
      </c>
      <c r="BX234" s="11">
        <f t="shared" si="1202"/>
        <v>0</v>
      </c>
      <c r="BY234" s="11">
        <f t="shared" si="1202"/>
        <v>0</v>
      </c>
      <c r="BZ234" s="7">
        <f t="shared" si="1202"/>
        <v>0</v>
      </c>
      <c r="CA234" s="7">
        <f t="shared" si="1202"/>
        <v>0</v>
      </c>
      <c r="CB234" s="7">
        <f t="shared" ref="CB234:CP234" si="1203">IFERROR(VALUE(CB539),"-")</f>
        <v>0</v>
      </c>
      <c r="CC234" s="7">
        <f t="shared" si="1203"/>
        <v>0</v>
      </c>
      <c r="CD234" s="7">
        <f t="shared" si="1203"/>
        <v>0</v>
      </c>
      <c r="CE234" s="3">
        <f t="shared" si="1203"/>
        <v>0</v>
      </c>
      <c r="CF234" s="7">
        <f t="shared" si="1203"/>
        <v>0</v>
      </c>
      <c r="CG234" s="3">
        <f t="shared" si="1203"/>
        <v>0</v>
      </c>
      <c r="CH234" s="7">
        <f t="shared" si="1203"/>
        <v>0</v>
      </c>
      <c r="CI234" s="7">
        <f t="shared" si="1203"/>
        <v>0</v>
      </c>
      <c r="CJ234" s="3">
        <f t="shared" si="1203"/>
        <v>0</v>
      </c>
      <c r="CK234" s="7">
        <f t="shared" si="1203"/>
        <v>0</v>
      </c>
      <c r="CL234" s="3">
        <f t="shared" si="1203"/>
        <v>0</v>
      </c>
      <c r="CM234" s="7">
        <f t="shared" si="1203"/>
        <v>0</v>
      </c>
      <c r="CN234" s="10">
        <f t="shared" si="1203"/>
        <v>0</v>
      </c>
      <c r="CO234" s="10">
        <f t="shared" si="1203"/>
        <v>0</v>
      </c>
      <c r="CP234" s="7">
        <f t="shared" si="1203"/>
        <v>0</v>
      </c>
      <c r="CQ234" s="7">
        <f t="shared" ref="CQ234" si="1204">IFERROR(CQ539,"-")</f>
        <v>0</v>
      </c>
      <c r="CR234" s="10">
        <f t="shared" si="1149"/>
        <v>0</v>
      </c>
      <c r="CS234" s="7">
        <f t="shared" si="1149"/>
        <v>0</v>
      </c>
      <c r="CT234" s="7">
        <f t="shared" si="1149"/>
        <v>0</v>
      </c>
      <c r="CU234" s="7">
        <f t="shared" si="1149"/>
        <v>0</v>
      </c>
      <c r="CV234" s="7">
        <f t="shared" si="1149"/>
        <v>0</v>
      </c>
      <c r="CW234" s="7">
        <f t="shared" si="1149"/>
        <v>0</v>
      </c>
      <c r="CX234" s="7">
        <f t="shared" si="1149"/>
        <v>0</v>
      </c>
      <c r="CY234" s="7">
        <f t="shared" si="1149"/>
        <v>0</v>
      </c>
      <c r="CZ234" s="7">
        <f t="shared" si="1149"/>
        <v>0</v>
      </c>
      <c r="DA234" s="7">
        <f t="shared" si="1149"/>
        <v>0</v>
      </c>
      <c r="DB234" s="7">
        <f t="shared" si="1149"/>
        <v>0</v>
      </c>
      <c r="DC234" s="7">
        <f t="shared" si="1149"/>
        <v>0</v>
      </c>
      <c r="DD234" s="7">
        <f t="shared" si="1149"/>
        <v>0</v>
      </c>
      <c r="DE234" s="7">
        <f t="shared" si="1149"/>
        <v>0</v>
      </c>
      <c r="DF234" s="7">
        <f t="shared" si="1149"/>
        <v>0</v>
      </c>
      <c r="DG234" s="7">
        <f t="shared" si="1149"/>
        <v>0</v>
      </c>
      <c r="DH234" s="7">
        <f t="shared" ref="DH234:DJ234" si="1205">IFERROR(DH539,"-")</f>
        <v>0</v>
      </c>
      <c r="DI234" s="7">
        <f t="shared" si="1205"/>
        <v>0</v>
      </c>
      <c r="DJ234" s="7">
        <f t="shared" si="1205"/>
        <v>0</v>
      </c>
      <c r="DK234" s="64">
        <f t="shared" ref="DK234:DS234" si="1206">IFERROR(VALUE(DK539),"-")</f>
        <v>0</v>
      </c>
      <c r="DL234" s="64">
        <f t="shared" si="1206"/>
        <v>0</v>
      </c>
      <c r="DM234" s="64">
        <f t="shared" si="1206"/>
        <v>0</v>
      </c>
      <c r="DN234" s="64">
        <f t="shared" si="1206"/>
        <v>0</v>
      </c>
      <c r="DO234" s="64">
        <f t="shared" si="1206"/>
        <v>0</v>
      </c>
      <c r="DP234" s="64">
        <f t="shared" si="1206"/>
        <v>0</v>
      </c>
      <c r="DQ234" s="64">
        <f t="shared" si="1206"/>
        <v>0</v>
      </c>
      <c r="DR234" s="64">
        <f t="shared" si="1206"/>
        <v>0</v>
      </c>
      <c r="DS234" s="64">
        <f t="shared" si="1206"/>
        <v>0</v>
      </c>
      <c r="DT234">
        <f t="shared" si="1000"/>
        <v>0</v>
      </c>
      <c r="DU234" s="10">
        <f t="shared" si="1001"/>
        <v>0</v>
      </c>
    </row>
    <row r="235" spans="1:125" x14ac:dyDescent="0.25">
      <c r="A235" t="s">
        <v>79</v>
      </c>
      <c r="B235" s="2">
        <v>44798</v>
      </c>
      <c r="C235" s="1">
        <v>475</v>
      </c>
      <c r="D235">
        <v>76</v>
      </c>
      <c r="M235" s="3"/>
      <c r="N235" s="3"/>
      <c r="O235" s="3">
        <f t="shared" si="1002"/>
        <v>0</v>
      </c>
      <c r="P235" s="7">
        <f t="shared" ref="P235:CA235" si="1207">IFERROR(VALUE(P540),"-")</f>
        <v>0</v>
      </c>
      <c r="Q235" s="7">
        <f t="shared" si="1207"/>
        <v>0</v>
      </c>
      <c r="R235" s="7">
        <f t="shared" si="1207"/>
        <v>0</v>
      </c>
      <c r="S235" s="7">
        <f t="shared" si="1207"/>
        <v>0</v>
      </c>
      <c r="T235" s="11">
        <f t="shared" si="1207"/>
        <v>0</v>
      </c>
      <c r="U235" s="11">
        <f t="shared" si="1207"/>
        <v>0</v>
      </c>
      <c r="V235" s="11">
        <f t="shared" si="1207"/>
        <v>0</v>
      </c>
      <c r="W235" s="11">
        <f t="shared" si="1207"/>
        <v>0</v>
      </c>
      <c r="X235" s="14">
        <f t="shared" si="1207"/>
        <v>0</v>
      </c>
      <c r="Y235" s="14">
        <f t="shared" si="1207"/>
        <v>0</v>
      </c>
      <c r="Z235" s="14">
        <f t="shared" si="1207"/>
        <v>0</v>
      </c>
      <c r="AA235" s="14">
        <f t="shared" si="1207"/>
        <v>0</v>
      </c>
      <c r="AB235" s="15">
        <f t="shared" si="1207"/>
        <v>0</v>
      </c>
      <c r="AC235" s="15">
        <f t="shared" si="1207"/>
        <v>0</v>
      </c>
      <c r="AD235" s="13">
        <f t="shared" si="1207"/>
        <v>0</v>
      </c>
      <c r="AE235" s="13">
        <f t="shared" si="1207"/>
        <v>0</v>
      </c>
      <c r="AF235" s="12">
        <f t="shared" si="1207"/>
        <v>0</v>
      </c>
      <c r="AG235" s="12">
        <f t="shared" si="1207"/>
        <v>0</v>
      </c>
      <c r="AH235" s="13">
        <f t="shared" si="1207"/>
        <v>0</v>
      </c>
      <c r="AI235" s="13">
        <f t="shared" si="1207"/>
        <v>0</v>
      </c>
      <c r="AJ235" s="11">
        <f t="shared" si="1207"/>
        <v>0</v>
      </c>
      <c r="AK235" s="11">
        <f t="shared" si="1207"/>
        <v>0</v>
      </c>
      <c r="AL235" s="11">
        <f t="shared" si="1207"/>
        <v>0</v>
      </c>
      <c r="AM235" s="11">
        <f t="shared" si="1207"/>
        <v>0</v>
      </c>
      <c r="AN235" s="11">
        <f t="shared" si="1207"/>
        <v>0</v>
      </c>
      <c r="AO235" s="11">
        <f t="shared" si="1207"/>
        <v>0</v>
      </c>
      <c r="AP235" s="11">
        <f t="shared" si="1207"/>
        <v>0</v>
      </c>
      <c r="AQ235" s="11">
        <f t="shared" si="1207"/>
        <v>0</v>
      </c>
      <c r="AR235" s="16">
        <f t="shared" si="1207"/>
        <v>0</v>
      </c>
      <c r="AS235" s="16">
        <f t="shared" si="1207"/>
        <v>0</v>
      </c>
      <c r="AT235" s="16">
        <f t="shared" si="1207"/>
        <v>0</v>
      </c>
      <c r="AU235" s="7">
        <f t="shared" si="1207"/>
        <v>0</v>
      </c>
      <c r="AV235" s="7">
        <f t="shared" si="1207"/>
        <v>0</v>
      </c>
      <c r="AW235" s="7">
        <f t="shared" si="1207"/>
        <v>0</v>
      </c>
      <c r="AX235" s="7">
        <f t="shared" si="1207"/>
        <v>0</v>
      </c>
      <c r="AY235" s="11">
        <f t="shared" si="1207"/>
        <v>0</v>
      </c>
      <c r="AZ235" s="16">
        <f t="shared" si="1207"/>
        <v>0</v>
      </c>
      <c r="BA235" s="16">
        <f t="shared" si="1207"/>
        <v>0</v>
      </c>
      <c r="BB235" s="16">
        <f t="shared" si="1207"/>
        <v>0</v>
      </c>
      <c r="BC235" s="11">
        <f t="shared" si="1207"/>
        <v>0</v>
      </c>
      <c r="BD235" s="11">
        <f t="shared" si="1207"/>
        <v>0</v>
      </c>
      <c r="BE235" s="11">
        <f t="shared" si="1207"/>
        <v>0</v>
      </c>
      <c r="BF235" s="11">
        <f t="shared" si="1207"/>
        <v>0</v>
      </c>
      <c r="BG235" s="11">
        <f t="shared" si="1207"/>
        <v>0</v>
      </c>
      <c r="BH235" s="11">
        <f t="shared" si="1207"/>
        <v>0</v>
      </c>
      <c r="BI235" s="13">
        <f t="shared" si="1207"/>
        <v>0</v>
      </c>
      <c r="BJ235" s="13">
        <f t="shared" si="1207"/>
        <v>0</v>
      </c>
      <c r="BK235" s="11">
        <f t="shared" si="1207"/>
        <v>0</v>
      </c>
      <c r="BL235" s="12">
        <f t="shared" si="1207"/>
        <v>0</v>
      </c>
      <c r="BM235" s="12">
        <f t="shared" si="1207"/>
        <v>0</v>
      </c>
      <c r="BN235" s="13">
        <f t="shared" si="1207"/>
        <v>0</v>
      </c>
      <c r="BO235" s="13">
        <f t="shared" si="1207"/>
        <v>0</v>
      </c>
      <c r="BP235" s="15">
        <f t="shared" si="1207"/>
        <v>0</v>
      </c>
      <c r="BQ235" s="15">
        <f t="shared" si="1207"/>
        <v>0</v>
      </c>
      <c r="BR235" s="14">
        <f t="shared" si="1207"/>
        <v>0</v>
      </c>
      <c r="BS235" s="14">
        <f t="shared" si="1207"/>
        <v>0</v>
      </c>
      <c r="BT235" s="14">
        <f t="shared" si="1207"/>
        <v>0</v>
      </c>
      <c r="BU235" s="14">
        <f t="shared" si="1207"/>
        <v>0</v>
      </c>
      <c r="BV235" s="11">
        <f t="shared" si="1207"/>
        <v>0</v>
      </c>
      <c r="BW235" s="11">
        <f t="shared" si="1207"/>
        <v>0</v>
      </c>
      <c r="BX235" s="11">
        <f t="shared" si="1207"/>
        <v>0</v>
      </c>
      <c r="BY235" s="11">
        <f t="shared" si="1207"/>
        <v>0</v>
      </c>
      <c r="BZ235" s="7">
        <f t="shared" si="1207"/>
        <v>0</v>
      </c>
      <c r="CA235" s="7">
        <f t="shared" si="1207"/>
        <v>0</v>
      </c>
      <c r="CB235" s="7">
        <f t="shared" ref="CB235:CP235" si="1208">IFERROR(VALUE(CB540),"-")</f>
        <v>0</v>
      </c>
      <c r="CC235" s="7">
        <f t="shared" si="1208"/>
        <v>0</v>
      </c>
      <c r="CD235" s="7">
        <f t="shared" si="1208"/>
        <v>0</v>
      </c>
      <c r="CE235" s="3">
        <f t="shared" si="1208"/>
        <v>0</v>
      </c>
      <c r="CF235" s="7">
        <f t="shared" si="1208"/>
        <v>0</v>
      </c>
      <c r="CG235" s="3">
        <f t="shared" si="1208"/>
        <v>0</v>
      </c>
      <c r="CH235" s="7">
        <f t="shared" si="1208"/>
        <v>0</v>
      </c>
      <c r="CI235" s="7">
        <f t="shared" si="1208"/>
        <v>0</v>
      </c>
      <c r="CJ235" s="3">
        <f t="shared" si="1208"/>
        <v>0</v>
      </c>
      <c r="CK235" s="7">
        <f t="shared" si="1208"/>
        <v>0</v>
      </c>
      <c r="CL235" s="3">
        <f t="shared" si="1208"/>
        <v>0</v>
      </c>
      <c r="CM235" s="7">
        <f t="shared" si="1208"/>
        <v>0</v>
      </c>
      <c r="CN235" s="10">
        <f t="shared" si="1208"/>
        <v>0</v>
      </c>
      <c r="CO235" s="10">
        <f t="shared" si="1208"/>
        <v>0</v>
      </c>
      <c r="CP235" s="7">
        <f t="shared" si="1208"/>
        <v>0</v>
      </c>
      <c r="CQ235" s="7">
        <f t="shared" ref="CQ235" si="1209">IFERROR(CQ540,"-")</f>
        <v>0</v>
      </c>
      <c r="CR235" s="10">
        <f t="shared" si="1149"/>
        <v>0</v>
      </c>
      <c r="CS235" s="7">
        <f t="shared" si="1149"/>
        <v>0</v>
      </c>
      <c r="CT235" s="7">
        <f t="shared" si="1149"/>
        <v>0</v>
      </c>
      <c r="CU235" s="7">
        <f t="shared" si="1149"/>
        <v>0</v>
      </c>
      <c r="CV235" s="7">
        <f t="shared" si="1149"/>
        <v>0</v>
      </c>
      <c r="CW235" s="7">
        <f t="shared" si="1149"/>
        <v>0</v>
      </c>
      <c r="CX235" s="7">
        <f t="shared" si="1149"/>
        <v>0</v>
      </c>
      <c r="CY235" s="7">
        <f t="shared" si="1149"/>
        <v>0</v>
      </c>
      <c r="CZ235" s="7">
        <f t="shared" si="1149"/>
        <v>0</v>
      </c>
      <c r="DA235" s="7">
        <f t="shared" si="1149"/>
        <v>0</v>
      </c>
      <c r="DB235" s="7">
        <f t="shared" si="1149"/>
        <v>0</v>
      </c>
      <c r="DC235" s="7">
        <f t="shared" si="1149"/>
        <v>0</v>
      </c>
      <c r="DD235" s="7">
        <f t="shared" si="1149"/>
        <v>0</v>
      </c>
      <c r="DE235" s="7">
        <f t="shared" si="1149"/>
        <v>0</v>
      </c>
      <c r="DF235" s="7">
        <f t="shared" si="1149"/>
        <v>0</v>
      </c>
      <c r="DG235" s="7">
        <f t="shared" si="1149"/>
        <v>0</v>
      </c>
      <c r="DH235" s="7">
        <f t="shared" ref="DH235:DJ235" si="1210">IFERROR(DH540,"-")</f>
        <v>0</v>
      </c>
      <c r="DI235" s="7">
        <f t="shared" si="1210"/>
        <v>0</v>
      </c>
      <c r="DJ235" s="7">
        <f t="shared" si="1210"/>
        <v>0</v>
      </c>
      <c r="DK235" s="64">
        <f t="shared" ref="DK235:DS235" si="1211">IFERROR(VALUE(DK540),"-")</f>
        <v>0</v>
      </c>
      <c r="DL235" s="64">
        <f t="shared" si="1211"/>
        <v>0</v>
      </c>
      <c r="DM235" s="64">
        <f t="shared" si="1211"/>
        <v>0</v>
      </c>
      <c r="DN235" s="64">
        <f t="shared" si="1211"/>
        <v>0</v>
      </c>
      <c r="DO235" s="64">
        <f t="shared" si="1211"/>
        <v>0</v>
      </c>
      <c r="DP235" s="64">
        <f t="shared" si="1211"/>
        <v>0</v>
      </c>
      <c r="DQ235" s="64">
        <f t="shared" si="1211"/>
        <v>0</v>
      </c>
      <c r="DR235" s="64">
        <f t="shared" si="1211"/>
        <v>0</v>
      </c>
      <c r="DS235" s="64">
        <f t="shared" si="1211"/>
        <v>0</v>
      </c>
      <c r="DT235">
        <f t="shared" si="1000"/>
        <v>0</v>
      </c>
      <c r="DU235" s="10">
        <f t="shared" si="1001"/>
        <v>0</v>
      </c>
    </row>
    <row r="236" spans="1:125" x14ac:dyDescent="0.25">
      <c r="A236" t="s">
        <v>79</v>
      </c>
      <c r="B236" s="2">
        <v>44833</v>
      </c>
      <c r="C236" s="1">
        <v>475</v>
      </c>
      <c r="D236">
        <v>76</v>
      </c>
      <c r="M236" s="3"/>
      <c r="N236" s="3"/>
      <c r="O236" s="3">
        <f t="shared" si="1002"/>
        <v>0</v>
      </c>
      <c r="P236" s="7">
        <f t="shared" ref="P236:CA236" si="1212">IFERROR(VALUE(P541),"-")</f>
        <v>0</v>
      </c>
      <c r="Q236" s="7">
        <f t="shared" si="1212"/>
        <v>0</v>
      </c>
      <c r="R236" s="7">
        <f t="shared" si="1212"/>
        <v>0</v>
      </c>
      <c r="S236" s="7">
        <f t="shared" si="1212"/>
        <v>0</v>
      </c>
      <c r="T236" s="11">
        <f t="shared" si="1212"/>
        <v>0</v>
      </c>
      <c r="U236" s="11">
        <f t="shared" si="1212"/>
        <v>0</v>
      </c>
      <c r="V236" s="11">
        <f t="shared" si="1212"/>
        <v>0</v>
      </c>
      <c r="W236" s="11">
        <f t="shared" si="1212"/>
        <v>0</v>
      </c>
      <c r="X236" s="14">
        <f t="shared" si="1212"/>
        <v>0</v>
      </c>
      <c r="Y236" s="14">
        <f t="shared" si="1212"/>
        <v>0</v>
      </c>
      <c r="Z236" s="14">
        <f t="shared" si="1212"/>
        <v>0</v>
      </c>
      <c r="AA236" s="14">
        <f t="shared" si="1212"/>
        <v>0</v>
      </c>
      <c r="AB236" s="15">
        <f t="shared" si="1212"/>
        <v>0</v>
      </c>
      <c r="AC236" s="15">
        <f t="shared" si="1212"/>
        <v>0</v>
      </c>
      <c r="AD236" s="13">
        <f t="shared" si="1212"/>
        <v>0</v>
      </c>
      <c r="AE236" s="13">
        <f t="shared" si="1212"/>
        <v>0</v>
      </c>
      <c r="AF236" s="12">
        <f t="shared" si="1212"/>
        <v>0</v>
      </c>
      <c r="AG236" s="12">
        <f t="shared" si="1212"/>
        <v>0</v>
      </c>
      <c r="AH236" s="13">
        <f t="shared" si="1212"/>
        <v>0</v>
      </c>
      <c r="AI236" s="13">
        <f t="shared" si="1212"/>
        <v>0</v>
      </c>
      <c r="AJ236" s="11">
        <f t="shared" si="1212"/>
        <v>0</v>
      </c>
      <c r="AK236" s="11">
        <f t="shared" si="1212"/>
        <v>0</v>
      </c>
      <c r="AL236" s="11">
        <f t="shared" si="1212"/>
        <v>0</v>
      </c>
      <c r="AM236" s="11">
        <f t="shared" si="1212"/>
        <v>0</v>
      </c>
      <c r="AN236" s="11">
        <f t="shared" si="1212"/>
        <v>0</v>
      </c>
      <c r="AO236" s="11">
        <f t="shared" si="1212"/>
        <v>0</v>
      </c>
      <c r="AP236" s="11">
        <f t="shared" si="1212"/>
        <v>0</v>
      </c>
      <c r="AQ236" s="11">
        <f t="shared" si="1212"/>
        <v>0</v>
      </c>
      <c r="AR236" s="16">
        <f t="shared" si="1212"/>
        <v>0</v>
      </c>
      <c r="AS236" s="16">
        <f t="shared" si="1212"/>
        <v>0</v>
      </c>
      <c r="AT236" s="16">
        <f t="shared" si="1212"/>
        <v>0</v>
      </c>
      <c r="AU236" s="7">
        <f t="shared" si="1212"/>
        <v>0</v>
      </c>
      <c r="AV236" s="7">
        <f t="shared" si="1212"/>
        <v>0</v>
      </c>
      <c r="AW236" s="7">
        <f t="shared" si="1212"/>
        <v>0</v>
      </c>
      <c r="AX236" s="7">
        <f t="shared" si="1212"/>
        <v>0</v>
      </c>
      <c r="AY236" s="11">
        <f t="shared" si="1212"/>
        <v>0</v>
      </c>
      <c r="AZ236" s="16">
        <f t="shared" si="1212"/>
        <v>0</v>
      </c>
      <c r="BA236" s="16">
        <f t="shared" si="1212"/>
        <v>0</v>
      </c>
      <c r="BB236" s="16">
        <f t="shared" si="1212"/>
        <v>0</v>
      </c>
      <c r="BC236" s="11">
        <f t="shared" si="1212"/>
        <v>0</v>
      </c>
      <c r="BD236" s="11">
        <f t="shared" si="1212"/>
        <v>0</v>
      </c>
      <c r="BE236" s="11">
        <f t="shared" si="1212"/>
        <v>0</v>
      </c>
      <c r="BF236" s="11">
        <f t="shared" si="1212"/>
        <v>0</v>
      </c>
      <c r="BG236" s="11">
        <f t="shared" si="1212"/>
        <v>0</v>
      </c>
      <c r="BH236" s="11">
        <f t="shared" si="1212"/>
        <v>0</v>
      </c>
      <c r="BI236" s="13">
        <f t="shared" si="1212"/>
        <v>0</v>
      </c>
      <c r="BJ236" s="13">
        <f t="shared" si="1212"/>
        <v>0</v>
      </c>
      <c r="BK236" s="11">
        <f t="shared" si="1212"/>
        <v>0</v>
      </c>
      <c r="BL236" s="12">
        <f t="shared" si="1212"/>
        <v>0</v>
      </c>
      <c r="BM236" s="12">
        <f t="shared" si="1212"/>
        <v>0</v>
      </c>
      <c r="BN236" s="13">
        <f t="shared" si="1212"/>
        <v>0</v>
      </c>
      <c r="BO236" s="13">
        <f t="shared" si="1212"/>
        <v>0</v>
      </c>
      <c r="BP236" s="15">
        <f t="shared" si="1212"/>
        <v>0</v>
      </c>
      <c r="BQ236" s="15">
        <f t="shared" si="1212"/>
        <v>0</v>
      </c>
      <c r="BR236" s="14">
        <f t="shared" si="1212"/>
        <v>0</v>
      </c>
      <c r="BS236" s="14">
        <f t="shared" si="1212"/>
        <v>0</v>
      </c>
      <c r="BT236" s="14">
        <f t="shared" si="1212"/>
        <v>0</v>
      </c>
      <c r="BU236" s="14">
        <f t="shared" si="1212"/>
        <v>0</v>
      </c>
      <c r="BV236" s="11">
        <f t="shared" si="1212"/>
        <v>0</v>
      </c>
      <c r="BW236" s="11">
        <f t="shared" si="1212"/>
        <v>0</v>
      </c>
      <c r="BX236" s="11">
        <f t="shared" si="1212"/>
        <v>0</v>
      </c>
      <c r="BY236" s="11">
        <f t="shared" si="1212"/>
        <v>0</v>
      </c>
      <c r="BZ236" s="7">
        <f t="shared" si="1212"/>
        <v>0</v>
      </c>
      <c r="CA236" s="7">
        <f t="shared" si="1212"/>
        <v>0</v>
      </c>
      <c r="CB236" s="7">
        <f t="shared" ref="CB236:CP236" si="1213">IFERROR(VALUE(CB541),"-")</f>
        <v>0</v>
      </c>
      <c r="CC236" s="7">
        <f t="shared" si="1213"/>
        <v>0</v>
      </c>
      <c r="CD236" s="7">
        <f t="shared" si="1213"/>
        <v>0</v>
      </c>
      <c r="CE236" s="3">
        <f t="shared" si="1213"/>
        <v>0</v>
      </c>
      <c r="CF236" s="7">
        <f t="shared" si="1213"/>
        <v>0</v>
      </c>
      <c r="CG236" s="3">
        <f t="shared" si="1213"/>
        <v>0</v>
      </c>
      <c r="CH236" s="7">
        <f t="shared" si="1213"/>
        <v>0</v>
      </c>
      <c r="CI236" s="7">
        <f t="shared" si="1213"/>
        <v>0</v>
      </c>
      <c r="CJ236" s="3">
        <f t="shared" si="1213"/>
        <v>0</v>
      </c>
      <c r="CK236" s="7">
        <f t="shared" si="1213"/>
        <v>0</v>
      </c>
      <c r="CL236" s="3">
        <f t="shared" si="1213"/>
        <v>0</v>
      </c>
      <c r="CM236" s="7">
        <f t="shared" si="1213"/>
        <v>0</v>
      </c>
      <c r="CN236" s="10">
        <f t="shared" si="1213"/>
        <v>0</v>
      </c>
      <c r="CO236" s="10">
        <f t="shared" si="1213"/>
        <v>0</v>
      </c>
      <c r="CP236" s="7">
        <f t="shared" si="1213"/>
        <v>0</v>
      </c>
      <c r="CQ236" s="7">
        <f t="shared" ref="CQ236" si="1214">IFERROR(CQ541,"-")</f>
        <v>0</v>
      </c>
      <c r="CR236" s="10">
        <f t="shared" si="1149"/>
        <v>0</v>
      </c>
      <c r="CS236" s="7">
        <f t="shared" si="1149"/>
        <v>0</v>
      </c>
      <c r="CT236" s="7">
        <f t="shared" si="1149"/>
        <v>0</v>
      </c>
      <c r="CU236" s="7">
        <f t="shared" si="1149"/>
        <v>0</v>
      </c>
      <c r="CV236" s="7">
        <f t="shared" si="1149"/>
        <v>0</v>
      </c>
      <c r="CW236" s="7">
        <f t="shared" si="1149"/>
        <v>0</v>
      </c>
      <c r="CX236" s="7">
        <f t="shared" si="1149"/>
        <v>0</v>
      </c>
      <c r="CY236" s="7">
        <f t="shared" si="1149"/>
        <v>0</v>
      </c>
      <c r="CZ236" s="7">
        <f t="shared" si="1149"/>
        <v>0</v>
      </c>
      <c r="DA236" s="7">
        <f t="shared" si="1149"/>
        <v>0</v>
      </c>
      <c r="DB236" s="7">
        <f t="shared" si="1149"/>
        <v>0</v>
      </c>
      <c r="DC236" s="7">
        <f t="shared" si="1149"/>
        <v>0</v>
      </c>
      <c r="DD236" s="7">
        <f t="shared" si="1149"/>
        <v>0</v>
      </c>
      <c r="DE236" s="7">
        <f t="shared" si="1149"/>
        <v>0</v>
      </c>
      <c r="DF236" s="7">
        <f t="shared" si="1149"/>
        <v>0</v>
      </c>
      <c r="DG236" s="7">
        <f t="shared" si="1149"/>
        <v>0</v>
      </c>
      <c r="DH236" s="7">
        <f t="shared" ref="DH236:DJ236" si="1215">IFERROR(DH541,"-")</f>
        <v>0</v>
      </c>
      <c r="DI236" s="7">
        <f t="shared" si="1215"/>
        <v>0</v>
      </c>
      <c r="DJ236" s="7">
        <f t="shared" si="1215"/>
        <v>0</v>
      </c>
      <c r="DK236" s="64">
        <f t="shared" ref="DK236:DS236" si="1216">IFERROR(VALUE(DK541),"-")</f>
        <v>0</v>
      </c>
      <c r="DL236" s="64">
        <f t="shared" si="1216"/>
        <v>0</v>
      </c>
      <c r="DM236" s="64">
        <f t="shared" si="1216"/>
        <v>0</v>
      </c>
      <c r="DN236" s="64">
        <f t="shared" si="1216"/>
        <v>0</v>
      </c>
      <c r="DO236" s="64">
        <f t="shared" si="1216"/>
        <v>0</v>
      </c>
      <c r="DP236" s="64">
        <f t="shared" si="1216"/>
        <v>0</v>
      </c>
      <c r="DQ236" s="64">
        <f t="shared" si="1216"/>
        <v>0</v>
      </c>
      <c r="DR236" s="64">
        <f t="shared" si="1216"/>
        <v>0</v>
      </c>
      <c r="DS236" s="64">
        <f t="shared" si="1216"/>
        <v>0</v>
      </c>
      <c r="DT236">
        <f t="shared" si="1000"/>
        <v>0</v>
      </c>
      <c r="DU236" s="10">
        <f t="shared" si="1001"/>
        <v>0</v>
      </c>
    </row>
    <row r="237" spans="1:125" x14ac:dyDescent="0.25">
      <c r="A237" t="s">
        <v>79</v>
      </c>
      <c r="B237" s="2">
        <v>44861</v>
      </c>
      <c r="C237" s="1">
        <v>475</v>
      </c>
      <c r="D237">
        <v>76</v>
      </c>
      <c r="M237" s="3"/>
      <c r="N237" s="3"/>
      <c r="O237" s="3">
        <f t="shared" si="1002"/>
        <v>0</v>
      </c>
      <c r="P237" s="7">
        <f t="shared" ref="P237:CA237" si="1217">IFERROR(VALUE(P542),"-")</f>
        <v>0</v>
      </c>
      <c r="Q237" s="7">
        <f t="shared" si="1217"/>
        <v>0</v>
      </c>
      <c r="R237" s="7">
        <f t="shared" si="1217"/>
        <v>0</v>
      </c>
      <c r="S237" s="7">
        <f t="shared" si="1217"/>
        <v>0</v>
      </c>
      <c r="T237" s="11">
        <f t="shared" si="1217"/>
        <v>0</v>
      </c>
      <c r="U237" s="11">
        <f t="shared" si="1217"/>
        <v>0</v>
      </c>
      <c r="V237" s="11">
        <f t="shared" si="1217"/>
        <v>0</v>
      </c>
      <c r="W237" s="11">
        <f t="shared" si="1217"/>
        <v>0</v>
      </c>
      <c r="X237" s="14">
        <f t="shared" si="1217"/>
        <v>0</v>
      </c>
      <c r="Y237" s="14">
        <f t="shared" si="1217"/>
        <v>0</v>
      </c>
      <c r="Z237" s="14">
        <f t="shared" si="1217"/>
        <v>0</v>
      </c>
      <c r="AA237" s="14">
        <f t="shared" si="1217"/>
        <v>0</v>
      </c>
      <c r="AB237" s="15">
        <f t="shared" si="1217"/>
        <v>0</v>
      </c>
      <c r="AC237" s="15">
        <f t="shared" si="1217"/>
        <v>0</v>
      </c>
      <c r="AD237" s="13">
        <f t="shared" si="1217"/>
        <v>0</v>
      </c>
      <c r="AE237" s="13">
        <f t="shared" si="1217"/>
        <v>0</v>
      </c>
      <c r="AF237" s="12">
        <f t="shared" si="1217"/>
        <v>0</v>
      </c>
      <c r="AG237" s="12">
        <f t="shared" si="1217"/>
        <v>0</v>
      </c>
      <c r="AH237" s="13">
        <f t="shared" si="1217"/>
        <v>0</v>
      </c>
      <c r="AI237" s="13">
        <f t="shared" si="1217"/>
        <v>0</v>
      </c>
      <c r="AJ237" s="11">
        <f t="shared" si="1217"/>
        <v>0</v>
      </c>
      <c r="AK237" s="11">
        <f t="shared" si="1217"/>
        <v>0</v>
      </c>
      <c r="AL237" s="11">
        <f t="shared" si="1217"/>
        <v>0</v>
      </c>
      <c r="AM237" s="11">
        <f t="shared" si="1217"/>
        <v>0</v>
      </c>
      <c r="AN237" s="11">
        <f t="shared" si="1217"/>
        <v>0</v>
      </c>
      <c r="AO237" s="11">
        <f t="shared" si="1217"/>
        <v>0</v>
      </c>
      <c r="AP237" s="11">
        <f t="shared" si="1217"/>
        <v>0</v>
      </c>
      <c r="AQ237" s="11">
        <f t="shared" si="1217"/>
        <v>0</v>
      </c>
      <c r="AR237" s="16">
        <f t="shared" si="1217"/>
        <v>0</v>
      </c>
      <c r="AS237" s="16">
        <f t="shared" si="1217"/>
        <v>0</v>
      </c>
      <c r="AT237" s="16">
        <f t="shared" si="1217"/>
        <v>0</v>
      </c>
      <c r="AU237" s="7">
        <f t="shared" si="1217"/>
        <v>0</v>
      </c>
      <c r="AV237" s="7">
        <f t="shared" si="1217"/>
        <v>0</v>
      </c>
      <c r="AW237" s="7">
        <f t="shared" si="1217"/>
        <v>0</v>
      </c>
      <c r="AX237" s="7">
        <f t="shared" si="1217"/>
        <v>0</v>
      </c>
      <c r="AY237" s="11">
        <f t="shared" si="1217"/>
        <v>0</v>
      </c>
      <c r="AZ237" s="16">
        <f t="shared" si="1217"/>
        <v>0</v>
      </c>
      <c r="BA237" s="16">
        <f t="shared" si="1217"/>
        <v>0</v>
      </c>
      <c r="BB237" s="16">
        <f t="shared" si="1217"/>
        <v>0</v>
      </c>
      <c r="BC237" s="11">
        <f t="shared" si="1217"/>
        <v>0</v>
      </c>
      <c r="BD237" s="11">
        <f t="shared" si="1217"/>
        <v>0</v>
      </c>
      <c r="BE237" s="11">
        <f t="shared" si="1217"/>
        <v>0</v>
      </c>
      <c r="BF237" s="11">
        <f t="shared" si="1217"/>
        <v>0</v>
      </c>
      <c r="BG237" s="11">
        <f t="shared" si="1217"/>
        <v>0</v>
      </c>
      <c r="BH237" s="11">
        <f t="shared" si="1217"/>
        <v>0</v>
      </c>
      <c r="BI237" s="13">
        <f t="shared" si="1217"/>
        <v>0</v>
      </c>
      <c r="BJ237" s="13">
        <f t="shared" si="1217"/>
        <v>0</v>
      </c>
      <c r="BK237" s="11">
        <f t="shared" si="1217"/>
        <v>0</v>
      </c>
      <c r="BL237" s="12">
        <f t="shared" si="1217"/>
        <v>0</v>
      </c>
      <c r="BM237" s="12">
        <f t="shared" si="1217"/>
        <v>0</v>
      </c>
      <c r="BN237" s="13">
        <f t="shared" si="1217"/>
        <v>0</v>
      </c>
      <c r="BO237" s="13">
        <f t="shared" si="1217"/>
        <v>0</v>
      </c>
      <c r="BP237" s="15">
        <f t="shared" si="1217"/>
        <v>0</v>
      </c>
      <c r="BQ237" s="15">
        <f t="shared" si="1217"/>
        <v>0</v>
      </c>
      <c r="BR237" s="14">
        <f t="shared" si="1217"/>
        <v>0</v>
      </c>
      <c r="BS237" s="14">
        <f t="shared" si="1217"/>
        <v>0</v>
      </c>
      <c r="BT237" s="14">
        <f t="shared" si="1217"/>
        <v>0</v>
      </c>
      <c r="BU237" s="14">
        <f t="shared" si="1217"/>
        <v>0</v>
      </c>
      <c r="BV237" s="11">
        <f t="shared" si="1217"/>
        <v>0</v>
      </c>
      <c r="BW237" s="11">
        <f t="shared" si="1217"/>
        <v>0</v>
      </c>
      <c r="BX237" s="11">
        <f t="shared" si="1217"/>
        <v>0</v>
      </c>
      <c r="BY237" s="11">
        <f t="shared" si="1217"/>
        <v>0</v>
      </c>
      <c r="BZ237" s="7">
        <f t="shared" si="1217"/>
        <v>0</v>
      </c>
      <c r="CA237" s="7">
        <f t="shared" si="1217"/>
        <v>0</v>
      </c>
      <c r="CB237" s="7">
        <f t="shared" ref="CB237:CP237" si="1218">IFERROR(VALUE(CB542),"-")</f>
        <v>0</v>
      </c>
      <c r="CC237" s="7">
        <f t="shared" si="1218"/>
        <v>0</v>
      </c>
      <c r="CD237" s="7">
        <f t="shared" si="1218"/>
        <v>0</v>
      </c>
      <c r="CE237" s="3">
        <f t="shared" si="1218"/>
        <v>0</v>
      </c>
      <c r="CF237" s="7">
        <f t="shared" si="1218"/>
        <v>0</v>
      </c>
      <c r="CG237" s="3">
        <f t="shared" si="1218"/>
        <v>0</v>
      </c>
      <c r="CH237" s="7">
        <f t="shared" si="1218"/>
        <v>0</v>
      </c>
      <c r="CI237" s="7">
        <f t="shared" si="1218"/>
        <v>0</v>
      </c>
      <c r="CJ237" s="3">
        <f t="shared" si="1218"/>
        <v>0</v>
      </c>
      <c r="CK237" s="7">
        <f t="shared" si="1218"/>
        <v>0</v>
      </c>
      <c r="CL237" s="3">
        <f t="shared" si="1218"/>
        <v>0</v>
      </c>
      <c r="CM237" s="7">
        <f t="shared" si="1218"/>
        <v>0</v>
      </c>
      <c r="CN237" s="10">
        <f t="shared" si="1218"/>
        <v>0</v>
      </c>
      <c r="CO237" s="10">
        <f t="shared" si="1218"/>
        <v>0</v>
      </c>
      <c r="CP237" s="7">
        <f t="shared" si="1218"/>
        <v>0</v>
      </c>
      <c r="CQ237" s="7">
        <f t="shared" ref="CQ237" si="1219">IFERROR(CQ542,"-")</f>
        <v>0</v>
      </c>
      <c r="CR237" s="10">
        <f t="shared" si="1149"/>
        <v>0</v>
      </c>
      <c r="CS237" s="7">
        <f t="shared" si="1149"/>
        <v>0</v>
      </c>
      <c r="CT237" s="7">
        <f t="shared" si="1149"/>
        <v>0</v>
      </c>
      <c r="CU237" s="7">
        <f t="shared" si="1149"/>
        <v>0</v>
      </c>
      <c r="CV237" s="7">
        <f t="shared" si="1149"/>
        <v>0</v>
      </c>
      <c r="CW237" s="7">
        <f t="shared" si="1149"/>
        <v>0</v>
      </c>
      <c r="CX237" s="7">
        <f t="shared" si="1149"/>
        <v>0</v>
      </c>
      <c r="CY237" s="7">
        <f t="shared" si="1149"/>
        <v>0</v>
      </c>
      <c r="CZ237" s="7">
        <f t="shared" si="1149"/>
        <v>0</v>
      </c>
      <c r="DA237" s="7">
        <f t="shared" si="1149"/>
        <v>0</v>
      </c>
      <c r="DB237" s="7">
        <f t="shared" si="1149"/>
        <v>0</v>
      </c>
      <c r="DC237" s="7">
        <f t="shared" si="1149"/>
        <v>0</v>
      </c>
      <c r="DD237" s="7">
        <f t="shared" si="1149"/>
        <v>0</v>
      </c>
      <c r="DE237" s="7">
        <f t="shared" si="1149"/>
        <v>0</v>
      </c>
      <c r="DF237" s="7">
        <f t="shared" si="1149"/>
        <v>0</v>
      </c>
      <c r="DG237" s="7">
        <f t="shared" si="1149"/>
        <v>0</v>
      </c>
      <c r="DH237" s="7">
        <f t="shared" ref="DH237:DJ237" si="1220">IFERROR(DH542,"-")</f>
        <v>0</v>
      </c>
      <c r="DI237" s="7">
        <f t="shared" si="1220"/>
        <v>0</v>
      </c>
      <c r="DJ237" s="7">
        <f t="shared" si="1220"/>
        <v>0</v>
      </c>
      <c r="DK237" s="64">
        <f t="shared" ref="DK237:DS237" si="1221">IFERROR(VALUE(DK542),"-")</f>
        <v>0</v>
      </c>
      <c r="DL237" s="64">
        <f t="shared" si="1221"/>
        <v>0</v>
      </c>
      <c r="DM237" s="64">
        <f t="shared" si="1221"/>
        <v>0</v>
      </c>
      <c r="DN237" s="64">
        <f t="shared" si="1221"/>
        <v>0</v>
      </c>
      <c r="DO237" s="64">
        <f t="shared" si="1221"/>
        <v>0</v>
      </c>
      <c r="DP237" s="64">
        <f t="shared" si="1221"/>
        <v>0</v>
      </c>
      <c r="DQ237" s="64">
        <f t="shared" si="1221"/>
        <v>0</v>
      </c>
      <c r="DR237" s="64">
        <f t="shared" si="1221"/>
        <v>0</v>
      </c>
      <c r="DS237" s="64">
        <f t="shared" si="1221"/>
        <v>0</v>
      </c>
      <c r="DT237">
        <f t="shared" si="1000"/>
        <v>0</v>
      </c>
      <c r="DU237" s="10">
        <f t="shared" si="1001"/>
        <v>0</v>
      </c>
    </row>
    <row r="238" spans="1:125" x14ac:dyDescent="0.25">
      <c r="A238" t="s">
        <v>80</v>
      </c>
      <c r="B238" s="2">
        <v>44798</v>
      </c>
      <c r="C238" s="1">
        <v>2500</v>
      </c>
      <c r="D238">
        <v>55</v>
      </c>
      <c r="M238" s="3"/>
      <c r="N238" s="3"/>
      <c r="O238" s="3">
        <f t="shared" si="1002"/>
        <v>0</v>
      </c>
      <c r="P238" s="7">
        <f t="shared" ref="P238:CA238" si="1222">IFERROR(VALUE(P543),"-")</f>
        <v>0</v>
      </c>
      <c r="Q238" s="7">
        <f t="shared" si="1222"/>
        <v>0</v>
      </c>
      <c r="R238" s="7">
        <f t="shared" si="1222"/>
        <v>0</v>
      </c>
      <c r="S238" s="7">
        <f t="shared" si="1222"/>
        <v>0</v>
      </c>
      <c r="T238" s="11">
        <f t="shared" si="1222"/>
        <v>0</v>
      </c>
      <c r="U238" s="11">
        <f t="shared" si="1222"/>
        <v>0</v>
      </c>
      <c r="V238" s="11">
        <f t="shared" si="1222"/>
        <v>0</v>
      </c>
      <c r="W238" s="11">
        <f t="shared" si="1222"/>
        <v>0</v>
      </c>
      <c r="X238" s="14">
        <f t="shared" si="1222"/>
        <v>0</v>
      </c>
      <c r="Y238" s="14">
        <f t="shared" si="1222"/>
        <v>0</v>
      </c>
      <c r="Z238" s="14">
        <f t="shared" si="1222"/>
        <v>0</v>
      </c>
      <c r="AA238" s="14">
        <f t="shared" si="1222"/>
        <v>0</v>
      </c>
      <c r="AB238" s="15">
        <f t="shared" si="1222"/>
        <v>0</v>
      </c>
      <c r="AC238" s="15">
        <f t="shared" si="1222"/>
        <v>0</v>
      </c>
      <c r="AD238" s="13">
        <f t="shared" si="1222"/>
        <v>0</v>
      </c>
      <c r="AE238" s="13">
        <f t="shared" si="1222"/>
        <v>0</v>
      </c>
      <c r="AF238" s="12">
        <f t="shared" si="1222"/>
        <v>0</v>
      </c>
      <c r="AG238" s="12">
        <f t="shared" si="1222"/>
        <v>0</v>
      </c>
      <c r="AH238" s="13">
        <f t="shared" si="1222"/>
        <v>0</v>
      </c>
      <c r="AI238" s="13">
        <f t="shared" si="1222"/>
        <v>0</v>
      </c>
      <c r="AJ238" s="11">
        <f t="shared" si="1222"/>
        <v>0</v>
      </c>
      <c r="AK238" s="11">
        <f t="shared" si="1222"/>
        <v>0</v>
      </c>
      <c r="AL238" s="11">
        <f t="shared" si="1222"/>
        <v>0</v>
      </c>
      <c r="AM238" s="11">
        <f t="shared" si="1222"/>
        <v>0</v>
      </c>
      <c r="AN238" s="11">
        <f t="shared" si="1222"/>
        <v>0</v>
      </c>
      <c r="AO238" s="11">
        <f t="shared" si="1222"/>
        <v>0</v>
      </c>
      <c r="AP238" s="11">
        <f t="shared" si="1222"/>
        <v>0</v>
      </c>
      <c r="AQ238" s="11">
        <f t="shared" si="1222"/>
        <v>0</v>
      </c>
      <c r="AR238" s="16">
        <f t="shared" si="1222"/>
        <v>0</v>
      </c>
      <c r="AS238" s="16">
        <f t="shared" si="1222"/>
        <v>0</v>
      </c>
      <c r="AT238" s="16">
        <f t="shared" si="1222"/>
        <v>0</v>
      </c>
      <c r="AU238" s="7">
        <f t="shared" si="1222"/>
        <v>0</v>
      </c>
      <c r="AV238" s="7">
        <f t="shared" si="1222"/>
        <v>0</v>
      </c>
      <c r="AW238" s="7">
        <f t="shared" si="1222"/>
        <v>0</v>
      </c>
      <c r="AX238" s="7">
        <f t="shared" si="1222"/>
        <v>0</v>
      </c>
      <c r="AY238" s="11">
        <f t="shared" si="1222"/>
        <v>0</v>
      </c>
      <c r="AZ238" s="16">
        <f t="shared" si="1222"/>
        <v>0</v>
      </c>
      <c r="BA238" s="16">
        <f t="shared" si="1222"/>
        <v>0</v>
      </c>
      <c r="BB238" s="16">
        <f t="shared" si="1222"/>
        <v>0</v>
      </c>
      <c r="BC238" s="11">
        <f t="shared" si="1222"/>
        <v>0</v>
      </c>
      <c r="BD238" s="11">
        <f t="shared" si="1222"/>
        <v>0</v>
      </c>
      <c r="BE238" s="11">
        <f t="shared" si="1222"/>
        <v>0</v>
      </c>
      <c r="BF238" s="11">
        <f t="shared" si="1222"/>
        <v>0</v>
      </c>
      <c r="BG238" s="11">
        <f t="shared" si="1222"/>
        <v>0</v>
      </c>
      <c r="BH238" s="11">
        <f t="shared" si="1222"/>
        <v>0</v>
      </c>
      <c r="BI238" s="13">
        <f t="shared" si="1222"/>
        <v>0</v>
      </c>
      <c r="BJ238" s="13">
        <f t="shared" si="1222"/>
        <v>0</v>
      </c>
      <c r="BK238" s="11">
        <f t="shared" si="1222"/>
        <v>0</v>
      </c>
      <c r="BL238" s="12">
        <f t="shared" si="1222"/>
        <v>0</v>
      </c>
      <c r="BM238" s="12">
        <f t="shared" si="1222"/>
        <v>0</v>
      </c>
      <c r="BN238" s="13">
        <f t="shared" si="1222"/>
        <v>0</v>
      </c>
      <c r="BO238" s="13">
        <f t="shared" si="1222"/>
        <v>0</v>
      </c>
      <c r="BP238" s="15">
        <f t="shared" si="1222"/>
        <v>0</v>
      </c>
      <c r="BQ238" s="15">
        <f t="shared" si="1222"/>
        <v>0</v>
      </c>
      <c r="BR238" s="14">
        <f t="shared" si="1222"/>
        <v>0</v>
      </c>
      <c r="BS238" s="14">
        <f t="shared" si="1222"/>
        <v>0</v>
      </c>
      <c r="BT238" s="14">
        <f t="shared" si="1222"/>
        <v>0</v>
      </c>
      <c r="BU238" s="14">
        <f t="shared" si="1222"/>
        <v>0</v>
      </c>
      <c r="BV238" s="11">
        <f t="shared" si="1222"/>
        <v>0</v>
      </c>
      <c r="BW238" s="11">
        <f t="shared" si="1222"/>
        <v>0</v>
      </c>
      <c r="BX238" s="11">
        <f t="shared" si="1222"/>
        <v>0</v>
      </c>
      <c r="BY238" s="11">
        <f t="shared" si="1222"/>
        <v>0</v>
      </c>
      <c r="BZ238" s="7">
        <f t="shared" si="1222"/>
        <v>0</v>
      </c>
      <c r="CA238" s="7">
        <f t="shared" si="1222"/>
        <v>0</v>
      </c>
      <c r="CB238" s="7">
        <f t="shared" ref="CB238:CP238" si="1223">IFERROR(VALUE(CB543),"-")</f>
        <v>0</v>
      </c>
      <c r="CC238" s="7">
        <f t="shared" si="1223"/>
        <v>0</v>
      </c>
      <c r="CD238" s="7">
        <f t="shared" si="1223"/>
        <v>0</v>
      </c>
      <c r="CE238" s="3">
        <f t="shared" si="1223"/>
        <v>0</v>
      </c>
      <c r="CF238" s="7">
        <f t="shared" si="1223"/>
        <v>0</v>
      </c>
      <c r="CG238" s="3">
        <f t="shared" si="1223"/>
        <v>0</v>
      </c>
      <c r="CH238" s="7">
        <f t="shared" si="1223"/>
        <v>0</v>
      </c>
      <c r="CI238" s="7">
        <f t="shared" si="1223"/>
        <v>0</v>
      </c>
      <c r="CJ238" s="3">
        <f t="shared" si="1223"/>
        <v>0</v>
      </c>
      <c r="CK238" s="7">
        <f t="shared" si="1223"/>
        <v>0</v>
      </c>
      <c r="CL238" s="3">
        <f t="shared" si="1223"/>
        <v>0</v>
      </c>
      <c r="CM238" s="7">
        <f t="shared" si="1223"/>
        <v>0</v>
      </c>
      <c r="CN238" s="10">
        <f t="shared" si="1223"/>
        <v>0</v>
      </c>
      <c r="CO238" s="10">
        <f t="shared" si="1223"/>
        <v>0</v>
      </c>
      <c r="CP238" s="7">
        <f t="shared" si="1223"/>
        <v>0</v>
      </c>
      <c r="CQ238" s="7">
        <f t="shared" ref="CQ238" si="1224">IFERROR(CQ543,"-")</f>
        <v>0</v>
      </c>
      <c r="CR238" s="10">
        <f t="shared" si="1149"/>
        <v>0</v>
      </c>
      <c r="CS238" s="7">
        <f t="shared" si="1149"/>
        <v>0</v>
      </c>
      <c r="CT238" s="7">
        <f t="shared" si="1149"/>
        <v>0</v>
      </c>
      <c r="CU238" s="7">
        <f t="shared" si="1149"/>
        <v>0</v>
      </c>
      <c r="CV238" s="7">
        <f t="shared" si="1149"/>
        <v>0</v>
      </c>
      <c r="CW238" s="7">
        <f t="shared" si="1149"/>
        <v>0</v>
      </c>
      <c r="CX238" s="7">
        <f t="shared" si="1149"/>
        <v>0</v>
      </c>
      <c r="CY238" s="7">
        <f t="shared" si="1149"/>
        <v>0</v>
      </c>
      <c r="CZ238" s="7">
        <f t="shared" si="1149"/>
        <v>0</v>
      </c>
      <c r="DA238" s="7">
        <f t="shared" si="1149"/>
        <v>0</v>
      </c>
      <c r="DB238" s="7">
        <f t="shared" si="1149"/>
        <v>0</v>
      </c>
      <c r="DC238" s="7">
        <f t="shared" si="1149"/>
        <v>0</v>
      </c>
      <c r="DD238" s="7">
        <f t="shared" si="1149"/>
        <v>0</v>
      </c>
      <c r="DE238" s="7">
        <f t="shared" si="1149"/>
        <v>0</v>
      </c>
      <c r="DF238" s="7">
        <f t="shared" si="1149"/>
        <v>0</v>
      </c>
      <c r="DG238" s="7">
        <f t="shared" ref="DG238" si="1225">IFERROR(VALUE(DG543),"-")</f>
        <v>0</v>
      </c>
      <c r="DH238" s="7">
        <f t="shared" ref="DH238:DJ238" si="1226">IFERROR(DH543,"-")</f>
        <v>0</v>
      </c>
      <c r="DI238" s="7">
        <f t="shared" si="1226"/>
        <v>0</v>
      </c>
      <c r="DJ238" s="7">
        <f t="shared" si="1226"/>
        <v>0</v>
      </c>
      <c r="DK238" s="64">
        <f t="shared" ref="DK238:DS238" si="1227">IFERROR(VALUE(DK543),"-")</f>
        <v>0</v>
      </c>
      <c r="DL238" s="64">
        <f t="shared" si="1227"/>
        <v>0</v>
      </c>
      <c r="DM238" s="64">
        <f t="shared" si="1227"/>
        <v>0</v>
      </c>
      <c r="DN238" s="64">
        <f t="shared" si="1227"/>
        <v>0</v>
      </c>
      <c r="DO238" s="64">
        <f t="shared" si="1227"/>
        <v>0</v>
      </c>
      <c r="DP238" s="64">
        <f t="shared" si="1227"/>
        <v>0</v>
      </c>
      <c r="DQ238" s="64">
        <f t="shared" si="1227"/>
        <v>0</v>
      </c>
      <c r="DR238" s="64">
        <f t="shared" si="1227"/>
        <v>0</v>
      </c>
      <c r="DS238" s="64">
        <f t="shared" si="1227"/>
        <v>0</v>
      </c>
      <c r="DT238">
        <f t="shared" si="1000"/>
        <v>0</v>
      </c>
      <c r="DU238" s="10">
        <f t="shared" si="1001"/>
        <v>0</v>
      </c>
    </row>
    <row r="239" spans="1:125" x14ac:dyDescent="0.25">
      <c r="A239" t="s">
        <v>80</v>
      </c>
      <c r="B239" s="2">
        <v>44833</v>
      </c>
      <c r="C239" s="1">
        <v>2500</v>
      </c>
      <c r="D239">
        <v>55</v>
      </c>
      <c r="M239" s="3"/>
      <c r="N239" s="3"/>
      <c r="O239" s="3">
        <f t="shared" si="1002"/>
        <v>0</v>
      </c>
      <c r="P239" s="7">
        <f t="shared" ref="P239:CA239" si="1228">IFERROR(VALUE(P544),"-")</f>
        <v>0</v>
      </c>
      <c r="Q239" s="7">
        <f t="shared" si="1228"/>
        <v>0</v>
      </c>
      <c r="R239" s="7">
        <f t="shared" si="1228"/>
        <v>0</v>
      </c>
      <c r="S239" s="7">
        <f t="shared" si="1228"/>
        <v>0</v>
      </c>
      <c r="T239" s="11">
        <f t="shared" si="1228"/>
        <v>0</v>
      </c>
      <c r="U239" s="11">
        <f t="shared" si="1228"/>
        <v>0</v>
      </c>
      <c r="V239" s="11">
        <f t="shared" si="1228"/>
        <v>0</v>
      </c>
      <c r="W239" s="11">
        <f t="shared" si="1228"/>
        <v>0</v>
      </c>
      <c r="X239" s="14">
        <f t="shared" si="1228"/>
        <v>0</v>
      </c>
      <c r="Y239" s="14">
        <f t="shared" si="1228"/>
        <v>0</v>
      </c>
      <c r="Z239" s="14">
        <f t="shared" si="1228"/>
        <v>0</v>
      </c>
      <c r="AA239" s="14">
        <f t="shared" si="1228"/>
        <v>0</v>
      </c>
      <c r="AB239" s="15">
        <f t="shared" si="1228"/>
        <v>0</v>
      </c>
      <c r="AC239" s="15">
        <f t="shared" si="1228"/>
        <v>0</v>
      </c>
      <c r="AD239" s="13">
        <f t="shared" si="1228"/>
        <v>0</v>
      </c>
      <c r="AE239" s="13">
        <f t="shared" si="1228"/>
        <v>0</v>
      </c>
      <c r="AF239" s="12">
        <f t="shared" si="1228"/>
        <v>0</v>
      </c>
      <c r="AG239" s="12">
        <f t="shared" si="1228"/>
        <v>0</v>
      </c>
      <c r="AH239" s="13">
        <f t="shared" si="1228"/>
        <v>0</v>
      </c>
      <c r="AI239" s="13">
        <f t="shared" si="1228"/>
        <v>0</v>
      </c>
      <c r="AJ239" s="11">
        <f t="shared" si="1228"/>
        <v>0</v>
      </c>
      <c r="AK239" s="11">
        <f t="shared" si="1228"/>
        <v>0</v>
      </c>
      <c r="AL239" s="11">
        <f t="shared" si="1228"/>
        <v>0</v>
      </c>
      <c r="AM239" s="11">
        <f t="shared" si="1228"/>
        <v>0</v>
      </c>
      <c r="AN239" s="11">
        <f t="shared" si="1228"/>
        <v>0</v>
      </c>
      <c r="AO239" s="11">
        <f t="shared" si="1228"/>
        <v>0</v>
      </c>
      <c r="AP239" s="11">
        <f t="shared" si="1228"/>
        <v>0</v>
      </c>
      <c r="AQ239" s="11">
        <f t="shared" si="1228"/>
        <v>0</v>
      </c>
      <c r="AR239" s="16">
        <f t="shared" si="1228"/>
        <v>0</v>
      </c>
      <c r="AS239" s="16">
        <f t="shared" si="1228"/>
        <v>0</v>
      </c>
      <c r="AT239" s="16">
        <f t="shared" si="1228"/>
        <v>0</v>
      </c>
      <c r="AU239" s="7">
        <f t="shared" si="1228"/>
        <v>0</v>
      </c>
      <c r="AV239" s="7">
        <f t="shared" si="1228"/>
        <v>0</v>
      </c>
      <c r="AW239" s="7">
        <f t="shared" si="1228"/>
        <v>0</v>
      </c>
      <c r="AX239" s="7">
        <f t="shared" si="1228"/>
        <v>0</v>
      </c>
      <c r="AY239" s="11">
        <f t="shared" si="1228"/>
        <v>0</v>
      </c>
      <c r="AZ239" s="16">
        <f t="shared" si="1228"/>
        <v>0</v>
      </c>
      <c r="BA239" s="16">
        <f t="shared" si="1228"/>
        <v>0</v>
      </c>
      <c r="BB239" s="16">
        <f t="shared" si="1228"/>
        <v>0</v>
      </c>
      <c r="BC239" s="11">
        <f t="shared" si="1228"/>
        <v>0</v>
      </c>
      <c r="BD239" s="11">
        <f t="shared" si="1228"/>
        <v>0</v>
      </c>
      <c r="BE239" s="11">
        <f t="shared" si="1228"/>
        <v>0</v>
      </c>
      <c r="BF239" s="11">
        <f t="shared" si="1228"/>
        <v>0</v>
      </c>
      <c r="BG239" s="11">
        <f t="shared" si="1228"/>
        <v>0</v>
      </c>
      <c r="BH239" s="11">
        <f t="shared" si="1228"/>
        <v>0</v>
      </c>
      <c r="BI239" s="13">
        <f t="shared" si="1228"/>
        <v>0</v>
      </c>
      <c r="BJ239" s="13">
        <f t="shared" si="1228"/>
        <v>0</v>
      </c>
      <c r="BK239" s="11">
        <f t="shared" si="1228"/>
        <v>0</v>
      </c>
      <c r="BL239" s="12">
        <f t="shared" si="1228"/>
        <v>0</v>
      </c>
      <c r="BM239" s="12">
        <f t="shared" si="1228"/>
        <v>0</v>
      </c>
      <c r="BN239" s="13">
        <f t="shared" si="1228"/>
        <v>0</v>
      </c>
      <c r="BO239" s="13">
        <f t="shared" si="1228"/>
        <v>0</v>
      </c>
      <c r="BP239" s="15">
        <f t="shared" si="1228"/>
        <v>0</v>
      </c>
      <c r="BQ239" s="15">
        <f t="shared" si="1228"/>
        <v>0</v>
      </c>
      <c r="BR239" s="14">
        <f t="shared" si="1228"/>
        <v>0</v>
      </c>
      <c r="BS239" s="14">
        <f t="shared" si="1228"/>
        <v>0</v>
      </c>
      <c r="BT239" s="14">
        <f t="shared" si="1228"/>
        <v>0</v>
      </c>
      <c r="BU239" s="14">
        <f t="shared" si="1228"/>
        <v>0</v>
      </c>
      <c r="BV239" s="11">
        <f t="shared" si="1228"/>
        <v>0</v>
      </c>
      <c r="BW239" s="11">
        <f t="shared" si="1228"/>
        <v>0</v>
      </c>
      <c r="BX239" s="11">
        <f t="shared" si="1228"/>
        <v>0</v>
      </c>
      <c r="BY239" s="11">
        <f t="shared" si="1228"/>
        <v>0</v>
      </c>
      <c r="BZ239" s="7">
        <f t="shared" si="1228"/>
        <v>0</v>
      </c>
      <c r="CA239" s="7">
        <f t="shared" si="1228"/>
        <v>0</v>
      </c>
      <c r="CB239" s="7">
        <f t="shared" ref="CB239:CP239" si="1229">IFERROR(VALUE(CB544),"-")</f>
        <v>0</v>
      </c>
      <c r="CC239" s="7">
        <f t="shared" si="1229"/>
        <v>0</v>
      </c>
      <c r="CD239" s="7">
        <f t="shared" si="1229"/>
        <v>0</v>
      </c>
      <c r="CE239" s="3">
        <f t="shared" si="1229"/>
        <v>0</v>
      </c>
      <c r="CF239" s="7">
        <f t="shared" si="1229"/>
        <v>0</v>
      </c>
      <c r="CG239" s="3">
        <f t="shared" si="1229"/>
        <v>0</v>
      </c>
      <c r="CH239" s="7">
        <f t="shared" si="1229"/>
        <v>0</v>
      </c>
      <c r="CI239" s="7">
        <f t="shared" si="1229"/>
        <v>0</v>
      </c>
      <c r="CJ239" s="3">
        <f t="shared" si="1229"/>
        <v>0</v>
      </c>
      <c r="CK239" s="7">
        <f t="shared" si="1229"/>
        <v>0</v>
      </c>
      <c r="CL239" s="3">
        <f t="shared" si="1229"/>
        <v>0</v>
      </c>
      <c r="CM239" s="7">
        <f t="shared" si="1229"/>
        <v>0</v>
      </c>
      <c r="CN239" s="10">
        <f t="shared" si="1229"/>
        <v>0</v>
      </c>
      <c r="CO239" s="10">
        <f t="shared" si="1229"/>
        <v>0</v>
      </c>
      <c r="CP239" s="7">
        <f t="shared" si="1229"/>
        <v>0</v>
      </c>
      <c r="CQ239" s="7">
        <f t="shared" ref="CQ239" si="1230">IFERROR(CQ544,"-")</f>
        <v>0</v>
      </c>
      <c r="CR239" s="10">
        <f t="shared" ref="CR239:DG250" si="1231">IFERROR(VALUE(CR544),"-")</f>
        <v>0</v>
      </c>
      <c r="CS239" s="7">
        <f t="shared" si="1231"/>
        <v>0</v>
      </c>
      <c r="CT239" s="7">
        <f t="shared" si="1231"/>
        <v>0</v>
      </c>
      <c r="CU239" s="7">
        <f t="shared" si="1231"/>
        <v>0</v>
      </c>
      <c r="CV239" s="7">
        <f t="shared" si="1231"/>
        <v>0</v>
      </c>
      <c r="CW239" s="7">
        <f t="shared" si="1231"/>
        <v>0</v>
      </c>
      <c r="CX239" s="7">
        <f t="shared" si="1231"/>
        <v>0</v>
      </c>
      <c r="CY239" s="7">
        <f t="shared" si="1231"/>
        <v>0</v>
      </c>
      <c r="CZ239" s="7">
        <f t="shared" si="1231"/>
        <v>0</v>
      </c>
      <c r="DA239" s="7">
        <f t="shared" si="1231"/>
        <v>0</v>
      </c>
      <c r="DB239" s="7">
        <f t="shared" si="1231"/>
        <v>0</v>
      </c>
      <c r="DC239" s="7">
        <f t="shared" si="1231"/>
        <v>0</v>
      </c>
      <c r="DD239" s="7">
        <f t="shared" si="1231"/>
        <v>0</v>
      </c>
      <c r="DE239" s="7">
        <f t="shared" si="1231"/>
        <v>0</v>
      </c>
      <c r="DF239" s="7">
        <f t="shared" si="1231"/>
        <v>0</v>
      </c>
      <c r="DG239" s="7">
        <f t="shared" si="1231"/>
        <v>0</v>
      </c>
      <c r="DH239" s="7">
        <f t="shared" ref="DH239:DJ239" si="1232">IFERROR(DH544,"-")</f>
        <v>0</v>
      </c>
      <c r="DI239" s="7">
        <f t="shared" si="1232"/>
        <v>0</v>
      </c>
      <c r="DJ239" s="7">
        <f t="shared" si="1232"/>
        <v>0</v>
      </c>
      <c r="DK239" s="64">
        <f t="shared" ref="DK239:DS239" si="1233">IFERROR(VALUE(DK544),"-")</f>
        <v>0</v>
      </c>
      <c r="DL239" s="64">
        <f t="shared" si="1233"/>
        <v>0</v>
      </c>
      <c r="DM239" s="64">
        <f t="shared" si="1233"/>
        <v>0</v>
      </c>
      <c r="DN239" s="64">
        <f t="shared" si="1233"/>
        <v>0</v>
      </c>
      <c r="DO239" s="64">
        <f t="shared" si="1233"/>
        <v>0</v>
      </c>
      <c r="DP239" s="64">
        <f t="shared" si="1233"/>
        <v>0</v>
      </c>
      <c r="DQ239" s="64">
        <f t="shared" si="1233"/>
        <v>0</v>
      </c>
      <c r="DR239" s="64">
        <f t="shared" si="1233"/>
        <v>0</v>
      </c>
      <c r="DS239" s="64">
        <f t="shared" si="1233"/>
        <v>0</v>
      </c>
      <c r="DT239">
        <f t="shared" si="1000"/>
        <v>0</v>
      </c>
      <c r="DU239" s="10">
        <f t="shared" si="1001"/>
        <v>0</v>
      </c>
    </row>
    <row r="240" spans="1:125" x14ac:dyDescent="0.25">
      <c r="A240" t="s">
        <v>80</v>
      </c>
      <c r="B240" s="2">
        <v>44861</v>
      </c>
      <c r="C240" s="1">
        <v>2500</v>
      </c>
      <c r="D240">
        <v>55</v>
      </c>
      <c r="M240" s="3"/>
      <c r="N240" s="3"/>
      <c r="O240" s="3">
        <f t="shared" si="1002"/>
        <v>0</v>
      </c>
      <c r="P240" s="7">
        <f t="shared" ref="P240:CA240" si="1234">IFERROR(VALUE(P545),"-")</f>
        <v>0</v>
      </c>
      <c r="Q240" s="7">
        <f t="shared" si="1234"/>
        <v>0</v>
      </c>
      <c r="R240" s="7">
        <f t="shared" si="1234"/>
        <v>0</v>
      </c>
      <c r="S240" s="7">
        <f t="shared" si="1234"/>
        <v>0</v>
      </c>
      <c r="T240" s="11">
        <f t="shared" si="1234"/>
        <v>0</v>
      </c>
      <c r="U240" s="11">
        <f t="shared" si="1234"/>
        <v>0</v>
      </c>
      <c r="V240" s="11">
        <f t="shared" si="1234"/>
        <v>0</v>
      </c>
      <c r="W240" s="11">
        <f t="shared" si="1234"/>
        <v>0</v>
      </c>
      <c r="X240" s="14">
        <f t="shared" si="1234"/>
        <v>0</v>
      </c>
      <c r="Y240" s="14">
        <f t="shared" si="1234"/>
        <v>0</v>
      </c>
      <c r="Z240" s="14">
        <f t="shared" si="1234"/>
        <v>0</v>
      </c>
      <c r="AA240" s="14">
        <f t="shared" si="1234"/>
        <v>0</v>
      </c>
      <c r="AB240" s="15">
        <f t="shared" si="1234"/>
        <v>0</v>
      </c>
      <c r="AC240" s="15">
        <f t="shared" si="1234"/>
        <v>0</v>
      </c>
      <c r="AD240" s="13">
        <f t="shared" si="1234"/>
        <v>0</v>
      </c>
      <c r="AE240" s="13">
        <f t="shared" si="1234"/>
        <v>0</v>
      </c>
      <c r="AF240" s="12">
        <f t="shared" si="1234"/>
        <v>0</v>
      </c>
      <c r="AG240" s="12">
        <f t="shared" si="1234"/>
        <v>0</v>
      </c>
      <c r="AH240" s="13">
        <f t="shared" si="1234"/>
        <v>0</v>
      </c>
      <c r="AI240" s="13">
        <f t="shared" si="1234"/>
        <v>0</v>
      </c>
      <c r="AJ240" s="11">
        <f t="shared" si="1234"/>
        <v>0</v>
      </c>
      <c r="AK240" s="11">
        <f t="shared" si="1234"/>
        <v>0</v>
      </c>
      <c r="AL240" s="11">
        <f t="shared" si="1234"/>
        <v>0</v>
      </c>
      <c r="AM240" s="11">
        <f t="shared" si="1234"/>
        <v>0</v>
      </c>
      <c r="AN240" s="11">
        <f t="shared" si="1234"/>
        <v>0</v>
      </c>
      <c r="AO240" s="11">
        <f t="shared" si="1234"/>
        <v>0</v>
      </c>
      <c r="AP240" s="11">
        <f t="shared" si="1234"/>
        <v>0</v>
      </c>
      <c r="AQ240" s="11">
        <f t="shared" si="1234"/>
        <v>0</v>
      </c>
      <c r="AR240" s="16">
        <f t="shared" si="1234"/>
        <v>0</v>
      </c>
      <c r="AS240" s="16">
        <f t="shared" si="1234"/>
        <v>0</v>
      </c>
      <c r="AT240" s="16">
        <f t="shared" si="1234"/>
        <v>0</v>
      </c>
      <c r="AU240" s="7">
        <f t="shared" si="1234"/>
        <v>0</v>
      </c>
      <c r="AV240" s="7">
        <f t="shared" si="1234"/>
        <v>0</v>
      </c>
      <c r="AW240" s="7">
        <f t="shared" si="1234"/>
        <v>0</v>
      </c>
      <c r="AX240" s="7">
        <f t="shared" si="1234"/>
        <v>0</v>
      </c>
      <c r="AY240" s="11">
        <f t="shared" si="1234"/>
        <v>0</v>
      </c>
      <c r="AZ240" s="16">
        <f t="shared" si="1234"/>
        <v>0</v>
      </c>
      <c r="BA240" s="16">
        <f t="shared" si="1234"/>
        <v>0</v>
      </c>
      <c r="BB240" s="16">
        <f t="shared" si="1234"/>
        <v>0</v>
      </c>
      <c r="BC240" s="11">
        <f t="shared" si="1234"/>
        <v>0</v>
      </c>
      <c r="BD240" s="11">
        <f t="shared" si="1234"/>
        <v>0</v>
      </c>
      <c r="BE240" s="11">
        <f t="shared" si="1234"/>
        <v>0</v>
      </c>
      <c r="BF240" s="11">
        <f t="shared" si="1234"/>
        <v>0</v>
      </c>
      <c r="BG240" s="11">
        <f t="shared" si="1234"/>
        <v>0</v>
      </c>
      <c r="BH240" s="11">
        <f t="shared" si="1234"/>
        <v>0</v>
      </c>
      <c r="BI240" s="13">
        <f t="shared" si="1234"/>
        <v>0</v>
      </c>
      <c r="BJ240" s="13">
        <f t="shared" si="1234"/>
        <v>0</v>
      </c>
      <c r="BK240" s="11">
        <f t="shared" si="1234"/>
        <v>0</v>
      </c>
      <c r="BL240" s="12">
        <f t="shared" si="1234"/>
        <v>0</v>
      </c>
      <c r="BM240" s="12">
        <f t="shared" si="1234"/>
        <v>0</v>
      </c>
      <c r="BN240" s="13">
        <f t="shared" si="1234"/>
        <v>0</v>
      </c>
      <c r="BO240" s="13">
        <f t="shared" si="1234"/>
        <v>0</v>
      </c>
      <c r="BP240" s="15">
        <f t="shared" si="1234"/>
        <v>0</v>
      </c>
      <c r="BQ240" s="15">
        <f t="shared" si="1234"/>
        <v>0</v>
      </c>
      <c r="BR240" s="14">
        <f t="shared" si="1234"/>
        <v>0</v>
      </c>
      <c r="BS240" s="14">
        <f t="shared" si="1234"/>
        <v>0</v>
      </c>
      <c r="BT240" s="14">
        <f t="shared" si="1234"/>
        <v>0</v>
      </c>
      <c r="BU240" s="14">
        <f t="shared" si="1234"/>
        <v>0</v>
      </c>
      <c r="BV240" s="11">
        <f t="shared" si="1234"/>
        <v>0</v>
      </c>
      <c r="BW240" s="11">
        <f t="shared" si="1234"/>
        <v>0</v>
      </c>
      <c r="BX240" s="11">
        <f t="shared" si="1234"/>
        <v>0</v>
      </c>
      <c r="BY240" s="11">
        <f t="shared" si="1234"/>
        <v>0</v>
      </c>
      <c r="BZ240" s="7">
        <f t="shared" si="1234"/>
        <v>0</v>
      </c>
      <c r="CA240" s="7">
        <f t="shared" si="1234"/>
        <v>0</v>
      </c>
      <c r="CB240" s="7">
        <f t="shared" ref="CB240:CP240" si="1235">IFERROR(VALUE(CB545),"-")</f>
        <v>0</v>
      </c>
      <c r="CC240" s="7">
        <f t="shared" si="1235"/>
        <v>0</v>
      </c>
      <c r="CD240" s="7">
        <f t="shared" si="1235"/>
        <v>0</v>
      </c>
      <c r="CE240" s="3">
        <f t="shared" si="1235"/>
        <v>0</v>
      </c>
      <c r="CF240" s="7">
        <f t="shared" si="1235"/>
        <v>0</v>
      </c>
      <c r="CG240" s="3">
        <f t="shared" si="1235"/>
        <v>0</v>
      </c>
      <c r="CH240" s="7">
        <f t="shared" si="1235"/>
        <v>0</v>
      </c>
      <c r="CI240" s="7">
        <f t="shared" si="1235"/>
        <v>0</v>
      </c>
      <c r="CJ240" s="3">
        <f t="shared" si="1235"/>
        <v>0</v>
      </c>
      <c r="CK240" s="7">
        <f t="shared" si="1235"/>
        <v>0</v>
      </c>
      <c r="CL240" s="3">
        <f t="shared" si="1235"/>
        <v>0</v>
      </c>
      <c r="CM240" s="7">
        <f t="shared" si="1235"/>
        <v>0</v>
      </c>
      <c r="CN240" s="10">
        <f t="shared" si="1235"/>
        <v>0</v>
      </c>
      <c r="CO240" s="10">
        <f t="shared" si="1235"/>
        <v>0</v>
      </c>
      <c r="CP240" s="7">
        <f t="shared" si="1235"/>
        <v>0</v>
      </c>
      <c r="CQ240" s="7">
        <f t="shared" ref="CQ240" si="1236">IFERROR(CQ545,"-")</f>
        <v>0</v>
      </c>
      <c r="CR240" s="10">
        <f t="shared" si="1231"/>
        <v>0</v>
      </c>
      <c r="CS240" s="7">
        <f t="shared" si="1231"/>
        <v>0</v>
      </c>
      <c r="CT240" s="7">
        <f t="shared" si="1231"/>
        <v>0</v>
      </c>
      <c r="CU240" s="7">
        <f t="shared" si="1231"/>
        <v>0</v>
      </c>
      <c r="CV240" s="7">
        <f t="shared" si="1231"/>
        <v>0</v>
      </c>
      <c r="CW240" s="7">
        <f t="shared" si="1231"/>
        <v>0</v>
      </c>
      <c r="CX240" s="7">
        <f t="shared" si="1231"/>
        <v>0</v>
      </c>
      <c r="CY240" s="7">
        <f t="shared" si="1231"/>
        <v>0</v>
      </c>
      <c r="CZ240" s="7">
        <f t="shared" si="1231"/>
        <v>0</v>
      </c>
      <c r="DA240" s="7">
        <f t="shared" si="1231"/>
        <v>0</v>
      </c>
      <c r="DB240" s="7">
        <f t="shared" si="1231"/>
        <v>0</v>
      </c>
      <c r="DC240" s="7">
        <f t="shared" si="1231"/>
        <v>0</v>
      </c>
      <c r="DD240" s="7">
        <f t="shared" si="1231"/>
        <v>0</v>
      </c>
      <c r="DE240" s="7">
        <f t="shared" si="1231"/>
        <v>0</v>
      </c>
      <c r="DF240" s="7">
        <f t="shared" si="1231"/>
        <v>0</v>
      </c>
      <c r="DG240" s="7">
        <f t="shared" si="1231"/>
        <v>0</v>
      </c>
      <c r="DH240" s="7">
        <f t="shared" ref="DH240:DJ240" si="1237">IFERROR(DH545,"-")</f>
        <v>0</v>
      </c>
      <c r="DI240" s="7">
        <f t="shared" si="1237"/>
        <v>0</v>
      </c>
      <c r="DJ240" s="7">
        <f t="shared" si="1237"/>
        <v>0</v>
      </c>
      <c r="DK240" s="64">
        <f t="shared" ref="DK240:DS240" si="1238">IFERROR(VALUE(DK545),"-")</f>
        <v>0</v>
      </c>
      <c r="DL240" s="64">
        <f t="shared" si="1238"/>
        <v>0</v>
      </c>
      <c r="DM240" s="64">
        <f t="shared" si="1238"/>
        <v>0</v>
      </c>
      <c r="DN240" s="64">
        <f t="shared" si="1238"/>
        <v>0</v>
      </c>
      <c r="DO240" s="64">
        <f t="shared" si="1238"/>
        <v>0</v>
      </c>
      <c r="DP240" s="64">
        <f t="shared" si="1238"/>
        <v>0</v>
      </c>
      <c r="DQ240" s="64">
        <f t="shared" si="1238"/>
        <v>0</v>
      </c>
      <c r="DR240" s="64">
        <f t="shared" si="1238"/>
        <v>0</v>
      </c>
      <c r="DS240" s="64">
        <f t="shared" si="1238"/>
        <v>0</v>
      </c>
      <c r="DT240">
        <f t="shared" si="1000"/>
        <v>0</v>
      </c>
      <c r="DU240" s="10">
        <f t="shared" si="1001"/>
        <v>0</v>
      </c>
    </row>
    <row r="241" spans="1:125" x14ac:dyDescent="0.25">
      <c r="A241" t="s">
        <v>81</v>
      </c>
      <c r="B241" s="2">
        <v>44798</v>
      </c>
      <c r="C241" s="1">
        <v>1250</v>
      </c>
      <c r="D241">
        <v>61</v>
      </c>
      <c r="M241" s="3"/>
      <c r="N241" s="3"/>
      <c r="O241" s="3">
        <f t="shared" si="1002"/>
        <v>0</v>
      </c>
      <c r="P241" s="7">
        <f t="shared" ref="P241:CA241" si="1239">IFERROR(VALUE(P546),"-")</f>
        <v>0</v>
      </c>
      <c r="Q241" s="7">
        <f t="shared" si="1239"/>
        <v>0</v>
      </c>
      <c r="R241" s="7">
        <f t="shared" si="1239"/>
        <v>0</v>
      </c>
      <c r="S241" s="7">
        <f t="shared" si="1239"/>
        <v>0</v>
      </c>
      <c r="T241" s="11">
        <f t="shared" si="1239"/>
        <v>0</v>
      </c>
      <c r="U241" s="11">
        <f t="shared" si="1239"/>
        <v>0</v>
      </c>
      <c r="V241" s="11">
        <f t="shared" si="1239"/>
        <v>0</v>
      </c>
      <c r="W241" s="11">
        <f t="shared" si="1239"/>
        <v>0</v>
      </c>
      <c r="X241" s="14">
        <f t="shared" si="1239"/>
        <v>0</v>
      </c>
      <c r="Y241" s="14">
        <f t="shared" si="1239"/>
        <v>0</v>
      </c>
      <c r="Z241" s="14">
        <f t="shared" si="1239"/>
        <v>0</v>
      </c>
      <c r="AA241" s="14">
        <f t="shared" si="1239"/>
        <v>0</v>
      </c>
      <c r="AB241" s="15">
        <f t="shared" si="1239"/>
        <v>0</v>
      </c>
      <c r="AC241" s="15">
        <f t="shared" si="1239"/>
        <v>0</v>
      </c>
      <c r="AD241" s="13">
        <f t="shared" si="1239"/>
        <v>0</v>
      </c>
      <c r="AE241" s="13">
        <f t="shared" si="1239"/>
        <v>0</v>
      </c>
      <c r="AF241" s="12">
        <f t="shared" si="1239"/>
        <v>0</v>
      </c>
      <c r="AG241" s="12">
        <f t="shared" si="1239"/>
        <v>0</v>
      </c>
      <c r="AH241" s="13">
        <f t="shared" si="1239"/>
        <v>0</v>
      </c>
      <c r="AI241" s="13">
        <f t="shared" si="1239"/>
        <v>0</v>
      </c>
      <c r="AJ241" s="11">
        <f t="shared" si="1239"/>
        <v>0</v>
      </c>
      <c r="AK241" s="11">
        <f t="shared" si="1239"/>
        <v>0</v>
      </c>
      <c r="AL241" s="11">
        <f t="shared" si="1239"/>
        <v>0</v>
      </c>
      <c r="AM241" s="11">
        <f t="shared" si="1239"/>
        <v>0</v>
      </c>
      <c r="AN241" s="11">
        <f t="shared" si="1239"/>
        <v>0</v>
      </c>
      <c r="AO241" s="11">
        <f t="shared" si="1239"/>
        <v>0</v>
      </c>
      <c r="AP241" s="11">
        <f t="shared" si="1239"/>
        <v>0</v>
      </c>
      <c r="AQ241" s="11">
        <f t="shared" si="1239"/>
        <v>0</v>
      </c>
      <c r="AR241" s="16">
        <f t="shared" si="1239"/>
        <v>0</v>
      </c>
      <c r="AS241" s="16">
        <f t="shared" si="1239"/>
        <v>0</v>
      </c>
      <c r="AT241" s="16">
        <f t="shared" si="1239"/>
        <v>0</v>
      </c>
      <c r="AU241" s="7">
        <f t="shared" si="1239"/>
        <v>0</v>
      </c>
      <c r="AV241" s="7">
        <f t="shared" si="1239"/>
        <v>0</v>
      </c>
      <c r="AW241" s="7">
        <f t="shared" si="1239"/>
        <v>0</v>
      </c>
      <c r="AX241" s="7">
        <f t="shared" si="1239"/>
        <v>0</v>
      </c>
      <c r="AY241" s="11">
        <f t="shared" si="1239"/>
        <v>0</v>
      </c>
      <c r="AZ241" s="16">
        <f t="shared" si="1239"/>
        <v>0</v>
      </c>
      <c r="BA241" s="16">
        <f t="shared" si="1239"/>
        <v>0</v>
      </c>
      <c r="BB241" s="16">
        <f t="shared" si="1239"/>
        <v>0</v>
      </c>
      <c r="BC241" s="11">
        <f t="shared" si="1239"/>
        <v>0</v>
      </c>
      <c r="BD241" s="11">
        <f t="shared" si="1239"/>
        <v>0</v>
      </c>
      <c r="BE241" s="11">
        <f t="shared" si="1239"/>
        <v>0</v>
      </c>
      <c r="BF241" s="11">
        <f t="shared" si="1239"/>
        <v>0</v>
      </c>
      <c r="BG241" s="11">
        <f t="shared" si="1239"/>
        <v>0</v>
      </c>
      <c r="BH241" s="11">
        <f t="shared" si="1239"/>
        <v>0</v>
      </c>
      <c r="BI241" s="13">
        <f t="shared" si="1239"/>
        <v>0</v>
      </c>
      <c r="BJ241" s="13">
        <f t="shared" si="1239"/>
        <v>0</v>
      </c>
      <c r="BK241" s="11">
        <f t="shared" si="1239"/>
        <v>0</v>
      </c>
      <c r="BL241" s="12">
        <f t="shared" si="1239"/>
        <v>0</v>
      </c>
      <c r="BM241" s="12">
        <f t="shared" si="1239"/>
        <v>0</v>
      </c>
      <c r="BN241" s="13">
        <f t="shared" si="1239"/>
        <v>0</v>
      </c>
      <c r="BO241" s="13">
        <f t="shared" si="1239"/>
        <v>0</v>
      </c>
      <c r="BP241" s="15">
        <f t="shared" si="1239"/>
        <v>0</v>
      </c>
      <c r="BQ241" s="15">
        <f t="shared" si="1239"/>
        <v>0</v>
      </c>
      <c r="BR241" s="14">
        <f t="shared" si="1239"/>
        <v>0</v>
      </c>
      <c r="BS241" s="14">
        <f t="shared" si="1239"/>
        <v>0</v>
      </c>
      <c r="BT241" s="14">
        <f t="shared" si="1239"/>
        <v>0</v>
      </c>
      <c r="BU241" s="14">
        <f t="shared" si="1239"/>
        <v>0</v>
      </c>
      <c r="BV241" s="11">
        <f t="shared" si="1239"/>
        <v>0</v>
      </c>
      <c r="BW241" s="11">
        <f t="shared" si="1239"/>
        <v>0</v>
      </c>
      <c r="BX241" s="11">
        <f t="shared" si="1239"/>
        <v>0</v>
      </c>
      <c r="BY241" s="11">
        <f t="shared" si="1239"/>
        <v>0</v>
      </c>
      <c r="BZ241" s="7">
        <f t="shared" si="1239"/>
        <v>0</v>
      </c>
      <c r="CA241" s="7">
        <f t="shared" si="1239"/>
        <v>0</v>
      </c>
      <c r="CB241" s="7">
        <f t="shared" ref="CB241:CP241" si="1240">IFERROR(VALUE(CB546),"-")</f>
        <v>0</v>
      </c>
      <c r="CC241" s="7">
        <f t="shared" si="1240"/>
        <v>0</v>
      </c>
      <c r="CD241" s="7">
        <f t="shared" si="1240"/>
        <v>0</v>
      </c>
      <c r="CE241" s="3">
        <f t="shared" si="1240"/>
        <v>0</v>
      </c>
      <c r="CF241" s="7">
        <f t="shared" si="1240"/>
        <v>0</v>
      </c>
      <c r="CG241" s="3">
        <f t="shared" si="1240"/>
        <v>0</v>
      </c>
      <c r="CH241" s="7">
        <f t="shared" si="1240"/>
        <v>0</v>
      </c>
      <c r="CI241" s="7">
        <f t="shared" si="1240"/>
        <v>0</v>
      </c>
      <c r="CJ241" s="3">
        <f t="shared" si="1240"/>
        <v>0</v>
      </c>
      <c r="CK241" s="7">
        <f t="shared" si="1240"/>
        <v>0</v>
      </c>
      <c r="CL241" s="3">
        <f t="shared" si="1240"/>
        <v>0</v>
      </c>
      <c r="CM241" s="7">
        <f t="shared" si="1240"/>
        <v>0</v>
      </c>
      <c r="CN241" s="10">
        <f t="shared" si="1240"/>
        <v>0</v>
      </c>
      <c r="CO241" s="10">
        <f t="shared" si="1240"/>
        <v>0</v>
      </c>
      <c r="CP241" s="7">
        <f t="shared" si="1240"/>
        <v>0</v>
      </c>
      <c r="CQ241" s="7">
        <f t="shared" ref="CQ241" si="1241">IFERROR(CQ546,"-")</f>
        <v>0</v>
      </c>
      <c r="CR241" s="10">
        <f t="shared" si="1231"/>
        <v>0</v>
      </c>
      <c r="CS241" s="7">
        <f t="shared" si="1231"/>
        <v>0</v>
      </c>
      <c r="CT241" s="7">
        <f t="shared" si="1231"/>
        <v>0</v>
      </c>
      <c r="CU241" s="7">
        <f t="shared" si="1231"/>
        <v>0</v>
      </c>
      <c r="CV241" s="7">
        <f t="shared" si="1231"/>
        <v>0</v>
      </c>
      <c r="CW241" s="7">
        <f t="shared" si="1231"/>
        <v>0</v>
      </c>
      <c r="CX241" s="7">
        <f t="shared" si="1231"/>
        <v>0</v>
      </c>
      <c r="CY241" s="7">
        <f t="shared" si="1231"/>
        <v>0</v>
      </c>
      <c r="CZ241" s="7">
        <f t="shared" si="1231"/>
        <v>0</v>
      </c>
      <c r="DA241" s="7">
        <f t="shared" si="1231"/>
        <v>0</v>
      </c>
      <c r="DB241" s="7">
        <f t="shared" si="1231"/>
        <v>0</v>
      </c>
      <c r="DC241" s="7">
        <f t="shared" si="1231"/>
        <v>0</v>
      </c>
      <c r="DD241" s="7">
        <f t="shared" si="1231"/>
        <v>0</v>
      </c>
      <c r="DE241" s="7">
        <f t="shared" si="1231"/>
        <v>0</v>
      </c>
      <c r="DF241" s="7">
        <f t="shared" si="1231"/>
        <v>0</v>
      </c>
      <c r="DG241" s="7">
        <f t="shared" si="1231"/>
        <v>0</v>
      </c>
      <c r="DH241" s="7">
        <f t="shared" ref="DH241:DJ241" si="1242">IFERROR(DH546,"-")</f>
        <v>0</v>
      </c>
      <c r="DI241" s="7">
        <f t="shared" si="1242"/>
        <v>0</v>
      </c>
      <c r="DJ241" s="7">
        <f t="shared" si="1242"/>
        <v>0</v>
      </c>
      <c r="DK241" s="64">
        <f t="shared" ref="DK241:DS241" si="1243">IFERROR(VALUE(DK546),"-")</f>
        <v>0</v>
      </c>
      <c r="DL241" s="64">
        <f t="shared" si="1243"/>
        <v>0</v>
      </c>
      <c r="DM241" s="64">
        <f t="shared" si="1243"/>
        <v>0</v>
      </c>
      <c r="DN241" s="64">
        <f t="shared" si="1243"/>
        <v>0</v>
      </c>
      <c r="DO241" s="64">
        <f t="shared" si="1243"/>
        <v>0</v>
      </c>
      <c r="DP241" s="64">
        <f t="shared" si="1243"/>
        <v>0</v>
      </c>
      <c r="DQ241" s="64">
        <f t="shared" si="1243"/>
        <v>0</v>
      </c>
      <c r="DR241" s="64">
        <f t="shared" si="1243"/>
        <v>0</v>
      </c>
      <c r="DS241" s="64">
        <f t="shared" si="1243"/>
        <v>0</v>
      </c>
      <c r="DT241">
        <f t="shared" si="1000"/>
        <v>0</v>
      </c>
      <c r="DU241" s="10">
        <f t="shared" si="1001"/>
        <v>0</v>
      </c>
    </row>
    <row r="242" spans="1:125" x14ac:dyDescent="0.25">
      <c r="A242" t="s">
        <v>81</v>
      </c>
      <c r="B242" s="2">
        <v>44833</v>
      </c>
      <c r="C242" s="1">
        <v>1250</v>
      </c>
      <c r="D242">
        <v>61</v>
      </c>
      <c r="M242" s="3"/>
      <c r="N242" s="3"/>
      <c r="O242" s="3">
        <f t="shared" si="1002"/>
        <v>0</v>
      </c>
      <c r="P242" s="7">
        <f t="shared" ref="P242:CA242" si="1244">IFERROR(VALUE(P547),"-")</f>
        <v>0</v>
      </c>
      <c r="Q242" s="7">
        <f t="shared" si="1244"/>
        <v>0</v>
      </c>
      <c r="R242" s="7">
        <f t="shared" si="1244"/>
        <v>0</v>
      </c>
      <c r="S242" s="7">
        <f t="shared" si="1244"/>
        <v>0</v>
      </c>
      <c r="T242" s="11">
        <f t="shared" si="1244"/>
        <v>0</v>
      </c>
      <c r="U242" s="11">
        <f t="shared" si="1244"/>
        <v>0</v>
      </c>
      <c r="V242" s="11">
        <f t="shared" si="1244"/>
        <v>0</v>
      </c>
      <c r="W242" s="11">
        <f t="shared" si="1244"/>
        <v>0</v>
      </c>
      <c r="X242" s="14">
        <f t="shared" si="1244"/>
        <v>0</v>
      </c>
      <c r="Y242" s="14">
        <f t="shared" si="1244"/>
        <v>0</v>
      </c>
      <c r="Z242" s="14">
        <f t="shared" si="1244"/>
        <v>0</v>
      </c>
      <c r="AA242" s="14">
        <f t="shared" si="1244"/>
        <v>0</v>
      </c>
      <c r="AB242" s="15">
        <f t="shared" si="1244"/>
        <v>0</v>
      </c>
      <c r="AC242" s="15">
        <f t="shared" si="1244"/>
        <v>0</v>
      </c>
      <c r="AD242" s="13">
        <f t="shared" si="1244"/>
        <v>0</v>
      </c>
      <c r="AE242" s="13">
        <f t="shared" si="1244"/>
        <v>0</v>
      </c>
      <c r="AF242" s="12">
        <f t="shared" si="1244"/>
        <v>0</v>
      </c>
      <c r="AG242" s="12">
        <f t="shared" si="1244"/>
        <v>0</v>
      </c>
      <c r="AH242" s="13">
        <f t="shared" si="1244"/>
        <v>0</v>
      </c>
      <c r="AI242" s="13">
        <f t="shared" si="1244"/>
        <v>0</v>
      </c>
      <c r="AJ242" s="11">
        <f t="shared" si="1244"/>
        <v>0</v>
      </c>
      <c r="AK242" s="11">
        <f t="shared" si="1244"/>
        <v>0</v>
      </c>
      <c r="AL242" s="11">
        <f t="shared" si="1244"/>
        <v>0</v>
      </c>
      <c r="AM242" s="11">
        <f t="shared" si="1244"/>
        <v>0</v>
      </c>
      <c r="AN242" s="11">
        <f t="shared" si="1244"/>
        <v>0</v>
      </c>
      <c r="AO242" s="11">
        <f t="shared" si="1244"/>
        <v>0</v>
      </c>
      <c r="AP242" s="11">
        <f t="shared" si="1244"/>
        <v>0</v>
      </c>
      <c r="AQ242" s="11">
        <f t="shared" si="1244"/>
        <v>0</v>
      </c>
      <c r="AR242" s="16">
        <f t="shared" si="1244"/>
        <v>0</v>
      </c>
      <c r="AS242" s="16">
        <f t="shared" si="1244"/>
        <v>0</v>
      </c>
      <c r="AT242" s="16">
        <f t="shared" si="1244"/>
        <v>0</v>
      </c>
      <c r="AU242" s="7">
        <f t="shared" si="1244"/>
        <v>0</v>
      </c>
      <c r="AV242" s="7">
        <f t="shared" si="1244"/>
        <v>0</v>
      </c>
      <c r="AW242" s="7">
        <f t="shared" si="1244"/>
        <v>0</v>
      </c>
      <c r="AX242" s="7">
        <f t="shared" si="1244"/>
        <v>0</v>
      </c>
      <c r="AY242" s="11">
        <f t="shared" si="1244"/>
        <v>0</v>
      </c>
      <c r="AZ242" s="16">
        <f t="shared" si="1244"/>
        <v>0</v>
      </c>
      <c r="BA242" s="16">
        <f t="shared" si="1244"/>
        <v>0</v>
      </c>
      <c r="BB242" s="16">
        <f t="shared" si="1244"/>
        <v>0</v>
      </c>
      <c r="BC242" s="11">
        <f t="shared" si="1244"/>
        <v>0</v>
      </c>
      <c r="BD242" s="11">
        <f t="shared" si="1244"/>
        <v>0</v>
      </c>
      <c r="BE242" s="11">
        <f t="shared" si="1244"/>
        <v>0</v>
      </c>
      <c r="BF242" s="11">
        <f t="shared" si="1244"/>
        <v>0</v>
      </c>
      <c r="BG242" s="11">
        <f t="shared" si="1244"/>
        <v>0</v>
      </c>
      <c r="BH242" s="11">
        <f t="shared" si="1244"/>
        <v>0</v>
      </c>
      <c r="BI242" s="13">
        <f t="shared" si="1244"/>
        <v>0</v>
      </c>
      <c r="BJ242" s="13">
        <f t="shared" si="1244"/>
        <v>0</v>
      </c>
      <c r="BK242" s="11">
        <f t="shared" si="1244"/>
        <v>0</v>
      </c>
      <c r="BL242" s="12">
        <f t="shared" si="1244"/>
        <v>0</v>
      </c>
      <c r="BM242" s="12">
        <f t="shared" si="1244"/>
        <v>0</v>
      </c>
      <c r="BN242" s="13">
        <f t="shared" si="1244"/>
        <v>0</v>
      </c>
      <c r="BO242" s="13">
        <f t="shared" si="1244"/>
        <v>0</v>
      </c>
      <c r="BP242" s="15">
        <f t="shared" si="1244"/>
        <v>0</v>
      </c>
      <c r="BQ242" s="15">
        <f t="shared" si="1244"/>
        <v>0</v>
      </c>
      <c r="BR242" s="14">
        <f t="shared" si="1244"/>
        <v>0</v>
      </c>
      <c r="BS242" s="14">
        <f t="shared" si="1244"/>
        <v>0</v>
      </c>
      <c r="BT242" s="14">
        <f t="shared" si="1244"/>
        <v>0</v>
      </c>
      <c r="BU242" s="14">
        <f t="shared" si="1244"/>
        <v>0</v>
      </c>
      <c r="BV242" s="11">
        <f t="shared" si="1244"/>
        <v>0</v>
      </c>
      <c r="BW242" s="11">
        <f t="shared" si="1244"/>
        <v>0</v>
      </c>
      <c r="BX242" s="11">
        <f t="shared" si="1244"/>
        <v>0</v>
      </c>
      <c r="BY242" s="11">
        <f t="shared" si="1244"/>
        <v>0</v>
      </c>
      <c r="BZ242" s="7">
        <f t="shared" si="1244"/>
        <v>0</v>
      </c>
      <c r="CA242" s="7">
        <f t="shared" si="1244"/>
        <v>0</v>
      </c>
      <c r="CB242" s="7">
        <f t="shared" ref="CB242:CP242" si="1245">IFERROR(VALUE(CB547),"-")</f>
        <v>0</v>
      </c>
      <c r="CC242" s="7">
        <f t="shared" si="1245"/>
        <v>0</v>
      </c>
      <c r="CD242" s="7">
        <f t="shared" si="1245"/>
        <v>0</v>
      </c>
      <c r="CE242" s="3">
        <f t="shared" si="1245"/>
        <v>0</v>
      </c>
      <c r="CF242" s="7">
        <f t="shared" si="1245"/>
        <v>0</v>
      </c>
      <c r="CG242" s="3">
        <f t="shared" si="1245"/>
        <v>0</v>
      </c>
      <c r="CH242" s="7">
        <f t="shared" si="1245"/>
        <v>0</v>
      </c>
      <c r="CI242" s="7">
        <f t="shared" si="1245"/>
        <v>0</v>
      </c>
      <c r="CJ242" s="3">
        <f t="shared" si="1245"/>
        <v>0</v>
      </c>
      <c r="CK242" s="7">
        <f t="shared" si="1245"/>
        <v>0</v>
      </c>
      <c r="CL242" s="3">
        <f t="shared" si="1245"/>
        <v>0</v>
      </c>
      <c r="CM242" s="7">
        <f t="shared" si="1245"/>
        <v>0</v>
      </c>
      <c r="CN242" s="10">
        <f t="shared" si="1245"/>
        <v>0</v>
      </c>
      <c r="CO242" s="10">
        <f t="shared" si="1245"/>
        <v>0</v>
      </c>
      <c r="CP242" s="7">
        <f t="shared" si="1245"/>
        <v>0</v>
      </c>
      <c r="CQ242" s="7">
        <f t="shared" ref="CQ242" si="1246">IFERROR(CQ547,"-")</f>
        <v>0</v>
      </c>
      <c r="CR242" s="10">
        <f t="shared" si="1231"/>
        <v>0</v>
      </c>
      <c r="CS242" s="7">
        <f t="shared" si="1231"/>
        <v>0</v>
      </c>
      <c r="CT242" s="7">
        <f t="shared" si="1231"/>
        <v>0</v>
      </c>
      <c r="CU242" s="7">
        <f t="shared" si="1231"/>
        <v>0</v>
      </c>
      <c r="CV242" s="7">
        <f t="shared" si="1231"/>
        <v>0</v>
      </c>
      <c r="CW242" s="7">
        <f t="shared" si="1231"/>
        <v>0</v>
      </c>
      <c r="CX242" s="7">
        <f t="shared" si="1231"/>
        <v>0</v>
      </c>
      <c r="CY242" s="7">
        <f t="shared" si="1231"/>
        <v>0</v>
      </c>
      <c r="CZ242" s="7">
        <f t="shared" si="1231"/>
        <v>0</v>
      </c>
      <c r="DA242" s="7">
        <f t="shared" si="1231"/>
        <v>0</v>
      </c>
      <c r="DB242" s="7">
        <f t="shared" si="1231"/>
        <v>0</v>
      </c>
      <c r="DC242" s="7">
        <f t="shared" si="1231"/>
        <v>0</v>
      </c>
      <c r="DD242" s="7">
        <f t="shared" si="1231"/>
        <v>0</v>
      </c>
      <c r="DE242" s="7">
        <f t="shared" si="1231"/>
        <v>0</v>
      </c>
      <c r="DF242" s="7">
        <f t="shared" si="1231"/>
        <v>0</v>
      </c>
      <c r="DG242" s="7">
        <f t="shared" si="1231"/>
        <v>0</v>
      </c>
      <c r="DH242" s="7">
        <f t="shared" ref="DH242:DJ242" si="1247">IFERROR(DH547,"-")</f>
        <v>0</v>
      </c>
      <c r="DI242" s="7">
        <f t="shared" si="1247"/>
        <v>0</v>
      </c>
      <c r="DJ242" s="7">
        <f t="shared" si="1247"/>
        <v>0</v>
      </c>
      <c r="DK242" s="64">
        <f t="shared" ref="DK242:DS242" si="1248">IFERROR(VALUE(DK547),"-")</f>
        <v>0</v>
      </c>
      <c r="DL242" s="64">
        <f t="shared" si="1248"/>
        <v>0</v>
      </c>
      <c r="DM242" s="64">
        <f t="shared" si="1248"/>
        <v>0</v>
      </c>
      <c r="DN242" s="64">
        <f t="shared" si="1248"/>
        <v>0</v>
      </c>
      <c r="DO242" s="64">
        <f t="shared" si="1248"/>
        <v>0</v>
      </c>
      <c r="DP242" s="64">
        <f t="shared" si="1248"/>
        <v>0</v>
      </c>
      <c r="DQ242" s="64">
        <f t="shared" si="1248"/>
        <v>0</v>
      </c>
      <c r="DR242" s="64">
        <f t="shared" si="1248"/>
        <v>0</v>
      </c>
      <c r="DS242" s="64">
        <f t="shared" si="1248"/>
        <v>0</v>
      </c>
      <c r="DT242">
        <f t="shared" si="1000"/>
        <v>0</v>
      </c>
      <c r="DU242" s="10">
        <f t="shared" si="1001"/>
        <v>0</v>
      </c>
    </row>
    <row r="243" spans="1:125" x14ac:dyDescent="0.25">
      <c r="A243" t="s">
        <v>81</v>
      </c>
      <c r="B243" s="2">
        <v>44861</v>
      </c>
      <c r="C243" s="1">
        <v>1250</v>
      </c>
      <c r="D243">
        <v>61</v>
      </c>
      <c r="M243" s="3"/>
      <c r="N243" s="3"/>
      <c r="O243" s="3">
        <f t="shared" si="1002"/>
        <v>0</v>
      </c>
      <c r="P243" s="7">
        <f t="shared" ref="P243:CA243" si="1249">IFERROR(VALUE(P548),"-")</f>
        <v>0</v>
      </c>
      <c r="Q243" s="7">
        <f t="shared" si="1249"/>
        <v>0</v>
      </c>
      <c r="R243" s="7">
        <f t="shared" si="1249"/>
        <v>0</v>
      </c>
      <c r="S243" s="7">
        <f t="shared" si="1249"/>
        <v>0</v>
      </c>
      <c r="T243" s="11">
        <f t="shared" si="1249"/>
        <v>0</v>
      </c>
      <c r="U243" s="11">
        <f t="shared" si="1249"/>
        <v>0</v>
      </c>
      <c r="V243" s="11">
        <f t="shared" si="1249"/>
        <v>0</v>
      </c>
      <c r="W243" s="11">
        <f t="shared" si="1249"/>
        <v>0</v>
      </c>
      <c r="X243" s="14">
        <f t="shared" si="1249"/>
        <v>0</v>
      </c>
      <c r="Y243" s="14">
        <f t="shared" si="1249"/>
        <v>0</v>
      </c>
      <c r="Z243" s="14">
        <f t="shared" si="1249"/>
        <v>0</v>
      </c>
      <c r="AA243" s="14">
        <f t="shared" si="1249"/>
        <v>0</v>
      </c>
      <c r="AB243" s="15">
        <f t="shared" si="1249"/>
        <v>0</v>
      </c>
      <c r="AC243" s="15">
        <f t="shared" si="1249"/>
        <v>0</v>
      </c>
      <c r="AD243" s="13">
        <f t="shared" si="1249"/>
        <v>0</v>
      </c>
      <c r="AE243" s="13">
        <f t="shared" si="1249"/>
        <v>0</v>
      </c>
      <c r="AF243" s="12">
        <f t="shared" si="1249"/>
        <v>0</v>
      </c>
      <c r="AG243" s="12">
        <f t="shared" si="1249"/>
        <v>0</v>
      </c>
      <c r="AH243" s="13">
        <f t="shared" si="1249"/>
        <v>0</v>
      </c>
      <c r="AI243" s="13">
        <f t="shared" si="1249"/>
        <v>0</v>
      </c>
      <c r="AJ243" s="11">
        <f t="shared" si="1249"/>
        <v>0</v>
      </c>
      <c r="AK243" s="11">
        <f t="shared" si="1249"/>
        <v>0</v>
      </c>
      <c r="AL243" s="11">
        <f t="shared" si="1249"/>
        <v>0</v>
      </c>
      <c r="AM243" s="11">
        <f t="shared" si="1249"/>
        <v>0</v>
      </c>
      <c r="AN243" s="11">
        <f t="shared" si="1249"/>
        <v>0</v>
      </c>
      <c r="AO243" s="11">
        <f t="shared" si="1249"/>
        <v>0</v>
      </c>
      <c r="AP243" s="11">
        <f t="shared" si="1249"/>
        <v>0</v>
      </c>
      <c r="AQ243" s="11">
        <f t="shared" si="1249"/>
        <v>0</v>
      </c>
      <c r="AR243" s="16">
        <f t="shared" si="1249"/>
        <v>0</v>
      </c>
      <c r="AS243" s="16">
        <f t="shared" si="1249"/>
        <v>0</v>
      </c>
      <c r="AT243" s="16">
        <f t="shared" si="1249"/>
        <v>0</v>
      </c>
      <c r="AU243" s="7">
        <f t="shared" si="1249"/>
        <v>0</v>
      </c>
      <c r="AV243" s="7">
        <f t="shared" si="1249"/>
        <v>0</v>
      </c>
      <c r="AW243" s="7">
        <f t="shared" si="1249"/>
        <v>0</v>
      </c>
      <c r="AX243" s="7">
        <f t="shared" si="1249"/>
        <v>0</v>
      </c>
      <c r="AY243" s="11">
        <f t="shared" si="1249"/>
        <v>0</v>
      </c>
      <c r="AZ243" s="16">
        <f t="shared" si="1249"/>
        <v>0</v>
      </c>
      <c r="BA243" s="16">
        <f t="shared" si="1249"/>
        <v>0</v>
      </c>
      <c r="BB243" s="16">
        <f t="shared" si="1249"/>
        <v>0</v>
      </c>
      <c r="BC243" s="11">
        <f t="shared" si="1249"/>
        <v>0</v>
      </c>
      <c r="BD243" s="11">
        <f t="shared" si="1249"/>
        <v>0</v>
      </c>
      <c r="BE243" s="11">
        <f t="shared" si="1249"/>
        <v>0</v>
      </c>
      <c r="BF243" s="11">
        <f t="shared" si="1249"/>
        <v>0</v>
      </c>
      <c r="BG243" s="11">
        <f t="shared" si="1249"/>
        <v>0</v>
      </c>
      <c r="BH243" s="11">
        <f t="shared" si="1249"/>
        <v>0</v>
      </c>
      <c r="BI243" s="13">
        <f t="shared" si="1249"/>
        <v>0</v>
      </c>
      <c r="BJ243" s="13">
        <f t="shared" si="1249"/>
        <v>0</v>
      </c>
      <c r="BK243" s="11">
        <f t="shared" si="1249"/>
        <v>0</v>
      </c>
      <c r="BL243" s="12">
        <f t="shared" si="1249"/>
        <v>0</v>
      </c>
      <c r="BM243" s="12">
        <f t="shared" si="1249"/>
        <v>0</v>
      </c>
      <c r="BN243" s="13">
        <f t="shared" si="1249"/>
        <v>0</v>
      </c>
      <c r="BO243" s="13">
        <f t="shared" si="1249"/>
        <v>0</v>
      </c>
      <c r="BP243" s="15">
        <f t="shared" si="1249"/>
        <v>0</v>
      </c>
      <c r="BQ243" s="15">
        <f t="shared" si="1249"/>
        <v>0</v>
      </c>
      <c r="BR243" s="14">
        <f t="shared" si="1249"/>
        <v>0</v>
      </c>
      <c r="BS243" s="14">
        <f t="shared" si="1249"/>
        <v>0</v>
      </c>
      <c r="BT243" s="14">
        <f t="shared" si="1249"/>
        <v>0</v>
      </c>
      <c r="BU243" s="14">
        <f t="shared" si="1249"/>
        <v>0</v>
      </c>
      <c r="BV243" s="11">
        <f t="shared" si="1249"/>
        <v>0</v>
      </c>
      <c r="BW243" s="11">
        <f t="shared" si="1249"/>
        <v>0</v>
      </c>
      <c r="BX243" s="11">
        <f t="shared" si="1249"/>
        <v>0</v>
      </c>
      <c r="BY243" s="11">
        <f t="shared" si="1249"/>
        <v>0</v>
      </c>
      <c r="BZ243" s="7">
        <f t="shared" si="1249"/>
        <v>0</v>
      </c>
      <c r="CA243" s="7">
        <f t="shared" si="1249"/>
        <v>0</v>
      </c>
      <c r="CB243" s="7">
        <f t="shared" ref="CB243:CP243" si="1250">IFERROR(VALUE(CB548),"-")</f>
        <v>0</v>
      </c>
      <c r="CC243" s="7">
        <f t="shared" si="1250"/>
        <v>0</v>
      </c>
      <c r="CD243" s="7">
        <f t="shared" si="1250"/>
        <v>0</v>
      </c>
      <c r="CE243" s="3">
        <f t="shared" si="1250"/>
        <v>0</v>
      </c>
      <c r="CF243" s="7">
        <f t="shared" si="1250"/>
        <v>0</v>
      </c>
      <c r="CG243" s="3">
        <f t="shared" si="1250"/>
        <v>0</v>
      </c>
      <c r="CH243" s="7">
        <f t="shared" si="1250"/>
        <v>0</v>
      </c>
      <c r="CI243" s="7">
        <f t="shared" si="1250"/>
        <v>0</v>
      </c>
      <c r="CJ243" s="3">
        <f t="shared" si="1250"/>
        <v>0</v>
      </c>
      <c r="CK243" s="7">
        <f t="shared" si="1250"/>
        <v>0</v>
      </c>
      <c r="CL243" s="3">
        <f t="shared" si="1250"/>
        <v>0</v>
      </c>
      <c r="CM243" s="7">
        <f t="shared" si="1250"/>
        <v>0</v>
      </c>
      <c r="CN243" s="10">
        <f t="shared" si="1250"/>
        <v>0</v>
      </c>
      <c r="CO243" s="10">
        <f t="shared" si="1250"/>
        <v>0</v>
      </c>
      <c r="CP243" s="7">
        <f t="shared" si="1250"/>
        <v>0</v>
      </c>
      <c r="CQ243" s="7">
        <f t="shared" ref="CQ243" si="1251">IFERROR(CQ548,"-")</f>
        <v>0</v>
      </c>
      <c r="CR243" s="10">
        <f t="shared" si="1231"/>
        <v>0</v>
      </c>
      <c r="CS243" s="7">
        <f t="shared" si="1231"/>
        <v>0</v>
      </c>
      <c r="CT243" s="7">
        <f t="shared" si="1231"/>
        <v>0</v>
      </c>
      <c r="CU243" s="7">
        <f t="shared" si="1231"/>
        <v>0</v>
      </c>
      <c r="CV243" s="7">
        <f t="shared" si="1231"/>
        <v>0</v>
      </c>
      <c r="CW243" s="7">
        <f t="shared" si="1231"/>
        <v>0</v>
      </c>
      <c r="CX243" s="7">
        <f t="shared" si="1231"/>
        <v>0</v>
      </c>
      <c r="CY243" s="7">
        <f t="shared" si="1231"/>
        <v>0</v>
      </c>
      <c r="CZ243" s="7">
        <f t="shared" si="1231"/>
        <v>0</v>
      </c>
      <c r="DA243" s="7">
        <f t="shared" si="1231"/>
        <v>0</v>
      </c>
      <c r="DB243" s="7">
        <f t="shared" si="1231"/>
        <v>0</v>
      </c>
      <c r="DC243" s="7">
        <f t="shared" si="1231"/>
        <v>0</v>
      </c>
      <c r="DD243" s="7">
        <f t="shared" si="1231"/>
        <v>0</v>
      </c>
      <c r="DE243" s="7">
        <f t="shared" si="1231"/>
        <v>0</v>
      </c>
      <c r="DF243" s="7">
        <f t="shared" si="1231"/>
        <v>0</v>
      </c>
      <c r="DG243" s="7">
        <f t="shared" si="1231"/>
        <v>0</v>
      </c>
      <c r="DH243" s="7">
        <f t="shared" ref="DH243:DJ243" si="1252">IFERROR(DH548,"-")</f>
        <v>0</v>
      </c>
      <c r="DI243" s="7">
        <f t="shared" si="1252"/>
        <v>0</v>
      </c>
      <c r="DJ243" s="7">
        <f t="shared" si="1252"/>
        <v>0</v>
      </c>
      <c r="DK243" s="64">
        <f t="shared" ref="DK243:DS243" si="1253">IFERROR(VALUE(DK548),"-")</f>
        <v>0</v>
      </c>
      <c r="DL243" s="64">
        <f t="shared" si="1253"/>
        <v>0</v>
      </c>
      <c r="DM243" s="64">
        <f t="shared" si="1253"/>
        <v>0</v>
      </c>
      <c r="DN243" s="64">
        <f t="shared" si="1253"/>
        <v>0</v>
      </c>
      <c r="DO243" s="64">
        <f t="shared" si="1253"/>
        <v>0</v>
      </c>
      <c r="DP243" s="64">
        <f t="shared" si="1253"/>
        <v>0</v>
      </c>
      <c r="DQ243" s="64">
        <f t="shared" si="1253"/>
        <v>0</v>
      </c>
      <c r="DR243" s="64">
        <f t="shared" si="1253"/>
        <v>0</v>
      </c>
      <c r="DS243" s="64">
        <f t="shared" si="1253"/>
        <v>0</v>
      </c>
      <c r="DT243">
        <f t="shared" si="1000"/>
        <v>0</v>
      </c>
      <c r="DU243" s="10">
        <f t="shared" si="1001"/>
        <v>0</v>
      </c>
    </row>
    <row r="244" spans="1:125" x14ac:dyDescent="0.25">
      <c r="A244" t="s">
        <v>82</v>
      </c>
      <c r="B244" s="2">
        <v>44798</v>
      </c>
      <c r="C244" s="1">
        <v>475</v>
      </c>
      <c r="D244">
        <v>93</v>
      </c>
      <c r="M244" s="3"/>
      <c r="N244" s="3"/>
      <c r="O244" s="3">
        <f t="shared" si="1002"/>
        <v>0</v>
      </c>
      <c r="P244" s="7">
        <f t="shared" ref="P244:CA244" si="1254">IFERROR(VALUE(P549),"-")</f>
        <v>0</v>
      </c>
      <c r="Q244" s="7">
        <f t="shared" si="1254"/>
        <v>0</v>
      </c>
      <c r="R244" s="7">
        <f t="shared" si="1254"/>
        <v>0</v>
      </c>
      <c r="S244" s="7">
        <f t="shared" si="1254"/>
        <v>0</v>
      </c>
      <c r="T244" s="11">
        <f t="shared" si="1254"/>
        <v>0</v>
      </c>
      <c r="U244" s="11">
        <f t="shared" si="1254"/>
        <v>0</v>
      </c>
      <c r="V244" s="11">
        <f t="shared" si="1254"/>
        <v>0</v>
      </c>
      <c r="W244" s="11">
        <f t="shared" si="1254"/>
        <v>0</v>
      </c>
      <c r="X244" s="14">
        <f t="shared" si="1254"/>
        <v>0</v>
      </c>
      <c r="Y244" s="14">
        <f t="shared" si="1254"/>
        <v>0</v>
      </c>
      <c r="Z244" s="14">
        <f t="shared" si="1254"/>
        <v>0</v>
      </c>
      <c r="AA244" s="14">
        <f t="shared" si="1254"/>
        <v>0</v>
      </c>
      <c r="AB244" s="15">
        <f t="shared" si="1254"/>
        <v>0</v>
      </c>
      <c r="AC244" s="15">
        <f t="shared" si="1254"/>
        <v>0</v>
      </c>
      <c r="AD244" s="13">
        <f t="shared" si="1254"/>
        <v>0</v>
      </c>
      <c r="AE244" s="13">
        <f t="shared" si="1254"/>
        <v>0</v>
      </c>
      <c r="AF244" s="12">
        <f t="shared" si="1254"/>
        <v>0</v>
      </c>
      <c r="AG244" s="12">
        <f t="shared" si="1254"/>
        <v>0</v>
      </c>
      <c r="AH244" s="13">
        <f t="shared" si="1254"/>
        <v>0</v>
      </c>
      <c r="AI244" s="13">
        <f t="shared" si="1254"/>
        <v>0</v>
      </c>
      <c r="AJ244" s="11">
        <f t="shared" si="1254"/>
        <v>0</v>
      </c>
      <c r="AK244" s="11">
        <f t="shared" si="1254"/>
        <v>0</v>
      </c>
      <c r="AL244" s="11">
        <f t="shared" si="1254"/>
        <v>0</v>
      </c>
      <c r="AM244" s="11">
        <f t="shared" si="1254"/>
        <v>0</v>
      </c>
      <c r="AN244" s="11">
        <f t="shared" si="1254"/>
        <v>0</v>
      </c>
      <c r="AO244" s="11">
        <f t="shared" si="1254"/>
        <v>0</v>
      </c>
      <c r="AP244" s="11">
        <f t="shared" si="1254"/>
        <v>0</v>
      </c>
      <c r="AQ244" s="11">
        <f t="shared" si="1254"/>
        <v>0</v>
      </c>
      <c r="AR244" s="16">
        <f t="shared" si="1254"/>
        <v>0</v>
      </c>
      <c r="AS244" s="16">
        <f t="shared" si="1254"/>
        <v>0</v>
      </c>
      <c r="AT244" s="16">
        <f t="shared" si="1254"/>
        <v>0</v>
      </c>
      <c r="AU244" s="7">
        <f t="shared" si="1254"/>
        <v>0</v>
      </c>
      <c r="AV244" s="7">
        <f t="shared" si="1254"/>
        <v>0</v>
      </c>
      <c r="AW244" s="7">
        <f t="shared" si="1254"/>
        <v>0</v>
      </c>
      <c r="AX244" s="7">
        <f t="shared" si="1254"/>
        <v>0</v>
      </c>
      <c r="AY244" s="11">
        <f t="shared" si="1254"/>
        <v>0</v>
      </c>
      <c r="AZ244" s="16">
        <f t="shared" si="1254"/>
        <v>0</v>
      </c>
      <c r="BA244" s="16">
        <f t="shared" si="1254"/>
        <v>0</v>
      </c>
      <c r="BB244" s="16">
        <f t="shared" si="1254"/>
        <v>0</v>
      </c>
      <c r="BC244" s="11">
        <f t="shared" si="1254"/>
        <v>0</v>
      </c>
      <c r="BD244" s="11">
        <f t="shared" si="1254"/>
        <v>0</v>
      </c>
      <c r="BE244" s="11">
        <f t="shared" si="1254"/>
        <v>0</v>
      </c>
      <c r="BF244" s="11">
        <f t="shared" si="1254"/>
        <v>0</v>
      </c>
      <c r="BG244" s="11">
        <f t="shared" si="1254"/>
        <v>0</v>
      </c>
      <c r="BH244" s="11">
        <f t="shared" si="1254"/>
        <v>0</v>
      </c>
      <c r="BI244" s="13">
        <f t="shared" si="1254"/>
        <v>0</v>
      </c>
      <c r="BJ244" s="13">
        <f t="shared" si="1254"/>
        <v>0</v>
      </c>
      <c r="BK244" s="11">
        <f t="shared" si="1254"/>
        <v>0</v>
      </c>
      <c r="BL244" s="12">
        <f t="shared" si="1254"/>
        <v>0</v>
      </c>
      <c r="BM244" s="12">
        <f t="shared" si="1254"/>
        <v>0</v>
      </c>
      <c r="BN244" s="13">
        <f t="shared" si="1254"/>
        <v>0</v>
      </c>
      <c r="BO244" s="13">
        <f t="shared" si="1254"/>
        <v>0</v>
      </c>
      <c r="BP244" s="15">
        <f t="shared" si="1254"/>
        <v>0</v>
      </c>
      <c r="BQ244" s="15">
        <f t="shared" si="1254"/>
        <v>0</v>
      </c>
      <c r="BR244" s="14">
        <f t="shared" si="1254"/>
        <v>0</v>
      </c>
      <c r="BS244" s="14">
        <f t="shared" si="1254"/>
        <v>0</v>
      </c>
      <c r="BT244" s="14">
        <f t="shared" si="1254"/>
        <v>0</v>
      </c>
      <c r="BU244" s="14">
        <f t="shared" si="1254"/>
        <v>0</v>
      </c>
      <c r="BV244" s="11">
        <f t="shared" si="1254"/>
        <v>0</v>
      </c>
      <c r="BW244" s="11">
        <f t="shared" si="1254"/>
        <v>0</v>
      </c>
      <c r="BX244" s="11">
        <f t="shared" si="1254"/>
        <v>0</v>
      </c>
      <c r="BY244" s="11">
        <f t="shared" si="1254"/>
        <v>0</v>
      </c>
      <c r="BZ244" s="7">
        <f t="shared" si="1254"/>
        <v>0</v>
      </c>
      <c r="CA244" s="7">
        <f t="shared" si="1254"/>
        <v>0</v>
      </c>
      <c r="CB244" s="7">
        <f t="shared" ref="CB244:CP244" si="1255">IFERROR(VALUE(CB549),"-")</f>
        <v>0</v>
      </c>
      <c r="CC244" s="7">
        <f t="shared" si="1255"/>
        <v>0</v>
      </c>
      <c r="CD244" s="7">
        <f t="shared" si="1255"/>
        <v>0</v>
      </c>
      <c r="CE244" s="3">
        <f t="shared" si="1255"/>
        <v>0</v>
      </c>
      <c r="CF244" s="7">
        <f t="shared" si="1255"/>
        <v>0</v>
      </c>
      <c r="CG244" s="3">
        <f t="shared" si="1255"/>
        <v>0</v>
      </c>
      <c r="CH244" s="7">
        <f t="shared" si="1255"/>
        <v>0</v>
      </c>
      <c r="CI244" s="7">
        <f t="shared" si="1255"/>
        <v>0</v>
      </c>
      <c r="CJ244" s="3">
        <f t="shared" si="1255"/>
        <v>0</v>
      </c>
      <c r="CK244" s="7">
        <f t="shared" si="1255"/>
        <v>0</v>
      </c>
      <c r="CL244" s="3">
        <f t="shared" si="1255"/>
        <v>0</v>
      </c>
      <c r="CM244" s="7">
        <f t="shared" si="1255"/>
        <v>0</v>
      </c>
      <c r="CN244" s="10">
        <f t="shared" si="1255"/>
        <v>0</v>
      </c>
      <c r="CO244" s="10">
        <f t="shared" si="1255"/>
        <v>0</v>
      </c>
      <c r="CP244" s="7">
        <f t="shared" si="1255"/>
        <v>0</v>
      </c>
      <c r="CQ244" s="7">
        <f t="shared" ref="CQ244" si="1256">IFERROR(CQ549,"-")</f>
        <v>0</v>
      </c>
      <c r="CR244" s="10">
        <f t="shared" si="1231"/>
        <v>0</v>
      </c>
      <c r="CS244" s="7">
        <f t="shared" si="1231"/>
        <v>0</v>
      </c>
      <c r="CT244" s="7">
        <f t="shared" si="1231"/>
        <v>0</v>
      </c>
      <c r="CU244" s="7">
        <f t="shared" si="1231"/>
        <v>0</v>
      </c>
      <c r="CV244" s="7">
        <f t="shared" si="1231"/>
        <v>0</v>
      </c>
      <c r="CW244" s="7">
        <f t="shared" si="1231"/>
        <v>0</v>
      </c>
      <c r="CX244" s="7">
        <f t="shared" si="1231"/>
        <v>0</v>
      </c>
      <c r="CY244" s="7">
        <f t="shared" si="1231"/>
        <v>0</v>
      </c>
      <c r="CZ244" s="7">
        <f t="shared" si="1231"/>
        <v>0</v>
      </c>
      <c r="DA244" s="7">
        <f t="shared" si="1231"/>
        <v>0</v>
      </c>
      <c r="DB244" s="7">
        <f t="shared" si="1231"/>
        <v>0</v>
      </c>
      <c r="DC244" s="7">
        <f t="shared" si="1231"/>
        <v>0</v>
      </c>
      <c r="DD244" s="7">
        <f t="shared" si="1231"/>
        <v>0</v>
      </c>
      <c r="DE244" s="7">
        <f t="shared" si="1231"/>
        <v>0</v>
      </c>
      <c r="DF244" s="7">
        <f t="shared" si="1231"/>
        <v>0</v>
      </c>
      <c r="DG244" s="7">
        <f t="shared" si="1231"/>
        <v>0</v>
      </c>
      <c r="DH244" s="7">
        <f t="shared" ref="DH244:DJ244" si="1257">IFERROR(DH549,"-")</f>
        <v>0</v>
      </c>
      <c r="DI244" s="7">
        <f t="shared" si="1257"/>
        <v>0</v>
      </c>
      <c r="DJ244" s="7">
        <f t="shared" si="1257"/>
        <v>0</v>
      </c>
      <c r="DK244" s="64">
        <f t="shared" ref="DK244:DS244" si="1258">IFERROR(VALUE(DK549),"-")</f>
        <v>0</v>
      </c>
      <c r="DL244" s="64">
        <f t="shared" si="1258"/>
        <v>0</v>
      </c>
      <c r="DM244" s="64">
        <f t="shared" si="1258"/>
        <v>0</v>
      </c>
      <c r="DN244" s="64">
        <f t="shared" si="1258"/>
        <v>0</v>
      </c>
      <c r="DO244" s="64">
        <f t="shared" si="1258"/>
        <v>0</v>
      </c>
      <c r="DP244" s="64">
        <f t="shared" si="1258"/>
        <v>0</v>
      </c>
      <c r="DQ244" s="64">
        <f t="shared" si="1258"/>
        <v>0</v>
      </c>
      <c r="DR244" s="64">
        <f t="shared" si="1258"/>
        <v>0</v>
      </c>
      <c r="DS244" s="64">
        <f t="shared" si="1258"/>
        <v>0</v>
      </c>
      <c r="DT244">
        <f t="shared" si="1000"/>
        <v>0</v>
      </c>
      <c r="DU244" s="10">
        <f t="shared" si="1001"/>
        <v>0</v>
      </c>
    </row>
    <row r="245" spans="1:125" x14ac:dyDescent="0.25">
      <c r="A245" t="s">
        <v>82</v>
      </c>
      <c r="B245" s="2">
        <v>44833</v>
      </c>
      <c r="C245" s="1">
        <v>475</v>
      </c>
      <c r="D245">
        <v>93</v>
      </c>
      <c r="M245" s="3"/>
      <c r="N245" s="3"/>
      <c r="O245" s="3">
        <f t="shared" si="1002"/>
        <v>0</v>
      </c>
      <c r="P245" s="7">
        <f t="shared" ref="P245:CA245" si="1259">IFERROR(VALUE(P550),"-")</f>
        <v>0</v>
      </c>
      <c r="Q245" s="7">
        <f t="shared" si="1259"/>
        <v>0</v>
      </c>
      <c r="R245" s="7">
        <f t="shared" si="1259"/>
        <v>0</v>
      </c>
      <c r="S245" s="7">
        <f t="shared" si="1259"/>
        <v>0</v>
      </c>
      <c r="T245" s="11">
        <f t="shared" si="1259"/>
        <v>0</v>
      </c>
      <c r="U245" s="11">
        <f t="shared" si="1259"/>
        <v>0</v>
      </c>
      <c r="V245" s="11">
        <f t="shared" si="1259"/>
        <v>0</v>
      </c>
      <c r="W245" s="11">
        <f t="shared" si="1259"/>
        <v>0</v>
      </c>
      <c r="X245" s="14">
        <f t="shared" si="1259"/>
        <v>0</v>
      </c>
      <c r="Y245" s="14">
        <f t="shared" si="1259"/>
        <v>0</v>
      </c>
      <c r="Z245" s="14">
        <f t="shared" si="1259"/>
        <v>0</v>
      </c>
      <c r="AA245" s="14">
        <f t="shared" si="1259"/>
        <v>0</v>
      </c>
      <c r="AB245" s="15">
        <f t="shared" si="1259"/>
        <v>0</v>
      </c>
      <c r="AC245" s="15">
        <f t="shared" si="1259"/>
        <v>0</v>
      </c>
      <c r="AD245" s="13">
        <f t="shared" si="1259"/>
        <v>0</v>
      </c>
      <c r="AE245" s="13">
        <f t="shared" si="1259"/>
        <v>0</v>
      </c>
      <c r="AF245" s="12">
        <f t="shared" si="1259"/>
        <v>0</v>
      </c>
      <c r="AG245" s="12">
        <f t="shared" si="1259"/>
        <v>0</v>
      </c>
      <c r="AH245" s="13">
        <f t="shared" si="1259"/>
        <v>0</v>
      </c>
      <c r="AI245" s="13">
        <f t="shared" si="1259"/>
        <v>0</v>
      </c>
      <c r="AJ245" s="11">
        <f t="shared" si="1259"/>
        <v>0</v>
      </c>
      <c r="AK245" s="11">
        <f t="shared" si="1259"/>
        <v>0</v>
      </c>
      <c r="AL245" s="11">
        <f t="shared" si="1259"/>
        <v>0</v>
      </c>
      <c r="AM245" s="11">
        <f t="shared" si="1259"/>
        <v>0</v>
      </c>
      <c r="AN245" s="11">
        <f t="shared" si="1259"/>
        <v>0</v>
      </c>
      <c r="AO245" s="11">
        <f t="shared" si="1259"/>
        <v>0</v>
      </c>
      <c r="AP245" s="11">
        <f t="shared" si="1259"/>
        <v>0</v>
      </c>
      <c r="AQ245" s="11">
        <f t="shared" si="1259"/>
        <v>0</v>
      </c>
      <c r="AR245" s="16">
        <f t="shared" si="1259"/>
        <v>0</v>
      </c>
      <c r="AS245" s="16">
        <f t="shared" si="1259"/>
        <v>0</v>
      </c>
      <c r="AT245" s="16">
        <f t="shared" si="1259"/>
        <v>0</v>
      </c>
      <c r="AU245" s="7">
        <f t="shared" si="1259"/>
        <v>0</v>
      </c>
      <c r="AV245" s="7">
        <f t="shared" si="1259"/>
        <v>0</v>
      </c>
      <c r="AW245" s="7">
        <f t="shared" si="1259"/>
        <v>0</v>
      </c>
      <c r="AX245" s="7">
        <f t="shared" si="1259"/>
        <v>0</v>
      </c>
      <c r="AY245" s="11">
        <f t="shared" si="1259"/>
        <v>0</v>
      </c>
      <c r="AZ245" s="16">
        <f t="shared" si="1259"/>
        <v>0</v>
      </c>
      <c r="BA245" s="16">
        <f t="shared" si="1259"/>
        <v>0</v>
      </c>
      <c r="BB245" s="16">
        <f t="shared" si="1259"/>
        <v>0</v>
      </c>
      <c r="BC245" s="11">
        <f t="shared" si="1259"/>
        <v>0</v>
      </c>
      <c r="BD245" s="11">
        <f t="shared" si="1259"/>
        <v>0</v>
      </c>
      <c r="BE245" s="11">
        <f t="shared" si="1259"/>
        <v>0</v>
      </c>
      <c r="BF245" s="11">
        <f t="shared" si="1259"/>
        <v>0</v>
      </c>
      <c r="BG245" s="11">
        <f t="shared" si="1259"/>
        <v>0</v>
      </c>
      <c r="BH245" s="11">
        <f t="shared" si="1259"/>
        <v>0</v>
      </c>
      <c r="BI245" s="13">
        <f t="shared" si="1259"/>
        <v>0</v>
      </c>
      <c r="BJ245" s="13">
        <f t="shared" si="1259"/>
        <v>0</v>
      </c>
      <c r="BK245" s="11">
        <f t="shared" si="1259"/>
        <v>0</v>
      </c>
      <c r="BL245" s="12">
        <f t="shared" si="1259"/>
        <v>0</v>
      </c>
      <c r="BM245" s="12">
        <f t="shared" si="1259"/>
        <v>0</v>
      </c>
      <c r="BN245" s="13">
        <f t="shared" si="1259"/>
        <v>0</v>
      </c>
      <c r="BO245" s="13">
        <f t="shared" si="1259"/>
        <v>0</v>
      </c>
      <c r="BP245" s="15">
        <f t="shared" si="1259"/>
        <v>0</v>
      </c>
      <c r="BQ245" s="15">
        <f t="shared" si="1259"/>
        <v>0</v>
      </c>
      <c r="BR245" s="14">
        <f t="shared" si="1259"/>
        <v>0</v>
      </c>
      <c r="BS245" s="14">
        <f t="shared" si="1259"/>
        <v>0</v>
      </c>
      <c r="BT245" s="14">
        <f t="shared" si="1259"/>
        <v>0</v>
      </c>
      <c r="BU245" s="14">
        <f t="shared" si="1259"/>
        <v>0</v>
      </c>
      <c r="BV245" s="11">
        <f t="shared" si="1259"/>
        <v>0</v>
      </c>
      <c r="BW245" s="11">
        <f t="shared" si="1259"/>
        <v>0</v>
      </c>
      <c r="BX245" s="11">
        <f t="shared" si="1259"/>
        <v>0</v>
      </c>
      <c r="BY245" s="11">
        <f t="shared" si="1259"/>
        <v>0</v>
      </c>
      <c r="BZ245" s="7">
        <f t="shared" si="1259"/>
        <v>0</v>
      </c>
      <c r="CA245" s="7">
        <f t="shared" si="1259"/>
        <v>0</v>
      </c>
      <c r="CB245" s="7">
        <f t="shared" ref="CB245:CP245" si="1260">IFERROR(VALUE(CB550),"-")</f>
        <v>0</v>
      </c>
      <c r="CC245" s="7">
        <f t="shared" si="1260"/>
        <v>0</v>
      </c>
      <c r="CD245" s="7">
        <f t="shared" si="1260"/>
        <v>0</v>
      </c>
      <c r="CE245" s="3">
        <f t="shared" si="1260"/>
        <v>0</v>
      </c>
      <c r="CF245" s="7">
        <f t="shared" si="1260"/>
        <v>0</v>
      </c>
      <c r="CG245" s="3">
        <f t="shared" si="1260"/>
        <v>0</v>
      </c>
      <c r="CH245" s="7">
        <f t="shared" si="1260"/>
        <v>0</v>
      </c>
      <c r="CI245" s="7">
        <f t="shared" si="1260"/>
        <v>0</v>
      </c>
      <c r="CJ245" s="3">
        <f t="shared" si="1260"/>
        <v>0</v>
      </c>
      <c r="CK245" s="7">
        <f t="shared" si="1260"/>
        <v>0</v>
      </c>
      <c r="CL245" s="3">
        <f t="shared" si="1260"/>
        <v>0</v>
      </c>
      <c r="CM245" s="7">
        <f t="shared" si="1260"/>
        <v>0</v>
      </c>
      <c r="CN245" s="10">
        <f t="shared" si="1260"/>
        <v>0</v>
      </c>
      <c r="CO245" s="10">
        <f t="shared" si="1260"/>
        <v>0</v>
      </c>
      <c r="CP245" s="7">
        <f t="shared" si="1260"/>
        <v>0</v>
      </c>
      <c r="CQ245" s="7">
        <f t="shared" ref="CQ245" si="1261">IFERROR(CQ550,"-")</f>
        <v>0</v>
      </c>
      <c r="CR245" s="10">
        <f t="shared" si="1231"/>
        <v>0</v>
      </c>
      <c r="CS245" s="7">
        <f t="shared" si="1231"/>
        <v>0</v>
      </c>
      <c r="CT245" s="7">
        <f t="shared" si="1231"/>
        <v>0</v>
      </c>
      <c r="CU245" s="7">
        <f t="shared" si="1231"/>
        <v>0</v>
      </c>
      <c r="CV245" s="7">
        <f t="shared" si="1231"/>
        <v>0</v>
      </c>
      <c r="CW245" s="7">
        <f t="shared" si="1231"/>
        <v>0</v>
      </c>
      <c r="CX245" s="7">
        <f t="shared" si="1231"/>
        <v>0</v>
      </c>
      <c r="CY245" s="7">
        <f t="shared" si="1231"/>
        <v>0</v>
      </c>
      <c r="CZ245" s="7">
        <f t="shared" si="1231"/>
        <v>0</v>
      </c>
      <c r="DA245" s="7">
        <f t="shared" si="1231"/>
        <v>0</v>
      </c>
      <c r="DB245" s="7">
        <f t="shared" si="1231"/>
        <v>0</v>
      </c>
      <c r="DC245" s="7">
        <f t="shared" si="1231"/>
        <v>0</v>
      </c>
      <c r="DD245" s="7">
        <f t="shared" si="1231"/>
        <v>0</v>
      </c>
      <c r="DE245" s="7">
        <f t="shared" si="1231"/>
        <v>0</v>
      </c>
      <c r="DF245" s="7">
        <f t="shared" si="1231"/>
        <v>0</v>
      </c>
      <c r="DG245" s="7">
        <f t="shared" si="1231"/>
        <v>0</v>
      </c>
      <c r="DH245" s="7">
        <f t="shared" ref="DH245:DJ245" si="1262">IFERROR(DH550,"-")</f>
        <v>0</v>
      </c>
      <c r="DI245" s="7">
        <f t="shared" si="1262"/>
        <v>0</v>
      </c>
      <c r="DJ245" s="7">
        <f t="shared" si="1262"/>
        <v>0</v>
      </c>
      <c r="DK245" s="64">
        <f t="shared" ref="DK245:DS245" si="1263">IFERROR(VALUE(DK550),"-")</f>
        <v>0</v>
      </c>
      <c r="DL245" s="64">
        <f t="shared" si="1263"/>
        <v>0</v>
      </c>
      <c r="DM245" s="64">
        <f t="shared" si="1263"/>
        <v>0</v>
      </c>
      <c r="DN245" s="64">
        <f t="shared" si="1263"/>
        <v>0</v>
      </c>
      <c r="DO245" s="64">
        <f t="shared" si="1263"/>
        <v>0</v>
      </c>
      <c r="DP245" s="64">
        <f t="shared" si="1263"/>
        <v>0</v>
      </c>
      <c r="DQ245" s="64">
        <f t="shared" si="1263"/>
        <v>0</v>
      </c>
      <c r="DR245" s="64">
        <f t="shared" si="1263"/>
        <v>0</v>
      </c>
      <c r="DS245" s="64">
        <f t="shared" si="1263"/>
        <v>0</v>
      </c>
      <c r="DT245">
        <f t="shared" si="1000"/>
        <v>0</v>
      </c>
      <c r="DU245" s="10">
        <f t="shared" si="1001"/>
        <v>0</v>
      </c>
    </row>
    <row r="246" spans="1:125" x14ac:dyDescent="0.25">
      <c r="A246" t="s">
        <v>82</v>
      </c>
      <c r="B246" s="2">
        <v>44861</v>
      </c>
      <c r="C246" s="1">
        <v>475</v>
      </c>
      <c r="D246">
        <v>93</v>
      </c>
      <c r="M246" s="3"/>
      <c r="N246" s="3"/>
      <c r="O246" s="3">
        <f t="shared" si="1002"/>
        <v>0</v>
      </c>
      <c r="P246" s="7">
        <f t="shared" ref="P246:CA246" si="1264">IFERROR(VALUE(P551),"-")</f>
        <v>0</v>
      </c>
      <c r="Q246" s="7">
        <f t="shared" si="1264"/>
        <v>0</v>
      </c>
      <c r="R246" s="7">
        <f t="shared" si="1264"/>
        <v>0</v>
      </c>
      <c r="S246" s="7">
        <f t="shared" si="1264"/>
        <v>0</v>
      </c>
      <c r="T246" s="11">
        <f t="shared" si="1264"/>
        <v>0</v>
      </c>
      <c r="U246" s="11">
        <f t="shared" si="1264"/>
        <v>0</v>
      </c>
      <c r="V246" s="11">
        <f t="shared" si="1264"/>
        <v>0</v>
      </c>
      <c r="W246" s="11">
        <f t="shared" si="1264"/>
        <v>0</v>
      </c>
      <c r="X246" s="14">
        <f t="shared" si="1264"/>
        <v>0</v>
      </c>
      <c r="Y246" s="14">
        <f t="shared" si="1264"/>
        <v>0</v>
      </c>
      <c r="Z246" s="14">
        <f t="shared" si="1264"/>
        <v>0</v>
      </c>
      <c r="AA246" s="14">
        <f t="shared" si="1264"/>
        <v>0</v>
      </c>
      <c r="AB246" s="15">
        <f t="shared" si="1264"/>
        <v>0</v>
      </c>
      <c r="AC246" s="15">
        <f t="shared" si="1264"/>
        <v>0</v>
      </c>
      <c r="AD246" s="13">
        <f t="shared" si="1264"/>
        <v>0</v>
      </c>
      <c r="AE246" s="13">
        <f t="shared" si="1264"/>
        <v>0</v>
      </c>
      <c r="AF246" s="12">
        <f t="shared" si="1264"/>
        <v>0</v>
      </c>
      <c r="AG246" s="12">
        <f t="shared" si="1264"/>
        <v>0</v>
      </c>
      <c r="AH246" s="13">
        <f t="shared" si="1264"/>
        <v>0</v>
      </c>
      <c r="AI246" s="13">
        <f t="shared" si="1264"/>
        <v>0</v>
      </c>
      <c r="AJ246" s="11">
        <f t="shared" si="1264"/>
        <v>0</v>
      </c>
      <c r="AK246" s="11">
        <f t="shared" si="1264"/>
        <v>0</v>
      </c>
      <c r="AL246" s="11">
        <f t="shared" si="1264"/>
        <v>0</v>
      </c>
      <c r="AM246" s="11">
        <f t="shared" si="1264"/>
        <v>0</v>
      </c>
      <c r="AN246" s="11">
        <f t="shared" si="1264"/>
        <v>0</v>
      </c>
      <c r="AO246" s="11">
        <f t="shared" si="1264"/>
        <v>0</v>
      </c>
      <c r="AP246" s="11">
        <f t="shared" si="1264"/>
        <v>0</v>
      </c>
      <c r="AQ246" s="11">
        <f t="shared" si="1264"/>
        <v>0</v>
      </c>
      <c r="AR246" s="16">
        <f t="shared" si="1264"/>
        <v>0</v>
      </c>
      <c r="AS246" s="16">
        <f t="shared" si="1264"/>
        <v>0</v>
      </c>
      <c r="AT246" s="16">
        <f t="shared" si="1264"/>
        <v>0</v>
      </c>
      <c r="AU246" s="7">
        <f t="shared" si="1264"/>
        <v>0</v>
      </c>
      <c r="AV246" s="7">
        <f t="shared" si="1264"/>
        <v>0</v>
      </c>
      <c r="AW246" s="7">
        <f t="shared" si="1264"/>
        <v>0</v>
      </c>
      <c r="AX246" s="7">
        <f t="shared" si="1264"/>
        <v>0</v>
      </c>
      <c r="AY246" s="11">
        <f t="shared" si="1264"/>
        <v>0</v>
      </c>
      <c r="AZ246" s="16">
        <f t="shared" si="1264"/>
        <v>0</v>
      </c>
      <c r="BA246" s="16">
        <f t="shared" si="1264"/>
        <v>0</v>
      </c>
      <c r="BB246" s="16">
        <f t="shared" si="1264"/>
        <v>0</v>
      </c>
      <c r="BC246" s="11">
        <f t="shared" si="1264"/>
        <v>0</v>
      </c>
      <c r="BD246" s="11">
        <f t="shared" si="1264"/>
        <v>0</v>
      </c>
      <c r="BE246" s="11">
        <f t="shared" si="1264"/>
        <v>0</v>
      </c>
      <c r="BF246" s="11">
        <f t="shared" si="1264"/>
        <v>0</v>
      </c>
      <c r="BG246" s="11">
        <f t="shared" si="1264"/>
        <v>0</v>
      </c>
      <c r="BH246" s="11">
        <f t="shared" si="1264"/>
        <v>0</v>
      </c>
      <c r="BI246" s="13">
        <f t="shared" si="1264"/>
        <v>0</v>
      </c>
      <c r="BJ246" s="13">
        <f t="shared" si="1264"/>
        <v>0</v>
      </c>
      <c r="BK246" s="11">
        <f t="shared" si="1264"/>
        <v>0</v>
      </c>
      <c r="BL246" s="12">
        <f t="shared" si="1264"/>
        <v>0</v>
      </c>
      <c r="BM246" s="12">
        <f t="shared" si="1264"/>
        <v>0</v>
      </c>
      <c r="BN246" s="13">
        <f t="shared" si="1264"/>
        <v>0</v>
      </c>
      <c r="BO246" s="13">
        <f t="shared" si="1264"/>
        <v>0</v>
      </c>
      <c r="BP246" s="15">
        <f t="shared" si="1264"/>
        <v>0</v>
      </c>
      <c r="BQ246" s="15">
        <f t="shared" si="1264"/>
        <v>0</v>
      </c>
      <c r="BR246" s="14">
        <f t="shared" si="1264"/>
        <v>0</v>
      </c>
      <c r="BS246" s="14">
        <f t="shared" si="1264"/>
        <v>0</v>
      </c>
      <c r="BT246" s="14">
        <f t="shared" si="1264"/>
        <v>0</v>
      </c>
      <c r="BU246" s="14">
        <f t="shared" si="1264"/>
        <v>0</v>
      </c>
      <c r="BV246" s="11">
        <f t="shared" si="1264"/>
        <v>0</v>
      </c>
      <c r="BW246" s="11">
        <f t="shared" si="1264"/>
        <v>0</v>
      </c>
      <c r="BX246" s="11">
        <f t="shared" si="1264"/>
        <v>0</v>
      </c>
      <c r="BY246" s="11">
        <f t="shared" si="1264"/>
        <v>0</v>
      </c>
      <c r="BZ246" s="7">
        <f t="shared" si="1264"/>
        <v>0</v>
      </c>
      <c r="CA246" s="7">
        <f t="shared" si="1264"/>
        <v>0</v>
      </c>
      <c r="CB246" s="7">
        <f t="shared" ref="CB246:CP246" si="1265">IFERROR(VALUE(CB551),"-")</f>
        <v>0</v>
      </c>
      <c r="CC246" s="7">
        <f t="shared" si="1265"/>
        <v>0</v>
      </c>
      <c r="CD246" s="7">
        <f t="shared" si="1265"/>
        <v>0</v>
      </c>
      <c r="CE246" s="3">
        <f t="shared" si="1265"/>
        <v>0</v>
      </c>
      <c r="CF246" s="7">
        <f t="shared" si="1265"/>
        <v>0</v>
      </c>
      <c r="CG246" s="3">
        <f t="shared" si="1265"/>
        <v>0</v>
      </c>
      <c r="CH246" s="7">
        <f t="shared" si="1265"/>
        <v>0</v>
      </c>
      <c r="CI246" s="7">
        <f t="shared" si="1265"/>
        <v>0</v>
      </c>
      <c r="CJ246" s="3">
        <f t="shared" si="1265"/>
        <v>0</v>
      </c>
      <c r="CK246" s="7">
        <f t="shared" si="1265"/>
        <v>0</v>
      </c>
      <c r="CL246" s="3">
        <f t="shared" si="1265"/>
        <v>0</v>
      </c>
      <c r="CM246" s="7">
        <f t="shared" si="1265"/>
        <v>0</v>
      </c>
      <c r="CN246" s="10">
        <f t="shared" si="1265"/>
        <v>0</v>
      </c>
      <c r="CO246" s="10">
        <f t="shared" si="1265"/>
        <v>0</v>
      </c>
      <c r="CP246" s="7">
        <f t="shared" si="1265"/>
        <v>0</v>
      </c>
      <c r="CQ246" s="7">
        <f t="shared" ref="CQ246" si="1266">IFERROR(CQ551,"-")</f>
        <v>0</v>
      </c>
      <c r="CR246" s="10">
        <f t="shared" si="1231"/>
        <v>0</v>
      </c>
      <c r="CS246" s="7">
        <f t="shared" si="1231"/>
        <v>0</v>
      </c>
      <c r="CT246" s="7">
        <f t="shared" si="1231"/>
        <v>0</v>
      </c>
      <c r="CU246" s="7">
        <f t="shared" si="1231"/>
        <v>0</v>
      </c>
      <c r="CV246" s="7">
        <f t="shared" si="1231"/>
        <v>0</v>
      </c>
      <c r="CW246" s="7">
        <f t="shared" si="1231"/>
        <v>0</v>
      </c>
      <c r="CX246" s="7">
        <f t="shared" si="1231"/>
        <v>0</v>
      </c>
      <c r="CY246" s="7">
        <f t="shared" si="1231"/>
        <v>0</v>
      </c>
      <c r="CZ246" s="7">
        <f t="shared" si="1231"/>
        <v>0</v>
      </c>
      <c r="DA246" s="7">
        <f t="shared" si="1231"/>
        <v>0</v>
      </c>
      <c r="DB246" s="7">
        <f t="shared" si="1231"/>
        <v>0</v>
      </c>
      <c r="DC246" s="7">
        <f t="shared" si="1231"/>
        <v>0</v>
      </c>
      <c r="DD246" s="7">
        <f t="shared" si="1231"/>
        <v>0</v>
      </c>
      <c r="DE246" s="7">
        <f t="shared" si="1231"/>
        <v>0</v>
      </c>
      <c r="DF246" s="7">
        <f t="shared" si="1231"/>
        <v>0</v>
      </c>
      <c r="DG246" s="7">
        <f t="shared" si="1231"/>
        <v>0</v>
      </c>
      <c r="DH246" s="7">
        <f t="shared" ref="DH246:DJ246" si="1267">IFERROR(DH551,"-")</f>
        <v>0</v>
      </c>
      <c r="DI246" s="7">
        <f t="shared" si="1267"/>
        <v>0</v>
      </c>
      <c r="DJ246" s="7">
        <f t="shared" si="1267"/>
        <v>0</v>
      </c>
      <c r="DK246" s="64">
        <f t="shared" ref="DK246:DS246" si="1268">IFERROR(VALUE(DK551),"-")</f>
        <v>0</v>
      </c>
      <c r="DL246" s="64">
        <f t="shared" si="1268"/>
        <v>0</v>
      </c>
      <c r="DM246" s="64">
        <f t="shared" si="1268"/>
        <v>0</v>
      </c>
      <c r="DN246" s="64">
        <f t="shared" si="1268"/>
        <v>0</v>
      </c>
      <c r="DO246" s="64">
        <f t="shared" si="1268"/>
        <v>0</v>
      </c>
      <c r="DP246" s="64">
        <f t="shared" si="1268"/>
        <v>0</v>
      </c>
      <c r="DQ246" s="64">
        <f t="shared" si="1268"/>
        <v>0</v>
      </c>
      <c r="DR246" s="64">
        <f t="shared" si="1268"/>
        <v>0</v>
      </c>
      <c r="DS246" s="64">
        <f t="shared" si="1268"/>
        <v>0</v>
      </c>
      <c r="DT246">
        <f t="shared" si="1000"/>
        <v>0</v>
      </c>
      <c r="DU246" s="10">
        <f t="shared" si="1001"/>
        <v>0</v>
      </c>
    </row>
    <row r="247" spans="1:125" x14ac:dyDescent="0.25">
      <c r="A247" t="s">
        <v>83</v>
      </c>
      <c r="B247" s="2">
        <v>44798</v>
      </c>
      <c r="C247" s="1">
        <v>500</v>
      </c>
      <c r="D247">
        <v>58</v>
      </c>
      <c r="M247" s="3"/>
      <c r="N247" s="3"/>
      <c r="O247" s="3">
        <f t="shared" si="1002"/>
        <v>0</v>
      </c>
      <c r="P247" s="7">
        <f t="shared" ref="P247:CA247" si="1269">IFERROR(VALUE(P552),"-")</f>
        <v>0</v>
      </c>
      <c r="Q247" s="7">
        <f t="shared" si="1269"/>
        <v>0</v>
      </c>
      <c r="R247" s="7">
        <f t="shared" si="1269"/>
        <v>0</v>
      </c>
      <c r="S247" s="7">
        <f t="shared" si="1269"/>
        <v>0</v>
      </c>
      <c r="T247" s="11">
        <f t="shared" si="1269"/>
        <v>0</v>
      </c>
      <c r="U247" s="11">
        <f t="shared" si="1269"/>
        <v>0</v>
      </c>
      <c r="V247" s="11">
        <f t="shared" si="1269"/>
        <v>0</v>
      </c>
      <c r="W247" s="11">
        <f t="shared" si="1269"/>
        <v>0</v>
      </c>
      <c r="X247" s="14">
        <f t="shared" si="1269"/>
        <v>0</v>
      </c>
      <c r="Y247" s="14">
        <f t="shared" si="1269"/>
        <v>0</v>
      </c>
      <c r="Z247" s="14">
        <f t="shared" si="1269"/>
        <v>0</v>
      </c>
      <c r="AA247" s="14">
        <f t="shared" si="1269"/>
        <v>0</v>
      </c>
      <c r="AB247" s="15">
        <f t="shared" si="1269"/>
        <v>0</v>
      </c>
      <c r="AC247" s="15">
        <f t="shared" si="1269"/>
        <v>0</v>
      </c>
      <c r="AD247" s="13">
        <f t="shared" si="1269"/>
        <v>0</v>
      </c>
      <c r="AE247" s="13">
        <f t="shared" si="1269"/>
        <v>0</v>
      </c>
      <c r="AF247" s="12">
        <f t="shared" si="1269"/>
        <v>0</v>
      </c>
      <c r="AG247" s="12">
        <f t="shared" si="1269"/>
        <v>0</v>
      </c>
      <c r="AH247" s="13">
        <f t="shared" si="1269"/>
        <v>0</v>
      </c>
      <c r="AI247" s="13">
        <f t="shared" si="1269"/>
        <v>0</v>
      </c>
      <c r="AJ247" s="11">
        <f t="shared" si="1269"/>
        <v>0</v>
      </c>
      <c r="AK247" s="11">
        <f t="shared" si="1269"/>
        <v>0</v>
      </c>
      <c r="AL247" s="11">
        <f t="shared" si="1269"/>
        <v>0</v>
      </c>
      <c r="AM247" s="11">
        <f t="shared" si="1269"/>
        <v>0</v>
      </c>
      <c r="AN247" s="11">
        <f t="shared" si="1269"/>
        <v>0</v>
      </c>
      <c r="AO247" s="11">
        <f t="shared" si="1269"/>
        <v>0</v>
      </c>
      <c r="AP247" s="11">
        <f t="shared" si="1269"/>
        <v>0</v>
      </c>
      <c r="AQ247" s="11">
        <f t="shared" si="1269"/>
        <v>0</v>
      </c>
      <c r="AR247" s="16">
        <f t="shared" si="1269"/>
        <v>0</v>
      </c>
      <c r="AS247" s="16">
        <f t="shared" si="1269"/>
        <v>0</v>
      </c>
      <c r="AT247" s="16">
        <f t="shared" si="1269"/>
        <v>0</v>
      </c>
      <c r="AU247" s="7">
        <f t="shared" si="1269"/>
        <v>0</v>
      </c>
      <c r="AV247" s="7">
        <f t="shared" si="1269"/>
        <v>0</v>
      </c>
      <c r="AW247" s="7">
        <f t="shared" si="1269"/>
        <v>0</v>
      </c>
      <c r="AX247" s="7">
        <f t="shared" si="1269"/>
        <v>0</v>
      </c>
      <c r="AY247" s="11">
        <f t="shared" si="1269"/>
        <v>0</v>
      </c>
      <c r="AZ247" s="16">
        <f t="shared" si="1269"/>
        <v>0</v>
      </c>
      <c r="BA247" s="16">
        <f t="shared" si="1269"/>
        <v>0</v>
      </c>
      <c r="BB247" s="16">
        <f t="shared" si="1269"/>
        <v>0</v>
      </c>
      <c r="BC247" s="11">
        <f t="shared" si="1269"/>
        <v>0</v>
      </c>
      <c r="BD247" s="11">
        <f t="shared" si="1269"/>
        <v>0</v>
      </c>
      <c r="BE247" s="11">
        <f t="shared" si="1269"/>
        <v>0</v>
      </c>
      <c r="BF247" s="11">
        <f t="shared" si="1269"/>
        <v>0</v>
      </c>
      <c r="BG247" s="11">
        <f t="shared" si="1269"/>
        <v>0</v>
      </c>
      <c r="BH247" s="11">
        <f t="shared" si="1269"/>
        <v>0</v>
      </c>
      <c r="BI247" s="13">
        <f t="shared" si="1269"/>
        <v>0</v>
      </c>
      <c r="BJ247" s="13">
        <f t="shared" si="1269"/>
        <v>0</v>
      </c>
      <c r="BK247" s="11">
        <f t="shared" si="1269"/>
        <v>0</v>
      </c>
      <c r="BL247" s="12">
        <f t="shared" si="1269"/>
        <v>0</v>
      </c>
      <c r="BM247" s="12">
        <f t="shared" si="1269"/>
        <v>0</v>
      </c>
      <c r="BN247" s="13">
        <f t="shared" si="1269"/>
        <v>0</v>
      </c>
      <c r="BO247" s="13">
        <f t="shared" si="1269"/>
        <v>0</v>
      </c>
      <c r="BP247" s="15">
        <f t="shared" si="1269"/>
        <v>0</v>
      </c>
      <c r="BQ247" s="15">
        <f t="shared" si="1269"/>
        <v>0</v>
      </c>
      <c r="BR247" s="14">
        <f t="shared" si="1269"/>
        <v>0</v>
      </c>
      <c r="BS247" s="14">
        <f t="shared" si="1269"/>
        <v>0</v>
      </c>
      <c r="BT247" s="14">
        <f t="shared" si="1269"/>
        <v>0</v>
      </c>
      <c r="BU247" s="14">
        <f t="shared" si="1269"/>
        <v>0</v>
      </c>
      <c r="BV247" s="11">
        <f t="shared" si="1269"/>
        <v>0</v>
      </c>
      <c r="BW247" s="11">
        <f t="shared" si="1269"/>
        <v>0</v>
      </c>
      <c r="BX247" s="11">
        <f t="shared" si="1269"/>
        <v>0</v>
      </c>
      <c r="BY247" s="11">
        <f t="shared" si="1269"/>
        <v>0</v>
      </c>
      <c r="BZ247" s="7">
        <f t="shared" si="1269"/>
        <v>0</v>
      </c>
      <c r="CA247" s="7">
        <f t="shared" si="1269"/>
        <v>0</v>
      </c>
      <c r="CB247" s="7">
        <f t="shared" ref="CB247:CP247" si="1270">IFERROR(VALUE(CB552),"-")</f>
        <v>0</v>
      </c>
      <c r="CC247" s="7">
        <f t="shared" si="1270"/>
        <v>0</v>
      </c>
      <c r="CD247" s="7">
        <f t="shared" si="1270"/>
        <v>0</v>
      </c>
      <c r="CE247" s="3">
        <f t="shared" si="1270"/>
        <v>0</v>
      </c>
      <c r="CF247" s="7">
        <f t="shared" si="1270"/>
        <v>0</v>
      </c>
      <c r="CG247" s="3">
        <f t="shared" si="1270"/>
        <v>0</v>
      </c>
      <c r="CH247" s="7">
        <f t="shared" si="1270"/>
        <v>0</v>
      </c>
      <c r="CI247" s="7">
        <f t="shared" si="1270"/>
        <v>0</v>
      </c>
      <c r="CJ247" s="3">
        <f t="shared" si="1270"/>
        <v>0</v>
      </c>
      <c r="CK247" s="7">
        <f t="shared" si="1270"/>
        <v>0</v>
      </c>
      <c r="CL247" s="3">
        <f t="shared" si="1270"/>
        <v>0</v>
      </c>
      <c r="CM247" s="7">
        <f t="shared" si="1270"/>
        <v>0</v>
      </c>
      <c r="CN247" s="10">
        <f t="shared" si="1270"/>
        <v>0</v>
      </c>
      <c r="CO247" s="10">
        <f t="shared" si="1270"/>
        <v>0</v>
      </c>
      <c r="CP247" s="7">
        <f t="shared" si="1270"/>
        <v>0</v>
      </c>
      <c r="CQ247" s="7">
        <f t="shared" ref="CQ247" si="1271">IFERROR(CQ552,"-")</f>
        <v>0</v>
      </c>
      <c r="CR247" s="10">
        <f t="shared" si="1231"/>
        <v>0</v>
      </c>
      <c r="CS247" s="7">
        <f t="shared" si="1231"/>
        <v>0</v>
      </c>
      <c r="CT247" s="7">
        <f t="shared" si="1231"/>
        <v>0</v>
      </c>
      <c r="CU247" s="7">
        <f t="shared" si="1231"/>
        <v>0</v>
      </c>
      <c r="CV247" s="7">
        <f t="shared" si="1231"/>
        <v>0</v>
      </c>
      <c r="CW247" s="7">
        <f t="shared" si="1231"/>
        <v>0</v>
      </c>
      <c r="CX247" s="7">
        <f t="shared" si="1231"/>
        <v>0</v>
      </c>
      <c r="CY247" s="7">
        <f t="shared" si="1231"/>
        <v>0</v>
      </c>
      <c r="CZ247" s="7">
        <f t="shared" si="1231"/>
        <v>0</v>
      </c>
      <c r="DA247" s="7">
        <f t="shared" si="1231"/>
        <v>0</v>
      </c>
      <c r="DB247" s="7">
        <f t="shared" si="1231"/>
        <v>0</v>
      </c>
      <c r="DC247" s="7">
        <f t="shared" si="1231"/>
        <v>0</v>
      </c>
      <c r="DD247" s="7">
        <f t="shared" si="1231"/>
        <v>0</v>
      </c>
      <c r="DE247" s="7">
        <f t="shared" si="1231"/>
        <v>0</v>
      </c>
      <c r="DF247" s="7">
        <f t="shared" si="1231"/>
        <v>0</v>
      </c>
      <c r="DG247" s="7">
        <f t="shared" si="1231"/>
        <v>0</v>
      </c>
      <c r="DH247" s="7">
        <f t="shared" ref="DH247:DJ247" si="1272">IFERROR(DH552,"-")</f>
        <v>0</v>
      </c>
      <c r="DI247" s="7">
        <f t="shared" si="1272"/>
        <v>0</v>
      </c>
      <c r="DJ247" s="7">
        <f t="shared" si="1272"/>
        <v>0</v>
      </c>
      <c r="DK247" s="64">
        <f t="shared" ref="DK247:DS247" si="1273">IFERROR(VALUE(DK552),"-")</f>
        <v>0</v>
      </c>
      <c r="DL247" s="64">
        <f t="shared" si="1273"/>
        <v>0</v>
      </c>
      <c r="DM247" s="64">
        <f t="shared" si="1273"/>
        <v>0</v>
      </c>
      <c r="DN247" s="64">
        <f t="shared" si="1273"/>
        <v>0</v>
      </c>
      <c r="DO247" s="64">
        <f t="shared" si="1273"/>
        <v>0</v>
      </c>
      <c r="DP247" s="64">
        <f t="shared" si="1273"/>
        <v>0</v>
      </c>
      <c r="DQ247" s="64">
        <f t="shared" si="1273"/>
        <v>0</v>
      </c>
      <c r="DR247" s="64">
        <f t="shared" si="1273"/>
        <v>0</v>
      </c>
      <c r="DS247" s="64">
        <f t="shared" si="1273"/>
        <v>0</v>
      </c>
      <c r="DT247">
        <f t="shared" si="1000"/>
        <v>0</v>
      </c>
      <c r="DU247" s="10">
        <f t="shared" si="1001"/>
        <v>0</v>
      </c>
    </row>
    <row r="248" spans="1:125" x14ac:dyDescent="0.25">
      <c r="A248" t="s">
        <v>83</v>
      </c>
      <c r="B248" s="2">
        <v>44833</v>
      </c>
      <c r="C248" s="1">
        <v>500</v>
      </c>
      <c r="D248">
        <v>58</v>
      </c>
      <c r="M248" s="3"/>
      <c r="N248" s="3"/>
      <c r="O248" s="3">
        <f t="shared" si="1002"/>
        <v>0</v>
      </c>
      <c r="P248" s="7">
        <f t="shared" ref="P248:CA248" si="1274">IFERROR(VALUE(P553),"-")</f>
        <v>0</v>
      </c>
      <c r="Q248" s="7">
        <f t="shared" si="1274"/>
        <v>0</v>
      </c>
      <c r="R248" s="7">
        <f t="shared" si="1274"/>
        <v>0</v>
      </c>
      <c r="S248" s="7">
        <f t="shared" si="1274"/>
        <v>0</v>
      </c>
      <c r="T248" s="11">
        <f t="shared" si="1274"/>
        <v>0</v>
      </c>
      <c r="U248" s="11">
        <f t="shared" si="1274"/>
        <v>0</v>
      </c>
      <c r="V248" s="11">
        <f t="shared" si="1274"/>
        <v>0</v>
      </c>
      <c r="W248" s="11">
        <f t="shared" si="1274"/>
        <v>0</v>
      </c>
      <c r="X248" s="14">
        <f t="shared" si="1274"/>
        <v>0</v>
      </c>
      <c r="Y248" s="14">
        <f t="shared" si="1274"/>
        <v>0</v>
      </c>
      <c r="Z248" s="14">
        <f t="shared" si="1274"/>
        <v>0</v>
      </c>
      <c r="AA248" s="14">
        <f t="shared" si="1274"/>
        <v>0</v>
      </c>
      <c r="AB248" s="15">
        <f t="shared" si="1274"/>
        <v>0</v>
      </c>
      <c r="AC248" s="15">
        <f t="shared" si="1274"/>
        <v>0</v>
      </c>
      <c r="AD248" s="13">
        <f t="shared" si="1274"/>
        <v>0</v>
      </c>
      <c r="AE248" s="13">
        <f t="shared" si="1274"/>
        <v>0</v>
      </c>
      <c r="AF248" s="12">
        <f t="shared" si="1274"/>
        <v>0</v>
      </c>
      <c r="AG248" s="12">
        <f t="shared" si="1274"/>
        <v>0</v>
      </c>
      <c r="AH248" s="13">
        <f t="shared" si="1274"/>
        <v>0</v>
      </c>
      <c r="AI248" s="13">
        <f t="shared" si="1274"/>
        <v>0</v>
      </c>
      <c r="AJ248" s="11">
        <f t="shared" si="1274"/>
        <v>0</v>
      </c>
      <c r="AK248" s="11">
        <f t="shared" si="1274"/>
        <v>0</v>
      </c>
      <c r="AL248" s="11">
        <f t="shared" si="1274"/>
        <v>0</v>
      </c>
      <c r="AM248" s="11">
        <f t="shared" si="1274"/>
        <v>0</v>
      </c>
      <c r="AN248" s="11">
        <f t="shared" si="1274"/>
        <v>0</v>
      </c>
      <c r="AO248" s="11">
        <f t="shared" si="1274"/>
        <v>0</v>
      </c>
      <c r="AP248" s="11">
        <f t="shared" si="1274"/>
        <v>0</v>
      </c>
      <c r="AQ248" s="11">
        <f t="shared" si="1274"/>
        <v>0</v>
      </c>
      <c r="AR248" s="16">
        <f t="shared" si="1274"/>
        <v>0</v>
      </c>
      <c r="AS248" s="16">
        <f t="shared" si="1274"/>
        <v>0</v>
      </c>
      <c r="AT248" s="16">
        <f t="shared" si="1274"/>
        <v>0</v>
      </c>
      <c r="AU248" s="7">
        <f t="shared" si="1274"/>
        <v>0</v>
      </c>
      <c r="AV248" s="7">
        <f t="shared" si="1274"/>
        <v>0</v>
      </c>
      <c r="AW248" s="7">
        <f t="shared" si="1274"/>
        <v>0</v>
      </c>
      <c r="AX248" s="7">
        <f t="shared" si="1274"/>
        <v>0</v>
      </c>
      <c r="AY248" s="11">
        <f t="shared" si="1274"/>
        <v>0</v>
      </c>
      <c r="AZ248" s="16">
        <f t="shared" si="1274"/>
        <v>0</v>
      </c>
      <c r="BA248" s="16">
        <f t="shared" si="1274"/>
        <v>0</v>
      </c>
      <c r="BB248" s="16">
        <f t="shared" si="1274"/>
        <v>0</v>
      </c>
      <c r="BC248" s="11">
        <f t="shared" si="1274"/>
        <v>0</v>
      </c>
      <c r="BD248" s="11">
        <f t="shared" si="1274"/>
        <v>0</v>
      </c>
      <c r="BE248" s="11">
        <f t="shared" si="1274"/>
        <v>0</v>
      </c>
      <c r="BF248" s="11">
        <f t="shared" si="1274"/>
        <v>0</v>
      </c>
      <c r="BG248" s="11">
        <f t="shared" si="1274"/>
        <v>0</v>
      </c>
      <c r="BH248" s="11">
        <f t="shared" si="1274"/>
        <v>0</v>
      </c>
      <c r="BI248" s="13">
        <f t="shared" si="1274"/>
        <v>0</v>
      </c>
      <c r="BJ248" s="13">
        <f t="shared" si="1274"/>
        <v>0</v>
      </c>
      <c r="BK248" s="11">
        <f t="shared" si="1274"/>
        <v>0</v>
      </c>
      <c r="BL248" s="12">
        <f t="shared" si="1274"/>
        <v>0</v>
      </c>
      <c r="BM248" s="12">
        <f t="shared" si="1274"/>
        <v>0</v>
      </c>
      <c r="BN248" s="13">
        <f t="shared" si="1274"/>
        <v>0</v>
      </c>
      <c r="BO248" s="13">
        <f t="shared" si="1274"/>
        <v>0</v>
      </c>
      <c r="BP248" s="15">
        <f t="shared" si="1274"/>
        <v>0</v>
      </c>
      <c r="BQ248" s="15">
        <f t="shared" si="1274"/>
        <v>0</v>
      </c>
      <c r="BR248" s="14">
        <f t="shared" si="1274"/>
        <v>0</v>
      </c>
      <c r="BS248" s="14">
        <f t="shared" si="1274"/>
        <v>0</v>
      </c>
      <c r="BT248" s="14">
        <f t="shared" si="1274"/>
        <v>0</v>
      </c>
      <c r="BU248" s="14">
        <f t="shared" si="1274"/>
        <v>0</v>
      </c>
      <c r="BV248" s="11">
        <f t="shared" si="1274"/>
        <v>0</v>
      </c>
      <c r="BW248" s="11">
        <f t="shared" si="1274"/>
        <v>0</v>
      </c>
      <c r="BX248" s="11">
        <f t="shared" si="1274"/>
        <v>0</v>
      </c>
      <c r="BY248" s="11">
        <f t="shared" si="1274"/>
        <v>0</v>
      </c>
      <c r="BZ248" s="7">
        <f t="shared" si="1274"/>
        <v>0</v>
      </c>
      <c r="CA248" s="7">
        <f t="shared" si="1274"/>
        <v>0</v>
      </c>
      <c r="CB248" s="7">
        <f t="shared" ref="CB248:CP248" si="1275">IFERROR(VALUE(CB553),"-")</f>
        <v>0</v>
      </c>
      <c r="CC248" s="7">
        <f t="shared" si="1275"/>
        <v>0</v>
      </c>
      <c r="CD248" s="7">
        <f t="shared" si="1275"/>
        <v>0</v>
      </c>
      <c r="CE248" s="3">
        <f t="shared" si="1275"/>
        <v>0</v>
      </c>
      <c r="CF248" s="7">
        <f t="shared" si="1275"/>
        <v>0</v>
      </c>
      <c r="CG248" s="3">
        <f t="shared" si="1275"/>
        <v>0</v>
      </c>
      <c r="CH248" s="7">
        <f t="shared" si="1275"/>
        <v>0</v>
      </c>
      <c r="CI248" s="7">
        <f t="shared" si="1275"/>
        <v>0</v>
      </c>
      <c r="CJ248" s="3">
        <f t="shared" si="1275"/>
        <v>0</v>
      </c>
      <c r="CK248" s="7">
        <f t="shared" si="1275"/>
        <v>0</v>
      </c>
      <c r="CL248" s="3">
        <f t="shared" si="1275"/>
        <v>0</v>
      </c>
      <c r="CM248" s="7">
        <f t="shared" si="1275"/>
        <v>0</v>
      </c>
      <c r="CN248" s="10">
        <f t="shared" si="1275"/>
        <v>0</v>
      </c>
      <c r="CO248" s="10">
        <f t="shared" si="1275"/>
        <v>0</v>
      </c>
      <c r="CP248" s="7">
        <f t="shared" si="1275"/>
        <v>0</v>
      </c>
      <c r="CQ248" s="7">
        <f t="shared" ref="CQ248" si="1276">IFERROR(CQ553,"-")</f>
        <v>0</v>
      </c>
      <c r="CR248" s="10">
        <f t="shared" si="1231"/>
        <v>0</v>
      </c>
      <c r="CS248" s="7">
        <f t="shared" si="1231"/>
        <v>0</v>
      </c>
      <c r="CT248" s="7">
        <f t="shared" si="1231"/>
        <v>0</v>
      </c>
      <c r="CU248" s="7">
        <f t="shared" si="1231"/>
        <v>0</v>
      </c>
      <c r="CV248" s="7">
        <f t="shared" si="1231"/>
        <v>0</v>
      </c>
      <c r="CW248" s="7">
        <f t="shared" si="1231"/>
        <v>0</v>
      </c>
      <c r="CX248" s="7">
        <f t="shared" si="1231"/>
        <v>0</v>
      </c>
      <c r="CY248" s="7">
        <f t="shared" si="1231"/>
        <v>0</v>
      </c>
      <c r="CZ248" s="7">
        <f t="shared" si="1231"/>
        <v>0</v>
      </c>
      <c r="DA248" s="7">
        <f t="shared" si="1231"/>
        <v>0</v>
      </c>
      <c r="DB248" s="7">
        <f t="shared" si="1231"/>
        <v>0</v>
      </c>
      <c r="DC248" s="7">
        <f t="shared" si="1231"/>
        <v>0</v>
      </c>
      <c r="DD248" s="7">
        <f t="shared" si="1231"/>
        <v>0</v>
      </c>
      <c r="DE248" s="7">
        <f t="shared" si="1231"/>
        <v>0</v>
      </c>
      <c r="DF248" s="7">
        <f t="shared" si="1231"/>
        <v>0</v>
      </c>
      <c r="DG248" s="7">
        <f t="shared" si="1231"/>
        <v>0</v>
      </c>
      <c r="DH248" s="7">
        <f t="shared" ref="DH248:DJ248" si="1277">IFERROR(DH553,"-")</f>
        <v>0</v>
      </c>
      <c r="DI248" s="7">
        <f t="shared" si="1277"/>
        <v>0</v>
      </c>
      <c r="DJ248" s="7">
        <f t="shared" si="1277"/>
        <v>0</v>
      </c>
      <c r="DK248" s="64">
        <f t="shared" ref="DK248:DS248" si="1278">IFERROR(VALUE(DK553),"-")</f>
        <v>0</v>
      </c>
      <c r="DL248" s="64">
        <f t="shared" si="1278"/>
        <v>0</v>
      </c>
      <c r="DM248" s="64">
        <f t="shared" si="1278"/>
        <v>0</v>
      </c>
      <c r="DN248" s="64">
        <f t="shared" si="1278"/>
        <v>0</v>
      </c>
      <c r="DO248" s="64">
        <f t="shared" si="1278"/>
        <v>0</v>
      </c>
      <c r="DP248" s="64">
        <f t="shared" si="1278"/>
        <v>0</v>
      </c>
      <c r="DQ248" s="64">
        <f t="shared" si="1278"/>
        <v>0</v>
      </c>
      <c r="DR248" s="64">
        <f t="shared" si="1278"/>
        <v>0</v>
      </c>
      <c r="DS248" s="64">
        <f t="shared" si="1278"/>
        <v>0</v>
      </c>
      <c r="DT248">
        <f t="shared" si="1000"/>
        <v>0</v>
      </c>
      <c r="DU248" s="10">
        <f t="shared" si="1001"/>
        <v>0</v>
      </c>
    </row>
    <row r="249" spans="1:125" x14ac:dyDescent="0.25">
      <c r="A249" t="s">
        <v>83</v>
      </c>
      <c r="B249" s="2">
        <v>44861</v>
      </c>
      <c r="C249" s="1">
        <v>500</v>
      </c>
      <c r="D249">
        <v>58</v>
      </c>
      <c r="M249" s="3"/>
      <c r="N249" s="3"/>
      <c r="O249" s="3">
        <f t="shared" si="1002"/>
        <v>0</v>
      </c>
      <c r="P249" s="7">
        <f t="shared" ref="P249:CA249" si="1279">IFERROR(VALUE(P554),"-")</f>
        <v>0</v>
      </c>
      <c r="Q249" s="7">
        <f t="shared" si="1279"/>
        <v>0</v>
      </c>
      <c r="R249" s="7">
        <f t="shared" si="1279"/>
        <v>0</v>
      </c>
      <c r="S249" s="7">
        <f t="shared" si="1279"/>
        <v>0</v>
      </c>
      <c r="T249" s="11">
        <f t="shared" si="1279"/>
        <v>0</v>
      </c>
      <c r="U249" s="11">
        <f t="shared" si="1279"/>
        <v>0</v>
      </c>
      <c r="V249" s="11">
        <f t="shared" si="1279"/>
        <v>0</v>
      </c>
      <c r="W249" s="11">
        <f t="shared" si="1279"/>
        <v>0</v>
      </c>
      <c r="X249" s="14">
        <f t="shared" si="1279"/>
        <v>0</v>
      </c>
      <c r="Y249" s="14">
        <f t="shared" si="1279"/>
        <v>0</v>
      </c>
      <c r="Z249" s="14">
        <f t="shared" si="1279"/>
        <v>0</v>
      </c>
      <c r="AA249" s="14">
        <f t="shared" si="1279"/>
        <v>0</v>
      </c>
      <c r="AB249" s="15">
        <f t="shared" si="1279"/>
        <v>0</v>
      </c>
      <c r="AC249" s="15">
        <f t="shared" si="1279"/>
        <v>0</v>
      </c>
      <c r="AD249" s="13">
        <f t="shared" si="1279"/>
        <v>0</v>
      </c>
      <c r="AE249" s="13">
        <f t="shared" si="1279"/>
        <v>0</v>
      </c>
      <c r="AF249" s="12">
        <f t="shared" si="1279"/>
        <v>0</v>
      </c>
      <c r="AG249" s="12">
        <f t="shared" si="1279"/>
        <v>0</v>
      </c>
      <c r="AH249" s="13">
        <f t="shared" si="1279"/>
        <v>0</v>
      </c>
      <c r="AI249" s="13">
        <f t="shared" si="1279"/>
        <v>0</v>
      </c>
      <c r="AJ249" s="11">
        <f t="shared" si="1279"/>
        <v>0</v>
      </c>
      <c r="AK249" s="11">
        <f t="shared" si="1279"/>
        <v>0</v>
      </c>
      <c r="AL249" s="11">
        <f t="shared" si="1279"/>
        <v>0</v>
      </c>
      <c r="AM249" s="11">
        <f t="shared" si="1279"/>
        <v>0</v>
      </c>
      <c r="AN249" s="11">
        <f t="shared" si="1279"/>
        <v>0</v>
      </c>
      <c r="AO249" s="11">
        <f t="shared" si="1279"/>
        <v>0</v>
      </c>
      <c r="AP249" s="11">
        <f t="shared" si="1279"/>
        <v>0</v>
      </c>
      <c r="AQ249" s="11">
        <f t="shared" si="1279"/>
        <v>0</v>
      </c>
      <c r="AR249" s="16">
        <f t="shared" si="1279"/>
        <v>0</v>
      </c>
      <c r="AS249" s="16">
        <f t="shared" si="1279"/>
        <v>0</v>
      </c>
      <c r="AT249" s="16">
        <f t="shared" si="1279"/>
        <v>0</v>
      </c>
      <c r="AU249" s="7">
        <f t="shared" si="1279"/>
        <v>0</v>
      </c>
      <c r="AV249" s="7">
        <f t="shared" si="1279"/>
        <v>0</v>
      </c>
      <c r="AW249" s="7">
        <f t="shared" si="1279"/>
        <v>0</v>
      </c>
      <c r="AX249" s="7">
        <f t="shared" si="1279"/>
        <v>0</v>
      </c>
      <c r="AY249" s="11">
        <f t="shared" si="1279"/>
        <v>0</v>
      </c>
      <c r="AZ249" s="16">
        <f t="shared" si="1279"/>
        <v>0</v>
      </c>
      <c r="BA249" s="16">
        <f t="shared" si="1279"/>
        <v>0</v>
      </c>
      <c r="BB249" s="16">
        <f t="shared" si="1279"/>
        <v>0</v>
      </c>
      <c r="BC249" s="11">
        <f t="shared" si="1279"/>
        <v>0</v>
      </c>
      <c r="BD249" s="11">
        <f t="shared" si="1279"/>
        <v>0</v>
      </c>
      <c r="BE249" s="11">
        <f t="shared" si="1279"/>
        <v>0</v>
      </c>
      <c r="BF249" s="11">
        <f t="shared" si="1279"/>
        <v>0</v>
      </c>
      <c r="BG249" s="11">
        <f t="shared" si="1279"/>
        <v>0</v>
      </c>
      <c r="BH249" s="11">
        <f t="shared" si="1279"/>
        <v>0</v>
      </c>
      <c r="BI249" s="13">
        <f t="shared" si="1279"/>
        <v>0</v>
      </c>
      <c r="BJ249" s="13">
        <f t="shared" si="1279"/>
        <v>0</v>
      </c>
      <c r="BK249" s="11">
        <f t="shared" si="1279"/>
        <v>0</v>
      </c>
      <c r="BL249" s="12">
        <f t="shared" si="1279"/>
        <v>0</v>
      </c>
      <c r="BM249" s="12">
        <f t="shared" si="1279"/>
        <v>0</v>
      </c>
      <c r="BN249" s="13">
        <f t="shared" si="1279"/>
        <v>0</v>
      </c>
      <c r="BO249" s="13">
        <f t="shared" si="1279"/>
        <v>0</v>
      </c>
      <c r="BP249" s="15">
        <f t="shared" si="1279"/>
        <v>0</v>
      </c>
      <c r="BQ249" s="15">
        <f t="shared" si="1279"/>
        <v>0</v>
      </c>
      <c r="BR249" s="14">
        <f t="shared" si="1279"/>
        <v>0</v>
      </c>
      <c r="BS249" s="14">
        <f t="shared" si="1279"/>
        <v>0</v>
      </c>
      <c r="BT249" s="14">
        <f t="shared" si="1279"/>
        <v>0</v>
      </c>
      <c r="BU249" s="14">
        <f t="shared" si="1279"/>
        <v>0</v>
      </c>
      <c r="BV249" s="11">
        <f t="shared" si="1279"/>
        <v>0</v>
      </c>
      <c r="BW249" s="11">
        <f t="shared" si="1279"/>
        <v>0</v>
      </c>
      <c r="BX249" s="11">
        <f t="shared" si="1279"/>
        <v>0</v>
      </c>
      <c r="BY249" s="11">
        <f t="shared" si="1279"/>
        <v>0</v>
      </c>
      <c r="BZ249" s="7">
        <f t="shared" si="1279"/>
        <v>0</v>
      </c>
      <c r="CA249" s="7">
        <f t="shared" si="1279"/>
        <v>0</v>
      </c>
      <c r="CB249" s="7">
        <f t="shared" ref="CB249:CP249" si="1280">IFERROR(VALUE(CB554),"-")</f>
        <v>0</v>
      </c>
      <c r="CC249" s="7">
        <f t="shared" si="1280"/>
        <v>0</v>
      </c>
      <c r="CD249" s="7">
        <f t="shared" si="1280"/>
        <v>0</v>
      </c>
      <c r="CE249" s="3">
        <f t="shared" si="1280"/>
        <v>0</v>
      </c>
      <c r="CF249" s="7">
        <f t="shared" si="1280"/>
        <v>0</v>
      </c>
      <c r="CG249" s="3">
        <f t="shared" si="1280"/>
        <v>0</v>
      </c>
      <c r="CH249" s="7">
        <f t="shared" si="1280"/>
        <v>0</v>
      </c>
      <c r="CI249" s="7">
        <f t="shared" si="1280"/>
        <v>0</v>
      </c>
      <c r="CJ249" s="3">
        <f t="shared" si="1280"/>
        <v>0</v>
      </c>
      <c r="CK249" s="7">
        <f t="shared" si="1280"/>
        <v>0</v>
      </c>
      <c r="CL249" s="3">
        <f t="shared" si="1280"/>
        <v>0</v>
      </c>
      <c r="CM249" s="7">
        <f t="shared" si="1280"/>
        <v>0</v>
      </c>
      <c r="CN249" s="10">
        <f t="shared" si="1280"/>
        <v>0</v>
      </c>
      <c r="CO249" s="10">
        <f t="shared" si="1280"/>
        <v>0</v>
      </c>
      <c r="CP249" s="7">
        <f t="shared" si="1280"/>
        <v>0</v>
      </c>
      <c r="CQ249" s="7">
        <f t="shared" ref="CQ249" si="1281">IFERROR(CQ554,"-")</f>
        <v>0</v>
      </c>
      <c r="CR249" s="10">
        <f t="shared" si="1231"/>
        <v>0</v>
      </c>
      <c r="CS249" s="7">
        <f t="shared" si="1231"/>
        <v>0</v>
      </c>
      <c r="CT249" s="7">
        <f t="shared" si="1231"/>
        <v>0</v>
      </c>
      <c r="CU249" s="7">
        <f t="shared" si="1231"/>
        <v>0</v>
      </c>
      <c r="CV249" s="7">
        <f t="shared" si="1231"/>
        <v>0</v>
      </c>
      <c r="CW249" s="7">
        <f t="shared" si="1231"/>
        <v>0</v>
      </c>
      <c r="CX249" s="7">
        <f t="shared" si="1231"/>
        <v>0</v>
      </c>
      <c r="CY249" s="7">
        <f t="shared" si="1231"/>
        <v>0</v>
      </c>
      <c r="CZ249" s="7">
        <f t="shared" si="1231"/>
        <v>0</v>
      </c>
      <c r="DA249" s="7">
        <f t="shared" si="1231"/>
        <v>0</v>
      </c>
      <c r="DB249" s="7">
        <f t="shared" si="1231"/>
        <v>0</v>
      </c>
      <c r="DC249" s="7">
        <f t="shared" si="1231"/>
        <v>0</v>
      </c>
      <c r="DD249" s="7">
        <f t="shared" si="1231"/>
        <v>0</v>
      </c>
      <c r="DE249" s="7">
        <f t="shared" si="1231"/>
        <v>0</v>
      </c>
      <c r="DF249" s="7">
        <f t="shared" si="1231"/>
        <v>0</v>
      </c>
      <c r="DG249" s="7">
        <f t="shared" si="1231"/>
        <v>0</v>
      </c>
      <c r="DH249" s="7">
        <f t="shared" ref="DH249:DJ249" si="1282">IFERROR(DH554,"-")</f>
        <v>0</v>
      </c>
      <c r="DI249" s="7">
        <f t="shared" si="1282"/>
        <v>0</v>
      </c>
      <c r="DJ249" s="7">
        <f t="shared" si="1282"/>
        <v>0</v>
      </c>
      <c r="DK249" s="64">
        <f t="shared" ref="DK249:DS249" si="1283">IFERROR(VALUE(DK554),"-")</f>
        <v>0</v>
      </c>
      <c r="DL249" s="64">
        <f t="shared" si="1283"/>
        <v>0</v>
      </c>
      <c r="DM249" s="64">
        <f t="shared" si="1283"/>
        <v>0</v>
      </c>
      <c r="DN249" s="64">
        <f t="shared" si="1283"/>
        <v>0</v>
      </c>
      <c r="DO249" s="64">
        <f t="shared" si="1283"/>
        <v>0</v>
      </c>
      <c r="DP249" s="64">
        <f t="shared" si="1283"/>
        <v>0</v>
      </c>
      <c r="DQ249" s="64">
        <f t="shared" si="1283"/>
        <v>0</v>
      </c>
      <c r="DR249" s="64">
        <f t="shared" si="1283"/>
        <v>0</v>
      </c>
      <c r="DS249" s="64">
        <f t="shared" si="1283"/>
        <v>0</v>
      </c>
      <c r="DT249">
        <f t="shared" si="1000"/>
        <v>0</v>
      </c>
      <c r="DU249" s="10">
        <f t="shared" si="1001"/>
        <v>0</v>
      </c>
    </row>
    <row r="250" spans="1:125" x14ac:dyDescent="0.25">
      <c r="A250" t="s">
        <v>84</v>
      </c>
      <c r="B250" s="2">
        <v>44798</v>
      </c>
      <c r="C250" s="1">
        <v>700</v>
      </c>
      <c r="D250">
        <v>99</v>
      </c>
      <c r="M250" s="3"/>
      <c r="N250" s="3"/>
      <c r="O250" s="3">
        <f t="shared" si="1002"/>
        <v>0</v>
      </c>
      <c r="P250" s="7">
        <f t="shared" ref="P250:CA250" si="1284">IFERROR(VALUE(P555),"-")</f>
        <v>0</v>
      </c>
      <c r="Q250" s="7">
        <f t="shared" si="1284"/>
        <v>0</v>
      </c>
      <c r="R250" s="7">
        <f t="shared" si="1284"/>
        <v>0</v>
      </c>
      <c r="S250" s="7">
        <f t="shared" si="1284"/>
        <v>0</v>
      </c>
      <c r="T250" s="11">
        <f t="shared" si="1284"/>
        <v>0</v>
      </c>
      <c r="U250" s="11">
        <f t="shared" si="1284"/>
        <v>0</v>
      </c>
      <c r="V250" s="11">
        <f t="shared" si="1284"/>
        <v>0</v>
      </c>
      <c r="W250" s="11">
        <f t="shared" si="1284"/>
        <v>0</v>
      </c>
      <c r="X250" s="14">
        <f t="shared" si="1284"/>
        <v>0</v>
      </c>
      <c r="Y250" s="14">
        <f t="shared" si="1284"/>
        <v>0</v>
      </c>
      <c r="Z250" s="14">
        <f t="shared" si="1284"/>
        <v>0</v>
      </c>
      <c r="AA250" s="14">
        <f t="shared" si="1284"/>
        <v>0</v>
      </c>
      <c r="AB250" s="15">
        <f t="shared" si="1284"/>
        <v>0</v>
      </c>
      <c r="AC250" s="15">
        <f t="shared" si="1284"/>
        <v>0</v>
      </c>
      <c r="AD250" s="13">
        <f t="shared" si="1284"/>
        <v>0</v>
      </c>
      <c r="AE250" s="13">
        <f t="shared" si="1284"/>
        <v>0</v>
      </c>
      <c r="AF250" s="12">
        <f t="shared" si="1284"/>
        <v>0</v>
      </c>
      <c r="AG250" s="12">
        <f t="shared" si="1284"/>
        <v>0</v>
      </c>
      <c r="AH250" s="13">
        <f t="shared" si="1284"/>
        <v>0</v>
      </c>
      <c r="AI250" s="13">
        <f t="shared" si="1284"/>
        <v>0</v>
      </c>
      <c r="AJ250" s="11">
        <f t="shared" si="1284"/>
        <v>0</v>
      </c>
      <c r="AK250" s="11">
        <f t="shared" si="1284"/>
        <v>0</v>
      </c>
      <c r="AL250" s="11">
        <f t="shared" si="1284"/>
        <v>0</v>
      </c>
      <c r="AM250" s="11">
        <f t="shared" si="1284"/>
        <v>0</v>
      </c>
      <c r="AN250" s="11">
        <f t="shared" si="1284"/>
        <v>0</v>
      </c>
      <c r="AO250" s="11">
        <f t="shared" si="1284"/>
        <v>0</v>
      </c>
      <c r="AP250" s="11">
        <f t="shared" si="1284"/>
        <v>0</v>
      </c>
      <c r="AQ250" s="11">
        <f t="shared" si="1284"/>
        <v>0</v>
      </c>
      <c r="AR250" s="16">
        <f t="shared" si="1284"/>
        <v>0</v>
      </c>
      <c r="AS250" s="16">
        <f t="shared" si="1284"/>
        <v>0</v>
      </c>
      <c r="AT250" s="16">
        <f t="shared" si="1284"/>
        <v>0</v>
      </c>
      <c r="AU250" s="7">
        <f t="shared" si="1284"/>
        <v>0</v>
      </c>
      <c r="AV250" s="7">
        <f t="shared" si="1284"/>
        <v>0</v>
      </c>
      <c r="AW250" s="7">
        <f t="shared" si="1284"/>
        <v>0</v>
      </c>
      <c r="AX250" s="7">
        <f t="shared" si="1284"/>
        <v>0</v>
      </c>
      <c r="AY250" s="11">
        <f t="shared" si="1284"/>
        <v>0</v>
      </c>
      <c r="AZ250" s="16">
        <f t="shared" si="1284"/>
        <v>0</v>
      </c>
      <c r="BA250" s="16">
        <f t="shared" si="1284"/>
        <v>0</v>
      </c>
      <c r="BB250" s="16">
        <f t="shared" si="1284"/>
        <v>0</v>
      </c>
      <c r="BC250" s="11">
        <f t="shared" si="1284"/>
        <v>0</v>
      </c>
      <c r="BD250" s="11">
        <f t="shared" si="1284"/>
        <v>0</v>
      </c>
      <c r="BE250" s="11">
        <f t="shared" si="1284"/>
        <v>0</v>
      </c>
      <c r="BF250" s="11">
        <f t="shared" si="1284"/>
        <v>0</v>
      </c>
      <c r="BG250" s="11">
        <f t="shared" si="1284"/>
        <v>0</v>
      </c>
      <c r="BH250" s="11">
        <f t="shared" si="1284"/>
        <v>0</v>
      </c>
      <c r="BI250" s="13">
        <f t="shared" si="1284"/>
        <v>0</v>
      </c>
      <c r="BJ250" s="13">
        <f t="shared" si="1284"/>
        <v>0</v>
      </c>
      <c r="BK250" s="11">
        <f t="shared" si="1284"/>
        <v>0</v>
      </c>
      <c r="BL250" s="12">
        <f t="shared" si="1284"/>
        <v>0</v>
      </c>
      <c r="BM250" s="12">
        <f t="shared" si="1284"/>
        <v>0</v>
      </c>
      <c r="BN250" s="13">
        <f t="shared" si="1284"/>
        <v>0</v>
      </c>
      <c r="BO250" s="13">
        <f t="shared" si="1284"/>
        <v>0</v>
      </c>
      <c r="BP250" s="15">
        <f t="shared" si="1284"/>
        <v>0</v>
      </c>
      <c r="BQ250" s="15">
        <f t="shared" si="1284"/>
        <v>0</v>
      </c>
      <c r="BR250" s="14">
        <f t="shared" si="1284"/>
        <v>0</v>
      </c>
      <c r="BS250" s="14">
        <f t="shared" si="1284"/>
        <v>0</v>
      </c>
      <c r="BT250" s="14">
        <f t="shared" si="1284"/>
        <v>0</v>
      </c>
      <c r="BU250" s="14">
        <f t="shared" si="1284"/>
        <v>0</v>
      </c>
      <c r="BV250" s="11">
        <f t="shared" si="1284"/>
        <v>0</v>
      </c>
      <c r="BW250" s="11">
        <f t="shared" si="1284"/>
        <v>0</v>
      </c>
      <c r="BX250" s="11">
        <f t="shared" si="1284"/>
        <v>0</v>
      </c>
      <c r="BY250" s="11">
        <f t="shared" si="1284"/>
        <v>0</v>
      </c>
      <c r="BZ250" s="7">
        <f t="shared" si="1284"/>
        <v>0</v>
      </c>
      <c r="CA250" s="7">
        <f t="shared" si="1284"/>
        <v>0</v>
      </c>
      <c r="CB250" s="7">
        <f t="shared" ref="CB250:CP250" si="1285">IFERROR(VALUE(CB555),"-")</f>
        <v>0</v>
      </c>
      <c r="CC250" s="7">
        <f t="shared" si="1285"/>
        <v>0</v>
      </c>
      <c r="CD250" s="7">
        <f t="shared" si="1285"/>
        <v>0</v>
      </c>
      <c r="CE250" s="3">
        <f t="shared" si="1285"/>
        <v>0</v>
      </c>
      <c r="CF250" s="7">
        <f t="shared" si="1285"/>
        <v>0</v>
      </c>
      <c r="CG250" s="3">
        <f t="shared" si="1285"/>
        <v>0</v>
      </c>
      <c r="CH250" s="7">
        <f t="shared" si="1285"/>
        <v>0</v>
      </c>
      <c r="CI250" s="7">
        <f t="shared" si="1285"/>
        <v>0</v>
      </c>
      <c r="CJ250" s="3">
        <f t="shared" si="1285"/>
        <v>0</v>
      </c>
      <c r="CK250" s="7">
        <f t="shared" si="1285"/>
        <v>0</v>
      </c>
      <c r="CL250" s="3">
        <f t="shared" si="1285"/>
        <v>0</v>
      </c>
      <c r="CM250" s="7">
        <f t="shared" si="1285"/>
        <v>0</v>
      </c>
      <c r="CN250" s="10">
        <f t="shared" si="1285"/>
        <v>0</v>
      </c>
      <c r="CO250" s="10">
        <f t="shared" si="1285"/>
        <v>0</v>
      </c>
      <c r="CP250" s="7">
        <f t="shared" si="1285"/>
        <v>0</v>
      </c>
      <c r="CQ250" s="7">
        <f t="shared" ref="CQ250" si="1286">IFERROR(CQ555,"-")</f>
        <v>0</v>
      </c>
      <c r="CR250" s="10">
        <f t="shared" si="1231"/>
        <v>0</v>
      </c>
      <c r="CS250" s="7">
        <f t="shared" si="1231"/>
        <v>0</v>
      </c>
      <c r="CT250" s="7">
        <f t="shared" si="1231"/>
        <v>0</v>
      </c>
      <c r="CU250" s="7">
        <f t="shared" si="1231"/>
        <v>0</v>
      </c>
      <c r="CV250" s="7">
        <f t="shared" si="1231"/>
        <v>0</v>
      </c>
      <c r="CW250" s="7">
        <f t="shared" si="1231"/>
        <v>0</v>
      </c>
      <c r="CX250" s="7">
        <f t="shared" si="1231"/>
        <v>0</v>
      </c>
      <c r="CY250" s="7">
        <f t="shared" si="1231"/>
        <v>0</v>
      </c>
      <c r="CZ250" s="7">
        <f t="shared" si="1231"/>
        <v>0</v>
      </c>
      <c r="DA250" s="7">
        <f t="shared" si="1231"/>
        <v>0</v>
      </c>
      <c r="DB250" s="7">
        <f t="shared" si="1231"/>
        <v>0</v>
      </c>
      <c r="DC250" s="7">
        <f t="shared" si="1231"/>
        <v>0</v>
      </c>
      <c r="DD250" s="7">
        <f t="shared" si="1231"/>
        <v>0</v>
      </c>
      <c r="DE250" s="7">
        <f t="shared" si="1231"/>
        <v>0</v>
      </c>
      <c r="DF250" s="7">
        <f t="shared" si="1231"/>
        <v>0</v>
      </c>
      <c r="DG250" s="7">
        <f t="shared" si="1231"/>
        <v>0</v>
      </c>
      <c r="DH250" s="7">
        <f t="shared" ref="DH250:DJ250" si="1287">IFERROR(DH555,"-")</f>
        <v>0</v>
      </c>
      <c r="DI250" s="7">
        <f t="shared" si="1287"/>
        <v>0</v>
      </c>
      <c r="DJ250" s="7">
        <f t="shared" si="1287"/>
        <v>0</v>
      </c>
      <c r="DK250" s="64">
        <f t="shared" ref="DK250:DS250" si="1288">IFERROR(VALUE(DK555),"-")</f>
        <v>0</v>
      </c>
      <c r="DL250" s="64">
        <f t="shared" si="1288"/>
        <v>0</v>
      </c>
      <c r="DM250" s="64">
        <f t="shared" si="1288"/>
        <v>0</v>
      </c>
      <c r="DN250" s="64">
        <f t="shared" si="1288"/>
        <v>0</v>
      </c>
      <c r="DO250" s="64">
        <f t="shared" si="1288"/>
        <v>0</v>
      </c>
      <c r="DP250" s="64">
        <f t="shared" si="1288"/>
        <v>0</v>
      </c>
      <c r="DQ250" s="64">
        <f t="shared" si="1288"/>
        <v>0</v>
      </c>
      <c r="DR250" s="64">
        <f t="shared" si="1288"/>
        <v>0</v>
      </c>
      <c r="DS250" s="64">
        <f t="shared" si="1288"/>
        <v>0</v>
      </c>
      <c r="DT250">
        <f t="shared" si="1000"/>
        <v>0</v>
      </c>
      <c r="DU250" s="10">
        <f t="shared" si="1001"/>
        <v>0</v>
      </c>
    </row>
    <row r="251" spans="1:125" x14ac:dyDescent="0.25">
      <c r="A251" t="s">
        <v>84</v>
      </c>
      <c r="B251" s="2">
        <v>44833</v>
      </c>
      <c r="C251" s="1">
        <v>700</v>
      </c>
      <c r="D251">
        <v>99</v>
      </c>
      <c r="M251" s="3"/>
      <c r="N251" s="3"/>
      <c r="O251" s="3"/>
      <c r="P251" s="7"/>
      <c r="Q251" s="7"/>
      <c r="R251" s="7"/>
      <c r="S251" s="7"/>
      <c r="T251" s="11"/>
      <c r="U251" s="11"/>
      <c r="V251" s="11"/>
      <c r="W251" s="11"/>
      <c r="X251" s="14"/>
      <c r="Y251" s="14"/>
      <c r="Z251" s="14"/>
      <c r="AA251" s="14"/>
      <c r="AB251" s="15"/>
      <c r="AC251" s="15"/>
      <c r="AD251" s="13"/>
      <c r="AE251" s="13"/>
      <c r="AF251" s="12"/>
      <c r="AG251" s="12"/>
      <c r="AH251" s="13"/>
      <c r="AI251" s="13"/>
      <c r="AJ251" s="11"/>
      <c r="AK251" s="11"/>
      <c r="AL251" s="11"/>
      <c r="AM251" s="11"/>
      <c r="AN251" s="11"/>
      <c r="AO251" s="11"/>
      <c r="AP251" s="11"/>
      <c r="AQ251" s="11"/>
      <c r="AR251" s="16"/>
      <c r="AS251" s="16"/>
      <c r="AT251" s="16"/>
      <c r="AU251" s="7"/>
      <c r="AV251" s="7"/>
      <c r="AW251" s="7"/>
      <c r="AX251" s="7"/>
      <c r="AY251" s="11"/>
      <c r="AZ251" s="16"/>
      <c r="BA251" s="16"/>
      <c r="BB251" s="16"/>
      <c r="BC251" s="11"/>
      <c r="BD251" s="11"/>
      <c r="BE251" s="11"/>
      <c r="BF251" s="11"/>
      <c r="BG251" s="11"/>
      <c r="BH251" s="11"/>
      <c r="BI251" s="13"/>
      <c r="BJ251" s="13"/>
      <c r="BK251" s="11"/>
      <c r="BL251" s="12"/>
      <c r="BM251" s="12"/>
      <c r="BN251" s="13"/>
      <c r="BO251" s="13"/>
      <c r="BP251" s="15"/>
      <c r="BQ251" s="15"/>
      <c r="BR251" s="14"/>
      <c r="BS251" s="14"/>
      <c r="BT251" s="14"/>
      <c r="BU251" s="14"/>
      <c r="BV251" s="11"/>
      <c r="BW251" s="11"/>
      <c r="BX251" s="11"/>
      <c r="BY251" s="11"/>
      <c r="BZ251" s="7"/>
      <c r="CA251" s="7"/>
      <c r="CB251" s="7"/>
      <c r="CC251" s="7"/>
      <c r="CD251" s="7"/>
      <c r="CE251" s="3"/>
      <c r="CF251" s="7"/>
      <c r="CG251" s="3"/>
      <c r="CH251" s="7"/>
      <c r="CI251" s="7"/>
      <c r="CJ251" s="3"/>
      <c r="CK251" s="7"/>
      <c r="CL251" s="3"/>
      <c r="CM251" s="7"/>
      <c r="CN251" s="10"/>
      <c r="CO251" s="10"/>
      <c r="CP251" s="7"/>
      <c r="CQ251" s="17"/>
      <c r="CR251" s="3"/>
      <c r="CS251" s="12"/>
      <c r="CT251" s="18"/>
      <c r="CU251" s="3"/>
      <c r="CV251" s="18"/>
      <c r="CW251" s="7"/>
      <c r="CX251" s="18"/>
      <c r="CY251" s="7"/>
      <c r="CZ251" s="18"/>
      <c r="DA251" s="3"/>
      <c r="DB251" s="18"/>
      <c r="DC251" s="11"/>
      <c r="DD251" s="18"/>
      <c r="DE251" s="7"/>
      <c r="DF251" s="7"/>
      <c r="DG251" s="7"/>
      <c r="DH251" s="3"/>
      <c r="DI251" s="3"/>
      <c r="DJ251" s="3"/>
      <c r="DK251" s="3"/>
      <c r="DL251" s="3"/>
      <c r="DM251" s="3"/>
      <c r="DN251" s="3"/>
      <c r="DO251" s="3"/>
      <c r="DP251" s="3"/>
      <c r="DQ251" s="3"/>
    </row>
    <row r="252" spans="1:125" x14ac:dyDescent="0.25">
      <c r="A252" t="s">
        <v>84</v>
      </c>
      <c r="B252" s="2">
        <v>44861</v>
      </c>
      <c r="C252" s="1">
        <v>700</v>
      </c>
      <c r="D252">
        <v>99</v>
      </c>
      <c r="M252" s="3"/>
      <c r="N252" s="3"/>
      <c r="O252" s="3"/>
      <c r="P252" s="7"/>
      <c r="Q252" s="7"/>
      <c r="R252" s="7"/>
      <c r="S252" s="7"/>
      <c r="T252" s="11"/>
      <c r="U252" s="11"/>
      <c r="V252" s="11"/>
      <c r="W252" s="11"/>
      <c r="X252" s="14"/>
      <c r="Y252" s="14"/>
      <c r="Z252" s="14"/>
      <c r="AA252" s="14"/>
      <c r="AB252" s="15"/>
      <c r="AC252" s="15"/>
      <c r="AD252" s="13"/>
      <c r="AE252" s="13"/>
      <c r="AF252" s="12"/>
      <c r="AG252" s="12"/>
      <c r="AH252" s="13"/>
      <c r="AI252" s="13"/>
      <c r="AJ252" s="11"/>
      <c r="AK252" s="11"/>
      <c r="AL252" s="11"/>
      <c r="AM252" s="11"/>
      <c r="AN252" s="11"/>
      <c r="AO252" s="11"/>
      <c r="AP252" s="11"/>
      <c r="AQ252" s="11"/>
      <c r="AR252" s="16"/>
      <c r="AS252" s="16"/>
      <c r="AT252" s="16"/>
      <c r="AU252" s="7"/>
      <c r="AV252" s="7"/>
      <c r="AW252" s="7"/>
      <c r="AX252" s="7"/>
      <c r="AY252" s="11"/>
      <c r="AZ252" s="16"/>
      <c r="BA252" s="16"/>
      <c r="BB252" s="16"/>
      <c r="BC252" s="11"/>
      <c r="BD252" s="11"/>
      <c r="BE252" s="11"/>
      <c r="BF252" s="11"/>
      <c r="BG252" s="11"/>
      <c r="BH252" s="11"/>
      <c r="BI252" s="13"/>
      <c r="BJ252" s="13"/>
      <c r="BK252" s="11"/>
      <c r="BL252" s="12"/>
      <c r="BM252" s="12"/>
      <c r="BN252" s="13"/>
      <c r="BO252" s="13"/>
      <c r="BP252" s="15"/>
      <c r="BQ252" s="15"/>
      <c r="BR252" s="14"/>
      <c r="BS252" s="14"/>
      <c r="BT252" s="14"/>
      <c r="BU252" s="14"/>
      <c r="BV252" s="11"/>
      <c r="BW252" s="11"/>
      <c r="BX252" s="11"/>
      <c r="BY252" s="11"/>
      <c r="BZ252" s="7"/>
      <c r="CA252" s="7"/>
      <c r="CB252" s="7"/>
      <c r="CC252" s="7"/>
      <c r="CD252" s="7"/>
      <c r="CE252" s="3"/>
      <c r="CF252" s="7"/>
      <c r="CG252" s="3"/>
      <c r="CH252" s="7"/>
      <c r="CI252" s="7"/>
      <c r="CJ252" s="3"/>
      <c r="CK252" s="7"/>
      <c r="CL252" s="3"/>
      <c r="CM252" s="7"/>
      <c r="CN252" s="10"/>
      <c r="CO252" s="10"/>
      <c r="CP252" s="7"/>
      <c r="CQ252" s="17"/>
      <c r="CR252" s="3"/>
      <c r="CS252" s="12"/>
      <c r="CT252" s="18"/>
      <c r="CU252" s="3"/>
      <c r="CV252" s="18"/>
      <c r="CW252" s="7"/>
      <c r="CX252" s="18"/>
      <c r="CY252" s="7"/>
      <c r="CZ252" s="18"/>
      <c r="DA252" s="3"/>
      <c r="DB252" s="18"/>
      <c r="DC252" s="11"/>
      <c r="DD252" s="18"/>
      <c r="DE252" s="7"/>
      <c r="DF252" s="7"/>
      <c r="DG252" s="7"/>
      <c r="DH252" s="3"/>
      <c r="DI252" s="3"/>
      <c r="DJ252" s="3"/>
      <c r="DK252" s="3"/>
      <c r="DL252" s="3"/>
      <c r="DM252" s="3"/>
      <c r="DN252" s="3"/>
      <c r="DO252" s="3"/>
      <c r="DP252" s="3"/>
      <c r="DQ252" s="3"/>
    </row>
    <row r="253" spans="1:125" x14ac:dyDescent="0.25">
      <c r="A253" t="s">
        <v>85</v>
      </c>
      <c r="B253" s="2">
        <v>44798</v>
      </c>
      <c r="C253" s="1">
        <v>300</v>
      </c>
      <c r="D253">
        <v>99</v>
      </c>
      <c r="M253" s="3"/>
      <c r="N253" s="3"/>
      <c r="O253" s="3"/>
      <c r="P253" s="7"/>
      <c r="Q253" s="7"/>
      <c r="R253" s="7"/>
      <c r="S253" s="7"/>
      <c r="T253" s="11"/>
      <c r="U253" s="11"/>
      <c r="V253" s="11"/>
      <c r="W253" s="11"/>
      <c r="X253" s="14"/>
      <c r="Y253" s="14"/>
      <c r="Z253" s="14"/>
      <c r="AA253" s="14"/>
      <c r="AB253" s="15"/>
      <c r="AC253" s="15"/>
      <c r="AD253" s="13"/>
      <c r="AE253" s="13"/>
      <c r="AF253" s="12"/>
      <c r="AG253" s="12"/>
      <c r="AH253" s="13"/>
      <c r="AI253" s="13"/>
      <c r="AJ253" s="11"/>
      <c r="AK253" s="11"/>
      <c r="AL253" s="11"/>
      <c r="AM253" s="11"/>
      <c r="AN253" s="11"/>
      <c r="AO253" s="11"/>
      <c r="AP253" s="11"/>
      <c r="AQ253" s="11"/>
      <c r="AR253" s="16"/>
      <c r="AS253" s="16"/>
      <c r="AT253" s="16"/>
      <c r="AU253" s="7"/>
      <c r="AV253" s="7"/>
      <c r="AW253" s="7"/>
      <c r="AX253" s="7"/>
      <c r="AY253" s="11"/>
      <c r="AZ253" s="16"/>
      <c r="BA253" s="16"/>
      <c r="BB253" s="16"/>
      <c r="BC253" s="11"/>
      <c r="BD253" s="11"/>
      <c r="BE253" s="11"/>
      <c r="BF253" s="11"/>
      <c r="BG253" s="11"/>
      <c r="BH253" s="11"/>
      <c r="BI253" s="13"/>
      <c r="BJ253" s="13"/>
      <c r="BK253" s="11"/>
      <c r="BL253" s="12"/>
      <c r="BM253" s="12"/>
      <c r="BN253" s="13"/>
      <c r="BO253" s="13"/>
      <c r="BP253" s="15"/>
      <c r="BQ253" s="15"/>
      <c r="BR253" s="14"/>
      <c r="BS253" s="14"/>
      <c r="BT253" s="14"/>
      <c r="BU253" s="14"/>
      <c r="BV253" s="11"/>
      <c r="BW253" s="11"/>
      <c r="BX253" s="11"/>
      <c r="BY253" s="11"/>
      <c r="BZ253" s="7"/>
      <c r="CA253" s="7"/>
      <c r="CB253" s="7"/>
      <c r="CC253" s="7"/>
      <c r="CD253" s="7"/>
      <c r="CE253" s="3"/>
      <c r="CF253" s="7"/>
      <c r="CG253" s="3"/>
      <c r="CH253" s="7"/>
      <c r="CI253" s="7"/>
      <c r="CJ253" s="3"/>
      <c r="CK253" s="7"/>
      <c r="CL253" s="3"/>
      <c r="CM253" s="7"/>
      <c r="CN253" s="10"/>
      <c r="CO253" s="10"/>
      <c r="CP253" s="7"/>
      <c r="CQ253" s="17"/>
      <c r="CR253" s="3"/>
      <c r="CS253" s="12"/>
      <c r="CT253" s="18"/>
      <c r="CU253" s="3"/>
      <c r="CV253" s="18"/>
      <c r="CW253" s="7"/>
      <c r="CX253" s="18"/>
      <c r="CY253" s="7"/>
      <c r="CZ253" s="18"/>
      <c r="DA253" s="3"/>
      <c r="DB253" s="18"/>
      <c r="DC253" s="11"/>
      <c r="DD253" s="18"/>
      <c r="DE253" s="7"/>
      <c r="DF253" s="7"/>
      <c r="DG253" s="7"/>
      <c r="DH253" s="3"/>
      <c r="DI253" s="3"/>
      <c r="DJ253" s="3"/>
      <c r="DK253" s="3"/>
      <c r="DL253" s="3"/>
      <c r="DM253" s="3"/>
      <c r="DN253" s="3"/>
      <c r="DO253" s="3"/>
      <c r="DP253" s="3"/>
      <c r="DQ253" s="3"/>
    </row>
    <row r="254" spans="1:125" x14ac:dyDescent="0.25">
      <c r="A254" t="s">
        <v>85</v>
      </c>
      <c r="B254" s="2">
        <v>44833</v>
      </c>
      <c r="C254" s="1">
        <v>300</v>
      </c>
      <c r="D254">
        <v>99</v>
      </c>
      <c r="M254" s="3"/>
      <c r="N254" s="3"/>
      <c r="O254" s="3"/>
      <c r="P254" s="7"/>
      <c r="Q254" s="7"/>
      <c r="R254" s="7"/>
      <c r="S254" s="7"/>
      <c r="T254" s="11"/>
      <c r="U254" s="11"/>
      <c r="V254" s="11"/>
      <c r="W254" s="11"/>
      <c r="X254" s="14"/>
      <c r="Y254" s="14"/>
      <c r="Z254" s="14"/>
      <c r="AA254" s="14"/>
      <c r="AB254" s="15"/>
      <c r="AC254" s="15"/>
      <c r="AD254" s="13"/>
      <c r="AE254" s="13"/>
      <c r="AF254" s="12"/>
      <c r="AG254" s="12"/>
      <c r="AH254" s="13"/>
      <c r="AI254" s="13"/>
      <c r="AJ254" s="11"/>
      <c r="AK254" s="11"/>
      <c r="AL254" s="11"/>
      <c r="AM254" s="11"/>
      <c r="AN254" s="11"/>
      <c r="AO254" s="11"/>
      <c r="AP254" s="11"/>
      <c r="AQ254" s="11"/>
      <c r="AR254" s="16"/>
      <c r="AS254" s="16"/>
      <c r="AT254" s="16"/>
      <c r="AU254" s="7"/>
      <c r="AV254" s="7"/>
      <c r="AW254" s="7"/>
      <c r="AX254" s="7"/>
      <c r="AY254" s="11"/>
      <c r="AZ254" s="16"/>
      <c r="BA254" s="16"/>
      <c r="BB254" s="16"/>
      <c r="BC254" s="11"/>
      <c r="BD254" s="11"/>
      <c r="BE254" s="11"/>
      <c r="BF254" s="11"/>
      <c r="BG254" s="11"/>
      <c r="BH254" s="11"/>
      <c r="BI254" s="13"/>
      <c r="BJ254" s="13"/>
      <c r="BK254" s="11"/>
      <c r="BL254" s="12"/>
      <c r="BM254" s="12"/>
      <c r="BN254" s="13"/>
      <c r="BO254" s="13"/>
      <c r="BP254" s="15"/>
      <c r="BQ254" s="15"/>
      <c r="BR254" s="14"/>
      <c r="BS254" s="14"/>
      <c r="BT254" s="14"/>
      <c r="BU254" s="14"/>
      <c r="BV254" s="11"/>
      <c r="BW254" s="11"/>
      <c r="BX254" s="11"/>
      <c r="BY254" s="11"/>
      <c r="BZ254" s="7"/>
      <c r="CA254" s="7"/>
      <c r="CB254" s="7"/>
      <c r="CC254" s="7"/>
      <c r="CD254" s="7"/>
      <c r="CE254" s="3"/>
      <c r="CF254" s="7"/>
      <c r="CG254" s="3"/>
      <c r="CH254" s="7"/>
      <c r="CI254" s="7"/>
      <c r="CJ254" s="3"/>
      <c r="CK254" s="7"/>
      <c r="CL254" s="3"/>
      <c r="CM254" s="7"/>
      <c r="CN254" s="10"/>
      <c r="CO254" s="10"/>
      <c r="CP254" s="7"/>
      <c r="CQ254" s="17"/>
      <c r="CR254" s="3"/>
      <c r="CS254" s="12"/>
      <c r="CT254" s="18"/>
      <c r="CU254" s="3"/>
      <c r="CV254" s="18"/>
      <c r="CW254" s="7"/>
      <c r="CX254" s="18"/>
      <c r="CY254" s="7"/>
      <c r="CZ254" s="18"/>
      <c r="DA254" s="3"/>
      <c r="DB254" s="18"/>
      <c r="DC254" s="11"/>
      <c r="DD254" s="18"/>
      <c r="DE254" s="7"/>
      <c r="DF254" s="7"/>
      <c r="DG254" s="7"/>
      <c r="DH254" s="3"/>
      <c r="DI254" s="3"/>
      <c r="DJ254" s="3"/>
      <c r="DK254" s="3"/>
      <c r="DL254" s="3"/>
      <c r="DM254" s="3"/>
      <c r="DN254" s="3"/>
      <c r="DO254" s="3"/>
      <c r="DP254" s="3"/>
      <c r="DQ254" s="3"/>
    </row>
    <row r="255" spans="1:125" x14ac:dyDescent="0.25">
      <c r="A255" t="s">
        <v>85</v>
      </c>
      <c r="B255" s="2">
        <v>44861</v>
      </c>
      <c r="C255" s="1">
        <v>300</v>
      </c>
      <c r="D255">
        <v>99</v>
      </c>
      <c r="M255" s="3"/>
      <c r="N255" s="3"/>
      <c r="O255" s="3"/>
      <c r="P255" s="7"/>
      <c r="Q255" s="7"/>
      <c r="R255" s="7"/>
      <c r="S255" s="7"/>
      <c r="T255" s="11"/>
      <c r="U255" s="11"/>
      <c r="V255" s="11"/>
      <c r="W255" s="11"/>
      <c r="X255" s="14"/>
      <c r="Y255" s="14"/>
      <c r="Z255" s="14"/>
      <c r="AA255" s="14"/>
      <c r="AB255" s="15"/>
      <c r="AC255" s="15"/>
      <c r="AD255" s="13"/>
      <c r="AE255" s="13"/>
      <c r="AF255" s="12"/>
      <c r="AG255" s="12"/>
      <c r="AH255" s="13"/>
      <c r="AI255" s="13"/>
      <c r="AJ255" s="11"/>
      <c r="AK255" s="11"/>
      <c r="AL255" s="11"/>
      <c r="AM255" s="11"/>
      <c r="AN255" s="11"/>
      <c r="AO255" s="11"/>
      <c r="AP255" s="11"/>
      <c r="AQ255" s="11"/>
      <c r="AR255" s="16"/>
      <c r="AS255" s="16"/>
      <c r="AT255" s="16"/>
      <c r="AU255" s="7"/>
      <c r="AV255" s="7"/>
      <c r="AW255" s="7"/>
      <c r="AX255" s="7"/>
      <c r="AY255" s="11"/>
      <c r="AZ255" s="16"/>
      <c r="BA255" s="16"/>
      <c r="BB255" s="16"/>
      <c r="BC255" s="11"/>
      <c r="BD255" s="11"/>
      <c r="BE255" s="11"/>
      <c r="BF255" s="11"/>
      <c r="BG255" s="11"/>
      <c r="BH255" s="11"/>
      <c r="BI255" s="13"/>
      <c r="BJ255" s="13"/>
      <c r="BK255" s="11"/>
      <c r="BL255" s="12"/>
      <c r="BM255" s="12"/>
      <c r="BN255" s="13"/>
      <c r="BO255" s="13"/>
      <c r="BP255" s="15"/>
      <c r="BQ255" s="15"/>
      <c r="BR255" s="14"/>
      <c r="BS255" s="14"/>
      <c r="BT255" s="14"/>
      <c r="BU255" s="14"/>
      <c r="BV255" s="11"/>
      <c r="BW255" s="11"/>
      <c r="BX255" s="11"/>
      <c r="BY255" s="11"/>
      <c r="BZ255" s="7"/>
      <c r="CA255" s="7"/>
      <c r="CB255" s="7"/>
      <c r="CC255" s="7"/>
      <c r="CD255" s="7"/>
      <c r="CE255" s="3"/>
      <c r="CF255" s="7"/>
      <c r="CG255" s="3"/>
      <c r="CH255" s="7"/>
      <c r="CI255" s="7"/>
      <c r="CJ255" s="3"/>
      <c r="CK255" s="7"/>
      <c r="CL255" s="3"/>
      <c r="CM255" s="7"/>
      <c r="CN255" s="10"/>
      <c r="CO255" s="10"/>
      <c r="CP255" s="7"/>
      <c r="CQ255" s="17"/>
      <c r="CR255" s="3"/>
      <c r="CS255" s="12"/>
      <c r="CT255" s="18"/>
      <c r="CU255" s="3"/>
      <c r="CV255" s="18"/>
      <c r="CW255" s="7"/>
      <c r="CX255" s="18"/>
      <c r="CY255" s="7"/>
      <c r="CZ255" s="18"/>
      <c r="DA255" s="3"/>
      <c r="DB255" s="18"/>
      <c r="DC255" s="11"/>
      <c r="DD255" s="18"/>
      <c r="DE255" s="7"/>
      <c r="DF255" s="7"/>
      <c r="DG255" s="7"/>
      <c r="DH255" s="3"/>
      <c r="DI255" s="3"/>
      <c r="DJ255" s="3"/>
      <c r="DK255" s="3"/>
      <c r="DL255" s="3"/>
      <c r="DM255" s="3"/>
      <c r="DN255" s="3"/>
      <c r="DO255" s="3"/>
      <c r="DP255" s="3"/>
      <c r="DQ255" s="3"/>
    </row>
    <row r="256" spans="1:125" x14ac:dyDescent="0.25">
      <c r="A256" t="s">
        <v>86</v>
      </c>
      <c r="B256" s="2">
        <v>44798</v>
      </c>
      <c r="C256" s="1">
        <v>300</v>
      </c>
      <c r="D256">
        <v>91</v>
      </c>
      <c r="M256" s="3"/>
      <c r="N256" s="3"/>
      <c r="O256" s="3"/>
      <c r="P256" s="7"/>
      <c r="Q256" s="7"/>
      <c r="R256" s="7"/>
      <c r="S256" s="7"/>
      <c r="T256" s="11"/>
      <c r="U256" s="11"/>
      <c r="V256" s="11"/>
      <c r="W256" s="11"/>
      <c r="X256" s="14"/>
      <c r="Y256" s="14"/>
      <c r="Z256" s="14"/>
      <c r="AA256" s="14"/>
      <c r="AB256" s="15"/>
      <c r="AC256" s="15"/>
      <c r="AD256" s="13"/>
      <c r="AE256" s="13"/>
      <c r="AF256" s="12"/>
      <c r="AG256" s="12"/>
      <c r="AH256" s="13"/>
      <c r="AI256" s="13"/>
      <c r="AJ256" s="11"/>
      <c r="AK256" s="11"/>
      <c r="AL256" s="11"/>
      <c r="AM256" s="11"/>
      <c r="AN256" s="11"/>
      <c r="AO256" s="11"/>
      <c r="AP256" s="11"/>
      <c r="AQ256" s="11"/>
      <c r="AR256" s="16"/>
      <c r="AS256" s="16"/>
      <c r="AT256" s="16"/>
      <c r="AU256" s="7"/>
      <c r="AV256" s="7"/>
      <c r="AW256" s="7"/>
      <c r="AX256" s="7"/>
      <c r="AY256" s="11"/>
      <c r="AZ256" s="16"/>
      <c r="BA256" s="16"/>
      <c r="BB256" s="16"/>
      <c r="BC256" s="11"/>
      <c r="BD256" s="11"/>
      <c r="BE256" s="11"/>
      <c r="BF256" s="11"/>
      <c r="BG256" s="11"/>
      <c r="BH256" s="11"/>
      <c r="BI256" s="13"/>
      <c r="BJ256" s="13"/>
      <c r="BK256" s="11"/>
      <c r="BL256" s="12"/>
      <c r="BM256" s="12"/>
      <c r="BN256" s="13"/>
      <c r="BO256" s="13"/>
      <c r="BP256" s="15"/>
      <c r="BQ256" s="15"/>
      <c r="BR256" s="14"/>
      <c r="BS256" s="14"/>
      <c r="BT256" s="14"/>
      <c r="BU256" s="14"/>
      <c r="BV256" s="11"/>
      <c r="BW256" s="11"/>
      <c r="BX256" s="11"/>
      <c r="BY256" s="11"/>
      <c r="BZ256" s="7"/>
      <c r="CA256" s="7"/>
      <c r="CB256" s="7"/>
      <c r="CC256" s="7"/>
      <c r="CD256" s="7"/>
      <c r="CE256" s="3"/>
      <c r="CF256" s="7"/>
      <c r="CG256" s="3"/>
      <c r="CH256" s="7"/>
      <c r="CI256" s="7"/>
      <c r="CJ256" s="3"/>
      <c r="CK256" s="7"/>
      <c r="CL256" s="3"/>
      <c r="CM256" s="7"/>
      <c r="CN256" s="10"/>
      <c r="CO256" s="10"/>
      <c r="CP256" s="7"/>
      <c r="CQ256" s="17"/>
      <c r="CR256" s="3"/>
      <c r="CS256" s="12"/>
      <c r="CT256" s="18"/>
      <c r="CU256" s="3"/>
      <c r="CV256" s="18"/>
      <c r="CW256" s="7"/>
      <c r="CX256" s="18"/>
      <c r="CY256" s="7"/>
      <c r="CZ256" s="18"/>
      <c r="DA256" s="3"/>
      <c r="DB256" s="18"/>
      <c r="DC256" s="11"/>
      <c r="DD256" s="18"/>
      <c r="DE256" s="7"/>
      <c r="DF256" s="7"/>
      <c r="DG256" s="7"/>
      <c r="DH256" s="3"/>
      <c r="DI256" s="3"/>
      <c r="DJ256" s="3"/>
      <c r="DK256" s="3"/>
      <c r="DL256" s="3"/>
      <c r="DM256" s="3"/>
      <c r="DN256" s="3"/>
      <c r="DO256" s="3"/>
      <c r="DP256" s="3"/>
      <c r="DQ256" s="3"/>
    </row>
    <row r="257" spans="1:121" x14ac:dyDescent="0.25">
      <c r="A257" t="s">
        <v>86</v>
      </c>
      <c r="B257" s="2">
        <v>44833</v>
      </c>
      <c r="C257" s="1">
        <v>300</v>
      </c>
      <c r="D257">
        <v>91</v>
      </c>
      <c r="M257" s="3"/>
      <c r="N257" s="3"/>
      <c r="O257" s="3"/>
      <c r="P257" s="7"/>
      <c r="Q257" s="7"/>
      <c r="R257" s="7"/>
      <c r="S257" s="7"/>
      <c r="T257" s="11"/>
      <c r="U257" s="11"/>
      <c r="V257" s="11"/>
      <c r="W257" s="11"/>
      <c r="X257" s="14"/>
      <c r="Y257" s="14"/>
      <c r="Z257" s="14"/>
      <c r="AA257" s="14"/>
      <c r="AB257" s="15"/>
      <c r="AC257" s="15"/>
      <c r="AD257" s="13"/>
      <c r="AE257" s="13"/>
      <c r="AF257" s="12"/>
      <c r="AG257" s="12"/>
      <c r="AH257" s="13"/>
      <c r="AI257" s="13"/>
      <c r="AJ257" s="11"/>
      <c r="AK257" s="11"/>
      <c r="AL257" s="11"/>
      <c r="AM257" s="11"/>
      <c r="AN257" s="11"/>
      <c r="AO257" s="11"/>
      <c r="AP257" s="11"/>
      <c r="AQ257" s="11"/>
      <c r="AR257" s="16"/>
      <c r="AS257" s="16"/>
      <c r="AT257" s="16"/>
      <c r="AU257" s="7"/>
      <c r="AV257" s="7"/>
      <c r="AW257" s="7"/>
      <c r="AX257" s="7"/>
      <c r="AY257" s="11"/>
      <c r="AZ257" s="16"/>
      <c r="BA257" s="16"/>
      <c r="BB257" s="16"/>
      <c r="BC257" s="11"/>
      <c r="BD257" s="11"/>
      <c r="BE257" s="11"/>
      <c r="BF257" s="11"/>
      <c r="BG257" s="11"/>
      <c r="BH257" s="11"/>
      <c r="BI257" s="13"/>
      <c r="BJ257" s="13"/>
      <c r="BK257" s="11"/>
      <c r="BL257" s="12"/>
      <c r="BM257" s="12"/>
      <c r="BN257" s="13"/>
      <c r="BO257" s="13"/>
      <c r="BP257" s="15"/>
      <c r="BQ257" s="15"/>
      <c r="BR257" s="14"/>
      <c r="BS257" s="14"/>
      <c r="BT257" s="14"/>
      <c r="BU257" s="14"/>
      <c r="BV257" s="11"/>
      <c r="BW257" s="11"/>
      <c r="BX257" s="11"/>
      <c r="BY257" s="11"/>
      <c r="BZ257" s="7"/>
      <c r="CA257" s="7"/>
      <c r="CB257" s="7"/>
      <c r="CC257" s="7"/>
      <c r="CD257" s="7"/>
      <c r="CE257" s="3"/>
      <c r="CF257" s="7"/>
      <c r="CG257" s="3"/>
      <c r="CH257" s="7"/>
      <c r="CI257" s="7"/>
      <c r="CJ257" s="3"/>
      <c r="CK257" s="7"/>
      <c r="CL257" s="3"/>
      <c r="CM257" s="7"/>
      <c r="CN257" s="10"/>
      <c r="CO257" s="10"/>
      <c r="CP257" s="7"/>
      <c r="CQ257" s="17"/>
      <c r="CR257" s="3"/>
      <c r="CS257" s="12"/>
      <c r="CT257" s="18"/>
      <c r="CU257" s="3"/>
      <c r="CV257" s="18"/>
      <c r="CW257" s="7"/>
      <c r="CX257" s="18"/>
      <c r="CY257" s="7"/>
      <c r="CZ257" s="18"/>
      <c r="DA257" s="3"/>
      <c r="DB257" s="18"/>
      <c r="DC257" s="11"/>
      <c r="DD257" s="18"/>
      <c r="DE257" s="7"/>
      <c r="DF257" s="7"/>
      <c r="DG257" s="7"/>
      <c r="DH257" s="3"/>
      <c r="DI257" s="3"/>
      <c r="DJ257" s="3"/>
      <c r="DK257" s="3"/>
      <c r="DL257" s="3"/>
      <c r="DM257" s="3"/>
      <c r="DN257" s="3"/>
      <c r="DO257" s="3"/>
      <c r="DP257" s="3"/>
      <c r="DQ257" s="3"/>
    </row>
    <row r="258" spans="1:121" x14ac:dyDescent="0.25">
      <c r="A258" t="s">
        <v>86</v>
      </c>
      <c r="B258" s="2">
        <v>44861</v>
      </c>
      <c r="C258" s="1">
        <v>300</v>
      </c>
      <c r="D258">
        <v>91</v>
      </c>
      <c r="M258" s="3"/>
      <c r="N258" s="3"/>
      <c r="O258" s="3"/>
      <c r="P258" s="7"/>
      <c r="Q258" s="7"/>
      <c r="R258" s="7"/>
      <c r="S258" s="7"/>
      <c r="T258" s="11"/>
      <c r="U258" s="11"/>
      <c r="V258" s="11"/>
      <c r="W258" s="11"/>
      <c r="X258" s="14"/>
      <c r="Y258" s="14"/>
      <c r="Z258" s="14"/>
      <c r="AA258" s="14"/>
      <c r="AB258" s="15"/>
      <c r="AC258" s="15"/>
      <c r="AD258" s="13"/>
      <c r="AE258" s="13"/>
      <c r="AF258" s="12"/>
      <c r="AG258" s="12"/>
      <c r="AH258" s="13"/>
      <c r="AI258" s="13"/>
      <c r="AJ258" s="11"/>
      <c r="AK258" s="11"/>
      <c r="AL258" s="11"/>
      <c r="AM258" s="11"/>
      <c r="AN258" s="11"/>
      <c r="AO258" s="11"/>
      <c r="AP258" s="11"/>
      <c r="AQ258" s="11"/>
      <c r="AR258" s="16"/>
      <c r="AS258" s="16"/>
      <c r="AT258" s="16"/>
      <c r="AU258" s="7"/>
      <c r="AV258" s="7"/>
      <c r="AW258" s="7"/>
      <c r="AX258" s="7"/>
      <c r="AY258" s="11"/>
      <c r="AZ258" s="16"/>
      <c r="BA258" s="16"/>
      <c r="BB258" s="16"/>
      <c r="BC258" s="11"/>
      <c r="BD258" s="11"/>
      <c r="BE258" s="11"/>
      <c r="BF258" s="11"/>
      <c r="BG258" s="11"/>
      <c r="BH258" s="11"/>
      <c r="BI258" s="13"/>
      <c r="BJ258" s="13"/>
      <c r="BK258" s="11"/>
      <c r="BL258" s="12"/>
      <c r="BM258" s="12"/>
      <c r="BN258" s="13"/>
      <c r="BO258" s="13"/>
      <c r="BP258" s="15"/>
      <c r="BQ258" s="15"/>
      <c r="BR258" s="14"/>
      <c r="BS258" s="14"/>
      <c r="BT258" s="14"/>
      <c r="BU258" s="14"/>
      <c r="BV258" s="11"/>
      <c r="BW258" s="11"/>
      <c r="BX258" s="11"/>
      <c r="BY258" s="11"/>
      <c r="BZ258" s="7"/>
      <c r="CA258" s="7"/>
      <c r="CB258" s="7"/>
      <c r="CC258" s="7"/>
      <c r="CD258" s="7"/>
      <c r="CE258" s="3"/>
      <c r="CF258" s="7"/>
      <c r="CG258" s="3"/>
      <c r="CH258" s="7"/>
      <c r="CI258" s="7"/>
      <c r="CJ258" s="3"/>
      <c r="CK258" s="7"/>
      <c r="CL258" s="3"/>
      <c r="CM258" s="7"/>
      <c r="CN258" s="10"/>
      <c r="CO258" s="10"/>
      <c r="CP258" s="7"/>
      <c r="CQ258" s="17"/>
      <c r="CR258" s="3"/>
      <c r="CS258" s="12"/>
      <c r="CT258" s="18"/>
      <c r="CU258" s="3"/>
      <c r="CV258" s="18"/>
      <c r="CW258" s="7"/>
      <c r="CX258" s="18"/>
      <c r="CY258" s="7"/>
      <c r="CZ258" s="18"/>
      <c r="DA258" s="3"/>
      <c r="DB258" s="18"/>
      <c r="DC258" s="11"/>
      <c r="DD258" s="18"/>
      <c r="DE258" s="7"/>
      <c r="DF258" s="7"/>
      <c r="DG258" s="7"/>
      <c r="DH258" s="3"/>
      <c r="DI258" s="3"/>
      <c r="DJ258" s="3"/>
      <c r="DK258" s="3"/>
      <c r="DL258" s="3"/>
      <c r="DM258" s="3"/>
      <c r="DN258" s="3"/>
      <c r="DO258" s="3"/>
      <c r="DP258" s="3"/>
      <c r="DQ258" s="3"/>
    </row>
    <row r="259" spans="1:121" x14ac:dyDescent="0.25">
      <c r="A259" t="s">
        <v>87</v>
      </c>
      <c r="B259" s="2">
        <v>44798</v>
      </c>
      <c r="C259" s="1">
        <v>550</v>
      </c>
      <c r="D259">
        <v>67</v>
      </c>
      <c r="M259" s="3"/>
      <c r="N259" s="3"/>
      <c r="O259" s="3"/>
      <c r="P259" s="7"/>
      <c r="Q259" s="7"/>
      <c r="R259" s="7"/>
      <c r="S259" s="7"/>
      <c r="T259" s="11"/>
      <c r="U259" s="11"/>
      <c r="V259" s="11"/>
      <c r="W259" s="11"/>
      <c r="X259" s="14"/>
      <c r="Y259" s="14"/>
      <c r="Z259" s="14"/>
      <c r="AA259" s="14"/>
      <c r="AB259" s="15"/>
      <c r="AC259" s="15"/>
      <c r="AD259" s="13"/>
      <c r="AE259" s="13"/>
      <c r="AF259" s="12"/>
      <c r="AG259" s="12"/>
      <c r="AH259" s="13"/>
      <c r="AI259" s="13"/>
      <c r="AJ259" s="11"/>
      <c r="AK259" s="11"/>
      <c r="AL259" s="11"/>
      <c r="AM259" s="11"/>
      <c r="AN259" s="11"/>
      <c r="AO259" s="11"/>
      <c r="AP259" s="11"/>
      <c r="AQ259" s="11"/>
      <c r="AR259" s="16"/>
      <c r="AS259" s="16"/>
      <c r="AT259" s="16"/>
      <c r="AU259" s="7"/>
      <c r="AV259" s="7"/>
      <c r="AW259" s="7"/>
      <c r="AX259" s="7"/>
      <c r="AY259" s="11"/>
      <c r="AZ259" s="16"/>
      <c r="BA259" s="16"/>
      <c r="BB259" s="16"/>
      <c r="BC259" s="11"/>
      <c r="BD259" s="11"/>
      <c r="BE259" s="11"/>
      <c r="BF259" s="11"/>
      <c r="BG259" s="11"/>
      <c r="BH259" s="11"/>
      <c r="BI259" s="13"/>
      <c r="BJ259" s="13"/>
      <c r="BK259" s="11"/>
      <c r="BL259" s="12"/>
      <c r="BM259" s="12"/>
      <c r="BN259" s="13"/>
      <c r="BO259" s="13"/>
      <c r="BP259" s="15"/>
      <c r="BQ259" s="15"/>
      <c r="BR259" s="14"/>
      <c r="BS259" s="14"/>
      <c r="BT259" s="14"/>
      <c r="BU259" s="14"/>
      <c r="BV259" s="11"/>
      <c r="BW259" s="11"/>
      <c r="BX259" s="11"/>
      <c r="BY259" s="11"/>
      <c r="BZ259" s="7"/>
      <c r="CA259" s="7"/>
      <c r="CB259" s="7"/>
      <c r="CC259" s="7"/>
      <c r="CD259" s="7"/>
      <c r="CE259" s="3"/>
      <c r="CF259" s="7"/>
      <c r="CG259" s="3"/>
      <c r="CH259" s="7"/>
      <c r="CI259" s="7"/>
      <c r="CJ259" s="3"/>
      <c r="CK259" s="7"/>
      <c r="CL259" s="3"/>
      <c r="CM259" s="7"/>
      <c r="CN259" s="10"/>
      <c r="CO259" s="10"/>
      <c r="CP259" s="7"/>
      <c r="CQ259" s="17"/>
      <c r="CR259" s="3"/>
      <c r="CS259" s="12"/>
      <c r="CT259" s="18"/>
      <c r="CU259" s="3"/>
      <c r="CV259" s="18"/>
      <c r="CW259" s="7"/>
      <c r="CX259" s="18"/>
      <c r="CY259" s="7"/>
      <c r="CZ259" s="18"/>
      <c r="DA259" s="3"/>
      <c r="DB259" s="18"/>
      <c r="DC259" s="11"/>
      <c r="DD259" s="18"/>
      <c r="DE259" s="7"/>
      <c r="DF259" s="7"/>
      <c r="DG259" s="7"/>
      <c r="DH259" s="3"/>
      <c r="DI259" s="3"/>
      <c r="DJ259" s="3"/>
      <c r="DK259" s="3"/>
      <c r="DL259" s="3"/>
      <c r="DM259" s="3"/>
      <c r="DN259" s="3"/>
      <c r="DO259" s="3"/>
      <c r="DP259" s="3"/>
      <c r="DQ259" s="3"/>
    </row>
    <row r="260" spans="1:121" x14ac:dyDescent="0.25">
      <c r="A260" t="s">
        <v>87</v>
      </c>
      <c r="B260" s="2">
        <v>44833</v>
      </c>
      <c r="C260" s="1">
        <v>550</v>
      </c>
      <c r="D260">
        <v>67</v>
      </c>
      <c r="M260" s="3"/>
      <c r="N260" s="3"/>
      <c r="O260" s="3"/>
      <c r="P260" s="7"/>
      <c r="Q260" s="7"/>
      <c r="R260" s="7"/>
      <c r="S260" s="7"/>
      <c r="T260" s="11"/>
      <c r="U260" s="11"/>
      <c r="V260" s="11"/>
      <c r="W260" s="11"/>
      <c r="X260" s="14"/>
      <c r="Y260" s="14"/>
      <c r="Z260" s="14"/>
      <c r="AA260" s="14"/>
      <c r="AB260" s="15"/>
      <c r="AC260" s="15"/>
      <c r="AD260" s="13"/>
      <c r="AE260" s="13"/>
      <c r="AF260" s="12"/>
      <c r="AG260" s="12"/>
      <c r="AH260" s="13"/>
      <c r="AI260" s="13"/>
      <c r="AJ260" s="11"/>
      <c r="AK260" s="11"/>
      <c r="AL260" s="11"/>
      <c r="AM260" s="11"/>
      <c r="AN260" s="11"/>
      <c r="AO260" s="11"/>
      <c r="AP260" s="11"/>
      <c r="AQ260" s="11"/>
      <c r="AR260" s="16"/>
      <c r="AS260" s="16"/>
      <c r="AT260" s="16"/>
      <c r="AU260" s="7"/>
      <c r="AV260" s="7"/>
      <c r="AW260" s="7"/>
      <c r="AX260" s="7"/>
      <c r="AY260" s="11"/>
      <c r="AZ260" s="16"/>
      <c r="BA260" s="16"/>
      <c r="BB260" s="16"/>
      <c r="BC260" s="11"/>
      <c r="BD260" s="11"/>
      <c r="BE260" s="11"/>
      <c r="BF260" s="11"/>
      <c r="BG260" s="11"/>
      <c r="BH260" s="11"/>
      <c r="BI260" s="13"/>
      <c r="BJ260" s="13"/>
      <c r="BK260" s="11"/>
      <c r="BL260" s="12"/>
      <c r="BM260" s="12"/>
      <c r="BN260" s="13"/>
      <c r="BO260" s="13"/>
      <c r="BP260" s="15"/>
      <c r="BQ260" s="15"/>
      <c r="BR260" s="14"/>
      <c r="BS260" s="14"/>
      <c r="BT260" s="14"/>
      <c r="BU260" s="14"/>
      <c r="BV260" s="11"/>
      <c r="BW260" s="11"/>
      <c r="BX260" s="11"/>
      <c r="BY260" s="11"/>
      <c r="BZ260" s="7"/>
      <c r="CA260" s="7"/>
      <c r="CB260" s="7"/>
      <c r="CC260" s="7"/>
      <c r="CD260" s="7"/>
      <c r="CE260" s="3"/>
      <c r="CF260" s="7"/>
      <c r="CG260" s="3"/>
      <c r="CH260" s="7"/>
      <c r="CI260" s="7"/>
      <c r="CJ260" s="3"/>
      <c r="CK260" s="7"/>
      <c r="CL260" s="3"/>
      <c r="CM260" s="7"/>
      <c r="CN260" s="10"/>
      <c r="CO260" s="10"/>
      <c r="CP260" s="7"/>
      <c r="CQ260" s="17"/>
      <c r="CR260" s="3"/>
      <c r="CS260" s="12"/>
      <c r="CT260" s="18"/>
      <c r="CU260" s="3"/>
      <c r="CV260" s="18"/>
      <c r="CW260" s="7"/>
      <c r="CX260" s="18"/>
      <c r="CY260" s="7"/>
      <c r="CZ260" s="18"/>
      <c r="DA260" s="3"/>
      <c r="DB260" s="18"/>
      <c r="DC260" s="11"/>
      <c r="DD260" s="18"/>
      <c r="DE260" s="7"/>
      <c r="DF260" s="7"/>
      <c r="DG260" s="7"/>
      <c r="DH260" s="3"/>
      <c r="DI260" s="3"/>
      <c r="DJ260" s="3"/>
      <c r="DK260" s="3"/>
      <c r="DL260" s="3"/>
      <c r="DM260" s="3"/>
      <c r="DN260" s="3"/>
      <c r="DO260" s="3"/>
      <c r="DP260" s="3"/>
      <c r="DQ260" s="3"/>
    </row>
    <row r="261" spans="1:121" x14ac:dyDescent="0.25">
      <c r="A261" t="s">
        <v>87</v>
      </c>
      <c r="B261" s="2">
        <v>44861</v>
      </c>
      <c r="C261" s="1">
        <v>550</v>
      </c>
      <c r="D261">
        <v>67</v>
      </c>
      <c r="M261" s="3"/>
      <c r="N261" s="3"/>
      <c r="O261" s="3"/>
      <c r="P261" s="7"/>
      <c r="Q261" s="7"/>
      <c r="R261" s="7"/>
      <c r="S261" s="7"/>
      <c r="T261" s="11"/>
      <c r="U261" s="11"/>
      <c r="V261" s="11"/>
      <c r="W261" s="11"/>
      <c r="X261" s="14"/>
      <c r="Y261" s="14"/>
      <c r="Z261" s="14"/>
      <c r="AA261" s="14"/>
      <c r="AB261" s="15"/>
      <c r="AC261" s="15"/>
      <c r="AD261" s="13"/>
      <c r="AE261" s="13"/>
      <c r="AF261" s="12"/>
      <c r="AG261" s="12"/>
      <c r="AH261" s="13"/>
      <c r="AI261" s="13"/>
      <c r="AJ261" s="11"/>
      <c r="AK261" s="11"/>
      <c r="AL261" s="11"/>
      <c r="AM261" s="11"/>
      <c r="AN261" s="11"/>
      <c r="AO261" s="11"/>
      <c r="AP261" s="11"/>
      <c r="AQ261" s="11"/>
      <c r="AR261" s="16"/>
      <c r="AS261" s="16"/>
      <c r="AT261" s="16"/>
      <c r="AU261" s="7"/>
      <c r="AV261" s="7"/>
      <c r="AW261" s="7"/>
      <c r="AX261" s="7"/>
      <c r="AY261" s="11"/>
      <c r="AZ261" s="16"/>
      <c r="BA261" s="16"/>
      <c r="BB261" s="16"/>
      <c r="BC261" s="11"/>
      <c r="BD261" s="11"/>
      <c r="BE261" s="11"/>
      <c r="BF261" s="11"/>
      <c r="BG261" s="11"/>
      <c r="BH261" s="11"/>
      <c r="BI261" s="13"/>
      <c r="BJ261" s="13"/>
      <c r="BK261" s="11"/>
      <c r="BL261" s="12"/>
      <c r="BM261" s="12"/>
      <c r="BN261" s="13"/>
      <c r="BO261" s="13"/>
      <c r="BP261" s="15"/>
      <c r="BQ261" s="15"/>
      <c r="BR261" s="14"/>
      <c r="BS261" s="14"/>
      <c r="BT261" s="14"/>
      <c r="BU261" s="14"/>
      <c r="BV261" s="11"/>
      <c r="BW261" s="11"/>
      <c r="BX261" s="11"/>
      <c r="BY261" s="11"/>
      <c r="BZ261" s="7"/>
      <c r="CA261" s="7"/>
      <c r="CB261" s="7"/>
      <c r="CC261" s="7"/>
      <c r="CD261" s="7"/>
      <c r="CE261" s="3"/>
      <c r="CF261" s="7"/>
      <c r="CG261" s="3"/>
      <c r="CH261" s="7"/>
      <c r="CI261" s="7"/>
      <c r="CJ261" s="3"/>
      <c r="CK261" s="7"/>
      <c r="CL261" s="3"/>
      <c r="CM261" s="7"/>
      <c r="CN261" s="10"/>
      <c r="CO261" s="10"/>
      <c r="CP261" s="7"/>
      <c r="CQ261" s="17"/>
      <c r="CR261" s="3"/>
      <c r="CS261" s="12"/>
      <c r="CT261" s="18"/>
      <c r="CU261" s="3"/>
      <c r="CV261" s="18"/>
      <c r="CW261" s="7"/>
      <c r="CX261" s="18"/>
      <c r="CY261" s="7"/>
      <c r="CZ261" s="18"/>
      <c r="DA261" s="3"/>
      <c r="DB261" s="18"/>
      <c r="DC261" s="11"/>
      <c r="DD261" s="18"/>
      <c r="DE261" s="7"/>
      <c r="DF261" s="7"/>
      <c r="DG261" s="7"/>
      <c r="DH261" s="3"/>
      <c r="DI261" s="3"/>
      <c r="DJ261" s="3"/>
      <c r="DK261" s="3"/>
      <c r="DL261" s="3"/>
      <c r="DM261" s="3"/>
      <c r="DN261" s="3"/>
      <c r="DO261" s="3"/>
      <c r="DP261" s="3"/>
      <c r="DQ261" s="3"/>
    </row>
    <row r="262" spans="1:121" x14ac:dyDescent="0.25">
      <c r="A262" t="s">
        <v>88</v>
      </c>
      <c r="B262" s="2">
        <v>44798</v>
      </c>
      <c r="C262" s="1">
        <v>1100</v>
      </c>
      <c r="D262">
        <v>88</v>
      </c>
      <c r="M262" s="3"/>
      <c r="N262" s="3"/>
      <c r="O262" s="3"/>
      <c r="P262" s="7"/>
      <c r="Q262" s="7"/>
      <c r="R262" s="7"/>
      <c r="S262" s="7"/>
      <c r="T262" s="11"/>
      <c r="U262" s="11"/>
      <c r="V262" s="11"/>
      <c r="W262" s="11"/>
      <c r="X262" s="14"/>
      <c r="Y262" s="14"/>
      <c r="Z262" s="14"/>
      <c r="AA262" s="14"/>
      <c r="AB262" s="15"/>
      <c r="AC262" s="15"/>
      <c r="AD262" s="13"/>
      <c r="AE262" s="13"/>
      <c r="AF262" s="12"/>
      <c r="AG262" s="12"/>
      <c r="AH262" s="13"/>
      <c r="AI262" s="13"/>
      <c r="AJ262" s="11"/>
      <c r="AK262" s="11"/>
      <c r="AL262" s="11"/>
      <c r="AM262" s="11"/>
      <c r="AN262" s="11"/>
      <c r="AO262" s="11"/>
      <c r="AP262" s="11"/>
      <c r="AQ262" s="11"/>
      <c r="AR262" s="16"/>
      <c r="AS262" s="16"/>
      <c r="AT262" s="16"/>
      <c r="AU262" s="7"/>
      <c r="AV262" s="7"/>
      <c r="AW262" s="7"/>
      <c r="AX262" s="7"/>
      <c r="AY262" s="11"/>
      <c r="AZ262" s="16"/>
      <c r="BA262" s="16"/>
      <c r="BB262" s="16"/>
      <c r="BC262" s="11"/>
      <c r="BD262" s="11"/>
      <c r="BE262" s="11"/>
      <c r="BF262" s="11"/>
      <c r="BG262" s="11"/>
      <c r="BH262" s="11"/>
      <c r="BI262" s="13"/>
      <c r="BJ262" s="13"/>
      <c r="BK262" s="11"/>
      <c r="BL262" s="12"/>
      <c r="BM262" s="12"/>
      <c r="BN262" s="13"/>
      <c r="BO262" s="13"/>
      <c r="BP262" s="15"/>
      <c r="BQ262" s="15"/>
      <c r="BR262" s="14"/>
      <c r="BS262" s="14"/>
      <c r="BT262" s="14"/>
      <c r="BU262" s="14"/>
      <c r="BV262" s="11"/>
      <c r="BW262" s="11"/>
      <c r="BX262" s="11"/>
      <c r="BY262" s="11"/>
      <c r="BZ262" s="7"/>
      <c r="CA262" s="7"/>
      <c r="CB262" s="7"/>
      <c r="CC262" s="7"/>
      <c r="CD262" s="7"/>
      <c r="CE262" s="3"/>
      <c r="CF262" s="7"/>
      <c r="CG262" s="3"/>
      <c r="CH262" s="7"/>
      <c r="CI262" s="7"/>
      <c r="CJ262" s="3"/>
      <c r="CK262" s="7"/>
      <c r="CL262" s="3"/>
      <c r="CM262" s="7"/>
      <c r="CN262" s="10"/>
      <c r="CO262" s="10"/>
      <c r="CP262" s="7"/>
      <c r="CQ262" s="17"/>
      <c r="CR262" s="3"/>
      <c r="CS262" s="12"/>
      <c r="CT262" s="18"/>
      <c r="CU262" s="3"/>
      <c r="CV262" s="18"/>
      <c r="CW262" s="7"/>
      <c r="CX262" s="18"/>
      <c r="CY262" s="7"/>
      <c r="CZ262" s="18"/>
      <c r="DA262" s="3"/>
      <c r="DB262" s="18"/>
      <c r="DC262" s="11"/>
      <c r="DD262" s="18"/>
      <c r="DE262" s="7"/>
      <c r="DF262" s="7"/>
      <c r="DG262" s="7"/>
      <c r="DH262" s="3"/>
      <c r="DI262" s="3"/>
      <c r="DJ262" s="3"/>
      <c r="DK262" s="3"/>
      <c r="DL262" s="3"/>
      <c r="DM262" s="3"/>
      <c r="DN262" s="3"/>
      <c r="DO262" s="3"/>
      <c r="DP262" s="3"/>
      <c r="DQ262" s="3"/>
    </row>
    <row r="263" spans="1:121" x14ac:dyDescent="0.25">
      <c r="A263" t="s">
        <v>88</v>
      </c>
      <c r="B263" s="2">
        <v>44833</v>
      </c>
      <c r="C263" s="1">
        <v>1100</v>
      </c>
      <c r="D263">
        <v>88</v>
      </c>
      <c r="M263" s="3"/>
      <c r="N263" s="3"/>
      <c r="O263" s="3"/>
      <c r="P263" s="7"/>
      <c r="Q263" s="7"/>
      <c r="R263" s="7"/>
      <c r="S263" s="7"/>
      <c r="T263" s="11"/>
      <c r="U263" s="11"/>
      <c r="V263" s="11"/>
      <c r="W263" s="11"/>
      <c r="X263" s="14"/>
      <c r="Y263" s="14"/>
      <c r="Z263" s="14"/>
      <c r="AA263" s="14"/>
      <c r="AB263" s="15"/>
      <c r="AC263" s="15"/>
      <c r="AD263" s="13"/>
      <c r="AE263" s="13"/>
      <c r="AF263" s="12"/>
      <c r="AG263" s="12"/>
      <c r="AH263" s="13"/>
      <c r="AI263" s="13"/>
      <c r="AJ263" s="11"/>
      <c r="AK263" s="11"/>
      <c r="AL263" s="11"/>
      <c r="AM263" s="11"/>
      <c r="AN263" s="11"/>
      <c r="AO263" s="11"/>
      <c r="AP263" s="11"/>
      <c r="AQ263" s="11"/>
      <c r="AR263" s="16"/>
      <c r="AS263" s="16"/>
      <c r="AT263" s="16"/>
      <c r="AU263" s="7"/>
      <c r="AV263" s="7"/>
      <c r="AW263" s="7"/>
      <c r="AX263" s="7"/>
      <c r="AY263" s="11"/>
      <c r="AZ263" s="16"/>
      <c r="BA263" s="16"/>
      <c r="BB263" s="16"/>
      <c r="BC263" s="11"/>
      <c r="BD263" s="11"/>
      <c r="BE263" s="11"/>
      <c r="BF263" s="11"/>
      <c r="BG263" s="11"/>
      <c r="BH263" s="11"/>
      <c r="BI263" s="13"/>
      <c r="BJ263" s="13"/>
      <c r="BK263" s="11"/>
      <c r="BL263" s="12"/>
      <c r="BM263" s="12"/>
      <c r="BN263" s="13"/>
      <c r="BO263" s="13"/>
      <c r="BP263" s="15"/>
      <c r="BQ263" s="15"/>
      <c r="BR263" s="14"/>
      <c r="BS263" s="14"/>
      <c r="BT263" s="14"/>
      <c r="BU263" s="14"/>
      <c r="BV263" s="11"/>
      <c r="BW263" s="11"/>
      <c r="BX263" s="11"/>
      <c r="BY263" s="11"/>
      <c r="BZ263" s="7"/>
      <c r="CA263" s="7"/>
      <c r="CB263" s="7"/>
      <c r="CC263" s="7"/>
      <c r="CD263" s="7"/>
      <c r="CE263" s="3"/>
      <c r="CF263" s="7"/>
      <c r="CG263" s="3"/>
      <c r="CH263" s="7"/>
      <c r="CI263" s="7"/>
      <c r="CJ263" s="3"/>
      <c r="CK263" s="7"/>
      <c r="CL263" s="3"/>
      <c r="CM263" s="7"/>
      <c r="CN263" s="10"/>
      <c r="CO263" s="10"/>
      <c r="CP263" s="7"/>
      <c r="CQ263" s="17"/>
      <c r="CR263" s="3"/>
      <c r="CS263" s="12"/>
      <c r="CT263" s="18"/>
      <c r="CU263" s="3"/>
      <c r="CV263" s="18"/>
      <c r="CW263" s="7"/>
      <c r="CX263" s="18"/>
      <c r="CY263" s="7"/>
      <c r="CZ263" s="18"/>
      <c r="DA263" s="3"/>
      <c r="DB263" s="18"/>
      <c r="DC263" s="11"/>
      <c r="DD263" s="18"/>
      <c r="DE263" s="7"/>
      <c r="DF263" s="7"/>
      <c r="DG263" s="7"/>
      <c r="DH263" s="3"/>
      <c r="DI263" s="3"/>
      <c r="DJ263" s="3"/>
      <c r="DK263" s="3"/>
      <c r="DL263" s="3"/>
      <c r="DM263" s="3"/>
      <c r="DN263" s="3"/>
      <c r="DO263" s="3"/>
      <c r="DP263" s="3"/>
      <c r="DQ263" s="3"/>
    </row>
    <row r="264" spans="1:121" x14ac:dyDescent="0.25">
      <c r="A264" t="s">
        <v>88</v>
      </c>
      <c r="B264" s="2">
        <v>44861</v>
      </c>
      <c r="C264" s="1">
        <v>1100</v>
      </c>
      <c r="D264">
        <v>88</v>
      </c>
      <c r="M264" s="3"/>
      <c r="N264" s="3"/>
      <c r="O264" s="3"/>
      <c r="P264" s="7"/>
      <c r="Q264" s="7"/>
      <c r="R264" s="7"/>
      <c r="S264" s="7"/>
      <c r="T264" s="11"/>
      <c r="U264" s="11"/>
      <c r="V264" s="11"/>
      <c r="W264" s="11"/>
      <c r="X264" s="14"/>
      <c r="Y264" s="14"/>
      <c r="Z264" s="14"/>
      <c r="AA264" s="14"/>
      <c r="AB264" s="15"/>
      <c r="AC264" s="15"/>
      <c r="AD264" s="13"/>
      <c r="AE264" s="13"/>
      <c r="AF264" s="12"/>
      <c r="AG264" s="12"/>
      <c r="AH264" s="13"/>
      <c r="AI264" s="13"/>
      <c r="AJ264" s="11"/>
      <c r="AK264" s="11"/>
      <c r="AL264" s="11"/>
      <c r="AM264" s="11"/>
      <c r="AN264" s="11"/>
      <c r="AO264" s="11"/>
      <c r="AP264" s="11"/>
      <c r="AQ264" s="11"/>
      <c r="AR264" s="16"/>
      <c r="AS264" s="16"/>
      <c r="AT264" s="16"/>
      <c r="AU264" s="7"/>
      <c r="AV264" s="7"/>
      <c r="AW264" s="7"/>
      <c r="AX264" s="7"/>
      <c r="AY264" s="11"/>
      <c r="AZ264" s="16"/>
      <c r="BA264" s="16"/>
      <c r="BB264" s="16"/>
      <c r="BC264" s="11"/>
      <c r="BD264" s="11"/>
      <c r="BE264" s="11"/>
      <c r="BF264" s="11"/>
      <c r="BG264" s="11"/>
      <c r="BH264" s="11"/>
      <c r="BI264" s="13"/>
      <c r="BJ264" s="13"/>
      <c r="BK264" s="11"/>
      <c r="BL264" s="12"/>
      <c r="BM264" s="12"/>
      <c r="BN264" s="13"/>
      <c r="BO264" s="13"/>
      <c r="BP264" s="15"/>
      <c r="BQ264" s="15"/>
      <c r="BR264" s="14"/>
      <c r="BS264" s="14"/>
      <c r="BT264" s="14"/>
      <c r="BU264" s="14"/>
      <c r="BV264" s="11"/>
      <c r="BW264" s="11"/>
      <c r="BX264" s="11"/>
      <c r="BY264" s="11"/>
      <c r="BZ264" s="7"/>
      <c r="CA264" s="7"/>
      <c r="CB264" s="7"/>
      <c r="CC264" s="7"/>
      <c r="CD264" s="7"/>
      <c r="CE264" s="3"/>
      <c r="CF264" s="7"/>
      <c r="CG264" s="3"/>
      <c r="CH264" s="7"/>
      <c r="CI264" s="7"/>
      <c r="CJ264" s="3"/>
      <c r="CK264" s="7"/>
      <c r="CL264" s="3"/>
      <c r="CM264" s="7"/>
      <c r="CN264" s="10"/>
      <c r="CO264" s="10"/>
      <c r="CP264" s="7"/>
      <c r="CQ264" s="17"/>
      <c r="CR264" s="3"/>
      <c r="CS264" s="12"/>
      <c r="CT264" s="18"/>
      <c r="CU264" s="3"/>
      <c r="CV264" s="18"/>
      <c r="CW264" s="7"/>
      <c r="CX264" s="18"/>
      <c r="CY264" s="7"/>
      <c r="CZ264" s="18"/>
      <c r="DA264" s="3"/>
      <c r="DB264" s="18"/>
      <c r="DC264" s="11"/>
      <c r="DD264" s="18"/>
      <c r="DE264" s="7"/>
      <c r="DF264" s="7"/>
      <c r="DG264" s="7"/>
      <c r="DH264" s="3"/>
      <c r="DI264" s="3"/>
      <c r="DJ264" s="3"/>
      <c r="DK264" s="3"/>
      <c r="DL264" s="3"/>
      <c r="DM264" s="3"/>
      <c r="DN264" s="3"/>
      <c r="DO264" s="3"/>
      <c r="DP264" s="3"/>
      <c r="DQ264" s="3"/>
    </row>
    <row r="265" spans="1:121" x14ac:dyDescent="0.25">
      <c r="A265" t="s">
        <v>89</v>
      </c>
      <c r="B265" s="2">
        <v>44798</v>
      </c>
      <c r="C265" s="1">
        <v>300</v>
      </c>
      <c r="D265">
        <v>102</v>
      </c>
      <c r="M265" s="3"/>
      <c r="N265" s="3"/>
      <c r="O265" s="3"/>
      <c r="P265" s="7"/>
      <c r="Q265" s="7"/>
      <c r="R265" s="7"/>
      <c r="S265" s="7"/>
      <c r="T265" s="11"/>
      <c r="U265" s="11"/>
      <c r="V265" s="11"/>
      <c r="W265" s="11"/>
      <c r="X265" s="14"/>
      <c r="Y265" s="14"/>
      <c r="Z265" s="14"/>
      <c r="AA265" s="14"/>
      <c r="AB265" s="15"/>
      <c r="AC265" s="15"/>
      <c r="AD265" s="13"/>
      <c r="AE265" s="13"/>
      <c r="AF265" s="12"/>
      <c r="AG265" s="12"/>
      <c r="AH265" s="13"/>
      <c r="AI265" s="13"/>
      <c r="AJ265" s="11"/>
      <c r="AK265" s="11"/>
      <c r="AL265" s="11"/>
      <c r="AM265" s="11"/>
      <c r="AN265" s="11"/>
      <c r="AO265" s="11"/>
      <c r="AP265" s="11"/>
      <c r="AQ265" s="11"/>
      <c r="AR265" s="16"/>
      <c r="AS265" s="16"/>
      <c r="AT265" s="16"/>
      <c r="AU265" s="7"/>
      <c r="AV265" s="7"/>
      <c r="AW265" s="7"/>
      <c r="AX265" s="7"/>
      <c r="AY265" s="11"/>
      <c r="AZ265" s="16"/>
      <c r="BA265" s="16"/>
      <c r="BB265" s="16"/>
      <c r="BC265" s="11"/>
      <c r="BD265" s="11"/>
      <c r="BE265" s="11"/>
      <c r="BF265" s="11"/>
      <c r="BG265" s="11"/>
      <c r="BH265" s="11"/>
      <c r="BI265" s="13"/>
      <c r="BJ265" s="13"/>
      <c r="BK265" s="11"/>
      <c r="BL265" s="12"/>
      <c r="BM265" s="12"/>
      <c r="BN265" s="13"/>
      <c r="BO265" s="13"/>
      <c r="BP265" s="15"/>
      <c r="BQ265" s="15"/>
      <c r="BR265" s="14"/>
      <c r="BS265" s="14"/>
      <c r="BT265" s="14"/>
      <c r="BU265" s="14"/>
      <c r="BV265" s="11"/>
      <c r="BW265" s="11"/>
      <c r="BX265" s="11"/>
      <c r="BY265" s="11"/>
      <c r="BZ265" s="7"/>
      <c r="CA265" s="7"/>
      <c r="CB265" s="7"/>
      <c r="CC265" s="7"/>
      <c r="CD265" s="7"/>
      <c r="CE265" s="3"/>
      <c r="CF265" s="7"/>
      <c r="CG265" s="3"/>
      <c r="CH265" s="7"/>
      <c r="CI265" s="7"/>
      <c r="CJ265" s="3"/>
      <c r="CK265" s="7"/>
      <c r="CL265" s="3"/>
      <c r="CM265" s="7"/>
      <c r="CN265" s="10"/>
      <c r="CO265" s="10"/>
      <c r="CP265" s="7"/>
      <c r="CQ265" s="17"/>
      <c r="CR265" s="3"/>
      <c r="CS265" s="12"/>
      <c r="CT265" s="18"/>
      <c r="CU265" s="3"/>
      <c r="CV265" s="18"/>
      <c r="CW265" s="7"/>
      <c r="CX265" s="18"/>
      <c r="CY265" s="7"/>
      <c r="CZ265" s="18"/>
      <c r="DA265" s="3"/>
      <c r="DB265" s="18"/>
      <c r="DC265" s="11"/>
      <c r="DD265" s="18"/>
      <c r="DE265" s="7"/>
      <c r="DF265" s="7"/>
      <c r="DG265" s="7"/>
      <c r="DH265" s="3"/>
      <c r="DI265" s="3"/>
      <c r="DJ265" s="3"/>
      <c r="DK265" s="3"/>
      <c r="DL265" s="3"/>
      <c r="DM265" s="3"/>
      <c r="DN265" s="3"/>
      <c r="DO265" s="3"/>
      <c r="DP265" s="3"/>
      <c r="DQ265" s="3"/>
    </row>
    <row r="266" spans="1:121" x14ac:dyDescent="0.25">
      <c r="A266" t="s">
        <v>89</v>
      </c>
      <c r="B266" s="2">
        <v>44833</v>
      </c>
      <c r="C266" s="1">
        <v>300</v>
      </c>
      <c r="D266">
        <v>102</v>
      </c>
      <c r="M266" s="3"/>
      <c r="N266" s="3"/>
      <c r="O266" s="3"/>
      <c r="P266" s="7"/>
      <c r="Q266" s="7"/>
      <c r="R266" s="7"/>
      <c r="S266" s="7"/>
      <c r="T266" s="11"/>
      <c r="U266" s="11"/>
      <c r="V266" s="11"/>
      <c r="W266" s="11"/>
      <c r="X266" s="14"/>
      <c r="Y266" s="14"/>
      <c r="Z266" s="14"/>
      <c r="AA266" s="14"/>
      <c r="AB266" s="15"/>
      <c r="AC266" s="15"/>
      <c r="AD266" s="13"/>
      <c r="AE266" s="13"/>
      <c r="AF266" s="12"/>
      <c r="AG266" s="12"/>
      <c r="AH266" s="13"/>
      <c r="AI266" s="13"/>
      <c r="AJ266" s="11"/>
      <c r="AK266" s="11"/>
      <c r="AL266" s="11"/>
      <c r="AM266" s="11"/>
      <c r="AN266" s="11"/>
      <c r="AO266" s="11"/>
      <c r="AP266" s="11"/>
      <c r="AQ266" s="11"/>
      <c r="AR266" s="16"/>
      <c r="AS266" s="16"/>
      <c r="AT266" s="16"/>
      <c r="AU266" s="7"/>
      <c r="AV266" s="7"/>
      <c r="AW266" s="7"/>
      <c r="AX266" s="7"/>
      <c r="AY266" s="11"/>
      <c r="AZ266" s="16"/>
      <c r="BA266" s="16"/>
      <c r="BB266" s="16"/>
      <c r="BC266" s="11"/>
      <c r="BD266" s="11"/>
      <c r="BE266" s="11"/>
      <c r="BF266" s="11"/>
      <c r="BG266" s="11"/>
      <c r="BH266" s="11"/>
      <c r="BI266" s="13"/>
      <c r="BJ266" s="13"/>
      <c r="BK266" s="11"/>
      <c r="BL266" s="12"/>
      <c r="BM266" s="12"/>
      <c r="BN266" s="13"/>
      <c r="BO266" s="13"/>
      <c r="BP266" s="15"/>
      <c r="BQ266" s="15"/>
      <c r="BR266" s="14"/>
      <c r="BS266" s="14"/>
      <c r="BT266" s="14"/>
      <c r="BU266" s="14"/>
      <c r="BV266" s="11"/>
      <c r="BW266" s="11"/>
      <c r="BX266" s="11"/>
      <c r="BY266" s="11"/>
      <c r="BZ266" s="7"/>
      <c r="CA266" s="7"/>
      <c r="CB266" s="7"/>
      <c r="CC266" s="7"/>
      <c r="CD266" s="7"/>
      <c r="CE266" s="3"/>
      <c r="CF266" s="7"/>
      <c r="CG266" s="3"/>
      <c r="CH266" s="7"/>
      <c r="CI266" s="7"/>
      <c r="CJ266" s="3"/>
      <c r="CK266" s="7"/>
      <c r="CL266" s="3"/>
      <c r="CM266" s="7"/>
      <c r="CN266" s="10"/>
      <c r="CO266" s="10"/>
      <c r="CP266" s="7"/>
      <c r="CQ266" s="17"/>
      <c r="CR266" s="3"/>
      <c r="CS266" s="12"/>
      <c r="CT266" s="18"/>
      <c r="CU266" s="3"/>
      <c r="CV266" s="18"/>
      <c r="CW266" s="7"/>
      <c r="CX266" s="18"/>
      <c r="CY266" s="7"/>
      <c r="CZ266" s="18"/>
      <c r="DA266" s="3"/>
      <c r="DB266" s="18"/>
      <c r="DC266" s="11"/>
      <c r="DD266" s="18"/>
      <c r="DE266" s="7"/>
      <c r="DF266" s="7"/>
      <c r="DG266" s="7"/>
      <c r="DH266" s="3"/>
      <c r="DI266" s="3"/>
      <c r="DJ266" s="3"/>
      <c r="DK266" s="3"/>
      <c r="DL266" s="3"/>
      <c r="DM266" s="3"/>
      <c r="DN266" s="3"/>
      <c r="DO266" s="3"/>
      <c r="DP266" s="3"/>
      <c r="DQ266" s="3"/>
    </row>
    <row r="267" spans="1:121" x14ac:dyDescent="0.25">
      <c r="A267" t="s">
        <v>89</v>
      </c>
      <c r="B267" s="2">
        <v>44861</v>
      </c>
      <c r="C267" s="1">
        <v>300</v>
      </c>
      <c r="D267">
        <v>102</v>
      </c>
      <c r="M267" s="3"/>
      <c r="N267" s="3"/>
      <c r="O267" s="3"/>
      <c r="P267" s="7"/>
      <c r="Q267" s="7"/>
      <c r="R267" s="7"/>
      <c r="S267" s="7"/>
      <c r="T267" s="11"/>
      <c r="U267" s="11"/>
      <c r="V267" s="11"/>
      <c r="W267" s="11"/>
      <c r="X267" s="14"/>
      <c r="Y267" s="14"/>
      <c r="Z267" s="14"/>
      <c r="AA267" s="14"/>
      <c r="AB267" s="15"/>
      <c r="AC267" s="15"/>
      <c r="AD267" s="13"/>
      <c r="AE267" s="13"/>
      <c r="AF267" s="12"/>
      <c r="AG267" s="12"/>
      <c r="AH267" s="13"/>
      <c r="AI267" s="13"/>
      <c r="AJ267" s="11"/>
      <c r="AK267" s="11"/>
      <c r="AL267" s="11"/>
      <c r="AM267" s="11"/>
      <c r="AN267" s="11"/>
      <c r="AO267" s="11"/>
      <c r="AP267" s="11"/>
      <c r="AQ267" s="11"/>
      <c r="AR267" s="16"/>
      <c r="AS267" s="16"/>
      <c r="AT267" s="16"/>
      <c r="AU267" s="7"/>
      <c r="AV267" s="7"/>
      <c r="AW267" s="7"/>
      <c r="AX267" s="7"/>
      <c r="AY267" s="11"/>
      <c r="AZ267" s="16"/>
      <c r="BA267" s="16"/>
      <c r="BB267" s="16"/>
      <c r="BC267" s="11"/>
      <c r="BD267" s="11"/>
      <c r="BE267" s="11"/>
      <c r="BF267" s="11"/>
      <c r="BG267" s="11"/>
      <c r="BH267" s="11"/>
      <c r="BI267" s="13"/>
      <c r="BJ267" s="13"/>
      <c r="BK267" s="11"/>
      <c r="BL267" s="12"/>
      <c r="BM267" s="12"/>
      <c r="BN267" s="13"/>
      <c r="BO267" s="13"/>
      <c r="BP267" s="15"/>
      <c r="BQ267" s="15"/>
      <c r="BR267" s="14"/>
      <c r="BS267" s="14"/>
      <c r="BT267" s="14"/>
      <c r="BU267" s="14"/>
      <c r="BV267" s="11"/>
      <c r="BW267" s="11"/>
      <c r="BX267" s="11"/>
      <c r="BY267" s="11"/>
      <c r="BZ267" s="7"/>
      <c r="CA267" s="7"/>
      <c r="CB267" s="7"/>
      <c r="CC267" s="7"/>
      <c r="CD267" s="7"/>
      <c r="CE267" s="3"/>
      <c r="CF267" s="7"/>
      <c r="CG267" s="3"/>
      <c r="CH267" s="7"/>
      <c r="CI267" s="7"/>
      <c r="CJ267" s="3"/>
      <c r="CK267" s="7"/>
      <c r="CL267" s="3"/>
      <c r="CM267" s="7"/>
      <c r="CN267" s="10"/>
      <c r="CO267" s="10"/>
      <c r="CP267" s="7"/>
      <c r="CQ267" s="17"/>
      <c r="CR267" s="3"/>
      <c r="CS267" s="12"/>
      <c r="CT267" s="18"/>
      <c r="CU267" s="3"/>
      <c r="CV267" s="18"/>
      <c r="CW267" s="7"/>
      <c r="CX267" s="18"/>
      <c r="CY267" s="7"/>
      <c r="CZ267" s="18"/>
      <c r="DA267" s="3"/>
      <c r="DB267" s="18"/>
      <c r="DC267" s="11"/>
      <c r="DD267" s="18"/>
      <c r="DE267" s="7"/>
      <c r="DF267" s="7"/>
      <c r="DG267" s="7"/>
      <c r="DH267" s="3"/>
      <c r="DI267" s="3"/>
      <c r="DJ267" s="3"/>
      <c r="DK267" s="3"/>
      <c r="DL267" s="3"/>
      <c r="DM267" s="3"/>
      <c r="DN267" s="3"/>
      <c r="DO267" s="3"/>
      <c r="DP267" s="3"/>
      <c r="DQ267" s="3"/>
    </row>
    <row r="268" spans="1:121" x14ac:dyDescent="0.25">
      <c r="A268" t="s">
        <v>90</v>
      </c>
      <c r="B268" s="2">
        <v>44798</v>
      </c>
      <c r="C268" s="1">
        <v>1075</v>
      </c>
      <c r="D268">
        <v>97</v>
      </c>
      <c r="M268" s="3"/>
      <c r="N268" s="3"/>
      <c r="O268" s="3"/>
      <c r="P268" s="7"/>
      <c r="Q268" s="7"/>
      <c r="R268" s="7"/>
      <c r="S268" s="7"/>
      <c r="T268" s="11"/>
      <c r="U268" s="11"/>
      <c r="V268" s="11"/>
      <c r="W268" s="11"/>
      <c r="X268" s="14"/>
      <c r="Y268" s="14"/>
      <c r="Z268" s="14"/>
      <c r="AA268" s="14"/>
      <c r="AB268" s="15"/>
      <c r="AC268" s="15"/>
      <c r="AD268" s="13"/>
      <c r="AE268" s="13"/>
      <c r="AF268" s="12"/>
      <c r="AG268" s="12"/>
      <c r="AH268" s="13"/>
      <c r="AI268" s="13"/>
      <c r="AJ268" s="11"/>
      <c r="AK268" s="11"/>
      <c r="AL268" s="11"/>
      <c r="AM268" s="11"/>
      <c r="AN268" s="11"/>
      <c r="AO268" s="11"/>
      <c r="AP268" s="11"/>
      <c r="AQ268" s="11"/>
      <c r="AR268" s="16"/>
      <c r="AS268" s="16"/>
      <c r="AT268" s="16"/>
      <c r="AU268" s="7"/>
      <c r="AV268" s="7"/>
      <c r="AW268" s="7"/>
      <c r="AX268" s="7"/>
      <c r="AY268" s="11"/>
      <c r="AZ268" s="16"/>
      <c r="BA268" s="16"/>
      <c r="BB268" s="16"/>
      <c r="BC268" s="11"/>
      <c r="BD268" s="11"/>
      <c r="BE268" s="11"/>
      <c r="BF268" s="11"/>
      <c r="BG268" s="11"/>
      <c r="BH268" s="11"/>
      <c r="BI268" s="13"/>
      <c r="BJ268" s="13"/>
      <c r="BK268" s="11"/>
      <c r="BL268" s="12"/>
      <c r="BM268" s="12"/>
      <c r="BN268" s="13"/>
      <c r="BO268" s="13"/>
      <c r="BP268" s="15"/>
      <c r="BQ268" s="15"/>
      <c r="BR268" s="14"/>
      <c r="BS268" s="14"/>
      <c r="BT268" s="14"/>
      <c r="BU268" s="14"/>
      <c r="BV268" s="11"/>
      <c r="BW268" s="11"/>
      <c r="BX268" s="11"/>
      <c r="BY268" s="11"/>
      <c r="BZ268" s="7"/>
      <c r="CA268" s="7"/>
      <c r="CB268" s="7"/>
      <c r="CC268" s="7"/>
      <c r="CD268" s="7"/>
      <c r="CE268" s="3"/>
      <c r="CF268" s="7"/>
      <c r="CG268" s="3"/>
      <c r="CH268" s="7"/>
      <c r="CI268" s="7"/>
      <c r="CJ268" s="3"/>
      <c r="CK268" s="7"/>
      <c r="CL268" s="3"/>
      <c r="CM268" s="7"/>
      <c r="CN268" s="10"/>
      <c r="CO268" s="10"/>
      <c r="CP268" s="7"/>
      <c r="CQ268" s="17"/>
      <c r="CR268" s="3"/>
      <c r="CS268" s="12"/>
      <c r="CT268" s="18"/>
      <c r="CU268" s="3"/>
      <c r="CV268" s="18"/>
      <c r="CW268" s="7"/>
      <c r="CX268" s="18"/>
      <c r="CY268" s="7"/>
      <c r="CZ268" s="18"/>
      <c r="DA268" s="3"/>
      <c r="DB268" s="18"/>
      <c r="DC268" s="11"/>
      <c r="DD268" s="18"/>
      <c r="DE268" s="7"/>
      <c r="DF268" s="7"/>
      <c r="DG268" s="7"/>
      <c r="DH268" s="3"/>
      <c r="DI268" s="3"/>
      <c r="DJ268" s="3"/>
      <c r="DK268" s="3"/>
      <c r="DL268" s="3"/>
      <c r="DM268" s="3"/>
      <c r="DN268" s="3"/>
      <c r="DO268" s="3"/>
      <c r="DP268" s="3"/>
      <c r="DQ268" s="3"/>
    </row>
    <row r="269" spans="1:121" x14ac:dyDescent="0.25">
      <c r="A269" t="s">
        <v>90</v>
      </c>
      <c r="B269" s="2">
        <v>44833</v>
      </c>
      <c r="C269" s="1">
        <v>1075</v>
      </c>
      <c r="D269">
        <v>97</v>
      </c>
      <c r="M269" s="3"/>
      <c r="N269" s="3"/>
      <c r="O269" s="3"/>
      <c r="P269" s="7"/>
      <c r="Q269" s="7"/>
      <c r="R269" s="7"/>
      <c r="S269" s="7"/>
      <c r="T269" s="11"/>
      <c r="U269" s="11"/>
      <c r="V269" s="11"/>
      <c r="W269" s="11"/>
      <c r="X269" s="14"/>
      <c r="Y269" s="14"/>
      <c r="Z269" s="14"/>
      <c r="AA269" s="14"/>
      <c r="AB269" s="15"/>
      <c r="AC269" s="15"/>
      <c r="AD269" s="13"/>
      <c r="AE269" s="13"/>
      <c r="AF269" s="12"/>
      <c r="AG269" s="12"/>
      <c r="AH269" s="13"/>
      <c r="AI269" s="13"/>
      <c r="AJ269" s="11"/>
      <c r="AK269" s="11"/>
      <c r="AL269" s="11"/>
      <c r="AM269" s="11"/>
      <c r="AN269" s="11"/>
      <c r="AO269" s="11"/>
      <c r="AP269" s="11"/>
      <c r="AQ269" s="11"/>
      <c r="AR269" s="16"/>
      <c r="AS269" s="16"/>
      <c r="AT269" s="16"/>
      <c r="AU269" s="7"/>
      <c r="AV269" s="7"/>
      <c r="AW269" s="7"/>
      <c r="AX269" s="7"/>
      <c r="AY269" s="11"/>
      <c r="AZ269" s="16"/>
      <c r="BA269" s="16"/>
      <c r="BB269" s="16"/>
      <c r="BC269" s="11"/>
      <c r="BD269" s="11"/>
      <c r="BE269" s="11"/>
      <c r="BF269" s="11"/>
      <c r="BG269" s="11"/>
      <c r="BH269" s="11"/>
      <c r="BI269" s="13"/>
      <c r="BJ269" s="13"/>
      <c r="BK269" s="11"/>
      <c r="BL269" s="12"/>
      <c r="BM269" s="12"/>
      <c r="BN269" s="13"/>
      <c r="BO269" s="13"/>
      <c r="BP269" s="15"/>
      <c r="BQ269" s="15"/>
      <c r="BR269" s="14"/>
      <c r="BS269" s="14"/>
      <c r="BT269" s="14"/>
      <c r="BU269" s="14"/>
      <c r="BV269" s="11"/>
      <c r="BW269" s="11"/>
      <c r="BX269" s="11"/>
      <c r="BY269" s="11"/>
      <c r="BZ269" s="7"/>
      <c r="CA269" s="7"/>
      <c r="CB269" s="7"/>
      <c r="CC269" s="7"/>
      <c r="CD269" s="7"/>
      <c r="CE269" s="3"/>
      <c r="CF269" s="7"/>
      <c r="CG269" s="3"/>
      <c r="CH269" s="7"/>
      <c r="CI269" s="7"/>
      <c r="CJ269" s="3"/>
      <c r="CK269" s="7"/>
      <c r="CL269" s="3"/>
      <c r="CM269" s="7"/>
      <c r="CN269" s="10"/>
      <c r="CO269" s="10"/>
      <c r="CP269" s="7"/>
      <c r="CQ269" s="17"/>
      <c r="CR269" s="3"/>
      <c r="CS269" s="12"/>
      <c r="CT269" s="18"/>
      <c r="CU269" s="3"/>
      <c r="CV269" s="18"/>
      <c r="CW269" s="7"/>
      <c r="CX269" s="18"/>
      <c r="CY269" s="7"/>
      <c r="CZ269" s="18"/>
      <c r="DA269" s="3"/>
      <c r="DB269" s="18"/>
      <c r="DC269" s="11"/>
      <c r="DD269" s="18"/>
      <c r="DE269" s="7"/>
      <c r="DF269" s="7"/>
      <c r="DG269" s="7"/>
      <c r="DH269" s="3"/>
      <c r="DI269" s="3"/>
      <c r="DJ269" s="3"/>
      <c r="DK269" s="3"/>
      <c r="DL269" s="3"/>
      <c r="DM269" s="3"/>
      <c r="DN269" s="3"/>
      <c r="DO269" s="3"/>
      <c r="DP269" s="3"/>
      <c r="DQ269" s="3"/>
    </row>
    <row r="270" spans="1:121" x14ac:dyDescent="0.25">
      <c r="A270" t="s">
        <v>90</v>
      </c>
      <c r="B270" s="2">
        <v>44861</v>
      </c>
      <c r="C270" s="1">
        <v>1075</v>
      </c>
      <c r="D270">
        <v>97</v>
      </c>
      <c r="M270" s="3"/>
      <c r="N270" s="3"/>
      <c r="O270" s="3"/>
      <c r="P270" s="7"/>
      <c r="Q270" s="7"/>
      <c r="R270" s="7"/>
      <c r="S270" s="7"/>
      <c r="T270" s="11"/>
      <c r="U270" s="11"/>
      <c r="V270" s="11"/>
      <c r="W270" s="11"/>
      <c r="X270" s="14"/>
      <c r="Y270" s="14"/>
      <c r="Z270" s="14"/>
      <c r="AA270" s="14"/>
      <c r="AB270" s="15"/>
      <c r="AC270" s="15"/>
      <c r="AD270" s="13"/>
      <c r="AE270" s="13"/>
      <c r="AF270" s="12"/>
      <c r="AG270" s="12"/>
      <c r="AH270" s="13"/>
      <c r="AI270" s="13"/>
      <c r="AJ270" s="11"/>
      <c r="AK270" s="11"/>
      <c r="AL270" s="11"/>
      <c r="AM270" s="11"/>
      <c r="AN270" s="11"/>
      <c r="AO270" s="11"/>
      <c r="AP270" s="11"/>
      <c r="AQ270" s="11"/>
      <c r="AR270" s="16"/>
      <c r="AS270" s="16"/>
      <c r="AT270" s="16"/>
      <c r="AU270" s="7"/>
      <c r="AV270" s="7"/>
      <c r="AW270" s="7"/>
      <c r="AX270" s="7"/>
      <c r="AY270" s="11"/>
      <c r="AZ270" s="16"/>
      <c r="BA270" s="16"/>
      <c r="BB270" s="16"/>
      <c r="BC270" s="11"/>
      <c r="BD270" s="11"/>
      <c r="BE270" s="11"/>
      <c r="BF270" s="11"/>
      <c r="BG270" s="11"/>
      <c r="BH270" s="11"/>
      <c r="BI270" s="13"/>
      <c r="BJ270" s="13"/>
      <c r="BK270" s="11"/>
      <c r="BL270" s="12"/>
      <c r="BM270" s="12"/>
      <c r="BN270" s="13"/>
      <c r="BO270" s="13"/>
      <c r="BP270" s="15"/>
      <c r="BQ270" s="15"/>
      <c r="BR270" s="14"/>
      <c r="BS270" s="14"/>
      <c r="BT270" s="14"/>
      <c r="BU270" s="14"/>
      <c r="BV270" s="11"/>
      <c r="BW270" s="11"/>
      <c r="BX270" s="11"/>
      <c r="BY270" s="11"/>
      <c r="BZ270" s="7"/>
      <c r="CA270" s="7"/>
      <c r="CB270" s="7"/>
      <c r="CC270" s="7"/>
      <c r="CD270" s="7"/>
      <c r="CE270" s="3"/>
      <c r="CF270" s="7"/>
      <c r="CG270" s="3"/>
      <c r="CH270" s="7"/>
      <c r="CI270" s="7"/>
      <c r="CJ270" s="3"/>
      <c r="CK270" s="7"/>
      <c r="CL270" s="3"/>
      <c r="CM270" s="7"/>
      <c r="CN270" s="10"/>
      <c r="CO270" s="10"/>
      <c r="CP270" s="7"/>
      <c r="CQ270" s="17"/>
      <c r="CR270" s="3"/>
      <c r="CS270" s="12"/>
      <c r="CT270" s="18"/>
      <c r="CU270" s="3"/>
      <c r="CV270" s="18"/>
      <c r="CW270" s="7"/>
      <c r="CX270" s="18"/>
      <c r="CY270" s="7"/>
      <c r="CZ270" s="18"/>
      <c r="DA270" s="3"/>
      <c r="DB270" s="18"/>
      <c r="DC270" s="11"/>
      <c r="DD270" s="18"/>
      <c r="DE270" s="7"/>
      <c r="DF270" s="7"/>
      <c r="DG270" s="7"/>
      <c r="DH270" s="3"/>
      <c r="DI270" s="3"/>
      <c r="DJ270" s="3"/>
      <c r="DK270" s="3"/>
      <c r="DL270" s="3"/>
      <c r="DM270" s="3"/>
      <c r="DN270" s="3"/>
      <c r="DO270" s="3"/>
      <c r="DP270" s="3"/>
      <c r="DQ270" s="3"/>
    </row>
    <row r="271" spans="1:121" x14ac:dyDescent="0.25">
      <c r="A271" t="s">
        <v>91</v>
      </c>
      <c r="B271" s="2">
        <v>44798</v>
      </c>
      <c r="C271" s="1">
        <v>4300</v>
      </c>
      <c r="D271">
        <v>50</v>
      </c>
      <c r="M271" s="3"/>
      <c r="N271" s="3"/>
      <c r="O271" s="3"/>
      <c r="P271" s="7"/>
      <c r="Q271" s="7"/>
      <c r="R271" s="7"/>
      <c r="S271" s="7"/>
      <c r="T271" s="11"/>
      <c r="U271" s="11"/>
      <c r="V271" s="11"/>
      <c r="W271" s="11"/>
      <c r="X271" s="14"/>
      <c r="Y271" s="14"/>
      <c r="Z271" s="14"/>
      <c r="AA271" s="14"/>
      <c r="AB271" s="15"/>
      <c r="AC271" s="15"/>
      <c r="AD271" s="13"/>
      <c r="AE271" s="13"/>
      <c r="AF271" s="12"/>
      <c r="AG271" s="12"/>
      <c r="AH271" s="13"/>
      <c r="AI271" s="13"/>
      <c r="AJ271" s="11"/>
      <c r="AK271" s="11"/>
      <c r="AL271" s="11"/>
      <c r="AM271" s="11"/>
      <c r="AN271" s="11"/>
      <c r="AO271" s="11"/>
      <c r="AP271" s="11"/>
      <c r="AQ271" s="11"/>
      <c r="AR271" s="16"/>
      <c r="AS271" s="16"/>
      <c r="AT271" s="16"/>
      <c r="AU271" s="7"/>
      <c r="AV271" s="7"/>
      <c r="AW271" s="7"/>
      <c r="AX271" s="7"/>
      <c r="AY271" s="11"/>
      <c r="AZ271" s="16"/>
      <c r="BA271" s="16"/>
      <c r="BB271" s="16"/>
      <c r="BC271" s="11"/>
      <c r="BD271" s="11"/>
      <c r="BE271" s="11"/>
      <c r="BF271" s="11"/>
      <c r="BG271" s="11"/>
      <c r="BH271" s="11"/>
      <c r="BI271" s="13"/>
      <c r="BJ271" s="13"/>
      <c r="BK271" s="11"/>
      <c r="BL271" s="12"/>
      <c r="BM271" s="12"/>
      <c r="BN271" s="13"/>
      <c r="BO271" s="13"/>
      <c r="BP271" s="15"/>
      <c r="BQ271" s="15"/>
      <c r="BR271" s="14"/>
      <c r="BS271" s="14"/>
      <c r="BT271" s="14"/>
      <c r="BU271" s="14"/>
      <c r="BV271" s="11"/>
      <c r="BW271" s="11"/>
      <c r="BX271" s="11"/>
      <c r="BY271" s="11"/>
      <c r="BZ271" s="7"/>
      <c r="CA271" s="7"/>
      <c r="CB271" s="7"/>
      <c r="CC271" s="7"/>
      <c r="CD271" s="7"/>
      <c r="CE271" s="3"/>
      <c r="CF271" s="7"/>
      <c r="CG271" s="3"/>
      <c r="CH271" s="7"/>
      <c r="CI271" s="7"/>
      <c r="CJ271" s="3"/>
      <c r="CK271" s="7"/>
      <c r="CL271" s="3"/>
      <c r="CM271" s="7"/>
      <c r="CN271" s="10"/>
      <c r="CO271" s="10"/>
      <c r="CP271" s="7"/>
      <c r="CQ271" s="17"/>
      <c r="CR271" s="3"/>
      <c r="CS271" s="12"/>
      <c r="CT271" s="18"/>
      <c r="CU271" s="3"/>
      <c r="CV271" s="18"/>
      <c r="CW271" s="7"/>
      <c r="CX271" s="18"/>
      <c r="CY271" s="7"/>
      <c r="CZ271" s="18"/>
      <c r="DA271" s="3"/>
      <c r="DB271" s="18"/>
      <c r="DC271" s="11"/>
      <c r="DD271" s="18"/>
      <c r="DE271" s="7"/>
      <c r="DF271" s="7"/>
      <c r="DG271" s="7"/>
      <c r="DH271" s="3"/>
      <c r="DI271" s="3"/>
      <c r="DJ271" s="3"/>
      <c r="DK271" s="3"/>
      <c r="DL271" s="3"/>
      <c r="DM271" s="3"/>
      <c r="DN271" s="3"/>
      <c r="DO271" s="3"/>
      <c r="DP271" s="3"/>
      <c r="DQ271" s="3"/>
    </row>
    <row r="272" spans="1:121" x14ac:dyDescent="0.25">
      <c r="A272" t="s">
        <v>91</v>
      </c>
      <c r="B272" s="2">
        <v>44833</v>
      </c>
      <c r="C272" s="1">
        <v>4300</v>
      </c>
      <c r="D272">
        <v>50</v>
      </c>
      <c r="M272" s="3"/>
      <c r="N272" s="3"/>
      <c r="O272" s="3"/>
      <c r="P272" s="7"/>
      <c r="Q272" s="7"/>
      <c r="R272" s="7"/>
      <c r="S272" s="7"/>
      <c r="T272" s="11"/>
      <c r="U272" s="11"/>
      <c r="V272" s="11"/>
      <c r="W272" s="11"/>
      <c r="X272" s="14"/>
      <c r="Y272" s="14"/>
      <c r="Z272" s="14"/>
      <c r="AA272" s="14"/>
      <c r="AB272" s="15"/>
      <c r="AC272" s="15"/>
      <c r="AD272" s="13"/>
      <c r="AE272" s="13"/>
      <c r="AF272" s="12"/>
      <c r="AG272" s="12"/>
      <c r="AH272" s="13"/>
      <c r="AI272" s="13"/>
      <c r="AJ272" s="11"/>
      <c r="AK272" s="11"/>
      <c r="AL272" s="11"/>
      <c r="AM272" s="11"/>
      <c r="AN272" s="11"/>
      <c r="AO272" s="11"/>
      <c r="AP272" s="11"/>
      <c r="AQ272" s="11"/>
      <c r="AR272" s="16"/>
      <c r="AS272" s="16"/>
      <c r="AT272" s="16"/>
      <c r="AU272" s="7"/>
      <c r="AV272" s="7"/>
      <c r="AW272" s="7"/>
      <c r="AX272" s="7"/>
      <c r="AY272" s="11"/>
      <c r="AZ272" s="16"/>
      <c r="BA272" s="16"/>
      <c r="BB272" s="16"/>
      <c r="BC272" s="11"/>
      <c r="BD272" s="11"/>
      <c r="BE272" s="11"/>
      <c r="BF272" s="11"/>
      <c r="BG272" s="11"/>
      <c r="BH272" s="11"/>
      <c r="BI272" s="13"/>
      <c r="BJ272" s="13"/>
      <c r="BK272" s="11"/>
      <c r="BL272" s="12"/>
      <c r="BM272" s="12"/>
      <c r="BN272" s="13"/>
      <c r="BO272" s="13"/>
      <c r="BP272" s="15"/>
      <c r="BQ272" s="15"/>
      <c r="BR272" s="14"/>
      <c r="BS272" s="14"/>
      <c r="BT272" s="14"/>
      <c r="BU272" s="14"/>
      <c r="BV272" s="11"/>
      <c r="BW272" s="11"/>
      <c r="BX272" s="11"/>
      <c r="BY272" s="11"/>
      <c r="BZ272" s="7"/>
      <c r="CA272" s="7"/>
      <c r="CB272" s="7"/>
      <c r="CC272" s="7"/>
      <c r="CD272" s="7"/>
      <c r="CE272" s="3"/>
      <c r="CF272" s="7"/>
      <c r="CG272" s="3"/>
      <c r="CH272" s="7"/>
      <c r="CI272" s="7"/>
      <c r="CJ272" s="3"/>
      <c r="CK272" s="7"/>
      <c r="CL272" s="3"/>
      <c r="CM272" s="7"/>
      <c r="CN272" s="10"/>
      <c r="CO272" s="10"/>
      <c r="CP272" s="7"/>
      <c r="CQ272" s="17"/>
      <c r="CR272" s="3"/>
      <c r="CS272" s="12"/>
      <c r="CT272" s="18"/>
      <c r="CU272" s="3"/>
      <c r="CV272" s="18"/>
      <c r="CW272" s="7"/>
      <c r="CX272" s="18"/>
      <c r="CY272" s="7"/>
      <c r="CZ272" s="18"/>
      <c r="DA272" s="3"/>
      <c r="DB272" s="18"/>
      <c r="DC272" s="11"/>
      <c r="DD272" s="18"/>
      <c r="DE272" s="7"/>
      <c r="DF272" s="7"/>
      <c r="DG272" s="7"/>
      <c r="DH272" s="3"/>
      <c r="DI272" s="3"/>
      <c r="DJ272" s="3"/>
      <c r="DK272" s="3"/>
      <c r="DL272" s="3"/>
      <c r="DM272" s="3"/>
      <c r="DN272" s="3"/>
      <c r="DO272" s="3"/>
      <c r="DP272" s="3"/>
      <c r="DQ272" s="3"/>
    </row>
    <row r="273" spans="1:121" x14ac:dyDescent="0.25">
      <c r="A273" t="s">
        <v>91</v>
      </c>
      <c r="B273" s="2">
        <v>44861</v>
      </c>
      <c r="C273" s="1">
        <v>4300</v>
      </c>
      <c r="D273">
        <v>50</v>
      </c>
      <c r="M273" s="3"/>
      <c r="N273" s="3"/>
      <c r="O273" s="3"/>
      <c r="P273" s="7"/>
      <c r="Q273" s="7"/>
      <c r="R273" s="7"/>
      <c r="S273" s="7"/>
      <c r="T273" s="11"/>
      <c r="U273" s="11"/>
      <c r="V273" s="11"/>
      <c r="W273" s="11"/>
      <c r="X273" s="14"/>
      <c r="Y273" s="14"/>
      <c r="Z273" s="14"/>
      <c r="AA273" s="14"/>
      <c r="AB273" s="15"/>
      <c r="AC273" s="15"/>
      <c r="AD273" s="13"/>
      <c r="AE273" s="13"/>
      <c r="AF273" s="12"/>
      <c r="AG273" s="12"/>
      <c r="AH273" s="13"/>
      <c r="AI273" s="13"/>
      <c r="AJ273" s="11"/>
      <c r="AK273" s="11"/>
      <c r="AL273" s="11"/>
      <c r="AM273" s="11"/>
      <c r="AN273" s="11"/>
      <c r="AO273" s="11"/>
      <c r="AP273" s="11"/>
      <c r="AQ273" s="11"/>
      <c r="AR273" s="16"/>
      <c r="AS273" s="16"/>
      <c r="AT273" s="16"/>
      <c r="AU273" s="7"/>
      <c r="AV273" s="7"/>
      <c r="AW273" s="7"/>
      <c r="AX273" s="7"/>
      <c r="AY273" s="11"/>
      <c r="AZ273" s="16"/>
      <c r="BA273" s="16"/>
      <c r="BB273" s="16"/>
      <c r="BC273" s="11"/>
      <c r="BD273" s="11"/>
      <c r="BE273" s="11"/>
      <c r="BF273" s="11"/>
      <c r="BG273" s="11"/>
      <c r="BH273" s="11"/>
      <c r="BI273" s="13"/>
      <c r="BJ273" s="13"/>
      <c r="BK273" s="11"/>
      <c r="BL273" s="12"/>
      <c r="BM273" s="12"/>
      <c r="BN273" s="13"/>
      <c r="BO273" s="13"/>
      <c r="BP273" s="15"/>
      <c r="BQ273" s="15"/>
      <c r="BR273" s="14"/>
      <c r="BS273" s="14"/>
      <c r="BT273" s="14"/>
      <c r="BU273" s="14"/>
      <c r="BV273" s="11"/>
      <c r="BW273" s="11"/>
      <c r="BX273" s="11"/>
      <c r="BY273" s="11"/>
      <c r="BZ273" s="7"/>
      <c r="CA273" s="7"/>
      <c r="CB273" s="7"/>
      <c r="CC273" s="7"/>
      <c r="CD273" s="7"/>
      <c r="CE273" s="3"/>
      <c r="CF273" s="7"/>
      <c r="CG273" s="3"/>
      <c r="CH273" s="7"/>
      <c r="CI273" s="7"/>
      <c r="CJ273" s="3"/>
      <c r="CK273" s="7"/>
      <c r="CL273" s="3"/>
      <c r="CM273" s="7"/>
      <c r="CN273" s="10"/>
      <c r="CO273" s="10"/>
      <c r="CP273" s="7"/>
      <c r="CQ273" s="17"/>
      <c r="CR273" s="3"/>
      <c r="CS273" s="12"/>
      <c r="CT273" s="18"/>
      <c r="CU273" s="3"/>
      <c r="CV273" s="18"/>
      <c r="CW273" s="7"/>
      <c r="CX273" s="18"/>
      <c r="CY273" s="7"/>
      <c r="CZ273" s="18"/>
      <c r="DA273" s="3"/>
      <c r="DB273" s="18"/>
      <c r="DC273" s="11"/>
      <c r="DD273" s="18"/>
      <c r="DE273" s="7"/>
      <c r="DF273" s="7"/>
      <c r="DG273" s="7"/>
      <c r="DH273" s="3"/>
      <c r="DI273" s="3"/>
      <c r="DJ273" s="3"/>
      <c r="DK273" s="3"/>
      <c r="DL273" s="3"/>
      <c r="DM273" s="3"/>
      <c r="DN273" s="3"/>
      <c r="DO273" s="3"/>
      <c r="DP273" s="3"/>
      <c r="DQ273" s="3"/>
    </row>
    <row r="274" spans="1:121" x14ac:dyDescent="0.25">
      <c r="A274" t="s">
        <v>92</v>
      </c>
      <c r="B274" s="2">
        <v>44798</v>
      </c>
      <c r="C274" s="1">
        <v>2700</v>
      </c>
      <c r="D274">
        <v>51</v>
      </c>
      <c r="M274" s="3"/>
      <c r="N274" s="3"/>
      <c r="O274" s="3"/>
      <c r="P274" s="7"/>
      <c r="Q274" s="7"/>
      <c r="R274" s="7"/>
      <c r="S274" s="7"/>
      <c r="T274" s="11"/>
      <c r="U274" s="11"/>
      <c r="V274" s="11"/>
      <c r="W274" s="11"/>
      <c r="X274" s="14"/>
      <c r="Y274" s="14"/>
      <c r="Z274" s="14"/>
      <c r="AA274" s="14"/>
      <c r="AB274" s="15"/>
      <c r="AC274" s="15"/>
      <c r="AD274" s="13"/>
      <c r="AE274" s="13"/>
      <c r="AF274" s="12"/>
      <c r="AG274" s="12"/>
      <c r="AH274" s="13"/>
      <c r="AI274" s="13"/>
      <c r="AJ274" s="11"/>
      <c r="AK274" s="11"/>
      <c r="AL274" s="11"/>
      <c r="AM274" s="11"/>
      <c r="AN274" s="11"/>
      <c r="AO274" s="11"/>
      <c r="AP274" s="11"/>
      <c r="AQ274" s="11"/>
      <c r="AR274" s="16"/>
      <c r="AS274" s="16"/>
      <c r="AT274" s="16"/>
      <c r="AU274" s="7"/>
      <c r="AV274" s="7"/>
      <c r="AW274" s="7"/>
      <c r="AX274" s="7"/>
      <c r="AY274" s="11"/>
      <c r="AZ274" s="16"/>
      <c r="BA274" s="16"/>
      <c r="BB274" s="16"/>
      <c r="BC274" s="11"/>
      <c r="BD274" s="11"/>
      <c r="BE274" s="11"/>
      <c r="BF274" s="11"/>
      <c r="BG274" s="11"/>
      <c r="BH274" s="11"/>
      <c r="BI274" s="13"/>
      <c r="BJ274" s="13"/>
      <c r="BK274" s="11"/>
      <c r="BL274" s="12"/>
      <c r="BM274" s="12"/>
      <c r="BN274" s="13"/>
      <c r="BO274" s="13"/>
      <c r="BP274" s="15"/>
      <c r="BQ274" s="15"/>
      <c r="BR274" s="14"/>
      <c r="BS274" s="14"/>
      <c r="BT274" s="14"/>
      <c r="BU274" s="14"/>
      <c r="BV274" s="11"/>
      <c r="BW274" s="11"/>
      <c r="BX274" s="11"/>
      <c r="BY274" s="11"/>
      <c r="BZ274" s="7"/>
      <c r="CA274" s="7"/>
      <c r="CB274" s="7"/>
      <c r="CC274" s="7"/>
      <c r="CD274" s="7"/>
      <c r="CE274" s="3"/>
      <c r="CF274" s="7"/>
      <c r="CG274" s="3"/>
      <c r="CH274" s="7"/>
      <c r="CI274" s="7"/>
      <c r="CJ274" s="3"/>
      <c r="CK274" s="7"/>
      <c r="CL274" s="3"/>
      <c r="CM274" s="7"/>
      <c r="CN274" s="10"/>
      <c r="CO274" s="10"/>
      <c r="CP274" s="7"/>
      <c r="CQ274" s="17"/>
      <c r="CR274" s="3"/>
      <c r="CS274" s="12"/>
      <c r="CT274" s="18"/>
      <c r="CU274" s="3"/>
      <c r="CV274" s="18"/>
      <c r="CW274" s="7"/>
      <c r="CX274" s="18"/>
      <c r="CY274" s="7"/>
      <c r="CZ274" s="18"/>
      <c r="DA274" s="3"/>
      <c r="DB274" s="18"/>
      <c r="DC274" s="11"/>
      <c r="DD274" s="18"/>
      <c r="DE274" s="7"/>
      <c r="DF274" s="7"/>
      <c r="DG274" s="7"/>
      <c r="DH274" s="3"/>
      <c r="DI274" s="3"/>
      <c r="DJ274" s="3"/>
      <c r="DK274" s="3"/>
      <c r="DL274" s="3"/>
      <c r="DM274" s="3"/>
      <c r="DN274" s="3"/>
      <c r="DO274" s="3"/>
      <c r="DP274" s="3"/>
      <c r="DQ274" s="3"/>
    </row>
    <row r="275" spans="1:121" x14ac:dyDescent="0.25">
      <c r="A275" t="s">
        <v>92</v>
      </c>
      <c r="B275" s="2">
        <v>44833</v>
      </c>
      <c r="C275" s="1">
        <v>2700</v>
      </c>
      <c r="D275">
        <v>51</v>
      </c>
      <c r="M275" s="3"/>
      <c r="N275" s="3"/>
      <c r="O275" s="3"/>
      <c r="P275" s="7"/>
      <c r="Q275" s="7"/>
      <c r="R275" s="7"/>
      <c r="S275" s="7"/>
      <c r="T275" s="11"/>
      <c r="U275" s="11"/>
      <c r="V275" s="11"/>
      <c r="W275" s="11"/>
      <c r="X275" s="14"/>
      <c r="Y275" s="14"/>
      <c r="Z275" s="14"/>
      <c r="AA275" s="14"/>
      <c r="AB275" s="15"/>
      <c r="AC275" s="15"/>
      <c r="AD275" s="13"/>
      <c r="AE275" s="13"/>
      <c r="AF275" s="12"/>
      <c r="AG275" s="12"/>
      <c r="AH275" s="13"/>
      <c r="AI275" s="13"/>
      <c r="AJ275" s="11"/>
      <c r="AK275" s="11"/>
      <c r="AL275" s="11"/>
      <c r="AM275" s="11"/>
      <c r="AN275" s="11"/>
      <c r="AO275" s="11"/>
      <c r="AP275" s="11"/>
      <c r="AQ275" s="11"/>
      <c r="AR275" s="16"/>
      <c r="AS275" s="16"/>
      <c r="AT275" s="16"/>
      <c r="AU275" s="7"/>
      <c r="AV275" s="7"/>
      <c r="AW275" s="7"/>
      <c r="AX275" s="7"/>
      <c r="AY275" s="11"/>
      <c r="AZ275" s="16"/>
      <c r="BA275" s="16"/>
      <c r="BB275" s="16"/>
      <c r="BC275" s="11"/>
      <c r="BD275" s="11"/>
      <c r="BE275" s="11"/>
      <c r="BF275" s="11"/>
      <c r="BG275" s="11"/>
      <c r="BH275" s="11"/>
      <c r="BI275" s="13"/>
      <c r="BJ275" s="13"/>
      <c r="BK275" s="11"/>
      <c r="BL275" s="12"/>
      <c r="BM275" s="12"/>
      <c r="BN275" s="13"/>
      <c r="BO275" s="13"/>
      <c r="BP275" s="15"/>
      <c r="BQ275" s="15"/>
      <c r="BR275" s="14"/>
      <c r="BS275" s="14"/>
      <c r="BT275" s="14"/>
      <c r="BU275" s="14"/>
      <c r="BV275" s="11"/>
      <c r="BW275" s="11"/>
      <c r="BX275" s="11"/>
      <c r="BY275" s="11"/>
      <c r="BZ275" s="7"/>
      <c r="CA275" s="7"/>
      <c r="CB275" s="7"/>
      <c r="CC275" s="7"/>
      <c r="CD275" s="7"/>
      <c r="CE275" s="3"/>
      <c r="CF275" s="7"/>
      <c r="CG275" s="3"/>
      <c r="CH275" s="7"/>
      <c r="CI275" s="7"/>
      <c r="CJ275" s="3"/>
      <c r="CK275" s="7"/>
      <c r="CL275" s="3"/>
      <c r="CM275" s="7"/>
      <c r="CN275" s="10"/>
      <c r="CO275" s="10"/>
      <c r="CP275" s="7"/>
      <c r="CQ275" s="17"/>
      <c r="CR275" s="3"/>
      <c r="CS275" s="12"/>
      <c r="CT275" s="18"/>
      <c r="CU275" s="3"/>
      <c r="CV275" s="18"/>
      <c r="CW275" s="7"/>
      <c r="CX275" s="18"/>
      <c r="CY275" s="7"/>
      <c r="CZ275" s="18"/>
      <c r="DA275" s="3"/>
      <c r="DB275" s="18"/>
      <c r="DC275" s="11"/>
      <c r="DD275" s="18"/>
      <c r="DE275" s="7"/>
      <c r="DF275" s="7"/>
      <c r="DG275" s="7"/>
      <c r="DH275" s="3"/>
      <c r="DI275" s="3"/>
      <c r="DJ275" s="3"/>
      <c r="DK275" s="3"/>
      <c r="DL275" s="3"/>
      <c r="DM275" s="3"/>
      <c r="DN275" s="3"/>
      <c r="DO275" s="3"/>
      <c r="DP275" s="3"/>
      <c r="DQ275" s="3"/>
    </row>
    <row r="276" spans="1:121" x14ac:dyDescent="0.25">
      <c r="A276" t="s">
        <v>92</v>
      </c>
      <c r="B276" s="2">
        <v>44861</v>
      </c>
      <c r="C276" s="1">
        <v>2700</v>
      </c>
      <c r="D276">
        <v>51</v>
      </c>
      <c r="M276" s="3"/>
      <c r="N276" s="3"/>
      <c r="O276" s="3"/>
      <c r="P276" s="7"/>
      <c r="Q276" s="7"/>
      <c r="R276" s="7"/>
      <c r="S276" s="7"/>
      <c r="T276" s="11"/>
      <c r="U276" s="11"/>
      <c r="V276" s="11"/>
      <c r="W276" s="11"/>
      <c r="X276" s="14"/>
      <c r="Y276" s="14"/>
      <c r="Z276" s="14"/>
      <c r="AA276" s="14"/>
      <c r="AB276" s="15"/>
      <c r="AC276" s="15"/>
      <c r="AD276" s="13"/>
      <c r="AE276" s="13"/>
      <c r="AF276" s="12"/>
      <c r="AG276" s="12"/>
      <c r="AH276" s="13"/>
      <c r="AI276" s="13"/>
      <c r="AJ276" s="11"/>
      <c r="AK276" s="11"/>
      <c r="AL276" s="11"/>
      <c r="AM276" s="11"/>
      <c r="AN276" s="11"/>
      <c r="AO276" s="11"/>
      <c r="AP276" s="11"/>
      <c r="AQ276" s="11"/>
      <c r="AR276" s="16"/>
      <c r="AS276" s="16"/>
      <c r="AT276" s="16"/>
      <c r="AU276" s="7"/>
      <c r="AV276" s="7"/>
      <c r="AW276" s="7"/>
      <c r="AX276" s="7"/>
      <c r="AY276" s="11"/>
      <c r="AZ276" s="16"/>
      <c r="BA276" s="16"/>
      <c r="BB276" s="16"/>
      <c r="BC276" s="11"/>
      <c r="BD276" s="11"/>
      <c r="BE276" s="11"/>
      <c r="BF276" s="11"/>
      <c r="BG276" s="11"/>
      <c r="BH276" s="11"/>
      <c r="BI276" s="13"/>
      <c r="BJ276" s="13"/>
      <c r="BK276" s="11"/>
      <c r="BL276" s="12"/>
      <c r="BM276" s="12"/>
      <c r="BN276" s="13"/>
      <c r="BO276" s="13"/>
      <c r="BP276" s="15"/>
      <c r="BQ276" s="15"/>
      <c r="BR276" s="14"/>
      <c r="BS276" s="14"/>
      <c r="BT276" s="14"/>
      <c r="BU276" s="14"/>
      <c r="BV276" s="11"/>
      <c r="BW276" s="11"/>
      <c r="BX276" s="11"/>
      <c r="BY276" s="11"/>
      <c r="BZ276" s="7"/>
      <c r="CA276" s="7"/>
      <c r="CB276" s="7"/>
      <c r="CC276" s="7"/>
      <c r="CD276" s="7"/>
      <c r="CE276" s="3"/>
      <c r="CF276" s="7"/>
      <c r="CG276" s="3"/>
      <c r="CH276" s="7"/>
      <c r="CI276" s="7"/>
      <c r="CJ276" s="3"/>
      <c r="CK276" s="7"/>
      <c r="CL276" s="3"/>
      <c r="CM276" s="7"/>
      <c r="CN276" s="10"/>
      <c r="CO276" s="10"/>
      <c r="CP276" s="7"/>
      <c r="CQ276" s="17"/>
      <c r="CR276" s="3"/>
      <c r="CS276" s="12"/>
      <c r="CT276" s="18"/>
      <c r="CU276" s="3"/>
      <c r="CV276" s="18"/>
      <c r="CW276" s="7"/>
      <c r="CX276" s="18"/>
      <c r="CY276" s="7"/>
      <c r="CZ276" s="18"/>
      <c r="DA276" s="3"/>
      <c r="DB276" s="18"/>
      <c r="DC276" s="11"/>
      <c r="DD276" s="18"/>
      <c r="DE276" s="7"/>
      <c r="DF276" s="7"/>
      <c r="DG276" s="7"/>
      <c r="DH276" s="3"/>
      <c r="DI276" s="3"/>
      <c r="DJ276" s="3"/>
      <c r="DK276" s="3"/>
      <c r="DL276" s="3"/>
      <c r="DM276" s="3"/>
      <c r="DN276" s="3"/>
      <c r="DO276" s="3"/>
      <c r="DP276" s="3"/>
      <c r="DQ276" s="3"/>
    </row>
    <row r="277" spans="1:121" x14ac:dyDescent="0.25">
      <c r="A277" t="s">
        <v>93</v>
      </c>
      <c r="B277" s="2">
        <v>44798</v>
      </c>
      <c r="C277" s="1">
        <v>300</v>
      </c>
      <c r="D277">
        <v>110</v>
      </c>
      <c r="M277" s="3"/>
      <c r="N277" s="3"/>
      <c r="O277" s="3"/>
      <c r="P277" s="7"/>
      <c r="Q277" s="7"/>
      <c r="R277" s="7"/>
      <c r="S277" s="7"/>
      <c r="T277" s="11"/>
      <c r="U277" s="11"/>
      <c r="V277" s="11"/>
      <c r="W277" s="11"/>
      <c r="X277" s="14"/>
      <c r="Y277" s="14"/>
      <c r="Z277" s="14"/>
      <c r="AA277" s="14"/>
      <c r="AB277" s="15"/>
      <c r="AC277" s="15"/>
      <c r="AD277" s="13"/>
      <c r="AE277" s="13"/>
      <c r="AF277" s="12"/>
      <c r="AG277" s="12"/>
      <c r="AH277" s="13"/>
      <c r="AI277" s="13"/>
      <c r="AJ277" s="11"/>
      <c r="AK277" s="11"/>
      <c r="AL277" s="11"/>
      <c r="AM277" s="11"/>
      <c r="AN277" s="11"/>
      <c r="AO277" s="11"/>
      <c r="AP277" s="11"/>
      <c r="AQ277" s="11"/>
      <c r="AR277" s="16"/>
      <c r="AS277" s="16"/>
      <c r="AT277" s="16"/>
      <c r="AU277" s="7"/>
      <c r="AV277" s="7"/>
      <c r="AW277" s="7"/>
      <c r="AX277" s="7"/>
      <c r="AY277" s="11"/>
      <c r="AZ277" s="16"/>
      <c r="BA277" s="16"/>
      <c r="BB277" s="16"/>
      <c r="BC277" s="11"/>
      <c r="BD277" s="11"/>
      <c r="BE277" s="11"/>
      <c r="BF277" s="11"/>
      <c r="BG277" s="11"/>
      <c r="BH277" s="11"/>
      <c r="BI277" s="13"/>
      <c r="BJ277" s="13"/>
      <c r="BK277" s="11"/>
      <c r="BL277" s="12"/>
      <c r="BM277" s="12"/>
      <c r="BN277" s="13"/>
      <c r="BO277" s="13"/>
      <c r="BP277" s="15"/>
      <c r="BQ277" s="15"/>
      <c r="BR277" s="14"/>
      <c r="BS277" s="14"/>
      <c r="BT277" s="14"/>
      <c r="BU277" s="14"/>
      <c r="BV277" s="11"/>
      <c r="BW277" s="11"/>
      <c r="BX277" s="11"/>
      <c r="BY277" s="11"/>
      <c r="BZ277" s="7"/>
      <c r="CA277" s="7"/>
      <c r="CB277" s="7"/>
      <c r="CC277" s="7"/>
      <c r="CD277" s="7"/>
      <c r="CE277" s="3"/>
      <c r="CF277" s="7"/>
      <c r="CG277" s="3"/>
      <c r="CH277" s="7"/>
      <c r="CI277" s="7"/>
      <c r="CJ277" s="3"/>
      <c r="CK277" s="7"/>
      <c r="CL277" s="3"/>
      <c r="CM277" s="7"/>
      <c r="CN277" s="10"/>
      <c r="CO277" s="10"/>
      <c r="CP277" s="7"/>
      <c r="CQ277" s="17"/>
      <c r="CR277" s="3"/>
      <c r="CS277" s="12"/>
      <c r="CT277" s="18"/>
      <c r="CU277" s="3"/>
      <c r="CV277" s="18"/>
      <c r="CW277" s="7"/>
      <c r="CX277" s="18"/>
      <c r="CY277" s="7"/>
      <c r="CZ277" s="18"/>
      <c r="DA277" s="3"/>
      <c r="DB277" s="18"/>
      <c r="DC277" s="11"/>
      <c r="DD277" s="18"/>
      <c r="DE277" s="7"/>
      <c r="DF277" s="7"/>
      <c r="DG277" s="7"/>
      <c r="DH277" s="3"/>
      <c r="DI277" s="3"/>
      <c r="DJ277" s="3"/>
      <c r="DK277" s="3"/>
      <c r="DL277" s="3"/>
      <c r="DM277" s="3"/>
      <c r="DN277" s="3"/>
      <c r="DO277" s="3"/>
      <c r="DP277" s="3"/>
      <c r="DQ277" s="3"/>
    </row>
    <row r="278" spans="1:121" x14ac:dyDescent="0.25">
      <c r="A278" t="s">
        <v>93</v>
      </c>
      <c r="B278" s="2">
        <v>44833</v>
      </c>
      <c r="C278" s="1">
        <v>300</v>
      </c>
      <c r="D278">
        <v>110</v>
      </c>
      <c r="M278" s="3"/>
      <c r="N278" s="3"/>
      <c r="O278" s="3"/>
      <c r="P278" s="7"/>
      <c r="Q278" s="7"/>
      <c r="R278" s="7"/>
      <c r="S278" s="7"/>
      <c r="T278" s="11"/>
      <c r="U278" s="11"/>
      <c r="V278" s="11"/>
      <c r="W278" s="11"/>
      <c r="X278" s="14"/>
      <c r="Y278" s="14"/>
      <c r="Z278" s="14"/>
      <c r="AA278" s="14"/>
      <c r="AB278" s="15"/>
      <c r="AC278" s="15"/>
      <c r="AD278" s="13"/>
      <c r="AE278" s="13"/>
      <c r="AF278" s="12"/>
      <c r="AG278" s="12"/>
      <c r="AH278" s="13"/>
      <c r="AI278" s="13"/>
      <c r="AJ278" s="11"/>
      <c r="AK278" s="11"/>
      <c r="AL278" s="11"/>
      <c r="AM278" s="11"/>
      <c r="AN278" s="11"/>
      <c r="AO278" s="11"/>
      <c r="AP278" s="11"/>
      <c r="AQ278" s="11"/>
      <c r="AR278" s="16"/>
      <c r="AS278" s="16"/>
      <c r="AT278" s="16"/>
      <c r="AU278" s="7"/>
      <c r="AV278" s="7"/>
      <c r="AW278" s="7"/>
      <c r="AX278" s="7"/>
      <c r="AY278" s="11"/>
      <c r="AZ278" s="16"/>
      <c r="BA278" s="16"/>
      <c r="BB278" s="16"/>
      <c r="BC278" s="11"/>
      <c r="BD278" s="11"/>
      <c r="BE278" s="11"/>
      <c r="BF278" s="11"/>
      <c r="BG278" s="11"/>
      <c r="BH278" s="11"/>
      <c r="BI278" s="13"/>
      <c r="BJ278" s="13"/>
      <c r="BK278" s="11"/>
      <c r="BL278" s="12"/>
      <c r="BM278" s="12"/>
      <c r="BN278" s="13"/>
      <c r="BO278" s="13"/>
      <c r="BP278" s="15"/>
      <c r="BQ278" s="15"/>
      <c r="BR278" s="14"/>
      <c r="BS278" s="14"/>
      <c r="BT278" s="14"/>
      <c r="BU278" s="14"/>
      <c r="BV278" s="11"/>
      <c r="BW278" s="11"/>
      <c r="BX278" s="11"/>
      <c r="BY278" s="11"/>
      <c r="BZ278" s="7"/>
      <c r="CA278" s="7"/>
      <c r="CB278" s="7"/>
      <c r="CC278" s="7"/>
      <c r="CD278" s="7"/>
      <c r="CE278" s="3"/>
      <c r="CF278" s="7"/>
      <c r="CG278" s="3"/>
      <c r="CH278" s="7"/>
      <c r="CI278" s="7"/>
      <c r="CJ278" s="3"/>
      <c r="CK278" s="7"/>
      <c r="CL278" s="3"/>
      <c r="CM278" s="7"/>
      <c r="CN278" s="10"/>
      <c r="CO278" s="10"/>
      <c r="CP278" s="7"/>
      <c r="CQ278" s="17"/>
      <c r="CR278" s="3"/>
      <c r="CS278" s="12"/>
      <c r="CT278" s="18"/>
      <c r="CU278" s="3"/>
      <c r="CV278" s="18"/>
      <c r="CW278" s="7"/>
      <c r="CX278" s="18"/>
      <c r="CY278" s="7"/>
      <c r="CZ278" s="18"/>
      <c r="DA278" s="3"/>
      <c r="DB278" s="18"/>
      <c r="DC278" s="11"/>
      <c r="DD278" s="18"/>
      <c r="DE278" s="7"/>
      <c r="DF278" s="7"/>
      <c r="DG278" s="7"/>
      <c r="DH278" s="3"/>
      <c r="DI278" s="3"/>
      <c r="DJ278" s="3"/>
      <c r="DK278" s="3"/>
      <c r="DL278" s="3"/>
      <c r="DM278" s="3"/>
      <c r="DN278" s="3"/>
      <c r="DO278" s="3"/>
      <c r="DP278" s="3"/>
      <c r="DQ278" s="3"/>
    </row>
    <row r="279" spans="1:121" x14ac:dyDescent="0.25">
      <c r="A279" t="s">
        <v>93</v>
      </c>
      <c r="B279" s="2">
        <v>44861</v>
      </c>
      <c r="C279" s="1">
        <v>300</v>
      </c>
      <c r="D279">
        <v>110</v>
      </c>
      <c r="M279" s="3"/>
      <c r="N279" s="3"/>
      <c r="O279" s="3"/>
      <c r="P279" s="7"/>
      <c r="Q279" s="7"/>
      <c r="R279" s="7"/>
      <c r="S279" s="7"/>
      <c r="T279" s="11"/>
      <c r="U279" s="11"/>
      <c r="V279" s="11"/>
      <c r="W279" s="11"/>
      <c r="X279" s="14"/>
      <c r="Y279" s="14"/>
      <c r="Z279" s="14"/>
      <c r="AA279" s="14"/>
      <c r="AB279" s="15"/>
      <c r="AC279" s="15"/>
      <c r="AD279" s="13"/>
      <c r="AE279" s="13"/>
      <c r="AF279" s="12"/>
      <c r="AG279" s="12"/>
      <c r="AH279" s="13"/>
      <c r="AI279" s="13"/>
      <c r="AJ279" s="11"/>
      <c r="AK279" s="11"/>
      <c r="AL279" s="11"/>
      <c r="AM279" s="11"/>
      <c r="AN279" s="11"/>
      <c r="AO279" s="11"/>
      <c r="AP279" s="11"/>
      <c r="AQ279" s="11"/>
      <c r="AR279" s="16"/>
      <c r="AS279" s="16"/>
      <c r="AT279" s="16"/>
      <c r="AU279" s="7"/>
      <c r="AV279" s="7"/>
      <c r="AW279" s="7"/>
      <c r="AX279" s="7"/>
      <c r="AY279" s="11"/>
      <c r="AZ279" s="16"/>
      <c r="BA279" s="16"/>
      <c r="BB279" s="16"/>
      <c r="BC279" s="11"/>
      <c r="BD279" s="11"/>
      <c r="BE279" s="11"/>
      <c r="BF279" s="11"/>
      <c r="BG279" s="11"/>
      <c r="BH279" s="11"/>
      <c r="BI279" s="13"/>
      <c r="BJ279" s="13"/>
      <c r="BK279" s="11"/>
      <c r="BL279" s="12"/>
      <c r="BM279" s="12"/>
      <c r="BN279" s="13"/>
      <c r="BO279" s="13"/>
      <c r="BP279" s="15"/>
      <c r="BQ279" s="15"/>
      <c r="BR279" s="14"/>
      <c r="BS279" s="14"/>
      <c r="BT279" s="14"/>
      <c r="BU279" s="14"/>
      <c r="BV279" s="11"/>
      <c r="BW279" s="11"/>
      <c r="BX279" s="11"/>
      <c r="BY279" s="11"/>
      <c r="BZ279" s="7"/>
      <c r="CA279" s="7"/>
      <c r="CB279" s="7"/>
      <c r="CC279" s="7"/>
      <c r="CD279" s="7"/>
      <c r="CE279" s="3"/>
      <c r="CF279" s="7"/>
      <c r="CG279" s="3"/>
      <c r="CH279" s="7"/>
      <c r="CI279" s="7"/>
      <c r="CJ279" s="3"/>
      <c r="CK279" s="7"/>
      <c r="CL279" s="3"/>
      <c r="CM279" s="7"/>
      <c r="CN279" s="10"/>
      <c r="CO279" s="10"/>
      <c r="CP279" s="7"/>
      <c r="CQ279" s="17"/>
      <c r="CR279" s="3"/>
      <c r="CS279" s="12"/>
      <c r="CT279" s="18"/>
      <c r="CU279" s="3"/>
      <c r="CV279" s="18"/>
      <c r="CW279" s="7"/>
      <c r="CX279" s="18"/>
      <c r="CY279" s="7"/>
      <c r="CZ279" s="18"/>
      <c r="DA279" s="3"/>
      <c r="DB279" s="18"/>
      <c r="DC279" s="11"/>
      <c r="DD279" s="18"/>
      <c r="DE279" s="7"/>
      <c r="DF279" s="7"/>
      <c r="DG279" s="7"/>
      <c r="DH279" s="3"/>
      <c r="DI279" s="3"/>
      <c r="DJ279" s="3"/>
      <c r="DK279" s="3"/>
      <c r="DL279" s="3"/>
      <c r="DM279" s="3"/>
      <c r="DN279" s="3"/>
      <c r="DO279" s="3"/>
      <c r="DP279" s="3"/>
      <c r="DQ279" s="3"/>
    </row>
    <row r="280" spans="1:121" x14ac:dyDescent="0.25">
      <c r="A280" t="s">
        <v>94</v>
      </c>
      <c r="B280" s="2">
        <v>44798</v>
      </c>
      <c r="C280" s="1">
        <v>15</v>
      </c>
      <c r="D280">
        <v>82</v>
      </c>
      <c r="M280" s="3"/>
      <c r="N280" s="3"/>
      <c r="O280" s="3"/>
      <c r="P280" s="7"/>
      <c r="Q280" s="7"/>
      <c r="R280" s="7"/>
      <c r="S280" s="7"/>
      <c r="T280" s="11"/>
      <c r="U280" s="11"/>
      <c r="V280" s="11"/>
      <c r="W280" s="11"/>
      <c r="X280" s="14"/>
      <c r="Y280" s="14"/>
      <c r="Z280" s="14"/>
      <c r="AA280" s="14"/>
      <c r="AB280" s="15"/>
      <c r="AC280" s="15"/>
      <c r="AD280" s="13"/>
      <c r="AE280" s="13"/>
      <c r="AF280" s="12"/>
      <c r="AG280" s="12"/>
      <c r="AH280" s="13"/>
      <c r="AI280" s="13"/>
      <c r="AJ280" s="11"/>
      <c r="AK280" s="11"/>
      <c r="AL280" s="11"/>
      <c r="AM280" s="11"/>
      <c r="AN280" s="11"/>
      <c r="AO280" s="11"/>
      <c r="AP280" s="11"/>
      <c r="AQ280" s="11"/>
      <c r="AR280" s="16"/>
      <c r="AS280" s="16"/>
      <c r="AT280" s="16"/>
      <c r="AU280" s="7"/>
      <c r="AV280" s="7"/>
      <c r="AW280" s="7"/>
      <c r="AX280" s="7"/>
      <c r="AY280" s="11"/>
      <c r="AZ280" s="16"/>
      <c r="BA280" s="16"/>
      <c r="BB280" s="16"/>
      <c r="BC280" s="11"/>
      <c r="BD280" s="11"/>
      <c r="BE280" s="11"/>
      <c r="BF280" s="11"/>
      <c r="BG280" s="11"/>
      <c r="BH280" s="11"/>
      <c r="BI280" s="13"/>
      <c r="BJ280" s="13"/>
      <c r="BK280" s="11"/>
      <c r="BL280" s="12"/>
      <c r="BM280" s="12"/>
      <c r="BN280" s="13"/>
      <c r="BO280" s="13"/>
      <c r="BP280" s="15"/>
      <c r="BQ280" s="15"/>
      <c r="BR280" s="14"/>
      <c r="BS280" s="14"/>
      <c r="BT280" s="14"/>
      <c r="BU280" s="14"/>
      <c r="BV280" s="11"/>
      <c r="BW280" s="11"/>
      <c r="BX280" s="11"/>
      <c r="BY280" s="11"/>
      <c r="BZ280" s="7"/>
      <c r="CA280" s="7"/>
      <c r="CB280" s="7"/>
      <c r="CC280" s="7"/>
      <c r="CD280" s="7"/>
      <c r="CE280" s="3"/>
      <c r="CF280" s="7"/>
      <c r="CG280" s="3"/>
      <c r="CH280" s="7"/>
      <c r="CI280" s="7"/>
      <c r="CJ280" s="3"/>
      <c r="CK280" s="7"/>
      <c r="CL280" s="3"/>
      <c r="CM280" s="7"/>
      <c r="CN280" s="10"/>
      <c r="CO280" s="10"/>
      <c r="CP280" s="7"/>
      <c r="CQ280" s="17"/>
      <c r="CR280" s="3"/>
      <c r="CS280" s="12"/>
      <c r="CT280" s="18"/>
      <c r="CU280" s="3"/>
      <c r="CV280" s="18"/>
      <c r="CW280" s="7"/>
      <c r="CX280" s="18"/>
      <c r="CY280" s="7"/>
      <c r="CZ280" s="18"/>
      <c r="DA280" s="3"/>
      <c r="DB280" s="18"/>
      <c r="DC280" s="11"/>
      <c r="DD280" s="18"/>
      <c r="DE280" s="7"/>
      <c r="DF280" s="7"/>
      <c r="DG280" s="7"/>
      <c r="DH280" s="3"/>
      <c r="DI280" s="3"/>
      <c r="DJ280" s="3"/>
      <c r="DK280" s="3"/>
      <c r="DL280" s="3"/>
      <c r="DM280" s="3"/>
      <c r="DN280" s="3"/>
      <c r="DO280" s="3"/>
      <c r="DP280" s="3"/>
      <c r="DQ280" s="3"/>
    </row>
    <row r="281" spans="1:121" x14ac:dyDescent="0.25">
      <c r="A281" t="s">
        <v>94</v>
      </c>
      <c r="B281" s="2">
        <v>44833</v>
      </c>
      <c r="C281" s="1">
        <v>15</v>
      </c>
      <c r="D281">
        <v>82</v>
      </c>
      <c r="M281" s="3"/>
      <c r="N281" s="3"/>
      <c r="O281" s="3"/>
      <c r="P281" s="7"/>
      <c r="Q281" s="7"/>
      <c r="R281" s="7"/>
      <c r="S281" s="7"/>
      <c r="T281" s="11"/>
      <c r="U281" s="11"/>
      <c r="V281" s="11"/>
      <c r="W281" s="11"/>
      <c r="X281" s="14"/>
      <c r="Y281" s="14"/>
      <c r="Z281" s="14"/>
      <c r="AA281" s="14"/>
      <c r="AB281" s="15"/>
      <c r="AC281" s="15"/>
      <c r="AD281" s="13"/>
      <c r="AE281" s="13"/>
      <c r="AF281" s="12"/>
      <c r="AG281" s="12"/>
      <c r="AH281" s="13"/>
      <c r="AI281" s="13"/>
      <c r="AJ281" s="11"/>
      <c r="AK281" s="11"/>
      <c r="AL281" s="11"/>
      <c r="AM281" s="11"/>
      <c r="AN281" s="11"/>
      <c r="AO281" s="11"/>
      <c r="AP281" s="11"/>
      <c r="AQ281" s="11"/>
      <c r="AR281" s="16"/>
      <c r="AS281" s="16"/>
      <c r="AT281" s="16"/>
      <c r="AU281" s="7"/>
      <c r="AV281" s="7"/>
      <c r="AW281" s="7"/>
      <c r="AX281" s="7"/>
      <c r="AY281" s="11"/>
      <c r="AZ281" s="16"/>
      <c r="BA281" s="16"/>
      <c r="BB281" s="16"/>
      <c r="BC281" s="11"/>
      <c r="BD281" s="11"/>
      <c r="BE281" s="11"/>
      <c r="BF281" s="11"/>
      <c r="BG281" s="11"/>
      <c r="BH281" s="11"/>
      <c r="BI281" s="13"/>
      <c r="BJ281" s="13"/>
      <c r="BK281" s="11"/>
      <c r="BL281" s="12"/>
      <c r="BM281" s="12"/>
      <c r="BN281" s="13"/>
      <c r="BO281" s="13"/>
      <c r="BP281" s="15"/>
      <c r="BQ281" s="15"/>
      <c r="BR281" s="14"/>
      <c r="BS281" s="14"/>
      <c r="BT281" s="14"/>
      <c r="BU281" s="14"/>
      <c r="BV281" s="11"/>
      <c r="BW281" s="11"/>
      <c r="BX281" s="11"/>
      <c r="BY281" s="11"/>
      <c r="BZ281" s="7"/>
      <c r="CA281" s="7"/>
      <c r="CB281" s="7"/>
      <c r="CC281" s="7"/>
      <c r="CD281" s="7"/>
      <c r="CE281" s="3"/>
      <c r="CF281" s="7"/>
      <c r="CG281" s="3"/>
      <c r="CH281" s="7"/>
      <c r="CI281" s="7"/>
      <c r="CJ281" s="3"/>
      <c r="CK281" s="7"/>
      <c r="CL281" s="3"/>
      <c r="CM281" s="7"/>
      <c r="CN281" s="10"/>
      <c r="CO281" s="10"/>
      <c r="CP281" s="7"/>
      <c r="CQ281" s="17"/>
      <c r="CR281" s="3"/>
      <c r="CS281" s="12"/>
      <c r="CT281" s="18"/>
      <c r="CU281" s="3"/>
      <c r="CV281" s="18"/>
      <c r="CW281" s="7"/>
      <c r="CX281" s="18"/>
      <c r="CY281" s="7"/>
      <c r="CZ281" s="18"/>
      <c r="DA281" s="3"/>
      <c r="DB281" s="18"/>
      <c r="DC281" s="11"/>
      <c r="DD281" s="18"/>
      <c r="DE281" s="7"/>
      <c r="DF281" s="7"/>
      <c r="DG281" s="7"/>
      <c r="DH281" s="3"/>
      <c r="DI281" s="3"/>
      <c r="DJ281" s="3"/>
      <c r="DK281" s="3"/>
      <c r="DL281" s="3"/>
      <c r="DM281" s="3"/>
      <c r="DN281" s="3"/>
      <c r="DO281" s="3"/>
      <c r="DP281" s="3"/>
      <c r="DQ281" s="3"/>
    </row>
    <row r="282" spans="1:121" x14ac:dyDescent="0.25">
      <c r="A282" t="s">
        <v>94</v>
      </c>
      <c r="B282" s="2">
        <v>44861</v>
      </c>
      <c r="C282" s="1">
        <v>15</v>
      </c>
      <c r="D282">
        <v>82</v>
      </c>
      <c r="M282" s="3"/>
      <c r="N282" s="3"/>
      <c r="O282" s="3"/>
      <c r="P282" s="7"/>
      <c r="Q282" s="7"/>
      <c r="R282" s="7"/>
      <c r="S282" s="7"/>
      <c r="T282" s="11"/>
      <c r="U282" s="11"/>
      <c r="V282" s="11"/>
      <c r="W282" s="11"/>
      <c r="X282" s="14"/>
      <c r="Y282" s="14"/>
      <c r="Z282" s="14"/>
      <c r="AA282" s="14"/>
      <c r="AB282" s="15"/>
      <c r="AC282" s="15"/>
      <c r="AD282" s="13"/>
      <c r="AE282" s="13"/>
      <c r="AF282" s="12"/>
      <c r="AG282" s="12"/>
      <c r="AH282" s="13"/>
      <c r="AI282" s="13"/>
      <c r="AJ282" s="11"/>
      <c r="AK282" s="11"/>
      <c r="AL282" s="11"/>
      <c r="AM282" s="11"/>
      <c r="AN282" s="11"/>
      <c r="AO282" s="11"/>
      <c r="AP282" s="11"/>
      <c r="AQ282" s="11"/>
      <c r="AR282" s="16"/>
      <c r="AS282" s="16"/>
      <c r="AT282" s="16"/>
      <c r="AU282" s="7"/>
      <c r="AV282" s="7"/>
      <c r="AW282" s="7"/>
      <c r="AX282" s="7"/>
      <c r="AY282" s="11"/>
      <c r="AZ282" s="16"/>
      <c r="BA282" s="16"/>
      <c r="BB282" s="16"/>
      <c r="BC282" s="11"/>
      <c r="BD282" s="11"/>
      <c r="BE282" s="11"/>
      <c r="BF282" s="11"/>
      <c r="BG282" s="11"/>
      <c r="BH282" s="11"/>
      <c r="BI282" s="13"/>
      <c r="BJ282" s="13"/>
      <c r="BK282" s="11"/>
      <c r="BL282" s="12"/>
      <c r="BM282" s="12"/>
      <c r="BN282" s="13"/>
      <c r="BO282" s="13"/>
      <c r="BP282" s="15"/>
      <c r="BQ282" s="15"/>
      <c r="BR282" s="14"/>
      <c r="BS282" s="14"/>
      <c r="BT282" s="14"/>
      <c r="BU282" s="14"/>
      <c r="BV282" s="11"/>
      <c r="BW282" s="11"/>
      <c r="BX282" s="11"/>
      <c r="BY282" s="11"/>
      <c r="BZ282" s="7"/>
      <c r="CA282" s="7"/>
      <c r="CB282" s="7"/>
      <c r="CC282" s="7"/>
      <c r="CD282" s="7"/>
      <c r="CE282" s="3"/>
      <c r="CF282" s="7"/>
      <c r="CG282" s="3"/>
      <c r="CH282" s="7"/>
      <c r="CI282" s="7"/>
      <c r="CJ282" s="3"/>
      <c r="CK282" s="7"/>
      <c r="CL282" s="3"/>
      <c r="CM282" s="7"/>
      <c r="CN282" s="10"/>
      <c r="CO282" s="10"/>
      <c r="CP282" s="7"/>
      <c r="CQ282" s="17"/>
      <c r="CR282" s="3"/>
      <c r="CS282" s="12"/>
      <c r="CT282" s="18"/>
      <c r="CU282" s="3"/>
      <c r="CV282" s="18"/>
      <c r="CW282" s="7"/>
      <c r="CX282" s="18"/>
      <c r="CY282" s="7"/>
      <c r="CZ282" s="18"/>
      <c r="DA282" s="3"/>
      <c r="DB282" s="18"/>
      <c r="DC282" s="11"/>
      <c r="DD282" s="18"/>
      <c r="DE282" s="7"/>
      <c r="DF282" s="7"/>
      <c r="DG282" s="7"/>
      <c r="DH282" s="3"/>
      <c r="DI282" s="3"/>
      <c r="DJ282" s="3"/>
      <c r="DK282" s="3"/>
      <c r="DL282" s="3"/>
      <c r="DM282" s="3"/>
      <c r="DN282" s="3"/>
      <c r="DO282" s="3"/>
      <c r="DP282" s="3"/>
      <c r="DQ282" s="3"/>
    </row>
    <row r="283" spans="1:121" x14ac:dyDescent="0.25">
      <c r="A283" t="s">
        <v>95</v>
      </c>
      <c r="B283" s="2">
        <v>44798</v>
      </c>
      <c r="C283" s="1">
        <v>4000</v>
      </c>
      <c r="D283">
        <v>58</v>
      </c>
      <c r="M283" s="3"/>
      <c r="N283" s="3"/>
      <c r="O283" s="3"/>
      <c r="P283" s="7"/>
      <c r="Q283" s="7"/>
      <c r="R283" s="7"/>
      <c r="S283" s="7"/>
      <c r="T283" s="11"/>
      <c r="U283" s="11"/>
      <c r="V283" s="11"/>
      <c r="W283" s="11"/>
      <c r="X283" s="14"/>
      <c r="Y283" s="14"/>
      <c r="Z283" s="14"/>
      <c r="AA283" s="14"/>
      <c r="AB283" s="15"/>
      <c r="AC283" s="15"/>
      <c r="AD283" s="13"/>
      <c r="AE283" s="13"/>
      <c r="AF283" s="12"/>
      <c r="AG283" s="12"/>
      <c r="AH283" s="13"/>
      <c r="AI283" s="13"/>
      <c r="AJ283" s="11"/>
      <c r="AK283" s="11"/>
      <c r="AL283" s="11"/>
      <c r="AM283" s="11"/>
      <c r="AN283" s="11"/>
      <c r="AO283" s="11"/>
      <c r="AP283" s="11"/>
      <c r="AQ283" s="11"/>
      <c r="AR283" s="16"/>
      <c r="AS283" s="16"/>
      <c r="AT283" s="16"/>
      <c r="AU283" s="7"/>
      <c r="AV283" s="7"/>
      <c r="AW283" s="7"/>
      <c r="AX283" s="7"/>
      <c r="AY283" s="11"/>
      <c r="AZ283" s="16"/>
      <c r="BA283" s="16"/>
      <c r="BB283" s="16"/>
      <c r="BC283" s="11"/>
      <c r="BD283" s="11"/>
      <c r="BE283" s="11"/>
      <c r="BF283" s="11"/>
      <c r="BG283" s="11"/>
      <c r="BH283" s="11"/>
      <c r="BI283" s="13"/>
      <c r="BJ283" s="13"/>
      <c r="BK283" s="11"/>
      <c r="BL283" s="12"/>
      <c r="BM283" s="12"/>
      <c r="BN283" s="13"/>
      <c r="BO283" s="13"/>
      <c r="BP283" s="15"/>
      <c r="BQ283" s="15"/>
      <c r="BR283" s="14"/>
      <c r="BS283" s="14"/>
      <c r="BT283" s="14"/>
      <c r="BU283" s="14"/>
      <c r="BV283" s="11"/>
      <c r="BW283" s="11"/>
      <c r="BX283" s="11"/>
      <c r="BY283" s="11"/>
      <c r="BZ283" s="7"/>
      <c r="CA283" s="7"/>
      <c r="CB283" s="7"/>
      <c r="CC283" s="7"/>
      <c r="CD283" s="7"/>
      <c r="CE283" s="3"/>
      <c r="CF283" s="7"/>
      <c r="CG283" s="3"/>
      <c r="CH283" s="7"/>
      <c r="CI283" s="7"/>
      <c r="CJ283" s="3"/>
      <c r="CK283" s="7"/>
      <c r="CL283" s="3"/>
      <c r="CM283" s="7"/>
      <c r="CN283" s="10"/>
      <c r="CO283" s="10"/>
      <c r="CP283" s="7"/>
      <c r="CQ283" s="17"/>
      <c r="CR283" s="3"/>
      <c r="CS283" s="12"/>
      <c r="CT283" s="18"/>
      <c r="CU283" s="3"/>
      <c r="CV283" s="18"/>
      <c r="CW283" s="7"/>
      <c r="CX283" s="18"/>
      <c r="CY283" s="7"/>
      <c r="CZ283" s="18"/>
      <c r="DA283" s="3"/>
      <c r="DB283" s="18"/>
      <c r="DC283" s="11"/>
      <c r="DD283" s="18"/>
      <c r="DE283" s="7"/>
      <c r="DF283" s="7"/>
      <c r="DG283" s="7"/>
      <c r="DH283" s="3"/>
      <c r="DI283" s="3"/>
      <c r="DJ283" s="3"/>
      <c r="DK283" s="3"/>
      <c r="DL283" s="3"/>
      <c r="DM283" s="3"/>
      <c r="DN283" s="3"/>
      <c r="DO283" s="3"/>
      <c r="DP283" s="3"/>
      <c r="DQ283" s="3"/>
    </row>
    <row r="284" spans="1:121" x14ac:dyDescent="0.25">
      <c r="A284" t="s">
        <v>95</v>
      </c>
      <c r="B284" s="2">
        <v>44833</v>
      </c>
      <c r="C284" s="1">
        <v>4000</v>
      </c>
      <c r="D284">
        <v>58</v>
      </c>
      <c r="M284" s="3"/>
      <c r="N284" s="3"/>
      <c r="O284" s="3"/>
      <c r="P284" s="7"/>
      <c r="Q284" s="7"/>
      <c r="R284" s="7"/>
      <c r="S284" s="7"/>
      <c r="T284" s="11"/>
      <c r="U284" s="11"/>
      <c r="V284" s="11"/>
      <c r="W284" s="11"/>
      <c r="X284" s="14"/>
      <c r="Y284" s="14"/>
      <c r="Z284" s="14"/>
      <c r="AA284" s="14"/>
      <c r="AB284" s="15"/>
      <c r="AC284" s="15"/>
      <c r="AD284" s="13"/>
      <c r="AE284" s="13"/>
      <c r="AF284" s="12"/>
      <c r="AG284" s="12"/>
      <c r="AH284" s="13"/>
      <c r="AI284" s="13"/>
      <c r="AJ284" s="11"/>
      <c r="AK284" s="11"/>
      <c r="AL284" s="11"/>
      <c r="AM284" s="11"/>
      <c r="AN284" s="11"/>
      <c r="AO284" s="11"/>
      <c r="AP284" s="11"/>
      <c r="AQ284" s="11"/>
      <c r="AR284" s="16"/>
      <c r="AS284" s="16"/>
      <c r="AT284" s="16"/>
      <c r="AU284" s="7"/>
      <c r="AV284" s="7"/>
      <c r="AW284" s="7"/>
      <c r="AX284" s="7"/>
      <c r="AY284" s="11"/>
      <c r="AZ284" s="16"/>
      <c r="BA284" s="16"/>
      <c r="BB284" s="16"/>
      <c r="BC284" s="11"/>
      <c r="BD284" s="11"/>
      <c r="BE284" s="11"/>
      <c r="BF284" s="11"/>
      <c r="BG284" s="11"/>
      <c r="BH284" s="11"/>
      <c r="BI284" s="13"/>
      <c r="BJ284" s="13"/>
      <c r="BK284" s="11"/>
      <c r="BL284" s="12"/>
      <c r="BM284" s="12"/>
      <c r="BN284" s="13"/>
      <c r="BO284" s="13"/>
      <c r="BP284" s="15"/>
      <c r="BQ284" s="15"/>
      <c r="BR284" s="14"/>
      <c r="BS284" s="14"/>
      <c r="BT284" s="14"/>
      <c r="BU284" s="14"/>
      <c r="BV284" s="11"/>
      <c r="BW284" s="11"/>
      <c r="BX284" s="11"/>
      <c r="BY284" s="11"/>
      <c r="BZ284" s="7"/>
      <c r="CA284" s="7"/>
      <c r="CB284" s="7"/>
      <c r="CC284" s="7"/>
      <c r="CD284" s="7"/>
      <c r="CE284" s="3"/>
      <c r="CF284" s="7"/>
      <c r="CG284" s="3"/>
      <c r="CH284" s="7"/>
      <c r="CI284" s="7"/>
      <c r="CJ284" s="3"/>
      <c r="CK284" s="7"/>
      <c r="CL284" s="3"/>
      <c r="CM284" s="7"/>
      <c r="CN284" s="10"/>
      <c r="CO284" s="10"/>
      <c r="CP284" s="7"/>
      <c r="CQ284" s="17"/>
      <c r="CR284" s="3"/>
      <c r="CS284" s="12"/>
      <c r="CT284" s="18"/>
      <c r="CU284" s="3"/>
      <c r="CV284" s="18"/>
      <c r="CW284" s="7"/>
      <c r="CX284" s="18"/>
      <c r="CY284" s="7"/>
      <c r="CZ284" s="18"/>
      <c r="DA284" s="3"/>
      <c r="DB284" s="18"/>
      <c r="DC284" s="11"/>
      <c r="DD284" s="18"/>
      <c r="DE284" s="7"/>
      <c r="DF284" s="7"/>
      <c r="DG284" s="7"/>
      <c r="DH284" s="3"/>
      <c r="DI284" s="3"/>
      <c r="DJ284" s="3"/>
      <c r="DK284" s="3"/>
      <c r="DL284" s="3"/>
      <c r="DM284" s="3"/>
      <c r="DN284" s="3"/>
      <c r="DO284" s="3"/>
      <c r="DP284" s="3"/>
      <c r="DQ284" s="3"/>
    </row>
    <row r="285" spans="1:121" x14ac:dyDescent="0.25">
      <c r="A285" t="s">
        <v>95</v>
      </c>
      <c r="B285" s="2">
        <v>44861</v>
      </c>
      <c r="C285" s="1">
        <v>4000</v>
      </c>
      <c r="D285">
        <v>58</v>
      </c>
      <c r="M285" s="3"/>
      <c r="N285" s="3"/>
      <c r="O285" s="3"/>
      <c r="P285" s="7"/>
      <c r="Q285" s="7"/>
      <c r="R285" s="7"/>
      <c r="S285" s="7"/>
      <c r="T285" s="11"/>
      <c r="U285" s="11"/>
      <c r="V285" s="11"/>
      <c r="W285" s="11"/>
      <c r="X285" s="14"/>
      <c r="Y285" s="14"/>
      <c r="Z285" s="14"/>
      <c r="AA285" s="14"/>
      <c r="AB285" s="15"/>
      <c r="AC285" s="15"/>
      <c r="AD285" s="13"/>
      <c r="AE285" s="13"/>
      <c r="AF285" s="12"/>
      <c r="AG285" s="12"/>
      <c r="AH285" s="13"/>
      <c r="AI285" s="13"/>
      <c r="AJ285" s="11"/>
      <c r="AK285" s="11"/>
      <c r="AL285" s="11"/>
      <c r="AM285" s="11"/>
      <c r="AN285" s="11"/>
      <c r="AO285" s="11"/>
      <c r="AP285" s="11"/>
      <c r="AQ285" s="11"/>
      <c r="AR285" s="16"/>
      <c r="AS285" s="16"/>
      <c r="AT285" s="16"/>
      <c r="AU285" s="7"/>
      <c r="AV285" s="7"/>
      <c r="AW285" s="7"/>
      <c r="AX285" s="7"/>
      <c r="AY285" s="11"/>
      <c r="AZ285" s="16"/>
      <c r="BA285" s="16"/>
      <c r="BB285" s="16"/>
      <c r="BC285" s="11"/>
      <c r="BD285" s="11"/>
      <c r="BE285" s="11"/>
      <c r="BF285" s="11"/>
      <c r="BG285" s="11"/>
      <c r="BH285" s="11"/>
      <c r="BI285" s="13"/>
      <c r="BJ285" s="13"/>
      <c r="BK285" s="11"/>
      <c r="BL285" s="12"/>
      <c r="BM285" s="12"/>
      <c r="BN285" s="13"/>
      <c r="BO285" s="13"/>
      <c r="BP285" s="15"/>
      <c r="BQ285" s="15"/>
      <c r="BR285" s="14"/>
      <c r="BS285" s="14"/>
      <c r="BT285" s="14"/>
      <c r="BU285" s="14"/>
      <c r="BV285" s="11"/>
      <c r="BW285" s="11"/>
      <c r="BX285" s="11"/>
      <c r="BY285" s="11"/>
      <c r="BZ285" s="7"/>
      <c r="CA285" s="7"/>
      <c r="CB285" s="7"/>
      <c r="CC285" s="7"/>
      <c r="CD285" s="7"/>
      <c r="CE285" s="3"/>
      <c r="CF285" s="7"/>
      <c r="CG285" s="3"/>
      <c r="CH285" s="7"/>
      <c r="CI285" s="7"/>
      <c r="CJ285" s="3"/>
      <c r="CK285" s="7"/>
      <c r="CL285" s="3"/>
      <c r="CM285" s="7"/>
      <c r="CN285" s="10"/>
      <c r="CO285" s="10"/>
      <c r="CP285" s="7"/>
      <c r="CQ285" s="17"/>
      <c r="CR285" s="3"/>
      <c r="CS285" s="12"/>
      <c r="CT285" s="18"/>
      <c r="CU285" s="3"/>
      <c r="CV285" s="18"/>
      <c r="CW285" s="7"/>
      <c r="CX285" s="18"/>
      <c r="CY285" s="7"/>
      <c r="CZ285" s="18"/>
      <c r="DA285" s="3"/>
      <c r="DB285" s="18"/>
      <c r="DC285" s="11"/>
      <c r="DD285" s="18"/>
      <c r="DE285" s="7"/>
      <c r="DF285" s="7"/>
      <c r="DG285" s="7"/>
      <c r="DH285" s="3"/>
      <c r="DI285" s="3"/>
      <c r="DJ285" s="3"/>
      <c r="DK285" s="3"/>
      <c r="DL285" s="3"/>
      <c r="DM285" s="3"/>
      <c r="DN285" s="3"/>
      <c r="DO285" s="3"/>
      <c r="DP285" s="3"/>
      <c r="DQ285" s="3"/>
    </row>
    <row r="286" spans="1:121" x14ac:dyDescent="0.25">
      <c r="A286" t="s">
        <v>96</v>
      </c>
      <c r="B286" s="2">
        <v>44798</v>
      </c>
      <c r="C286" s="1">
        <v>1375</v>
      </c>
      <c r="D286">
        <v>73</v>
      </c>
      <c r="M286" s="3"/>
      <c r="N286" s="3"/>
      <c r="O286" s="3"/>
      <c r="P286" s="7"/>
      <c r="Q286" s="7"/>
      <c r="R286" s="7"/>
      <c r="S286" s="7"/>
      <c r="T286" s="11"/>
      <c r="U286" s="11"/>
      <c r="V286" s="11"/>
      <c r="W286" s="11"/>
      <c r="X286" s="14"/>
      <c r="Y286" s="14"/>
      <c r="Z286" s="14"/>
      <c r="AA286" s="14"/>
      <c r="AB286" s="15"/>
      <c r="AC286" s="15"/>
      <c r="AD286" s="13"/>
      <c r="AE286" s="13"/>
      <c r="AF286" s="12"/>
      <c r="AG286" s="12"/>
      <c r="AH286" s="13"/>
      <c r="AI286" s="13"/>
      <c r="AJ286" s="11"/>
      <c r="AK286" s="11"/>
      <c r="AL286" s="11"/>
      <c r="AM286" s="11"/>
      <c r="AN286" s="11"/>
      <c r="AO286" s="11"/>
      <c r="AP286" s="11"/>
      <c r="AQ286" s="11"/>
      <c r="AR286" s="16"/>
      <c r="AS286" s="16"/>
      <c r="AT286" s="16"/>
      <c r="AU286" s="7"/>
      <c r="AV286" s="7"/>
      <c r="AW286" s="7"/>
      <c r="AX286" s="7"/>
      <c r="AY286" s="11"/>
      <c r="AZ286" s="16"/>
      <c r="BA286" s="16"/>
      <c r="BB286" s="16"/>
      <c r="BC286" s="11"/>
      <c r="BD286" s="11"/>
      <c r="BE286" s="11"/>
      <c r="BF286" s="11"/>
      <c r="BG286" s="11"/>
      <c r="BH286" s="11"/>
      <c r="BI286" s="13"/>
      <c r="BJ286" s="13"/>
      <c r="BK286" s="11"/>
      <c r="BL286" s="12"/>
      <c r="BM286" s="12"/>
      <c r="BN286" s="13"/>
      <c r="BO286" s="13"/>
      <c r="BP286" s="15"/>
      <c r="BQ286" s="15"/>
      <c r="BR286" s="14"/>
      <c r="BS286" s="14"/>
      <c r="BT286" s="14"/>
      <c r="BU286" s="14"/>
      <c r="BV286" s="11"/>
      <c r="BW286" s="11"/>
      <c r="BX286" s="11"/>
      <c r="BY286" s="11"/>
      <c r="BZ286" s="7"/>
      <c r="CA286" s="7"/>
      <c r="CB286" s="7"/>
      <c r="CC286" s="7"/>
      <c r="CD286" s="7"/>
      <c r="CE286" s="3"/>
      <c r="CF286" s="7"/>
      <c r="CG286" s="3"/>
      <c r="CH286" s="7"/>
      <c r="CI286" s="7"/>
      <c r="CJ286" s="3"/>
      <c r="CK286" s="7"/>
      <c r="CL286" s="3"/>
      <c r="CM286" s="7"/>
      <c r="CN286" s="10"/>
      <c r="CO286" s="10"/>
      <c r="CP286" s="7"/>
      <c r="CQ286" s="17"/>
      <c r="CR286" s="3"/>
      <c r="CS286" s="12"/>
      <c r="CT286" s="18"/>
      <c r="CU286" s="3"/>
      <c r="CV286" s="18"/>
      <c r="CW286" s="7"/>
      <c r="CX286" s="18"/>
      <c r="CY286" s="7"/>
      <c r="CZ286" s="18"/>
      <c r="DA286" s="3"/>
      <c r="DB286" s="18"/>
      <c r="DC286" s="11"/>
      <c r="DD286" s="18"/>
      <c r="DE286" s="7"/>
      <c r="DF286" s="7"/>
      <c r="DG286" s="7"/>
      <c r="DH286" s="3"/>
      <c r="DI286" s="3"/>
      <c r="DJ286" s="3"/>
      <c r="DK286" s="3"/>
      <c r="DL286" s="3"/>
      <c r="DM286" s="3"/>
      <c r="DN286" s="3"/>
      <c r="DO286" s="3"/>
      <c r="DP286" s="3"/>
      <c r="DQ286" s="3"/>
    </row>
    <row r="287" spans="1:121" x14ac:dyDescent="0.25">
      <c r="A287" t="s">
        <v>96</v>
      </c>
      <c r="B287" s="2">
        <v>44833</v>
      </c>
      <c r="C287" s="1">
        <v>1375</v>
      </c>
      <c r="D287">
        <v>73</v>
      </c>
      <c r="M287" s="3"/>
      <c r="N287" s="3"/>
      <c r="O287" s="3"/>
      <c r="P287" s="7"/>
      <c r="Q287" s="7"/>
      <c r="R287" s="7"/>
      <c r="S287" s="7"/>
      <c r="T287" s="11"/>
      <c r="U287" s="11"/>
      <c r="V287" s="11"/>
      <c r="W287" s="11"/>
      <c r="X287" s="14"/>
      <c r="Y287" s="14"/>
      <c r="Z287" s="14"/>
      <c r="AA287" s="14"/>
      <c r="AB287" s="15"/>
      <c r="AC287" s="15"/>
      <c r="AD287" s="13"/>
      <c r="AE287" s="13"/>
      <c r="AF287" s="12"/>
      <c r="AG287" s="12"/>
      <c r="AH287" s="13"/>
      <c r="AI287" s="13"/>
      <c r="AJ287" s="11"/>
      <c r="AK287" s="11"/>
      <c r="AL287" s="11"/>
      <c r="AM287" s="11"/>
      <c r="AN287" s="11"/>
      <c r="AO287" s="11"/>
      <c r="AP287" s="11"/>
      <c r="AQ287" s="11"/>
      <c r="AR287" s="16"/>
      <c r="AS287" s="16"/>
      <c r="AT287" s="16"/>
      <c r="AU287" s="7"/>
      <c r="AV287" s="7"/>
      <c r="AW287" s="7"/>
      <c r="AX287" s="7"/>
      <c r="AY287" s="11"/>
      <c r="AZ287" s="16"/>
      <c r="BA287" s="16"/>
      <c r="BB287" s="16"/>
      <c r="BC287" s="11"/>
      <c r="BD287" s="11"/>
      <c r="BE287" s="11"/>
      <c r="BF287" s="11"/>
      <c r="BG287" s="11"/>
      <c r="BH287" s="11"/>
      <c r="BI287" s="13"/>
      <c r="BJ287" s="13"/>
      <c r="BK287" s="11"/>
      <c r="BL287" s="12"/>
      <c r="BM287" s="12"/>
      <c r="BN287" s="13"/>
      <c r="BO287" s="13"/>
      <c r="BP287" s="15"/>
      <c r="BQ287" s="15"/>
      <c r="BR287" s="14"/>
      <c r="BS287" s="14"/>
      <c r="BT287" s="14"/>
      <c r="BU287" s="14"/>
      <c r="BV287" s="11"/>
      <c r="BW287" s="11"/>
      <c r="BX287" s="11"/>
      <c r="BY287" s="11"/>
      <c r="BZ287" s="7"/>
      <c r="CA287" s="7"/>
      <c r="CB287" s="7"/>
      <c r="CC287" s="7"/>
      <c r="CD287" s="7"/>
      <c r="CE287" s="3"/>
      <c r="CF287" s="7"/>
      <c r="CG287" s="3"/>
      <c r="CH287" s="7"/>
      <c r="CI287" s="7"/>
      <c r="CJ287" s="3"/>
      <c r="CK287" s="7"/>
      <c r="CL287" s="3"/>
      <c r="CM287" s="7"/>
      <c r="CN287" s="10"/>
      <c r="CO287" s="10"/>
      <c r="CP287" s="7"/>
      <c r="CQ287" s="17"/>
      <c r="CR287" s="3"/>
      <c r="CS287" s="12"/>
      <c r="CT287" s="18"/>
      <c r="CU287" s="3"/>
      <c r="CV287" s="18"/>
      <c r="CW287" s="7"/>
      <c r="CX287" s="18"/>
      <c r="CY287" s="7"/>
      <c r="CZ287" s="18"/>
      <c r="DA287" s="3"/>
      <c r="DB287" s="18"/>
      <c r="DC287" s="11"/>
      <c r="DD287" s="18"/>
      <c r="DE287" s="7"/>
      <c r="DF287" s="7"/>
      <c r="DG287" s="7"/>
      <c r="DH287" s="3"/>
      <c r="DI287" s="3"/>
      <c r="DJ287" s="3"/>
      <c r="DK287" s="3"/>
      <c r="DL287" s="3"/>
      <c r="DM287" s="3"/>
      <c r="DN287" s="3"/>
      <c r="DO287" s="3"/>
      <c r="DP287" s="3"/>
      <c r="DQ287" s="3"/>
    </row>
    <row r="288" spans="1:121" x14ac:dyDescent="0.25">
      <c r="A288" t="s">
        <v>96</v>
      </c>
      <c r="B288" s="2">
        <v>44861</v>
      </c>
      <c r="C288" s="1">
        <v>1375</v>
      </c>
      <c r="D288">
        <v>73</v>
      </c>
      <c r="M288" s="3"/>
      <c r="N288" s="3"/>
      <c r="O288" s="3"/>
      <c r="P288" s="7"/>
      <c r="Q288" s="7"/>
      <c r="R288" s="7"/>
      <c r="S288" s="7"/>
      <c r="T288" s="11"/>
      <c r="U288" s="11"/>
      <c r="V288" s="11"/>
      <c r="W288" s="11"/>
      <c r="X288" s="14"/>
      <c r="Y288" s="14"/>
      <c r="Z288" s="14"/>
      <c r="AA288" s="14"/>
      <c r="AB288" s="15"/>
      <c r="AC288" s="15"/>
      <c r="AD288" s="13"/>
      <c r="AE288" s="13"/>
      <c r="AF288" s="12"/>
      <c r="AG288" s="12"/>
      <c r="AH288" s="13"/>
      <c r="AI288" s="13"/>
      <c r="AJ288" s="11"/>
      <c r="AK288" s="11"/>
      <c r="AL288" s="11"/>
      <c r="AM288" s="11"/>
      <c r="AN288" s="11"/>
      <c r="AO288" s="11"/>
      <c r="AP288" s="11"/>
      <c r="AQ288" s="11"/>
      <c r="AR288" s="16"/>
      <c r="AS288" s="16"/>
      <c r="AT288" s="16"/>
      <c r="AU288" s="7"/>
      <c r="AV288" s="7"/>
      <c r="AW288" s="7"/>
      <c r="AX288" s="7"/>
      <c r="AY288" s="11"/>
      <c r="AZ288" s="16"/>
      <c r="BA288" s="16"/>
      <c r="BB288" s="16"/>
      <c r="BC288" s="11"/>
      <c r="BD288" s="11"/>
      <c r="BE288" s="11"/>
      <c r="BF288" s="11"/>
      <c r="BG288" s="11"/>
      <c r="BH288" s="11"/>
      <c r="BI288" s="13"/>
      <c r="BJ288" s="13"/>
      <c r="BK288" s="11"/>
      <c r="BL288" s="12"/>
      <c r="BM288" s="12"/>
      <c r="BN288" s="13"/>
      <c r="BO288" s="13"/>
      <c r="BP288" s="15"/>
      <c r="BQ288" s="15"/>
      <c r="BR288" s="14"/>
      <c r="BS288" s="14"/>
      <c r="BT288" s="14"/>
      <c r="BU288" s="14"/>
      <c r="BV288" s="11"/>
      <c r="BW288" s="11"/>
      <c r="BX288" s="11"/>
      <c r="BY288" s="11"/>
      <c r="BZ288" s="7"/>
      <c r="CA288" s="7"/>
      <c r="CB288" s="7"/>
      <c r="CC288" s="7"/>
      <c r="CD288" s="7"/>
      <c r="CE288" s="3"/>
      <c r="CF288" s="7"/>
      <c r="CG288" s="3"/>
      <c r="CH288" s="7"/>
      <c r="CI288" s="7"/>
      <c r="CJ288" s="3"/>
      <c r="CK288" s="7"/>
      <c r="CL288" s="3"/>
      <c r="CM288" s="7"/>
      <c r="CN288" s="10"/>
      <c r="CO288" s="10"/>
      <c r="CP288" s="7"/>
      <c r="CQ288" s="17"/>
      <c r="CR288" s="3"/>
      <c r="CS288" s="12"/>
      <c r="CT288" s="18"/>
      <c r="CU288" s="3"/>
      <c r="CV288" s="18"/>
      <c r="CW288" s="7"/>
      <c r="CX288" s="18"/>
      <c r="CY288" s="7"/>
      <c r="CZ288" s="18"/>
      <c r="DA288" s="3"/>
      <c r="DB288" s="18"/>
      <c r="DC288" s="11"/>
      <c r="DD288" s="18"/>
      <c r="DE288" s="7"/>
      <c r="DF288" s="7"/>
      <c r="DG288" s="7"/>
      <c r="DH288" s="3"/>
      <c r="DI288" s="3"/>
      <c r="DJ288" s="3"/>
      <c r="DK288" s="3"/>
      <c r="DL288" s="3"/>
      <c r="DM288" s="3"/>
      <c r="DN288" s="3"/>
      <c r="DO288" s="3"/>
      <c r="DP288" s="3"/>
      <c r="DQ288" s="3"/>
    </row>
    <row r="289" spans="1:128" x14ac:dyDescent="0.25">
      <c r="A289" t="s">
        <v>97</v>
      </c>
      <c r="B289" s="2">
        <v>44798</v>
      </c>
      <c r="C289" s="1">
        <v>425</v>
      </c>
      <c r="D289">
        <v>63</v>
      </c>
      <c r="M289" s="3"/>
      <c r="N289" s="3"/>
      <c r="O289" s="3"/>
      <c r="P289" s="7"/>
      <c r="Q289" s="7"/>
      <c r="R289" s="7"/>
      <c r="S289" s="7"/>
      <c r="T289" s="11"/>
      <c r="U289" s="11"/>
      <c r="V289" s="11"/>
      <c r="W289" s="11"/>
      <c r="X289" s="14"/>
      <c r="Y289" s="14"/>
      <c r="Z289" s="14"/>
      <c r="AA289" s="14"/>
      <c r="AB289" s="15"/>
      <c r="AC289" s="15"/>
      <c r="AD289" s="13"/>
      <c r="AE289" s="13"/>
      <c r="AF289" s="12"/>
      <c r="AG289" s="12"/>
      <c r="AH289" s="13"/>
      <c r="AI289" s="13"/>
      <c r="AJ289" s="11"/>
      <c r="AK289" s="11"/>
      <c r="AL289" s="11"/>
      <c r="AM289" s="11"/>
      <c r="AN289" s="11"/>
      <c r="AO289" s="11"/>
      <c r="AP289" s="11"/>
      <c r="AQ289" s="11"/>
      <c r="AR289" s="16"/>
      <c r="AS289" s="16"/>
      <c r="AT289" s="16"/>
      <c r="AU289" s="7"/>
      <c r="AV289" s="7"/>
      <c r="AW289" s="7"/>
      <c r="AX289" s="7"/>
      <c r="AY289" s="11"/>
      <c r="AZ289" s="16"/>
      <c r="BA289" s="16"/>
      <c r="BB289" s="16"/>
      <c r="BC289" s="11"/>
      <c r="BD289" s="11"/>
      <c r="BE289" s="11"/>
      <c r="BF289" s="11"/>
      <c r="BG289" s="11"/>
      <c r="BH289" s="11"/>
      <c r="BI289" s="13"/>
      <c r="BJ289" s="13"/>
      <c r="BK289" s="11"/>
      <c r="BL289" s="12"/>
      <c r="BM289" s="12"/>
      <c r="BN289" s="13"/>
      <c r="BO289" s="13"/>
      <c r="BP289" s="15"/>
      <c r="BQ289" s="15"/>
      <c r="BR289" s="14"/>
      <c r="BS289" s="14"/>
      <c r="BT289" s="14"/>
      <c r="BU289" s="14"/>
      <c r="BV289" s="11"/>
      <c r="BW289" s="11"/>
      <c r="BX289" s="11"/>
      <c r="BY289" s="11"/>
      <c r="BZ289" s="7"/>
      <c r="CA289" s="7"/>
      <c r="CB289" s="7"/>
      <c r="CC289" s="7"/>
      <c r="CD289" s="7"/>
      <c r="CE289" s="3"/>
      <c r="CF289" s="7"/>
      <c r="CG289" s="3"/>
      <c r="CH289" s="7"/>
      <c r="CI289" s="7"/>
      <c r="CJ289" s="3"/>
      <c r="CK289" s="7"/>
      <c r="CL289" s="3"/>
      <c r="CM289" s="7"/>
      <c r="CN289" s="10"/>
      <c r="CO289" s="10"/>
      <c r="CP289" s="7"/>
      <c r="CQ289" s="17"/>
      <c r="CR289" s="3"/>
      <c r="CS289" s="12"/>
      <c r="CT289" s="18"/>
      <c r="CU289" s="3"/>
      <c r="CV289" s="18"/>
      <c r="CW289" s="7"/>
      <c r="CX289" s="18"/>
      <c r="CY289" s="7"/>
      <c r="CZ289" s="18"/>
      <c r="DA289" s="3"/>
      <c r="DB289" s="18"/>
      <c r="DC289" s="11"/>
      <c r="DD289" s="18"/>
      <c r="DE289" s="7"/>
      <c r="DF289" s="7"/>
      <c r="DG289" s="7"/>
      <c r="DH289" s="3"/>
      <c r="DI289" s="3"/>
      <c r="DJ289" s="3"/>
      <c r="DK289" s="3"/>
      <c r="DL289" s="3"/>
      <c r="DM289" s="3"/>
      <c r="DN289" s="3"/>
      <c r="DO289" s="3"/>
      <c r="DP289" s="3"/>
      <c r="DQ289" s="3"/>
    </row>
    <row r="290" spans="1:128" x14ac:dyDescent="0.25">
      <c r="A290" t="s">
        <v>97</v>
      </c>
      <c r="B290" s="2">
        <v>44833</v>
      </c>
      <c r="C290" s="1">
        <v>425</v>
      </c>
      <c r="D290">
        <v>63</v>
      </c>
      <c r="M290" s="3"/>
      <c r="N290" s="3"/>
      <c r="O290" s="3"/>
      <c r="P290" s="7"/>
      <c r="Q290" s="7"/>
      <c r="R290" s="7"/>
      <c r="S290" s="7"/>
      <c r="T290" s="11"/>
      <c r="U290" s="11"/>
      <c r="V290" s="11"/>
      <c r="W290" s="11"/>
      <c r="X290" s="14"/>
      <c r="Y290" s="14"/>
      <c r="Z290" s="14"/>
      <c r="AA290" s="14"/>
      <c r="AB290" s="15"/>
      <c r="AC290" s="15"/>
      <c r="AD290" s="13"/>
      <c r="AE290" s="13"/>
      <c r="AF290" s="12"/>
      <c r="AG290" s="12"/>
      <c r="AH290" s="13"/>
      <c r="AI290" s="13"/>
      <c r="AJ290" s="11"/>
      <c r="AK290" s="11"/>
      <c r="AL290" s="11"/>
      <c r="AM290" s="11"/>
      <c r="AN290" s="11"/>
      <c r="AO290" s="11"/>
      <c r="AP290" s="11"/>
      <c r="AQ290" s="11"/>
      <c r="AR290" s="16"/>
      <c r="AS290" s="16"/>
      <c r="AT290" s="16"/>
      <c r="AU290" s="7"/>
      <c r="AV290" s="7"/>
      <c r="AW290" s="7"/>
      <c r="AX290" s="7"/>
      <c r="AY290" s="11"/>
      <c r="AZ290" s="16"/>
      <c r="BA290" s="16"/>
      <c r="BB290" s="16"/>
      <c r="BC290" s="11"/>
      <c r="BD290" s="11"/>
      <c r="BE290" s="11"/>
      <c r="BF290" s="11"/>
      <c r="BG290" s="11"/>
      <c r="BH290" s="11"/>
      <c r="BI290" s="13"/>
      <c r="BJ290" s="13"/>
      <c r="BK290" s="11"/>
      <c r="BL290" s="12"/>
      <c r="BM290" s="12"/>
      <c r="BN290" s="13"/>
      <c r="BO290" s="13"/>
      <c r="BP290" s="15"/>
      <c r="BQ290" s="15"/>
      <c r="BR290" s="14"/>
      <c r="BS290" s="14"/>
      <c r="BT290" s="14"/>
      <c r="BU290" s="14"/>
      <c r="BV290" s="11"/>
      <c r="BW290" s="11"/>
      <c r="BX290" s="11"/>
      <c r="BY290" s="11"/>
      <c r="BZ290" s="7"/>
      <c r="CA290" s="7"/>
      <c r="CB290" s="7"/>
      <c r="CC290" s="7"/>
      <c r="CD290" s="7"/>
      <c r="CE290" s="3"/>
      <c r="CF290" s="7"/>
      <c r="CG290" s="3"/>
      <c r="CH290" s="7"/>
      <c r="CI290" s="7"/>
      <c r="CJ290" s="3"/>
      <c r="CK290" s="7"/>
      <c r="CL290" s="3"/>
      <c r="CM290" s="7"/>
      <c r="CN290" s="10"/>
      <c r="CO290" s="10"/>
      <c r="CP290" s="7"/>
      <c r="CQ290" s="17"/>
      <c r="CR290" s="3"/>
      <c r="CS290" s="12"/>
      <c r="CT290" s="18"/>
      <c r="CU290" s="3"/>
      <c r="CV290" s="18"/>
      <c r="CW290" s="7"/>
      <c r="CX290" s="18"/>
      <c r="CY290" s="7"/>
      <c r="CZ290" s="18"/>
      <c r="DA290" s="3"/>
      <c r="DB290" s="18"/>
      <c r="DC290" s="11"/>
      <c r="DD290" s="18"/>
      <c r="DE290" s="7"/>
      <c r="DF290" s="7"/>
      <c r="DG290" s="7"/>
      <c r="DH290" s="3"/>
      <c r="DI290" s="3"/>
      <c r="DJ290" s="3"/>
      <c r="DK290" s="3"/>
      <c r="DL290" s="3"/>
      <c r="DM290" s="3"/>
      <c r="DN290" s="3"/>
      <c r="DO290" s="3"/>
      <c r="DP290" s="3"/>
      <c r="DQ290" s="3"/>
    </row>
    <row r="291" spans="1:128" x14ac:dyDescent="0.25">
      <c r="A291" t="s">
        <v>97</v>
      </c>
      <c r="B291" s="2">
        <v>44861</v>
      </c>
      <c r="C291" s="1">
        <v>425</v>
      </c>
      <c r="D291">
        <v>63</v>
      </c>
      <c r="M291" s="3"/>
      <c r="N291" s="3"/>
      <c r="O291" s="3"/>
      <c r="P291" s="7"/>
      <c r="Q291" s="7"/>
      <c r="R291" s="7"/>
      <c r="S291" s="7"/>
      <c r="T291" s="11"/>
      <c r="U291" s="11"/>
      <c r="V291" s="11"/>
      <c r="W291" s="11"/>
      <c r="X291" s="14"/>
      <c r="Y291" s="14"/>
      <c r="Z291" s="14"/>
      <c r="AA291" s="14"/>
      <c r="AB291" s="15"/>
      <c r="AC291" s="15"/>
      <c r="AD291" s="13"/>
      <c r="AE291" s="13"/>
      <c r="AF291" s="12"/>
      <c r="AG291" s="12"/>
      <c r="AH291" s="13"/>
      <c r="AI291" s="13"/>
      <c r="AJ291" s="11"/>
      <c r="AK291" s="11"/>
      <c r="AL291" s="11"/>
      <c r="AM291" s="11"/>
      <c r="AN291" s="11"/>
      <c r="AO291" s="11"/>
      <c r="AP291" s="11"/>
      <c r="AQ291" s="11"/>
      <c r="AR291" s="16"/>
      <c r="AS291" s="16"/>
      <c r="AT291" s="16"/>
      <c r="AU291" s="7"/>
      <c r="AV291" s="7"/>
      <c r="AW291" s="7"/>
      <c r="AX291" s="7"/>
      <c r="AY291" s="11"/>
      <c r="AZ291" s="16"/>
      <c r="BA291" s="16"/>
      <c r="BB291" s="16"/>
      <c r="BC291" s="11"/>
      <c r="BD291" s="11"/>
      <c r="BE291" s="11"/>
      <c r="BF291" s="11"/>
      <c r="BG291" s="11"/>
      <c r="BH291" s="11"/>
      <c r="BI291" s="13"/>
      <c r="BJ291" s="13"/>
      <c r="BK291" s="11"/>
      <c r="BL291" s="12"/>
      <c r="BM291" s="12"/>
      <c r="BN291" s="13"/>
      <c r="BO291" s="13"/>
      <c r="BP291" s="15"/>
      <c r="BQ291" s="15"/>
      <c r="BR291" s="14"/>
      <c r="BS291" s="14"/>
      <c r="BT291" s="14"/>
      <c r="BU291" s="14"/>
      <c r="BV291" s="11"/>
      <c r="BW291" s="11"/>
      <c r="BX291" s="11"/>
      <c r="BY291" s="11"/>
      <c r="BZ291" s="7"/>
      <c r="CA291" s="7"/>
      <c r="CB291" s="7"/>
      <c r="CC291" s="7"/>
      <c r="CD291" s="7"/>
      <c r="CE291" s="3"/>
      <c r="CF291" s="7"/>
      <c r="CG291" s="3"/>
      <c r="CH291" s="7"/>
      <c r="CI291" s="7"/>
      <c r="CJ291" s="3"/>
      <c r="CK291" s="7"/>
      <c r="CL291" s="3"/>
      <c r="CM291" s="7"/>
      <c r="CN291" s="10"/>
      <c r="CO291" s="10"/>
      <c r="CP291" s="7"/>
      <c r="CQ291" s="17"/>
      <c r="CR291" s="3"/>
      <c r="CS291" s="12"/>
      <c r="CT291" s="18"/>
      <c r="CU291" s="3"/>
      <c r="CV291" s="18"/>
      <c r="CW291" s="7"/>
      <c r="CX291" s="18"/>
      <c r="CY291" s="7"/>
      <c r="CZ291" s="18"/>
      <c r="DA291" s="3"/>
      <c r="DB291" s="18"/>
      <c r="DC291" s="11"/>
      <c r="DD291" s="18"/>
      <c r="DE291" s="7"/>
      <c r="DF291" s="7"/>
      <c r="DG291" s="7"/>
      <c r="DH291" s="3"/>
      <c r="DI291" s="3"/>
      <c r="DJ291" s="3"/>
      <c r="DK291" s="3"/>
      <c r="DL291" s="3"/>
      <c r="DM291" s="3"/>
      <c r="DN291" s="3"/>
      <c r="DO291" s="3"/>
      <c r="DP291" s="3"/>
      <c r="DQ291" s="3"/>
    </row>
    <row r="292" spans="1:128" x14ac:dyDescent="0.25">
      <c r="A292" t="s">
        <v>98</v>
      </c>
      <c r="B292" s="2">
        <v>44798</v>
      </c>
      <c r="C292" s="1">
        <v>1500</v>
      </c>
      <c r="D292">
        <v>87</v>
      </c>
      <c r="M292" s="3"/>
      <c r="N292" s="3"/>
      <c r="O292" s="3"/>
      <c r="P292" s="7"/>
      <c r="Q292" s="7"/>
      <c r="R292" s="7"/>
      <c r="S292" s="7"/>
      <c r="T292" s="11"/>
      <c r="U292" s="11"/>
      <c r="V292" s="11"/>
      <c r="W292" s="11"/>
      <c r="X292" s="14"/>
      <c r="Y292" s="14"/>
      <c r="Z292" s="14"/>
      <c r="AA292" s="14"/>
      <c r="AB292" s="15"/>
      <c r="AC292" s="15"/>
      <c r="AD292" s="13"/>
      <c r="AE292" s="13"/>
      <c r="AF292" s="12"/>
      <c r="AG292" s="12"/>
      <c r="AH292" s="13"/>
      <c r="AI292" s="13"/>
      <c r="AJ292" s="11"/>
      <c r="AK292" s="11"/>
      <c r="AL292" s="11"/>
      <c r="AM292" s="11"/>
      <c r="AN292" s="11"/>
      <c r="AO292" s="11"/>
      <c r="AP292" s="11"/>
      <c r="AQ292" s="11"/>
      <c r="AR292" s="16"/>
      <c r="AS292" s="16"/>
      <c r="AT292" s="16"/>
      <c r="AU292" s="7"/>
      <c r="AV292" s="7"/>
      <c r="AW292" s="7"/>
      <c r="AX292" s="7"/>
      <c r="AY292" s="11"/>
      <c r="AZ292" s="16"/>
      <c r="BA292" s="16"/>
      <c r="BB292" s="16"/>
      <c r="BC292" s="11"/>
      <c r="BD292" s="11"/>
      <c r="BE292" s="11"/>
      <c r="BF292" s="11"/>
      <c r="BG292" s="11"/>
      <c r="BH292" s="11"/>
      <c r="BI292" s="13"/>
      <c r="BJ292" s="13"/>
      <c r="BK292" s="11"/>
      <c r="BL292" s="12"/>
      <c r="BM292" s="12"/>
      <c r="BN292" s="13"/>
      <c r="BO292" s="13"/>
      <c r="BP292" s="15"/>
      <c r="BQ292" s="15"/>
      <c r="BR292" s="14"/>
      <c r="BS292" s="14"/>
      <c r="BT292" s="14"/>
      <c r="BU292" s="14"/>
      <c r="BV292" s="11"/>
      <c r="BW292" s="11"/>
      <c r="BX292" s="11"/>
      <c r="BY292" s="11"/>
      <c r="BZ292" s="7"/>
      <c r="CA292" s="7"/>
      <c r="CB292" s="7"/>
      <c r="CC292" s="7"/>
      <c r="CD292" s="7"/>
      <c r="CE292" s="3"/>
      <c r="CF292" s="7"/>
      <c r="CG292" s="3"/>
      <c r="CH292" s="7"/>
      <c r="CI292" s="7"/>
      <c r="CJ292" s="3"/>
      <c r="CK292" s="7"/>
      <c r="CL292" s="3"/>
      <c r="CM292" s="7"/>
      <c r="CN292" s="10"/>
      <c r="CO292" s="10"/>
      <c r="CP292" s="7"/>
      <c r="CQ292" s="17"/>
      <c r="CR292" s="3"/>
      <c r="CS292" s="12"/>
      <c r="CT292" s="18"/>
      <c r="CU292" s="3"/>
      <c r="CV292" s="18"/>
      <c r="CW292" s="7"/>
      <c r="CX292" s="18"/>
      <c r="CY292" s="7"/>
      <c r="CZ292" s="18"/>
      <c r="DA292" s="3"/>
      <c r="DB292" s="18"/>
      <c r="DC292" s="11"/>
      <c r="DD292" s="18"/>
      <c r="DE292" s="7"/>
      <c r="DF292" s="7"/>
      <c r="DG292" s="7"/>
      <c r="DH292" s="3"/>
      <c r="DI292" s="3"/>
      <c r="DJ292" s="3"/>
      <c r="DK292" s="3"/>
      <c r="DL292" s="3"/>
      <c r="DM292" s="3"/>
      <c r="DN292" s="3"/>
      <c r="DO292" s="3"/>
      <c r="DP292" s="3"/>
      <c r="DQ292" s="3"/>
    </row>
    <row r="293" spans="1:128" x14ac:dyDescent="0.25">
      <c r="A293" t="s">
        <v>98</v>
      </c>
      <c r="B293" s="2">
        <v>44833</v>
      </c>
      <c r="C293" s="1">
        <v>1500</v>
      </c>
      <c r="D293">
        <v>87</v>
      </c>
      <c r="M293" s="3"/>
      <c r="N293" s="3"/>
      <c r="O293" s="3"/>
      <c r="P293" s="7"/>
      <c r="Q293" s="7"/>
      <c r="R293" s="7"/>
      <c r="S293" s="7"/>
      <c r="T293" s="11"/>
      <c r="U293" s="11"/>
      <c r="V293" s="11"/>
      <c r="W293" s="11"/>
      <c r="X293" s="14"/>
      <c r="Y293" s="14"/>
      <c r="Z293" s="14"/>
      <c r="AA293" s="14"/>
      <c r="AB293" s="15"/>
      <c r="AC293" s="15"/>
      <c r="AD293" s="13"/>
      <c r="AE293" s="13"/>
      <c r="AF293" s="12"/>
      <c r="AG293" s="12"/>
      <c r="AH293" s="13"/>
      <c r="AI293" s="13"/>
      <c r="AJ293" s="11"/>
      <c r="AK293" s="11"/>
      <c r="AL293" s="11"/>
      <c r="AM293" s="11"/>
      <c r="AN293" s="11"/>
      <c r="AO293" s="11"/>
      <c r="AP293" s="11"/>
      <c r="AQ293" s="11"/>
      <c r="AR293" s="16"/>
      <c r="AS293" s="16"/>
      <c r="AT293" s="16"/>
      <c r="AU293" s="7"/>
      <c r="AV293" s="7"/>
      <c r="AW293" s="7"/>
      <c r="AX293" s="7"/>
      <c r="AY293" s="11"/>
      <c r="AZ293" s="16"/>
      <c r="BA293" s="16"/>
      <c r="BB293" s="16"/>
      <c r="BC293" s="11"/>
      <c r="BD293" s="11"/>
      <c r="BE293" s="11"/>
      <c r="BF293" s="11"/>
      <c r="BG293" s="11"/>
      <c r="BH293" s="11"/>
      <c r="BI293" s="13"/>
      <c r="BJ293" s="13"/>
      <c r="BK293" s="11"/>
      <c r="BL293" s="12"/>
      <c r="BM293" s="12"/>
      <c r="BN293" s="13"/>
      <c r="BO293" s="13"/>
      <c r="BP293" s="15"/>
      <c r="BQ293" s="15"/>
      <c r="BR293" s="14"/>
      <c r="BS293" s="14"/>
      <c r="BT293" s="14"/>
      <c r="BU293" s="14"/>
      <c r="BV293" s="11"/>
      <c r="BW293" s="11"/>
      <c r="BX293" s="11"/>
      <c r="BY293" s="11"/>
      <c r="BZ293" s="7"/>
      <c r="CA293" s="7"/>
      <c r="CB293" s="7"/>
      <c r="CC293" s="7"/>
      <c r="CD293" s="7"/>
      <c r="CE293" s="3"/>
      <c r="CF293" s="7"/>
      <c r="CG293" s="3"/>
      <c r="CH293" s="7"/>
      <c r="CI293" s="7"/>
      <c r="CJ293" s="3"/>
      <c r="CK293" s="7"/>
      <c r="CL293" s="3"/>
      <c r="CM293" s="7"/>
      <c r="CN293" s="10"/>
      <c r="CO293" s="10"/>
      <c r="CP293" s="7"/>
      <c r="CQ293" s="17"/>
      <c r="CR293" s="3"/>
      <c r="CS293" s="12"/>
      <c r="CT293" s="18"/>
      <c r="CU293" s="3"/>
      <c r="CV293" s="18"/>
      <c r="CW293" s="7"/>
      <c r="CX293" s="18"/>
      <c r="CY293" s="7"/>
      <c r="CZ293" s="18"/>
      <c r="DA293" s="3"/>
      <c r="DB293" s="18"/>
      <c r="DC293" s="11"/>
      <c r="DD293" s="18"/>
      <c r="DE293" s="7"/>
      <c r="DF293" s="7"/>
      <c r="DG293" s="7"/>
      <c r="DH293" s="3"/>
      <c r="DI293" s="3"/>
      <c r="DJ293" s="3"/>
      <c r="DK293" s="3"/>
      <c r="DL293" s="3"/>
      <c r="DM293" s="3"/>
      <c r="DN293" s="3"/>
      <c r="DO293" s="3"/>
      <c r="DP293" s="3"/>
      <c r="DQ293" s="3"/>
    </row>
    <row r="294" spans="1:128" x14ac:dyDescent="0.25">
      <c r="A294" t="s">
        <v>98</v>
      </c>
      <c r="B294" s="2">
        <v>44861</v>
      </c>
      <c r="C294" s="1">
        <v>1500</v>
      </c>
      <c r="D294">
        <v>87</v>
      </c>
      <c r="M294" s="3"/>
      <c r="N294" s="3"/>
      <c r="O294" s="3"/>
      <c r="P294" s="7"/>
      <c r="Q294" s="7"/>
      <c r="R294" s="7"/>
      <c r="S294" s="7"/>
      <c r="T294" s="11"/>
      <c r="U294" s="11"/>
      <c r="V294" s="11"/>
      <c r="W294" s="11"/>
      <c r="X294" s="14"/>
      <c r="Y294" s="14"/>
      <c r="Z294" s="14"/>
      <c r="AA294" s="14"/>
      <c r="AB294" s="15"/>
      <c r="AC294" s="15"/>
      <c r="AD294" s="13"/>
      <c r="AE294" s="13"/>
      <c r="AF294" s="12"/>
      <c r="AG294" s="12"/>
      <c r="AH294" s="13"/>
      <c r="AI294" s="13"/>
      <c r="AJ294" s="11"/>
      <c r="AK294" s="11"/>
      <c r="AL294" s="11"/>
      <c r="AM294" s="11"/>
      <c r="AN294" s="11"/>
      <c r="AO294" s="11"/>
      <c r="AP294" s="11"/>
      <c r="AQ294" s="11"/>
      <c r="AR294" s="16"/>
      <c r="AS294" s="16"/>
      <c r="AT294" s="16"/>
      <c r="AU294" s="7"/>
      <c r="AV294" s="7"/>
      <c r="AW294" s="7"/>
      <c r="AX294" s="7"/>
      <c r="AY294" s="11"/>
      <c r="AZ294" s="16"/>
      <c r="BA294" s="16"/>
      <c r="BB294" s="16"/>
      <c r="BC294" s="11"/>
      <c r="BD294" s="11"/>
      <c r="BE294" s="11"/>
      <c r="BF294" s="11"/>
      <c r="BG294" s="11"/>
      <c r="BH294" s="11"/>
      <c r="BI294" s="13"/>
      <c r="BJ294" s="13"/>
      <c r="BK294" s="11"/>
      <c r="BL294" s="12"/>
      <c r="BM294" s="12"/>
      <c r="BN294" s="13"/>
      <c r="BO294" s="13"/>
      <c r="BP294" s="15"/>
      <c r="BQ294" s="15"/>
      <c r="BR294" s="14"/>
      <c r="BS294" s="14"/>
      <c r="BT294" s="14"/>
      <c r="BU294" s="14"/>
      <c r="BV294" s="11"/>
      <c r="BW294" s="11"/>
      <c r="BX294" s="11"/>
      <c r="BY294" s="11"/>
      <c r="BZ294" s="7"/>
      <c r="CA294" s="7"/>
      <c r="CB294" s="7"/>
      <c r="CC294" s="7"/>
      <c r="CD294" s="7"/>
      <c r="CE294" s="3"/>
      <c r="CF294" s="7"/>
      <c r="CG294" s="3"/>
      <c r="CH294" s="7"/>
      <c r="CI294" s="7"/>
      <c r="CJ294" s="3"/>
      <c r="CK294" s="7"/>
      <c r="CL294" s="3"/>
      <c r="CM294" s="7"/>
      <c r="CN294" s="10"/>
      <c r="CO294" s="10"/>
      <c r="CP294" s="7"/>
      <c r="CQ294" s="17"/>
      <c r="CR294" s="3"/>
      <c r="CS294" s="12"/>
      <c r="CT294" s="18"/>
      <c r="CU294" s="3"/>
      <c r="CV294" s="18"/>
      <c r="CW294" s="7"/>
      <c r="CX294" s="18"/>
      <c r="CY294" s="7"/>
      <c r="CZ294" s="18"/>
      <c r="DA294" s="3"/>
      <c r="DB294" s="18"/>
      <c r="DC294" s="11"/>
      <c r="DD294" s="18"/>
      <c r="DE294" s="7"/>
      <c r="DF294" s="7"/>
      <c r="DG294" s="7"/>
      <c r="DH294" s="3"/>
      <c r="DI294" s="3"/>
      <c r="DJ294" s="3"/>
      <c r="DK294" s="3"/>
      <c r="DL294" s="3"/>
      <c r="DM294" s="3"/>
      <c r="DN294" s="3"/>
      <c r="DO294" s="3"/>
      <c r="DP294" s="3"/>
      <c r="DQ294" s="3"/>
    </row>
    <row r="295" spans="1:128" x14ac:dyDescent="0.25">
      <c r="A295" t="s">
        <v>99</v>
      </c>
      <c r="B295" s="2">
        <v>44798</v>
      </c>
      <c r="C295" s="1">
        <v>70000</v>
      </c>
      <c r="D295">
        <v>20</v>
      </c>
      <c r="M295" s="3"/>
      <c r="N295" s="3"/>
      <c r="O295" s="3"/>
      <c r="P295" s="7"/>
      <c r="Q295" s="7"/>
      <c r="R295" s="7"/>
      <c r="S295" s="7"/>
      <c r="T295" s="11"/>
      <c r="U295" s="11"/>
      <c r="V295" s="11"/>
      <c r="W295" s="11"/>
      <c r="X295" s="14"/>
      <c r="Y295" s="14"/>
      <c r="Z295" s="14"/>
      <c r="AA295" s="14"/>
      <c r="AB295" s="15"/>
      <c r="AC295" s="15"/>
      <c r="AD295" s="13"/>
      <c r="AE295" s="13"/>
      <c r="AF295" s="12"/>
      <c r="AG295" s="12"/>
      <c r="AH295" s="13"/>
      <c r="AI295" s="13"/>
      <c r="AJ295" s="11"/>
      <c r="AK295" s="11"/>
      <c r="AL295" s="11"/>
      <c r="AM295" s="11"/>
      <c r="AN295" s="11"/>
      <c r="AO295" s="11"/>
      <c r="AP295" s="11"/>
      <c r="AQ295" s="11"/>
      <c r="AR295" s="16"/>
      <c r="AS295" s="16"/>
      <c r="AT295" s="16"/>
      <c r="AU295" s="7"/>
      <c r="AV295" s="7"/>
      <c r="AW295" s="7"/>
      <c r="AX295" s="7"/>
      <c r="AY295" s="11"/>
      <c r="AZ295" s="16"/>
      <c r="BA295" s="16"/>
      <c r="BB295" s="16"/>
      <c r="BC295" s="11"/>
      <c r="BD295" s="11"/>
      <c r="BE295" s="11"/>
      <c r="BF295" s="11"/>
      <c r="BG295" s="11"/>
      <c r="BH295" s="11"/>
      <c r="BI295" s="13"/>
      <c r="BJ295" s="13"/>
      <c r="BK295" s="11"/>
      <c r="BL295" s="12"/>
      <c r="BM295" s="12"/>
      <c r="BN295" s="13"/>
      <c r="BO295" s="13"/>
      <c r="BP295" s="15"/>
      <c r="BQ295" s="15"/>
      <c r="BR295" s="14"/>
      <c r="BS295" s="14"/>
      <c r="BT295" s="14"/>
      <c r="BU295" s="14"/>
      <c r="BV295" s="11"/>
      <c r="BW295" s="11"/>
      <c r="BX295" s="11"/>
      <c r="BY295" s="11"/>
      <c r="BZ295" s="7"/>
      <c r="CA295" s="7"/>
      <c r="CB295" s="7"/>
      <c r="CC295" s="7"/>
      <c r="CD295" s="7"/>
      <c r="CE295" s="3"/>
      <c r="CF295" s="7"/>
      <c r="CG295" s="3"/>
      <c r="CH295" s="7"/>
      <c r="CI295" s="7"/>
      <c r="CJ295" s="3"/>
      <c r="CK295" s="7"/>
      <c r="CL295" s="3"/>
      <c r="CM295" s="7"/>
      <c r="CN295" s="10"/>
      <c r="CO295" s="10"/>
      <c r="CP295" s="7"/>
      <c r="CQ295" s="17"/>
      <c r="CR295" s="3"/>
      <c r="CS295" s="12"/>
      <c r="CT295" s="18"/>
      <c r="CU295" s="3"/>
      <c r="CV295" s="18"/>
      <c r="CW295" s="7"/>
      <c r="CX295" s="18"/>
      <c r="CY295" s="7"/>
      <c r="CZ295" s="18"/>
      <c r="DA295" s="3"/>
      <c r="DB295" s="18"/>
      <c r="DC295" s="11"/>
      <c r="DD295" s="18"/>
      <c r="DE295" s="7"/>
      <c r="DF295" s="7"/>
      <c r="DG295" s="7"/>
      <c r="DH295" s="3"/>
      <c r="DI295" s="3"/>
      <c r="DJ295" s="3"/>
      <c r="DK295" s="3"/>
      <c r="DL295" s="3"/>
      <c r="DM295" s="3"/>
      <c r="DN295" s="3"/>
      <c r="DO295" s="3"/>
      <c r="DP295" s="3"/>
      <c r="DQ295" s="3"/>
    </row>
    <row r="296" spans="1:128" x14ac:dyDescent="0.25">
      <c r="A296" t="s">
        <v>99</v>
      </c>
      <c r="B296" s="2">
        <v>44833</v>
      </c>
      <c r="C296" s="1">
        <v>70000</v>
      </c>
      <c r="D296">
        <v>20</v>
      </c>
      <c r="M296" s="3"/>
      <c r="N296" s="3"/>
      <c r="O296" s="3"/>
      <c r="P296" s="7"/>
      <c r="Q296" s="7"/>
      <c r="R296" s="7"/>
      <c r="S296" s="7"/>
      <c r="T296" s="11"/>
      <c r="U296" s="11"/>
      <c r="V296" s="11"/>
      <c r="W296" s="11"/>
      <c r="X296" s="14"/>
      <c r="Y296" s="14"/>
      <c r="Z296" s="14"/>
      <c r="AA296" s="14"/>
      <c r="AB296" s="15"/>
      <c r="AC296" s="15"/>
      <c r="AD296" s="13"/>
      <c r="AE296" s="13"/>
      <c r="AF296" s="12"/>
      <c r="AG296" s="12"/>
      <c r="AH296" s="13"/>
      <c r="AI296" s="13"/>
      <c r="AJ296" s="11"/>
      <c r="AK296" s="11"/>
      <c r="AL296" s="11"/>
      <c r="AM296" s="11"/>
      <c r="AN296" s="11"/>
      <c r="AO296" s="11"/>
      <c r="AP296" s="11"/>
      <c r="AQ296" s="11"/>
      <c r="AR296" s="16"/>
      <c r="AS296" s="16"/>
      <c r="AT296" s="16"/>
      <c r="AU296" s="7"/>
      <c r="AV296" s="7"/>
      <c r="AW296" s="7"/>
      <c r="AX296" s="7"/>
      <c r="AY296" s="11"/>
      <c r="AZ296" s="16"/>
      <c r="BA296" s="16"/>
      <c r="BB296" s="16"/>
      <c r="BC296" s="11"/>
      <c r="BD296" s="11"/>
      <c r="BE296" s="11"/>
      <c r="BF296" s="11"/>
      <c r="BG296" s="11"/>
      <c r="BH296" s="11"/>
      <c r="BI296" s="13"/>
      <c r="BJ296" s="13"/>
      <c r="BK296" s="11"/>
      <c r="BL296" s="12"/>
      <c r="BM296" s="12"/>
      <c r="BN296" s="13"/>
      <c r="BO296" s="13"/>
      <c r="BP296" s="15"/>
      <c r="BQ296" s="15"/>
      <c r="BR296" s="14"/>
      <c r="BS296" s="14"/>
      <c r="BT296" s="14"/>
      <c r="BU296" s="14"/>
      <c r="BV296" s="11"/>
      <c r="BW296" s="11"/>
      <c r="BX296" s="11"/>
      <c r="BY296" s="11"/>
      <c r="BZ296" s="7"/>
      <c r="CA296" s="7"/>
      <c r="CB296" s="7"/>
      <c r="CC296" s="7"/>
      <c r="CD296" s="7"/>
      <c r="CE296" s="3"/>
      <c r="CF296" s="7"/>
      <c r="CG296" s="3"/>
      <c r="CH296" s="7"/>
      <c r="CI296" s="7"/>
      <c r="CJ296" s="3"/>
      <c r="CK296" s="7"/>
      <c r="CL296" s="3"/>
      <c r="CM296" s="7"/>
      <c r="CN296" s="10"/>
      <c r="CO296" s="10"/>
      <c r="CP296" s="7"/>
      <c r="CQ296" s="17"/>
      <c r="CR296" s="3"/>
      <c r="CS296" s="12"/>
      <c r="CT296" s="18"/>
      <c r="CU296" s="3"/>
      <c r="CV296" s="18"/>
      <c r="CW296" s="7"/>
      <c r="CX296" s="18"/>
      <c r="CY296" s="7"/>
      <c r="CZ296" s="18"/>
      <c r="DA296" s="3"/>
      <c r="DB296" s="18"/>
      <c r="DC296" s="11"/>
      <c r="DD296" s="18"/>
      <c r="DE296" s="7"/>
      <c r="DF296" s="7"/>
      <c r="DG296" s="7"/>
      <c r="DH296" s="3"/>
      <c r="DI296" s="3"/>
      <c r="DJ296" s="3"/>
      <c r="DK296" s="3"/>
      <c r="DL296" s="3"/>
      <c r="DM296" s="3"/>
      <c r="DN296" s="3"/>
      <c r="DO296" s="3"/>
      <c r="DP296" s="3"/>
      <c r="DQ296" s="3"/>
    </row>
    <row r="297" spans="1:128" x14ac:dyDescent="0.25">
      <c r="A297" t="s">
        <v>99</v>
      </c>
      <c r="B297" s="2">
        <v>44861</v>
      </c>
      <c r="C297" s="1">
        <v>70000</v>
      </c>
      <c r="D297">
        <v>20</v>
      </c>
      <c r="M297" s="3"/>
      <c r="N297" s="3"/>
      <c r="O297" s="3"/>
      <c r="P297" s="7"/>
      <c r="Q297" s="7"/>
      <c r="R297" s="7"/>
      <c r="S297" s="7"/>
      <c r="T297" s="11"/>
      <c r="U297" s="11"/>
      <c r="V297" s="11"/>
      <c r="W297" s="11"/>
      <c r="X297" s="14"/>
      <c r="Y297" s="14"/>
      <c r="Z297" s="14"/>
      <c r="AA297" s="14"/>
      <c r="AB297" s="15"/>
      <c r="AC297" s="15"/>
      <c r="AD297" s="13"/>
      <c r="AE297" s="13"/>
      <c r="AF297" s="12"/>
      <c r="AG297" s="12"/>
      <c r="AH297" s="13"/>
      <c r="AI297" s="13"/>
      <c r="AJ297" s="11"/>
      <c r="AK297" s="11"/>
      <c r="AL297" s="11"/>
      <c r="AM297" s="11"/>
      <c r="AN297" s="11"/>
      <c r="AO297" s="11"/>
      <c r="AP297" s="11"/>
      <c r="AQ297" s="11"/>
      <c r="AR297" s="16"/>
      <c r="AS297" s="16"/>
      <c r="AT297" s="16"/>
      <c r="AU297" s="7"/>
      <c r="AV297" s="7"/>
      <c r="AW297" s="7"/>
      <c r="AX297" s="7"/>
      <c r="AY297" s="11"/>
      <c r="AZ297" s="16"/>
      <c r="BA297" s="16"/>
      <c r="BB297" s="16"/>
      <c r="BC297" s="11"/>
      <c r="BD297" s="11"/>
      <c r="BE297" s="11"/>
      <c r="BF297" s="11"/>
      <c r="BG297" s="11"/>
      <c r="BH297" s="11"/>
      <c r="BI297" s="13"/>
      <c r="BJ297" s="13"/>
      <c r="BK297" s="11"/>
      <c r="BL297" s="12"/>
      <c r="BM297" s="12"/>
      <c r="BN297" s="13"/>
      <c r="BO297" s="13"/>
      <c r="BP297" s="15"/>
      <c r="BQ297" s="15"/>
      <c r="BR297" s="14"/>
      <c r="BS297" s="14"/>
      <c r="BT297" s="14"/>
      <c r="BU297" s="14"/>
      <c r="BV297" s="11"/>
      <c r="BW297" s="11"/>
      <c r="BX297" s="11"/>
      <c r="BY297" s="11"/>
      <c r="BZ297" s="7"/>
      <c r="CA297" s="7"/>
      <c r="CB297" s="7"/>
      <c r="CC297" s="7"/>
      <c r="CD297" s="7"/>
      <c r="CE297" s="3"/>
      <c r="CF297" s="7"/>
      <c r="CG297" s="3"/>
      <c r="CH297" s="7"/>
      <c r="CI297" s="7"/>
      <c r="CJ297" s="3"/>
      <c r="CK297" s="7"/>
      <c r="CL297" s="3"/>
      <c r="CM297" s="7"/>
      <c r="CN297" s="10" t="e">
        <f>DATEVALUE(LEFT(CN$305,11))+TIMEVALUE(RIGHT(CN$305,8))</f>
        <v>#VALUE!</v>
      </c>
      <c r="CO297" s="10" t="e">
        <f>DATEVALUE(LEFT(CO$305,11))+TIMEVALUE(RIGHT(CO$305,8))</f>
        <v>#VALUE!</v>
      </c>
      <c r="CP297" s="7"/>
      <c r="CQ297" s="17"/>
      <c r="CR297" s="3"/>
      <c r="CS297" s="12"/>
      <c r="CT297" s="18"/>
      <c r="CU297" s="3"/>
      <c r="CV297" s="18"/>
      <c r="CW297" s="7"/>
      <c r="CX297" s="18"/>
      <c r="CY297" s="7"/>
      <c r="CZ297" s="18"/>
      <c r="DA297" s="3"/>
      <c r="DB297" s="18"/>
      <c r="DC297" s="11"/>
      <c r="DD297" s="18"/>
      <c r="DE297" s="7"/>
      <c r="DF297" s="7"/>
      <c r="DG297" s="7"/>
      <c r="DH297" s="3"/>
      <c r="DI297" s="3"/>
      <c r="DJ297" s="3"/>
      <c r="DK297" s="3"/>
      <c r="DL297" s="3"/>
      <c r="DM297" s="3"/>
      <c r="DN297" s="3"/>
      <c r="DO297" s="3"/>
      <c r="DP297" s="3"/>
      <c r="DQ297" s="3"/>
    </row>
    <row r="298" spans="1:128" x14ac:dyDescent="0.25">
      <c r="A298" t="s">
        <v>100</v>
      </c>
      <c r="B298" s="2">
        <v>44798</v>
      </c>
      <c r="C298" s="1">
        <v>10000</v>
      </c>
      <c r="D298">
        <v>61</v>
      </c>
      <c r="M298" s="3"/>
      <c r="N298" s="3"/>
      <c r="O298" s="3"/>
      <c r="P298" s="7"/>
      <c r="Q298" s="7"/>
      <c r="R298" s="7"/>
      <c r="S298" s="7"/>
      <c r="T298" s="11"/>
      <c r="U298" s="11"/>
      <c r="V298" s="11"/>
      <c r="W298" s="11"/>
      <c r="X298" s="14"/>
      <c r="Y298" s="14"/>
      <c r="Z298" s="14"/>
      <c r="AA298" s="14"/>
      <c r="AB298" s="15"/>
      <c r="AC298" s="15"/>
      <c r="AD298" s="13"/>
      <c r="AE298" s="13"/>
      <c r="AF298" s="12"/>
      <c r="AG298" s="12"/>
      <c r="AH298" s="13"/>
      <c r="AI298" s="13"/>
      <c r="AJ298" s="11"/>
      <c r="AK298" s="11"/>
      <c r="AL298" s="11"/>
      <c r="AM298" s="11"/>
      <c r="AN298" s="11"/>
      <c r="AO298" s="11"/>
      <c r="AP298" s="11"/>
      <c r="AQ298" s="11"/>
      <c r="AR298" s="16"/>
      <c r="AS298" s="16"/>
      <c r="AT298" s="16"/>
      <c r="AU298" s="7"/>
      <c r="AV298" s="7"/>
      <c r="AW298" s="7"/>
      <c r="AX298" s="7"/>
      <c r="AY298" s="11"/>
      <c r="AZ298" s="16"/>
      <c r="BA298" s="16"/>
      <c r="BB298" s="16"/>
      <c r="BC298" s="11"/>
      <c r="BD298" s="11"/>
      <c r="BE298" s="11"/>
      <c r="BF298" s="11"/>
      <c r="BG298" s="11"/>
      <c r="BH298" s="11"/>
      <c r="BI298" s="13"/>
      <c r="BJ298" s="13"/>
      <c r="BK298" s="11"/>
      <c r="BL298" s="12"/>
      <c r="BM298" s="12"/>
      <c r="BN298" s="13"/>
      <c r="BO298" s="13"/>
      <c r="BP298" s="15"/>
      <c r="BQ298" s="15"/>
      <c r="BR298" s="14"/>
      <c r="BS298" s="14"/>
      <c r="BT298" s="14"/>
      <c r="BU298" s="14"/>
      <c r="BV298" s="11"/>
      <c r="BW298" s="11"/>
      <c r="BX298" s="11"/>
      <c r="BY298" s="11"/>
      <c r="BZ298" s="7"/>
      <c r="CA298" s="7"/>
      <c r="CB298" s="7"/>
      <c r="CC298" s="7"/>
      <c r="CD298" s="7"/>
      <c r="CE298" s="3"/>
      <c r="CF298" s="7"/>
      <c r="CG298" s="3"/>
      <c r="CH298" s="7"/>
      <c r="CI298" s="7"/>
      <c r="CJ298" s="3"/>
      <c r="CK298" s="7"/>
      <c r="CL298" s="3"/>
      <c r="CM298" s="7"/>
      <c r="CN298" s="10"/>
      <c r="CO298" s="10"/>
      <c r="CP298" s="7"/>
      <c r="CQ298" s="17"/>
      <c r="CR298" s="3"/>
      <c r="CS298" s="12"/>
      <c r="CT298" s="18"/>
      <c r="CU298" s="3"/>
      <c r="CV298" s="18"/>
      <c r="CW298" s="7"/>
      <c r="CX298" s="18"/>
      <c r="CY298" s="7"/>
      <c r="CZ298" s="18"/>
      <c r="DA298" s="3"/>
      <c r="DB298" s="18"/>
      <c r="DC298" s="11"/>
      <c r="DD298" s="18"/>
      <c r="DE298" s="7"/>
      <c r="DF298" s="7"/>
      <c r="DG298" s="7"/>
      <c r="DH298" s="3"/>
      <c r="DI298" s="3"/>
      <c r="DJ298" s="3"/>
      <c r="DK298" s="3"/>
      <c r="DL298" s="3"/>
      <c r="DM298" s="3"/>
      <c r="DN298" s="3"/>
      <c r="DO298" s="3"/>
      <c r="DP298" s="3"/>
      <c r="DQ298" s="3"/>
    </row>
    <row r="299" spans="1:128" x14ac:dyDescent="0.25">
      <c r="A299" t="s">
        <v>100</v>
      </c>
      <c r="B299" s="2">
        <v>44833</v>
      </c>
      <c r="C299" s="1">
        <v>10000</v>
      </c>
      <c r="D299">
        <v>61</v>
      </c>
      <c r="M299" s="3"/>
      <c r="N299" s="3"/>
      <c r="O299" s="3"/>
      <c r="P299" s="7"/>
      <c r="Q299" s="7"/>
      <c r="R299" s="7"/>
      <c r="S299" s="7"/>
      <c r="T299" s="11"/>
      <c r="U299" s="11"/>
      <c r="V299" s="11"/>
      <c r="W299" s="11"/>
      <c r="X299" s="14"/>
      <c r="Y299" s="14"/>
      <c r="Z299" s="14"/>
      <c r="AA299" s="14"/>
      <c r="AB299" s="15"/>
      <c r="AC299" s="15"/>
      <c r="AD299" s="13"/>
      <c r="AE299" s="13"/>
      <c r="AF299" s="12"/>
      <c r="AG299" s="12"/>
      <c r="AH299" s="13"/>
      <c r="AI299" s="13"/>
      <c r="AJ299" s="11"/>
      <c r="AK299" s="11"/>
      <c r="AL299" s="11"/>
      <c r="AM299" s="11"/>
      <c r="AN299" s="11"/>
      <c r="AO299" s="11"/>
      <c r="AP299" s="11"/>
      <c r="AQ299" s="11"/>
      <c r="AR299" s="16"/>
      <c r="AS299" s="16"/>
      <c r="AT299" s="16"/>
      <c r="AU299" s="7"/>
      <c r="AV299" s="7"/>
      <c r="AW299" s="7"/>
      <c r="AX299" s="7"/>
      <c r="AY299" s="11"/>
      <c r="AZ299" s="16"/>
      <c r="BA299" s="16"/>
      <c r="BB299" s="16"/>
      <c r="BC299" s="11"/>
      <c r="BD299" s="11"/>
      <c r="BE299" s="11"/>
      <c r="BF299" s="11"/>
      <c r="BG299" s="11"/>
      <c r="BH299" s="11"/>
      <c r="BI299" s="13"/>
      <c r="BJ299" s="13"/>
      <c r="BK299" s="11"/>
      <c r="BL299" s="12"/>
      <c r="BM299" s="12"/>
      <c r="BN299" s="13"/>
      <c r="BO299" s="13"/>
      <c r="BP299" s="15"/>
      <c r="BQ299" s="15"/>
      <c r="BR299" s="14"/>
      <c r="BS299" s="14"/>
      <c r="BT299" s="14"/>
      <c r="BU299" s="14"/>
      <c r="BV299" s="11"/>
      <c r="BW299" s="11"/>
      <c r="BX299" s="11"/>
      <c r="BY299" s="11"/>
      <c r="BZ299" s="7"/>
      <c r="CA299" s="7"/>
      <c r="CB299" s="7"/>
      <c r="CC299" s="7"/>
      <c r="CD299" s="7"/>
      <c r="CE299" s="3"/>
      <c r="CF299" s="7"/>
      <c r="CG299" s="3"/>
      <c r="CH299" s="7"/>
      <c r="CI299" s="7"/>
      <c r="CJ299" s="3"/>
      <c r="CK299" s="7"/>
      <c r="CL299" s="3"/>
      <c r="CM299" s="7"/>
      <c r="CN299" s="10"/>
      <c r="CO299" s="10"/>
      <c r="CP299" s="7"/>
      <c r="CQ299" s="17"/>
      <c r="CR299" s="3"/>
      <c r="CS299" s="12"/>
      <c r="CT299" s="18"/>
      <c r="CU299" s="3"/>
      <c r="CV299" s="18"/>
      <c r="CW299" s="7"/>
      <c r="CX299" s="18"/>
      <c r="CY299" s="7"/>
      <c r="CZ299" s="18"/>
      <c r="DA299" s="3"/>
      <c r="DB299" s="18"/>
      <c r="DC299" s="11"/>
      <c r="DD299" s="18"/>
      <c r="DE299" s="7"/>
      <c r="DF299" s="7"/>
      <c r="DG299" s="7"/>
      <c r="DH299" s="3"/>
      <c r="DI299" s="3"/>
      <c r="DJ299" s="3"/>
      <c r="DK299" s="3"/>
      <c r="DL299" s="3"/>
      <c r="DM299" s="3"/>
      <c r="DN299" s="3"/>
      <c r="DO299" s="3"/>
      <c r="DP299" s="3"/>
      <c r="DQ299" s="3"/>
    </row>
    <row r="300" spans="1:128" x14ac:dyDescent="0.25">
      <c r="A300" t="s">
        <v>100</v>
      </c>
      <c r="B300" s="2">
        <v>44861</v>
      </c>
      <c r="C300" s="1">
        <v>10000</v>
      </c>
      <c r="D300">
        <v>61</v>
      </c>
      <c r="M300" s="3"/>
      <c r="N300" s="3"/>
      <c r="O300" s="3"/>
      <c r="P300" s="7"/>
      <c r="Q300" s="7"/>
      <c r="R300" s="7"/>
      <c r="S300" s="7"/>
      <c r="T300" s="11"/>
      <c r="U300" s="11"/>
      <c r="V300" s="11"/>
      <c r="W300" s="11"/>
      <c r="X300" s="14"/>
      <c r="Y300" s="14"/>
      <c r="Z300" s="14"/>
      <c r="AA300" s="14"/>
      <c r="AB300" s="15"/>
      <c r="AC300" s="15"/>
      <c r="AD300" s="13"/>
      <c r="AE300" s="13"/>
      <c r="AF300" s="12"/>
      <c r="AG300" s="12"/>
      <c r="AH300" s="13"/>
      <c r="AI300" s="13"/>
      <c r="AJ300" s="11"/>
      <c r="AK300" s="11"/>
      <c r="AL300" s="11"/>
      <c r="AM300" s="11"/>
      <c r="AN300" s="11"/>
      <c r="AO300" s="11"/>
      <c r="AP300" s="11"/>
      <c r="AQ300" s="11"/>
      <c r="AR300" s="16"/>
      <c r="AS300" s="16"/>
      <c r="AT300" s="16"/>
      <c r="AU300" s="7"/>
      <c r="AV300" s="7"/>
      <c r="AW300" s="7"/>
      <c r="AX300" s="7"/>
      <c r="AY300" s="11"/>
      <c r="AZ300" s="16"/>
      <c r="BA300" s="16"/>
      <c r="BB300" s="16"/>
      <c r="BC300" s="11"/>
      <c r="BD300" s="11"/>
      <c r="BE300" s="11"/>
      <c r="BF300" s="11"/>
      <c r="BG300" s="11"/>
      <c r="BH300" s="11"/>
      <c r="BI300" s="13"/>
      <c r="BJ300" s="13"/>
      <c r="BK300" s="11"/>
      <c r="BL300" s="12"/>
      <c r="BM300" s="12"/>
      <c r="BN300" s="13"/>
      <c r="BO300" s="13"/>
      <c r="BP300" s="15"/>
      <c r="BQ300" s="15"/>
      <c r="BR300" s="14"/>
      <c r="BS300" s="14"/>
      <c r="BT300" s="14"/>
      <c r="BU300" s="14"/>
      <c r="BV300" s="11"/>
      <c r="BW300" s="11"/>
      <c r="BX300" s="11"/>
      <c r="BY300" s="11"/>
      <c r="BZ300" s="7"/>
      <c r="CA300" s="7"/>
      <c r="CB300" s="7"/>
      <c r="CC300" s="7"/>
      <c r="CD300" s="7"/>
      <c r="CE300" s="3"/>
      <c r="CF300" s="7"/>
      <c r="CG300" s="3"/>
      <c r="CH300" s="7"/>
      <c r="CI300" s="7"/>
      <c r="CJ300" s="3"/>
      <c r="CK300" s="7"/>
      <c r="CL300" s="3"/>
      <c r="CM300" s="7"/>
      <c r="CN300" s="10"/>
      <c r="CO300" s="10"/>
      <c r="CP300" s="7"/>
      <c r="CQ300" s="17"/>
      <c r="CR300" s="3"/>
      <c r="CS300" s="12"/>
      <c r="CT300" s="18"/>
      <c r="CU300" s="3"/>
      <c r="CV300" s="18"/>
      <c r="CW300" s="7"/>
      <c r="CX300" s="18"/>
      <c r="CY300" s="7"/>
      <c r="CZ300" s="18"/>
      <c r="DA300" s="3"/>
      <c r="DB300" s="18"/>
      <c r="DC300" s="11"/>
      <c r="DD300" s="18"/>
      <c r="DE300" s="7"/>
      <c r="DF300" s="7"/>
      <c r="DG300" s="7"/>
      <c r="DH300" s="3"/>
      <c r="DI300" s="3"/>
      <c r="DJ300" s="3"/>
      <c r="DK300" s="3"/>
      <c r="DL300" s="3"/>
      <c r="DM300" s="3"/>
      <c r="DN300" s="3"/>
      <c r="DO300" s="3"/>
      <c r="DP300" s="3"/>
      <c r="DQ300" s="3"/>
    </row>
    <row r="301" spans="1:128" x14ac:dyDescent="0.25">
      <c r="A301" t="s">
        <v>101</v>
      </c>
      <c r="B301" s="2">
        <v>44798</v>
      </c>
      <c r="C301" s="1">
        <v>15000</v>
      </c>
      <c r="D301">
        <v>47</v>
      </c>
    </row>
    <row r="302" spans="1:128" x14ac:dyDescent="0.25">
      <c r="A302" t="s">
        <v>101</v>
      </c>
      <c r="B302" s="2">
        <v>44833</v>
      </c>
      <c r="C302" s="1">
        <v>15000</v>
      </c>
      <c r="D302">
        <v>47</v>
      </c>
      <c r="P302" s="68" t="s">
        <v>210</v>
      </c>
      <c r="Q302" s="68" t="s">
        <v>211</v>
      </c>
      <c r="R302" s="68" t="s">
        <v>212</v>
      </c>
      <c r="S302" s="68" t="s">
        <v>213</v>
      </c>
      <c r="T302" s="68" t="s">
        <v>214</v>
      </c>
      <c r="U302" s="68" t="s">
        <v>215</v>
      </c>
      <c r="V302" s="68" t="s">
        <v>216</v>
      </c>
      <c r="W302" s="68" t="s">
        <v>217</v>
      </c>
      <c r="X302" s="68" t="s">
        <v>218</v>
      </c>
      <c r="Y302" s="68" t="s">
        <v>219</v>
      </c>
      <c r="Z302" s="68" t="s">
        <v>220</v>
      </c>
      <c r="AA302" s="68" t="s">
        <v>221</v>
      </c>
      <c r="AB302" s="68" t="s">
        <v>222</v>
      </c>
      <c r="AC302" s="68" t="s">
        <v>223</v>
      </c>
      <c r="AD302" s="68" t="s">
        <v>224</v>
      </c>
      <c r="AE302" s="68" t="s">
        <v>225</v>
      </c>
      <c r="AF302" s="68" t="s">
        <v>226</v>
      </c>
      <c r="AG302" s="68" t="s">
        <v>227</v>
      </c>
      <c r="AH302" s="68" t="s">
        <v>228</v>
      </c>
      <c r="AI302" s="68" t="s">
        <v>229</v>
      </c>
      <c r="AJ302" s="68" t="s">
        <v>230</v>
      </c>
      <c r="AK302" s="68" t="s">
        <v>231</v>
      </c>
      <c r="AL302" s="68" t="s">
        <v>232</v>
      </c>
      <c r="AM302" s="68" t="s">
        <v>233</v>
      </c>
      <c r="AN302" s="68" t="s">
        <v>234</v>
      </c>
      <c r="AO302" s="68" t="s">
        <v>235</v>
      </c>
      <c r="AP302" s="68" t="s">
        <v>236</v>
      </c>
      <c r="AQ302" s="68" t="s">
        <v>237</v>
      </c>
      <c r="AR302" s="68" t="s">
        <v>238</v>
      </c>
      <c r="AS302" s="68" t="s">
        <v>239</v>
      </c>
      <c r="AT302" s="68" t="s">
        <v>240</v>
      </c>
      <c r="AU302" s="68" t="s">
        <v>241</v>
      </c>
      <c r="AV302" s="68" t="s">
        <v>0</v>
      </c>
      <c r="AW302" s="68" t="s">
        <v>1</v>
      </c>
      <c r="AX302" s="68" t="s">
        <v>243</v>
      </c>
      <c r="AY302" s="68" t="s">
        <v>244</v>
      </c>
      <c r="AZ302" s="68" t="s">
        <v>245</v>
      </c>
      <c r="BA302" s="68" t="s">
        <v>246</v>
      </c>
      <c r="BB302" s="68" t="s">
        <v>247</v>
      </c>
      <c r="BC302" s="68" t="s">
        <v>248</v>
      </c>
      <c r="BD302" s="68" t="s">
        <v>249</v>
      </c>
      <c r="BE302" s="68" t="s">
        <v>250</v>
      </c>
      <c r="BF302" s="68" t="s">
        <v>251</v>
      </c>
      <c r="BG302" s="68" t="s">
        <v>252</v>
      </c>
      <c r="BH302" s="68" t="s">
        <v>253</v>
      </c>
      <c r="BI302" s="68" t="s">
        <v>254</v>
      </c>
      <c r="BJ302" s="68" t="s">
        <v>255</v>
      </c>
      <c r="BK302" s="68" t="s">
        <v>256</v>
      </c>
      <c r="BL302" s="68" t="s">
        <v>257</v>
      </c>
      <c r="BM302" s="68" t="s">
        <v>258</v>
      </c>
      <c r="BN302" s="68" t="s">
        <v>259</v>
      </c>
      <c r="BO302" s="68" t="s">
        <v>260</v>
      </c>
      <c r="BP302" s="68" t="s">
        <v>261</v>
      </c>
      <c r="BQ302" s="68" t="s">
        <v>262</v>
      </c>
      <c r="BR302" s="68" t="s">
        <v>263</v>
      </c>
      <c r="BS302" s="68" t="s">
        <v>264</v>
      </c>
      <c r="BT302" s="68" t="s">
        <v>265</v>
      </c>
      <c r="BU302" s="68" t="s">
        <v>266</v>
      </c>
      <c r="BV302" s="68" t="s">
        <v>267</v>
      </c>
      <c r="BW302" s="68" t="s">
        <v>268</v>
      </c>
      <c r="BX302" s="68" t="s">
        <v>269</v>
      </c>
      <c r="BY302" s="68" t="s">
        <v>270</v>
      </c>
      <c r="BZ302" s="68" t="s">
        <v>271</v>
      </c>
      <c r="CA302" s="68" t="s">
        <v>272</v>
      </c>
      <c r="CB302" s="68" t="s">
        <v>273</v>
      </c>
      <c r="CC302" s="68" t="s">
        <v>274</v>
      </c>
      <c r="CD302" s="68" t="s">
        <v>275</v>
      </c>
      <c r="CE302" s="68" t="s">
        <v>276</v>
      </c>
      <c r="CF302" s="68" t="s">
        <v>277</v>
      </c>
      <c r="CG302" s="68" t="s">
        <v>278</v>
      </c>
      <c r="CH302" s="68" t="s">
        <v>279</v>
      </c>
      <c r="CI302" s="68" t="s">
        <v>280</v>
      </c>
      <c r="CJ302" s="68" t="s">
        <v>281</v>
      </c>
      <c r="CK302" s="68" t="s">
        <v>282</v>
      </c>
      <c r="CL302" s="68" t="s">
        <v>283</v>
      </c>
      <c r="CM302" s="68" t="s">
        <v>284</v>
      </c>
      <c r="CN302" s="68" t="s">
        <v>285</v>
      </c>
      <c r="CO302" s="68" t="s">
        <v>286</v>
      </c>
      <c r="CP302" s="68" t="s">
        <v>287</v>
      </c>
      <c r="CQ302" s="68" t="s">
        <v>288</v>
      </c>
      <c r="CR302" s="68" t="s">
        <v>289</v>
      </c>
      <c r="CS302" s="68" t="s">
        <v>290</v>
      </c>
      <c r="CT302" s="68" t="s">
        <v>291</v>
      </c>
      <c r="CU302" s="68" t="s">
        <v>292</v>
      </c>
      <c r="CV302" s="68" t="s">
        <v>293</v>
      </c>
      <c r="CW302" s="68" t="s">
        <v>294</v>
      </c>
      <c r="CX302" s="68" t="s">
        <v>295</v>
      </c>
      <c r="CY302" s="68" t="s">
        <v>296</v>
      </c>
      <c r="CZ302" s="68" t="s">
        <v>297</v>
      </c>
      <c r="DA302" s="68" t="s">
        <v>298</v>
      </c>
      <c r="DB302" s="68" t="s">
        <v>299</v>
      </c>
      <c r="DC302" s="68" t="s">
        <v>300</v>
      </c>
      <c r="DD302" s="68" t="s">
        <v>301</v>
      </c>
      <c r="DE302" s="68" t="s">
        <v>302</v>
      </c>
      <c r="DF302" s="68" t="s">
        <v>303</v>
      </c>
      <c r="DG302" s="68" t="s">
        <v>304</v>
      </c>
      <c r="DH302" s="68" t="s">
        <v>305</v>
      </c>
      <c r="DI302" s="68" t="s">
        <v>306</v>
      </c>
      <c r="DJ302" s="68" t="s">
        <v>307</v>
      </c>
      <c r="DK302" s="68" t="s">
        <v>205</v>
      </c>
      <c r="DL302" s="68" t="s">
        <v>206</v>
      </c>
      <c r="DM302" s="68" t="s">
        <v>207</v>
      </c>
      <c r="DN302" s="68" t="s">
        <v>322</v>
      </c>
      <c r="DO302" s="68" t="s">
        <v>323</v>
      </c>
      <c r="DP302" s="68" t="s">
        <v>208</v>
      </c>
      <c r="DQ302" s="68" t="s">
        <v>209</v>
      </c>
      <c r="DR302" s="68" t="s">
        <v>324</v>
      </c>
      <c r="DS302" s="68" t="s">
        <v>325</v>
      </c>
      <c r="DT302" s="68" t="s">
        <v>309</v>
      </c>
      <c r="DU302" s="68" t="s">
        <v>308</v>
      </c>
      <c r="DV302" s="68"/>
      <c r="DW302" s="68"/>
      <c r="DX302" s="68"/>
    </row>
    <row r="303" spans="1:128" x14ac:dyDescent="0.25">
      <c r="A303" t="s">
        <v>101</v>
      </c>
      <c r="B303" s="2">
        <v>44861</v>
      </c>
      <c r="C303" s="1">
        <v>15000</v>
      </c>
      <c r="D303">
        <v>47</v>
      </c>
      <c r="N303" t="s">
        <v>315</v>
      </c>
      <c r="P303" s="68" t="s">
        <v>210</v>
      </c>
      <c r="Q303" s="68" t="s">
        <v>211</v>
      </c>
      <c r="R303" s="68" t="s">
        <v>212</v>
      </c>
      <c r="S303" s="68" t="s">
        <v>213</v>
      </c>
      <c r="T303" s="68" t="s">
        <v>214</v>
      </c>
      <c r="U303" s="68" t="s">
        <v>215</v>
      </c>
      <c r="V303" s="68" t="s">
        <v>216</v>
      </c>
      <c r="W303" s="68" t="s">
        <v>217</v>
      </c>
      <c r="X303" s="68" t="s">
        <v>218</v>
      </c>
      <c r="Y303" s="68" t="s">
        <v>219</v>
      </c>
      <c r="Z303" s="68" t="s">
        <v>220</v>
      </c>
      <c r="AA303" s="68" t="s">
        <v>221</v>
      </c>
      <c r="AB303" s="68" t="s">
        <v>222</v>
      </c>
      <c r="AC303" s="68" t="s">
        <v>223</v>
      </c>
      <c r="AD303" s="68" t="s">
        <v>224</v>
      </c>
      <c r="AE303" s="68" t="s">
        <v>225</v>
      </c>
      <c r="AF303" s="68" t="s">
        <v>226</v>
      </c>
      <c r="AG303" s="68" t="s">
        <v>227</v>
      </c>
      <c r="AH303" s="68" t="s">
        <v>228</v>
      </c>
      <c r="AI303" s="68" t="s">
        <v>229</v>
      </c>
      <c r="AJ303" s="68" t="s">
        <v>230</v>
      </c>
      <c r="AK303" s="68" t="s">
        <v>231</v>
      </c>
      <c r="AL303" s="68" t="s">
        <v>232</v>
      </c>
      <c r="AM303" s="68" t="s">
        <v>233</v>
      </c>
      <c r="AN303" s="68" t="s">
        <v>234</v>
      </c>
      <c r="AO303" s="68" t="s">
        <v>235</v>
      </c>
      <c r="AP303" s="68" t="s">
        <v>236</v>
      </c>
      <c r="AQ303" s="68" t="s">
        <v>237</v>
      </c>
      <c r="AR303" s="68" t="s">
        <v>238</v>
      </c>
      <c r="AS303" s="68" t="s">
        <v>239</v>
      </c>
      <c r="AT303" s="68" t="s">
        <v>240</v>
      </c>
      <c r="AU303" s="68" t="s">
        <v>241</v>
      </c>
      <c r="AV303" s="68" t="s">
        <v>0</v>
      </c>
      <c r="AW303" s="68" t="s">
        <v>1</v>
      </c>
      <c r="AX303" s="68" t="s">
        <v>243</v>
      </c>
      <c r="AY303" s="68" t="s">
        <v>244</v>
      </c>
      <c r="AZ303" s="68" t="s">
        <v>245</v>
      </c>
      <c r="BA303" s="68" t="s">
        <v>246</v>
      </c>
      <c r="BB303" s="68" t="s">
        <v>247</v>
      </c>
      <c r="BC303" s="68" t="s">
        <v>248</v>
      </c>
      <c r="BD303" s="68" t="s">
        <v>249</v>
      </c>
      <c r="BE303" s="68" t="s">
        <v>250</v>
      </c>
      <c r="BF303" s="68" t="s">
        <v>251</v>
      </c>
      <c r="BG303" s="68" t="s">
        <v>252</v>
      </c>
      <c r="BH303" s="68" t="s">
        <v>253</v>
      </c>
      <c r="BI303" s="68" t="s">
        <v>254</v>
      </c>
      <c r="BJ303" s="68" t="s">
        <v>255</v>
      </c>
      <c r="BK303" s="68" t="s">
        <v>256</v>
      </c>
      <c r="BL303" s="68" t="s">
        <v>257</v>
      </c>
      <c r="BM303" s="68" t="s">
        <v>258</v>
      </c>
      <c r="BN303" s="68" t="s">
        <v>259</v>
      </c>
      <c r="BO303" s="68" t="s">
        <v>260</v>
      </c>
      <c r="BP303" s="68" t="s">
        <v>261</v>
      </c>
      <c r="BQ303" s="68" t="s">
        <v>262</v>
      </c>
      <c r="BR303" s="68" t="s">
        <v>263</v>
      </c>
      <c r="BS303" s="68" t="s">
        <v>264</v>
      </c>
      <c r="BT303" s="68" t="s">
        <v>265</v>
      </c>
      <c r="BU303" s="68" t="s">
        <v>266</v>
      </c>
      <c r="BV303" s="68" t="s">
        <v>267</v>
      </c>
      <c r="BW303" s="68" t="s">
        <v>268</v>
      </c>
      <c r="BX303" s="68" t="s">
        <v>269</v>
      </c>
      <c r="BY303" s="68" t="s">
        <v>270</v>
      </c>
      <c r="BZ303" s="68" t="s">
        <v>271</v>
      </c>
      <c r="CA303" s="68" t="s">
        <v>272</v>
      </c>
      <c r="CB303" s="68" t="s">
        <v>273</v>
      </c>
      <c r="CC303" s="68" t="s">
        <v>274</v>
      </c>
      <c r="CD303" s="68" t="s">
        <v>275</v>
      </c>
      <c r="CE303" s="68" t="s">
        <v>276</v>
      </c>
      <c r="CF303" s="68" t="s">
        <v>277</v>
      </c>
      <c r="CG303" s="68" t="s">
        <v>278</v>
      </c>
      <c r="CH303" s="68" t="s">
        <v>279</v>
      </c>
      <c r="CI303" s="68" t="s">
        <v>280</v>
      </c>
      <c r="CJ303" s="68" t="s">
        <v>281</v>
      </c>
      <c r="CK303" s="68" t="s">
        <v>282</v>
      </c>
      <c r="CL303" s="68" t="s">
        <v>283</v>
      </c>
      <c r="CM303" s="68" t="s">
        <v>284</v>
      </c>
      <c r="CN303" s="68" t="s">
        <v>285</v>
      </c>
      <c r="CO303" s="68" t="s">
        <v>286</v>
      </c>
      <c r="CP303" s="68" t="s">
        <v>287</v>
      </c>
      <c r="CQ303" s="68" t="s">
        <v>288</v>
      </c>
      <c r="CR303" s="68" t="s">
        <v>289</v>
      </c>
      <c r="CS303" s="68" t="s">
        <v>290</v>
      </c>
      <c r="CT303" s="68" t="s">
        <v>291</v>
      </c>
      <c r="CU303" s="68" t="s">
        <v>292</v>
      </c>
      <c r="CV303" s="68" t="s">
        <v>293</v>
      </c>
      <c r="CW303" s="68" t="s">
        <v>294</v>
      </c>
      <c r="CX303" s="68" t="s">
        <v>295</v>
      </c>
      <c r="CY303" s="68" t="s">
        <v>296</v>
      </c>
      <c r="CZ303" s="68" t="s">
        <v>297</v>
      </c>
      <c r="DA303" s="68" t="s">
        <v>298</v>
      </c>
      <c r="DB303" s="68" t="s">
        <v>299</v>
      </c>
      <c r="DC303" s="68" t="s">
        <v>300</v>
      </c>
      <c r="DD303" s="68" t="s">
        <v>301</v>
      </c>
      <c r="DE303" s="68" t="s">
        <v>302</v>
      </c>
      <c r="DF303" s="68" t="s">
        <v>303</v>
      </c>
      <c r="DG303" s="68" t="s">
        <v>304</v>
      </c>
      <c r="DH303" s="68" t="s">
        <v>305</v>
      </c>
      <c r="DI303" s="68" t="s">
        <v>306</v>
      </c>
      <c r="DJ303" s="68" t="s">
        <v>307</v>
      </c>
      <c r="DK303" s="68" t="s">
        <v>205</v>
      </c>
      <c r="DL303" s="68" t="s">
        <v>206</v>
      </c>
      <c r="DM303" s="68" t="s">
        <v>207</v>
      </c>
      <c r="DN303" s="68" t="s">
        <v>322</v>
      </c>
      <c r="DO303" s="68" t="s">
        <v>323</v>
      </c>
      <c r="DP303" s="68" t="s">
        <v>208</v>
      </c>
      <c r="DQ303" s="68" t="s">
        <v>209</v>
      </c>
      <c r="DR303" s="68" t="s">
        <v>324</v>
      </c>
      <c r="DS303" s="68" t="s">
        <v>325</v>
      </c>
      <c r="DT303" s="68" t="s">
        <v>309</v>
      </c>
      <c r="DU303" s="68" t="s">
        <v>308</v>
      </c>
      <c r="DV303" s="68"/>
      <c r="DW303" s="68"/>
      <c r="DX303" s="68"/>
    </row>
    <row r="304" spans="1:128" x14ac:dyDescent="0.25">
      <c r="A304" t="s">
        <v>102</v>
      </c>
      <c r="B304" s="2">
        <v>44798</v>
      </c>
      <c r="C304" s="1">
        <v>3750</v>
      </c>
      <c r="D304">
        <v>75</v>
      </c>
      <c r="N304" t="s">
        <v>315</v>
      </c>
      <c r="O304" s="7" t="str" cm="1">
        <f t="array" ref="O304:DQ304">Splits(N304)</f>
        <v>44400</v>
      </c>
      <c r="P304" s="7" t="str">
        <v>0</v>
      </c>
      <c r="Q304" s="7" t="str">
        <v>0</v>
      </c>
      <c r="R304" s="7" t="str">
        <v>0</v>
      </c>
      <c r="S304" s="11" t="str">
        <v>0</v>
      </c>
      <c r="T304" s="11" t="str">
        <v>0</v>
      </c>
      <c r="U304" s="11" t="str">
        <v>0</v>
      </c>
      <c r="V304" s="11" t="str">
        <v>0</v>
      </c>
      <c r="W304" s="14" t="str">
        <v>0</v>
      </c>
      <c r="X304" s="14" t="str">
        <v>0</v>
      </c>
      <c r="Y304" s="14" t="str">
        <v>0</v>
      </c>
      <c r="Z304" s="14" t="str">
        <v>0</v>
      </c>
      <c r="AA304" s="15" t="str">
        <v>0</v>
      </c>
      <c r="AB304" s="15" t="str">
        <v>0</v>
      </c>
      <c r="AC304" s="13" t="str">
        <v>0</v>
      </c>
      <c r="AD304" s="13" t="str">
        <v>0</v>
      </c>
      <c r="AE304" s="12" t="str">
        <v>0</v>
      </c>
      <c r="AF304" s="12" t="str">
        <v>0</v>
      </c>
      <c r="AG304" s="13" t="str">
        <v>0</v>
      </c>
      <c r="AH304" s="13" t="str">
        <v>0</v>
      </c>
      <c r="AI304" s="11" t="str">
        <v>0</v>
      </c>
      <c r="AJ304" s="11" t="str">
        <v>0</v>
      </c>
      <c r="AK304" s="11" t="str">
        <v>0</v>
      </c>
      <c r="AL304" s="11" t="str">
        <v>0</v>
      </c>
      <c r="AM304" s="11" t="str">
        <v>0</v>
      </c>
      <c r="AN304" s="11" t="str">
        <v>0</v>
      </c>
      <c r="AO304" s="11" t="str">
        <v>0</v>
      </c>
      <c r="AP304" s="11" t="str">
        <v>0</v>
      </c>
      <c r="AQ304" s="16" t="str">
        <v>0</v>
      </c>
      <c r="AR304" s="16" t="str">
        <v>0</v>
      </c>
      <c r="AS304" s="16" t="str">
        <v>0</v>
      </c>
      <c r="AT304" s="7" t="str">
        <v>0</v>
      </c>
      <c r="AU304" s="7" t="str">
        <v>0</v>
      </c>
      <c r="AV304" s="7" t="str">
        <v>0</v>
      </c>
      <c r="AW304" s="7" t="str">
        <v>0</v>
      </c>
      <c r="AX304" s="11" t="str">
        <v>0</v>
      </c>
      <c r="AY304" s="16" t="str">
        <v>0</v>
      </c>
      <c r="AZ304" s="16" t="str">
        <v>0</v>
      </c>
      <c r="BA304" s="16" t="str">
        <v>0</v>
      </c>
      <c r="BB304" s="11" t="str">
        <v>0</v>
      </c>
      <c r="BC304" s="11" t="str">
        <v>0</v>
      </c>
      <c r="BD304" s="11" t="str">
        <v>0</v>
      </c>
      <c r="BE304" s="11" t="str">
        <v>0</v>
      </c>
      <c r="BF304" s="11" t="str">
        <v>0</v>
      </c>
      <c r="BG304" s="11" t="str">
        <v>0</v>
      </c>
      <c r="BH304" s="13" t="str">
        <v>0</v>
      </c>
      <c r="BI304" s="13" t="str">
        <v>0</v>
      </c>
      <c r="BJ304" s="11" t="str">
        <v>0</v>
      </c>
      <c r="BK304" s="12" t="str">
        <v>0</v>
      </c>
      <c r="BL304" s="12" t="str">
        <v>0</v>
      </c>
      <c r="BM304" s="13" t="str">
        <v>0</v>
      </c>
      <c r="BN304" s="13" t="str">
        <v>0</v>
      </c>
      <c r="BO304" s="15" t="str">
        <v>0</v>
      </c>
      <c r="BP304" s="15" t="str">
        <v>0</v>
      </c>
      <c r="BQ304" s="14" t="str">
        <v>0</v>
      </c>
      <c r="BR304" s="14" t="str">
        <v>0</v>
      </c>
      <c r="BS304" s="14" t="str">
        <v>0</v>
      </c>
      <c r="BT304" s="14" t="str">
        <v>0</v>
      </c>
      <c r="BU304" s="11" t="str">
        <v>0</v>
      </c>
      <c r="BV304" s="11" t="str">
        <v>0</v>
      </c>
      <c r="BW304" s="11" t="str">
        <v>0</v>
      </c>
      <c r="BX304" s="11" t="str">
        <v>0</v>
      </c>
      <c r="BY304" s="7" t="str">
        <v>0</v>
      </c>
      <c r="BZ304" s="7" t="str">
        <v>0</v>
      </c>
      <c r="CA304" s="7" t="str">
        <v>0</v>
      </c>
      <c r="CB304" s="7" t="str">
        <v>0</v>
      </c>
      <c r="CC304" s="7" t="str">
        <v>0</v>
      </c>
      <c r="CD304" s="3" t="str">
        <v>0</v>
      </c>
      <c r="CE304" s="7" t="str">
        <v>0</v>
      </c>
      <c r="CF304" s="3" t="str">
        <v>0</v>
      </c>
      <c r="CG304" s="7" t="str">
        <v>0</v>
      </c>
      <c r="CH304" s="7" t="str">
        <v>0</v>
      </c>
      <c r="CI304" s="3" t="str">
        <v>0</v>
      </c>
      <c r="CJ304" s="7" t="str">
        <v>0</v>
      </c>
      <c r="CK304" s="3" t="str">
        <v>0</v>
      </c>
      <c r="CL304" s="7" t="str">
        <v>0</v>
      </c>
      <c r="CM304" s="10" t="str">
        <v>0</v>
      </c>
      <c r="CN304" s="10" t="str">
        <v>44770.8854166667</v>
      </c>
      <c r="CO304" s="7" t="str">
        <v>44770.8854166667</v>
      </c>
      <c r="CP304" s="17" t="str">
        <v>0</v>
      </c>
      <c r="CQ304" s="10" t="str">
        <v>0</v>
      </c>
      <c r="CR304" s="12" t="str">
        <v>0</v>
      </c>
      <c r="CS304" s="18" t="str">
        <v>0</v>
      </c>
      <c r="CT304" s="3" t="str">
        <v>0</v>
      </c>
      <c r="CU304" s="18" t="str">
        <v>0</v>
      </c>
      <c r="CV304" s="7" t="str">
        <v>0</v>
      </c>
      <c r="CW304" s="18" t="str">
        <v>0</v>
      </c>
      <c r="CX304" s="7" t="str">
        <v>0</v>
      </c>
      <c r="CY304" s="18" t="str">
        <v>0</v>
      </c>
      <c r="CZ304" s="3" t="str">
        <v>0</v>
      </c>
      <c r="DA304" s="18" t="str">
        <v>0</v>
      </c>
      <c r="DB304" s="11" t="str">
        <v>0</v>
      </c>
      <c r="DC304" s="18" t="str">
        <v>0</v>
      </c>
      <c r="DD304" s="7" t="str">
        <v>0</v>
      </c>
      <c r="DE304" s="7" t="str">
        <v>0</v>
      </c>
      <c r="DF304" s="7" t="str">
        <v>0</v>
      </c>
      <c r="DG304" s="3" t="str">
        <v>0</v>
      </c>
      <c r="DH304" s="3" t="str">
        <v>W</v>
      </c>
      <c r="DI304" s="3" t="str">
        <v>W</v>
      </c>
      <c r="DJ304" s="16" t="str">
        <v>W</v>
      </c>
      <c r="DK304" s="16" t="str">
        <v>37400</v>
      </c>
      <c r="DL304" s="16" t="str">
        <v>1157525</v>
      </c>
      <c r="DM304" s="16" t="str">
        <v>38000</v>
      </c>
      <c r="DN304" s="16" t="str">
        <v>1179925</v>
      </c>
      <c r="DO304" s="17" t="str">
        <v>36500</v>
      </c>
      <c r="DP304" s="27" t="str">
        <v>BANKNIFTY</v>
      </c>
      <c r="DQ304" s="7" t="str">
        <v>44777</v>
      </c>
    </row>
    <row r="305" spans="1:125" x14ac:dyDescent="0.25">
      <c r="A305" t="s">
        <v>102</v>
      </c>
      <c r="B305" s="2">
        <v>44833</v>
      </c>
      <c r="C305" s="1">
        <v>3750</v>
      </c>
      <c r="D305">
        <v>75</v>
      </c>
      <c r="N305" t="s">
        <v>315</v>
      </c>
      <c r="O305" s="3" t="str" cm="1">
        <f t="array" ref="O305:DQ305">IFERROR(_xlfn.TEXTSPLIT(N305,",",,FALSE),12750)</f>
        <v>44400</v>
      </c>
      <c r="P305" s="7" t="str">
        <v>0</v>
      </c>
      <c r="Q305" s="7" t="str">
        <v>0</v>
      </c>
      <c r="R305" s="7" t="str">
        <v>0</v>
      </c>
      <c r="S305" s="11" t="str">
        <v>0</v>
      </c>
      <c r="T305" s="11" t="str">
        <v>0</v>
      </c>
      <c r="U305" s="11" t="str">
        <v>0</v>
      </c>
      <c r="V305" s="11" t="str">
        <v>0</v>
      </c>
      <c r="W305" s="14" t="str">
        <v>0</v>
      </c>
      <c r="X305" s="14" t="str">
        <v>0</v>
      </c>
      <c r="Y305" s="14" t="str">
        <v>0</v>
      </c>
      <c r="Z305" s="14" t="str">
        <v>0</v>
      </c>
      <c r="AA305" s="15" t="str">
        <v>0</v>
      </c>
      <c r="AB305" s="15" t="str">
        <v>0</v>
      </c>
      <c r="AC305" s="13" t="str">
        <v>0</v>
      </c>
      <c r="AD305" s="13" t="str">
        <v>0</v>
      </c>
      <c r="AE305" s="12" t="str">
        <v>0</v>
      </c>
      <c r="AF305" s="12" t="str">
        <v>0</v>
      </c>
      <c r="AG305" s="13" t="str">
        <v>0</v>
      </c>
      <c r="AH305" s="13" t="str">
        <v>0</v>
      </c>
      <c r="AI305" s="11" t="str">
        <v>0</v>
      </c>
      <c r="AJ305" s="11" t="str">
        <v>0</v>
      </c>
      <c r="AK305" s="11" t="str">
        <v>0</v>
      </c>
      <c r="AL305" s="11" t="str">
        <v>0</v>
      </c>
      <c r="AM305" s="11" t="str">
        <v>0</v>
      </c>
      <c r="AN305" s="11" t="str">
        <v>0</v>
      </c>
      <c r="AO305" s="11" t="str">
        <v>0</v>
      </c>
      <c r="AP305" s="11" t="str">
        <v>0</v>
      </c>
      <c r="AQ305" s="16" t="str">
        <v>0</v>
      </c>
      <c r="AR305" s="16" t="str">
        <v>0</v>
      </c>
      <c r="AS305" s="16" t="str">
        <v>0</v>
      </c>
      <c r="AT305" s="7" t="str">
        <v>0</v>
      </c>
      <c r="AU305" s="7" t="str">
        <v>0</v>
      </c>
      <c r="AV305" s="7" t="str">
        <v>0</v>
      </c>
      <c r="AW305" s="7" t="str">
        <v>0</v>
      </c>
      <c r="AX305" s="11" t="str">
        <v>0</v>
      </c>
      <c r="AY305" s="16" t="str">
        <v>0</v>
      </c>
      <c r="AZ305" s="16" t="str">
        <v>0</v>
      </c>
      <c r="BA305" s="16" t="str">
        <v>0</v>
      </c>
      <c r="BB305" s="11" t="str">
        <v>0</v>
      </c>
      <c r="BC305" s="11" t="str">
        <v>0</v>
      </c>
      <c r="BD305" s="11" t="str">
        <v>0</v>
      </c>
      <c r="BE305" s="11" t="str">
        <v>0</v>
      </c>
      <c r="BF305" s="11" t="str">
        <v>0</v>
      </c>
      <c r="BG305" s="11" t="str">
        <v>0</v>
      </c>
      <c r="BH305" s="13" t="str">
        <v>0</v>
      </c>
      <c r="BI305" s="13" t="str">
        <v>0</v>
      </c>
      <c r="BJ305" s="11" t="str">
        <v>0</v>
      </c>
      <c r="BK305" s="12" t="str">
        <v>0</v>
      </c>
      <c r="BL305" s="12" t="str">
        <v>0</v>
      </c>
      <c r="BM305" s="13" t="str">
        <v>0</v>
      </c>
      <c r="BN305" s="13" t="str">
        <v>0</v>
      </c>
      <c r="BO305" s="15" t="str">
        <v>0</v>
      </c>
      <c r="BP305" s="15" t="str">
        <v>0</v>
      </c>
      <c r="BQ305" s="14" t="str">
        <v>0</v>
      </c>
      <c r="BR305" s="14" t="str">
        <v>0</v>
      </c>
      <c r="BS305" s="14" t="str">
        <v>0</v>
      </c>
      <c r="BT305" s="14" t="str">
        <v>0</v>
      </c>
      <c r="BU305" s="11" t="str">
        <v>0</v>
      </c>
      <c r="BV305" s="11" t="str">
        <v>0</v>
      </c>
      <c r="BW305" s="11" t="str">
        <v>0</v>
      </c>
      <c r="BX305" s="11" t="str">
        <v>0</v>
      </c>
      <c r="BY305" s="7" t="str">
        <v>0</v>
      </c>
      <c r="BZ305" s="7" t="str">
        <v>0</v>
      </c>
      <c r="CA305" s="7" t="str">
        <v>0</v>
      </c>
      <c r="CB305" s="7" t="str">
        <v>0</v>
      </c>
      <c r="CC305" s="7" t="str">
        <v>0</v>
      </c>
      <c r="CD305" s="3" t="str">
        <v>0</v>
      </c>
      <c r="CE305" s="7" t="str">
        <v>0</v>
      </c>
      <c r="CF305" s="3" t="str">
        <v>0</v>
      </c>
      <c r="CG305" s="7" t="str">
        <v>0</v>
      </c>
      <c r="CH305" s="7" t="str">
        <v>0</v>
      </c>
      <c r="CI305" s="3" t="str">
        <v>0</v>
      </c>
      <c r="CJ305" s="7" t="str">
        <v>0</v>
      </c>
      <c r="CK305" s="3" t="str">
        <v>0</v>
      </c>
      <c r="CL305" s="7" t="str">
        <v>0</v>
      </c>
      <c r="CM305" s="10" t="str">
        <v>0</v>
      </c>
      <c r="CN305" s="10" t="str">
        <v>44770.8854166667</v>
      </c>
      <c r="CO305" s="7" t="str">
        <v>44770.8854166667</v>
      </c>
      <c r="CP305" s="17" t="str">
        <v>0</v>
      </c>
      <c r="CQ305" s="10" t="str">
        <v>0</v>
      </c>
      <c r="CR305" s="12" t="str">
        <v>0</v>
      </c>
      <c r="CS305" s="18" t="str">
        <v>0</v>
      </c>
      <c r="CT305" s="3" t="str">
        <v>0</v>
      </c>
      <c r="CU305" s="18" t="str">
        <v>0</v>
      </c>
      <c r="CV305" s="7" t="str">
        <v>0</v>
      </c>
      <c r="CW305" s="18" t="str">
        <v>0</v>
      </c>
      <c r="CX305" s="7" t="str">
        <v>0</v>
      </c>
      <c r="CY305" s="18" t="str">
        <v>0</v>
      </c>
      <c r="CZ305" s="3" t="str">
        <v>0</v>
      </c>
      <c r="DA305" s="18" t="str">
        <v>0</v>
      </c>
      <c r="DB305" s="11" t="str">
        <v>0</v>
      </c>
      <c r="DC305" s="18" t="str">
        <v>0</v>
      </c>
      <c r="DD305" s="7" t="str">
        <v>0</v>
      </c>
      <c r="DE305" s="7" t="str">
        <v>0</v>
      </c>
      <c r="DF305" s="7" t="str">
        <v>0</v>
      </c>
      <c r="DG305" s="3" t="str">
        <v>0</v>
      </c>
      <c r="DH305" s="3" t="str">
        <v>W</v>
      </c>
      <c r="DI305" s="3" t="str">
        <v>W</v>
      </c>
      <c r="DJ305" s="16" t="str">
        <v>W</v>
      </c>
      <c r="DK305" s="16" t="str">
        <v>37400</v>
      </c>
      <c r="DL305" s="16" t="str">
        <v>1157525</v>
      </c>
      <c r="DM305" s="16" t="str">
        <v>38000</v>
      </c>
      <c r="DN305" s="16" t="str">
        <v>1179925</v>
      </c>
      <c r="DO305" s="17" t="str">
        <v>36500</v>
      </c>
      <c r="DP305" s="27" t="str">
        <v>BANKNIFTY</v>
      </c>
      <c r="DQ305" s="7" t="str">
        <v>44777</v>
      </c>
    </row>
    <row r="306" spans="1:125" x14ac:dyDescent="0.25">
      <c r="A306" t="s">
        <v>102</v>
      </c>
      <c r="B306" s="2">
        <v>44861</v>
      </c>
      <c r="C306" s="1">
        <v>3750</v>
      </c>
      <c r="D306">
        <v>75</v>
      </c>
      <c r="O306" s="3"/>
      <c r="P306" s="3" t="s">
        <v>210</v>
      </c>
      <c r="Q306" s="3" t="s">
        <v>211</v>
      </c>
      <c r="R306" s="3" t="s">
        <v>212</v>
      </c>
      <c r="S306" s="3" t="s">
        <v>213</v>
      </c>
      <c r="T306" s="3" t="s">
        <v>214</v>
      </c>
      <c r="U306" s="3" t="s">
        <v>215</v>
      </c>
      <c r="V306" s="3" t="s">
        <v>216</v>
      </c>
      <c r="W306" s="3" t="s">
        <v>217</v>
      </c>
      <c r="X306" s="3" t="s">
        <v>218</v>
      </c>
      <c r="Y306" s="3" t="s">
        <v>219</v>
      </c>
      <c r="Z306" s="3" t="s">
        <v>220</v>
      </c>
      <c r="AA306" s="3" t="s">
        <v>221</v>
      </c>
      <c r="AB306" s="3" t="s">
        <v>222</v>
      </c>
      <c r="AC306" s="3" t="s">
        <v>223</v>
      </c>
      <c r="AD306" s="3" t="s">
        <v>224</v>
      </c>
      <c r="AE306" s="3" t="s">
        <v>225</v>
      </c>
      <c r="AF306" s="3" t="s">
        <v>226</v>
      </c>
      <c r="AG306" s="3" t="s">
        <v>227</v>
      </c>
      <c r="AH306" s="3" t="s">
        <v>228</v>
      </c>
      <c r="AI306" s="3" t="s">
        <v>229</v>
      </c>
      <c r="AJ306" s="3" t="s">
        <v>230</v>
      </c>
      <c r="AK306" s="3" t="s">
        <v>231</v>
      </c>
      <c r="AL306" s="3" t="s">
        <v>232</v>
      </c>
      <c r="AM306" s="3" t="s">
        <v>233</v>
      </c>
      <c r="AN306" s="3" t="s">
        <v>234</v>
      </c>
      <c r="AO306" s="3" t="s">
        <v>235</v>
      </c>
      <c r="AP306" s="3" t="s">
        <v>236</v>
      </c>
      <c r="AQ306" s="3" t="s">
        <v>237</v>
      </c>
      <c r="AR306" s="3" t="s">
        <v>238</v>
      </c>
      <c r="AS306" s="3" t="s">
        <v>239</v>
      </c>
      <c r="AT306" s="3" t="s">
        <v>240</v>
      </c>
      <c r="AU306" s="3" t="s">
        <v>241</v>
      </c>
      <c r="AV306" s="3" t="s">
        <v>0</v>
      </c>
      <c r="AW306" s="3" t="s">
        <v>1</v>
      </c>
      <c r="AX306" s="3" t="s">
        <v>243</v>
      </c>
      <c r="AY306" s="3" t="s">
        <v>244</v>
      </c>
      <c r="AZ306" s="3" t="s">
        <v>245</v>
      </c>
      <c r="BA306" s="3" t="s">
        <v>246</v>
      </c>
      <c r="BB306" s="3" t="s">
        <v>247</v>
      </c>
      <c r="BC306" s="3" t="s">
        <v>248</v>
      </c>
      <c r="BD306" s="3" t="s">
        <v>249</v>
      </c>
      <c r="BE306" s="3" t="s">
        <v>250</v>
      </c>
      <c r="BF306" s="3" t="s">
        <v>251</v>
      </c>
      <c r="BG306" s="3" t="s">
        <v>252</v>
      </c>
      <c r="BH306" s="3" t="s">
        <v>253</v>
      </c>
      <c r="BI306" s="3" t="s">
        <v>254</v>
      </c>
      <c r="BJ306" s="3" t="s">
        <v>255</v>
      </c>
      <c r="BK306" s="3" t="s">
        <v>256</v>
      </c>
      <c r="BL306" s="3" t="s">
        <v>257</v>
      </c>
      <c r="BM306" s="3" t="s">
        <v>258</v>
      </c>
      <c r="BN306" s="3" t="s">
        <v>259</v>
      </c>
      <c r="BO306" s="3" t="s">
        <v>260</v>
      </c>
      <c r="BP306" s="3" t="s">
        <v>261</v>
      </c>
      <c r="BQ306" s="3" t="s">
        <v>262</v>
      </c>
      <c r="BR306" s="3" t="s">
        <v>263</v>
      </c>
      <c r="BS306" s="3" t="s">
        <v>264</v>
      </c>
      <c r="BT306" s="3" t="s">
        <v>265</v>
      </c>
      <c r="BU306" s="3" t="s">
        <v>266</v>
      </c>
      <c r="BV306" s="3" t="s">
        <v>267</v>
      </c>
      <c r="BW306" s="3" t="s">
        <v>268</v>
      </c>
      <c r="BX306" s="3" t="s">
        <v>269</v>
      </c>
      <c r="BY306" s="3" t="s">
        <v>270</v>
      </c>
      <c r="BZ306" s="3" t="s">
        <v>271</v>
      </c>
      <c r="CA306" s="3" t="s">
        <v>272</v>
      </c>
      <c r="CB306" s="3" t="s">
        <v>273</v>
      </c>
      <c r="CC306" s="3" t="s">
        <v>274</v>
      </c>
      <c r="CD306" s="3" t="s">
        <v>275</v>
      </c>
      <c r="CE306" s="3" t="s">
        <v>276</v>
      </c>
      <c r="CF306" s="3" t="s">
        <v>277</v>
      </c>
      <c r="CG306" s="3" t="s">
        <v>278</v>
      </c>
      <c r="CH306" s="3" t="s">
        <v>279</v>
      </c>
      <c r="CI306" s="3" t="s">
        <v>280</v>
      </c>
      <c r="CJ306" s="3" t="s">
        <v>281</v>
      </c>
      <c r="CK306" s="3" t="s">
        <v>282</v>
      </c>
      <c r="CL306" s="3" t="s">
        <v>283</v>
      </c>
      <c r="CM306" s="3" t="s">
        <v>284</v>
      </c>
      <c r="CN306" s="62" t="s">
        <v>285</v>
      </c>
      <c r="CO306" s="4" t="s">
        <v>286</v>
      </c>
      <c r="CP306" s="3" t="s">
        <v>287</v>
      </c>
      <c r="CQ306" s="3" t="s">
        <v>288</v>
      </c>
      <c r="CR306" s="4" t="s">
        <v>289</v>
      </c>
      <c r="CS306" s="3" t="s">
        <v>290</v>
      </c>
      <c r="CT306" s="3" t="s">
        <v>291</v>
      </c>
      <c r="CU306" s="3" t="s">
        <v>292</v>
      </c>
      <c r="CV306" s="3" t="s">
        <v>293</v>
      </c>
      <c r="CW306" s="3" t="s">
        <v>294</v>
      </c>
      <c r="CX306" s="3" t="s">
        <v>295</v>
      </c>
      <c r="CY306" s="3" t="s">
        <v>296</v>
      </c>
      <c r="CZ306" s="3" t="s">
        <v>297</v>
      </c>
      <c r="DA306" s="3" t="s">
        <v>298</v>
      </c>
      <c r="DB306" s="3" t="s">
        <v>299</v>
      </c>
      <c r="DC306" s="3" t="s">
        <v>300</v>
      </c>
      <c r="DD306" s="3" t="s">
        <v>301</v>
      </c>
      <c r="DE306" s="3" t="s">
        <v>302</v>
      </c>
      <c r="DF306" s="3" t="s">
        <v>303</v>
      </c>
      <c r="DG306" s="3" t="s">
        <v>304</v>
      </c>
      <c r="DH306" s="3" t="s">
        <v>305</v>
      </c>
      <c r="DI306" s="3" t="s">
        <v>306</v>
      </c>
      <c r="DJ306" s="3" t="s">
        <v>307</v>
      </c>
      <c r="DK306" s="3" t="s">
        <v>205</v>
      </c>
      <c r="DL306" s="3" t="s">
        <v>206</v>
      </c>
      <c r="DM306" s="3" t="s">
        <v>207</v>
      </c>
      <c r="DN306" s="3" t="s">
        <v>322</v>
      </c>
      <c r="DO306" s="3" t="s">
        <v>323</v>
      </c>
      <c r="DP306" s="3" t="s">
        <v>208</v>
      </c>
      <c r="DQ306" s="3" t="s">
        <v>209</v>
      </c>
      <c r="DR306" s="3" t="s">
        <v>324</v>
      </c>
      <c r="DS306" s="3" t="s">
        <v>325</v>
      </c>
      <c r="DT306" s="3" t="s">
        <v>309</v>
      </c>
      <c r="DU306" s="3" t="s">
        <v>308</v>
      </c>
    </row>
    <row r="307" spans="1:125" x14ac:dyDescent="0.25">
      <c r="A307" t="s">
        <v>103</v>
      </c>
      <c r="B307" s="2">
        <v>44798</v>
      </c>
      <c r="C307" s="1">
        <v>1375</v>
      </c>
      <c r="D307">
        <v>73</v>
      </c>
      <c r="O307" s="3">
        <v>24500</v>
      </c>
      <c r="P307" s="7">
        <v>0</v>
      </c>
      <c r="Q307" s="7">
        <v>0</v>
      </c>
      <c r="R307" s="7">
        <v>0</v>
      </c>
      <c r="S307" s="7">
        <v>0</v>
      </c>
      <c r="T307" s="11">
        <v>0</v>
      </c>
      <c r="U307" s="11">
        <v>0</v>
      </c>
      <c r="V307" s="11">
        <v>0</v>
      </c>
      <c r="W307" s="11">
        <v>0</v>
      </c>
      <c r="X307" s="14">
        <v>0</v>
      </c>
      <c r="Y307" s="14">
        <v>0</v>
      </c>
      <c r="Z307" s="14">
        <v>0</v>
      </c>
      <c r="AA307" s="14">
        <v>0</v>
      </c>
      <c r="AB307" s="15">
        <v>0</v>
      </c>
      <c r="AC307" s="15">
        <v>0</v>
      </c>
      <c r="AD307" s="13">
        <v>0</v>
      </c>
      <c r="AE307" s="13">
        <v>0</v>
      </c>
      <c r="AF307" s="12">
        <v>0</v>
      </c>
      <c r="AG307" s="12">
        <v>0</v>
      </c>
      <c r="AH307" s="13">
        <v>0</v>
      </c>
      <c r="AI307" s="13">
        <v>0</v>
      </c>
      <c r="AJ307" s="11">
        <v>0</v>
      </c>
      <c r="AK307" s="11">
        <v>0</v>
      </c>
      <c r="AL307" s="11">
        <v>0</v>
      </c>
      <c r="AM307" s="11">
        <v>0</v>
      </c>
      <c r="AN307" s="11">
        <v>0</v>
      </c>
      <c r="AO307" s="11">
        <v>0</v>
      </c>
      <c r="AP307" s="11">
        <v>0</v>
      </c>
      <c r="AQ307" s="11">
        <v>0</v>
      </c>
      <c r="AR307" s="16">
        <v>0</v>
      </c>
      <c r="AS307" s="16">
        <v>0</v>
      </c>
      <c r="AT307" s="16">
        <v>0</v>
      </c>
      <c r="AU307" s="7">
        <v>0</v>
      </c>
      <c r="AV307" s="7">
        <v>0</v>
      </c>
      <c r="AW307" s="7">
        <v>0</v>
      </c>
      <c r="AX307" s="7">
        <v>0</v>
      </c>
      <c r="AY307" s="11">
        <v>0</v>
      </c>
      <c r="AZ307" s="16">
        <v>0</v>
      </c>
      <c r="BA307" s="16">
        <v>0</v>
      </c>
      <c r="BB307" s="16">
        <v>0</v>
      </c>
      <c r="BC307" s="11">
        <v>0</v>
      </c>
      <c r="BD307" s="11">
        <v>0</v>
      </c>
      <c r="BE307" s="11">
        <v>0</v>
      </c>
      <c r="BF307" s="11">
        <v>0</v>
      </c>
      <c r="BG307" s="11">
        <v>0</v>
      </c>
      <c r="BH307" s="11">
        <v>0</v>
      </c>
      <c r="BI307" s="13">
        <v>0</v>
      </c>
      <c r="BJ307" s="13">
        <v>0</v>
      </c>
      <c r="BK307" s="11">
        <v>0</v>
      </c>
      <c r="BL307" s="12">
        <v>0</v>
      </c>
      <c r="BM307" s="12">
        <v>0</v>
      </c>
      <c r="BN307" s="13">
        <v>0</v>
      </c>
      <c r="BO307" s="13">
        <v>0</v>
      </c>
      <c r="BP307" s="15">
        <v>0</v>
      </c>
      <c r="BQ307" s="15">
        <v>0</v>
      </c>
      <c r="BR307" s="14">
        <v>0</v>
      </c>
      <c r="BS307" s="14">
        <v>0</v>
      </c>
      <c r="BT307" s="14">
        <v>0</v>
      </c>
      <c r="BU307" s="14">
        <v>0</v>
      </c>
      <c r="BV307" s="11">
        <v>0</v>
      </c>
      <c r="BW307" s="11">
        <v>0</v>
      </c>
      <c r="BX307" s="11">
        <v>0</v>
      </c>
      <c r="BY307" s="11">
        <v>0</v>
      </c>
      <c r="BZ307" s="7">
        <v>0</v>
      </c>
      <c r="CA307" s="7">
        <v>0</v>
      </c>
      <c r="CB307" s="7">
        <v>0</v>
      </c>
      <c r="CC307" s="7">
        <v>0</v>
      </c>
      <c r="CD307" s="7">
        <v>0</v>
      </c>
      <c r="CE307" s="3">
        <v>0</v>
      </c>
      <c r="CF307" s="7">
        <v>0</v>
      </c>
      <c r="CG307" s="3">
        <v>0</v>
      </c>
      <c r="CH307" s="7">
        <v>0</v>
      </c>
      <c r="CI307" s="7">
        <v>0</v>
      </c>
      <c r="CJ307" s="3">
        <v>0</v>
      </c>
      <c r="CK307" s="7">
        <v>0</v>
      </c>
      <c r="CL307" s="3">
        <v>0</v>
      </c>
      <c r="CM307" s="7">
        <v>0</v>
      </c>
      <c r="CN307" s="10">
        <v>44783.636701388888</v>
      </c>
      <c r="CO307" s="10">
        <v>44783.636701388888</v>
      </c>
      <c r="CP307" s="7">
        <v>38295.69921875</v>
      </c>
      <c r="CQ307" s="17" t="s">
        <v>321</v>
      </c>
      <c r="CR307" s="10">
        <v>44783.638194444444</v>
      </c>
      <c r="CS307" s="12">
        <v>0</v>
      </c>
      <c r="CT307" s="18"/>
      <c r="CU307" s="3">
        <v>0</v>
      </c>
      <c r="CV307" s="18"/>
      <c r="CW307" s="7">
        <v>0</v>
      </c>
      <c r="CX307" s="18"/>
      <c r="CY307" s="7">
        <v>0</v>
      </c>
      <c r="CZ307" s="18"/>
      <c r="DA307" s="3">
        <v>0</v>
      </c>
      <c r="DB307" s="18"/>
      <c r="DC307" s="11">
        <v>0</v>
      </c>
      <c r="DD307" s="18"/>
      <c r="DE307" s="7">
        <v>0</v>
      </c>
      <c r="DF307" s="7">
        <v>0</v>
      </c>
      <c r="DG307" s="7">
        <v>38295.69921875</v>
      </c>
      <c r="DH307" s="3" t="s">
        <v>312</v>
      </c>
      <c r="DI307" s="3" t="s">
        <v>312</v>
      </c>
      <c r="DJ307" s="3" t="s">
        <v>314</v>
      </c>
      <c r="DK307" s="3">
        <v>38300</v>
      </c>
      <c r="DL307" s="3">
        <v>3400000</v>
      </c>
      <c r="DM307" s="3">
        <v>38500</v>
      </c>
      <c r="DN307" s="3">
        <v>0</v>
      </c>
      <c r="DO307" s="3">
        <v>24500</v>
      </c>
      <c r="DP307" s="3">
        <v>2863350</v>
      </c>
      <c r="DQ307" s="28">
        <v>38000</v>
      </c>
      <c r="DR307" s="32">
        <v>0</v>
      </c>
      <c r="DS307" s="32">
        <v>24500</v>
      </c>
      <c r="DT307" s="32" t="s">
        <v>33</v>
      </c>
      <c r="DU307" s="69">
        <v>44784</v>
      </c>
    </row>
    <row r="308" spans="1:125" x14ac:dyDescent="0.25">
      <c r="A308" t="s">
        <v>103</v>
      </c>
      <c r="B308" s="2">
        <v>44833</v>
      </c>
      <c r="C308" s="1">
        <v>1375</v>
      </c>
      <c r="D308">
        <v>73</v>
      </c>
      <c r="O308" s="3">
        <v>25000</v>
      </c>
      <c r="P308" s="7">
        <v>0</v>
      </c>
      <c r="Q308" s="7">
        <v>0</v>
      </c>
      <c r="R308" s="7">
        <v>0</v>
      </c>
      <c r="S308" s="7">
        <v>0</v>
      </c>
      <c r="T308" s="11">
        <v>0</v>
      </c>
      <c r="U308" s="11">
        <v>0</v>
      </c>
      <c r="V308" s="11">
        <v>0</v>
      </c>
      <c r="W308" s="11">
        <v>0</v>
      </c>
      <c r="X308" s="14">
        <v>0</v>
      </c>
      <c r="Y308" s="14">
        <v>0</v>
      </c>
      <c r="Z308" s="14">
        <v>0</v>
      </c>
      <c r="AA308" s="14">
        <v>0</v>
      </c>
      <c r="AB308" s="15">
        <v>0</v>
      </c>
      <c r="AC308" s="15">
        <v>0</v>
      </c>
      <c r="AD308" s="13">
        <v>0</v>
      </c>
      <c r="AE308" s="13">
        <v>0</v>
      </c>
      <c r="AF308" s="12">
        <v>0</v>
      </c>
      <c r="AG308" s="12">
        <v>0</v>
      </c>
      <c r="AH308" s="13">
        <v>0</v>
      </c>
      <c r="AI308" s="13">
        <v>0</v>
      </c>
      <c r="AJ308" s="11">
        <v>0</v>
      </c>
      <c r="AK308" s="11">
        <v>0</v>
      </c>
      <c r="AL308" s="11">
        <v>0</v>
      </c>
      <c r="AM308" s="11">
        <v>0</v>
      </c>
      <c r="AN308" s="11">
        <v>0</v>
      </c>
      <c r="AO308" s="11">
        <v>0</v>
      </c>
      <c r="AP308" s="11">
        <v>0</v>
      </c>
      <c r="AQ308" s="11">
        <v>0</v>
      </c>
      <c r="AR308" s="16">
        <v>0</v>
      </c>
      <c r="AS308" s="16">
        <v>0</v>
      </c>
      <c r="AT308" s="16">
        <v>0</v>
      </c>
      <c r="AU308" s="7">
        <v>0</v>
      </c>
      <c r="AV308" s="7">
        <v>0</v>
      </c>
      <c r="AW308" s="7">
        <v>0</v>
      </c>
      <c r="AX308" s="7">
        <v>0</v>
      </c>
      <c r="AY308" s="11">
        <v>0</v>
      </c>
      <c r="AZ308" s="16">
        <v>0</v>
      </c>
      <c r="BA308" s="16">
        <v>0</v>
      </c>
      <c r="BB308" s="16">
        <v>0</v>
      </c>
      <c r="BC308" s="11">
        <v>0</v>
      </c>
      <c r="BD308" s="11">
        <v>0</v>
      </c>
      <c r="BE308" s="11">
        <v>0</v>
      </c>
      <c r="BF308" s="11">
        <v>0</v>
      </c>
      <c r="BG308" s="11">
        <v>0</v>
      </c>
      <c r="BH308" s="11">
        <v>0</v>
      </c>
      <c r="BI308" s="13">
        <v>0</v>
      </c>
      <c r="BJ308" s="13">
        <v>0</v>
      </c>
      <c r="BK308" s="11">
        <v>0</v>
      </c>
      <c r="BL308" s="12">
        <v>0</v>
      </c>
      <c r="BM308" s="12">
        <v>0</v>
      </c>
      <c r="BN308" s="13">
        <v>0</v>
      </c>
      <c r="BO308" s="13">
        <v>0</v>
      </c>
      <c r="BP308" s="15">
        <v>0</v>
      </c>
      <c r="BQ308" s="15">
        <v>0</v>
      </c>
      <c r="BR308" s="14">
        <v>0</v>
      </c>
      <c r="BS308" s="14">
        <v>0</v>
      </c>
      <c r="BT308" s="14">
        <v>0</v>
      </c>
      <c r="BU308" s="14">
        <v>0</v>
      </c>
      <c r="BV308" s="11">
        <v>0</v>
      </c>
      <c r="BW308" s="11">
        <v>0</v>
      </c>
      <c r="BX308" s="11">
        <v>0</v>
      </c>
      <c r="BY308" s="11">
        <v>0</v>
      </c>
      <c r="BZ308" s="7">
        <v>0</v>
      </c>
      <c r="CA308" s="7">
        <v>0</v>
      </c>
      <c r="CB308" s="7">
        <v>0</v>
      </c>
      <c r="CC308" s="7">
        <v>0</v>
      </c>
      <c r="CD308" s="7">
        <v>0</v>
      </c>
      <c r="CE308" s="3">
        <v>0</v>
      </c>
      <c r="CF308" s="7">
        <v>0</v>
      </c>
      <c r="CG308" s="3">
        <v>0</v>
      </c>
      <c r="CH308" s="7">
        <v>0</v>
      </c>
      <c r="CI308" s="7">
        <v>0</v>
      </c>
      <c r="CJ308" s="3">
        <v>0</v>
      </c>
      <c r="CK308" s="7">
        <v>0</v>
      </c>
      <c r="CL308" s="3">
        <v>0</v>
      </c>
      <c r="CM308" s="7">
        <v>0</v>
      </c>
      <c r="CN308" s="10">
        <v>44783.636701388888</v>
      </c>
      <c r="CO308" s="10">
        <v>44783.636701388888</v>
      </c>
      <c r="CP308" s="7">
        <v>38295.69921875</v>
      </c>
      <c r="CQ308" s="17" t="s">
        <v>321</v>
      </c>
      <c r="CR308" s="10">
        <v>44783.638194444444</v>
      </c>
      <c r="CS308" s="12">
        <v>0</v>
      </c>
      <c r="CT308" s="18"/>
      <c r="CU308" s="3">
        <v>0</v>
      </c>
      <c r="CV308" s="18"/>
      <c r="CW308" s="7">
        <v>0</v>
      </c>
      <c r="CX308" s="18"/>
      <c r="CY308" s="7">
        <v>0</v>
      </c>
      <c r="CZ308" s="18"/>
      <c r="DA308" s="3">
        <v>0</v>
      </c>
      <c r="DB308" s="18"/>
      <c r="DC308" s="11">
        <v>0</v>
      </c>
      <c r="DD308" s="18"/>
      <c r="DE308" s="7">
        <v>0</v>
      </c>
      <c r="DF308" s="7">
        <v>0</v>
      </c>
      <c r="DG308" s="7">
        <v>38295.69921875</v>
      </c>
      <c r="DH308" s="3" t="s">
        <v>312</v>
      </c>
      <c r="DI308" s="3" t="s">
        <v>312</v>
      </c>
      <c r="DJ308" s="3" t="s">
        <v>314</v>
      </c>
      <c r="DK308" s="3">
        <v>38300</v>
      </c>
      <c r="DL308" s="3">
        <v>3400000</v>
      </c>
      <c r="DM308" s="3">
        <v>38500</v>
      </c>
      <c r="DN308" s="3">
        <v>0</v>
      </c>
      <c r="DO308" s="3">
        <v>24500</v>
      </c>
      <c r="DP308" s="3">
        <v>2863350</v>
      </c>
      <c r="DQ308" s="28">
        <v>38000</v>
      </c>
      <c r="DR308" s="32">
        <v>0</v>
      </c>
      <c r="DS308" s="32">
        <v>24500</v>
      </c>
      <c r="DT308" s="32" t="s">
        <v>33</v>
      </c>
      <c r="DU308" s="69">
        <v>44784</v>
      </c>
    </row>
    <row r="309" spans="1:125" x14ac:dyDescent="0.25">
      <c r="A309" t="s">
        <v>103</v>
      </c>
      <c r="B309" s="2">
        <v>44861</v>
      </c>
      <c r="C309" s="1">
        <v>1375</v>
      </c>
      <c r="D309">
        <v>73</v>
      </c>
      <c r="O309" s="3">
        <v>25500</v>
      </c>
      <c r="P309" s="7">
        <v>0</v>
      </c>
      <c r="Q309" s="7">
        <v>0</v>
      </c>
      <c r="R309" s="7">
        <v>0</v>
      </c>
      <c r="S309" s="7">
        <v>0</v>
      </c>
      <c r="T309" s="11">
        <v>0</v>
      </c>
      <c r="U309" s="11">
        <v>0</v>
      </c>
      <c r="V309" s="11">
        <v>0</v>
      </c>
      <c r="W309" s="11">
        <v>0</v>
      </c>
      <c r="X309" s="14">
        <v>0</v>
      </c>
      <c r="Y309" s="14">
        <v>0</v>
      </c>
      <c r="Z309" s="14">
        <v>0</v>
      </c>
      <c r="AA309" s="14">
        <v>0</v>
      </c>
      <c r="AB309" s="15">
        <v>0</v>
      </c>
      <c r="AC309" s="15">
        <v>0</v>
      </c>
      <c r="AD309" s="13">
        <v>0</v>
      </c>
      <c r="AE309" s="13">
        <v>0</v>
      </c>
      <c r="AF309" s="12">
        <v>0</v>
      </c>
      <c r="AG309" s="12">
        <v>0</v>
      </c>
      <c r="AH309" s="13">
        <v>0</v>
      </c>
      <c r="AI309" s="13">
        <v>0</v>
      </c>
      <c r="AJ309" s="11">
        <v>0</v>
      </c>
      <c r="AK309" s="11">
        <v>0</v>
      </c>
      <c r="AL309" s="11">
        <v>0</v>
      </c>
      <c r="AM309" s="11">
        <v>0</v>
      </c>
      <c r="AN309" s="11">
        <v>0</v>
      </c>
      <c r="AO309" s="11">
        <v>0</v>
      </c>
      <c r="AP309" s="11">
        <v>0</v>
      </c>
      <c r="AQ309" s="11">
        <v>0</v>
      </c>
      <c r="AR309" s="16">
        <v>0</v>
      </c>
      <c r="AS309" s="16">
        <v>0</v>
      </c>
      <c r="AT309" s="16">
        <v>0</v>
      </c>
      <c r="AU309" s="7">
        <v>0</v>
      </c>
      <c r="AV309" s="7">
        <v>0</v>
      </c>
      <c r="AW309" s="7">
        <v>0</v>
      </c>
      <c r="AX309" s="7">
        <v>0</v>
      </c>
      <c r="AY309" s="11">
        <v>0</v>
      </c>
      <c r="AZ309" s="16">
        <v>0</v>
      </c>
      <c r="BA309" s="16">
        <v>0</v>
      </c>
      <c r="BB309" s="16">
        <v>0</v>
      </c>
      <c r="BC309" s="11">
        <v>0</v>
      </c>
      <c r="BD309" s="11">
        <v>0</v>
      </c>
      <c r="BE309" s="11">
        <v>0</v>
      </c>
      <c r="BF309" s="11">
        <v>0</v>
      </c>
      <c r="BG309" s="11">
        <v>0</v>
      </c>
      <c r="BH309" s="11">
        <v>0</v>
      </c>
      <c r="BI309" s="13">
        <v>0</v>
      </c>
      <c r="BJ309" s="13">
        <v>0</v>
      </c>
      <c r="BK309" s="11">
        <v>0</v>
      </c>
      <c r="BL309" s="12">
        <v>0</v>
      </c>
      <c r="BM309" s="12">
        <v>0</v>
      </c>
      <c r="BN309" s="13">
        <v>0</v>
      </c>
      <c r="BO309" s="13">
        <v>0</v>
      </c>
      <c r="BP309" s="15">
        <v>0</v>
      </c>
      <c r="BQ309" s="15">
        <v>0</v>
      </c>
      <c r="BR309" s="14">
        <v>0</v>
      </c>
      <c r="BS309" s="14">
        <v>0</v>
      </c>
      <c r="BT309" s="14">
        <v>0</v>
      </c>
      <c r="BU309" s="14">
        <v>0</v>
      </c>
      <c r="BV309" s="11">
        <v>0</v>
      </c>
      <c r="BW309" s="11">
        <v>0</v>
      </c>
      <c r="BX309" s="11">
        <v>0</v>
      </c>
      <c r="BY309" s="11">
        <v>0</v>
      </c>
      <c r="BZ309" s="7">
        <v>0</v>
      </c>
      <c r="CA309" s="7">
        <v>0</v>
      </c>
      <c r="CB309" s="7">
        <v>0</v>
      </c>
      <c r="CC309" s="7">
        <v>0</v>
      </c>
      <c r="CD309" s="7">
        <v>0</v>
      </c>
      <c r="CE309" s="3">
        <v>0</v>
      </c>
      <c r="CF309" s="7">
        <v>0</v>
      </c>
      <c r="CG309" s="3">
        <v>0</v>
      </c>
      <c r="CH309" s="7">
        <v>0</v>
      </c>
      <c r="CI309" s="7">
        <v>0</v>
      </c>
      <c r="CJ309" s="3">
        <v>0</v>
      </c>
      <c r="CK309" s="7">
        <v>0</v>
      </c>
      <c r="CL309" s="3">
        <v>0</v>
      </c>
      <c r="CM309" s="7">
        <v>0</v>
      </c>
      <c r="CN309" s="10">
        <v>44783.636701388888</v>
      </c>
      <c r="CO309" s="10">
        <v>44783.636701388888</v>
      </c>
      <c r="CP309" s="7">
        <v>38295.69921875</v>
      </c>
      <c r="CQ309" s="17" t="s">
        <v>321</v>
      </c>
      <c r="CR309" s="10">
        <v>44783.638194444444</v>
      </c>
      <c r="CS309" s="12">
        <v>0</v>
      </c>
      <c r="CT309" s="18"/>
      <c r="CU309" s="3">
        <v>0</v>
      </c>
      <c r="CV309" s="18"/>
      <c r="CW309" s="7">
        <v>0</v>
      </c>
      <c r="CX309" s="18"/>
      <c r="CY309" s="7">
        <v>0</v>
      </c>
      <c r="CZ309" s="18"/>
      <c r="DA309" s="3">
        <v>0</v>
      </c>
      <c r="DB309" s="18"/>
      <c r="DC309" s="11">
        <v>0</v>
      </c>
      <c r="DD309" s="18"/>
      <c r="DE309" s="7">
        <v>0</v>
      </c>
      <c r="DF309" s="7">
        <v>0</v>
      </c>
      <c r="DG309" s="7">
        <v>38295.69921875</v>
      </c>
      <c r="DH309" s="3" t="s">
        <v>312</v>
      </c>
      <c r="DI309" s="3" t="s">
        <v>312</v>
      </c>
      <c r="DJ309" s="3" t="s">
        <v>314</v>
      </c>
      <c r="DK309" s="3">
        <v>38300</v>
      </c>
      <c r="DL309" s="3">
        <v>3400000</v>
      </c>
      <c r="DM309" s="3">
        <v>38500</v>
      </c>
      <c r="DN309" s="3">
        <v>0</v>
      </c>
      <c r="DO309" s="3">
        <v>24500</v>
      </c>
      <c r="DP309" s="3">
        <v>2863350</v>
      </c>
      <c r="DQ309" s="28">
        <v>38000</v>
      </c>
      <c r="DR309" s="32">
        <v>0</v>
      </c>
      <c r="DS309" s="32">
        <v>24500</v>
      </c>
      <c r="DT309" s="32" t="s">
        <v>33</v>
      </c>
      <c r="DU309" s="69">
        <v>44784</v>
      </c>
    </row>
    <row r="310" spans="1:125" x14ac:dyDescent="0.25">
      <c r="A310" t="s">
        <v>104</v>
      </c>
      <c r="B310" s="2">
        <v>44798</v>
      </c>
      <c r="C310" s="1">
        <v>4022</v>
      </c>
      <c r="D310">
        <v>47</v>
      </c>
      <c r="O310" s="3">
        <v>26000</v>
      </c>
      <c r="P310" s="7">
        <v>0</v>
      </c>
      <c r="Q310" s="7">
        <v>0</v>
      </c>
      <c r="R310" s="7">
        <v>0</v>
      </c>
      <c r="S310" s="7">
        <v>0</v>
      </c>
      <c r="T310" s="11">
        <v>0</v>
      </c>
      <c r="U310" s="11">
        <v>0</v>
      </c>
      <c r="V310" s="11">
        <v>0</v>
      </c>
      <c r="W310" s="11">
        <v>0</v>
      </c>
      <c r="X310" s="14">
        <v>0</v>
      </c>
      <c r="Y310" s="14">
        <v>0</v>
      </c>
      <c r="Z310" s="14">
        <v>0</v>
      </c>
      <c r="AA310" s="14">
        <v>0</v>
      </c>
      <c r="AB310" s="15">
        <v>0</v>
      </c>
      <c r="AC310" s="15">
        <v>0</v>
      </c>
      <c r="AD310" s="13">
        <v>0</v>
      </c>
      <c r="AE310" s="13">
        <v>0</v>
      </c>
      <c r="AF310" s="12">
        <v>0</v>
      </c>
      <c r="AG310" s="12">
        <v>0</v>
      </c>
      <c r="AH310" s="13">
        <v>0</v>
      </c>
      <c r="AI310" s="13">
        <v>0</v>
      </c>
      <c r="AJ310" s="11">
        <v>0</v>
      </c>
      <c r="AK310" s="11">
        <v>0</v>
      </c>
      <c r="AL310" s="11">
        <v>0</v>
      </c>
      <c r="AM310" s="11">
        <v>0</v>
      </c>
      <c r="AN310" s="11">
        <v>0</v>
      </c>
      <c r="AO310" s="11">
        <v>0</v>
      </c>
      <c r="AP310" s="11">
        <v>0</v>
      </c>
      <c r="AQ310" s="11">
        <v>0</v>
      </c>
      <c r="AR310" s="16">
        <v>0</v>
      </c>
      <c r="AS310" s="16">
        <v>0</v>
      </c>
      <c r="AT310" s="16">
        <v>0</v>
      </c>
      <c r="AU310" s="7">
        <v>0</v>
      </c>
      <c r="AV310" s="7">
        <v>0</v>
      </c>
      <c r="AW310" s="7">
        <v>0</v>
      </c>
      <c r="AX310" s="7">
        <v>0</v>
      </c>
      <c r="AY310" s="11">
        <v>0</v>
      </c>
      <c r="AZ310" s="16">
        <v>0</v>
      </c>
      <c r="BA310" s="16">
        <v>0</v>
      </c>
      <c r="BB310" s="16">
        <v>0</v>
      </c>
      <c r="BC310" s="11">
        <v>0</v>
      </c>
      <c r="BD310" s="11">
        <v>0</v>
      </c>
      <c r="BE310" s="11">
        <v>0</v>
      </c>
      <c r="BF310" s="11">
        <v>0</v>
      </c>
      <c r="BG310" s="11">
        <v>0</v>
      </c>
      <c r="BH310" s="11">
        <v>0</v>
      </c>
      <c r="BI310" s="13">
        <v>0</v>
      </c>
      <c r="BJ310" s="13">
        <v>0</v>
      </c>
      <c r="BK310" s="11">
        <v>0</v>
      </c>
      <c r="BL310" s="12">
        <v>0</v>
      </c>
      <c r="BM310" s="12">
        <v>0</v>
      </c>
      <c r="BN310" s="13">
        <v>0</v>
      </c>
      <c r="BO310" s="13">
        <v>0</v>
      </c>
      <c r="BP310" s="15">
        <v>0</v>
      </c>
      <c r="BQ310" s="15">
        <v>0</v>
      </c>
      <c r="BR310" s="14">
        <v>0</v>
      </c>
      <c r="BS310" s="14">
        <v>0</v>
      </c>
      <c r="BT310" s="14">
        <v>0</v>
      </c>
      <c r="BU310" s="14">
        <v>0</v>
      </c>
      <c r="BV310" s="11">
        <v>0</v>
      </c>
      <c r="BW310" s="11">
        <v>0</v>
      </c>
      <c r="BX310" s="11">
        <v>0</v>
      </c>
      <c r="BY310" s="11">
        <v>0</v>
      </c>
      <c r="BZ310" s="7">
        <v>0</v>
      </c>
      <c r="CA310" s="7">
        <v>0</v>
      </c>
      <c r="CB310" s="7">
        <v>0</v>
      </c>
      <c r="CC310" s="7">
        <v>0</v>
      </c>
      <c r="CD310" s="7">
        <v>0</v>
      </c>
      <c r="CE310" s="3">
        <v>0</v>
      </c>
      <c r="CF310" s="7">
        <v>0</v>
      </c>
      <c r="CG310" s="3">
        <v>0</v>
      </c>
      <c r="CH310" s="7">
        <v>0</v>
      </c>
      <c r="CI310" s="7">
        <v>0</v>
      </c>
      <c r="CJ310" s="3">
        <v>0</v>
      </c>
      <c r="CK310" s="7">
        <v>0</v>
      </c>
      <c r="CL310" s="3">
        <v>0</v>
      </c>
      <c r="CM310" s="7">
        <v>0</v>
      </c>
      <c r="CN310" s="10">
        <v>44783.636701388888</v>
      </c>
      <c r="CO310" s="10">
        <v>44783.636701388888</v>
      </c>
      <c r="CP310" s="7">
        <v>38295.69921875</v>
      </c>
      <c r="CQ310" s="17" t="s">
        <v>321</v>
      </c>
      <c r="CR310" s="10">
        <v>44783.638194444444</v>
      </c>
      <c r="CS310" s="12">
        <v>0</v>
      </c>
      <c r="CT310" s="18"/>
      <c r="CU310" s="3">
        <v>0</v>
      </c>
      <c r="CV310" s="18"/>
      <c r="CW310" s="7">
        <v>0</v>
      </c>
      <c r="CX310" s="18"/>
      <c r="CY310" s="7">
        <v>0</v>
      </c>
      <c r="CZ310" s="18"/>
      <c r="DA310" s="3">
        <v>0</v>
      </c>
      <c r="DB310" s="18"/>
      <c r="DC310" s="11">
        <v>0</v>
      </c>
      <c r="DD310" s="18"/>
      <c r="DE310" s="7">
        <v>0</v>
      </c>
      <c r="DF310" s="7">
        <v>0</v>
      </c>
      <c r="DG310" s="7">
        <v>38295.69921875</v>
      </c>
      <c r="DH310" s="3" t="s">
        <v>312</v>
      </c>
      <c r="DI310" s="3" t="s">
        <v>312</v>
      </c>
      <c r="DJ310" s="3" t="s">
        <v>314</v>
      </c>
      <c r="DK310" s="3">
        <v>38300</v>
      </c>
      <c r="DL310" s="3">
        <v>3400000</v>
      </c>
      <c r="DM310" s="3">
        <v>38500</v>
      </c>
      <c r="DN310" s="3">
        <v>0</v>
      </c>
      <c r="DO310" s="3">
        <v>24500</v>
      </c>
      <c r="DP310" s="3">
        <v>2863350</v>
      </c>
      <c r="DQ310" s="28">
        <v>38000</v>
      </c>
      <c r="DR310" s="32">
        <v>0</v>
      </c>
      <c r="DS310" s="32">
        <v>24500</v>
      </c>
      <c r="DT310" s="32" t="s">
        <v>33</v>
      </c>
      <c r="DU310" s="69">
        <v>44784</v>
      </c>
    </row>
    <row r="311" spans="1:125" x14ac:dyDescent="0.25">
      <c r="A311" t="s">
        <v>104</v>
      </c>
      <c r="B311" s="2">
        <v>44833</v>
      </c>
      <c r="C311" s="1">
        <v>4022</v>
      </c>
      <c r="D311">
        <v>47</v>
      </c>
      <c r="O311" s="3">
        <v>26500</v>
      </c>
      <c r="P311" s="7">
        <v>0</v>
      </c>
      <c r="Q311" s="7">
        <v>0</v>
      </c>
      <c r="R311" s="7">
        <v>0</v>
      </c>
      <c r="S311" s="7">
        <v>0</v>
      </c>
      <c r="T311" s="11">
        <v>0</v>
      </c>
      <c r="U311" s="11">
        <v>0</v>
      </c>
      <c r="V311" s="11">
        <v>0</v>
      </c>
      <c r="W311" s="11">
        <v>0</v>
      </c>
      <c r="X311" s="14">
        <v>0</v>
      </c>
      <c r="Y311" s="14">
        <v>0</v>
      </c>
      <c r="Z311" s="14">
        <v>0</v>
      </c>
      <c r="AA311" s="14">
        <v>0</v>
      </c>
      <c r="AB311" s="15">
        <v>0</v>
      </c>
      <c r="AC311" s="15">
        <v>0</v>
      </c>
      <c r="AD311" s="13">
        <v>0</v>
      </c>
      <c r="AE311" s="13">
        <v>0</v>
      </c>
      <c r="AF311" s="12">
        <v>0</v>
      </c>
      <c r="AG311" s="12">
        <v>0</v>
      </c>
      <c r="AH311" s="13">
        <v>0</v>
      </c>
      <c r="AI311" s="13">
        <v>0</v>
      </c>
      <c r="AJ311" s="11">
        <v>0</v>
      </c>
      <c r="AK311" s="11">
        <v>0</v>
      </c>
      <c r="AL311" s="11">
        <v>0</v>
      </c>
      <c r="AM311" s="11">
        <v>0</v>
      </c>
      <c r="AN311" s="11">
        <v>0</v>
      </c>
      <c r="AO311" s="11">
        <v>0</v>
      </c>
      <c r="AP311" s="11">
        <v>0</v>
      </c>
      <c r="AQ311" s="11">
        <v>0</v>
      </c>
      <c r="AR311" s="16">
        <v>0</v>
      </c>
      <c r="AS311" s="16">
        <v>0</v>
      </c>
      <c r="AT311" s="16">
        <v>0</v>
      </c>
      <c r="AU311" s="7">
        <v>0</v>
      </c>
      <c r="AV311" s="7">
        <v>0</v>
      </c>
      <c r="AW311" s="7">
        <v>0</v>
      </c>
      <c r="AX311" s="7">
        <v>0</v>
      </c>
      <c r="AY311" s="11">
        <v>0</v>
      </c>
      <c r="AZ311" s="16">
        <v>0</v>
      </c>
      <c r="BA311" s="16">
        <v>0</v>
      </c>
      <c r="BB311" s="16">
        <v>0</v>
      </c>
      <c r="BC311" s="11">
        <v>0</v>
      </c>
      <c r="BD311" s="11">
        <v>0</v>
      </c>
      <c r="BE311" s="11">
        <v>0</v>
      </c>
      <c r="BF311" s="11">
        <v>0</v>
      </c>
      <c r="BG311" s="11">
        <v>0</v>
      </c>
      <c r="BH311" s="11">
        <v>0</v>
      </c>
      <c r="BI311" s="13">
        <v>0</v>
      </c>
      <c r="BJ311" s="13">
        <v>0</v>
      </c>
      <c r="BK311" s="11">
        <v>0</v>
      </c>
      <c r="BL311" s="12">
        <v>0</v>
      </c>
      <c r="BM311" s="12">
        <v>0</v>
      </c>
      <c r="BN311" s="13">
        <v>0</v>
      </c>
      <c r="BO311" s="13">
        <v>0</v>
      </c>
      <c r="BP311" s="15">
        <v>0</v>
      </c>
      <c r="BQ311" s="15">
        <v>0</v>
      </c>
      <c r="BR311" s="14">
        <v>0</v>
      </c>
      <c r="BS311" s="14">
        <v>0</v>
      </c>
      <c r="BT311" s="14">
        <v>0</v>
      </c>
      <c r="BU311" s="14">
        <v>0</v>
      </c>
      <c r="BV311" s="11">
        <v>0</v>
      </c>
      <c r="BW311" s="11">
        <v>0</v>
      </c>
      <c r="BX311" s="11">
        <v>0</v>
      </c>
      <c r="BY311" s="11">
        <v>0</v>
      </c>
      <c r="BZ311" s="7">
        <v>0</v>
      </c>
      <c r="CA311" s="7">
        <v>0</v>
      </c>
      <c r="CB311" s="7">
        <v>0</v>
      </c>
      <c r="CC311" s="7">
        <v>0</v>
      </c>
      <c r="CD311" s="7">
        <v>0</v>
      </c>
      <c r="CE311" s="3">
        <v>0</v>
      </c>
      <c r="CF311" s="7">
        <v>0</v>
      </c>
      <c r="CG311" s="3">
        <v>0</v>
      </c>
      <c r="CH311" s="7">
        <v>0</v>
      </c>
      <c r="CI311" s="7">
        <v>0</v>
      </c>
      <c r="CJ311" s="3">
        <v>0</v>
      </c>
      <c r="CK311" s="7">
        <v>0</v>
      </c>
      <c r="CL311" s="3">
        <v>0</v>
      </c>
      <c r="CM311" s="7">
        <v>0</v>
      </c>
      <c r="CN311" s="10">
        <v>44783.636701388888</v>
      </c>
      <c r="CO311" s="10">
        <v>44783.636701388888</v>
      </c>
      <c r="CP311" s="7">
        <v>38295.69921875</v>
      </c>
      <c r="CQ311" s="17" t="s">
        <v>321</v>
      </c>
      <c r="CR311" s="10">
        <v>44783.638194444444</v>
      </c>
      <c r="CS311" s="12">
        <v>0</v>
      </c>
      <c r="CT311" s="18"/>
      <c r="CU311" s="3">
        <v>0</v>
      </c>
      <c r="CV311" s="18"/>
      <c r="CW311" s="7">
        <v>0</v>
      </c>
      <c r="CX311" s="18"/>
      <c r="CY311" s="7">
        <v>0</v>
      </c>
      <c r="CZ311" s="18"/>
      <c r="DA311" s="3">
        <v>0</v>
      </c>
      <c r="DB311" s="18"/>
      <c r="DC311" s="11">
        <v>0</v>
      </c>
      <c r="DD311" s="18"/>
      <c r="DE311" s="7">
        <v>0</v>
      </c>
      <c r="DF311" s="7">
        <v>0</v>
      </c>
      <c r="DG311" s="7">
        <v>38295.69921875</v>
      </c>
      <c r="DH311" s="3" t="s">
        <v>312</v>
      </c>
      <c r="DI311" s="3" t="s">
        <v>312</v>
      </c>
      <c r="DJ311" s="3" t="s">
        <v>314</v>
      </c>
      <c r="DK311" s="3">
        <v>38300</v>
      </c>
      <c r="DL311" s="3">
        <v>3400000</v>
      </c>
      <c r="DM311" s="3">
        <v>38500</v>
      </c>
      <c r="DN311" s="3">
        <v>0</v>
      </c>
      <c r="DO311" s="3">
        <v>24500</v>
      </c>
      <c r="DP311" s="3">
        <v>2863350</v>
      </c>
      <c r="DQ311" s="28">
        <v>38000</v>
      </c>
      <c r="DR311" s="32">
        <v>0</v>
      </c>
      <c r="DS311" s="32">
        <v>24500</v>
      </c>
      <c r="DT311" s="32" t="s">
        <v>33</v>
      </c>
      <c r="DU311" s="69">
        <v>44784</v>
      </c>
    </row>
    <row r="312" spans="1:125" x14ac:dyDescent="0.25">
      <c r="A312" t="s">
        <v>104</v>
      </c>
      <c r="B312" s="2">
        <v>44861</v>
      </c>
      <c r="C312" s="1">
        <v>4022</v>
      </c>
      <c r="D312">
        <v>47</v>
      </c>
      <c r="O312" s="3">
        <v>27000</v>
      </c>
      <c r="P312" s="7">
        <v>0</v>
      </c>
      <c r="Q312" s="7">
        <v>0</v>
      </c>
      <c r="R312" s="7">
        <v>0</v>
      </c>
      <c r="S312" s="7">
        <v>0</v>
      </c>
      <c r="T312" s="11">
        <v>0</v>
      </c>
      <c r="U312" s="11">
        <v>0</v>
      </c>
      <c r="V312" s="11">
        <v>0</v>
      </c>
      <c r="W312" s="11">
        <v>0</v>
      </c>
      <c r="X312" s="14">
        <v>0</v>
      </c>
      <c r="Y312" s="14">
        <v>0</v>
      </c>
      <c r="Z312" s="14">
        <v>0</v>
      </c>
      <c r="AA312" s="14">
        <v>0</v>
      </c>
      <c r="AB312" s="15">
        <v>0</v>
      </c>
      <c r="AC312" s="15">
        <v>0</v>
      </c>
      <c r="AD312" s="13">
        <v>0</v>
      </c>
      <c r="AE312" s="13">
        <v>0</v>
      </c>
      <c r="AF312" s="12">
        <v>0</v>
      </c>
      <c r="AG312" s="12">
        <v>0</v>
      </c>
      <c r="AH312" s="13">
        <v>0</v>
      </c>
      <c r="AI312" s="13">
        <v>0</v>
      </c>
      <c r="AJ312" s="11">
        <v>0</v>
      </c>
      <c r="AK312" s="11">
        <v>0</v>
      </c>
      <c r="AL312" s="11">
        <v>0</v>
      </c>
      <c r="AM312" s="11">
        <v>0</v>
      </c>
      <c r="AN312" s="11">
        <v>0</v>
      </c>
      <c r="AO312" s="11">
        <v>0</v>
      </c>
      <c r="AP312" s="11">
        <v>0</v>
      </c>
      <c r="AQ312" s="11">
        <v>0</v>
      </c>
      <c r="AR312" s="16">
        <v>0</v>
      </c>
      <c r="AS312" s="16">
        <v>0</v>
      </c>
      <c r="AT312" s="16">
        <v>0</v>
      </c>
      <c r="AU312" s="7">
        <v>0</v>
      </c>
      <c r="AV312" s="7">
        <v>0</v>
      </c>
      <c r="AW312" s="7">
        <v>0</v>
      </c>
      <c r="AX312" s="7">
        <v>0</v>
      </c>
      <c r="AY312" s="11">
        <v>0</v>
      </c>
      <c r="AZ312" s="16">
        <v>0</v>
      </c>
      <c r="BA312" s="16">
        <v>0</v>
      </c>
      <c r="BB312" s="16">
        <v>0</v>
      </c>
      <c r="BC312" s="11">
        <v>0</v>
      </c>
      <c r="BD312" s="11">
        <v>0</v>
      </c>
      <c r="BE312" s="11">
        <v>0</v>
      </c>
      <c r="BF312" s="11">
        <v>0</v>
      </c>
      <c r="BG312" s="11">
        <v>0</v>
      </c>
      <c r="BH312" s="11">
        <v>0</v>
      </c>
      <c r="BI312" s="13">
        <v>0</v>
      </c>
      <c r="BJ312" s="13">
        <v>0</v>
      </c>
      <c r="BK312" s="11">
        <v>0</v>
      </c>
      <c r="BL312" s="12">
        <v>0</v>
      </c>
      <c r="BM312" s="12">
        <v>0</v>
      </c>
      <c r="BN312" s="13">
        <v>0</v>
      </c>
      <c r="BO312" s="13">
        <v>0</v>
      </c>
      <c r="BP312" s="15">
        <v>0</v>
      </c>
      <c r="BQ312" s="15">
        <v>0</v>
      </c>
      <c r="BR312" s="14">
        <v>0</v>
      </c>
      <c r="BS312" s="14">
        <v>0</v>
      </c>
      <c r="BT312" s="14">
        <v>0</v>
      </c>
      <c r="BU312" s="14">
        <v>0</v>
      </c>
      <c r="BV312" s="11">
        <v>0</v>
      </c>
      <c r="BW312" s="11">
        <v>0</v>
      </c>
      <c r="BX312" s="11">
        <v>0</v>
      </c>
      <c r="BY312" s="11">
        <v>0</v>
      </c>
      <c r="BZ312" s="7">
        <v>0</v>
      </c>
      <c r="CA312" s="7">
        <v>0</v>
      </c>
      <c r="CB312" s="7">
        <v>0</v>
      </c>
      <c r="CC312" s="7">
        <v>0</v>
      </c>
      <c r="CD312" s="7">
        <v>0</v>
      </c>
      <c r="CE312" s="3">
        <v>0</v>
      </c>
      <c r="CF312" s="7">
        <v>0</v>
      </c>
      <c r="CG312" s="3">
        <v>0</v>
      </c>
      <c r="CH312" s="7">
        <v>0</v>
      </c>
      <c r="CI312" s="7">
        <v>0</v>
      </c>
      <c r="CJ312" s="3">
        <v>0</v>
      </c>
      <c r="CK312" s="7">
        <v>0</v>
      </c>
      <c r="CL312" s="3">
        <v>0</v>
      </c>
      <c r="CM312" s="7">
        <v>0</v>
      </c>
      <c r="CN312" s="10">
        <v>44783.636701388888</v>
      </c>
      <c r="CO312" s="10">
        <v>44783.636701388888</v>
      </c>
      <c r="CP312" s="7">
        <v>38295.69921875</v>
      </c>
      <c r="CQ312" s="17" t="s">
        <v>321</v>
      </c>
      <c r="CR312" s="10">
        <v>44783.638194444444</v>
      </c>
      <c r="CS312" s="12">
        <v>0</v>
      </c>
      <c r="CT312" s="18"/>
      <c r="CU312" s="3">
        <v>0</v>
      </c>
      <c r="CV312" s="18"/>
      <c r="CW312" s="7">
        <v>0</v>
      </c>
      <c r="CX312" s="18"/>
      <c r="CY312" s="7">
        <v>0</v>
      </c>
      <c r="CZ312" s="18"/>
      <c r="DA312" s="3">
        <v>0</v>
      </c>
      <c r="DB312" s="18"/>
      <c r="DC312" s="11">
        <v>0</v>
      </c>
      <c r="DD312" s="18"/>
      <c r="DE312" s="7">
        <v>0</v>
      </c>
      <c r="DF312" s="7">
        <v>0</v>
      </c>
      <c r="DG312" s="7">
        <v>38295.69921875</v>
      </c>
      <c r="DH312" s="3" t="s">
        <v>312</v>
      </c>
      <c r="DI312" s="3" t="s">
        <v>312</v>
      </c>
      <c r="DJ312" s="3" t="s">
        <v>314</v>
      </c>
      <c r="DK312" s="3">
        <v>38300</v>
      </c>
      <c r="DL312" s="3">
        <v>3400000</v>
      </c>
      <c r="DM312" s="3">
        <v>38500</v>
      </c>
      <c r="DN312" s="3">
        <v>0</v>
      </c>
      <c r="DO312" s="3">
        <v>24500</v>
      </c>
      <c r="DP312" s="3">
        <v>2863350</v>
      </c>
      <c r="DQ312" s="28">
        <v>38000</v>
      </c>
      <c r="DR312" s="32">
        <v>0</v>
      </c>
      <c r="DS312" s="32">
        <v>24500</v>
      </c>
      <c r="DT312" s="32" t="s">
        <v>33</v>
      </c>
      <c r="DU312" s="69">
        <v>44784</v>
      </c>
    </row>
    <row r="313" spans="1:125" x14ac:dyDescent="0.25">
      <c r="A313" t="s">
        <v>105</v>
      </c>
      <c r="B313" s="2">
        <v>44798</v>
      </c>
      <c r="C313" s="1">
        <v>2900</v>
      </c>
      <c r="D313">
        <v>76</v>
      </c>
      <c r="O313" s="3">
        <v>27500</v>
      </c>
      <c r="P313" s="7">
        <v>0</v>
      </c>
      <c r="Q313" s="7">
        <v>0</v>
      </c>
      <c r="R313" s="7">
        <v>0</v>
      </c>
      <c r="S313" s="7">
        <v>0</v>
      </c>
      <c r="T313" s="11">
        <v>0</v>
      </c>
      <c r="U313" s="11">
        <v>0</v>
      </c>
      <c r="V313" s="11">
        <v>0</v>
      </c>
      <c r="W313" s="11">
        <v>0</v>
      </c>
      <c r="X313" s="14">
        <v>0</v>
      </c>
      <c r="Y313" s="14">
        <v>0</v>
      </c>
      <c r="Z313" s="14">
        <v>0</v>
      </c>
      <c r="AA313" s="14">
        <v>0</v>
      </c>
      <c r="AB313" s="15">
        <v>0</v>
      </c>
      <c r="AC313" s="15">
        <v>0</v>
      </c>
      <c r="AD313" s="13">
        <v>0</v>
      </c>
      <c r="AE313" s="13">
        <v>0</v>
      </c>
      <c r="AF313" s="12">
        <v>0</v>
      </c>
      <c r="AG313" s="12">
        <v>0</v>
      </c>
      <c r="AH313" s="13">
        <v>0</v>
      </c>
      <c r="AI313" s="13">
        <v>0</v>
      </c>
      <c r="AJ313" s="11">
        <v>0</v>
      </c>
      <c r="AK313" s="11">
        <v>0</v>
      </c>
      <c r="AL313" s="11">
        <v>0</v>
      </c>
      <c r="AM313" s="11">
        <v>0</v>
      </c>
      <c r="AN313" s="11">
        <v>0</v>
      </c>
      <c r="AO313" s="11">
        <v>0</v>
      </c>
      <c r="AP313" s="11">
        <v>0</v>
      </c>
      <c r="AQ313" s="11">
        <v>0</v>
      </c>
      <c r="AR313" s="16">
        <v>0</v>
      </c>
      <c r="AS313" s="16">
        <v>0</v>
      </c>
      <c r="AT313" s="16">
        <v>0</v>
      </c>
      <c r="AU313" s="7">
        <v>0</v>
      </c>
      <c r="AV313" s="7">
        <v>0</v>
      </c>
      <c r="AW313" s="7">
        <v>0</v>
      </c>
      <c r="AX313" s="7">
        <v>0</v>
      </c>
      <c r="AY313" s="11">
        <v>0</v>
      </c>
      <c r="AZ313" s="16">
        <v>0</v>
      </c>
      <c r="BA313" s="16">
        <v>0</v>
      </c>
      <c r="BB313" s="16">
        <v>0</v>
      </c>
      <c r="BC313" s="11">
        <v>0</v>
      </c>
      <c r="BD313" s="11">
        <v>0</v>
      </c>
      <c r="BE313" s="11">
        <v>0</v>
      </c>
      <c r="BF313" s="11">
        <v>0</v>
      </c>
      <c r="BG313" s="11">
        <v>0</v>
      </c>
      <c r="BH313" s="11">
        <v>0</v>
      </c>
      <c r="BI313" s="13">
        <v>0</v>
      </c>
      <c r="BJ313" s="13">
        <v>0</v>
      </c>
      <c r="BK313" s="11">
        <v>0</v>
      </c>
      <c r="BL313" s="12">
        <v>0</v>
      </c>
      <c r="BM313" s="12">
        <v>0</v>
      </c>
      <c r="BN313" s="13">
        <v>0</v>
      </c>
      <c r="BO313" s="13">
        <v>0</v>
      </c>
      <c r="BP313" s="15">
        <v>0</v>
      </c>
      <c r="BQ313" s="15">
        <v>0</v>
      </c>
      <c r="BR313" s="14">
        <v>0</v>
      </c>
      <c r="BS313" s="14">
        <v>0</v>
      </c>
      <c r="BT313" s="14">
        <v>0</v>
      </c>
      <c r="BU313" s="14">
        <v>0</v>
      </c>
      <c r="BV313" s="11">
        <v>0</v>
      </c>
      <c r="BW313" s="11">
        <v>0</v>
      </c>
      <c r="BX313" s="11">
        <v>0</v>
      </c>
      <c r="BY313" s="11">
        <v>0</v>
      </c>
      <c r="BZ313" s="7">
        <v>0</v>
      </c>
      <c r="CA313" s="7">
        <v>0</v>
      </c>
      <c r="CB313" s="7">
        <v>0</v>
      </c>
      <c r="CC313" s="7">
        <v>0</v>
      </c>
      <c r="CD313" s="7">
        <v>0</v>
      </c>
      <c r="CE313" s="3">
        <v>0</v>
      </c>
      <c r="CF313" s="7">
        <v>0</v>
      </c>
      <c r="CG313" s="3">
        <v>0</v>
      </c>
      <c r="CH313" s="7">
        <v>0</v>
      </c>
      <c r="CI313" s="7">
        <v>0</v>
      </c>
      <c r="CJ313" s="3">
        <v>0</v>
      </c>
      <c r="CK313" s="7">
        <v>0</v>
      </c>
      <c r="CL313" s="3">
        <v>0</v>
      </c>
      <c r="CM313" s="7">
        <v>0</v>
      </c>
      <c r="CN313" s="10">
        <v>44783.636701388888</v>
      </c>
      <c r="CO313" s="10">
        <v>44783.636701388888</v>
      </c>
      <c r="CP313" s="7">
        <v>38295.69921875</v>
      </c>
      <c r="CQ313" s="17" t="s">
        <v>321</v>
      </c>
      <c r="CR313" s="10">
        <v>44783.638194444444</v>
      </c>
      <c r="CS313" s="12">
        <v>0</v>
      </c>
      <c r="CT313" s="18"/>
      <c r="CU313" s="3">
        <v>0</v>
      </c>
      <c r="CV313" s="18"/>
      <c r="CW313" s="7">
        <v>0</v>
      </c>
      <c r="CX313" s="18"/>
      <c r="CY313" s="7">
        <v>0</v>
      </c>
      <c r="CZ313" s="18"/>
      <c r="DA313" s="3">
        <v>0</v>
      </c>
      <c r="DB313" s="18"/>
      <c r="DC313" s="11">
        <v>0</v>
      </c>
      <c r="DD313" s="18"/>
      <c r="DE313" s="7">
        <v>0</v>
      </c>
      <c r="DF313" s="7">
        <v>0</v>
      </c>
      <c r="DG313" s="7">
        <v>38295.69921875</v>
      </c>
      <c r="DH313" s="3" t="s">
        <v>312</v>
      </c>
      <c r="DI313" s="3" t="s">
        <v>312</v>
      </c>
      <c r="DJ313" s="3" t="s">
        <v>314</v>
      </c>
      <c r="DK313" s="3">
        <v>38300</v>
      </c>
      <c r="DL313" s="3">
        <v>3400000</v>
      </c>
      <c r="DM313" s="3">
        <v>38500</v>
      </c>
      <c r="DN313" s="3">
        <v>0</v>
      </c>
      <c r="DO313" s="3">
        <v>24500</v>
      </c>
      <c r="DP313" s="3">
        <v>2863350</v>
      </c>
      <c r="DQ313" s="28">
        <v>38000</v>
      </c>
      <c r="DR313" s="32">
        <v>0</v>
      </c>
      <c r="DS313" s="32">
        <v>24500</v>
      </c>
      <c r="DT313" s="32" t="s">
        <v>33</v>
      </c>
      <c r="DU313" s="69">
        <v>44784</v>
      </c>
    </row>
    <row r="314" spans="1:125" x14ac:dyDescent="0.25">
      <c r="A314" t="s">
        <v>105</v>
      </c>
      <c r="B314" s="2">
        <v>44833</v>
      </c>
      <c r="C314" s="1">
        <v>2900</v>
      </c>
      <c r="D314">
        <v>76</v>
      </c>
      <c r="O314" s="3">
        <v>28000</v>
      </c>
      <c r="P314" s="7">
        <v>0</v>
      </c>
      <c r="Q314" s="7">
        <v>0</v>
      </c>
      <c r="R314" s="7">
        <v>0</v>
      </c>
      <c r="S314" s="7">
        <v>0</v>
      </c>
      <c r="T314" s="11">
        <v>0</v>
      </c>
      <c r="U314" s="11">
        <v>0</v>
      </c>
      <c r="V314" s="11">
        <v>0</v>
      </c>
      <c r="W314" s="11">
        <v>0</v>
      </c>
      <c r="X314" s="14">
        <v>0</v>
      </c>
      <c r="Y314" s="14">
        <v>0</v>
      </c>
      <c r="Z314" s="14">
        <v>0</v>
      </c>
      <c r="AA314" s="14">
        <v>0</v>
      </c>
      <c r="AB314" s="15">
        <v>0</v>
      </c>
      <c r="AC314" s="15">
        <v>0</v>
      </c>
      <c r="AD314" s="13">
        <v>0</v>
      </c>
      <c r="AE314" s="13">
        <v>0</v>
      </c>
      <c r="AF314" s="12">
        <v>0</v>
      </c>
      <c r="AG314" s="12">
        <v>0</v>
      </c>
      <c r="AH314" s="13">
        <v>0</v>
      </c>
      <c r="AI314" s="13">
        <v>0</v>
      </c>
      <c r="AJ314" s="11">
        <v>0</v>
      </c>
      <c r="AK314" s="11">
        <v>0</v>
      </c>
      <c r="AL314" s="11">
        <v>0</v>
      </c>
      <c r="AM314" s="11">
        <v>0</v>
      </c>
      <c r="AN314" s="11">
        <v>0</v>
      </c>
      <c r="AO314" s="11">
        <v>0</v>
      </c>
      <c r="AP314" s="11">
        <v>0</v>
      </c>
      <c r="AQ314" s="11">
        <v>0</v>
      </c>
      <c r="AR314" s="16">
        <v>0</v>
      </c>
      <c r="AS314" s="16">
        <v>0</v>
      </c>
      <c r="AT314" s="16">
        <v>0</v>
      </c>
      <c r="AU314" s="7">
        <v>0</v>
      </c>
      <c r="AV314" s="7">
        <v>0</v>
      </c>
      <c r="AW314" s="7">
        <v>0</v>
      </c>
      <c r="AX314" s="7">
        <v>0</v>
      </c>
      <c r="AY314" s="11">
        <v>0</v>
      </c>
      <c r="AZ314" s="16">
        <v>0</v>
      </c>
      <c r="BA314" s="16">
        <v>0</v>
      </c>
      <c r="BB314" s="16">
        <v>0</v>
      </c>
      <c r="BC314" s="11">
        <v>0</v>
      </c>
      <c r="BD314" s="11">
        <v>0</v>
      </c>
      <c r="BE314" s="11">
        <v>0</v>
      </c>
      <c r="BF314" s="11">
        <v>0</v>
      </c>
      <c r="BG314" s="11">
        <v>0</v>
      </c>
      <c r="BH314" s="11">
        <v>0</v>
      </c>
      <c r="BI314" s="13">
        <v>0</v>
      </c>
      <c r="BJ314" s="13">
        <v>0</v>
      </c>
      <c r="BK314" s="11">
        <v>0</v>
      </c>
      <c r="BL314" s="12">
        <v>0</v>
      </c>
      <c r="BM314" s="12">
        <v>0</v>
      </c>
      <c r="BN314" s="13">
        <v>0</v>
      </c>
      <c r="BO314" s="13">
        <v>0</v>
      </c>
      <c r="BP314" s="15">
        <v>0</v>
      </c>
      <c r="BQ314" s="15">
        <v>0</v>
      </c>
      <c r="BR314" s="14">
        <v>0</v>
      </c>
      <c r="BS314" s="14">
        <v>0</v>
      </c>
      <c r="BT314" s="14">
        <v>0</v>
      </c>
      <c r="BU314" s="14">
        <v>0</v>
      </c>
      <c r="BV314" s="11">
        <v>0</v>
      </c>
      <c r="BW314" s="11">
        <v>0</v>
      </c>
      <c r="BX314" s="11">
        <v>0</v>
      </c>
      <c r="BY314" s="11">
        <v>0</v>
      </c>
      <c r="BZ314" s="7">
        <v>0</v>
      </c>
      <c r="CA314" s="7">
        <v>0</v>
      </c>
      <c r="CB314" s="7">
        <v>0</v>
      </c>
      <c r="CC314" s="7">
        <v>0</v>
      </c>
      <c r="CD314" s="7">
        <v>0</v>
      </c>
      <c r="CE314" s="3">
        <v>0</v>
      </c>
      <c r="CF314" s="7">
        <v>0</v>
      </c>
      <c r="CG314" s="3">
        <v>0</v>
      </c>
      <c r="CH314" s="7">
        <v>0</v>
      </c>
      <c r="CI314" s="7">
        <v>0</v>
      </c>
      <c r="CJ314" s="3">
        <v>0</v>
      </c>
      <c r="CK314" s="7">
        <v>0</v>
      </c>
      <c r="CL314" s="3">
        <v>0</v>
      </c>
      <c r="CM314" s="7">
        <v>0</v>
      </c>
      <c r="CN314" s="10">
        <v>44783.636701388888</v>
      </c>
      <c r="CO314" s="10">
        <v>44783.636701388888</v>
      </c>
      <c r="CP314" s="7">
        <v>38295.69921875</v>
      </c>
      <c r="CQ314" s="17" t="s">
        <v>321</v>
      </c>
      <c r="CR314" s="10">
        <v>44783.638194444444</v>
      </c>
      <c r="CS314" s="12">
        <v>0</v>
      </c>
      <c r="CT314" s="18"/>
      <c r="CU314" s="3">
        <v>0</v>
      </c>
      <c r="CV314" s="18"/>
      <c r="CW314" s="7">
        <v>0</v>
      </c>
      <c r="CX314" s="18"/>
      <c r="CY314" s="7">
        <v>0</v>
      </c>
      <c r="CZ314" s="18"/>
      <c r="DA314" s="3">
        <v>0</v>
      </c>
      <c r="DB314" s="18"/>
      <c r="DC314" s="11">
        <v>0</v>
      </c>
      <c r="DD314" s="18"/>
      <c r="DE314" s="7">
        <v>0</v>
      </c>
      <c r="DF314" s="7">
        <v>0</v>
      </c>
      <c r="DG314" s="7">
        <v>38295.69921875</v>
      </c>
      <c r="DH314" s="3" t="s">
        <v>312</v>
      </c>
      <c r="DI314" s="3" t="s">
        <v>312</v>
      </c>
      <c r="DJ314" s="3" t="s">
        <v>314</v>
      </c>
      <c r="DK314" s="3">
        <v>38300</v>
      </c>
      <c r="DL314" s="3">
        <v>3400000</v>
      </c>
      <c r="DM314" s="3">
        <v>38500</v>
      </c>
      <c r="DN314" s="3">
        <v>0</v>
      </c>
      <c r="DO314" s="3">
        <v>24500</v>
      </c>
      <c r="DP314" s="3">
        <v>2863350</v>
      </c>
      <c r="DQ314" s="28">
        <v>38000</v>
      </c>
      <c r="DR314" s="32">
        <v>0</v>
      </c>
      <c r="DS314" s="32">
        <v>24500</v>
      </c>
      <c r="DT314" s="32" t="s">
        <v>33</v>
      </c>
      <c r="DU314" s="69">
        <v>44784</v>
      </c>
    </row>
    <row r="315" spans="1:125" x14ac:dyDescent="0.25">
      <c r="A315" t="s">
        <v>105</v>
      </c>
      <c r="B315" s="2">
        <v>44861</v>
      </c>
      <c r="C315" s="1">
        <v>2900</v>
      </c>
      <c r="D315">
        <v>76</v>
      </c>
      <c r="M315" s="3"/>
      <c r="O315" s="3">
        <v>28500</v>
      </c>
      <c r="P315" s="7">
        <v>0</v>
      </c>
      <c r="Q315" s="7">
        <v>0</v>
      </c>
      <c r="R315" s="7">
        <v>0</v>
      </c>
      <c r="S315" s="7">
        <v>0</v>
      </c>
      <c r="T315" s="11">
        <v>0</v>
      </c>
      <c r="U315" s="11">
        <v>0</v>
      </c>
      <c r="V315" s="11">
        <v>0</v>
      </c>
      <c r="W315" s="11">
        <v>0</v>
      </c>
      <c r="X315" s="14">
        <v>0</v>
      </c>
      <c r="Y315" s="14">
        <v>0</v>
      </c>
      <c r="Z315" s="14">
        <v>0</v>
      </c>
      <c r="AA315" s="14">
        <v>0</v>
      </c>
      <c r="AB315" s="15">
        <v>0</v>
      </c>
      <c r="AC315" s="15">
        <v>0</v>
      </c>
      <c r="AD315" s="13">
        <v>0</v>
      </c>
      <c r="AE315" s="13">
        <v>0</v>
      </c>
      <c r="AF315" s="12">
        <v>0</v>
      </c>
      <c r="AG315" s="12">
        <v>0</v>
      </c>
      <c r="AH315" s="13">
        <v>0</v>
      </c>
      <c r="AI315" s="13">
        <v>0</v>
      </c>
      <c r="AJ315" s="11">
        <v>0</v>
      </c>
      <c r="AK315" s="11">
        <v>0</v>
      </c>
      <c r="AL315" s="11">
        <v>0</v>
      </c>
      <c r="AM315" s="11">
        <v>0</v>
      </c>
      <c r="AN315" s="11">
        <v>0</v>
      </c>
      <c r="AO315" s="11">
        <v>0</v>
      </c>
      <c r="AP315" s="11">
        <v>0</v>
      </c>
      <c r="AQ315" s="11">
        <v>0</v>
      </c>
      <c r="AR315" s="16">
        <v>0</v>
      </c>
      <c r="AS315" s="16">
        <v>0</v>
      </c>
      <c r="AT315" s="16">
        <v>0</v>
      </c>
      <c r="AU315" s="7">
        <v>0</v>
      </c>
      <c r="AV315" s="7">
        <v>0</v>
      </c>
      <c r="AW315" s="7">
        <v>0</v>
      </c>
      <c r="AX315" s="7">
        <v>0</v>
      </c>
      <c r="AY315" s="11">
        <v>0</v>
      </c>
      <c r="AZ315" s="16">
        <v>0</v>
      </c>
      <c r="BA315" s="16">
        <v>0</v>
      </c>
      <c r="BB315" s="16">
        <v>0</v>
      </c>
      <c r="BC315" s="11">
        <v>0</v>
      </c>
      <c r="BD315" s="11">
        <v>0</v>
      </c>
      <c r="BE315" s="11">
        <v>0</v>
      </c>
      <c r="BF315" s="11">
        <v>0</v>
      </c>
      <c r="BG315" s="11">
        <v>0</v>
      </c>
      <c r="BH315" s="11">
        <v>0</v>
      </c>
      <c r="BI315" s="13">
        <v>0</v>
      </c>
      <c r="BJ315" s="13">
        <v>0</v>
      </c>
      <c r="BK315" s="11">
        <v>0</v>
      </c>
      <c r="BL315" s="12">
        <v>0</v>
      </c>
      <c r="BM315" s="12">
        <v>0</v>
      </c>
      <c r="BN315" s="13">
        <v>0</v>
      </c>
      <c r="BO315" s="13">
        <v>0</v>
      </c>
      <c r="BP315" s="15">
        <v>0</v>
      </c>
      <c r="BQ315" s="15">
        <v>0</v>
      </c>
      <c r="BR315" s="14">
        <v>0</v>
      </c>
      <c r="BS315" s="14">
        <v>0</v>
      </c>
      <c r="BT315" s="14">
        <v>0</v>
      </c>
      <c r="BU315" s="14">
        <v>0</v>
      </c>
      <c r="BV315" s="11">
        <v>0</v>
      </c>
      <c r="BW315" s="11">
        <v>0</v>
      </c>
      <c r="BX315" s="11">
        <v>0</v>
      </c>
      <c r="BY315" s="11">
        <v>0</v>
      </c>
      <c r="BZ315" s="7">
        <v>0</v>
      </c>
      <c r="CA315" s="7">
        <v>0</v>
      </c>
      <c r="CB315" s="7">
        <v>0</v>
      </c>
      <c r="CC315" s="7">
        <v>0</v>
      </c>
      <c r="CD315" s="7">
        <v>0</v>
      </c>
      <c r="CE315" s="3">
        <v>0</v>
      </c>
      <c r="CF315" s="7">
        <v>0</v>
      </c>
      <c r="CG315" s="3">
        <v>0</v>
      </c>
      <c r="CH315" s="7">
        <v>0</v>
      </c>
      <c r="CI315" s="7">
        <v>0</v>
      </c>
      <c r="CJ315" s="3">
        <v>0</v>
      </c>
      <c r="CK315" s="7">
        <v>0</v>
      </c>
      <c r="CL315" s="3">
        <v>0</v>
      </c>
      <c r="CM315" s="7">
        <v>0</v>
      </c>
      <c r="CN315" s="10">
        <v>44783.636701388888</v>
      </c>
      <c r="CO315" s="10">
        <v>44783.636701388888</v>
      </c>
      <c r="CP315" s="7">
        <v>38295.69921875</v>
      </c>
      <c r="CQ315" s="17" t="s">
        <v>321</v>
      </c>
      <c r="CR315" s="10">
        <v>44783.638194444444</v>
      </c>
      <c r="CS315" s="12">
        <v>0</v>
      </c>
      <c r="CT315" s="18"/>
      <c r="CU315" s="3">
        <v>0</v>
      </c>
      <c r="CV315" s="18"/>
      <c r="CW315" s="7">
        <v>0</v>
      </c>
      <c r="CX315" s="18"/>
      <c r="CY315" s="7">
        <v>0</v>
      </c>
      <c r="CZ315" s="18"/>
      <c r="DA315" s="3">
        <v>0</v>
      </c>
      <c r="DB315" s="18"/>
      <c r="DC315" s="11">
        <v>0</v>
      </c>
      <c r="DD315" s="18"/>
      <c r="DE315" s="7">
        <v>0</v>
      </c>
      <c r="DF315" s="7">
        <v>0</v>
      </c>
      <c r="DG315" s="7">
        <v>38295.69921875</v>
      </c>
      <c r="DH315" s="3" t="s">
        <v>312</v>
      </c>
      <c r="DI315" s="3" t="s">
        <v>312</v>
      </c>
      <c r="DJ315" s="3" t="s">
        <v>314</v>
      </c>
      <c r="DK315" s="3">
        <v>38300</v>
      </c>
      <c r="DL315" s="3">
        <v>3400000</v>
      </c>
      <c r="DM315" s="3">
        <v>38500</v>
      </c>
      <c r="DN315" s="3">
        <v>0</v>
      </c>
      <c r="DO315" s="3">
        <v>24500</v>
      </c>
      <c r="DP315" s="3">
        <v>2863350</v>
      </c>
      <c r="DQ315" s="28">
        <v>38000</v>
      </c>
      <c r="DR315" s="32">
        <v>0</v>
      </c>
      <c r="DS315" s="32">
        <v>24500</v>
      </c>
      <c r="DT315" s="32" t="s">
        <v>33</v>
      </c>
      <c r="DU315" s="69">
        <v>44784</v>
      </c>
    </row>
    <row r="316" spans="1:125" x14ac:dyDescent="0.25">
      <c r="A316" t="s">
        <v>106</v>
      </c>
      <c r="B316" s="2">
        <v>44798</v>
      </c>
      <c r="C316" s="1">
        <v>150</v>
      </c>
      <c r="D316">
        <v>45</v>
      </c>
      <c r="M316" s="3"/>
      <c r="O316" s="3">
        <v>29000</v>
      </c>
      <c r="P316" s="7">
        <v>0</v>
      </c>
      <c r="Q316" s="7">
        <v>0</v>
      </c>
      <c r="R316" s="7">
        <v>0</v>
      </c>
      <c r="S316" s="7">
        <v>0</v>
      </c>
      <c r="T316" s="11">
        <v>0</v>
      </c>
      <c r="U316" s="11">
        <v>0</v>
      </c>
      <c r="V316" s="11">
        <v>0</v>
      </c>
      <c r="W316" s="11">
        <v>0</v>
      </c>
      <c r="X316" s="14">
        <v>0</v>
      </c>
      <c r="Y316" s="14">
        <v>0</v>
      </c>
      <c r="Z316" s="14">
        <v>0</v>
      </c>
      <c r="AA316" s="14">
        <v>0</v>
      </c>
      <c r="AB316" s="15">
        <v>0</v>
      </c>
      <c r="AC316" s="15">
        <v>0</v>
      </c>
      <c r="AD316" s="13">
        <v>0</v>
      </c>
      <c r="AE316" s="13">
        <v>0</v>
      </c>
      <c r="AF316" s="12">
        <v>0</v>
      </c>
      <c r="AG316" s="12">
        <v>0</v>
      </c>
      <c r="AH316" s="13">
        <v>0</v>
      </c>
      <c r="AI316" s="13">
        <v>0</v>
      </c>
      <c r="AJ316" s="11">
        <v>0</v>
      </c>
      <c r="AK316" s="11">
        <v>0</v>
      </c>
      <c r="AL316" s="11">
        <v>0</v>
      </c>
      <c r="AM316" s="11">
        <v>0</v>
      </c>
      <c r="AN316" s="11">
        <v>0</v>
      </c>
      <c r="AO316" s="11">
        <v>0</v>
      </c>
      <c r="AP316" s="11">
        <v>0</v>
      </c>
      <c r="AQ316" s="11">
        <v>0</v>
      </c>
      <c r="AR316" s="16">
        <v>0</v>
      </c>
      <c r="AS316" s="16">
        <v>0</v>
      </c>
      <c r="AT316" s="16">
        <v>0</v>
      </c>
      <c r="AU316" s="7">
        <v>0</v>
      </c>
      <c r="AV316" s="7">
        <v>0</v>
      </c>
      <c r="AW316" s="7">
        <v>0</v>
      </c>
      <c r="AX316" s="7">
        <v>0</v>
      </c>
      <c r="AY316" s="11">
        <v>0</v>
      </c>
      <c r="AZ316" s="16">
        <v>0</v>
      </c>
      <c r="BA316" s="16">
        <v>0</v>
      </c>
      <c r="BB316" s="16">
        <v>0</v>
      </c>
      <c r="BC316" s="11">
        <v>0</v>
      </c>
      <c r="BD316" s="11">
        <v>0</v>
      </c>
      <c r="BE316" s="11">
        <v>0</v>
      </c>
      <c r="BF316" s="11">
        <v>0</v>
      </c>
      <c r="BG316" s="11">
        <v>0</v>
      </c>
      <c r="BH316" s="11">
        <v>0</v>
      </c>
      <c r="BI316" s="13">
        <v>0</v>
      </c>
      <c r="BJ316" s="13">
        <v>0</v>
      </c>
      <c r="BK316" s="11">
        <v>0</v>
      </c>
      <c r="BL316" s="12">
        <v>0</v>
      </c>
      <c r="BM316" s="12">
        <v>0</v>
      </c>
      <c r="BN316" s="13">
        <v>0</v>
      </c>
      <c r="BO316" s="13">
        <v>0</v>
      </c>
      <c r="BP316" s="15">
        <v>0</v>
      </c>
      <c r="BQ316" s="15">
        <v>0</v>
      </c>
      <c r="BR316" s="14">
        <v>0</v>
      </c>
      <c r="BS316" s="14">
        <v>0</v>
      </c>
      <c r="BT316" s="14">
        <v>0</v>
      </c>
      <c r="BU316" s="14">
        <v>0</v>
      </c>
      <c r="BV316" s="11">
        <v>0</v>
      </c>
      <c r="BW316" s="11">
        <v>0</v>
      </c>
      <c r="BX316" s="11">
        <v>0</v>
      </c>
      <c r="BY316" s="11">
        <v>0</v>
      </c>
      <c r="BZ316" s="7">
        <v>0</v>
      </c>
      <c r="CA316" s="7">
        <v>0</v>
      </c>
      <c r="CB316" s="7">
        <v>0</v>
      </c>
      <c r="CC316" s="7">
        <v>0</v>
      </c>
      <c r="CD316" s="7">
        <v>0</v>
      </c>
      <c r="CE316" s="3">
        <v>0</v>
      </c>
      <c r="CF316" s="7">
        <v>0</v>
      </c>
      <c r="CG316" s="3">
        <v>0</v>
      </c>
      <c r="CH316" s="7">
        <v>0</v>
      </c>
      <c r="CI316" s="7">
        <v>0</v>
      </c>
      <c r="CJ316" s="3">
        <v>0</v>
      </c>
      <c r="CK316" s="7">
        <v>0</v>
      </c>
      <c r="CL316" s="3">
        <v>0</v>
      </c>
      <c r="CM316" s="7">
        <v>0</v>
      </c>
      <c r="CN316" s="10">
        <v>44783.636701388888</v>
      </c>
      <c r="CO316" s="10">
        <v>44783.636701388888</v>
      </c>
      <c r="CP316" s="7">
        <v>38295.69921875</v>
      </c>
      <c r="CQ316" s="17" t="s">
        <v>321</v>
      </c>
      <c r="CR316" s="10">
        <v>44783.638194444444</v>
      </c>
      <c r="CS316" s="12">
        <v>0</v>
      </c>
      <c r="CT316" s="18"/>
      <c r="CU316" s="3">
        <v>0</v>
      </c>
      <c r="CV316" s="18"/>
      <c r="CW316" s="7">
        <v>0</v>
      </c>
      <c r="CX316" s="18"/>
      <c r="CY316" s="7">
        <v>0</v>
      </c>
      <c r="CZ316" s="18"/>
      <c r="DA316" s="3">
        <v>0</v>
      </c>
      <c r="DB316" s="18"/>
      <c r="DC316" s="11">
        <v>0</v>
      </c>
      <c r="DD316" s="18"/>
      <c r="DE316" s="7">
        <v>0</v>
      </c>
      <c r="DF316" s="7">
        <v>0</v>
      </c>
      <c r="DG316" s="7">
        <v>38295.69921875</v>
      </c>
      <c r="DH316" s="3" t="s">
        <v>312</v>
      </c>
      <c r="DI316" s="3" t="s">
        <v>312</v>
      </c>
      <c r="DJ316" s="3" t="s">
        <v>314</v>
      </c>
      <c r="DK316" s="3">
        <v>38300</v>
      </c>
      <c r="DL316" s="3">
        <v>3400000</v>
      </c>
      <c r="DM316" s="3">
        <v>38500</v>
      </c>
      <c r="DN316" s="3">
        <v>0</v>
      </c>
      <c r="DO316" s="3">
        <v>24500</v>
      </c>
      <c r="DP316" s="3">
        <v>2863350</v>
      </c>
      <c r="DQ316" s="28">
        <v>38000</v>
      </c>
      <c r="DR316" s="32">
        <v>0</v>
      </c>
      <c r="DS316" s="32">
        <v>24500</v>
      </c>
      <c r="DT316" s="32" t="s">
        <v>33</v>
      </c>
      <c r="DU316" s="69">
        <v>44784</v>
      </c>
    </row>
    <row r="317" spans="1:125" x14ac:dyDescent="0.25">
      <c r="A317" t="s">
        <v>106</v>
      </c>
      <c r="B317" s="2">
        <v>44833</v>
      </c>
      <c r="C317" s="1">
        <v>150</v>
      </c>
      <c r="D317">
        <v>45</v>
      </c>
      <c r="M317" s="3"/>
      <c r="O317" s="3">
        <v>29500</v>
      </c>
      <c r="P317" s="7">
        <v>1.3999999761581421</v>
      </c>
      <c r="Q317" s="7">
        <v>1.1000000238418579</v>
      </c>
      <c r="R317" s="7">
        <v>2.2000000476837158</v>
      </c>
      <c r="S317" s="7">
        <v>1.1000000238418579</v>
      </c>
      <c r="T317" s="11">
        <v>9.4375</v>
      </c>
      <c r="U317" s="11">
        <v>327875.0625</v>
      </c>
      <c r="V317" s="11">
        <v>-14.625</v>
      </c>
      <c r="W317" s="11">
        <v>361468.1875</v>
      </c>
      <c r="X317" s="14">
        <v>1.7007550923153758E-10</v>
      </c>
      <c r="Y317" s="14">
        <v>5.0675294005486649E-6</v>
      </c>
      <c r="Z317" s="14">
        <v>-2.2328094928525388E-10</v>
      </c>
      <c r="AA317" s="14">
        <v>6.2327499108505435E-6</v>
      </c>
      <c r="AB317" s="15">
        <v>1.9650947535865271E-14</v>
      </c>
      <c r="AC317" s="15">
        <v>-1.23265486706714E-9</v>
      </c>
      <c r="AD317" s="13">
        <v>2.35748291015625E-3</v>
      </c>
      <c r="AE317" s="13">
        <v>48.434982299804688</v>
      </c>
      <c r="AF317" s="12">
        <v>1.232147216796875E-3</v>
      </c>
      <c r="AG317" s="12">
        <v>-59.572052001953125</v>
      </c>
      <c r="AH317" s="13">
        <v>-1.4779288903810084E-11</v>
      </c>
      <c r="AI317" s="13">
        <v>1.3624174926007981E-6</v>
      </c>
      <c r="AJ317" s="11">
        <v>-2.384185791015625E-6</v>
      </c>
      <c r="AK317" s="11">
        <v>9.4086058437824249E-2</v>
      </c>
      <c r="AL317" s="11">
        <v>0</v>
      </c>
      <c r="AM317" s="11">
        <v>-1.3999999761581421</v>
      </c>
      <c r="AN317" s="11">
        <v>7.7998265624046326E-9</v>
      </c>
      <c r="AO317" s="11">
        <v>-1.4158445410430431E-3</v>
      </c>
      <c r="AP317" s="11">
        <v>167.1772837638855</v>
      </c>
      <c r="AQ317" s="11">
        <v>1856525</v>
      </c>
      <c r="AR317" s="16">
        <v>301900</v>
      </c>
      <c r="AS317" s="16">
        <v>939450</v>
      </c>
      <c r="AT317" s="16">
        <v>167.1772837638855</v>
      </c>
      <c r="AU317" s="7">
        <v>0</v>
      </c>
      <c r="AV317" s="7">
        <v>1.3999999761581421</v>
      </c>
      <c r="AW317" s="7">
        <v>0</v>
      </c>
      <c r="AX317" s="7">
        <v>-5604.3</v>
      </c>
      <c r="AY317" s="11">
        <v>0</v>
      </c>
      <c r="AZ317" s="16">
        <v>0</v>
      </c>
      <c r="BA317" s="16">
        <v>0</v>
      </c>
      <c r="BB317" s="16">
        <v>0</v>
      </c>
      <c r="BC317" s="11">
        <v>0</v>
      </c>
      <c r="BD317" s="11">
        <v>0</v>
      </c>
      <c r="BE317" s="11">
        <v>0</v>
      </c>
      <c r="BF317" s="11">
        <v>0</v>
      </c>
      <c r="BG317" s="11">
        <v>0</v>
      </c>
      <c r="BH317" s="11">
        <v>0</v>
      </c>
      <c r="BI317" s="13">
        <v>0</v>
      </c>
      <c r="BJ317" s="13">
        <v>0</v>
      </c>
      <c r="BK317" s="11">
        <v>0</v>
      </c>
      <c r="BL317" s="12">
        <v>0</v>
      </c>
      <c r="BM317" s="12">
        <v>0</v>
      </c>
      <c r="BN317" s="13">
        <v>0</v>
      </c>
      <c r="BO317" s="13">
        <v>0</v>
      </c>
      <c r="BP317" s="15">
        <v>0</v>
      </c>
      <c r="BQ317" s="15">
        <v>0</v>
      </c>
      <c r="BR317" s="14">
        <v>0</v>
      </c>
      <c r="BS317" s="14">
        <v>0</v>
      </c>
      <c r="BT317" s="14">
        <v>0</v>
      </c>
      <c r="BU317" s="14">
        <v>0</v>
      </c>
      <c r="BV317" s="11">
        <v>0</v>
      </c>
      <c r="BW317" s="11">
        <v>0</v>
      </c>
      <c r="BX317" s="11">
        <v>0</v>
      </c>
      <c r="BY317" s="11">
        <v>0</v>
      </c>
      <c r="BZ317" s="7">
        <v>0</v>
      </c>
      <c r="CA317" s="7">
        <v>0</v>
      </c>
      <c r="CB317" s="7">
        <v>0</v>
      </c>
      <c r="CC317" s="7">
        <v>0</v>
      </c>
      <c r="CD317" s="7">
        <v>0</v>
      </c>
      <c r="CE317" s="3">
        <v>0</v>
      </c>
      <c r="CF317" s="7">
        <v>0</v>
      </c>
      <c r="CG317" s="3">
        <v>0</v>
      </c>
      <c r="CH317" s="7">
        <v>0</v>
      </c>
      <c r="CI317" s="7">
        <v>1.4500000476837158</v>
      </c>
      <c r="CJ317" s="3">
        <v>7225</v>
      </c>
      <c r="CK317" s="7">
        <v>1.3999999761581421</v>
      </c>
      <c r="CL317" s="3">
        <v>400</v>
      </c>
      <c r="CM317" s="7">
        <v>1.809999942779541</v>
      </c>
      <c r="CN317" s="10">
        <v>44783.636701388888</v>
      </c>
      <c r="CO317" s="10">
        <v>44783.638194444444</v>
      </c>
      <c r="CP317" s="7">
        <v>38295.69921875</v>
      </c>
      <c r="CQ317" s="17" t="s">
        <v>321</v>
      </c>
      <c r="CR317" s="10">
        <v>44783.638194444444</v>
      </c>
      <c r="CS317" s="12">
        <v>4.3749809265136719E-3</v>
      </c>
      <c r="CT317" s="18">
        <v>2.6170394224543409E-5</v>
      </c>
      <c r="CU317" s="3">
        <v>637550</v>
      </c>
      <c r="CV317" s="18">
        <v>0.47353148772645282</v>
      </c>
      <c r="CW317" s="7">
        <v>1.3999999761581421</v>
      </c>
      <c r="CX317" s="18">
        <v>0</v>
      </c>
      <c r="CY317" s="7">
        <v>5604.3</v>
      </c>
      <c r="CZ317" s="18">
        <v>-1</v>
      </c>
      <c r="DA317" s="3">
        <v>0</v>
      </c>
      <c r="DB317" s="18"/>
      <c r="DC317" s="11">
        <v>0</v>
      </c>
      <c r="DD317" s="18"/>
      <c r="DE317" s="7">
        <v>5604.3</v>
      </c>
      <c r="DF317" s="7">
        <v>1.3999999761581421</v>
      </c>
      <c r="DG317" s="7">
        <v>38295.69921875</v>
      </c>
      <c r="DH317" s="3" t="s">
        <v>313</v>
      </c>
      <c r="DI317" s="3" t="s">
        <v>312</v>
      </c>
      <c r="DJ317" s="3" t="s">
        <v>314</v>
      </c>
      <c r="DK317" s="3">
        <v>38300</v>
      </c>
      <c r="DL317" s="3">
        <v>3400000</v>
      </c>
      <c r="DM317" s="3">
        <v>38500</v>
      </c>
      <c r="DN317" s="3">
        <v>0</v>
      </c>
      <c r="DO317" s="3">
        <v>24500</v>
      </c>
      <c r="DP317" s="3">
        <v>2863350</v>
      </c>
      <c r="DQ317" s="28">
        <v>38000</v>
      </c>
      <c r="DR317" s="32">
        <v>0</v>
      </c>
      <c r="DS317" s="32">
        <v>24500</v>
      </c>
      <c r="DT317" s="32" t="s">
        <v>33</v>
      </c>
      <c r="DU317" s="69">
        <v>44784</v>
      </c>
    </row>
    <row r="318" spans="1:125" x14ac:dyDescent="0.25">
      <c r="A318" t="s">
        <v>106</v>
      </c>
      <c r="B318" s="2">
        <v>44861</v>
      </c>
      <c r="C318" s="1">
        <v>150</v>
      </c>
      <c r="D318">
        <v>45</v>
      </c>
      <c r="M318" s="3"/>
      <c r="O318" s="3">
        <v>30000</v>
      </c>
      <c r="P318" s="7">
        <v>1.5</v>
      </c>
      <c r="Q318" s="7">
        <v>1.3999999761581421</v>
      </c>
      <c r="R318" s="7">
        <v>2.2999999523162842</v>
      </c>
      <c r="S318" s="7">
        <v>1.9500000476837158</v>
      </c>
      <c r="T318" s="11">
        <v>8.40625</v>
      </c>
      <c r="U318" s="11">
        <v>288910.875</v>
      </c>
      <c r="V318" s="11">
        <v>-13.5625</v>
      </c>
      <c r="W318" s="11">
        <v>335773.25</v>
      </c>
      <c r="X318" s="14">
        <v>1.9235812942497432E-10</v>
      </c>
      <c r="Y318" s="14">
        <v>5.8025138969242107E-6</v>
      </c>
      <c r="Z318" s="14">
        <v>-2.7557689463719726E-10</v>
      </c>
      <c r="AA318" s="14">
        <v>7.5414895945868921E-6</v>
      </c>
      <c r="AB318" s="15">
        <v>2.5313084961453569E-14</v>
      </c>
      <c r="AC318" s="15">
        <v>-1.5103333028676502E-9</v>
      </c>
      <c r="AD318" s="13">
        <v>2.109527587890625E-3</v>
      </c>
      <c r="AE318" s="13">
        <v>43.093318939208984</v>
      </c>
      <c r="AF318" s="12">
        <v>1.15966796875E-3</v>
      </c>
      <c r="AG318" s="12">
        <v>-56.008106231689453</v>
      </c>
      <c r="AH318" s="13">
        <v>-1.8189894035458565E-11</v>
      </c>
      <c r="AI318" s="13">
        <v>1.6008314105420141E-6</v>
      </c>
      <c r="AJ318" s="11">
        <v>-2.6747584342956543E-6</v>
      </c>
      <c r="AK318" s="11">
        <v>0.10461720824241638</v>
      </c>
      <c r="AL318" s="11">
        <v>0</v>
      </c>
      <c r="AM318" s="11">
        <v>-1.5</v>
      </c>
      <c r="AN318" s="11">
        <v>9.1968104243278503E-9</v>
      </c>
      <c r="AO318" s="11">
        <v>-1.5904681058600545E-3</v>
      </c>
      <c r="AP318" s="11">
        <v>158.20481777191162</v>
      </c>
      <c r="AQ318" s="11">
        <v>373125</v>
      </c>
      <c r="AR318" s="16">
        <v>-10300</v>
      </c>
      <c r="AS318" s="16">
        <v>99425</v>
      </c>
      <c r="AT318" s="16">
        <v>158.20481777191162</v>
      </c>
      <c r="AU318" s="7">
        <v>0</v>
      </c>
      <c r="AV318" s="7">
        <v>1.5</v>
      </c>
      <c r="AW318" s="7">
        <v>7746.60009765625</v>
      </c>
      <c r="AX318" s="7">
        <v>0</v>
      </c>
      <c r="AY318" s="11">
        <v>0</v>
      </c>
      <c r="AZ318" s="16">
        <v>0</v>
      </c>
      <c r="BA318" s="16">
        <v>0</v>
      </c>
      <c r="BB318" s="16">
        <v>0</v>
      </c>
      <c r="BC318" s="11">
        <v>0</v>
      </c>
      <c r="BD318" s="11">
        <v>0</v>
      </c>
      <c r="BE318" s="11">
        <v>0</v>
      </c>
      <c r="BF318" s="11">
        <v>0</v>
      </c>
      <c r="BG318" s="11">
        <v>0</v>
      </c>
      <c r="BH318" s="11">
        <v>0</v>
      </c>
      <c r="BI318" s="13">
        <v>0</v>
      </c>
      <c r="BJ318" s="13">
        <v>0</v>
      </c>
      <c r="BK318" s="11">
        <v>0</v>
      </c>
      <c r="BL318" s="12">
        <v>0</v>
      </c>
      <c r="BM318" s="12">
        <v>0</v>
      </c>
      <c r="BN318" s="13">
        <v>0</v>
      </c>
      <c r="BO318" s="13">
        <v>0</v>
      </c>
      <c r="BP318" s="15">
        <v>0</v>
      </c>
      <c r="BQ318" s="15">
        <v>0</v>
      </c>
      <c r="BR318" s="14">
        <v>0</v>
      </c>
      <c r="BS318" s="14">
        <v>0</v>
      </c>
      <c r="BT318" s="14">
        <v>0</v>
      </c>
      <c r="BU318" s="14">
        <v>0</v>
      </c>
      <c r="BV318" s="11">
        <v>0</v>
      </c>
      <c r="BW318" s="11">
        <v>0</v>
      </c>
      <c r="BX318" s="11">
        <v>0</v>
      </c>
      <c r="BY318" s="11">
        <v>0</v>
      </c>
      <c r="BZ318" s="7">
        <v>0</v>
      </c>
      <c r="CA318" s="7">
        <v>0</v>
      </c>
      <c r="CB318" s="7">
        <v>0</v>
      </c>
      <c r="CC318" s="7">
        <v>7746.60009765625</v>
      </c>
      <c r="CD318" s="7">
        <v>8466.150390625</v>
      </c>
      <c r="CE318" s="3">
        <v>50</v>
      </c>
      <c r="CF318" s="7">
        <v>8127.25</v>
      </c>
      <c r="CG318" s="3">
        <v>50</v>
      </c>
      <c r="CH318" s="7">
        <v>0</v>
      </c>
      <c r="CI318" s="7">
        <v>1.5</v>
      </c>
      <c r="CJ318" s="3">
        <v>750</v>
      </c>
      <c r="CK318" s="7">
        <v>1.4500000476837158</v>
      </c>
      <c r="CL318" s="3">
        <v>550</v>
      </c>
      <c r="CM318" s="7">
        <v>1.8400000333786011</v>
      </c>
      <c r="CN318" s="10">
        <v>44783.638194444444</v>
      </c>
      <c r="CO318" s="10">
        <v>44783.638194444444</v>
      </c>
      <c r="CP318" s="7">
        <v>38295.69921875</v>
      </c>
      <c r="CQ318" s="17" t="s">
        <v>321</v>
      </c>
      <c r="CR318" s="10">
        <v>44783.638194444444</v>
      </c>
      <c r="CS318" s="12">
        <v>4.1842460632324219E-3</v>
      </c>
      <c r="CT318" s="18">
        <v>2.6448984242207591E-5</v>
      </c>
      <c r="CU318" s="3">
        <v>109725</v>
      </c>
      <c r="CV318" s="18">
        <v>-9.3871041239462286E-2</v>
      </c>
      <c r="CW318" s="7">
        <v>1.5</v>
      </c>
      <c r="CX318" s="18">
        <v>0</v>
      </c>
      <c r="CY318" s="7">
        <v>7746.60009765625</v>
      </c>
      <c r="CZ318" s="18">
        <v>0</v>
      </c>
      <c r="DA318" s="3">
        <v>0</v>
      </c>
      <c r="DB318" s="18">
        <v>0</v>
      </c>
      <c r="DC318" s="11">
        <v>0</v>
      </c>
      <c r="DD318" s="18">
        <v>0</v>
      </c>
      <c r="DE318" s="7">
        <v>7746.60009765625</v>
      </c>
      <c r="DF318" s="7">
        <v>1.5</v>
      </c>
      <c r="DG318" s="7">
        <v>38295.69921875</v>
      </c>
      <c r="DH318" s="3" t="s">
        <v>312</v>
      </c>
      <c r="DI318" s="3" t="s">
        <v>312</v>
      </c>
      <c r="DJ318" s="3" t="s">
        <v>314</v>
      </c>
      <c r="DK318" s="3">
        <v>38300</v>
      </c>
      <c r="DL318" s="3">
        <v>3400000</v>
      </c>
      <c r="DM318" s="3">
        <v>38500</v>
      </c>
      <c r="DN318" s="3">
        <v>0</v>
      </c>
      <c r="DO318" s="3">
        <v>24500</v>
      </c>
      <c r="DP318" s="3">
        <v>2863350</v>
      </c>
      <c r="DQ318" s="28">
        <v>38000</v>
      </c>
      <c r="DR318" s="32">
        <v>0</v>
      </c>
      <c r="DS318" s="32">
        <v>24500</v>
      </c>
      <c r="DT318" s="32" t="s">
        <v>33</v>
      </c>
      <c r="DU318" s="69">
        <v>44784</v>
      </c>
    </row>
    <row r="319" spans="1:125" x14ac:dyDescent="0.25">
      <c r="A319" t="s">
        <v>107</v>
      </c>
      <c r="B319" s="2">
        <v>44798</v>
      </c>
      <c r="C319" s="1">
        <v>300</v>
      </c>
      <c r="D319">
        <v>101</v>
      </c>
      <c r="M319" s="3"/>
      <c r="O319" s="3">
        <v>30500</v>
      </c>
      <c r="P319" s="7">
        <v>1.6499999761581421</v>
      </c>
      <c r="Q319" s="7">
        <v>1.3999999761581421</v>
      </c>
      <c r="R319" s="7">
        <v>2.3499999046325684</v>
      </c>
      <c r="S319" s="7">
        <v>2.2000000476837158</v>
      </c>
      <c r="T319" s="11">
        <v>-18.0625</v>
      </c>
      <c r="U319" s="11">
        <v>247773.78125</v>
      </c>
      <c r="V319" s="11">
        <v>-23.53125</v>
      </c>
      <c r="W319" s="11">
        <v>303597.3125</v>
      </c>
      <c r="X319" s="14">
        <v>1.1505107977427542E-9</v>
      </c>
      <c r="Y319" s="14">
        <v>6.7419009610603098E-6</v>
      </c>
      <c r="Z319" s="14">
        <v>1.5525074559263885E-9</v>
      </c>
      <c r="AA319" s="14">
        <v>9.2665550255333073E-6</v>
      </c>
      <c r="AB319" s="15">
        <v>-3.9923619965520629E-13</v>
      </c>
      <c r="AC319" s="15">
        <v>-1.8862222894711067E-9</v>
      </c>
      <c r="AD319" s="13">
        <v>-1.0986328125E-3</v>
      </c>
      <c r="AE319" s="13">
        <v>37.385753631591797</v>
      </c>
      <c r="AF319" s="12">
        <v>1.667022705078125E-3</v>
      </c>
      <c r="AG319" s="12">
        <v>-51.385677337646484</v>
      </c>
      <c r="AH319" s="13">
        <v>2.7603164198808372E-10</v>
      </c>
      <c r="AI319" s="13">
        <v>1.9224419247620972E-6</v>
      </c>
      <c r="AJ319" s="11">
        <v>3.4421682357788086E-6</v>
      </c>
      <c r="AK319" s="11">
        <v>0.11892770975828171</v>
      </c>
      <c r="AL319" s="11">
        <v>0</v>
      </c>
      <c r="AM319" s="11">
        <v>-1.6499999761581421</v>
      </c>
      <c r="AN319" s="11">
        <v>-1.3329554349184036E-7</v>
      </c>
      <c r="AO319" s="11">
        <v>-1.830347697250545E-3</v>
      </c>
      <c r="AP319" s="11">
        <v>149.66230392456055</v>
      </c>
      <c r="AQ319" s="11">
        <v>135050</v>
      </c>
      <c r="AR319" s="16">
        <v>-1000</v>
      </c>
      <c r="AS319" s="16">
        <v>28575</v>
      </c>
      <c r="AT319" s="16">
        <v>149.66230392456055</v>
      </c>
      <c r="AU319" s="7">
        <v>0</v>
      </c>
      <c r="AV319" s="7">
        <v>1.6499999761581421</v>
      </c>
      <c r="AW319" s="7">
        <v>0</v>
      </c>
      <c r="AX319" s="7">
        <v>-4661.7</v>
      </c>
      <c r="AY319" s="11">
        <v>0</v>
      </c>
      <c r="AZ319" s="16">
        <v>0</v>
      </c>
      <c r="BA319" s="16">
        <v>0</v>
      </c>
      <c r="BB319" s="16">
        <v>0</v>
      </c>
      <c r="BC319" s="11">
        <v>0</v>
      </c>
      <c r="BD319" s="11">
        <v>0</v>
      </c>
      <c r="BE319" s="11">
        <v>0</v>
      </c>
      <c r="BF319" s="11">
        <v>0</v>
      </c>
      <c r="BG319" s="11">
        <v>0</v>
      </c>
      <c r="BH319" s="11">
        <v>0</v>
      </c>
      <c r="BI319" s="13">
        <v>0</v>
      </c>
      <c r="BJ319" s="13">
        <v>0</v>
      </c>
      <c r="BK319" s="11">
        <v>0</v>
      </c>
      <c r="BL319" s="12">
        <v>0</v>
      </c>
      <c r="BM319" s="12">
        <v>0</v>
      </c>
      <c r="BN319" s="13">
        <v>0</v>
      </c>
      <c r="BO319" s="13">
        <v>0</v>
      </c>
      <c r="BP319" s="15">
        <v>0</v>
      </c>
      <c r="BQ319" s="15">
        <v>0</v>
      </c>
      <c r="BR319" s="14">
        <v>0</v>
      </c>
      <c r="BS319" s="14">
        <v>0</v>
      </c>
      <c r="BT319" s="14">
        <v>0</v>
      </c>
      <c r="BU319" s="14">
        <v>0</v>
      </c>
      <c r="BV319" s="11">
        <v>0</v>
      </c>
      <c r="BW319" s="11">
        <v>0</v>
      </c>
      <c r="BX319" s="11">
        <v>0</v>
      </c>
      <c r="BY319" s="11">
        <v>0</v>
      </c>
      <c r="BZ319" s="7">
        <v>0</v>
      </c>
      <c r="CA319" s="7">
        <v>0</v>
      </c>
      <c r="CB319" s="7">
        <v>0</v>
      </c>
      <c r="CC319" s="7">
        <v>0</v>
      </c>
      <c r="CD319" s="7">
        <v>0</v>
      </c>
      <c r="CE319" s="3">
        <v>0</v>
      </c>
      <c r="CF319" s="7">
        <v>0</v>
      </c>
      <c r="CG319" s="3">
        <v>0</v>
      </c>
      <c r="CH319" s="7">
        <v>0</v>
      </c>
      <c r="CI319" s="7">
        <v>1.6499999761581421</v>
      </c>
      <c r="CJ319" s="3">
        <v>250</v>
      </c>
      <c r="CK319" s="7">
        <v>1.6000000238418579</v>
      </c>
      <c r="CL319" s="3">
        <v>1650</v>
      </c>
      <c r="CM319" s="7">
        <v>1.9800000190734863</v>
      </c>
      <c r="CN319" s="10">
        <v>44783.636701388888</v>
      </c>
      <c r="CO319" s="10">
        <v>44783.638194444444</v>
      </c>
      <c r="CP319" s="7">
        <v>38295.69921875</v>
      </c>
      <c r="CQ319" s="17" t="s">
        <v>321</v>
      </c>
      <c r="CR319" s="10">
        <v>44783.638194444444</v>
      </c>
      <c r="CS319" s="12">
        <v>-6.008148193359375E-3</v>
      </c>
      <c r="CT319" s="18">
        <v>-4.0143087806314064E-5</v>
      </c>
      <c r="CU319" s="3">
        <v>29575</v>
      </c>
      <c r="CV319" s="18">
        <v>-3.38123415046492E-2</v>
      </c>
      <c r="CW319" s="7">
        <v>1.6499999761581421</v>
      </c>
      <c r="CX319" s="18">
        <v>0</v>
      </c>
      <c r="CY319" s="7">
        <v>4661.7</v>
      </c>
      <c r="CZ319" s="18">
        <v>-1</v>
      </c>
      <c r="DA319" s="3">
        <v>0</v>
      </c>
      <c r="DB319" s="18"/>
      <c r="DC319" s="11">
        <v>0</v>
      </c>
      <c r="DD319" s="18"/>
      <c r="DE319" s="7">
        <v>4661.7</v>
      </c>
      <c r="DF319" s="7">
        <v>1.6499999761581421</v>
      </c>
      <c r="DG319" s="7">
        <v>38295.69921875</v>
      </c>
      <c r="DH319" s="3" t="s">
        <v>313</v>
      </c>
      <c r="DI319" s="3" t="s">
        <v>312</v>
      </c>
      <c r="DJ319" s="3" t="s">
        <v>314</v>
      </c>
      <c r="DK319" s="3">
        <v>38300</v>
      </c>
      <c r="DL319" s="3">
        <v>3400000</v>
      </c>
      <c r="DM319" s="3">
        <v>38500</v>
      </c>
      <c r="DN319" s="3">
        <v>0</v>
      </c>
      <c r="DO319" s="3">
        <v>24500</v>
      </c>
      <c r="DP319" s="3">
        <v>2863350</v>
      </c>
      <c r="DQ319" s="28">
        <v>38000</v>
      </c>
      <c r="DR319" s="32">
        <v>0</v>
      </c>
      <c r="DS319" s="32">
        <v>24500</v>
      </c>
      <c r="DT319" s="32" t="s">
        <v>33</v>
      </c>
      <c r="DU319" s="69">
        <v>44784</v>
      </c>
    </row>
    <row r="320" spans="1:125" x14ac:dyDescent="0.25">
      <c r="A320" t="s">
        <v>107</v>
      </c>
      <c r="B320" s="2">
        <v>44833</v>
      </c>
      <c r="C320" s="1">
        <v>300</v>
      </c>
      <c r="D320">
        <v>101</v>
      </c>
      <c r="M320" s="3"/>
      <c r="O320" s="3">
        <v>30700</v>
      </c>
      <c r="P320" s="7">
        <v>0</v>
      </c>
      <c r="Q320" s="7">
        <v>0</v>
      </c>
      <c r="R320" s="7">
        <v>0</v>
      </c>
      <c r="S320" s="7">
        <v>0</v>
      </c>
      <c r="T320" s="11">
        <v>0</v>
      </c>
      <c r="U320" s="11">
        <v>0</v>
      </c>
      <c r="V320" s="11">
        <v>0</v>
      </c>
      <c r="W320" s="11">
        <v>0</v>
      </c>
      <c r="X320" s="14">
        <v>0</v>
      </c>
      <c r="Y320" s="14">
        <v>0</v>
      </c>
      <c r="Z320" s="14">
        <v>0</v>
      </c>
      <c r="AA320" s="14">
        <v>0</v>
      </c>
      <c r="AB320" s="15">
        <v>0</v>
      </c>
      <c r="AC320" s="15">
        <v>0</v>
      </c>
      <c r="AD320" s="13">
        <v>0</v>
      </c>
      <c r="AE320" s="13">
        <v>0</v>
      </c>
      <c r="AF320" s="12">
        <v>0</v>
      </c>
      <c r="AG320" s="12">
        <v>0</v>
      </c>
      <c r="AH320" s="13">
        <v>0</v>
      </c>
      <c r="AI320" s="13">
        <v>0</v>
      </c>
      <c r="AJ320" s="11">
        <v>0</v>
      </c>
      <c r="AK320" s="11">
        <v>0</v>
      </c>
      <c r="AL320" s="11">
        <v>0</v>
      </c>
      <c r="AM320" s="11">
        <v>0</v>
      </c>
      <c r="AN320" s="11">
        <v>0</v>
      </c>
      <c r="AO320" s="11">
        <v>0</v>
      </c>
      <c r="AP320" s="11">
        <v>0</v>
      </c>
      <c r="AQ320" s="11">
        <v>0</v>
      </c>
      <c r="AR320" s="16">
        <v>0</v>
      </c>
      <c r="AS320" s="16">
        <v>0</v>
      </c>
      <c r="AT320" s="16">
        <v>0</v>
      </c>
      <c r="AU320" s="7">
        <v>0</v>
      </c>
      <c r="AV320" s="7">
        <v>0</v>
      </c>
      <c r="AW320" s="7">
        <v>0</v>
      </c>
      <c r="AX320" s="7">
        <v>0</v>
      </c>
      <c r="AY320" s="11">
        <v>0</v>
      </c>
      <c r="AZ320" s="16">
        <v>0</v>
      </c>
      <c r="BA320" s="16">
        <v>0</v>
      </c>
      <c r="BB320" s="16">
        <v>0</v>
      </c>
      <c r="BC320" s="11">
        <v>0</v>
      </c>
      <c r="BD320" s="11">
        <v>0</v>
      </c>
      <c r="BE320" s="11">
        <v>0</v>
      </c>
      <c r="BF320" s="11">
        <v>0</v>
      </c>
      <c r="BG320" s="11">
        <v>0</v>
      </c>
      <c r="BH320" s="11">
        <v>0</v>
      </c>
      <c r="BI320" s="13">
        <v>0</v>
      </c>
      <c r="BJ320" s="13">
        <v>0</v>
      </c>
      <c r="BK320" s="11">
        <v>0</v>
      </c>
      <c r="BL320" s="12">
        <v>0</v>
      </c>
      <c r="BM320" s="12">
        <v>0</v>
      </c>
      <c r="BN320" s="13">
        <v>0</v>
      </c>
      <c r="BO320" s="13">
        <v>0</v>
      </c>
      <c r="BP320" s="15">
        <v>0</v>
      </c>
      <c r="BQ320" s="15">
        <v>0</v>
      </c>
      <c r="BR320" s="14">
        <v>0</v>
      </c>
      <c r="BS320" s="14">
        <v>0</v>
      </c>
      <c r="BT320" s="14">
        <v>0</v>
      </c>
      <c r="BU320" s="14">
        <v>0</v>
      </c>
      <c r="BV320" s="11">
        <v>0</v>
      </c>
      <c r="BW320" s="11">
        <v>0</v>
      </c>
      <c r="BX320" s="11">
        <v>0</v>
      </c>
      <c r="BY320" s="11">
        <v>0</v>
      </c>
      <c r="BZ320" s="7">
        <v>0</v>
      </c>
      <c r="CA320" s="7">
        <v>0</v>
      </c>
      <c r="CB320" s="7">
        <v>0</v>
      </c>
      <c r="CC320" s="7">
        <v>0</v>
      </c>
      <c r="CD320" s="7">
        <v>0</v>
      </c>
      <c r="CE320" s="3">
        <v>0</v>
      </c>
      <c r="CF320" s="7">
        <v>0</v>
      </c>
      <c r="CG320" s="3">
        <v>0</v>
      </c>
      <c r="CH320" s="7">
        <v>0</v>
      </c>
      <c r="CI320" s="7">
        <v>0</v>
      </c>
      <c r="CJ320" s="3">
        <v>0</v>
      </c>
      <c r="CK320" s="7">
        <v>0</v>
      </c>
      <c r="CL320" s="3">
        <v>0</v>
      </c>
      <c r="CM320" s="7">
        <v>0</v>
      </c>
      <c r="CN320" s="10">
        <v>44783.636701388888</v>
      </c>
      <c r="CO320" s="10">
        <v>44783.636701388888</v>
      </c>
      <c r="CP320" s="7">
        <v>38295.69921875</v>
      </c>
      <c r="CQ320" s="17" t="s">
        <v>321</v>
      </c>
      <c r="CR320" s="10">
        <v>44783.638194444444</v>
      </c>
      <c r="CS320" s="12">
        <v>0</v>
      </c>
      <c r="CT320" s="18"/>
      <c r="CU320" s="3">
        <v>0</v>
      </c>
      <c r="CV320" s="18"/>
      <c r="CW320" s="7">
        <v>0</v>
      </c>
      <c r="CX320" s="18"/>
      <c r="CY320" s="7">
        <v>0</v>
      </c>
      <c r="CZ320" s="18"/>
      <c r="DA320" s="3">
        <v>0</v>
      </c>
      <c r="DB320" s="18"/>
      <c r="DC320" s="11">
        <v>0</v>
      </c>
      <c r="DD320" s="18"/>
      <c r="DE320" s="7">
        <v>0</v>
      </c>
      <c r="DF320" s="7">
        <v>0</v>
      </c>
      <c r="DG320" s="7">
        <v>38295.69921875</v>
      </c>
      <c r="DH320" s="3" t="s">
        <v>312</v>
      </c>
      <c r="DI320" s="3" t="s">
        <v>312</v>
      </c>
      <c r="DJ320" s="3" t="s">
        <v>314</v>
      </c>
      <c r="DK320" s="3">
        <v>38300</v>
      </c>
      <c r="DL320" s="3">
        <v>3400000</v>
      </c>
      <c r="DM320" s="3">
        <v>38500</v>
      </c>
      <c r="DN320" s="3">
        <v>0</v>
      </c>
      <c r="DO320" s="3">
        <v>24500</v>
      </c>
      <c r="DP320" s="3">
        <v>2863350</v>
      </c>
      <c r="DQ320" s="28">
        <v>38000</v>
      </c>
      <c r="DR320" s="32">
        <v>0</v>
      </c>
      <c r="DS320" s="32">
        <v>24500</v>
      </c>
      <c r="DT320" s="32" t="s">
        <v>33</v>
      </c>
      <c r="DU320" s="69">
        <v>44784</v>
      </c>
    </row>
    <row r="321" spans="1:125" x14ac:dyDescent="0.25">
      <c r="A321" t="s">
        <v>107</v>
      </c>
      <c r="B321" s="2">
        <v>44861</v>
      </c>
      <c r="C321" s="1">
        <v>300</v>
      </c>
      <c r="D321">
        <v>101</v>
      </c>
      <c r="M321" s="3"/>
      <c r="O321" s="3">
        <v>30800</v>
      </c>
      <c r="P321" s="7">
        <v>0</v>
      </c>
      <c r="Q321" s="7">
        <v>0</v>
      </c>
      <c r="R321" s="7">
        <v>0</v>
      </c>
      <c r="S321" s="7">
        <v>0</v>
      </c>
      <c r="T321" s="11">
        <v>0</v>
      </c>
      <c r="U321" s="11">
        <v>0</v>
      </c>
      <c r="V321" s="11">
        <v>0</v>
      </c>
      <c r="W321" s="11">
        <v>0</v>
      </c>
      <c r="X321" s="14">
        <v>0</v>
      </c>
      <c r="Y321" s="14">
        <v>0</v>
      </c>
      <c r="Z321" s="14">
        <v>0</v>
      </c>
      <c r="AA321" s="14">
        <v>0</v>
      </c>
      <c r="AB321" s="15">
        <v>0</v>
      </c>
      <c r="AC321" s="15">
        <v>0</v>
      </c>
      <c r="AD321" s="13">
        <v>0</v>
      </c>
      <c r="AE321" s="13">
        <v>0</v>
      </c>
      <c r="AF321" s="12">
        <v>0</v>
      </c>
      <c r="AG321" s="12">
        <v>0</v>
      </c>
      <c r="AH321" s="13">
        <v>0</v>
      </c>
      <c r="AI321" s="13">
        <v>0</v>
      </c>
      <c r="AJ321" s="11">
        <v>0</v>
      </c>
      <c r="AK321" s="11">
        <v>0</v>
      </c>
      <c r="AL321" s="11">
        <v>0</v>
      </c>
      <c r="AM321" s="11">
        <v>0</v>
      </c>
      <c r="AN321" s="11">
        <v>0</v>
      </c>
      <c r="AO321" s="11">
        <v>0</v>
      </c>
      <c r="AP321" s="11">
        <v>0</v>
      </c>
      <c r="AQ321" s="11">
        <v>0</v>
      </c>
      <c r="AR321" s="16">
        <v>0</v>
      </c>
      <c r="AS321" s="16">
        <v>0</v>
      </c>
      <c r="AT321" s="16">
        <v>0</v>
      </c>
      <c r="AU321" s="7">
        <v>0</v>
      </c>
      <c r="AV321" s="7">
        <v>0</v>
      </c>
      <c r="AW321" s="7">
        <v>0</v>
      </c>
      <c r="AX321" s="7">
        <v>0</v>
      </c>
      <c r="AY321" s="11">
        <v>0</v>
      </c>
      <c r="AZ321" s="16">
        <v>0</v>
      </c>
      <c r="BA321" s="16">
        <v>0</v>
      </c>
      <c r="BB321" s="16">
        <v>0</v>
      </c>
      <c r="BC321" s="11">
        <v>0</v>
      </c>
      <c r="BD321" s="11">
        <v>0</v>
      </c>
      <c r="BE321" s="11">
        <v>0</v>
      </c>
      <c r="BF321" s="11">
        <v>0</v>
      </c>
      <c r="BG321" s="11">
        <v>0</v>
      </c>
      <c r="BH321" s="11">
        <v>0</v>
      </c>
      <c r="BI321" s="13">
        <v>0</v>
      </c>
      <c r="BJ321" s="13">
        <v>0</v>
      </c>
      <c r="BK321" s="11">
        <v>0</v>
      </c>
      <c r="BL321" s="12">
        <v>0</v>
      </c>
      <c r="BM321" s="12">
        <v>0</v>
      </c>
      <c r="BN321" s="13">
        <v>0</v>
      </c>
      <c r="BO321" s="13">
        <v>0</v>
      </c>
      <c r="BP321" s="15">
        <v>0</v>
      </c>
      <c r="BQ321" s="15">
        <v>0</v>
      </c>
      <c r="BR321" s="14">
        <v>0</v>
      </c>
      <c r="BS321" s="14">
        <v>0</v>
      </c>
      <c r="BT321" s="14">
        <v>0</v>
      </c>
      <c r="BU321" s="14">
        <v>0</v>
      </c>
      <c r="BV321" s="11">
        <v>0</v>
      </c>
      <c r="BW321" s="11">
        <v>0</v>
      </c>
      <c r="BX321" s="11">
        <v>0</v>
      </c>
      <c r="BY321" s="11">
        <v>0</v>
      </c>
      <c r="BZ321" s="7">
        <v>0</v>
      </c>
      <c r="CA321" s="7">
        <v>0</v>
      </c>
      <c r="CB321" s="7">
        <v>0</v>
      </c>
      <c r="CC321" s="7">
        <v>0</v>
      </c>
      <c r="CD321" s="7">
        <v>0</v>
      </c>
      <c r="CE321" s="3">
        <v>0</v>
      </c>
      <c r="CF321" s="7">
        <v>0</v>
      </c>
      <c r="CG321" s="3">
        <v>0</v>
      </c>
      <c r="CH321" s="7">
        <v>0</v>
      </c>
      <c r="CI321" s="7">
        <v>0</v>
      </c>
      <c r="CJ321" s="3">
        <v>0</v>
      </c>
      <c r="CK321" s="7">
        <v>0</v>
      </c>
      <c r="CL321" s="3">
        <v>0</v>
      </c>
      <c r="CM321" s="7">
        <v>0</v>
      </c>
      <c r="CN321" s="10">
        <v>44783.636701388888</v>
      </c>
      <c r="CO321" s="10">
        <v>44783.636701388888</v>
      </c>
      <c r="CP321" s="7">
        <v>38295.69921875</v>
      </c>
      <c r="CQ321" s="17" t="s">
        <v>321</v>
      </c>
      <c r="CR321" s="10">
        <v>44783.638194444444</v>
      </c>
      <c r="CS321" s="12">
        <v>0</v>
      </c>
      <c r="CT321" s="18"/>
      <c r="CU321" s="3">
        <v>0</v>
      </c>
      <c r="CV321" s="18"/>
      <c r="CW321" s="7">
        <v>0</v>
      </c>
      <c r="CX321" s="18"/>
      <c r="CY321" s="7">
        <v>0</v>
      </c>
      <c r="CZ321" s="18"/>
      <c r="DA321" s="3">
        <v>0</v>
      </c>
      <c r="DB321" s="18"/>
      <c r="DC321" s="11">
        <v>0</v>
      </c>
      <c r="DD321" s="18"/>
      <c r="DE321" s="7">
        <v>0</v>
      </c>
      <c r="DF321" s="7">
        <v>0</v>
      </c>
      <c r="DG321" s="7">
        <v>38295.69921875</v>
      </c>
      <c r="DH321" s="3" t="s">
        <v>312</v>
      </c>
      <c r="DI321" s="3" t="s">
        <v>312</v>
      </c>
      <c r="DJ321" s="3" t="s">
        <v>314</v>
      </c>
      <c r="DK321" s="3">
        <v>38300</v>
      </c>
      <c r="DL321" s="3">
        <v>3400000</v>
      </c>
      <c r="DM321" s="3">
        <v>38500</v>
      </c>
      <c r="DN321" s="3">
        <v>0</v>
      </c>
      <c r="DO321" s="3">
        <v>24500</v>
      </c>
      <c r="DP321" s="3">
        <v>2863350</v>
      </c>
      <c r="DQ321" s="28">
        <v>38000</v>
      </c>
      <c r="DR321" s="32">
        <v>0</v>
      </c>
      <c r="DS321" s="32">
        <v>24500</v>
      </c>
      <c r="DT321" s="32" t="s">
        <v>33</v>
      </c>
      <c r="DU321" s="69">
        <v>44784</v>
      </c>
    </row>
    <row r="322" spans="1:125" x14ac:dyDescent="0.25">
      <c r="A322" t="s">
        <v>108</v>
      </c>
      <c r="B322" s="2">
        <v>44798</v>
      </c>
      <c r="C322" s="1">
        <v>900</v>
      </c>
      <c r="D322">
        <v>99</v>
      </c>
      <c r="M322" s="3"/>
      <c r="O322" s="3">
        <v>30900</v>
      </c>
      <c r="P322" s="7">
        <v>1.75</v>
      </c>
      <c r="Q322" s="7">
        <v>1.4500000476837158</v>
      </c>
      <c r="R322" s="7">
        <v>2.3499999046325684</v>
      </c>
      <c r="S322" s="7">
        <v>2.2000000476837158</v>
      </c>
      <c r="T322" s="11">
        <v>21.171875</v>
      </c>
      <c r="U322" s="11">
        <v>222026.15625</v>
      </c>
      <c r="V322" s="11">
        <v>-4.90625</v>
      </c>
      <c r="W322" s="11">
        <v>285001.625</v>
      </c>
      <c r="X322" s="14">
        <v>-4.2700776248238981E-10</v>
      </c>
      <c r="Y322" s="14">
        <v>7.5705329436459579E-6</v>
      </c>
      <c r="Z322" s="14">
        <v>-1.8599166651256382E-9</v>
      </c>
      <c r="AA322" s="14">
        <v>1.0925759852398187E-5</v>
      </c>
      <c r="AB322" s="15">
        <v>3.7370107008882769E-13</v>
      </c>
      <c r="AC322" s="15">
        <v>-2.2502466556773015E-9</v>
      </c>
      <c r="AD322" s="13">
        <v>3.383636474609375E-3</v>
      </c>
      <c r="AE322" s="13">
        <v>33.789604187011719</v>
      </c>
      <c r="AF322" s="12">
        <v>6.6375732421875E-4</v>
      </c>
      <c r="AG322" s="12">
        <v>-48.765010833740234</v>
      </c>
      <c r="AH322" s="13">
        <v>-2.4897417461033911E-10</v>
      </c>
      <c r="AI322" s="13">
        <v>2.210775619460037E-6</v>
      </c>
      <c r="AJ322" s="11">
        <v>-8.0317258834838867E-6</v>
      </c>
      <c r="AK322" s="11">
        <v>0.13028194010257721</v>
      </c>
      <c r="AL322" s="11">
        <v>0</v>
      </c>
      <c r="AM322" s="11">
        <v>-1.75</v>
      </c>
      <c r="AN322" s="11">
        <v>1.1571682989597321E-7</v>
      </c>
      <c r="AO322" s="11">
        <v>-2.0234801340848207E-3</v>
      </c>
      <c r="AP322" s="11">
        <v>142.55402088165283</v>
      </c>
      <c r="AQ322" s="11">
        <v>25150</v>
      </c>
      <c r="AR322" s="16">
        <v>625</v>
      </c>
      <c r="AS322" s="16">
        <v>2475</v>
      </c>
      <c r="AT322" s="16">
        <v>142.55402088165283</v>
      </c>
      <c r="AU322" s="7">
        <v>0</v>
      </c>
      <c r="AV322" s="7">
        <v>1.75</v>
      </c>
      <c r="AW322" s="7">
        <v>0</v>
      </c>
      <c r="AX322" s="7">
        <v>-4297.05</v>
      </c>
      <c r="AY322" s="11">
        <v>0</v>
      </c>
      <c r="AZ322" s="16">
        <v>0</v>
      </c>
      <c r="BA322" s="16">
        <v>0</v>
      </c>
      <c r="BB322" s="16">
        <v>0</v>
      </c>
      <c r="BC322" s="11">
        <v>0</v>
      </c>
      <c r="BD322" s="11">
        <v>0</v>
      </c>
      <c r="BE322" s="11">
        <v>0</v>
      </c>
      <c r="BF322" s="11">
        <v>0</v>
      </c>
      <c r="BG322" s="11">
        <v>0</v>
      </c>
      <c r="BH322" s="11">
        <v>0</v>
      </c>
      <c r="BI322" s="13">
        <v>0</v>
      </c>
      <c r="BJ322" s="13">
        <v>0</v>
      </c>
      <c r="BK322" s="11">
        <v>0</v>
      </c>
      <c r="BL322" s="12">
        <v>0</v>
      </c>
      <c r="BM322" s="12">
        <v>0</v>
      </c>
      <c r="BN322" s="13">
        <v>0</v>
      </c>
      <c r="BO322" s="13">
        <v>0</v>
      </c>
      <c r="BP322" s="15">
        <v>0</v>
      </c>
      <c r="BQ322" s="15">
        <v>0</v>
      </c>
      <c r="BR322" s="14">
        <v>0</v>
      </c>
      <c r="BS322" s="14">
        <v>0</v>
      </c>
      <c r="BT322" s="14">
        <v>0</v>
      </c>
      <c r="BU322" s="14">
        <v>0</v>
      </c>
      <c r="BV322" s="11">
        <v>0</v>
      </c>
      <c r="BW322" s="11">
        <v>0</v>
      </c>
      <c r="BX322" s="11">
        <v>0</v>
      </c>
      <c r="BY322" s="11">
        <v>0</v>
      </c>
      <c r="BZ322" s="7">
        <v>0</v>
      </c>
      <c r="CA322" s="7">
        <v>0</v>
      </c>
      <c r="CB322" s="7">
        <v>0</v>
      </c>
      <c r="CC322" s="7">
        <v>0</v>
      </c>
      <c r="CD322" s="7">
        <v>0</v>
      </c>
      <c r="CE322" s="3">
        <v>0</v>
      </c>
      <c r="CF322" s="7">
        <v>0</v>
      </c>
      <c r="CG322" s="3">
        <v>0</v>
      </c>
      <c r="CH322" s="7">
        <v>0</v>
      </c>
      <c r="CI322" s="7">
        <v>1.7000000476837158</v>
      </c>
      <c r="CJ322" s="3">
        <v>25</v>
      </c>
      <c r="CK322" s="7">
        <v>1.6499999761581421</v>
      </c>
      <c r="CL322" s="3">
        <v>125</v>
      </c>
      <c r="CM322" s="7">
        <v>2.0899999141693115</v>
      </c>
      <c r="CN322" s="10">
        <v>44783.636701388888</v>
      </c>
      <c r="CO322" s="10">
        <v>44783.638194444444</v>
      </c>
      <c r="CP322" s="7">
        <v>38295.69921875</v>
      </c>
      <c r="CQ322" s="17" t="s">
        <v>321</v>
      </c>
      <c r="CR322" s="10">
        <v>44783.638194444444</v>
      </c>
      <c r="CS322" s="12">
        <v>1.0061264038085938E-2</v>
      </c>
      <c r="CT322" s="18">
        <v>7.0583587442611114E-5</v>
      </c>
      <c r="CU322" s="3">
        <v>1850</v>
      </c>
      <c r="CV322" s="18">
        <v>0.33783783783783783</v>
      </c>
      <c r="CW322" s="7">
        <v>1.75</v>
      </c>
      <c r="CX322" s="18">
        <v>0</v>
      </c>
      <c r="CY322" s="7">
        <v>4297.05</v>
      </c>
      <c r="CZ322" s="18">
        <v>-1</v>
      </c>
      <c r="DA322" s="3">
        <v>0</v>
      </c>
      <c r="DB322" s="18"/>
      <c r="DC322" s="11">
        <v>0</v>
      </c>
      <c r="DD322" s="18"/>
      <c r="DE322" s="7">
        <v>4297.05</v>
      </c>
      <c r="DF322" s="7">
        <v>1.75</v>
      </c>
      <c r="DG322" s="7">
        <v>38295.69921875</v>
      </c>
      <c r="DH322" s="3" t="s">
        <v>313</v>
      </c>
      <c r="DI322" s="3" t="s">
        <v>312</v>
      </c>
      <c r="DJ322" s="3" t="s">
        <v>314</v>
      </c>
      <c r="DK322" s="3">
        <v>38300</v>
      </c>
      <c r="DL322" s="3">
        <v>3400000</v>
      </c>
      <c r="DM322" s="3">
        <v>38500</v>
      </c>
      <c r="DN322" s="3">
        <v>0</v>
      </c>
      <c r="DO322" s="3">
        <v>24500</v>
      </c>
      <c r="DP322" s="3">
        <v>2863350</v>
      </c>
      <c r="DQ322" s="28">
        <v>38000</v>
      </c>
      <c r="DR322" s="32">
        <v>0</v>
      </c>
      <c r="DS322" s="32">
        <v>24500</v>
      </c>
      <c r="DT322" s="32" t="s">
        <v>33</v>
      </c>
      <c r="DU322" s="69">
        <v>44784</v>
      </c>
    </row>
    <row r="323" spans="1:125" x14ac:dyDescent="0.25">
      <c r="A323" t="s">
        <v>108</v>
      </c>
      <c r="B323" s="2">
        <v>44833</v>
      </c>
      <c r="C323" s="1">
        <v>900</v>
      </c>
      <c r="D323">
        <v>99</v>
      </c>
      <c r="M323" s="3"/>
      <c r="O323" s="3">
        <v>31000</v>
      </c>
      <c r="P323" s="7">
        <v>1.7000000476837158</v>
      </c>
      <c r="Q323" s="7">
        <v>1.5</v>
      </c>
      <c r="R323" s="7">
        <v>2.4000000953674316</v>
      </c>
      <c r="S323" s="7">
        <v>2.2000000476837158</v>
      </c>
      <c r="T323" s="11">
        <v>-20.796875</v>
      </c>
      <c r="U323" s="11">
        <v>224761.375</v>
      </c>
      <c r="V323" s="11">
        <v>-54.15625</v>
      </c>
      <c r="W323" s="11">
        <v>293361.25</v>
      </c>
      <c r="X323" s="14">
        <v>2.623892214614898E-9</v>
      </c>
      <c r="Y323" s="14">
        <v>7.6561773312278092E-6</v>
      </c>
      <c r="Z323" s="14">
        <v>2.8458089218474925E-9</v>
      </c>
      <c r="AA323" s="14">
        <v>1.1231562893954106E-5</v>
      </c>
      <c r="AB323" s="15">
        <v>-8.1956663677829056E-13</v>
      </c>
      <c r="AC323" s="15">
        <v>-2.3082180611311287E-9</v>
      </c>
      <c r="AD323" s="13">
        <v>2.6702880859375E-4</v>
      </c>
      <c r="AE323" s="13">
        <v>34.188503265380859</v>
      </c>
      <c r="AF323" s="12">
        <v>4.085540771484375E-3</v>
      </c>
      <c r="AG323" s="12">
        <v>-50.154319763183594</v>
      </c>
      <c r="AH323" s="13">
        <v>5.3637450037058443E-10</v>
      </c>
      <c r="AI323" s="13">
        <v>2.2275601168075809E-6</v>
      </c>
      <c r="AJ323" s="11">
        <v>2.7418136596679688E-6</v>
      </c>
      <c r="AK323" s="11">
        <v>0.12899152934551239</v>
      </c>
      <c r="AL323" s="11">
        <v>0</v>
      </c>
      <c r="AM323" s="11">
        <v>-1.7000000476837158</v>
      </c>
      <c r="AN323" s="11">
        <v>-2.4470500648021698E-7</v>
      </c>
      <c r="AO323" s="11">
        <v>-2.0021712407469749E-3</v>
      </c>
      <c r="AP323" s="11">
        <v>140.17480611801147</v>
      </c>
      <c r="AQ323" s="11">
        <v>213900</v>
      </c>
      <c r="AR323" s="16">
        <v>-7600</v>
      </c>
      <c r="AS323" s="16">
        <v>38925</v>
      </c>
      <c r="AT323" s="16">
        <v>140.17480611801147</v>
      </c>
      <c r="AU323" s="7">
        <v>0</v>
      </c>
      <c r="AV323" s="7">
        <v>1.7000000476837158</v>
      </c>
      <c r="AW323" s="7">
        <v>0</v>
      </c>
      <c r="AX323" s="7">
        <v>-4207.25</v>
      </c>
      <c r="AY323" s="11">
        <v>0</v>
      </c>
      <c r="AZ323" s="16">
        <v>0</v>
      </c>
      <c r="BA323" s="16">
        <v>0</v>
      </c>
      <c r="BB323" s="16">
        <v>0</v>
      </c>
      <c r="BC323" s="11">
        <v>0</v>
      </c>
      <c r="BD323" s="11">
        <v>0</v>
      </c>
      <c r="BE323" s="11">
        <v>0</v>
      </c>
      <c r="BF323" s="11">
        <v>0</v>
      </c>
      <c r="BG323" s="11">
        <v>0</v>
      </c>
      <c r="BH323" s="11">
        <v>0</v>
      </c>
      <c r="BI323" s="13">
        <v>0</v>
      </c>
      <c r="BJ323" s="13">
        <v>0</v>
      </c>
      <c r="BK323" s="11">
        <v>0</v>
      </c>
      <c r="BL323" s="12">
        <v>0</v>
      </c>
      <c r="BM323" s="12">
        <v>0</v>
      </c>
      <c r="BN323" s="13">
        <v>0</v>
      </c>
      <c r="BO323" s="13">
        <v>0</v>
      </c>
      <c r="BP323" s="15">
        <v>0</v>
      </c>
      <c r="BQ323" s="15">
        <v>0</v>
      </c>
      <c r="BR323" s="14">
        <v>0</v>
      </c>
      <c r="BS323" s="14">
        <v>0</v>
      </c>
      <c r="BT323" s="14">
        <v>0</v>
      </c>
      <c r="BU323" s="14">
        <v>0</v>
      </c>
      <c r="BV323" s="11">
        <v>0</v>
      </c>
      <c r="BW323" s="11">
        <v>0</v>
      </c>
      <c r="BX323" s="11">
        <v>0</v>
      </c>
      <c r="BY323" s="11">
        <v>0</v>
      </c>
      <c r="BZ323" s="7">
        <v>0</v>
      </c>
      <c r="CA323" s="7">
        <v>0</v>
      </c>
      <c r="CB323" s="7">
        <v>0</v>
      </c>
      <c r="CC323" s="7">
        <v>0</v>
      </c>
      <c r="CD323" s="7">
        <v>0</v>
      </c>
      <c r="CE323" s="3">
        <v>0</v>
      </c>
      <c r="CF323" s="7">
        <v>0</v>
      </c>
      <c r="CG323" s="3">
        <v>0</v>
      </c>
      <c r="CH323" s="7">
        <v>0</v>
      </c>
      <c r="CI323" s="7">
        <v>1.75</v>
      </c>
      <c r="CJ323" s="3">
        <v>750</v>
      </c>
      <c r="CK323" s="7">
        <v>1.7000000476837158</v>
      </c>
      <c r="CL323" s="3">
        <v>25</v>
      </c>
      <c r="CM323" s="7">
        <v>1.9600000381469727</v>
      </c>
      <c r="CN323" s="10">
        <v>44783.636701388888</v>
      </c>
      <c r="CO323" s="10">
        <v>44783.638194444444</v>
      </c>
      <c r="CP323" s="7">
        <v>38295.69921875</v>
      </c>
      <c r="CQ323" s="17" t="s">
        <v>321</v>
      </c>
      <c r="CR323" s="10">
        <v>44783.638194444444</v>
      </c>
      <c r="CS323" s="12">
        <v>-5.6624412536621094E-3</v>
      </c>
      <c r="CT323" s="18">
        <v>-4.039393869815863E-5</v>
      </c>
      <c r="CU323" s="3">
        <v>46525</v>
      </c>
      <c r="CV323" s="18">
        <v>-0.16335303600214937</v>
      </c>
      <c r="CW323" s="7">
        <v>1.7000000476837158</v>
      </c>
      <c r="CX323" s="18">
        <v>0</v>
      </c>
      <c r="CY323" s="7">
        <v>4207.25</v>
      </c>
      <c r="CZ323" s="18">
        <v>-1</v>
      </c>
      <c r="DA323" s="3">
        <v>0</v>
      </c>
      <c r="DB323" s="18"/>
      <c r="DC323" s="11">
        <v>0</v>
      </c>
      <c r="DD323" s="18"/>
      <c r="DE323" s="7">
        <v>4207.25</v>
      </c>
      <c r="DF323" s="7">
        <v>1.7000000476837158</v>
      </c>
      <c r="DG323" s="7">
        <v>38295.69921875</v>
      </c>
      <c r="DH323" s="3" t="s">
        <v>313</v>
      </c>
      <c r="DI323" s="3" t="s">
        <v>312</v>
      </c>
      <c r="DJ323" s="3" t="s">
        <v>314</v>
      </c>
      <c r="DK323" s="3">
        <v>38300</v>
      </c>
      <c r="DL323" s="3">
        <v>3400000</v>
      </c>
      <c r="DM323" s="3">
        <v>38500</v>
      </c>
      <c r="DN323" s="3">
        <v>0</v>
      </c>
      <c r="DO323" s="3">
        <v>24500</v>
      </c>
      <c r="DP323" s="3">
        <v>2863350</v>
      </c>
      <c r="DQ323" s="28">
        <v>38000</v>
      </c>
      <c r="DR323" s="32">
        <v>0</v>
      </c>
      <c r="DS323" s="32">
        <v>24500</v>
      </c>
      <c r="DT323" s="32" t="s">
        <v>33</v>
      </c>
      <c r="DU323" s="69">
        <v>44784</v>
      </c>
    </row>
    <row r="324" spans="1:125" x14ac:dyDescent="0.25">
      <c r="A324" t="s">
        <v>108</v>
      </c>
      <c r="B324" s="2">
        <v>44861</v>
      </c>
      <c r="C324" s="1">
        <v>900</v>
      </c>
      <c r="D324">
        <v>99</v>
      </c>
      <c r="M324" s="3"/>
      <c r="O324" s="3">
        <v>31100</v>
      </c>
      <c r="P324" s="7">
        <v>1.8999999761581421</v>
      </c>
      <c r="Q324" s="7">
        <v>1.6499999761581421</v>
      </c>
      <c r="R324" s="7">
        <v>3.6500000953674316</v>
      </c>
      <c r="S324" s="7">
        <v>2.6500000953674316</v>
      </c>
      <c r="T324" s="11">
        <v>4.3125</v>
      </c>
      <c r="U324" s="11">
        <v>199915.984375</v>
      </c>
      <c r="V324" s="11">
        <v>-11.296875</v>
      </c>
      <c r="W324" s="11">
        <v>261105.5</v>
      </c>
      <c r="X324" s="14">
        <v>3.5652192309498787E-10</v>
      </c>
      <c r="Y324" s="14">
        <v>8.2320902947685681E-6</v>
      </c>
      <c r="Z324" s="14">
        <v>-2.6193447411060333E-10</v>
      </c>
      <c r="AA324" s="14">
        <v>1.2116393918404356E-5</v>
      </c>
      <c r="AB324" s="15">
        <v>0</v>
      </c>
      <c r="AC324" s="15">
        <v>-2.5292250516173453E-9</v>
      </c>
      <c r="AD324" s="13">
        <v>1.3275146484375E-3</v>
      </c>
      <c r="AE324" s="13">
        <v>30.688198089599609</v>
      </c>
      <c r="AF324" s="12">
        <v>9.765625E-4</v>
      </c>
      <c r="AG324" s="12">
        <v>-45.16839599609375</v>
      </c>
      <c r="AH324" s="13">
        <v>0</v>
      </c>
      <c r="AI324" s="13">
        <v>2.4607309114799136E-6</v>
      </c>
      <c r="AJ324" s="11">
        <v>-3.0696392059326172E-6</v>
      </c>
      <c r="AK324" s="11">
        <v>0.14200322329998016</v>
      </c>
      <c r="AL324" s="11">
        <v>0</v>
      </c>
      <c r="AM324" s="11">
        <v>-1.8999999761581421</v>
      </c>
      <c r="AN324" s="11">
        <v>0</v>
      </c>
      <c r="AO324" s="11">
        <v>-2.2260225377976894E-3</v>
      </c>
      <c r="AP324" s="11">
        <v>139.7003173828125</v>
      </c>
      <c r="AQ324" s="11">
        <v>6725</v>
      </c>
      <c r="AR324" s="16">
        <v>1100</v>
      </c>
      <c r="AS324" s="16">
        <v>1800</v>
      </c>
      <c r="AT324" s="16">
        <v>139.7003173828125</v>
      </c>
      <c r="AU324" s="7">
        <v>0</v>
      </c>
      <c r="AV324" s="7">
        <v>1.8999999761581421</v>
      </c>
      <c r="AW324" s="7">
        <v>0</v>
      </c>
      <c r="AX324" s="7">
        <v>-4118.05</v>
      </c>
      <c r="AY324" s="11">
        <v>0</v>
      </c>
      <c r="AZ324" s="16">
        <v>0</v>
      </c>
      <c r="BA324" s="16">
        <v>0</v>
      </c>
      <c r="BB324" s="16">
        <v>0</v>
      </c>
      <c r="BC324" s="11">
        <v>0</v>
      </c>
      <c r="BD324" s="11">
        <v>0</v>
      </c>
      <c r="BE324" s="11">
        <v>0</v>
      </c>
      <c r="BF324" s="11">
        <v>0</v>
      </c>
      <c r="BG324" s="11">
        <v>0</v>
      </c>
      <c r="BH324" s="11">
        <v>0</v>
      </c>
      <c r="BI324" s="13">
        <v>0</v>
      </c>
      <c r="BJ324" s="13">
        <v>0</v>
      </c>
      <c r="BK324" s="11">
        <v>0</v>
      </c>
      <c r="BL324" s="12">
        <v>0</v>
      </c>
      <c r="BM324" s="12">
        <v>0</v>
      </c>
      <c r="BN324" s="13">
        <v>0</v>
      </c>
      <c r="BO324" s="13">
        <v>0</v>
      </c>
      <c r="BP324" s="15">
        <v>0</v>
      </c>
      <c r="BQ324" s="15">
        <v>0</v>
      </c>
      <c r="BR324" s="14">
        <v>0</v>
      </c>
      <c r="BS324" s="14">
        <v>0</v>
      </c>
      <c r="BT324" s="14">
        <v>0</v>
      </c>
      <c r="BU324" s="14">
        <v>0</v>
      </c>
      <c r="BV324" s="11">
        <v>0</v>
      </c>
      <c r="BW324" s="11">
        <v>0</v>
      </c>
      <c r="BX324" s="11">
        <v>0</v>
      </c>
      <c r="BY324" s="11">
        <v>0</v>
      </c>
      <c r="BZ324" s="7">
        <v>0</v>
      </c>
      <c r="CA324" s="7">
        <v>0</v>
      </c>
      <c r="CB324" s="7">
        <v>0</v>
      </c>
      <c r="CC324" s="7">
        <v>0</v>
      </c>
      <c r="CD324" s="7">
        <v>0</v>
      </c>
      <c r="CE324" s="3">
        <v>0</v>
      </c>
      <c r="CF324" s="7">
        <v>0</v>
      </c>
      <c r="CG324" s="3">
        <v>0</v>
      </c>
      <c r="CH324" s="7">
        <v>0</v>
      </c>
      <c r="CI324" s="7">
        <v>1.8999999761581421</v>
      </c>
      <c r="CJ324" s="3">
        <v>150</v>
      </c>
      <c r="CK324" s="7">
        <v>1.8500000238418579</v>
      </c>
      <c r="CL324" s="3">
        <v>350</v>
      </c>
      <c r="CM324" s="7">
        <v>2.0399999618530273</v>
      </c>
      <c r="CN324" s="10">
        <v>44783.636701388888</v>
      </c>
      <c r="CO324" s="10">
        <v>44783.638194444444</v>
      </c>
      <c r="CP324" s="7">
        <v>38295.69921875</v>
      </c>
      <c r="CQ324" s="17" t="s">
        <v>321</v>
      </c>
      <c r="CR324" s="10">
        <v>44783.638194444444</v>
      </c>
      <c r="CS324" s="12">
        <v>3.0279159545898438E-3</v>
      </c>
      <c r="CT324" s="18">
        <v>2.1674836828585664E-5</v>
      </c>
      <c r="CU324" s="3">
        <v>700</v>
      </c>
      <c r="CV324" s="18">
        <v>1.5714285714285714</v>
      </c>
      <c r="CW324" s="7">
        <v>1.8999999761581421</v>
      </c>
      <c r="CX324" s="18">
        <v>0</v>
      </c>
      <c r="CY324" s="7">
        <v>4118.05</v>
      </c>
      <c r="CZ324" s="18">
        <v>-1</v>
      </c>
      <c r="DA324" s="3">
        <v>0</v>
      </c>
      <c r="DB324" s="18"/>
      <c r="DC324" s="11">
        <v>0</v>
      </c>
      <c r="DD324" s="18"/>
      <c r="DE324" s="7">
        <v>4118.05</v>
      </c>
      <c r="DF324" s="7">
        <v>1.8999999761581421</v>
      </c>
      <c r="DG324" s="7">
        <v>38295.69921875</v>
      </c>
      <c r="DH324" s="3" t="s">
        <v>313</v>
      </c>
      <c r="DI324" s="3" t="s">
        <v>312</v>
      </c>
      <c r="DJ324" s="3" t="s">
        <v>314</v>
      </c>
      <c r="DK324" s="3">
        <v>38300</v>
      </c>
      <c r="DL324" s="3">
        <v>3400000</v>
      </c>
      <c r="DM324" s="3">
        <v>38500</v>
      </c>
      <c r="DN324" s="3">
        <v>0</v>
      </c>
      <c r="DO324" s="3">
        <v>24500</v>
      </c>
      <c r="DP324" s="3">
        <v>2863350</v>
      </c>
      <c r="DQ324" s="28">
        <v>38000</v>
      </c>
      <c r="DR324" s="32">
        <v>0</v>
      </c>
      <c r="DS324" s="32">
        <v>24500</v>
      </c>
      <c r="DT324" s="32" t="s">
        <v>33</v>
      </c>
      <c r="DU324" s="69">
        <v>44784</v>
      </c>
    </row>
    <row r="325" spans="1:125" x14ac:dyDescent="0.25">
      <c r="A325" t="s">
        <v>109</v>
      </c>
      <c r="B325" s="2">
        <v>44798</v>
      </c>
      <c r="C325" s="1">
        <v>2800</v>
      </c>
      <c r="D325">
        <v>81</v>
      </c>
      <c r="M325" s="3"/>
      <c r="O325" s="3">
        <v>31200</v>
      </c>
      <c r="P325" s="7">
        <v>1.8500000238418579</v>
      </c>
      <c r="Q325" s="7">
        <v>1.6499999761581421</v>
      </c>
      <c r="R325" s="7">
        <v>3.0499999523162842</v>
      </c>
      <c r="S325" s="7">
        <v>3.0499999523162842</v>
      </c>
      <c r="T325" s="11">
        <v>8.71875</v>
      </c>
      <c r="U325" s="11">
        <v>202041.765625</v>
      </c>
      <c r="V325" s="11">
        <v>-23.1875</v>
      </c>
      <c r="W325" s="11">
        <v>268656.15625</v>
      </c>
      <c r="X325" s="14">
        <v>7.1759131969884038E-10</v>
      </c>
      <c r="Y325" s="14">
        <v>8.3093691500835121E-6</v>
      </c>
      <c r="Z325" s="14">
        <v>-5.3751136874780059E-10</v>
      </c>
      <c r="AA325" s="14">
        <v>1.2447781045921147E-5</v>
      </c>
      <c r="AB325" s="15">
        <v>0</v>
      </c>
      <c r="AC325" s="15">
        <v>-2.590692993464927E-9</v>
      </c>
      <c r="AD325" s="13">
        <v>2.6760101318359375E-3</v>
      </c>
      <c r="AE325" s="13">
        <v>30.970727920532227</v>
      </c>
      <c r="AF325" s="12">
        <v>2.00653076171875E-3</v>
      </c>
      <c r="AG325" s="12">
        <v>-46.395439147949219</v>
      </c>
      <c r="AH325" s="13">
        <v>0</v>
      </c>
      <c r="AI325" s="13">
        <v>2.4789394501567585E-6</v>
      </c>
      <c r="AJ325" s="11">
        <v>-6.0796737670898438E-6</v>
      </c>
      <c r="AK325" s="11">
        <v>0.14087212085723877</v>
      </c>
      <c r="AL325" s="11">
        <v>0</v>
      </c>
      <c r="AM325" s="11">
        <v>-1.8500000238418579</v>
      </c>
      <c r="AN325" s="11">
        <v>0</v>
      </c>
      <c r="AO325" s="11">
        <v>-2.2049129474908113E-3</v>
      </c>
      <c r="AP325" s="11">
        <v>137.39418983459473</v>
      </c>
      <c r="AQ325" s="11">
        <v>16925</v>
      </c>
      <c r="AR325" s="16">
        <v>725</v>
      </c>
      <c r="AS325" s="16">
        <v>3025</v>
      </c>
      <c r="AT325" s="16">
        <v>137.39418983459473</v>
      </c>
      <c r="AU325" s="7">
        <v>0</v>
      </c>
      <c r="AV325" s="7">
        <v>1.8500000238418579</v>
      </c>
      <c r="AW325" s="7">
        <v>0</v>
      </c>
      <c r="AX325" s="7">
        <v>-4029.5</v>
      </c>
      <c r="AY325" s="11">
        <v>0</v>
      </c>
      <c r="AZ325" s="16">
        <v>0</v>
      </c>
      <c r="BA325" s="16">
        <v>0</v>
      </c>
      <c r="BB325" s="16">
        <v>0</v>
      </c>
      <c r="BC325" s="11">
        <v>0</v>
      </c>
      <c r="BD325" s="11">
        <v>0</v>
      </c>
      <c r="BE325" s="11">
        <v>0</v>
      </c>
      <c r="BF325" s="11">
        <v>0</v>
      </c>
      <c r="BG325" s="11">
        <v>0</v>
      </c>
      <c r="BH325" s="11">
        <v>0</v>
      </c>
      <c r="BI325" s="13">
        <v>0</v>
      </c>
      <c r="BJ325" s="13">
        <v>0</v>
      </c>
      <c r="BK325" s="11">
        <v>0</v>
      </c>
      <c r="BL325" s="12">
        <v>0</v>
      </c>
      <c r="BM325" s="12">
        <v>0</v>
      </c>
      <c r="BN325" s="13">
        <v>0</v>
      </c>
      <c r="BO325" s="13">
        <v>0</v>
      </c>
      <c r="BP325" s="15">
        <v>0</v>
      </c>
      <c r="BQ325" s="15">
        <v>0</v>
      </c>
      <c r="BR325" s="14">
        <v>0</v>
      </c>
      <c r="BS325" s="14">
        <v>0</v>
      </c>
      <c r="BT325" s="14">
        <v>0</v>
      </c>
      <c r="BU325" s="14">
        <v>0</v>
      </c>
      <c r="BV325" s="11">
        <v>0</v>
      </c>
      <c r="BW325" s="11">
        <v>0</v>
      </c>
      <c r="BX325" s="11">
        <v>0</v>
      </c>
      <c r="BY325" s="11">
        <v>0</v>
      </c>
      <c r="BZ325" s="7">
        <v>0</v>
      </c>
      <c r="CA325" s="7">
        <v>0</v>
      </c>
      <c r="CB325" s="7">
        <v>0</v>
      </c>
      <c r="CC325" s="7">
        <v>0</v>
      </c>
      <c r="CD325" s="7">
        <v>0</v>
      </c>
      <c r="CE325" s="3">
        <v>0</v>
      </c>
      <c r="CF325" s="7">
        <v>0</v>
      </c>
      <c r="CG325" s="3">
        <v>0</v>
      </c>
      <c r="CH325" s="7">
        <v>0</v>
      </c>
      <c r="CI325" s="7">
        <v>2.1500000953674316</v>
      </c>
      <c r="CJ325" s="3">
        <v>200</v>
      </c>
      <c r="CK325" s="7">
        <v>1.75</v>
      </c>
      <c r="CL325" s="3">
        <v>175</v>
      </c>
      <c r="CM325" s="7">
        <v>2.1400001049041748</v>
      </c>
      <c r="CN325" s="10">
        <v>44783.636701388888</v>
      </c>
      <c r="CO325" s="10">
        <v>44783.638194444444</v>
      </c>
      <c r="CP325" s="7">
        <v>38295.69921875</v>
      </c>
      <c r="CQ325" s="17" t="s">
        <v>321</v>
      </c>
      <c r="CR325" s="10">
        <v>44783.638194444444</v>
      </c>
      <c r="CS325" s="12">
        <v>5.9366226196289063E-3</v>
      </c>
      <c r="CT325" s="18">
        <v>4.3210554620483784E-5</v>
      </c>
      <c r="CU325" s="3">
        <v>2300</v>
      </c>
      <c r="CV325" s="18">
        <v>0.31521739130434784</v>
      </c>
      <c r="CW325" s="7">
        <v>1.8500000238418579</v>
      </c>
      <c r="CX325" s="18">
        <v>0</v>
      </c>
      <c r="CY325" s="7">
        <v>4029.5</v>
      </c>
      <c r="CZ325" s="18">
        <v>-1</v>
      </c>
      <c r="DA325" s="3">
        <v>0</v>
      </c>
      <c r="DB325" s="18"/>
      <c r="DC325" s="11">
        <v>0</v>
      </c>
      <c r="DD325" s="18"/>
      <c r="DE325" s="7">
        <v>4029.5</v>
      </c>
      <c r="DF325" s="7">
        <v>1.8500000238418579</v>
      </c>
      <c r="DG325" s="7">
        <v>38295.69921875</v>
      </c>
      <c r="DH325" s="3" t="s">
        <v>313</v>
      </c>
      <c r="DI325" s="3" t="s">
        <v>312</v>
      </c>
      <c r="DJ325" s="3" t="s">
        <v>314</v>
      </c>
      <c r="DK325" s="3">
        <v>38300</v>
      </c>
      <c r="DL325" s="3">
        <v>3400000</v>
      </c>
      <c r="DM325" s="3">
        <v>38500</v>
      </c>
      <c r="DN325" s="3">
        <v>0</v>
      </c>
      <c r="DO325" s="3">
        <v>24500</v>
      </c>
      <c r="DP325" s="3">
        <v>2863350</v>
      </c>
      <c r="DQ325" s="28">
        <v>38000</v>
      </c>
      <c r="DR325" s="32">
        <v>0</v>
      </c>
      <c r="DS325" s="32">
        <v>24500</v>
      </c>
      <c r="DT325" s="32" t="s">
        <v>33</v>
      </c>
      <c r="DU325" s="69">
        <v>44784</v>
      </c>
    </row>
    <row r="326" spans="1:125" x14ac:dyDescent="0.25">
      <c r="A326" t="s">
        <v>109</v>
      </c>
      <c r="B326" s="2">
        <v>44833</v>
      </c>
      <c r="C326" s="1">
        <v>2800</v>
      </c>
      <c r="D326">
        <v>81</v>
      </c>
      <c r="M326" s="3"/>
      <c r="O326" s="3">
        <v>31300</v>
      </c>
      <c r="P326" s="7">
        <v>1.8999999761581421</v>
      </c>
      <c r="Q326" s="7">
        <v>1.6499999761581421</v>
      </c>
      <c r="R326" s="7">
        <v>2.5499999523162842</v>
      </c>
      <c r="S326" s="7">
        <v>2.5499999523162842</v>
      </c>
      <c r="T326" s="11">
        <v>-37.75</v>
      </c>
      <c r="U326" s="11">
        <v>194194.453125</v>
      </c>
      <c r="V326" s="11">
        <v>-122.859375</v>
      </c>
      <c r="W326" s="11">
        <v>260876.078125</v>
      </c>
      <c r="X326" s="14">
        <v>7.2586772148497403E-9</v>
      </c>
      <c r="Y326" s="14">
        <v>8.6222016761894338E-6</v>
      </c>
      <c r="Z326" s="14">
        <v>7.4751369538716972E-9</v>
      </c>
      <c r="AA326" s="14">
        <v>1.3060868695902172E-5</v>
      </c>
      <c r="AB326" s="15">
        <v>-2.2708501745682952E-12</v>
      </c>
      <c r="AC326" s="15">
        <v>-2.7327358154138892E-9</v>
      </c>
      <c r="AD326" s="13">
        <v>1.796722412109375E-3</v>
      </c>
      <c r="AE326" s="13">
        <v>29.877309799194336</v>
      </c>
      <c r="AF326" s="12">
        <v>9.487152099609375E-3</v>
      </c>
      <c r="AG326" s="12">
        <v>-45.258003234863281</v>
      </c>
      <c r="AH326" s="13">
        <v>1.4622401067754254E-9</v>
      </c>
      <c r="AI326" s="13">
        <v>2.5937117698049406E-6</v>
      </c>
      <c r="AJ326" s="11">
        <v>4.3809413909912109E-6</v>
      </c>
      <c r="AK326" s="11">
        <v>0.14550688862800598</v>
      </c>
      <c r="AL326" s="11">
        <v>0</v>
      </c>
      <c r="AM326" s="11">
        <v>-1.8999999761581421</v>
      </c>
      <c r="AN326" s="11">
        <v>-6.5378844738006592E-7</v>
      </c>
      <c r="AO326" s="11">
        <v>-2.2863622289150953E-3</v>
      </c>
      <c r="AP326" s="11">
        <v>135.76900959014893</v>
      </c>
      <c r="AQ326" s="11">
        <v>5150</v>
      </c>
      <c r="AR326" s="16">
        <v>50</v>
      </c>
      <c r="AS326" s="16">
        <v>875</v>
      </c>
      <c r="AT326" s="16">
        <v>135.76900959014893</v>
      </c>
      <c r="AU326" s="7">
        <v>0</v>
      </c>
      <c r="AV326" s="7">
        <v>1.8999999761581421</v>
      </c>
      <c r="AW326" s="7">
        <v>0</v>
      </c>
      <c r="AX326" s="7">
        <v>-3941.6</v>
      </c>
      <c r="AY326" s="11">
        <v>0</v>
      </c>
      <c r="AZ326" s="16">
        <v>0</v>
      </c>
      <c r="BA326" s="16">
        <v>0</v>
      </c>
      <c r="BB326" s="16">
        <v>0</v>
      </c>
      <c r="BC326" s="11">
        <v>0</v>
      </c>
      <c r="BD326" s="11">
        <v>0</v>
      </c>
      <c r="BE326" s="11">
        <v>0</v>
      </c>
      <c r="BF326" s="11">
        <v>0</v>
      </c>
      <c r="BG326" s="11">
        <v>0</v>
      </c>
      <c r="BH326" s="11">
        <v>0</v>
      </c>
      <c r="BI326" s="13">
        <v>0</v>
      </c>
      <c r="BJ326" s="13">
        <v>0</v>
      </c>
      <c r="BK326" s="11">
        <v>0</v>
      </c>
      <c r="BL326" s="12">
        <v>0</v>
      </c>
      <c r="BM326" s="12">
        <v>0</v>
      </c>
      <c r="BN326" s="13">
        <v>0</v>
      </c>
      <c r="BO326" s="13">
        <v>0</v>
      </c>
      <c r="BP326" s="15">
        <v>0</v>
      </c>
      <c r="BQ326" s="15">
        <v>0</v>
      </c>
      <c r="BR326" s="14">
        <v>0</v>
      </c>
      <c r="BS326" s="14">
        <v>0</v>
      </c>
      <c r="BT326" s="14">
        <v>0</v>
      </c>
      <c r="BU326" s="14">
        <v>0</v>
      </c>
      <c r="BV326" s="11">
        <v>0</v>
      </c>
      <c r="BW326" s="11">
        <v>0</v>
      </c>
      <c r="BX326" s="11">
        <v>0</v>
      </c>
      <c r="BY326" s="11">
        <v>0</v>
      </c>
      <c r="BZ326" s="7">
        <v>0</v>
      </c>
      <c r="CA326" s="7">
        <v>0</v>
      </c>
      <c r="CB326" s="7">
        <v>0</v>
      </c>
      <c r="CC326" s="7">
        <v>0</v>
      </c>
      <c r="CD326" s="7">
        <v>0</v>
      </c>
      <c r="CE326" s="3">
        <v>0</v>
      </c>
      <c r="CF326" s="7">
        <v>0</v>
      </c>
      <c r="CG326" s="3">
        <v>0</v>
      </c>
      <c r="CH326" s="7">
        <v>0</v>
      </c>
      <c r="CI326" s="7">
        <v>2</v>
      </c>
      <c r="CJ326" s="3">
        <v>525</v>
      </c>
      <c r="CK326" s="7">
        <v>1.75</v>
      </c>
      <c r="CL326" s="3">
        <v>50</v>
      </c>
      <c r="CM326" s="7">
        <v>2.059999942779541</v>
      </c>
      <c r="CN326" s="10">
        <v>44783.636701388888</v>
      </c>
      <c r="CO326" s="10">
        <v>44783.638194444444</v>
      </c>
      <c r="CP326" s="7">
        <v>38295.69921875</v>
      </c>
      <c r="CQ326" s="17" t="s">
        <v>321</v>
      </c>
      <c r="CR326" s="10">
        <v>44783.638194444444</v>
      </c>
      <c r="CS326" s="12">
        <v>-1.0311603546142578E-2</v>
      </c>
      <c r="CT326" s="18">
        <v>-7.5943843697912072E-5</v>
      </c>
      <c r="CU326" s="3">
        <v>825</v>
      </c>
      <c r="CV326" s="18">
        <v>6.0606060606060608E-2</v>
      </c>
      <c r="CW326" s="7">
        <v>1.8999999761581421</v>
      </c>
      <c r="CX326" s="18">
        <v>0</v>
      </c>
      <c r="CY326" s="7">
        <v>3941.6</v>
      </c>
      <c r="CZ326" s="18">
        <v>-1</v>
      </c>
      <c r="DA326" s="3">
        <v>0</v>
      </c>
      <c r="DB326" s="18"/>
      <c r="DC326" s="11">
        <v>0</v>
      </c>
      <c r="DD326" s="18"/>
      <c r="DE326" s="7">
        <v>3941.6</v>
      </c>
      <c r="DF326" s="7">
        <v>1.8999999761581421</v>
      </c>
      <c r="DG326" s="7">
        <v>38295.69921875</v>
      </c>
      <c r="DH326" s="3" t="s">
        <v>313</v>
      </c>
      <c r="DI326" s="3" t="s">
        <v>312</v>
      </c>
      <c r="DJ326" s="3" t="s">
        <v>314</v>
      </c>
      <c r="DK326" s="3">
        <v>38300</v>
      </c>
      <c r="DL326" s="3">
        <v>3400000</v>
      </c>
      <c r="DM326" s="3">
        <v>38500</v>
      </c>
      <c r="DN326" s="3">
        <v>0</v>
      </c>
      <c r="DO326" s="3">
        <v>24500</v>
      </c>
      <c r="DP326" s="3">
        <v>2863350</v>
      </c>
      <c r="DQ326" s="28">
        <v>38000</v>
      </c>
      <c r="DR326" s="32">
        <v>0</v>
      </c>
      <c r="DS326" s="32">
        <v>24500</v>
      </c>
      <c r="DT326" s="32" t="s">
        <v>33</v>
      </c>
      <c r="DU326" s="69">
        <v>44784</v>
      </c>
    </row>
    <row r="327" spans="1:125" x14ac:dyDescent="0.25">
      <c r="A327" t="s">
        <v>109</v>
      </c>
      <c r="B327" s="2">
        <v>44861</v>
      </c>
      <c r="C327" s="1">
        <v>2800</v>
      </c>
      <c r="D327">
        <v>81</v>
      </c>
      <c r="M327" s="3"/>
      <c r="O327" s="3">
        <v>31400</v>
      </c>
      <c r="P327" s="7">
        <v>1.8999999761581421</v>
      </c>
      <c r="Q327" s="7">
        <v>1.4500000476837158</v>
      </c>
      <c r="R327" s="7">
        <v>2.5</v>
      </c>
      <c r="S327" s="7">
        <v>2.4500000476837158</v>
      </c>
      <c r="T327" s="11">
        <v>13.21875</v>
      </c>
      <c r="U327" s="11">
        <v>191355.28125</v>
      </c>
      <c r="V327" s="11">
        <v>-20.25</v>
      </c>
      <c r="W327" s="11">
        <v>260834.75</v>
      </c>
      <c r="X327" s="14">
        <v>4.5292836148291826E-10</v>
      </c>
      <c r="Y327" s="14">
        <v>8.8233819042216055E-6</v>
      </c>
      <c r="Z327" s="14">
        <v>-1.3005774235352874E-9</v>
      </c>
      <c r="AA327" s="14">
        <v>1.3565933841164224E-5</v>
      </c>
      <c r="AB327" s="15">
        <v>1.6697754290362354E-13</v>
      </c>
      <c r="AC327" s="15">
        <v>-2.8413926767001385E-9</v>
      </c>
      <c r="AD327" s="13">
        <v>3.1414031982421875E-3</v>
      </c>
      <c r="AE327" s="13">
        <v>29.469823837280273</v>
      </c>
      <c r="AF327" s="12">
        <v>1.842498779296875E-3</v>
      </c>
      <c r="AG327" s="12">
        <v>-45.309799194335938</v>
      </c>
      <c r="AH327" s="13">
        <v>-1.0618350643198937E-10</v>
      </c>
      <c r="AI327" s="13">
        <v>2.6633995275915368E-6</v>
      </c>
      <c r="AJ327" s="11">
        <v>-8.4787607192993164E-6</v>
      </c>
      <c r="AK327" s="11">
        <v>0.14732493460178375</v>
      </c>
      <c r="AL327" s="11">
        <v>0</v>
      </c>
      <c r="AM327" s="11">
        <v>-1.8999999761581421</v>
      </c>
      <c r="AN327" s="11">
        <v>4.6798959374427795E-8</v>
      </c>
      <c r="AO327" s="11">
        <v>-2.3173708468675613E-3</v>
      </c>
      <c r="AP327" s="11">
        <v>133.81046056747437</v>
      </c>
      <c r="AQ327" s="11">
        <v>26175</v>
      </c>
      <c r="AR327" s="16">
        <v>-775</v>
      </c>
      <c r="AS327" s="16">
        <v>3800</v>
      </c>
      <c r="AT327" s="16">
        <v>133.81046056747437</v>
      </c>
      <c r="AU327" s="7">
        <v>0</v>
      </c>
      <c r="AV327" s="7">
        <v>1.8999999761581421</v>
      </c>
      <c r="AW327" s="7">
        <v>0</v>
      </c>
      <c r="AX327" s="7">
        <v>0</v>
      </c>
      <c r="AY327" s="11">
        <v>0</v>
      </c>
      <c r="AZ327" s="16">
        <v>0</v>
      </c>
      <c r="BA327" s="16">
        <v>0</v>
      </c>
      <c r="BB327" s="16">
        <v>0</v>
      </c>
      <c r="BC327" s="11">
        <v>0</v>
      </c>
      <c r="BD327" s="11">
        <v>0</v>
      </c>
      <c r="BE327" s="11">
        <v>0</v>
      </c>
      <c r="BF327" s="11">
        <v>0</v>
      </c>
      <c r="BG327" s="11">
        <v>0</v>
      </c>
      <c r="BH327" s="11">
        <v>0</v>
      </c>
      <c r="BI327" s="13">
        <v>0</v>
      </c>
      <c r="BJ327" s="13">
        <v>0</v>
      </c>
      <c r="BK327" s="11">
        <v>0</v>
      </c>
      <c r="BL327" s="12">
        <v>0</v>
      </c>
      <c r="BM327" s="12">
        <v>0</v>
      </c>
      <c r="BN327" s="13">
        <v>0</v>
      </c>
      <c r="BO327" s="13">
        <v>0</v>
      </c>
      <c r="BP327" s="15">
        <v>0</v>
      </c>
      <c r="BQ327" s="15">
        <v>0</v>
      </c>
      <c r="BR327" s="14">
        <v>0</v>
      </c>
      <c r="BS327" s="14">
        <v>0</v>
      </c>
      <c r="BT327" s="14">
        <v>0</v>
      </c>
      <c r="BU327" s="14">
        <v>0</v>
      </c>
      <c r="BV327" s="11">
        <v>0</v>
      </c>
      <c r="BW327" s="11">
        <v>0</v>
      </c>
      <c r="BX327" s="11">
        <v>0</v>
      </c>
      <c r="BY327" s="11">
        <v>0</v>
      </c>
      <c r="BZ327" s="7">
        <v>0</v>
      </c>
      <c r="CA327" s="7">
        <v>0</v>
      </c>
      <c r="CB327" s="7">
        <v>0</v>
      </c>
      <c r="CC327" s="7">
        <v>0</v>
      </c>
      <c r="CD327" s="7">
        <v>7115.0498046875</v>
      </c>
      <c r="CE327" s="3">
        <v>750</v>
      </c>
      <c r="CF327" s="7">
        <v>6761.2001953125</v>
      </c>
      <c r="CG327" s="3">
        <v>500</v>
      </c>
      <c r="CH327" s="7">
        <v>0</v>
      </c>
      <c r="CI327" s="7">
        <v>1.9500000476837158</v>
      </c>
      <c r="CJ327" s="3">
        <v>200</v>
      </c>
      <c r="CK327" s="7">
        <v>1.7999999523162842</v>
      </c>
      <c r="CL327" s="3">
        <v>150</v>
      </c>
      <c r="CM327" s="7">
        <v>2.2000000476837158</v>
      </c>
      <c r="CN327" s="10">
        <v>44783.638194444444</v>
      </c>
      <c r="CO327" s="10">
        <v>44783.638194444444</v>
      </c>
      <c r="CP327" s="7">
        <v>38295.69921875</v>
      </c>
      <c r="CQ327" s="17" t="s">
        <v>321</v>
      </c>
      <c r="CR327" s="10">
        <v>44783.638194444444</v>
      </c>
      <c r="CS327" s="12">
        <v>8.1419944763183594E-3</v>
      </c>
      <c r="CT327" s="18">
        <v>6.0850922189934708E-5</v>
      </c>
      <c r="CU327" s="3">
        <v>4575</v>
      </c>
      <c r="CV327" s="18">
        <v>-0.16939890710382513</v>
      </c>
      <c r="CW327" s="7">
        <v>1.8999999761581421</v>
      </c>
      <c r="CX327" s="18">
        <v>0</v>
      </c>
      <c r="CY327" s="7">
        <v>0</v>
      </c>
      <c r="CZ327" s="18">
        <v>0</v>
      </c>
      <c r="DA327" s="3">
        <v>0</v>
      </c>
      <c r="DB327" s="18">
        <v>0</v>
      </c>
      <c r="DC327" s="11">
        <v>0</v>
      </c>
      <c r="DD327" s="18">
        <v>0</v>
      </c>
      <c r="DE327" s="7">
        <v>0</v>
      </c>
      <c r="DF327" s="7">
        <v>1.8999999761581421</v>
      </c>
      <c r="DG327" s="7">
        <v>38295.69921875</v>
      </c>
      <c r="DH327" s="3" t="s">
        <v>312</v>
      </c>
      <c r="DI327" s="3" t="s">
        <v>312</v>
      </c>
      <c r="DJ327" s="3" t="s">
        <v>314</v>
      </c>
      <c r="DK327" s="3">
        <v>38300</v>
      </c>
      <c r="DL327" s="3">
        <v>3400000</v>
      </c>
      <c r="DM327" s="3">
        <v>38500</v>
      </c>
      <c r="DN327" s="3">
        <v>0</v>
      </c>
      <c r="DO327" s="3">
        <v>24500</v>
      </c>
      <c r="DP327" s="3">
        <v>2863350</v>
      </c>
      <c r="DQ327" s="28">
        <v>38000</v>
      </c>
      <c r="DR327" s="32">
        <v>0</v>
      </c>
      <c r="DS327" s="32">
        <v>24500</v>
      </c>
      <c r="DT327" s="32" t="s">
        <v>33</v>
      </c>
      <c r="DU327" s="69">
        <v>44784</v>
      </c>
    </row>
    <row r="328" spans="1:125" x14ac:dyDescent="0.25">
      <c r="A328" t="s">
        <v>110</v>
      </c>
      <c r="B328" s="2">
        <v>44798</v>
      </c>
      <c r="C328" s="1">
        <v>300</v>
      </c>
      <c r="D328">
        <v>85</v>
      </c>
      <c r="M328" s="3"/>
      <c r="O328" s="3">
        <v>31500</v>
      </c>
      <c r="P328" s="7">
        <v>1.8500000238418579</v>
      </c>
      <c r="Q328" s="7">
        <v>1.7000000476837158</v>
      </c>
      <c r="R328" s="7">
        <v>2.5499999523162842</v>
      </c>
      <c r="S328" s="7">
        <v>2.5</v>
      </c>
      <c r="T328" s="11">
        <v>-13.765625</v>
      </c>
      <c r="U328" s="11">
        <v>193204.21875</v>
      </c>
      <c r="V328" s="11">
        <v>-87.46875</v>
      </c>
      <c r="W328" s="11">
        <v>267941.4375</v>
      </c>
      <c r="X328" s="14">
        <v>4.75210981676355E-9</v>
      </c>
      <c r="Y328" s="14">
        <v>8.9378218035562895E-6</v>
      </c>
      <c r="Z328" s="14">
        <v>3.9181031752377748E-9</v>
      </c>
      <c r="AA328" s="14">
        <v>1.3977525668451563E-5</v>
      </c>
      <c r="AB328" s="15">
        <v>-1.333377852574813E-12</v>
      </c>
      <c r="AC328" s="15">
        <v>-2.9216589148006733E-9</v>
      </c>
      <c r="AD328" s="13">
        <v>3.0460357666015625E-3</v>
      </c>
      <c r="AE328" s="13">
        <v>29.739198684692383</v>
      </c>
      <c r="AF328" s="12">
        <v>6.931304931640625E-3</v>
      </c>
      <c r="AG328" s="12">
        <v>-46.508022308349609</v>
      </c>
      <c r="AH328" s="13">
        <v>8.3286977314855903E-10</v>
      </c>
      <c r="AI328" s="13">
        <v>2.6900713692157296E-6</v>
      </c>
      <c r="AJ328" s="11">
        <v>-2.5480985641479492E-6</v>
      </c>
      <c r="AK328" s="11">
        <v>0.14621053636074066</v>
      </c>
      <c r="AL328" s="11">
        <v>0</v>
      </c>
      <c r="AM328" s="11">
        <v>-1.8500000238418579</v>
      </c>
      <c r="AN328" s="11">
        <v>-3.6088749766349792E-7</v>
      </c>
      <c r="AO328" s="11">
        <v>-2.2983972448855639E-3</v>
      </c>
      <c r="AP328" s="11">
        <v>131.52050971984863</v>
      </c>
      <c r="AQ328" s="11">
        <v>123475</v>
      </c>
      <c r="AR328" s="16">
        <v>50</v>
      </c>
      <c r="AS328" s="16">
        <v>33600</v>
      </c>
      <c r="AT328" s="16">
        <v>131.52050971984863</v>
      </c>
      <c r="AU328" s="7">
        <v>0</v>
      </c>
      <c r="AV328" s="7">
        <v>1.8500000238418579</v>
      </c>
      <c r="AW328" s="7">
        <v>0</v>
      </c>
      <c r="AX328" s="7">
        <v>0</v>
      </c>
      <c r="AY328" s="11">
        <v>0</v>
      </c>
      <c r="AZ328" s="16">
        <v>0</v>
      </c>
      <c r="BA328" s="16">
        <v>0</v>
      </c>
      <c r="BB328" s="16">
        <v>0</v>
      </c>
      <c r="BC328" s="11">
        <v>0</v>
      </c>
      <c r="BD328" s="11">
        <v>0</v>
      </c>
      <c r="BE328" s="11">
        <v>0</v>
      </c>
      <c r="BF328" s="11">
        <v>0</v>
      </c>
      <c r="BG328" s="11">
        <v>0</v>
      </c>
      <c r="BH328" s="11">
        <v>0</v>
      </c>
      <c r="BI328" s="13">
        <v>0</v>
      </c>
      <c r="BJ328" s="13">
        <v>0</v>
      </c>
      <c r="BK328" s="11">
        <v>0</v>
      </c>
      <c r="BL328" s="12">
        <v>0</v>
      </c>
      <c r="BM328" s="12">
        <v>0</v>
      </c>
      <c r="BN328" s="13">
        <v>0</v>
      </c>
      <c r="BO328" s="13">
        <v>0</v>
      </c>
      <c r="BP328" s="15">
        <v>0</v>
      </c>
      <c r="BQ328" s="15">
        <v>0</v>
      </c>
      <c r="BR328" s="14">
        <v>0</v>
      </c>
      <c r="BS328" s="14">
        <v>0</v>
      </c>
      <c r="BT328" s="14">
        <v>0</v>
      </c>
      <c r="BU328" s="14">
        <v>0</v>
      </c>
      <c r="BV328" s="11">
        <v>0</v>
      </c>
      <c r="BW328" s="11">
        <v>0</v>
      </c>
      <c r="BX328" s="11">
        <v>0</v>
      </c>
      <c r="BY328" s="11">
        <v>0</v>
      </c>
      <c r="BZ328" s="7">
        <v>0</v>
      </c>
      <c r="CA328" s="7">
        <v>0</v>
      </c>
      <c r="CB328" s="7">
        <v>0</v>
      </c>
      <c r="CC328" s="7">
        <v>0</v>
      </c>
      <c r="CD328" s="7">
        <v>6869.9501953125</v>
      </c>
      <c r="CE328" s="3">
        <v>50</v>
      </c>
      <c r="CF328" s="7">
        <v>5833.0498046875</v>
      </c>
      <c r="CG328" s="3">
        <v>750</v>
      </c>
      <c r="CH328" s="7">
        <v>0</v>
      </c>
      <c r="CI328" s="7">
        <v>1.8999999761581421</v>
      </c>
      <c r="CJ328" s="3">
        <v>800</v>
      </c>
      <c r="CK328" s="7">
        <v>1.7999999523162842</v>
      </c>
      <c r="CL328" s="3">
        <v>600</v>
      </c>
      <c r="CM328" s="7">
        <v>2.1400001049041748</v>
      </c>
      <c r="CN328" s="10">
        <v>44783.638194444444</v>
      </c>
      <c r="CO328" s="10">
        <v>44783.638194444444</v>
      </c>
      <c r="CP328" s="7">
        <v>38295.69921875</v>
      </c>
      <c r="CQ328" s="17" t="s">
        <v>321</v>
      </c>
      <c r="CR328" s="10">
        <v>44783.638194444444</v>
      </c>
      <c r="CS328" s="12">
        <v>-1.0251998901367188E-3</v>
      </c>
      <c r="CT328" s="18">
        <v>-7.7949203585735871E-6</v>
      </c>
      <c r="CU328" s="3">
        <v>33550</v>
      </c>
      <c r="CV328" s="18">
        <v>1.4903129657228018E-3</v>
      </c>
      <c r="CW328" s="7">
        <v>1.8500000238418579</v>
      </c>
      <c r="CX328" s="18">
        <v>0</v>
      </c>
      <c r="CY328" s="7">
        <v>0</v>
      </c>
      <c r="CZ328" s="18">
        <v>0</v>
      </c>
      <c r="DA328" s="3">
        <v>0</v>
      </c>
      <c r="DB328" s="18">
        <v>0</v>
      </c>
      <c r="DC328" s="11">
        <v>0</v>
      </c>
      <c r="DD328" s="18">
        <v>0</v>
      </c>
      <c r="DE328" s="7">
        <v>0</v>
      </c>
      <c r="DF328" s="7">
        <v>1.8500000238418579</v>
      </c>
      <c r="DG328" s="7">
        <v>38295.69921875</v>
      </c>
      <c r="DH328" s="3" t="s">
        <v>312</v>
      </c>
      <c r="DI328" s="3" t="s">
        <v>312</v>
      </c>
      <c r="DJ328" s="3" t="s">
        <v>314</v>
      </c>
      <c r="DK328" s="3">
        <v>38300</v>
      </c>
      <c r="DL328" s="3">
        <v>3400000</v>
      </c>
      <c r="DM328" s="3">
        <v>38500</v>
      </c>
      <c r="DN328" s="3">
        <v>0</v>
      </c>
      <c r="DO328" s="3">
        <v>24500</v>
      </c>
      <c r="DP328" s="3">
        <v>2863350</v>
      </c>
      <c r="DQ328" s="28">
        <v>38000</v>
      </c>
      <c r="DR328" s="32">
        <v>0</v>
      </c>
      <c r="DS328" s="32">
        <v>24500</v>
      </c>
      <c r="DT328" s="32" t="s">
        <v>33</v>
      </c>
      <c r="DU328" s="69">
        <v>44784</v>
      </c>
    </row>
    <row r="329" spans="1:125" x14ac:dyDescent="0.25">
      <c r="A329" t="s">
        <v>110</v>
      </c>
      <c r="B329" s="2">
        <v>44833</v>
      </c>
      <c r="C329" s="1">
        <v>300</v>
      </c>
      <c r="D329">
        <v>85</v>
      </c>
      <c r="M329" s="3"/>
      <c r="N329" s="3"/>
      <c r="O329" s="3">
        <v>31600</v>
      </c>
      <c r="P329" s="7">
        <v>2</v>
      </c>
      <c r="Q329" s="7">
        <v>1.6499999761581421</v>
      </c>
      <c r="R329" s="7">
        <v>2.6500000953674316</v>
      </c>
      <c r="S329" s="7">
        <v>2.5999999046325684</v>
      </c>
      <c r="T329" s="11">
        <v>-4.84375</v>
      </c>
      <c r="U329" s="11">
        <v>177009.21875</v>
      </c>
      <c r="V329" s="11">
        <v>-27.125</v>
      </c>
      <c r="W329" s="11">
        <v>246767.15625</v>
      </c>
      <c r="X329" s="14">
        <v>1.7253114492632449E-9</v>
      </c>
      <c r="Y329" s="14">
        <v>9.4803517640684731E-6</v>
      </c>
      <c r="Z329" s="14">
        <v>1.507942215539515E-9</v>
      </c>
      <c r="AA329" s="14">
        <v>1.4934303180780262E-5</v>
      </c>
      <c r="AB329" s="15">
        <v>-5.0737192225369654E-13</v>
      </c>
      <c r="AC329" s="15">
        <v>-3.1590996485419964E-9</v>
      </c>
      <c r="AD329" s="13">
        <v>8.563995361328125E-4</v>
      </c>
      <c r="AE329" s="13">
        <v>27.441478729248047</v>
      </c>
      <c r="AF329" s="12">
        <v>2.15911865234375E-3</v>
      </c>
      <c r="AG329" s="12">
        <v>-43.228282928466797</v>
      </c>
      <c r="AH329" s="13">
        <v>3.1741365091875196E-10</v>
      </c>
      <c r="AI329" s="13">
        <v>2.9122834348527249E-6</v>
      </c>
      <c r="AJ329" s="11">
        <v>-5.9604644775390625E-7</v>
      </c>
      <c r="AK329" s="11">
        <v>0.1570383608341217</v>
      </c>
      <c r="AL329" s="11">
        <v>0</v>
      </c>
      <c r="AM329" s="11">
        <v>-2</v>
      </c>
      <c r="AN329" s="11">
        <v>-1.3760291039943695E-7</v>
      </c>
      <c r="AO329" s="11">
        <v>-2.4877279065549374E-3</v>
      </c>
      <c r="AP329" s="11">
        <v>130.53258657455444</v>
      </c>
      <c r="AQ329" s="11">
        <v>16100</v>
      </c>
      <c r="AR329" s="16">
        <v>925</v>
      </c>
      <c r="AS329" s="16">
        <v>1350</v>
      </c>
      <c r="AT329" s="16">
        <v>130.53258657455444</v>
      </c>
      <c r="AU329" s="7">
        <v>0</v>
      </c>
      <c r="AV329" s="7">
        <v>2</v>
      </c>
      <c r="AW329" s="7">
        <v>0</v>
      </c>
      <c r="AX329" s="7">
        <v>0</v>
      </c>
      <c r="AY329" s="11">
        <v>0</v>
      </c>
      <c r="AZ329" s="16">
        <v>0</v>
      </c>
      <c r="BA329" s="16">
        <v>0</v>
      </c>
      <c r="BB329" s="16">
        <v>0</v>
      </c>
      <c r="BC329" s="11">
        <v>0</v>
      </c>
      <c r="BD329" s="11">
        <v>0</v>
      </c>
      <c r="BE329" s="11">
        <v>0</v>
      </c>
      <c r="BF329" s="11">
        <v>0</v>
      </c>
      <c r="BG329" s="11">
        <v>0</v>
      </c>
      <c r="BH329" s="11">
        <v>0</v>
      </c>
      <c r="BI329" s="13">
        <v>0</v>
      </c>
      <c r="BJ329" s="13">
        <v>0</v>
      </c>
      <c r="BK329" s="11">
        <v>0</v>
      </c>
      <c r="BL329" s="12">
        <v>0</v>
      </c>
      <c r="BM329" s="12">
        <v>0</v>
      </c>
      <c r="BN329" s="13">
        <v>0</v>
      </c>
      <c r="BO329" s="13">
        <v>0</v>
      </c>
      <c r="BP329" s="15">
        <v>0</v>
      </c>
      <c r="BQ329" s="15">
        <v>0</v>
      </c>
      <c r="BR329" s="14">
        <v>0</v>
      </c>
      <c r="BS329" s="14">
        <v>0</v>
      </c>
      <c r="BT329" s="14">
        <v>0</v>
      </c>
      <c r="BU329" s="14">
        <v>0</v>
      </c>
      <c r="BV329" s="11">
        <v>0</v>
      </c>
      <c r="BW329" s="11">
        <v>0</v>
      </c>
      <c r="BX329" s="11">
        <v>0</v>
      </c>
      <c r="BY329" s="11">
        <v>0</v>
      </c>
      <c r="BZ329" s="7">
        <v>0</v>
      </c>
      <c r="CA329" s="7">
        <v>0</v>
      </c>
      <c r="CB329" s="7">
        <v>0</v>
      </c>
      <c r="CC329" s="7">
        <v>0</v>
      </c>
      <c r="CD329" s="7">
        <v>6872.4501953125</v>
      </c>
      <c r="CE329" s="3">
        <v>750</v>
      </c>
      <c r="CF329" s="7">
        <v>6410.5498046875</v>
      </c>
      <c r="CG329" s="3">
        <v>500</v>
      </c>
      <c r="CH329" s="7">
        <v>0</v>
      </c>
      <c r="CI329" s="7">
        <v>2</v>
      </c>
      <c r="CJ329" s="3">
        <v>450</v>
      </c>
      <c r="CK329" s="7">
        <v>1.7000000476837158</v>
      </c>
      <c r="CL329" s="3">
        <v>225</v>
      </c>
      <c r="CM329" s="7">
        <v>2.2300000190734863</v>
      </c>
      <c r="CN329" s="10">
        <v>44783.638194444444</v>
      </c>
      <c r="CO329" s="10">
        <v>44783.638194444444</v>
      </c>
      <c r="CP329" s="7">
        <v>38295.69921875</v>
      </c>
      <c r="CQ329" s="17" t="s">
        <v>321</v>
      </c>
      <c r="CR329" s="10">
        <v>44783.638194444444</v>
      </c>
      <c r="CS329" s="12">
        <v>-6.9141387939453125E-4</v>
      </c>
      <c r="CT329" s="18">
        <v>-5.2968399326936025E-6</v>
      </c>
      <c r="CU329" s="3">
        <v>425</v>
      </c>
      <c r="CV329" s="18">
        <v>2.1764705882352939</v>
      </c>
      <c r="CW329" s="7">
        <v>2</v>
      </c>
      <c r="CX329" s="18">
        <v>0</v>
      </c>
      <c r="CY329" s="7">
        <v>0</v>
      </c>
      <c r="CZ329" s="18">
        <v>0</v>
      </c>
      <c r="DA329" s="3">
        <v>0</v>
      </c>
      <c r="DB329" s="18">
        <v>0</v>
      </c>
      <c r="DC329" s="11">
        <v>0</v>
      </c>
      <c r="DD329" s="18">
        <v>0</v>
      </c>
      <c r="DE329" s="7">
        <v>0</v>
      </c>
      <c r="DF329" s="7">
        <v>2</v>
      </c>
      <c r="DG329" s="7">
        <v>38295.69921875</v>
      </c>
      <c r="DH329" s="3" t="s">
        <v>312</v>
      </c>
      <c r="DI329" s="3" t="s">
        <v>312</v>
      </c>
      <c r="DJ329" s="3" t="s">
        <v>314</v>
      </c>
      <c r="DK329" s="3">
        <v>38300</v>
      </c>
      <c r="DL329" s="3">
        <v>3400000</v>
      </c>
      <c r="DM329" s="3">
        <v>38500</v>
      </c>
      <c r="DN329" s="3">
        <v>0</v>
      </c>
      <c r="DO329" s="3">
        <v>24500</v>
      </c>
      <c r="DP329" s="3">
        <v>2863350</v>
      </c>
      <c r="DQ329" s="28">
        <v>38000</v>
      </c>
      <c r="DR329" s="32">
        <v>0</v>
      </c>
      <c r="DS329" s="32">
        <v>24500</v>
      </c>
      <c r="DT329" s="32" t="s">
        <v>33</v>
      </c>
      <c r="DU329" s="69">
        <v>44784</v>
      </c>
    </row>
    <row r="330" spans="1:125" x14ac:dyDescent="0.25">
      <c r="A330" t="s">
        <v>110</v>
      </c>
      <c r="B330" s="2">
        <v>44861</v>
      </c>
      <c r="C330" s="1">
        <v>300</v>
      </c>
      <c r="D330">
        <v>85</v>
      </c>
      <c r="M330" s="3"/>
      <c r="N330" s="3"/>
      <c r="O330" s="3">
        <v>31700</v>
      </c>
      <c r="P330" s="7">
        <v>1.9500000476837158</v>
      </c>
      <c r="Q330" s="7">
        <v>1.7000000476837158</v>
      </c>
      <c r="R330" s="7">
        <v>3.7000000476837158</v>
      </c>
      <c r="S330" s="7">
        <v>1.75</v>
      </c>
      <c r="T330" s="11">
        <v>21.390625</v>
      </c>
      <c r="U330" s="11">
        <v>178425.03125</v>
      </c>
      <c r="V330" s="11">
        <v>-2.765625</v>
      </c>
      <c r="W330" s="11">
        <v>253209.53125</v>
      </c>
      <c r="X330" s="14">
        <v>-8.6583895608782768E-10</v>
      </c>
      <c r="Y330" s="14">
        <v>9.611346285964828E-6</v>
      </c>
      <c r="Z330" s="14">
        <v>-3.434251993894577E-9</v>
      </c>
      <c r="AA330" s="14">
        <v>1.5409072148031555E-5</v>
      </c>
      <c r="AB330" s="15">
        <v>7.2852834875902772E-13</v>
      </c>
      <c r="AC330" s="15">
        <v>-3.2530675930786401E-9</v>
      </c>
      <c r="AD330" s="13">
        <v>3.3245086669921875E-3</v>
      </c>
      <c r="AE330" s="13">
        <v>27.645708084106445</v>
      </c>
      <c r="AF330" s="12">
        <v>5.53131103515625E-4</v>
      </c>
      <c r="AG330" s="12">
        <v>-44.322063446044922</v>
      </c>
      <c r="AH330" s="13">
        <v>-4.4747139327228069E-10</v>
      </c>
      <c r="AI330" s="13">
        <v>2.9456650736392476E-6</v>
      </c>
      <c r="AJ330" s="11">
        <v>-1.1995434761047363E-5</v>
      </c>
      <c r="AK330" s="11">
        <v>0.15607236325740814</v>
      </c>
      <c r="AL330" s="11">
        <v>0</v>
      </c>
      <c r="AM330" s="11">
        <v>-1.9500000476837158</v>
      </c>
      <c r="AN330" s="11">
        <v>1.9045546650886536E-7</v>
      </c>
      <c r="AO330" s="11">
        <v>-2.4708048440515995E-3</v>
      </c>
      <c r="AP330" s="11">
        <v>128.2588005065918</v>
      </c>
      <c r="AQ330" s="11">
        <v>24750</v>
      </c>
      <c r="AR330" s="16">
        <v>4150</v>
      </c>
      <c r="AS330" s="16">
        <v>5475</v>
      </c>
      <c r="AT330" s="16">
        <v>128.2588005065918</v>
      </c>
      <c r="AU330" s="7">
        <v>0</v>
      </c>
      <c r="AV330" s="7">
        <v>1.9500000476837158</v>
      </c>
      <c r="AW330" s="7">
        <v>0</v>
      </c>
      <c r="AX330" s="7">
        <v>-3597.05</v>
      </c>
      <c r="AY330" s="11">
        <v>0</v>
      </c>
      <c r="AZ330" s="16">
        <v>0</v>
      </c>
      <c r="BA330" s="16">
        <v>0</v>
      </c>
      <c r="BB330" s="16">
        <v>0</v>
      </c>
      <c r="BC330" s="11">
        <v>0</v>
      </c>
      <c r="BD330" s="11">
        <v>0</v>
      </c>
      <c r="BE330" s="11">
        <v>0</v>
      </c>
      <c r="BF330" s="11">
        <v>0</v>
      </c>
      <c r="BG330" s="11">
        <v>0</v>
      </c>
      <c r="BH330" s="11">
        <v>0</v>
      </c>
      <c r="BI330" s="13">
        <v>0</v>
      </c>
      <c r="BJ330" s="13">
        <v>0</v>
      </c>
      <c r="BK330" s="11">
        <v>0</v>
      </c>
      <c r="BL330" s="12">
        <v>0</v>
      </c>
      <c r="BM330" s="12">
        <v>0</v>
      </c>
      <c r="BN330" s="13">
        <v>0</v>
      </c>
      <c r="BO330" s="13">
        <v>0</v>
      </c>
      <c r="BP330" s="15">
        <v>0</v>
      </c>
      <c r="BQ330" s="15">
        <v>0</v>
      </c>
      <c r="BR330" s="14">
        <v>0</v>
      </c>
      <c r="BS330" s="14">
        <v>0</v>
      </c>
      <c r="BT330" s="14">
        <v>0</v>
      </c>
      <c r="BU330" s="14">
        <v>0</v>
      </c>
      <c r="BV330" s="11">
        <v>0</v>
      </c>
      <c r="BW330" s="11">
        <v>0</v>
      </c>
      <c r="BX330" s="11">
        <v>0</v>
      </c>
      <c r="BY330" s="11">
        <v>0</v>
      </c>
      <c r="BZ330" s="7">
        <v>0</v>
      </c>
      <c r="CA330" s="7">
        <v>0</v>
      </c>
      <c r="CB330" s="7">
        <v>0</v>
      </c>
      <c r="CC330" s="7">
        <v>0</v>
      </c>
      <c r="CD330" s="7">
        <v>0</v>
      </c>
      <c r="CE330" s="3">
        <v>0</v>
      </c>
      <c r="CF330" s="7">
        <v>0</v>
      </c>
      <c r="CG330" s="3">
        <v>0</v>
      </c>
      <c r="CH330" s="7">
        <v>0</v>
      </c>
      <c r="CI330" s="7">
        <v>2.0499999523162842</v>
      </c>
      <c r="CJ330" s="3">
        <v>450</v>
      </c>
      <c r="CK330" s="7">
        <v>1.8999999761581421</v>
      </c>
      <c r="CL330" s="3">
        <v>600</v>
      </c>
      <c r="CM330" s="7">
        <v>2.2200000286102295</v>
      </c>
      <c r="CN330" s="10">
        <v>44783.636701388888</v>
      </c>
      <c r="CO330" s="10">
        <v>44783.638194444444</v>
      </c>
      <c r="CP330" s="7">
        <v>38295.69921875</v>
      </c>
      <c r="CQ330" s="17" t="s">
        <v>321</v>
      </c>
      <c r="CR330" s="10">
        <v>44783.638194444444</v>
      </c>
      <c r="CS330" s="12">
        <v>1.1479854583740234E-2</v>
      </c>
      <c r="CT330" s="18">
        <v>8.9513406793816604E-5</v>
      </c>
      <c r="CU330" s="3">
        <v>1325</v>
      </c>
      <c r="CV330" s="18">
        <v>3.1320754716981134</v>
      </c>
      <c r="CW330" s="7">
        <v>1.9500000476837158</v>
      </c>
      <c r="CX330" s="18">
        <v>0</v>
      </c>
      <c r="CY330" s="7">
        <v>3597.05</v>
      </c>
      <c r="CZ330" s="18">
        <v>-1</v>
      </c>
      <c r="DA330" s="3">
        <v>0</v>
      </c>
      <c r="DB330" s="18"/>
      <c r="DC330" s="11">
        <v>0</v>
      </c>
      <c r="DD330" s="18"/>
      <c r="DE330" s="7">
        <v>3597.05</v>
      </c>
      <c r="DF330" s="7">
        <v>1.9500000476837158</v>
      </c>
      <c r="DG330" s="7">
        <v>38295.69921875</v>
      </c>
      <c r="DH330" s="3" t="s">
        <v>313</v>
      </c>
      <c r="DI330" s="3" t="s">
        <v>312</v>
      </c>
      <c r="DJ330" s="3" t="s">
        <v>314</v>
      </c>
      <c r="DK330" s="3">
        <v>38300</v>
      </c>
      <c r="DL330" s="3">
        <v>3400000</v>
      </c>
      <c r="DM330" s="3">
        <v>38500</v>
      </c>
      <c r="DN330" s="3">
        <v>0</v>
      </c>
      <c r="DO330" s="3">
        <v>24500</v>
      </c>
      <c r="DP330" s="3">
        <v>2863350</v>
      </c>
      <c r="DQ330" s="28">
        <v>38000</v>
      </c>
      <c r="DR330" s="32">
        <v>0</v>
      </c>
      <c r="DS330" s="32">
        <v>24500</v>
      </c>
      <c r="DT330" s="32" t="s">
        <v>33</v>
      </c>
      <c r="DU330" s="69">
        <v>44784</v>
      </c>
    </row>
    <row r="331" spans="1:125" x14ac:dyDescent="0.25">
      <c r="A331" t="s">
        <v>111</v>
      </c>
      <c r="B331" s="2">
        <v>44798</v>
      </c>
      <c r="C331" s="1">
        <v>750</v>
      </c>
      <c r="D331">
        <v>37</v>
      </c>
      <c r="M331" s="3"/>
      <c r="N331" s="3"/>
      <c r="O331" s="3">
        <v>31800</v>
      </c>
      <c r="P331" s="7">
        <v>1.6499999761581421</v>
      </c>
      <c r="Q331" s="7">
        <v>1.4500000476837158</v>
      </c>
      <c r="R331" s="7">
        <v>2.7999999523162842</v>
      </c>
      <c r="S331" s="7">
        <v>2.7000000476837158</v>
      </c>
      <c r="T331" s="11">
        <v>-48.703125</v>
      </c>
      <c r="U331" s="11">
        <v>204950.390625</v>
      </c>
      <c r="V331" s="11">
        <v>-53.375</v>
      </c>
      <c r="W331" s="11">
        <v>301174</v>
      </c>
      <c r="X331" s="14">
        <v>4.3100953917019069E-9</v>
      </c>
      <c r="Y331" s="14">
        <v>9.1634165073628537E-6</v>
      </c>
      <c r="Z331" s="14">
        <v>8.1226971815340221E-9</v>
      </c>
      <c r="AA331" s="14">
        <v>1.5161945157160517E-5</v>
      </c>
      <c r="AB331" s="15">
        <v>-2.0150547896946591E-12</v>
      </c>
      <c r="AC331" s="15">
        <v>-3.1358906582568125E-9</v>
      </c>
      <c r="AD331" s="13">
        <v>-4.21905517578125E-3</v>
      </c>
      <c r="AE331" s="13">
        <v>31.415777206420898</v>
      </c>
      <c r="AF331" s="12">
        <v>3.582000732421875E-3</v>
      </c>
      <c r="AG331" s="12">
        <v>-51.9810791015625</v>
      </c>
      <c r="AH331" s="13">
        <v>1.1830252333311364E-9</v>
      </c>
      <c r="AI331" s="13">
        <v>2.7159171622770373E-6</v>
      </c>
      <c r="AJ331" s="11">
        <v>1.6242265701293945E-5</v>
      </c>
      <c r="AK331" s="11">
        <v>0.13943731784820557</v>
      </c>
      <c r="AL331" s="11">
        <v>0</v>
      </c>
      <c r="AM331" s="11">
        <v>-1.6499999761581421</v>
      </c>
      <c r="AN331" s="11">
        <v>-4.8172660171985626E-7</v>
      </c>
      <c r="AO331" s="11">
        <v>-2.1816154476255178E-3</v>
      </c>
      <c r="AP331" s="11">
        <v>124.27984476089478</v>
      </c>
      <c r="AQ331" s="11">
        <v>31700</v>
      </c>
      <c r="AR331" s="16">
        <v>-375</v>
      </c>
      <c r="AS331" s="16">
        <v>4975</v>
      </c>
      <c r="AT331" s="16">
        <v>124.27984476089478</v>
      </c>
      <c r="AU331" s="7">
        <v>0</v>
      </c>
      <c r="AV331" s="7">
        <v>1.6499999761581421</v>
      </c>
      <c r="AW331" s="7">
        <v>0</v>
      </c>
      <c r="AX331" s="7">
        <v>-3512.8</v>
      </c>
      <c r="AY331" s="11">
        <v>0</v>
      </c>
      <c r="AZ331" s="16">
        <v>0</v>
      </c>
      <c r="BA331" s="16">
        <v>0</v>
      </c>
      <c r="BB331" s="16">
        <v>0</v>
      </c>
      <c r="BC331" s="11">
        <v>0</v>
      </c>
      <c r="BD331" s="11">
        <v>0</v>
      </c>
      <c r="BE331" s="11">
        <v>0</v>
      </c>
      <c r="BF331" s="11">
        <v>0</v>
      </c>
      <c r="BG331" s="11">
        <v>0</v>
      </c>
      <c r="BH331" s="11">
        <v>0</v>
      </c>
      <c r="BI331" s="13">
        <v>0</v>
      </c>
      <c r="BJ331" s="13">
        <v>0</v>
      </c>
      <c r="BK331" s="11">
        <v>0</v>
      </c>
      <c r="BL331" s="12">
        <v>0</v>
      </c>
      <c r="BM331" s="12">
        <v>0</v>
      </c>
      <c r="BN331" s="13">
        <v>0</v>
      </c>
      <c r="BO331" s="13">
        <v>0</v>
      </c>
      <c r="BP331" s="15">
        <v>0</v>
      </c>
      <c r="BQ331" s="15">
        <v>0</v>
      </c>
      <c r="BR331" s="14">
        <v>0</v>
      </c>
      <c r="BS331" s="14">
        <v>0</v>
      </c>
      <c r="BT331" s="14">
        <v>0</v>
      </c>
      <c r="BU331" s="14">
        <v>0</v>
      </c>
      <c r="BV331" s="11">
        <v>0</v>
      </c>
      <c r="BW331" s="11">
        <v>0</v>
      </c>
      <c r="BX331" s="11">
        <v>0</v>
      </c>
      <c r="BY331" s="11">
        <v>0</v>
      </c>
      <c r="BZ331" s="7">
        <v>0</v>
      </c>
      <c r="CA331" s="7">
        <v>0</v>
      </c>
      <c r="CB331" s="7">
        <v>0</v>
      </c>
      <c r="CC331" s="7">
        <v>0</v>
      </c>
      <c r="CD331" s="7">
        <v>0</v>
      </c>
      <c r="CE331" s="3">
        <v>0</v>
      </c>
      <c r="CF331" s="7">
        <v>0</v>
      </c>
      <c r="CG331" s="3">
        <v>0</v>
      </c>
      <c r="CH331" s="7">
        <v>0</v>
      </c>
      <c r="CI331" s="7">
        <v>2</v>
      </c>
      <c r="CJ331" s="3">
        <v>50</v>
      </c>
      <c r="CK331" s="7">
        <v>1.6499999761581421</v>
      </c>
      <c r="CL331" s="3">
        <v>275</v>
      </c>
      <c r="CM331" s="7">
        <v>2.2300000190734863</v>
      </c>
      <c r="CN331" s="10">
        <v>44783.636701388888</v>
      </c>
      <c r="CO331" s="10">
        <v>44783.638194444444</v>
      </c>
      <c r="CP331" s="7">
        <v>38295.69921875</v>
      </c>
      <c r="CQ331" s="17" t="s">
        <v>321</v>
      </c>
      <c r="CR331" s="10">
        <v>44783.638194444444</v>
      </c>
      <c r="CS331" s="12">
        <v>-1.888275146484375E-2</v>
      </c>
      <c r="CT331" s="18">
        <v>-1.5191427814871352E-4</v>
      </c>
      <c r="CU331" s="3">
        <v>5350</v>
      </c>
      <c r="CV331" s="18">
        <v>-7.0093457943925228E-2</v>
      </c>
      <c r="CW331" s="7">
        <v>1.6499999761581421</v>
      </c>
      <c r="CX331" s="18">
        <v>0</v>
      </c>
      <c r="CY331" s="7">
        <v>3512.8</v>
      </c>
      <c r="CZ331" s="18">
        <v>-1</v>
      </c>
      <c r="DA331" s="3">
        <v>0</v>
      </c>
      <c r="DB331" s="18"/>
      <c r="DC331" s="11">
        <v>0</v>
      </c>
      <c r="DD331" s="18"/>
      <c r="DE331" s="7">
        <v>3512.8</v>
      </c>
      <c r="DF331" s="7">
        <v>1.6499999761581421</v>
      </c>
      <c r="DG331" s="7">
        <v>38295.69921875</v>
      </c>
      <c r="DH331" s="3" t="s">
        <v>313</v>
      </c>
      <c r="DI331" s="3" t="s">
        <v>312</v>
      </c>
      <c r="DJ331" s="3" t="s">
        <v>314</v>
      </c>
      <c r="DK331" s="3">
        <v>38300</v>
      </c>
      <c r="DL331" s="3">
        <v>3400000</v>
      </c>
      <c r="DM331" s="3">
        <v>38500</v>
      </c>
      <c r="DN331" s="3">
        <v>0</v>
      </c>
      <c r="DO331" s="3">
        <v>24500</v>
      </c>
      <c r="DP331" s="3">
        <v>2863350</v>
      </c>
      <c r="DQ331" s="28">
        <v>38000</v>
      </c>
      <c r="DR331" s="32">
        <v>0</v>
      </c>
      <c r="DS331" s="32">
        <v>24500</v>
      </c>
      <c r="DT331" s="32" t="s">
        <v>33</v>
      </c>
      <c r="DU331" s="69">
        <v>44784</v>
      </c>
    </row>
    <row r="332" spans="1:125" x14ac:dyDescent="0.25">
      <c r="A332" t="s">
        <v>111</v>
      </c>
      <c r="B332" s="2">
        <v>44833</v>
      </c>
      <c r="C332" s="1">
        <v>750</v>
      </c>
      <c r="D332">
        <v>37</v>
      </c>
      <c r="M332" s="3"/>
      <c r="N332" s="3"/>
      <c r="O332" s="3">
        <v>31900</v>
      </c>
      <c r="P332" s="7">
        <v>2.0499999523162842</v>
      </c>
      <c r="Q332" s="7">
        <v>1.7000000476837158</v>
      </c>
      <c r="R332" s="7">
        <v>2.75</v>
      </c>
      <c r="S332" s="7">
        <v>2.4500000476837158</v>
      </c>
      <c r="T332" s="11">
        <v>-76.390625</v>
      </c>
      <c r="U332" s="11">
        <v>165146.4375</v>
      </c>
      <c r="V332" s="11">
        <v>-84.078125</v>
      </c>
      <c r="W332" s="11">
        <v>240106.984375</v>
      </c>
      <c r="X332" s="14">
        <v>9.4514689408242702E-9</v>
      </c>
      <c r="Y332" s="14">
        <v>1.0314048267900944E-5</v>
      </c>
      <c r="Z332" s="14">
        <v>1.763874024618417E-8</v>
      </c>
      <c r="AA332" s="14">
        <v>1.6971602235571481E-5</v>
      </c>
      <c r="AB332" s="15">
        <v>-4.5285997174460135E-12</v>
      </c>
      <c r="AC332" s="15">
        <v>-3.6168357198107515E-9</v>
      </c>
      <c r="AD332" s="13">
        <v>-6.65283203125E-3</v>
      </c>
      <c r="AE332" s="13">
        <v>25.744155883789063</v>
      </c>
      <c r="AF332" s="12">
        <v>5.733489990234375E-3</v>
      </c>
      <c r="AG332" s="12">
        <v>-42.361598968505859</v>
      </c>
      <c r="AH332" s="13">
        <v>2.7353053155820817E-9</v>
      </c>
      <c r="AI332" s="13">
        <v>3.2196041956922272E-6</v>
      </c>
      <c r="AJ332" s="11">
        <v>3.7327408790588379E-5</v>
      </c>
      <c r="AK332" s="11">
        <v>0.16631148755550385</v>
      </c>
      <c r="AL332" s="11">
        <v>0</v>
      </c>
      <c r="AM332" s="11">
        <v>-2.0499999523162842</v>
      </c>
      <c r="AN332" s="11">
        <v>-1.1420343071222305E-6</v>
      </c>
      <c r="AO332" s="11">
        <v>-2.6502055115997791E-3</v>
      </c>
      <c r="AP332" s="11">
        <v>124.99665021896362</v>
      </c>
      <c r="AQ332" s="11">
        <v>12100</v>
      </c>
      <c r="AR332" s="16">
        <v>1575</v>
      </c>
      <c r="AS332" s="16">
        <v>2350</v>
      </c>
      <c r="AT332" s="16">
        <v>124.99665021896362</v>
      </c>
      <c r="AU332" s="7">
        <v>0</v>
      </c>
      <c r="AV332" s="7">
        <v>2.0499999523162842</v>
      </c>
      <c r="AW332" s="7">
        <v>0</v>
      </c>
      <c r="AX332" s="7">
        <v>0</v>
      </c>
      <c r="AY332" s="11">
        <v>0</v>
      </c>
      <c r="AZ332" s="16">
        <v>0</v>
      </c>
      <c r="BA332" s="16">
        <v>0</v>
      </c>
      <c r="BB332" s="16">
        <v>0</v>
      </c>
      <c r="BC332" s="11">
        <v>0</v>
      </c>
      <c r="BD332" s="11">
        <v>0</v>
      </c>
      <c r="BE332" s="11">
        <v>0</v>
      </c>
      <c r="BF332" s="11">
        <v>0</v>
      </c>
      <c r="BG332" s="11">
        <v>0</v>
      </c>
      <c r="BH332" s="11">
        <v>0</v>
      </c>
      <c r="BI332" s="13">
        <v>0</v>
      </c>
      <c r="BJ332" s="13">
        <v>0</v>
      </c>
      <c r="BK332" s="11">
        <v>0</v>
      </c>
      <c r="BL332" s="12">
        <v>0</v>
      </c>
      <c r="BM332" s="12">
        <v>0</v>
      </c>
      <c r="BN332" s="13">
        <v>0</v>
      </c>
      <c r="BO332" s="13">
        <v>0</v>
      </c>
      <c r="BP332" s="15">
        <v>0</v>
      </c>
      <c r="BQ332" s="15">
        <v>0</v>
      </c>
      <c r="BR332" s="14">
        <v>0</v>
      </c>
      <c r="BS332" s="14">
        <v>0</v>
      </c>
      <c r="BT332" s="14">
        <v>0</v>
      </c>
      <c r="BU332" s="14">
        <v>0</v>
      </c>
      <c r="BV332" s="11">
        <v>0</v>
      </c>
      <c r="BW332" s="11">
        <v>0</v>
      </c>
      <c r="BX332" s="11">
        <v>0</v>
      </c>
      <c r="BY332" s="11">
        <v>0</v>
      </c>
      <c r="BZ332" s="7">
        <v>0</v>
      </c>
      <c r="CA332" s="7">
        <v>0</v>
      </c>
      <c r="CB332" s="7">
        <v>0</v>
      </c>
      <c r="CC332" s="7">
        <v>0</v>
      </c>
      <c r="CD332" s="7">
        <v>6572.2998046875</v>
      </c>
      <c r="CE332" s="3">
        <v>800</v>
      </c>
      <c r="CF332" s="7">
        <v>6099.7998046875</v>
      </c>
      <c r="CG332" s="3">
        <v>750</v>
      </c>
      <c r="CH332" s="7">
        <v>0</v>
      </c>
      <c r="CI332" s="7">
        <v>2.0499999523162842</v>
      </c>
      <c r="CJ332" s="3">
        <v>300</v>
      </c>
      <c r="CK332" s="7">
        <v>2</v>
      </c>
      <c r="CL332" s="3">
        <v>100</v>
      </c>
      <c r="CM332" s="7">
        <v>2.190000057220459</v>
      </c>
      <c r="CN332" s="10">
        <v>44783.638194444444</v>
      </c>
      <c r="CO332" s="10">
        <v>44783.638194444444</v>
      </c>
      <c r="CP332" s="7">
        <v>38295.69921875</v>
      </c>
      <c r="CQ332" s="17" t="s">
        <v>321</v>
      </c>
      <c r="CR332" s="10">
        <v>44783.638194444444</v>
      </c>
      <c r="CS332" s="12">
        <v>-3.6990642547607422E-2</v>
      </c>
      <c r="CT332" s="18">
        <v>-2.9584552039541663E-4</v>
      </c>
      <c r="CU332" s="3">
        <v>775</v>
      </c>
      <c r="CV332" s="18">
        <v>2.032258064516129</v>
      </c>
      <c r="CW332" s="7">
        <v>2.0499999523162842</v>
      </c>
      <c r="CX332" s="18">
        <v>0</v>
      </c>
      <c r="CY332" s="7">
        <v>0</v>
      </c>
      <c r="CZ332" s="18">
        <v>0</v>
      </c>
      <c r="DA332" s="3">
        <v>0</v>
      </c>
      <c r="DB332" s="18">
        <v>0</v>
      </c>
      <c r="DC332" s="11">
        <v>0</v>
      </c>
      <c r="DD332" s="18">
        <v>0</v>
      </c>
      <c r="DE332" s="7">
        <v>0</v>
      </c>
      <c r="DF332" s="7">
        <v>2.0499999523162842</v>
      </c>
      <c r="DG332" s="7">
        <v>38295.69921875</v>
      </c>
      <c r="DH332" s="3" t="s">
        <v>312</v>
      </c>
      <c r="DI332" s="3" t="s">
        <v>312</v>
      </c>
      <c r="DJ332" s="3" t="s">
        <v>314</v>
      </c>
      <c r="DK332" s="3">
        <v>38300</v>
      </c>
      <c r="DL332" s="3">
        <v>3400000</v>
      </c>
      <c r="DM332" s="3">
        <v>38500</v>
      </c>
      <c r="DN332" s="3">
        <v>0</v>
      </c>
      <c r="DO332" s="3">
        <v>24500</v>
      </c>
      <c r="DP332" s="3">
        <v>2863350</v>
      </c>
      <c r="DQ332" s="28">
        <v>38000</v>
      </c>
      <c r="DR332" s="32">
        <v>0</v>
      </c>
      <c r="DS332" s="32">
        <v>24500</v>
      </c>
      <c r="DT332" s="32" t="s">
        <v>33</v>
      </c>
      <c r="DU332" s="69">
        <v>44784</v>
      </c>
    </row>
    <row r="333" spans="1:125" x14ac:dyDescent="0.25">
      <c r="A333" t="s">
        <v>111</v>
      </c>
      <c r="B333" s="2">
        <v>44861</v>
      </c>
      <c r="C333" s="1">
        <v>750</v>
      </c>
      <c r="D333">
        <v>37</v>
      </c>
      <c r="M333" s="3"/>
      <c r="N333" s="3"/>
      <c r="O333" s="3">
        <v>32000</v>
      </c>
      <c r="P333" s="7">
        <v>1.8999999761581421</v>
      </c>
      <c r="Q333" s="7">
        <v>1.75</v>
      </c>
      <c r="R333" s="7">
        <v>2.7999999523162842</v>
      </c>
      <c r="S333" s="7">
        <v>2.3499999046325684</v>
      </c>
      <c r="T333" s="11">
        <v>21.546875</v>
      </c>
      <c r="U333" s="11">
        <v>174267.9375</v>
      </c>
      <c r="V333" s="11">
        <v>-2.796875</v>
      </c>
      <c r="W333" s="11">
        <v>259644.828125</v>
      </c>
      <c r="X333" s="14">
        <v>-9.8134478321298957E-10</v>
      </c>
      <c r="Y333" s="14">
        <v>1.0253129403281491E-5</v>
      </c>
      <c r="Z333" s="14">
        <v>-4.005414666607976E-9</v>
      </c>
      <c r="AA333" s="14">
        <v>1.7265718270209618E-5</v>
      </c>
      <c r="AB333" s="15">
        <v>8.5242923830719519E-13</v>
      </c>
      <c r="AC333" s="15">
        <v>-3.6484326670915834E-9</v>
      </c>
      <c r="AD333" s="13">
        <v>3.3435821533203125E-3</v>
      </c>
      <c r="AE333" s="13">
        <v>27.058097839355469</v>
      </c>
      <c r="AF333" s="12">
        <v>5.79833984375E-4</v>
      </c>
      <c r="AG333" s="12">
        <v>-45.564380645751953</v>
      </c>
      <c r="AH333" s="13">
        <v>-4.999947122996673E-10</v>
      </c>
      <c r="AI333" s="13">
        <v>3.1567062706017168E-6</v>
      </c>
      <c r="AJ333" s="11">
        <v>-1.2710690498352051E-5</v>
      </c>
      <c r="AK333" s="11">
        <v>0.15923586487770081</v>
      </c>
      <c r="AL333" s="11">
        <v>0</v>
      </c>
      <c r="AM333" s="11">
        <v>-1.8999999761581421</v>
      </c>
      <c r="AN333" s="11">
        <v>2.0279549062252045E-7</v>
      </c>
      <c r="AO333" s="11">
        <v>-2.5262499693781137E-3</v>
      </c>
      <c r="AP333" s="11">
        <v>122.10999727249146</v>
      </c>
      <c r="AQ333" s="11">
        <v>391725</v>
      </c>
      <c r="AR333" s="16">
        <v>-1275</v>
      </c>
      <c r="AS333" s="16">
        <v>110575</v>
      </c>
      <c r="AT333" s="16">
        <v>122.10999727249146</v>
      </c>
      <c r="AU333" s="7">
        <v>0</v>
      </c>
      <c r="AV333" s="7">
        <v>1.8999999761581421</v>
      </c>
      <c r="AW333" s="7">
        <v>0</v>
      </c>
      <c r="AX333" s="7">
        <v>0</v>
      </c>
      <c r="AY333" s="11">
        <v>0</v>
      </c>
      <c r="AZ333" s="16">
        <v>0</v>
      </c>
      <c r="BA333" s="16">
        <v>0</v>
      </c>
      <c r="BB333" s="16">
        <v>0</v>
      </c>
      <c r="BC333" s="11">
        <v>0</v>
      </c>
      <c r="BD333" s="11">
        <v>0</v>
      </c>
      <c r="BE333" s="11">
        <v>0</v>
      </c>
      <c r="BF333" s="11">
        <v>0</v>
      </c>
      <c r="BG333" s="11">
        <v>0</v>
      </c>
      <c r="BH333" s="11">
        <v>0</v>
      </c>
      <c r="BI333" s="13">
        <v>0</v>
      </c>
      <c r="BJ333" s="13">
        <v>0</v>
      </c>
      <c r="BK333" s="11">
        <v>0</v>
      </c>
      <c r="BL333" s="12">
        <v>0</v>
      </c>
      <c r="BM333" s="12">
        <v>0</v>
      </c>
      <c r="BN333" s="13">
        <v>0</v>
      </c>
      <c r="BO333" s="13">
        <v>0</v>
      </c>
      <c r="BP333" s="15">
        <v>0</v>
      </c>
      <c r="BQ333" s="15">
        <v>0</v>
      </c>
      <c r="BR333" s="14">
        <v>0</v>
      </c>
      <c r="BS333" s="14">
        <v>0</v>
      </c>
      <c r="BT333" s="14">
        <v>0</v>
      </c>
      <c r="BU333" s="14">
        <v>0</v>
      </c>
      <c r="BV333" s="11">
        <v>0</v>
      </c>
      <c r="BW333" s="11">
        <v>0</v>
      </c>
      <c r="BX333" s="11">
        <v>0</v>
      </c>
      <c r="BY333" s="11">
        <v>0</v>
      </c>
      <c r="BZ333" s="7">
        <v>0</v>
      </c>
      <c r="CA333" s="7">
        <v>0</v>
      </c>
      <c r="CB333" s="7">
        <v>0</v>
      </c>
      <c r="CC333" s="7">
        <v>0</v>
      </c>
      <c r="CD333" s="7">
        <v>6371.5</v>
      </c>
      <c r="CE333" s="3">
        <v>425</v>
      </c>
      <c r="CF333" s="7">
        <v>5610.75</v>
      </c>
      <c r="CG333" s="3">
        <v>750</v>
      </c>
      <c r="CH333" s="7">
        <v>0</v>
      </c>
      <c r="CI333" s="7">
        <v>1.8999999761581421</v>
      </c>
      <c r="CJ333" s="3">
        <v>175</v>
      </c>
      <c r="CK333" s="7">
        <v>1.8500000238418579</v>
      </c>
      <c r="CL333" s="3">
        <v>100</v>
      </c>
      <c r="CM333" s="7">
        <v>2.2400000095367432</v>
      </c>
      <c r="CN333" s="10">
        <v>44783.638194444444</v>
      </c>
      <c r="CO333" s="10">
        <v>44783.638194444444</v>
      </c>
      <c r="CP333" s="7">
        <v>38295.69921875</v>
      </c>
      <c r="CQ333" s="17" t="s">
        <v>321</v>
      </c>
      <c r="CR333" s="10">
        <v>44783.638194444444</v>
      </c>
      <c r="CS333" s="12">
        <v>1.1360645294189453E-2</v>
      </c>
      <c r="CT333" s="18">
        <v>9.3044816944818271E-5</v>
      </c>
      <c r="CU333" s="3">
        <v>111850</v>
      </c>
      <c r="CV333" s="18">
        <v>-1.1399195350916406E-2</v>
      </c>
      <c r="CW333" s="7">
        <v>1.8999999761581421</v>
      </c>
      <c r="CX333" s="18">
        <v>0</v>
      </c>
      <c r="CY333" s="7">
        <v>0</v>
      </c>
      <c r="CZ333" s="18">
        <v>0</v>
      </c>
      <c r="DA333" s="3">
        <v>0</v>
      </c>
      <c r="DB333" s="18">
        <v>0</v>
      </c>
      <c r="DC333" s="11">
        <v>0</v>
      </c>
      <c r="DD333" s="18">
        <v>0</v>
      </c>
      <c r="DE333" s="7">
        <v>0</v>
      </c>
      <c r="DF333" s="7">
        <v>1.8999999761581421</v>
      </c>
      <c r="DG333" s="7">
        <v>38295.69921875</v>
      </c>
      <c r="DH333" s="3" t="s">
        <v>312</v>
      </c>
      <c r="DI333" s="3" t="s">
        <v>312</v>
      </c>
      <c r="DJ333" s="3" t="s">
        <v>314</v>
      </c>
      <c r="DK333" s="3">
        <v>38300</v>
      </c>
      <c r="DL333" s="3">
        <v>3400000</v>
      </c>
      <c r="DM333" s="3">
        <v>38500</v>
      </c>
      <c r="DN333" s="3">
        <v>0</v>
      </c>
      <c r="DO333" s="3">
        <v>24500</v>
      </c>
      <c r="DP333" s="3">
        <v>2863350</v>
      </c>
      <c r="DQ333" s="28">
        <v>38000</v>
      </c>
      <c r="DR333" s="32">
        <v>0</v>
      </c>
      <c r="DS333" s="32">
        <v>24500</v>
      </c>
      <c r="DT333" s="32" t="s">
        <v>33</v>
      </c>
      <c r="DU333" s="69">
        <v>44784</v>
      </c>
    </row>
    <row r="334" spans="1:125" x14ac:dyDescent="0.25">
      <c r="A334" t="s">
        <v>112</v>
      </c>
      <c r="B334" s="2">
        <v>44798</v>
      </c>
      <c r="C334" s="1">
        <v>9750</v>
      </c>
      <c r="D334">
        <v>142</v>
      </c>
      <c r="M334" s="3"/>
      <c r="N334" s="3"/>
      <c r="O334" s="3">
        <v>32100</v>
      </c>
      <c r="P334" s="7">
        <v>2</v>
      </c>
      <c r="Q334" s="7">
        <v>1.3999999761581421</v>
      </c>
      <c r="R334" s="7">
        <v>2.7999999523162842</v>
      </c>
      <c r="S334" s="7">
        <v>2.5</v>
      </c>
      <c r="T334" s="11">
        <v>-51.265625</v>
      </c>
      <c r="U334" s="11">
        <v>163584.703125</v>
      </c>
      <c r="V334" s="11">
        <v>-49</v>
      </c>
      <c r="W334" s="11">
        <v>246039.3125</v>
      </c>
      <c r="X334" s="14">
        <v>6.133632268756628E-9</v>
      </c>
      <c r="Y334" s="14">
        <v>1.0743756320152897E-5</v>
      </c>
      <c r="Z334" s="14">
        <v>1.2656528269872069E-8</v>
      </c>
      <c r="AA334" s="14">
        <v>1.8291293599759229E-5</v>
      </c>
      <c r="AB334" s="15">
        <v>-3.1818991885756986E-12</v>
      </c>
      <c r="AC334" s="15">
        <v>-3.8969951710043915E-9</v>
      </c>
      <c r="AD334" s="13">
        <v>-4.9724578857421875E-3</v>
      </c>
      <c r="AE334" s="13">
        <v>25.523807525634766</v>
      </c>
      <c r="AF334" s="12">
        <v>3.200531005859375E-3</v>
      </c>
      <c r="AG334" s="12">
        <v>-43.454399108886719</v>
      </c>
      <c r="AH334" s="13">
        <v>1.8605987861519679E-9</v>
      </c>
      <c r="AI334" s="13">
        <v>3.3589633403607877E-6</v>
      </c>
      <c r="AJ334" s="11">
        <v>2.6971101760864258E-5</v>
      </c>
      <c r="AK334" s="11">
        <v>0.16770161688327789</v>
      </c>
      <c r="AL334" s="11">
        <v>0</v>
      </c>
      <c r="AM334" s="11">
        <v>-2</v>
      </c>
      <c r="AN334" s="11">
        <v>-7.5134448707103729E-7</v>
      </c>
      <c r="AO334" s="11">
        <v>-2.6747211813926697E-3</v>
      </c>
      <c r="AP334" s="11">
        <v>120.81024646759033</v>
      </c>
      <c r="AQ334" s="11">
        <v>9525</v>
      </c>
      <c r="AR334" s="16">
        <v>1200</v>
      </c>
      <c r="AS334" s="16">
        <v>1300</v>
      </c>
      <c r="AT334" s="16">
        <v>120.81024646759033</v>
      </c>
      <c r="AU334" s="7">
        <v>0</v>
      </c>
      <c r="AV334" s="7">
        <v>2</v>
      </c>
      <c r="AW334" s="7">
        <v>0</v>
      </c>
      <c r="AX334" s="7">
        <v>0</v>
      </c>
      <c r="AY334" s="11">
        <v>0</v>
      </c>
      <c r="AZ334" s="16">
        <v>0</v>
      </c>
      <c r="BA334" s="16">
        <v>0</v>
      </c>
      <c r="BB334" s="16">
        <v>0</v>
      </c>
      <c r="BC334" s="11">
        <v>0</v>
      </c>
      <c r="BD334" s="11">
        <v>0</v>
      </c>
      <c r="BE334" s="11">
        <v>0</v>
      </c>
      <c r="BF334" s="11">
        <v>0</v>
      </c>
      <c r="BG334" s="11">
        <v>0</v>
      </c>
      <c r="BH334" s="11">
        <v>0</v>
      </c>
      <c r="BI334" s="13">
        <v>0</v>
      </c>
      <c r="BJ334" s="13">
        <v>0</v>
      </c>
      <c r="BK334" s="11">
        <v>0</v>
      </c>
      <c r="BL334" s="12">
        <v>0</v>
      </c>
      <c r="BM334" s="12">
        <v>0</v>
      </c>
      <c r="BN334" s="13">
        <v>0</v>
      </c>
      <c r="BO334" s="13">
        <v>0</v>
      </c>
      <c r="BP334" s="15">
        <v>0</v>
      </c>
      <c r="BQ334" s="15">
        <v>0</v>
      </c>
      <c r="BR334" s="14">
        <v>0</v>
      </c>
      <c r="BS334" s="14">
        <v>0</v>
      </c>
      <c r="BT334" s="14">
        <v>0</v>
      </c>
      <c r="BU334" s="14">
        <v>0</v>
      </c>
      <c r="BV334" s="11">
        <v>0</v>
      </c>
      <c r="BW334" s="11">
        <v>0</v>
      </c>
      <c r="BX334" s="11">
        <v>0</v>
      </c>
      <c r="BY334" s="11">
        <v>0</v>
      </c>
      <c r="BZ334" s="7">
        <v>0</v>
      </c>
      <c r="CA334" s="7">
        <v>0</v>
      </c>
      <c r="CB334" s="7">
        <v>0</v>
      </c>
      <c r="CC334" s="7">
        <v>0</v>
      </c>
      <c r="CD334" s="7">
        <v>6343.64990234375</v>
      </c>
      <c r="CE334" s="3">
        <v>800</v>
      </c>
      <c r="CF334" s="7">
        <v>5916.0498046875</v>
      </c>
      <c r="CG334" s="3">
        <v>750</v>
      </c>
      <c r="CH334" s="7">
        <v>0</v>
      </c>
      <c r="CI334" s="7">
        <v>2.2000000476837158</v>
      </c>
      <c r="CJ334" s="3">
        <v>25</v>
      </c>
      <c r="CK334" s="7">
        <v>2</v>
      </c>
      <c r="CL334" s="3">
        <v>75</v>
      </c>
      <c r="CM334" s="7">
        <v>2.2799999713897705</v>
      </c>
      <c r="CN334" s="10">
        <v>44783.638194444444</v>
      </c>
      <c r="CO334" s="10">
        <v>44783.638194444444</v>
      </c>
      <c r="CP334" s="7">
        <v>38295.69921875</v>
      </c>
      <c r="CQ334" s="17" t="s">
        <v>321</v>
      </c>
      <c r="CR334" s="10">
        <v>44783.638194444444</v>
      </c>
      <c r="CS334" s="12">
        <v>-2.5081634521484375E-2</v>
      </c>
      <c r="CT334" s="18">
        <v>-2.0756872113004201E-4</v>
      </c>
      <c r="CU334" s="3">
        <v>100</v>
      </c>
      <c r="CV334" s="18">
        <v>12</v>
      </c>
      <c r="CW334" s="7">
        <v>2</v>
      </c>
      <c r="CX334" s="18">
        <v>0</v>
      </c>
      <c r="CY334" s="7">
        <v>0</v>
      </c>
      <c r="CZ334" s="18">
        <v>0</v>
      </c>
      <c r="DA334" s="3">
        <v>0</v>
      </c>
      <c r="DB334" s="18">
        <v>0</v>
      </c>
      <c r="DC334" s="11">
        <v>0</v>
      </c>
      <c r="DD334" s="18">
        <v>0</v>
      </c>
      <c r="DE334" s="7">
        <v>0</v>
      </c>
      <c r="DF334" s="7">
        <v>2</v>
      </c>
      <c r="DG334" s="7">
        <v>38295.69921875</v>
      </c>
      <c r="DH334" s="3" t="s">
        <v>312</v>
      </c>
      <c r="DI334" s="3" t="s">
        <v>312</v>
      </c>
      <c r="DJ334" s="3" t="s">
        <v>314</v>
      </c>
      <c r="DK334" s="3">
        <v>38300</v>
      </c>
      <c r="DL334" s="3">
        <v>3400000</v>
      </c>
      <c r="DM334" s="3">
        <v>38500</v>
      </c>
      <c r="DN334" s="3">
        <v>0</v>
      </c>
      <c r="DO334" s="3">
        <v>24500</v>
      </c>
      <c r="DP334" s="3">
        <v>2863350</v>
      </c>
      <c r="DQ334" s="28">
        <v>38000</v>
      </c>
      <c r="DR334" s="32">
        <v>0</v>
      </c>
      <c r="DS334" s="32">
        <v>24500</v>
      </c>
      <c r="DT334" s="32" t="s">
        <v>33</v>
      </c>
      <c r="DU334" s="69">
        <v>44784</v>
      </c>
    </row>
    <row r="335" spans="1:125" x14ac:dyDescent="0.25">
      <c r="A335" t="s">
        <v>112</v>
      </c>
      <c r="B335" s="2">
        <v>44833</v>
      </c>
      <c r="C335" s="1">
        <v>9750</v>
      </c>
      <c r="D335">
        <v>142</v>
      </c>
      <c r="M335" s="3"/>
      <c r="N335" s="3"/>
      <c r="O335" s="3">
        <v>32200</v>
      </c>
      <c r="P335" s="7">
        <v>2.0999999046325684</v>
      </c>
      <c r="Q335" s="7">
        <v>1.9500000476837158</v>
      </c>
      <c r="R335" s="7">
        <v>2.7999999523162842</v>
      </c>
      <c r="S335" s="7">
        <v>2.7000000476837158</v>
      </c>
      <c r="T335" s="11">
        <v>-17.796875</v>
      </c>
      <c r="U335" s="11">
        <v>153749.21875</v>
      </c>
      <c r="V335" s="11">
        <v>-43.515625</v>
      </c>
      <c r="W335" s="11">
        <v>233549.015625</v>
      </c>
      <c r="X335" s="14">
        <v>4.2227839003317058E-9</v>
      </c>
      <c r="Y335" s="14">
        <v>1.1267812624282669E-5</v>
      </c>
      <c r="Z335" s="14">
        <v>5.9717422118410468E-9</v>
      </c>
      <c r="AA335" s="14">
        <v>1.9404078557272442E-5</v>
      </c>
      <c r="AB335" s="15">
        <v>-1.7257306694773433E-12</v>
      </c>
      <c r="AC335" s="15">
        <v>-4.1693817287580259E-9</v>
      </c>
      <c r="AD335" s="13">
        <v>-3.1280517578125E-4</v>
      </c>
      <c r="AE335" s="13">
        <v>24.114938735961914</v>
      </c>
      <c r="AF335" s="12">
        <v>3.314971923828125E-3</v>
      </c>
      <c r="AG335" s="12">
        <v>-41.527866363525391</v>
      </c>
      <c r="AH335" s="13">
        <v>1.0038547770818695E-9</v>
      </c>
      <c r="AI335" s="13">
        <v>3.5752348139794776E-6</v>
      </c>
      <c r="AJ335" s="11">
        <v>6.8396329879760742E-6</v>
      </c>
      <c r="AK335" s="11">
        <v>0.1763644814491272</v>
      </c>
      <c r="AL335" s="11">
        <v>0</v>
      </c>
      <c r="AM335" s="11">
        <v>-2.0999999046325684</v>
      </c>
      <c r="AN335" s="11">
        <v>-4.0279701352119446E-7</v>
      </c>
      <c r="AO335" s="11">
        <v>-2.8288259636610746E-3</v>
      </c>
      <c r="AP335" s="11">
        <v>119.41112279891968</v>
      </c>
      <c r="AQ335" s="11">
        <v>23500</v>
      </c>
      <c r="AR335" s="16">
        <v>1375</v>
      </c>
      <c r="AS335" s="16">
        <v>1825</v>
      </c>
      <c r="AT335" s="16">
        <v>119.41112279891968</v>
      </c>
      <c r="AU335" s="7">
        <v>0</v>
      </c>
      <c r="AV335" s="7">
        <v>2.0999999046325684</v>
      </c>
      <c r="AW335" s="7">
        <v>0</v>
      </c>
      <c r="AX335" s="7">
        <v>0</v>
      </c>
      <c r="AY335" s="11">
        <v>0</v>
      </c>
      <c r="AZ335" s="16">
        <v>0</v>
      </c>
      <c r="BA335" s="16">
        <v>0</v>
      </c>
      <c r="BB335" s="16">
        <v>0</v>
      </c>
      <c r="BC335" s="11">
        <v>0</v>
      </c>
      <c r="BD335" s="11">
        <v>0</v>
      </c>
      <c r="BE335" s="11">
        <v>0</v>
      </c>
      <c r="BF335" s="11">
        <v>0</v>
      </c>
      <c r="BG335" s="11">
        <v>0</v>
      </c>
      <c r="BH335" s="11">
        <v>0</v>
      </c>
      <c r="BI335" s="13">
        <v>0</v>
      </c>
      <c r="BJ335" s="13">
        <v>0</v>
      </c>
      <c r="BK335" s="11">
        <v>0</v>
      </c>
      <c r="BL335" s="12">
        <v>0</v>
      </c>
      <c r="BM335" s="12">
        <v>0</v>
      </c>
      <c r="BN335" s="13">
        <v>0</v>
      </c>
      <c r="BO335" s="13">
        <v>0</v>
      </c>
      <c r="BP335" s="15">
        <v>0</v>
      </c>
      <c r="BQ335" s="15">
        <v>0</v>
      </c>
      <c r="BR335" s="14">
        <v>0</v>
      </c>
      <c r="BS335" s="14">
        <v>0</v>
      </c>
      <c r="BT335" s="14">
        <v>0</v>
      </c>
      <c r="BU335" s="14">
        <v>0</v>
      </c>
      <c r="BV335" s="11">
        <v>0</v>
      </c>
      <c r="BW335" s="11">
        <v>0</v>
      </c>
      <c r="BX335" s="11">
        <v>0</v>
      </c>
      <c r="BY335" s="11">
        <v>0</v>
      </c>
      <c r="BZ335" s="7">
        <v>0</v>
      </c>
      <c r="CA335" s="7">
        <v>0</v>
      </c>
      <c r="CB335" s="7">
        <v>0</v>
      </c>
      <c r="CC335" s="7">
        <v>0</v>
      </c>
      <c r="CD335" s="7">
        <v>6300.10009765625</v>
      </c>
      <c r="CE335" s="3">
        <v>800</v>
      </c>
      <c r="CF335" s="7">
        <v>4777.7001953125</v>
      </c>
      <c r="CG335" s="3">
        <v>750</v>
      </c>
      <c r="CH335" s="7">
        <v>0</v>
      </c>
      <c r="CI335" s="7">
        <v>2.1500000953674316</v>
      </c>
      <c r="CJ335" s="3">
        <v>150</v>
      </c>
      <c r="CK335" s="7">
        <v>2</v>
      </c>
      <c r="CL335" s="3">
        <v>525</v>
      </c>
      <c r="CM335" s="7">
        <v>2.4000000953674316</v>
      </c>
      <c r="CN335" s="10">
        <v>44783.638194444444</v>
      </c>
      <c r="CO335" s="10">
        <v>44783.638194444444</v>
      </c>
      <c r="CP335" s="7">
        <v>38295.69921875</v>
      </c>
      <c r="CQ335" s="17" t="s">
        <v>321</v>
      </c>
      <c r="CR335" s="10">
        <v>44783.638194444444</v>
      </c>
      <c r="CS335" s="12">
        <v>-7.4982643127441406E-3</v>
      </c>
      <c r="CT335" s="18">
        <v>-6.2789741214427466E-5</v>
      </c>
      <c r="CU335" s="3">
        <v>450</v>
      </c>
      <c r="CV335" s="18">
        <v>3.0555555555555554</v>
      </c>
      <c r="CW335" s="7">
        <v>2.0999999046325684</v>
      </c>
      <c r="CX335" s="18">
        <v>0</v>
      </c>
      <c r="CY335" s="7">
        <v>0</v>
      </c>
      <c r="CZ335" s="18">
        <v>0</v>
      </c>
      <c r="DA335" s="3">
        <v>0</v>
      </c>
      <c r="DB335" s="18">
        <v>0</v>
      </c>
      <c r="DC335" s="11">
        <v>0</v>
      </c>
      <c r="DD335" s="18">
        <v>0</v>
      </c>
      <c r="DE335" s="7">
        <v>0</v>
      </c>
      <c r="DF335" s="7">
        <v>2.0999999046325684</v>
      </c>
      <c r="DG335" s="7">
        <v>38295.69921875</v>
      </c>
      <c r="DH335" s="3" t="s">
        <v>312</v>
      </c>
      <c r="DI335" s="3" t="s">
        <v>312</v>
      </c>
      <c r="DJ335" s="3" t="s">
        <v>314</v>
      </c>
      <c r="DK335" s="3">
        <v>38300</v>
      </c>
      <c r="DL335" s="3">
        <v>3400000</v>
      </c>
      <c r="DM335" s="3">
        <v>38500</v>
      </c>
      <c r="DN335" s="3">
        <v>0</v>
      </c>
      <c r="DO335" s="3">
        <v>24500</v>
      </c>
      <c r="DP335" s="3">
        <v>2863350</v>
      </c>
      <c r="DQ335" s="28">
        <v>38000</v>
      </c>
      <c r="DR335" s="32">
        <v>0</v>
      </c>
      <c r="DS335" s="32">
        <v>24500</v>
      </c>
      <c r="DT335" s="32" t="s">
        <v>33</v>
      </c>
      <c r="DU335" s="69">
        <v>44784</v>
      </c>
    </row>
    <row r="336" spans="1:125" x14ac:dyDescent="0.25">
      <c r="A336" t="s">
        <v>112</v>
      </c>
      <c r="B336" s="2">
        <v>44861</v>
      </c>
      <c r="C336" s="1">
        <v>9750</v>
      </c>
      <c r="D336">
        <v>142</v>
      </c>
      <c r="M336" s="3"/>
      <c r="N336" s="3"/>
      <c r="O336" s="3">
        <v>32300</v>
      </c>
      <c r="P336" s="7">
        <v>2.2000000476837158</v>
      </c>
      <c r="Q336" s="7">
        <v>1.9500000476837158</v>
      </c>
      <c r="R336" s="7">
        <v>2.8499999046325684</v>
      </c>
      <c r="S336" s="7">
        <v>2.5999999046325684</v>
      </c>
      <c r="T336" s="11">
        <v>-103.1875</v>
      </c>
      <c r="U336" s="11">
        <v>144867.015625</v>
      </c>
      <c r="V336" s="11">
        <v>-93.671875</v>
      </c>
      <c r="W336" s="11">
        <v>222336.671875</v>
      </c>
      <c r="X336" s="14">
        <v>1.4791112334933132E-8</v>
      </c>
      <c r="Y336" s="14">
        <v>1.1789617019530851E-5</v>
      </c>
      <c r="Z336" s="14">
        <v>3.2079697120934725E-8</v>
      </c>
      <c r="AA336" s="14">
        <v>2.0543671780615114E-5</v>
      </c>
      <c r="AB336" s="15">
        <v>-8.1441520194402983E-12</v>
      </c>
      <c r="AC336" s="15">
        <v>-4.4496375473102034E-9</v>
      </c>
      <c r="AD336" s="13">
        <v>-1.0473251342773438E-2</v>
      </c>
      <c r="AE336" s="13">
        <v>22.830554962158203</v>
      </c>
      <c r="AF336" s="12">
        <v>6.01959228515625E-3</v>
      </c>
      <c r="AG336" s="12">
        <v>-39.782749176025391</v>
      </c>
      <c r="AH336" s="13">
        <v>4.7157300286926329E-9</v>
      </c>
      <c r="AI336" s="13">
        <v>3.7961194720992353E-6</v>
      </c>
      <c r="AJ336" s="11">
        <v>6.9051980972290039E-5</v>
      </c>
      <c r="AK336" s="11">
        <v>0.18512098491191864</v>
      </c>
      <c r="AL336" s="11">
        <v>0</v>
      </c>
      <c r="AM336" s="11">
        <v>-2.2000000476837158</v>
      </c>
      <c r="AN336" s="11">
        <v>-1.880573108792305E-6</v>
      </c>
      <c r="AO336" s="11">
        <v>-2.9847302939742804E-3</v>
      </c>
      <c r="AP336" s="11">
        <v>118.02558898925781</v>
      </c>
      <c r="AQ336" s="11">
        <v>13275</v>
      </c>
      <c r="AR336" s="16">
        <v>2275</v>
      </c>
      <c r="AS336" s="16">
        <v>2475</v>
      </c>
      <c r="AT336" s="16">
        <v>118.02558898925781</v>
      </c>
      <c r="AU336" s="7">
        <v>0</v>
      </c>
      <c r="AV336" s="7">
        <v>2.2000000476837158</v>
      </c>
      <c r="AW336" s="7">
        <v>0</v>
      </c>
      <c r="AX336" s="7">
        <v>0</v>
      </c>
      <c r="AY336" s="11">
        <v>0</v>
      </c>
      <c r="AZ336" s="16">
        <v>0</v>
      </c>
      <c r="BA336" s="16">
        <v>0</v>
      </c>
      <c r="BB336" s="16">
        <v>0</v>
      </c>
      <c r="BC336" s="11">
        <v>0</v>
      </c>
      <c r="BD336" s="11">
        <v>0</v>
      </c>
      <c r="BE336" s="11">
        <v>0</v>
      </c>
      <c r="BF336" s="11">
        <v>0</v>
      </c>
      <c r="BG336" s="11">
        <v>0</v>
      </c>
      <c r="BH336" s="11">
        <v>0</v>
      </c>
      <c r="BI336" s="13">
        <v>0</v>
      </c>
      <c r="BJ336" s="13">
        <v>0</v>
      </c>
      <c r="BK336" s="11">
        <v>0</v>
      </c>
      <c r="BL336" s="12">
        <v>0</v>
      </c>
      <c r="BM336" s="12">
        <v>0</v>
      </c>
      <c r="BN336" s="13">
        <v>0</v>
      </c>
      <c r="BO336" s="13">
        <v>0</v>
      </c>
      <c r="BP336" s="15">
        <v>0</v>
      </c>
      <c r="BQ336" s="15">
        <v>0</v>
      </c>
      <c r="BR336" s="14">
        <v>0</v>
      </c>
      <c r="BS336" s="14">
        <v>0</v>
      </c>
      <c r="BT336" s="14">
        <v>0</v>
      </c>
      <c r="BU336" s="14">
        <v>0</v>
      </c>
      <c r="BV336" s="11">
        <v>0</v>
      </c>
      <c r="BW336" s="11">
        <v>0</v>
      </c>
      <c r="BX336" s="11">
        <v>0</v>
      </c>
      <c r="BY336" s="11">
        <v>0</v>
      </c>
      <c r="BZ336" s="7">
        <v>0</v>
      </c>
      <c r="CA336" s="7">
        <v>0</v>
      </c>
      <c r="CB336" s="7">
        <v>0</v>
      </c>
      <c r="CC336" s="7">
        <v>0</v>
      </c>
      <c r="CD336" s="7">
        <v>6162.64990234375</v>
      </c>
      <c r="CE336" s="3">
        <v>800</v>
      </c>
      <c r="CF336" s="7">
        <v>5757.2001953125</v>
      </c>
      <c r="CG336" s="3">
        <v>750</v>
      </c>
      <c r="CH336" s="7">
        <v>0</v>
      </c>
      <c r="CI336" s="7">
        <v>2.2000000476837158</v>
      </c>
      <c r="CJ336" s="3">
        <v>300</v>
      </c>
      <c r="CK336" s="7">
        <v>2.1500000953674316</v>
      </c>
      <c r="CL336" s="3">
        <v>450</v>
      </c>
      <c r="CM336" s="7">
        <v>2.2999999523162842</v>
      </c>
      <c r="CN336" s="10">
        <v>44783.638194444444</v>
      </c>
      <c r="CO336" s="10">
        <v>44783.638194444444</v>
      </c>
      <c r="CP336" s="7">
        <v>38295.69921875</v>
      </c>
      <c r="CQ336" s="17" t="s">
        <v>321</v>
      </c>
      <c r="CR336" s="10">
        <v>44783.638194444444</v>
      </c>
      <c r="CS336" s="12">
        <v>-5.6695938110351563E-2</v>
      </c>
      <c r="CT336" s="18">
        <v>-4.8013923634036176E-4</v>
      </c>
      <c r="CU336" s="3">
        <v>200</v>
      </c>
      <c r="CV336" s="18">
        <v>11.375</v>
      </c>
      <c r="CW336" s="7">
        <v>2.2000000476837158</v>
      </c>
      <c r="CX336" s="18">
        <v>0</v>
      </c>
      <c r="CY336" s="7">
        <v>0</v>
      </c>
      <c r="CZ336" s="18">
        <v>0</v>
      </c>
      <c r="DA336" s="3">
        <v>0</v>
      </c>
      <c r="DB336" s="18">
        <v>0</v>
      </c>
      <c r="DC336" s="11">
        <v>0</v>
      </c>
      <c r="DD336" s="18">
        <v>0</v>
      </c>
      <c r="DE336" s="7">
        <v>0</v>
      </c>
      <c r="DF336" s="7">
        <v>2.2000000476837158</v>
      </c>
      <c r="DG336" s="7">
        <v>38295.69921875</v>
      </c>
      <c r="DH336" s="3" t="s">
        <v>312</v>
      </c>
      <c r="DI336" s="3" t="s">
        <v>312</v>
      </c>
      <c r="DJ336" s="3" t="s">
        <v>314</v>
      </c>
      <c r="DK336" s="3">
        <v>38300</v>
      </c>
      <c r="DL336" s="3">
        <v>3400000</v>
      </c>
      <c r="DM336" s="3">
        <v>38500</v>
      </c>
      <c r="DN336" s="3">
        <v>0</v>
      </c>
      <c r="DO336" s="3">
        <v>24500</v>
      </c>
      <c r="DP336" s="3">
        <v>2863350</v>
      </c>
      <c r="DQ336" s="28">
        <v>38000</v>
      </c>
      <c r="DR336" s="32">
        <v>0</v>
      </c>
      <c r="DS336" s="32">
        <v>24500</v>
      </c>
      <c r="DT336" s="32" t="s">
        <v>33</v>
      </c>
      <c r="DU336" s="69">
        <v>44784</v>
      </c>
    </row>
    <row r="337" spans="1:125" x14ac:dyDescent="0.25">
      <c r="A337" t="s">
        <v>113</v>
      </c>
      <c r="B337" s="2">
        <v>44798</v>
      </c>
      <c r="C337" s="1">
        <v>650</v>
      </c>
      <c r="D337">
        <v>89</v>
      </c>
      <c r="M337" s="3"/>
      <c r="N337" s="3"/>
      <c r="O337" s="3">
        <v>32400</v>
      </c>
      <c r="P337" s="7">
        <v>2.1500000953674316</v>
      </c>
      <c r="Q337" s="7">
        <v>1.3999999761581421</v>
      </c>
      <c r="R337" s="7">
        <v>3</v>
      </c>
      <c r="S337" s="7">
        <v>2.75</v>
      </c>
      <c r="T337" s="11">
        <v>-17.21875</v>
      </c>
      <c r="U337" s="11">
        <v>145476.75</v>
      </c>
      <c r="V337" s="11">
        <v>-53.671875</v>
      </c>
      <c r="W337" s="11">
        <v>227517.4375</v>
      </c>
      <c r="X337" s="14">
        <v>5.4124029702506959E-9</v>
      </c>
      <c r="Y337" s="14">
        <v>1.1999763955827802E-5</v>
      </c>
      <c r="Z337" s="14">
        <v>7.1995600592344999E-9</v>
      </c>
      <c r="AA337" s="14">
        <v>2.1304247638909146E-5</v>
      </c>
      <c r="AB337" s="15">
        <v>-2.170263968537256E-12</v>
      </c>
      <c r="AC337" s="15">
        <v>-4.6081538584985537E-9</v>
      </c>
      <c r="AD337" s="13">
        <v>2.422332763671875E-4</v>
      </c>
      <c r="AE337" s="13">
        <v>22.923671722412109</v>
      </c>
      <c r="AF337" s="12">
        <v>4.177093505859375E-3</v>
      </c>
      <c r="AG337" s="12">
        <v>-40.698432922363281</v>
      </c>
      <c r="AH337" s="13">
        <v>1.2323653209023178E-9</v>
      </c>
      <c r="AI337" s="13">
        <v>3.8573975871258881E-6</v>
      </c>
      <c r="AJ337" s="11">
        <v>5.9306621551513672E-6</v>
      </c>
      <c r="AK337" s="11">
        <v>0.18454280495643616</v>
      </c>
      <c r="AL337" s="11">
        <v>0</v>
      </c>
      <c r="AM337" s="11">
        <v>-2.1500000953674316</v>
      </c>
      <c r="AN337" s="11">
        <v>-4.8195943236351013E-7</v>
      </c>
      <c r="AO337" s="11">
        <v>-2.9747823718935251E-3</v>
      </c>
      <c r="AP337" s="11">
        <v>115.81562757492065</v>
      </c>
      <c r="AQ337" s="11">
        <v>47775</v>
      </c>
      <c r="AR337" s="16">
        <v>2675</v>
      </c>
      <c r="AS337" s="16">
        <v>6075</v>
      </c>
      <c r="AT337" s="16">
        <v>115.81562757492065</v>
      </c>
      <c r="AU337" s="7">
        <v>0</v>
      </c>
      <c r="AV337" s="7">
        <v>2.1500000953674316</v>
      </c>
      <c r="AW337" s="7">
        <v>0</v>
      </c>
      <c r="AX337" s="7">
        <v>0</v>
      </c>
      <c r="AY337" s="11">
        <v>0</v>
      </c>
      <c r="AZ337" s="16">
        <v>0</v>
      </c>
      <c r="BA337" s="16">
        <v>0</v>
      </c>
      <c r="BB337" s="16">
        <v>0</v>
      </c>
      <c r="BC337" s="11">
        <v>0</v>
      </c>
      <c r="BD337" s="11">
        <v>0</v>
      </c>
      <c r="BE337" s="11">
        <v>0</v>
      </c>
      <c r="BF337" s="11">
        <v>0</v>
      </c>
      <c r="BG337" s="11">
        <v>0</v>
      </c>
      <c r="BH337" s="11">
        <v>0</v>
      </c>
      <c r="BI337" s="13">
        <v>0</v>
      </c>
      <c r="BJ337" s="13">
        <v>0</v>
      </c>
      <c r="BK337" s="11">
        <v>0</v>
      </c>
      <c r="BL337" s="12">
        <v>0</v>
      </c>
      <c r="BM337" s="12">
        <v>0</v>
      </c>
      <c r="BN337" s="13">
        <v>0</v>
      </c>
      <c r="BO337" s="13">
        <v>0</v>
      </c>
      <c r="BP337" s="15">
        <v>0</v>
      </c>
      <c r="BQ337" s="15">
        <v>0</v>
      </c>
      <c r="BR337" s="14">
        <v>0</v>
      </c>
      <c r="BS337" s="14">
        <v>0</v>
      </c>
      <c r="BT337" s="14">
        <v>0</v>
      </c>
      <c r="BU337" s="14">
        <v>0</v>
      </c>
      <c r="BV337" s="11">
        <v>0</v>
      </c>
      <c r="BW337" s="11">
        <v>0</v>
      </c>
      <c r="BX337" s="11">
        <v>0</v>
      </c>
      <c r="BY337" s="11">
        <v>0</v>
      </c>
      <c r="BZ337" s="7">
        <v>0</v>
      </c>
      <c r="CA337" s="7">
        <v>0</v>
      </c>
      <c r="CB337" s="7">
        <v>0</v>
      </c>
      <c r="CC337" s="7">
        <v>0</v>
      </c>
      <c r="CD337" s="7">
        <v>6071.89990234375</v>
      </c>
      <c r="CE337" s="3">
        <v>800</v>
      </c>
      <c r="CF337" s="7">
        <v>4616.0498046875</v>
      </c>
      <c r="CG337" s="3">
        <v>750</v>
      </c>
      <c r="CH337" s="7">
        <v>0</v>
      </c>
      <c r="CI337" s="7">
        <v>2.2000000476837158</v>
      </c>
      <c r="CJ337" s="3">
        <v>25</v>
      </c>
      <c r="CK337" s="7">
        <v>2.1500000953674316</v>
      </c>
      <c r="CL337" s="3">
        <v>375</v>
      </c>
      <c r="CM337" s="7">
        <v>2.5</v>
      </c>
      <c r="CN337" s="10">
        <v>44783.638194444444</v>
      </c>
      <c r="CO337" s="10">
        <v>44783.638194444444</v>
      </c>
      <c r="CP337" s="7">
        <v>38295.69921875</v>
      </c>
      <c r="CQ337" s="17" t="s">
        <v>321</v>
      </c>
      <c r="CR337" s="10">
        <v>44783.638194444444</v>
      </c>
      <c r="CS337" s="12">
        <v>-6.9141387939453125E-3</v>
      </c>
      <c r="CT337" s="18">
        <v>-5.9695968432771892E-5</v>
      </c>
      <c r="CU337" s="3">
        <v>3400</v>
      </c>
      <c r="CV337" s="18">
        <v>0.78676470588235292</v>
      </c>
      <c r="CW337" s="7">
        <v>2.1500000953674316</v>
      </c>
      <c r="CX337" s="18">
        <v>0</v>
      </c>
      <c r="CY337" s="7">
        <v>0</v>
      </c>
      <c r="CZ337" s="18">
        <v>0</v>
      </c>
      <c r="DA337" s="3">
        <v>0</v>
      </c>
      <c r="DB337" s="18">
        <v>0</v>
      </c>
      <c r="DC337" s="11">
        <v>0</v>
      </c>
      <c r="DD337" s="18">
        <v>0</v>
      </c>
      <c r="DE337" s="7">
        <v>0</v>
      </c>
      <c r="DF337" s="7">
        <v>2.1500000953674316</v>
      </c>
      <c r="DG337" s="7">
        <v>38295.69921875</v>
      </c>
      <c r="DH337" s="3" t="s">
        <v>312</v>
      </c>
      <c r="DI337" s="3" t="s">
        <v>312</v>
      </c>
      <c r="DJ337" s="3" t="s">
        <v>314</v>
      </c>
      <c r="DK337" s="3">
        <v>38300</v>
      </c>
      <c r="DL337" s="3">
        <v>3400000</v>
      </c>
      <c r="DM337" s="3">
        <v>38500</v>
      </c>
      <c r="DN337" s="3">
        <v>0</v>
      </c>
      <c r="DO337" s="3">
        <v>24500</v>
      </c>
      <c r="DP337" s="3">
        <v>2863350</v>
      </c>
      <c r="DQ337" s="28">
        <v>38000</v>
      </c>
      <c r="DR337" s="32">
        <v>0</v>
      </c>
      <c r="DS337" s="32">
        <v>24500</v>
      </c>
      <c r="DT337" s="32" t="s">
        <v>33</v>
      </c>
      <c r="DU337" s="69">
        <v>44784</v>
      </c>
    </row>
    <row r="338" spans="1:125" x14ac:dyDescent="0.25">
      <c r="A338" t="s">
        <v>113</v>
      </c>
      <c r="B338" s="2">
        <v>44833</v>
      </c>
      <c r="C338" s="1">
        <v>650</v>
      </c>
      <c r="D338">
        <v>89</v>
      </c>
      <c r="M338" s="3"/>
      <c r="N338" s="3"/>
      <c r="O338" s="3">
        <v>32500</v>
      </c>
      <c r="P338" s="7">
        <v>2.2000000476837158</v>
      </c>
      <c r="Q338" s="7">
        <v>2</v>
      </c>
      <c r="R338" s="7">
        <v>2.9500000476837158</v>
      </c>
      <c r="S338" s="7">
        <v>2.6500000953674316</v>
      </c>
      <c r="T338" s="11">
        <v>3.03125</v>
      </c>
      <c r="U338" s="11">
        <v>139993.046875</v>
      </c>
      <c r="V338" s="11">
        <v>-9.59375</v>
      </c>
      <c r="W338" s="11">
        <v>221937.640625</v>
      </c>
      <c r="X338" s="14">
        <v>5.3842086344957352E-10</v>
      </c>
      <c r="Y338" s="14">
        <v>1.2446176697267219E-5</v>
      </c>
      <c r="Z338" s="14">
        <v>-4.8385118134319782E-10</v>
      </c>
      <c r="AA338" s="14">
        <v>2.2420848836190999E-5</v>
      </c>
      <c r="AB338" s="15">
        <v>0</v>
      </c>
      <c r="AC338" s="15">
        <v>-4.8737947011545657E-9</v>
      </c>
      <c r="AD338" s="13">
        <v>9.57489013671875E-4</v>
      </c>
      <c r="AE338" s="13">
        <v>22.130046844482422</v>
      </c>
      <c r="AF338" s="12">
        <v>8.6212158203125E-4</v>
      </c>
      <c r="AG338" s="12">
        <v>-39.865608215332031</v>
      </c>
      <c r="AH338" s="13">
        <v>0</v>
      </c>
      <c r="AI338" s="13">
        <v>4.0384611565968953E-6</v>
      </c>
      <c r="AJ338" s="11">
        <v>-4.1127204895019531E-6</v>
      </c>
      <c r="AK338" s="11">
        <v>0.19041326642036438</v>
      </c>
      <c r="AL338" s="11">
        <v>0</v>
      </c>
      <c r="AM338" s="11">
        <v>-2.2000000476837158</v>
      </c>
      <c r="AN338" s="11">
        <v>0</v>
      </c>
      <c r="AO338" s="11">
        <v>-3.0800083186477423E-3</v>
      </c>
      <c r="AP338" s="11">
        <v>114.14176225662231</v>
      </c>
      <c r="AQ338" s="11">
        <v>347450</v>
      </c>
      <c r="AR338" s="16">
        <v>14600</v>
      </c>
      <c r="AS338" s="16">
        <v>92150</v>
      </c>
      <c r="AT338" s="16">
        <v>114.14176225662231</v>
      </c>
      <c r="AU338" s="7">
        <v>0</v>
      </c>
      <c r="AV338" s="7">
        <v>2.2000000476837158</v>
      </c>
      <c r="AW338" s="7">
        <v>0</v>
      </c>
      <c r="AX338" s="7">
        <v>0</v>
      </c>
      <c r="AY338" s="11">
        <v>0</v>
      </c>
      <c r="AZ338" s="16">
        <v>0</v>
      </c>
      <c r="BA338" s="16">
        <v>0</v>
      </c>
      <c r="BB338" s="16">
        <v>0</v>
      </c>
      <c r="BC338" s="11">
        <v>0</v>
      </c>
      <c r="BD338" s="11">
        <v>0</v>
      </c>
      <c r="BE338" s="11">
        <v>0</v>
      </c>
      <c r="BF338" s="11">
        <v>0</v>
      </c>
      <c r="BG338" s="11">
        <v>0</v>
      </c>
      <c r="BH338" s="11">
        <v>0</v>
      </c>
      <c r="BI338" s="13">
        <v>0</v>
      </c>
      <c r="BJ338" s="13">
        <v>0</v>
      </c>
      <c r="BK338" s="11">
        <v>0</v>
      </c>
      <c r="BL338" s="12">
        <v>0</v>
      </c>
      <c r="BM338" s="12">
        <v>0</v>
      </c>
      <c r="BN338" s="13">
        <v>0</v>
      </c>
      <c r="BO338" s="13">
        <v>0</v>
      </c>
      <c r="BP338" s="15">
        <v>0</v>
      </c>
      <c r="BQ338" s="15">
        <v>0</v>
      </c>
      <c r="BR338" s="14">
        <v>0</v>
      </c>
      <c r="BS338" s="14">
        <v>0</v>
      </c>
      <c r="BT338" s="14">
        <v>0</v>
      </c>
      <c r="BU338" s="14">
        <v>0</v>
      </c>
      <c r="BV338" s="11">
        <v>0</v>
      </c>
      <c r="BW338" s="11">
        <v>0</v>
      </c>
      <c r="BX338" s="11">
        <v>0</v>
      </c>
      <c r="BY338" s="11">
        <v>0</v>
      </c>
      <c r="BZ338" s="7">
        <v>0</v>
      </c>
      <c r="CA338" s="7">
        <v>0</v>
      </c>
      <c r="CB338" s="7">
        <v>0</v>
      </c>
      <c r="CC338" s="7">
        <v>0</v>
      </c>
      <c r="CD338" s="7">
        <v>5865.64990234375</v>
      </c>
      <c r="CE338" s="3">
        <v>50</v>
      </c>
      <c r="CF338" s="7">
        <v>5306</v>
      </c>
      <c r="CG338" s="3">
        <v>750</v>
      </c>
      <c r="CH338" s="7">
        <v>0</v>
      </c>
      <c r="CI338" s="7">
        <v>2.25</v>
      </c>
      <c r="CJ338" s="3">
        <v>600</v>
      </c>
      <c r="CK338" s="7">
        <v>2.2000000476837158</v>
      </c>
      <c r="CL338" s="3">
        <v>275</v>
      </c>
      <c r="CM338" s="7">
        <v>2.440000057220459</v>
      </c>
      <c r="CN338" s="10">
        <v>44783.638194444444</v>
      </c>
      <c r="CO338" s="10">
        <v>44783.638194444444</v>
      </c>
      <c r="CP338" s="7">
        <v>38295.69921875</v>
      </c>
      <c r="CQ338" s="17" t="s">
        <v>321</v>
      </c>
      <c r="CR338" s="10">
        <v>44783.638194444444</v>
      </c>
      <c r="CS338" s="12">
        <v>2.4676322937011719E-3</v>
      </c>
      <c r="CT338" s="18">
        <v>2.1619480844199995E-5</v>
      </c>
      <c r="CU338" s="3">
        <v>77550</v>
      </c>
      <c r="CV338" s="18">
        <v>0.1882656350741457</v>
      </c>
      <c r="CW338" s="7">
        <v>2.2000000476837158</v>
      </c>
      <c r="CX338" s="18">
        <v>0</v>
      </c>
      <c r="CY338" s="7">
        <v>0</v>
      </c>
      <c r="CZ338" s="18">
        <v>0</v>
      </c>
      <c r="DA338" s="3">
        <v>0</v>
      </c>
      <c r="DB338" s="18">
        <v>0</v>
      </c>
      <c r="DC338" s="11">
        <v>0</v>
      </c>
      <c r="DD338" s="18">
        <v>0</v>
      </c>
      <c r="DE338" s="7">
        <v>0</v>
      </c>
      <c r="DF338" s="7">
        <v>2.2000000476837158</v>
      </c>
      <c r="DG338" s="7">
        <v>38295.69921875</v>
      </c>
      <c r="DH338" s="3" t="s">
        <v>312</v>
      </c>
      <c r="DI338" s="3" t="s">
        <v>312</v>
      </c>
      <c r="DJ338" s="3" t="s">
        <v>314</v>
      </c>
      <c r="DK338" s="3">
        <v>38300</v>
      </c>
      <c r="DL338" s="3">
        <v>3400000</v>
      </c>
      <c r="DM338" s="3">
        <v>38500</v>
      </c>
      <c r="DN338" s="3">
        <v>0</v>
      </c>
      <c r="DO338" s="3">
        <v>24500</v>
      </c>
      <c r="DP338" s="3">
        <v>2863350</v>
      </c>
      <c r="DQ338" s="28">
        <v>38000</v>
      </c>
      <c r="DR338" s="32">
        <v>0</v>
      </c>
      <c r="DS338" s="32">
        <v>24500</v>
      </c>
      <c r="DT338" s="32" t="s">
        <v>33</v>
      </c>
      <c r="DU338" s="69">
        <v>44784</v>
      </c>
    </row>
    <row r="339" spans="1:125" x14ac:dyDescent="0.25">
      <c r="A339" t="s">
        <v>113</v>
      </c>
      <c r="B339" s="2">
        <v>44861</v>
      </c>
      <c r="C339" s="1">
        <v>650</v>
      </c>
      <c r="D339">
        <v>89</v>
      </c>
      <c r="M339" s="3"/>
      <c r="N339" s="3"/>
      <c r="O339" s="3">
        <v>32600</v>
      </c>
      <c r="P339" s="7">
        <v>2.2000000476837158</v>
      </c>
      <c r="Q339" s="7">
        <v>1.6000000238418579</v>
      </c>
      <c r="R339" s="7">
        <v>3.1500000953674316</v>
      </c>
      <c r="S339" s="7">
        <v>2.7000000476837158</v>
      </c>
      <c r="T339" s="11">
        <v>16.359375</v>
      </c>
      <c r="U339" s="11">
        <v>137578.515625</v>
      </c>
      <c r="V339" s="11">
        <v>-267.859375</v>
      </c>
      <c r="W339" s="11">
        <v>221944.046875</v>
      </c>
      <c r="X339" s="14">
        <v>2.1081177692394704E-8</v>
      </c>
      <c r="Y339" s="14">
        <v>1.2776228686561808E-5</v>
      </c>
      <c r="Z339" s="14">
        <v>7.8543962445110083E-9</v>
      </c>
      <c r="AA339" s="14">
        <v>2.3429665816365741E-5</v>
      </c>
      <c r="AB339" s="15">
        <v>-4.9467097085198475E-12</v>
      </c>
      <c r="AC339" s="15">
        <v>-5.1000315082205816E-9</v>
      </c>
      <c r="AD339" s="13">
        <v>1.6204833984375E-2</v>
      </c>
      <c r="AE339" s="13">
        <v>21.771492004394531</v>
      </c>
      <c r="AF339" s="12">
        <v>2.2823333740234375E-2</v>
      </c>
      <c r="AG339" s="12">
        <v>-39.925613403320313</v>
      </c>
      <c r="AH339" s="13">
        <v>2.7407622837927192E-9</v>
      </c>
      <c r="AI339" s="13">
        <v>4.1649323065939825E-6</v>
      </c>
      <c r="AJ339" s="11">
        <v>-5.6833028793334961E-5</v>
      </c>
      <c r="AK339" s="11">
        <v>0.19319495558738708</v>
      </c>
      <c r="AL339" s="11">
        <v>0</v>
      </c>
      <c r="AM339" s="11">
        <v>-2.2000000476837158</v>
      </c>
      <c r="AN339" s="11">
        <v>-1.0440126061439514E-6</v>
      </c>
      <c r="AO339" s="11">
        <v>-3.1286079902201891E-3</v>
      </c>
      <c r="AP339" s="11">
        <v>112.20121383666992</v>
      </c>
      <c r="AQ339" s="11">
        <v>15900</v>
      </c>
      <c r="AR339" s="16">
        <v>825</v>
      </c>
      <c r="AS339" s="16">
        <v>2075</v>
      </c>
      <c r="AT339" s="16">
        <v>112.20121383666992</v>
      </c>
      <c r="AU339" s="7">
        <v>0</v>
      </c>
      <c r="AV339" s="7">
        <v>2.2000000476837158</v>
      </c>
      <c r="AW339" s="7">
        <v>0</v>
      </c>
      <c r="AX339" s="7">
        <v>0</v>
      </c>
      <c r="AY339" s="11">
        <v>0</v>
      </c>
      <c r="AZ339" s="16">
        <v>0</v>
      </c>
      <c r="BA339" s="16">
        <v>0</v>
      </c>
      <c r="BB339" s="16">
        <v>0</v>
      </c>
      <c r="BC339" s="11">
        <v>0</v>
      </c>
      <c r="BD339" s="11">
        <v>0</v>
      </c>
      <c r="BE339" s="11">
        <v>0</v>
      </c>
      <c r="BF339" s="11">
        <v>0</v>
      </c>
      <c r="BG339" s="11">
        <v>0</v>
      </c>
      <c r="BH339" s="11">
        <v>0</v>
      </c>
      <c r="BI339" s="13">
        <v>0</v>
      </c>
      <c r="BJ339" s="13">
        <v>0</v>
      </c>
      <c r="BK339" s="11">
        <v>0</v>
      </c>
      <c r="BL339" s="12">
        <v>0</v>
      </c>
      <c r="BM339" s="12">
        <v>0</v>
      </c>
      <c r="BN339" s="13">
        <v>0</v>
      </c>
      <c r="BO339" s="13">
        <v>0</v>
      </c>
      <c r="BP339" s="15">
        <v>0</v>
      </c>
      <c r="BQ339" s="15">
        <v>0</v>
      </c>
      <c r="BR339" s="14">
        <v>0</v>
      </c>
      <c r="BS339" s="14">
        <v>0</v>
      </c>
      <c r="BT339" s="14">
        <v>0</v>
      </c>
      <c r="BU339" s="14">
        <v>0</v>
      </c>
      <c r="BV339" s="11">
        <v>0</v>
      </c>
      <c r="BW339" s="11">
        <v>0</v>
      </c>
      <c r="BX339" s="11">
        <v>0</v>
      </c>
      <c r="BY339" s="11">
        <v>0</v>
      </c>
      <c r="BZ339" s="7">
        <v>0</v>
      </c>
      <c r="CA339" s="7">
        <v>0</v>
      </c>
      <c r="CB339" s="7">
        <v>0</v>
      </c>
      <c r="CC339" s="7">
        <v>0</v>
      </c>
      <c r="CD339" s="7">
        <v>5895.7001953125</v>
      </c>
      <c r="CE339" s="3">
        <v>800</v>
      </c>
      <c r="CF339" s="7">
        <v>5480.2001953125</v>
      </c>
      <c r="CG339" s="3">
        <v>750</v>
      </c>
      <c r="CH339" s="7">
        <v>0</v>
      </c>
      <c r="CI339" s="7">
        <v>2.8499999046325684</v>
      </c>
      <c r="CJ339" s="3">
        <v>125</v>
      </c>
      <c r="CK339" s="7">
        <v>2.2000000476837158</v>
      </c>
      <c r="CL339" s="3">
        <v>200</v>
      </c>
      <c r="CM339" s="7">
        <v>2.5799999237060547</v>
      </c>
      <c r="CN339" s="10">
        <v>44783.638194444444</v>
      </c>
      <c r="CO339" s="10">
        <v>44783.638194444444</v>
      </c>
      <c r="CP339" s="7">
        <v>38295.69921875</v>
      </c>
      <c r="CQ339" s="17" t="s">
        <v>321</v>
      </c>
      <c r="CR339" s="10">
        <v>44783.638194444444</v>
      </c>
      <c r="CS339" s="12">
        <v>2.6559829711914063E-2</v>
      </c>
      <c r="CT339" s="18">
        <v>2.3677211173093167E-4</v>
      </c>
      <c r="CU339" s="3">
        <v>1250</v>
      </c>
      <c r="CV339" s="18">
        <v>0.66</v>
      </c>
      <c r="CW339" s="7">
        <v>2.2000000476837158</v>
      </c>
      <c r="CX339" s="18">
        <v>0</v>
      </c>
      <c r="CY339" s="7">
        <v>0</v>
      </c>
      <c r="CZ339" s="18">
        <v>0</v>
      </c>
      <c r="DA339" s="3">
        <v>0</v>
      </c>
      <c r="DB339" s="18">
        <v>0</v>
      </c>
      <c r="DC339" s="11">
        <v>0</v>
      </c>
      <c r="DD339" s="18">
        <v>0</v>
      </c>
      <c r="DE339" s="7">
        <v>0</v>
      </c>
      <c r="DF339" s="7">
        <v>2.2000000476837158</v>
      </c>
      <c r="DG339" s="7">
        <v>38295.69921875</v>
      </c>
      <c r="DH339" s="3" t="s">
        <v>312</v>
      </c>
      <c r="DI339" s="3" t="s">
        <v>312</v>
      </c>
      <c r="DJ339" s="3" t="s">
        <v>314</v>
      </c>
      <c r="DK339" s="3">
        <v>38300</v>
      </c>
      <c r="DL339" s="3">
        <v>3400000</v>
      </c>
      <c r="DM339" s="3">
        <v>38500</v>
      </c>
      <c r="DN339" s="3">
        <v>0</v>
      </c>
      <c r="DO339" s="3">
        <v>24500</v>
      </c>
      <c r="DP339" s="3">
        <v>2863350</v>
      </c>
      <c r="DQ339" s="28">
        <v>38000</v>
      </c>
      <c r="DR339" s="32">
        <v>0</v>
      </c>
      <c r="DS339" s="32">
        <v>24500</v>
      </c>
      <c r="DT339" s="32" t="s">
        <v>33</v>
      </c>
      <c r="DU339" s="69">
        <v>44784</v>
      </c>
    </row>
    <row r="340" spans="1:125" x14ac:dyDescent="0.25">
      <c r="A340" t="s">
        <v>114</v>
      </c>
      <c r="B340" s="2">
        <v>44798</v>
      </c>
      <c r="C340" s="1">
        <v>875</v>
      </c>
      <c r="D340">
        <v>68</v>
      </c>
      <c r="M340" s="3"/>
      <c r="N340" s="3"/>
      <c r="O340" s="3">
        <v>32700</v>
      </c>
      <c r="P340" s="7">
        <v>2.4000000953674316</v>
      </c>
      <c r="Q340" s="7">
        <v>1.6000000238418579</v>
      </c>
      <c r="R340" s="7">
        <v>3.0999999046325684</v>
      </c>
      <c r="S340" s="7">
        <v>2.8499999046325684</v>
      </c>
      <c r="T340" s="11">
        <v>3.9609375</v>
      </c>
      <c r="U340" s="11">
        <v>124739.75</v>
      </c>
      <c r="V340" s="11">
        <v>-8.140625</v>
      </c>
      <c r="W340" s="11">
        <v>202276.484375</v>
      </c>
      <c r="X340" s="14">
        <v>4.0199665818363428E-10</v>
      </c>
      <c r="Y340" s="14">
        <v>1.3620353456644807E-5</v>
      </c>
      <c r="Z340" s="14">
        <v>-1.0750227374956012E-9</v>
      </c>
      <c r="AA340" s="14">
        <v>2.517292887205258E-5</v>
      </c>
      <c r="AB340" s="15">
        <v>1.3011813848606835E-13</v>
      </c>
      <c r="AC340" s="15">
        <v>-5.5604720827773235E-9</v>
      </c>
      <c r="AD340" s="13">
        <v>1.0223388671875E-3</v>
      </c>
      <c r="AE340" s="13">
        <v>19.908790588378906</v>
      </c>
      <c r="AF340" s="12">
        <v>7.66754150390625E-4</v>
      </c>
      <c r="AG340" s="12">
        <v>-36.795124053955078</v>
      </c>
      <c r="AH340" s="13">
        <v>-7.2304828790947795E-11</v>
      </c>
      <c r="AI340" s="13">
        <v>4.5491588025470264E-6</v>
      </c>
      <c r="AJ340" s="11">
        <v>-5.7518482208251953E-6</v>
      </c>
      <c r="AK340" s="11">
        <v>0.20906639099121094</v>
      </c>
      <c r="AL340" s="11">
        <v>0</v>
      </c>
      <c r="AM340" s="11">
        <v>-2.4000000953674316</v>
      </c>
      <c r="AN340" s="11">
        <v>2.7474015951156616E-8</v>
      </c>
      <c r="AO340" s="11">
        <v>-3.4172069281339645E-3</v>
      </c>
      <c r="AP340" s="11">
        <v>111.25391721725464</v>
      </c>
      <c r="AQ340" s="11">
        <v>34700</v>
      </c>
      <c r="AR340" s="16">
        <v>-250</v>
      </c>
      <c r="AS340" s="16">
        <v>3425</v>
      </c>
      <c r="AT340" s="16">
        <v>111.25391721725464</v>
      </c>
      <c r="AU340" s="7">
        <v>0</v>
      </c>
      <c r="AV340" s="7">
        <v>2.4000000953674316</v>
      </c>
      <c r="AW340" s="7">
        <v>5147.39990234375</v>
      </c>
      <c r="AX340" s="7">
        <v>0</v>
      </c>
      <c r="AY340" s="11">
        <v>0</v>
      </c>
      <c r="AZ340" s="16">
        <v>125</v>
      </c>
      <c r="BA340" s="16">
        <v>0</v>
      </c>
      <c r="BB340" s="16">
        <v>0</v>
      </c>
      <c r="BC340" s="11">
        <v>0</v>
      </c>
      <c r="BD340" s="11">
        <v>0</v>
      </c>
      <c r="BE340" s="11">
        <v>0</v>
      </c>
      <c r="BF340" s="11">
        <v>0</v>
      </c>
      <c r="BG340" s="11">
        <v>0</v>
      </c>
      <c r="BH340" s="11">
        <v>0</v>
      </c>
      <c r="BI340" s="13">
        <v>0</v>
      </c>
      <c r="BJ340" s="13">
        <v>0</v>
      </c>
      <c r="BK340" s="11">
        <v>0</v>
      </c>
      <c r="BL340" s="12">
        <v>0</v>
      </c>
      <c r="BM340" s="12">
        <v>0</v>
      </c>
      <c r="BN340" s="13">
        <v>0</v>
      </c>
      <c r="BO340" s="13">
        <v>0</v>
      </c>
      <c r="BP340" s="15">
        <v>0</v>
      </c>
      <c r="BQ340" s="15">
        <v>0</v>
      </c>
      <c r="BR340" s="14">
        <v>0</v>
      </c>
      <c r="BS340" s="14">
        <v>0</v>
      </c>
      <c r="BT340" s="14">
        <v>0</v>
      </c>
      <c r="BU340" s="14">
        <v>0</v>
      </c>
      <c r="BV340" s="11">
        <v>0</v>
      </c>
      <c r="BW340" s="11">
        <v>0</v>
      </c>
      <c r="BX340" s="11">
        <v>0</v>
      </c>
      <c r="BY340" s="11">
        <v>0</v>
      </c>
      <c r="BZ340" s="7">
        <v>0</v>
      </c>
      <c r="CA340" s="7">
        <v>0</v>
      </c>
      <c r="CB340" s="7">
        <v>0</v>
      </c>
      <c r="CC340" s="7">
        <v>5147.39990234375</v>
      </c>
      <c r="CD340" s="7">
        <v>5781.0498046875</v>
      </c>
      <c r="CE340" s="3">
        <v>800</v>
      </c>
      <c r="CF340" s="7">
        <v>3986.10009765625</v>
      </c>
      <c r="CG340" s="3">
        <v>750</v>
      </c>
      <c r="CH340" s="7">
        <v>0</v>
      </c>
      <c r="CI340" s="7">
        <v>2.3499999046325684</v>
      </c>
      <c r="CJ340" s="3">
        <v>250</v>
      </c>
      <c r="CK340" s="7">
        <v>2.25</v>
      </c>
      <c r="CL340" s="3">
        <v>100</v>
      </c>
      <c r="CM340" s="7">
        <v>2.5299999713897705</v>
      </c>
      <c r="CN340" s="10">
        <v>44783.638194444444</v>
      </c>
      <c r="CO340" s="10">
        <v>44783.638194444444</v>
      </c>
      <c r="CP340" s="7">
        <v>38295.69921875</v>
      </c>
      <c r="CQ340" s="17" t="s">
        <v>321</v>
      </c>
      <c r="CR340" s="10">
        <v>44783.638194444444</v>
      </c>
      <c r="CS340" s="12">
        <v>3.2305717468261719E-3</v>
      </c>
      <c r="CT340" s="18">
        <v>2.9038667933081195E-5</v>
      </c>
      <c r="CU340" s="3">
        <v>3675</v>
      </c>
      <c r="CV340" s="18">
        <v>-6.8027210884353748E-2</v>
      </c>
      <c r="CW340" s="7">
        <v>2.4000000953674316</v>
      </c>
      <c r="CX340" s="18">
        <v>0</v>
      </c>
      <c r="CY340" s="7">
        <v>5147.39990234375</v>
      </c>
      <c r="CZ340" s="18">
        <v>0</v>
      </c>
      <c r="DA340" s="3">
        <v>125</v>
      </c>
      <c r="DB340" s="18">
        <v>0</v>
      </c>
      <c r="DC340" s="11">
        <v>0</v>
      </c>
      <c r="DD340" s="18">
        <v>0</v>
      </c>
      <c r="DE340" s="7">
        <v>5147.39990234375</v>
      </c>
      <c r="DF340" s="7">
        <v>2.4000000953674316</v>
      </c>
      <c r="DG340" s="7">
        <v>38295.69921875</v>
      </c>
      <c r="DH340" s="3" t="s">
        <v>312</v>
      </c>
      <c r="DI340" s="3" t="s">
        <v>312</v>
      </c>
      <c r="DJ340" s="3" t="s">
        <v>314</v>
      </c>
      <c r="DK340" s="3">
        <v>38300</v>
      </c>
      <c r="DL340" s="3">
        <v>3400000</v>
      </c>
      <c r="DM340" s="3">
        <v>38500</v>
      </c>
      <c r="DN340" s="3">
        <v>0</v>
      </c>
      <c r="DO340" s="3">
        <v>24500</v>
      </c>
      <c r="DP340" s="3">
        <v>2863350</v>
      </c>
      <c r="DQ340" s="28">
        <v>38000</v>
      </c>
      <c r="DR340" s="32">
        <v>0</v>
      </c>
      <c r="DS340" s="32">
        <v>24500</v>
      </c>
      <c r="DT340" s="32" t="s">
        <v>33</v>
      </c>
      <c r="DU340" s="69">
        <v>44784</v>
      </c>
    </row>
    <row r="341" spans="1:125" x14ac:dyDescent="0.25">
      <c r="A341" t="s">
        <v>114</v>
      </c>
      <c r="B341" s="2">
        <v>44833</v>
      </c>
      <c r="C341" s="1">
        <v>875</v>
      </c>
      <c r="D341">
        <v>68</v>
      </c>
      <c r="M341" s="3"/>
      <c r="N341" s="3"/>
      <c r="O341" s="3">
        <v>32800</v>
      </c>
      <c r="P341" s="7">
        <v>2.2999999523162842</v>
      </c>
      <c r="Q341" s="7">
        <v>1.7000000476837158</v>
      </c>
      <c r="R341" s="7">
        <v>3.4000000953674316</v>
      </c>
      <c r="S341" s="7">
        <v>2.9500000476837158</v>
      </c>
      <c r="T341" s="11">
        <v>4.0703125</v>
      </c>
      <c r="U341" s="11">
        <v>127395.4609375</v>
      </c>
      <c r="V341" s="11">
        <v>-8.484375</v>
      </c>
      <c r="W341" s="11">
        <v>211319.859375</v>
      </c>
      <c r="X341" s="14">
        <v>4.0290615288540721E-10</v>
      </c>
      <c r="Y341" s="14">
        <v>1.3775444131169934E-5</v>
      </c>
      <c r="Z341" s="14">
        <v>-1.1223164619877934E-9</v>
      </c>
      <c r="AA341" s="14">
        <v>2.6027204512502067E-5</v>
      </c>
      <c r="AB341" s="15">
        <v>1.3677947663381929E-13</v>
      </c>
      <c r="AC341" s="15">
        <v>-5.7254410101847952E-9</v>
      </c>
      <c r="AD341" s="13">
        <v>1.04522705078125E-3</v>
      </c>
      <c r="AE341" s="13">
        <v>20.299203872680664</v>
      </c>
      <c r="AF341" s="12">
        <v>8.0108642578125E-4</v>
      </c>
      <c r="AG341" s="12">
        <v>-38.353137969970703</v>
      </c>
      <c r="AH341" s="13">
        <v>-7.4123818194493651E-11</v>
      </c>
      <c r="AI341" s="13">
        <v>4.5739407141809352E-6</v>
      </c>
      <c r="AJ341" s="11">
        <v>-5.6922435760498047E-6</v>
      </c>
      <c r="AK341" s="11">
        <v>0.20562084019184113</v>
      </c>
      <c r="AL341" s="11">
        <v>0</v>
      </c>
      <c r="AM341" s="11">
        <v>-2.2999999523162842</v>
      </c>
      <c r="AN341" s="11">
        <v>2.7474015951156616E-8</v>
      </c>
      <c r="AO341" s="11">
        <v>-3.3546015620231628E-3</v>
      </c>
      <c r="AP341" s="11">
        <v>108.82751941680908</v>
      </c>
      <c r="AQ341" s="11">
        <v>41225</v>
      </c>
      <c r="AR341" s="16">
        <v>25</v>
      </c>
      <c r="AS341" s="16">
        <v>4000</v>
      </c>
      <c r="AT341" s="16">
        <v>108.82751941680908</v>
      </c>
      <c r="AU341" s="7">
        <v>0</v>
      </c>
      <c r="AV341" s="7">
        <v>2.2999999523162842</v>
      </c>
      <c r="AW341" s="7">
        <v>0</v>
      </c>
      <c r="AX341" s="7">
        <v>-2718.1</v>
      </c>
      <c r="AY341" s="11">
        <v>0</v>
      </c>
      <c r="AZ341" s="16">
        <v>0</v>
      </c>
      <c r="BA341" s="16">
        <v>0</v>
      </c>
      <c r="BB341" s="16">
        <v>0</v>
      </c>
      <c r="BC341" s="11">
        <v>0</v>
      </c>
      <c r="BD341" s="11">
        <v>0</v>
      </c>
      <c r="BE341" s="11">
        <v>0</v>
      </c>
      <c r="BF341" s="11">
        <v>0</v>
      </c>
      <c r="BG341" s="11">
        <v>0</v>
      </c>
      <c r="BH341" s="11">
        <v>0</v>
      </c>
      <c r="BI341" s="13">
        <v>0</v>
      </c>
      <c r="BJ341" s="13">
        <v>0</v>
      </c>
      <c r="BK341" s="11">
        <v>0</v>
      </c>
      <c r="BL341" s="12">
        <v>0</v>
      </c>
      <c r="BM341" s="12">
        <v>0</v>
      </c>
      <c r="BN341" s="13">
        <v>0</v>
      </c>
      <c r="BO341" s="13">
        <v>0</v>
      </c>
      <c r="BP341" s="15">
        <v>0</v>
      </c>
      <c r="BQ341" s="15">
        <v>0</v>
      </c>
      <c r="BR341" s="14">
        <v>0</v>
      </c>
      <c r="BS341" s="14">
        <v>0</v>
      </c>
      <c r="BT341" s="14">
        <v>0</v>
      </c>
      <c r="BU341" s="14">
        <v>0</v>
      </c>
      <c r="BV341" s="11">
        <v>0</v>
      </c>
      <c r="BW341" s="11">
        <v>0</v>
      </c>
      <c r="BX341" s="11">
        <v>0</v>
      </c>
      <c r="BY341" s="11">
        <v>0</v>
      </c>
      <c r="BZ341" s="7">
        <v>0</v>
      </c>
      <c r="CA341" s="7">
        <v>0</v>
      </c>
      <c r="CB341" s="7">
        <v>0</v>
      </c>
      <c r="CC341" s="7">
        <v>0</v>
      </c>
      <c r="CD341" s="7">
        <v>0</v>
      </c>
      <c r="CE341" s="3">
        <v>0</v>
      </c>
      <c r="CF341" s="7">
        <v>0</v>
      </c>
      <c r="CG341" s="3">
        <v>0</v>
      </c>
      <c r="CH341" s="7">
        <v>0</v>
      </c>
      <c r="CI341" s="7">
        <v>2.4000000953674316</v>
      </c>
      <c r="CJ341" s="3">
        <v>125</v>
      </c>
      <c r="CK341" s="7">
        <v>2.25</v>
      </c>
      <c r="CL341" s="3">
        <v>325</v>
      </c>
      <c r="CM341" s="7">
        <v>2.5999999046325684</v>
      </c>
      <c r="CN341" s="10">
        <v>44783.636701388888</v>
      </c>
      <c r="CO341" s="10">
        <v>44783.638194444444</v>
      </c>
      <c r="CP341" s="7">
        <v>38295.69921875</v>
      </c>
      <c r="CQ341" s="17" t="s">
        <v>321</v>
      </c>
      <c r="CR341" s="10">
        <v>44783.638194444444</v>
      </c>
      <c r="CS341" s="12">
        <v>3.1590461730957031E-3</v>
      </c>
      <c r="CT341" s="18">
        <v>2.9028851282346766E-5</v>
      </c>
      <c r="CU341" s="3">
        <v>3975</v>
      </c>
      <c r="CV341" s="18">
        <v>6.2893081761006293E-3</v>
      </c>
      <c r="CW341" s="7">
        <v>2.2999999523162842</v>
      </c>
      <c r="CX341" s="18">
        <v>0</v>
      </c>
      <c r="CY341" s="7">
        <v>2718.1</v>
      </c>
      <c r="CZ341" s="18">
        <v>-1</v>
      </c>
      <c r="DA341" s="3">
        <v>0</v>
      </c>
      <c r="DB341" s="18"/>
      <c r="DC341" s="11">
        <v>0</v>
      </c>
      <c r="DD341" s="18"/>
      <c r="DE341" s="7">
        <v>2718.1</v>
      </c>
      <c r="DF341" s="7">
        <v>2.2999999523162842</v>
      </c>
      <c r="DG341" s="7">
        <v>38295.69921875</v>
      </c>
      <c r="DH341" s="3" t="s">
        <v>313</v>
      </c>
      <c r="DI341" s="3" t="s">
        <v>312</v>
      </c>
      <c r="DJ341" s="3" t="s">
        <v>314</v>
      </c>
      <c r="DK341" s="3">
        <v>38300</v>
      </c>
      <c r="DL341" s="3">
        <v>3400000</v>
      </c>
      <c r="DM341" s="3">
        <v>38500</v>
      </c>
      <c r="DN341" s="3">
        <v>0</v>
      </c>
      <c r="DO341" s="3">
        <v>24500</v>
      </c>
      <c r="DP341" s="3">
        <v>2863350</v>
      </c>
      <c r="DQ341" s="28">
        <v>38000</v>
      </c>
      <c r="DR341" s="32">
        <v>0</v>
      </c>
      <c r="DS341" s="32">
        <v>24500</v>
      </c>
      <c r="DT341" s="32" t="s">
        <v>33</v>
      </c>
      <c r="DU341" s="69">
        <v>44784</v>
      </c>
    </row>
    <row r="342" spans="1:125" x14ac:dyDescent="0.25">
      <c r="A342" t="s">
        <v>114</v>
      </c>
      <c r="B342" s="2">
        <v>44861</v>
      </c>
      <c r="C342" s="1">
        <v>875</v>
      </c>
      <c r="D342">
        <v>68</v>
      </c>
      <c r="M342" s="3"/>
      <c r="N342" s="3"/>
      <c r="O342" s="3">
        <v>32900</v>
      </c>
      <c r="P342" s="7">
        <v>2.3499999046325684</v>
      </c>
      <c r="Q342" s="7">
        <v>1.5</v>
      </c>
      <c r="R342" s="7">
        <v>3.2000000476837158</v>
      </c>
      <c r="S342" s="7">
        <v>2.9500000476837158</v>
      </c>
      <c r="T342" s="11">
        <v>3.9296875</v>
      </c>
      <c r="U342" s="11">
        <v>122627.0078125</v>
      </c>
      <c r="V342" s="11">
        <v>-8.28125</v>
      </c>
      <c r="W342" s="11">
        <v>206429.71875</v>
      </c>
      <c r="X342" s="14">
        <v>4.1472958400845528E-10</v>
      </c>
      <c r="Y342" s="14">
        <v>1.4296792869572528E-5</v>
      </c>
      <c r="Z342" s="14">
        <v>-1.1932570487260818E-9</v>
      </c>
      <c r="AA342" s="14">
        <v>2.7440810299594887E-5</v>
      </c>
      <c r="AB342" s="15">
        <v>1.4699352846037073E-13</v>
      </c>
      <c r="AC342" s="15">
        <v>-6.0671023760505705E-9</v>
      </c>
      <c r="AD342" s="13">
        <v>1.010894775390625E-3</v>
      </c>
      <c r="AE342" s="13">
        <v>19.60247802734375</v>
      </c>
      <c r="AF342" s="12">
        <v>7.8582763671875E-4</v>
      </c>
      <c r="AG342" s="12">
        <v>-37.624374389648438</v>
      </c>
      <c r="AH342" s="13">
        <v>-7.8671291703358293E-11</v>
      </c>
      <c r="AI342" s="13">
        <v>4.7925504986778833E-6</v>
      </c>
      <c r="AJ342" s="11">
        <v>-5.8859586715698242E-6</v>
      </c>
      <c r="AK342" s="11">
        <v>0.21208350360393524</v>
      </c>
      <c r="AL342" s="11">
        <v>0</v>
      </c>
      <c r="AM342" s="11">
        <v>-2.3499999046325684</v>
      </c>
      <c r="AN342" s="11">
        <v>2.8870999813079834E-8</v>
      </c>
      <c r="AO342" s="11">
        <v>-3.4721437841653824E-3</v>
      </c>
      <c r="AP342" s="11">
        <v>107.12783336639404</v>
      </c>
      <c r="AQ342" s="11">
        <v>14550</v>
      </c>
      <c r="AR342" s="16">
        <v>350</v>
      </c>
      <c r="AS342" s="16">
        <v>2350</v>
      </c>
      <c r="AT342" s="16">
        <v>107.12783336639404</v>
      </c>
      <c r="AU342" s="7">
        <v>0</v>
      </c>
      <c r="AV342" s="7">
        <v>2.3499999046325684</v>
      </c>
      <c r="AW342" s="7">
        <v>0</v>
      </c>
      <c r="AX342" s="7">
        <v>-2645.2</v>
      </c>
      <c r="AY342" s="11">
        <v>0</v>
      </c>
      <c r="AZ342" s="16">
        <v>0</v>
      </c>
      <c r="BA342" s="16">
        <v>0</v>
      </c>
      <c r="BB342" s="16">
        <v>0</v>
      </c>
      <c r="BC342" s="11">
        <v>0</v>
      </c>
      <c r="BD342" s="11">
        <v>0</v>
      </c>
      <c r="BE342" s="11">
        <v>0</v>
      </c>
      <c r="BF342" s="11">
        <v>0</v>
      </c>
      <c r="BG342" s="11">
        <v>0</v>
      </c>
      <c r="BH342" s="11">
        <v>0</v>
      </c>
      <c r="BI342" s="13">
        <v>0</v>
      </c>
      <c r="BJ342" s="13">
        <v>0</v>
      </c>
      <c r="BK342" s="11">
        <v>0</v>
      </c>
      <c r="BL342" s="12">
        <v>0</v>
      </c>
      <c r="BM342" s="12">
        <v>0</v>
      </c>
      <c r="BN342" s="13">
        <v>0</v>
      </c>
      <c r="BO342" s="13">
        <v>0</v>
      </c>
      <c r="BP342" s="15">
        <v>0</v>
      </c>
      <c r="BQ342" s="15">
        <v>0</v>
      </c>
      <c r="BR342" s="14">
        <v>0</v>
      </c>
      <c r="BS342" s="14">
        <v>0</v>
      </c>
      <c r="BT342" s="14">
        <v>0</v>
      </c>
      <c r="BU342" s="14">
        <v>0</v>
      </c>
      <c r="BV342" s="11">
        <v>0</v>
      </c>
      <c r="BW342" s="11">
        <v>0</v>
      </c>
      <c r="BX342" s="11">
        <v>0</v>
      </c>
      <c r="BY342" s="11">
        <v>0</v>
      </c>
      <c r="BZ342" s="7">
        <v>0</v>
      </c>
      <c r="CA342" s="7">
        <v>0</v>
      </c>
      <c r="CB342" s="7">
        <v>0</v>
      </c>
      <c r="CC342" s="7">
        <v>0</v>
      </c>
      <c r="CD342" s="7">
        <v>0</v>
      </c>
      <c r="CE342" s="3">
        <v>0</v>
      </c>
      <c r="CF342" s="7">
        <v>0</v>
      </c>
      <c r="CG342" s="3">
        <v>0</v>
      </c>
      <c r="CH342" s="7">
        <v>0</v>
      </c>
      <c r="CI342" s="7">
        <v>2.4000000953674316</v>
      </c>
      <c r="CJ342" s="3">
        <v>50</v>
      </c>
      <c r="CK342" s="7">
        <v>2.2000000476837158</v>
      </c>
      <c r="CL342" s="3">
        <v>75</v>
      </c>
      <c r="CM342" s="7">
        <v>2.6500000953674316</v>
      </c>
      <c r="CN342" s="10">
        <v>44783.636701388888</v>
      </c>
      <c r="CO342" s="10">
        <v>44783.638194444444</v>
      </c>
      <c r="CP342" s="7">
        <v>38295.69921875</v>
      </c>
      <c r="CQ342" s="17" t="s">
        <v>321</v>
      </c>
      <c r="CR342" s="10">
        <v>44783.638194444444</v>
      </c>
      <c r="CS342" s="12">
        <v>3.1232833862304688E-3</v>
      </c>
      <c r="CT342" s="18">
        <v>2.9155583093856942E-5</v>
      </c>
      <c r="CU342" s="3">
        <v>2000</v>
      </c>
      <c r="CV342" s="18">
        <v>0.17499999999999999</v>
      </c>
      <c r="CW342" s="7">
        <v>2.3499999046325684</v>
      </c>
      <c r="CX342" s="18">
        <v>0</v>
      </c>
      <c r="CY342" s="7">
        <v>2645.2</v>
      </c>
      <c r="CZ342" s="18">
        <v>-1</v>
      </c>
      <c r="DA342" s="3">
        <v>0</v>
      </c>
      <c r="DB342" s="18"/>
      <c r="DC342" s="11">
        <v>0</v>
      </c>
      <c r="DD342" s="18"/>
      <c r="DE342" s="7">
        <v>2645.2</v>
      </c>
      <c r="DF342" s="7">
        <v>2.3499999046325684</v>
      </c>
      <c r="DG342" s="7">
        <v>38295.69921875</v>
      </c>
      <c r="DH342" s="3" t="s">
        <v>313</v>
      </c>
      <c r="DI342" s="3" t="s">
        <v>312</v>
      </c>
      <c r="DJ342" s="3" t="s">
        <v>314</v>
      </c>
      <c r="DK342" s="3">
        <v>38300</v>
      </c>
      <c r="DL342" s="3">
        <v>3400000</v>
      </c>
      <c r="DM342" s="3">
        <v>38500</v>
      </c>
      <c r="DN342" s="3">
        <v>0</v>
      </c>
      <c r="DO342" s="3">
        <v>24500</v>
      </c>
      <c r="DP342" s="3">
        <v>2863350</v>
      </c>
      <c r="DQ342" s="28">
        <v>38000</v>
      </c>
      <c r="DR342" s="32">
        <v>0</v>
      </c>
      <c r="DS342" s="32">
        <v>24500</v>
      </c>
      <c r="DT342" s="32" t="s">
        <v>33</v>
      </c>
      <c r="DU342" s="69">
        <v>44784</v>
      </c>
    </row>
    <row r="343" spans="1:125" x14ac:dyDescent="0.25">
      <c r="A343" t="s">
        <v>115</v>
      </c>
      <c r="B343" s="2">
        <v>44798</v>
      </c>
      <c r="C343" s="1">
        <v>3200</v>
      </c>
      <c r="D343">
        <v>101</v>
      </c>
      <c r="M343" s="3"/>
      <c r="N343" s="3"/>
      <c r="O343" s="3">
        <v>33000</v>
      </c>
      <c r="P343" s="7">
        <v>2.3499999046325684</v>
      </c>
      <c r="Q343" s="7">
        <v>2.0999999046325684</v>
      </c>
      <c r="R343" s="7">
        <v>3.2000000476837158</v>
      </c>
      <c r="S343" s="7">
        <v>2.9000000953674316</v>
      </c>
      <c r="T343" s="11">
        <v>3.8828125</v>
      </c>
      <c r="U343" s="11">
        <v>120357.7890625</v>
      </c>
      <c r="V343" s="11">
        <v>-8.296875</v>
      </c>
      <c r="W343" s="11">
        <v>206244.046875</v>
      </c>
      <c r="X343" s="14">
        <v>4.2382453102618456E-10</v>
      </c>
      <c r="Y343" s="14">
        <v>1.4718274542246945E-5</v>
      </c>
      <c r="Z343" s="14">
        <v>-1.2623786460608244E-9</v>
      </c>
      <c r="AA343" s="14">
        <v>2.877020051528234E-5</v>
      </c>
      <c r="AB343" s="15">
        <v>1.567634910770721E-13</v>
      </c>
      <c r="AC343" s="15">
        <v>-6.3741367739567067E-9</v>
      </c>
      <c r="AD343" s="13">
        <v>9.95635986328125E-4</v>
      </c>
      <c r="AE343" s="13">
        <v>19.271068572998047</v>
      </c>
      <c r="AF343" s="12">
        <v>7.8582763671875E-4</v>
      </c>
      <c r="AG343" s="12">
        <v>-37.669670104980469</v>
      </c>
      <c r="AH343" s="13">
        <v>-8.276401786133647E-11</v>
      </c>
      <c r="AI343" s="13">
        <v>4.956052634952357E-6</v>
      </c>
      <c r="AJ343" s="11">
        <v>-6.0200691223144531E-6</v>
      </c>
      <c r="AK343" s="11">
        <v>0.21535174548625946</v>
      </c>
      <c r="AL343" s="11">
        <v>0</v>
      </c>
      <c r="AM343" s="11">
        <v>-2.3499999046325684</v>
      </c>
      <c r="AN343" s="11">
        <v>2.9802322387695313E-8</v>
      </c>
      <c r="AO343" s="11">
        <v>-3.5317745059728622E-3</v>
      </c>
      <c r="AP343" s="11">
        <v>105.19005060195923</v>
      </c>
      <c r="AQ343" s="11">
        <v>964300</v>
      </c>
      <c r="AR343" s="16">
        <v>56925</v>
      </c>
      <c r="AS343" s="16">
        <v>249700</v>
      </c>
      <c r="AT343" s="16">
        <v>105.19005060195923</v>
      </c>
      <c r="AU343" s="7">
        <v>0</v>
      </c>
      <c r="AV343" s="7">
        <v>2.3499999046325684</v>
      </c>
      <c r="AW343" s="7">
        <v>5114.89990234375</v>
      </c>
      <c r="AX343" s="7">
        <v>0</v>
      </c>
      <c r="AY343" s="11">
        <v>0</v>
      </c>
      <c r="AZ343" s="16">
        <v>100</v>
      </c>
      <c r="BA343" s="16">
        <v>0</v>
      </c>
      <c r="BB343" s="16">
        <v>50</v>
      </c>
      <c r="BC343" s="11">
        <v>0</v>
      </c>
      <c r="BD343" s="11">
        <v>0</v>
      </c>
      <c r="BE343" s="11">
        <v>0</v>
      </c>
      <c r="BF343" s="11">
        <v>0</v>
      </c>
      <c r="BG343" s="11">
        <v>0</v>
      </c>
      <c r="BH343" s="11">
        <v>0</v>
      </c>
      <c r="BI343" s="13">
        <v>0</v>
      </c>
      <c r="BJ343" s="13">
        <v>0</v>
      </c>
      <c r="BK343" s="11">
        <v>0</v>
      </c>
      <c r="BL343" s="12">
        <v>0</v>
      </c>
      <c r="BM343" s="12">
        <v>0</v>
      </c>
      <c r="BN343" s="13">
        <v>0</v>
      </c>
      <c r="BO343" s="13">
        <v>0</v>
      </c>
      <c r="BP343" s="15">
        <v>0</v>
      </c>
      <c r="BQ343" s="15">
        <v>0</v>
      </c>
      <c r="BR343" s="14">
        <v>0</v>
      </c>
      <c r="BS343" s="14">
        <v>0</v>
      </c>
      <c r="BT343" s="14">
        <v>0</v>
      </c>
      <c r="BU343" s="14">
        <v>0</v>
      </c>
      <c r="BV343" s="11">
        <v>0</v>
      </c>
      <c r="BW343" s="11">
        <v>0</v>
      </c>
      <c r="BX343" s="11">
        <v>0</v>
      </c>
      <c r="BY343" s="11">
        <v>0</v>
      </c>
      <c r="BZ343" s="7">
        <v>5252.35009765625</v>
      </c>
      <c r="CA343" s="7">
        <v>5252.35009765625</v>
      </c>
      <c r="CB343" s="7">
        <v>5114.89990234375</v>
      </c>
      <c r="CC343" s="7">
        <v>5114.89990234375</v>
      </c>
      <c r="CD343" s="7">
        <v>5365.35009765625</v>
      </c>
      <c r="CE343" s="3">
        <v>50</v>
      </c>
      <c r="CF343" s="7">
        <v>5255.5498046875</v>
      </c>
      <c r="CG343" s="3">
        <v>50</v>
      </c>
      <c r="CH343" s="7">
        <v>5183.6201171875</v>
      </c>
      <c r="CI343" s="7">
        <v>2.4000000953674316</v>
      </c>
      <c r="CJ343" s="3">
        <v>3200</v>
      </c>
      <c r="CK343" s="7">
        <v>2.2999999523162842</v>
      </c>
      <c r="CL343" s="3">
        <v>800</v>
      </c>
      <c r="CM343" s="7">
        <v>2.7200000286102295</v>
      </c>
      <c r="CN343" s="10">
        <v>44783.638194444444</v>
      </c>
      <c r="CO343" s="10">
        <v>44783.638194444444</v>
      </c>
      <c r="CP343" s="7">
        <v>38295.69921875</v>
      </c>
      <c r="CQ343" s="17" t="s">
        <v>321</v>
      </c>
      <c r="CR343" s="10">
        <v>44783.638194444444</v>
      </c>
      <c r="CS343" s="12">
        <v>3.0994415283203125E-3</v>
      </c>
      <c r="CT343" s="18">
        <v>2.9466026861003424E-5</v>
      </c>
      <c r="CU343" s="3">
        <v>192775</v>
      </c>
      <c r="CV343" s="18">
        <v>0.29529243937232524</v>
      </c>
      <c r="CW343" s="7">
        <v>2.3499999046325684</v>
      </c>
      <c r="CX343" s="18">
        <v>0</v>
      </c>
      <c r="CY343" s="7">
        <v>5114.89990234375</v>
      </c>
      <c r="CZ343" s="18">
        <v>0</v>
      </c>
      <c r="DA343" s="3">
        <v>100</v>
      </c>
      <c r="DB343" s="18">
        <v>0</v>
      </c>
      <c r="DC343" s="11">
        <v>0</v>
      </c>
      <c r="DD343" s="18">
        <v>0</v>
      </c>
      <c r="DE343" s="7">
        <v>5114.89990234375</v>
      </c>
      <c r="DF343" s="7">
        <v>2.3499999046325684</v>
      </c>
      <c r="DG343" s="7">
        <v>38295.69921875</v>
      </c>
      <c r="DH343" s="3" t="s">
        <v>312</v>
      </c>
      <c r="DI343" s="3" t="s">
        <v>312</v>
      </c>
      <c r="DJ343" s="3" t="s">
        <v>314</v>
      </c>
      <c r="DK343" s="3">
        <v>38300</v>
      </c>
      <c r="DL343" s="3">
        <v>3400000</v>
      </c>
      <c r="DM343" s="3">
        <v>38500</v>
      </c>
      <c r="DN343" s="3">
        <v>0</v>
      </c>
      <c r="DO343" s="3">
        <v>24500</v>
      </c>
      <c r="DP343" s="3">
        <v>2863350</v>
      </c>
      <c r="DQ343" s="28">
        <v>38000</v>
      </c>
      <c r="DR343" s="32">
        <v>0</v>
      </c>
      <c r="DS343" s="32">
        <v>24500</v>
      </c>
      <c r="DT343" s="32" t="s">
        <v>33</v>
      </c>
      <c r="DU343" s="69">
        <v>44784</v>
      </c>
    </row>
    <row r="344" spans="1:125" x14ac:dyDescent="0.25">
      <c r="A344" t="s">
        <v>115</v>
      </c>
      <c r="B344" s="2">
        <v>44833</v>
      </c>
      <c r="C344" s="1">
        <v>3200</v>
      </c>
      <c r="D344">
        <v>101</v>
      </c>
      <c r="M344" s="3"/>
      <c r="N344" s="3"/>
      <c r="O344" s="3">
        <v>33100</v>
      </c>
      <c r="P344" s="7">
        <v>2.5</v>
      </c>
      <c r="Q344" s="7">
        <v>2.0499999523162842</v>
      </c>
      <c r="R344" s="7">
        <v>3.3499999046325684</v>
      </c>
      <c r="S344" s="7">
        <v>3.3499999046325684</v>
      </c>
      <c r="T344" s="11">
        <v>15.640625</v>
      </c>
      <c r="U344" s="11">
        <v>111564.4375</v>
      </c>
      <c r="V344" s="11">
        <v>-1.796875</v>
      </c>
      <c r="W344" s="11">
        <v>193110.171875</v>
      </c>
      <c r="X344" s="14">
        <v>-1.824446371756494E-9</v>
      </c>
      <c r="Y344" s="14">
        <v>1.5525964045082219E-5</v>
      </c>
      <c r="Z344" s="14">
        <v>-8.2873157225549221E-9</v>
      </c>
      <c r="AA344" s="14">
        <v>3.0720515496795997E-5</v>
      </c>
      <c r="AB344" s="15">
        <v>1.8927082123809669E-12</v>
      </c>
      <c r="AC344" s="15">
        <v>-6.8822623155995188E-9</v>
      </c>
      <c r="AD344" s="13">
        <v>2.4871826171875E-3</v>
      </c>
      <c r="AE344" s="13">
        <v>17.977180480957031</v>
      </c>
      <c r="AF344" s="12">
        <v>4.92095947265625E-4</v>
      </c>
      <c r="AG344" s="12">
        <v>-35.570625305175781</v>
      </c>
      <c r="AH344" s="13">
        <v>-9.9498720373958349E-10</v>
      </c>
      <c r="AI344" s="13">
        <v>5.3321955419960432E-6</v>
      </c>
      <c r="AJ344" s="11">
        <v>-2.1070241928100586E-5</v>
      </c>
      <c r="AK344" s="11">
        <v>0.22891333699226379</v>
      </c>
      <c r="AL344" s="11">
        <v>0</v>
      </c>
      <c r="AM344" s="11">
        <v>-2.5</v>
      </c>
      <c r="AN344" s="11">
        <v>3.5762786865234375E-7</v>
      </c>
      <c r="AO344" s="11">
        <v>-3.7804476451128721E-3</v>
      </c>
      <c r="AP344" s="11">
        <v>103.92248630523682</v>
      </c>
      <c r="AQ344" s="11">
        <v>38675</v>
      </c>
      <c r="AR344" s="16">
        <v>175</v>
      </c>
      <c r="AS344" s="16">
        <v>2300</v>
      </c>
      <c r="AT344" s="16">
        <v>103.92248630523682</v>
      </c>
      <c r="AU344" s="7">
        <v>0</v>
      </c>
      <c r="AV344" s="7">
        <v>2.5</v>
      </c>
      <c r="AW344" s="7">
        <v>0</v>
      </c>
      <c r="AX344" s="7">
        <v>0</v>
      </c>
      <c r="AY344" s="11">
        <v>0</v>
      </c>
      <c r="AZ344" s="16">
        <v>0</v>
      </c>
      <c r="BA344" s="16">
        <v>0</v>
      </c>
      <c r="BB344" s="16">
        <v>0</v>
      </c>
      <c r="BC344" s="11">
        <v>0</v>
      </c>
      <c r="BD344" s="11">
        <v>0</v>
      </c>
      <c r="BE344" s="11">
        <v>0</v>
      </c>
      <c r="BF344" s="11">
        <v>0</v>
      </c>
      <c r="BG344" s="11">
        <v>0</v>
      </c>
      <c r="BH344" s="11">
        <v>0</v>
      </c>
      <c r="BI344" s="13">
        <v>0</v>
      </c>
      <c r="BJ344" s="13">
        <v>0</v>
      </c>
      <c r="BK344" s="11">
        <v>0</v>
      </c>
      <c r="BL344" s="12">
        <v>0</v>
      </c>
      <c r="BM344" s="12">
        <v>0</v>
      </c>
      <c r="BN344" s="13">
        <v>0</v>
      </c>
      <c r="BO344" s="13">
        <v>0</v>
      </c>
      <c r="BP344" s="15">
        <v>0</v>
      </c>
      <c r="BQ344" s="15">
        <v>0</v>
      </c>
      <c r="BR344" s="14">
        <v>0</v>
      </c>
      <c r="BS344" s="14">
        <v>0</v>
      </c>
      <c r="BT344" s="14">
        <v>0</v>
      </c>
      <c r="BU344" s="14">
        <v>0</v>
      </c>
      <c r="BV344" s="11">
        <v>0</v>
      </c>
      <c r="BW344" s="11">
        <v>0</v>
      </c>
      <c r="BX344" s="11">
        <v>0</v>
      </c>
      <c r="BY344" s="11">
        <v>0</v>
      </c>
      <c r="BZ344" s="7">
        <v>0</v>
      </c>
      <c r="CA344" s="7">
        <v>0</v>
      </c>
      <c r="CB344" s="7">
        <v>0</v>
      </c>
      <c r="CC344" s="7">
        <v>0</v>
      </c>
      <c r="CD344" s="7">
        <v>5304.39990234375</v>
      </c>
      <c r="CE344" s="3">
        <v>750</v>
      </c>
      <c r="CF344" s="7">
        <v>5036.7001953125</v>
      </c>
      <c r="CG344" s="3">
        <v>750</v>
      </c>
      <c r="CH344" s="7">
        <v>0</v>
      </c>
      <c r="CI344" s="7">
        <v>2.5</v>
      </c>
      <c r="CJ344" s="3">
        <v>25</v>
      </c>
      <c r="CK344" s="7">
        <v>2.2999999523162842</v>
      </c>
      <c r="CL344" s="3">
        <v>325</v>
      </c>
      <c r="CM344" s="7">
        <v>2.8199999332427979</v>
      </c>
      <c r="CN344" s="10">
        <v>44783.638194444444</v>
      </c>
      <c r="CO344" s="10">
        <v>44783.638194444444</v>
      </c>
      <c r="CP344" s="7">
        <v>38295.69921875</v>
      </c>
      <c r="CQ344" s="17" t="s">
        <v>321</v>
      </c>
      <c r="CR344" s="10">
        <v>44783.638194444444</v>
      </c>
      <c r="CS344" s="12">
        <v>1.1324882507324219E-2</v>
      </c>
      <c r="CT344" s="18">
        <v>1.0898619890554911E-4</v>
      </c>
      <c r="CU344" s="3">
        <v>2125</v>
      </c>
      <c r="CV344" s="18">
        <v>8.2352941176470587E-2</v>
      </c>
      <c r="CW344" s="7">
        <v>2.5</v>
      </c>
      <c r="CX344" s="18">
        <v>0</v>
      </c>
      <c r="CY344" s="7">
        <v>0</v>
      </c>
      <c r="CZ344" s="18">
        <v>0</v>
      </c>
      <c r="DA344" s="3">
        <v>0</v>
      </c>
      <c r="DB344" s="18">
        <v>0</v>
      </c>
      <c r="DC344" s="11">
        <v>0</v>
      </c>
      <c r="DD344" s="18">
        <v>0</v>
      </c>
      <c r="DE344" s="7">
        <v>0</v>
      </c>
      <c r="DF344" s="7">
        <v>2.5</v>
      </c>
      <c r="DG344" s="7">
        <v>38295.69921875</v>
      </c>
      <c r="DH344" s="3" t="s">
        <v>312</v>
      </c>
      <c r="DI344" s="3" t="s">
        <v>312</v>
      </c>
      <c r="DJ344" s="3" t="s">
        <v>314</v>
      </c>
      <c r="DK344" s="3">
        <v>38300</v>
      </c>
      <c r="DL344" s="3">
        <v>3400000</v>
      </c>
      <c r="DM344" s="3">
        <v>38500</v>
      </c>
      <c r="DN344" s="3">
        <v>0</v>
      </c>
      <c r="DO344" s="3">
        <v>24500</v>
      </c>
      <c r="DP344" s="3">
        <v>2863350</v>
      </c>
      <c r="DQ344" s="28">
        <v>38000</v>
      </c>
      <c r="DR344" s="32">
        <v>0</v>
      </c>
      <c r="DS344" s="32">
        <v>24500</v>
      </c>
      <c r="DT344" s="32" t="s">
        <v>33</v>
      </c>
      <c r="DU344" s="69">
        <v>44784</v>
      </c>
    </row>
    <row r="345" spans="1:125" x14ac:dyDescent="0.25">
      <c r="A345" t="s">
        <v>115</v>
      </c>
      <c r="B345" s="2">
        <v>44861</v>
      </c>
      <c r="C345" s="1">
        <v>3200</v>
      </c>
      <c r="D345">
        <v>101</v>
      </c>
      <c r="M345" s="3"/>
      <c r="N345" s="3"/>
      <c r="O345" s="3">
        <v>33200</v>
      </c>
      <c r="P345" s="7">
        <v>2.25</v>
      </c>
      <c r="Q345" s="7">
        <v>2.0999999046325684</v>
      </c>
      <c r="R345" s="7">
        <v>3.3499999046325684</v>
      </c>
      <c r="S345" s="7">
        <v>3</v>
      </c>
      <c r="T345" s="11">
        <v>-53.125</v>
      </c>
      <c r="U345" s="11">
        <v>120551.578125</v>
      </c>
      <c r="V345" s="11">
        <v>-101.09375</v>
      </c>
      <c r="W345" s="11">
        <v>215463.015625</v>
      </c>
      <c r="X345" s="14">
        <v>1.7036654753610492E-8</v>
      </c>
      <c r="Y345" s="14">
        <v>1.5357945812866092E-5</v>
      </c>
      <c r="Z345" s="14">
        <v>3.4262484405189753E-8</v>
      </c>
      <c r="AA345" s="14">
        <v>3.1307976314565167E-5</v>
      </c>
      <c r="AB345" s="15">
        <v>-9.5332630678512942E-12</v>
      </c>
      <c r="AC345" s="15">
        <v>-6.9227126253679216E-9</v>
      </c>
      <c r="AD345" s="13">
        <v>-3.3550262451171875E-3</v>
      </c>
      <c r="AE345" s="13">
        <v>19.302854537963867</v>
      </c>
      <c r="AF345" s="12">
        <v>7.42340087890625E-3</v>
      </c>
      <c r="AG345" s="12">
        <v>-39.349880218505859</v>
      </c>
      <c r="AH345" s="13">
        <v>4.8257788876071572E-9</v>
      </c>
      <c r="AI345" s="13">
        <v>5.165074526303215E-6</v>
      </c>
      <c r="AJ345" s="11">
        <v>4.3809413909912109E-5</v>
      </c>
      <c r="AK345" s="11">
        <v>0.21520429849624634</v>
      </c>
      <c r="AL345" s="11">
        <v>0</v>
      </c>
      <c r="AM345" s="11">
        <v>-2.25</v>
      </c>
      <c r="AN345" s="11">
        <v>-1.6714911907911301E-6</v>
      </c>
      <c r="AO345" s="11">
        <v>-3.5290918312966824E-3</v>
      </c>
      <c r="AP345" s="11">
        <v>100.86461305618286</v>
      </c>
      <c r="AQ345" s="11">
        <v>45725</v>
      </c>
      <c r="AR345" s="16">
        <v>-4150</v>
      </c>
      <c r="AS345" s="16">
        <v>4900</v>
      </c>
      <c r="AT345" s="16">
        <v>100.86461305618286</v>
      </c>
      <c r="AU345" s="7">
        <v>0</v>
      </c>
      <c r="AV345" s="7">
        <v>2.25</v>
      </c>
      <c r="AW345" s="7">
        <v>0</v>
      </c>
      <c r="AX345" s="7">
        <v>0</v>
      </c>
      <c r="AY345" s="11">
        <v>0</v>
      </c>
      <c r="AZ345" s="16">
        <v>0</v>
      </c>
      <c r="BA345" s="16">
        <v>0</v>
      </c>
      <c r="BB345" s="16">
        <v>0</v>
      </c>
      <c r="BC345" s="11">
        <v>0</v>
      </c>
      <c r="BD345" s="11">
        <v>0</v>
      </c>
      <c r="BE345" s="11">
        <v>0</v>
      </c>
      <c r="BF345" s="11">
        <v>0</v>
      </c>
      <c r="BG345" s="11">
        <v>0</v>
      </c>
      <c r="BH345" s="11">
        <v>0</v>
      </c>
      <c r="BI345" s="13">
        <v>0</v>
      </c>
      <c r="BJ345" s="13">
        <v>0</v>
      </c>
      <c r="BK345" s="11">
        <v>0</v>
      </c>
      <c r="BL345" s="12">
        <v>0</v>
      </c>
      <c r="BM345" s="12">
        <v>0</v>
      </c>
      <c r="BN345" s="13">
        <v>0</v>
      </c>
      <c r="BO345" s="13">
        <v>0</v>
      </c>
      <c r="BP345" s="15">
        <v>0</v>
      </c>
      <c r="BQ345" s="15">
        <v>0</v>
      </c>
      <c r="BR345" s="14">
        <v>0</v>
      </c>
      <c r="BS345" s="14">
        <v>0</v>
      </c>
      <c r="BT345" s="14">
        <v>0</v>
      </c>
      <c r="BU345" s="14">
        <v>0</v>
      </c>
      <c r="BV345" s="11">
        <v>0</v>
      </c>
      <c r="BW345" s="11">
        <v>0</v>
      </c>
      <c r="BX345" s="11">
        <v>0</v>
      </c>
      <c r="BY345" s="11">
        <v>0</v>
      </c>
      <c r="BZ345" s="7">
        <v>0</v>
      </c>
      <c r="CA345" s="7">
        <v>0</v>
      </c>
      <c r="CB345" s="7">
        <v>0</v>
      </c>
      <c r="CC345" s="7">
        <v>0</v>
      </c>
      <c r="CD345" s="7">
        <v>5233.75</v>
      </c>
      <c r="CE345" s="3">
        <v>750</v>
      </c>
      <c r="CF345" s="7">
        <v>4946.14990234375</v>
      </c>
      <c r="CG345" s="3">
        <v>1950</v>
      </c>
      <c r="CH345" s="7">
        <v>0</v>
      </c>
      <c r="CI345" s="7">
        <v>2.8499999046325684</v>
      </c>
      <c r="CJ345" s="3">
        <v>75</v>
      </c>
      <c r="CK345" s="7">
        <v>2.2999999523162842</v>
      </c>
      <c r="CL345" s="3">
        <v>375</v>
      </c>
      <c r="CM345" s="7">
        <v>2.7899999618530273</v>
      </c>
      <c r="CN345" s="10">
        <v>44783.638194444444</v>
      </c>
      <c r="CO345" s="10">
        <v>44783.638194444444</v>
      </c>
      <c r="CP345" s="7">
        <v>38295.69921875</v>
      </c>
      <c r="CQ345" s="17" t="s">
        <v>321</v>
      </c>
      <c r="CR345" s="10">
        <v>44783.638194444444</v>
      </c>
      <c r="CS345" s="12">
        <v>-2.9003620147705078E-2</v>
      </c>
      <c r="CT345" s="18">
        <v>-2.87467345340087E-4</v>
      </c>
      <c r="CU345" s="3">
        <v>9050</v>
      </c>
      <c r="CV345" s="18">
        <v>-0.4585635359116022</v>
      </c>
      <c r="CW345" s="7">
        <v>2.25</v>
      </c>
      <c r="CX345" s="18">
        <v>0</v>
      </c>
      <c r="CY345" s="7">
        <v>0</v>
      </c>
      <c r="CZ345" s="18">
        <v>0</v>
      </c>
      <c r="DA345" s="3">
        <v>0</v>
      </c>
      <c r="DB345" s="18">
        <v>0</v>
      </c>
      <c r="DC345" s="11">
        <v>0</v>
      </c>
      <c r="DD345" s="18">
        <v>0</v>
      </c>
      <c r="DE345" s="7">
        <v>0</v>
      </c>
      <c r="DF345" s="7">
        <v>2.25</v>
      </c>
      <c r="DG345" s="7">
        <v>38295.69921875</v>
      </c>
      <c r="DH345" s="3" t="s">
        <v>312</v>
      </c>
      <c r="DI345" s="3" t="s">
        <v>312</v>
      </c>
      <c r="DJ345" s="3" t="s">
        <v>314</v>
      </c>
      <c r="DK345" s="3">
        <v>38300</v>
      </c>
      <c r="DL345" s="3">
        <v>3400000</v>
      </c>
      <c r="DM345" s="3">
        <v>38500</v>
      </c>
      <c r="DN345" s="3">
        <v>0</v>
      </c>
      <c r="DO345" s="3">
        <v>24500</v>
      </c>
      <c r="DP345" s="3">
        <v>2863350</v>
      </c>
      <c r="DQ345" s="28">
        <v>38000</v>
      </c>
      <c r="DR345" s="32">
        <v>0</v>
      </c>
      <c r="DS345" s="32">
        <v>24500</v>
      </c>
      <c r="DT345" s="32" t="s">
        <v>33</v>
      </c>
      <c r="DU345" s="69">
        <v>44784</v>
      </c>
    </row>
    <row r="346" spans="1:125" x14ac:dyDescent="0.25">
      <c r="A346" t="s">
        <v>116</v>
      </c>
      <c r="B346" s="2">
        <v>44798</v>
      </c>
      <c r="C346" s="1">
        <v>1250</v>
      </c>
      <c r="D346">
        <v>46</v>
      </c>
      <c r="M346" s="3"/>
      <c r="N346" s="3"/>
      <c r="O346" s="3">
        <v>33300</v>
      </c>
      <c r="P346" s="7">
        <v>2.5</v>
      </c>
      <c r="Q346" s="7">
        <v>2.1500000953674316</v>
      </c>
      <c r="R346" s="7">
        <v>4.3000001907348633</v>
      </c>
      <c r="S346" s="7">
        <v>4.3000001907348633</v>
      </c>
      <c r="T346" s="11">
        <v>15.4609375</v>
      </c>
      <c r="U346" s="11">
        <v>107301.6953125</v>
      </c>
      <c r="V346" s="11">
        <v>-1.734375</v>
      </c>
      <c r="W346" s="11">
        <v>192725.796875</v>
      </c>
      <c r="X346" s="14">
        <v>-2.0263541955500841E-9</v>
      </c>
      <c r="Y346" s="14">
        <v>1.649006298976019E-5</v>
      </c>
      <c r="Z346" s="14">
        <v>-9.4514689408242702E-9</v>
      </c>
      <c r="AA346" s="14">
        <v>3.3891923521878198E-5</v>
      </c>
      <c r="AB346" s="15">
        <v>2.1733725930062064E-12</v>
      </c>
      <c r="AC346" s="15">
        <v>-7.6270945115197719E-9</v>
      </c>
      <c r="AD346" s="13">
        <v>2.460479736328125E-3</v>
      </c>
      <c r="AE346" s="13">
        <v>17.350181579589844</v>
      </c>
      <c r="AF346" s="12">
        <v>5.035400390625E-4</v>
      </c>
      <c r="AG346" s="12">
        <v>-35.659721374511719</v>
      </c>
      <c r="AH346" s="13">
        <v>-1.1054908100049943E-9</v>
      </c>
      <c r="AI346" s="13">
        <v>5.7178740462404676E-6</v>
      </c>
      <c r="AJ346" s="11">
        <v>-2.2456049919128418E-5</v>
      </c>
      <c r="AK346" s="11">
        <v>0.23629692196846008</v>
      </c>
      <c r="AL346" s="11">
        <v>0</v>
      </c>
      <c r="AM346" s="11">
        <v>-2.5</v>
      </c>
      <c r="AN346" s="11">
        <v>3.8370490074157715E-7</v>
      </c>
      <c r="AO346" s="11">
        <v>-3.9168521761894226E-3</v>
      </c>
      <c r="AP346" s="11">
        <v>100.04301071166992</v>
      </c>
      <c r="AQ346" s="11">
        <v>50300</v>
      </c>
      <c r="AR346" s="16">
        <v>-4375</v>
      </c>
      <c r="AS346" s="16">
        <v>6275</v>
      </c>
      <c r="AT346" s="16">
        <v>100.04301071166992</v>
      </c>
      <c r="AU346" s="7">
        <v>0</v>
      </c>
      <c r="AV346" s="7">
        <v>2.5</v>
      </c>
      <c r="AW346" s="7">
        <v>0</v>
      </c>
      <c r="AX346" s="7">
        <v>0</v>
      </c>
      <c r="AY346" s="11">
        <v>0</v>
      </c>
      <c r="AZ346" s="16">
        <v>0</v>
      </c>
      <c r="BA346" s="16">
        <v>0</v>
      </c>
      <c r="BB346" s="16">
        <v>0</v>
      </c>
      <c r="BC346" s="11">
        <v>0</v>
      </c>
      <c r="BD346" s="11">
        <v>0</v>
      </c>
      <c r="BE346" s="11">
        <v>0</v>
      </c>
      <c r="BF346" s="11">
        <v>0</v>
      </c>
      <c r="BG346" s="11">
        <v>0</v>
      </c>
      <c r="BH346" s="11">
        <v>0</v>
      </c>
      <c r="BI346" s="13">
        <v>0</v>
      </c>
      <c r="BJ346" s="13">
        <v>0</v>
      </c>
      <c r="BK346" s="11">
        <v>0</v>
      </c>
      <c r="BL346" s="12">
        <v>0</v>
      </c>
      <c r="BM346" s="12">
        <v>0</v>
      </c>
      <c r="BN346" s="13">
        <v>0</v>
      </c>
      <c r="BO346" s="13">
        <v>0</v>
      </c>
      <c r="BP346" s="15">
        <v>0</v>
      </c>
      <c r="BQ346" s="15">
        <v>0</v>
      </c>
      <c r="BR346" s="14">
        <v>0</v>
      </c>
      <c r="BS346" s="14">
        <v>0</v>
      </c>
      <c r="BT346" s="14">
        <v>0</v>
      </c>
      <c r="BU346" s="14">
        <v>0</v>
      </c>
      <c r="BV346" s="11">
        <v>0</v>
      </c>
      <c r="BW346" s="11">
        <v>0</v>
      </c>
      <c r="BX346" s="11">
        <v>0</v>
      </c>
      <c r="BY346" s="11">
        <v>0</v>
      </c>
      <c r="BZ346" s="7">
        <v>0</v>
      </c>
      <c r="CA346" s="7">
        <v>0</v>
      </c>
      <c r="CB346" s="7">
        <v>0</v>
      </c>
      <c r="CC346" s="7">
        <v>0</v>
      </c>
      <c r="CD346" s="7">
        <v>5101.89990234375</v>
      </c>
      <c r="CE346" s="3">
        <v>750</v>
      </c>
      <c r="CF346" s="7">
        <v>4866.5498046875</v>
      </c>
      <c r="CG346" s="3">
        <v>750</v>
      </c>
      <c r="CH346" s="7">
        <v>0</v>
      </c>
      <c r="CI346" s="7">
        <v>2.5</v>
      </c>
      <c r="CJ346" s="3">
        <v>25</v>
      </c>
      <c r="CK346" s="7">
        <v>2.4500000476837158</v>
      </c>
      <c r="CL346" s="3">
        <v>50</v>
      </c>
      <c r="CM346" s="7">
        <v>2.7999999523162842</v>
      </c>
      <c r="CN346" s="10">
        <v>44783.638194444444</v>
      </c>
      <c r="CO346" s="10">
        <v>44783.638194444444</v>
      </c>
      <c r="CP346" s="7">
        <v>38295.69921875</v>
      </c>
      <c r="CQ346" s="17" t="s">
        <v>321</v>
      </c>
      <c r="CR346" s="10">
        <v>44783.638194444444</v>
      </c>
      <c r="CS346" s="12">
        <v>1.1277198791503906E-2</v>
      </c>
      <c r="CT346" s="18">
        <v>1.1273621275444599E-4</v>
      </c>
      <c r="CU346" s="3">
        <v>10650</v>
      </c>
      <c r="CV346" s="18">
        <v>-0.41079812206572769</v>
      </c>
      <c r="CW346" s="7">
        <v>2.5</v>
      </c>
      <c r="CX346" s="18">
        <v>0</v>
      </c>
      <c r="CY346" s="7">
        <v>0</v>
      </c>
      <c r="CZ346" s="18">
        <v>0</v>
      </c>
      <c r="DA346" s="3">
        <v>0</v>
      </c>
      <c r="DB346" s="18">
        <v>0</v>
      </c>
      <c r="DC346" s="11">
        <v>0</v>
      </c>
      <c r="DD346" s="18">
        <v>0</v>
      </c>
      <c r="DE346" s="7">
        <v>0</v>
      </c>
      <c r="DF346" s="7">
        <v>2.5</v>
      </c>
      <c r="DG346" s="7">
        <v>38295.69921875</v>
      </c>
      <c r="DH346" s="3" t="s">
        <v>312</v>
      </c>
      <c r="DI346" s="3" t="s">
        <v>312</v>
      </c>
      <c r="DJ346" s="3" t="s">
        <v>314</v>
      </c>
      <c r="DK346" s="3">
        <v>38300</v>
      </c>
      <c r="DL346" s="3">
        <v>3400000</v>
      </c>
      <c r="DM346" s="3">
        <v>38500</v>
      </c>
      <c r="DN346" s="3">
        <v>0</v>
      </c>
      <c r="DO346" s="3">
        <v>24500</v>
      </c>
      <c r="DP346" s="3">
        <v>2863350</v>
      </c>
      <c r="DQ346" s="28">
        <v>38000</v>
      </c>
      <c r="DR346" s="32">
        <v>0</v>
      </c>
      <c r="DS346" s="32">
        <v>24500</v>
      </c>
      <c r="DT346" s="32" t="s">
        <v>33</v>
      </c>
      <c r="DU346" s="69">
        <v>44784</v>
      </c>
    </row>
    <row r="347" spans="1:125" x14ac:dyDescent="0.25">
      <c r="A347" t="s">
        <v>116</v>
      </c>
      <c r="B347" s="2">
        <v>44833</v>
      </c>
      <c r="C347" s="1">
        <v>1250</v>
      </c>
      <c r="D347">
        <v>46</v>
      </c>
      <c r="M347" s="3"/>
      <c r="N347" s="3"/>
      <c r="O347" s="3">
        <v>33400</v>
      </c>
      <c r="P347" s="7">
        <v>2.4000000953674316</v>
      </c>
      <c r="Q347" s="7">
        <v>1.5499999523162842</v>
      </c>
      <c r="R347" s="7">
        <v>3.4500000476837158</v>
      </c>
      <c r="S347" s="7">
        <v>2.9000000953674316</v>
      </c>
      <c r="T347" s="11">
        <v>15.953125</v>
      </c>
      <c r="U347" s="11">
        <v>109187.3046875</v>
      </c>
      <c r="V347" s="11">
        <v>-1.796875</v>
      </c>
      <c r="W347" s="11">
        <v>200972.53125</v>
      </c>
      <c r="X347" s="14">
        <v>-2.1136656869202852E-9</v>
      </c>
      <c r="Y347" s="14">
        <v>1.6744221284170635E-5</v>
      </c>
      <c r="Z347" s="14">
        <v>-1.0022631613537669E-8</v>
      </c>
      <c r="AA347" s="14">
        <v>3.5247761843493208E-5</v>
      </c>
      <c r="AB347" s="15">
        <v>2.2959412149248237E-12</v>
      </c>
      <c r="AC347" s="15">
        <v>-7.9029494060023353E-9</v>
      </c>
      <c r="AD347" s="13">
        <v>2.532958984375E-3</v>
      </c>
      <c r="AE347" s="13">
        <v>17.630455017089844</v>
      </c>
      <c r="AF347" s="12">
        <v>5.30242919921875E-4</v>
      </c>
      <c r="AG347" s="12">
        <v>-37.113346099853516</v>
      </c>
      <c r="AH347" s="13">
        <v>-1.1386873666197062E-9</v>
      </c>
      <c r="AI347" s="13">
        <v>5.7767201724345796E-6</v>
      </c>
      <c r="AJ347" s="11">
        <v>-2.2560358047485352E-5</v>
      </c>
      <c r="AK347" s="11">
        <v>0.23310396075248718</v>
      </c>
      <c r="AL347" s="11">
        <v>0</v>
      </c>
      <c r="AM347" s="11">
        <v>-2.4000000953674316</v>
      </c>
      <c r="AN347" s="11">
        <v>3.8533471524715424E-7</v>
      </c>
      <c r="AO347" s="11">
        <v>-3.8577371742576361E-3</v>
      </c>
      <c r="AP347" s="11">
        <v>97.681617736816406</v>
      </c>
      <c r="AQ347" s="11">
        <v>71325</v>
      </c>
      <c r="AR347" s="16">
        <v>-525</v>
      </c>
      <c r="AS347" s="16">
        <v>6775</v>
      </c>
      <c r="AT347" s="16">
        <v>97.681617736816406</v>
      </c>
      <c r="AU347" s="7">
        <v>0</v>
      </c>
      <c r="AV347" s="7">
        <v>2.4000000953674316</v>
      </c>
      <c r="AW347" s="7">
        <v>0</v>
      </c>
      <c r="AX347" s="7">
        <v>0</v>
      </c>
      <c r="AY347" s="11">
        <v>0</v>
      </c>
      <c r="AZ347" s="16">
        <v>0</v>
      </c>
      <c r="BA347" s="16">
        <v>0</v>
      </c>
      <c r="BB347" s="16">
        <v>0</v>
      </c>
      <c r="BC347" s="11">
        <v>0</v>
      </c>
      <c r="BD347" s="11">
        <v>0</v>
      </c>
      <c r="BE347" s="11">
        <v>0</v>
      </c>
      <c r="BF347" s="11">
        <v>0</v>
      </c>
      <c r="BG347" s="11">
        <v>0</v>
      </c>
      <c r="BH347" s="11">
        <v>0</v>
      </c>
      <c r="BI347" s="13">
        <v>0</v>
      </c>
      <c r="BJ347" s="13">
        <v>0</v>
      </c>
      <c r="BK347" s="11">
        <v>0</v>
      </c>
      <c r="BL347" s="12">
        <v>0</v>
      </c>
      <c r="BM347" s="12">
        <v>0</v>
      </c>
      <c r="BN347" s="13">
        <v>0</v>
      </c>
      <c r="BO347" s="13">
        <v>0</v>
      </c>
      <c r="BP347" s="15">
        <v>0</v>
      </c>
      <c r="BQ347" s="15">
        <v>0</v>
      </c>
      <c r="BR347" s="14">
        <v>0</v>
      </c>
      <c r="BS347" s="14">
        <v>0</v>
      </c>
      <c r="BT347" s="14">
        <v>0</v>
      </c>
      <c r="BU347" s="14">
        <v>0</v>
      </c>
      <c r="BV347" s="11">
        <v>0</v>
      </c>
      <c r="BW347" s="11">
        <v>0</v>
      </c>
      <c r="BX347" s="11">
        <v>0</v>
      </c>
      <c r="BY347" s="11">
        <v>0</v>
      </c>
      <c r="BZ347" s="7">
        <v>0</v>
      </c>
      <c r="CA347" s="7">
        <v>0</v>
      </c>
      <c r="CB347" s="7">
        <v>0</v>
      </c>
      <c r="CC347" s="7">
        <v>0</v>
      </c>
      <c r="CD347" s="7">
        <v>5006.39990234375</v>
      </c>
      <c r="CE347" s="3">
        <v>750</v>
      </c>
      <c r="CF347" s="7">
        <v>4760.0498046875</v>
      </c>
      <c r="CG347" s="3">
        <v>750</v>
      </c>
      <c r="CH347" s="7">
        <v>0</v>
      </c>
      <c r="CI347" s="7">
        <v>2.4500000476837158</v>
      </c>
      <c r="CJ347" s="3">
        <v>1300</v>
      </c>
      <c r="CK347" s="7">
        <v>2.2999999523162842</v>
      </c>
      <c r="CL347" s="3">
        <v>400</v>
      </c>
      <c r="CM347" s="7">
        <v>2.9200000762939453</v>
      </c>
      <c r="CN347" s="10">
        <v>44783.638194444444</v>
      </c>
      <c r="CO347" s="10">
        <v>44783.638194444444</v>
      </c>
      <c r="CP347" s="7">
        <v>38295.69921875</v>
      </c>
      <c r="CQ347" s="17" t="s">
        <v>321</v>
      </c>
      <c r="CR347" s="10">
        <v>44783.638194444444</v>
      </c>
      <c r="CS347" s="12">
        <v>1.1211633682250977E-2</v>
      </c>
      <c r="CT347" s="18">
        <v>1.147904890495915E-4</v>
      </c>
      <c r="CU347" s="3">
        <v>7300</v>
      </c>
      <c r="CV347" s="18">
        <v>-7.1917808219178078E-2</v>
      </c>
      <c r="CW347" s="7">
        <v>2.4000000953674316</v>
      </c>
      <c r="CX347" s="18">
        <v>0</v>
      </c>
      <c r="CY347" s="7">
        <v>0</v>
      </c>
      <c r="CZ347" s="18">
        <v>0</v>
      </c>
      <c r="DA347" s="3">
        <v>0</v>
      </c>
      <c r="DB347" s="18">
        <v>0</v>
      </c>
      <c r="DC347" s="11">
        <v>0</v>
      </c>
      <c r="DD347" s="18">
        <v>0</v>
      </c>
      <c r="DE347" s="7">
        <v>0</v>
      </c>
      <c r="DF347" s="7">
        <v>2.4000000953674316</v>
      </c>
      <c r="DG347" s="7">
        <v>38295.69921875</v>
      </c>
      <c r="DH347" s="3" t="s">
        <v>312</v>
      </c>
      <c r="DI347" s="3" t="s">
        <v>312</v>
      </c>
      <c r="DJ347" s="3" t="s">
        <v>314</v>
      </c>
      <c r="DK347" s="3">
        <v>38300</v>
      </c>
      <c r="DL347" s="3">
        <v>3400000</v>
      </c>
      <c r="DM347" s="3">
        <v>38500</v>
      </c>
      <c r="DN347" s="3">
        <v>0</v>
      </c>
      <c r="DO347" s="3">
        <v>24500</v>
      </c>
      <c r="DP347" s="3">
        <v>2863350</v>
      </c>
      <c r="DQ347" s="28">
        <v>38000</v>
      </c>
      <c r="DR347" s="32">
        <v>0</v>
      </c>
      <c r="DS347" s="32">
        <v>24500</v>
      </c>
      <c r="DT347" s="32" t="s">
        <v>33</v>
      </c>
      <c r="DU347" s="69">
        <v>44784</v>
      </c>
    </row>
    <row r="348" spans="1:125" x14ac:dyDescent="0.25">
      <c r="A348" t="s">
        <v>116</v>
      </c>
      <c r="B348" s="2">
        <v>44861</v>
      </c>
      <c r="C348" s="1">
        <v>1250</v>
      </c>
      <c r="D348">
        <v>46</v>
      </c>
      <c r="M348" s="3"/>
      <c r="N348" s="3"/>
      <c r="O348" s="3">
        <v>33500</v>
      </c>
      <c r="P348" s="7">
        <v>2.4000000953674316</v>
      </c>
      <c r="Q348" s="7">
        <v>2.25</v>
      </c>
      <c r="R348" s="7">
        <v>4.9499998092651367</v>
      </c>
      <c r="S348" s="7">
        <v>4.9499998092651367</v>
      </c>
      <c r="T348" s="11">
        <v>3.5390625</v>
      </c>
      <c r="U348" s="11">
        <v>106985.3515625</v>
      </c>
      <c r="V348" s="11">
        <v>-8.046875</v>
      </c>
      <c r="W348" s="11">
        <v>200758</v>
      </c>
      <c r="X348" s="14">
        <v>4.765752237290144E-10</v>
      </c>
      <c r="Y348" s="14">
        <v>1.7279802705161273E-5</v>
      </c>
      <c r="Z348" s="14">
        <v>-1.7025740817189217E-9</v>
      </c>
      <c r="AA348" s="14">
        <v>3.710450982907787E-5</v>
      </c>
      <c r="AB348" s="15">
        <v>2.2382096176443156E-13</v>
      </c>
      <c r="AC348" s="15">
        <v>-8.3393825178745828E-9</v>
      </c>
      <c r="AD348" s="13">
        <v>9.0789794921875E-4</v>
      </c>
      <c r="AE348" s="13">
        <v>17.306337356567383</v>
      </c>
      <c r="AF348" s="12">
        <v>7.781982421875E-4</v>
      </c>
      <c r="AG348" s="12">
        <v>-37.161487579345703</v>
      </c>
      <c r="AH348" s="13">
        <v>-1.0959411156363785E-10</v>
      </c>
      <c r="AI348" s="13">
        <v>5.9915541896771174E-6</v>
      </c>
      <c r="AJ348" s="11">
        <v>-6.7800283432006836E-6</v>
      </c>
      <c r="AK348" s="11">
        <v>0.23700094223022461</v>
      </c>
      <c r="AL348" s="11">
        <v>0</v>
      </c>
      <c r="AM348" s="11">
        <v>-2.4000000953674316</v>
      </c>
      <c r="AN348" s="11">
        <v>3.6321580410003662E-8</v>
      </c>
      <c r="AO348" s="11">
        <v>-3.9298757910728455E-3</v>
      </c>
      <c r="AP348" s="11">
        <v>95.757484436035156</v>
      </c>
      <c r="AQ348" s="11">
        <v>1028325</v>
      </c>
      <c r="AR348" s="16">
        <v>150350</v>
      </c>
      <c r="AS348" s="16">
        <v>307950</v>
      </c>
      <c r="AT348" s="16">
        <v>95.757484436035156</v>
      </c>
      <c r="AU348" s="7">
        <v>0</v>
      </c>
      <c r="AV348" s="7">
        <v>2.4000000953674316</v>
      </c>
      <c r="AW348" s="7">
        <v>4790</v>
      </c>
      <c r="AX348" s="7">
        <v>0</v>
      </c>
      <c r="AY348" s="11">
        <v>0</v>
      </c>
      <c r="AZ348" s="16">
        <v>1125</v>
      </c>
      <c r="BA348" s="16">
        <v>-500</v>
      </c>
      <c r="BB348" s="16">
        <v>650</v>
      </c>
      <c r="BC348" s="11">
        <v>0</v>
      </c>
      <c r="BD348" s="11">
        <v>0</v>
      </c>
      <c r="BE348" s="11">
        <v>0</v>
      </c>
      <c r="BF348" s="11">
        <v>0</v>
      </c>
      <c r="BG348" s="11">
        <v>0</v>
      </c>
      <c r="BH348" s="11">
        <v>0</v>
      </c>
      <c r="BI348" s="13">
        <v>0</v>
      </c>
      <c r="BJ348" s="13">
        <v>0</v>
      </c>
      <c r="BK348" s="11">
        <v>0</v>
      </c>
      <c r="BL348" s="12">
        <v>0</v>
      </c>
      <c r="BM348" s="12">
        <v>0</v>
      </c>
      <c r="BN348" s="13">
        <v>0</v>
      </c>
      <c r="BO348" s="13">
        <v>0</v>
      </c>
      <c r="BP348" s="15">
        <v>0</v>
      </c>
      <c r="BQ348" s="15">
        <v>0</v>
      </c>
      <c r="BR348" s="14">
        <v>0</v>
      </c>
      <c r="BS348" s="14">
        <v>0</v>
      </c>
      <c r="BT348" s="14">
        <v>0</v>
      </c>
      <c r="BU348" s="14">
        <v>0</v>
      </c>
      <c r="BV348" s="11">
        <v>0</v>
      </c>
      <c r="BW348" s="11">
        <v>0</v>
      </c>
      <c r="BX348" s="11">
        <v>0</v>
      </c>
      <c r="BY348" s="11">
        <v>0</v>
      </c>
      <c r="BZ348" s="7">
        <v>4835.14990234375</v>
      </c>
      <c r="CA348" s="7">
        <v>4850.0498046875</v>
      </c>
      <c r="CB348" s="7">
        <v>4720</v>
      </c>
      <c r="CC348" s="7">
        <v>4790</v>
      </c>
      <c r="CD348" s="7">
        <v>4864.0498046875</v>
      </c>
      <c r="CE348" s="3">
        <v>50</v>
      </c>
      <c r="CF348" s="7">
        <v>4790</v>
      </c>
      <c r="CG348" s="3">
        <v>25</v>
      </c>
      <c r="CH348" s="7">
        <v>4796.509765625</v>
      </c>
      <c r="CI348" s="7">
        <v>2.4500000476837158</v>
      </c>
      <c r="CJ348" s="3">
        <v>850</v>
      </c>
      <c r="CK348" s="7">
        <v>2.4000000953674316</v>
      </c>
      <c r="CL348" s="3">
        <v>225</v>
      </c>
      <c r="CM348" s="7">
        <v>2.8599998950958252</v>
      </c>
      <c r="CN348" s="10">
        <v>44783.638194444444</v>
      </c>
      <c r="CO348" s="10">
        <v>44783.638194444444</v>
      </c>
      <c r="CP348" s="7">
        <v>38295.69921875</v>
      </c>
      <c r="CQ348" s="17" t="s">
        <v>321</v>
      </c>
      <c r="CR348" s="10">
        <v>44783.638194444444</v>
      </c>
      <c r="CS348" s="12">
        <v>2.8967857360839844E-3</v>
      </c>
      <c r="CT348" s="18">
        <v>3.0252187463468615E-5</v>
      </c>
      <c r="CU348" s="3">
        <v>157600</v>
      </c>
      <c r="CV348" s="18">
        <v>0.95399746192893398</v>
      </c>
      <c r="CW348" s="7">
        <v>2.4000000953674316</v>
      </c>
      <c r="CX348" s="18">
        <v>0</v>
      </c>
      <c r="CY348" s="7">
        <v>4790</v>
      </c>
      <c r="CZ348" s="18">
        <v>0</v>
      </c>
      <c r="DA348" s="3">
        <v>1625</v>
      </c>
      <c r="DB348" s="18">
        <v>-0.30769230769230771</v>
      </c>
      <c r="DC348" s="11">
        <v>0</v>
      </c>
      <c r="DD348" s="18">
        <v>0</v>
      </c>
      <c r="DE348" s="7">
        <v>4790</v>
      </c>
      <c r="DF348" s="7">
        <v>2.4000000953674316</v>
      </c>
      <c r="DG348" s="7">
        <v>38295.69921875</v>
      </c>
      <c r="DH348" s="3" t="s">
        <v>312</v>
      </c>
      <c r="DI348" s="3" t="s">
        <v>312</v>
      </c>
      <c r="DJ348" s="3" t="s">
        <v>314</v>
      </c>
      <c r="DK348" s="3">
        <v>38300</v>
      </c>
      <c r="DL348" s="3">
        <v>3400000</v>
      </c>
      <c r="DM348" s="3">
        <v>38500</v>
      </c>
      <c r="DN348" s="3">
        <v>0</v>
      </c>
      <c r="DO348" s="3">
        <v>24500</v>
      </c>
      <c r="DP348" s="3">
        <v>2863350</v>
      </c>
      <c r="DQ348" s="28">
        <v>38000</v>
      </c>
      <c r="DR348" s="32">
        <v>0</v>
      </c>
      <c r="DS348" s="32">
        <v>24500</v>
      </c>
      <c r="DT348" s="32" t="s">
        <v>33</v>
      </c>
      <c r="DU348" s="69">
        <v>44784</v>
      </c>
    </row>
    <row r="349" spans="1:125" x14ac:dyDescent="0.25">
      <c r="A349" t="s">
        <v>117</v>
      </c>
      <c r="B349" s="2">
        <v>44798</v>
      </c>
      <c r="C349" s="1">
        <v>250</v>
      </c>
      <c r="D349">
        <v>50</v>
      </c>
      <c r="M349" s="3"/>
      <c r="N349" s="3"/>
      <c r="O349" s="3">
        <v>33600</v>
      </c>
      <c r="P349" s="7">
        <v>2.2000000476837158</v>
      </c>
      <c r="Q349" s="7">
        <v>1.5499999523162842</v>
      </c>
      <c r="R349" s="7">
        <v>3.5</v>
      </c>
      <c r="S349" s="7">
        <v>3.2999999523162842</v>
      </c>
      <c r="T349" s="11">
        <v>-16.1796875</v>
      </c>
      <c r="U349" s="11">
        <v>113495.7734375</v>
      </c>
      <c r="V349" s="11">
        <v>-19.140625</v>
      </c>
      <c r="W349" s="11">
        <v>219760.21875</v>
      </c>
      <c r="X349" s="14">
        <v>4.6238710638135672E-9</v>
      </c>
      <c r="Y349" s="14">
        <v>1.7254595150006935E-5</v>
      </c>
      <c r="Z349" s="14">
        <v>1.2489181244745851E-8</v>
      </c>
      <c r="AA349" s="14">
        <v>3.8164271245477721E-5</v>
      </c>
      <c r="AB349" s="15">
        <v>-3.2676084060767607E-12</v>
      </c>
      <c r="AC349" s="15">
        <v>-8.4892048946016985E-9</v>
      </c>
      <c r="AD349" s="13">
        <v>-1.644134521484375E-3</v>
      </c>
      <c r="AE349" s="13">
        <v>18.269121170043945</v>
      </c>
      <c r="AF349" s="12">
        <v>1.239776611328125E-3</v>
      </c>
      <c r="AG349" s="12">
        <v>-40.408229827880859</v>
      </c>
      <c r="AH349" s="13">
        <v>1.5365912986453623E-9</v>
      </c>
      <c r="AI349" s="13">
        <v>5.8872929002973251E-6</v>
      </c>
      <c r="AJ349" s="11">
        <v>1.7806887626647949E-5</v>
      </c>
      <c r="AK349" s="11">
        <v>0.22614149749279022</v>
      </c>
      <c r="AL349" s="11">
        <v>0</v>
      </c>
      <c r="AM349" s="11">
        <v>-2.2000000476837158</v>
      </c>
      <c r="AN349" s="11">
        <v>-4.9336813390254974E-7</v>
      </c>
      <c r="AO349" s="11">
        <v>-3.7292218767106533E-3</v>
      </c>
      <c r="AP349" s="11">
        <v>92.974704504013062</v>
      </c>
      <c r="AQ349" s="11">
        <v>90100</v>
      </c>
      <c r="AR349" s="16">
        <v>2350</v>
      </c>
      <c r="AS349" s="16">
        <v>9275</v>
      </c>
      <c r="AT349" s="16">
        <v>92.974704504013062</v>
      </c>
      <c r="AU349" s="7">
        <v>0</v>
      </c>
      <c r="AV349" s="7">
        <v>2.2000000476837158</v>
      </c>
      <c r="AW349" s="7">
        <v>0</v>
      </c>
      <c r="AX349" s="7">
        <v>0</v>
      </c>
      <c r="AY349" s="11">
        <v>0</v>
      </c>
      <c r="AZ349" s="16">
        <v>0</v>
      </c>
      <c r="BA349" s="16">
        <v>0</v>
      </c>
      <c r="BB349" s="16">
        <v>0</v>
      </c>
      <c r="BC349" s="11">
        <v>0</v>
      </c>
      <c r="BD349" s="11">
        <v>0</v>
      </c>
      <c r="BE349" s="11">
        <v>0</v>
      </c>
      <c r="BF349" s="11">
        <v>0</v>
      </c>
      <c r="BG349" s="11">
        <v>0</v>
      </c>
      <c r="BH349" s="11">
        <v>0</v>
      </c>
      <c r="BI349" s="13">
        <v>0</v>
      </c>
      <c r="BJ349" s="13">
        <v>0</v>
      </c>
      <c r="BK349" s="11">
        <v>0</v>
      </c>
      <c r="BL349" s="12">
        <v>0</v>
      </c>
      <c r="BM349" s="12">
        <v>0</v>
      </c>
      <c r="BN349" s="13">
        <v>0</v>
      </c>
      <c r="BO349" s="13">
        <v>0</v>
      </c>
      <c r="BP349" s="15">
        <v>0</v>
      </c>
      <c r="BQ349" s="15">
        <v>0</v>
      </c>
      <c r="BR349" s="14">
        <v>0</v>
      </c>
      <c r="BS349" s="14">
        <v>0</v>
      </c>
      <c r="BT349" s="14">
        <v>0</v>
      </c>
      <c r="BU349" s="14">
        <v>0</v>
      </c>
      <c r="BV349" s="11">
        <v>0</v>
      </c>
      <c r="BW349" s="11">
        <v>0</v>
      </c>
      <c r="BX349" s="11">
        <v>0</v>
      </c>
      <c r="BY349" s="11">
        <v>0</v>
      </c>
      <c r="BZ349" s="7">
        <v>0</v>
      </c>
      <c r="CA349" s="7">
        <v>0</v>
      </c>
      <c r="CB349" s="7">
        <v>0</v>
      </c>
      <c r="CC349" s="7">
        <v>0</v>
      </c>
      <c r="CD349" s="7">
        <v>4811.89990234375</v>
      </c>
      <c r="CE349" s="3">
        <v>800</v>
      </c>
      <c r="CF349" s="7">
        <v>4558.0498046875</v>
      </c>
      <c r="CG349" s="3">
        <v>750</v>
      </c>
      <c r="CH349" s="7">
        <v>0</v>
      </c>
      <c r="CI349" s="7">
        <v>2.4500000476837158</v>
      </c>
      <c r="CJ349" s="3">
        <v>450</v>
      </c>
      <c r="CK349" s="7">
        <v>2.25</v>
      </c>
      <c r="CL349" s="3">
        <v>50</v>
      </c>
      <c r="CM349" s="7">
        <v>2.8900001049041748</v>
      </c>
      <c r="CN349" s="10">
        <v>44783.638194444444</v>
      </c>
      <c r="CO349" s="10">
        <v>44783.638194444444</v>
      </c>
      <c r="CP349" s="7">
        <v>38295.69921875</v>
      </c>
      <c r="CQ349" s="17" t="s">
        <v>321</v>
      </c>
      <c r="CR349" s="10">
        <v>44783.638194444444</v>
      </c>
      <c r="CS349" s="12">
        <v>-9.5307826995849609E-3</v>
      </c>
      <c r="CT349" s="18">
        <v>-1.0249890930647789E-4</v>
      </c>
      <c r="CU349" s="3">
        <v>6925</v>
      </c>
      <c r="CV349" s="18">
        <v>0.33935018050541516</v>
      </c>
      <c r="CW349" s="7">
        <v>2.2000000476837158</v>
      </c>
      <c r="CX349" s="18">
        <v>0</v>
      </c>
      <c r="CY349" s="7">
        <v>0</v>
      </c>
      <c r="CZ349" s="18">
        <v>0</v>
      </c>
      <c r="DA349" s="3">
        <v>0</v>
      </c>
      <c r="DB349" s="18">
        <v>0</v>
      </c>
      <c r="DC349" s="11">
        <v>0</v>
      </c>
      <c r="DD349" s="18">
        <v>0</v>
      </c>
      <c r="DE349" s="7">
        <v>0</v>
      </c>
      <c r="DF349" s="7">
        <v>2.2000000476837158</v>
      </c>
      <c r="DG349" s="7">
        <v>38295.69921875</v>
      </c>
      <c r="DH349" s="3" t="s">
        <v>312</v>
      </c>
      <c r="DI349" s="3" t="s">
        <v>312</v>
      </c>
      <c r="DJ349" s="3" t="s">
        <v>314</v>
      </c>
      <c r="DK349" s="3">
        <v>38300</v>
      </c>
      <c r="DL349" s="3">
        <v>3400000</v>
      </c>
      <c r="DM349" s="3">
        <v>38500</v>
      </c>
      <c r="DN349" s="3">
        <v>0</v>
      </c>
      <c r="DO349" s="3">
        <v>24500</v>
      </c>
      <c r="DP349" s="3">
        <v>2863350</v>
      </c>
      <c r="DQ349" s="28">
        <v>38000</v>
      </c>
      <c r="DR349" s="32">
        <v>0</v>
      </c>
      <c r="DS349" s="32">
        <v>24500</v>
      </c>
      <c r="DT349" s="32" t="s">
        <v>33</v>
      </c>
      <c r="DU349" s="69">
        <v>44784</v>
      </c>
    </row>
    <row r="350" spans="1:125" x14ac:dyDescent="0.25">
      <c r="A350" t="s">
        <v>117</v>
      </c>
      <c r="B350" s="2">
        <v>44833</v>
      </c>
      <c r="C350" s="1">
        <v>250</v>
      </c>
      <c r="D350">
        <v>50</v>
      </c>
      <c r="M350" s="3"/>
      <c r="N350" s="3"/>
      <c r="O350" s="3">
        <v>33700</v>
      </c>
      <c r="P350" s="7">
        <v>2.4000000953674316</v>
      </c>
      <c r="Q350" s="7">
        <v>2.0499999523162842</v>
      </c>
      <c r="R350" s="7">
        <v>4.1500000953674316</v>
      </c>
      <c r="S350" s="7">
        <v>4.1500000953674316</v>
      </c>
      <c r="T350" s="11">
        <v>3.4453125</v>
      </c>
      <c r="U350" s="11">
        <v>102602.90625</v>
      </c>
      <c r="V350" s="11">
        <v>-8.03125</v>
      </c>
      <c r="W350" s="11">
        <v>200367.140625</v>
      </c>
      <c r="X350" s="14">
        <v>4.9658410716801882E-10</v>
      </c>
      <c r="Y350" s="14">
        <v>1.8424181689624675E-5</v>
      </c>
      <c r="Z350" s="14">
        <v>-1.9317667465656996E-9</v>
      </c>
      <c r="AA350" s="14">
        <v>4.1218063415726647E-5</v>
      </c>
      <c r="AB350" s="15">
        <v>2.6023627697213669E-13</v>
      </c>
      <c r="AC350" s="15">
        <v>-9.3094829622941688E-9</v>
      </c>
      <c r="AD350" s="13">
        <v>8.81195068359375E-4</v>
      </c>
      <c r="AE350" s="13">
        <v>16.657318115234375</v>
      </c>
      <c r="AF350" s="12">
        <v>7.82012939453125E-4</v>
      </c>
      <c r="AG350" s="12">
        <v>-37.265285491943359</v>
      </c>
      <c r="AH350" s="13">
        <v>-1.2278178473934531E-10</v>
      </c>
      <c r="AI350" s="13">
        <v>6.4565547290840186E-6</v>
      </c>
      <c r="AJ350" s="11">
        <v>-7.0929527282714844E-6</v>
      </c>
      <c r="AK350" s="11">
        <v>0.24520836770534515</v>
      </c>
      <c r="AL350" s="11">
        <v>0</v>
      </c>
      <c r="AM350" s="11">
        <v>-2.4000000953674316</v>
      </c>
      <c r="AN350" s="11">
        <v>3.9115548133850098E-8</v>
      </c>
      <c r="AO350" s="11">
        <v>-4.0817554108798504E-3</v>
      </c>
      <c r="AP350" s="11">
        <v>91.92160964012146</v>
      </c>
      <c r="AQ350" s="11">
        <v>89525</v>
      </c>
      <c r="AR350" s="16">
        <v>-1425</v>
      </c>
      <c r="AS350" s="16">
        <v>12175</v>
      </c>
      <c r="AT350" s="16">
        <v>91.92160964012146</v>
      </c>
      <c r="AU350" s="7">
        <v>0</v>
      </c>
      <c r="AV350" s="7">
        <v>2.4000000953674316</v>
      </c>
      <c r="AW350" s="7">
        <v>4660</v>
      </c>
      <c r="AX350" s="7">
        <v>0</v>
      </c>
      <c r="AY350" s="11">
        <v>149.46043491363525</v>
      </c>
      <c r="AZ350" s="16">
        <v>675</v>
      </c>
      <c r="BA350" s="16">
        <v>-50</v>
      </c>
      <c r="BB350" s="16">
        <v>125</v>
      </c>
      <c r="BC350" s="11">
        <v>0.95065915584564209</v>
      </c>
      <c r="BD350" s="11">
        <v>2.6285648345947266E-5</v>
      </c>
      <c r="BE350" s="11">
        <v>-150.76251220703125</v>
      </c>
      <c r="BF350" s="11">
        <v>8.050537109375E-2</v>
      </c>
      <c r="BG350" s="11">
        <v>2.0740909576416016</v>
      </c>
      <c r="BH350" s="11">
        <v>-9.2387199401855469E-4</v>
      </c>
      <c r="BI350" s="13">
        <v>3.3594329579500481E-5</v>
      </c>
      <c r="BJ350" s="13">
        <v>-9.1749825514853001E-9</v>
      </c>
      <c r="BK350" s="11">
        <v>149.46043491363525</v>
      </c>
      <c r="BL350" s="12">
        <v>-1.6403040885925293</v>
      </c>
      <c r="BM350" s="12">
        <v>-1.194000244140625E-3</v>
      </c>
      <c r="BN350" s="13">
        <v>1.1923121213912964</v>
      </c>
      <c r="BO350" s="13">
        <v>7.6246261596679688E-4</v>
      </c>
      <c r="BP350" s="15">
        <v>-1.9138985507538564E-8</v>
      </c>
      <c r="BQ350" s="15">
        <v>-3.943512183468556E-13</v>
      </c>
      <c r="BR350" s="14">
        <v>3.5867524275090545E-5</v>
      </c>
      <c r="BS350" s="14">
        <v>1.4028046280145645E-8</v>
      </c>
      <c r="BT350" s="14">
        <v>2.6071558750118129E-5</v>
      </c>
      <c r="BU350" s="14">
        <v>7.8925950219854712E-9</v>
      </c>
      <c r="BV350" s="11">
        <v>5505.06640625</v>
      </c>
      <c r="BW350" s="11">
        <v>4.75341796875</v>
      </c>
      <c r="BX350" s="11">
        <v>5543.1328125</v>
      </c>
      <c r="BY350" s="11">
        <v>3.79150390625</v>
      </c>
      <c r="BZ350" s="7">
        <v>4650</v>
      </c>
      <c r="CA350" s="7">
        <v>4660</v>
      </c>
      <c r="CB350" s="7">
        <v>4640</v>
      </c>
      <c r="CC350" s="7">
        <v>4660</v>
      </c>
      <c r="CD350" s="7">
        <v>4750</v>
      </c>
      <c r="CE350" s="3">
        <v>800</v>
      </c>
      <c r="CF350" s="7">
        <v>4530.7998046875</v>
      </c>
      <c r="CG350" s="3">
        <v>750</v>
      </c>
      <c r="CH350" s="7">
        <v>4650</v>
      </c>
      <c r="CI350" s="7">
        <v>2.5</v>
      </c>
      <c r="CJ350" s="3">
        <v>1050</v>
      </c>
      <c r="CK350" s="7">
        <v>2.4000000953674316</v>
      </c>
      <c r="CL350" s="3">
        <v>425</v>
      </c>
      <c r="CM350" s="7">
        <v>2.9900000095367432</v>
      </c>
      <c r="CN350" s="10">
        <v>44783.638194444444</v>
      </c>
      <c r="CO350" s="10">
        <v>44783.638194444444</v>
      </c>
      <c r="CP350" s="7">
        <v>38295.69921875</v>
      </c>
      <c r="CQ350" s="17" t="s">
        <v>321</v>
      </c>
      <c r="CR350" s="10">
        <v>44783.638194444444</v>
      </c>
      <c r="CS350" s="12">
        <v>2.8192996978759766E-3</v>
      </c>
      <c r="CT350" s="18">
        <v>3.0671636206640977E-5</v>
      </c>
      <c r="CU350" s="3">
        <v>13600</v>
      </c>
      <c r="CV350" s="18">
        <v>-0.10477941176470588</v>
      </c>
      <c r="CW350" s="7">
        <v>2.4000000953674316</v>
      </c>
      <c r="CX350" s="18">
        <v>0</v>
      </c>
      <c r="CY350" s="7">
        <v>4660</v>
      </c>
      <c r="CZ350" s="18">
        <v>0</v>
      </c>
      <c r="DA350" s="3">
        <v>725</v>
      </c>
      <c r="DB350" s="18">
        <v>-6.8965517241379309E-2</v>
      </c>
      <c r="DC350" s="11">
        <v>-1.9681453704833984E-2</v>
      </c>
      <c r="DD350" s="18">
        <v>-1.3166603146379531E-4</v>
      </c>
      <c r="DE350" s="7">
        <v>4660</v>
      </c>
      <c r="DF350" s="7">
        <v>2.4000000953674316</v>
      </c>
      <c r="DG350" s="7">
        <v>38295.69921875</v>
      </c>
      <c r="DH350" s="3" t="s">
        <v>312</v>
      </c>
      <c r="DI350" s="3" t="s">
        <v>312</v>
      </c>
      <c r="DJ350" s="3" t="s">
        <v>314</v>
      </c>
      <c r="DK350" s="3">
        <v>38300</v>
      </c>
      <c r="DL350" s="3">
        <v>3400000</v>
      </c>
      <c r="DM350" s="3">
        <v>38500</v>
      </c>
      <c r="DN350" s="3">
        <v>0</v>
      </c>
      <c r="DO350" s="3">
        <v>24500</v>
      </c>
      <c r="DP350" s="3">
        <v>2863350</v>
      </c>
      <c r="DQ350" s="28">
        <v>38000</v>
      </c>
      <c r="DR350" s="32">
        <v>0</v>
      </c>
      <c r="DS350" s="32">
        <v>24500</v>
      </c>
      <c r="DT350" s="32" t="s">
        <v>33</v>
      </c>
      <c r="DU350" s="69">
        <v>44784</v>
      </c>
    </row>
    <row r="351" spans="1:125" x14ac:dyDescent="0.25">
      <c r="A351" t="s">
        <v>117</v>
      </c>
      <c r="B351" s="2">
        <v>44861</v>
      </c>
      <c r="C351" s="1">
        <v>250</v>
      </c>
      <c r="D351">
        <v>50</v>
      </c>
      <c r="M351" s="3"/>
      <c r="N351" s="3"/>
      <c r="O351" s="3">
        <v>33800</v>
      </c>
      <c r="P351" s="7">
        <v>2.5</v>
      </c>
      <c r="Q351" s="7">
        <v>2.2999999523162842</v>
      </c>
      <c r="R351" s="7">
        <v>3.8499999046325684</v>
      </c>
      <c r="S351" s="7">
        <v>3.8499999046325684</v>
      </c>
      <c r="T351" s="11">
        <v>-32.4609375</v>
      </c>
      <c r="U351" s="11">
        <v>96716.7265625</v>
      </c>
      <c r="V351" s="11">
        <v>-45.015625</v>
      </c>
      <c r="W351" s="11">
        <v>191742.75</v>
      </c>
      <c r="X351" s="14">
        <v>1.3038516044616699E-8</v>
      </c>
      <c r="Y351" s="14">
        <v>1.9335653632879257E-5</v>
      </c>
      <c r="Z351" s="14">
        <v>3.4542608773335814E-8</v>
      </c>
      <c r="AA351" s="14">
        <v>4.3990086851408705E-5</v>
      </c>
      <c r="AB351" s="15">
        <v>-9.4093621783031267E-12</v>
      </c>
      <c r="AC351" s="15">
        <v>-1.0022732865877515E-8</v>
      </c>
      <c r="AD351" s="13">
        <v>-3.093719482421875E-3</v>
      </c>
      <c r="AE351" s="13">
        <v>15.781572341918945</v>
      </c>
      <c r="AF351" s="12">
        <v>3.055572509765625E-3</v>
      </c>
      <c r="AG351" s="12">
        <v>-35.904277801513672</v>
      </c>
      <c r="AH351" s="13">
        <v>4.38558345194906E-9</v>
      </c>
      <c r="AI351" s="13">
        <v>6.8838007791782729E-6</v>
      </c>
      <c r="AJ351" s="11">
        <v>4.6491622924804688E-5</v>
      </c>
      <c r="AK351" s="11">
        <v>0.25710031390190125</v>
      </c>
      <c r="AL351" s="11">
        <v>0</v>
      </c>
      <c r="AM351" s="11">
        <v>-2.5</v>
      </c>
      <c r="AN351" s="11">
        <v>-1.3899989426136017E-6</v>
      </c>
      <c r="AO351" s="11">
        <v>-4.3035889975726604E-3</v>
      </c>
      <c r="AP351" s="11">
        <v>90.394043922424316</v>
      </c>
      <c r="AQ351" s="11">
        <v>195375</v>
      </c>
      <c r="AR351" s="16">
        <v>-20725</v>
      </c>
      <c r="AS351" s="16">
        <v>13200</v>
      </c>
      <c r="AT351" s="16">
        <v>90.394043922424316</v>
      </c>
      <c r="AU351" s="7">
        <v>0</v>
      </c>
      <c r="AV351" s="7">
        <v>2.5</v>
      </c>
      <c r="AW351" s="7">
        <v>0</v>
      </c>
      <c r="AX351" s="7">
        <v>0</v>
      </c>
      <c r="AY351" s="11">
        <v>0</v>
      </c>
      <c r="AZ351" s="16">
        <v>0</v>
      </c>
      <c r="BA351" s="16">
        <v>0</v>
      </c>
      <c r="BB351" s="16">
        <v>0</v>
      </c>
      <c r="BC351" s="11">
        <v>0</v>
      </c>
      <c r="BD351" s="11">
        <v>0</v>
      </c>
      <c r="BE351" s="11">
        <v>0</v>
      </c>
      <c r="BF351" s="11">
        <v>0</v>
      </c>
      <c r="BG351" s="11">
        <v>0</v>
      </c>
      <c r="BH351" s="11">
        <v>0</v>
      </c>
      <c r="BI351" s="13">
        <v>0</v>
      </c>
      <c r="BJ351" s="13">
        <v>0</v>
      </c>
      <c r="BK351" s="11">
        <v>0</v>
      </c>
      <c r="BL351" s="12">
        <v>0</v>
      </c>
      <c r="BM351" s="12">
        <v>0</v>
      </c>
      <c r="BN351" s="13">
        <v>0</v>
      </c>
      <c r="BO351" s="13">
        <v>0</v>
      </c>
      <c r="BP351" s="15">
        <v>0</v>
      </c>
      <c r="BQ351" s="15">
        <v>0</v>
      </c>
      <c r="BR351" s="14">
        <v>0</v>
      </c>
      <c r="BS351" s="14">
        <v>0</v>
      </c>
      <c r="BT351" s="14">
        <v>0</v>
      </c>
      <c r="BU351" s="14">
        <v>0</v>
      </c>
      <c r="BV351" s="11">
        <v>0</v>
      </c>
      <c r="BW351" s="11">
        <v>0</v>
      </c>
      <c r="BX351" s="11">
        <v>0</v>
      </c>
      <c r="BY351" s="11">
        <v>0</v>
      </c>
      <c r="BZ351" s="7">
        <v>0</v>
      </c>
      <c r="CA351" s="7">
        <v>0</v>
      </c>
      <c r="CB351" s="7">
        <v>0</v>
      </c>
      <c r="CC351" s="7">
        <v>0</v>
      </c>
      <c r="CD351" s="7">
        <v>4600.2998046875</v>
      </c>
      <c r="CE351" s="3">
        <v>750</v>
      </c>
      <c r="CF351" s="7">
        <v>4374.10009765625</v>
      </c>
      <c r="CG351" s="3">
        <v>750</v>
      </c>
      <c r="CH351" s="7">
        <v>0</v>
      </c>
      <c r="CI351" s="7">
        <v>2.5</v>
      </c>
      <c r="CJ351" s="3">
        <v>25</v>
      </c>
      <c r="CK351" s="7">
        <v>2.4500000476837158</v>
      </c>
      <c r="CL351" s="3">
        <v>100</v>
      </c>
      <c r="CM351" s="7">
        <v>3.0999999046325684</v>
      </c>
      <c r="CN351" s="10">
        <v>44783.638194444444</v>
      </c>
      <c r="CO351" s="10">
        <v>44783.638194444444</v>
      </c>
      <c r="CP351" s="7">
        <v>38295.69921875</v>
      </c>
      <c r="CQ351" s="17" t="s">
        <v>321</v>
      </c>
      <c r="CR351" s="10">
        <v>44783.638194444444</v>
      </c>
      <c r="CS351" s="12">
        <v>-2.1755695343017578E-2</v>
      </c>
      <c r="CT351" s="18">
        <v>-2.4061829276508917E-4</v>
      </c>
      <c r="CU351" s="3">
        <v>33925</v>
      </c>
      <c r="CV351" s="18">
        <v>-0.61090641120117906</v>
      </c>
      <c r="CW351" s="7">
        <v>2.5</v>
      </c>
      <c r="CX351" s="18">
        <v>0</v>
      </c>
      <c r="CY351" s="7">
        <v>0</v>
      </c>
      <c r="CZ351" s="18">
        <v>0</v>
      </c>
      <c r="DA351" s="3">
        <v>0</v>
      </c>
      <c r="DB351" s="18">
        <v>0</v>
      </c>
      <c r="DC351" s="11">
        <v>0</v>
      </c>
      <c r="DD351" s="18">
        <v>0</v>
      </c>
      <c r="DE351" s="7">
        <v>0</v>
      </c>
      <c r="DF351" s="7">
        <v>2.5</v>
      </c>
      <c r="DG351" s="7">
        <v>38295.69921875</v>
      </c>
      <c r="DH351" s="3" t="s">
        <v>312</v>
      </c>
      <c r="DI351" s="3" t="s">
        <v>312</v>
      </c>
      <c r="DJ351" s="3" t="s">
        <v>314</v>
      </c>
      <c r="DK351" s="3">
        <v>38300</v>
      </c>
      <c r="DL351" s="3">
        <v>3400000</v>
      </c>
      <c r="DM351" s="3">
        <v>38500</v>
      </c>
      <c r="DN351" s="3">
        <v>0</v>
      </c>
      <c r="DO351" s="3">
        <v>24500</v>
      </c>
      <c r="DP351" s="3">
        <v>2863350</v>
      </c>
      <c r="DQ351" s="28">
        <v>38000</v>
      </c>
      <c r="DR351" s="32">
        <v>0</v>
      </c>
      <c r="DS351" s="32">
        <v>24500</v>
      </c>
      <c r="DT351" s="32" t="s">
        <v>33</v>
      </c>
      <c r="DU351" s="69">
        <v>44784</v>
      </c>
    </row>
    <row r="352" spans="1:125" x14ac:dyDescent="0.25">
      <c r="A352" t="s">
        <v>118</v>
      </c>
      <c r="B352" s="2">
        <v>44798</v>
      </c>
      <c r="C352" s="1">
        <v>1350</v>
      </c>
      <c r="D352">
        <v>63</v>
      </c>
      <c r="M352" s="3"/>
      <c r="N352" s="3"/>
      <c r="O352" s="3">
        <v>33900</v>
      </c>
      <c r="P352" s="7">
        <v>2.5999999046325684</v>
      </c>
      <c r="Q352" s="7">
        <v>2.5499999523162842</v>
      </c>
      <c r="R352" s="7">
        <v>3.7000000476837158</v>
      </c>
      <c r="S352" s="7">
        <v>3.2000000476837158</v>
      </c>
      <c r="T352" s="11">
        <v>-42.5859375</v>
      </c>
      <c r="U352" s="11">
        <v>91257.1640625</v>
      </c>
      <c r="V352" s="11">
        <v>-49.1875</v>
      </c>
      <c r="W352" s="11">
        <v>183770.15625</v>
      </c>
      <c r="X352" s="14">
        <v>1.7267666407860816E-8</v>
      </c>
      <c r="Y352" s="14">
        <v>2.0289451640564948E-5</v>
      </c>
      <c r="Z352" s="14">
        <v>4.9956724978983402E-8</v>
      </c>
      <c r="AA352" s="14">
        <v>4.6968558308435604E-5</v>
      </c>
      <c r="AB352" s="15">
        <v>-1.3457679415296298E-11</v>
      </c>
      <c r="AC352" s="15">
        <v>-1.0795244698158513E-8</v>
      </c>
      <c r="AD352" s="13">
        <v>-4.5375823974609375E-3</v>
      </c>
      <c r="AE352" s="13">
        <v>14.966288566589355</v>
      </c>
      <c r="AF352" s="12">
        <v>3.131866455078125E-3</v>
      </c>
      <c r="AG352" s="12">
        <v>-34.645835876464844</v>
      </c>
      <c r="AH352" s="13">
        <v>6.2082108343020082E-9</v>
      </c>
      <c r="AI352" s="13">
        <v>7.3375840656808577E-6</v>
      </c>
      <c r="AJ352" s="11">
        <v>7.05718994140625E-5</v>
      </c>
      <c r="AK352" s="11">
        <v>0.26932397484779358</v>
      </c>
      <c r="AL352" s="11">
        <v>0</v>
      </c>
      <c r="AM352" s="11">
        <v>-2.5999999046325684</v>
      </c>
      <c r="AN352" s="11">
        <v>-1.9446015357971191E-6</v>
      </c>
      <c r="AO352" s="11">
        <v>-4.533328115940094E-3</v>
      </c>
      <c r="AP352" s="11">
        <v>88.838005065917969</v>
      </c>
      <c r="AQ352" s="11">
        <v>117575</v>
      </c>
      <c r="AR352" s="16">
        <v>-22350</v>
      </c>
      <c r="AS352" s="16">
        <v>9325</v>
      </c>
      <c r="AT352" s="16">
        <v>88.838005065917969</v>
      </c>
      <c r="AU352" s="7">
        <v>0</v>
      </c>
      <c r="AV352" s="7">
        <v>2.5999999046325684</v>
      </c>
      <c r="AW352" s="7">
        <v>0</v>
      </c>
      <c r="AX352" s="7">
        <v>0</v>
      </c>
      <c r="AY352" s="11">
        <v>0</v>
      </c>
      <c r="AZ352" s="16">
        <v>0</v>
      </c>
      <c r="BA352" s="16">
        <v>0</v>
      </c>
      <c r="BB352" s="16">
        <v>0</v>
      </c>
      <c r="BC352" s="11">
        <v>0</v>
      </c>
      <c r="BD352" s="11">
        <v>0</v>
      </c>
      <c r="BE352" s="11">
        <v>0</v>
      </c>
      <c r="BF352" s="11">
        <v>0</v>
      </c>
      <c r="BG352" s="11">
        <v>0</v>
      </c>
      <c r="BH352" s="11">
        <v>0</v>
      </c>
      <c r="BI352" s="13">
        <v>0</v>
      </c>
      <c r="BJ352" s="13">
        <v>0</v>
      </c>
      <c r="BK352" s="11">
        <v>0</v>
      </c>
      <c r="BL352" s="12">
        <v>0</v>
      </c>
      <c r="BM352" s="12">
        <v>0</v>
      </c>
      <c r="BN352" s="13">
        <v>0</v>
      </c>
      <c r="BO352" s="13">
        <v>0</v>
      </c>
      <c r="BP352" s="15">
        <v>0</v>
      </c>
      <c r="BQ352" s="15">
        <v>0</v>
      </c>
      <c r="BR352" s="14">
        <v>0</v>
      </c>
      <c r="BS352" s="14">
        <v>0</v>
      </c>
      <c r="BT352" s="14">
        <v>0</v>
      </c>
      <c r="BU352" s="14">
        <v>0</v>
      </c>
      <c r="BV352" s="11">
        <v>0</v>
      </c>
      <c r="BW352" s="11">
        <v>0</v>
      </c>
      <c r="BX352" s="11">
        <v>0</v>
      </c>
      <c r="BY352" s="11">
        <v>0</v>
      </c>
      <c r="BZ352" s="7">
        <v>0</v>
      </c>
      <c r="CA352" s="7">
        <v>0</v>
      </c>
      <c r="CB352" s="7">
        <v>0</v>
      </c>
      <c r="CC352" s="7">
        <v>0</v>
      </c>
      <c r="CD352" s="7">
        <v>4514.2998046875</v>
      </c>
      <c r="CE352" s="3">
        <v>750</v>
      </c>
      <c r="CF352" s="7">
        <v>4254.2998046875</v>
      </c>
      <c r="CG352" s="3">
        <v>750</v>
      </c>
      <c r="CH352" s="7">
        <v>0</v>
      </c>
      <c r="CI352" s="7">
        <v>2.5999999046325684</v>
      </c>
      <c r="CJ352" s="3">
        <v>875</v>
      </c>
      <c r="CK352" s="7">
        <v>2.5</v>
      </c>
      <c r="CL352" s="3">
        <v>300</v>
      </c>
      <c r="CM352" s="7">
        <v>3.1600000858306885</v>
      </c>
      <c r="CN352" s="10">
        <v>44783.638194444444</v>
      </c>
      <c r="CO352" s="10">
        <v>44783.638194444444</v>
      </c>
      <c r="CP352" s="7">
        <v>38295.69921875</v>
      </c>
      <c r="CQ352" s="17" t="s">
        <v>321</v>
      </c>
      <c r="CR352" s="10">
        <v>44783.638194444444</v>
      </c>
      <c r="CS352" s="12">
        <v>-3.0428171157836914E-2</v>
      </c>
      <c r="CT352" s="18">
        <v>-3.4239571971144322E-4</v>
      </c>
      <c r="CU352" s="3">
        <v>31675</v>
      </c>
      <c r="CV352" s="18">
        <v>-0.70560378847671668</v>
      </c>
      <c r="CW352" s="7">
        <v>2.5999999046325684</v>
      </c>
      <c r="CX352" s="18">
        <v>0</v>
      </c>
      <c r="CY352" s="7">
        <v>0</v>
      </c>
      <c r="CZ352" s="18">
        <v>0</v>
      </c>
      <c r="DA352" s="3">
        <v>0</v>
      </c>
      <c r="DB352" s="18">
        <v>0</v>
      </c>
      <c r="DC352" s="11">
        <v>0</v>
      </c>
      <c r="DD352" s="18">
        <v>0</v>
      </c>
      <c r="DE352" s="7">
        <v>0</v>
      </c>
      <c r="DF352" s="7">
        <v>2.5999999046325684</v>
      </c>
      <c r="DG352" s="7">
        <v>38295.69921875</v>
      </c>
      <c r="DH352" s="3" t="s">
        <v>312</v>
      </c>
      <c r="DI352" s="3" t="s">
        <v>312</v>
      </c>
      <c r="DJ352" s="3" t="s">
        <v>314</v>
      </c>
      <c r="DK352" s="3">
        <v>38300</v>
      </c>
      <c r="DL352" s="3">
        <v>3400000</v>
      </c>
      <c r="DM352" s="3">
        <v>38500</v>
      </c>
      <c r="DN352" s="3">
        <v>0</v>
      </c>
      <c r="DO352" s="3">
        <v>24500</v>
      </c>
      <c r="DP352" s="3">
        <v>2863350</v>
      </c>
      <c r="DQ352" s="28">
        <v>38000</v>
      </c>
      <c r="DR352" s="32">
        <v>0</v>
      </c>
      <c r="DS352" s="32">
        <v>24500</v>
      </c>
      <c r="DT352" s="32" t="s">
        <v>33</v>
      </c>
      <c r="DU352" s="69">
        <v>44784</v>
      </c>
    </row>
    <row r="353" spans="1:125" x14ac:dyDescent="0.25">
      <c r="A353" t="s">
        <v>118</v>
      </c>
      <c r="B353" s="2">
        <v>44833</v>
      </c>
      <c r="C353" s="1">
        <v>1350</v>
      </c>
      <c r="D353">
        <v>63</v>
      </c>
      <c r="M353" s="3"/>
      <c r="N353" s="3"/>
      <c r="O353" s="3">
        <v>34000</v>
      </c>
      <c r="P353" s="7">
        <v>2.4500000476837158</v>
      </c>
      <c r="Q353" s="7">
        <v>2.4500000476837158</v>
      </c>
      <c r="R353" s="7">
        <v>3.8499999046325684</v>
      </c>
      <c r="S353" s="7">
        <v>3.5</v>
      </c>
      <c r="T353" s="11">
        <v>3.2265625</v>
      </c>
      <c r="U353" s="11">
        <v>94213.3125</v>
      </c>
      <c r="V353" s="11">
        <v>-7.8125</v>
      </c>
      <c r="W353" s="11">
        <v>195355</v>
      </c>
      <c r="X353" s="14">
        <v>5.347828846424818E-10</v>
      </c>
      <c r="Y353" s="14">
        <v>2.055474033113569E-5</v>
      </c>
      <c r="Z353" s="14">
        <v>-2.3756001610308886E-9</v>
      </c>
      <c r="AA353" s="14">
        <v>4.8945119488053024E-5</v>
      </c>
      <c r="AB353" s="15">
        <v>3.3217872896784684E-13</v>
      </c>
      <c r="AC353" s="15">
        <v>-1.1181406023297313E-8</v>
      </c>
      <c r="AD353" s="13">
        <v>8.2492828369140625E-4</v>
      </c>
      <c r="AE353" s="13">
        <v>15.412060737609863</v>
      </c>
      <c r="AF353" s="12">
        <v>7.7056884765625E-4</v>
      </c>
      <c r="AG353" s="12">
        <v>-36.699329376220703</v>
      </c>
      <c r="AH353" s="13">
        <v>-1.482476363889873E-10</v>
      </c>
      <c r="AI353" s="13">
        <v>7.363725671893917E-6</v>
      </c>
      <c r="AJ353" s="11">
        <v>-7.7486038208007813E-6</v>
      </c>
      <c r="AK353" s="11">
        <v>0.2626628577709198</v>
      </c>
      <c r="AL353" s="11">
        <v>0</v>
      </c>
      <c r="AM353" s="11">
        <v>-2.4500000476837158</v>
      </c>
      <c r="AN353" s="11">
        <v>4.5169144868850708E-8</v>
      </c>
      <c r="AO353" s="11">
        <v>-4.4084610417485237E-3</v>
      </c>
      <c r="AP353" s="11">
        <v>86.350184679031372</v>
      </c>
      <c r="AQ353" s="11">
        <v>3278150</v>
      </c>
      <c r="AR353" s="16">
        <v>17450</v>
      </c>
      <c r="AS353" s="16">
        <v>601775</v>
      </c>
      <c r="AT353" s="16">
        <v>86.350184679031372</v>
      </c>
      <c r="AU353" s="7">
        <v>0</v>
      </c>
      <c r="AV353" s="7">
        <v>2.4500000476837158</v>
      </c>
      <c r="AW353" s="7">
        <v>3925</v>
      </c>
      <c r="AX353" s="7">
        <v>0</v>
      </c>
      <c r="AY353" s="11">
        <v>0</v>
      </c>
      <c r="AZ353" s="16">
        <v>1050</v>
      </c>
      <c r="BA353" s="16">
        <v>0</v>
      </c>
      <c r="BB353" s="16">
        <v>0</v>
      </c>
      <c r="BC353" s="11">
        <v>0</v>
      </c>
      <c r="BD353" s="11">
        <v>0</v>
      </c>
      <c r="BE353" s="11">
        <v>0</v>
      </c>
      <c r="BF353" s="11">
        <v>0</v>
      </c>
      <c r="BG353" s="11">
        <v>0</v>
      </c>
      <c r="BH353" s="11">
        <v>0</v>
      </c>
      <c r="BI353" s="13">
        <v>0</v>
      </c>
      <c r="BJ353" s="13">
        <v>0</v>
      </c>
      <c r="BK353" s="11">
        <v>0</v>
      </c>
      <c r="BL353" s="12">
        <v>0</v>
      </c>
      <c r="BM353" s="12">
        <v>0</v>
      </c>
      <c r="BN353" s="13">
        <v>0</v>
      </c>
      <c r="BO353" s="13">
        <v>0</v>
      </c>
      <c r="BP353" s="15">
        <v>0</v>
      </c>
      <c r="BQ353" s="15">
        <v>0</v>
      </c>
      <c r="BR353" s="14">
        <v>0</v>
      </c>
      <c r="BS353" s="14">
        <v>0</v>
      </c>
      <c r="BT353" s="14">
        <v>0</v>
      </c>
      <c r="BU353" s="14">
        <v>0</v>
      </c>
      <c r="BV353" s="11">
        <v>0</v>
      </c>
      <c r="BW353" s="11">
        <v>0</v>
      </c>
      <c r="BX353" s="11">
        <v>0</v>
      </c>
      <c r="BY353" s="11">
        <v>0</v>
      </c>
      <c r="BZ353" s="7">
        <v>0</v>
      </c>
      <c r="CA353" s="7">
        <v>0</v>
      </c>
      <c r="CB353" s="7">
        <v>0</v>
      </c>
      <c r="CC353" s="7">
        <v>3925</v>
      </c>
      <c r="CD353" s="7">
        <v>4373.9501953125</v>
      </c>
      <c r="CE353" s="3">
        <v>425</v>
      </c>
      <c r="CF353" s="7">
        <v>4280.0498046875</v>
      </c>
      <c r="CG353" s="3">
        <v>1325</v>
      </c>
      <c r="CH353" s="7">
        <v>0</v>
      </c>
      <c r="CI353" s="7">
        <v>2.5</v>
      </c>
      <c r="CJ353" s="3">
        <v>1350</v>
      </c>
      <c r="CK353" s="7">
        <v>2.4500000476837158</v>
      </c>
      <c r="CL353" s="3">
        <v>1725</v>
      </c>
      <c r="CM353" s="7">
        <v>3.1800000667572021</v>
      </c>
      <c r="CN353" s="10">
        <v>44783.638194444444</v>
      </c>
      <c r="CO353" s="10">
        <v>44783.638194444444</v>
      </c>
      <c r="CP353" s="7">
        <v>38295.69921875</v>
      </c>
      <c r="CQ353" s="17" t="s">
        <v>321</v>
      </c>
      <c r="CR353" s="10">
        <v>44783.638194444444</v>
      </c>
      <c r="CS353" s="12">
        <v>2.7060508728027344E-3</v>
      </c>
      <c r="CT353" s="18">
        <v>3.1339083848133006E-5</v>
      </c>
      <c r="CU353" s="3">
        <v>584325</v>
      </c>
      <c r="CV353" s="18">
        <v>2.986351773413768E-2</v>
      </c>
      <c r="CW353" s="7">
        <v>2.4500000476837158</v>
      </c>
      <c r="CX353" s="18">
        <v>0</v>
      </c>
      <c r="CY353" s="7">
        <v>3925</v>
      </c>
      <c r="CZ353" s="18">
        <v>0</v>
      </c>
      <c r="DA353" s="3">
        <v>1050</v>
      </c>
      <c r="DB353" s="18">
        <v>0</v>
      </c>
      <c r="DC353" s="11">
        <v>0</v>
      </c>
      <c r="DD353" s="18">
        <v>0</v>
      </c>
      <c r="DE353" s="7">
        <v>3925</v>
      </c>
      <c r="DF353" s="7">
        <v>2.4500000476837158</v>
      </c>
      <c r="DG353" s="7">
        <v>38295.69921875</v>
      </c>
      <c r="DH353" s="3" t="s">
        <v>312</v>
      </c>
      <c r="DI353" s="3" t="s">
        <v>312</v>
      </c>
      <c r="DJ353" s="3" t="s">
        <v>314</v>
      </c>
      <c r="DK353" s="3">
        <v>38300</v>
      </c>
      <c r="DL353" s="3">
        <v>3400000</v>
      </c>
      <c r="DM353" s="3">
        <v>38500</v>
      </c>
      <c r="DN353" s="3">
        <v>0</v>
      </c>
      <c r="DO353" s="3">
        <v>24500</v>
      </c>
      <c r="DP353" s="3">
        <v>2863350</v>
      </c>
      <c r="DQ353" s="28">
        <v>38000</v>
      </c>
      <c r="DR353" s="32">
        <v>0</v>
      </c>
      <c r="DS353" s="32">
        <v>24500</v>
      </c>
      <c r="DT353" s="32" t="s">
        <v>33</v>
      </c>
      <c r="DU353" s="69">
        <v>44784</v>
      </c>
    </row>
    <row r="354" spans="1:125" x14ac:dyDescent="0.25">
      <c r="A354" t="s">
        <v>118</v>
      </c>
      <c r="B354" s="2">
        <v>44861</v>
      </c>
      <c r="C354" s="1">
        <v>1350</v>
      </c>
      <c r="D354">
        <v>63</v>
      </c>
      <c r="M354" s="3"/>
      <c r="N354" s="3"/>
      <c r="O354" s="3">
        <v>34100</v>
      </c>
      <c r="P354" s="7">
        <v>2.5499999523162842</v>
      </c>
      <c r="Q354" s="7">
        <v>2.5</v>
      </c>
      <c r="R354" s="7">
        <v>3.9000000953674316</v>
      </c>
      <c r="S354" s="7">
        <v>3.3499999046325684</v>
      </c>
      <c r="T354" s="11">
        <v>14.46875</v>
      </c>
      <c r="U354" s="11">
        <v>88775.1171875</v>
      </c>
      <c r="V354" s="11">
        <v>-1.40625</v>
      </c>
      <c r="W354" s="11">
        <v>187104.890625</v>
      </c>
      <c r="X354" s="14">
        <v>-3.219611244276166E-9</v>
      </c>
      <c r="Y354" s="14">
        <v>2.1588053641607985E-5</v>
      </c>
      <c r="Z354" s="14">
        <v>-1.6934791347011924E-8</v>
      </c>
      <c r="AA354" s="14">
        <v>5.2344152209116146E-5</v>
      </c>
      <c r="AB354" s="15">
        <v>4.0198955275627668E-12</v>
      </c>
      <c r="AC354" s="15">
        <v>-1.2064922394472433E-8</v>
      </c>
      <c r="AD354" s="13">
        <v>2.3183822631835938E-3</v>
      </c>
      <c r="AE354" s="13">
        <v>14.596555709838867</v>
      </c>
      <c r="AF354" s="12">
        <v>5.45501708984375E-4</v>
      </c>
      <c r="AG354" s="12">
        <v>-35.391998291015625</v>
      </c>
      <c r="AH354" s="13">
        <v>-1.7771526472643018E-9</v>
      </c>
      <c r="AI354" s="13">
        <v>7.860881851229351E-6</v>
      </c>
      <c r="AJ354" s="11">
        <v>-3.0159950256347656E-5</v>
      </c>
      <c r="AK354" s="11">
        <v>0.2754548192024231</v>
      </c>
      <c r="AL354" s="11">
        <v>0</v>
      </c>
      <c r="AM354" s="11">
        <v>-2.5499999523162842</v>
      </c>
      <c r="AN354" s="11">
        <v>5.3271651268005371E-7</v>
      </c>
      <c r="AO354" s="11">
        <v>-4.6491418033838272E-3</v>
      </c>
      <c r="AP354" s="11">
        <v>84.81297492980957</v>
      </c>
      <c r="AQ354" s="11">
        <v>146600</v>
      </c>
      <c r="AR354" s="16">
        <v>-10450</v>
      </c>
      <c r="AS354" s="16">
        <v>17750</v>
      </c>
      <c r="AT354" s="16">
        <v>84.81297492980957</v>
      </c>
      <c r="AU354" s="7">
        <v>0</v>
      </c>
      <c r="AV354" s="7">
        <v>2.5499999523162842</v>
      </c>
      <c r="AW354" s="7">
        <v>0</v>
      </c>
      <c r="AX354" s="7">
        <v>-1839.85</v>
      </c>
      <c r="AY354" s="11">
        <v>0</v>
      </c>
      <c r="AZ354" s="16">
        <v>0</v>
      </c>
      <c r="BA354" s="16">
        <v>0</v>
      </c>
      <c r="BB354" s="16">
        <v>0</v>
      </c>
      <c r="BC354" s="11">
        <v>0</v>
      </c>
      <c r="BD354" s="11">
        <v>0</v>
      </c>
      <c r="BE354" s="11">
        <v>0</v>
      </c>
      <c r="BF354" s="11">
        <v>0</v>
      </c>
      <c r="BG354" s="11">
        <v>0</v>
      </c>
      <c r="BH354" s="11">
        <v>0</v>
      </c>
      <c r="BI354" s="13">
        <v>0</v>
      </c>
      <c r="BJ354" s="13">
        <v>0</v>
      </c>
      <c r="BK354" s="11">
        <v>0</v>
      </c>
      <c r="BL354" s="12">
        <v>0</v>
      </c>
      <c r="BM354" s="12">
        <v>0</v>
      </c>
      <c r="BN354" s="13">
        <v>0</v>
      </c>
      <c r="BO354" s="13">
        <v>0</v>
      </c>
      <c r="BP354" s="15">
        <v>0</v>
      </c>
      <c r="BQ354" s="15">
        <v>0</v>
      </c>
      <c r="BR354" s="14">
        <v>0</v>
      </c>
      <c r="BS354" s="14">
        <v>0</v>
      </c>
      <c r="BT354" s="14">
        <v>0</v>
      </c>
      <c r="BU354" s="14">
        <v>0</v>
      </c>
      <c r="BV354" s="11">
        <v>0</v>
      </c>
      <c r="BW354" s="11">
        <v>0</v>
      </c>
      <c r="BX354" s="11">
        <v>0</v>
      </c>
      <c r="BY354" s="11">
        <v>0</v>
      </c>
      <c r="BZ354" s="7">
        <v>0</v>
      </c>
      <c r="CA354" s="7">
        <v>0</v>
      </c>
      <c r="CB354" s="7">
        <v>0</v>
      </c>
      <c r="CC354" s="7">
        <v>0</v>
      </c>
      <c r="CD354" s="7">
        <v>4284.2998046875</v>
      </c>
      <c r="CE354" s="3">
        <v>800</v>
      </c>
      <c r="CF354" s="7">
        <v>4111.85009765625</v>
      </c>
      <c r="CG354" s="3">
        <v>750</v>
      </c>
      <c r="CH354" s="7">
        <v>0</v>
      </c>
      <c r="CI354" s="7">
        <v>2.5999999046325684</v>
      </c>
      <c r="CJ354" s="3">
        <v>50</v>
      </c>
      <c r="CK354" s="7">
        <v>2.5499999523162842</v>
      </c>
      <c r="CL354" s="3">
        <v>75</v>
      </c>
      <c r="CM354" s="7">
        <v>3.2699999809265137</v>
      </c>
      <c r="CN354" s="10">
        <v>44783.636805555558</v>
      </c>
      <c r="CO354" s="10">
        <v>44783.638194444444</v>
      </c>
      <c r="CP354" s="7">
        <v>38295.69921875</v>
      </c>
      <c r="CQ354" s="17" t="s">
        <v>321</v>
      </c>
      <c r="CR354" s="10">
        <v>44783.638194444444</v>
      </c>
      <c r="CS354" s="12">
        <v>1.1116266250610352E-2</v>
      </c>
      <c r="CT354" s="18">
        <v>1.3108517225681083E-4</v>
      </c>
      <c r="CU354" s="3">
        <v>28200</v>
      </c>
      <c r="CV354" s="18">
        <v>-0.37056737588652483</v>
      </c>
      <c r="CW354" s="7">
        <v>2.5499999523162842</v>
      </c>
      <c r="CX354" s="18">
        <v>0</v>
      </c>
      <c r="CY354" s="7">
        <v>0</v>
      </c>
      <c r="CZ354" s="18">
        <v>-1</v>
      </c>
      <c r="DA354" s="3">
        <v>0</v>
      </c>
      <c r="DB354" s="18">
        <v>0</v>
      </c>
      <c r="DC354" s="11">
        <v>0</v>
      </c>
      <c r="DD354" s="18">
        <v>0</v>
      </c>
      <c r="DE354" s="7">
        <v>0</v>
      </c>
      <c r="DF354" s="7">
        <v>2.5499999523162842</v>
      </c>
      <c r="DG354" s="7">
        <v>38295.69921875</v>
      </c>
      <c r="DH354" s="3" t="s">
        <v>313</v>
      </c>
      <c r="DI354" s="3" t="s">
        <v>312</v>
      </c>
      <c r="DJ354" s="3" t="s">
        <v>314</v>
      </c>
      <c r="DK354" s="3">
        <v>38300</v>
      </c>
      <c r="DL354" s="3">
        <v>3400000</v>
      </c>
      <c r="DM354" s="3">
        <v>38500</v>
      </c>
      <c r="DN354" s="3">
        <v>0</v>
      </c>
      <c r="DO354" s="3">
        <v>24500</v>
      </c>
      <c r="DP354" s="3">
        <v>2863350</v>
      </c>
      <c r="DQ354" s="28">
        <v>38000</v>
      </c>
      <c r="DR354" s="32">
        <v>0</v>
      </c>
      <c r="DS354" s="32">
        <v>24500</v>
      </c>
      <c r="DT354" s="32" t="s">
        <v>33</v>
      </c>
      <c r="DU354" s="69">
        <v>44784</v>
      </c>
    </row>
    <row r="355" spans="1:125" x14ac:dyDescent="0.25">
      <c r="A355" t="s">
        <v>119</v>
      </c>
      <c r="B355" s="2">
        <v>44798</v>
      </c>
      <c r="C355" s="1">
        <v>1250</v>
      </c>
      <c r="D355">
        <v>51</v>
      </c>
      <c r="M355" s="3"/>
      <c r="N355" s="3"/>
      <c r="O355" s="3">
        <v>34200</v>
      </c>
      <c r="P355" s="7">
        <v>2.5499999523162842</v>
      </c>
      <c r="Q355" s="7">
        <v>2.5</v>
      </c>
      <c r="R355" s="7">
        <v>4.0500001907348633</v>
      </c>
      <c r="S355" s="7">
        <v>3.25</v>
      </c>
      <c r="T355" s="11">
        <v>-31.5</v>
      </c>
      <c r="U355" s="11">
        <v>86677.8203125</v>
      </c>
      <c r="V355" s="11">
        <v>-35.046875</v>
      </c>
      <c r="W355" s="11">
        <v>186837.859375</v>
      </c>
      <c r="X355" s="14">
        <v>1.4322722563520074E-8</v>
      </c>
      <c r="Y355" s="14">
        <v>2.2385465854313225E-5</v>
      </c>
      <c r="Z355" s="14">
        <v>4.5907654566690326E-8</v>
      </c>
      <c r="AA355" s="14">
        <v>5.5550546676386148E-5</v>
      </c>
      <c r="AB355" s="15">
        <v>-1.2320811038080137E-11</v>
      </c>
      <c r="AC355" s="15">
        <v>-1.2844584063032016E-8</v>
      </c>
      <c r="AD355" s="13">
        <v>-3.5257339477539063E-3</v>
      </c>
      <c r="AE355" s="13">
        <v>14.28331184387207</v>
      </c>
      <c r="AF355" s="12">
        <v>2.132415771484375E-3</v>
      </c>
      <c r="AG355" s="12">
        <v>-35.444683074951172</v>
      </c>
      <c r="AH355" s="13">
        <v>5.3387338994070888E-9</v>
      </c>
      <c r="AI355" s="13">
        <v>8.2023998402291909E-6</v>
      </c>
      <c r="AJ355" s="11">
        <v>5.91278076171875E-5</v>
      </c>
      <c r="AK355" s="11">
        <v>0.2807881236076355</v>
      </c>
      <c r="AL355" s="11">
        <v>0</v>
      </c>
      <c r="AM355" s="11">
        <v>-2.5499999523162842</v>
      </c>
      <c r="AN355" s="11">
        <v>-1.5669502317905426E-6</v>
      </c>
      <c r="AO355" s="11">
        <v>-4.750505555421114E-3</v>
      </c>
      <c r="AP355" s="11">
        <v>82.86592960357666</v>
      </c>
      <c r="AQ355" s="11">
        <v>179575</v>
      </c>
      <c r="AR355" s="16">
        <v>-26700</v>
      </c>
      <c r="AS355" s="16">
        <v>12475</v>
      </c>
      <c r="AT355" s="16">
        <v>82.86592960357666</v>
      </c>
      <c r="AU355" s="7">
        <v>0</v>
      </c>
      <c r="AV355" s="7">
        <v>2.5499999523162842</v>
      </c>
      <c r="AW355" s="7">
        <v>0</v>
      </c>
      <c r="AX355" s="7">
        <v>-1780.45</v>
      </c>
      <c r="AY355" s="11">
        <v>0</v>
      </c>
      <c r="AZ355" s="16">
        <v>0</v>
      </c>
      <c r="BA355" s="16">
        <v>0</v>
      </c>
      <c r="BB355" s="16">
        <v>0</v>
      </c>
      <c r="BC355" s="11">
        <v>0</v>
      </c>
      <c r="BD355" s="11">
        <v>0</v>
      </c>
      <c r="BE355" s="11">
        <v>0</v>
      </c>
      <c r="BF355" s="11">
        <v>0</v>
      </c>
      <c r="BG355" s="11">
        <v>0</v>
      </c>
      <c r="BH355" s="11">
        <v>0</v>
      </c>
      <c r="BI355" s="13">
        <v>0</v>
      </c>
      <c r="BJ355" s="13">
        <v>0</v>
      </c>
      <c r="BK355" s="11">
        <v>0</v>
      </c>
      <c r="BL355" s="12">
        <v>0</v>
      </c>
      <c r="BM355" s="12">
        <v>0</v>
      </c>
      <c r="BN355" s="13">
        <v>0</v>
      </c>
      <c r="BO355" s="13">
        <v>0</v>
      </c>
      <c r="BP355" s="15">
        <v>0</v>
      </c>
      <c r="BQ355" s="15">
        <v>0</v>
      </c>
      <c r="BR355" s="14">
        <v>0</v>
      </c>
      <c r="BS355" s="14">
        <v>0</v>
      </c>
      <c r="BT355" s="14">
        <v>0</v>
      </c>
      <c r="BU355" s="14">
        <v>0</v>
      </c>
      <c r="BV355" s="11">
        <v>0</v>
      </c>
      <c r="BW355" s="11">
        <v>0</v>
      </c>
      <c r="BX355" s="11">
        <v>0</v>
      </c>
      <c r="BY355" s="11">
        <v>0</v>
      </c>
      <c r="BZ355" s="7">
        <v>0</v>
      </c>
      <c r="CA355" s="7">
        <v>0</v>
      </c>
      <c r="CB355" s="7">
        <v>0</v>
      </c>
      <c r="CC355" s="7">
        <v>0</v>
      </c>
      <c r="CD355" s="7">
        <v>0</v>
      </c>
      <c r="CE355" s="3">
        <v>0</v>
      </c>
      <c r="CF355" s="7">
        <v>0</v>
      </c>
      <c r="CG355" s="3">
        <v>0</v>
      </c>
      <c r="CH355" s="7">
        <v>0</v>
      </c>
      <c r="CI355" s="7">
        <v>2.5499999523162842</v>
      </c>
      <c r="CJ355" s="3">
        <v>575</v>
      </c>
      <c r="CK355" s="7">
        <v>2.4500000476837158</v>
      </c>
      <c r="CL355" s="3">
        <v>125</v>
      </c>
      <c r="CM355" s="7">
        <v>3.3900001049041748</v>
      </c>
      <c r="CN355" s="10">
        <v>44783.636701388888</v>
      </c>
      <c r="CO355" s="10">
        <v>44783.638194444444</v>
      </c>
      <c r="CP355" s="7">
        <v>38295.69921875</v>
      </c>
      <c r="CQ355" s="17" t="s">
        <v>321</v>
      </c>
      <c r="CR355" s="10">
        <v>44783.638194444444</v>
      </c>
      <c r="CS355" s="12">
        <v>-2.2637844085693359E-2</v>
      </c>
      <c r="CT355" s="18">
        <v>-2.7311177865376173E-4</v>
      </c>
      <c r="CU355" s="3">
        <v>39175</v>
      </c>
      <c r="CV355" s="18">
        <v>-0.68155711550733888</v>
      </c>
      <c r="CW355" s="7">
        <v>2.5499999523162842</v>
      </c>
      <c r="CX355" s="18">
        <v>0</v>
      </c>
      <c r="CY355" s="7">
        <v>1780.45</v>
      </c>
      <c r="CZ355" s="18">
        <v>-1</v>
      </c>
      <c r="DA355" s="3">
        <v>0</v>
      </c>
      <c r="DB355" s="18"/>
      <c r="DC355" s="11">
        <v>0</v>
      </c>
      <c r="DD355" s="18"/>
      <c r="DE355" s="7">
        <v>1780.45</v>
      </c>
      <c r="DF355" s="7">
        <v>2.5499999523162842</v>
      </c>
      <c r="DG355" s="7">
        <v>38295.69921875</v>
      </c>
      <c r="DH355" s="3" t="s">
        <v>313</v>
      </c>
      <c r="DI355" s="3" t="s">
        <v>312</v>
      </c>
      <c r="DJ355" s="3" t="s">
        <v>314</v>
      </c>
      <c r="DK355" s="3">
        <v>38300</v>
      </c>
      <c r="DL355" s="3">
        <v>3400000</v>
      </c>
      <c r="DM355" s="3">
        <v>38500</v>
      </c>
      <c r="DN355" s="3">
        <v>0</v>
      </c>
      <c r="DO355" s="3">
        <v>24500</v>
      </c>
      <c r="DP355" s="3">
        <v>2863350</v>
      </c>
      <c r="DQ355" s="28">
        <v>38000</v>
      </c>
      <c r="DR355" s="32">
        <v>0</v>
      </c>
      <c r="DS355" s="32">
        <v>24500</v>
      </c>
      <c r="DT355" s="32" t="s">
        <v>33</v>
      </c>
      <c r="DU355" s="69">
        <v>44784</v>
      </c>
    </row>
    <row r="356" spans="1:125" x14ac:dyDescent="0.25">
      <c r="A356" t="s">
        <v>119</v>
      </c>
      <c r="B356" s="2">
        <v>44833</v>
      </c>
      <c r="C356" s="1">
        <v>1250</v>
      </c>
      <c r="D356">
        <v>51</v>
      </c>
      <c r="M356" s="3"/>
      <c r="N356" s="3"/>
      <c r="O356" s="3">
        <v>34300</v>
      </c>
      <c r="P356" s="7">
        <v>2.5499999523162842</v>
      </c>
      <c r="Q356" s="7">
        <v>2.5</v>
      </c>
      <c r="R356" s="7">
        <v>4.0999999046325684</v>
      </c>
      <c r="S356" s="7">
        <v>3.7000000476837158</v>
      </c>
      <c r="T356" s="11">
        <v>-41.4296875</v>
      </c>
      <c r="U356" s="11">
        <v>84637.9375</v>
      </c>
      <c r="V356" s="11">
        <v>-58.609375</v>
      </c>
      <c r="W356" s="11">
        <v>186619.90625</v>
      </c>
      <c r="X356" s="14">
        <v>2.2193489712662995E-8</v>
      </c>
      <c r="Y356" s="14">
        <v>2.3204531316878274E-5</v>
      </c>
      <c r="Z356" s="14">
        <v>6.7615474108606577E-8</v>
      </c>
      <c r="AA356" s="14">
        <v>5.8943722251569852E-5</v>
      </c>
      <c r="AB356" s="15">
        <v>-1.8594015216422122E-11</v>
      </c>
      <c r="AC356" s="15">
        <v>-1.3670907073048966E-8</v>
      </c>
      <c r="AD356" s="13">
        <v>-4.1933059692382813E-3</v>
      </c>
      <c r="AE356" s="13">
        <v>13.976178169250488</v>
      </c>
      <c r="AF356" s="12">
        <v>3.875732421875E-3</v>
      </c>
      <c r="AG356" s="12">
        <v>-35.502029418945313</v>
      </c>
      <c r="AH356" s="13">
        <v>7.8980519901961088E-9</v>
      </c>
      <c r="AI356" s="13">
        <v>8.5571591625921428E-6</v>
      </c>
      <c r="AJ356" s="11">
        <v>7.8558921813964844E-5</v>
      </c>
      <c r="AK356" s="11">
        <v>0.28623566031455994</v>
      </c>
      <c r="AL356" s="11">
        <v>0</v>
      </c>
      <c r="AM356" s="11">
        <v>-2.5499999523162842</v>
      </c>
      <c r="AN356" s="11">
        <v>-2.2700987756252289E-6</v>
      </c>
      <c r="AO356" s="11">
        <v>-4.8536136746406555E-3</v>
      </c>
      <c r="AP356" s="11">
        <v>80.960094928741455</v>
      </c>
      <c r="AQ356" s="11">
        <v>155700</v>
      </c>
      <c r="AR356" s="16">
        <v>-15925</v>
      </c>
      <c r="AS356" s="16">
        <v>12000</v>
      </c>
      <c r="AT356" s="16">
        <v>80.960094928741455</v>
      </c>
      <c r="AU356" s="7">
        <v>0</v>
      </c>
      <c r="AV356" s="7">
        <v>2.5499999523162842</v>
      </c>
      <c r="AW356" s="7">
        <v>3864.85009765625</v>
      </c>
      <c r="AX356" s="7">
        <v>0</v>
      </c>
      <c r="AY356" s="11">
        <v>0</v>
      </c>
      <c r="AZ356" s="16">
        <v>3750</v>
      </c>
      <c r="BA356" s="16">
        <v>0</v>
      </c>
      <c r="BB356" s="16">
        <v>50</v>
      </c>
      <c r="BC356" s="11">
        <v>0</v>
      </c>
      <c r="BD356" s="11">
        <v>0</v>
      </c>
      <c r="BE356" s="11">
        <v>0</v>
      </c>
      <c r="BF356" s="11">
        <v>0</v>
      </c>
      <c r="BG356" s="11">
        <v>0</v>
      </c>
      <c r="BH356" s="11">
        <v>0</v>
      </c>
      <c r="BI356" s="13">
        <v>0</v>
      </c>
      <c r="BJ356" s="13">
        <v>0</v>
      </c>
      <c r="BK356" s="11">
        <v>0</v>
      </c>
      <c r="BL356" s="12">
        <v>0</v>
      </c>
      <c r="BM356" s="12">
        <v>0</v>
      </c>
      <c r="BN356" s="13">
        <v>0</v>
      </c>
      <c r="BO356" s="13">
        <v>0</v>
      </c>
      <c r="BP356" s="15">
        <v>0</v>
      </c>
      <c r="BQ356" s="15">
        <v>0</v>
      </c>
      <c r="BR356" s="14">
        <v>0</v>
      </c>
      <c r="BS356" s="14">
        <v>0</v>
      </c>
      <c r="BT356" s="14">
        <v>0</v>
      </c>
      <c r="BU356" s="14">
        <v>0</v>
      </c>
      <c r="BV356" s="11">
        <v>0</v>
      </c>
      <c r="BW356" s="11">
        <v>0</v>
      </c>
      <c r="BX356" s="11">
        <v>0</v>
      </c>
      <c r="BY356" s="11">
        <v>0</v>
      </c>
      <c r="BZ356" s="7">
        <v>3864.85009765625</v>
      </c>
      <c r="CA356" s="7">
        <v>3864.85009765625</v>
      </c>
      <c r="CB356" s="7">
        <v>3864.85009765625</v>
      </c>
      <c r="CC356" s="7">
        <v>3864.85009765625</v>
      </c>
      <c r="CD356" s="7">
        <v>4068.75</v>
      </c>
      <c r="CE356" s="3">
        <v>50</v>
      </c>
      <c r="CF356" s="7">
        <v>3959.64990234375</v>
      </c>
      <c r="CG356" s="3">
        <v>50</v>
      </c>
      <c r="CH356" s="7">
        <v>3864.85009765625</v>
      </c>
      <c r="CI356" s="7">
        <v>2.5499999523162842</v>
      </c>
      <c r="CJ356" s="3">
        <v>475</v>
      </c>
      <c r="CK356" s="7">
        <v>2.5</v>
      </c>
      <c r="CL356" s="3">
        <v>450</v>
      </c>
      <c r="CM356" s="7">
        <v>3.2999999523162842</v>
      </c>
      <c r="CN356" s="10">
        <v>44783.638194444444</v>
      </c>
      <c r="CO356" s="10">
        <v>44783.638194444444</v>
      </c>
      <c r="CP356" s="7">
        <v>38295.69921875</v>
      </c>
      <c r="CQ356" s="17" t="s">
        <v>321</v>
      </c>
      <c r="CR356" s="10">
        <v>44783.638194444444</v>
      </c>
      <c r="CS356" s="12">
        <v>-2.9450654983520508E-2</v>
      </c>
      <c r="CT356" s="18">
        <v>-3.6363526639466269E-4</v>
      </c>
      <c r="CU356" s="3">
        <v>27925</v>
      </c>
      <c r="CV356" s="18">
        <v>-0.57027752909579232</v>
      </c>
      <c r="CW356" s="7">
        <v>2.5499999523162842</v>
      </c>
      <c r="CX356" s="18">
        <v>0</v>
      </c>
      <c r="CY356" s="7">
        <v>3864.85009765625</v>
      </c>
      <c r="CZ356" s="18">
        <v>0</v>
      </c>
      <c r="DA356" s="3">
        <v>3750</v>
      </c>
      <c r="DB356" s="18">
        <v>0</v>
      </c>
      <c r="DC356" s="11">
        <v>0</v>
      </c>
      <c r="DD356" s="18">
        <v>0</v>
      </c>
      <c r="DE356" s="7">
        <v>3864.85009765625</v>
      </c>
      <c r="DF356" s="7">
        <v>2.5499999523162842</v>
      </c>
      <c r="DG356" s="7">
        <v>38295.69921875</v>
      </c>
      <c r="DH356" s="3" t="s">
        <v>312</v>
      </c>
      <c r="DI356" s="3" t="s">
        <v>312</v>
      </c>
      <c r="DJ356" s="3" t="s">
        <v>314</v>
      </c>
      <c r="DK356" s="3">
        <v>38300</v>
      </c>
      <c r="DL356" s="3">
        <v>3400000</v>
      </c>
      <c r="DM356" s="3">
        <v>38500</v>
      </c>
      <c r="DN356" s="3">
        <v>0</v>
      </c>
      <c r="DO356" s="3">
        <v>24500</v>
      </c>
      <c r="DP356" s="3">
        <v>2863350</v>
      </c>
      <c r="DQ356" s="28">
        <v>38000</v>
      </c>
      <c r="DR356" s="32">
        <v>0</v>
      </c>
      <c r="DS356" s="32">
        <v>24500</v>
      </c>
      <c r="DT356" s="32" t="s">
        <v>33</v>
      </c>
      <c r="DU356" s="69">
        <v>44784</v>
      </c>
    </row>
    <row r="357" spans="1:125" x14ac:dyDescent="0.25">
      <c r="A357" t="s">
        <v>119</v>
      </c>
      <c r="B357" s="2">
        <v>44861</v>
      </c>
      <c r="C357" s="1">
        <v>1250</v>
      </c>
      <c r="D357">
        <v>51</v>
      </c>
      <c r="M357" s="3"/>
      <c r="N357" s="3"/>
      <c r="O357" s="3">
        <v>34400</v>
      </c>
      <c r="P357" s="7">
        <v>2.5</v>
      </c>
      <c r="Q357" s="7">
        <v>2.2999999523162842</v>
      </c>
      <c r="R357" s="7">
        <v>4.1999998092651367</v>
      </c>
      <c r="S357" s="7">
        <v>3</v>
      </c>
      <c r="T357" s="11">
        <v>15.6328125</v>
      </c>
      <c r="U357" s="11">
        <v>84101.2109375</v>
      </c>
      <c r="V357" s="11">
        <v>-0.6875</v>
      </c>
      <c r="W357" s="11">
        <v>190302.46875</v>
      </c>
      <c r="X357" s="14">
        <v>-4.3237378122285008E-9</v>
      </c>
      <c r="Y357" s="14">
        <v>2.3911310563562438E-5</v>
      </c>
      <c r="Z357" s="14">
        <v>-2.3363099899142981E-8</v>
      </c>
      <c r="AA357" s="14">
        <v>6.2342631281353533E-5</v>
      </c>
      <c r="AB357" s="15">
        <v>5.6274984672199935E-12</v>
      </c>
      <c r="AC357" s="15">
        <v>-1.4461683406352677E-8</v>
      </c>
      <c r="AD357" s="13">
        <v>2.4785995483398438E-3</v>
      </c>
      <c r="AE357" s="13">
        <v>13.89632511138916</v>
      </c>
      <c r="AF357" s="12">
        <v>5.645751953125E-4</v>
      </c>
      <c r="AG357" s="12">
        <v>-36.231113433837891</v>
      </c>
      <c r="AH357" s="13">
        <v>-2.3310349206440151E-9</v>
      </c>
      <c r="AI357" s="13">
        <v>8.8300794232054614E-6</v>
      </c>
      <c r="AJ357" s="11">
        <v>-3.6001205444335938E-5</v>
      </c>
      <c r="AK357" s="11">
        <v>0.28777503967285156</v>
      </c>
      <c r="AL357" s="11">
        <v>0</v>
      </c>
      <c r="AM357" s="11">
        <v>-2.5</v>
      </c>
      <c r="AN357" s="11">
        <v>6.5332278609275818E-7</v>
      </c>
      <c r="AO357" s="11">
        <v>-4.8828385770320892E-3</v>
      </c>
      <c r="AP357" s="11">
        <v>78.877663612365723</v>
      </c>
      <c r="AQ357" s="11">
        <v>150850</v>
      </c>
      <c r="AR357" s="16">
        <v>-19700</v>
      </c>
      <c r="AS357" s="16">
        <v>14400</v>
      </c>
      <c r="AT357" s="16">
        <v>78.877663612365723</v>
      </c>
      <c r="AU357" s="7">
        <v>0</v>
      </c>
      <c r="AV357" s="7">
        <v>2.5</v>
      </c>
      <c r="AW357" s="7">
        <v>0</v>
      </c>
      <c r="AX357" s="7">
        <v>0</v>
      </c>
      <c r="AY357" s="11">
        <v>0</v>
      </c>
      <c r="AZ357" s="16">
        <v>0</v>
      </c>
      <c r="BA357" s="16">
        <v>0</v>
      </c>
      <c r="BB357" s="16">
        <v>0</v>
      </c>
      <c r="BC357" s="11">
        <v>0</v>
      </c>
      <c r="BD357" s="11">
        <v>0</v>
      </c>
      <c r="BE357" s="11">
        <v>0</v>
      </c>
      <c r="BF357" s="11">
        <v>0</v>
      </c>
      <c r="BG357" s="11">
        <v>0</v>
      </c>
      <c r="BH357" s="11">
        <v>0</v>
      </c>
      <c r="BI357" s="13">
        <v>0</v>
      </c>
      <c r="BJ357" s="13">
        <v>0</v>
      </c>
      <c r="BK357" s="11">
        <v>0</v>
      </c>
      <c r="BL357" s="12">
        <v>0</v>
      </c>
      <c r="BM357" s="12">
        <v>0</v>
      </c>
      <c r="BN357" s="13">
        <v>0</v>
      </c>
      <c r="BO357" s="13">
        <v>0</v>
      </c>
      <c r="BP357" s="15">
        <v>0</v>
      </c>
      <c r="BQ357" s="15">
        <v>0</v>
      </c>
      <c r="BR357" s="14">
        <v>0</v>
      </c>
      <c r="BS357" s="14">
        <v>0</v>
      </c>
      <c r="BT357" s="14">
        <v>0</v>
      </c>
      <c r="BU357" s="14">
        <v>0</v>
      </c>
      <c r="BV357" s="11">
        <v>0</v>
      </c>
      <c r="BW357" s="11">
        <v>0</v>
      </c>
      <c r="BX357" s="11">
        <v>0</v>
      </c>
      <c r="BY357" s="11">
        <v>0</v>
      </c>
      <c r="BZ357" s="7">
        <v>0</v>
      </c>
      <c r="CA357" s="7">
        <v>0</v>
      </c>
      <c r="CB357" s="7">
        <v>0</v>
      </c>
      <c r="CC357" s="7">
        <v>0</v>
      </c>
      <c r="CD357" s="7">
        <v>3965.199951171875</v>
      </c>
      <c r="CE357" s="3">
        <v>50</v>
      </c>
      <c r="CF357" s="7">
        <v>3810.85009765625</v>
      </c>
      <c r="CG357" s="3">
        <v>750</v>
      </c>
      <c r="CH357" s="7">
        <v>0</v>
      </c>
      <c r="CI357" s="7">
        <v>2.5499999523162842</v>
      </c>
      <c r="CJ357" s="3">
        <v>200</v>
      </c>
      <c r="CK357" s="7">
        <v>2.5</v>
      </c>
      <c r="CL357" s="3">
        <v>300</v>
      </c>
      <c r="CM357" s="7">
        <v>3.369999885559082</v>
      </c>
      <c r="CN357" s="10">
        <v>44783.638194444444</v>
      </c>
      <c r="CO357" s="10">
        <v>44783.638194444444</v>
      </c>
      <c r="CP357" s="7">
        <v>38295.69921875</v>
      </c>
      <c r="CQ357" s="17" t="s">
        <v>321</v>
      </c>
      <c r="CR357" s="10">
        <v>44783.638194444444</v>
      </c>
      <c r="CS357" s="12">
        <v>1.1885166168212891E-2</v>
      </c>
      <c r="CT357" s="18">
        <v>1.5070118373739237E-4</v>
      </c>
      <c r="CU357" s="3">
        <v>34100</v>
      </c>
      <c r="CV357" s="18">
        <v>-0.57771260997067453</v>
      </c>
      <c r="CW357" s="7">
        <v>2.5</v>
      </c>
      <c r="CX357" s="18">
        <v>0</v>
      </c>
      <c r="CY357" s="7">
        <v>0</v>
      </c>
      <c r="CZ357" s="18">
        <v>0</v>
      </c>
      <c r="DA357" s="3">
        <v>0</v>
      </c>
      <c r="DB357" s="18">
        <v>0</v>
      </c>
      <c r="DC357" s="11">
        <v>0</v>
      </c>
      <c r="DD357" s="18">
        <v>0</v>
      </c>
      <c r="DE357" s="7">
        <v>0</v>
      </c>
      <c r="DF357" s="7">
        <v>2.5</v>
      </c>
      <c r="DG357" s="7">
        <v>38295.69921875</v>
      </c>
      <c r="DH357" s="3" t="s">
        <v>312</v>
      </c>
      <c r="DI357" s="3" t="s">
        <v>312</v>
      </c>
      <c r="DJ357" s="3" t="s">
        <v>314</v>
      </c>
      <c r="DK357" s="3">
        <v>38300</v>
      </c>
      <c r="DL357" s="3">
        <v>3400000</v>
      </c>
      <c r="DM357" s="3">
        <v>38500</v>
      </c>
      <c r="DN357" s="3">
        <v>0</v>
      </c>
      <c r="DO357" s="3">
        <v>24500</v>
      </c>
      <c r="DP357" s="3">
        <v>2863350</v>
      </c>
      <c r="DQ357" s="28">
        <v>38000</v>
      </c>
      <c r="DR357" s="32">
        <v>0</v>
      </c>
      <c r="DS357" s="32">
        <v>24500</v>
      </c>
      <c r="DT357" s="32" t="s">
        <v>33</v>
      </c>
      <c r="DU357" s="69">
        <v>44784</v>
      </c>
    </row>
    <row r="358" spans="1:125" x14ac:dyDescent="0.25">
      <c r="A358" t="s">
        <v>120</v>
      </c>
      <c r="B358" s="2">
        <v>44798</v>
      </c>
      <c r="C358" s="1">
        <v>400</v>
      </c>
      <c r="D358">
        <v>88</v>
      </c>
      <c r="M358" s="3"/>
      <c r="N358" s="3"/>
      <c r="O358" s="3">
        <v>34500</v>
      </c>
      <c r="P358" s="7">
        <v>2.4500000476837158</v>
      </c>
      <c r="Q358" s="7">
        <v>2.4000000953674316</v>
      </c>
      <c r="R358" s="7">
        <v>4.3000001907348633</v>
      </c>
      <c r="S358" s="7">
        <v>3</v>
      </c>
      <c r="T358" s="11">
        <v>1.8046875</v>
      </c>
      <c r="U358" s="11">
        <v>83521.0859375</v>
      </c>
      <c r="V358" s="11">
        <v>-8.390625</v>
      </c>
      <c r="W358" s="11">
        <v>194079.703125</v>
      </c>
      <c r="X358" s="14">
        <v>1.0677467798814178E-9</v>
      </c>
      <c r="Y358" s="14">
        <v>2.4676028260728344E-5</v>
      </c>
      <c r="Z358" s="14">
        <v>-1.4333636499941349E-9</v>
      </c>
      <c r="AA358" s="14">
        <v>6.6080719989258796E-5</v>
      </c>
      <c r="AB358" s="15">
        <v>0</v>
      </c>
      <c r="AC358" s="15">
        <v>-1.5334771674702097E-8</v>
      </c>
      <c r="AD358" s="13">
        <v>5.970001220703125E-4</v>
      </c>
      <c r="AE358" s="13">
        <v>13.811678886413574</v>
      </c>
      <c r="AF358" s="12">
        <v>8.0108642578125E-4</v>
      </c>
      <c r="AG358" s="12">
        <v>-36.986736297607422</v>
      </c>
      <c r="AH358" s="13">
        <v>0</v>
      </c>
      <c r="AI358" s="13">
        <v>9.1251440608175471E-6</v>
      </c>
      <c r="AJ358" s="11">
        <v>-6.2584877014160156E-6</v>
      </c>
      <c r="AK358" s="11">
        <v>0.28942599892616272</v>
      </c>
      <c r="AL358" s="11">
        <v>0</v>
      </c>
      <c r="AM358" s="11">
        <v>-2.4500000476837158</v>
      </c>
      <c r="AN358" s="11">
        <v>0</v>
      </c>
      <c r="AO358" s="11">
        <v>-4.9149054102599621E-3</v>
      </c>
      <c r="AP358" s="11">
        <v>76.782304048538208</v>
      </c>
      <c r="AQ358" s="11">
        <v>3704400</v>
      </c>
      <c r="AR358" s="16">
        <v>-73675</v>
      </c>
      <c r="AS358" s="16">
        <v>720175</v>
      </c>
      <c r="AT358" s="16">
        <v>76.782304048538208</v>
      </c>
      <c r="AU358" s="7">
        <v>0</v>
      </c>
      <c r="AV358" s="7">
        <v>2.4500000476837158</v>
      </c>
      <c r="AW358" s="7">
        <v>3800</v>
      </c>
      <c r="AX358" s="7">
        <v>0</v>
      </c>
      <c r="AY358" s="11">
        <v>82.059848308563232</v>
      </c>
      <c r="AZ358" s="16">
        <v>2675</v>
      </c>
      <c r="BA358" s="16">
        <v>-525</v>
      </c>
      <c r="BB358" s="16">
        <v>625</v>
      </c>
      <c r="BC358" s="11">
        <v>0.99220502376556396</v>
      </c>
      <c r="BD358" s="11">
        <v>7.724761962890625E-4</v>
      </c>
      <c r="BE358" s="11">
        <v>-17.377721786499023</v>
      </c>
      <c r="BF358" s="11">
        <v>1.7795772552490234</v>
      </c>
      <c r="BG358" s="11">
        <v>0.43545329570770264</v>
      </c>
      <c r="BH358" s="11">
        <v>-3.7698954343795776E-2</v>
      </c>
      <c r="BI358" s="13">
        <v>1.2845630408264697E-5</v>
      </c>
      <c r="BJ358" s="13">
        <v>-9.1085712483618408E-7</v>
      </c>
      <c r="BK358" s="11">
        <v>82.059848308563232</v>
      </c>
      <c r="BL358" s="12">
        <v>-21.498455047607422</v>
      </c>
      <c r="BM358" s="12">
        <v>-2.2869167327880859</v>
      </c>
      <c r="BN358" s="13">
        <v>8.5794315338134766</v>
      </c>
      <c r="BO358" s="13">
        <v>0.80093765258789063</v>
      </c>
      <c r="BP358" s="15">
        <v>-1.896149548485937E-8</v>
      </c>
      <c r="BQ358" s="15">
        <v>7.7599615622148121E-10</v>
      </c>
      <c r="BR358" s="14">
        <v>7.4250317993573844E-5</v>
      </c>
      <c r="BS358" s="14">
        <v>-1.3759272405877709E-6</v>
      </c>
      <c r="BT358" s="14">
        <v>2.9631220968440175E-5</v>
      </c>
      <c r="BU358" s="14">
        <v>-9.8883174359798431E-7</v>
      </c>
      <c r="BV358" s="11">
        <v>105671.78125</v>
      </c>
      <c r="BW358" s="11">
        <v>12590.3828125</v>
      </c>
      <c r="BX358" s="11">
        <v>49513.328125</v>
      </c>
      <c r="BY358" s="11">
        <v>5068.46875</v>
      </c>
      <c r="BZ358" s="7">
        <v>3850</v>
      </c>
      <c r="CA358" s="7">
        <v>3850</v>
      </c>
      <c r="CB358" s="7">
        <v>3766.25</v>
      </c>
      <c r="CC358" s="7">
        <v>3800</v>
      </c>
      <c r="CD358" s="7">
        <v>3831.60009765625</v>
      </c>
      <c r="CE358" s="3">
        <v>75</v>
      </c>
      <c r="CF358" s="7">
        <v>3723.050048828125</v>
      </c>
      <c r="CG358" s="3">
        <v>750</v>
      </c>
      <c r="CH358" s="7">
        <v>3815.85009765625</v>
      </c>
      <c r="CI358" s="7">
        <v>2.5</v>
      </c>
      <c r="CJ358" s="3">
        <v>8100</v>
      </c>
      <c r="CK358" s="7">
        <v>2.4500000476837158</v>
      </c>
      <c r="CL358" s="3">
        <v>4425</v>
      </c>
      <c r="CM358" s="7">
        <v>3.4900000095367432</v>
      </c>
      <c r="CN358" s="10">
        <v>44783.638194444444</v>
      </c>
      <c r="CO358" s="10">
        <v>44783.638194444444</v>
      </c>
      <c r="CP358" s="7">
        <v>38295.69921875</v>
      </c>
      <c r="CQ358" s="17" t="s">
        <v>321</v>
      </c>
      <c r="CR358" s="10">
        <v>44783.638194444444</v>
      </c>
      <c r="CS358" s="12">
        <v>1.6629695892333984E-3</v>
      </c>
      <c r="CT358" s="18">
        <v>2.1658709355180631E-5</v>
      </c>
      <c r="CU358" s="3">
        <v>793850</v>
      </c>
      <c r="CV358" s="18">
        <v>-9.2807205391446754E-2</v>
      </c>
      <c r="CW358" s="7">
        <v>2.4500000476837158</v>
      </c>
      <c r="CX358" s="18">
        <v>0</v>
      </c>
      <c r="CY358" s="7">
        <v>3800</v>
      </c>
      <c r="CZ358" s="18">
        <v>0</v>
      </c>
      <c r="DA358" s="3">
        <v>3200</v>
      </c>
      <c r="DB358" s="18">
        <v>-0.1640625</v>
      </c>
      <c r="DC358" s="11">
        <v>-1.1992275714874268</v>
      </c>
      <c r="DD358" s="18">
        <v>-1.4403565723154614E-2</v>
      </c>
      <c r="DE358" s="7">
        <v>3800</v>
      </c>
      <c r="DF358" s="7">
        <v>2.4500000476837158</v>
      </c>
      <c r="DG358" s="7">
        <v>38295.69921875</v>
      </c>
      <c r="DH358" s="3" t="s">
        <v>312</v>
      </c>
      <c r="DI358" s="3" t="s">
        <v>312</v>
      </c>
      <c r="DJ358" s="3" t="s">
        <v>314</v>
      </c>
      <c r="DK358" s="3">
        <v>38300</v>
      </c>
      <c r="DL358" s="3">
        <v>3400000</v>
      </c>
      <c r="DM358" s="3">
        <v>38500</v>
      </c>
      <c r="DN358" s="3">
        <v>0</v>
      </c>
      <c r="DO358" s="3">
        <v>24500</v>
      </c>
      <c r="DP358" s="3">
        <v>2863350</v>
      </c>
      <c r="DQ358" s="28">
        <v>38000</v>
      </c>
      <c r="DR358" s="32">
        <v>0</v>
      </c>
      <c r="DS358" s="32">
        <v>24500</v>
      </c>
      <c r="DT358" s="32" t="s">
        <v>33</v>
      </c>
      <c r="DU358" s="69">
        <v>44784</v>
      </c>
    </row>
    <row r="359" spans="1:125" x14ac:dyDescent="0.25">
      <c r="A359" t="s">
        <v>120</v>
      </c>
      <c r="B359" s="2">
        <v>44833</v>
      </c>
      <c r="C359" s="1">
        <v>400</v>
      </c>
      <c r="D359">
        <v>88</v>
      </c>
      <c r="M359" s="3"/>
      <c r="N359" s="3"/>
      <c r="O359" s="3">
        <v>34600</v>
      </c>
      <c r="P359" s="7">
        <v>2.6500000953674316</v>
      </c>
      <c r="Q359" s="7">
        <v>2.6500000953674316</v>
      </c>
      <c r="R359" s="7">
        <v>4.5</v>
      </c>
      <c r="S359" s="7">
        <v>4.4000000953674316</v>
      </c>
      <c r="T359" s="11">
        <v>-16.78125</v>
      </c>
      <c r="U359" s="11">
        <v>75743.765625</v>
      </c>
      <c r="V359" s="11">
        <v>-17.921875</v>
      </c>
      <c r="W359" s="11">
        <v>178409.078125</v>
      </c>
      <c r="X359" s="14">
        <v>9.8516466096043587E-9</v>
      </c>
      <c r="Y359" s="14">
        <v>2.6364483346696943E-5</v>
      </c>
      <c r="Z359" s="14">
        <v>3.6015990190207958E-8</v>
      </c>
      <c r="AA359" s="14">
        <v>7.1790003858041018E-5</v>
      </c>
      <c r="AB359" s="15">
        <v>-9.7628571893437766E-12</v>
      </c>
      <c r="AC359" s="15">
        <v>-1.6925644885645852E-8</v>
      </c>
      <c r="AD359" s="13">
        <v>-1.99127197265625E-3</v>
      </c>
      <c r="AE359" s="13">
        <v>12.633620262145996</v>
      </c>
      <c r="AF359" s="12">
        <v>1.01470947265625E-3</v>
      </c>
      <c r="AG359" s="12">
        <v>-34.401115417480469</v>
      </c>
      <c r="AH359" s="13">
        <v>3.9244696381501853E-9</v>
      </c>
      <c r="AI359" s="13">
        <v>1.0024139555753209E-5</v>
      </c>
      <c r="AJ359" s="11">
        <v>4.145503044128418E-5</v>
      </c>
      <c r="AK359" s="11">
        <v>0.31272482872009277</v>
      </c>
      <c r="AL359" s="11">
        <v>0</v>
      </c>
      <c r="AM359" s="11">
        <v>-2.6500000953674316</v>
      </c>
      <c r="AN359" s="11">
        <v>-1.0635703802108765E-6</v>
      </c>
      <c r="AO359" s="11">
        <v>-5.3613916970789433E-3</v>
      </c>
      <c r="AP359" s="11">
        <v>75.518524646759033</v>
      </c>
      <c r="AQ359" s="11">
        <v>204250</v>
      </c>
      <c r="AR359" s="16">
        <v>4250</v>
      </c>
      <c r="AS359" s="16">
        <v>47800</v>
      </c>
      <c r="AT359" s="16">
        <v>75.518524646759033</v>
      </c>
      <c r="AU359" s="7">
        <v>0</v>
      </c>
      <c r="AV359" s="7">
        <v>2.6500000953674316</v>
      </c>
      <c r="AW359" s="7">
        <v>3326.35009765625</v>
      </c>
      <c r="AX359" s="7">
        <v>0</v>
      </c>
      <c r="AY359" s="11">
        <v>0</v>
      </c>
      <c r="AZ359" s="16">
        <v>25</v>
      </c>
      <c r="BA359" s="16">
        <v>0</v>
      </c>
      <c r="BB359" s="16">
        <v>0</v>
      </c>
      <c r="BC359" s="11">
        <v>0</v>
      </c>
      <c r="BD359" s="11">
        <v>0</v>
      </c>
      <c r="BE359" s="11">
        <v>0</v>
      </c>
      <c r="BF359" s="11">
        <v>0</v>
      </c>
      <c r="BG359" s="11">
        <v>0</v>
      </c>
      <c r="BH359" s="11">
        <v>0</v>
      </c>
      <c r="BI359" s="13">
        <v>0</v>
      </c>
      <c r="BJ359" s="13">
        <v>0</v>
      </c>
      <c r="BK359" s="11">
        <v>0</v>
      </c>
      <c r="BL359" s="12">
        <v>0</v>
      </c>
      <c r="BM359" s="12">
        <v>0</v>
      </c>
      <c r="BN359" s="13">
        <v>0</v>
      </c>
      <c r="BO359" s="13">
        <v>0</v>
      </c>
      <c r="BP359" s="15">
        <v>0</v>
      </c>
      <c r="BQ359" s="15">
        <v>0</v>
      </c>
      <c r="BR359" s="14">
        <v>0</v>
      </c>
      <c r="BS359" s="14">
        <v>0</v>
      </c>
      <c r="BT359" s="14">
        <v>0</v>
      </c>
      <c r="BU359" s="14">
        <v>0</v>
      </c>
      <c r="BV359" s="11">
        <v>0</v>
      </c>
      <c r="BW359" s="11">
        <v>0</v>
      </c>
      <c r="BX359" s="11">
        <v>0</v>
      </c>
      <c r="BY359" s="11">
        <v>0</v>
      </c>
      <c r="BZ359" s="7">
        <v>0</v>
      </c>
      <c r="CA359" s="7">
        <v>0</v>
      </c>
      <c r="CB359" s="7">
        <v>0</v>
      </c>
      <c r="CC359" s="7">
        <v>3326.35009765625</v>
      </c>
      <c r="CD359" s="7">
        <v>3767.75</v>
      </c>
      <c r="CE359" s="3">
        <v>50</v>
      </c>
      <c r="CF359" s="7">
        <v>3611.5</v>
      </c>
      <c r="CG359" s="3">
        <v>800</v>
      </c>
      <c r="CH359" s="7">
        <v>0</v>
      </c>
      <c r="CI359" s="7">
        <v>2.6500000953674316</v>
      </c>
      <c r="CJ359" s="3">
        <v>3400</v>
      </c>
      <c r="CK359" s="7">
        <v>2.5999999046325684</v>
      </c>
      <c r="CL359" s="3">
        <v>300</v>
      </c>
      <c r="CM359" s="7">
        <v>3.6800000667572021</v>
      </c>
      <c r="CN359" s="10">
        <v>44783.638194444444</v>
      </c>
      <c r="CO359" s="10">
        <v>44783.638194444444</v>
      </c>
      <c r="CP359" s="7">
        <v>38295.69921875</v>
      </c>
      <c r="CQ359" s="17" t="s">
        <v>321</v>
      </c>
      <c r="CR359" s="10">
        <v>44783.638194444444</v>
      </c>
      <c r="CS359" s="12">
        <v>-1.2940168380737305E-2</v>
      </c>
      <c r="CT359" s="18">
        <v>-1.7132155999367743E-4</v>
      </c>
      <c r="CU359" s="3">
        <v>43550</v>
      </c>
      <c r="CV359" s="18">
        <v>9.7588978185993117E-2</v>
      </c>
      <c r="CW359" s="7">
        <v>2.6500000953674316</v>
      </c>
      <c r="CX359" s="18">
        <v>0</v>
      </c>
      <c r="CY359" s="7">
        <v>3326.35009765625</v>
      </c>
      <c r="CZ359" s="18">
        <v>0</v>
      </c>
      <c r="DA359" s="3">
        <v>25</v>
      </c>
      <c r="DB359" s="18">
        <v>0</v>
      </c>
      <c r="DC359" s="11">
        <v>0</v>
      </c>
      <c r="DD359" s="18">
        <v>0</v>
      </c>
      <c r="DE359" s="7">
        <v>3326.35009765625</v>
      </c>
      <c r="DF359" s="7">
        <v>2.6500000953674316</v>
      </c>
      <c r="DG359" s="7">
        <v>38295.69921875</v>
      </c>
      <c r="DH359" s="3" t="s">
        <v>312</v>
      </c>
      <c r="DI359" s="3" t="s">
        <v>312</v>
      </c>
      <c r="DJ359" s="3" t="s">
        <v>314</v>
      </c>
      <c r="DK359" s="3">
        <v>38300</v>
      </c>
      <c r="DL359" s="3">
        <v>3400000</v>
      </c>
      <c r="DM359" s="3">
        <v>38500</v>
      </c>
      <c r="DN359" s="3">
        <v>0</v>
      </c>
      <c r="DO359" s="3">
        <v>24500</v>
      </c>
      <c r="DP359" s="3">
        <v>2863350</v>
      </c>
      <c r="DQ359" s="28">
        <v>38000</v>
      </c>
      <c r="DR359" s="32">
        <v>0</v>
      </c>
      <c r="DS359" s="32">
        <v>24500</v>
      </c>
      <c r="DT359" s="32" t="s">
        <v>33</v>
      </c>
      <c r="DU359" s="69">
        <v>44784</v>
      </c>
    </row>
    <row r="360" spans="1:125" x14ac:dyDescent="0.25">
      <c r="A360" t="s">
        <v>120</v>
      </c>
      <c r="B360" s="2">
        <v>44861</v>
      </c>
      <c r="C360" s="1">
        <v>400</v>
      </c>
      <c r="D360">
        <v>88</v>
      </c>
      <c r="M360" s="3"/>
      <c r="N360" s="3"/>
      <c r="O360" s="3">
        <v>34700</v>
      </c>
      <c r="P360" s="7">
        <v>2.75</v>
      </c>
      <c r="Q360" s="7">
        <v>2.6500000953674316</v>
      </c>
      <c r="R360" s="7">
        <v>4.5</v>
      </c>
      <c r="S360" s="7">
        <v>3.8499999046325684</v>
      </c>
      <c r="T360" s="11">
        <v>-18.84375</v>
      </c>
      <c r="U360" s="11">
        <v>71313.109375</v>
      </c>
      <c r="V360" s="11">
        <v>-27.046875</v>
      </c>
      <c r="W360" s="11">
        <v>171299.28125</v>
      </c>
      <c r="X360" s="14">
        <v>1.3969838619232178E-8</v>
      </c>
      <c r="Y360" s="14">
        <v>2.7772925022873096E-5</v>
      </c>
      <c r="Z360" s="14">
        <v>4.7773937694728374E-8</v>
      </c>
      <c r="AA360" s="14">
        <v>7.7275202784221619E-5</v>
      </c>
      <c r="AB360" s="15">
        <v>-1.3418599564829492E-11</v>
      </c>
      <c r="AC360" s="15">
        <v>-1.839554819582645E-8</v>
      </c>
      <c r="AD360" s="13">
        <v>-2.00653076171875E-3</v>
      </c>
      <c r="AE360" s="13">
        <v>11.9591064453125</v>
      </c>
      <c r="AF360" s="12">
        <v>1.74713134765625E-3</v>
      </c>
      <c r="AG360" s="12">
        <v>-33.274936676025391</v>
      </c>
      <c r="AH360" s="13">
        <v>5.3196345106698573E-9</v>
      </c>
      <c r="AI360" s="13">
        <v>1.0743397069745697E-5</v>
      </c>
      <c r="AJ360" s="11">
        <v>4.9918889999389648E-5</v>
      </c>
      <c r="AK360" s="11">
        <v>0.32800698280334473</v>
      </c>
      <c r="AL360" s="11">
        <v>0</v>
      </c>
      <c r="AM360" s="11">
        <v>-2.75</v>
      </c>
      <c r="AN360" s="11">
        <v>-1.4193356037139893E-6</v>
      </c>
      <c r="AO360" s="11">
        <v>-5.6571606546640396E-3</v>
      </c>
      <c r="AP360" s="11">
        <v>73.905998468399048</v>
      </c>
      <c r="AQ360" s="11">
        <v>288350</v>
      </c>
      <c r="AR360" s="16">
        <v>-4050</v>
      </c>
      <c r="AS360" s="16">
        <v>45000</v>
      </c>
      <c r="AT360" s="16">
        <v>73.905998468399048</v>
      </c>
      <c r="AU360" s="7">
        <v>0</v>
      </c>
      <c r="AV360" s="7">
        <v>2.75</v>
      </c>
      <c r="AW360" s="7">
        <v>3226.800048828125</v>
      </c>
      <c r="AX360" s="7">
        <v>0</v>
      </c>
      <c r="AY360" s="11">
        <v>0</v>
      </c>
      <c r="AZ360" s="16">
        <v>50</v>
      </c>
      <c r="BA360" s="16">
        <v>0</v>
      </c>
      <c r="BB360" s="16">
        <v>0</v>
      </c>
      <c r="BC360" s="11">
        <v>0</v>
      </c>
      <c r="BD360" s="11">
        <v>0</v>
      </c>
      <c r="BE360" s="11">
        <v>0</v>
      </c>
      <c r="BF360" s="11">
        <v>0</v>
      </c>
      <c r="BG360" s="11">
        <v>0</v>
      </c>
      <c r="BH360" s="11">
        <v>0</v>
      </c>
      <c r="BI360" s="13">
        <v>0</v>
      </c>
      <c r="BJ360" s="13">
        <v>0</v>
      </c>
      <c r="BK360" s="11">
        <v>0</v>
      </c>
      <c r="BL360" s="12">
        <v>0</v>
      </c>
      <c r="BM360" s="12">
        <v>0</v>
      </c>
      <c r="BN360" s="13">
        <v>0</v>
      </c>
      <c r="BO360" s="13">
        <v>0</v>
      </c>
      <c r="BP360" s="15">
        <v>0</v>
      </c>
      <c r="BQ360" s="15">
        <v>0</v>
      </c>
      <c r="BR360" s="14">
        <v>0</v>
      </c>
      <c r="BS360" s="14">
        <v>0</v>
      </c>
      <c r="BT360" s="14">
        <v>0</v>
      </c>
      <c r="BU360" s="14">
        <v>0</v>
      </c>
      <c r="BV360" s="11">
        <v>0</v>
      </c>
      <c r="BW360" s="11">
        <v>0</v>
      </c>
      <c r="BX360" s="11">
        <v>0</v>
      </c>
      <c r="BY360" s="11">
        <v>0</v>
      </c>
      <c r="BZ360" s="7">
        <v>0</v>
      </c>
      <c r="CA360" s="7">
        <v>0</v>
      </c>
      <c r="CB360" s="7">
        <v>0</v>
      </c>
      <c r="CC360" s="7">
        <v>3226.800048828125</v>
      </c>
      <c r="CD360" s="7">
        <v>3695.14990234375</v>
      </c>
      <c r="CE360" s="3">
        <v>800</v>
      </c>
      <c r="CF360" s="7">
        <v>3561.85009765625</v>
      </c>
      <c r="CG360" s="3">
        <v>50</v>
      </c>
      <c r="CH360" s="7">
        <v>0</v>
      </c>
      <c r="CI360" s="7">
        <v>2.7999999523162842</v>
      </c>
      <c r="CJ360" s="3">
        <v>425</v>
      </c>
      <c r="CK360" s="7">
        <v>2.75</v>
      </c>
      <c r="CL360" s="3">
        <v>50</v>
      </c>
      <c r="CM360" s="7">
        <v>3.5199999809265137</v>
      </c>
      <c r="CN360" s="10">
        <v>44783.638194444444</v>
      </c>
      <c r="CO360" s="10">
        <v>44783.638194444444</v>
      </c>
      <c r="CP360" s="7">
        <v>38295.69921875</v>
      </c>
      <c r="CQ360" s="17" t="s">
        <v>321</v>
      </c>
      <c r="CR360" s="10">
        <v>44783.638194444444</v>
      </c>
      <c r="CS360" s="12">
        <v>-1.4913082122802734E-2</v>
      </c>
      <c r="CT360" s="18">
        <v>-2.017437530192017E-4</v>
      </c>
      <c r="CU360" s="3">
        <v>49050</v>
      </c>
      <c r="CV360" s="18">
        <v>-8.2568807339449546E-2</v>
      </c>
      <c r="CW360" s="7">
        <v>2.75</v>
      </c>
      <c r="CX360" s="18">
        <v>0</v>
      </c>
      <c r="CY360" s="7">
        <v>3226.800048828125</v>
      </c>
      <c r="CZ360" s="18">
        <v>0</v>
      </c>
      <c r="DA360" s="3">
        <v>50</v>
      </c>
      <c r="DB360" s="18">
        <v>0</v>
      </c>
      <c r="DC360" s="11">
        <v>0</v>
      </c>
      <c r="DD360" s="18">
        <v>0</v>
      </c>
      <c r="DE360" s="7">
        <v>3226.800048828125</v>
      </c>
      <c r="DF360" s="7">
        <v>2.75</v>
      </c>
      <c r="DG360" s="7">
        <v>38295.69921875</v>
      </c>
      <c r="DH360" s="3" t="s">
        <v>312</v>
      </c>
      <c r="DI360" s="3" t="s">
        <v>312</v>
      </c>
      <c r="DJ360" s="3" t="s">
        <v>314</v>
      </c>
      <c r="DK360" s="3">
        <v>38300</v>
      </c>
      <c r="DL360" s="3">
        <v>3400000</v>
      </c>
      <c r="DM360" s="3">
        <v>38500</v>
      </c>
      <c r="DN360" s="3">
        <v>0</v>
      </c>
      <c r="DO360" s="3">
        <v>24500</v>
      </c>
      <c r="DP360" s="3">
        <v>2863350</v>
      </c>
      <c r="DQ360" s="28">
        <v>38000</v>
      </c>
      <c r="DR360" s="32">
        <v>0</v>
      </c>
      <c r="DS360" s="32">
        <v>24500</v>
      </c>
      <c r="DT360" s="32" t="s">
        <v>33</v>
      </c>
      <c r="DU360" s="69">
        <v>44784</v>
      </c>
    </row>
    <row r="361" spans="1:125" x14ac:dyDescent="0.25">
      <c r="A361" t="s">
        <v>121</v>
      </c>
      <c r="B361" s="2">
        <v>44798</v>
      </c>
      <c r="C361" s="1">
        <v>8924</v>
      </c>
      <c r="D361">
        <v>68</v>
      </c>
      <c r="M361" s="3"/>
      <c r="N361" s="3"/>
      <c r="O361" s="3">
        <v>34800</v>
      </c>
      <c r="P361" s="7">
        <v>2.75</v>
      </c>
      <c r="Q361" s="7">
        <v>2.75</v>
      </c>
      <c r="R361" s="7">
        <v>4.6500000953674316</v>
      </c>
      <c r="S361" s="7">
        <v>4</v>
      </c>
      <c r="T361" s="11">
        <v>-4.7421875</v>
      </c>
      <c r="U361" s="11">
        <v>69455.8828125</v>
      </c>
      <c r="V361" s="11">
        <v>-10.90625</v>
      </c>
      <c r="W361" s="11">
        <v>171095.296875</v>
      </c>
      <c r="X361" s="14">
        <v>4.7675712266936898E-9</v>
      </c>
      <c r="Y361" s="14">
        <v>2.8878446755697951E-5</v>
      </c>
      <c r="Z361" s="14">
        <v>1.4202669262886047E-8</v>
      </c>
      <c r="AA361" s="14">
        <v>8.247175719588995E-5</v>
      </c>
      <c r="AB361" s="15">
        <v>-4.2117420662179939E-12</v>
      </c>
      <c r="AC361" s="15">
        <v>-1.9703117359881617E-8</v>
      </c>
      <c r="AD361" s="13">
        <v>-3.6525726318359375E-4</v>
      </c>
      <c r="AE361" s="13">
        <v>11.673853874206543</v>
      </c>
      <c r="AF361" s="12">
        <v>8.04901123046875E-4</v>
      </c>
      <c r="AG361" s="12">
        <v>-33.338470458984375</v>
      </c>
      <c r="AH361" s="13">
        <v>1.6334524843841791E-9</v>
      </c>
      <c r="AI361" s="13">
        <v>1.1256343896093313E-5</v>
      </c>
      <c r="AJ361" s="11">
        <v>1.1980533599853516E-5</v>
      </c>
      <c r="AK361" s="11">
        <v>0.33502665162086487</v>
      </c>
      <c r="AL361" s="11">
        <v>0</v>
      </c>
      <c r="AM361" s="11">
        <v>-2.75</v>
      </c>
      <c r="AN361" s="11">
        <v>-4.2608007788658142E-7</v>
      </c>
      <c r="AO361" s="11">
        <v>-5.7925451546907425E-3</v>
      </c>
      <c r="AP361" s="11">
        <v>72.021245956420898</v>
      </c>
      <c r="AQ361" s="11">
        <v>375975</v>
      </c>
      <c r="AR361" s="16">
        <v>-21750</v>
      </c>
      <c r="AS361" s="16">
        <v>43025</v>
      </c>
      <c r="AT361" s="16">
        <v>72.021245956420898</v>
      </c>
      <c r="AU361" s="7">
        <v>0</v>
      </c>
      <c r="AV361" s="7">
        <v>2.75</v>
      </c>
      <c r="AW361" s="7">
        <v>3127.300048828125</v>
      </c>
      <c r="AX361" s="7">
        <v>0</v>
      </c>
      <c r="AY361" s="11">
        <v>0</v>
      </c>
      <c r="AZ361" s="16">
        <v>50</v>
      </c>
      <c r="BA361" s="16">
        <v>0</v>
      </c>
      <c r="BB361" s="16">
        <v>0</v>
      </c>
      <c r="BC361" s="11">
        <v>0</v>
      </c>
      <c r="BD361" s="11">
        <v>0</v>
      </c>
      <c r="BE361" s="11">
        <v>0</v>
      </c>
      <c r="BF361" s="11">
        <v>0</v>
      </c>
      <c r="BG361" s="11">
        <v>0</v>
      </c>
      <c r="BH361" s="11">
        <v>0</v>
      </c>
      <c r="BI361" s="13">
        <v>0</v>
      </c>
      <c r="BJ361" s="13">
        <v>0</v>
      </c>
      <c r="BK361" s="11">
        <v>0</v>
      </c>
      <c r="BL361" s="12">
        <v>0</v>
      </c>
      <c r="BM361" s="12">
        <v>0</v>
      </c>
      <c r="BN361" s="13">
        <v>0</v>
      </c>
      <c r="BO361" s="13">
        <v>0</v>
      </c>
      <c r="BP361" s="15">
        <v>0</v>
      </c>
      <c r="BQ361" s="15">
        <v>0</v>
      </c>
      <c r="BR361" s="14">
        <v>0</v>
      </c>
      <c r="BS361" s="14">
        <v>0</v>
      </c>
      <c r="BT361" s="14">
        <v>0</v>
      </c>
      <c r="BU361" s="14">
        <v>0</v>
      </c>
      <c r="BV361" s="11">
        <v>0</v>
      </c>
      <c r="BW361" s="11">
        <v>0</v>
      </c>
      <c r="BX361" s="11">
        <v>0</v>
      </c>
      <c r="BY361" s="11">
        <v>0</v>
      </c>
      <c r="BZ361" s="7">
        <v>0</v>
      </c>
      <c r="CA361" s="7">
        <v>0</v>
      </c>
      <c r="CB361" s="7">
        <v>0</v>
      </c>
      <c r="CC361" s="7">
        <v>3127.300048828125</v>
      </c>
      <c r="CD361" s="7">
        <v>3565.699951171875</v>
      </c>
      <c r="CE361" s="3">
        <v>50</v>
      </c>
      <c r="CF361" s="7">
        <v>3458.949951171875</v>
      </c>
      <c r="CG361" s="3">
        <v>50</v>
      </c>
      <c r="CH361" s="7">
        <v>0</v>
      </c>
      <c r="CI361" s="7">
        <v>2.7999999523162842</v>
      </c>
      <c r="CJ361" s="3">
        <v>500</v>
      </c>
      <c r="CK361" s="7">
        <v>2.75</v>
      </c>
      <c r="CL361" s="3">
        <v>25</v>
      </c>
      <c r="CM361" s="7">
        <v>3.7100000381469727</v>
      </c>
      <c r="CN361" s="10">
        <v>44783.638194444444</v>
      </c>
      <c r="CO361" s="10">
        <v>44783.638194444444</v>
      </c>
      <c r="CP361" s="7">
        <v>38295.69921875</v>
      </c>
      <c r="CQ361" s="17" t="s">
        <v>321</v>
      </c>
      <c r="CR361" s="10">
        <v>44783.638194444444</v>
      </c>
      <c r="CS361" s="12">
        <v>-3.6299228668212891E-3</v>
      </c>
      <c r="CT361" s="18">
        <v>-5.0398182884826743E-5</v>
      </c>
      <c r="CU361" s="3">
        <v>64775</v>
      </c>
      <c r="CV361" s="18">
        <v>-0.33577769201080665</v>
      </c>
      <c r="CW361" s="7">
        <v>2.75</v>
      </c>
      <c r="CX361" s="18">
        <v>0</v>
      </c>
      <c r="CY361" s="7">
        <v>3127.300048828125</v>
      </c>
      <c r="CZ361" s="18">
        <v>0</v>
      </c>
      <c r="DA361" s="3">
        <v>50</v>
      </c>
      <c r="DB361" s="18">
        <v>0</v>
      </c>
      <c r="DC361" s="11">
        <v>0</v>
      </c>
      <c r="DD361" s="18">
        <v>0</v>
      </c>
      <c r="DE361" s="7">
        <v>3127.300048828125</v>
      </c>
      <c r="DF361" s="7">
        <v>2.75</v>
      </c>
      <c r="DG361" s="7">
        <v>38295.69921875</v>
      </c>
      <c r="DH361" s="3" t="s">
        <v>312</v>
      </c>
      <c r="DI361" s="3" t="s">
        <v>312</v>
      </c>
      <c r="DJ361" s="3" t="s">
        <v>314</v>
      </c>
      <c r="DK361" s="3">
        <v>38300</v>
      </c>
      <c r="DL361" s="3">
        <v>3400000</v>
      </c>
      <c r="DM361" s="3">
        <v>38500</v>
      </c>
      <c r="DN361" s="3">
        <v>0</v>
      </c>
      <c r="DO361" s="3">
        <v>24500</v>
      </c>
      <c r="DP361" s="3">
        <v>2863350</v>
      </c>
      <c r="DQ361" s="28">
        <v>38000</v>
      </c>
      <c r="DR361" s="32">
        <v>0</v>
      </c>
      <c r="DS361" s="32">
        <v>24500</v>
      </c>
      <c r="DT361" s="32" t="s">
        <v>33</v>
      </c>
      <c r="DU361" s="69">
        <v>44784</v>
      </c>
    </row>
    <row r="362" spans="1:125" x14ac:dyDescent="0.25">
      <c r="A362" t="s">
        <v>121</v>
      </c>
      <c r="B362" s="2">
        <v>44833</v>
      </c>
      <c r="C362" s="1">
        <v>8924</v>
      </c>
      <c r="D362">
        <v>68</v>
      </c>
      <c r="M362" s="3"/>
      <c r="N362" s="3"/>
      <c r="O362" s="3">
        <v>34900</v>
      </c>
      <c r="P362" s="7">
        <v>2.7999999523162842</v>
      </c>
      <c r="Q362" s="7">
        <v>2.7999999523162842</v>
      </c>
      <c r="R362" s="7">
        <v>4.6999998092651367</v>
      </c>
      <c r="S362" s="7">
        <v>4.5</v>
      </c>
      <c r="T362" s="11">
        <v>2.453125</v>
      </c>
      <c r="U362" s="11">
        <v>66410.3125</v>
      </c>
      <c r="V362" s="11">
        <v>-6.65625</v>
      </c>
      <c r="W362" s="11">
        <v>167507.765625</v>
      </c>
      <c r="X362" s="14">
        <v>6.7848304752260447E-10</v>
      </c>
      <c r="Y362" s="14">
        <v>3.0313927709357813E-5</v>
      </c>
      <c r="Z362" s="14">
        <v>-4.8676156438887119E-9</v>
      </c>
      <c r="AA362" s="14">
        <v>8.8776505435816944E-5</v>
      </c>
      <c r="AB362" s="15">
        <v>7.815970093361102E-13</v>
      </c>
      <c r="AC362" s="15">
        <v>-2.1364721547456611E-8</v>
      </c>
      <c r="AD362" s="13">
        <v>6.275177001953125E-4</v>
      </c>
      <c r="AE362" s="13">
        <v>11.21019458770752</v>
      </c>
      <c r="AF362" s="12">
        <v>6.9427490234375E-4</v>
      </c>
      <c r="AG362" s="12">
        <v>-32.829856872558594</v>
      </c>
      <c r="AH362" s="13">
        <v>-2.9649527277797461E-10</v>
      </c>
      <c r="AI362" s="13">
        <v>1.1966716556344181E-5</v>
      </c>
      <c r="AJ362" s="11">
        <v>-1.0907649993896484E-5</v>
      </c>
      <c r="AK362" s="11">
        <v>0.34707045555114746</v>
      </c>
      <c r="AL362" s="11">
        <v>0</v>
      </c>
      <c r="AM362" s="11">
        <v>-2.7999999523162842</v>
      </c>
      <c r="AN362" s="11">
        <v>7.5902789831161499E-8</v>
      </c>
      <c r="AO362" s="11">
        <v>-6.0293176211416721E-3</v>
      </c>
      <c r="AP362" s="11">
        <v>70.210945606231689</v>
      </c>
      <c r="AQ362" s="11">
        <v>330100</v>
      </c>
      <c r="AR362" s="16">
        <v>-13675</v>
      </c>
      <c r="AS362" s="16">
        <v>28075</v>
      </c>
      <c r="AT362" s="16">
        <v>70.210945606231689</v>
      </c>
      <c r="AU362" s="7">
        <v>0</v>
      </c>
      <c r="AV362" s="7">
        <v>2.7999999523162842</v>
      </c>
      <c r="AW362" s="7">
        <v>3196.14990234375</v>
      </c>
      <c r="AX362" s="7">
        <v>0</v>
      </c>
      <c r="AY362" s="11">
        <v>0</v>
      </c>
      <c r="AZ362" s="16">
        <v>500</v>
      </c>
      <c r="BA362" s="16">
        <v>0</v>
      </c>
      <c r="BB362" s="16">
        <v>0</v>
      </c>
      <c r="BC362" s="11">
        <v>0</v>
      </c>
      <c r="BD362" s="11">
        <v>0</v>
      </c>
      <c r="BE362" s="11">
        <v>0</v>
      </c>
      <c r="BF362" s="11">
        <v>0</v>
      </c>
      <c r="BG362" s="11">
        <v>0</v>
      </c>
      <c r="BH362" s="11">
        <v>0</v>
      </c>
      <c r="BI362" s="13">
        <v>0</v>
      </c>
      <c r="BJ362" s="13">
        <v>0</v>
      </c>
      <c r="BK362" s="11">
        <v>0</v>
      </c>
      <c r="BL362" s="12">
        <v>0</v>
      </c>
      <c r="BM362" s="12">
        <v>0</v>
      </c>
      <c r="BN362" s="13">
        <v>0</v>
      </c>
      <c r="BO362" s="13">
        <v>0</v>
      </c>
      <c r="BP362" s="15">
        <v>0</v>
      </c>
      <c r="BQ362" s="15">
        <v>0</v>
      </c>
      <c r="BR362" s="14">
        <v>0</v>
      </c>
      <c r="BS362" s="14">
        <v>0</v>
      </c>
      <c r="BT362" s="14">
        <v>0</v>
      </c>
      <c r="BU362" s="14">
        <v>0</v>
      </c>
      <c r="BV362" s="11">
        <v>0</v>
      </c>
      <c r="BW362" s="11">
        <v>0</v>
      </c>
      <c r="BX362" s="11">
        <v>0</v>
      </c>
      <c r="BY362" s="11">
        <v>0</v>
      </c>
      <c r="BZ362" s="7">
        <v>0</v>
      </c>
      <c r="CA362" s="7">
        <v>0</v>
      </c>
      <c r="CB362" s="7">
        <v>0</v>
      </c>
      <c r="CC362" s="7">
        <v>3196.14990234375</v>
      </c>
      <c r="CD362" s="7">
        <v>3462</v>
      </c>
      <c r="CE362" s="3">
        <v>50</v>
      </c>
      <c r="CF362" s="7">
        <v>3316.550048828125</v>
      </c>
      <c r="CG362" s="3">
        <v>800</v>
      </c>
      <c r="CH362" s="7">
        <v>0</v>
      </c>
      <c r="CI362" s="7">
        <v>2.8499999046325684</v>
      </c>
      <c r="CJ362" s="3">
        <v>5375</v>
      </c>
      <c r="CK362" s="7">
        <v>2.75</v>
      </c>
      <c r="CL362" s="3">
        <v>675</v>
      </c>
      <c r="CM362" s="7">
        <v>3.8399999141693115</v>
      </c>
      <c r="CN362" s="10">
        <v>44783.638194444444</v>
      </c>
      <c r="CO362" s="10">
        <v>44783.638194444444</v>
      </c>
      <c r="CP362" s="7">
        <v>38295.69921875</v>
      </c>
      <c r="CQ362" s="17" t="s">
        <v>321</v>
      </c>
      <c r="CR362" s="10">
        <v>44783.638194444444</v>
      </c>
      <c r="CS362" s="12">
        <v>2.384185791015625E-3</v>
      </c>
      <c r="CT362" s="18">
        <v>3.3958619045589613E-5</v>
      </c>
      <c r="CU362" s="3">
        <v>41750</v>
      </c>
      <c r="CV362" s="18">
        <v>-0.32754491017964071</v>
      </c>
      <c r="CW362" s="7">
        <v>2.7999999523162842</v>
      </c>
      <c r="CX362" s="18">
        <v>0</v>
      </c>
      <c r="CY362" s="7">
        <v>3196.14990234375</v>
      </c>
      <c r="CZ362" s="18">
        <v>0</v>
      </c>
      <c r="DA362" s="3">
        <v>500</v>
      </c>
      <c r="DB362" s="18">
        <v>0</v>
      </c>
      <c r="DC362" s="11">
        <v>0</v>
      </c>
      <c r="DD362" s="18">
        <v>0</v>
      </c>
      <c r="DE362" s="7">
        <v>3196.14990234375</v>
      </c>
      <c r="DF362" s="7">
        <v>2.7999999523162842</v>
      </c>
      <c r="DG362" s="7">
        <v>38295.69921875</v>
      </c>
      <c r="DH362" s="3" t="s">
        <v>312</v>
      </c>
      <c r="DI362" s="3" t="s">
        <v>312</v>
      </c>
      <c r="DJ362" s="3" t="s">
        <v>314</v>
      </c>
      <c r="DK362" s="3">
        <v>38300</v>
      </c>
      <c r="DL362" s="3">
        <v>3400000</v>
      </c>
      <c r="DM362" s="3">
        <v>38500</v>
      </c>
      <c r="DN362" s="3">
        <v>0</v>
      </c>
      <c r="DO362" s="3">
        <v>24500</v>
      </c>
      <c r="DP362" s="3">
        <v>2863350</v>
      </c>
      <c r="DQ362" s="28">
        <v>38000</v>
      </c>
      <c r="DR362" s="32">
        <v>0</v>
      </c>
      <c r="DS362" s="32">
        <v>24500</v>
      </c>
      <c r="DT362" s="32" t="s">
        <v>33</v>
      </c>
      <c r="DU362" s="69">
        <v>44784</v>
      </c>
    </row>
    <row r="363" spans="1:125" x14ac:dyDescent="0.25">
      <c r="A363" t="s">
        <v>121</v>
      </c>
      <c r="B363" s="2">
        <v>44861</v>
      </c>
      <c r="C363" s="1">
        <v>8924</v>
      </c>
      <c r="D363">
        <v>68</v>
      </c>
      <c r="M363" s="3"/>
      <c r="N363" s="3"/>
      <c r="O363" s="3">
        <v>35000</v>
      </c>
      <c r="P363" s="7">
        <v>2.75</v>
      </c>
      <c r="Q363" s="7">
        <v>2.7000000476837158</v>
      </c>
      <c r="R363" s="7">
        <v>4.9000000953674316</v>
      </c>
      <c r="S363" s="7">
        <v>4.1999998092651367</v>
      </c>
      <c r="T363" s="11">
        <v>2.453125</v>
      </c>
      <c r="U363" s="11">
        <v>65603.078125</v>
      </c>
      <c r="V363" s="11">
        <v>-6.765625</v>
      </c>
      <c r="W363" s="11">
        <v>170436.03125</v>
      </c>
      <c r="X363" s="14">
        <v>6.8757799454033375E-10</v>
      </c>
      <c r="Y363" s="14">
        <v>3.1443349143955857E-5</v>
      </c>
      <c r="Z363" s="14">
        <v>-5.2896211855113506E-9</v>
      </c>
      <c r="AA363" s="14">
        <v>9.4882598205003887E-5</v>
      </c>
      <c r="AB363" s="15">
        <v>8.5975671026972122E-13</v>
      </c>
      <c r="AC363" s="15">
        <v>-2.2863078541490722E-8</v>
      </c>
      <c r="AD363" s="13">
        <v>6.2465667724609375E-4</v>
      </c>
      <c r="AE363" s="13">
        <v>11.087153434753418</v>
      </c>
      <c r="AF363" s="12">
        <v>7.0953369140625E-4</v>
      </c>
      <c r="AG363" s="12">
        <v>-33.456295013427734</v>
      </c>
      <c r="AH363" s="13">
        <v>-3.1741365091875196E-10</v>
      </c>
      <c r="AI363" s="13">
        <v>1.2452903320081532E-5</v>
      </c>
      <c r="AJ363" s="11">
        <v>-1.1116266250610352E-5</v>
      </c>
      <c r="AK363" s="11">
        <v>0.35051882266998291</v>
      </c>
      <c r="AL363" s="11">
        <v>0</v>
      </c>
      <c r="AM363" s="11">
        <v>-2.75</v>
      </c>
      <c r="AN363" s="11">
        <v>7.8696757555007935E-8</v>
      </c>
      <c r="AO363" s="11">
        <v>-6.0969549231231213E-3</v>
      </c>
      <c r="AP363" s="11">
        <v>68.140119314193726</v>
      </c>
      <c r="AQ363" s="11">
        <v>8117750</v>
      </c>
      <c r="AR363" s="16">
        <v>-254400</v>
      </c>
      <c r="AS363" s="16">
        <v>1025350</v>
      </c>
      <c r="AT363" s="16">
        <v>68.140119314193726</v>
      </c>
      <c r="AU363" s="7">
        <v>0</v>
      </c>
      <c r="AV363" s="7">
        <v>2.75</v>
      </c>
      <c r="AW363" s="7">
        <v>3260</v>
      </c>
      <c r="AX363" s="7">
        <v>0</v>
      </c>
      <c r="AY363" s="11">
        <v>0</v>
      </c>
      <c r="AZ363" s="16">
        <v>17175</v>
      </c>
      <c r="BA363" s="16">
        <v>-1475</v>
      </c>
      <c r="BB363" s="16">
        <v>2375</v>
      </c>
      <c r="BC363" s="11">
        <v>0</v>
      </c>
      <c r="BD363" s="11">
        <v>0</v>
      </c>
      <c r="BE363" s="11">
        <v>0</v>
      </c>
      <c r="BF363" s="11">
        <v>0</v>
      </c>
      <c r="BG363" s="11">
        <v>0</v>
      </c>
      <c r="BH363" s="11">
        <v>0</v>
      </c>
      <c r="BI363" s="13">
        <v>0</v>
      </c>
      <c r="BJ363" s="13">
        <v>0</v>
      </c>
      <c r="BK363" s="11">
        <v>0</v>
      </c>
      <c r="BL363" s="12">
        <v>0</v>
      </c>
      <c r="BM363" s="12">
        <v>0</v>
      </c>
      <c r="BN363" s="13">
        <v>0</v>
      </c>
      <c r="BO363" s="13">
        <v>0</v>
      </c>
      <c r="BP363" s="15">
        <v>0</v>
      </c>
      <c r="BQ363" s="15">
        <v>0</v>
      </c>
      <c r="BR363" s="14">
        <v>0</v>
      </c>
      <c r="BS363" s="14">
        <v>0</v>
      </c>
      <c r="BT363" s="14">
        <v>0</v>
      </c>
      <c r="BU363" s="14">
        <v>0</v>
      </c>
      <c r="BV363" s="11">
        <v>0</v>
      </c>
      <c r="BW363" s="11">
        <v>0</v>
      </c>
      <c r="BX363" s="11">
        <v>0</v>
      </c>
      <c r="BY363" s="11">
        <v>0</v>
      </c>
      <c r="BZ363" s="7">
        <v>3370</v>
      </c>
      <c r="CA363" s="7">
        <v>3380</v>
      </c>
      <c r="CB363" s="7">
        <v>3184.300048828125</v>
      </c>
      <c r="CC363" s="7">
        <v>3260</v>
      </c>
      <c r="CD363" s="7">
        <v>3305.5</v>
      </c>
      <c r="CE363" s="3">
        <v>125</v>
      </c>
      <c r="CF363" s="7">
        <v>3283.300048828125</v>
      </c>
      <c r="CG363" s="3">
        <v>200</v>
      </c>
      <c r="CH363" s="7">
        <v>3296.580078125</v>
      </c>
      <c r="CI363" s="7">
        <v>2.75</v>
      </c>
      <c r="CJ363" s="3">
        <v>2375</v>
      </c>
      <c r="CK363" s="7">
        <v>2.7000000476837158</v>
      </c>
      <c r="CL363" s="3">
        <v>9150</v>
      </c>
      <c r="CM363" s="7">
        <v>3.9600000381469727</v>
      </c>
      <c r="CN363" s="10">
        <v>44783.638194444444</v>
      </c>
      <c r="CO363" s="10">
        <v>44783.638194444444</v>
      </c>
      <c r="CP363" s="7">
        <v>38295.69921875</v>
      </c>
      <c r="CQ363" s="17" t="s">
        <v>321</v>
      </c>
      <c r="CR363" s="10">
        <v>44783.638194444444</v>
      </c>
      <c r="CS363" s="12">
        <v>2.3424625396728516E-3</v>
      </c>
      <c r="CT363" s="18">
        <v>3.4378323565982149E-5</v>
      </c>
      <c r="CU363" s="3">
        <v>1279750</v>
      </c>
      <c r="CV363" s="18">
        <v>-0.19878882594256692</v>
      </c>
      <c r="CW363" s="7">
        <v>2.75</v>
      </c>
      <c r="CX363" s="18">
        <v>0</v>
      </c>
      <c r="CY363" s="7">
        <v>3260</v>
      </c>
      <c r="CZ363" s="18">
        <v>0</v>
      </c>
      <c r="DA363" s="3">
        <v>18650</v>
      </c>
      <c r="DB363" s="18">
        <v>-7.9088471849865949E-2</v>
      </c>
      <c r="DC363" s="11">
        <v>0</v>
      </c>
      <c r="DD363" s="18">
        <v>0</v>
      </c>
      <c r="DE363" s="7">
        <v>3260</v>
      </c>
      <c r="DF363" s="7">
        <v>2.75</v>
      </c>
      <c r="DG363" s="7">
        <v>38295.69921875</v>
      </c>
      <c r="DH363" s="3" t="s">
        <v>312</v>
      </c>
      <c r="DI363" s="3" t="s">
        <v>312</v>
      </c>
      <c r="DJ363" s="3" t="s">
        <v>314</v>
      </c>
      <c r="DK363" s="3">
        <v>38300</v>
      </c>
      <c r="DL363" s="3">
        <v>3400000</v>
      </c>
      <c r="DM363" s="3">
        <v>38500</v>
      </c>
      <c r="DN363" s="3">
        <v>0</v>
      </c>
      <c r="DO363" s="3">
        <v>24500</v>
      </c>
      <c r="DP363" s="3">
        <v>2863350</v>
      </c>
      <c r="DQ363" s="28">
        <v>38000</v>
      </c>
      <c r="DR363" s="32">
        <v>0</v>
      </c>
      <c r="DS363" s="32">
        <v>24500</v>
      </c>
      <c r="DT363" s="32" t="s">
        <v>33</v>
      </c>
      <c r="DU363" s="69">
        <v>44784</v>
      </c>
    </row>
    <row r="364" spans="1:125" x14ac:dyDescent="0.25">
      <c r="A364" t="s">
        <v>122</v>
      </c>
      <c r="B364" s="2">
        <v>44798</v>
      </c>
      <c r="C364" s="1">
        <v>250</v>
      </c>
      <c r="D364">
        <v>50</v>
      </c>
      <c r="M364" s="3"/>
      <c r="N364" s="3"/>
      <c r="O364" s="3">
        <v>35100</v>
      </c>
      <c r="P364" s="7">
        <v>3</v>
      </c>
      <c r="Q364" s="7">
        <v>2.9500000476837158</v>
      </c>
      <c r="R364" s="7">
        <v>5</v>
      </c>
      <c r="S364" s="7">
        <v>4.5</v>
      </c>
      <c r="T364" s="11">
        <v>-2.21484375</v>
      </c>
      <c r="U364" s="11">
        <v>58847.72265625</v>
      </c>
      <c r="V364" s="11">
        <v>-16.171875</v>
      </c>
      <c r="W364" s="11">
        <v>155143.640625</v>
      </c>
      <c r="X364" s="14">
        <v>6.5920175984501839E-9</v>
      </c>
      <c r="Y364" s="14">
        <v>3.3752628951333463E-5</v>
      </c>
      <c r="Z364" s="14">
        <v>1.3627868611365557E-8</v>
      </c>
      <c r="AA364" s="14">
        <v>1.0375450074207038E-4</v>
      </c>
      <c r="AB364" s="15">
        <v>-4.9116266609416925E-12</v>
      </c>
      <c r="AC364" s="15">
        <v>-2.547950650466646E-8</v>
      </c>
      <c r="AD364" s="13">
        <v>1.9168853759765625E-4</v>
      </c>
      <c r="AE364" s="13">
        <v>10.044229507446289</v>
      </c>
      <c r="AF364" s="12">
        <v>1.3866424560546875E-3</v>
      </c>
      <c r="AG364" s="12">
        <v>-30.875637054443359</v>
      </c>
      <c r="AH364" s="13">
        <v>1.8080754671245813E-9</v>
      </c>
      <c r="AI364" s="13">
        <v>1.381275706080487E-5</v>
      </c>
      <c r="AJ364" s="11">
        <v>3.3974647521972656E-6</v>
      </c>
      <c r="AK364" s="11">
        <v>0.38166254758834839</v>
      </c>
      <c r="AL364" s="11">
        <v>0</v>
      </c>
      <c r="AM364" s="11">
        <v>-3</v>
      </c>
      <c r="AN364" s="11">
        <v>-4.4517219066619873E-7</v>
      </c>
      <c r="AO364" s="11">
        <v>-6.7125596106052399E-3</v>
      </c>
      <c r="AP364" s="11">
        <v>66.89002513885498</v>
      </c>
      <c r="AQ364" s="11">
        <v>545100</v>
      </c>
      <c r="AR364" s="16">
        <v>-8225</v>
      </c>
      <c r="AS364" s="16">
        <v>65850</v>
      </c>
      <c r="AT364" s="16">
        <v>66.89002513885498</v>
      </c>
      <c r="AU364" s="7">
        <v>0</v>
      </c>
      <c r="AV364" s="7">
        <v>3</v>
      </c>
      <c r="AW364" s="7">
        <v>2828</v>
      </c>
      <c r="AX364" s="7">
        <v>0</v>
      </c>
      <c r="AY364" s="11">
        <v>0</v>
      </c>
      <c r="AZ364" s="16">
        <v>1400</v>
      </c>
      <c r="BA364" s="16">
        <v>0</v>
      </c>
      <c r="BB364" s="16">
        <v>0</v>
      </c>
      <c r="BC364" s="11">
        <v>0</v>
      </c>
      <c r="BD364" s="11">
        <v>0</v>
      </c>
      <c r="BE364" s="11">
        <v>0</v>
      </c>
      <c r="BF364" s="11">
        <v>0</v>
      </c>
      <c r="BG364" s="11">
        <v>0</v>
      </c>
      <c r="BH364" s="11">
        <v>0</v>
      </c>
      <c r="BI364" s="13">
        <v>0</v>
      </c>
      <c r="BJ364" s="13">
        <v>0</v>
      </c>
      <c r="BK364" s="11">
        <v>0</v>
      </c>
      <c r="BL364" s="12">
        <v>0</v>
      </c>
      <c r="BM364" s="12">
        <v>0</v>
      </c>
      <c r="BN364" s="13">
        <v>0</v>
      </c>
      <c r="BO364" s="13">
        <v>0</v>
      </c>
      <c r="BP364" s="15">
        <v>0</v>
      </c>
      <c r="BQ364" s="15">
        <v>0</v>
      </c>
      <c r="BR364" s="14">
        <v>0</v>
      </c>
      <c r="BS364" s="14">
        <v>0</v>
      </c>
      <c r="BT364" s="14">
        <v>0</v>
      </c>
      <c r="BU364" s="14">
        <v>0</v>
      </c>
      <c r="BV364" s="11">
        <v>0</v>
      </c>
      <c r="BW364" s="11">
        <v>0</v>
      </c>
      <c r="BX364" s="11">
        <v>0</v>
      </c>
      <c r="BY364" s="11">
        <v>0</v>
      </c>
      <c r="BZ364" s="7">
        <v>0</v>
      </c>
      <c r="CA364" s="7">
        <v>0</v>
      </c>
      <c r="CB364" s="7">
        <v>0</v>
      </c>
      <c r="CC364" s="7">
        <v>2828</v>
      </c>
      <c r="CD364" s="7">
        <v>3262.050048828125</v>
      </c>
      <c r="CE364" s="3">
        <v>50</v>
      </c>
      <c r="CF364" s="7">
        <v>3162.050048828125</v>
      </c>
      <c r="CG364" s="3">
        <v>50</v>
      </c>
      <c r="CH364" s="7">
        <v>0</v>
      </c>
      <c r="CI364" s="7">
        <v>3</v>
      </c>
      <c r="CJ364" s="3">
        <v>150</v>
      </c>
      <c r="CK364" s="7">
        <v>2.9500000476837158</v>
      </c>
      <c r="CL364" s="3">
        <v>775</v>
      </c>
      <c r="CM364" s="7">
        <v>4.1500000953674316</v>
      </c>
      <c r="CN364" s="10">
        <v>44783.638194444444</v>
      </c>
      <c r="CO364" s="10">
        <v>44783.638194444444</v>
      </c>
      <c r="CP364" s="7">
        <v>38295.69921875</v>
      </c>
      <c r="CQ364" s="17" t="s">
        <v>321</v>
      </c>
      <c r="CR364" s="10">
        <v>44783.638194444444</v>
      </c>
      <c r="CS364" s="12">
        <v>-1.5020370483398438E-3</v>
      </c>
      <c r="CT364" s="18">
        <v>-2.2454817698958595E-5</v>
      </c>
      <c r="CU364" s="3">
        <v>74075</v>
      </c>
      <c r="CV364" s="18">
        <v>-0.11103611204859939</v>
      </c>
      <c r="CW364" s="7">
        <v>3</v>
      </c>
      <c r="CX364" s="18">
        <v>0</v>
      </c>
      <c r="CY364" s="7">
        <v>2828</v>
      </c>
      <c r="CZ364" s="18">
        <v>0</v>
      </c>
      <c r="DA364" s="3">
        <v>1400</v>
      </c>
      <c r="DB364" s="18">
        <v>0</v>
      </c>
      <c r="DC364" s="11">
        <v>0</v>
      </c>
      <c r="DD364" s="18">
        <v>0</v>
      </c>
      <c r="DE364" s="7">
        <v>2828</v>
      </c>
      <c r="DF364" s="7">
        <v>3</v>
      </c>
      <c r="DG364" s="7">
        <v>38295.69921875</v>
      </c>
      <c r="DH364" s="3" t="s">
        <v>312</v>
      </c>
      <c r="DI364" s="3" t="s">
        <v>312</v>
      </c>
      <c r="DJ364" s="3" t="s">
        <v>314</v>
      </c>
      <c r="DK364" s="3">
        <v>38300</v>
      </c>
      <c r="DL364" s="3">
        <v>3400000</v>
      </c>
      <c r="DM364" s="3">
        <v>38500</v>
      </c>
      <c r="DN364" s="3">
        <v>0</v>
      </c>
      <c r="DO364" s="3">
        <v>24500</v>
      </c>
      <c r="DP364" s="3">
        <v>2863350</v>
      </c>
      <c r="DQ364" s="28">
        <v>38000</v>
      </c>
      <c r="DR364" s="32">
        <v>0</v>
      </c>
      <c r="DS364" s="32">
        <v>24500</v>
      </c>
      <c r="DT364" s="32" t="s">
        <v>33</v>
      </c>
      <c r="DU364" s="69">
        <v>44784</v>
      </c>
    </row>
    <row r="365" spans="1:125" x14ac:dyDescent="0.25">
      <c r="A365" t="s">
        <v>122</v>
      </c>
      <c r="B365" s="2">
        <v>44833</v>
      </c>
      <c r="C365" s="1">
        <v>250</v>
      </c>
      <c r="D365">
        <v>50</v>
      </c>
      <c r="M365" s="3"/>
      <c r="N365" s="3"/>
      <c r="O365" s="3">
        <v>35200</v>
      </c>
      <c r="P365" s="7">
        <v>3</v>
      </c>
      <c r="Q365" s="7">
        <v>2.9500000476837158</v>
      </c>
      <c r="R365" s="7">
        <v>5.4000000953674316</v>
      </c>
      <c r="S365" s="7">
        <v>5.3499999046325684</v>
      </c>
      <c r="T365" s="11">
        <v>11.96484375</v>
      </c>
      <c r="U365" s="11">
        <v>57088.7890625</v>
      </c>
      <c r="V365" s="11">
        <v>-7.828125</v>
      </c>
      <c r="W365" s="11">
        <v>154843.453125</v>
      </c>
      <c r="X365" s="14">
        <v>-4.8421497922390699E-9</v>
      </c>
      <c r="Y365" s="14">
        <v>3.5285520425532013E-5</v>
      </c>
      <c r="Z365" s="14">
        <v>-4.5009073801338673E-8</v>
      </c>
      <c r="AA365" s="14">
        <v>1.1171157530043274E-4</v>
      </c>
      <c r="AB365" s="15">
        <v>1.0942358130705543E-11</v>
      </c>
      <c r="AC365" s="15">
        <v>-2.7562938598180153E-8</v>
      </c>
      <c r="AD365" s="13">
        <v>2.2020339965820313E-3</v>
      </c>
      <c r="AE365" s="13">
        <v>9.7719383239746094</v>
      </c>
      <c r="AF365" s="12">
        <v>1.24359130859375E-3</v>
      </c>
      <c r="AG365" s="12">
        <v>-30.937297821044922</v>
      </c>
      <c r="AH365" s="13">
        <v>-3.9281076169572771E-9</v>
      </c>
      <c r="AI365" s="13">
        <v>1.4570448001904879E-5</v>
      </c>
      <c r="AJ365" s="11">
        <v>-5.8948993682861328E-5</v>
      </c>
      <c r="AK365" s="11">
        <v>0.39090162515640259</v>
      </c>
      <c r="AL365" s="11">
        <v>0</v>
      </c>
      <c r="AM365" s="11">
        <v>-3</v>
      </c>
      <c r="AN365" s="11">
        <v>9.4203278422355652E-7</v>
      </c>
      <c r="AO365" s="11">
        <v>-6.8968124687671661E-3</v>
      </c>
      <c r="AP365" s="11">
        <v>64.946985244750977</v>
      </c>
      <c r="AQ365" s="11">
        <v>737425</v>
      </c>
      <c r="AR365" s="16">
        <v>-42175</v>
      </c>
      <c r="AS365" s="16">
        <v>65100</v>
      </c>
      <c r="AT365" s="16">
        <v>64.946985244750977</v>
      </c>
      <c r="AU365" s="7">
        <v>0</v>
      </c>
      <c r="AV365" s="7">
        <v>3</v>
      </c>
      <c r="AW365" s="7">
        <v>3105</v>
      </c>
      <c r="AX365" s="7">
        <v>0</v>
      </c>
      <c r="AY365" s="11">
        <v>75.474900007247925</v>
      </c>
      <c r="AZ365" s="16">
        <v>5050</v>
      </c>
      <c r="BA365" s="16">
        <v>-200</v>
      </c>
      <c r="BB365" s="16">
        <v>1200</v>
      </c>
      <c r="BC365" s="11">
        <v>0.98317688703536987</v>
      </c>
      <c r="BD365" s="11">
        <v>6.8068504333496094E-5</v>
      </c>
      <c r="BE365" s="11">
        <v>-31.172565460205078</v>
      </c>
      <c r="BF365" s="11">
        <v>0.13043975830078125</v>
      </c>
      <c r="BG365" s="11">
        <v>0.84924042224884033</v>
      </c>
      <c r="BH365" s="11">
        <v>-2.9564499855041504E-3</v>
      </c>
      <c r="BI365" s="13">
        <v>2.7239088012720458E-5</v>
      </c>
      <c r="BJ365" s="13">
        <v>-7.3396222433075309E-8</v>
      </c>
      <c r="BK365" s="11">
        <v>75.474900007247925</v>
      </c>
      <c r="BL365" s="12">
        <v>-10.518417358398438</v>
      </c>
      <c r="BM365" s="12">
        <v>-5.2401542663574219E-2</v>
      </c>
      <c r="BN365" s="13">
        <v>3.8609330654144287</v>
      </c>
      <c r="BO365" s="13">
        <v>1.6542673110961914E-2</v>
      </c>
      <c r="BP365" s="15">
        <v>-3.8432467874827125E-8</v>
      </c>
      <c r="BQ365" s="15">
        <v>4.5726977759841247E-11</v>
      </c>
      <c r="BR365" s="14">
        <v>1.2369944306556135E-4</v>
      </c>
      <c r="BS365" s="14">
        <v>8.7602529674768448E-9</v>
      </c>
      <c r="BT365" s="14">
        <v>4.5405620767269284E-5</v>
      </c>
      <c r="BU365" s="14">
        <v>-2.8601789381355047E-8</v>
      </c>
      <c r="BV365" s="11">
        <v>45413.11328125</v>
      </c>
      <c r="BW365" s="11">
        <v>259.9375</v>
      </c>
      <c r="BX365" s="11">
        <v>20434.517578125</v>
      </c>
      <c r="BY365" s="11">
        <v>96.87109375</v>
      </c>
      <c r="BZ365" s="7">
        <v>3000</v>
      </c>
      <c r="CA365" s="7">
        <v>3190</v>
      </c>
      <c r="CB365" s="7">
        <v>3000</v>
      </c>
      <c r="CC365" s="7">
        <v>3105</v>
      </c>
      <c r="CD365" s="7">
        <v>3097.449951171875</v>
      </c>
      <c r="CE365" s="3">
        <v>50</v>
      </c>
      <c r="CF365" s="7">
        <v>3073.75</v>
      </c>
      <c r="CG365" s="3">
        <v>50</v>
      </c>
      <c r="CH365" s="7">
        <v>3108.5</v>
      </c>
      <c r="CI365" s="7">
        <v>3.0999999046325684</v>
      </c>
      <c r="CJ365" s="3">
        <v>1375</v>
      </c>
      <c r="CK365" s="7">
        <v>3</v>
      </c>
      <c r="CL365" s="3">
        <v>550</v>
      </c>
      <c r="CM365" s="7">
        <v>4.130000114440918</v>
      </c>
      <c r="CN365" s="10">
        <v>44783.638194444444</v>
      </c>
      <c r="CO365" s="10">
        <v>44783.638194444444</v>
      </c>
      <c r="CP365" s="7">
        <v>38295.69921875</v>
      </c>
      <c r="CQ365" s="17" t="s">
        <v>321</v>
      </c>
      <c r="CR365" s="10">
        <v>44783.638194444444</v>
      </c>
      <c r="CS365" s="12">
        <v>1.1628866195678711E-2</v>
      </c>
      <c r="CT365" s="18">
        <v>1.790837356445018E-4</v>
      </c>
      <c r="CU365" s="3">
        <v>107275</v>
      </c>
      <c r="CV365" s="18">
        <v>-0.39314845024469819</v>
      </c>
      <c r="CW365" s="7">
        <v>3</v>
      </c>
      <c r="CX365" s="18">
        <v>0</v>
      </c>
      <c r="CY365" s="7">
        <v>3105</v>
      </c>
      <c r="CZ365" s="18">
        <v>0</v>
      </c>
      <c r="DA365" s="3">
        <v>5250</v>
      </c>
      <c r="DB365" s="18">
        <v>-3.8095238095238099E-2</v>
      </c>
      <c r="DC365" s="11">
        <v>-5.6153535842895508E-2</v>
      </c>
      <c r="DD365" s="18">
        <v>-7.434496569130954E-4</v>
      </c>
      <c r="DE365" s="7">
        <v>3105</v>
      </c>
      <c r="DF365" s="7">
        <v>3</v>
      </c>
      <c r="DG365" s="7">
        <v>38295.69921875</v>
      </c>
      <c r="DH365" s="3" t="s">
        <v>312</v>
      </c>
      <c r="DI365" s="3" t="s">
        <v>312</v>
      </c>
      <c r="DJ365" s="3" t="s">
        <v>314</v>
      </c>
      <c r="DK365" s="3">
        <v>38300</v>
      </c>
      <c r="DL365" s="3">
        <v>3400000</v>
      </c>
      <c r="DM365" s="3">
        <v>38500</v>
      </c>
      <c r="DN365" s="3">
        <v>0</v>
      </c>
      <c r="DO365" s="3">
        <v>24500</v>
      </c>
      <c r="DP365" s="3">
        <v>2863350</v>
      </c>
      <c r="DQ365" s="28">
        <v>38000</v>
      </c>
      <c r="DR365" s="32">
        <v>0</v>
      </c>
      <c r="DS365" s="32">
        <v>24500</v>
      </c>
      <c r="DT365" s="32" t="s">
        <v>33</v>
      </c>
      <c r="DU365" s="69">
        <v>44784</v>
      </c>
    </row>
    <row r="366" spans="1:125" x14ac:dyDescent="0.25">
      <c r="A366" t="s">
        <v>122</v>
      </c>
      <c r="B366" s="2">
        <v>44861</v>
      </c>
      <c r="C366" s="1">
        <v>250</v>
      </c>
      <c r="D366">
        <v>50</v>
      </c>
      <c r="M366" s="3"/>
      <c r="N366" s="3"/>
      <c r="O366" s="3">
        <v>35300</v>
      </c>
      <c r="P366" s="7">
        <v>3.2999999523162842</v>
      </c>
      <c r="Q366" s="7">
        <v>3.25</v>
      </c>
      <c r="R366" s="7">
        <v>6.4499998092651367</v>
      </c>
      <c r="S366" s="7">
        <v>6.4499998092651367</v>
      </c>
      <c r="T366" s="11">
        <v>699.828125</v>
      </c>
      <c r="U366" s="11">
        <v>50746.85546875</v>
      </c>
      <c r="V366" s="11">
        <v>2209.9375</v>
      </c>
      <c r="W366" s="11">
        <v>139645.265625</v>
      </c>
      <c r="X366" s="14">
        <v>-1.713378878775984E-7</v>
      </c>
      <c r="Y366" s="14">
        <v>3.7980251363478601E-5</v>
      </c>
      <c r="Z366" s="14">
        <v>-3.6557321436703205E-7</v>
      </c>
      <c r="AA366" s="14">
        <v>1.2253638124093413E-4</v>
      </c>
      <c r="AB366" s="15">
        <v>1.7466916801822663E-10</v>
      </c>
      <c r="AC366" s="15">
        <v>-3.089074240847367E-8</v>
      </c>
      <c r="AD366" s="13">
        <v>0.11028003692626953</v>
      </c>
      <c r="AE366" s="13">
        <v>8.7814731597900391</v>
      </c>
      <c r="AF366" s="12">
        <v>-0.398345947265625</v>
      </c>
      <c r="AG366" s="12">
        <v>-28.331825256347656</v>
      </c>
      <c r="AH366" s="13">
        <v>-1.478747435612604E-7</v>
      </c>
      <c r="AI366" s="13">
        <v>1.627243727853056E-5</v>
      </c>
      <c r="AJ366" s="11">
        <v>-4.6127438545227051E-3</v>
      </c>
      <c r="AK366" s="11">
        <v>0.42839452624320984</v>
      </c>
      <c r="AL366" s="11">
        <v>4.999995231628418E-2</v>
      </c>
      <c r="AM366" s="11">
        <v>-3.2999999523162842</v>
      </c>
      <c r="AN366" s="11">
        <v>9.3428418040275574E-5</v>
      </c>
      <c r="AO366" s="11">
        <v>-7.6517197303473949E-3</v>
      </c>
      <c r="AP366" s="11">
        <v>63.731402158737183</v>
      </c>
      <c r="AQ366" s="11">
        <v>830925</v>
      </c>
      <c r="AR366" s="16">
        <v>-77375</v>
      </c>
      <c r="AS366" s="16">
        <v>73025</v>
      </c>
      <c r="AT366" s="16">
        <v>63.731402158737183</v>
      </c>
      <c r="AU366" s="7">
        <v>-4.999995231628418E-2</v>
      </c>
      <c r="AV366" s="7">
        <v>3.2999999523162842</v>
      </c>
      <c r="AW366" s="7">
        <v>3048</v>
      </c>
      <c r="AX366" s="7">
        <v>0</v>
      </c>
      <c r="AY366" s="11">
        <v>99.834680557250977</v>
      </c>
      <c r="AZ366" s="16">
        <v>575</v>
      </c>
      <c r="BA366" s="16">
        <v>0</v>
      </c>
      <c r="BB366" s="16">
        <v>25</v>
      </c>
      <c r="BC366" s="11">
        <v>0.94106394052505493</v>
      </c>
      <c r="BD366" s="11">
        <v>3.7908554077148438E-5</v>
      </c>
      <c r="BE366" s="11">
        <v>-115.91600036621094</v>
      </c>
      <c r="BF366" s="11">
        <v>7.623291015625E-2</v>
      </c>
      <c r="BG366" s="11">
        <v>2.3873858451843262</v>
      </c>
      <c r="BH366" s="11">
        <v>-1.2536048889160156E-3</v>
      </c>
      <c r="BI366" s="13">
        <v>5.7890280004357919E-5</v>
      </c>
      <c r="BJ366" s="13">
        <v>-1.7869751900434494E-8</v>
      </c>
      <c r="BK366" s="11">
        <v>99.834680557250977</v>
      </c>
      <c r="BL366" s="12">
        <v>-2.0503876209259033</v>
      </c>
      <c r="BM366" s="12">
        <v>-1.8465518951416016E-3</v>
      </c>
      <c r="BN366" s="13">
        <v>0.99553537368774414</v>
      </c>
      <c r="BO366" s="13">
        <v>7.6472759246826172E-4</v>
      </c>
      <c r="BP366" s="15">
        <v>-4.6126441333171897E-8</v>
      </c>
      <c r="BQ366" s="15">
        <v>-3.716138508025324E-12</v>
      </c>
      <c r="BR366" s="14">
        <v>7.9006909800227731E-5</v>
      </c>
      <c r="BS366" s="14">
        <v>4.7984940465539694E-8</v>
      </c>
      <c r="BT366" s="14">
        <v>3.8360642065526918E-5</v>
      </c>
      <c r="BU366" s="14">
        <v>1.822263584472239E-8</v>
      </c>
      <c r="BV366" s="11">
        <v>6516.67333984375</v>
      </c>
      <c r="BW366" s="11">
        <v>7.080078125</v>
      </c>
      <c r="BX366" s="11">
        <v>4503.35791015625</v>
      </c>
      <c r="BY366" s="11">
        <v>3.7255859375</v>
      </c>
      <c r="BZ366" s="7">
        <v>3048</v>
      </c>
      <c r="CA366" s="7">
        <v>3048</v>
      </c>
      <c r="CB366" s="7">
        <v>3048</v>
      </c>
      <c r="CC366" s="7">
        <v>3048</v>
      </c>
      <c r="CD366" s="7">
        <v>3073.949951171875</v>
      </c>
      <c r="CE366" s="3">
        <v>50</v>
      </c>
      <c r="CF366" s="7">
        <v>2920.89990234375</v>
      </c>
      <c r="CG366" s="3">
        <v>800</v>
      </c>
      <c r="CH366" s="7">
        <v>3048</v>
      </c>
      <c r="CI366" s="7">
        <v>3.3499999046325684</v>
      </c>
      <c r="CJ366" s="3">
        <v>1575</v>
      </c>
      <c r="CK366" s="7">
        <v>3.25</v>
      </c>
      <c r="CL366" s="3">
        <v>1950</v>
      </c>
      <c r="CM366" s="7">
        <v>4.2699999809265137</v>
      </c>
      <c r="CN366" s="10">
        <v>44783.638194444444</v>
      </c>
      <c r="CO366" s="10">
        <v>44783.638194444444</v>
      </c>
      <c r="CP366" s="7">
        <v>38295.69921875</v>
      </c>
      <c r="CQ366" s="17" t="s">
        <v>321</v>
      </c>
      <c r="CR366" s="10">
        <v>44783.638194444444</v>
      </c>
      <c r="CS366" s="12">
        <v>-0.10259151458740234</v>
      </c>
      <c r="CT366" s="18">
        <v>-1.6071611485319621E-3</v>
      </c>
      <c r="CU366" s="3">
        <v>150400</v>
      </c>
      <c r="CV366" s="18">
        <v>-0.51446143617021278</v>
      </c>
      <c r="CW366" s="7">
        <v>3.2999999523162842</v>
      </c>
      <c r="CX366" s="18">
        <v>-1.4925359325276825E-2</v>
      </c>
      <c r="CY366" s="7">
        <v>3048</v>
      </c>
      <c r="CZ366" s="18">
        <v>0</v>
      </c>
      <c r="DA366" s="3">
        <v>575</v>
      </c>
      <c r="DB366" s="18">
        <v>0</v>
      </c>
      <c r="DC366" s="11">
        <v>-1.7541646957397461E-2</v>
      </c>
      <c r="DD366" s="18">
        <v>-1.756760798124546E-4</v>
      </c>
      <c r="DE366" s="7">
        <v>3048</v>
      </c>
      <c r="DF366" s="7">
        <v>3.2999999523162842</v>
      </c>
      <c r="DG366" s="7">
        <v>38295.69921875</v>
      </c>
      <c r="DH366" s="3" t="s">
        <v>312</v>
      </c>
      <c r="DI366" s="3" t="s">
        <v>313</v>
      </c>
      <c r="DJ366" s="3" t="s">
        <v>314</v>
      </c>
      <c r="DK366" s="3">
        <v>38300</v>
      </c>
      <c r="DL366" s="3">
        <v>3400000</v>
      </c>
      <c r="DM366" s="3">
        <v>38500</v>
      </c>
      <c r="DN366" s="3">
        <v>0</v>
      </c>
      <c r="DO366" s="3">
        <v>24500</v>
      </c>
      <c r="DP366" s="3">
        <v>2863350</v>
      </c>
      <c r="DQ366" s="28">
        <v>38000</v>
      </c>
      <c r="DR366" s="32">
        <v>0</v>
      </c>
      <c r="DS366" s="32">
        <v>24500</v>
      </c>
      <c r="DT366" s="32" t="s">
        <v>33</v>
      </c>
      <c r="DU366" s="69">
        <v>44784</v>
      </c>
    </row>
    <row r="367" spans="1:125" x14ac:dyDescent="0.25">
      <c r="A367" t="s">
        <v>123</v>
      </c>
      <c r="B367" s="2">
        <v>44798</v>
      </c>
      <c r="C367" s="1">
        <v>900</v>
      </c>
      <c r="D367">
        <v>62</v>
      </c>
      <c r="M367" s="3"/>
      <c r="N367" s="3"/>
      <c r="O367" s="3">
        <v>35400</v>
      </c>
      <c r="P367" s="7">
        <v>3.25</v>
      </c>
      <c r="Q367" s="7">
        <v>3.1500000953674316</v>
      </c>
      <c r="R367" s="7">
        <v>5.6500000953674316</v>
      </c>
      <c r="S367" s="7">
        <v>5.5999999046325684</v>
      </c>
      <c r="T367" s="11">
        <v>10.92578125</v>
      </c>
      <c r="U367" s="11">
        <v>49822.796875</v>
      </c>
      <c r="V367" s="11">
        <v>-6.984375</v>
      </c>
      <c r="W367" s="11">
        <v>141624.484375</v>
      </c>
      <c r="X367" s="14">
        <v>-5.8826117310672998E-9</v>
      </c>
      <c r="Y367" s="14">
        <v>3.9616141293663532E-5</v>
      </c>
      <c r="Z367" s="14">
        <v>-5.5937562137842178E-8</v>
      </c>
      <c r="AA367" s="14">
        <v>1.3211797340773046E-4</v>
      </c>
      <c r="AB367" s="15">
        <v>1.404032445861958E-11</v>
      </c>
      <c r="AC367" s="15">
        <v>-3.3392261400422285E-8</v>
      </c>
      <c r="AD367" s="13">
        <v>2.0198822021484375E-3</v>
      </c>
      <c r="AE367" s="13">
        <v>8.6371965408325195</v>
      </c>
      <c r="AF367" s="12">
        <v>1.178741455078125E-3</v>
      </c>
      <c r="AG367" s="12">
        <v>-28.804645538330078</v>
      </c>
      <c r="AH367" s="13">
        <v>-4.8730726120993495E-9</v>
      </c>
      <c r="AI367" s="13">
        <v>1.7066382497432642E-5</v>
      </c>
      <c r="AJ367" s="11">
        <v>-6.8485736846923828E-5</v>
      </c>
      <c r="AK367" s="11">
        <v>0.43465825915336609</v>
      </c>
      <c r="AL367" s="11">
        <v>0</v>
      </c>
      <c r="AM367" s="11">
        <v>-3.25</v>
      </c>
      <c r="AN367" s="11">
        <v>1.1264346539974213E-6</v>
      </c>
      <c r="AO367" s="11">
        <v>-7.7789817005395889E-3</v>
      </c>
      <c r="AP367" s="11">
        <v>61.655372381210327</v>
      </c>
      <c r="AQ367" s="11">
        <v>905900</v>
      </c>
      <c r="AR367" s="16">
        <v>33600</v>
      </c>
      <c r="AS367" s="16">
        <v>99375</v>
      </c>
      <c r="AT367" s="16">
        <v>61.655372381210327</v>
      </c>
      <c r="AU367" s="7">
        <v>0</v>
      </c>
      <c r="AV367" s="7">
        <v>3.25</v>
      </c>
      <c r="AW367" s="7">
        <v>2979.14990234375</v>
      </c>
      <c r="AX367" s="7">
        <v>0</v>
      </c>
      <c r="AY367" s="11">
        <v>108.37513208389282</v>
      </c>
      <c r="AZ367" s="16">
        <v>800</v>
      </c>
      <c r="BA367" s="16">
        <v>0</v>
      </c>
      <c r="BB367" s="16">
        <v>25</v>
      </c>
      <c r="BC367" s="11">
        <v>0.91860544681549072</v>
      </c>
      <c r="BD367" s="11">
        <v>3.1292438507080078E-5</v>
      </c>
      <c r="BE367" s="11">
        <v>-161.34963989257813</v>
      </c>
      <c r="BF367" s="11">
        <v>6.1981201171875E-2</v>
      </c>
      <c r="BG367" s="11">
        <v>3.0612516403198242</v>
      </c>
      <c r="BH367" s="11">
        <v>-9.5057487487792969E-4</v>
      </c>
      <c r="BI367" s="13">
        <v>6.8380388256628066E-5</v>
      </c>
      <c r="BJ367" s="13">
        <v>-1.047010300680995E-8</v>
      </c>
      <c r="BK367" s="11">
        <v>108.37513208389282</v>
      </c>
      <c r="BL367" s="12">
        <v>-1.304796576499939</v>
      </c>
      <c r="BM367" s="12">
        <v>-7.4124336242675781E-4</v>
      </c>
      <c r="BN367" s="13">
        <v>0.68772017955780029</v>
      </c>
      <c r="BO367" s="13">
        <v>3.401637077331543E-4</v>
      </c>
      <c r="BP367" s="15">
        <v>-4.5115864821809737E-8</v>
      </c>
      <c r="BQ367" s="15">
        <v>-5.4889426337467739E-12</v>
      </c>
      <c r="BR367" s="14">
        <v>5.4757561883889139E-5</v>
      </c>
      <c r="BS367" s="14">
        <v>3.4578988561406732E-8</v>
      </c>
      <c r="BT367" s="14">
        <v>2.8861111786682159E-5</v>
      </c>
      <c r="BU367" s="14">
        <v>1.6103513189591467E-8</v>
      </c>
      <c r="BV367" s="11">
        <v>3701.434814453125</v>
      </c>
      <c r="BW367" s="11">
        <v>2.57861328125</v>
      </c>
      <c r="BX367" s="11">
        <v>2995.393798828125</v>
      </c>
      <c r="BY367" s="11">
        <v>1.542724609375</v>
      </c>
      <c r="BZ367" s="7">
        <v>2979.14990234375</v>
      </c>
      <c r="CA367" s="7">
        <v>2979.14990234375</v>
      </c>
      <c r="CB367" s="7">
        <v>2979.14990234375</v>
      </c>
      <c r="CC367" s="7">
        <v>2979.14990234375</v>
      </c>
      <c r="CD367" s="7">
        <v>2962.85009765625</v>
      </c>
      <c r="CE367" s="3">
        <v>50</v>
      </c>
      <c r="CF367" s="7">
        <v>2860.35009765625</v>
      </c>
      <c r="CG367" s="3">
        <v>50</v>
      </c>
      <c r="CH367" s="7">
        <v>2979.14990234375</v>
      </c>
      <c r="CI367" s="7">
        <v>3.25</v>
      </c>
      <c r="CJ367" s="3">
        <v>850</v>
      </c>
      <c r="CK367" s="7">
        <v>3.2000000476837158</v>
      </c>
      <c r="CL367" s="3">
        <v>850</v>
      </c>
      <c r="CM367" s="7">
        <v>4.4600000381469727</v>
      </c>
      <c r="CN367" s="10">
        <v>44783.638194444444</v>
      </c>
      <c r="CO367" s="10">
        <v>44783.638194444444</v>
      </c>
      <c r="CP367" s="7">
        <v>38295.69921875</v>
      </c>
      <c r="CQ367" s="17" t="s">
        <v>321</v>
      </c>
      <c r="CR367" s="10">
        <v>44783.638194444444</v>
      </c>
      <c r="CS367" s="12">
        <v>1.1610984802246094E-2</v>
      </c>
      <c r="CT367" s="18">
        <v>1.8835620246435278E-4</v>
      </c>
      <c r="CU367" s="3">
        <v>65775</v>
      </c>
      <c r="CV367" s="18">
        <v>0.51083238312428736</v>
      </c>
      <c r="CW367" s="7">
        <v>3.25</v>
      </c>
      <c r="CX367" s="18">
        <v>0</v>
      </c>
      <c r="CY367" s="7">
        <v>2979.14990234375</v>
      </c>
      <c r="CZ367" s="18">
        <v>0</v>
      </c>
      <c r="DA367" s="3">
        <v>800</v>
      </c>
      <c r="DB367" s="18">
        <v>0</v>
      </c>
      <c r="DC367" s="11">
        <v>-1.2660026550292969E-2</v>
      </c>
      <c r="DD367" s="18">
        <v>-1.1680306705936841E-4</v>
      </c>
      <c r="DE367" s="7">
        <v>2979.14990234375</v>
      </c>
      <c r="DF367" s="7">
        <v>3.25</v>
      </c>
      <c r="DG367" s="7">
        <v>38295.69921875</v>
      </c>
      <c r="DH367" s="3" t="s">
        <v>312</v>
      </c>
      <c r="DI367" s="3" t="s">
        <v>312</v>
      </c>
      <c r="DJ367" s="3" t="s">
        <v>314</v>
      </c>
      <c r="DK367" s="3">
        <v>38300</v>
      </c>
      <c r="DL367" s="3">
        <v>3400000</v>
      </c>
      <c r="DM367" s="3">
        <v>38500</v>
      </c>
      <c r="DN367" s="3">
        <v>0</v>
      </c>
      <c r="DO367" s="3">
        <v>24500</v>
      </c>
      <c r="DP367" s="3">
        <v>2863350</v>
      </c>
      <c r="DQ367" s="28">
        <v>38000</v>
      </c>
      <c r="DR367" s="32">
        <v>0</v>
      </c>
      <c r="DS367" s="32">
        <v>24500</v>
      </c>
      <c r="DT367" s="32" t="s">
        <v>33</v>
      </c>
      <c r="DU367" s="69">
        <v>44784</v>
      </c>
    </row>
    <row r="368" spans="1:125" x14ac:dyDescent="0.25">
      <c r="A368" t="s">
        <v>123</v>
      </c>
      <c r="B368" s="2">
        <v>44833</v>
      </c>
      <c r="C368" s="1">
        <v>900</v>
      </c>
      <c r="D368">
        <v>62</v>
      </c>
      <c r="M368" s="3"/>
      <c r="N368" s="3"/>
      <c r="O368" s="3">
        <v>35500</v>
      </c>
      <c r="P368" s="7">
        <v>3.5</v>
      </c>
      <c r="Q368" s="7">
        <v>3.4500000476837158</v>
      </c>
      <c r="R368" s="7">
        <v>5.9000000953674316</v>
      </c>
      <c r="S368" s="7">
        <v>5.0999999046325684</v>
      </c>
      <c r="T368" s="11">
        <v>3.42578125</v>
      </c>
      <c r="U368" s="11">
        <v>45066.3828125</v>
      </c>
      <c r="V368" s="11">
        <v>-4.15625</v>
      </c>
      <c r="W368" s="11">
        <v>130579.3515625</v>
      </c>
      <c r="X368" s="14">
        <v>-1.2223608791828156E-9</v>
      </c>
      <c r="Y368" s="14">
        <v>4.2415711504872888E-5</v>
      </c>
      <c r="Z368" s="14">
        <v>-2.0081643015146255E-8</v>
      </c>
      <c r="AA368" s="14">
        <v>1.4476465003099293E-4</v>
      </c>
      <c r="AB368" s="15">
        <v>4.8387960305262823E-12</v>
      </c>
      <c r="AC368" s="15">
        <v>-3.728557373960939E-8</v>
      </c>
      <c r="AD368" s="13">
        <v>7.0095062255859375E-4</v>
      </c>
      <c r="AE368" s="13">
        <v>7.8867411613464355</v>
      </c>
      <c r="AF368" s="12">
        <v>5.664825439453125E-4</v>
      </c>
      <c r="AG368" s="12">
        <v>-26.917413711547852</v>
      </c>
      <c r="AH368" s="13">
        <v>-1.6661942936480045E-9</v>
      </c>
      <c r="AI368" s="13">
        <v>1.8874838133342564E-5</v>
      </c>
      <c r="AJ368" s="11">
        <v>-2.6762485504150391E-5</v>
      </c>
      <c r="AK368" s="11">
        <v>0.46972748637199402</v>
      </c>
      <c r="AL368" s="11">
        <v>0</v>
      </c>
      <c r="AM368" s="11">
        <v>-3.5</v>
      </c>
      <c r="AN368" s="11">
        <v>3.7997961044311523E-7</v>
      </c>
      <c r="AO368" s="11">
        <v>-8.4970751777291298E-3</v>
      </c>
      <c r="AP368" s="11">
        <v>60.245543718338013</v>
      </c>
      <c r="AQ368" s="11">
        <v>8195975</v>
      </c>
      <c r="AR368" s="16">
        <v>167575</v>
      </c>
      <c r="AS368" s="16">
        <v>1440400</v>
      </c>
      <c r="AT368" s="16">
        <v>60.245543718338013</v>
      </c>
      <c r="AU368" s="7">
        <v>0</v>
      </c>
      <c r="AV368" s="7">
        <v>3.5</v>
      </c>
      <c r="AW368" s="7">
        <v>2772</v>
      </c>
      <c r="AX368" s="7">
        <v>0</v>
      </c>
      <c r="AY368" s="11">
        <v>0</v>
      </c>
      <c r="AZ368" s="16">
        <v>11575</v>
      </c>
      <c r="BA368" s="16">
        <v>-1325</v>
      </c>
      <c r="BB368" s="16">
        <v>3750</v>
      </c>
      <c r="BC368" s="11">
        <v>0</v>
      </c>
      <c r="BD368" s="11">
        <v>0</v>
      </c>
      <c r="BE368" s="11">
        <v>0</v>
      </c>
      <c r="BF368" s="11">
        <v>0</v>
      </c>
      <c r="BG368" s="11">
        <v>0</v>
      </c>
      <c r="BH368" s="11">
        <v>0</v>
      </c>
      <c r="BI368" s="13">
        <v>0</v>
      </c>
      <c r="BJ368" s="13">
        <v>0</v>
      </c>
      <c r="BK368" s="11">
        <v>0</v>
      </c>
      <c r="BL368" s="12">
        <v>0</v>
      </c>
      <c r="BM368" s="12">
        <v>0</v>
      </c>
      <c r="BN368" s="13">
        <v>0</v>
      </c>
      <c r="BO368" s="13">
        <v>0</v>
      </c>
      <c r="BP368" s="15">
        <v>0</v>
      </c>
      <c r="BQ368" s="15">
        <v>0</v>
      </c>
      <c r="BR368" s="14">
        <v>0</v>
      </c>
      <c r="BS368" s="14">
        <v>0</v>
      </c>
      <c r="BT368" s="14">
        <v>0</v>
      </c>
      <c r="BU368" s="14">
        <v>0</v>
      </c>
      <c r="BV368" s="11">
        <v>0</v>
      </c>
      <c r="BW368" s="11">
        <v>0</v>
      </c>
      <c r="BX368" s="11">
        <v>0</v>
      </c>
      <c r="BY368" s="11">
        <v>0</v>
      </c>
      <c r="BZ368" s="7">
        <v>2710</v>
      </c>
      <c r="CA368" s="7">
        <v>2901.39990234375</v>
      </c>
      <c r="CB368" s="7">
        <v>2670</v>
      </c>
      <c r="CC368" s="7">
        <v>2772</v>
      </c>
      <c r="CD368" s="7">
        <v>2805.64990234375</v>
      </c>
      <c r="CE368" s="3">
        <v>175</v>
      </c>
      <c r="CF368" s="7">
        <v>2792.449951171875</v>
      </c>
      <c r="CG368" s="3">
        <v>50</v>
      </c>
      <c r="CH368" s="7">
        <v>2803.25</v>
      </c>
      <c r="CI368" s="7">
        <v>3.5</v>
      </c>
      <c r="CJ368" s="3">
        <v>4450</v>
      </c>
      <c r="CK368" s="7">
        <v>3.4500000476837158</v>
      </c>
      <c r="CL368" s="3">
        <v>10950</v>
      </c>
      <c r="CM368" s="7">
        <v>4.6399998664855957</v>
      </c>
      <c r="CN368" s="10">
        <v>44783.638194444444</v>
      </c>
      <c r="CO368" s="10">
        <v>44783.638194444444</v>
      </c>
      <c r="CP368" s="7">
        <v>38295.69921875</v>
      </c>
      <c r="CQ368" s="17" t="s">
        <v>321</v>
      </c>
      <c r="CR368" s="10">
        <v>44783.638194444444</v>
      </c>
      <c r="CS368" s="12">
        <v>4.0173530578613281E-3</v>
      </c>
      <c r="CT368" s="18">
        <v>6.6687438055631774E-5</v>
      </c>
      <c r="CU368" s="3">
        <v>1272825</v>
      </c>
      <c r="CV368" s="18">
        <v>0.13165596213147918</v>
      </c>
      <c r="CW368" s="7">
        <v>3.5</v>
      </c>
      <c r="CX368" s="18">
        <v>0</v>
      </c>
      <c r="CY368" s="7">
        <v>2772</v>
      </c>
      <c r="CZ368" s="18">
        <v>0</v>
      </c>
      <c r="DA368" s="3">
        <v>12900</v>
      </c>
      <c r="DB368" s="18">
        <v>-0.10271317829457365</v>
      </c>
      <c r="DC368" s="11">
        <v>0</v>
      </c>
      <c r="DD368" s="18">
        <v>0</v>
      </c>
      <c r="DE368" s="7">
        <v>2772</v>
      </c>
      <c r="DF368" s="7">
        <v>3.5</v>
      </c>
      <c r="DG368" s="7">
        <v>38295.69921875</v>
      </c>
      <c r="DH368" s="3" t="s">
        <v>312</v>
      </c>
      <c r="DI368" s="3" t="s">
        <v>312</v>
      </c>
      <c r="DJ368" s="3" t="s">
        <v>314</v>
      </c>
      <c r="DK368" s="3">
        <v>38300</v>
      </c>
      <c r="DL368" s="3">
        <v>3400000</v>
      </c>
      <c r="DM368" s="3">
        <v>38500</v>
      </c>
      <c r="DN368" s="3">
        <v>0</v>
      </c>
      <c r="DO368" s="3">
        <v>24500</v>
      </c>
      <c r="DP368" s="3">
        <v>2863350</v>
      </c>
      <c r="DQ368" s="28">
        <v>38000</v>
      </c>
      <c r="DR368" s="32">
        <v>0</v>
      </c>
      <c r="DS368" s="32">
        <v>24500</v>
      </c>
      <c r="DT368" s="32" t="s">
        <v>33</v>
      </c>
      <c r="DU368" s="69">
        <v>44784</v>
      </c>
    </row>
    <row r="369" spans="1:125" x14ac:dyDescent="0.25">
      <c r="A369" t="s">
        <v>123</v>
      </c>
      <c r="B369" s="2">
        <v>44861</v>
      </c>
      <c r="C369" s="1">
        <v>900</v>
      </c>
      <c r="D369">
        <v>62</v>
      </c>
      <c r="M369" s="3"/>
      <c r="N369" s="3"/>
      <c r="O369" s="3">
        <v>35600</v>
      </c>
      <c r="P369" s="7">
        <v>3.4500000476837158</v>
      </c>
      <c r="Q369" s="7">
        <v>3.4000000953674316</v>
      </c>
      <c r="R369" s="7">
        <v>6.1500000953674316</v>
      </c>
      <c r="S369" s="7">
        <v>5.5999999046325684</v>
      </c>
      <c r="T369" s="11">
        <v>1.77734375</v>
      </c>
      <c r="U369" s="11">
        <v>44115.20703125</v>
      </c>
      <c r="V369" s="11">
        <v>-5.203125</v>
      </c>
      <c r="W369" s="11">
        <v>132278.515625</v>
      </c>
      <c r="X369" s="14">
        <v>8.1854523159563541E-10</v>
      </c>
      <c r="Y369" s="14">
        <v>4.4374886783771217E-5</v>
      </c>
      <c r="Z369" s="14">
        <v>-9.720679372549057E-9</v>
      </c>
      <c r="AA369" s="14">
        <v>1.5685944526921958E-4</v>
      </c>
      <c r="AB369" s="15">
        <v>1.8118839761882555E-12</v>
      </c>
      <c r="AC369" s="15">
        <v>-4.0533326028935335E-8</v>
      </c>
      <c r="AD369" s="13">
        <v>4.5633316040039063E-4</v>
      </c>
      <c r="AE369" s="13">
        <v>7.7366318702697754</v>
      </c>
      <c r="AF369" s="12">
        <v>5.8746337890625E-4</v>
      </c>
      <c r="AG369" s="12">
        <v>-27.347986221313477</v>
      </c>
      <c r="AH369" s="13">
        <v>-6.0390448197722435E-10</v>
      </c>
      <c r="AI369" s="13">
        <v>1.9878145394613966E-5</v>
      </c>
      <c r="AJ369" s="11">
        <v>-1.6152858734130859E-5</v>
      </c>
      <c r="AK369" s="11">
        <v>0.47764024138450623</v>
      </c>
      <c r="AL369" s="11">
        <v>0</v>
      </c>
      <c r="AM369" s="11">
        <v>-3.4500000476837158</v>
      </c>
      <c r="AN369" s="11">
        <v>1.3317912817001343E-7</v>
      </c>
      <c r="AO369" s="11">
        <v>-8.6604282259941101E-3</v>
      </c>
      <c r="AP369" s="11">
        <v>58.16841721534729</v>
      </c>
      <c r="AQ369" s="11">
        <v>1324200</v>
      </c>
      <c r="AR369" s="16">
        <v>-17425</v>
      </c>
      <c r="AS369" s="16">
        <v>173825</v>
      </c>
      <c r="AT369" s="16">
        <v>58.16841721534729</v>
      </c>
      <c r="AU369" s="7">
        <v>0</v>
      </c>
      <c r="AV369" s="7">
        <v>3.4500000476837158</v>
      </c>
      <c r="AW369" s="7">
        <v>2386.9499999999998</v>
      </c>
      <c r="AX369" s="7">
        <v>0</v>
      </c>
      <c r="AY369" s="11">
        <v>0</v>
      </c>
      <c r="AZ369" s="16">
        <v>425</v>
      </c>
      <c r="BA369" s="16">
        <v>0</v>
      </c>
      <c r="BB369" s="16">
        <v>0</v>
      </c>
      <c r="BC369" s="11">
        <v>0</v>
      </c>
      <c r="BD369" s="11">
        <v>0</v>
      </c>
      <c r="BE369" s="11">
        <v>0</v>
      </c>
      <c r="BF369" s="11">
        <v>0</v>
      </c>
      <c r="BG369" s="11">
        <v>0</v>
      </c>
      <c r="BH369" s="11">
        <v>0</v>
      </c>
      <c r="BI369" s="13">
        <v>0</v>
      </c>
      <c r="BJ369" s="13">
        <v>0</v>
      </c>
      <c r="BK369" s="11">
        <v>0</v>
      </c>
      <c r="BL369" s="12">
        <v>0</v>
      </c>
      <c r="BM369" s="12">
        <v>0</v>
      </c>
      <c r="BN369" s="13">
        <v>0</v>
      </c>
      <c r="BO369" s="13">
        <v>0</v>
      </c>
      <c r="BP369" s="15">
        <v>0</v>
      </c>
      <c r="BQ369" s="15">
        <v>0</v>
      </c>
      <c r="BR369" s="14">
        <v>0</v>
      </c>
      <c r="BS369" s="14">
        <v>0</v>
      </c>
      <c r="BT369" s="14">
        <v>0</v>
      </c>
      <c r="BU369" s="14">
        <v>0</v>
      </c>
      <c r="BV369" s="11">
        <v>0</v>
      </c>
      <c r="BW369" s="11">
        <v>0</v>
      </c>
      <c r="BX369" s="11">
        <v>0</v>
      </c>
      <c r="BY369" s="11">
        <v>0</v>
      </c>
      <c r="BZ369" s="7">
        <v>0</v>
      </c>
      <c r="CA369" s="7">
        <v>0</v>
      </c>
      <c r="CB369" s="7">
        <v>0</v>
      </c>
      <c r="CC369" s="7">
        <v>0</v>
      </c>
      <c r="CD369" s="7">
        <v>0</v>
      </c>
      <c r="CE369" s="3">
        <v>0</v>
      </c>
      <c r="CF369" s="7">
        <v>0</v>
      </c>
      <c r="CG369" s="3">
        <v>0</v>
      </c>
      <c r="CH369" s="7">
        <v>0</v>
      </c>
      <c r="CI369" s="7">
        <v>3.5</v>
      </c>
      <c r="CJ369" s="3">
        <v>1125</v>
      </c>
      <c r="CK369" s="7">
        <v>3.4500000476837158</v>
      </c>
      <c r="CL369" s="3">
        <v>5100</v>
      </c>
      <c r="CM369" s="7">
        <v>4.7800002098083496</v>
      </c>
      <c r="CN369" s="10">
        <v>44783.636701388888</v>
      </c>
      <c r="CO369" s="10">
        <v>44783.638194444444</v>
      </c>
      <c r="CP369" s="7">
        <v>38295.69921875</v>
      </c>
      <c r="CQ369" s="17" t="s">
        <v>321</v>
      </c>
      <c r="CR369" s="10">
        <v>44783.638194444444</v>
      </c>
      <c r="CS369" s="12">
        <v>2.1636486053466797E-3</v>
      </c>
      <c r="CT369" s="18">
        <v>3.7197661404546803E-5</v>
      </c>
      <c r="CU369" s="3">
        <v>191250</v>
      </c>
      <c r="CV369" s="18">
        <v>-9.1111111111111115E-2</v>
      </c>
      <c r="CW369" s="7">
        <v>3.4500000476837158</v>
      </c>
      <c r="CX369" s="18">
        <v>0</v>
      </c>
      <c r="CY369" s="7">
        <v>2386.9499999999998</v>
      </c>
      <c r="CZ369" s="18">
        <v>0</v>
      </c>
      <c r="DA369" s="3">
        <v>425</v>
      </c>
      <c r="DB369" s="18">
        <v>0</v>
      </c>
      <c r="DC369" s="11">
        <v>0</v>
      </c>
      <c r="DD369" s="18"/>
      <c r="DE369" s="7">
        <v>2386.9499999999998</v>
      </c>
      <c r="DF369" s="7">
        <v>3.4500000476837158</v>
      </c>
      <c r="DG369" s="7">
        <v>38295.69921875</v>
      </c>
      <c r="DH369" s="3" t="s">
        <v>312</v>
      </c>
      <c r="DI369" s="3" t="s">
        <v>312</v>
      </c>
      <c r="DJ369" s="3" t="s">
        <v>314</v>
      </c>
      <c r="DK369" s="3">
        <v>38300</v>
      </c>
      <c r="DL369" s="3">
        <v>3400000</v>
      </c>
      <c r="DM369" s="3">
        <v>38500</v>
      </c>
      <c r="DN369" s="3">
        <v>0</v>
      </c>
      <c r="DO369" s="3">
        <v>24500</v>
      </c>
      <c r="DP369" s="3">
        <v>2863350</v>
      </c>
      <c r="DQ369" s="28">
        <v>38000</v>
      </c>
      <c r="DR369" s="32">
        <v>0</v>
      </c>
      <c r="DS369" s="32">
        <v>24500</v>
      </c>
      <c r="DT369" s="32" t="s">
        <v>33</v>
      </c>
      <c r="DU369" s="69">
        <v>44784</v>
      </c>
    </row>
    <row r="370" spans="1:125" x14ac:dyDescent="0.25">
      <c r="A370" t="s">
        <v>124</v>
      </c>
      <c r="B370" s="2">
        <v>44798</v>
      </c>
      <c r="C370" s="1">
        <v>2000</v>
      </c>
      <c r="D370">
        <v>75</v>
      </c>
      <c r="M370" s="3"/>
      <c r="N370" s="3"/>
      <c r="O370" s="3">
        <v>35700</v>
      </c>
      <c r="P370" s="7">
        <v>3.6500000953674316</v>
      </c>
      <c r="Q370" s="7">
        <v>3.5999999046325684</v>
      </c>
      <c r="R370" s="7">
        <v>6.4000000953674316</v>
      </c>
      <c r="S370" s="7">
        <v>5.6500000953674316</v>
      </c>
      <c r="T370" s="11">
        <v>11.140625</v>
      </c>
      <c r="U370" s="11">
        <v>40459.37109375</v>
      </c>
      <c r="V370" s="11">
        <v>-4.875</v>
      </c>
      <c r="W370" s="11">
        <v>124236.6484375</v>
      </c>
      <c r="X370" s="14">
        <v>-1.0375515557825565E-8</v>
      </c>
      <c r="Y370" s="14">
        <v>4.7362325858557597E-5</v>
      </c>
      <c r="Z370" s="14">
        <v>-9.3437847681343555E-8</v>
      </c>
      <c r="AA370" s="14">
        <v>1.7207009659614414E-4</v>
      </c>
      <c r="AB370" s="15">
        <v>2.5071500431295135E-11</v>
      </c>
      <c r="AC370" s="15">
        <v>-4.5212679822270729E-8</v>
      </c>
      <c r="AD370" s="13">
        <v>2.0160675048828125E-3</v>
      </c>
      <c r="AE370" s="13">
        <v>7.1544613838195801</v>
      </c>
      <c r="AF370" s="12">
        <v>1.09100341796875E-3</v>
      </c>
      <c r="AG370" s="12">
        <v>-25.992576599121094</v>
      </c>
      <c r="AH370" s="13">
        <v>-8.2327460404485464E-9</v>
      </c>
      <c r="AI370" s="13">
        <v>2.1836049199919216E-5</v>
      </c>
      <c r="AJ370" s="11">
        <v>-9.9420547485351563E-5</v>
      </c>
      <c r="AK370" s="11">
        <v>0.51050519943237305</v>
      </c>
      <c r="AL370" s="11">
        <v>0</v>
      </c>
      <c r="AM370" s="11">
        <v>-3.6500000953674316</v>
      </c>
      <c r="AN370" s="11">
        <v>1.7872080206871033E-6</v>
      </c>
      <c r="AO370" s="11">
        <v>-9.3439798802137375E-3</v>
      </c>
      <c r="AP370" s="11">
        <v>56.596332788467407</v>
      </c>
      <c r="AQ370" s="11">
        <v>1191825</v>
      </c>
      <c r="AR370" s="16">
        <v>11750</v>
      </c>
      <c r="AS370" s="16">
        <v>144225</v>
      </c>
      <c r="AT370" s="16">
        <v>56.596332788467407</v>
      </c>
      <c r="AU370" s="7">
        <v>0</v>
      </c>
      <c r="AV370" s="7">
        <v>3.6500000953674316</v>
      </c>
      <c r="AW370" s="7">
        <v>2618</v>
      </c>
      <c r="AX370" s="7">
        <v>0</v>
      </c>
      <c r="AY370" s="11">
        <v>74.615168571472168</v>
      </c>
      <c r="AZ370" s="16">
        <v>4925</v>
      </c>
      <c r="BA370" s="16">
        <v>0</v>
      </c>
      <c r="BB370" s="16">
        <v>50</v>
      </c>
      <c r="BC370" s="11">
        <v>0.96344375610351563</v>
      </c>
      <c r="BD370" s="11">
        <v>5.8293342590332031E-5</v>
      </c>
      <c r="BE370" s="11">
        <v>-59.057857513427734</v>
      </c>
      <c r="BF370" s="11">
        <v>9.7835540771484375E-2</v>
      </c>
      <c r="BG370" s="11">
        <v>1.6274633407592773</v>
      </c>
      <c r="BH370" s="11">
        <v>-2.1556615829467773E-3</v>
      </c>
      <c r="BI370" s="13">
        <v>5.280177720123902E-5</v>
      </c>
      <c r="BJ370" s="13">
        <v>-4.7981302486732602E-8</v>
      </c>
      <c r="BK370" s="11">
        <v>74.615168571472168</v>
      </c>
      <c r="BL370" s="12">
        <v>-4.6683611869812012</v>
      </c>
      <c r="BM370" s="12">
        <v>-9.80377197265625E-3</v>
      </c>
      <c r="BN370" s="13">
        <v>1.6940683126449585</v>
      </c>
      <c r="BO370" s="13">
        <v>2.9970407485961914E-3</v>
      </c>
      <c r="BP370" s="15">
        <v>-6.3777072512039013E-8</v>
      </c>
      <c r="BQ370" s="15">
        <v>7.9509732131555211E-12</v>
      </c>
      <c r="BR370" s="14">
        <v>1.5149144746828824E-4</v>
      </c>
      <c r="BS370" s="14">
        <v>1.0365329217165709E-7</v>
      </c>
      <c r="BT370" s="14">
        <v>5.4973654187051579E-5</v>
      </c>
      <c r="BU370" s="14">
        <v>1.9401340978220105E-8</v>
      </c>
      <c r="BV370" s="11">
        <v>17004.005859375</v>
      </c>
      <c r="BW370" s="11">
        <v>42.251953125</v>
      </c>
      <c r="BX370" s="11">
        <v>8135.10595703125</v>
      </c>
      <c r="BY370" s="11">
        <v>15.8955078125</v>
      </c>
      <c r="BZ370" s="7">
        <v>2618</v>
      </c>
      <c r="CA370" s="7">
        <v>2618</v>
      </c>
      <c r="CB370" s="7">
        <v>2618</v>
      </c>
      <c r="CC370" s="7">
        <v>2618</v>
      </c>
      <c r="CD370" s="7">
        <v>2661.050048828125</v>
      </c>
      <c r="CE370" s="3">
        <v>50</v>
      </c>
      <c r="CF370" s="7">
        <v>2554.199951171875</v>
      </c>
      <c r="CG370" s="3">
        <v>75</v>
      </c>
      <c r="CH370" s="7">
        <v>2618</v>
      </c>
      <c r="CI370" s="7">
        <v>3.7000000476837158</v>
      </c>
      <c r="CJ370" s="3">
        <v>3950</v>
      </c>
      <c r="CK370" s="7">
        <v>3.5999999046325684</v>
      </c>
      <c r="CL370" s="3">
        <v>5250</v>
      </c>
      <c r="CM370" s="7">
        <v>4.9699997901916504</v>
      </c>
      <c r="CN370" s="10">
        <v>44783.638194444444</v>
      </c>
      <c r="CO370" s="10">
        <v>44783.638194444444</v>
      </c>
      <c r="CP370" s="7">
        <v>38295.69921875</v>
      </c>
      <c r="CQ370" s="17" t="s">
        <v>321</v>
      </c>
      <c r="CR370" s="10">
        <v>44783.638194444444</v>
      </c>
      <c r="CS370" s="12">
        <v>1.3428926467895508E-2</v>
      </c>
      <c r="CT370" s="18">
        <v>2.3733187148979525E-4</v>
      </c>
      <c r="CU370" s="3">
        <v>132475</v>
      </c>
      <c r="CV370" s="18">
        <v>8.8695980373655406E-2</v>
      </c>
      <c r="CW370" s="7">
        <v>3.6500000953674316</v>
      </c>
      <c r="CX370" s="18">
        <v>0</v>
      </c>
      <c r="CY370" s="7">
        <v>2618</v>
      </c>
      <c r="CZ370" s="18">
        <v>0</v>
      </c>
      <c r="DA370" s="3">
        <v>4925</v>
      </c>
      <c r="DB370" s="18">
        <v>0</v>
      </c>
      <c r="DC370" s="11">
        <v>-2.7966499328613281E-2</v>
      </c>
      <c r="DD370" s="18">
        <v>-3.7466940934469584E-4</v>
      </c>
      <c r="DE370" s="7">
        <v>2618</v>
      </c>
      <c r="DF370" s="7">
        <v>3.6500000953674316</v>
      </c>
      <c r="DG370" s="7">
        <v>38295.69921875</v>
      </c>
      <c r="DH370" s="3" t="s">
        <v>312</v>
      </c>
      <c r="DI370" s="3" t="s">
        <v>312</v>
      </c>
      <c r="DJ370" s="3" t="s">
        <v>314</v>
      </c>
      <c r="DK370" s="3">
        <v>38300</v>
      </c>
      <c r="DL370" s="3">
        <v>3400000</v>
      </c>
      <c r="DM370" s="3">
        <v>38500</v>
      </c>
      <c r="DN370" s="3">
        <v>0</v>
      </c>
      <c r="DO370" s="3">
        <v>24500</v>
      </c>
      <c r="DP370" s="3">
        <v>2863350</v>
      </c>
      <c r="DQ370" s="28">
        <v>38000</v>
      </c>
      <c r="DR370" s="32">
        <v>0</v>
      </c>
      <c r="DS370" s="32">
        <v>24500</v>
      </c>
      <c r="DT370" s="32" t="s">
        <v>33</v>
      </c>
      <c r="DU370" s="69">
        <v>44784</v>
      </c>
    </row>
    <row r="371" spans="1:125" x14ac:dyDescent="0.25">
      <c r="A371" t="s">
        <v>124</v>
      </c>
      <c r="B371" s="2">
        <v>44833</v>
      </c>
      <c r="C371" s="1">
        <v>2000</v>
      </c>
      <c r="D371">
        <v>75</v>
      </c>
      <c r="M371" s="3"/>
      <c r="N371" s="3"/>
      <c r="O371" s="3">
        <v>35800</v>
      </c>
      <c r="P371" s="7">
        <v>3.9000000953674316</v>
      </c>
      <c r="Q371" s="7">
        <v>3.7999999523162842</v>
      </c>
      <c r="R371" s="7">
        <v>7.0999999046325684</v>
      </c>
      <c r="S371" s="7">
        <v>7.0999999046325684</v>
      </c>
      <c r="T371" s="11">
        <v>8.9375</v>
      </c>
      <c r="U371" s="11">
        <v>36731.61328125</v>
      </c>
      <c r="V371" s="11">
        <v>-5.3203125</v>
      </c>
      <c r="W371" s="11">
        <v>115417.328125</v>
      </c>
      <c r="X371" s="14">
        <v>-8.858478395268321E-9</v>
      </c>
      <c r="Y371" s="14">
        <v>5.0701222789939493E-5</v>
      </c>
      <c r="Z371" s="14">
        <v>-8.9436070993542671E-8</v>
      </c>
      <c r="AA371" s="14">
        <v>1.8928768986370414E-4</v>
      </c>
      <c r="AB371" s="15">
        <v>2.4208191007346613E-11</v>
      </c>
      <c r="AC371" s="15">
        <v>-5.0708337084870436E-8</v>
      </c>
      <c r="AD371" s="13">
        <v>1.6717910766601563E-3</v>
      </c>
      <c r="AE371" s="13">
        <v>6.5562210083007813</v>
      </c>
      <c r="AF371" s="12">
        <v>1.0433197021484375E-3</v>
      </c>
      <c r="AG371" s="12">
        <v>-24.476963043212891</v>
      </c>
      <c r="AH371" s="13">
        <v>-7.8471202868968248E-9</v>
      </c>
      <c r="AI371" s="13">
        <v>2.4161325200111605E-5</v>
      </c>
      <c r="AJ371" s="11">
        <v>-9.5546245574951172E-5</v>
      </c>
      <c r="AK371" s="11">
        <v>0.54968392848968506</v>
      </c>
      <c r="AL371" s="11">
        <v>0</v>
      </c>
      <c r="AM371" s="11">
        <v>-3.9000000953674316</v>
      </c>
      <c r="AN371" s="11">
        <v>1.6745179891586304E-6</v>
      </c>
      <c r="AO371" s="11">
        <v>-1.0169324465095997E-2</v>
      </c>
      <c r="AP371" s="11">
        <v>55.075281858444214</v>
      </c>
      <c r="AQ371" s="11">
        <v>1655700</v>
      </c>
      <c r="AR371" s="16">
        <v>17150</v>
      </c>
      <c r="AS371" s="16">
        <v>264225</v>
      </c>
      <c r="AT371" s="16">
        <v>55.075281858444214</v>
      </c>
      <c r="AU371" s="7">
        <v>0</v>
      </c>
      <c r="AV371" s="7">
        <v>3.9000000953674316</v>
      </c>
      <c r="AW371" s="7">
        <v>2462.60009765625</v>
      </c>
      <c r="AX371" s="7">
        <v>0</v>
      </c>
      <c r="AY371" s="11">
        <v>0</v>
      </c>
      <c r="AZ371" s="16">
        <v>1250</v>
      </c>
      <c r="BA371" s="16">
        <v>-125</v>
      </c>
      <c r="BB371" s="16">
        <v>225</v>
      </c>
      <c r="BC371" s="11">
        <v>0</v>
      </c>
      <c r="BD371" s="11">
        <v>0</v>
      </c>
      <c r="BE371" s="11">
        <v>0</v>
      </c>
      <c r="BF371" s="11">
        <v>0</v>
      </c>
      <c r="BG371" s="11">
        <v>0</v>
      </c>
      <c r="BH371" s="11">
        <v>0</v>
      </c>
      <c r="BI371" s="13">
        <v>0</v>
      </c>
      <c r="BJ371" s="13">
        <v>0</v>
      </c>
      <c r="BK371" s="11">
        <v>0</v>
      </c>
      <c r="BL371" s="12">
        <v>0</v>
      </c>
      <c r="BM371" s="12">
        <v>0</v>
      </c>
      <c r="BN371" s="13">
        <v>0</v>
      </c>
      <c r="BO371" s="13">
        <v>0</v>
      </c>
      <c r="BP371" s="15">
        <v>0</v>
      </c>
      <c r="BQ371" s="15">
        <v>0</v>
      </c>
      <c r="BR371" s="14">
        <v>0</v>
      </c>
      <c r="BS371" s="14">
        <v>0</v>
      </c>
      <c r="BT371" s="14">
        <v>0</v>
      </c>
      <c r="BU371" s="14">
        <v>0</v>
      </c>
      <c r="BV371" s="11">
        <v>0</v>
      </c>
      <c r="BW371" s="11">
        <v>0</v>
      </c>
      <c r="BX371" s="11">
        <v>0</v>
      </c>
      <c r="BY371" s="11">
        <v>0</v>
      </c>
      <c r="BZ371" s="7">
        <v>2458</v>
      </c>
      <c r="CA371" s="7">
        <v>2525</v>
      </c>
      <c r="CB371" s="7">
        <v>2458</v>
      </c>
      <c r="CC371" s="7">
        <v>2462.60009765625</v>
      </c>
      <c r="CD371" s="7">
        <v>2508.89990234375</v>
      </c>
      <c r="CE371" s="3">
        <v>75</v>
      </c>
      <c r="CF371" s="7">
        <v>2430.10009765625</v>
      </c>
      <c r="CG371" s="3">
        <v>750</v>
      </c>
      <c r="CH371" s="7">
        <v>2480.510009765625</v>
      </c>
      <c r="CI371" s="7">
        <v>3.9500000476837158</v>
      </c>
      <c r="CJ371" s="3">
        <v>1850</v>
      </c>
      <c r="CK371" s="7">
        <v>3.9000000953674316</v>
      </c>
      <c r="CL371" s="3">
        <v>375</v>
      </c>
      <c r="CM371" s="7">
        <v>5.190000057220459</v>
      </c>
      <c r="CN371" s="10">
        <v>44783.638194444444</v>
      </c>
      <c r="CO371" s="10">
        <v>44783.638194444444</v>
      </c>
      <c r="CP371" s="7">
        <v>38295.69921875</v>
      </c>
      <c r="CQ371" s="17" t="s">
        <v>321</v>
      </c>
      <c r="CR371" s="10">
        <v>44783.638194444444</v>
      </c>
      <c r="CS371" s="12">
        <v>1.163482666015625E-2</v>
      </c>
      <c r="CT371" s="18">
        <v>2.112977851510698E-4</v>
      </c>
      <c r="CU371" s="3">
        <v>247075</v>
      </c>
      <c r="CV371" s="18">
        <v>6.9412121825356679E-2</v>
      </c>
      <c r="CW371" s="7">
        <v>3.9000000953674316</v>
      </c>
      <c r="CX371" s="18">
        <v>0</v>
      </c>
      <c r="CY371" s="7">
        <v>2462.60009765625</v>
      </c>
      <c r="CZ371" s="18">
        <v>0</v>
      </c>
      <c r="DA371" s="3">
        <v>1375</v>
      </c>
      <c r="DB371" s="18">
        <v>-9.0909090909090912E-2</v>
      </c>
      <c r="DC371" s="11">
        <v>0</v>
      </c>
      <c r="DD371" s="18">
        <v>0</v>
      </c>
      <c r="DE371" s="7">
        <v>2462.60009765625</v>
      </c>
      <c r="DF371" s="7">
        <v>3.9000000953674316</v>
      </c>
      <c r="DG371" s="7">
        <v>38295.69921875</v>
      </c>
      <c r="DH371" s="3" t="s">
        <v>312</v>
      </c>
      <c r="DI371" s="3" t="s">
        <v>312</v>
      </c>
      <c r="DJ371" s="3" t="s">
        <v>314</v>
      </c>
      <c r="DK371" s="3">
        <v>38300</v>
      </c>
      <c r="DL371" s="3">
        <v>3400000</v>
      </c>
      <c r="DM371" s="3">
        <v>38500</v>
      </c>
      <c r="DN371" s="3">
        <v>0</v>
      </c>
      <c r="DO371" s="3">
        <v>24500</v>
      </c>
      <c r="DP371" s="3">
        <v>2863350</v>
      </c>
      <c r="DQ371" s="28">
        <v>38000</v>
      </c>
      <c r="DR371" s="32">
        <v>0</v>
      </c>
      <c r="DS371" s="32">
        <v>24500</v>
      </c>
      <c r="DT371" s="32" t="s">
        <v>33</v>
      </c>
      <c r="DU371" s="69">
        <v>44784</v>
      </c>
    </row>
    <row r="372" spans="1:125" x14ac:dyDescent="0.25">
      <c r="A372" t="s">
        <v>124</v>
      </c>
      <c r="B372" s="2">
        <v>44861</v>
      </c>
      <c r="C372" s="1">
        <v>2000</v>
      </c>
      <c r="D372">
        <v>75</v>
      </c>
      <c r="M372" s="3"/>
      <c r="N372" s="3"/>
      <c r="O372" s="3">
        <v>35900</v>
      </c>
      <c r="P372" s="7">
        <v>4.0999999046325684</v>
      </c>
      <c r="Q372" s="7">
        <v>3.9500000476837158</v>
      </c>
      <c r="R372" s="7">
        <v>8.1000003814697266</v>
      </c>
      <c r="S372" s="7">
        <v>8.1000003814697266</v>
      </c>
      <c r="T372" s="11">
        <v>1.43359375</v>
      </c>
      <c r="U372" s="11">
        <v>33798.50390625</v>
      </c>
      <c r="V372" s="11">
        <v>-4.2578125</v>
      </c>
      <c r="W372" s="11">
        <v>109070</v>
      </c>
      <c r="X372" s="14">
        <v>8.8402885012328625E-10</v>
      </c>
      <c r="Y372" s="14">
        <v>5.408842844190076E-5</v>
      </c>
      <c r="Z372" s="14">
        <v>-1.3737007975578308E-8</v>
      </c>
      <c r="AA372" s="14">
        <v>2.0817315089516342E-4</v>
      </c>
      <c r="AB372" s="15">
        <v>2.8030910925735952E-12</v>
      </c>
      <c r="AC372" s="15">
        <v>-5.6723994390495136E-8</v>
      </c>
      <c r="AD372" s="13">
        <v>3.6954879760742188E-4</v>
      </c>
      <c r="AE372" s="13">
        <v>6.082003116607666</v>
      </c>
      <c r="AF372" s="12">
        <v>5.054473876953125E-4</v>
      </c>
      <c r="AG372" s="12">
        <v>-23.408143997192383</v>
      </c>
      <c r="AH372" s="13">
        <v>-8.9312379714101553E-10</v>
      </c>
      <c r="AI372" s="13">
        <v>2.6538007659837604E-5</v>
      </c>
      <c r="AJ372" s="11">
        <v>-2.0563602447509766E-5</v>
      </c>
      <c r="AK372" s="11">
        <v>0.58566123247146606</v>
      </c>
      <c r="AL372" s="11">
        <v>0</v>
      </c>
      <c r="AM372" s="11">
        <v>-4.0999999046325684</v>
      </c>
      <c r="AN372" s="11">
        <v>1.862645149230957E-7</v>
      </c>
      <c r="AO372" s="11">
        <v>-1.0936870239675045E-2</v>
      </c>
      <c r="AP372" s="11">
        <v>53.42448353767395</v>
      </c>
      <c r="AQ372" s="11">
        <v>1519525</v>
      </c>
      <c r="AR372" s="16">
        <v>-38625</v>
      </c>
      <c r="AS372" s="16">
        <v>153125</v>
      </c>
      <c r="AT372" s="16">
        <v>53.42448353767395</v>
      </c>
      <c r="AU372" s="7">
        <v>0</v>
      </c>
      <c r="AV372" s="7">
        <v>4.0999999046325684</v>
      </c>
      <c r="AW372" s="7">
        <v>2440</v>
      </c>
      <c r="AX372" s="7">
        <v>0</v>
      </c>
      <c r="AY372" s="11">
        <v>80.173397064208984</v>
      </c>
      <c r="AZ372" s="16">
        <v>1200</v>
      </c>
      <c r="BA372" s="16">
        <v>75</v>
      </c>
      <c r="BB372" s="16">
        <v>325</v>
      </c>
      <c r="BC372" s="11">
        <v>0.93815088272094727</v>
      </c>
      <c r="BD372" s="11">
        <v>5.1379203796386719E-4</v>
      </c>
      <c r="BE372" s="11">
        <v>-96.667442321777344</v>
      </c>
      <c r="BF372" s="11">
        <v>0.8720245361328125</v>
      </c>
      <c r="BG372" s="11">
        <v>2.4793016910552979</v>
      </c>
      <c r="BH372" s="11">
        <v>-1.6072750091552734E-2</v>
      </c>
      <c r="BI372" s="13">
        <v>7.485893729608506E-5</v>
      </c>
      <c r="BJ372" s="13">
        <v>-2.9143120627850294E-7</v>
      </c>
      <c r="BK372" s="11">
        <v>80.173397064208984</v>
      </c>
      <c r="BL372" s="12">
        <v>-2.4359946250915527</v>
      </c>
      <c r="BM372" s="12">
        <v>-2.8814077377319336E-2</v>
      </c>
      <c r="BN372" s="13">
        <v>0.94978904724121094</v>
      </c>
      <c r="BO372" s="13">
        <v>8.8677406311035156E-3</v>
      </c>
      <c r="BP372" s="15">
        <v>-7.2675526041621197E-8</v>
      </c>
      <c r="BQ372" s="15">
        <v>-9.2335028512025019E-11</v>
      </c>
      <c r="BR372" s="14">
        <v>1.2178931501694024E-4</v>
      </c>
      <c r="BS372" s="14">
        <v>1.0447183740325272E-6</v>
      </c>
      <c r="BT372" s="14">
        <v>4.7485391405643895E-5</v>
      </c>
      <c r="BU372" s="14">
        <v>2.8861177270300686E-7</v>
      </c>
      <c r="BV372" s="11">
        <v>7621.9365234375</v>
      </c>
      <c r="BW372" s="11">
        <v>110.64306640625</v>
      </c>
      <c r="BX372" s="11">
        <v>4261.41162109375</v>
      </c>
      <c r="BY372" s="11">
        <v>44.09765625</v>
      </c>
      <c r="BZ372" s="7">
        <v>2312.5</v>
      </c>
      <c r="CA372" s="7">
        <v>2459.699951171875</v>
      </c>
      <c r="CB372" s="7">
        <v>2312.5</v>
      </c>
      <c r="CC372" s="7">
        <v>2440</v>
      </c>
      <c r="CD372" s="7">
        <v>2408.300048828125</v>
      </c>
      <c r="CE372" s="3">
        <v>75</v>
      </c>
      <c r="CF372" s="7">
        <v>2392.300048828125</v>
      </c>
      <c r="CG372" s="3">
        <v>75</v>
      </c>
      <c r="CH372" s="7">
        <v>2391.929931640625</v>
      </c>
      <c r="CI372" s="7">
        <v>4.0999999046325684</v>
      </c>
      <c r="CJ372" s="3">
        <v>1150</v>
      </c>
      <c r="CK372" s="7">
        <v>4.0500001907348633</v>
      </c>
      <c r="CL372" s="3">
        <v>1200</v>
      </c>
      <c r="CM372" s="7">
        <v>5.4600000381469727</v>
      </c>
      <c r="CN372" s="10">
        <v>44783.638194444444</v>
      </c>
      <c r="CO372" s="10">
        <v>44783.638194444444</v>
      </c>
      <c r="CP372" s="7">
        <v>38295.69921875</v>
      </c>
      <c r="CQ372" s="17" t="s">
        <v>321</v>
      </c>
      <c r="CR372" s="10">
        <v>44783.638194444444</v>
      </c>
      <c r="CS372" s="12">
        <v>2.0921230316162109E-3</v>
      </c>
      <c r="CT372" s="18">
        <v>3.9161912752613861E-5</v>
      </c>
      <c r="CU372" s="3">
        <v>191750</v>
      </c>
      <c r="CV372" s="18">
        <v>-0.20143415906127771</v>
      </c>
      <c r="CW372" s="7">
        <v>4.0999999046325684</v>
      </c>
      <c r="CX372" s="18">
        <v>0</v>
      </c>
      <c r="CY372" s="7">
        <v>2440</v>
      </c>
      <c r="CZ372" s="18">
        <v>0</v>
      </c>
      <c r="DA372" s="3">
        <v>1125</v>
      </c>
      <c r="DB372" s="18">
        <v>6.6666666666666666E-2</v>
      </c>
      <c r="DC372" s="11">
        <v>-0.20564794540405273</v>
      </c>
      <c r="DD372" s="18">
        <v>-2.5584770928723773E-3</v>
      </c>
      <c r="DE372" s="7">
        <v>2440</v>
      </c>
      <c r="DF372" s="7">
        <v>4.0999999046325684</v>
      </c>
      <c r="DG372" s="7">
        <v>38295.69921875</v>
      </c>
      <c r="DH372" s="3" t="s">
        <v>312</v>
      </c>
      <c r="DI372" s="3" t="s">
        <v>312</v>
      </c>
      <c r="DJ372" s="3" t="s">
        <v>314</v>
      </c>
      <c r="DK372" s="3">
        <v>38300</v>
      </c>
      <c r="DL372" s="3">
        <v>3400000</v>
      </c>
      <c r="DM372" s="3">
        <v>38500</v>
      </c>
      <c r="DN372" s="3">
        <v>0</v>
      </c>
      <c r="DO372" s="3">
        <v>24500</v>
      </c>
      <c r="DP372" s="3">
        <v>2863350</v>
      </c>
      <c r="DQ372" s="28">
        <v>38000</v>
      </c>
      <c r="DR372" s="32">
        <v>0</v>
      </c>
      <c r="DS372" s="32">
        <v>24500</v>
      </c>
      <c r="DT372" s="32" t="s">
        <v>33</v>
      </c>
      <c r="DU372" s="69">
        <v>44784</v>
      </c>
    </row>
    <row r="373" spans="1:125" x14ac:dyDescent="0.25">
      <c r="A373" t="s">
        <v>125</v>
      </c>
      <c r="B373" s="2">
        <v>44798</v>
      </c>
      <c r="C373" s="1">
        <v>300</v>
      </c>
      <c r="D373">
        <v>86</v>
      </c>
      <c r="M373" s="3"/>
      <c r="N373" s="3"/>
      <c r="O373" s="3">
        <v>36000</v>
      </c>
      <c r="P373" s="7">
        <v>4.4000000953674316</v>
      </c>
      <c r="Q373" s="7">
        <v>4.1999998092651367</v>
      </c>
      <c r="R373" s="7">
        <v>7.6999998092651367</v>
      </c>
      <c r="S373" s="7">
        <v>5.1999998092651367</v>
      </c>
      <c r="T373" s="11">
        <v>315.47265625</v>
      </c>
      <c r="U373" s="11">
        <v>30483.556640625</v>
      </c>
      <c r="V373" s="11">
        <v>1218.625</v>
      </c>
      <c r="W373" s="11">
        <v>100781.1953125</v>
      </c>
      <c r="X373" s="14">
        <v>-1.4994293451309204E-7</v>
      </c>
      <c r="Y373" s="14">
        <v>5.7999179261969402E-5</v>
      </c>
      <c r="Z373" s="14">
        <v>-3.064196789637208E-7</v>
      </c>
      <c r="AA373" s="14">
        <v>2.2981560323387384E-4</v>
      </c>
      <c r="AB373" s="15">
        <v>2.3675994498262298E-10</v>
      </c>
      <c r="AC373" s="15">
        <v>-6.4015338807621447E-8</v>
      </c>
      <c r="AD373" s="13">
        <v>5.1813125610351563E-2</v>
      </c>
      <c r="AE373" s="13">
        <v>5.541496753692627</v>
      </c>
      <c r="AF373" s="12">
        <v>-0.2324676513671875</v>
      </c>
      <c r="AG373" s="12">
        <v>-21.95759391784668</v>
      </c>
      <c r="AH373" s="13">
        <v>-1.9222898117732257E-7</v>
      </c>
      <c r="AI373" s="13">
        <v>2.9539403840317391E-5</v>
      </c>
      <c r="AJ373" s="11">
        <v>-4.9546957015991211E-3</v>
      </c>
      <c r="AK373" s="11">
        <v>0.6332554817199707</v>
      </c>
      <c r="AL373" s="11">
        <v>4.9999713897705078E-2</v>
      </c>
      <c r="AM373" s="11">
        <v>-4.4000000953674316</v>
      </c>
      <c r="AN373" s="11">
        <v>1.0793097317218781E-4</v>
      </c>
      <c r="AO373" s="11">
        <v>-1.1965847574174404E-2</v>
      </c>
      <c r="AP373" s="11">
        <v>51.894551515579224</v>
      </c>
      <c r="AQ373" s="11">
        <v>12718950</v>
      </c>
      <c r="AR373" s="16">
        <v>-71125</v>
      </c>
      <c r="AS373" s="16">
        <v>1994275</v>
      </c>
      <c r="AT373" s="16">
        <v>51.894551515579224</v>
      </c>
      <c r="AU373" s="7">
        <v>-4.9999713897705078E-2</v>
      </c>
      <c r="AV373" s="7">
        <v>4.4000000953674316</v>
      </c>
      <c r="AW373" s="7">
        <v>2292.050048828125</v>
      </c>
      <c r="AX373" s="7">
        <v>0</v>
      </c>
      <c r="AY373" s="11">
        <v>0</v>
      </c>
      <c r="AZ373" s="16">
        <v>31200</v>
      </c>
      <c r="BA373" s="16">
        <v>-2300</v>
      </c>
      <c r="BB373" s="16">
        <v>6000</v>
      </c>
      <c r="BC373" s="11">
        <v>0</v>
      </c>
      <c r="BD373" s="11">
        <v>0</v>
      </c>
      <c r="BE373" s="11">
        <v>0</v>
      </c>
      <c r="BF373" s="11">
        <v>0</v>
      </c>
      <c r="BG373" s="11">
        <v>0</v>
      </c>
      <c r="BH373" s="11">
        <v>0</v>
      </c>
      <c r="BI373" s="13">
        <v>0</v>
      </c>
      <c r="BJ373" s="13">
        <v>0</v>
      </c>
      <c r="BK373" s="11">
        <v>0</v>
      </c>
      <c r="BL373" s="12">
        <v>0</v>
      </c>
      <c r="BM373" s="12">
        <v>0</v>
      </c>
      <c r="BN373" s="13">
        <v>0</v>
      </c>
      <c r="BO373" s="13">
        <v>0</v>
      </c>
      <c r="BP373" s="15">
        <v>0</v>
      </c>
      <c r="BQ373" s="15">
        <v>0</v>
      </c>
      <c r="BR373" s="14">
        <v>0</v>
      </c>
      <c r="BS373" s="14">
        <v>0</v>
      </c>
      <c r="BT373" s="14">
        <v>0</v>
      </c>
      <c r="BU373" s="14">
        <v>0</v>
      </c>
      <c r="BV373" s="11">
        <v>0</v>
      </c>
      <c r="BW373" s="11">
        <v>0</v>
      </c>
      <c r="BX373" s="11">
        <v>0</v>
      </c>
      <c r="BY373" s="11">
        <v>0</v>
      </c>
      <c r="BZ373" s="7">
        <v>2304.10009765625</v>
      </c>
      <c r="CA373" s="7">
        <v>2394.39990234375</v>
      </c>
      <c r="CB373" s="7">
        <v>2175.300048828125</v>
      </c>
      <c r="CC373" s="7">
        <v>2292.050048828125</v>
      </c>
      <c r="CD373" s="7">
        <v>2300.550048828125</v>
      </c>
      <c r="CE373" s="3">
        <v>100</v>
      </c>
      <c r="CF373" s="7">
        <v>2295.050048828125</v>
      </c>
      <c r="CG373" s="3">
        <v>125</v>
      </c>
      <c r="CH373" s="7">
        <v>2300.550048828125</v>
      </c>
      <c r="CI373" s="7">
        <v>4.4499998092651367</v>
      </c>
      <c r="CJ373" s="3">
        <v>2450</v>
      </c>
      <c r="CK373" s="7">
        <v>4.4000000953674316</v>
      </c>
      <c r="CL373" s="3">
        <v>18625</v>
      </c>
      <c r="CM373" s="7">
        <v>5.7699999809265137</v>
      </c>
      <c r="CN373" s="10">
        <v>44783.638194444444</v>
      </c>
      <c r="CO373" s="10">
        <v>44783.638194444444</v>
      </c>
      <c r="CP373" s="7">
        <v>38295.69921875</v>
      </c>
      <c r="CQ373" s="17" t="s">
        <v>321</v>
      </c>
      <c r="CR373" s="10">
        <v>44783.638194444444</v>
      </c>
      <c r="CS373" s="12">
        <v>-6.7126750946044922E-2</v>
      </c>
      <c r="CT373" s="18">
        <v>-1.2918510946034877E-3</v>
      </c>
      <c r="CU373" s="3">
        <v>2065400</v>
      </c>
      <c r="CV373" s="18">
        <v>-3.4436428778929024E-2</v>
      </c>
      <c r="CW373" s="7">
        <v>4.4000000953674316</v>
      </c>
      <c r="CX373" s="18">
        <v>-1.1235891245119384E-2</v>
      </c>
      <c r="CY373" s="7">
        <v>2292.050048828125</v>
      </c>
      <c r="CZ373" s="18">
        <v>0</v>
      </c>
      <c r="DA373" s="3">
        <v>33500</v>
      </c>
      <c r="DB373" s="18">
        <v>-6.8656716417910449E-2</v>
      </c>
      <c r="DC373" s="11">
        <v>0</v>
      </c>
      <c r="DD373" s="18">
        <v>0</v>
      </c>
      <c r="DE373" s="7">
        <v>2292.050048828125</v>
      </c>
      <c r="DF373" s="7">
        <v>4.4000000953674316</v>
      </c>
      <c r="DG373" s="7">
        <v>38295.69921875</v>
      </c>
      <c r="DH373" s="3" t="s">
        <v>312</v>
      </c>
      <c r="DI373" s="3" t="s">
        <v>313</v>
      </c>
      <c r="DJ373" s="3" t="s">
        <v>314</v>
      </c>
      <c r="DK373" s="3">
        <v>38300</v>
      </c>
      <c r="DL373" s="3">
        <v>3400000</v>
      </c>
      <c r="DM373" s="3">
        <v>38500</v>
      </c>
      <c r="DN373" s="3">
        <v>0</v>
      </c>
      <c r="DO373" s="3">
        <v>24500</v>
      </c>
      <c r="DP373" s="3">
        <v>2863350</v>
      </c>
      <c r="DQ373" s="28">
        <v>38000</v>
      </c>
      <c r="DR373" s="32">
        <v>0</v>
      </c>
      <c r="DS373" s="32">
        <v>24500</v>
      </c>
      <c r="DT373" s="32" t="s">
        <v>33</v>
      </c>
      <c r="DU373" s="69">
        <v>44784</v>
      </c>
    </row>
    <row r="374" spans="1:125" x14ac:dyDescent="0.25">
      <c r="A374" t="s">
        <v>125</v>
      </c>
      <c r="B374" s="2">
        <v>44833</v>
      </c>
      <c r="C374" s="1">
        <v>300</v>
      </c>
      <c r="D374">
        <v>86</v>
      </c>
      <c r="M374" s="3"/>
      <c r="N374" s="3"/>
      <c r="O374" s="3">
        <v>36100</v>
      </c>
      <c r="P374" s="7">
        <v>4.6500000953674316</v>
      </c>
      <c r="Q374" s="7">
        <v>4.4000000953674316</v>
      </c>
      <c r="R374" s="7">
        <v>8.6999998092651367</v>
      </c>
      <c r="S374" s="7">
        <v>7.3000001907348633</v>
      </c>
      <c r="T374" s="11">
        <v>1.224609375</v>
      </c>
      <c r="U374" s="11">
        <v>27835.005859375</v>
      </c>
      <c r="V374" s="11">
        <v>-3.671875</v>
      </c>
      <c r="W374" s="11">
        <v>94624.390625</v>
      </c>
      <c r="X374" s="14">
        <v>9.1677065938711166E-10</v>
      </c>
      <c r="Y374" s="14">
        <v>6.2028004322201014E-5</v>
      </c>
      <c r="Z374" s="14">
        <v>-1.752050593495369E-8</v>
      </c>
      <c r="AA374" s="14">
        <v>2.5386703782714903E-4</v>
      </c>
      <c r="AB374" s="15">
        <v>3.836930773104541E-12</v>
      </c>
      <c r="AC374" s="15">
        <v>-7.2141347118304111E-8</v>
      </c>
      <c r="AD374" s="13">
        <v>3.1709671020507813E-4</v>
      </c>
      <c r="AE374" s="13">
        <v>5.106330394744873</v>
      </c>
      <c r="AF374" s="12">
        <v>4.53948974609375E-4</v>
      </c>
      <c r="AG374" s="12">
        <v>-20.899091720581055</v>
      </c>
      <c r="AH374" s="13">
        <v>-1.1823431123048067E-9</v>
      </c>
      <c r="AI374" s="13">
        <v>3.2675266993464902E-5</v>
      </c>
      <c r="AJ374" s="11">
        <v>-2.4557113647460938E-5</v>
      </c>
      <c r="AK374" s="11">
        <v>0.67810481786727905</v>
      </c>
      <c r="AL374" s="11">
        <v>0</v>
      </c>
      <c r="AM374" s="11">
        <v>-4.6500000953674316</v>
      </c>
      <c r="AN374" s="11">
        <v>2.3748725652694702E-7</v>
      </c>
      <c r="AO374" s="11">
        <v>-1.295006275177002E-2</v>
      </c>
      <c r="AP374" s="11">
        <v>50.239133834838867</v>
      </c>
      <c r="AQ374" s="11">
        <v>2215725</v>
      </c>
      <c r="AR374" s="16">
        <v>42275</v>
      </c>
      <c r="AS374" s="16">
        <v>239075</v>
      </c>
      <c r="AT374" s="16">
        <v>50.239133834838867</v>
      </c>
      <c r="AU374" s="7">
        <v>0</v>
      </c>
      <c r="AV374" s="7">
        <v>4.6500000953674316</v>
      </c>
      <c r="AW374" s="7">
        <v>2266.85009765625</v>
      </c>
      <c r="AX374" s="7">
        <v>0</v>
      </c>
      <c r="AY374" s="11">
        <v>83.869516849517822</v>
      </c>
      <c r="AZ374" s="16">
        <v>2875</v>
      </c>
      <c r="BA374" s="16">
        <v>25</v>
      </c>
      <c r="BB374" s="16">
        <v>525</v>
      </c>
      <c r="BC374" s="11">
        <v>0.91128355264663696</v>
      </c>
      <c r="BD374" s="11">
        <v>4.3451786041259766E-4</v>
      </c>
      <c r="BE374" s="11">
        <v>-133.19032287597656</v>
      </c>
      <c r="BF374" s="11">
        <v>0.7217254638671875</v>
      </c>
      <c r="BG374" s="11">
        <v>3.2654869556427002</v>
      </c>
      <c r="BH374" s="11">
        <v>-1.1922597885131836E-2</v>
      </c>
      <c r="BI374" s="13">
        <v>9.4251518021337688E-5</v>
      </c>
      <c r="BJ374" s="13">
        <v>-1.7234560800716281E-7</v>
      </c>
      <c r="BK374" s="11">
        <v>83.869516849517822</v>
      </c>
      <c r="BL374" s="12">
        <v>-1.5404098033905029</v>
      </c>
      <c r="BM374" s="12">
        <v>-1.162409782409668E-2</v>
      </c>
      <c r="BN374" s="13">
        <v>0.62829118967056274</v>
      </c>
      <c r="BO374" s="13">
        <v>3.6428570747375488E-3</v>
      </c>
      <c r="BP374" s="15">
        <v>-7.7032552781020058E-8</v>
      </c>
      <c r="BQ374" s="15">
        <v>-1.4348700005939463E-10</v>
      </c>
      <c r="BR374" s="14">
        <v>8.5291132563725114E-5</v>
      </c>
      <c r="BS374" s="14">
        <v>8.1425969256088138E-7</v>
      </c>
      <c r="BT374" s="14">
        <v>3.478792859823443E-5</v>
      </c>
      <c r="BU374" s="14">
        <v>2.7142596081830561E-7</v>
      </c>
      <c r="BV374" s="11">
        <v>4222.5986328125</v>
      </c>
      <c r="BW374" s="11">
        <v>40.2216796875</v>
      </c>
      <c r="BX374" s="11">
        <v>2701.4306640625</v>
      </c>
      <c r="BY374" s="11">
        <v>16.99072265625</v>
      </c>
      <c r="BZ374" s="7">
        <v>2191.25</v>
      </c>
      <c r="CA374" s="7">
        <v>2266.85009765625</v>
      </c>
      <c r="CB374" s="7">
        <v>2140.800048828125</v>
      </c>
      <c r="CC374" s="7">
        <v>2266.85009765625</v>
      </c>
      <c r="CD374" s="7">
        <v>2205.800048828125</v>
      </c>
      <c r="CE374" s="3">
        <v>475</v>
      </c>
      <c r="CF374" s="7">
        <v>2192.35009765625</v>
      </c>
      <c r="CG374" s="3">
        <v>125</v>
      </c>
      <c r="CH374" s="7">
        <v>2196.72998046875</v>
      </c>
      <c r="CI374" s="7">
        <v>4.6999998092651367</v>
      </c>
      <c r="CJ374" s="3">
        <v>1075</v>
      </c>
      <c r="CK374" s="7">
        <v>4.6500000953674316</v>
      </c>
      <c r="CL374" s="3">
        <v>650</v>
      </c>
      <c r="CM374" s="7">
        <v>6.1999998092651367</v>
      </c>
      <c r="CN374" s="10">
        <v>44783.638194444444</v>
      </c>
      <c r="CO374" s="10">
        <v>44783.638194444444</v>
      </c>
      <c r="CP374" s="7">
        <v>38295.69921875</v>
      </c>
      <c r="CQ374" s="17" t="s">
        <v>321</v>
      </c>
      <c r="CR374" s="10">
        <v>44783.638194444444</v>
      </c>
      <c r="CS374" s="12">
        <v>2.0384788513183594E-3</v>
      </c>
      <c r="CT374" s="18">
        <v>4.0577163884046126E-5</v>
      </c>
      <c r="CU374" s="3">
        <v>196800</v>
      </c>
      <c r="CV374" s="18">
        <v>0.2148119918699187</v>
      </c>
      <c r="CW374" s="7">
        <v>4.6500000953674316</v>
      </c>
      <c r="CX374" s="18">
        <v>0</v>
      </c>
      <c r="CY374" s="7">
        <v>2266.85009765625</v>
      </c>
      <c r="CZ374" s="18">
        <v>0</v>
      </c>
      <c r="DA374" s="3">
        <v>2850</v>
      </c>
      <c r="DB374" s="18">
        <v>8.771929824561403E-3</v>
      </c>
      <c r="DC374" s="11">
        <v>-0.15135407447814941</v>
      </c>
      <c r="DD374" s="18">
        <v>-1.8013866413627401E-3</v>
      </c>
      <c r="DE374" s="7">
        <v>2266.85009765625</v>
      </c>
      <c r="DF374" s="7">
        <v>4.6500000953674316</v>
      </c>
      <c r="DG374" s="7">
        <v>38295.69921875</v>
      </c>
      <c r="DH374" s="3" t="s">
        <v>312</v>
      </c>
      <c r="DI374" s="3" t="s">
        <v>312</v>
      </c>
      <c r="DJ374" s="3" t="s">
        <v>314</v>
      </c>
      <c r="DK374" s="3">
        <v>38300</v>
      </c>
      <c r="DL374" s="3">
        <v>3400000</v>
      </c>
      <c r="DM374" s="3">
        <v>38500</v>
      </c>
      <c r="DN374" s="3">
        <v>0</v>
      </c>
      <c r="DO374" s="3">
        <v>24500</v>
      </c>
      <c r="DP374" s="3">
        <v>2863350</v>
      </c>
      <c r="DQ374" s="28">
        <v>38000</v>
      </c>
      <c r="DR374" s="32">
        <v>0</v>
      </c>
      <c r="DS374" s="32">
        <v>24500</v>
      </c>
      <c r="DT374" s="32" t="s">
        <v>33</v>
      </c>
      <c r="DU374" s="69">
        <v>44784</v>
      </c>
    </row>
    <row r="375" spans="1:125" x14ac:dyDescent="0.25">
      <c r="A375" t="s">
        <v>125</v>
      </c>
      <c r="B375" s="2">
        <v>44861</v>
      </c>
      <c r="C375" s="1">
        <v>300</v>
      </c>
      <c r="D375">
        <v>86</v>
      </c>
      <c r="M375" s="3"/>
      <c r="N375" s="3"/>
      <c r="O375" s="3">
        <v>36200</v>
      </c>
      <c r="P375" s="7">
        <v>4.75</v>
      </c>
      <c r="Q375" s="7">
        <v>4.5</v>
      </c>
      <c r="R375" s="7">
        <v>11</v>
      </c>
      <c r="S375" s="7">
        <v>11</v>
      </c>
      <c r="T375" s="11">
        <v>0</v>
      </c>
      <c r="U375" s="11">
        <v>26157.5</v>
      </c>
      <c r="V375" s="11">
        <v>0</v>
      </c>
      <c r="W375" s="11">
        <v>92137.1875</v>
      </c>
      <c r="X375" s="14">
        <v>0</v>
      </c>
      <c r="Y375" s="14">
        <v>6.598209438379854E-5</v>
      </c>
      <c r="Z375" s="14">
        <v>0</v>
      </c>
      <c r="AA375" s="14">
        <v>2.8070731787011027E-4</v>
      </c>
      <c r="AB375" s="15">
        <v>0</v>
      </c>
      <c r="AC375" s="15">
        <v>-8.0862221807365131E-8</v>
      </c>
      <c r="AD375" s="13">
        <v>0</v>
      </c>
      <c r="AE375" s="13">
        <v>4.8288698196411133</v>
      </c>
      <c r="AF375" s="12">
        <v>0</v>
      </c>
      <c r="AG375" s="12">
        <v>-20.543437957763672</v>
      </c>
      <c r="AH375" s="13">
        <v>0</v>
      </c>
      <c r="AI375" s="13">
        <v>3.5585369914770126E-5</v>
      </c>
      <c r="AJ375" s="11">
        <v>0</v>
      </c>
      <c r="AK375" s="11">
        <v>0.71052396297454834</v>
      </c>
      <c r="AL375" s="11">
        <v>0</v>
      </c>
      <c r="AM375" s="11">
        <v>-4.75</v>
      </c>
      <c r="AN375" s="11">
        <v>0</v>
      </c>
      <c r="AO375" s="11">
        <v>-1.3669148087501526E-2</v>
      </c>
      <c r="AP375" s="11">
        <v>48.333892226219177</v>
      </c>
      <c r="AQ375" s="11">
        <v>3109575</v>
      </c>
      <c r="AR375" s="16">
        <v>-83275</v>
      </c>
      <c r="AS375" s="16">
        <v>414650</v>
      </c>
      <c r="AT375" s="16">
        <v>48.333892226219177</v>
      </c>
      <c r="AU375" s="7">
        <v>0</v>
      </c>
      <c r="AV375" s="7">
        <v>4.75</v>
      </c>
      <c r="AW375" s="7">
        <v>2130</v>
      </c>
      <c r="AX375" s="7">
        <v>0</v>
      </c>
      <c r="AY375" s="11">
        <v>68.023449182510376</v>
      </c>
      <c r="AZ375" s="16">
        <v>3525</v>
      </c>
      <c r="BA375" s="16">
        <v>0</v>
      </c>
      <c r="BB375" s="16">
        <v>575</v>
      </c>
      <c r="BC375" s="11">
        <v>0.94258689880371094</v>
      </c>
      <c r="BD375" s="11">
        <v>5.6684017181396484E-5</v>
      </c>
      <c r="BE375" s="11">
        <v>-77.372627258300781</v>
      </c>
      <c r="BF375" s="11">
        <v>7.955169677734375E-2</v>
      </c>
      <c r="BG375" s="11">
        <v>2.3387799263000488</v>
      </c>
      <c r="BH375" s="11">
        <v>-1.8634796142578125E-3</v>
      </c>
      <c r="BI375" s="13">
        <v>8.3232924225740135E-5</v>
      </c>
      <c r="BJ375" s="13">
        <v>-4.007597453892231E-8</v>
      </c>
      <c r="BK375" s="11">
        <v>68.023449182510376</v>
      </c>
      <c r="BL375" s="12">
        <v>-3.1327540874481201</v>
      </c>
      <c r="BM375" s="12">
        <v>-4.3108463287353516E-3</v>
      </c>
      <c r="BN375" s="13">
        <v>1.0363925695419312</v>
      </c>
      <c r="BO375" s="13">
        <v>1.1868476867675781E-3</v>
      </c>
      <c r="BP375" s="15">
        <v>-9.7105669283337193E-8</v>
      </c>
      <c r="BQ375" s="15">
        <v>-1.0878409284487134E-11</v>
      </c>
      <c r="BR375" s="14">
        <v>1.7492234474048018E-4</v>
      </c>
      <c r="BS375" s="14">
        <v>1.5365367289632559E-7</v>
      </c>
      <c r="BT375" s="14">
        <v>5.7868641306413338E-5</v>
      </c>
      <c r="BU375" s="14">
        <v>3.746390575543046E-8</v>
      </c>
      <c r="BV375" s="11">
        <v>10040.1240234375</v>
      </c>
      <c r="BW375" s="11">
        <v>16.7431640625</v>
      </c>
      <c r="BX375" s="11">
        <v>4688.63818359375</v>
      </c>
      <c r="BY375" s="11">
        <v>5.86376953125</v>
      </c>
      <c r="BZ375" s="7">
        <v>2018.5</v>
      </c>
      <c r="CA375" s="7">
        <v>2130</v>
      </c>
      <c r="CB375" s="7">
        <v>1996.300048828125</v>
      </c>
      <c r="CC375" s="7">
        <v>2130</v>
      </c>
      <c r="CD375" s="7">
        <v>2105.64990234375</v>
      </c>
      <c r="CE375" s="3">
        <v>50</v>
      </c>
      <c r="CF375" s="7">
        <v>2090.64990234375</v>
      </c>
      <c r="CG375" s="3">
        <v>125</v>
      </c>
      <c r="CH375" s="7">
        <v>2081.3701171875</v>
      </c>
      <c r="CI375" s="7">
        <v>4.8000001907348633</v>
      </c>
      <c r="CJ375" s="3">
        <v>1325</v>
      </c>
      <c r="CK375" s="7">
        <v>4.75</v>
      </c>
      <c r="CL375" s="3">
        <v>2075</v>
      </c>
      <c r="CM375" s="7">
        <v>6.4600000381469727</v>
      </c>
      <c r="CN375" s="10">
        <v>44783.638194444444</v>
      </c>
      <c r="CO375" s="10">
        <v>44783.638194444444</v>
      </c>
      <c r="CP375" s="7">
        <v>38295.69921875</v>
      </c>
      <c r="CQ375" s="17" t="s">
        <v>321</v>
      </c>
      <c r="CR375" s="10">
        <v>44783.638194444444</v>
      </c>
      <c r="CS375" s="12">
        <v>0</v>
      </c>
      <c r="CT375" s="18">
        <v>0</v>
      </c>
      <c r="CU375" s="3">
        <v>497925</v>
      </c>
      <c r="CV375" s="18">
        <v>-0.16724406286087262</v>
      </c>
      <c r="CW375" s="7">
        <v>4.75</v>
      </c>
      <c r="CX375" s="18">
        <v>0</v>
      </c>
      <c r="CY375" s="7">
        <v>2130</v>
      </c>
      <c r="CZ375" s="18">
        <v>0</v>
      </c>
      <c r="DA375" s="3">
        <v>3525</v>
      </c>
      <c r="DB375" s="18">
        <v>0</v>
      </c>
      <c r="DC375" s="11">
        <v>-1.8668174743652344E-2</v>
      </c>
      <c r="DD375" s="18">
        <v>-2.7436204910607641E-4</v>
      </c>
      <c r="DE375" s="7">
        <v>2130</v>
      </c>
      <c r="DF375" s="7">
        <v>4.75</v>
      </c>
      <c r="DG375" s="7">
        <v>38295.69921875</v>
      </c>
      <c r="DH375" s="3" t="s">
        <v>312</v>
      </c>
      <c r="DI375" s="3" t="s">
        <v>312</v>
      </c>
      <c r="DJ375" s="3" t="s">
        <v>314</v>
      </c>
      <c r="DK375" s="3">
        <v>38300</v>
      </c>
      <c r="DL375" s="3">
        <v>3400000</v>
      </c>
      <c r="DM375" s="3">
        <v>38500</v>
      </c>
      <c r="DN375" s="3">
        <v>0</v>
      </c>
      <c r="DO375" s="3">
        <v>24500</v>
      </c>
      <c r="DP375" s="3">
        <v>2863350</v>
      </c>
      <c r="DQ375" s="28">
        <v>38000</v>
      </c>
      <c r="DR375" s="32">
        <v>0</v>
      </c>
      <c r="DS375" s="32">
        <v>24500</v>
      </c>
      <c r="DT375" s="32" t="s">
        <v>33</v>
      </c>
      <c r="DU375" s="69">
        <v>44784</v>
      </c>
    </row>
    <row r="376" spans="1:125" x14ac:dyDescent="0.25">
      <c r="A376" t="s">
        <v>126</v>
      </c>
      <c r="B376" s="2">
        <v>44798</v>
      </c>
      <c r="C376" s="1">
        <v>150</v>
      </c>
      <c r="D376">
        <v>54</v>
      </c>
      <c r="M376" s="3"/>
      <c r="N376" s="3"/>
      <c r="O376" s="3">
        <v>36300</v>
      </c>
      <c r="P376" s="7">
        <v>5.3000001907348633</v>
      </c>
      <c r="Q376" s="7">
        <v>4.9000000953674316</v>
      </c>
      <c r="R376" s="7">
        <v>10.5</v>
      </c>
      <c r="S376" s="7">
        <v>10.5</v>
      </c>
      <c r="T376" s="11">
        <v>-386.26171875</v>
      </c>
      <c r="U376" s="11">
        <v>22675.6953125</v>
      </c>
      <c r="V376" s="11">
        <v>-1704.0625</v>
      </c>
      <c r="W376" s="11">
        <v>81495.734375</v>
      </c>
      <c r="X376" s="14">
        <v>2.0190782379359007E-7</v>
      </c>
      <c r="Y376" s="14">
        <v>7.1309827035292983E-5</v>
      </c>
      <c r="Z376" s="14">
        <v>-1.6880221664905548E-9</v>
      </c>
      <c r="AA376" s="14">
        <v>3.1196096097119153E-4</v>
      </c>
      <c r="AB376" s="15">
        <v>-3.9938896634339471E-10</v>
      </c>
      <c r="AC376" s="15">
        <v>-9.2990831035422161E-8</v>
      </c>
      <c r="AD376" s="13">
        <v>-6.4898490905761719E-2</v>
      </c>
      <c r="AE376" s="13">
        <v>4.2472848892211914</v>
      </c>
      <c r="AF376" s="12">
        <v>0.33758163452148438</v>
      </c>
      <c r="AG376" s="12">
        <v>-18.580707550048828</v>
      </c>
      <c r="AH376" s="13">
        <v>3.9254155126400292E-7</v>
      </c>
      <c r="AI376" s="13">
        <v>4.0693383198231459E-5</v>
      </c>
      <c r="AJ376" s="11">
        <v>9.7796916961669922E-3</v>
      </c>
      <c r="AK376" s="11">
        <v>0.79008066654205322</v>
      </c>
      <c r="AL376" s="11">
        <v>-0.10000038146972656</v>
      </c>
      <c r="AM376" s="11">
        <v>-5.3000001907348633</v>
      </c>
      <c r="AN376" s="11">
        <v>-2.2298935800790787E-4</v>
      </c>
      <c r="AO376" s="11">
        <v>-1.5463473275303841E-2</v>
      </c>
      <c r="AP376" s="11">
        <v>47.001290321350098</v>
      </c>
      <c r="AQ376" s="11">
        <v>3229475</v>
      </c>
      <c r="AR376" s="16">
        <v>4000</v>
      </c>
      <c r="AS376" s="16">
        <v>466475</v>
      </c>
      <c r="AT376" s="16">
        <v>47.001290321350098</v>
      </c>
      <c r="AU376" s="7">
        <v>0.10000038146972656</v>
      </c>
      <c r="AV376" s="7">
        <v>5.3000001907348633</v>
      </c>
      <c r="AW376" s="7">
        <v>2066.75</v>
      </c>
      <c r="AX376" s="7">
        <v>0</v>
      </c>
      <c r="AY376" s="11">
        <v>77.917236089706421</v>
      </c>
      <c r="AZ376" s="16">
        <v>3275</v>
      </c>
      <c r="BA376" s="16">
        <v>125</v>
      </c>
      <c r="BB376" s="16">
        <v>650</v>
      </c>
      <c r="BC376" s="11">
        <v>0.90572988986968994</v>
      </c>
      <c r="BD376" s="11">
        <v>4.1723251342773438E-5</v>
      </c>
      <c r="BE376" s="11">
        <v>-129.43653869628906</v>
      </c>
      <c r="BF376" s="11">
        <v>5.85174560546875E-2</v>
      </c>
      <c r="BG376" s="11">
        <v>3.415733814239502</v>
      </c>
      <c r="BH376" s="11">
        <v>-1.1842250823974609E-3</v>
      </c>
      <c r="BI376" s="13">
        <v>1.0612376354401931E-4</v>
      </c>
      <c r="BJ376" s="13">
        <v>-1.6720150597393513E-8</v>
      </c>
      <c r="BK376" s="11">
        <v>77.917236089706421</v>
      </c>
      <c r="BL376" s="12">
        <v>-1.5478894710540771</v>
      </c>
      <c r="BM376" s="12">
        <v>-1.0448694229125977E-3</v>
      </c>
      <c r="BN376" s="13">
        <v>0.58656054735183716</v>
      </c>
      <c r="BO376" s="13">
        <v>3.3426284790039063E-4</v>
      </c>
      <c r="BP376" s="15">
        <v>-9.0887446901888325E-8</v>
      </c>
      <c r="BQ376" s="15">
        <v>-1.7180923350679222E-11</v>
      </c>
      <c r="BR376" s="14">
        <v>9.1882713604718447E-5</v>
      </c>
      <c r="BS376" s="14">
        <v>8.7922671809792519E-8</v>
      </c>
      <c r="BT376" s="14">
        <v>3.4818229323718697E-5</v>
      </c>
      <c r="BU376" s="14">
        <v>2.9656803235411644E-8</v>
      </c>
      <c r="BV376" s="11">
        <v>4136.70751953125</v>
      </c>
      <c r="BW376" s="11">
        <v>3.48828125</v>
      </c>
      <c r="BX376" s="11">
        <v>2503.653564453125</v>
      </c>
      <c r="BY376" s="11">
        <v>1.484130859375</v>
      </c>
      <c r="BZ376" s="7">
        <v>1986.800048828125</v>
      </c>
      <c r="CA376" s="7">
        <v>2093</v>
      </c>
      <c r="CB376" s="7">
        <v>1912.0999755859375</v>
      </c>
      <c r="CC376" s="7">
        <v>2066.75</v>
      </c>
      <c r="CD376" s="7">
        <v>2006</v>
      </c>
      <c r="CE376" s="3">
        <v>125</v>
      </c>
      <c r="CF376" s="7">
        <v>1993.699951171875</v>
      </c>
      <c r="CG376" s="3">
        <v>125</v>
      </c>
      <c r="CH376" s="7">
        <v>2013.06005859375</v>
      </c>
      <c r="CI376" s="7">
        <v>5.3000001907348633</v>
      </c>
      <c r="CJ376" s="3">
        <v>3375</v>
      </c>
      <c r="CK376" s="7">
        <v>5.1999998092651367</v>
      </c>
      <c r="CL376" s="3">
        <v>8300</v>
      </c>
      <c r="CM376" s="7">
        <v>6.9600000381469727</v>
      </c>
      <c r="CN376" s="10">
        <v>44783.638194444444</v>
      </c>
      <c r="CO376" s="10">
        <v>44783.638194444444</v>
      </c>
      <c r="CP376" s="7">
        <v>38295.69921875</v>
      </c>
      <c r="CQ376" s="17" t="s">
        <v>321</v>
      </c>
      <c r="CR376" s="10">
        <v>44783.638194444444</v>
      </c>
      <c r="CS376" s="12">
        <v>0.13130307197570801</v>
      </c>
      <c r="CT376" s="18">
        <v>2.8014317835655185E-3</v>
      </c>
      <c r="CU376" s="3">
        <v>462475</v>
      </c>
      <c r="CV376" s="18">
        <v>8.6491161684415369E-3</v>
      </c>
      <c r="CW376" s="7">
        <v>5.3000001907348633</v>
      </c>
      <c r="CX376" s="18">
        <v>1.9230843295715158E-2</v>
      </c>
      <c r="CY376" s="7">
        <v>2066.75</v>
      </c>
      <c r="CZ376" s="18">
        <v>0</v>
      </c>
      <c r="DA376" s="3">
        <v>3150</v>
      </c>
      <c r="DB376" s="18">
        <v>3.968253968253968E-2</v>
      </c>
      <c r="DC376" s="11">
        <v>-1.1575222015380859E-2</v>
      </c>
      <c r="DD376" s="18">
        <v>-1.4853584727577836E-4</v>
      </c>
      <c r="DE376" s="7">
        <v>2066.75</v>
      </c>
      <c r="DF376" s="7">
        <v>5.3000001907348633</v>
      </c>
      <c r="DG376" s="7">
        <v>38295.69921875</v>
      </c>
      <c r="DH376" s="3" t="s">
        <v>312</v>
      </c>
      <c r="DI376" s="3" t="s">
        <v>314</v>
      </c>
      <c r="DJ376" s="3" t="s">
        <v>314</v>
      </c>
      <c r="DK376" s="3">
        <v>38300</v>
      </c>
      <c r="DL376" s="3">
        <v>3400000</v>
      </c>
      <c r="DM376" s="3">
        <v>38500</v>
      </c>
      <c r="DN376" s="3">
        <v>0</v>
      </c>
      <c r="DO376" s="3">
        <v>24500</v>
      </c>
      <c r="DP376" s="3">
        <v>2863350</v>
      </c>
      <c r="DQ376" s="28">
        <v>38000</v>
      </c>
      <c r="DR376" s="32">
        <v>0</v>
      </c>
      <c r="DS376" s="32">
        <v>24500</v>
      </c>
      <c r="DT376" s="32" t="s">
        <v>33</v>
      </c>
      <c r="DU376" s="69">
        <v>44784</v>
      </c>
    </row>
    <row r="377" spans="1:125" x14ac:dyDescent="0.25">
      <c r="A377" t="s">
        <v>126</v>
      </c>
      <c r="B377" s="2">
        <v>44833</v>
      </c>
      <c r="C377" s="1">
        <v>150</v>
      </c>
      <c r="D377">
        <v>54</v>
      </c>
      <c r="M377" s="3"/>
      <c r="N377" s="3"/>
      <c r="O377" s="3">
        <v>36400</v>
      </c>
      <c r="P377" s="7">
        <v>5.6500000953674316</v>
      </c>
      <c r="Q377" s="7">
        <v>5.1999998092651367</v>
      </c>
      <c r="R377" s="7">
        <v>10.600000381469727</v>
      </c>
      <c r="S377" s="7">
        <v>9.6499996185302734</v>
      </c>
      <c r="T377" s="11">
        <v>6.15234375</v>
      </c>
      <c r="U377" s="11">
        <v>20433.677734375</v>
      </c>
      <c r="V377" s="11">
        <v>0.8515625</v>
      </c>
      <c r="W377" s="11">
        <v>75687.8046875</v>
      </c>
      <c r="X377" s="14">
        <v>-2.2817403078079224E-8</v>
      </c>
      <c r="Y377" s="14">
        <v>7.6490752690006047E-5</v>
      </c>
      <c r="Z377" s="14">
        <v>-2.0951847545802593E-7</v>
      </c>
      <c r="AA377" s="14">
        <v>3.4696253715083003E-4</v>
      </c>
      <c r="AB377" s="15">
        <v>7.0066619173303479E-11</v>
      </c>
      <c r="AC377" s="15">
        <v>-1.0612217948846592E-7</v>
      </c>
      <c r="AD377" s="13">
        <v>1.0845661163330078E-3</v>
      </c>
      <c r="AE377" s="13">
        <v>3.8685977458953857</v>
      </c>
      <c r="AF377" s="12">
        <v>4.405975341796875E-4</v>
      </c>
      <c r="AG377" s="12">
        <v>-17.547983169555664</v>
      </c>
      <c r="AH377" s="13">
        <v>-2.0543666323646903E-8</v>
      </c>
      <c r="AI377" s="13">
        <v>4.5558841520687565E-5</v>
      </c>
      <c r="AJ377" s="11">
        <v>-1.7333030700683594E-4</v>
      </c>
      <c r="AK377" s="11">
        <v>0.85316669940948486</v>
      </c>
      <c r="AL377" s="11">
        <v>0</v>
      </c>
      <c r="AM377" s="11">
        <v>-5.6500000953674316</v>
      </c>
      <c r="AN377" s="11">
        <v>3.8743019104003906E-6</v>
      </c>
      <c r="AO377" s="11">
        <v>-1.6913628205657005E-2</v>
      </c>
      <c r="AP377" s="11">
        <v>45.332092046737671</v>
      </c>
      <c r="AQ377" s="11">
        <v>3403200</v>
      </c>
      <c r="AR377" s="16">
        <v>-93325</v>
      </c>
      <c r="AS377" s="16">
        <v>336450</v>
      </c>
      <c r="AT377" s="16">
        <v>45.332092046737671</v>
      </c>
      <c r="AU377" s="7">
        <v>0</v>
      </c>
      <c r="AV377" s="7">
        <v>5.6500000953674316</v>
      </c>
      <c r="AW377" s="7">
        <v>1946</v>
      </c>
      <c r="AX377" s="7">
        <v>0</v>
      </c>
      <c r="AY377" s="11">
        <v>68.580830097198486</v>
      </c>
      <c r="AZ377" s="16">
        <v>3675</v>
      </c>
      <c r="BA377" s="16">
        <v>50</v>
      </c>
      <c r="BB377" s="16">
        <v>450</v>
      </c>
      <c r="BC377" s="11">
        <v>0.92116785049438477</v>
      </c>
      <c r="BD377" s="11">
        <v>5.0723552703857422E-5</v>
      </c>
      <c r="BE377" s="11">
        <v>-99.663993835449219</v>
      </c>
      <c r="BF377" s="11">
        <v>6.656646728515625E-2</v>
      </c>
      <c r="BG377" s="11">
        <v>2.988107442855835</v>
      </c>
      <c r="BH377" s="11">
        <v>-1.5180110931396484E-3</v>
      </c>
      <c r="BI377" s="13">
        <v>1.05477032775525E-4</v>
      </c>
      <c r="BJ377" s="13">
        <v>-2.7874193619936705E-8</v>
      </c>
      <c r="BK377" s="11">
        <v>68.580830097198486</v>
      </c>
      <c r="BL377" s="12">
        <v>-2.1728930473327637</v>
      </c>
      <c r="BM377" s="12">
        <v>-2.0573139190673828E-3</v>
      </c>
      <c r="BN377" s="13">
        <v>0.72473698854446411</v>
      </c>
      <c r="BO377" s="13">
        <v>5.7047605514526367E-4</v>
      </c>
      <c r="BP377" s="15">
        <v>-1.0967715979859349E-7</v>
      </c>
      <c r="BQ377" s="15">
        <v>-2.1017854123783763E-11</v>
      </c>
      <c r="BR377" s="14">
        <v>1.4534957881551236E-4</v>
      </c>
      <c r="BS377" s="14">
        <v>1.4093529898673296E-7</v>
      </c>
      <c r="BT377" s="14">
        <v>4.8479247197974473E-5</v>
      </c>
      <c r="BU377" s="14">
        <v>3.926834324374795E-8</v>
      </c>
      <c r="BV377" s="11">
        <v>6240.068359375</v>
      </c>
      <c r="BW377" s="11">
        <v>7.30419921875</v>
      </c>
      <c r="BX377" s="11">
        <v>3151.321533203125</v>
      </c>
      <c r="BY377" s="11">
        <v>2.650146484375</v>
      </c>
      <c r="BZ377" s="7">
        <v>1880</v>
      </c>
      <c r="CA377" s="7">
        <v>1955.949951171875</v>
      </c>
      <c r="CB377" s="7">
        <v>1780.199951171875</v>
      </c>
      <c r="CC377" s="7">
        <v>1946</v>
      </c>
      <c r="CD377" s="7">
        <v>1906.1500244140625</v>
      </c>
      <c r="CE377" s="3">
        <v>50</v>
      </c>
      <c r="CF377" s="7">
        <v>1880.5999755859375</v>
      </c>
      <c r="CG377" s="3">
        <v>200</v>
      </c>
      <c r="CH377" s="7">
        <v>1888.5400390625</v>
      </c>
      <c r="CI377" s="7">
        <v>5.6999998092651367</v>
      </c>
      <c r="CJ377" s="3">
        <v>1100</v>
      </c>
      <c r="CK377" s="7">
        <v>5.6500000953674316</v>
      </c>
      <c r="CL377" s="3">
        <v>2650</v>
      </c>
      <c r="CM377" s="7">
        <v>7.619999885559082</v>
      </c>
      <c r="CN377" s="10">
        <v>44783.638194444444</v>
      </c>
      <c r="CO377" s="10">
        <v>44783.638194444444</v>
      </c>
      <c r="CP377" s="7">
        <v>38295.69921875</v>
      </c>
      <c r="CQ377" s="17" t="s">
        <v>321</v>
      </c>
      <c r="CR377" s="10">
        <v>44783.638194444444</v>
      </c>
      <c r="CS377" s="12">
        <v>1.1882185935974121E-2</v>
      </c>
      <c r="CT377" s="18">
        <v>2.6218294161632399E-4</v>
      </c>
      <c r="CU377" s="3">
        <v>429775</v>
      </c>
      <c r="CV377" s="18">
        <v>-0.21714850794020127</v>
      </c>
      <c r="CW377" s="7">
        <v>5.6500000953674316</v>
      </c>
      <c r="CX377" s="18">
        <v>0</v>
      </c>
      <c r="CY377" s="7">
        <v>1946</v>
      </c>
      <c r="CZ377" s="18">
        <v>0</v>
      </c>
      <c r="DA377" s="3">
        <v>3625</v>
      </c>
      <c r="DB377" s="18">
        <v>1.3793103448275862E-2</v>
      </c>
      <c r="DC377" s="11">
        <v>-1.3929605484008789E-2</v>
      </c>
      <c r="DD377" s="18">
        <v>-2.0307098595264927E-4</v>
      </c>
      <c r="DE377" s="7">
        <v>1946</v>
      </c>
      <c r="DF377" s="7">
        <v>5.6500000953674316</v>
      </c>
      <c r="DG377" s="7">
        <v>38295.69921875</v>
      </c>
      <c r="DH377" s="3" t="s">
        <v>312</v>
      </c>
      <c r="DI377" s="3" t="s">
        <v>312</v>
      </c>
      <c r="DJ377" s="3" t="s">
        <v>314</v>
      </c>
      <c r="DK377" s="3">
        <v>38300</v>
      </c>
      <c r="DL377" s="3">
        <v>3400000</v>
      </c>
      <c r="DM377" s="3">
        <v>38500</v>
      </c>
      <c r="DN377" s="3">
        <v>0</v>
      </c>
      <c r="DO377" s="3">
        <v>24500</v>
      </c>
      <c r="DP377" s="3">
        <v>2863350</v>
      </c>
      <c r="DQ377" s="28">
        <v>38000</v>
      </c>
      <c r="DR377" s="32">
        <v>0</v>
      </c>
      <c r="DS377" s="32">
        <v>24500</v>
      </c>
      <c r="DT377" s="32" t="s">
        <v>33</v>
      </c>
      <c r="DU377" s="69">
        <v>44784</v>
      </c>
    </row>
    <row r="378" spans="1:125" x14ac:dyDescent="0.25">
      <c r="A378" t="s">
        <v>126</v>
      </c>
      <c r="B378" s="2">
        <v>44861</v>
      </c>
      <c r="C378" s="1">
        <v>150</v>
      </c>
      <c r="D378">
        <v>54</v>
      </c>
      <c r="M378" s="3"/>
      <c r="N378" s="3"/>
      <c r="O378" s="3">
        <v>36500</v>
      </c>
      <c r="P378" s="7">
        <v>6.4499998092651367</v>
      </c>
      <c r="Q378" s="7">
        <v>5.6999998092651367</v>
      </c>
      <c r="R378" s="7">
        <v>11.949999809265137</v>
      </c>
      <c r="S378" s="7">
        <v>9.9499998092651367</v>
      </c>
      <c r="T378" s="11">
        <v>0.833984375</v>
      </c>
      <c r="U378" s="11">
        <v>17292.97265625</v>
      </c>
      <c r="V378" s="11">
        <v>-2.4765625</v>
      </c>
      <c r="W378" s="11">
        <v>65171.91015625</v>
      </c>
      <c r="X378" s="14">
        <v>9.5315044745802879E-10</v>
      </c>
      <c r="Y378" s="14">
        <v>8.263806375907734E-5</v>
      </c>
      <c r="Z378" s="14">
        <v>-2.9365764930844307E-8</v>
      </c>
      <c r="AA378" s="14">
        <v>3.853847156278789E-4</v>
      </c>
      <c r="AB378" s="15">
        <v>7.702283255639486E-12</v>
      </c>
      <c r="AC378" s="15">
        <v>-1.2323923215262766E-7</v>
      </c>
      <c r="AD378" s="13">
        <v>2.1910667419433594E-4</v>
      </c>
      <c r="AE378" s="13">
        <v>3.3314070701599121</v>
      </c>
      <c r="AF378" s="12">
        <v>3.4236907958984375E-4</v>
      </c>
      <c r="AG378" s="12">
        <v>-15.536100387573242</v>
      </c>
      <c r="AH378" s="13">
        <v>-2.2628228180110455E-9</v>
      </c>
      <c r="AI378" s="13">
        <v>5.2907395001966506E-5</v>
      </c>
      <c r="AJ378" s="11">
        <v>-3.7372112274169922E-5</v>
      </c>
      <c r="AK378" s="11">
        <v>0.96360331773757935</v>
      </c>
      <c r="AL378" s="11">
        <v>0</v>
      </c>
      <c r="AM378" s="11">
        <v>-6.4499998092651367</v>
      </c>
      <c r="AN378" s="11">
        <v>4.2282044887542725E-7</v>
      </c>
      <c r="AO378" s="11">
        <v>-1.9510896876454353E-2</v>
      </c>
      <c r="AP378" s="11">
        <v>44.09063458442688</v>
      </c>
      <c r="AQ378" s="11">
        <v>14464025</v>
      </c>
      <c r="AR378" s="16">
        <v>546625</v>
      </c>
      <c r="AS378" s="16">
        <v>1945225</v>
      </c>
      <c r="AT378" s="16">
        <v>44.09063458442688</v>
      </c>
      <c r="AU378" s="7">
        <v>0</v>
      </c>
      <c r="AV378" s="7">
        <v>6.4499998092651367</v>
      </c>
      <c r="AW378" s="7">
        <v>1804.550048828125</v>
      </c>
      <c r="AX378" s="7">
        <v>0</v>
      </c>
      <c r="AY378" s="11">
        <v>46.338087320327759</v>
      </c>
      <c r="AZ378" s="16">
        <v>28525</v>
      </c>
      <c r="BA378" s="16">
        <v>-500</v>
      </c>
      <c r="BB378" s="16">
        <v>18050</v>
      </c>
      <c r="BC378" s="11">
        <v>0.97529995441436768</v>
      </c>
      <c r="BD378" s="11">
        <v>1.0341405868530273E-4</v>
      </c>
      <c r="BE378" s="11">
        <v>-26.500089645385742</v>
      </c>
      <c r="BF378" s="11">
        <v>0.11564826965332031</v>
      </c>
      <c r="BG378" s="11">
        <v>1.1758987903594971</v>
      </c>
      <c r="BH378" s="11">
        <v>-4.1539669036865234E-3</v>
      </c>
      <c r="BI378" s="13">
        <v>6.1431906942743808E-5</v>
      </c>
      <c r="BJ378" s="13">
        <v>-1.6082776710391045E-7</v>
      </c>
      <c r="BK378" s="11">
        <v>46.338087320327759</v>
      </c>
      <c r="BL378" s="12">
        <v>-11.519970893859863</v>
      </c>
      <c r="BM378" s="12">
        <v>-6.0997962951660156E-2</v>
      </c>
      <c r="BN378" s="13">
        <v>2.5961441993713379</v>
      </c>
      <c r="BO378" s="13">
        <v>1.1607170104980469E-2</v>
      </c>
      <c r="BP378" s="15">
        <v>-1.2978603081137408E-7</v>
      </c>
      <c r="BQ378" s="15">
        <v>1.0861356258828891E-10</v>
      </c>
      <c r="BR378" s="14">
        <v>3.7297885864973068E-4</v>
      </c>
      <c r="BS378" s="14">
        <v>2.8041540645062923E-7</v>
      </c>
      <c r="BT378" s="14">
        <v>8.405463449889794E-5</v>
      </c>
      <c r="BU378" s="14">
        <v>-6.3810148276388645E-9</v>
      </c>
      <c r="BV378" s="11">
        <v>46010.8203125</v>
      </c>
      <c r="BW378" s="11">
        <v>284.2734375</v>
      </c>
      <c r="BX378" s="11">
        <v>13088.1259765625</v>
      </c>
      <c r="BY378" s="11">
        <v>65.10546875</v>
      </c>
      <c r="BZ378" s="7">
        <v>1802.25</v>
      </c>
      <c r="CA378" s="7">
        <v>1906.1500244140625</v>
      </c>
      <c r="CB378" s="7">
        <v>1675.300048828125</v>
      </c>
      <c r="CC378" s="7">
        <v>1804.550048828125</v>
      </c>
      <c r="CD378" s="7">
        <v>1802.550048828125</v>
      </c>
      <c r="CE378" s="3">
        <v>125</v>
      </c>
      <c r="CF378" s="7">
        <v>1798.4000244140625</v>
      </c>
      <c r="CG378" s="3">
        <v>50</v>
      </c>
      <c r="CH378" s="7">
        <v>1803.5899658203125</v>
      </c>
      <c r="CI378" s="7">
        <v>6.4499998092651367</v>
      </c>
      <c r="CJ378" s="3">
        <v>2600</v>
      </c>
      <c r="CK378" s="7">
        <v>6.4000000953674316</v>
      </c>
      <c r="CL378" s="3">
        <v>600</v>
      </c>
      <c r="CM378" s="7">
        <v>8.3199996948242188</v>
      </c>
      <c r="CN378" s="10">
        <v>44783.638194444444</v>
      </c>
      <c r="CO378" s="10">
        <v>44783.638194444444</v>
      </c>
      <c r="CP378" s="7">
        <v>38295.69921875</v>
      </c>
      <c r="CQ378" s="17" t="s">
        <v>321</v>
      </c>
      <c r="CR378" s="10">
        <v>44783.638194444444</v>
      </c>
      <c r="CS378" s="12">
        <v>1.9669532775878906E-3</v>
      </c>
      <c r="CT378" s="18">
        <v>4.4613579481322527E-5</v>
      </c>
      <c r="CU378" s="3">
        <v>1398600</v>
      </c>
      <c r="CV378" s="18">
        <v>0.39083726583726586</v>
      </c>
      <c r="CW378" s="7">
        <v>6.4499998092651367</v>
      </c>
      <c r="CX378" s="18">
        <v>0</v>
      </c>
      <c r="CY378" s="7">
        <v>1804.550048828125</v>
      </c>
      <c r="CZ378" s="18">
        <v>0</v>
      </c>
      <c r="DA378" s="3">
        <v>29025</v>
      </c>
      <c r="DB378" s="18">
        <v>-1.7226528854435832E-2</v>
      </c>
      <c r="DC378" s="11">
        <v>-4.0391087532043457E-2</v>
      </c>
      <c r="DD378" s="18">
        <v>-8.7090152412586141E-4</v>
      </c>
      <c r="DE378" s="7">
        <v>1804.550048828125</v>
      </c>
      <c r="DF378" s="7">
        <v>6.4499998092651367</v>
      </c>
      <c r="DG378" s="7">
        <v>38295.69921875</v>
      </c>
      <c r="DH378" s="3" t="s">
        <v>312</v>
      </c>
      <c r="DI378" s="3" t="s">
        <v>312</v>
      </c>
      <c r="DJ378" s="3" t="s">
        <v>314</v>
      </c>
      <c r="DK378" s="3">
        <v>38300</v>
      </c>
      <c r="DL378" s="3">
        <v>3400000</v>
      </c>
      <c r="DM378" s="3">
        <v>38500</v>
      </c>
      <c r="DN378" s="3">
        <v>0</v>
      </c>
      <c r="DO378" s="3">
        <v>24500</v>
      </c>
      <c r="DP378" s="3">
        <v>2863350</v>
      </c>
      <c r="DQ378" s="28">
        <v>38000</v>
      </c>
      <c r="DR378" s="32">
        <v>0</v>
      </c>
      <c r="DS378" s="32">
        <v>24500</v>
      </c>
      <c r="DT378" s="32" t="s">
        <v>33</v>
      </c>
      <c r="DU378" s="69">
        <v>44784</v>
      </c>
    </row>
    <row r="379" spans="1:125" x14ac:dyDescent="0.25">
      <c r="A379" t="s">
        <v>127</v>
      </c>
      <c r="B379" s="2">
        <v>44798</v>
      </c>
      <c r="C379" s="1">
        <v>200</v>
      </c>
      <c r="D379">
        <v>80</v>
      </c>
      <c r="M379" s="3"/>
      <c r="N379" s="3"/>
      <c r="O379" s="3">
        <v>36600</v>
      </c>
      <c r="P379" s="7">
        <v>6.9499998092651367</v>
      </c>
      <c r="Q379" s="7">
        <v>6</v>
      </c>
      <c r="R379" s="7">
        <v>13.300000190734863</v>
      </c>
      <c r="S379" s="7">
        <v>8.4499998092651367</v>
      </c>
      <c r="T379" s="11">
        <v>101.826171875</v>
      </c>
      <c r="U379" s="11">
        <v>15369.5712890625</v>
      </c>
      <c r="V379" s="11">
        <v>469.90234375</v>
      </c>
      <c r="W379" s="11">
        <v>59714.94140625</v>
      </c>
      <c r="X379" s="14">
        <v>-6.573100108653307E-8</v>
      </c>
      <c r="Y379" s="14">
        <v>8.8618013251107186E-5</v>
      </c>
      <c r="Z379" s="14">
        <v>2.0139850676059723E-8</v>
      </c>
      <c r="AA379" s="14">
        <v>4.2944494634866714E-4</v>
      </c>
      <c r="AB379" s="15">
        <v>2.7277735625830246E-10</v>
      </c>
      <c r="AC379" s="15">
        <v>-1.4193300046372315E-7</v>
      </c>
      <c r="AD379" s="13">
        <v>1.7814874649047852E-2</v>
      </c>
      <c r="AE379" s="13">
        <v>2.9980111122131348</v>
      </c>
      <c r="AF379" s="12">
        <v>-9.7711563110351563E-2</v>
      </c>
      <c r="AG379" s="12">
        <v>-14.528430938720703</v>
      </c>
      <c r="AH379" s="13">
        <v>-2.33678292715922E-7</v>
      </c>
      <c r="AI379" s="13">
        <v>5.9863050410058349E-5</v>
      </c>
      <c r="AJ379" s="11">
        <v>-4.9878358840942383E-3</v>
      </c>
      <c r="AK379" s="11">
        <v>1.0493206977844238</v>
      </c>
      <c r="AL379" s="11">
        <v>5.0000190734863281E-2</v>
      </c>
      <c r="AM379" s="11">
        <v>-6.9499998092651367</v>
      </c>
      <c r="AN379" s="11">
        <v>1.2123584747314453E-4</v>
      </c>
      <c r="AO379" s="11">
        <v>-2.1574854850769043E-2</v>
      </c>
      <c r="AP379" s="11">
        <v>42.432042956352234</v>
      </c>
      <c r="AQ379" s="11">
        <v>4610875</v>
      </c>
      <c r="AR379" s="16">
        <v>-100450</v>
      </c>
      <c r="AS379" s="16">
        <v>274925</v>
      </c>
      <c r="AT379" s="16">
        <v>42.432042956352234</v>
      </c>
      <c r="AU379" s="7">
        <v>-5.0000190734863281E-2</v>
      </c>
      <c r="AV379" s="7">
        <v>6.9499998092651367</v>
      </c>
      <c r="AW379" s="7">
        <v>1681.550048828125</v>
      </c>
      <c r="AX379" s="7">
        <v>0</v>
      </c>
      <c r="AY379" s="11">
        <v>0</v>
      </c>
      <c r="AZ379" s="16">
        <v>7325</v>
      </c>
      <c r="BA379" s="16">
        <v>-375</v>
      </c>
      <c r="BB379" s="16">
        <v>1300</v>
      </c>
      <c r="BC379" s="11">
        <v>0</v>
      </c>
      <c r="BD379" s="11">
        <v>0</v>
      </c>
      <c r="BE379" s="11">
        <v>0</v>
      </c>
      <c r="BF379" s="11">
        <v>0</v>
      </c>
      <c r="BG379" s="11">
        <v>0</v>
      </c>
      <c r="BH379" s="11">
        <v>0</v>
      </c>
      <c r="BI379" s="13">
        <v>0</v>
      </c>
      <c r="BJ379" s="13">
        <v>0</v>
      </c>
      <c r="BK379" s="11">
        <v>0</v>
      </c>
      <c r="BL379" s="12">
        <v>0</v>
      </c>
      <c r="BM379" s="12">
        <v>0</v>
      </c>
      <c r="BN379" s="13">
        <v>0</v>
      </c>
      <c r="BO379" s="13">
        <v>0</v>
      </c>
      <c r="BP379" s="15">
        <v>0</v>
      </c>
      <c r="BQ379" s="15">
        <v>0</v>
      </c>
      <c r="BR379" s="14">
        <v>0</v>
      </c>
      <c r="BS379" s="14">
        <v>0</v>
      </c>
      <c r="BT379" s="14">
        <v>0</v>
      </c>
      <c r="BU379" s="14">
        <v>0</v>
      </c>
      <c r="BV379" s="11">
        <v>0</v>
      </c>
      <c r="BW379" s="11">
        <v>0</v>
      </c>
      <c r="BX379" s="11">
        <v>0</v>
      </c>
      <c r="BY379" s="11">
        <v>0</v>
      </c>
      <c r="BZ379" s="7">
        <v>1661.8499755859375</v>
      </c>
      <c r="CA379" s="7">
        <v>1785</v>
      </c>
      <c r="CB379" s="7">
        <v>1610</v>
      </c>
      <c r="CC379" s="7">
        <v>1681.550048828125</v>
      </c>
      <c r="CD379" s="7">
        <v>1706.6500244140625</v>
      </c>
      <c r="CE379" s="3">
        <v>225</v>
      </c>
      <c r="CF379" s="7">
        <v>1699.050048828125</v>
      </c>
      <c r="CG379" s="3">
        <v>100</v>
      </c>
      <c r="CH379" s="7">
        <v>1711.43994140625</v>
      </c>
      <c r="CI379" s="7">
        <v>7</v>
      </c>
      <c r="CJ379" s="3">
        <v>3225</v>
      </c>
      <c r="CK379" s="7">
        <v>6.9000000953674316</v>
      </c>
      <c r="CL379" s="3">
        <v>3250</v>
      </c>
      <c r="CM379" s="7">
        <v>9.2700004577636719</v>
      </c>
      <c r="CN379" s="10">
        <v>44783.638194444444</v>
      </c>
      <c r="CO379" s="10">
        <v>44783.638194444444</v>
      </c>
      <c r="CP379" s="7">
        <v>38295.69921875</v>
      </c>
      <c r="CQ379" s="17" t="s">
        <v>321</v>
      </c>
      <c r="CR379" s="10">
        <v>44783.638194444444</v>
      </c>
      <c r="CS379" s="12">
        <v>-3.5300850868225098E-2</v>
      </c>
      <c r="CT379" s="18">
        <v>-8.3124697010654837E-4</v>
      </c>
      <c r="CU379" s="3">
        <v>375375</v>
      </c>
      <c r="CV379" s="18">
        <v>-0.2675990675990676</v>
      </c>
      <c r="CW379" s="7">
        <v>6.9499998092651367</v>
      </c>
      <c r="CX379" s="18">
        <v>-7.1428843906947547E-3</v>
      </c>
      <c r="CY379" s="7">
        <v>1681.550048828125</v>
      </c>
      <c r="CZ379" s="18">
        <v>0</v>
      </c>
      <c r="DA379" s="3">
        <v>7700</v>
      </c>
      <c r="DB379" s="18">
        <v>-4.8701298701298704E-2</v>
      </c>
      <c r="DC379" s="11">
        <v>0</v>
      </c>
      <c r="DD379" s="18">
        <v>0</v>
      </c>
      <c r="DE379" s="7">
        <v>1681.550048828125</v>
      </c>
      <c r="DF379" s="7">
        <v>6.9499998092651367</v>
      </c>
      <c r="DG379" s="7">
        <v>38295.69921875</v>
      </c>
      <c r="DH379" s="3" t="s">
        <v>312</v>
      </c>
      <c r="DI379" s="3" t="s">
        <v>313</v>
      </c>
      <c r="DJ379" s="3" t="s">
        <v>314</v>
      </c>
      <c r="DK379" s="3">
        <v>38300</v>
      </c>
      <c r="DL379" s="3">
        <v>3400000</v>
      </c>
      <c r="DM379" s="3">
        <v>38500</v>
      </c>
      <c r="DN379" s="3">
        <v>0</v>
      </c>
      <c r="DO379" s="3">
        <v>24500</v>
      </c>
      <c r="DP379" s="3">
        <v>2863350</v>
      </c>
      <c r="DQ379" s="28">
        <v>38000</v>
      </c>
      <c r="DR379" s="32">
        <v>0</v>
      </c>
      <c r="DS379" s="32">
        <v>24500</v>
      </c>
      <c r="DT379" s="32" t="s">
        <v>33</v>
      </c>
      <c r="DU379" s="69">
        <v>44784</v>
      </c>
    </row>
    <row r="380" spans="1:125" x14ac:dyDescent="0.25">
      <c r="A380" t="s">
        <v>127</v>
      </c>
      <c r="B380" s="2">
        <v>44833</v>
      </c>
      <c r="C380" s="1">
        <v>200</v>
      </c>
      <c r="D380">
        <v>80</v>
      </c>
      <c r="M380" s="3"/>
      <c r="N380" s="3"/>
      <c r="O380" s="3">
        <v>36700</v>
      </c>
      <c r="P380" s="7">
        <v>8</v>
      </c>
      <c r="Q380" s="7">
        <v>6.5500001907348633</v>
      </c>
      <c r="R380" s="7">
        <v>15.649999618530273</v>
      </c>
      <c r="S380" s="7">
        <v>10</v>
      </c>
      <c r="T380" s="11">
        <v>70.650390625</v>
      </c>
      <c r="U380" s="11">
        <v>12857.666015625</v>
      </c>
      <c r="V380" s="11">
        <v>347.4765625</v>
      </c>
      <c r="W380" s="11">
        <v>50806.2265625</v>
      </c>
      <c r="X380" s="14">
        <v>-5.8862497098743916E-9</v>
      </c>
      <c r="Y380" s="14">
        <v>9.5138580945786089E-5</v>
      </c>
      <c r="Z380" s="14">
        <v>4.1039311327040195E-7</v>
      </c>
      <c r="AA380" s="14">
        <v>4.7506726696155965E-4</v>
      </c>
      <c r="AB380" s="15">
        <v>1.4979661955294432E-10</v>
      </c>
      <c r="AC380" s="15">
        <v>-1.6576494488163007E-7</v>
      </c>
      <c r="AD380" s="13">
        <v>1.2614250183105469E-2</v>
      </c>
      <c r="AE380" s="13">
        <v>2.5563366413116455</v>
      </c>
      <c r="AF380" s="12">
        <v>-7.4744224548339844E-2</v>
      </c>
      <c r="AG380" s="12">
        <v>-12.764871597290039</v>
      </c>
      <c r="AH380" s="13">
        <v>-2.0213337847962976E-7</v>
      </c>
      <c r="AI380" s="13">
        <v>7.0060028519947082E-5</v>
      </c>
      <c r="AJ380" s="11">
        <v>-4.6458244323730469E-3</v>
      </c>
      <c r="AK380" s="11">
        <v>1.191703200340271</v>
      </c>
      <c r="AL380" s="11">
        <v>5.0000190734863281E-2</v>
      </c>
      <c r="AM380" s="11">
        <v>-8</v>
      </c>
      <c r="AN380" s="11">
        <v>1.1617317795753479E-4</v>
      </c>
      <c r="AO380" s="11">
        <v>-2.5096490979194641E-2</v>
      </c>
      <c r="AP380" s="11">
        <v>41.177713871002197</v>
      </c>
      <c r="AQ380" s="11">
        <v>5183850</v>
      </c>
      <c r="AR380" s="16">
        <v>-41500</v>
      </c>
      <c r="AS380" s="16">
        <v>459650</v>
      </c>
      <c r="AT380" s="16">
        <v>41.177713871002197</v>
      </c>
      <c r="AU380" s="7">
        <v>-5.0000190734863281E-2</v>
      </c>
      <c r="AV380" s="7">
        <v>8</v>
      </c>
      <c r="AW380" s="7">
        <v>1607</v>
      </c>
      <c r="AX380" s="7">
        <v>0</v>
      </c>
      <c r="AY380" s="11">
        <v>43.661582469940186</v>
      </c>
      <c r="AZ380" s="16">
        <v>9975</v>
      </c>
      <c r="BA380" s="16">
        <v>-275</v>
      </c>
      <c r="BB380" s="16">
        <v>1700</v>
      </c>
      <c r="BC380" s="11">
        <v>0.96772068738937378</v>
      </c>
      <c r="BD380" s="11">
        <v>1.0353326797485352E-4</v>
      </c>
      <c r="BE380" s="11">
        <v>-31.19929313659668</v>
      </c>
      <c r="BF380" s="11">
        <v>0.104705810546875</v>
      </c>
      <c r="BG380" s="11">
        <v>1.4692846536636353</v>
      </c>
      <c r="BH380" s="11">
        <v>-3.9168596267700195E-3</v>
      </c>
      <c r="BI380" s="13">
        <v>8.1464546383358538E-5</v>
      </c>
      <c r="BJ380" s="13">
        <v>-1.5414116205647588E-7</v>
      </c>
      <c r="BK380" s="11">
        <v>43.661582469940186</v>
      </c>
      <c r="BL380" s="12">
        <v>-9.2029581069946289</v>
      </c>
      <c r="BM380" s="12">
        <v>-3.8266181945800781E-2</v>
      </c>
      <c r="BN380" s="13">
        <v>1.9541876316070557</v>
      </c>
      <c r="BO380" s="13">
        <v>6.7861080169677734E-3</v>
      </c>
      <c r="BP380" s="15">
        <v>-1.7180435918362491E-7</v>
      </c>
      <c r="BQ380" s="15">
        <v>6.5924155023822095E-11</v>
      </c>
      <c r="BR380" s="14">
        <v>4.4283163151703775E-4</v>
      </c>
      <c r="BS380" s="14">
        <v>4.7331559471786022E-7</v>
      </c>
      <c r="BT380" s="14">
        <v>9.4032380729913712E-5</v>
      </c>
      <c r="BU380" s="14">
        <v>3.5848643165081739E-8</v>
      </c>
      <c r="BV380" s="11">
        <v>34571.58984375</v>
      </c>
      <c r="BW380" s="11">
        <v>169.6875</v>
      </c>
      <c r="BX380" s="11">
        <v>9517.2119140625</v>
      </c>
      <c r="BY380" s="11">
        <v>36.794921875</v>
      </c>
      <c r="BZ380" s="7">
        <v>1632</v>
      </c>
      <c r="CA380" s="7">
        <v>1692.1500244140625</v>
      </c>
      <c r="CB380" s="7">
        <v>1488.25</v>
      </c>
      <c r="CC380" s="7">
        <v>1607</v>
      </c>
      <c r="CD380" s="7">
        <v>1608.3499755859375</v>
      </c>
      <c r="CE380" s="3">
        <v>125</v>
      </c>
      <c r="CF380" s="7">
        <v>1599.949951171875</v>
      </c>
      <c r="CG380" s="3">
        <v>125</v>
      </c>
      <c r="CH380" s="7">
        <v>1618.5799560546875</v>
      </c>
      <c r="CI380" s="7">
        <v>8.0500001907348633</v>
      </c>
      <c r="CJ380" s="3">
        <v>3000</v>
      </c>
      <c r="CK380" s="7">
        <v>8</v>
      </c>
      <c r="CL380" s="3">
        <v>75</v>
      </c>
      <c r="CM380" s="7">
        <v>10.079999923706055</v>
      </c>
      <c r="CN380" s="10">
        <v>44783.638194444444</v>
      </c>
      <c r="CO380" s="10">
        <v>44783.638194444444</v>
      </c>
      <c r="CP380" s="7">
        <v>38295.69921875</v>
      </c>
      <c r="CQ380" s="17" t="s">
        <v>321</v>
      </c>
      <c r="CR380" s="10">
        <v>44783.638194444444</v>
      </c>
      <c r="CS380" s="12">
        <v>-3.9932131767272949E-2</v>
      </c>
      <c r="CT380" s="18">
        <v>-9.688115562104118E-4</v>
      </c>
      <c r="CU380" s="3">
        <v>501150</v>
      </c>
      <c r="CV380" s="18">
        <v>-8.2809538062456348E-2</v>
      </c>
      <c r="CW380" s="7">
        <v>8</v>
      </c>
      <c r="CX380" s="18">
        <v>-6.211203670828596E-3</v>
      </c>
      <c r="CY380" s="7">
        <v>1607</v>
      </c>
      <c r="CZ380" s="18">
        <v>0</v>
      </c>
      <c r="DA380" s="3">
        <v>10250</v>
      </c>
      <c r="DB380" s="18">
        <v>-2.6829268292682926E-2</v>
      </c>
      <c r="DC380" s="11">
        <v>-3.1942129135131836E-2</v>
      </c>
      <c r="DD380" s="18">
        <v>-7.3104949596599549E-4</v>
      </c>
      <c r="DE380" s="7">
        <v>1607</v>
      </c>
      <c r="DF380" s="7">
        <v>8</v>
      </c>
      <c r="DG380" s="7">
        <v>38295.69921875</v>
      </c>
      <c r="DH380" s="3" t="s">
        <v>312</v>
      </c>
      <c r="DI380" s="3" t="s">
        <v>313</v>
      </c>
      <c r="DJ380" s="3" t="s">
        <v>314</v>
      </c>
      <c r="DK380" s="3">
        <v>38300</v>
      </c>
      <c r="DL380" s="3">
        <v>3400000</v>
      </c>
      <c r="DM380" s="3">
        <v>38500</v>
      </c>
      <c r="DN380" s="3">
        <v>0</v>
      </c>
      <c r="DO380" s="3">
        <v>24500</v>
      </c>
      <c r="DP380" s="3">
        <v>2863350</v>
      </c>
      <c r="DQ380" s="28">
        <v>38000</v>
      </c>
      <c r="DR380" s="32">
        <v>0</v>
      </c>
      <c r="DS380" s="32">
        <v>24500</v>
      </c>
      <c r="DT380" s="32" t="s">
        <v>33</v>
      </c>
      <c r="DU380" s="69">
        <v>44784</v>
      </c>
    </row>
    <row r="381" spans="1:125" x14ac:dyDescent="0.25">
      <c r="A381" t="s">
        <v>127</v>
      </c>
      <c r="B381" s="2">
        <v>44861</v>
      </c>
      <c r="C381" s="1">
        <v>200</v>
      </c>
      <c r="D381">
        <v>80</v>
      </c>
      <c r="M381" s="3"/>
      <c r="N381" s="3"/>
      <c r="O381" s="3">
        <v>36800</v>
      </c>
      <c r="P381" s="7">
        <v>9.0500001907348633</v>
      </c>
      <c r="Q381" s="7">
        <v>7.1500000953674316</v>
      </c>
      <c r="R381" s="7">
        <v>22.5</v>
      </c>
      <c r="S381" s="7">
        <v>22.399999618530273</v>
      </c>
      <c r="T381" s="11">
        <v>-52.1240234375</v>
      </c>
      <c r="U381" s="11">
        <v>10895.771484375</v>
      </c>
      <c r="V381" s="11">
        <v>-274.2109375</v>
      </c>
      <c r="W381" s="11">
        <v>43982.3984375</v>
      </c>
      <c r="X381" s="14">
        <v>-1.9492290448397398E-8</v>
      </c>
      <c r="Y381" s="14">
        <v>1.0154063056688756E-4</v>
      </c>
      <c r="Z381" s="14">
        <v>-6.4336927607655525E-7</v>
      </c>
      <c r="AA381" s="14">
        <v>5.2494928240776062E-4</v>
      </c>
      <c r="AB381" s="15">
        <v>-9.5070618044701405E-11</v>
      </c>
      <c r="AC381" s="15">
        <v>-1.9345438317941444E-7</v>
      </c>
      <c r="AD381" s="13">
        <v>-9.3648433685302734E-3</v>
      </c>
      <c r="AE381" s="13">
        <v>2.2054438591003418</v>
      </c>
      <c r="AF381" s="12">
        <v>6.0248374938964844E-2</v>
      </c>
      <c r="AG381" s="12">
        <v>-11.401801109313965</v>
      </c>
      <c r="AH381" s="13">
        <v>1.9248545868322253E-7</v>
      </c>
      <c r="AI381" s="13">
        <v>8.1487458373885602E-5</v>
      </c>
      <c r="AJ381" s="11">
        <v>4.4295787811279297E-3</v>
      </c>
      <c r="AK381" s="11">
        <v>1.3387880325317383</v>
      </c>
      <c r="AL381" s="11">
        <v>-5.0000190734863281E-2</v>
      </c>
      <c r="AM381" s="11">
        <v>-9.0500001907348633</v>
      </c>
      <c r="AN381" s="11">
        <v>-1.1547654867172241E-4</v>
      </c>
      <c r="AO381" s="11">
        <v>-2.8850831091403961E-2</v>
      </c>
      <c r="AP381" s="11">
        <v>39.772528409957886</v>
      </c>
      <c r="AQ381" s="11">
        <v>6850375</v>
      </c>
      <c r="AR381" s="16">
        <v>-8125</v>
      </c>
      <c r="AS381" s="16">
        <v>581500</v>
      </c>
      <c r="AT381" s="16">
        <v>39.772528409957886</v>
      </c>
      <c r="AU381" s="7">
        <v>5.0000190734863281E-2</v>
      </c>
      <c r="AV381" s="7">
        <v>9.0500001907348633</v>
      </c>
      <c r="AW381" s="7">
        <v>1505.3499755859375</v>
      </c>
      <c r="AX381" s="7">
        <v>0</v>
      </c>
      <c r="AY381" s="11">
        <v>40.281486511230469</v>
      </c>
      <c r="AZ381" s="16">
        <v>10250</v>
      </c>
      <c r="BA381" s="16">
        <v>-1000</v>
      </c>
      <c r="BB381" s="16">
        <v>2250</v>
      </c>
      <c r="BC381" s="11">
        <v>0.96954327821731567</v>
      </c>
      <c r="BD381" s="11">
        <v>1.1295080184936523E-3</v>
      </c>
      <c r="BE381" s="11">
        <v>-27.433311462402344</v>
      </c>
      <c r="BF381" s="11">
        <v>1.075531005859375</v>
      </c>
      <c r="BG381" s="11">
        <v>1.4003397226333618</v>
      </c>
      <c r="BH381" s="11">
        <v>-4.2880058288574219E-2</v>
      </c>
      <c r="BI381" s="13">
        <v>8.4157414676155895E-5</v>
      </c>
      <c r="BJ381" s="13">
        <v>-1.847925886977464E-6</v>
      </c>
      <c r="BK381" s="11">
        <v>40.281486511230469</v>
      </c>
      <c r="BL381" s="12">
        <v>-10.624649047851563</v>
      </c>
      <c r="BM381" s="12">
        <v>-0.49149894714355469</v>
      </c>
      <c r="BN381" s="13">
        <v>2.081418514251709</v>
      </c>
      <c r="BO381" s="13">
        <v>7.9752683639526367E-2</v>
      </c>
      <c r="BP381" s="15">
        <v>-1.9484679114611936E-7</v>
      </c>
      <c r="BQ381" s="15">
        <v>9.4735241873422638E-10</v>
      </c>
      <c r="BR381" s="14">
        <v>5.1651522517204285E-4</v>
      </c>
      <c r="BS381" s="14">
        <v>5.8213481679558754E-6</v>
      </c>
      <c r="BT381" s="14">
        <v>1.0118775389855728E-4</v>
      </c>
      <c r="BU381" s="14">
        <v>3.0713272280991077E-7</v>
      </c>
      <c r="BV381" s="11">
        <v>40469.75</v>
      </c>
      <c r="BW381" s="11">
        <v>2203.54296875</v>
      </c>
      <c r="BX381" s="11">
        <v>10211.505859375</v>
      </c>
      <c r="BY381" s="11">
        <v>437.142578125</v>
      </c>
      <c r="BZ381" s="7">
        <v>1468.8499755859375</v>
      </c>
      <c r="CA381" s="7">
        <v>1603.75</v>
      </c>
      <c r="CB381" s="7">
        <v>1400</v>
      </c>
      <c r="CC381" s="7">
        <v>1505.3499755859375</v>
      </c>
      <c r="CD381" s="7">
        <v>1508.699951171875</v>
      </c>
      <c r="CE381" s="3">
        <v>125</v>
      </c>
      <c r="CF381" s="7">
        <v>1501.550048828125</v>
      </c>
      <c r="CG381" s="3">
        <v>250</v>
      </c>
      <c r="CH381" s="7">
        <v>1497.7099609375</v>
      </c>
      <c r="CI381" s="7">
        <v>9.1000003814697266</v>
      </c>
      <c r="CJ381" s="3">
        <v>2575</v>
      </c>
      <c r="CK381" s="7">
        <v>9.0500001907348633</v>
      </c>
      <c r="CL381" s="3">
        <v>975</v>
      </c>
      <c r="CM381" s="7">
        <v>11.430000305175781</v>
      </c>
      <c r="CN381" s="10">
        <v>44783.638194444444</v>
      </c>
      <c r="CO381" s="10">
        <v>44783.638194444444</v>
      </c>
      <c r="CP381" s="7">
        <v>38295.69921875</v>
      </c>
      <c r="CQ381" s="17" t="s">
        <v>321</v>
      </c>
      <c r="CR381" s="10">
        <v>44783.638194444444</v>
      </c>
      <c r="CS381" s="12">
        <v>3.9345026016235352E-2</v>
      </c>
      <c r="CT381" s="18">
        <v>9.9023090186468226E-4</v>
      </c>
      <c r="CU381" s="3">
        <v>589625</v>
      </c>
      <c r="CV381" s="18">
        <v>-1.3779944880220479E-2</v>
      </c>
      <c r="CW381" s="7">
        <v>9.0500001907348633</v>
      </c>
      <c r="CX381" s="18">
        <v>5.5555767483181423E-3</v>
      </c>
      <c r="CY381" s="7">
        <v>1505.3499755859375</v>
      </c>
      <c r="CZ381" s="18">
        <v>0</v>
      </c>
      <c r="DA381" s="3">
        <v>11250</v>
      </c>
      <c r="DB381" s="18">
        <v>-8.8888888888888892E-2</v>
      </c>
      <c r="DC381" s="11">
        <v>-0.33901631832122803</v>
      </c>
      <c r="DD381" s="18">
        <v>-8.345940958529724E-3</v>
      </c>
      <c r="DE381" s="7">
        <v>1505.3499755859375</v>
      </c>
      <c r="DF381" s="7">
        <v>9.0500001907348633</v>
      </c>
      <c r="DG381" s="7">
        <v>38295.69921875</v>
      </c>
      <c r="DH381" s="3" t="s">
        <v>312</v>
      </c>
      <c r="DI381" s="3" t="s">
        <v>314</v>
      </c>
      <c r="DJ381" s="3" t="s">
        <v>314</v>
      </c>
      <c r="DK381" s="3">
        <v>38300</v>
      </c>
      <c r="DL381" s="3">
        <v>3400000</v>
      </c>
      <c r="DM381" s="3">
        <v>38500</v>
      </c>
      <c r="DN381" s="3">
        <v>0</v>
      </c>
      <c r="DO381" s="3">
        <v>24500</v>
      </c>
      <c r="DP381" s="3">
        <v>2863350</v>
      </c>
      <c r="DQ381" s="28">
        <v>38000</v>
      </c>
      <c r="DR381" s="32">
        <v>0</v>
      </c>
      <c r="DS381" s="32">
        <v>24500</v>
      </c>
      <c r="DT381" s="32" t="s">
        <v>33</v>
      </c>
      <c r="DU381" s="69">
        <v>44784</v>
      </c>
    </row>
    <row r="382" spans="1:125" x14ac:dyDescent="0.25">
      <c r="A382" t="s">
        <v>128</v>
      </c>
      <c r="B382" s="2">
        <v>44798</v>
      </c>
      <c r="C382" s="1">
        <v>850</v>
      </c>
      <c r="D382">
        <v>64</v>
      </c>
      <c r="M382" s="3"/>
      <c r="N382" s="3"/>
      <c r="O382" s="3">
        <v>36900</v>
      </c>
      <c r="P382" s="7">
        <v>10.300000190734863</v>
      </c>
      <c r="Q382" s="7">
        <v>7.6999998092651367</v>
      </c>
      <c r="R382" s="7">
        <v>20.049999237060547</v>
      </c>
      <c r="S382" s="7">
        <v>17.600000381469727</v>
      </c>
      <c r="T382" s="11">
        <v>-77.0888671875</v>
      </c>
      <c r="U382" s="11">
        <v>9158.0771484375</v>
      </c>
      <c r="V382" s="11">
        <v>-417.625</v>
      </c>
      <c r="W382" s="11">
        <v>37734.83984375</v>
      </c>
      <c r="X382" s="14">
        <v>-9.7621523309499025E-8</v>
      </c>
      <c r="Y382" s="14">
        <v>1.077055640053004E-4</v>
      </c>
      <c r="Z382" s="14">
        <v>-1.5796395018696785E-6</v>
      </c>
      <c r="AA382" s="14">
        <v>5.7728058891370893E-4</v>
      </c>
      <c r="AB382" s="15">
        <v>-1.2543921457108809E-10</v>
      </c>
      <c r="AC382" s="15">
        <v>-2.265310854454583E-7</v>
      </c>
      <c r="AD382" s="13">
        <v>-1.4131903648376465E-2</v>
      </c>
      <c r="AE382" s="13">
        <v>1.8892534971237183</v>
      </c>
      <c r="AF382" s="12">
        <v>9.4395637512207031E-2</v>
      </c>
      <c r="AG382" s="12">
        <v>-10.12602710723877</v>
      </c>
      <c r="AH382" s="13">
        <v>3.7903373595327139E-7</v>
      </c>
      <c r="AI382" s="13">
        <v>9.5274292107205838E-5</v>
      </c>
      <c r="AJ382" s="11">
        <v>8.625030517578125E-3</v>
      </c>
      <c r="AK382" s="11">
        <v>1.5098128318786621</v>
      </c>
      <c r="AL382" s="11">
        <v>-0.10000038146972656</v>
      </c>
      <c r="AM382" s="11">
        <v>-10.300000190734863</v>
      </c>
      <c r="AN382" s="11">
        <v>-2.320706844329834E-4</v>
      </c>
      <c r="AO382" s="11">
        <v>-3.3362630754709244E-2</v>
      </c>
      <c r="AP382" s="11">
        <v>38.362935185432434</v>
      </c>
      <c r="AQ382" s="11">
        <v>7243750</v>
      </c>
      <c r="AR382" s="16">
        <v>22575</v>
      </c>
      <c r="AS382" s="16">
        <v>680375</v>
      </c>
      <c r="AT382" s="16">
        <v>38.362935185432434</v>
      </c>
      <c r="AU382" s="7">
        <v>0.10000038146972656</v>
      </c>
      <c r="AV382" s="7">
        <v>10.300000190734863</v>
      </c>
      <c r="AW382" s="7">
        <v>1420</v>
      </c>
      <c r="AX382" s="7">
        <v>0</v>
      </c>
      <c r="AY382" s="11">
        <v>45.453947782516479</v>
      </c>
      <c r="AZ382" s="16">
        <v>9050</v>
      </c>
      <c r="BA382" s="16">
        <v>-825</v>
      </c>
      <c r="BB382" s="16">
        <v>5050</v>
      </c>
      <c r="BC382" s="11">
        <v>0.93955647945404053</v>
      </c>
      <c r="BD382" s="11">
        <v>8.4102153778076172E-5</v>
      </c>
      <c r="BE382" s="11">
        <v>-53.830593109130859</v>
      </c>
      <c r="BF382" s="11">
        <v>7.904815673828125E-2</v>
      </c>
      <c r="BG382" s="11">
        <v>2.435107946395874</v>
      </c>
      <c r="BH382" s="11">
        <v>-2.6998519897460938E-3</v>
      </c>
      <c r="BI382" s="13">
        <v>1.2969068484380841E-4</v>
      </c>
      <c r="BJ382" s="13">
        <v>-8.6278305388987064E-8</v>
      </c>
      <c r="BK382" s="11">
        <v>45.453947782516479</v>
      </c>
      <c r="BL382" s="12">
        <v>-4.4624204635620117</v>
      </c>
      <c r="BM382" s="12">
        <v>-8.7223052978515625E-3</v>
      </c>
      <c r="BN382" s="13">
        <v>0.98646450042724609</v>
      </c>
      <c r="BO382" s="13">
        <v>1.574397087097168E-3</v>
      </c>
      <c r="BP382" s="15">
        <v>-2.2113103170795512E-7</v>
      </c>
      <c r="BQ382" s="15">
        <v>-4.3485215428518131E-11</v>
      </c>
      <c r="BR382" s="14">
        <v>3.9042875869199634E-4</v>
      </c>
      <c r="BS382" s="14">
        <v>5.1807728596031666E-7</v>
      </c>
      <c r="BT382" s="14">
        <v>8.6308340542018414E-5</v>
      </c>
      <c r="BU382" s="14">
        <v>8.3564373198896646E-8</v>
      </c>
      <c r="BV382" s="11">
        <v>14067.5458984375</v>
      </c>
      <c r="BW382" s="11">
        <v>33.5615234375</v>
      </c>
      <c r="BX382" s="11">
        <v>4422.82080078125</v>
      </c>
      <c r="BY382" s="11">
        <v>7.76220703125</v>
      </c>
      <c r="BZ382" s="7">
        <v>1425.25</v>
      </c>
      <c r="CA382" s="7">
        <v>1488.699951171875</v>
      </c>
      <c r="CB382" s="7">
        <v>1310.6500244140625</v>
      </c>
      <c r="CC382" s="7">
        <v>1420</v>
      </c>
      <c r="CD382" s="7">
        <v>1408.199951171875</v>
      </c>
      <c r="CE382" s="3">
        <v>50</v>
      </c>
      <c r="CF382" s="7">
        <v>1403.699951171875</v>
      </c>
      <c r="CG382" s="3">
        <v>50</v>
      </c>
      <c r="CH382" s="7">
        <v>1416.989990234375</v>
      </c>
      <c r="CI382" s="7">
        <v>10.300000190734863</v>
      </c>
      <c r="CJ382" s="3">
        <v>1550</v>
      </c>
      <c r="CK382" s="7">
        <v>10.25</v>
      </c>
      <c r="CL382" s="3">
        <v>125</v>
      </c>
      <c r="CM382" s="7">
        <v>13.390000343322754</v>
      </c>
      <c r="CN382" s="10">
        <v>44783.638194444444</v>
      </c>
      <c r="CO382" s="10">
        <v>44783.638194444444</v>
      </c>
      <c r="CP382" s="7">
        <v>38295.69921875</v>
      </c>
      <c r="CQ382" s="17" t="s">
        <v>321</v>
      </c>
      <c r="CR382" s="10">
        <v>44783.638194444444</v>
      </c>
      <c r="CS382" s="12">
        <v>6.8354606628417969E-2</v>
      </c>
      <c r="CT382" s="18">
        <v>1.784968149416216E-3</v>
      </c>
      <c r="CU382" s="3">
        <v>657800</v>
      </c>
      <c r="CV382" s="18">
        <v>3.4318941927637577E-2</v>
      </c>
      <c r="CW382" s="7">
        <v>10.300000190734863</v>
      </c>
      <c r="CX382" s="18">
        <v>9.8039591509493495E-3</v>
      </c>
      <c r="CY382" s="7">
        <v>1420</v>
      </c>
      <c r="CZ382" s="18">
        <v>0</v>
      </c>
      <c r="DA382" s="3">
        <v>9875</v>
      </c>
      <c r="DB382" s="18">
        <v>-8.3544303797468356E-2</v>
      </c>
      <c r="DC382" s="11">
        <v>-1.8298625946044922E-2</v>
      </c>
      <c r="DD382" s="18">
        <v>-4.0241306272125344E-4</v>
      </c>
      <c r="DE382" s="7">
        <v>1420</v>
      </c>
      <c r="DF382" s="7">
        <v>10.300000190734863</v>
      </c>
      <c r="DG382" s="7">
        <v>38295.69921875</v>
      </c>
      <c r="DH382" s="3" t="s">
        <v>312</v>
      </c>
      <c r="DI382" s="3" t="s">
        <v>314</v>
      </c>
      <c r="DJ382" s="3" t="s">
        <v>314</v>
      </c>
      <c r="DK382" s="3">
        <v>38300</v>
      </c>
      <c r="DL382" s="3">
        <v>3400000</v>
      </c>
      <c r="DM382" s="3">
        <v>38500</v>
      </c>
      <c r="DN382" s="3">
        <v>0</v>
      </c>
      <c r="DO382" s="3">
        <v>24500</v>
      </c>
      <c r="DP382" s="3">
        <v>2863350</v>
      </c>
      <c r="DQ382" s="28">
        <v>38000</v>
      </c>
      <c r="DR382" s="32">
        <v>0</v>
      </c>
      <c r="DS382" s="32">
        <v>24500</v>
      </c>
      <c r="DT382" s="32" t="s">
        <v>33</v>
      </c>
      <c r="DU382" s="69">
        <v>44784</v>
      </c>
    </row>
    <row r="383" spans="1:125" x14ac:dyDescent="0.25">
      <c r="A383" t="s">
        <v>128</v>
      </c>
      <c r="B383" s="2">
        <v>44833</v>
      </c>
      <c r="C383" s="1">
        <v>850</v>
      </c>
      <c r="D383">
        <v>64</v>
      </c>
      <c r="M383" s="3"/>
      <c r="N383" s="3"/>
      <c r="O383" s="3">
        <v>37000</v>
      </c>
      <c r="P383" s="7">
        <v>12.350000381469727</v>
      </c>
      <c r="Q383" s="7">
        <v>8.6000003814697266</v>
      </c>
      <c r="R383" s="7">
        <v>24.399999618530273</v>
      </c>
      <c r="S383" s="7">
        <v>15.149999618530273</v>
      </c>
      <c r="T383" s="11">
        <v>0.41552734375</v>
      </c>
      <c r="U383" s="11">
        <v>7339.474609375</v>
      </c>
      <c r="V383" s="11">
        <v>-1.07421875</v>
      </c>
      <c r="W383" s="11">
        <v>30431.916015625</v>
      </c>
      <c r="X383" s="14">
        <v>1.1641532182693481E-9</v>
      </c>
      <c r="Y383" s="14">
        <v>1.1231468670303002E-4</v>
      </c>
      <c r="Z383" s="14">
        <v>-5.2794348448514938E-8</v>
      </c>
      <c r="AA383" s="14">
        <v>6.1954202828928828E-4</v>
      </c>
      <c r="AB383" s="15">
        <v>2.1003643269068561E-11</v>
      </c>
      <c r="AC383" s="15">
        <v>-2.6610862846609962E-7</v>
      </c>
      <c r="AD383" s="13">
        <v>1.1336803436279297E-4</v>
      </c>
      <c r="AE383" s="13">
        <v>1.5513229370117188</v>
      </c>
      <c r="AF383" s="12">
        <v>1.9168853759765625E-4</v>
      </c>
      <c r="AG383" s="12">
        <v>-8.5572938919067383</v>
      </c>
      <c r="AH383" s="13">
        <v>-6.2282197177410126E-9</v>
      </c>
      <c r="AI383" s="13">
        <v>1.139324958785437E-4</v>
      </c>
      <c r="AJ383" s="11">
        <v>-7.5459480285644531E-5</v>
      </c>
      <c r="AK383" s="11">
        <v>1.7543323040008545</v>
      </c>
      <c r="AL383" s="11">
        <v>0</v>
      </c>
      <c r="AM383" s="11">
        <v>-12.350000381469727</v>
      </c>
      <c r="AN383" s="11">
        <v>1.1213123798370361E-6</v>
      </c>
      <c r="AO383" s="11">
        <v>-4.00814488530159E-2</v>
      </c>
      <c r="AP383" s="11">
        <v>37.275752425193787</v>
      </c>
      <c r="AQ383" s="11">
        <v>23525225</v>
      </c>
      <c r="AR383" s="16">
        <v>523750</v>
      </c>
      <c r="AS383" s="16">
        <v>2419300</v>
      </c>
      <c r="AT383" s="16">
        <v>37.275752425193787</v>
      </c>
      <c r="AU383" s="7">
        <v>0</v>
      </c>
      <c r="AV383" s="7">
        <v>12.350000381469727</v>
      </c>
      <c r="AW383" s="7">
        <v>1308.550048828125</v>
      </c>
      <c r="AX383" s="7">
        <v>0</v>
      </c>
      <c r="AY383" s="11">
        <v>37.583407759666443</v>
      </c>
      <c r="AZ383" s="16">
        <v>102725</v>
      </c>
      <c r="BA383" s="16">
        <v>-22500</v>
      </c>
      <c r="BB383" s="16">
        <v>168325</v>
      </c>
      <c r="BC383" s="11">
        <v>0.9586719274520874</v>
      </c>
      <c r="BD383" s="11">
        <v>1.2382268905639648E-3</v>
      </c>
      <c r="BE383" s="11">
        <v>-32.8724365234375</v>
      </c>
      <c r="BF383" s="11">
        <v>1.0524864196777344</v>
      </c>
      <c r="BG383" s="11">
        <v>1.7985196113586426</v>
      </c>
      <c r="BH383" s="11">
        <v>-4.3516039848327637E-2</v>
      </c>
      <c r="BI383" s="13">
        <v>1.1584133608266711E-4</v>
      </c>
      <c r="BJ383" s="13">
        <v>-1.8968130461871624E-6</v>
      </c>
      <c r="BK383" s="11">
        <v>37.583407759666443</v>
      </c>
      <c r="BL383" s="12">
        <v>-8.2098503112792969</v>
      </c>
      <c r="BM383" s="12">
        <v>-0.31981372833251953</v>
      </c>
      <c r="BN383" s="13">
        <v>1.500555157661438</v>
      </c>
      <c r="BO383" s="13">
        <v>4.7440528869628906E-2</v>
      </c>
      <c r="BP383" s="15">
        <v>-2.6620855919645692E-7</v>
      </c>
      <c r="BQ383" s="15">
        <v>2.0338575268397108E-10</v>
      </c>
      <c r="BR383" s="14">
        <v>6.0944282449781895E-4</v>
      </c>
      <c r="BS383" s="14">
        <v>9.5989089459180832E-6</v>
      </c>
      <c r="BT383" s="14">
        <v>1.1139089474454522E-4</v>
      </c>
      <c r="BU383" s="14">
        <v>9.171490091830492E-7</v>
      </c>
      <c r="BV383" s="11">
        <v>28958.91015625</v>
      </c>
      <c r="BW383" s="11">
        <v>1349.619140625</v>
      </c>
      <c r="BX383" s="11">
        <v>7070.75634765625</v>
      </c>
      <c r="BY383" s="11">
        <v>250.1865234375</v>
      </c>
      <c r="BZ383" s="7">
        <v>1306.75</v>
      </c>
      <c r="CA383" s="7">
        <v>1415.1500244140625</v>
      </c>
      <c r="CB383" s="7">
        <v>1179.5999755859375</v>
      </c>
      <c r="CC383" s="7">
        <v>1308.550048828125</v>
      </c>
      <c r="CD383" s="7">
        <v>1310.949951171875</v>
      </c>
      <c r="CE383" s="3">
        <v>25</v>
      </c>
      <c r="CF383" s="7">
        <v>1308.1500244140625</v>
      </c>
      <c r="CG383" s="3">
        <v>25</v>
      </c>
      <c r="CH383" s="7">
        <v>1312.18994140625</v>
      </c>
      <c r="CI383" s="7">
        <v>12.399999618530273</v>
      </c>
      <c r="CJ383" s="3">
        <v>8575</v>
      </c>
      <c r="CK383" s="7">
        <v>12.300000190734863</v>
      </c>
      <c r="CL383" s="3">
        <v>1575</v>
      </c>
      <c r="CM383" s="7">
        <v>15.109999656677246</v>
      </c>
      <c r="CN383" s="10">
        <v>44783.638194444444</v>
      </c>
      <c r="CO383" s="10">
        <v>44783.638194444444</v>
      </c>
      <c r="CP383" s="7">
        <v>38295.69921875</v>
      </c>
      <c r="CQ383" s="17" t="s">
        <v>321</v>
      </c>
      <c r="CR383" s="10">
        <v>44783.638194444444</v>
      </c>
      <c r="CS383" s="12">
        <v>1.9490718841552734E-3</v>
      </c>
      <c r="CT383" s="18">
        <v>5.2290662846516589E-5</v>
      </c>
      <c r="CU383" s="3">
        <v>1895550</v>
      </c>
      <c r="CV383" s="18">
        <v>0.27630503020231595</v>
      </c>
      <c r="CW383" s="7">
        <v>12.350000381469727</v>
      </c>
      <c r="CX383" s="18">
        <v>0</v>
      </c>
      <c r="CY383" s="7">
        <v>1308.550048828125</v>
      </c>
      <c r="CZ383" s="18">
        <v>0</v>
      </c>
      <c r="DA383" s="3">
        <v>125225</v>
      </c>
      <c r="DB383" s="18">
        <v>-0.17967658215212617</v>
      </c>
      <c r="DC383" s="11">
        <v>-0.28866231441497803</v>
      </c>
      <c r="DD383" s="18">
        <v>-7.6220368691314391E-3</v>
      </c>
      <c r="DE383" s="7">
        <v>1308.550048828125</v>
      </c>
      <c r="DF383" s="7">
        <v>12.350000381469727</v>
      </c>
      <c r="DG383" s="7">
        <v>38295.69921875</v>
      </c>
      <c r="DH383" s="3" t="s">
        <v>312</v>
      </c>
      <c r="DI383" s="3" t="s">
        <v>312</v>
      </c>
      <c r="DJ383" s="3" t="s">
        <v>314</v>
      </c>
      <c r="DK383" s="3">
        <v>38300</v>
      </c>
      <c r="DL383" s="3">
        <v>3400000</v>
      </c>
      <c r="DM383" s="3">
        <v>38500</v>
      </c>
      <c r="DN383" s="3">
        <v>0</v>
      </c>
      <c r="DO383" s="3">
        <v>24500</v>
      </c>
      <c r="DP383" s="3">
        <v>2863350</v>
      </c>
      <c r="DQ383" s="28">
        <v>38000</v>
      </c>
      <c r="DR383" s="32">
        <v>0</v>
      </c>
      <c r="DS383" s="32">
        <v>24500</v>
      </c>
      <c r="DT383" s="32" t="s">
        <v>33</v>
      </c>
      <c r="DU383" s="69">
        <v>44784</v>
      </c>
    </row>
    <row r="384" spans="1:125" x14ac:dyDescent="0.25">
      <c r="A384" t="s">
        <v>128</v>
      </c>
      <c r="B384" s="2">
        <v>44861</v>
      </c>
      <c r="C384" s="1">
        <v>850</v>
      </c>
      <c r="D384">
        <v>64</v>
      </c>
      <c r="M384" s="3"/>
      <c r="N384" s="3"/>
      <c r="O384" s="3">
        <v>37100</v>
      </c>
      <c r="P384" s="7">
        <v>14.25</v>
      </c>
      <c r="Q384" s="7">
        <v>9.6000003814697266</v>
      </c>
      <c r="R384" s="7">
        <v>29.25</v>
      </c>
      <c r="S384" s="7">
        <v>15.550000190734863</v>
      </c>
      <c r="T384" s="11">
        <v>0.357421875</v>
      </c>
      <c r="U384" s="11">
        <v>6059.76904296875</v>
      </c>
      <c r="V384" s="11">
        <v>-0.876953125</v>
      </c>
      <c r="W384" s="11">
        <v>25534.19140625</v>
      </c>
      <c r="X384" s="14">
        <v>1.3169483281672001E-9</v>
      </c>
      <c r="Y384" s="14">
        <v>1.1608393833739683E-4</v>
      </c>
      <c r="Z384" s="14">
        <v>-5.7450961321592331E-8</v>
      </c>
      <c r="AA384" s="14">
        <v>6.6538347164168954E-4</v>
      </c>
      <c r="AB384" s="15">
        <v>2.6034285838250071E-11</v>
      </c>
      <c r="AC384" s="15">
        <v>-3.1246031539922114E-7</v>
      </c>
      <c r="AD384" s="13">
        <v>9.8347663879394531E-5</v>
      </c>
      <c r="AE384" s="13">
        <v>1.3081376552581787</v>
      </c>
      <c r="AF384" s="12">
        <v>1.6832351684570313E-4</v>
      </c>
      <c r="AG384" s="12">
        <v>-7.498136043548584</v>
      </c>
      <c r="AH384" s="13">
        <v>-7.7852746471762657E-9</v>
      </c>
      <c r="AI384" s="13">
        <v>1.3443597708828747E-4</v>
      </c>
      <c r="AJ384" s="11">
        <v>-8.7857246398925781E-5</v>
      </c>
      <c r="AK384" s="11">
        <v>1.9921032190322876</v>
      </c>
      <c r="AL384" s="11">
        <v>0</v>
      </c>
      <c r="AM384" s="11">
        <v>-14.25</v>
      </c>
      <c r="AN384" s="11">
        <v>1.3932585716247559E-6</v>
      </c>
      <c r="AO384" s="11">
        <v>-4.6915594488382339E-2</v>
      </c>
      <c r="AP384" s="11">
        <v>35.872429609298706</v>
      </c>
      <c r="AQ384" s="11">
        <v>10816250</v>
      </c>
      <c r="AR384" s="16">
        <v>122775</v>
      </c>
      <c r="AS384" s="16">
        <v>664475</v>
      </c>
      <c r="AT384" s="16">
        <v>35.872429609298706</v>
      </c>
      <c r="AU384" s="7">
        <v>0</v>
      </c>
      <c r="AV384" s="7">
        <v>14.25</v>
      </c>
      <c r="AW384" s="7">
        <v>1230.4000244140625</v>
      </c>
      <c r="AX384" s="7">
        <v>0</v>
      </c>
      <c r="AY384" s="11">
        <v>43.794578313827515</v>
      </c>
      <c r="AZ384" s="16">
        <v>9425</v>
      </c>
      <c r="BA384" s="16">
        <v>-1275</v>
      </c>
      <c r="BB384" s="16">
        <v>24100</v>
      </c>
      <c r="BC384" s="11">
        <v>0.91564655303955078</v>
      </c>
      <c r="BD384" s="11">
        <v>7.8320503234863281E-5</v>
      </c>
      <c r="BE384" s="11">
        <v>-66.977020263671875</v>
      </c>
      <c r="BF384" s="11">
        <v>6.591033935546875E-2</v>
      </c>
      <c r="BG384" s="11">
        <v>3.1446053981781006</v>
      </c>
      <c r="BH384" s="11">
        <v>-2.2528171539306641E-3</v>
      </c>
      <c r="BI384" s="13">
        <v>1.7382329679094255E-4</v>
      </c>
      <c r="BJ384" s="13">
        <v>-6.3446350395679474E-8</v>
      </c>
      <c r="BK384" s="11">
        <v>43.794578313827515</v>
      </c>
      <c r="BL384" s="12">
        <v>-3.1782739162445068</v>
      </c>
      <c r="BM384" s="12">
        <v>-4.4019222259521484E-3</v>
      </c>
      <c r="BN384" s="13">
        <v>0.67694127559661865</v>
      </c>
      <c r="BO384" s="13">
        <v>7.5674057006835938E-4</v>
      </c>
      <c r="BP384" s="15">
        <v>-2.7332339413987938E-7</v>
      </c>
      <c r="BQ384" s="15">
        <v>-8.7965190687100403E-11</v>
      </c>
      <c r="BR384" s="14">
        <v>3.4229372977279127E-4</v>
      </c>
      <c r="BS384" s="14">
        <v>5.3338590078055859E-7</v>
      </c>
      <c r="BT384" s="14">
        <v>7.2905218985397369E-5</v>
      </c>
      <c r="BU384" s="14">
        <v>9.4136339612305164E-8</v>
      </c>
      <c r="BV384" s="11">
        <v>8890.8974609375</v>
      </c>
      <c r="BW384" s="11">
        <v>15.3955078125</v>
      </c>
      <c r="BX384" s="11">
        <v>2910.4638671875</v>
      </c>
      <c r="BY384" s="11">
        <v>3.50390625</v>
      </c>
      <c r="BZ384" s="7">
        <v>1228</v>
      </c>
      <c r="CA384" s="7">
        <v>1320.300048828125</v>
      </c>
      <c r="CB384" s="7">
        <v>1089.4000244140625</v>
      </c>
      <c r="CC384" s="7">
        <v>1230.4000244140625</v>
      </c>
      <c r="CD384" s="7">
        <v>1211.75</v>
      </c>
      <c r="CE384" s="3">
        <v>25</v>
      </c>
      <c r="CF384" s="7">
        <v>1207.75</v>
      </c>
      <c r="CG384" s="3">
        <v>25</v>
      </c>
      <c r="CH384" s="7">
        <v>1220.5</v>
      </c>
      <c r="CI384" s="7">
        <v>14.300000190734863</v>
      </c>
      <c r="CJ384" s="3">
        <v>650</v>
      </c>
      <c r="CK384" s="7">
        <v>14.199999809265137</v>
      </c>
      <c r="CL384" s="3">
        <v>50</v>
      </c>
      <c r="CM384" s="7">
        <v>17.360000610351563</v>
      </c>
      <c r="CN384" s="10">
        <v>44783.638194444444</v>
      </c>
      <c r="CO384" s="10">
        <v>44783.638194444444</v>
      </c>
      <c r="CP384" s="7">
        <v>38295.69921875</v>
      </c>
      <c r="CQ384" s="17" t="s">
        <v>321</v>
      </c>
      <c r="CR384" s="10">
        <v>44783.638194444444</v>
      </c>
      <c r="CS384" s="12">
        <v>1.952052116394043E-3</v>
      </c>
      <c r="CT384" s="18">
        <v>5.4419462726199068E-5</v>
      </c>
      <c r="CU384" s="3">
        <v>541700</v>
      </c>
      <c r="CV384" s="18">
        <v>0.22664759091748199</v>
      </c>
      <c r="CW384" s="7">
        <v>14.25</v>
      </c>
      <c r="CX384" s="18">
        <v>0</v>
      </c>
      <c r="CY384" s="7">
        <v>1230.4000244140625</v>
      </c>
      <c r="CZ384" s="18">
        <v>0</v>
      </c>
      <c r="DA384" s="3">
        <v>10700</v>
      </c>
      <c r="DB384" s="18">
        <v>-0.1191588785046729</v>
      </c>
      <c r="DC384" s="11">
        <v>-1.360476016998291E-2</v>
      </c>
      <c r="DD384" s="18">
        <v>-3.1055294274594247E-4</v>
      </c>
      <c r="DE384" s="7">
        <v>1230.4000244140625</v>
      </c>
      <c r="DF384" s="7">
        <v>14.25</v>
      </c>
      <c r="DG384" s="7">
        <v>38295.69921875</v>
      </c>
      <c r="DH384" s="3" t="s">
        <v>312</v>
      </c>
      <c r="DI384" s="3" t="s">
        <v>312</v>
      </c>
      <c r="DJ384" s="3" t="s">
        <v>314</v>
      </c>
      <c r="DK384" s="3">
        <v>38300</v>
      </c>
      <c r="DL384" s="3">
        <v>3400000</v>
      </c>
      <c r="DM384" s="3">
        <v>38500</v>
      </c>
      <c r="DN384" s="3">
        <v>0</v>
      </c>
      <c r="DO384" s="3">
        <v>24500</v>
      </c>
      <c r="DP384" s="3">
        <v>2863350</v>
      </c>
      <c r="DQ384" s="28">
        <v>38000</v>
      </c>
      <c r="DR384" s="32">
        <v>0</v>
      </c>
      <c r="DS384" s="32">
        <v>24500</v>
      </c>
      <c r="DT384" s="32" t="s">
        <v>33</v>
      </c>
      <c r="DU384" s="69">
        <v>44784</v>
      </c>
    </row>
    <row r="385" spans="1:125" x14ac:dyDescent="0.25">
      <c r="A385" t="s">
        <v>129</v>
      </c>
      <c r="B385" s="2">
        <v>44798</v>
      </c>
      <c r="C385" s="1">
        <v>700</v>
      </c>
      <c r="D385">
        <v>88</v>
      </c>
      <c r="M385" s="3"/>
      <c r="N385" s="3"/>
      <c r="O385" s="3">
        <v>37200</v>
      </c>
      <c r="P385" s="7">
        <v>17.299999237060547</v>
      </c>
      <c r="Q385" s="7">
        <v>11.050000190734863</v>
      </c>
      <c r="R385" s="7">
        <v>34.799999237060547</v>
      </c>
      <c r="S385" s="7">
        <v>15.050000190734863</v>
      </c>
      <c r="T385" s="11">
        <v>0.29443359375</v>
      </c>
      <c r="U385" s="11">
        <v>4777.984375</v>
      </c>
      <c r="V385" s="11">
        <v>-0.66015625</v>
      </c>
      <c r="W385" s="11">
        <v>20100.669921875</v>
      </c>
      <c r="X385" s="14">
        <v>1.7025740817189217E-9</v>
      </c>
      <c r="Y385" s="14">
        <v>1.1561645078472793E-4</v>
      </c>
      <c r="Z385" s="14">
        <v>-5.8324076235294342E-8</v>
      </c>
      <c r="AA385" s="14">
        <v>6.8322819424793124E-4</v>
      </c>
      <c r="AB385" s="15">
        <v>3.2031266528065316E-11</v>
      </c>
      <c r="AC385" s="15">
        <v>-3.6555925930770172E-7</v>
      </c>
      <c r="AD385" s="13">
        <v>8.2254409790039063E-5</v>
      </c>
      <c r="AE385" s="13">
        <v>1.0584138631820679</v>
      </c>
      <c r="AF385" s="12">
        <v>1.4019012451171875E-4</v>
      </c>
      <c r="AG385" s="12">
        <v>-6.2546305656433105</v>
      </c>
      <c r="AH385" s="13">
        <v>-9.9098542705178261E-9</v>
      </c>
      <c r="AI385" s="13">
        <v>1.6160644008778036E-4</v>
      </c>
      <c r="AJ385" s="11">
        <v>-1.0466575622558594E-4</v>
      </c>
      <c r="AK385" s="11">
        <v>2.3227956295013428</v>
      </c>
      <c r="AL385" s="11">
        <v>0</v>
      </c>
      <c r="AM385" s="11">
        <v>-17.299999237060547</v>
      </c>
      <c r="AN385" s="11">
        <v>1.7918646335601807E-6</v>
      </c>
      <c r="AO385" s="11">
        <v>-5.691484734416008E-2</v>
      </c>
      <c r="AP385" s="11">
        <v>34.794813394546509</v>
      </c>
      <c r="AQ385" s="11">
        <v>14346925</v>
      </c>
      <c r="AR385" s="16">
        <v>105700</v>
      </c>
      <c r="AS385" s="16">
        <v>1065825</v>
      </c>
      <c r="AT385" s="16">
        <v>34.794813394546509</v>
      </c>
      <c r="AU385" s="7">
        <v>0</v>
      </c>
      <c r="AV385" s="7">
        <v>17.299999237060547</v>
      </c>
      <c r="AW385" s="7">
        <v>1114</v>
      </c>
      <c r="AX385" s="7">
        <v>0</v>
      </c>
      <c r="AY385" s="11">
        <v>35.237827897071838</v>
      </c>
      <c r="AZ385" s="16">
        <v>23750</v>
      </c>
      <c r="BA385" s="16">
        <v>-3300</v>
      </c>
      <c r="BB385" s="16">
        <v>44750</v>
      </c>
      <c r="BC385" s="11">
        <v>0.94079267978668213</v>
      </c>
      <c r="BD385" s="11">
        <v>1.1977553367614746E-3</v>
      </c>
      <c r="BE385" s="11">
        <v>-41.060714721679688</v>
      </c>
      <c r="BF385" s="11">
        <v>0.9003448486328125</v>
      </c>
      <c r="BG385" s="11">
        <v>2.3960549831390381</v>
      </c>
      <c r="BH385" s="11">
        <v>-3.7908077239990234E-2</v>
      </c>
      <c r="BI385" s="13">
        <v>1.6460090409964323E-4</v>
      </c>
      <c r="BJ385" s="13">
        <v>-1.5954574337229133E-6</v>
      </c>
      <c r="BK385" s="11">
        <v>35.237827897071838</v>
      </c>
      <c r="BL385" s="12">
        <v>-5.9107217788696289</v>
      </c>
      <c r="BM385" s="12">
        <v>-0.16525077819824219</v>
      </c>
      <c r="BN385" s="13">
        <v>1.0129084587097168</v>
      </c>
      <c r="BO385" s="13">
        <v>2.2400140762329102E-2</v>
      </c>
      <c r="BP385" s="15">
        <v>-3.6315975648903986E-7</v>
      </c>
      <c r="BQ385" s="15">
        <v>-9.8825125860457774E-10</v>
      </c>
      <c r="BR385" s="14">
        <v>6.5814686240628362E-4</v>
      </c>
      <c r="BS385" s="14">
        <v>1.2325064744800329E-5</v>
      </c>
      <c r="BT385" s="14">
        <v>1.1278530291747302E-4</v>
      </c>
      <c r="BU385" s="14">
        <v>1.446853275410831E-6</v>
      </c>
      <c r="BV385" s="11">
        <v>18758.576171875</v>
      </c>
      <c r="BW385" s="11">
        <v>642.03515625</v>
      </c>
      <c r="BX385" s="11">
        <v>4549.060546875</v>
      </c>
      <c r="BY385" s="11">
        <v>112.18359375</v>
      </c>
      <c r="BZ385" s="7">
        <v>1132.550048828125</v>
      </c>
      <c r="CA385" s="7">
        <v>1220</v>
      </c>
      <c r="CB385" s="7">
        <v>995.54998779296875</v>
      </c>
      <c r="CC385" s="7">
        <v>1114</v>
      </c>
      <c r="CD385" s="7">
        <v>1115.3499755859375</v>
      </c>
      <c r="CE385" s="3">
        <v>25</v>
      </c>
      <c r="CF385" s="7">
        <v>1112.8499755859375</v>
      </c>
      <c r="CG385" s="3">
        <v>25</v>
      </c>
      <c r="CH385" s="7">
        <v>1134.3399658203125</v>
      </c>
      <c r="CI385" s="7">
        <v>17.350000381469727</v>
      </c>
      <c r="CJ385" s="3">
        <v>7025</v>
      </c>
      <c r="CK385" s="7">
        <v>17.25</v>
      </c>
      <c r="CL385" s="3">
        <v>800</v>
      </c>
      <c r="CM385" s="7">
        <v>20.329999923706055</v>
      </c>
      <c r="CN385" s="10">
        <v>44783.638194444444</v>
      </c>
      <c r="CO385" s="10">
        <v>44783.638194444444</v>
      </c>
      <c r="CP385" s="7">
        <v>38295.69921875</v>
      </c>
      <c r="CQ385" s="17" t="s">
        <v>321</v>
      </c>
      <c r="CR385" s="10">
        <v>44783.638194444444</v>
      </c>
      <c r="CS385" s="12">
        <v>1.9788742065429688E-3</v>
      </c>
      <c r="CT385" s="18">
        <v>5.6875912348737052E-5</v>
      </c>
      <c r="CU385" s="3">
        <v>960125</v>
      </c>
      <c r="CV385" s="18">
        <v>0.11008983205311808</v>
      </c>
      <c r="CW385" s="7">
        <v>17.299999237060547</v>
      </c>
      <c r="CX385" s="18">
        <v>0</v>
      </c>
      <c r="CY385" s="7">
        <v>1114</v>
      </c>
      <c r="CZ385" s="18">
        <v>0</v>
      </c>
      <c r="DA385" s="3">
        <v>27050</v>
      </c>
      <c r="DB385" s="18">
        <v>-0.12199630314232902</v>
      </c>
      <c r="DC385" s="11">
        <v>-0.21335184574127197</v>
      </c>
      <c r="DD385" s="18">
        <v>-6.0181874704613751E-3</v>
      </c>
      <c r="DE385" s="7">
        <v>1114</v>
      </c>
      <c r="DF385" s="7">
        <v>17.299999237060547</v>
      </c>
      <c r="DG385" s="7">
        <v>38295.69921875</v>
      </c>
      <c r="DH385" s="3" t="s">
        <v>312</v>
      </c>
      <c r="DI385" s="3" t="s">
        <v>312</v>
      </c>
      <c r="DJ385" s="3" t="s">
        <v>314</v>
      </c>
      <c r="DK385" s="3">
        <v>38300</v>
      </c>
      <c r="DL385" s="3">
        <v>3400000</v>
      </c>
      <c r="DM385" s="3">
        <v>38500</v>
      </c>
      <c r="DN385" s="3">
        <v>0</v>
      </c>
      <c r="DO385" s="3">
        <v>24500</v>
      </c>
      <c r="DP385" s="3">
        <v>2863350</v>
      </c>
      <c r="DQ385" s="28">
        <v>38000</v>
      </c>
      <c r="DR385" s="32">
        <v>0</v>
      </c>
      <c r="DS385" s="32">
        <v>24500</v>
      </c>
      <c r="DT385" s="32" t="s">
        <v>33</v>
      </c>
      <c r="DU385" s="69">
        <v>44784</v>
      </c>
    </row>
    <row r="386" spans="1:125" x14ac:dyDescent="0.25">
      <c r="A386" t="s">
        <v>129</v>
      </c>
      <c r="B386" s="2">
        <v>44833</v>
      </c>
      <c r="C386" s="1">
        <v>700</v>
      </c>
      <c r="D386">
        <v>88</v>
      </c>
      <c r="M386" s="3"/>
      <c r="N386" s="3"/>
      <c r="O386" s="3">
        <v>37300</v>
      </c>
      <c r="P386" s="7">
        <v>21</v>
      </c>
      <c r="Q386" s="7">
        <v>13.199999809265137</v>
      </c>
      <c r="R386" s="7">
        <v>45.549999237060547</v>
      </c>
      <c r="S386" s="7">
        <v>30.899999618530273</v>
      </c>
      <c r="T386" s="11">
        <v>7.541748046875</v>
      </c>
      <c r="U386" s="11">
        <v>3756.286865234375</v>
      </c>
      <c r="V386" s="11">
        <v>44.076171875</v>
      </c>
      <c r="W386" s="11">
        <v>15706.62890625</v>
      </c>
      <c r="X386" s="14">
        <v>1.5649129636585712E-7</v>
      </c>
      <c r="Y386" s="14">
        <v>1.1069765605498105E-4</v>
      </c>
      <c r="Z386" s="14">
        <v>1.2569362297654152E-6</v>
      </c>
      <c r="AA386" s="14">
        <v>6.7593908170238137E-4</v>
      </c>
      <c r="AB386" s="15">
        <v>-1.4614442989113741E-10</v>
      </c>
      <c r="AC386" s="15">
        <v>-4.2570189862090047E-7</v>
      </c>
      <c r="AD386" s="13">
        <v>1.5599727630615234E-3</v>
      </c>
      <c r="AE386" s="13">
        <v>0.85346972942352295</v>
      </c>
      <c r="AF386" s="12">
        <v>-1.1847496032714844E-2</v>
      </c>
      <c r="AG386" s="12">
        <v>-5.2114338874816895</v>
      </c>
      <c r="AH386" s="13">
        <v>-1.3760291039943695E-7</v>
      </c>
      <c r="AI386" s="13">
        <v>1.9413515110500157E-4</v>
      </c>
      <c r="AJ386" s="11">
        <v>-3.3478736877441406E-3</v>
      </c>
      <c r="AK386" s="11">
        <v>2.7004196643829346</v>
      </c>
      <c r="AL386" s="11">
        <v>4.9999237060546875E-2</v>
      </c>
      <c r="AM386" s="11">
        <v>-21</v>
      </c>
      <c r="AN386" s="11">
        <v>1.0929256677627563E-4</v>
      </c>
      <c r="AO386" s="11">
        <v>-6.9052256643772125E-2</v>
      </c>
      <c r="AP386" s="11">
        <v>33.673754334449768</v>
      </c>
      <c r="AQ386" s="11">
        <v>14941925</v>
      </c>
      <c r="AR386" s="16">
        <v>465550</v>
      </c>
      <c r="AS386" s="16">
        <v>1162950</v>
      </c>
      <c r="AT386" s="16">
        <v>33.673754334449768</v>
      </c>
      <c r="AU386" s="7">
        <v>-4.9999237060546875E-2</v>
      </c>
      <c r="AV386" s="7">
        <v>21</v>
      </c>
      <c r="AW386" s="7">
        <v>1019.8499755859375</v>
      </c>
      <c r="AX386" s="7">
        <v>0</v>
      </c>
      <c r="AY386" s="11">
        <v>34.802338480949402</v>
      </c>
      <c r="AZ386" s="16">
        <v>25300</v>
      </c>
      <c r="BA386" s="16">
        <v>-18100</v>
      </c>
      <c r="BB386" s="16">
        <v>114050</v>
      </c>
      <c r="BC386" s="11">
        <v>0.92443186044692993</v>
      </c>
      <c r="BD386" s="11">
        <v>1.0257959365844727E-4</v>
      </c>
      <c r="BE386" s="11">
        <v>-48.976932525634766</v>
      </c>
      <c r="BF386" s="11">
        <v>7.0964813232421875E-2</v>
      </c>
      <c r="BG386" s="11">
        <v>2.8936352729797363</v>
      </c>
      <c r="BH386" s="11">
        <v>-3.0519962310791016E-3</v>
      </c>
      <c r="BI386" s="13">
        <v>2.0127856987528503E-4</v>
      </c>
      <c r="BJ386" s="13">
        <v>-1.1608062777668238E-7</v>
      </c>
      <c r="BK386" s="11">
        <v>34.802338480949402</v>
      </c>
      <c r="BL386" s="12">
        <v>-4.5517125129699707</v>
      </c>
      <c r="BM386" s="12">
        <v>-9.0279579162597656E-3</v>
      </c>
      <c r="BN386" s="13">
        <v>0.77041119337081909</v>
      </c>
      <c r="BO386" s="13">
        <v>1.2251734733581543E-3</v>
      </c>
      <c r="BP386" s="15">
        <v>-4.1374678971806134E-7</v>
      </c>
      <c r="BQ386" s="15">
        <v>-1.5327827895816881E-10</v>
      </c>
      <c r="BR386" s="14">
        <v>5.9814495034515858E-4</v>
      </c>
      <c r="BS386" s="14">
        <v>1.1118827387690544E-6</v>
      </c>
      <c r="BT386" s="14">
        <v>1.0124049003934488E-4</v>
      </c>
      <c r="BU386" s="14">
        <v>1.4840043149888515E-7</v>
      </c>
      <c r="BV386" s="11">
        <v>13280.2392578125</v>
      </c>
      <c r="BW386" s="11">
        <v>32.7216796875</v>
      </c>
      <c r="BX386" s="11">
        <v>3352.7568359375</v>
      </c>
      <c r="BY386" s="11">
        <v>5.822265625</v>
      </c>
      <c r="BZ386" s="7">
        <v>1018.4500122070313</v>
      </c>
      <c r="CA386" s="7">
        <v>1121.550048828125</v>
      </c>
      <c r="CB386" s="7">
        <v>900</v>
      </c>
      <c r="CC386" s="7">
        <v>1019.8499755859375</v>
      </c>
      <c r="CD386" s="7">
        <v>1019.7999877929688</v>
      </c>
      <c r="CE386" s="3">
        <v>100</v>
      </c>
      <c r="CF386" s="7">
        <v>1016.5999755859375</v>
      </c>
      <c r="CG386" s="3">
        <v>100</v>
      </c>
      <c r="CH386" s="7">
        <v>1039.949951171875</v>
      </c>
      <c r="CI386" s="7">
        <v>21.049999237060547</v>
      </c>
      <c r="CJ386" s="3">
        <v>200</v>
      </c>
      <c r="CK386" s="7">
        <v>21</v>
      </c>
      <c r="CL386" s="3">
        <v>175</v>
      </c>
      <c r="CM386" s="7">
        <v>24.329999923706055</v>
      </c>
      <c r="CN386" s="10">
        <v>44783.638194444444</v>
      </c>
      <c r="CO386" s="10">
        <v>44783.638194444444</v>
      </c>
      <c r="CP386" s="7">
        <v>38295.69921875</v>
      </c>
      <c r="CQ386" s="17" t="s">
        <v>321</v>
      </c>
      <c r="CR386" s="10">
        <v>44783.638194444444</v>
      </c>
      <c r="CS386" s="12">
        <v>-1.6498565673828125E-2</v>
      </c>
      <c r="CT386" s="18">
        <v>-4.8971332221040107E-4</v>
      </c>
      <c r="CU386" s="3">
        <v>697400</v>
      </c>
      <c r="CV386" s="18">
        <v>0.66755090335531975</v>
      </c>
      <c r="CW386" s="7">
        <v>21</v>
      </c>
      <c r="CX386" s="18">
        <v>-2.3752607540487893E-3</v>
      </c>
      <c r="CY386" s="7">
        <v>1019.8499755859375</v>
      </c>
      <c r="CZ386" s="18">
        <v>0</v>
      </c>
      <c r="DA386" s="3">
        <v>43400</v>
      </c>
      <c r="DB386" s="18">
        <v>-0.41705069124423966</v>
      </c>
      <c r="DC386" s="11">
        <v>-1.5214085578918457E-2</v>
      </c>
      <c r="DD386" s="18">
        <v>-4.3696596852543974E-4</v>
      </c>
      <c r="DE386" s="7">
        <v>1019.8499755859375</v>
      </c>
      <c r="DF386" s="7">
        <v>21</v>
      </c>
      <c r="DG386" s="7">
        <v>38295.69921875</v>
      </c>
      <c r="DH386" s="3" t="s">
        <v>312</v>
      </c>
      <c r="DI386" s="3" t="s">
        <v>313</v>
      </c>
      <c r="DJ386" s="3" t="s">
        <v>314</v>
      </c>
      <c r="DK386" s="3">
        <v>38300</v>
      </c>
      <c r="DL386" s="3">
        <v>3400000</v>
      </c>
      <c r="DM386" s="3">
        <v>38500</v>
      </c>
      <c r="DN386" s="3">
        <v>0</v>
      </c>
      <c r="DO386" s="3">
        <v>24500</v>
      </c>
      <c r="DP386" s="3">
        <v>2863350</v>
      </c>
      <c r="DQ386" s="28">
        <v>38000</v>
      </c>
      <c r="DR386" s="32">
        <v>0</v>
      </c>
      <c r="DS386" s="32">
        <v>24500</v>
      </c>
      <c r="DT386" s="32" t="s">
        <v>33</v>
      </c>
      <c r="DU386" s="69">
        <v>44784</v>
      </c>
    </row>
    <row r="387" spans="1:125" x14ac:dyDescent="0.25">
      <c r="A387" t="s">
        <v>129</v>
      </c>
      <c r="B387" s="2">
        <v>44861</v>
      </c>
      <c r="C387" s="1">
        <v>700</v>
      </c>
      <c r="D387">
        <v>88</v>
      </c>
      <c r="M387" s="3"/>
      <c r="N387" s="3"/>
      <c r="O387" s="3">
        <v>37400</v>
      </c>
      <c r="P387" s="7">
        <v>26.049999237060547</v>
      </c>
      <c r="Q387" s="7">
        <v>16.049999237060547</v>
      </c>
      <c r="R387" s="7">
        <v>52.150001525878906</v>
      </c>
      <c r="S387" s="7">
        <v>22</v>
      </c>
      <c r="T387" s="11">
        <v>9.018310546875</v>
      </c>
      <c r="U387" s="11">
        <v>2893.846923828125</v>
      </c>
      <c r="V387" s="11">
        <v>55.12890625</v>
      </c>
      <c r="W387" s="11">
        <v>11837.7724609375</v>
      </c>
      <c r="X387" s="14">
        <v>3.3140531741082668E-7</v>
      </c>
      <c r="Y387" s="14">
        <v>9.7937278042081743E-5</v>
      </c>
      <c r="Z387" s="14">
        <v>2.6123016141355038E-6</v>
      </c>
      <c r="AA387" s="14">
        <v>6.1596592422574759E-4</v>
      </c>
      <c r="AB387" s="15">
        <v>-4.7458570406888612E-10</v>
      </c>
      <c r="AC387" s="15">
        <v>-4.8958554543787614E-7</v>
      </c>
      <c r="AD387" s="13">
        <v>1.9261837005615234E-3</v>
      </c>
      <c r="AE387" s="13">
        <v>0.67463392019271851</v>
      </c>
      <c r="AF387" s="12">
        <v>-1.5753269195556641E-2</v>
      </c>
      <c r="AG387" s="12">
        <v>-4.243037223815918</v>
      </c>
      <c r="AH387" s="13">
        <v>-2.1050800569355488E-7</v>
      </c>
      <c r="AI387" s="13">
        <v>2.3402927035931498E-4</v>
      </c>
      <c r="AJ387" s="11">
        <v>-5.8317184448242188E-3</v>
      </c>
      <c r="AK387" s="11">
        <v>3.1605303287506104</v>
      </c>
      <c r="AL387" s="11">
        <v>0.10000038146972656</v>
      </c>
      <c r="AM387" s="11">
        <v>-26.049999237060547</v>
      </c>
      <c r="AN387" s="11">
        <v>2.0682811737060547E-4</v>
      </c>
      <c r="AO387" s="11">
        <v>-8.4923513233661652E-2</v>
      </c>
      <c r="AP387" s="11">
        <v>32.692790031433105</v>
      </c>
      <c r="AQ387" s="11">
        <v>16274100</v>
      </c>
      <c r="AR387" s="16">
        <v>332425</v>
      </c>
      <c r="AS387" s="16">
        <v>984650</v>
      </c>
      <c r="AT387" s="16">
        <v>32.692790031433105</v>
      </c>
      <c r="AU387" s="7">
        <v>-0.10000038146972656</v>
      </c>
      <c r="AV387" s="7">
        <v>26.049999237060547</v>
      </c>
      <c r="AW387" s="7">
        <v>923.54998779296875</v>
      </c>
      <c r="AX387" s="7">
        <v>0</v>
      </c>
      <c r="AY387" s="11">
        <v>33.266681432723999</v>
      </c>
      <c r="AZ387" s="16">
        <v>44625</v>
      </c>
      <c r="BA387" s="16">
        <v>-8375</v>
      </c>
      <c r="BB387" s="16">
        <v>126925</v>
      </c>
      <c r="BC387" s="11">
        <v>0.91136586666107178</v>
      </c>
      <c r="BD387" s="11">
        <v>1.1125802993774414E-3</v>
      </c>
      <c r="BE387" s="11">
        <v>-52.793163299560547</v>
      </c>
      <c r="BF387" s="11">
        <v>0.7340087890625</v>
      </c>
      <c r="BG387" s="11">
        <v>3.2632296085357666</v>
      </c>
      <c r="BH387" s="11">
        <v>-3.0456304550170898E-2</v>
      </c>
      <c r="BI387" s="13">
        <v>2.3745576618239284E-4</v>
      </c>
      <c r="BJ387" s="13">
        <v>-1.1220836313441396E-6</v>
      </c>
      <c r="BK387" s="11">
        <v>33.266681432723999</v>
      </c>
      <c r="BL387" s="12">
        <v>-3.9678103923797607</v>
      </c>
      <c r="BM387" s="12">
        <v>-7.5060367584228516E-2</v>
      </c>
      <c r="BN387" s="13">
        <v>0.64192003011703491</v>
      </c>
      <c r="BO387" s="13">
        <v>9.2917084693908691E-3</v>
      </c>
      <c r="BP387" s="15">
        <v>-4.8003471420088317E-7</v>
      </c>
      <c r="BQ387" s="15">
        <v>-2.3241568669618573E-9</v>
      </c>
      <c r="BR387" s="14">
        <v>5.6857801973819733E-4</v>
      </c>
      <c r="BS387" s="14">
        <v>1.3157434295862913E-5</v>
      </c>
      <c r="BT387" s="14">
        <v>9.1985653853043914E-5</v>
      </c>
      <c r="BU387" s="14">
        <v>1.7217607819475234E-6</v>
      </c>
      <c r="BV387" s="11">
        <v>10880.7666015625</v>
      </c>
      <c r="BW387" s="11">
        <v>260.33203125</v>
      </c>
      <c r="BX387" s="11">
        <v>2740.136474609375</v>
      </c>
      <c r="BY387" s="11">
        <v>43.42529296875</v>
      </c>
      <c r="BZ387" s="7">
        <v>926.3499755859375</v>
      </c>
      <c r="CA387" s="7">
        <v>1027.199951171875</v>
      </c>
      <c r="CB387" s="7">
        <v>808.4000244140625</v>
      </c>
      <c r="CC387" s="7">
        <v>923.54998779296875</v>
      </c>
      <c r="CD387" s="7">
        <v>923.9000244140625</v>
      </c>
      <c r="CE387" s="3">
        <v>25</v>
      </c>
      <c r="CF387" s="7">
        <v>921.3499755859375</v>
      </c>
      <c r="CG387" s="3">
        <v>25</v>
      </c>
      <c r="CH387" s="7">
        <v>927.9000244140625</v>
      </c>
      <c r="CI387" s="7">
        <v>26.200000762939453</v>
      </c>
      <c r="CJ387" s="3">
        <v>150</v>
      </c>
      <c r="CK387" s="7">
        <v>26.100000381469727</v>
      </c>
      <c r="CL387" s="3">
        <v>50</v>
      </c>
      <c r="CM387" s="7">
        <v>29.739999771118164</v>
      </c>
      <c r="CN387" s="10">
        <v>44783.638194444444</v>
      </c>
      <c r="CO387" s="10">
        <v>44783.638194444444</v>
      </c>
      <c r="CP387" s="7">
        <v>38295.69921875</v>
      </c>
      <c r="CQ387" s="17" t="s">
        <v>321</v>
      </c>
      <c r="CR387" s="10">
        <v>44783.638194444444</v>
      </c>
      <c r="CS387" s="12">
        <v>-2.9557943344116211E-2</v>
      </c>
      <c r="CT387" s="18">
        <v>-9.0329530652567564E-4</v>
      </c>
      <c r="CU387" s="3">
        <v>652225</v>
      </c>
      <c r="CV387" s="18">
        <v>0.50967840852466562</v>
      </c>
      <c r="CW387" s="7">
        <v>26.049999237060547</v>
      </c>
      <c r="CX387" s="18">
        <v>-3.8241064217402446E-3</v>
      </c>
      <c r="CY387" s="7">
        <v>923.54998779296875</v>
      </c>
      <c r="CZ387" s="18">
        <v>0</v>
      </c>
      <c r="DA387" s="3">
        <v>53000</v>
      </c>
      <c r="DB387" s="18">
        <v>-0.15801886792452829</v>
      </c>
      <c r="DC387" s="11">
        <v>-0.15207827091217041</v>
      </c>
      <c r="DD387" s="18">
        <v>-4.5506856705882876E-3</v>
      </c>
      <c r="DE387" s="7">
        <v>923.54998779296875</v>
      </c>
      <c r="DF387" s="7">
        <v>26.049999237060547</v>
      </c>
      <c r="DG387" s="7">
        <v>38295.69921875</v>
      </c>
      <c r="DH387" s="3" t="s">
        <v>312</v>
      </c>
      <c r="DI387" s="3" t="s">
        <v>313</v>
      </c>
      <c r="DJ387" s="3" t="s">
        <v>314</v>
      </c>
      <c r="DK387" s="3">
        <v>38300</v>
      </c>
      <c r="DL387" s="3">
        <v>3400000</v>
      </c>
      <c r="DM387" s="3">
        <v>38500</v>
      </c>
      <c r="DN387" s="3">
        <v>0</v>
      </c>
      <c r="DO387" s="3">
        <v>24500</v>
      </c>
      <c r="DP387" s="3">
        <v>2863350</v>
      </c>
      <c r="DQ387" s="28">
        <v>38000</v>
      </c>
      <c r="DR387" s="32">
        <v>0</v>
      </c>
      <c r="DS387" s="32">
        <v>24500</v>
      </c>
      <c r="DT387" s="32" t="s">
        <v>33</v>
      </c>
      <c r="DU387" s="69">
        <v>44784</v>
      </c>
    </row>
    <row r="388" spans="1:125" x14ac:dyDescent="0.25">
      <c r="A388" t="s">
        <v>130</v>
      </c>
      <c r="B388" s="2">
        <v>44798</v>
      </c>
      <c r="C388" s="1">
        <v>4000</v>
      </c>
      <c r="D388">
        <v>73</v>
      </c>
      <c r="M388" s="3"/>
      <c r="N388" s="3"/>
      <c r="O388" s="3">
        <v>37500</v>
      </c>
      <c r="P388" s="7">
        <v>33</v>
      </c>
      <c r="Q388" s="7">
        <v>20.399999618530273</v>
      </c>
      <c r="R388" s="7">
        <v>64.550003051757813</v>
      </c>
      <c r="S388" s="7">
        <v>54.950000762939453</v>
      </c>
      <c r="T388" s="11">
        <v>7.76708984375</v>
      </c>
      <c r="U388" s="11">
        <v>2188.494384765625</v>
      </c>
      <c r="V388" s="11">
        <v>48.8759765625</v>
      </c>
      <c r="W388" s="11">
        <v>8564.9814453125</v>
      </c>
      <c r="X388" s="14">
        <v>4.8949732445180416E-7</v>
      </c>
      <c r="Y388" s="14">
        <v>7.4235336796846241E-5</v>
      </c>
      <c r="Z388" s="14">
        <v>3.7087884265929461E-6</v>
      </c>
      <c r="AA388" s="14">
        <v>4.7904535313136876E-4</v>
      </c>
      <c r="AB388" s="15">
        <v>-9.3558583103003912E-10</v>
      </c>
      <c r="AC388" s="15">
        <v>-5.5176639079945744E-7</v>
      </c>
      <c r="AD388" s="13">
        <v>1.7317533493041992E-3</v>
      </c>
      <c r="AE388" s="13">
        <v>0.52247041463851929</v>
      </c>
      <c r="AF388" s="12">
        <v>-1.5059471130371094E-2</v>
      </c>
      <c r="AG388" s="12">
        <v>-3.371535062789917</v>
      </c>
      <c r="AH388" s="13">
        <v>-2.1338928490877151E-7</v>
      </c>
      <c r="AI388" s="13">
        <v>2.8206573915667832E-4</v>
      </c>
      <c r="AJ388" s="11">
        <v>-7.4198246002197266E-3</v>
      </c>
      <c r="AK388" s="11">
        <v>3.7126209735870361</v>
      </c>
      <c r="AL388" s="11">
        <v>0.15000152587890625</v>
      </c>
      <c r="AM388" s="11">
        <v>-33</v>
      </c>
      <c r="AN388" s="11">
        <v>2.8927624225616455E-4</v>
      </c>
      <c r="AO388" s="11">
        <v>-0.10566502809524536</v>
      </c>
      <c r="AP388" s="11">
        <v>31.863591074943542</v>
      </c>
      <c r="AQ388" s="11">
        <v>36216525</v>
      </c>
      <c r="AR388" s="16">
        <v>409900</v>
      </c>
      <c r="AS388" s="16">
        <v>2355500</v>
      </c>
      <c r="AT388" s="16">
        <v>31.863591074943542</v>
      </c>
      <c r="AU388" s="7">
        <v>-0.15000152587890625</v>
      </c>
      <c r="AV388" s="7">
        <v>33</v>
      </c>
      <c r="AW388" s="7">
        <v>830</v>
      </c>
      <c r="AX388" s="7">
        <v>0</v>
      </c>
      <c r="AY388" s="11">
        <v>32.213711738586426</v>
      </c>
      <c r="AZ388" s="16">
        <v>181400</v>
      </c>
      <c r="BA388" s="16">
        <v>-17950</v>
      </c>
      <c r="BB388" s="16">
        <v>1225425</v>
      </c>
      <c r="BC388" s="11">
        <v>0.89189499616622925</v>
      </c>
      <c r="BD388" s="11">
        <v>9.7215175628662109E-5</v>
      </c>
      <c r="BE388" s="11">
        <v>-59.130947113037109</v>
      </c>
      <c r="BF388" s="11">
        <v>5.7331085205078125E-2</v>
      </c>
      <c r="BG388" s="11">
        <v>3.7742855548858643</v>
      </c>
      <c r="BH388" s="11">
        <v>-2.5196075439453125E-3</v>
      </c>
      <c r="BI388" s="13">
        <v>2.8363260207697749E-4</v>
      </c>
      <c r="BJ388" s="13">
        <v>-7.9948222264647484E-8</v>
      </c>
      <c r="BK388" s="11">
        <v>32.213711738586426</v>
      </c>
      <c r="BL388" s="12">
        <v>-3.2446746826171875</v>
      </c>
      <c r="BM388" s="12">
        <v>-4.6248435974121094E-3</v>
      </c>
      <c r="BN388" s="13">
        <v>0.50833642482757568</v>
      </c>
      <c r="BO388" s="13">
        <v>5.7131052017211914E-4</v>
      </c>
      <c r="BP388" s="15">
        <v>-5.4314136832545046E-7</v>
      </c>
      <c r="BQ388" s="15">
        <v>-2.6932411856250837E-10</v>
      </c>
      <c r="BR388" s="14">
        <v>4.4746242929250002E-4</v>
      </c>
      <c r="BS388" s="14">
        <v>1.1665397323668003E-6</v>
      </c>
      <c r="BT388" s="14">
        <v>7.0103007601574063E-5</v>
      </c>
      <c r="BU388" s="14">
        <v>1.6165722627192736E-7</v>
      </c>
      <c r="BV388" s="11">
        <v>8155.3681640625</v>
      </c>
      <c r="BW388" s="11">
        <v>14.90478515625</v>
      </c>
      <c r="BX388" s="11">
        <v>2124.8388671875</v>
      </c>
      <c r="BY388" s="11">
        <v>2.517578125</v>
      </c>
      <c r="BZ388" s="7">
        <v>796.1500244140625</v>
      </c>
      <c r="CA388" s="7">
        <v>935</v>
      </c>
      <c r="CB388" s="7">
        <v>717.8499755859375</v>
      </c>
      <c r="CC388" s="7">
        <v>830</v>
      </c>
      <c r="CD388" s="7">
        <v>831.29998779296875</v>
      </c>
      <c r="CE388" s="3">
        <v>25</v>
      </c>
      <c r="CF388" s="7">
        <v>830</v>
      </c>
      <c r="CG388" s="3">
        <v>1000</v>
      </c>
      <c r="CH388" s="7">
        <v>827.69000244140625</v>
      </c>
      <c r="CI388" s="7">
        <v>33.049999237060547</v>
      </c>
      <c r="CJ388" s="3">
        <v>25</v>
      </c>
      <c r="CK388" s="7">
        <v>33</v>
      </c>
      <c r="CL388" s="3">
        <v>375</v>
      </c>
      <c r="CM388" s="7">
        <v>37.180000305175781</v>
      </c>
      <c r="CN388" s="10">
        <v>44783.638194444444</v>
      </c>
      <c r="CO388" s="10">
        <v>44783.638194444444</v>
      </c>
      <c r="CP388" s="7">
        <v>38295.69921875</v>
      </c>
      <c r="CQ388" s="17" t="s">
        <v>321</v>
      </c>
      <c r="CR388" s="10">
        <v>44783.638194444444</v>
      </c>
      <c r="CS388" s="12">
        <v>-3.8248300552368164E-2</v>
      </c>
      <c r="CT388" s="18">
        <v>-1.198937155383806E-3</v>
      </c>
      <c r="CU388" s="3">
        <v>1945600</v>
      </c>
      <c r="CV388" s="18">
        <v>0.21068050986842105</v>
      </c>
      <c r="CW388" s="7">
        <v>33</v>
      </c>
      <c r="CX388" s="18">
        <v>-4.524932699077131E-3</v>
      </c>
      <c r="CY388" s="7">
        <v>830</v>
      </c>
      <c r="CZ388" s="18">
        <v>0</v>
      </c>
      <c r="DA388" s="3">
        <v>199350</v>
      </c>
      <c r="DB388" s="18">
        <v>-9.0042638575369954E-2</v>
      </c>
      <c r="DC388" s="11">
        <v>-1.1113286018371582E-2</v>
      </c>
      <c r="DD388" s="18">
        <v>-3.4486722611794458E-4</v>
      </c>
      <c r="DE388" s="7">
        <v>830</v>
      </c>
      <c r="DF388" s="7">
        <v>33</v>
      </c>
      <c r="DG388" s="7">
        <v>38295.69921875</v>
      </c>
      <c r="DH388" s="3" t="s">
        <v>312</v>
      </c>
      <c r="DI388" s="3" t="s">
        <v>313</v>
      </c>
      <c r="DJ388" s="3" t="s">
        <v>314</v>
      </c>
      <c r="DK388" s="3">
        <v>38300</v>
      </c>
      <c r="DL388" s="3">
        <v>3400000</v>
      </c>
      <c r="DM388" s="3">
        <v>38500</v>
      </c>
      <c r="DN388" s="3">
        <v>0</v>
      </c>
      <c r="DO388" s="3">
        <v>24500</v>
      </c>
      <c r="DP388" s="3">
        <v>2863350</v>
      </c>
      <c r="DQ388" s="28">
        <v>38000</v>
      </c>
      <c r="DR388" s="32">
        <v>0</v>
      </c>
      <c r="DS388" s="32">
        <v>24500</v>
      </c>
      <c r="DT388" s="32" t="s">
        <v>33</v>
      </c>
      <c r="DU388" s="69">
        <v>44784</v>
      </c>
    </row>
    <row r="389" spans="1:125" x14ac:dyDescent="0.25">
      <c r="A389" t="s">
        <v>130</v>
      </c>
      <c r="B389" s="2">
        <v>44833</v>
      </c>
      <c r="C389" s="1">
        <v>4000</v>
      </c>
      <c r="D389">
        <v>73</v>
      </c>
      <c r="M389" s="3"/>
      <c r="N389" s="3"/>
      <c r="O389" s="3">
        <v>37600</v>
      </c>
      <c r="P389" s="7">
        <v>41.25</v>
      </c>
      <c r="Q389" s="7">
        <v>25.700000762939453</v>
      </c>
      <c r="R389" s="7">
        <v>82.5</v>
      </c>
      <c r="S389" s="7">
        <v>44.150001525878906</v>
      </c>
      <c r="T389" s="11">
        <v>1.6082763671875</v>
      </c>
      <c r="U389" s="11">
        <v>1671.3082275390625</v>
      </c>
      <c r="V389" s="11">
        <v>9.74072265625</v>
      </c>
      <c r="W389" s="11">
        <v>6174.22216796875</v>
      </c>
      <c r="X389" s="14">
        <v>1.5768091543577611E-7</v>
      </c>
      <c r="Y389" s="14">
        <v>4.0794311644276604E-5</v>
      </c>
      <c r="Z389" s="14">
        <v>1.1197407729923725E-6</v>
      </c>
      <c r="AA389" s="14">
        <v>2.7137075085192919E-4</v>
      </c>
      <c r="AB389" s="15">
        <v>-3.2827074392116629E-10</v>
      </c>
      <c r="AC389" s="15">
        <v>-6.1263955331014586E-7</v>
      </c>
      <c r="AD389" s="13">
        <v>3.8290023803710938E-4</v>
      </c>
      <c r="AE389" s="13">
        <v>0.40564233064651489</v>
      </c>
      <c r="AF389" s="12">
        <v>-3.2534599304199219E-3</v>
      </c>
      <c r="AG389" s="12">
        <v>-2.6984024047851563</v>
      </c>
      <c r="AH389" s="13">
        <v>-5.7974830269813538E-8</v>
      </c>
      <c r="AI389" s="13">
        <v>3.3696266473270953E-4</v>
      </c>
      <c r="AJ389" s="11">
        <v>-2.2292137145996094E-3</v>
      </c>
      <c r="AK389" s="11">
        <v>4.302459716796875</v>
      </c>
      <c r="AL389" s="11">
        <v>4.9999237060546875E-2</v>
      </c>
      <c r="AM389" s="11">
        <v>-41.25</v>
      </c>
      <c r="AN389" s="11">
        <v>9.3623995780944824E-5</v>
      </c>
      <c r="AO389" s="11">
        <v>-0.13012760877609253</v>
      </c>
      <c r="AP389" s="11">
        <v>30.909872055053711</v>
      </c>
      <c r="AQ389" s="11">
        <v>22588650</v>
      </c>
      <c r="AR389" s="16">
        <v>555225</v>
      </c>
      <c r="AS389" s="16">
        <v>1256350</v>
      </c>
      <c r="AT389" s="16">
        <v>30.909872055053711</v>
      </c>
      <c r="AU389" s="7">
        <v>-4.9999237060546875E-2</v>
      </c>
      <c r="AV389" s="7">
        <v>41.25</v>
      </c>
      <c r="AW389" s="7">
        <v>741</v>
      </c>
      <c r="AX389" s="7">
        <v>0</v>
      </c>
      <c r="AY389" s="11">
        <v>31.843215227127075</v>
      </c>
      <c r="AZ389" s="16">
        <v>64775</v>
      </c>
      <c r="BA389" s="16">
        <v>-19525</v>
      </c>
      <c r="BB389" s="16">
        <v>471675</v>
      </c>
      <c r="BC389" s="11">
        <v>0.86284220218658447</v>
      </c>
      <c r="BD389" s="11">
        <v>9.7262859344482422E-4</v>
      </c>
      <c r="BE389" s="11">
        <v>-69.083763122558594</v>
      </c>
      <c r="BF389" s="11">
        <v>0.56122589111328125</v>
      </c>
      <c r="BG389" s="11">
        <v>4.461064338684082</v>
      </c>
      <c r="BH389" s="11">
        <v>-2.159881591796875E-2</v>
      </c>
      <c r="BI389" s="13">
        <v>3.3912991057150066E-4</v>
      </c>
      <c r="BJ389" s="13">
        <v>-5.1286770030856133E-7</v>
      </c>
      <c r="BK389" s="11">
        <v>31.843215227127075</v>
      </c>
      <c r="BL389" s="12">
        <v>-2.4508504867553711</v>
      </c>
      <c r="BM389" s="12">
        <v>-2.9949188232421875E-2</v>
      </c>
      <c r="BN389" s="13">
        <v>0.37953716516494751</v>
      </c>
      <c r="BO389" s="13">
        <v>3.4133493900299072E-3</v>
      </c>
      <c r="BP389" s="15">
        <v>-5.8166790495306486E-7</v>
      </c>
      <c r="BQ389" s="15">
        <v>-3.3289779821643606E-9</v>
      </c>
      <c r="BR389" s="14">
        <v>1.88039819477126E-4</v>
      </c>
      <c r="BS389" s="14">
        <v>1.0576535714790225E-5</v>
      </c>
      <c r="BT389" s="14">
        <v>2.9119728424120694E-5</v>
      </c>
      <c r="BU389" s="14">
        <v>1.5481091395486146E-6</v>
      </c>
      <c r="BV389" s="11">
        <v>5445.4716796875</v>
      </c>
      <c r="BW389" s="11">
        <v>88.255859375</v>
      </c>
      <c r="BX389" s="11">
        <v>1560.0157470703125</v>
      </c>
      <c r="BY389" s="11">
        <v>14.4312744140625</v>
      </c>
      <c r="BZ389" s="7">
        <v>751.70001220703125</v>
      </c>
      <c r="CA389" s="7">
        <v>841.20001220703125</v>
      </c>
      <c r="CB389" s="7">
        <v>632.79998779296875</v>
      </c>
      <c r="CC389" s="7">
        <v>741</v>
      </c>
      <c r="CD389" s="7">
        <v>738.70001220703125</v>
      </c>
      <c r="CE389" s="3">
        <v>25</v>
      </c>
      <c r="CF389" s="7">
        <v>736.9000244140625</v>
      </c>
      <c r="CG389" s="3">
        <v>500</v>
      </c>
      <c r="CH389" s="7">
        <v>743.44000244140625</v>
      </c>
      <c r="CI389" s="7">
        <v>41.400001525878906</v>
      </c>
      <c r="CJ389" s="3">
        <v>550</v>
      </c>
      <c r="CK389" s="7">
        <v>41.25</v>
      </c>
      <c r="CL389" s="3">
        <v>1900</v>
      </c>
      <c r="CM389" s="7">
        <v>46.009998321533203</v>
      </c>
      <c r="CN389" s="10">
        <v>44783.638194444444</v>
      </c>
      <c r="CO389" s="10">
        <v>44783.638194444444</v>
      </c>
      <c r="CP389" s="7">
        <v>38295.69921875</v>
      </c>
      <c r="CQ389" s="17" t="s">
        <v>321</v>
      </c>
      <c r="CR389" s="10">
        <v>44783.638194444444</v>
      </c>
      <c r="CS389" s="12">
        <v>-9.4383955001831055E-3</v>
      </c>
      <c r="CT389" s="18">
        <v>-3.0525892598015636E-4</v>
      </c>
      <c r="CU389" s="3">
        <v>701125</v>
      </c>
      <c r="CV389" s="18">
        <v>0.79190586557318599</v>
      </c>
      <c r="CW389" s="7">
        <v>41.25</v>
      </c>
      <c r="CX389" s="18">
        <v>-1.2106353022805886E-3</v>
      </c>
      <c r="CY389" s="7">
        <v>741</v>
      </c>
      <c r="CZ389" s="18">
        <v>0</v>
      </c>
      <c r="DA389" s="3">
        <v>84300</v>
      </c>
      <c r="DB389" s="18">
        <v>-0.23161328588374852</v>
      </c>
      <c r="DC389" s="11">
        <v>-0.10539591312408447</v>
      </c>
      <c r="DD389" s="18">
        <v>-3.2989200269585152E-3</v>
      </c>
      <c r="DE389" s="7">
        <v>741</v>
      </c>
      <c r="DF389" s="7">
        <v>41.25</v>
      </c>
      <c r="DG389" s="7">
        <v>38295.69921875</v>
      </c>
      <c r="DH389" s="3" t="s">
        <v>312</v>
      </c>
      <c r="DI389" s="3" t="s">
        <v>313</v>
      </c>
      <c r="DJ389" s="3" t="s">
        <v>314</v>
      </c>
      <c r="DK389" s="3">
        <v>38300</v>
      </c>
      <c r="DL389" s="3">
        <v>3400000</v>
      </c>
      <c r="DM389" s="3">
        <v>38500</v>
      </c>
      <c r="DN389" s="3">
        <v>0</v>
      </c>
      <c r="DO389" s="3">
        <v>24500</v>
      </c>
      <c r="DP389" s="3">
        <v>2863350</v>
      </c>
      <c r="DQ389" s="28">
        <v>38000</v>
      </c>
      <c r="DR389" s="32">
        <v>0</v>
      </c>
      <c r="DS389" s="32">
        <v>24500</v>
      </c>
      <c r="DT389" s="32" t="s">
        <v>33</v>
      </c>
      <c r="DU389" s="69">
        <v>44784</v>
      </c>
    </row>
    <row r="390" spans="1:125" x14ac:dyDescent="0.25">
      <c r="A390" t="s">
        <v>130</v>
      </c>
      <c r="B390" s="2">
        <v>44861</v>
      </c>
      <c r="C390" s="1">
        <v>4000</v>
      </c>
      <c r="D390">
        <v>73</v>
      </c>
      <c r="M390" s="3"/>
      <c r="N390" s="3"/>
      <c r="O390" s="3">
        <v>37700</v>
      </c>
      <c r="P390" s="7">
        <v>52.900001525878906</v>
      </c>
      <c r="Q390" s="7">
        <v>33.25</v>
      </c>
      <c r="R390" s="7">
        <v>98.75</v>
      </c>
      <c r="S390" s="7">
        <v>94</v>
      </c>
      <c r="T390" s="11">
        <v>-1.5126953125</v>
      </c>
      <c r="U390" s="11">
        <v>1254.40771484375</v>
      </c>
      <c r="V390" s="11">
        <v>-11.0263671875</v>
      </c>
      <c r="W390" s="11">
        <v>4175.24658203125</v>
      </c>
      <c r="X390" s="14">
        <v>-2.3574375518364832E-7</v>
      </c>
      <c r="Y390" s="14">
        <v>-8.4751263784710318E-6</v>
      </c>
      <c r="Z390" s="14">
        <v>-1.5611476555932313E-6</v>
      </c>
      <c r="AA390" s="14">
        <v>-5.7704055507201701E-5</v>
      </c>
      <c r="AB390" s="15">
        <v>9.3695007308269851E-10</v>
      </c>
      <c r="AC390" s="15">
        <v>-6.5259467874057009E-7</v>
      </c>
      <c r="AD390" s="13">
        <v>-3.7047266960144043E-4</v>
      </c>
      <c r="AE390" s="13">
        <v>0.30600205063819885</v>
      </c>
      <c r="AF390" s="12">
        <v>4.1565895080566406E-3</v>
      </c>
      <c r="AG390" s="12">
        <v>-2.0834567546844482</v>
      </c>
      <c r="AH390" s="13">
        <v>-4.4994521886110306E-8</v>
      </c>
      <c r="AI390" s="13">
        <v>3.997414605692029E-4</v>
      </c>
      <c r="AJ390" s="11">
        <v>2.9249191284179688E-3</v>
      </c>
      <c r="AK390" s="11">
        <v>4.9867234230041504</v>
      </c>
      <c r="AL390" s="11">
        <v>-0.10000228881835938</v>
      </c>
      <c r="AM390" s="11">
        <v>-52.900001525878906</v>
      </c>
      <c r="AN390" s="11">
        <v>-1.5096366405487061E-4</v>
      </c>
      <c r="AO390" s="11">
        <v>-0.16206490993499756</v>
      </c>
      <c r="AP390" s="11">
        <v>30.199554562568665</v>
      </c>
      <c r="AQ390" s="11">
        <v>27986300</v>
      </c>
      <c r="AR390" s="16">
        <v>465300</v>
      </c>
      <c r="AS390" s="16">
        <v>1580750</v>
      </c>
      <c r="AT390" s="16">
        <v>30.199554562568665</v>
      </c>
      <c r="AU390" s="7">
        <v>0.10000228881835938</v>
      </c>
      <c r="AV390" s="7">
        <v>52.900001525878906</v>
      </c>
      <c r="AW390" s="7">
        <v>648.20001220703125</v>
      </c>
      <c r="AX390" s="7">
        <v>0</v>
      </c>
      <c r="AY390" s="11">
        <v>30.122482776641846</v>
      </c>
      <c r="AZ390" s="16">
        <v>153125</v>
      </c>
      <c r="BA390" s="16">
        <v>-78250</v>
      </c>
      <c r="BB390" s="16">
        <v>1110550</v>
      </c>
      <c r="BC390" s="11">
        <v>0.83858323097229004</v>
      </c>
      <c r="BD390" s="11">
        <v>8.6545944213867188E-5</v>
      </c>
      <c r="BE390" s="11">
        <v>-72.863883972167969</v>
      </c>
      <c r="BF390" s="11">
        <v>4.2633056640625E-2</v>
      </c>
      <c r="BG390" s="11">
        <v>4.9737300872802734</v>
      </c>
      <c r="BH390" s="11">
        <v>-1.8405914306640625E-3</v>
      </c>
      <c r="BI390" s="13">
        <v>3.997179155703634E-4</v>
      </c>
      <c r="BJ390" s="13">
        <v>-2.8463546186685562E-8</v>
      </c>
      <c r="BK390" s="11">
        <v>30.122482776641846</v>
      </c>
      <c r="BL390" s="12">
        <v>-2.1000487804412842</v>
      </c>
      <c r="BM390" s="12">
        <v>-2.0487308502197266E-3</v>
      </c>
      <c r="BN390" s="13">
        <v>0.30765184760093689</v>
      </c>
      <c r="BO390" s="13">
        <v>2.3409724235534668E-4</v>
      </c>
      <c r="BP390" s="15">
        <v>-6.5592439568717964E-7</v>
      </c>
      <c r="BQ390" s="15">
        <v>-3.6391156754689291E-10</v>
      </c>
      <c r="BR390" s="14">
        <v>-5.0919788918690756E-5</v>
      </c>
      <c r="BS390" s="14">
        <v>9.1660695034079254E-7</v>
      </c>
      <c r="BT390" s="14">
        <v>-7.4596205195121001E-6</v>
      </c>
      <c r="BU390" s="14">
        <v>1.3591261449619196E-7</v>
      </c>
      <c r="BV390" s="11">
        <v>4219.79833984375</v>
      </c>
      <c r="BW390" s="11">
        <v>5.53955078125</v>
      </c>
      <c r="BX390" s="11">
        <v>1261.0478515625</v>
      </c>
      <c r="BY390" s="11">
        <v>0.9183349609375</v>
      </c>
      <c r="BZ390" s="7">
        <v>647.29998779296875</v>
      </c>
      <c r="CA390" s="7">
        <v>752.95001220703125</v>
      </c>
      <c r="CB390" s="7">
        <v>551</v>
      </c>
      <c r="CC390" s="7">
        <v>648.20001220703125</v>
      </c>
      <c r="CD390" s="7">
        <v>649.79998779296875</v>
      </c>
      <c r="CE390" s="3">
        <v>50</v>
      </c>
      <c r="CF390" s="7">
        <v>648.0999755859375</v>
      </c>
      <c r="CG390" s="3">
        <v>125</v>
      </c>
      <c r="CH390" s="7">
        <v>660.1500244140625</v>
      </c>
      <c r="CI390" s="7">
        <v>52.900001525878906</v>
      </c>
      <c r="CJ390" s="3">
        <v>125</v>
      </c>
      <c r="CK390" s="7">
        <v>52.700000762939453</v>
      </c>
      <c r="CL390" s="3">
        <v>1675</v>
      </c>
      <c r="CM390" s="7">
        <v>57.759998321533203</v>
      </c>
      <c r="CN390" s="10">
        <v>44783.638194444444</v>
      </c>
      <c r="CO390" s="10">
        <v>44783.638194444444</v>
      </c>
      <c r="CP390" s="7">
        <v>38295.69921875</v>
      </c>
      <c r="CQ390" s="17" t="s">
        <v>321</v>
      </c>
      <c r="CR390" s="10">
        <v>44783.638194444444</v>
      </c>
      <c r="CS390" s="12">
        <v>2.2336840629577637E-2</v>
      </c>
      <c r="CT390" s="18">
        <v>7.4018886815196917E-4</v>
      </c>
      <c r="CU390" s="3">
        <v>1115450</v>
      </c>
      <c r="CV390" s="18">
        <v>0.41714106414451568</v>
      </c>
      <c r="CW390" s="7">
        <v>52.900001525878906</v>
      </c>
      <c r="CX390" s="18">
        <v>1.8939827701392718E-3</v>
      </c>
      <c r="CY390" s="7">
        <v>648.20001220703125</v>
      </c>
      <c r="CZ390" s="18">
        <v>0</v>
      </c>
      <c r="DA390" s="3">
        <v>231375</v>
      </c>
      <c r="DB390" s="18">
        <v>-0.33819556996218259</v>
      </c>
      <c r="DC390" s="11">
        <v>-7.7784061431884766E-3</v>
      </c>
      <c r="DD390" s="18">
        <v>-2.5815926705715644E-4</v>
      </c>
      <c r="DE390" s="7">
        <v>648.20001220703125</v>
      </c>
      <c r="DF390" s="7">
        <v>52.900001525878906</v>
      </c>
      <c r="DG390" s="7">
        <v>38295.69921875</v>
      </c>
      <c r="DH390" s="3" t="s">
        <v>312</v>
      </c>
      <c r="DI390" s="3" t="s">
        <v>314</v>
      </c>
      <c r="DJ390" s="3" t="s">
        <v>314</v>
      </c>
      <c r="DK390" s="3">
        <v>38300</v>
      </c>
      <c r="DL390" s="3">
        <v>3400000</v>
      </c>
      <c r="DM390" s="3">
        <v>38500</v>
      </c>
      <c r="DN390" s="3">
        <v>0</v>
      </c>
      <c r="DO390" s="3">
        <v>24500</v>
      </c>
      <c r="DP390" s="3">
        <v>2863350</v>
      </c>
      <c r="DQ390" s="28">
        <v>38000</v>
      </c>
      <c r="DR390" s="32">
        <v>0</v>
      </c>
      <c r="DS390" s="32">
        <v>24500</v>
      </c>
      <c r="DT390" s="32" t="s">
        <v>33</v>
      </c>
      <c r="DU390" s="69">
        <v>44784</v>
      </c>
    </row>
    <row r="391" spans="1:125" x14ac:dyDescent="0.25">
      <c r="A391" t="s">
        <v>131</v>
      </c>
      <c r="B391" s="2">
        <v>44798</v>
      </c>
      <c r="C391" s="1">
        <v>6000</v>
      </c>
      <c r="D391">
        <v>118</v>
      </c>
      <c r="M391" s="3"/>
      <c r="N391" s="3"/>
      <c r="O391" s="3">
        <v>37800</v>
      </c>
      <c r="P391" s="7">
        <v>67.150001525878906</v>
      </c>
      <c r="Q391" s="7">
        <v>43.25</v>
      </c>
      <c r="R391" s="7">
        <v>121.90000152587891</v>
      </c>
      <c r="S391" s="7">
        <v>117</v>
      </c>
      <c r="T391" s="11">
        <v>-1.2197265625</v>
      </c>
      <c r="U391" s="11">
        <v>953.86810302734375</v>
      </c>
      <c r="V391" s="11">
        <v>-9.07568359375</v>
      </c>
      <c r="W391" s="11">
        <v>2737.3046875</v>
      </c>
      <c r="X391" s="14">
        <v>-2.5003828341141343E-7</v>
      </c>
      <c r="Y391" s="14">
        <v>-6.9093279307708144E-5</v>
      </c>
      <c r="Z391" s="14">
        <v>-1.2557138688862324E-6</v>
      </c>
      <c r="AA391" s="14">
        <v>-4.8297934699803591E-4</v>
      </c>
      <c r="AB391" s="15">
        <v>1.4306351658888161E-9</v>
      </c>
      <c r="AC391" s="15">
        <v>-6.7162812911192304E-7</v>
      </c>
      <c r="AD391" s="13">
        <v>-3.2673776149749756E-4</v>
      </c>
      <c r="AE391" s="13">
        <v>0.22872321307659149</v>
      </c>
      <c r="AF391" s="12">
        <v>3.9212703704833984E-3</v>
      </c>
      <c r="AG391" s="12">
        <v>-1.5988326072692871</v>
      </c>
      <c r="AH391" s="13">
        <v>-1.6938429325819016E-7</v>
      </c>
      <c r="AI391" s="13">
        <v>4.6799320261925459E-4</v>
      </c>
      <c r="AJ391" s="11">
        <v>3.276824951171875E-3</v>
      </c>
      <c r="AK391" s="11">
        <v>5.6865029335021973</v>
      </c>
      <c r="AL391" s="11">
        <v>-0.15000152587890625</v>
      </c>
      <c r="AM391" s="11">
        <v>-67.150001525878906</v>
      </c>
      <c r="AN391" s="11">
        <v>-1.980513334274292E-4</v>
      </c>
      <c r="AO391" s="11">
        <v>-0.19979135692119598</v>
      </c>
      <c r="AP391" s="11">
        <v>29.414933919906616</v>
      </c>
      <c r="AQ391" s="11">
        <v>35637075</v>
      </c>
      <c r="AR391" s="16">
        <v>327100</v>
      </c>
      <c r="AS391" s="16">
        <v>1586225</v>
      </c>
      <c r="AT391" s="16">
        <v>29.414933919906616</v>
      </c>
      <c r="AU391" s="7">
        <v>0.15000152587890625</v>
      </c>
      <c r="AV391" s="7">
        <v>67.150001525878906</v>
      </c>
      <c r="AW391" s="7">
        <v>564.6500244140625</v>
      </c>
      <c r="AX391" s="7">
        <v>0</v>
      </c>
      <c r="AY391" s="11">
        <v>29.736626148223877</v>
      </c>
      <c r="AZ391" s="16">
        <v>246500</v>
      </c>
      <c r="BA391" s="16">
        <v>-153600</v>
      </c>
      <c r="BB391" s="16">
        <v>3080350</v>
      </c>
      <c r="BC391" s="11">
        <v>0.79766881465911865</v>
      </c>
      <c r="BD391" s="11">
        <v>8.4775686264038086E-4</v>
      </c>
      <c r="BE391" s="11">
        <v>-82.862289428710938</v>
      </c>
      <c r="BF391" s="11">
        <v>0.41599273681640625</v>
      </c>
      <c r="BG391" s="11">
        <v>5.7298688888549805</v>
      </c>
      <c r="BH391" s="11">
        <v>-1.4375209808349609E-2</v>
      </c>
      <c r="BI391" s="13">
        <v>4.6644188114441931E-4</v>
      </c>
      <c r="BJ391" s="13">
        <v>2.5262124836444855E-8</v>
      </c>
      <c r="BK391" s="11">
        <v>29.736626148223877</v>
      </c>
      <c r="BL391" s="12">
        <v>-1.5521050691604614</v>
      </c>
      <c r="BM391" s="12">
        <v>-1.3558864593505859E-2</v>
      </c>
      <c r="BN391" s="13">
        <v>0.22445711493492126</v>
      </c>
      <c r="BO391" s="13">
        <v>1.4034062623977661E-3</v>
      </c>
      <c r="BP391" s="15">
        <v>-6.552996296704805E-7</v>
      </c>
      <c r="BQ391" s="15">
        <v>-3.9867700252216309E-9</v>
      </c>
      <c r="BR391" s="14">
        <v>-4.9994286382570863E-4</v>
      </c>
      <c r="BS391" s="14">
        <v>6.4981286413967609E-6</v>
      </c>
      <c r="BT391" s="14">
        <v>-7.2299051680602133E-5</v>
      </c>
      <c r="BU391" s="14">
        <v>1.1232041288167238E-6</v>
      </c>
      <c r="BV391" s="11">
        <v>2628.829833984375</v>
      </c>
      <c r="BW391" s="11">
        <v>32.33837890625</v>
      </c>
      <c r="BX391" s="11">
        <v>938.189453125</v>
      </c>
      <c r="BY391" s="11">
        <v>5.14837646484375</v>
      </c>
      <c r="BZ391" s="7">
        <v>571.54998779296875</v>
      </c>
      <c r="CA391" s="7">
        <v>665.4000244140625</v>
      </c>
      <c r="CB391" s="7">
        <v>470.04998779296875</v>
      </c>
      <c r="CC391" s="7">
        <v>564.6500244140625</v>
      </c>
      <c r="CD391" s="7">
        <v>564.54998779296875</v>
      </c>
      <c r="CE391" s="3">
        <v>50</v>
      </c>
      <c r="CF391" s="7">
        <v>563.54998779296875</v>
      </c>
      <c r="CG391" s="3">
        <v>25</v>
      </c>
      <c r="CH391" s="7">
        <v>574.46002197265625</v>
      </c>
      <c r="CI391" s="7">
        <v>67.199996948242188</v>
      </c>
      <c r="CJ391" s="3">
        <v>575</v>
      </c>
      <c r="CK391" s="7">
        <v>67</v>
      </c>
      <c r="CL391" s="3">
        <v>100</v>
      </c>
      <c r="CM391" s="7">
        <v>73.639999389648438</v>
      </c>
      <c r="CN391" s="10">
        <v>44783.638194444444</v>
      </c>
      <c r="CO391" s="10">
        <v>44783.638194444444</v>
      </c>
      <c r="CP391" s="7">
        <v>38295.69921875</v>
      </c>
      <c r="CQ391" s="17" t="s">
        <v>321</v>
      </c>
      <c r="CR391" s="10">
        <v>44783.638194444444</v>
      </c>
      <c r="CS391" s="12">
        <v>2.8777122497558594E-2</v>
      </c>
      <c r="CT391" s="18">
        <v>9.7927478900867483E-4</v>
      </c>
      <c r="CU391" s="3">
        <v>1259125</v>
      </c>
      <c r="CV391" s="18">
        <v>0.25978357986697109</v>
      </c>
      <c r="CW391" s="7">
        <v>67.150001525878906</v>
      </c>
      <c r="CX391" s="18">
        <v>2.2388287444612873E-3</v>
      </c>
      <c r="CY391" s="7">
        <v>564.6500244140625</v>
      </c>
      <c r="CZ391" s="18">
        <v>0</v>
      </c>
      <c r="DA391" s="3">
        <v>400100</v>
      </c>
      <c r="DB391" s="18">
        <v>-0.38390402399400148</v>
      </c>
      <c r="DC391" s="11">
        <v>-7.578432559967041E-2</v>
      </c>
      <c r="DD391" s="18">
        <v>-2.5420395196226078E-3</v>
      </c>
      <c r="DE391" s="7">
        <v>564.6500244140625</v>
      </c>
      <c r="DF391" s="7">
        <v>67.150001525878906</v>
      </c>
      <c r="DG391" s="7">
        <v>38295.69921875</v>
      </c>
      <c r="DH391" s="3" t="s">
        <v>312</v>
      </c>
      <c r="DI391" s="3" t="s">
        <v>314</v>
      </c>
      <c r="DJ391" s="3" t="s">
        <v>314</v>
      </c>
      <c r="DK391" s="3">
        <v>38300</v>
      </c>
      <c r="DL391" s="3">
        <v>3400000</v>
      </c>
      <c r="DM391" s="3">
        <v>38500</v>
      </c>
      <c r="DN391" s="3">
        <v>0</v>
      </c>
      <c r="DO391" s="3">
        <v>24500</v>
      </c>
      <c r="DP391" s="3">
        <v>2863350</v>
      </c>
      <c r="DQ391" s="28">
        <v>38000</v>
      </c>
      <c r="DR391" s="32">
        <v>0</v>
      </c>
      <c r="DS391" s="32">
        <v>24500</v>
      </c>
      <c r="DT391" s="32" t="s">
        <v>33</v>
      </c>
      <c r="DU391" s="69">
        <v>44784</v>
      </c>
    </row>
    <row r="392" spans="1:125" x14ac:dyDescent="0.25">
      <c r="A392" t="s">
        <v>131</v>
      </c>
      <c r="B392" s="2">
        <v>44833</v>
      </c>
      <c r="C392" s="1">
        <v>6000</v>
      </c>
      <c r="D392">
        <v>118</v>
      </c>
      <c r="M392" s="3"/>
      <c r="N392" s="3"/>
      <c r="O392" s="3">
        <v>37900</v>
      </c>
      <c r="P392" s="7">
        <v>85.050003051757813</v>
      </c>
      <c r="Q392" s="7">
        <v>56.75</v>
      </c>
      <c r="R392" s="7">
        <v>149.60000610351563</v>
      </c>
      <c r="S392" s="7">
        <v>132.75</v>
      </c>
      <c r="T392" s="11">
        <v>-1.0467529296875</v>
      </c>
      <c r="U392" s="11">
        <v>734.50006103515625</v>
      </c>
      <c r="V392" s="11">
        <v>-7.9293212890625</v>
      </c>
      <c r="W392" s="11">
        <v>1679.3759765625</v>
      </c>
      <c r="X392" s="14">
        <v>-2.1261803340166807E-7</v>
      </c>
      <c r="Y392" s="14">
        <v>-1.3997724454384297E-4</v>
      </c>
      <c r="Z392" s="14">
        <v>-1.9557774066925049E-8</v>
      </c>
      <c r="AA392" s="14">
        <v>-1.0053522419184446E-3</v>
      </c>
      <c r="AB392" s="15">
        <v>2.2873791749589145E-9</v>
      </c>
      <c r="AC392" s="15">
        <v>-6.5542388938411023E-7</v>
      </c>
      <c r="AD392" s="13">
        <v>-3.1822919845581055E-4</v>
      </c>
      <c r="AE392" s="13">
        <v>0.16648566722869873</v>
      </c>
      <c r="AF392" s="12">
        <v>4.0847063064575195E-3</v>
      </c>
      <c r="AG392" s="12">
        <v>-1.1957424879074097</v>
      </c>
      <c r="AH392" s="13">
        <v>-4.457542672753334E-7</v>
      </c>
      <c r="AI392" s="13">
        <v>5.40010049007833E-4</v>
      </c>
      <c r="AJ392" s="11">
        <v>3.7770271301269531E-3</v>
      </c>
      <c r="AK392" s="11">
        <v>6.3861227035522461</v>
      </c>
      <c r="AL392" s="11">
        <v>-0.25</v>
      </c>
      <c r="AM392" s="11">
        <v>-85.050003051757813</v>
      </c>
      <c r="AN392" s="11">
        <v>-2.7799606323242188E-4</v>
      </c>
      <c r="AO392" s="11">
        <v>-0.24477554857730865</v>
      </c>
      <c r="AP392" s="11">
        <v>28.628584742546082</v>
      </c>
      <c r="AQ392" s="11">
        <v>31039250</v>
      </c>
      <c r="AR392" s="16">
        <v>292400</v>
      </c>
      <c r="AS392" s="16">
        <v>1230600</v>
      </c>
      <c r="AT392" s="16">
        <v>28.628584742546082</v>
      </c>
      <c r="AU392" s="7">
        <v>0.25</v>
      </c>
      <c r="AV392" s="7">
        <v>85.050003051757813</v>
      </c>
      <c r="AW392" s="7">
        <v>481.95001220703125</v>
      </c>
      <c r="AX392" s="7">
        <v>1.100006103515625</v>
      </c>
      <c r="AY392" s="11">
        <v>28.82004976272583</v>
      </c>
      <c r="AZ392" s="16">
        <v>256775</v>
      </c>
      <c r="BA392" s="16">
        <v>8600</v>
      </c>
      <c r="BB392" s="16">
        <v>4769675</v>
      </c>
      <c r="BC392" s="11">
        <v>0.75386542081832886</v>
      </c>
      <c r="BD392" s="11">
        <v>-1.1977553367614746E-3</v>
      </c>
      <c r="BE392" s="11">
        <v>-89.776878356933594</v>
      </c>
      <c r="BF392" s="11">
        <v>-0.7548675537109375</v>
      </c>
      <c r="BG392" s="11">
        <v>6.4051671028137207</v>
      </c>
      <c r="BH392" s="11">
        <v>1.6633510589599609E-2</v>
      </c>
      <c r="BI392" s="13">
        <v>5.3801934700459242E-4</v>
      </c>
      <c r="BJ392" s="13">
        <v>-1.7026322893798351E-6</v>
      </c>
      <c r="BK392" s="11">
        <v>28.82004976272583</v>
      </c>
      <c r="BL392" s="12">
        <v>-1.1765241622924805</v>
      </c>
      <c r="BM392" s="12">
        <v>1.6829848289489746E-2</v>
      </c>
      <c r="BN392" s="13">
        <v>0.16490541398525238</v>
      </c>
      <c r="BO392" s="13">
        <v>-1.384347677230835E-3</v>
      </c>
      <c r="BP392" s="15">
        <v>-6.4479434058739571E-7</v>
      </c>
      <c r="BQ392" s="15">
        <v>9.2351797320588958E-9</v>
      </c>
      <c r="BR392" s="14">
        <v>-1.0061073116958141E-3</v>
      </c>
      <c r="BS392" s="14">
        <v>-8.2200858741998672E-7</v>
      </c>
      <c r="BT392" s="14">
        <v>-1.4101923443377018E-4</v>
      </c>
      <c r="BU392" s="14">
        <v>-9.3621201813220978E-7</v>
      </c>
      <c r="BV392" s="11">
        <v>1642.0616455078125</v>
      </c>
      <c r="BW392" s="11">
        <v>-32.75341796875</v>
      </c>
      <c r="BX392" s="11">
        <v>729.3477783203125</v>
      </c>
      <c r="BY392" s="11">
        <v>-4.52142333984375</v>
      </c>
      <c r="BZ392" s="7">
        <v>462.20001220703125</v>
      </c>
      <c r="CA392" s="7">
        <v>580</v>
      </c>
      <c r="CB392" s="7">
        <v>400</v>
      </c>
      <c r="CC392" s="7">
        <v>481.95001220703125</v>
      </c>
      <c r="CD392" s="7">
        <v>481.54998779296875</v>
      </c>
      <c r="CE392" s="3">
        <v>100</v>
      </c>
      <c r="CF392" s="7">
        <v>480.29998779296875</v>
      </c>
      <c r="CG392" s="3">
        <v>500</v>
      </c>
      <c r="CH392" s="7">
        <v>492.94000244140625</v>
      </c>
      <c r="CI392" s="7">
        <v>84.949996948242188</v>
      </c>
      <c r="CJ392" s="3">
        <v>75</v>
      </c>
      <c r="CK392" s="7">
        <v>84.849998474121094</v>
      </c>
      <c r="CL392" s="3">
        <v>50</v>
      </c>
      <c r="CM392" s="7">
        <v>92.580001831054688</v>
      </c>
      <c r="CN392" s="10">
        <v>44783.638194444444</v>
      </c>
      <c r="CO392" s="10">
        <v>44783.638194444444</v>
      </c>
      <c r="CP392" s="7">
        <v>38295.69921875</v>
      </c>
      <c r="CQ392" s="17" t="s">
        <v>321</v>
      </c>
      <c r="CR392" s="10">
        <v>44783.638194444444</v>
      </c>
      <c r="CS392" s="12">
        <v>4.1693449020385742E-2</v>
      </c>
      <c r="CT392" s="18">
        <v>1.4584813924775513E-3</v>
      </c>
      <c r="CU392" s="3">
        <v>938200</v>
      </c>
      <c r="CV392" s="18">
        <v>0.31166062673204009</v>
      </c>
      <c r="CW392" s="7">
        <v>85.050003051757813</v>
      </c>
      <c r="CX392" s="18">
        <v>2.9481131014513304E-3</v>
      </c>
      <c r="CY392" s="7">
        <v>481.95001220703125</v>
      </c>
      <c r="CZ392" s="18">
        <v>2.2876283447084323E-3</v>
      </c>
      <c r="DA392" s="3">
        <v>248175</v>
      </c>
      <c r="DB392" s="18">
        <v>3.4652966656593127E-2</v>
      </c>
      <c r="DC392" s="11">
        <v>0.16668438911437988</v>
      </c>
      <c r="DD392" s="18">
        <v>5.8172709188250961E-3</v>
      </c>
      <c r="DE392" s="7">
        <v>481.95001220703125</v>
      </c>
      <c r="DF392" s="7">
        <v>85.050003051757813</v>
      </c>
      <c r="DG392" s="7">
        <v>38295.69921875</v>
      </c>
      <c r="DH392" s="3" t="s">
        <v>314</v>
      </c>
      <c r="DI392" s="3" t="s">
        <v>314</v>
      </c>
      <c r="DJ392" s="3" t="s">
        <v>314</v>
      </c>
      <c r="DK392" s="3">
        <v>38300</v>
      </c>
      <c r="DL392" s="3">
        <v>3400000</v>
      </c>
      <c r="DM392" s="3">
        <v>38500</v>
      </c>
      <c r="DN392" s="3">
        <v>0</v>
      </c>
      <c r="DO392" s="3">
        <v>24500</v>
      </c>
      <c r="DP392" s="3">
        <v>2863350</v>
      </c>
      <c r="DQ392" s="28">
        <v>38000</v>
      </c>
      <c r="DR392" s="32">
        <v>0</v>
      </c>
      <c r="DS392" s="32">
        <v>24500</v>
      </c>
      <c r="DT392" s="32" t="s">
        <v>33</v>
      </c>
      <c r="DU392" s="69">
        <v>44784</v>
      </c>
    </row>
    <row r="393" spans="1:125" x14ac:dyDescent="0.25">
      <c r="A393" t="s">
        <v>131</v>
      </c>
      <c r="B393" s="2">
        <v>44861</v>
      </c>
      <c r="C393" s="1">
        <v>6000</v>
      </c>
      <c r="D393">
        <v>118</v>
      </c>
      <c r="M393" s="3"/>
      <c r="N393" s="3"/>
      <c r="O393" s="3">
        <v>38000</v>
      </c>
      <c r="P393" s="7">
        <v>106.90000152587891</v>
      </c>
      <c r="Q393" s="7">
        <v>74.099998474121094</v>
      </c>
      <c r="R393" s="7">
        <v>183</v>
      </c>
      <c r="S393" s="7">
        <v>149.94999694824219</v>
      </c>
      <c r="T393" s="11">
        <v>0.57647705078125</v>
      </c>
      <c r="U393" s="11">
        <v>580.05364990234375</v>
      </c>
      <c r="V393" s="11">
        <v>3.96759033203125</v>
      </c>
      <c r="W393" s="11">
        <v>928.89642333984375</v>
      </c>
      <c r="X393" s="14">
        <v>3.8620783016085625E-8</v>
      </c>
      <c r="Y393" s="14">
        <v>-2.1572790865320712E-4</v>
      </c>
      <c r="Z393" s="14">
        <v>-1.5285331755876541E-6</v>
      </c>
      <c r="AA393" s="14">
        <v>-1.5962632605805993E-3</v>
      </c>
      <c r="AB393" s="15">
        <v>-1.9514914129104E-9</v>
      </c>
      <c r="AC393" s="15">
        <v>-5.9432227317302022E-7</v>
      </c>
      <c r="AD393" s="13">
        <v>2.1175295114517212E-4</v>
      </c>
      <c r="AE393" s="13">
        <v>0.11589039862155914</v>
      </c>
      <c r="AF393" s="12">
        <v>-2.5396347045898438E-3</v>
      </c>
      <c r="AG393" s="12">
        <v>-0.85752272605895996</v>
      </c>
      <c r="AH393" s="13">
        <v>5.0355447456240654E-7</v>
      </c>
      <c r="AI393" s="13">
        <v>6.1283912509679794E-4</v>
      </c>
      <c r="AJ393" s="11">
        <v>-2.8071403503417969E-3</v>
      </c>
      <c r="AK393" s="11">
        <v>7.0347194671630859</v>
      </c>
      <c r="AL393" s="11">
        <v>0.14614105224609375</v>
      </c>
      <c r="AM393" s="11">
        <v>-95.071121215820313</v>
      </c>
      <c r="AN393" s="11">
        <v>2.4610757827758789E-4</v>
      </c>
      <c r="AO393" s="11">
        <v>-0.29702717065811157</v>
      </c>
      <c r="AP393" s="11">
        <v>27.788332104682922</v>
      </c>
      <c r="AQ393" s="11">
        <v>73033500</v>
      </c>
      <c r="AR393" s="16">
        <v>561250</v>
      </c>
      <c r="AS393" s="16">
        <v>2863350</v>
      </c>
      <c r="AT393" s="16">
        <v>27.788332104682922</v>
      </c>
      <c r="AU393" s="7">
        <v>-0.25</v>
      </c>
      <c r="AV393" s="7">
        <v>106.90000152587891</v>
      </c>
      <c r="AW393" s="7">
        <v>402.25</v>
      </c>
      <c r="AX393" s="7">
        <v>-0.45001220703125</v>
      </c>
      <c r="AY393" s="11">
        <v>27.742967009544373</v>
      </c>
      <c r="AZ393" s="16">
        <v>1222125</v>
      </c>
      <c r="BA393" s="16">
        <v>-16900</v>
      </c>
      <c r="BB393" s="16">
        <v>27974975</v>
      </c>
      <c r="BC393" s="11">
        <v>0.70323151350021362</v>
      </c>
      <c r="BD393" s="11">
        <v>1.1029243469238281E-3</v>
      </c>
      <c r="BE393" s="11">
        <v>-94.875907897949219</v>
      </c>
      <c r="BF393" s="11">
        <v>0.5625762939453125</v>
      </c>
      <c r="BG393" s="11">
        <v>7.0320582389831543</v>
      </c>
      <c r="BH393" s="11">
        <v>-1.1979103088378906E-2</v>
      </c>
      <c r="BI393" s="13">
        <v>6.135840667411685E-4</v>
      </c>
      <c r="BJ393" s="13">
        <v>1.5722471289336681E-6</v>
      </c>
      <c r="BK393" s="11">
        <v>27.742967009544373</v>
      </c>
      <c r="BL393" s="12">
        <v>-0.8605462908744812</v>
      </c>
      <c r="BM393" s="12">
        <v>-1.0457098484039307E-2</v>
      </c>
      <c r="BN393" s="13">
        <v>0.11610414087772369</v>
      </c>
      <c r="BO393" s="13">
        <v>9.2698633670806885E-4</v>
      </c>
      <c r="BP393" s="15">
        <v>-5.9679319974748068E-7</v>
      </c>
      <c r="BQ393" s="15">
        <v>-7.4339823186164722E-9</v>
      </c>
      <c r="BR393" s="14">
        <v>-1.5990497777238488E-3</v>
      </c>
      <c r="BS393" s="14">
        <v>-3.450317308306694E-6</v>
      </c>
      <c r="BT393" s="14">
        <v>-2.1574238780885935E-4</v>
      </c>
      <c r="BU393" s="14">
        <v>4.4269836507737637E-7</v>
      </c>
      <c r="BV393" s="11">
        <v>933.49798583984375</v>
      </c>
      <c r="BW393" s="11">
        <v>16.8399658203125</v>
      </c>
      <c r="BX393" s="11">
        <v>580.63494873046875</v>
      </c>
      <c r="BY393" s="11">
        <v>2.53656005859375</v>
      </c>
      <c r="BZ393" s="7">
        <v>429.14999389648438</v>
      </c>
      <c r="CA393" s="7">
        <v>500.14999389648438</v>
      </c>
      <c r="CB393" s="7">
        <v>330</v>
      </c>
      <c r="CC393" s="7">
        <v>402.25</v>
      </c>
      <c r="CD393" s="7">
        <v>403.10000610351563</v>
      </c>
      <c r="CE393" s="3">
        <v>125</v>
      </c>
      <c r="CF393" s="7">
        <v>402.20001220703125</v>
      </c>
      <c r="CG393" s="3">
        <v>25</v>
      </c>
      <c r="CH393" s="7">
        <v>417.39999389648438</v>
      </c>
      <c r="CI393" s="7">
        <v>107.15000152587891</v>
      </c>
      <c r="CJ393" s="3">
        <v>50</v>
      </c>
      <c r="CK393" s="7">
        <v>106.94999694824219</v>
      </c>
      <c r="CL393" s="3">
        <v>75</v>
      </c>
      <c r="CM393" s="7">
        <v>116.70999908447266</v>
      </c>
      <c r="CN393" s="10">
        <v>44783.638194444444</v>
      </c>
      <c r="CO393" s="10">
        <v>44783.638194444444</v>
      </c>
      <c r="CP393" s="7">
        <v>38295.69921875</v>
      </c>
      <c r="CQ393" s="17" t="s">
        <v>321</v>
      </c>
      <c r="CR393" s="10">
        <v>44783.638194444444</v>
      </c>
      <c r="CS393" s="12">
        <v>-3.2818317413330078E-2</v>
      </c>
      <c r="CT393" s="18">
        <v>-1.1796175541060642E-3</v>
      </c>
      <c r="CU393" s="3">
        <v>2302100</v>
      </c>
      <c r="CV393" s="18">
        <v>0.24379913991572913</v>
      </c>
      <c r="CW393" s="7">
        <v>106.90000152587891</v>
      </c>
      <c r="CX393" s="18">
        <v>-2.3331777549216357E-3</v>
      </c>
      <c r="CY393" s="7">
        <v>402.25</v>
      </c>
      <c r="CZ393" s="18">
        <v>-1.11748744323329E-3</v>
      </c>
      <c r="DA393" s="3">
        <v>1239025</v>
      </c>
      <c r="DB393" s="18">
        <v>-1.3639757067048687E-2</v>
      </c>
      <c r="DC393" s="11">
        <v>-0.11824965476989746</v>
      </c>
      <c r="DD393" s="18">
        <v>-4.2442387277852158E-3</v>
      </c>
      <c r="DE393" s="7">
        <v>402.25</v>
      </c>
      <c r="DF393" s="7">
        <v>106.90000152587891</v>
      </c>
      <c r="DG393" s="7">
        <v>38295.69921875</v>
      </c>
      <c r="DH393" s="3" t="s">
        <v>313</v>
      </c>
      <c r="DI393" s="3" t="s">
        <v>313</v>
      </c>
      <c r="DJ393" s="3" t="s">
        <v>314</v>
      </c>
      <c r="DK393" s="3">
        <v>38300</v>
      </c>
      <c r="DL393" s="3">
        <v>3400000</v>
      </c>
      <c r="DM393" s="3">
        <v>38500</v>
      </c>
      <c r="DN393" s="3">
        <v>0</v>
      </c>
      <c r="DO393" s="3">
        <v>24500</v>
      </c>
      <c r="DP393" s="3">
        <v>2863350</v>
      </c>
      <c r="DQ393" s="28">
        <v>38000</v>
      </c>
      <c r="DR393" s="32">
        <v>0</v>
      </c>
      <c r="DS393" s="32">
        <v>24500</v>
      </c>
      <c r="DT393" s="32" t="s">
        <v>33</v>
      </c>
      <c r="DU393" s="69">
        <v>44784</v>
      </c>
    </row>
    <row r="394" spans="1:125" x14ac:dyDescent="0.25">
      <c r="A394" t="s">
        <v>132</v>
      </c>
      <c r="B394" s="2">
        <v>44798</v>
      </c>
      <c r="C394" s="1">
        <v>1200</v>
      </c>
      <c r="D394">
        <v>93</v>
      </c>
      <c r="M394" s="3"/>
      <c r="N394" s="3"/>
      <c r="O394" s="3">
        <v>38100</v>
      </c>
      <c r="P394" s="7">
        <v>134.30000305175781</v>
      </c>
      <c r="Q394" s="7">
        <v>96.599998474121094</v>
      </c>
      <c r="R394" s="7">
        <v>222.60000610351563</v>
      </c>
      <c r="S394" s="7">
        <v>186.55000305175781</v>
      </c>
      <c r="T394" s="11">
        <v>3.94287109375E-2</v>
      </c>
      <c r="U394" s="11">
        <v>475.26797485351563</v>
      </c>
      <c r="V394" s="11">
        <v>9.356689453125E-2</v>
      </c>
      <c r="W394" s="11">
        <v>410.03903198242188</v>
      </c>
      <c r="X394" s="14">
        <v>3.3644028007984161E-8</v>
      </c>
      <c r="Y394" s="14">
        <v>-2.886531874537468E-4</v>
      </c>
      <c r="Z394" s="14">
        <v>5.9115700423717499E-7</v>
      </c>
      <c r="AA394" s="14">
        <v>-2.1988532971590757E-3</v>
      </c>
      <c r="AB394" s="15">
        <v>1.7053025658242404E-11</v>
      </c>
      <c r="AC394" s="15">
        <v>-4.7000082759041106E-7</v>
      </c>
      <c r="AD394" s="13">
        <v>1.7039477825164795E-5</v>
      </c>
      <c r="AE394" s="13">
        <v>7.2635561227798462E-2</v>
      </c>
      <c r="AF394" s="12">
        <v>-4.5597553253173828E-5</v>
      </c>
      <c r="AG394" s="12">
        <v>-0.55331087112426758</v>
      </c>
      <c r="AH394" s="13">
        <v>-7.5378920882940292E-8</v>
      </c>
      <c r="AI394" s="13">
        <v>6.8042863858863711E-4</v>
      </c>
      <c r="AJ394" s="11">
        <v>-3.2138824462890625E-4</v>
      </c>
      <c r="AK394" s="11">
        <v>7.5868048667907715</v>
      </c>
      <c r="AL394" s="11">
        <v>-1.093292236328125E-2</v>
      </c>
      <c r="AM394" s="11">
        <v>-99.5953369140625</v>
      </c>
      <c r="AN394" s="11">
        <v>2.2590160369873047E-5</v>
      </c>
      <c r="AO394" s="11">
        <v>-0.35769826173782349</v>
      </c>
      <c r="AP394" s="11">
        <v>26.992353796958923</v>
      </c>
      <c r="AQ394" s="11">
        <v>38408025</v>
      </c>
      <c r="AR394" s="16">
        <v>399000</v>
      </c>
      <c r="AS394" s="16">
        <v>1262975</v>
      </c>
      <c r="AT394" s="16">
        <v>26.992353796958923</v>
      </c>
      <c r="AU394" s="7">
        <v>0</v>
      </c>
      <c r="AV394" s="7">
        <v>134.30000305175781</v>
      </c>
      <c r="AW394" s="7">
        <v>330.20001220703125</v>
      </c>
      <c r="AX394" s="7">
        <v>-0.149993896484375</v>
      </c>
      <c r="AY394" s="11">
        <v>27.023428678512573</v>
      </c>
      <c r="AZ394" s="16">
        <v>576525</v>
      </c>
      <c r="BA394" s="16">
        <v>59800</v>
      </c>
      <c r="BB394" s="16">
        <v>20701600</v>
      </c>
      <c r="BC394" s="11">
        <v>0.64221936464309692</v>
      </c>
      <c r="BD394" s="11">
        <v>1.4996528625488281E-4</v>
      </c>
      <c r="BE394" s="11">
        <v>-99.718284606933594</v>
      </c>
      <c r="BF394" s="11">
        <v>9.87091064453125E-2</v>
      </c>
      <c r="BG394" s="11">
        <v>7.587435245513916</v>
      </c>
      <c r="BH394" s="11">
        <v>-1.2636184692382813E-3</v>
      </c>
      <c r="BI394" s="13">
        <v>6.7969912197440863E-4</v>
      </c>
      <c r="BJ394" s="13">
        <v>5.029141902923584E-7</v>
      </c>
      <c r="BK394" s="11">
        <v>27.023428678512573</v>
      </c>
      <c r="BL394" s="12">
        <v>-0.55225586891174316</v>
      </c>
      <c r="BM394" s="12">
        <v>-1.211702823638916E-3</v>
      </c>
      <c r="BN394" s="13">
        <v>7.2580531239509583E-2</v>
      </c>
      <c r="BO394" s="13">
        <v>9.9636614322662354E-5</v>
      </c>
      <c r="BP394" s="15">
        <v>-4.6870303549439996E-7</v>
      </c>
      <c r="BQ394" s="15">
        <v>-1.2421423889463767E-9</v>
      </c>
      <c r="BR394" s="14">
        <v>-2.1943817846477032E-3</v>
      </c>
      <c r="BS394" s="14">
        <v>-2.7902424335479736E-6</v>
      </c>
      <c r="BT394" s="14">
        <v>-2.8839783044531941E-4</v>
      </c>
      <c r="BU394" s="14">
        <v>-1.2959935702383518E-7</v>
      </c>
      <c r="BV394" s="11">
        <v>409.010498046875</v>
      </c>
      <c r="BW394" s="11">
        <v>1.3388671875</v>
      </c>
      <c r="BX394" s="11">
        <v>475.1619873046875</v>
      </c>
      <c r="BY394" s="11">
        <v>0.203155517578125</v>
      </c>
      <c r="BZ394" s="7">
        <v>345.85000610351563</v>
      </c>
      <c r="CA394" s="7">
        <v>425</v>
      </c>
      <c r="CB394" s="7">
        <v>265</v>
      </c>
      <c r="CC394" s="7">
        <v>330.20001220703125</v>
      </c>
      <c r="CD394" s="7">
        <v>331</v>
      </c>
      <c r="CE394" s="3">
        <v>325</v>
      </c>
      <c r="CF394" s="7">
        <v>330</v>
      </c>
      <c r="CG394" s="3">
        <v>275</v>
      </c>
      <c r="CH394" s="7">
        <v>347.3699951171875</v>
      </c>
      <c r="CI394" s="7">
        <v>134.25</v>
      </c>
      <c r="CJ394" s="3">
        <v>50</v>
      </c>
      <c r="CK394" s="7">
        <v>133.85000610351563</v>
      </c>
      <c r="CL394" s="3">
        <v>225</v>
      </c>
      <c r="CM394" s="7">
        <v>146.77999877929688</v>
      </c>
      <c r="CN394" s="10">
        <v>44783.638194444444</v>
      </c>
      <c r="CO394" s="10">
        <v>44783.638194444444</v>
      </c>
      <c r="CP394" s="7">
        <v>38295.69921875</v>
      </c>
      <c r="CQ394" s="17" t="s">
        <v>321</v>
      </c>
      <c r="CR394" s="10">
        <v>44783.638194444444</v>
      </c>
      <c r="CS394" s="12">
        <v>2.9414892196655273E-3</v>
      </c>
      <c r="CT394" s="18">
        <v>1.0898678289567834E-4</v>
      </c>
      <c r="CU394" s="3">
        <v>863975</v>
      </c>
      <c r="CV394" s="18">
        <v>0.46181891837148065</v>
      </c>
      <c r="CW394" s="7">
        <v>134.30000305175781</v>
      </c>
      <c r="CX394" s="18">
        <v>0</v>
      </c>
      <c r="CY394" s="7">
        <v>330.20001220703125</v>
      </c>
      <c r="CZ394" s="18">
        <v>-4.5404538735614313E-4</v>
      </c>
      <c r="DA394" s="3">
        <v>516725</v>
      </c>
      <c r="DB394" s="18">
        <v>0.11572886932120567</v>
      </c>
      <c r="DC394" s="11">
        <v>-2.3415684700012207E-2</v>
      </c>
      <c r="DD394" s="18">
        <v>-8.6574553339985002E-4</v>
      </c>
      <c r="DE394" s="7">
        <v>330.20001220703125</v>
      </c>
      <c r="DF394" s="7">
        <v>134.30000305175781</v>
      </c>
      <c r="DG394" s="7">
        <v>38295.69921875</v>
      </c>
      <c r="DH394" s="3" t="s">
        <v>313</v>
      </c>
      <c r="DI394" s="3" t="s">
        <v>312</v>
      </c>
      <c r="DJ394" s="3" t="s">
        <v>314</v>
      </c>
      <c r="DK394" s="3">
        <v>38300</v>
      </c>
      <c r="DL394" s="3">
        <v>3400000</v>
      </c>
      <c r="DM394" s="3">
        <v>38500</v>
      </c>
      <c r="DN394" s="3">
        <v>0</v>
      </c>
      <c r="DO394" s="3">
        <v>24500</v>
      </c>
      <c r="DP394" s="3">
        <v>2863350</v>
      </c>
      <c r="DQ394" s="28">
        <v>38000</v>
      </c>
      <c r="DR394" s="32">
        <v>0</v>
      </c>
      <c r="DS394" s="32">
        <v>24500</v>
      </c>
      <c r="DT394" s="32" t="s">
        <v>33</v>
      </c>
      <c r="DU394" s="69">
        <v>44784</v>
      </c>
    </row>
    <row r="395" spans="1:125" x14ac:dyDescent="0.25">
      <c r="A395" t="s">
        <v>132</v>
      </c>
      <c r="B395" s="2">
        <v>44833</v>
      </c>
      <c r="C395" s="1">
        <v>1200</v>
      </c>
      <c r="D395">
        <v>93</v>
      </c>
      <c r="M395" s="3"/>
      <c r="N395" s="3"/>
      <c r="O395" s="3">
        <v>38200</v>
      </c>
      <c r="P395" s="7">
        <v>167.30000305175781</v>
      </c>
      <c r="Q395" s="7">
        <v>125.30000305175781</v>
      </c>
      <c r="R395" s="7">
        <v>268</v>
      </c>
      <c r="S395" s="7">
        <v>222.19999694824219</v>
      </c>
      <c r="T395" s="11">
        <v>4.534912109375E-2</v>
      </c>
      <c r="U395" s="11">
        <v>414.34371948242188</v>
      </c>
      <c r="V395" s="11">
        <v>0.22205352783203125</v>
      </c>
      <c r="W395" s="11">
        <v>102.48335266113281</v>
      </c>
      <c r="X395" s="14">
        <v>-1.1434894986450672E-7</v>
      </c>
      <c r="Y395" s="14">
        <v>-3.4714158391579986E-4</v>
      </c>
      <c r="Z395" s="14">
        <v>-1.7532147467136383E-6</v>
      </c>
      <c r="AA395" s="14">
        <v>-2.7301970403641462E-3</v>
      </c>
      <c r="AB395" s="15">
        <v>-4.1595171751396265E-10</v>
      </c>
      <c r="AC395" s="15">
        <v>-2.7926142820433597E-7</v>
      </c>
      <c r="AD395" s="13">
        <v>3.5040080547332764E-5</v>
      </c>
      <c r="AE395" s="13">
        <v>3.4236479550600052E-2</v>
      </c>
      <c r="AF395" s="12">
        <v>-3.5974383354187012E-4</v>
      </c>
      <c r="AG395" s="12">
        <v>-0.2692628800868988</v>
      </c>
      <c r="AH395" s="13">
        <v>2.5570625439286232E-7</v>
      </c>
      <c r="AI395" s="13">
        <v>7.3773920303210616E-4</v>
      </c>
      <c r="AJ395" s="11">
        <v>-3.9958953857421875E-4</v>
      </c>
      <c r="AK395" s="11">
        <v>7.9673514366149902</v>
      </c>
      <c r="AL395" s="11">
        <v>3.679656982421875E-2</v>
      </c>
      <c r="AM395" s="11">
        <v>-101.30400085449219</v>
      </c>
      <c r="AN395" s="11">
        <v>6.2555074691772461E-5</v>
      </c>
      <c r="AO395" s="11">
        <v>-0.42572620511054993</v>
      </c>
      <c r="AP395" s="11">
        <v>26.144075393676758</v>
      </c>
      <c r="AQ395" s="11">
        <v>66744700</v>
      </c>
      <c r="AR395" s="16">
        <v>678900</v>
      </c>
      <c r="AS395" s="16">
        <v>1939375</v>
      </c>
      <c r="AT395" s="16">
        <v>26.144075393676758</v>
      </c>
      <c r="AU395" s="7">
        <v>-9.99908447265625E-2</v>
      </c>
      <c r="AV395" s="7">
        <v>167.30000305175781</v>
      </c>
      <c r="AW395" s="7">
        <v>264</v>
      </c>
      <c r="AX395" s="7">
        <v>-0.20001220703125</v>
      </c>
      <c r="AY395" s="11">
        <v>26.272609829902649</v>
      </c>
      <c r="AZ395" s="16">
        <v>1444275</v>
      </c>
      <c r="BA395" s="16">
        <v>122800</v>
      </c>
      <c r="BB395" s="16">
        <v>60665575</v>
      </c>
      <c r="BC395" s="11">
        <v>0.57390314340591431</v>
      </c>
      <c r="BD395" s="11">
        <v>5.6892633438110352E-4</v>
      </c>
      <c r="BE395" s="11">
        <v>-101.81770324707031</v>
      </c>
      <c r="BF395" s="11">
        <v>0.27227020263671875</v>
      </c>
      <c r="BG395" s="11">
        <v>7.9689207077026367</v>
      </c>
      <c r="BH395" s="11">
        <v>-2.2034645080566406E-3</v>
      </c>
      <c r="BI395" s="13">
        <v>7.3424464790150523E-4</v>
      </c>
      <c r="BJ395" s="13">
        <v>1.5954137779772282E-6</v>
      </c>
      <c r="BK395" s="11">
        <v>26.272609829902649</v>
      </c>
      <c r="BL395" s="12">
        <v>-0.26633152365684509</v>
      </c>
      <c r="BM395" s="12">
        <v>-3.0081570148468018E-3</v>
      </c>
      <c r="BN395" s="13">
        <v>3.4028779715299606E-2</v>
      </c>
      <c r="BO395" s="13">
        <v>3.0370801687240601E-4</v>
      </c>
      <c r="BP395" s="15">
        <v>-2.7536734137356689E-7</v>
      </c>
      <c r="BQ395" s="15">
        <v>-3.2077878131531179E-9</v>
      </c>
      <c r="BR395" s="14">
        <v>-2.7049568016082048E-3</v>
      </c>
      <c r="BS395" s="14">
        <v>-1.0988209396600723E-5</v>
      </c>
      <c r="BT395" s="14">
        <v>-3.456082777120173E-4</v>
      </c>
      <c r="BU395" s="14">
        <v>-5.7893339544534683E-7</v>
      </c>
      <c r="BV395" s="11">
        <v>100.85790252685547</v>
      </c>
      <c r="BW395" s="11">
        <v>1.9148941040039063</v>
      </c>
      <c r="BX395" s="11">
        <v>414.11947631835938</v>
      </c>
      <c r="BY395" s="11">
        <v>0.3367919921875</v>
      </c>
      <c r="BZ395" s="7">
        <v>290</v>
      </c>
      <c r="CA395" s="7">
        <v>355</v>
      </c>
      <c r="CB395" s="7">
        <v>210.75</v>
      </c>
      <c r="CC395" s="7">
        <v>264</v>
      </c>
      <c r="CD395" s="7">
        <v>264.64999389648438</v>
      </c>
      <c r="CE395" s="3">
        <v>100</v>
      </c>
      <c r="CF395" s="7">
        <v>264.04998779296875</v>
      </c>
      <c r="CG395" s="3">
        <v>75</v>
      </c>
      <c r="CH395" s="7">
        <v>282.67999267578125</v>
      </c>
      <c r="CI395" s="7">
        <v>167.25</v>
      </c>
      <c r="CJ395" s="3">
        <v>25</v>
      </c>
      <c r="CK395" s="7">
        <v>166.85000610351563</v>
      </c>
      <c r="CL395" s="3">
        <v>50</v>
      </c>
      <c r="CM395" s="7">
        <v>184.32000732421875</v>
      </c>
      <c r="CN395" s="10">
        <v>44783.638194444444</v>
      </c>
      <c r="CO395" s="10">
        <v>44783.638194444444</v>
      </c>
      <c r="CP395" s="7">
        <v>38295.69921875</v>
      </c>
      <c r="CQ395" s="17" t="s">
        <v>321</v>
      </c>
      <c r="CR395" s="10">
        <v>44783.638194444444</v>
      </c>
      <c r="CS395" s="12">
        <v>-9.3132257461547852E-3</v>
      </c>
      <c r="CT395" s="18">
        <v>-3.5610015519129643E-4</v>
      </c>
      <c r="CU395" s="3">
        <v>1260475</v>
      </c>
      <c r="CV395" s="18">
        <v>0.53860647771673376</v>
      </c>
      <c r="CW395" s="7">
        <v>167.30000305175781</v>
      </c>
      <c r="CX395" s="18">
        <v>-5.9731689589184896E-4</v>
      </c>
      <c r="CY395" s="7">
        <v>264</v>
      </c>
      <c r="CZ395" s="18">
        <v>-7.5704843978022728E-4</v>
      </c>
      <c r="DA395" s="3">
        <v>1321475</v>
      </c>
      <c r="DB395" s="18">
        <v>9.2926464745833257E-2</v>
      </c>
      <c r="DC395" s="11">
        <v>-6.4110755920410156E-2</v>
      </c>
      <c r="DD395" s="18">
        <v>-2.4342725477719766E-3</v>
      </c>
      <c r="DE395" s="7">
        <v>264</v>
      </c>
      <c r="DF395" s="7">
        <v>167.30000305175781</v>
      </c>
      <c r="DG395" s="7">
        <v>38295.69921875</v>
      </c>
      <c r="DH395" s="3" t="s">
        <v>313</v>
      </c>
      <c r="DI395" s="3" t="s">
        <v>313</v>
      </c>
      <c r="DJ395" s="3" t="s">
        <v>314</v>
      </c>
      <c r="DK395" s="3">
        <v>38300</v>
      </c>
      <c r="DL395" s="3">
        <v>3400000</v>
      </c>
      <c r="DM395" s="3">
        <v>38500</v>
      </c>
      <c r="DN395" s="3">
        <v>0</v>
      </c>
      <c r="DO395" s="3">
        <v>24500</v>
      </c>
      <c r="DP395" s="3">
        <v>2863350</v>
      </c>
      <c r="DQ395" s="28">
        <v>38000</v>
      </c>
      <c r="DR395" s="32">
        <v>0</v>
      </c>
      <c r="DS395" s="32">
        <v>24500</v>
      </c>
      <c r="DT395" s="32" t="s">
        <v>33</v>
      </c>
      <c r="DU395" s="69">
        <v>44784</v>
      </c>
    </row>
    <row r="396" spans="1:125" x14ac:dyDescent="0.25">
      <c r="A396" t="s">
        <v>132</v>
      </c>
      <c r="B396" s="2">
        <v>44861</v>
      </c>
      <c r="C396" s="1">
        <v>1200</v>
      </c>
      <c r="D396">
        <v>93</v>
      </c>
      <c r="M396" s="3"/>
      <c r="N396" s="3"/>
      <c r="O396" s="3">
        <v>38300</v>
      </c>
      <c r="P396" s="7">
        <v>207.10000610351563</v>
      </c>
      <c r="Q396" s="7">
        <v>161.19999694824219</v>
      </c>
      <c r="R396" s="7">
        <v>320.89999389648438</v>
      </c>
      <c r="S396" s="7">
        <v>295.04998779296875</v>
      </c>
      <c r="T396" s="11">
        <v>5.096435546875E-3</v>
      </c>
      <c r="U396" s="11">
        <v>394.34835815429688</v>
      </c>
      <c r="V396" s="11">
        <v>-6.6014595329761505E-2</v>
      </c>
      <c r="W396" s="11">
        <v>8.5818521678447723E-2</v>
      </c>
      <c r="X396" s="14">
        <v>1.508218701928854E-6</v>
      </c>
      <c r="Y396" s="14">
        <v>-3.7773669464513659E-4</v>
      </c>
      <c r="Z396" s="14">
        <v>2.495315857231617E-5</v>
      </c>
      <c r="AA396" s="14">
        <v>-3.0734085012227297E-3</v>
      </c>
      <c r="AB396" s="15">
        <v>-1.6716033002239783E-9</v>
      </c>
      <c r="AC396" s="15">
        <v>-1.7616594405467367E-8</v>
      </c>
      <c r="AD396" s="13">
        <v>2.0987982861697674E-4</v>
      </c>
      <c r="AE396" s="13">
        <v>-2.9442340601235628E-3</v>
      </c>
      <c r="AF396" s="12">
        <v>-1.813134178519249E-3</v>
      </c>
      <c r="AG396" s="12">
        <v>2.3955399170517921E-2</v>
      </c>
      <c r="AH396" s="13">
        <v>-3.1508388929069042E-6</v>
      </c>
      <c r="AI396" s="13">
        <v>7.7671458711847663E-4</v>
      </c>
      <c r="AJ396" s="11">
        <v>-3.719329833984375E-5</v>
      </c>
      <c r="AK396" s="11">
        <v>8.1082611083984375</v>
      </c>
      <c r="AL396" s="11">
        <v>-0.407440185546875</v>
      </c>
      <c r="AM396" s="11">
        <v>-99.654441833496094</v>
      </c>
      <c r="AN396" s="11">
        <v>4.5341253280639648E-4</v>
      </c>
      <c r="AO396" s="11">
        <v>-0.50070315599441528</v>
      </c>
      <c r="AP396" s="11">
        <v>25.271415710449219</v>
      </c>
      <c r="AQ396" s="11">
        <v>81379150</v>
      </c>
      <c r="AR396" s="16">
        <v>1603400</v>
      </c>
      <c r="AS396" s="16">
        <v>2021400</v>
      </c>
      <c r="AT396" s="16">
        <v>25.271415710449219</v>
      </c>
      <c r="AU396" s="7">
        <v>0.5500030517578125</v>
      </c>
      <c r="AV396" s="7">
        <v>207.10000610351563</v>
      </c>
      <c r="AW396" s="7">
        <v>203.64999389648438</v>
      </c>
      <c r="AX396" s="7">
        <v>-0.3000030517578125</v>
      </c>
      <c r="AY396" s="11">
        <v>25.379332900047302</v>
      </c>
      <c r="AZ396" s="16">
        <v>2462175</v>
      </c>
      <c r="BA396" s="16">
        <v>1387900</v>
      </c>
      <c r="BB396" s="16">
        <v>88115300</v>
      </c>
      <c r="BC396" s="11">
        <v>0.49936127662658691</v>
      </c>
      <c r="BD396" s="11">
        <v>1.0484457015991211E-4</v>
      </c>
      <c r="BE396" s="11">
        <v>-100.08016204833984</v>
      </c>
      <c r="BF396" s="11">
        <v>0.17755126953125</v>
      </c>
      <c r="BG396" s="11">
        <v>8.1082744598388672</v>
      </c>
      <c r="BH396" s="11">
        <v>-1.392364501953125E-4</v>
      </c>
      <c r="BI396" s="13">
        <v>7.734110695309937E-4</v>
      </c>
      <c r="BJ396" s="13">
        <v>1.4037941582500935E-6</v>
      </c>
      <c r="BK396" s="11">
        <v>25.379332900047302</v>
      </c>
      <c r="BL396" s="12">
        <v>2.3689568042755127E-2</v>
      </c>
      <c r="BM396" s="12">
        <v>-4.0837004780769348E-4</v>
      </c>
      <c r="BN396" s="13">
        <v>-2.9239954892545938E-3</v>
      </c>
      <c r="BO396" s="13">
        <v>5.5630691349506378E-5</v>
      </c>
      <c r="BP396" s="15">
        <v>-1.7795199980241705E-8</v>
      </c>
      <c r="BQ396" s="15">
        <v>-4.205418235869729E-10</v>
      </c>
      <c r="BR396" s="14">
        <v>-3.0473312363028526E-3</v>
      </c>
      <c r="BS396" s="14">
        <v>-1.1010793969035149E-5</v>
      </c>
      <c r="BT396" s="14">
        <v>-3.7613109452649951E-4</v>
      </c>
      <c r="BU396" s="14">
        <v>-7.0061651058495045E-7</v>
      </c>
      <c r="BV396" s="11">
        <v>7.7086545526981354E-2</v>
      </c>
      <c r="BW396" s="11">
        <v>-1.4203868806362152E-2</v>
      </c>
      <c r="BX396" s="11">
        <v>394.34774780273438</v>
      </c>
      <c r="BY396" s="11">
        <v>8.11767578125E-3</v>
      </c>
      <c r="BZ396" s="7">
        <v>239.35000610351563</v>
      </c>
      <c r="CA396" s="7">
        <v>290</v>
      </c>
      <c r="CB396" s="7">
        <v>164.64999389648438</v>
      </c>
      <c r="CC396" s="7">
        <v>203.64999389648438</v>
      </c>
      <c r="CD396" s="7">
        <v>204.19999694824219</v>
      </c>
      <c r="CE396" s="3">
        <v>75</v>
      </c>
      <c r="CF396" s="7">
        <v>203.75</v>
      </c>
      <c r="CG396" s="3">
        <v>100</v>
      </c>
      <c r="CH396" s="7">
        <v>224.97000122070313</v>
      </c>
      <c r="CI396" s="7">
        <v>207.10000610351563</v>
      </c>
      <c r="CJ396" s="3">
        <v>125</v>
      </c>
      <c r="CK396" s="7">
        <v>206.69999694824219</v>
      </c>
      <c r="CL396" s="3">
        <v>75</v>
      </c>
      <c r="CM396" s="7">
        <v>221.69999694824219</v>
      </c>
      <c r="CN396" s="10">
        <v>44783.638194444444</v>
      </c>
      <c r="CO396" s="10">
        <v>44783.638194444444</v>
      </c>
      <c r="CP396" s="7">
        <v>38295.69921875</v>
      </c>
      <c r="CQ396" s="17" t="s">
        <v>321</v>
      </c>
      <c r="CR396" s="10">
        <v>44783.638194444444</v>
      </c>
      <c r="CS396" s="12">
        <v>0.10235011577606201</v>
      </c>
      <c r="CT396" s="18">
        <v>4.0665043917134389E-3</v>
      </c>
      <c r="CU396" s="3">
        <v>418000</v>
      </c>
      <c r="CV396" s="18">
        <v>3.8358851674641148</v>
      </c>
      <c r="CW396" s="7">
        <v>207.10000610351563</v>
      </c>
      <c r="CX396" s="18">
        <v>2.662808248034697E-3</v>
      </c>
      <c r="CY396" s="7">
        <v>203.64999389648438</v>
      </c>
      <c r="CZ396" s="18">
        <v>-1.4709637472264654E-3</v>
      </c>
      <c r="DA396" s="3">
        <v>1074275</v>
      </c>
      <c r="DB396" s="18">
        <v>1.2919410765399921</v>
      </c>
      <c r="DC396" s="11">
        <v>-4.5689940452575684E-2</v>
      </c>
      <c r="DD396" s="18">
        <v>-1.7970461910380483E-3</v>
      </c>
      <c r="DE396" s="7">
        <v>203.64999389648438</v>
      </c>
      <c r="DF396" s="7">
        <v>207.10000610351563</v>
      </c>
      <c r="DG396" s="7">
        <v>38295.69921875</v>
      </c>
      <c r="DH396" s="3" t="s">
        <v>313</v>
      </c>
      <c r="DI396" s="3" t="s">
        <v>314</v>
      </c>
      <c r="DJ396" s="3" t="s">
        <v>314</v>
      </c>
      <c r="DK396" s="3">
        <v>38300</v>
      </c>
      <c r="DL396" s="3">
        <v>3400000</v>
      </c>
      <c r="DM396" s="3">
        <v>38500</v>
      </c>
      <c r="DN396" s="3">
        <v>0</v>
      </c>
      <c r="DO396" s="3">
        <v>24500</v>
      </c>
      <c r="DP396" s="3">
        <v>2863350</v>
      </c>
      <c r="DQ396" s="28">
        <v>38000</v>
      </c>
      <c r="DR396" s="32">
        <v>0</v>
      </c>
      <c r="DS396" s="32">
        <v>24500</v>
      </c>
      <c r="DT396" s="32" t="s">
        <v>33</v>
      </c>
      <c r="DU396" s="69">
        <v>44784</v>
      </c>
    </row>
    <row r="397" spans="1:125" x14ac:dyDescent="0.25">
      <c r="A397" t="s">
        <v>133</v>
      </c>
      <c r="B397" s="2">
        <v>44798</v>
      </c>
      <c r="C397" s="1">
        <v>100</v>
      </c>
      <c r="D397">
        <v>78</v>
      </c>
      <c r="M397" s="3"/>
      <c r="N397" s="3"/>
      <c r="O397" s="3">
        <v>38400</v>
      </c>
      <c r="P397" s="7">
        <v>256.35000610351563</v>
      </c>
      <c r="Q397" s="7">
        <v>205.5</v>
      </c>
      <c r="R397" s="7">
        <v>379.64999389648438</v>
      </c>
      <c r="S397" s="7">
        <v>303.39999389648438</v>
      </c>
      <c r="T397" s="11">
        <v>0.125396728515625</v>
      </c>
      <c r="U397" s="11">
        <v>419.85769653320313</v>
      </c>
      <c r="V397" s="11">
        <v>1.026947021484375</v>
      </c>
      <c r="W397" s="11">
        <v>145.50912475585938</v>
      </c>
      <c r="X397" s="14">
        <v>-8.7494845502078533E-7</v>
      </c>
      <c r="Y397" s="14">
        <v>-3.6351237213239074E-4</v>
      </c>
      <c r="Z397" s="14">
        <v>-1.5157973393797874E-5</v>
      </c>
      <c r="AA397" s="14">
        <v>-3.0361067038029432E-3</v>
      </c>
      <c r="AB397" s="15">
        <v>2.3189556941360934E-9</v>
      </c>
      <c r="AC397" s="15">
        <v>2.9443350513247424E-7</v>
      </c>
      <c r="AD397" s="13">
        <v>-9.217485785484314E-5</v>
      </c>
      <c r="AE397" s="13">
        <v>-4.2511798441410065E-2</v>
      </c>
      <c r="AF397" s="12">
        <v>1.6880929470062256E-3</v>
      </c>
      <c r="AG397" s="12">
        <v>0.3550645112991333</v>
      </c>
      <c r="AH397" s="13">
        <v>2.0005390979349613E-6</v>
      </c>
      <c r="AI397" s="13">
        <v>7.8126776497811079E-4</v>
      </c>
      <c r="AJ397" s="11">
        <v>-9.1505050659179688E-4</v>
      </c>
      <c r="AK397" s="11">
        <v>7.9451217651367188</v>
      </c>
      <c r="AL397" s="11">
        <v>0.25817108154296875</v>
      </c>
      <c r="AM397" s="11">
        <v>-95.12677001953125</v>
      </c>
      <c r="AN397" s="11">
        <v>-1.8399953842163086E-4</v>
      </c>
      <c r="AO397" s="11">
        <v>-0.57989859580993652</v>
      </c>
      <c r="AP397" s="11">
        <v>24.618570506572723</v>
      </c>
      <c r="AQ397" s="11">
        <v>37091850</v>
      </c>
      <c r="AR397" s="16">
        <v>417000</v>
      </c>
      <c r="AS397" s="16">
        <v>610650</v>
      </c>
      <c r="AT397" s="16">
        <v>24.618570506572723</v>
      </c>
      <c r="AU397" s="7">
        <v>-0.54998779296875</v>
      </c>
      <c r="AV397" s="7">
        <v>256.35000610351563</v>
      </c>
      <c r="AW397" s="7">
        <v>153.39999389648438</v>
      </c>
      <c r="AX397" s="7">
        <v>-0.1500091552734375</v>
      </c>
      <c r="AY397" s="11">
        <v>24.790571630001068</v>
      </c>
      <c r="AZ397" s="16">
        <v>1976400</v>
      </c>
      <c r="BA397" s="16">
        <v>1104550</v>
      </c>
      <c r="BB397" s="16">
        <v>67016325</v>
      </c>
      <c r="BC397" s="11">
        <v>0.42064690589904785</v>
      </c>
      <c r="BD397" s="11">
        <v>2.6479363441467285E-4</v>
      </c>
      <c r="BE397" s="11">
        <v>-95.816047668457031</v>
      </c>
      <c r="BF397" s="11">
        <v>0.1668701171875</v>
      </c>
      <c r="BG397" s="11">
        <v>7.9475111961364746</v>
      </c>
      <c r="BH397" s="11">
        <v>1.0218620300292969E-3</v>
      </c>
      <c r="BI397" s="13">
        <v>7.7604898251593113E-4</v>
      </c>
      <c r="BJ397" s="13">
        <v>1.5930854715406895E-6</v>
      </c>
      <c r="BK397" s="11">
        <v>24.790571630001068</v>
      </c>
      <c r="BL397" s="12">
        <v>0.35036164522171021</v>
      </c>
      <c r="BM397" s="12">
        <v>-5.2997469902038574E-4</v>
      </c>
      <c r="BN397" s="13">
        <v>-4.2239975184202194E-2</v>
      </c>
      <c r="BO397" s="13">
        <v>1.430213451385498E-4</v>
      </c>
      <c r="BP397" s="15">
        <v>2.8814153552048083E-7</v>
      </c>
      <c r="BQ397" s="15">
        <v>1.4296119843493216E-10</v>
      </c>
      <c r="BR397" s="14">
        <v>-2.9966565780341625E-3</v>
      </c>
      <c r="BS397" s="14">
        <v>-1.2754695490002632E-5</v>
      </c>
      <c r="BT397" s="14">
        <v>-3.6128013744018972E-4</v>
      </c>
      <c r="BU397" s="14">
        <v>-8.6484942585229874E-7</v>
      </c>
      <c r="BV397" s="11">
        <v>142.59114074707031</v>
      </c>
      <c r="BW397" s="11">
        <v>-0.6997222900390625</v>
      </c>
      <c r="BX397" s="11">
        <v>419.50482177734375</v>
      </c>
      <c r="BY397" s="11">
        <v>-0.156829833984375</v>
      </c>
      <c r="BZ397" s="7">
        <v>185.05000305175781</v>
      </c>
      <c r="CA397" s="7">
        <v>232</v>
      </c>
      <c r="CB397" s="7">
        <v>123.90000152587891</v>
      </c>
      <c r="CC397" s="7">
        <v>153.39999389648438</v>
      </c>
      <c r="CD397" s="7">
        <v>153.69999694824219</v>
      </c>
      <c r="CE397" s="3">
        <v>25</v>
      </c>
      <c r="CF397" s="7">
        <v>153.35000610351563</v>
      </c>
      <c r="CG397" s="3">
        <v>50</v>
      </c>
      <c r="CH397" s="7">
        <v>176.50999450683594</v>
      </c>
      <c r="CI397" s="7">
        <v>256.95001220703125</v>
      </c>
      <c r="CJ397" s="3">
        <v>100</v>
      </c>
      <c r="CK397" s="7">
        <v>256.35000610351563</v>
      </c>
      <c r="CL397" s="3">
        <v>100</v>
      </c>
      <c r="CM397" s="7">
        <v>267.66000366210938</v>
      </c>
      <c r="CN397" s="10">
        <v>44783.638194444444</v>
      </c>
      <c r="CO397" s="10">
        <v>44783.638194444444</v>
      </c>
      <c r="CP397" s="7">
        <v>38295.69921875</v>
      </c>
      <c r="CQ397" s="17" t="s">
        <v>321</v>
      </c>
      <c r="CR397" s="10">
        <v>44783.638194444444</v>
      </c>
      <c r="CS397" s="12">
        <v>-6.5039098262786865E-2</v>
      </c>
      <c r="CT397" s="18">
        <v>-2.6349103435036395E-3</v>
      </c>
      <c r="CU397" s="3">
        <v>193650</v>
      </c>
      <c r="CV397" s="18">
        <v>2.1533694810224633</v>
      </c>
      <c r="CW397" s="7">
        <v>256.35000610351563</v>
      </c>
      <c r="CX397" s="18">
        <v>-2.1408633944552087E-3</v>
      </c>
      <c r="CY397" s="7">
        <v>153.39999389648438</v>
      </c>
      <c r="CZ397" s="18">
        <v>-9.7694009959005488E-4</v>
      </c>
      <c r="DA397" s="3">
        <v>871850</v>
      </c>
      <c r="DB397" s="18">
        <v>1.2669037105006595</v>
      </c>
      <c r="DC397" s="11">
        <v>-4.7442317008972168E-2</v>
      </c>
      <c r="DD397" s="18">
        <v>-1.9100688609881063E-3</v>
      </c>
      <c r="DE397" s="7">
        <v>153.39999389648438</v>
      </c>
      <c r="DF397" s="7">
        <v>256.35000610351563</v>
      </c>
      <c r="DG397" s="7">
        <v>38295.69921875</v>
      </c>
      <c r="DH397" s="3" t="s">
        <v>313</v>
      </c>
      <c r="DI397" s="3" t="s">
        <v>313</v>
      </c>
      <c r="DJ397" s="3" t="s">
        <v>314</v>
      </c>
      <c r="DK397" s="3">
        <v>38300</v>
      </c>
      <c r="DL397" s="3">
        <v>3400000</v>
      </c>
      <c r="DM397" s="3">
        <v>38500</v>
      </c>
      <c r="DN397" s="3">
        <v>0</v>
      </c>
      <c r="DO397" s="3">
        <v>24500</v>
      </c>
      <c r="DP397" s="3">
        <v>2863350</v>
      </c>
      <c r="DQ397" s="28">
        <v>38000</v>
      </c>
      <c r="DR397" s="32">
        <v>0</v>
      </c>
      <c r="DS397" s="32">
        <v>24500</v>
      </c>
      <c r="DT397" s="32" t="s">
        <v>33</v>
      </c>
      <c r="DU397" s="69">
        <v>44784</v>
      </c>
    </row>
    <row r="398" spans="1:125" x14ac:dyDescent="0.25">
      <c r="A398" t="s">
        <v>133</v>
      </c>
      <c r="B398" s="2">
        <v>44833</v>
      </c>
      <c r="C398" s="1">
        <v>100</v>
      </c>
      <c r="D398">
        <v>78</v>
      </c>
      <c r="M398" s="3"/>
      <c r="N398" s="3"/>
      <c r="O398" s="3">
        <v>38500</v>
      </c>
      <c r="P398" s="7">
        <v>314.60000610351563</v>
      </c>
      <c r="Q398" s="7">
        <v>259.54998779296875</v>
      </c>
      <c r="R398" s="7">
        <v>446.45001220703125</v>
      </c>
      <c r="S398" s="7">
        <v>366.10000610351563</v>
      </c>
      <c r="T398" s="11">
        <v>-0.15570068359375</v>
      </c>
      <c r="U398" s="11">
        <v>503.48431396484375</v>
      </c>
      <c r="V398" s="11">
        <v>-1.302001953125</v>
      </c>
      <c r="W398" s="11">
        <v>636.5411376953125</v>
      </c>
      <c r="X398" s="14">
        <v>1.4551915228366852E-10</v>
      </c>
      <c r="Y398" s="14">
        <v>-3.0131256789900362E-4</v>
      </c>
      <c r="Z398" s="14">
        <v>1.3594981282949448E-6</v>
      </c>
      <c r="AA398" s="14">
        <v>-2.5744386948645115E-3</v>
      </c>
      <c r="AB398" s="15">
        <v>-9.5758423412917182E-10</v>
      </c>
      <c r="AC398" s="15">
        <v>6.0951606428716332E-7</v>
      </c>
      <c r="AD398" s="13">
        <v>6.8746507167816162E-5</v>
      </c>
      <c r="AE398" s="13">
        <v>-8.9317798614501953E-2</v>
      </c>
      <c r="AF398" s="12">
        <v>-9.9039077758789063E-4</v>
      </c>
      <c r="AG398" s="12">
        <v>0.76313835382461548</v>
      </c>
      <c r="AH398" s="13">
        <v>-2.5617191568017006E-7</v>
      </c>
      <c r="AI398" s="13">
        <v>7.4976217001676559E-4</v>
      </c>
      <c r="AJ398" s="11">
        <v>7.610321044921875E-4</v>
      </c>
      <c r="AK398" s="11">
        <v>7.4534006118774414</v>
      </c>
      <c r="AL398" s="11">
        <v>-5.4901123046875E-2</v>
      </c>
      <c r="AM398" s="11">
        <v>-87.23468017578125</v>
      </c>
      <c r="AN398" s="11">
        <v>1.0931491851806641E-4</v>
      </c>
      <c r="AO398" s="11">
        <v>-0.65924304723739624</v>
      </c>
      <c r="AP398" s="11">
        <v>24.065527319908142</v>
      </c>
      <c r="AQ398" s="11">
        <v>34150500</v>
      </c>
      <c r="AR398" s="16">
        <v>458000</v>
      </c>
      <c r="AS398" s="16">
        <v>718825</v>
      </c>
      <c r="AT398" s="16">
        <v>24.065527319908142</v>
      </c>
      <c r="AU398" s="7">
        <v>5.0018310546875E-2</v>
      </c>
      <c r="AV398" s="7">
        <v>314.60000610351563</v>
      </c>
      <c r="AW398" s="7">
        <v>110.30000305175781</v>
      </c>
      <c r="AX398" s="7">
        <v>0.100006103515625</v>
      </c>
      <c r="AY398" s="11">
        <v>24.074371159076691</v>
      </c>
      <c r="AZ398" s="16">
        <v>3400000</v>
      </c>
      <c r="BA398" s="16">
        <v>1242000</v>
      </c>
      <c r="BB398" s="16">
        <v>85791525</v>
      </c>
      <c r="BC398" s="11">
        <v>0.34088891744613647</v>
      </c>
      <c r="BD398" s="11">
        <v>1.0922551155090332E-4</v>
      </c>
      <c r="BE398" s="11">
        <v>-87.27984619140625</v>
      </c>
      <c r="BF398" s="11">
        <v>-5.48858642578125E-2</v>
      </c>
      <c r="BG398" s="11">
        <v>7.4545202255249023</v>
      </c>
      <c r="BH398" s="11">
        <v>7.59124755859375E-4</v>
      </c>
      <c r="BI398" s="13">
        <v>7.4959546327590942E-4</v>
      </c>
      <c r="BJ398" s="13">
        <v>-2.5605550035834312E-7</v>
      </c>
      <c r="BK398" s="11">
        <v>24.074371159076691</v>
      </c>
      <c r="BL398" s="12">
        <v>0.76210534572601318</v>
      </c>
      <c r="BM398" s="12">
        <v>-9.8848342895507813E-4</v>
      </c>
      <c r="BN398" s="13">
        <v>-8.9229665696620941E-2</v>
      </c>
      <c r="BO398" s="13">
        <v>6.8649649620056152E-5</v>
      </c>
      <c r="BP398" s="15">
        <v>6.0859662198708975E-7</v>
      </c>
      <c r="BQ398" s="15">
        <v>-9.5593577498220839E-10</v>
      </c>
      <c r="BR398" s="14">
        <v>-2.5738482363522053E-3</v>
      </c>
      <c r="BS398" s="14">
        <v>1.3601966202259064E-6</v>
      </c>
      <c r="BT398" s="14">
        <v>-3.013541572727263E-4</v>
      </c>
      <c r="BU398" s="14">
        <v>3.2014213502407074E-10</v>
      </c>
      <c r="BV398" s="11">
        <v>635.123779296875</v>
      </c>
      <c r="BW398" s="11">
        <v>-1.298583984375</v>
      </c>
      <c r="BX398" s="11">
        <v>503.2835693359375</v>
      </c>
      <c r="BY398" s="11">
        <v>-0.155303955078125</v>
      </c>
      <c r="BZ398" s="7">
        <v>143.44999694824219</v>
      </c>
      <c r="CA398" s="7">
        <v>181.55000305175781</v>
      </c>
      <c r="CB398" s="7">
        <v>90</v>
      </c>
      <c r="CC398" s="7">
        <v>110.30000305175781</v>
      </c>
      <c r="CD398" s="7">
        <v>110.25</v>
      </c>
      <c r="CE398" s="3">
        <v>100</v>
      </c>
      <c r="CF398" s="7">
        <v>110.05000305175781</v>
      </c>
      <c r="CG398" s="3">
        <v>75</v>
      </c>
      <c r="CH398" s="7">
        <v>131.17999267578125</v>
      </c>
      <c r="CI398" s="7">
        <v>314.54998779296875</v>
      </c>
      <c r="CJ398" s="3">
        <v>25</v>
      </c>
      <c r="CK398" s="7">
        <v>313.89999389648438</v>
      </c>
      <c r="CL398" s="3">
        <v>250</v>
      </c>
      <c r="CM398" s="7">
        <v>327.55999755859375</v>
      </c>
      <c r="CN398" s="10">
        <v>44783.638194444444</v>
      </c>
      <c r="CO398" s="10">
        <v>44783.638194444444</v>
      </c>
      <c r="CP398" s="7">
        <v>38295.69921875</v>
      </c>
      <c r="CQ398" s="17" t="s">
        <v>321</v>
      </c>
      <c r="CR398" s="10">
        <v>44783.638194444444</v>
      </c>
      <c r="CS398" s="12">
        <v>1.1651217937469482E-2</v>
      </c>
      <c r="CT398" s="18">
        <v>4.8438005949963831E-4</v>
      </c>
      <c r="CU398" s="3">
        <v>260825</v>
      </c>
      <c r="CV398" s="18">
        <v>1.7559666443017348</v>
      </c>
      <c r="CW398" s="7">
        <v>314.60000610351563</v>
      </c>
      <c r="CX398" s="18">
        <v>1.5901545855343083E-4</v>
      </c>
      <c r="CY398" s="7">
        <v>110.30000305175781</v>
      </c>
      <c r="CZ398" s="18">
        <v>9.0749642726936761E-4</v>
      </c>
      <c r="DA398" s="3">
        <v>2158000</v>
      </c>
      <c r="DB398" s="18">
        <v>0.57553290083410569</v>
      </c>
      <c r="DC398" s="11">
        <v>1.1649727821350098E-2</v>
      </c>
      <c r="DD398" s="18">
        <v>4.841400776147512E-4</v>
      </c>
      <c r="DE398" s="7">
        <v>110.30000305175781</v>
      </c>
      <c r="DF398" s="7">
        <v>314.60000610351563</v>
      </c>
      <c r="DG398" s="7">
        <v>38295.69921875</v>
      </c>
      <c r="DH398" s="3" t="s">
        <v>314</v>
      </c>
      <c r="DI398" s="3" t="s">
        <v>314</v>
      </c>
      <c r="DJ398" s="3" t="s">
        <v>314</v>
      </c>
      <c r="DK398" s="3">
        <v>38300</v>
      </c>
      <c r="DL398" s="3">
        <v>3400000</v>
      </c>
      <c r="DM398" s="3">
        <v>38500</v>
      </c>
      <c r="DN398" s="3">
        <v>0</v>
      </c>
      <c r="DO398" s="3">
        <v>24500</v>
      </c>
      <c r="DP398" s="3">
        <v>2863350</v>
      </c>
      <c r="DQ398" s="28">
        <v>38000</v>
      </c>
      <c r="DR398" s="32">
        <v>0</v>
      </c>
      <c r="DS398" s="32">
        <v>24500</v>
      </c>
      <c r="DT398" s="32" t="s">
        <v>33</v>
      </c>
      <c r="DU398" s="69">
        <v>44784</v>
      </c>
    </row>
    <row r="399" spans="1:125" x14ac:dyDescent="0.25">
      <c r="A399" t="s">
        <v>133</v>
      </c>
      <c r="B399" s="2">
        <v>44861</v>
      </c>
      <c r="C399" s="1">
        <v>100</v>
      </c>
      <c r="D399">
        <v>78</v>
      </c>
      <c r="M399" s="3"/>
      <c r="N399" s="3"/>
      <c r="O399" s="3">
        <v>38600</v>
      </c>
      <c r="P399" s="7">
        <v>379.5</v>
      </c>
      <c r="Q399" s="7">
        <v>321.25</v>
      </c>
      <c r="R399" s="7">
        <v>519.79998779296875</v>
      </c>
      <c r="S399" s="7">
        <v>423.75</v>
      </c>
      <c r="T399" s="11">
        <v>1.90655517578125</v>
      </c>
      <c r="U399" s="11">
        <v>679.091064453125</v>
      </c>
      <c r="V399" s="11">
        <v>16.8624267578125</v>
      </c>
      <c r="W399" s="11">
        <v>1738.6470947265625</v>
      </c>
      <c r="X399" s="14">
        <v>3.9894075598567724E-7</v>
      </c>
      <c r="Y399" s="14">
        <v>-1.9796818378381431E-4</v>
      </c>
      <c r="Z399" s="14">
        <v>-1.5883706510066986E-6</v>
      </c>
      <c r="AA399" s="14">
        <v>-1.7458731308579445E-3</v>
      </c>
      <c r="AB399" s="15">
        <v>7.0312466959876474E-9</v>
      </c>
      <c r="AC399" s="15">
        <v>9.0279547748650657E-7</v>
      </c>
      <c r="AD399" s="13">
        <v>-6.0565769672393799E-4</v>
      </c>
      <c r="AE399" s="13">
        <v>-0.15313580632209778</v>
      </c>
      <c r="AF399" s="12">
        <v>9.2678070068359375E-3</v>
      </c>
      <c r="AG399" s="12">
        <v>1.3504983186721802</v>
      </c>
      <c r="AH399" s="13">
        <v>1.2625823728740215E-6</v>
      </c>
      <c r="AI399" s="13">
        <v>6.8884430220350623E-4</v>
      </c>
      <c r="AJ399" s="11">
        <v>-7.7838897705078125E-3</v>
      </c>
      <c r="AK399" s="11">
        <v>6.6344094276428223</v>
      </c>
      <c r="AL399" s="11">
        <v>0.3087615966796875</v>
      </c>
      <c r="AM399" s="11">
        <v>-75.228950500488281</v>
      </c>
      <c r="AN399" s="11">
        <v>-5.9497356414794922E-4</v>
      </c>
      <c r="AO399" s="11">
        <v>-0.73677349090576172</v>
      </c>
      <c r="AP399" s="11">
        <v>23.315426707267761</v>
      </c>
      <c r="AQ399" s="11">
        <v>8920525</v>
      </c>
      <c r="AR399" s="16">
        <v>139475</v>
      </c>
      <c r="AS399" s="16">
        <v>189750</v>
      </c>
      <c r="AT399" s="16">
        <v>23.315426707267761</v>
      </c>
      <c r="AU399" s="7">
        <v>-0.5</v>
      </c>
      <c r="AV399" s="7">
        <v>379.5</v>
      </c>
      <c r="AW399" s="7">
        <v>76.150001525878906</v>
      </c>
      <c r="AX399" s="7">
        <v>-0.15000152587890625</v>
      </c>
      <c r="AY399" s="11">
        <v>23.459923267364502</v>
      </c>
      <c r="AZ399" s="16">
        <v>1342500</v>
      </c>
      <c r="BA399" s="16">
        <v>729125</v>
      </c>
      <c r="BB399" s="16">
        <v>44258500</v>
      </c>
      <c r="BC399" s="11">
        <v>0.26449686288833618</v>
      </c>
      <c r="BD399" s="11">
        <v>-2.0325183868408203E-5</v>
      </c>
      <c r="BE399" s="11">
        <v>-75.879463195800781</v>
      </c>
      <c r="BF399" s="11">
        <v>0.1422882080078125</v>
      </c>
      <c r="BG399" s="11">
        <v>6.6508488655090332</v>
      </c>
      <c r="BH399" s="11">
        <v>-3.0851364135742188E-4</v>
      </c>
      <c r="BI399" s="13">
        <v>6.8627001019194722E-4</v>
      </c>
      <c r="BJ399" s="13">
        <v>1.2604868970811367E-6</v>
      </c>
      <c r="BK399" s="11">
        <v>23.459923267364502</v>
      </c>
      <c r="BL399" s="12">
        <v>1.3309909105300903</v>
      </c>
      <c r="BM399" s="12">
        <v>2.6189088821411133E-3</v>
      </c>
      <c r="BN399" s="13">
        <v>-0.15185260772705078</v>
      </c>
      <c r="BO399" s="13">
        <v>-2.1636486053466797E-5</v>
      </c>
      <c r="BP399" s="15">
        <v>8.8815863819036167E-7</v>
      </c>
      <c r="BQ399" s="15">
        <v>3.4172558116551954E-9</v>
      </c>
      <c r="BR399" s="14">
        <v>-1.742995111271739E-3</v>
      </c>
      <c r="BS399" s="14">
        <v>-6.2652397900819778E-6</v>
      </c>
      <c r="BT399" s="14">
        <v>-1.9885810615960509E-4</v>
      </c>
      <c r="BU399" s="14">
        <v>-3.5243283491581678E-7</v>
      </c>
      <c r="BV399" s="11">
        <v>1703.052978515625</v>
      </c>
      <c r="BW399" s="11">
        <v>3.506591796875</v>
      </c>
      <c r="BX399" s="11">
        <v>675.0509033203125</v>
      </c>
      <c r="BY399" s="11">
        <v>8.160400390625E-2</v>
      </c>
      <c r="BZ399" s="7">
        <v>112.69999694824219</v>
      </c>
      <c r="CA399" s="7">
        <v>138</v>
      </c>
      <c r="CB399" s="7">
        <v>63.200000762939453</v>
      </c>
      <c r="CC399" s="7">
        <v>76.150001525878906</v>
      </c>
      <c r="CD399" s="7">
        <v>76.300003051757813</v>
      </c>
      <c r="CE399" s="3">
        <v>1000</v>
      </c>
      <c r="CF399" s="7">
        <v>76.099998474121094</v>
      </c>
      <c r="CG399" s="3">
        <v>1350</v>
      </c>
      <c r="CH399" s="7">
        <v>93.919998168945313</v>
      </c>
      <c r="CI399" s="7">
        <v>380.04998779296875</v>
      </c>
      <c r="CJ399" s="3">
        <v>125</v>
      </c>
      <c r="CK399" s="7">
        <v>379.29998779296875</v>
      </c>
      <c r="CL399" s="3">
        <v>250</v>
      </c>
      <c r="CM399" s="7">
        <v>394.98001098632813</v>
      </c>
      <c r="CN399" s="10">
        <v>44783.638194444444</v>
      </c>
      <c r="CO399" s="10">
        <v>44783.638194444444</v>
      </c>
      <c r="CP399" s="7">
        <v>38295.69921875</v>
      </c>
      <c r="CQ399" s="17" t="s">
        <v>321</v>
      </c>
      <c r="CR399" s="10">
        <v>44783.638194444444</v>
      </c>
      <c r="CS399" s="12">
        <v>-6.9269537925720215E-2</v>
      </c>
      <c r="CT399" s="18">
        <v>-2.9621739448489931E-3</v>
      </c>
      <c r="CU399" s="3">
        <v>50275</v>
      </c>
      <c r="CV399" s="18">
        <v>2.7742416708105422</v>
      </c>
      <c r="CW399" s="7">
        <v>379.5</v>
      </c>
      <c r="CX399" s="18">
        <v>-1.3157894736842105E-3</v>
      </c>
      <c r="CY399" s="7">
        <v>76.150001525878906</v>
      </c>
      <c r="CZ399" s="18">
        <v>-1.9659439040540182E-3</v>
      </c>
      <c r="DA399" s="3">
        <v>613375</v>
      </c>
      <c r="DB399" s="18">
        <v>1.188710006113715</v>
      </c>
      <c r="DC399" s="11">
        <v>-4.3918192386627197E-2</v>
      </c>
      <c r="DD399" s="18">
        <v>-1.8685538047826938E-3</v>
      </c>
      <c r="DE399" s="7">
        <v>76.150001525878906</v>
      </c>
      <c r="DF399" s="7">
        <v>379.5</v>
      </c>
      <c r="DG399" s="7">
        <v>38295.69921875</v>
      </c>
      <c r="DH399" s="3" t="s">
        <v>313</v>
      </c>
      <c r="DI399" s="3" t="s">
        <v>313</v>
      </c>
      <c r="DJ399" s="3" t="s">
        <v>314</v>
      </c>
      <c r="DK399" s="3">
        <v>38300</v>
      </c>
      <c r="DL399" s="3">
        <v>3400000</v>
      </c>
      <c r="DM399" s="3">
        <v>38500</v>
      </c>
      <c r="DN399" s="3">
        <v>0</v>
      </c>
      <c r="DO399" s="3">
        <v>24500</v>
      </c>
      <c r="DP399" s="3">
        <v>2863350</v>
      </c>
      <c r="DQ399" s="28">
        <v>38000</v>
      </c>
      <c r="DR399" s="32">
        <v>0</v>
      </c>
      <c r="DS399" s="32">
        <v>24500</v>
      </c>
      <c r="DT399" s="32" t="s">
        <v>33</v>
      </c>
      <c r="DU399" s="69">
        <v>44784</v>
      </c>
    </row>
    <row r="400" spans="1:125" x14ac:dyDescent="0.25">
      <c r="A400" t="s">
        <v>134</v>
      </c>
      <c r="B400" s="2">
        <v>44798</v>
      </c>
      <c r="C400" s="1">
        <v>625</v>
      </c>
      <c r="D400">
        <v>82</v>
      </c>
      <c r="M400" s="3"/>
      <c r="N400" s="3"/>
      <c r="O400" s="3">
        <v>38700</v>
      </c>
      <c r="P400" s="7">
        <v>453.29998779296875</v>
      </c>
      <c r="Q400" s="7">
        <v>385</v>
      </c>
      <c r="R400" s="7">
        <v>600</v>
      </c>
      <c r="S400" s="7">
        <v>475.70001220703125</v>
      </c>
      <c r="T400" s="11">
        <v>-0.7069091796875</v>
      </c>
      <c r="U400" s="11">
        <v>1011.4524536132813</v>
      </c>
      <c r="V400" s="11">
        <v>-6.2978515625</v>
      </c>
      <c r="W400" s="11">
        <v>3965.190185546875</v>
      </c>
      <c r="X400" s="14">
        <v>-1.9973958842456341E-7</v>
      </c>
      <c r="Y400" s="14">
        <v>-6.889247742947191E-5</v>
      </c>
      <c r="Z400" s="14">
        <v>-1.5715486370027065E-6</v>
      </c>
      <c r="AA400" s="14">
        <v>-6.2464165966957808E-4</v>
      </c>
      <c r="AB400" s="15">
        <v>-8.4276052803033963E-10</v>
      </c>
      <c r="AC400" s="15">
        <v>1.1024580999219324E-6</v>
      </c>
      <c r="AD400" s="13">
        <v>1.8204748630523682E-4</v>
      </c>
      <c r="AE400" s="13">
        <v>-0.24824647605419159</v>
      </c>
      <c r="AF400" s="12">
        <v>-2.5165081024169922E-3</v>
      </c>
      <c r="AG400" s="12">
        <v>2.2508277893066406</v>
      </c>
      <c r="AH400" s="13">
        <v>9.8953023552894592E-9</v>
      </c>
      <c r="AI400" s="13">
        <v>5.9449754189699888E-4</v>
      </c>
      <c r="AJ400" s="11">
        <v>1.7666816711425781E-3</v>
      </c>
      <c r="AK400" s="11">
        <v>5.569127082824707</v>
      </c>
      <c r="AL400" s="11">
        <v>-4.3087005615234375E-2</v>
      </c>
      <c r="AM400" s="11">
        <v>-61.422569274902344</v>
      </c>
      <c r="AN400" s="11">
        <v>1.0669231414794922E-4</v>
      </c>
      <c r="AO400" s="11">
        <v>-0.80696606636047363</v>
      </c>
      <c r="AP400" s="11">
        <v>22.67783135175705</v>
      </c>
      <c r="AQ400" s="11">
        <v>5639475</v>
      </c>
      <c r="AR400" s="16">
        <v>85225</v>
      </c>
      <c r="AS400" s="16">
        <v>120725</v>
      </c>
      <c r="AT400" s="16">
        <v>22.67783135175705</v>
      </c>
      <c r="AU400" s="7">
        <v>0</v>
      </c>
      <c r="AV400" s="7">
        <v>453.29998779296875</v>
      </c>
      <c r="AW400" s="7">
        <v>50.25</v>
      </c>
      <c r="AX400" s="7">
        <v>-4.9999237060546875E-2</v>
      </c>
      <c r="AY400" s="11">
        <v>22.915783524513245</v>
      </c>
      <c r="AZ400" s="16">
        <v>1347100</v>
      </c>
      <c r="BA400" s="16">
        <v>563125</v>
      </c>
      <c r="BB400" s="16">
        <v>40858800</v>
      </c>
      <c r="BC400" s="11">
        <v>0.19560375809669495</v>
      </c>
      <c r="BD400" s="11">
        <v>-8.1926584243774414E-5</v>
      </c>
      <c r="BE400" s="11">
        <v>-50.25</v>
      </c>
      <c r="BF400" s="11">
        <v>4.9999237060546875E-2</v>
      </c>
      <c r="BG400" s="11">
        <v>5.6141691207885742</v>
      </c>
      <c r="BH400" s="11">
        <v>-1.5411376953125E-3</v>
      </c>
      <c r="BI400" s="13">
        <v>5.930795450694859E-4</v>
      </c>
      <c r="BJ400" s="13">
        <v>1.2392411008477211E-7</v>
      </c>
      <c r="BK400" s="11">
        <v>22.915783524513245</v>
      </c>
      <c r="BL400" s="12">
        <v>2.1864228248596191</v>
      </c>
      <c r="BM400" s="12">
        <v>2.254486083984375E-3</v>
      </c>
      <c r="BN400" s="13">
        <v>-0.24367344379425049</v>
      </c>
      <c r="BO400" s="13">
        <v>-1.5395879745483398E-4</v>
      </c>
      <c r="BP400" s="15">
        <v>1.0763501450128388E-6</v>
      </c>
      <c r="BQ400" s="15">
        <v>1.1078782335971482E-9</v>
      </c>
      <c r="BR400" s="14">
        <v>-6.5837340662255883E-4</v>
      </c>
      <c r="BS400" s="14">
        <v>8.827773854136467E-7</v>
      </c>
      <c r="BT400" s="14">
        <v>-7.3374700150452554E-5</v>
      </c>
      <c r="BU400" s="14">
        <v>1.2775126378983259E-7</v>
      </c>
      <c r="BV400" s="11">
        <v>3810.233154296875</v>
      </c>
      <c r="BW400" s="11">
        <v>5.168212890625</v>
      </c>
      <c r="BX400" s="11">
        <v>994.16827392578125</v>
      </c>
      <c r="BY400" s="11">
        <v>0.56427001953125</v>
      </c>
      <c r="BZ400" s="7">
        <v>79.400001525878906</v>
      </c>
      <c r="CA400" s="7">
        <v>102.80000305175781</v>
      </c>
      <c r="CB400" s="7">
        <v>43.400001525878906</v>
      </c>
      <c r="CC400" s="7">
        <v>50.25</v>
      </c>
      <c r="CD400" s="7">
        <v>50.349998474121094</v>
      </c>
      <c r="CE400" s="3">
        <v>125</v>
      </c>
      <c r="CF400" s="7">
        <v>50.25</v>
      </c>
      <c r="CG400" s="3">
        <v>25</v>
      </c>
      <c r="CH400" s="7">
        <v>67</v>
      </c>
      <c r="CI400" s="7">
        <v>453.60000610351563</v>
      </c>
      <c r="CJ400" s="3">
        <v>300</v>
      </c>
      <c r="CK400" s="7">
        <v>452.5</v>
      </c>
      <c r="CL400" s="3">
        <v>500</v>
      </c>
      <c r="CM400" s="7">
        <v>465.1199951171875</v>
      </c>
      <c r="CN400" s="10">
        <v>44783.638194444444</v>
      </c>
      <c r="CO400" s="10">
        <v>44783.638194444444</v>
      </c>
      <c r="CP400" s="7">
        <v>38295.69921875</v>
      </c>
      <c r="CQ400" s="17" t="s">
        <v>321</v>
      </c>
      <c r="CR400" s="10">
        <v>44783.638194444444</v>
      </c>
      <c r="CS400" s="12">
        <v>7.7366828918457031E-3</v>
      </c>
      <c r="CT400" s="18">
        <v>3.4127263272840043E-4</v>
      </c>
      <c r="CU400" s="3">
        <v>35500</v>
      </c>
      <c r="CV400" s="18">
        <v>2.4007042253521127</v>
      </c>
      <c r="CW400" s="7">
        <v>453.29998779296875</v>
      </c>
      <c r="CX400" s="18">
        <v>0</v>
      </c>
      <c r="CY400" s="7">
        <v>50.25</v>
      </c>
      <c r="CZ400" s="18">
        <v>-9.9402063258299074E-4</v>
      </c>
      <c r="DA400" s="3">
        <v>783975</v>
      </c>
      <c r="DB400" s="18">
        <v>0.71829458847539784</v>
      </c>
      <c r="DC400" s="11">
        <v>-1.0150671005249023E-2</v>
      </c>
      <c r="DD400" s="18">
        <v>-4.4275931871222293E-4</v>
      </c>
      <c r="DE400" s="7">
        <v>50.25</v>
      </c>
      <c r="DF400" s="7">
        <v>453.29998779296875</v>
      </c>
      <c r="DG400" s="7">
        <v>38295.69921875</v>
      </c>
      <c r="DH400" s="3" t="s">
        <v>313</v>
      </c>
      <c r="DI400" s="3" t="s">
        <v>312</v>
      </c>
      <c r="DJ400" s="3" t="s">
        <v>314</v>
      </c>
      <c r="DK400" s="3">
        <v>38300</v>
      </c>
      <c r="DL400" s="3">
        <v>3400000</v>
      </c>
      <c r="DM400" s="3">
        <v>38500</v>
      </c>
      <c r="DN400" s="3">
        <v>0</v>
      </c>
      <c r="DO400" s="3">
        <v>24500</v>
      </c>
      <c r="DP400" s="3">
        <v>2863350</v>
      </c>
      <c r="DQ400" s="28">
        <v>38000</v>
      </c>
      <c r="DR400" s="32">
        <v>0</v>
      </c>
      <c r="DS400" s="32">
        <v>24500</v>
      </c>
      <c r="DT400" s="32" t="s">
        <v>33</v>
      </c>
      <c r="DU400" s="69">
        <v>44784</v>
      </c>
    </row>
    <row r="401" spans="1:125" x14ac:dyDescent="0.25">
      <c r="A401" t="s">
        <v>134</v>
      </c>
      <c r="B401" s="2">
        <v>44833</v>
      </c>
      <c r="C401" s="1">
        <v>625</v>
      </c>
      <c r="D401">
        <v>82</v>
      </c>
      <c r="M401" s="3"/>
      <c r="N401" s="3"/>
      <c r="O401" s="3">
        <v>38800</v>
      </c>
      <c r="P401" s="7">
        <v>533.8499755859375</v>
      </c>
      <c r="Q401" s="7">
        <v>467.60000610351563</v>
      </c>
      <c r="R401" s="7">
        <v>681.79998779296875</v>
      </c>
      <c r="S401" s="7">
        <v>575.8499755859375</v>
      </c>
      <c r="T401" s="11">
        <v>-2.14404296875</v>
      </c>
      <c r="U401" s="11">
        <v>1659.5877685546875</v>
      </c>
      <c r="V401" s="11">
        <v>-19.9248046875</v>
      </c>
      <c r="W401" s="11">
        <v>8651.4248046875</v>
      </c>
      <c r="X401" s="14">
        <v>-3.0784576665610075E-7</v>
      </c>
      <c r="Y401" s="14">
        <v>6.0169517382746562E-5</v>
      </c>
      <c r="Z401" s="14">
        <v>-3.1740055419504642E-6</v>
      </c>
      <c r="AA401" s="14">
        <v>5.6296808179467916E-4</v>
      </c>
      <c r="AB401" s="15">
        <v>-9.2927621153648943E-10</v>
      </c>
      <c r="AC401" s="15">
        <v>1.1847658925034921E-6</v>
      </c>
      <c r="AD401" s="13">
        <v>4.9039721488952637E-4</v>
      </c>
      <c r="AE401" s="13">
        <v>-0.40771114826202393</v>
      </c>
      <c r="AF401" s="12">
        <v>-6.5708160400390625E-3</v>
      </c>
      <c r="AG401" s="12">
        <v>3.8146951198577881</v>
      </c>
      <c r="AH401" s="13">
        <v>1.1557131074368954E-7</v>
      </c>
      <c r="AI401" s="13">
        <v>4.7924683894962072E-4</v>
      </c>
      <c r="AJ401" s="11">
        <v>2.941131591796875E-3</v>
      </c>
      <c r="AK401" s="11">
        <v>4.3506135940551758</v>
      </c>
      <c r="AL401" s="11">
        <v>-5.5545806884765625E-2</v>
      </c>
      <c r="AM401" s="11">
        <v>-46.498966217041016</v>
      </c>
      <c r="AN401" s="11">
        <v>1.3357400894165039E-4</v>
      </c>
      <c r="AO401" s="11">
        <v>-0.86775851249694824</v>
      </c>
      <c r="AP401" s="11">
        <v>21.97624146938324</v>
      </c>
      <c r="AQ401" s="11">
        <v>2221150</v>
      </c>
      <c r="AR401" s="16">
        <v>8075</v>
      </c>
      <c r="AS401" s="16">
        <v>78275</v>
      </c>
      <c r="AT401" s="16">
        <v>21.97624146938324</v>
      </c>
      <c r="AU401" s="7">
        <v>0</v>
      </c>
      <c r="AV401" s="7">
        <v>533.8499755859375</v>
      </c>
      <c r="AW401" s="7">
        <v>31.75</v>
      </c>
      <c r="AX401" s="7">
        <v>-4.9999237060546875E-2</v>
      </c>
      <c r="AY401" s="11">
        <v>22.475945949554443</v>
      </c>
      <c r="AZ401" s="16">
        <v>1864125</v>
      </c>
      <c r="BA401" s="16">
        <v>816850</v>
      </c>
      <c r="BB401" s="16">
        <v>41238000</v>
      </c>
      <c r="BC401" s="11">
        <v>0.13766448199748993</v>
      </c>
      <c r="BD401" s="11">
        <v>-3.8519501686096191E-5</v>
      </c>
      <c r="BE401" s="11">
        <v>-31.75</v>
      </c>
      <c r="BF401" s="11">
        <v>4.9999237060546875E-2</v>
      </c>
      <c r="BG401" s="11">
        <v>4.4723105430603027</v>
      </c>
      <c r="BH401" s="11">
        <v>-8.8644027709960938E-4</v>
      </c>
      <c r="BI401" s="13">
        <v>4.8167986096814275E-4</v>
      </c>
      <c r="BJ401" s="13">
        <v>5.0288508646190166E-7</v>
      </c>
      <c r="BK401" s="11">
        <v>22.475945949554443</v>
      </c>
      <c r="BL401" s="12">
        <v>3.5489118099212646</v>
      </c>
      <c r="BM401" s="12">
        <v>5.5475234985351563E-3</v>
      </c>
      <c r="BN401" s="13">
        <v>-0.38791248202323914</v>
      </c>
      <c r="BO401" s="13">
        <v>-1.4710426330566406E-4</v>
      </c>
      <c r="BP401" s="15">
        <v>1.1376575912436238E-6</v>
      </c>
      <c r="BQ401" s="15">
        <v>2.7907844923902303E-9</v>
      </c>
      <c r="BR401" s="14">
        <v>4.3508101953193545E-4</v>
      </c>
      <c r="BS401" s="14">
        <v>1.7738784663379192E-6</v>
      </c>
      <c r="BT401" s="14">
        <v>4.7556368372170255E-5</v>
      </c>
      <c r="BU401" s="14">
        <v>1.3773387763649225E-7</v>
      </c>
      <c r="BV401" s="11">
        <v>7868.5908203125</v>
      </c>
      <c r="BW401" s="11">
        <v>13.50341796875</v>
      </c>
      <c r="BX401" s="11">
        <v>1575.0045166015625</v>
      </c>
      <c r="BY401" s="11">
        <v>0.6201171875</v>
      </c>
      <c r="BZ401" s="7">
        <v>70</v>
      </c>
      <c r="CA401" s="7">
        <v>74.650001525878906</v>
      </c>
      <c r="CB401" s="7">
        <v>29.350000381469727</v>
      </c>
      <c r="CC401" s="7">
        <v>31.75</v>
      </c>
      <c r="CD401" s="7">
        <v>31.850000381469727</v>
      </c>
      <c r="CE401" s="3">
        <v>125</v>
      </c>
      <c r="CF401" s="7">
        <v>31.75</v>
      </c>
      <c r="CG401" s="3">
        <v>1050</v>
      </c>
      <c r="CH401" s="7">
        <v>45.930000305175781</v>
      </c>
      <c r="CI401" s="7">
        <v>535</v>
      </c>
      <c r="CJ401" s="3">
        <v>25</v>
      </c>
      <c r="CK401" s="7">
        <v>533.79998779296875</v>
      </c>
      <c r="CL401" s="3">
        <v>25</v>
      </c>
      <c r="CM401" s="7">
        <v>539.90997314453125</v>
      </c>
      <c r="CN401" s="10">
        <v>44783.638194444444</v>
      </c>
      <c r="CO401" s="10">
        <v>44783.638194444444</v>
      </c>
      <c r="CP401" s="7">
        <v>38295.69921875</v>
      </c>
      <c r="CQ401" s="17" t="s">
        <v>321</v>
      </c>
      <c r="CR401" s="10">
        <v>44783.638194444444</v>
      </c>
      <c r="CS401" s="12">
        <v>1.0451674461364746E-2</v>
      </c>
      <c r="CT401" s="18">
        <v>4.7581601021152444E-4</v>
      </c>
      <c r="CU401" s="3">
        <v>70200</v>
      </c>
      <c r="CV401" s="18">
        <v>0.11502849002849003</v>
      </c>
      <c r="CW401" s="7">
        <v>533.8499755859375</v>
      </c>
      <c r="CX401" s="18">
        <v>0</v>
      </c>
      <c r="CY401" s="7">
        <v>31.75</v>
      </c>
      <c r="CZ401" s="18">
        <v>-1.572303089940847E-3</v>
      </c>
      <c r="DA401" s="3">
        <v>1047275</v>
      </c>
      <c r="DB401" s="18">
        <v>0.77997660595354612</v>
      </c>
      <c r="DC401" s="11">
        <v>-2.7623772621154785E-2</v>
      </c>
      <c r="DD401" s="18">
        <v>-1.2275284749127427E-3</v>
      </c>
      <c r="DE401" s="7">
        <v>31.75</v>
      </c>
      <c r="DF401" s="7">
        <v>533.8499755859375</v>
      </c>
      <c r="DG401" s="7">
        <v>38295.69921875</v>
      </c>
      <c r="DH401" s="3" t="s">
        <v>313</v>
      </c>
      <c r="DI401" s="3" t="s">
        <v>312</v>
      </c>
      <c r="DJ401" s="3" t="s">
        <v>314</v>
      </c>
      <c r="DK401" s="3">
        <v>38300</v>
      </c>
      <c r="DL401" s="3">
        <v>3400000</v>
      </c>
      <c r="DM401" s="3">
        <v>38500</v>
      </c>
      <c r="DN401" s="3">
        <v>0</v>
      </c>
      <c r="DO401" s="3">
        <v>24500</v>
      </c>
      <c r="DP401" s="3">
        <v>2863350</v>
      </c>
      <c r="DQ401" s="28">
        <v>38000</v>
      </c>
      <c r="DR401" s="32">
        <v>0</v>
      </c>
      <c r="DS401" s="32">
        <v>24500</v>
      </c>
      <c r="DT401" s="32" t="s">
        <v>33</v>
      </c>
      <c r="DU401" s="69">
        <v>44784</v>
      </c>
    </row>
    <row r="402" spans="1:125" x14ac:dyDescent="0.25">
      <c r="A402" t="s">
        <v>134</v>
      </c>
      <c r="B402" s="2">
        <v>44861</v>
      </c>
      <c r="C402" s="1">
        <v>625</v>
      </c>
      <c r="D402">
        <v>82</v>
      </c>
      <c r="M402" s="3"/>
      <c r="N402" s="3"/>
      <c r="O402" s="3">
        <v>38900</v>
      </c>
      <c r="P402" s="7">
        <v>623</v>
      </c>
      <c r="Q402" s="7">
        <v>548.0999755859375</v>
      </c>
      <c r="R402" s="7">
        <v>771.29998779296875</v>
      </c>
      <c r="S402" s="7">
        <v>638.29998779296875</v>
      </c>
      <c r="T402" s="11">
        <v>-5.9111328125</v>
      </c>
      <c r="U402" s="11">
        <v>2712.880859375</v>
      </c>
      <c r="V402" s="11">
        <v>-55.3173828125</v>
      </c>
      <c r="W402" s="11">
        <v>16366.8974609375</v>
      </c>
      <c r="X402" s="14">
        <v>-3.5576522350311279E-7</v>
      </c>
      <c r="Y402" s="14">
        <v>1.434393780073151E-4</v>
      </c>
      <c r="Z402" s="14">
        <v>-4.2660394683480263E-6</v>
      </c>
      <c r="AA402" s="14">
        <v>1.3440464390441775E-3</v>
      </c>
      <c r="AB402" s="15">
        <v>-7.6067863119533285E-10</v>
      </c>
      <c r="AC402" s="15">
        <v>1.08633867057506E-6</v>
      </c>
      <c r="AD402" s="13">
        <v>1.2503266334533691E-3</v>
      </c>
      <c r="AE402" s="13">
        <v>-0.64194905757904053</v>
      </c>
      <c r="AF402" s="12">
        <v>-1.5887260437011719E-2</v>
      </c>
      <c r="AG402" s="12">
        <v>6.0151491165161133</v>
      </c>
      <c r="AH402" s="13">
        <v>2.3949542082846165E-7</v>
      </c>
      <c r="AI402" s="13">
        <v>3.6508182529360056E-4</v>
      </c>
      <c r="AJ402" s="11">
        <v>4.1811466217041016E-3</v>
      </c>
      <c r="AK402" s="11">
        <v>3.3093338012695313</v>
      </c>
      <c r="AL402" s="11">
        <v>-6.90155029296875E-2</v>
      </c>
      <c r="AM402" s="11">
        <v>-35.317886352539063</v>
      </c>
      <c r="AN402" s="11">
        <v>1.5610456466674805E-4</v>
      </c>
      <c r="AO402" s="11">
        <v>-0.90967530012130737</v>
      </c>
      <c r="AP402" s="11">
        <v>21.943949162960052</v>
      </c>
      <c r="AQ402" s="11">
        <v>712275</v>
      </c>
      <c r="AR402" s="16">
        <v>-2825</v>
      </c>
      <c r="AS402" s="16">
        <v>19950</v>
      </c>
      <c r="AT402" s="16">
        <v>21.943949162960052</v>
      </c>
      <c r="AU402" s="7">
        <v>0</v>
      </c>
      <c r="AV402" s="7">
        <v>623</v>
      </c>
      <c r="AW402" s="7">
        <v>19.649999618530273</v>
      </c>
      <c r="AX402" s="7">
        <v>4.9999237060546875E-2</v>
      </c>
      <c r="AY402" s="11">
        <v>22.254461050033569</v>
      </c>
      <c r="AZ402" s="16">
        <v>1251875</v>
      </c>
      <c r="BA402" s="16">
        <v>706850</v>
      </c>
      <c r="BB402" s="16">
        <v>32689350</v>
      </c>
      <c r="BC402" s="11">
        <v>9.3468576669692993E-2</v>
      </c>
      <c r="BD402" s="11">
        <v>1.5198439359664917E-4</v>
      </c>
      <c r="BE402" s="11">
        <v>-19.649999618530273</v>
      </c>
      <c r="BF402" s="11">
        <v>-4.9999237060546875E-2</v>
      </c>
      <c r="BG402" s="11">
        <v>3.3942742347717285</v>
      </c>
      <c r="BH402" s="11">
        <v>4.0090084075927734E-3</v>
      </c>
      <c r="BI402" s="13">
        <v>3.6922580329701304E-4</v>
      </c>
      <c r="BJ402" s="13">
        <v>2.2153835743665695E-7</v>
      </c>
      <c r="BK402" s="11">
        <v>22.254461050033569</v>
      </c>
      <c r="BL402" s="12">
        <v>5.7018775939941406</v>
      </c>
      <c r="BM402" s="12">
        <v>-1.4287948608398438E-2</v>
      </c>
      <c r="BN402" s="13">
        <v>-0.61712664365768433</v>
      </c>
      <c r="BO402" s="13">
        <v>1.1348128318786621E-3</v>
      </c>
      <c r="BP402" s="15">
        <v>1.0676403690013103E-6</v>
      </c>
      <c r="BQ402" s="15">
        <v>-7.5101524998899549E-10</v>
      </c>
      <c r="BR402" s="14">
        <v>1.2562435586005449E-3</v>
      </c>
      <c r="BS402" s="14">
        <v>-4.0190061554312706E-6</v>
      </c>
      <c r="BT402" s="14">
        <v>1.3596598000731319E-4</v>
      </c>
      <c r="BU402" s="14">
        <v>-3.4424010664224625E-7</v>
      </c>
      <c r="BV402" s="11">
        <v>15293.6123046875</v>
      </c>
      <c r="BW402" s="11">
        <v>-49.21484375</v>
      </c>
      <c r="BX402" s="11">
        <v>2597.259765625</v>
      </c>
      <c r="BY402" s="11">
        <v>-5.33349609375</v>
      </c>
      <c r="BZ402" s="7">
        <v>35.049999237060547</v>
      </c>
      <c r="CA402" s="7">
        <v>53.099998474121094</v>
      </c>
      <c r="CB402" s="7">
        <v>19.149999618530273</v>
      </c>
      <c r="CC402" s="7">
        <v>19.649999618530273</v>
      </c>
      <c r="CD402" s="7">
        <v>19.649999618530273</v>
      </c>
      <c r="CE402" s="3">
        <v>1225</v>
      </c>
      <c r="CF402" s="7">
        <v>19.549999237060547</v>
      </c>
      <c r="CG402" s="3">
        <v>275</v>
      </c>
      <c r="CH402" s="7">
        <v>31.739999771118164</v>
      </c>
      <c r="CI402" s="7">
        <v>623.45001220703125</v>
      </c>
      <c r="CJ402" s="3">
        <v>25</v>
      </c>
      <c r="CK402" s="7">
        <v>621.9000244140625</v>
      </c>
      <c r="CL402" s="3">
        <v>25</v>
      </c>
      <c r="CM402" s="7">
        <v>624.77001953125</v>
      </c>
      <c r="CN402" s="10">
        <v>44783.638194444444</v>
      </c>
      <c r="CO402" s="10">
        <v>44783.638194444444</v>
      </c>
      <c r="CP402" s="7">
        <v>38295.69921875</v>
      </c>
      <c r="CQ402" s="17" t="s">
        <v>321</v>
      </c>
      <c r="CR402" s="10">
        <v>44783.638194444444</v>
      </c>
      <c r="CS402" s="12">
        <v>1.4227628707885742E-2</v>
      </c>
      <c r="CT402" s="18">
        <v>6.4878291708645374E-4</v>
      </c>
      <c r="CU402" s="3">
        <v>22775</v>
      </c>
      <c r="CV402" s="18">
        <v>-0.12403951701427003</v>
      </c>
      <c r="CW402" s="7">
        <v>623</v>
      </c>
      <c r="CX402" s="18">
        <v>0</v>
      </c>
      <c r="CY402" s="7">
        <v>19.649999618530273</v>
      </c>
      <c r="CZ402" s="18">
        <v>2.5509814330318716E-3</v>
      </c>
      <c r="DA402" s="3">
        <v>545025</v>
      </c>
      <c r="DB402" s="18">
        <v>1.2969129856428605</v>
      </c>
      <c r="DC402" s="11">
        <v>1.3844668865203857E-2</v>
      </c>
      <c r="DD402" s="18">
        <v>6.2249483683044198E-4</v>
      </c>
      <c r="DE402" s="7">
        <v>19.649999618530273</v>
      </c>
      <c r="DF402" s="7">
        <v>623</v>
      </c>
      <c r="DG402" s="7">
        <v>38295.69921875</v>
      </c>
      <c r="DH402" s="3" t="s">
        <v>314</v>
      </c>
      <c r="DI402" s="3" t="s">
        <v>312</v>
      </c>
      <c r="DJ402" s="3" t="s">
        <v>314</v>
      </c>
      <c r="DK402" s="3">
        <v>38300</v>
      </c>
      <c r="DL402" s="3">
        <v>3400000</v>
      </c>
      <c r="DM402" s="3">
        <v>38500</v>
      </c>
      <c r="DN402" s="3">
        <v>0</v>
      </c>
      <c r="DO402" s="3">
        <v>24500</v>
      </c>
      <c r="DP402" s="3">
        <v>2863350</v>
      </c>
      <c r="DQ402" s="28">
        <v>38000</v>
      </c>
      <c r="DR402" s="32">
        <v>0</v>
      </c>
      <c r="DS402" s="32">
        <v>24500</v>
      </c>
      <c r="DT402" s="32" t="s">
        <v>33</v>
      </c>
      <c r="DU402" s="69">
        <v>44784</v>
      </c>
    </row>
    <row r="403" spans="1:125" x14ac:dyDescent="0.25">
      <c r="A403" t="s">
        <v>135</v>
      </c>
      <c r="B403" s="2">
        <v>44798</v>
      </c>
      <c r="C403" s="1">
        <v>400</v>
      </c>
      <c r="D403">
        <v>67</v>
      </c>
      <c r="M403" s="3"/>
      <c r="N403" s="3"/>
      <c r="O403" s="3">
        <v>39000</v>
      </c>
      <c r="P403" s="7">
        <v>715</v>
      </c>
      <c r="Q403" s="7">
        <v>631.1500244140625</v>
      </c>
      <c r="R403" s="7">
        <v>860</v>
      </c>
      <c r="S403" s="7">
        <v>729.79998779296875</v>
      </c>
      <c r="T403" s="11">
        <v>-19.07373046875</v>
      </c>
      <c r="U403" s="11">
        <v>4819.01708984375</v>
      </c>
      <c r="V403" s="11">
        <v>-181.197265625</v>
      </c>
      <c r="W403" s="11">
        <v>32713.224609375</v>
      </c>
      <c r="X403" s="14">
        <v>-3.2693787943571806E-7</v>
      </c>
      <c r="Y403" s="14">
        <v>1.9146558770444244E-4</v>
      </c>
      <c r="Z403" s="14">
        <v>-4.9247173592448235E-6</v>
      </c>
      <c r="AA403" s="14">
        <v>1.8171458505094051E-3</v>
      </c>
      <c r="AB403" s="15">
        <v>-3.432774065004196E-10</v>
      </c>
      <c r="AC403" s="15">
        <v>9.2699440301657887E-7</v>
      </c>
      <c r="AD403" s="13">
        <v>3.7533044815063477E-3</v>
      </c>
      <c r="AE403" s="13">
        <v>-1.0739144086837769</v>
      </c>
      <c r="AF403" s="12">
        <v>-4.5857429504394531E-2</v>
      </c>
      <c r="AG403" s="12">
        <v>10.192218780517578</v>
      </c>
      <c r="AH403" s="13">
        <v>4.1496241465210915E-7</v>
      </c>
      <c r="AI403" s="13">
        <v>2.6037279167212546E-4</v>
      </c>
      <c r="AJ403" s="11">
        <v>5.8453083038330078E-3</v>
      </c>
      <c r="AK403" s="11">
        <v>2.3302099704742432</v>
      </c>
      <c r="AL403" s="11">
        <v>-8.6076736450195313E-2</v>
      </c>
      <c r="AM403" s="11">
        <v>-24.552515029907227</v>
      </c>
      <c r="AN403" s="11">
        <v>1.8352270126342773E-4</v>
      </c>
      <c r="AO403" s="11">
        <v>-0.94285428524017334</v>
      </c>
      <c r="AP403" s="11">
        <v>21.665145456790924</v>
      </c>
      <c r="AQ403" s="11">
        <v>2121575</v>
      </c>
      <c r="AR403" s="16">
        <v>7800</v>
      </c>
      <c r="AS403" s="16">
        <v>71175</v>
      </c>
      <c r="AT403" s="16">
        <v>21.665145456790924</v>
      </c>
      <c r="AU403" s="7">
        <v>0</v>
      </c>
      <c r="AV403" s="7">
        <v>715</v>
      </c>
      <c r="AW403" s="7">
        <v>12.649999618530273</v>
      </c>
      <c r="AX403" s="7">
        <v>-5.0000190734863281E-2</v>
      </c>
      <c r="AY403" s="11">
        <v>22.465904057025909</v>
      </c>
      <c r="AZ403" s="16">
        <v>3372650</v>
      </c>
      <c r="BA403" s="16">
        <v>1298575</v>
      </c>
      <c r="BB403" s="16">
        <v>59659000</v>
      </c>
      <c r="BC403" s="11">
        <v>6.3933677971363068E-2</v>
      </c>
      <c r="BD403" s="11">
        <v>-1.3522058725357056E-4</v>
      </c>
      <c r="BE403" s="11">
        <v>-12.649999618530273</v>
      </c>
      <c r="BF403" s="11">
        <v>5.0000190734863281E-2</v>
      </c>
      <c r="BG403" s="11">
        <v>2.5441668033599854</v>
      </c>
      <c r="BH403" s="11">
        <v>-4.2014122009277344E-3</v>
      </c>
      <c r="BI403" s="13">
        <v>2.741360804066062E-4</v>
      </c>
      <c r="BJ403" s="13">
        <v>-4.6304194256663322E-8</v>
      </c>
      <c r="BK403" s="11">
        <v>22.465904057025909</v>
      </c>
      <c r="BL403" s="12">
        <v>8.6844491958618164</v>
      </c>
      <c r="BM403" s="12">
        <v>3.2952308654785156E-2</v>
      </c>
      <c r="BN403" s="13">
        <v>-0.9488263726234436</v>
      </c>
      <c r="BO403" s="13">
        <v>-2.2537708282470703E-3</v>
      </c>
      <c r="BP403" s="15">
        <v>9.0693515630846377E-7</v>
      </c>
      <c r="BQ403" s="15">
        <v>1.8406467461318243E-9</v>
      </c>
      <c r="BR403" s="14">
        <v>1.6306701581925154E-3</v>
      </c>
      <c r="BS403" s="14">
        <v>6.1016762629151344E-6</v>
      </c>
      <c r="BT403" s="14">
        <v>1.7816016043070704E-4</v>
      </c>
      <c r="BU403" s="14">
        <v>4.1381281334906816E-7</v>
      </c>
      <c r="BV403" s="11">
        <v>26874.853515625</v>
      </c>
      <c r="BW403" s="11">
        <v>120.759765625</v>
      </c>
      <c r="BX403" s="11">
        <v>4192.98828125</v>
      </c>
      <c r="BY403" s="11">
        <v>11.13818359375</v>
      </c>
      <c r="BZ403" s="7">
        <v>33</v>
      </c>
      <c r="CA403" s="7">
        <v>37</v>
      </c>
      <c r="CB403" s="7">
        <v>12.199999809265137</v>
      </c>
      <c r="CC403" s="7">
        <v>12.649999618530273</v>
      </c>
      <c r="CD403" s="7">
        <v>12.699999809265137</v>
      </c>
      <c r="CE403" s="3">
        <v>450</v>
      </c>
      <c r="CF403" s="7">
        <v>12.649999618530273</v>
      </c>
      <c r="CG403" s="3">
        <v>600</v>
      </c>
      <c r="CH403" s="7">
        <v>21.920000076293945</v>
      </c>
      <c r="CI403" s="7">
        <v>717.0999755859375</v>
      </c>
      <c r="CJ403" s="3">
        <v>25</v>
      </c>
      <c r="CK403" s="7">
        <v>715.20001220703125</v>
      </c>
      <c r="CL403" s="3">
        <v>25</v>
      </c>
      <c r="CM403" s="7">
        <v>718.65997314453125</v>
      </c>
      <c r="CN403" s="10">
        <v>44783.638194444444</v>
      </c>
      <c r="CO403" s="10">
        <v>44783.638194444444</v>
      </c>
      <c r="CP403" s="7">
        <v>38295.69921875</v>
      </c>
      <c r="CQ403" s="17" t="s">
        <v>321</v>
      </c>
      <c r="CR403" s="10">
        <v>44783.638194444444</v>
      </c>
      <c r="CS403" s="12">
        <v>2.072751522064209E-2</v>
      </c>
      <c r="CT403" s="18">
        <v>9.576379127679295E-4</v>
      </c>
      <c r="CU403" s="3">
        <v>63375</v>
      </c>
      <c r="CV403" s="18">
        <v>0.12307692307692308</v>
      </c>
      <c r="CW403" s="7">
        <v>715</v>
      </c>
      <c r="CX403" s="18">
        <v>0</v>
      </c>
      <c r="CY403" s="7">
        <v>12.649999618530273</v>
      </c>
      <c r="CZ403" s="18">
        <v>-3.9370229516370722E-3</v>
      </c>
      <c r="DA403" s="3">
        <v>2074075</v>
      </c>
      <c r="DB403" s="18">
        <v>0.62609838120607986</v>
      </c>
      <c r="DC403" s="11">
        <v>-3.2974779605865479E-2</v>
      </c>
      <c r="DD403" s="18">
        <v>-1.4656187912873801E-3</v>
      </c>
      <c r="DE403" s="7">
        <v>12.649999618530273</v>
      </c>
      <c r="DF403" s="7">
        <v>715</v>
      </c>
      <c r="DG403" s="7">
        <v>38295.69921875</v>
      </c>
      <c r="DH403" s="3" t="s">
        <v>313</v>
      </c>
      <c r="DI403" s="3" t="s">
        <v>312</v>
      </c>
      <c r="DJ403" s="3" t="s">
        <v>314</v>
      </c>
      <c r="DK403" s="3">
        <v>38300</v>
      </c>
      <c r="DL403" s="3">
        <v>3400000</v>
      </c>
      <c r="DM403" s="3">
        <v>38500</v>
      </c>
      <c r="DN403" s="3">
        <v>0</v>
      </c>
      <c r="DO403" s="3">
        <v>24500</v>
      </c>
      <c r="DP403" s="3">
        <v>2863350</v>
      </c>
      <c r="DQ403" s="28">
        <v>38000</v>
      </c>
      <c r="DR403" s="32">
        <v>0</v>
      </c>
      <c r="DS403" s="32">
        <v>24500</v>
      </c>
      <c r="DT403" s="32" t="s">
        <v>33</v>
      </c>
      <c r="DU403" s="69">
        <v>44784</v>
      </c>
    </row>
    <row r="404" spans="1:125" x14ac:dyDescent="0.25">
      <c r="A404" t="s">
        <v>135</v>
      </c>
      <c r="B404" s="2">
        <v>44833</v>
      </c>
      <c r="C404" s="1">
        <v>400</v>
      </c>
      <c r="D404">
        <v>67</v>
      </c>
      <c r="M404" s="3"/>
      <c r="N404" s="3"/>
      <c r="O404" s="3">
        <v>39100</v>
      </c>
      <c r="P404" s="7">
        <v>804.5</v>
      </c>
      <c r="Q404" s="7">
        <v>723.25</v>
      </c>
      <c r="R404" s="7">
        <v>955</v>
      </c>
      <c r="S404" s="7">
        <v>816.79998779296875</v>
      </c>
      <c r="T404" s="11">
        <v>-326092.3125</v>
      </c>
      <c r="U404" s="11">
        <v>359350.3125</v>
      </c>
      <c r="V404" s="11">
        <v>-5313678</v>
      </c>
      <c r="W404" s="11">
        <v>5106233</v>
      </c>
      <c r="X404" s="14">
        <v>1.9597093341872096E-5</v>
      </c>
      <c r="Y404" s="14">
        <v>6.4870902861002833E-5</v>
      </c>
      <c r="Z404" s="14">
        <v>2.6756251463666558E-4</v>
      </c>
      <c r="AA404" s="14">
        <v>1.0237845126539469E-3</v>
      </c>
      <c r="AB404" s="15">
        <v>5.8399137969900039E-8</v>
      </c>
      <c r="AC404" s="15">
        <v>1.8775249088776036E-7</v>
      </c>
      <c r="AD404" s="13">
        <v>43.548038482666016</v>
      </c>
      <c r="AE404" s="13">
        <v>-53.014347076416016</v>
      </c>
      <c r="AF404" s="12">
        <v>-776.24456787109375</v>
      </c>
      <c r="AG404" s="12">
        <v>836.66595458984375</v>
      </c>
      <c r="AH404" s="13">
        <v>6.3914794736774638E-6</v>
      </c>
      <c r="AI404" s="13">
        <v>1.6594949556747451E-5</v>
      </c>
      <c r="AJ404" s="11">
        <v>3.7423409521579742E-2</v>
      </c>
      <c r="AK404" s="11">
        <v>8.9312762022018433E-2</v>
      </c>
      <c r="AL404" s="11">
        <v>-0.2552664577960968</v>
      </c>
      <c r="AM404" s="11">
        <v>-0.56591975688934326</v>
      </c>
      <c r="AN404" s="11">
        <v>5.9729814529418945E-4</v>
      </c>
      <c r="AO404" s="11">
        <v>-0.99866259098052979</v>
      </c>
      <c r="AP404" s="11">
        <v>13.028727471828461</v>
      </c>
      <c r="AQ404" s="11">
        <v>180850</v>
      </c>
      <c r="AR404" s="16">
        <v>6250</v>
      </c>
      <c r="AS404" s="16">
        <v>10300</v>
      </c>
      <c r="AT404" s="16">
        <v>13.028727471828461</v>
      </c>
      <c r="AU404" s="7">
        <v>0</v>
      </c>
      <c r="AV404" s="7">
        <v>804.5</v>
      </c>
      <c r="AW404" s="7">
        <v>8.25</v>
      </c>
      <c r="AX404" s="7">
        <v>5.0000190734863281E-2</v>
      </c>
      <c r="AY404" s="11">
        <v>22.826237976551056</v>
      </c>
      <c r="AZ404" s="16">
        <v>1216275</v>
      </c>
      <c r="BA404" s="16">
        <v>589700</v>
      </c>
      <c r="BB404" s="16">
        <v>21342325</v>
      </c>
      <c r="BC404" s="11">
        <v>4.3665148317813873E-2</v>
      </c>
      <c r="BD404" s="11">
        <v>1.8763914704322815E-4</v>
      </c>
      <c r="BE404" s="11">
        <v>-8.25</v>
      </c>
      <c r="BF404" s="11">
        <v>-5.0000190734863281E-2</v>
      </c>
      <c r="BG404" s="11">
        <v>1.8803008794784546</v>
      </c>
      <c r="BH404" s="11">
        <v>6.4858198165893555E-3</v>
      </c>
      <c r="BI404" s="13">
        <v>1.994137855945155E-4</v>
      </c>
      <c r="BJ404" s="13">
        <v>4.6959030441939831E-7</v>
      </c>
      <c r="BK404" s="11">
        <v>22.826237976551056</v>
      </c>
      <c r="BL404" s="12">
        <v>12.976319313049316</v>
      </c>
      <c r="BM404" s="12">
        <v>-7.5292587280273438E-2</v>
      </c>
      <c r="BN404" s="13">
        <v>-1.4405395984649658</v>
      </c>
      <c r="BO404" s="13">
        <v>6.6474676132202148E-3</v>
      </c>
      <c r="BP404" s="15">
        <v>7.2966116704265005E-7</v>
      </c>
      <c r="BQ404" s="15">
        <v>2.5863755581667647E-11</v>
      </c>
      <c r="BR404" s="14">
        <v>1.6979789361357689E-3</v>
      </c>
      <c r="BS404" s="14">
        <v>-3.9977021515369415E-6</v>
      </c>
      <c r="BT404" s="14">
        <v>1.8849766638595611E-4</v>
      </c>
      <c r="BU404" s="14">
        <v>-2.2067979443818331E-7</v>
      </c>
      <c r="BV404" s="11">
        <v>45089.77734375</v>
      </c>
      <c r="BW404" s="11">
        <v>-316.44140625</v>
      </c>
      <c r="BX404" s="11">
        <v>6706.0234375</v>
      </c>
      <c r="BY404" s="11">
        <v>-35.05810546875</v>
      </c>
      <c r="BZ404" s="7">
        <v>20</v>
      </c>
      <c r="CA404" s="7">
        <v>26</v>
      </c>
      <c r="CB404" s="7">
        <v>7.9499998092651367</v>
      </c>
      <c r="CC404" s="7">
        <v>8.25</v>
      </c>
      <c r="CD404" s="7">
        <v>8.25</v>
      </c>
      <c r="CE404" s="3">
        <v>2050</v>
      </c>
      <c r="CF404" s="7">
        <v>8.1999998092651367</v>
      </c>
      <c r="CG404" s="3">
        <v>750</v>
      </c>
      <c r="CH404" s="7">
        <v>14.630000114440918</v>
      </c>
      <c r="CI404" s="7">
        <v>811.8499755859375</v>
      </c>
      <c r="CJ404" s="3">
        <v>25</v>
      </c>
      <c r="CK404" s="7">
        <v>809.29998779296875</v>
      </c>
      <c r="CL404" s="3">
        <v>25</v>
      </c>
      <c r="CM404" s="7">
        <v>820.5</v>
      </c>
      <c r="CN404" s="10">
        <v>44783.638194444444</v>
      </c>
      <c r="CO404" s="10">
        <v>44783.638194444444</v>
      </c>
      <c r="CP404" s="7">
        <v>38295.69921875</v>
      </c>
      <c r="CQ404" s="17" t="s">
        <v>321</v>
      </c>
      <c r="CR404" s="10">
        <v>44783.638194444444</v>
      </c>
      <c r="CS404" s="12">
        <v>0.71818605065345764</v>
      </c>
      <c r="CT404" s="18">
        <v>5.8339111667186853E-2</v>
      </c>
      <c r="CU404" s="3">
        <v>4050</v>
      </c>
      <c r="CV404" s="18">
        <v>1.5432098765432098</v>
      </c>
      <c r="CW404" s="7">
        <v>804.5</v>
      </c>
      <c r="CX404" s="18">
        <v>0</v>
      </c>
      <c r="CY404" s="7">
        <v>8.25</v>
      </c>
      <c r="CZ404" s="18">
        <v>6.097584377790879E-3</v>
      </c>
      <c r="DA404" s="3">
        <v>626575</v>
      </c>
      <c r="DB404" s="18">
        <v>0.94114830626820412</v>
      </c>
      <c r="DC404" s="11">
        <v>2.5969743728637695E-2</v>
      </c>
      <c r="DD404" s="18">
        <v>1.1390104477478303E-3</v>
      </c>
      <c r="DE404" s="7">
        <v>8.25</v>
      </c>
      <c r="DF404" s="7">
        <v>804.5</v>
      </c>
      <c r="DG404" s="7">
        <v>38295.69921875</v>
      </c>
      <c r="DH404" s="3" t="s">
        <v>314</v>
      </c>
      <c r="DI404" s="3" t="s">
        <v>312</v>
      </c>
      <c r="DJ404" s="3" t="s">
        <v>314</v>
      </c>
      <c r="DK404" s="3">
        <v>38300</v>
      </c>
      <c r="DL404" s="3">
        <v>3400000</v>
      </c>
      <c r="DM404" s="3">
        <v>38500</v>
      </c>
      <c r="DN404" s="3">
        <v>0</v>
      </c>
      <c r="DO404" s="3">
        <v>24500</v>
      </c>
      <c r="DP404" s="3">
        <v>2863350</v>
      </c>
      <c r="DQ404" s="28">
        <v>38000</v>
      </c>
      <c r="DR404" s="32">
        <v>0</v>
      </c>
      <c r="DS404" s="32">
        <v>24500</v>
      </c>
      <c r="DT404" s="32" t="s">
        <v>33</v>
      </c>
      <c r="DU404" s="69">
        <v>44784</v>
      </c>
    </row>
    <row r="405" spans="1:125" x14ac:dyDescent="0.25">
      <c r="A405" t="s">
        <v>135</v>
      </c>
      <c r="B405" s="2">
        <v>44861</v>
      </c>
      <c r="C405" s="1">
        <v>400</v>
      </c>
      <c r="D405">
        <v>67</v>
      </c>
      <c r="M405" s="3"/>
      <c r="N405" s="3"/>
      <c r="O405" s="3">
        <v>39200</v>
      </c>
      <c r="P405" s="7">
        <v>904.45001220703125</v>
      </c>
      <c r="Q405" s="7">
        <v>817.25</v>
      </c>
      <c r="R405" s="7">
        <v>1047.5</v>
      </c>
      <c r="S405" s="7">
        <v>909.79998779296875</v>
      </c>
      <c r="T405" s="11">
        <v>-125808.46875</v>
      </c>
      <c r="U405" s="11">
        <v>274448.875</v>
      </c>
      <c r="V405" s="11">
        <v>-1757336.75</v>
      </c>
      <c r="W405" s="11">
        <v>3369309.25</v>
      </c>
      <c r="X405" s="14">
        <v>1.2031974620185792E-5</v>
      </c>
      <c r="Y405" s="14">
        <v>6.6579777922015637E-5</v>
      </c>
      <c r="Z405" s="14">
        <v>1.380608300678432E-4</v>
      </c>
      <c r="AA405" s="14">
        <v>9.1250723926350474E-4</v>
      </c>
      <c r="AB405" s="15">
        <v>3.2418185469396121E-8</v>
      </c>
      <c r="AC405" s="15">
        <v>1.7263690210711502E-7</v>
      </c>
      <c r="AD405" s="13">
        <v>17.262786865234375</v>
      </c>
      <c r="AE405" s="13">
        <v>-41.320838928222656</v>
      </c>
      <c r="AF405" s="12">
        <v>-265.42364501953125</v>
      </c>
      <c r="AG405" s="12">
        <v>566.32159423828125</v>
      </c>
      <c r="AH405" s="13">
        <v>4.3865820771316066E-6</v>
      </c>
      <c r="AI405" s="13">
        <v>1.8031974832410924E-5</v>
      </c>
      <c r="AJ405" s="11">
        <v>3.010934591293335E-2</v>
      </c>
      <c r="AK405" s="11">
        <v>0.11175006628036499</v>
      </c>
      <c r="AL405" s="11">
        <v>-0.24033528566360474</v>
      </c>
      <c r="AM405" s="11">
        <v>-0.81536823511123657</v>
      </c>
      <c r="AN405" s="11">
        <v>4.9757957458496094E-4</v>
      </c>
      <c r="AO405" s="11">
        <v>-0.99829012155532837</v>
      </c>
      <c r="AP405" s="11">
        <v>15.002603828907013</v>
      </c>
      <c r="AQ405" s="11">
        <v>145075</v>
      </c>
      <c r="AR405" s="16">
        <v>4700</v>
      </c>
      <c r="AS405" s="16">
        <v>8200</v>
      </c>
      <c r="AT405" s="16">
        <v>15.002603828907013</v>
      </c>
      <c r="AU405" s="7">
        <v>0</v>
      </c>
      <c r="AV405" s="7">
        <v>904.45001220703125</v>
      </c>
      <c r="AW405" s="7">
        <v>6.1999998092651367</v>
      </c>
      <c r="AX405" s="7">
        <v>-0.10000038146972656</v>
      </c>
      <c r="AY405" s="11">
        <v>23.807419836521149</v>
      </c>
      <c r="AZ405" s="16">
        <v>1421550</v>
      </c>
      <c r="BA405" s="16">
        <v>828500</v>
      </c>
      <c r="BB405" s="16">
        <v>20374650</v>
      </c>
      <c r="BC405" s="11">
        <v>3.2818041741847992E-2</v>
      </c>
      <c r="BD405" s="11">
        <v>-3.6768615245819092E-4</v>
      </c>
      <c r="BE405" s="11">
        <v>-6.1999998092651367</v>
      </c>
      <c r="BF405" s="11">
        <v>0.10000038146972656</v>
      </c>
      <c r="BG405" s="11">
        <v>1.4895119667053223</v>
      </c>
      <c r="BH405" s="11">
        <v>-1.3749599456787109E-2</v>
      </c>
      <c r="BI405" s="13">
        <v>1.5145241923164576E-4</v>
      </c>
      <c r="BJ405" s="13">
        <v>-8.9386594481766224E-7</v>
      </c>
      <c r="BK405" s="11">
        <v>23.807419836521149</v>
      </c>
      <c r="BL405" s="12">
        <v>16.908014297485352</v>
      </c>
      <c r="BM405" s="12">
        <v>0.25415992736816406</v>
      </c>
      <c r="BN405" s="13">
        <v>-1.9576071500778198</v>
      </c>
      <c r="BO405" s="13">
        <v>-2.3157358169555664E-2</v>
      </c>
      <c r="BP405" s="15">
        <v>5.7223627436542301E-7</v>
      </c>
      <c r="BQ405" s="15">
        <v>9.7543306765146554E-11</v>
      </c>
      <c r="BR405" s="14">
        <v>1.5345215797424316E-3</v>
      </c>
      <c r="BS405" s="14">
        <v>7.7155418694019318E-6</v>
      </c>
      <c r="BT405" s="14">
        <v>1.776666467776522E-4</v>
      </c>
      <c r="BU405" s="14">
        <v>3.1852687243372202E-7</v>
      </c>
      <c r="BV405" s="11">
        <v>63263.14453125</v>
      </c>
      <c r="BW405" s="11">
        <v>1119.56640625</v>
      </c>
      <c r="BX405" s="11">
        <v>9471.201171875</v>
      </c>
      <c r="BY405" s="11">
        <v>125.923828125</v>
      </c>
      <c r="BZ405" s="7">
        <v>10</v>
      </c>
      <c r="CA405" s="7">
        <v>21</v>
      </c>
      <c r="CB405" s="7">
        <v>6.0500001907348633</v>
      </c>
      <c r="CC405" s="7">
        <v>6.1999998092651367</v>
      </c>
      <c r="CD405" s="7">
        <v>6.25</v>
      </c>
      <c r="CE405" s="3">
        <v>225</v>
      </c>
      <c r="CF405" s="7">
        <v>6.1999998092651367</v>
      </c>
      <c r="CG405" s="3">
        <v>2650</v>
      </c>
      <c r="CH405" s="7">
        <v>10.239999771118164</v>
      </c>
      <c r="CI405" s="7">
        <v>909</v>
      </c>
      <c r="CJ405" s="3">
        <v>25</v>
      </c>
      <c r="CK405" s="7">
        <v>907.1500244140625</v>
      </c>
      <c r="CL405" s="3">
        <v>500</v>
      </c>
      <c r="CM405" s="7">
        <v>908.719970703125</v>
      </c>
      <c r="CN405" s="10">
        <v>44783.638194444444</v>
      </c>
      <c r="CO405" s="10">
        <v>44783.638194444444</v>
      </c>
      <c r="CP405" s="7">
        <v>38295.69921875</v>
      </c>
      <c r="CQ405" s="17" t="s">
        <v>321</v>
      </c>
      <c r="CR405" s="10">
        <v>44783.638194444444</v>
      </c>
      <c r="CS405" s="12">
        <v>0.51937699317932129</v>
      </c>
      <c r="CT405" s="18">
        <v>3.5860585425487181E-2</v>
      </c>
      <c r="CU405" s="3">
        <v>3500</v>
      </c>
      <c r="CV405" s="18">
        <v>1.3428571428571427</v>
      </c>
      <c r="CW405" s="7">
        <v>904.45001220703125</v>
      </c>
      <c r="CX405" s="18">
        <v>0</v>
      </c>
      <c r="CY405" s="7">
        <v>6.1999998092651367</v>
      </c>
      <c r="CZ405" s="18">
        <v>-1.5873075943202794E-2</v>
      </c>
      <c r="DA405" s="3">
        <v>593050</v>
      </c>
      <c r="DB405" s="18">
        <v>1.39701542871596</v>
      </c>
      <c r="DC405" s="11">
        <v>-7.8442692756652832E-2</v>
      </c>
      <c r="DD405" s="18">
        <v>-3.284063644781622E-3</v>
      </c>
      <c r="DE405" s="7">
        <v>6.1999998092651367</v>
      </c>
      <c r="DF405" s="7">
        <v>904.45001220703125</v>
      </c>
      <c r="DG405" s="7">
        <v>38295.69921875</v>
      </c>
      <c r="DH405" s="3" t="s">
        <v>313</v>
      </c>
      <c r="DI405" s="3" t="s">
        <v>312</v>
      </c>
      <c r="DJ405" s="3" t="s">
        <v>314</v>
      </c>
      <c r="DK405" s="3">
        <v>38300</v>
      </c>
      <c r="DL405" s="3">
        <v>3400000</v>
      </c>
      <c r="DM405" s="3">
        <v>38500</v>
      </c>
      <c r="DN405" s="3">
        <v>0</v>
      </c>
      <c r="DO405" s="3">
        <v>24500</v>
      </c>
      <c r="DP405" s="3">
        <v>2863350</v>
      </c>
      <c r="DQ405" s="28">
        <v>38000</v>
      </c>
      <c r="DR405" s="32">
        <v>0</v>
      </c>
      <c r="DS405" s="32">
        <v>24500</v>
      </c>
      <c r="DT405" s="32" t="s">
        <v>33</v>
      </c>
      <c r="DU405" s="69">
        <v>44784</v>
      </c>
    </row>
    <row r="406" spans="1:125" x14ac:dyDescent="0.25">
      <c r="A406" t="s">
        <v>136</v>
      </c>
      <c r="B406" s="2">
        <v>44798</v>
      </c>
      <c r="C406" s="1">
        <v>300</v>
      </c>
      <c r="D406">
        <v>90</v>
      </c>
      <c r="M406" s="3"/>
      <c r="N406" s="3"/>
      <c r="O406" s="3">
        <v>39300</v>
      </c>
      <c r="P406" s="7">
        <v>1006</v>
      </c>
      <c r="Q406" s="7">
        <v>908.8499755859375</v>
      </c>
      <c r="R406" s="7">
        <v>1146.6500244140625</v>
      </c>
      <c r="S406" s="7">
        <v>1027.3499755859375</v>
      </c>
      <c r="T406" s="11">
        <v>-1001.3125</v>
      </c>
      <c r="U406" s="11">
        <v>34462.515625</v>
      </c>
      <c r="V406" s="11">
        <v>-9732.03125</v>
      </c>
      <c r="W406" s="11">
        <v>280954.1875</v>
      </c>
      <c r="X406" s="14">
        <v>1.0601070243865252E-6</v>
      </c>
      <c r="Y406" s="14">
        <v>1.389099343214184E-4</v>
      </c>
      <c r="Z406" s="14">
        <v>4.7690700739622116E-6</v>
      </c>
      <c r="AA406" s="14">
        <v>1.3465707888826728E-3</v>
      </c>
      <c r="AB406" s="15">
        <v>3.3371918561897473E-9</v>
      </c>
      <c r="AC406" s="15">
        <v>3.5264673670099E-7</v>
      </c>
      <c r="AD406" s="13">
        <v>0.16246175765991211</v>
      </c>
      <c r="AE406" s="13">
        <v>-6.2157835960388184</v>
      </c>
      <c r="AF406" s="12">
        <v>-1.8296966552734375</v>
      </c>
      <c r="AG406" s="12">
        <v>60.254817962646484</v>
      </c>
      <c r="AH406" s="13">
        <v>1.1694064596667886E-6</v>
      </c>
      <c r="AI406" s="13">
        <v>6.6593645897228271E-5</v>
      </c>
      <c r="AJ406" s="11">
        <v>1.2551248073577881E-2</v>
      </c>
      <c r="AK406" s="11">
        <v>0.58348959684371948</v>
      </c>
      <c r="AL406" s="11">
        <v>-0.15365028381347656</v>
      </c>
      <c r="AM406" s="11">
        <v>-6.0191788673400879</v>
      </c>
      <c r="AN406" s="11">
        <v>2.6887655258178711E-4</v>
      </c>
      <c r="AO406" s="11">
        <v>-0.98910969495773315</v>
      </c>
      <c r="AP406" s="11">
        <v>21.211178600788116</v>
      </c>
      <c r="AQ406" s="11">
        <v>26650</v>
      </c>
      <c r="AR406" s="16">
        <v>1225</v>
      </c>
      <c r="AS406" s="16">
        <v>3925</v>
      </c>
      <c r="AT406" s="16">
        <v>21.211178600788116</v>
      </c>
      <c r="AU406" s="7">
        <v>0</v>
      </c>
      <c r="AV406" s="7">
        <v>1006</v>
      </c>
      <c r="AW406" s="7">
        <v>5.0999999046325684</v>
      </c>
      <c r="AX406" s="7">
        <v>4.9999713897705078E-2</v>
      </c>
      <c r="AY406" s="11">
        <v>25.099071860313416</v>
      </c>
      <c r="AZ406" s="16">
        <v>846975</v>
      </c>
      <c r="BA406" s="16">
        <v>212000</v>
      </c>
      <c r="BB406" s="16">
        <v>14891325</v>
      </c>
      <c r="BC406" s="11">
        <v>2.6390975341200829E-2</v>
      </c>
      <c r="BD406" s="11">
        <v>1.9237585365772247E-4</v>
      </c>
      <c r="BE406" s="11">
        <v>-5.0999999046325684</v>
      </c>
      <c r="BF406" s="11">
        <v>-4.9999713897705078E-2</v>
      </c>
      <c r="BG406" s="11">
        <v>1.2429426908493042</v>
      </c>
      <c r="BH406" s="11">
        <v>7.5534582138061523E-3</v>
      </c>
      <c r="BI406" s="13">
        <v>1.1988244659733027E-4</v>
      </c>
      <c r="BJ406" s="13">
        <v>5.4399424698203802E-7</v>
      </c>
      <c r="BK406" s="11">
        <v>25.099071860313416</v>
      </c>
      <c r="BL406" s="12">
        <v>20.219463348388672</v>
      </c>
      <c r="BM406" s="12">
        <v>-0.18912506103515625</v>
      </c>
      <c r="BN406" s="13">
        <v>-2.4681220054626465</v>
      </c>
      <c r="BO406" s="13">
        <v>1.9025325775146484E-2</v>
      </c>
      <c r="BP406" s="15">
        <v>4.5200587805993564E-7</v>
      </c>
      <c r="BQ406" s="15">
        <v>6.0089178077760153E-10</v>
      </c>
      <c r="BR406" s="14">
        <v>1.326210331171751E-3</v>
      </c>
      <c r="BS406" s="14">
        <v>-1.9061844795942307E-6</v>
      </c>
      <c r="BT406" s="14">
        <v>1.618860405869782E-4</v>
      </c>
      <c r="BU406" s="14">
        <v>3.1577656045556068E-8</v>
      </c>
      <c r="BV406" s="11">
        <v>79588.625</v>
      </c>
      <c r="BW406" s="11">
        <v>-876.9609375</v>
      </c>
      <c r="BX406" s="11">
        <v>12287.5625</v>
      </c>
      <c r="BY406" s="11">
        <v>-106.7587890625</v>
      </c>
      <c r="BZ406" s="7">
        <v>12.449999809265137</v>
      </c>
      <c r="CA406" s="7">
        <v>13</v>
      </c>
      <c r="CB406" s="7">
        <v>4.9000000953674316</v>
      </c>
      <c r="CC406" s="7">
        <v>5.0999999046325684</v>
      </c>
      <c r="CD406" s="7">
        <v>5.0999999046325684</v>
      </c>
      <c r="CE406" s="3">
        <v>925</v>
      </c>
      <c r="CF406" s="7">
        <v>5.0500001907348633</v>
      </c>
      <c r="CG406" s="3">
        <v>2150</v>
      </c>
      <c r="CH406" s="7">
        <v>8.0699996948242188</v>
      </c>
      <c r="CI406" s="7">
        <v>1009.2000122070313</v>
      </c>
      <c r="CJ406" s="3">
        <v>50</v>
      </c>
      <c r="CK406" s="7">
        <v>1004.5</v>
      </c>
      <c r="CL406" s="3">
        <v>75</v>
      </c>
      <c r="CM406" s="7">
        <v>998.5</v>
      </c>
      <c r="CN406" s="10">
        <v>44783.638194444444</v>
      </c>
      <c r="CO406" s="10">
        <v>44783.638194444444</v>
      </c>
      <c r="CP406" s="7">
        <v>38295.69921875</v>
      </c>
      <c r="CQ406" s="17" t="s">
        <v>321</v>
      </c>
      <c r="CR406" s="10">
        <v>44783.638194444444</v>
      </c>
      <c r="CS406" s="12">
        <v>8.6148083209991455E-2</v>
      </c>
      <c r="CT406" s="18">
        <v>4.0780098820831379E-3</v>
      </c>
      <c r="CU406" s="3">
        <v>2700</v>
      </c>
      <c r="CV406" s="18">
        <v>0.45370370370370372</v>
      </c>
      <c r="CW406" s="7">
        <v>1006</v>
      </c>
      <c r="CX406" s="18">
        <v>0</v>
      </c>
      <c r="CY406" s="7">
        <v>5.0999999046325684</v>
      </c>
      <c r="CZ406" s="18">
        <v>9.9009330711390033E-3</v>
      </c>
      <c r="DA406" s="3">
        <v>634975</v>
      </c>
      <c r="DB406" s="18">
        <v>0.33387141226032518</v>
      </c>
      <c r="DC406" s="11">
        <v>3.9827823638916016E-2</v>
      </c>
      <c r="DD406" s="18">
        <v>1.5893465732895822E-3</v>
      </c>
      <c r="DE406" s="7">
        <v>5.0999999046325684</v>
      </c>
      <c r="DF406" s="7">
        <v>1006</v>
      </c>
      <c r="DG406" s="7">
        <v>38295.69921875</v>
      </c>
      <c r="DH406" s="3" t="s">
        <v>314</v>
      </c>
      <c r="DI406" s="3" t="s">
        <v>312</v>
      </c>
      <c r="DJ406" s="3" t="s">
        <v>314</v>
      </c>
      <c r="DK406" s="3">
        <v>38300</v>
      </c>
      <c r="DL406" s="3">
        <v>3400000</v>
      </c>
      <c r="DM406" s="3">
        <v>38500</v>
      </c>
      <c r="DN406" s="3">
        <v>0</v>
      </c>
      <c r="DO406" s="3">
        <v>24500</v>
      </c>
      <c r="DP406" s="3">
        <v>2863350</v>
      </c>
      <c r="DQ406" s="28">
        <v>38000</v>
      </c>
      <c r="DR406" s="32">
        <v>0</v>
      </c>
      <c r="DS406" s="32">
        <v>24500</v>
      </c>
      <c r="DT406" s="32" t="s">
        <v>33</v>
      </c>
      <c r="DU406" s="69">
        <v>44784</v>
      </c>
    </row>
    <row r="407" spans="1:125" x14ac:dyDescent="0.25">
      <c r="A407" t="s">
        <v>136</v>
      </c>
      <c r="B407" s="2">
        <v>44833</v>
      </c>
      <c r="C407" s="1">
        <v>300</v>
      </c>
      <c r="D407">
        <v>90</v>
      </c>
      <c r="M407" s="3"/>
      <c r="N407" s="3"/>
      <c r="O407" s="3">
        <v>39400</v>
      </c>
      <c r="P407" s="7">
        <v>1115.050048828125</v>
      </c>
      <c r="Q407" s="7">
        <v>1010</v>
      </c>
      <c r="R407" s="7">
        <v>1224.800048828125</v>
      </c>
      <c r="S407" s="7">
        <v>1101.9000244140625</v>
      </c>
      <c r="T407" s="11">
        <v>-28.001953125</v>
      </c>
      <c r="U407" s="11">
        <v>6985.40966796875</v>
      </c>
      <c r="V407" s="11">
        <v>-187.29296875</v>
      </c>
      <c r="W407" s="11">
        <v>34859.45703125</v>
      </c>
      <c r="X407" s="14">
        <v>-1.1164229363203049E-7</v>
      </c>
      <c r="Y407" s="14">
        <v>1.3978537754155695E-4</v>
      </c>
      <c r="Z407" s="14">
        <v>-1.5916302800178528E-6</v>
      </c>
      <c r="AA407" s="14">
        <v>9.2986953677609563E-4</v>
      </c>
      <c r="AB407" s="15">
        <v>2.6773250283440575E-11</v>
      </c>
      <c r="AC407" s="15">
        <v>3.9021020370455517E-7</v>
      </c>
      <c r="AD407" s="13">
        <v>5.2788257598876953E-3</v>
      </c>
      <c r="AE407" s="13">
        <v>-1.4949337244033813</v>
      </c>
      <c r="AF407" s="12">
        <v>-4.4219970703125E-2</v>
      </c>
      <c r="AG407" s="12">
        <v>9.9444828033447266</v>
      </c>
      <c r="AH407" s="13">
        <v>2.6306952349841595E-7</v>
      </c>
      <c r="AI407" s="13">
        <v>1.434990408597514E-4</v>
      </c>
      <c r="AJ407" s="11">
        <v>4.8729181289672852E-3</v>
      </c>
      <c r="AK407" s="11">
        <v>1.8322606086730957</v>
      </c>
      <c r="AL407" s="11">
        <v>-9.8293304443359375E-2</v>
      </c>
      <c r="AM407" s="11">
        <v>-27.543998718261719</v>
      </c>
      <c r="AN407" s="11">
        <v>1.4001131057739258E-4</v>
      </c>
      <c r="AO407" s="11">
        <v>-0.95771133899688721</v>
      </c>
      <c r="AP407" s="11">
        <v>30.910098552703857</v>
      </c>
      <c r="AQ407" s="11">
        <v>14075</v>
      </c>
      <c r="AR407" s="16">
        <v>-125</v>
      </c>
      <c r="AS407" s="16">
        <v>6350</v>
      </c>
      <c r="AT407" s="16">
        <v>30.910098552703857</v>
      </c>
      <c r="AU407" s="7">
        <v>0</v>
      </c>
      <c r="AV407" s="7">
        <v>1115.050048828125</v>
      </c>
      <c r="AW407" s="7">
        <v>4.5500001907348633</v>
      </c>
      <c r="AX407" s="7">
        <v>5.0000190734863281E-2</v>
      </c>
      <c r="AY407" s="11">
        <v>26.659548282623291</v>
      </c>
      <c r="AZ407" s="16">
        <v>722975</v>
      </c>
      <c r="BA407" s="16">
        <v>302275</v>
      </c>
      <c r="BB407" s="16">
        <v>12797225</v>
      </c>
      <c r="BC407" s="11">
        <v>2.2624578326940536E-2</v>
      </c>
      <c r="BD407" s="11">
        <v>1.9380636513233185E-4</v>
      </c>
      <c r="BE407" s="11">
        <v>-4.5500001907348633</v>
      </c>
      <c r="BF407" s="11">
        <v>-5.0000190734863281E-2</v>
      </c>
      <c r="BG407" s="11">
        <v>1.092227578163147</v>
      </c>
      <c r="BH407" s="11">
        <v>7.8616142272949219E-3</v>
      </c>
      <c r="BI407" s="13">
        <v>9.9180157121736556E-5</v>
      </c>
      <c r="BJ407" s="13">
        <v>5.8393925428390503E-7</v>
      </c>
      <c r="BK407" s="11">
        <v>26.659548282623291</v>
      </c>
      <c r="BL407" s="12">
        <v>22.400920867919922</v>
      </c>
      <c r="BM407" s="12">
        <v>-0.23457145690917969</v>
      </c>
      <c r="BN407" s="13">
        <v>-2.9044103622436523</v>
      </c>
      <c r="BO407" s="13">
        <v>2.6115655899047852E-2</v>
      </c>
      <c r="BP407" s="15">
        <v>3.6392373203852912E-7</v>
      </c>
      <c r="BQ407" s="15">
        <v>9.9137764664192218E-10</v>
      </c>
      <c r="BR407" s="14">
        <v>1.1300850892439485E-3</v>
      </c>
      <c r="BS407" s="14">
        <v>-2.7462374418973923E-7</v>
      </c>
      <c r="BT407" s="14">
        <v>1.465221430407837E-4</v>
      </c>
      <c r="BU407" s="14">
        <v>1.7901766113936901E-7</v>
      </c>
      <c r="BV407" s="11">
        <v>91163.1875</v>
      </c>
      <c r="BW407" s="11">
        <v>-1123.9140625</v>
      </c>
      <c r="BX407" s="11">
        <v>14747.2392578125</v>
      </c>
      <c r="BY407" s="11">
        <v>-149.345703125</v>
      </c>
      <c r="BZ407" s="7">
        <v>5.75</v>
      </c>
      <c r="CA407" s="7">
        <v>10.350000381469727</v>
      </c>
      <c r="CB407" s="7">
        <v>4.25</v>
      </c>
      <c r="CC407" s="7">
        <v>4.5500001907348633</v>
      </c>
      <c r="CD407" s="7">
        <v>4.5999999046325684</v>
      </c>
      <c r="CE407" s="3">
        <v>11825</v>
      </c>
      <c r="CF407" s="7">
        <v>4.5500001907348633</v>
      </c>
      <c r="CG407" s="3">
        <v>150</v>
      </c>
      <c r="CH407" s="7">
        <v>6.690000057220459</v>
      </c>
      <c r="CI407" s="7">
        <v>1108</v>
      </c>
      <c r="CJ407" s="3">
        <v>25</v>
      </c>
      <c r="CK407" s="7">
        <v>1104.699951171875</v>
      </c>
      <c r="CL407" s="3">
        <v>25</v>
      </c>
      <c r="CM407" s="7">
        <v>1105.3900146484375</v>
      </c>
      <c r="CN407" s="10">
        <v>44783.638194444444</v>
      </c>
      <c r="CO407" s="10">
        <v>44783.638194444444</v>
      </c>
      <c r="CP407" s="7">
        <v>38295.69921875</v>
      </c>
      <c r="CQ407" s="17" t="s">
        <v>321</v>
      </c>
      <c r="CR407" s="10">
        <v>44783.638194444444</v>
      </c>
      <c r="CS407" s="12">
        <v>2.6836991310119629E-2</v>
      </c>
      <c r="CT407" s="18">
        <v>8.6898177048980369E-4</v>
      </c>
      <c r="CU407" s="3">
        <v>6475</v>
      </c>
      <c r="CV407" s="18">
        <v>-1.9305019305019305E-2</v>
      </c>
      <c r="CW407" s="7">
        <v>1115.050048828125</v>
      </c>
      <c r="CX407" s="18">
        <v>0</v>
      </c>
      <c r="CY407" s="7">
        <v>4.5500001907348633</v>
      </c>
      <c r="CZ407" s="18">
        <v>1.1111153496636285E-2</v>
      </c>
      <c r="DA407" s="3">
        <v>420700</v>
      </c>
      <c r="DB407" s="18">
        <v>0.71850487283099596</v>
      </c>
      <c r="DC407" s="11">
        <v>3.6740303039550781E-2</v>
      </c>
      <c r="DD407" s="18">
        <v>1.3800311021934973E-3</v>
      </c>
      <c r="DE407" s="7">
        <v>4.5500001907348633</v>
      </c>
      <c r="DF407" s="7">
        <v>1115.050048828125</v>
      </c>
      <c r="DG407" s="7">
        <v>38295.69921875</v>
      </c>
      <c r="DH407" s="3" t="s">
        <v>314</v>
      </c>
      <c r="DI407" s="3" t="s">
        <v>312</v>
      </c>
      <c r="DJ407" s="3" t="s">
        <v>314</v>
      </c>
      <c r="DK407" s="3">
        <v>38300</v>
      </c>
      <c r="DL407" s="3">
        <v>3400000</v>
      </c>
      <c r="DM407" s="3">
        <v>38500</v>
      </c>
      <c r="DN407" s="3">
        <v>0</v>
      </c>
      <c r="DO407" s="3">
        <v>24500</v>
      </c>
      <c r="DP407" s="3">
        <v>2863350</v>
      </c>
      <c r="DQ407" s="28">
        <v>38000</v>
      </c>
      <c r="DR407" s="32">
        <v>0</v>
      </c>
      <c r="DS407" s="32">
        <v>24500</v>
      </c>
      <c r="DT407" s="32" t="s">
        <v>33</v>
      </c>
      <c r="DU407" s="69">
        <v>44784</v>
      </c>
    </row>
    <row r="408" spans="1:125" x14ac:dyDescent="0.25">
      <c r="A408" t="s">
        <v>136</v>
      </c>
      <c r="B408" s="2">
        <v>44861</v>
      </c>
      <c r="C408" s="1">
        <v>300</v>
      </c>
      <c r="D408">
        <v>90</v>
      </c>
      <c r="M408" s="3"/>
      <c r="N408" s="3"/>
      <c r="O408" s="3">
        <v>39500</v>
      </c>
      <c r="P408" s="7">
        <v>1206.25</v>
      </c>
      <c r="Q408" s="7">
        <v>1107.800048828125</v>
      </c>
      <c r="R408" s="7">
        <v>1347.550048828125</v>
      </c>
      <c r="S408" s="7">
        <v>1214.4000244140625</v>
      </c>
      <c r="T408" s="11">
        <v>-889.34765625</v>
      </c>
      <c r="U408" s="11">
        <v>35521.7734375</v>
      </c>
      <c r="V408" s="11">
        <v>-7261.390625</v>
      </c>
      <c r="W408" s="11">
        <v>243617.046875</v>
      </c>
      <c r="X408" s="14">
        <v>7.7720324043184519E-7</v>
      </c>
      <c r="Y408" s="14">
        <v>1.154269339167513E-4</v>
      </c>
      <c r="Z408" s="14">
        <v>3.0206283554434776E-6</v>
      </c>
      <c r="AA408" s="14">
        <v>9.3990226741880178E-4</v>
      </c>
      <c r="AB408" s="15">
        <v>2.0192487681924831E-9</v>
      </c>
      <c r="AC408" s="15">
        <v>2.4412938159912301E-7</v>
      </c>
      <c r="AD408" s="13">
        <v>0.14394378662109375</v>
      </c>
      <c r="AE408" s="13">
        <v>-6.3892402648925781</v>
      </c>
      <c r="AF408" s="12">
        <v>-1.3606071472167969</v>
      </c>
      <c r="AG408" s="12">
        <v>52.026519775390625</v>
      </c>
      <c r="AH408" s="13">
        <v>8.3349004853516817E-7</v>
      </c>
      <c r="AI408" s="13">
        <v>5.4700514738215134E-5</v>
      </c>
      <c r="AJ408" s="11">
        <v>1.0630905628204346E-2</v>
      </c>
      <c r="AK408" s="11">
        <v>0.57057410478591919</v>
      </c>
      <c r="AL408" s="11">
        <v>-0.15483522415161133</v>
      </c>
      <c r="AM408" s="11">
        <v>-7.0070710182189941</v>
      </c>
      <c r="AN408" s="11">
        <v>2.2691488265991211E-4</v>
      </c>
      <c r="AO408" s="11">
        <v>-0.98938608169555664</v>
      </c>
      <c r="AP408" s="11">
        <v>25.251379609107971</v>
      </c>
      <c r="AQ408" s="11">
        <v>217550</v>
      </c>
      <c r="AR408" s="16">
        <v>-425</v>
      </c>
      <c r="AS408" s="16">
        <v>12700</v>
      </c>
      <c r="AT408" s="16">
        <v>25.251379609107971</v>
      </c>
      <c r="AU408" s="7">
        <v>0</v>
      </c>
      <c r="AV408" s="7">
        <v>1206.25</v>
      </c>
      <c r="AW408" s="7">
        <v>3.7999999523162842</v>
      </c>
      <c r="AX408" s="7">
        <v>0</v>
      </c>
      <c r="AY408" s="11">
        <v>27.880731225013733</v>
      </c>
      <c r="AZ408" s="16">
        <v>1981450</v>
      </c>
      <c r="BA408" s="16">
        <v>263900</v>
      </c>
      <c r="BB408" s="16">
        <v>21470250</v>
      </c>
      <c r="BC408" s="11">
        <v>1.852889358997345E-2</v>
      </c>
      <c r="BD408" s="11">
        <v>5.6996941566467285E-7</v>
      </c>
      <c r="BE408" s="11">
        <v>-3.7999999523162842</v>
      </c>
      <c r="BF408" s="11">
        <v>0</v>
      </c>
      <c r="BG408" s="11">
        <v>0.92220228910446167</v>
      </c>
      <c r="BH408" s="11">
        <v>5.4836273193359375E-6</v>
      </c>
      <c r="BI408" s="13">
        <v>8.0072648415807635E-5</v>
      </c>
      <c r="BJ408" s="13">
        <v>4.8748916015028954E-9</v>
      </c>
      <c r="BK408" s="11">
        <v>27.880731225013733</v>
      </c>
      <c r="BL408" s="12">
        <v>26.41874885559082</v>
      </c>
      <c r="BM408" s="12">
        <v>-4.76837158203125E-4</v>
      </c>
      <c r="BN408" s="13">
        <v>-3.5822486877441406</v>
      </c>
      <c r="BO408" s="13">
        <v>-3.8623809814453125E-5</v>
      </c>
      <c r="BP408" s="15">
        <v>2.9255039635245339E-7</v>
      </c>
      <c r="BQ408" s="15">
        <v>2.6290081223123707E-11</v>
      </c>
      <c r="BR408" s="14">
        <v>9.7032630583271384E-4</v>
      </c>
      <c r="BS408" s="14">
        <v>5.7683791965246201E-8</v>
      </c>
      <c r="BT408" s="14">
        <v>1.3157134526409209E-4</v>
      </c>
      <c r="BU408" s="14">
        <v>1.1612428352236748E-8</v>
      </c>
      <c r="BV408" s="11">
        <v>111960.1953125</v>
      </c>
      <c r="BW408" s="11">
        <v>-4.96875</v>
      </c>
      <c r="BX408" s="11">
        <v>18648.373046875</v>
      </c>
      <c r="BY408" s="11">
        <v>-0.248046875</v>
      </c>
      <c r="BZ408" s="7">
        <v>7.9000000953674316</v>
      </c>
      <c r="CA408" s="7">
        <v>8.3999996185302734</v>
      </c>
      <c r="CB408" s="7">
        <v>3.7000000476837158</v>
      </c>
      <c r="CC408" s="7">
        <v>3.7999999523162842</v>
      </c>
      <c r="CD408" s="7">
        <v>3.8499999046325684</v>
      </c>
      <c r="CE408" s="3">
        <v>5025</v>
      </c>
      <c r="CF408" s="7">
        <v>3.7999999523162842</v>
      </c>
      <c r="CG408" s="3">
        <v>10550</v>
      </c>
      <c r="CH408" s="7">
        <v>6.0100002288818359</v>
      </c>
      <c r="CI408" s="7">
        <v>1207.25</v>
      </c>
      <c r="CJ408" s="3">
        <v>50</v>
      </c>
      <c r="CK408" s="7">
        <v>1205.199951171875</v>
      </c>
      <c r="CL408" s="3">
        <v>50</v>
      </c>
      <c r="CM408" s="7">
        <v>1187.219970703125</v>
      </c>
      <c r="CN408" s="10">
        <v>44783.638194444444</v>
      </c>
      <c r="CO408" s="10">
        <v>44783.638194444444</v>
      </c>
      <c r="CP408" s="7">
        <v>38295.69921875</v>
      </c>
      <c r="CQ408" s="17" t="s">
        <v>321</v>
      </c>
      <c r="CR408" s="10">
        <v>44783.638194444444</v>
      </c>
      <c r="CS408" s="12">
        <v>8.8068842887878418E-2</v>
      </c>
      <c r="CT408" s="18">
        <v>3.4998909207966549E-3</v>
      </c>
      <c r="CU408" s="3">
        <v>13125</v>
      </c>
      <c r="CV408" s="18">
        <v>-3.2380952380952378E-2</v>
      </c>
      <c r="CW408" s="7">
        <v>1206.25</v>
      </c>
      <c r="CX408" s="18">
        <v>0</v>
      </c>
      <c r="CY408" s="7">
        <v>3.7999999523162842</v>
      </c>
      <c r="CZ408" s="18">
        <v>0</v>
      </c>
      <c r="DA408" s="3">
        <v>1717550</v>
      </c>
      <c r="DB408" s="18">
        <v>0.15364909318506012</v>
      </c>
      <c r="DC408" s="11">
        <v>-4.0233135223388672E-4</v>
      </c>
      <c r="DD408" s="18">
        <v>-1.4430236540437371E-5</v>
      </c>
      <c r="DE408" s="7">
        <v>3.7999999523162842</v>
      </c>
      <c r="DF408" s="7">
        <v>1206.25</v>
      </c>
      <c r="DG408" s="7">
        <v>38295.69921875</v>
      </c>
      <c r="DH408" s="3" t="s">
        <v>312</v>
      </c>
      <c r="DI408" s="3" t="s">
        <v>312</v>
      </c>
      <c r="DJ408" s="3" t="s">
        <v>314</v>
      </c>
      <c r="DK408" s="3">
        <v>38300</v>
      </c>
      <c r="DL408" s="3">
        <v>3400000</v>
      </c>
      <c r="DM408" s="3">
        <v>38500</v>
      </c>
      <c r="DN408" s="3">
        <v>0</v>
      </c>
      <c r="DO408" s="3">
        <v>24500</v>
      </c>
      <c r="DP408" s="3">
        <v>2863350</v>
      </c>
      <c r="DQ408" s="28">
        <v>38000</v>
      </c>
      <c r="DR408" s="32">
        <v>0</v>
      </c>
      <c r="DS408" s="32">
        <v>24500</v>
      </c>
      <c r="DT408" s="32" t="s">
        <v>33</v>
      </c>
      <c r="DU408" s="69">
        <v>44784</v>
      </c>
    </row>
    <row r="409" spans="1:125" x14ac:dyDescent="0.25">
      <c r="A409" t="s">
        <v>137</v>
      </c>
      <c r="B409" s="2">
        <v>44798</v>
      </c>
      <c r="C409" s="1">
        <v>650</v>
      </c>
      <c r="D409">
        <v>69</v>
      </c>
      <c r="M409" s="3"/>
      <c r="N409" s="3"/>
      <c r="O409" s="3">
        <v>39600</v>
      </c>
      <c r="P409" s="7">
        <v>1258.5999755859375</v>
      </c>
      <c r="Q409" s="7">
        <v>1217.4000244140625</v>
      </c>
      <c r="R409" s="7">
        <v>1429.5</v>
      </c>
      <c r="S409" s="7">
        <v>1347.25</v>
      </c>
      <c r="T409" s="11">
        <v>0</v>
      </c>
      <c r="U409" s="11">
        <v>0</v>
      </c>
      <c r="V409" s="11">
        <v>0</v>
      </c>
      <c r="W409" s="11">
        <v>0</v>
      </c>
      <c r="X409" s="14">
        <v>0</v>
      </c>
      <c r="Y409" s="14">
        <v>0</v>
      </c>
      <c r="Z409" s="14">
        <v>0</v>
      </c>
      <c r="AA409" s="14">
        <v>0</v>
      </c>
      <c r="AB409" s="15">
        <v>0</v>
      </c>
      <c r="AC409" s="15">
        <v>0</v>
      </c>
      <c r="AD409" s="13">
        <v>0</v>
      </c>
      <c r="AE409" s="13">
        <v>0</v>
      </c>
      <c r="AF409" s="12">
        <v>0</v>
      </c>
      <c r="AG409" s="12">
        <v>0</v>
      </c>
      <c r="AH409" s="13">
        <v>0</v>
      </c>
      <c r="AI409" s="13">
        <v>0</v>
      </c>
      <c r="AJ409" s="11">
        <v>0</v>
      </c>
      <c r="AK409" s="11">
        <v>0</v>
      </c>
      <c r="AL409" s="11">
        <v>0</v>
      </c>
      <c r="AM409" s="11">
        <v>0</v>
      </c>
      <c r="AN409" s="11">
        <v>0</v>
      </c>
      <c r="AO409" s="11">
        <v>0</v>
      </c>
      <c r="AP409" s="11">
        <v>0</v>
      </c>
      <c r="AQ409" s="11">
        <v>2650</v>
      </c>
      <c r="AR409" s="16">
        <v>175</v>
      </c>
      <c r="AS409" s="16">
        <v>1025</v>
      </c>
      <c r="AT409" s="16">
        <v>0</v>
      </c>
      <c r="AU409" s="7">
        <v>0</v>
      </c>
      <c r="AV409" s="7">
        <v>1258.5999755859375</v>
      </c>
      <c r="AW409" s="7">
        <v>3.3499999046325684</v>
      </c>
      <c r="AX409" s="7">
        <v>0</v>
      </c>
      <c r="AY409" s="11">
        <v>29.274344444274902</v>
      </c>
      <c r="AZ409" s="16">
        <v>433725</v>
      </c>
      <c r="BA409" s="16">
        <v>124600</v>
      </c>
      <c r="BB409" s="16">
        <v>5628725</v>
      </c>
      <c r="BC409" s="11">
        <v>1.5854842960834503E-2</v>
      </c>
      <c r="BD409" s="11">
        <v>4.5448541641235352E-7</v>
      </c>
      <c r="BE409" s="11">
        <v>-3.3499999046325684</v>
      </c>
      <c r="BF409" s="11">
        <v>0</v>
      </c>
      <c r="BG409" s="11">
        <v>0.80720442533493042</v>
      </c>
      <c r="BH409" s="11">
        <v>3.4570693969726563E-6</v>
      </c>
      <c r="BI409" s="13">
        <v>6.6751468693837523E-5</v>
      </c>
      <c r="BJ409" s="13">
        <v>3.7907739169895649E-9</v>
      </c>
      <c r="BK409" s="11">
        <v>29.274344444274902</v>
      </c>
      <c r="BL409" s="12">
        <v>29.617046356201172</v>
      </c>
      <c r="BM409" s="12">
        <v>-5.37872314453125E-4</v>
      </c>
      <c r="BN409" s="13">
        <v>-4.2166566848754883</v>
      </c>
      <c r="BO409" s="13">
        <v>-5.53131103515625E-5</v>
      </c>
      <c r="BP409" s="15">
        <v>2.3924778247419454E-7</v>
      </c>
      <c r="BQ409" s="15">
        <v>2.0094148567295633E-11</v>
      </c>
      <c r="BR409" s="14">
        <v>8.3170377183705568E-4</v>
      </c>
      <c r="BS409" s="14">
        <v>4.5693013817071915E-8</v>
      </c>
      <c r="BT409" s="14">
        <v>1.1841185187222436E-4</v>
      </c>
      <c r="BU409" s="14">
        <v>1.021544449031353E-8</v>
      </c>
      <c r="BV409" s="11">
        <v>129301.671875</v>
      </c>
      <c r="BW409" s="11">
        <v>-5.671875</v>
      </c>
      <c r="BX409" s="11">
        <v>22370.080078125</v>
      </c>
      <c r="BY409" s="11">
        <v>-0.236328125</v>
      </c>
      <c r="BZ409" s="7">
        <v>6</v>
      </c>
      <c r="CA409" s="7">
        <v>7.0999999046325684</v>
      </c>
      <c r="CB409" s="7">
        <v>3.2000000476837158</v>
      </c>
      <c r="CC409" s="7">
        <v>3.3499999046325684</v>
      </c>
      <c r="CD409" s="7">
        <v>3.4000000953674316</v>
      </c>
      <c r="CE409" s="3">
        <v>3225</v>
      </c>
      <c r="CF409" s="7">
        <v>3.3499999046325684</v>
      </c>
      <c r="CG409" s="3">
        <v>225</v>
      </c>
      <c r="CH409" s="7">
        <v>5.2100000381469727</v>
      </c>
      <c r="CI409" s="7">
        <v>1309.1500244140625</v>
      </c>
      <c r="CJ409" s="3">
        <v>25</v>
      </c>
      <c r="CK409" s="7">
        <v>1303</v>
      </c>
      <c r="CL409" s="3">
        <v>75</v>
      </c>
      <c r="CM409" s="7">
        <v>1336.0400390625</v>
      </c>
      <c r="CN409" s="10">
        <v>44783.638194444444</v>
      </c>
      <c r="CO409" s="10">
        <v>44783.638194444444</v>
      </c>
      <c r="CP409" s="7">
        <v>38295.69921875</v>
      </c>
      <c r="CQ409" s="17" t="s">
        <v>321</v>
      </c>
      <c r="CR409" s="10">
        <v>44783.638194444444</v>
      </c>
      <c r="CS409" s="12">
        <v>0</v>
      </c>
      <c r="CT409" s="18">
        <v>0</v>
      </c>
      <c r="CU409" s="3">
        <v>850</v>
      </c>
      <c r="CV409" s="18">
        <v>0.20588235294117646</v>
      </c>
      <c r="CW409" s="7">
        <v>1258.5999755859375</v>
      </c>
      <c r="CX409" s="18">
        <v>0</v>
      </c>
      <c r="CY409" s="7">
        <v>3.3499999046325684</v>
      </c>
      <c r="CZ409" s="18">
        <v>0</v>
      </c>
      <c r="DA409" s="3">
        <v>309125</v>
      </c>
      <c r="DB409" s="18">
        <v>0.4030731904569349</v>
      </c>
      <c r="DC409" s="11">
        <v>-3.4868717193603516E-4</v>
      </c>
      <c r="DD409" s="18">
        <v>-1.1910873680908916E-5</v>
      </c>
      <c r="DE409" s="7">
        <v>3.3499999046325684</v>
      </c>
      <c r="DF409" s="7">
        <v>1258.5999755859375</v>
      </c>
      <c r="DG409" s="7">
        <v>38295.69921875</v>
      </c>
      <c r="DH409" s="3" t="s">
        <v>312</v>
      </c>
      <c r="DI409" s="3" t="s">
        <v>312</v>
      </c>
      <c r="DJ409" s="3" t="s">
        <v>314</v>
      </c>
      <c r="DK409" s="3">
        <v>38300</v>
      </c>
      <c r="DL409" s="3">
        <v>3400000</v>
      </c>
      <c r="DM409" s="3">
        <v>38500</v>
      </c>
      <c r="DN409" s="3">
        <v>0</v>
      </c>
      <c r="DO409" s="3">
        <v>24500</v>
      </c>
      <c r="DP409" s="3">
        <v>2863350</v>
      </c>
      <c r="DQ409" s="28">
        <v>38000</v>
      </c>
      <c r="DR409" s="32">
        <v>0</v>
      </c>
      <c r="DS409" s="32">
        <v>24500</v>
      </c>
      <c r="DT409" s="32" t="s">
        <v>33</v>
      </c>
      <c r="DU409" s="69">
        <v>44784</v>
      </c>
    </row>
    <row r="410" spans="1:125" x14ac:dyDescent="0.25">
      <c r="A410" t="s">
        <v>137</v>
      </c>
      <c r="B410" s="2">
        <v>44833</v>
      </c>
      <c r="C410" s="1">
        <v>650</v>
      </c>
      <c r="D410">
        <v>69</v>
      </c>
      <c r="M410" s="3"/>
      <c r="N410" s="3"/>
      <c r="O410" s="3">
        <v>39700</v>
      </c>
      <c r="P410" s="7">
        <v>1401.8499755859375</v>
      </c>
      <c r="Q410" s="7">
        <v>1325.75</v>
      </c>
      <c r="R410" s="7">
        <v>1502.25</v>
      </c>
      <c r="S410" s="7">
        <v>1432.550048828125</v>
      </c>
      <c r="T410" s="11">
        <v>0</v>
      </c>
      <c r="U410" s="11">
        <v>0</v>
      </c>
      <c r="V410" s="11">
        <v>0</v>
      </c>
      <c r="W410" s="11">
        <v>0</v>
      </c>
      <c r="X410" s="14">
        <v>0</v>
      </c>
      <c r="Y410" s="14">
        <v>0</v>
      </c>
      <c r="Z410" s="14">
        <v>0</v>
      </c>
      <c r="AA410" s="14">
        <v>0</v>
      </c>
      <c r="AB410" s="15">
        <v>0</v>
      </c>
      <c r="AC410" s="15">
        <v>0</v>
      </c>
      <c r="AD410" s="13">
        <v>0</v>
      </c>
      <c r="AE410" s="13">
        <v>0</v>
      </c>
      <c r="AF410" s="12">
        <v>0</v>
      </c>
      <c r="AG410" s="12">
        <v>0</v>
      </c>
      <c r="AH410" s="13">
        <v>0</v>
      </c>
      <c r="AI410" s="13">
        <v>0</v>
      </c>
      <c r="AJ410" s="11">
        <v>0</v>
      </c>
      <c r="AK410" s="11">
        <v>0</v>
      </c>
      <c r="AL410" s="11">
        <v>0</v>
      </c>
      <c r="AM410" s="11">
        <v>0</v>
      </c>
      <c r="AN410" s="11">
        <v>0</v>
      </c>
      <c r="AO410" s="11">
        <v>0</v>
      </c>
      <c r="AP410" s="11">
        <v>0</v>
      </c>
      <c r="AQ410" s="11">
        <v>1575</v>
      </c>
      <c r="AR410" s="16">
        <v>225</v>
      </c>
      <c r="AS410" s="16">
        <v>900</v>
      </c>
      <c r="AT410" s="16">
        <v>0</v>
      </c>
      <c r="AU410" s="7">
        <v>0</v>
      </c>
      <c r="AV410" s="7">
        <v>1401.8499755859375</v>
      </c>
      <c r="AW410" s="7">
        <v>2.9500000476837158</v>
      </c>
      <c r="AX410" s="7">
        <v>-4.999995231628418E-2</v>
      </c>
      <c r="AY410" s="11">
        <v>30.609458684921265</v>
      </c>
      <c r="AZ410" s="16">
        <v>512325</v>
      </c>
      <c r="BA410" s="16">
        <v>198075</v>
      </c>
      <c r="BB410" s="16">
        <v>4580875</v>
      </c>
      <c r="BC410" s="11">
        <v>1.3595863245427608E-2</v>
      </c>
      <c r="BD410" s="11">
        <v>-1.7804466187953949E-4</v>
      </c>
      <c r="BE410" s="11">
        <v>-2.9500000476837158</v>
      </c>
      <c r="BF410" s="11">
        <v>4.999995231628418E-2</v>
      </c>
      <c r="BG410" s="11">
        <v>0.70722126960754395</v>
      </c>
      <c r="BH410" s="11">
        <v>-7.9979896545410156E-3</v>
      </c>
      <c r="BI410" s="13">
        <v>5.5932188843144104E-5</v>
      </c>
      <c r="BJ410" s="13">
        <v>-5.0008020480163395E-7</v>
      </c>
      <c r="BK410" s="11">
        <v>30.609458684921265</v>
      </c>
      <c r="BL410" s="12">
        <v>33.247425079345703</v>
      </c>
      <c r="BM410" s="12">
        <v>0.52123260498046875</v>
      </c>
      <c r="BN410" s="13">
        <v>-4.9494051933288574</v>
      </c>
      <c r="BO410" s="13">
        <v>-6.6567420959472656E-2</v>
      </c>
      <c r="BP410" s="15">
        <v>1.9711907839337073E-7</v>
      </c>
      <c r="BQ410" s="15">
        <v>-8.3683460161410039E-10</v>
      </c>
      <c r="BR410" s="14">
        <v>7.152864127419889E-4</v>
      </c>
      <c r="BS410" s="14">
        <v>-6.0512684285640717E-7</v>
      </c>
      <c r="BT410" s="14">
        <v>1.0648169700289145E-4</v>
      </c>
      <c r="BU410" s="14">
        <v>-3.3128162613138556E-7</v>
      </c>
      <c r="BV410" s="11">
        <v>149253.4375</v>
      </c>
      <c r="BW410" s="11">
        <v>2675.34375</v>
      </c>
      <c r="BX410" s="11">
        <v>26739.814453125</v>
      </c>
      <c r="BY410" s="11">
        <v>399.453125</v>
      </c>
      <c r="BZ410" s="7">
        <v>5.9000000953674316</v>
      </c>
      <c r="CA410" s="7">
        <v>6.4499998092651367</v>
      </c>
      <c r="CB410" s="7">
        <v>2.8499999046325684</v>
      </c>
      <c r="CC410" s="7">
        <v>2.9500000476837158</v>
      </c>
      <c r="CD410" s="7">
        <v>3</v>
      </c>
      <c r="CE410" s="3">
        <v>2100</v>
      </c>
      <c r="CF410" s="7">
        <v>2.9500000476837158</v>
      </c>
      <c r="CG410" s="3">
        <v>850</v>
      </c>
      <c r="CH410" s="7">
        <v>4.6399998664855957</v>
      </c>
      <c r="CI410" s="7">
        <v>1406.800048828125</v>
      </c>
      <c r="CJ410" s="3">
        <v>50</v>
      </c>
      <c r="CK410" s="7">
        <v>1402.25</v>
      </c>
      <c r="CL410" s="3">
        <v>75</v>
      </c>
      <c r="CM410" s="7">
        <v>1427.6199951171875</v>
      </c>
      <c r="CN410" s="10">
        <v>44783.638194444444</v>
      </c>
      <c r="CO410" s="10">
        <v>44783.638194444444</v>
      </c>
      <c r="CP410" s="7">
        <v>38295.69921875</v>
      </c>
      <c r="CQ410" s="17" t="s">
        <v>321</v>
      </c>
      <c r="CR410" s="10">
        <v>44783.638194444444</v>
      </c>
      <c r="CS410" s="12">
        <v>0</v>
      </c>
      <c r="CT410" s="18">
        <v>0</v>
      </c>
      <c r="CU410" s="3">
        <v>675</v>
      </c>
      <c r="CV410" s="18">
        <v>0.33333333333333331</v>
      </c>
      <c r="CW410" s="7">
        <v>1401.8499755859375</v>
      </c>
      <c r="CX410" s="18">
        <v>0</v>
      </c>
      <c r="CY410" s="7">
        <v>2.9500000476837158</v>
      </c>
      <c r="CZ410" s="18">
        <v>-1.6666650772094727E-2</v>
      </c>
      <c r="DA410" s="3">
        <v>314250</v>
      </c>
      <c r="DB410" s="18">
        <v>0.63031026252983291</v>
      </c>
      <c r="DC410" s="11">
        <v>-7.0601701736450195E-2</v>
      </c>
      <c r="DD410" s="18">
        <v>-2.3012243407171972E-3</v>
      </c>
      <c r="DE410" s="7">
        <v>2.9500000476837158</v>
      </c>
      <c r="DF410" s="7">
        <v>1401.8499755859375</v>
      </c>
      <c r="DG410" s="7">
        <v>38295.69921875</v>
      </c>
      <c r="DH410" s="3" t="s">
        <v>313</v>
      </c>
      <c r="DI410" s="3" t="s">
        <v>312</v>
      </c>
      <c r="DJ410" s="3" t="s">
        <v>314</v>
      </c>
      <c r="DK410" s="3">
        <v>38300</v>
      </c>
      <c r="DL410" s="3">
        <v>3400000</v>
      </c>
      <c r="DM410" s="3">
        <v>38500</v>
      </c>
      <c r="DN410" s="3">
        <v>0</v>
      </c>
      <c r="DO410" s="3">
        <v>24500</v>
      </c>
      <c r="DP410" s="3">
        <v>2863350</v>
      </c>
      <c r="DQ410" s="28">
        <v>38000</v>
      </c>
      <c r="DR410" s="32">
        <v>0</v>
      </c>
      <c r="DS410" s="32">
        <v>24500</v>
      </c>
      <c r="DT410" s="32" t="s">
        <v>33</v>
      </c>
      <c r="DU410" s="69">
        <v>44784</v>
      </c>
    </row>
    <row r="411" spans="1:125" x14ac:dyDescent="0.25">
      <c r="A411" t="s">
        <v>137</v>
      </c>
      <c r="B411" s="2">
        <v>44861</v>
      </c>
      <c r="C411" s="1">
        <v>650</v>
      </c>
      <c r="D411">
        <v>69</v>
      </c>
      <c r="M411" s="3"/>
      <c r="N411" s="3"/>
      <c r="O411" s="3">
        <v>39800</v>
      </c>
      <c r="P411" s="7">
        <v>1581.75</v>
      </c>
      <c r="Q411" s="7">
        <v>1449.25</v>
      </c>
      <c r="R411" s="7">
        <v>1623.199951171875</v>
      </c>
      <c r="S411" s="7">
        <v>1550.5999755859375</v>
      </c>
      <c r="T411" s="11">
        <v>-10.0638427734375</v>
      </c>
      <c r="U411" s="11">
        <v>1804.0360107421875</v>
      </c>
      <c r="V411" s="11">
        <v>-32.33544921875</v>
      </c>
      <c r="W411" s="11">
        <v>3436.633544921875</v>
      </c>
      <c r="X411" s="14">
        <v>-4.4595799408853054E-7</v>
      </c>
      <c r="Y411" s="14">
        <v>2.8580609068740159E-5</v>
      </c>
      <c r="Z411" s="14">
        <v>-1.6579069779254496E-6</v>
      </c>
      <c r="AA411" s="14">
        <v>9.4448863819707185E-5</v>
      </c>
      <c r="AB411" s="15">
        <v>-4.4832404455519281E-10</v>
      </c>
      <c r="AC411" s="15">
        <v>1.4380955803972029E-7</v>
      </c>
      <c r="AD411" s="13">
        <v>2.2991597652435303E-3</v>
      </c>
      <c r="AE411" s="13">
        <v>-0.44483312964439392</v>
      </c>
      <c r="AF411" s="12">
        <v>-1.0434985160827637E-2</v>
      </c>
      <c r="AG411" s="12">
        <v>1.4700170755386353</v>
      </c>
      <c r="AH411" s="13">
        <v>1.889857230708003E-7</v>
      </c>
      <c r="AI411" s="13">
        <v>1.6279390547424555E-4</v>
      </c>
      <c r="AJ411" s="11">
        <v>1.262664794921875E-2</v>
      </c>
      <c r="AK411" s="11">
        <v>4.1845407485961914</v>
      </c>
      <c r="AL411" s="11">
        <v>-0.62401580810546875</v>
      </c>
      <c r="AM411" s="11">
        <v>-126.62590026855469</v>
      </c>
      <c r="AN411" s="11">
        <v>5.4079294204711914E-4</v>
      </c>
      <c r="AO411" s="11">
        <v>-0.87497454881668091</v>
      </c>
      <c r="AP411" s="11">
        <v>62.223464250564575</v>
      </c>
      <c r="AQ411" s="11">
        <v>300</v>
      </c>
      <c r="AR411" s="16">
        <v>0</v>
      </c>
      <c r="AS411" s="16">
        <v>125</v>
      </c>
      <c r="AT411" s="16">
        <v>62.223464250564575</v>
      </c>
      <c r="AU411" s="7">
        <v>0</v>
      </c>
      <c r="AV411" s="7">
        <v>1581.75</v>
      </c>
      <c r="AW411" s="7">
        <v>2.7999999523162842</v>
      </c>
      <c r="AX411" s="7">
        <v>0</v>
      </c>
      <c r="AY411" s="11">
        <v>32.220342755317688</v>
      </c>
      <c r="AZ411" s="16">
        <v>447700</v>
      </c>
      <c r="BA411" s="16">
        <v>12800</v>
      </c>
      <c r="BB411" s="16">
        <v>4037725</v>
      </c>
      <c r="BC411" s="11">
        <v>1.2391692027449608E-2</v>
      </c>
      <c r="BD411" s="11">
        <v>3.119930624961853E-7</v>
      </c>
      <c r="BE411" s="11">
        <v>-2.7999999523162842</v>
      </c>
      <c r="BF411" s="11">
        <v>0</v>
      </c>
      <c r="BG411" s="11">
        <v>0.65272748470306396</v>
      </c>
      <c r="BH411" s="11">
        <v>1.0132789611816406E-6</v>
      </c>
      <c r="BI411" s="13">
        <v>4.9041773308999836E-5</v>
      </c>
      <c r="BJ411" s="13">
        <v>2.4483597371727228E-9</v>
      </c>
      <c r="BK411" s="11">
        <v>32.220342755317688</v>
      </c>
      <c r="BL411" s="12">
        <v>34.789012908935547</v>
      </c>
      <c r="BM411" s="12">
        <v>-6.40869140625E-4</v>
      </c>
      <c r="BN411" s="13">
        <v>-5.451444149017334</v>
      </c>
      <c r="BO411" s="13">
        <v>-9.2029571533203125E-5</v>
      </c>
      <c r="BP411" s="15">
        <v>1.6682749048868573E-7</v>
      </c>
      <c r="BQ411" s="15">
        <v>1.2335021892795339E-11</v>
      </c>
      <c r="BR411" s="14">
        <v>6.20602339040488E-4</v>
      </c>
      <c r="BS411" s="14">
        <v>2.9045622795820236E-8</v>
      </c>
      <c r="BT411" s="14">
        <v>9.7248499514535069E-5</v>
      </c>
      <c r="BU411" s="14">
        <v>7.9890014603734016E-9</v>
      </c>
      <c r="BV411" s="11">
        <v>158719.5</v>
      </c>
      <c r="BW411" s="11">
        <v>-6.84375</v>
      </c>
      <c r="BX411" s="11">
        <v>29769.873046875</v>
      </c>
      <c r="BY411" s="11">
        <v>-0.1875</v>
      </c>
      <c r="BZ411" s="7">
        <v>4.25</v>
      </c>
      <c r="CA411" s="7">
        <v>5.5500001907348633</v>
      </c>
      <c r="CB411" s="7">
        <v>2.7000000476837158</v>
      </c>
      <c r="CC411" s="7">
        <v>2.7999999523162842</v>
      </c>
      <c r="CD411" s="7">
        <v>2.7999999523162842</v>
      </c>
      <c r="CE411" s="3">
        <v>925</v>
      </c>
      <c r="CF411" s="7">
        <v>2.75</v>
      </c>
      <c r="CG411" s="3">
        <v>500</v>
      </c>
      <c r="CH411" s="7">
        <v>4.2300000190734863</v>
      </c>
      <c r="CI411" s="7">
        <v>1508.6500244140625</v>
      </c>
      <c r="CJ411" s="3">
        <v>25</v>
      </c>
      <c r="CK411" s="7">
        <v>1501.699951171875</v>
      </c>
      <c r="CL411" s="3">
        <v>75</v>
      </c>
      <c r="CM411" s="7">
        <v>1563.2900390625</v>
      </c>
      <c r="CN411" s="10">
        <v>44783.638194444444</v>
      </c>
      <c r="CO411" s="10">
        <v>44783.638194444444</v>
      </c>
      <c r="CP411" s="7">
        <v>38295.69921875</v>
      </c>
      <c r="CQ411" s="17" t="s">
        <v>321</v>
      </c>
      <c r="CR411" s="10">
        <v>44783.638194444444</v>
      </c>
      <c r="CS411" s="12">
        <v>0.11655688285827637</v>
      </c>
      <c r="CT411" s="18">
        <v>1.8767136828790544E-3</v>
      </c>
      <c r="CU411" s="3">
        <v>125</v>
      </c>
      <c r="CV411" s="18">
        <v>0</v>
      </c>
      <c r="CW411" s="7">
        <v>1581.75</v>
      </c>
      <c r="CX411" s="18">
        <v>0</v>
      </c>
      <c r="CY411" s="7">
        <v>2.7999999523162842</v>
      </c>
      <c r="CZ411" s="18">
        <v>0</v>
      </c>
      <c r="DA411" s="3">
        <v>434900</v>
      </c>
      <c r="DB411" s="18">
        <v>2.943205334559669E-2</v>
      </c>
      <c r="DC411" s="11">
        <v>-2.5331974029541016E-4</v>
      </c>
      <c r="DD411" s="18">
        <v>-7.8620438835240969E-6</v>
      </c>
      <c r="DE411" s="7">
        <v>2.7999999523162842</v>
      </c>
      <c r="DF411" s="7">
        <v>1581.75</v>
      </c>
      <c r="DG411" s="7">
        <v>38295.69921875</v>
      </c>
      <c r="DH411" s="3" t="s">
        <v>312</v>
      </c>
      <c r="DI411" s="3" t="s">
        <v>312</v>
      </c>
      <c r="DJ411" s="3" t="s">
        <v>314</v>
      </c>
      <c r="DK411" s="3">
        <v>38300</v>
      </c>
      <c r="DL411" s="3">
        <v>3400000</v>
      </c>
      <c r="DM411" s="3">
        <v>38500</v>
      </c>
      <c r="DN411" s="3">
        <v>0</v>
      </c>
      <c r="DO411" s="3">
        <v>24500</v>
      </c>
      <c r="DP411" s="3">
        <v>2863350</v>
      </c>
      <c r="DQ411" s="28">
        <v>38000</v>
      </c>
      <c r="DR411" s="32">
        <v>0</v>
      </c>
      <c r="DS411" s="32">
        <v>24500</v>
      </c>
      <c r="DT411" s="32" t="s">
        <v>33</v>
      </c>
      <c r="DU411" s="69">
        <v>44784</v>
      </c>
    </row>
    <row r="412" spans="1:125" x14ac:dyDescent="0.25">
      <c r="A412" t="s">
        <v>138</v>
      </c>
      <c r="B412" s="2">
        <v>44798</v>
      </c>
      <c r="C412" s="1">
        <v>800</v>
      </c>
      <c r="D412">
        <v>74</v>
      </c>
      <c r="M412" s="3"/>
      <c r="N412" s="3"/>
      <c r="O412" s="3">
        <v>39900</v>
      </c>
      <c r="P412" s="7">
        <v>1563.3499755859375</v>
      </c>
      <c r="Q412" s="7">
        <v>1541.25</v>
      </c>
      <c r="R412" s="7">
        <v>1700</v>
      </c>
      <c r="S412" s="7">
        <v>1541.25</v>
      </c>
      <c r="T412" s="11">
        <v>0</v>
      </c>
      <c r="U412" s="11">
        <v>0</v>
      </c>
      <c r="V412" s="11">
        <v>0</v>
      </c>
      <c r="W412" s="11">
        <v>0</v>
      </c>
      <c r="X412" s="14">
        <v>0</v>
      </c>
      <c r="Y412" s="14">
        <v>0</v>
      </c>
      <c r="Z412" s="14">
        <v>0</v>
      </c>
      <c r="AA412" s="14">
        <v>0</v>
      </c>
      <c r="AB412" s="15">
        <v>0</v>
      </c>
      <c r="AC412" s="15">
        <v>0</v>
      </c>
      <c r="AD412" s="13">
        <v>0</v>
      </c>
      <c r="AE412" s="13">
        <v>0</v>
      </c>
      <c r="AF412" s="12">
        <v>0</v>
      </c>
      <c r="AG412" s="12">
        <v>0</v>
      </c>
      <c r="AH412" s="13">
        <v>0</v>
      </c>
      <c r="AI412" s="13">
        <v>0</v>
      </c>
      <c r="AJ412" s="11">
        <v>0</v>
      </c>
      <c r="AK412" s="11">
        <v>0</v>
      </c>
      <c r="AL412" s="11">
        <v>0</v>
      </c>
      <c r="AM412" s="11">
        <v>0</v>
      </c>
      <c r="AN412" s="11">
        <v>0</v>
      </c>
      <c r="AO412" s="11">
        <v>0</v>
      </c>
      <c r="AP412" s="11">
        <v>0</v>
      </c>
      <c r="AQ412" s="11">
        <v>525</v>
      </c>
      <c r="AR412" s="16">
        <v>-75</v>
      </c>
      <c r="AS412" s="16">
        <v>225</v>
      </c>
      <c r="AT412" s="16">
        <v>0</v>
      </c>
      <c r="AU412" s="7">
        <v>0</v>
      </c>
      <c r="AV412" s="7">
        <v>1563.3499755859375</v>
      </c>
      <c r="AW412" s="7">
        <v>2.5999999046325684</v>
      </c>
      <c r="AX412" s="7">
        <v>0</v>
      </c>
      <c r="AY412" s="11">
        <v>33.698338270187378</v>
      </c>
      <c r="AZ412" s="16">
        <v>299075</v>
      </c>
      <c r="BA412" s="16">
        <v>60025</v>
      </c>
      <c r="BB412" s="16">
        <v>2122625</v>
      </c>
      <c r="BC412" s="11">
        <v>1.1135032400488853E-2</v>
      </c>
      <c r="BD412" s="11">
        <v>2.9047951102256775E-6</v>
      </c>
      <c r="BE412" s="11">
        <v>-2.5999999046325684</v>
      </c>
      <c r="BF412" s="11">
        <v>0</v>
      </c>
      <c r="BG412" s="11">
        <v>0.59489285945892334</v>
      </c>
      <c r="BH412" s="11">
        <v>1.3065338134765625E-4</v>
      </c>
      <c r="BI412" s="13">
        <v>4.2734121961984783E-5</v>
      </c>
      <c r="BJ412" s="13">
        <v>2.212982508353889E-8</v>
      </c>
      <c r="BK412" s="11">
        <v>33.698338270187378</v>
      </c>
      <c r="BL412" s="12">
        <v>37.171535491943359</v>
      </c>
      <c r="BM412" s="12">
        <v>4.2724609375E-4</v>
      </c>
      <c r="BN412" s="13">
        <v>-6.0917148590087891</v>
      </c>
      <c r="BO412" s="13">
        <v>1.3957023620605469E-3</v>
      </c>
      <c r="BP412" s="15">
        <v>1.4149853200251528E-7</v>
      </c>
      <c r="BQ412" s="15">
        <v>1.0858514087885851E-10</v>
      </c>
      <c r="BR412" s="14">
        <v>5.4091651691123843E-4</v>
      </c>
      <c r="BS412" s="14">
        <v>3.7421705201268196E-7</v>
      </c>
      <c r="BT412" s="14">
        <v>8.8646032963879406E-5</v>
      </c>
      <c r="BU412" s="14">
        <v>4.0010490920394659E-8</v>
      </c>
      <c r="BV412" s="11">
        <v>172688.390625</v>
      </c>
      <c r="BW412" s="11">
        <v>-6.765625</v>
      </c>
      <c r="BX412" s="11">
        <v>33675.11328125</v>
      </c>
      <c r="BY412" s="11">
        <v>-8.9453125</v>
      </c>
      <c r="BZ412" s="7">
        <v>4.75</v>
      </c>
      <c r="CA412" s="7">
        <v>5.4000000953674316</v>
      </c>
      <c r="CB412" s="7">
        <v>2.3499999046325684</v>
      </c>
      <c r="CC412" s="7">
        <v>2.5999999046325684</v>
      </c>
      <c r="CD412" s="7">
        <v>2.6500000953674316</v>
      </c>
      <c r="CE412" s="3">
        <v>2550</v>
      </c>
      <c r="CF412" s="7">
        <v>2.5999999046325684</v>
      </c>
      <c r="CG412" s="3">
        <v>1250</v>
      </c>
      <c r="CH412" s="7">
        <v>3.8399999141693115</v>
      </c>
      <c r="CI412" s="7">
        <v>1621.5</v>
      </c>
      <c r="CJ412" s="3">
        <v>125</v>
      </c>
      <c r="CK412" s="7">
        <v>1588.949951171875</v>
      </c>
      <c r="CL412" s="3">
        <v>125</v>
      </c>
      <c r="CM412" s="7">
        <v>1645.280029296875</v>
      </c>
      <c r="CN412" s="10">
        <v>44783.638194444444</v>
      </c>
      <c r="CO412" s="10">
        <v>44783.638194444444</v>
      </c>
      <c r="CP412" s="7">
        <v>38295.69921875</v>
      </c>
      <c r="CQ412" s="17" t="s">
        <v>321</v>
      </c>
      <c r="CR412" s="10">
        <v>44783.638194444444</v>
      </c>
      <c r="CS412" s="12">
        <v>0</v>
      </c>
      <c r="CT412" s="18">
        <v>0</v>
      </c>
      <c r="CU412" s="3">
        <v>300</v>
      </c>
      <c r="CV412" s="18">
        <v>-0.25</v>
      </c>
      <c r="CW412" s="7">
        <v>1563.3499755859375</v>
      </c>
      <c r="CX412" s="18">
        <v>0</v>
      </c>
      <c r="CY412" s="7">
        <v>2.5999999046325684</v>
      </c>
      <c r="CZ412" s="18">
        <v>0</v>
      </c>
      <c r="DA412" s="3">
        <v>239050</v>
      </c>
      <c r="DB412" s="18">
        <v>0.25109809663250365</v>
      </c>
      <c r="DC412" s="11">
        <v>-9.5665454864501953E-3</v>
      </c>
      <c r="DD412" s="18">
        <v>-2.8380718228449041E-4</v>
      </c>
      <c r="DE412" s="7">
        <v>2.5999999046325684</v>
      </c>
      <c r="DF412" s="7">
        <v>1563.3499755859375</v>
      </c>
      <c r="DG412" s="7">
        <v>38295.69921875</v>
      </c>
      <c r="DH412" s="3" t="s">
        <v>312</v>
      </c>
      <c r="DI412" s="3" t="s">
        <v>312</v>
      </c>
      <c r="DJ412" s="3" t="s">
        <v>314</v>
      </c>
      <c r="DK412" s="3">
        <v>38300</v>
      </c>
      <c r="DL412" s="3">
        <v>3400000</v>
      </c>
      <c r="DM412" s="3">
        <v>38500</v>
      </c>
      <c r="DN412" s="3">
        <v>0</v>
      </c>
      <c r="DO412" s="3">
        <v>24500</v>
      </c>
      <c r="DP412" s="3">
        <v>2863350</v>
      </c>
      <c r="DQ412" s="28">
        <v>38000</v>
      </c>
      <c r="DR412" s="32">
        <v>0</v>
      </c>
      <c r="DS412" s="32">
        <v>24500</v>
      </c>
      <c r="DT412" s="32" t="s">
        <v>33</v>
      </c>
      <c r="DU412" s="69">
        <v>44784</v>
      </c>
    </row>
    <row r="413" spans="1:125" x14ac:dyDescent="0.25">
      <c r="A413" t="s">
        <v>138</v>
      </c>
      <c r="B413" s="2">
        <v>44833</v>
      </c>
      <c r="C413" s="1">
        <v>800</v>
      </c>
      <c r="D413">
        <v>74</v>
      </c>
      <c r="M413" s="3"/>
      <c r="N413" s="3"/>
      <c r="O413" s="3">
        <v>40000</v>
      </c>
      <c r="P413" s="7">
        <v>1698.75</v>
      </c>
      <c r="Q413" s="7">
        <v>1620</v>
      </c>
      <c r="R413" s="7">
        <v>1830</v>
      </c>
      <c r="S413" s="7">
        <v>1750.1500244140625</v>
      </c>
      <c r="T413" s="11">
        <v>0</v>
      </c>
      <c r="U413" s="11">
        <v>0</v>
      </c>
      <c r="V413" s="11">
        <v>0</v>
      </c>
      <c r="W413" s="11">
        <v>0</v>
      </c>
      <c r="X413" s="14">
        <v>0</v>
      </c>
      <c r="Y413" s="14">
        <v>0</v>
      </c>
      <c r="Z413" s="14">
        <v>0</v>
      </c>
      <c r="AA413" s="14">
        <v>0</v>
      </c>
      <c r="AB413" s="15">
        <v>0</v>
      </c>
      <c r="AC413" s="15">
        <v>0</v>
      </c>
      <c r="AD413" s="13">
        <v>0</v>
      </c>
      <c r="AE413" s="13">
        <v>0</v>
      </c>
      <c r="AF413" s="12">
        <v>0</v>
      </c>
      <c r="AG413" s="12">
        <v>0</v>
      </c>
      <c r="AH413" s="13">
        <v>0</v>
      </c>
      <c r="AI413" s="13">
        <v>0</v>
      </c>
      <c r="AJ413" s="11">
        <v>0</v>
      </c>
      <c r="AK413" s="11">
        <v>0</v>
      </c>
      <c r="AL413" s="11">
        <v>0</v>
      </c>
      <c r="AM413" s="11">
        <v>0</v>
      </c>
      <c r="AN413" s="11">
        <v>0</v>
      </c>
      <c r="AO413" s="11">
        <v>0</v>
      </c>
      <c r="AP413" s="11">
        <v>0</v>
      </c>
      <c r="AQ413" s="11">
        <v>12600</v>
      </c>
      <c r="AR413" s="16">
        <v>2175</v>
      </c>
      <c r="AS413" s="16">
        <v>5275</v>
      </c>
      <c r="AT413" s="16">
        <v>0</v>
      </c>
      <c r="AU413" s="7">
        <v>0</v>
      </c>
      <c r="AV413" s="7">
        <v>1698.75</v>
      </c>
      <c r="AW413" s="7">
        <v>2.5499999523162842</v>
      </c>
      <c r="AX413" s="7">
        <v>0</v>
      </c>
      <c r="AY413" s="11">
        <v>35.389646887779236</v>
      </c>
      <c r="AZ413" s="16">
        <v>2614150</v>
      </c>
      <c r="BA413" s="16">
        <v>474800</v>
      </c>
      <c r="BB413" s="16">
        <v>14022575</v>
      </c>
      <c r="BC413" s="11">
        <v>1.0471651330590248E-2</v>
      </c>
      <c r="BD413" s="11">
        <v>2.3376196622848511E-7</v>
      </c>
      <c r="BE413" s="11">
        <v>-2.5499999523162842</v>
      </c>
      <c r="BF413" s="11">
        <v>0</v>
      </c>
      <c r="BG413" s="11">
        <v>0.56390559673309326</v>
      </c>
      <c r="BH413" s="11">
        <v>-4.76837158203125E-7</v>
      </c>
      <c r="BI413" s="13">
        <v>3.8573994970647618E-5</v>
      </c>
      <c r="BJ413" s="13">
        <v>1.7134880181401968E-9</v>
      </c>
      <c r="BK413" s="11">
        <v>35.389646887779236</v>
      </c>
      <c r="BL413" s="12">
        <v>37.73101806640625</v>
      </c>
      <c r="BM413" s="12">
        <v>-7.05718994140625E-4</v>
      </c>
      <c r="BN413" s="13">
        <v>-6.4940271377563477</v>
      </c>
      <c r="BO413" s="13">
        <v>-1.2922286987304688E-4</v>
      </c>
      <c r="BP413" s="15">
        <v>1.2282261252494209E-7</v>
      </c>
      <c r="BQ413" s="15">
        <v>8.0859763329499401E-12</v>
      </c>
      <c r="BR413" s="14">
        <v>4.7685214667581022E-4</v>
      </c>
      <c r="BS413" s="14">
        <v>1.8975697457790375E-8</v>
      </c>
      <c r="BT413" s="14">
        <v>8.2072816439904273E-5</v>
      </c>
      <c r="BU413" s="14">
        <v>6.4392224885523319E-9</v>
      </c>
      <c r="BV413" s="11">
        <v>177068.4375</v>
      </c>
      <c r="BW413" s="11">
        <v>-7.5625</v>
      </c>
      <c r="BX413" s="11">
        <v>36145.98828125</v>
      </c>
      <c r="BY413" s="11">
        <v>-0.1015625</v>
      </c>
      <c r="BZ413" s="7">
        <v>3.2999999523162842</v>
      </c>
      <c r="CA413" s="7">
        <v>4.6500000953674316</v>
      </c>
      <c r="CB413" s="7">
        <v>2.4000000953674316</v>
      </c>
      <c r="CC413" s="7">
        <v>2.5499999523162842</v>
      </c>
      <c r="CD413" s="7">
        <v>2.5499999523162842</v>
      </c>
      <c r="CE413" s="3">
        <v>625</v>
      </c>
      <c r="CF413" s="7">
        <v>2.5</v>
      </c>
      <c r="CG413" s="3">
        <v>14100</v>
      </c>
      <c r="CH413" s="7">
        <v>3.6800000667572021</v>
      </c>
      <c r="CI413" s="7">
        <v>1706</v>
      </c>
      <c r="CJ413" s="3">
        <v>25</v>
      </c>
      <c r="CK413" s="7">
        <v>1701.449951171875</v>
      </c>
      <c r="CL413" s="3">
        <v>50</v>
      </c>
      <c r="CM413" s="7">
        <v>1695.77001953125</v>
      </c>
      <c r="CN413" s="10">
        <v>44783.638194444444</v>
      </c>
      <c r="CO413" s="10">
        <v>44783.638194444444</v>
      </c>
      <c r="CP413" s="7">
        <v>38295.69921875</v>
      </c>
      <c r="CQ413" s="17" t="s">
        <v>321</v>
      </c>
      <c r="CR413" s="10">
        <v>44783.638194444444</v>
      </c>
      <c r="CS413" s="12">
        <v>0</v>
      </c>
      <c r="CT413" s="18">
        <v>0</v>
      </c>
      <c r="CU413" s="3">
        <v>3100</v>
      </c>
      <c r="CV413" s="18">
        <v>0.70161290322580649</v>
      </c>
      <c r="CW413" s="7">
        <v>1698.75</v>
      </c>
      <c r="CX413" s="18">
        <v>0</v>
      </c>
      <c r="CY413" s="7">
        <v>2.5499999523162842</v>
      </c>
      <c r="CZ413" s="18">
        <v>0</v>
      </c>
      <c r="DA413" s="3">
        <v>2139350</v>
      </c>
      <c r="DB413" s="18">
        <v>0.22193656951877908</v>
      </c>
      <c r="DC413" s="11">
        <v>-1.6391277313232422E-4</v>
      </c>
      <c r="DD413" s="18">
        <v>-4.6316374522625545E-6</v>
      </c>
      <c r="DE413" s="7">
        <v>2.5499999523162842</v>
      </c>
      <c r="DF413" s="7">
        <v>1698.75</v>
      </c>
      <c r="DG413" s="7">
        <v>38295.69921875</v>
      </c>
      <c r="DH413" s="3" t="s">
        <v>312</v>
      </c>
      <c r="DI413" s="3" t="s">
        <v>312</v>
      </c>
      <c r="DJ413" s="3" t="s">
        <v>314</v>
      </c>
      <c r="DK413" s="3">
        <v>38300</v>
      </c>
      <c r="DL413" s="3">
        <v>3400000</v>
      </c>
      <c r="DM413" s="3">
        <v>38500</v>
      </c>
      <c r="DN413" s="3">
        <v>0</v>
      </c>
      <c r="DO413" s="3">
        <v>24500</v>
      </c>
      <c r="DP413" s="3">
        <v>2863350</v>
      </c>
      <c r="DQ413" s="28">
        <v>38000</v>
      </c>
      <c r="DR413" s="32">
        <v>0</v>
      </c>
      <c r="DS413" s="32">
        <v>24500</v>
      </c>
      <c r="DT413" s="32" t="s">
        <v>33</v>
      </c>
      <c r="DU413" s="69">
        <v>44784</v>
      </c>
    </row>
    <row r="414" spans="1:125" x14ac:dyDescent="0.25">
      <c r="A414" t="s">
        <v>138</v>
      </c>
      <c r="B414" s="2">
        <v>44861</v>
      </c>
      <c r="C414" s="1">
        <v>800</v>
      </c>
      <c r="D414">
        <v>74</v>
      </c>
      <c r="M414" s="3"/>
      <c r="N414" s="3"/>
      <c r="O414" s="3">
        <v>40100</v>
      </c>
      <c r="P414" s="7">
        <v>0</v>
      </c>
      <c r="Q414" s="7">
        <v>0</v>
      </c>
      <c r="R414" s="7">
        <v>0</v>
      </c>
      <c r="S414" s="7">
        <v>0</v>
      </c>
      <c r="T414" s="11">
        <v>0</v>
      </c>
      <c r="U414" s="11">
        <v>0</v>
      </c>
      <c r="V414" s="11">
        <v>0</v>
      </c>
      <c r="W414" s="11">
        <v>0</v>
      </c>
      <c r="X414" s="14">
        <v>0</v>
      </c>
      <c r="Y414" s="14">
        <v>0</v>
      </c>
      <c r="Z414" s="14">
        <v>0</v>
      </c>
      <c r="AA414" s="14">
        <v>0</v>
      </c>
      <c r="AB414" s="15">
        <v>0</v>
      </c>
      <c r="AC414" s="15">
        <v>0</v>
      </c>
      <c r="AD414" s="13">
        <v>0</v>
      </c>
      <c r="AE414" s="13">
        <v>0</v>
      </c>
      <c r="AF414" s="12">
        <v>0</v>
      </c>
      <c r="AG414" s="12">
        <v>0</v>
      </c>
      <c r="AH414" s="13">
        <v>0</v>
      </c>
      <c r="AI414" s="13">
        <v>0</v>
      </c>
      <c r="AJ414" s="11">
        <v>0</v>
      </c>
      <c r="AK414" s="11">
        <v>0</v>
      </c>
      <c r="AL414" s="11">
        <v>0</v>
      </c>
      <c r="AM414" s="11">
        <v>0</v>
      </c>
      <c r="AN414" s="11">
        <v>0</v>
      </c>
      <c r="AO414" s="11">
        <v>0</v>
      </c>
      <c r="AP414" s="11">
        <v>0</v>
      </c>
      <c r="AQ414" s="11">
        <v>0</v>
      </c>
      <c r="AR414" s="16">
        <v>0</v>
      </c>
      <c r="AS414" s="16">
        <v>0</v>
      </c>
      <c r="AT414" s="16">
        <v>0</v>
      </c>
      <c r="AU414" s="7">
        <v>0</v>
      </c>
      <c r="AV414" s="7">
        <v>0</v>
      </c>
      <c r="AW414" s="7">
        <v>2.3499999046325684</v>
      </c>
      <c r="AX414" s="7">
        <v>0</v>
      </c>
      <c r="AY414" s="11">
        <v>36.768266558647156</v>
      </c>
      <c r="AZ414" s="16">
        <v>100250</v>
      </c>
      <c r="BA414" s="16">
        <v>100250</v>
      </c>
      <c r="BB414" s="16">
        <v>956850</v>
      </c>
      <c r="BC414" s="11">
        <v>9.3981148675084114E-3</v>
      </c>
      <c r="BD414" s="11">
        <v>0</v>
      </c>
      <c r="BE414" s="11">
        <v>-2.3499999046325684</v>
      </c>
      <c r="BF414" s="11">
        <v>0</v>
      </c>
      <c r="BG414" s="11">
        <v>0.51310187578201294</v>
      </c>
      <c r="BH414" s="11">
        <v>0</v>
      </c>
      <c r="BI414" s="13">
        <v>3.3781194360926747E-5</v>
      </c>
      <c r="BJ414" s="13">
        <v>0</v>
      </c>
      <c r="BK414" s="11">
        <v>36.768266558647156</v>
      </c>
      <c r="BL414" s="12">
        <v>40.620712280273438</v>
      </c>
      <c r="BM414" s="12">
        <v>0</v>
      </c>
      <c r="BN414" s="13">
        <v>-7.2634215354919434</v>
      </c>
      <c r="BO414" s="13">
        <v>0</v>
      </c>
      <c r="BP414" s="15">
        <v>1.0532616556702123E-7</v>
      </c>
      <c r="BQ414" s="15">
        <v>0</v>
      </c>
      <c r="BR414" s="14">
        <v>4.1952621540986001E-4</v>
      </c>
      <c r="BS414" s="14">
        <v>0</v>
      </c>
      <c r="BT414" s="14">
        <v>7.5015814218204468E-5</v>
      </c>
      <c r="BU414" s="14">
        <v>0</v>
      </c>
      <c r="BV414" s="11">
        <v>193981.15625</v>
      </c>
      <c r="BW414" s="11">
        <v>0</v>
      </c>
      <c r="BX414" s="11">
        <v>40917.421875</v>
      </c>
      <c r="BY414" s="11">
        <v>0</v>
      </c>
      <c r="BZ414" s="7">
        <v>4.3499999046325684</v>
      </c>
      <c r="CA414" s="7">
        <v>4.4000000953674316</v>
      </c>
      <c r="CB414" s="7">
        <v>1.2000000476837158</v>
      </c>
      <c r="CC414" s="7">
        <v>2.3499999046325684</v>
      </c>
      <c r="CD414" s="7">
        <v>2.3499999046325684</v>
      </c>
      <c r="CE414" s="3">
        <v>1325</v>
      </c>
      <c r="CF414" s="7">
        <v>2.2999999523162842</v>
      </c>
      <c r="CG414" s="3">
        <v>100</v>
      </c>
      <c r="CH414" s="7">
        <v>3.380000114440918</v>
      </c>
      <c r="CI414" s="7">
        <v>1870</v>
      </c>
      <c r="CJ414" s="3">
        <v>125</v>
      </c>
      <c r="CK414" s="7">
        <v>1781.050048828125</v>
      </c>
      <c r="CL414" s="3">
        <v>50</v>
      </c>
      <c r="CM414" s="7">
        <v>0</v>
      </c>
      <c r="CN414" s="10">
        <v>44783.638194444444</v>
      </c>
      <c r="CO414" s="10">
        <v>44783.638194444444</v>
      </c>
      <c r="CP414" s="7">
        <v>38295.69921875</v>
      </c>
      <c r="CQ414" s="17" t="s">
        <v>321</v>
      </c>
      <c r="CR414" s="10">
        <v>44783.638194444444</v>
      </c>
      <c r="CS414" s="12">
        <v>0</v>
      </c>
      <c r="CT414" s="18">
        <v>0</v>
      </c>
      <c r="CU414" s="3">
        <v>0</v>
      </c>
      <c r="CV414" s="18">
        <v>0</v>
      </c>
      <c r="CW414" s="7">
        <v>0</v>
      </c>
      <c r="CX414" s="18">
        <v>0</v>
      </c>
      <c r="CY414" s="7">
        <v>2.3499999046325684</v>
      </c>
      <c r="CZ414" s="18">
        <v>0</v>
      </c>
      <c r="DA414" s="3">
        <v>0</v>
      </c>
      <c r="DB414" s="18">
        <v>0</v>
      </c>
      <c r="DC414" s="11">
        <v>0</v>
      </c>
      <c r="DD414" s="18">
        <v>0</v>
      </c>
      <c r="DE414" s="7">
        <v>2.3499999046325684</v>
      </c>
      <c r="DF414" s="7">
        <v>0</v>
      </c>
      <c r="DG414" s="7">
        <v>38295.69921875</v>
      </c>
      <c r="DH414" s="3" t="s">
        <v>312</v>
      </c>
      <c r="DI414" s="3" t="s">
        <v>312</v>
      </c>
      <c r="DJ414" s="3" t="s">
        <v>314</v>
      </c>
      <c r="DK414" s="3">
        <v>38300</v>
      </c>
      <c r="DL414" s="3">
        <v>3400000</v>
      </c>
      <c r="DM414" s="3">
        <v>38500</v>
      </c>
      <c r="DN414" s="3">
        <v>0</v>
      </c>
      <c r="DO414" s="3">
        <v>24500</v>
      </c>
      <c r="DP414" s="3">
        <v>2863350</v>
      </c>
      <c r="DQ414" s="28">
        <v>38000</v>
      </c>
      <c r="DR414" s="32">
        <v>0</v>
      </c>
      <c r="DS414" s="32">
        <v>24500</v>
      </c>
      <c r="DT414" s="32" t="s">
        <v>33</v>
      </c>
      <c r="DU414" s="69">
        <v>44784</v>
      </c>
    </row>
    <row r="415" spans="1:125" x14ac:dyDescent="0.25">
      <c r="A415" t="s">
        <v>139</v>
      </c>
      <c r="B415" s="2">
        <v>44781</v>
      </c>
      <c r="C415" s="1">
        <v>75</v>
      </c>
      <c r="D415">
        <v>138</v>
      </c>
      <c r="M415" s="3"/>
      <c r="N415" s="3"/>
      <c r="O415" s="3">
        <v>40200</v>
      </c>
      <c r="P415" s="7">
        <v>0</v>
      </c>
      <c r="Q415" s="7">
        <v>0</v>
      </c>
      <c r="R415" s="7">
        <v>0</v>
      </c>
      <c r="S415" s="7">
        <v>0</v>
      </c>
      <c r="T415" s="11">
        <v>0</v>
      </c>
      <c r="U415" s="11">
        <v>0</v>
      </c>
      <c r="V415" s="11">
        <v>0</v>
      </c>
      <c r="W415" s="11">
        <v>0</v>
      </c>
      <c r="X415" s="14">
        <v>0</v>
      </c>
      <c r="Y415" s="14">
        <v>0</v>
      </c>
      <c r="Z415" s="14">
        <v>0</v>
      </c>
      <c r="AA415" s="14">
        <v>0</v>
      </c>
      <c r="AB415" s="15">
        <v>0</v>
      </c>
      <c r="AC415" s="15">
        <v>0</v>
      </c>
      <c r="AD415" s="13">
        <v>0</v>
      </c>
      <c r="AE415" s="13">
        <v>0</v>
      </c>
      <c r="AF415" s="12">
        <v>0</v>
      </c>
      <c r="AG415" s="12">
        <v>0</v>
      </c>
      <c r="AH415" s="13">
        <v>0</v>
      </c>
      <c r="AI415" s="13">
        <v>0</v>
      </c>
      <c r="AJ415" s="11">
        <v>0</v>
      </c>
      <c r="AK415" s="11">
        <v>0</v>
      </c>
      <c r="AL415" s="11">
        <v>0</v>
      </c>
      <c r="AM415" s="11">
        <v>0</v>
      </c>
      <c r="AN415" s="11">
        <v>0</v>
      </c>
      <c r="AO415" s="11">
        <v>0</v>
      </c>
      <c r="AP415" s="11">
        <v>0</v>
      </c>
      <c r="AQ415" s="11">
        <v>0</v>
      </c>
      <c r="AR415" s="16">
        <v>0</v>
      </c>
      <c r="AS415" s="16">
        <v>0</v>
      </c>
      <c r="AT415" s="16">
        <v>0</v>
      </c>
      <c r="AU415" s="7">
        <v>0</v>
      </c>
      <c r="AV415" s="7">
        <v>0</v>
      </c>
      <c r="AW415" s="7">
        <v>2.25</v>
      </c>
      <c r="AX415" s="7">
        <v>0</v>
      </c>
      <c r="AY415" s="11">
        <v>38.295769691467285</v>
      </c>
      <c r="AZ415" s="16">
        <v>156300</v>
      </c>
      <c r="BA415" s="16">
        <v>156300</v>
      </c>
      <c r="BB415" s="16">
        <v>1322500</v>
      </c>
      <c r="BC415" s="11">
        <v>8.7106097489595413E-3</v>
      </c>
      <c r="BD415" s="11">
        <v>1.7601996660232544E-7</v>
      </c>
      <c r="BE415" s="11">
        <v>-2.25</v>
      </c>
      <c r="BF415" s="11">
        <v>0</v>
      </c>
      <c r="BG415" s="11">
        <v>0.48006510734558105</v>
      </c>
      <c r="BH415" s="11">
        <v>-1.2516975402832031E-6</v>
      </c>
      <c r="BI415" s="13">
        <v>3.0346862331498414E-5</v>
      </c>
      <c r="BJ415" s="13">
        <v>1.2150849215686321E-9</v>
      </c>
      <c r="BK415" s="11">
        <v>38.295769691467285</v>
      </c>
      <c r="BL415" s="12">
        <v>42.192935943603516</v>
      </c>
      <c r="BM415" s="12">
        <v>-7.97271728515625E-4</v>
      </c>
      <c r="BN415" s="13">
        <v>-7.8583226203918457</v>
      </c>
      <c r="BO415" s="13">
        <v>-1.7499923706054688E-4</v>
      </c>
      <c r="BP415" s="15">
        <v>9.1912191635401541E-8</v>
      </c>
      <c r="BQ415" s="15">
        <v>5.4711790653527714E-12</v>
      </c>
      <c r="BR415" s="14">
        <v>3.7258336669765413E-4</v>
      </c>
      <c r="BS415" s="14">
        <v>1.280568540096283E-8</v>
      </c>
      <c r="BT415" s="14">
        <v>6.9392670411616564E-5</v>
      </c>
      <c r="BU415" s="14">
        <v>5.2386894822120667E-9</v>
      </c>
      <c r="BV415" s="11">
        <v>203898.34375</v>
      </c>
      <c r="BW415" s="11">
        <v>-8.625</v>
      </c>
      <c r="BX415" s="11">
        <v>44635.84375</v>
      </c>
      <c r="BY415" s="11">
        <v>-1.171875E-2</v>
      </c>
      <c r="BZ415" s="7">
        <v>3.1500000953674316</v>
      </c>
      <c r="CA415" s="7">
        <v>4.8499999046325684</v>
      </c>
      <c r="CB415" s="7">
        <v>1.5499999523162842</v>
      </c>
      <c r="CC415" s="7">
        <v>2.25</v>
      </c>
      <c r="CD415" s="7">
        <v>2.25</v>
      </c>
      <c r="CE415" s="3">
        <v>50</v>
      </c>
      <c r="CF415" s="7">
        <v>2.2000000476837158</v>
      </c>
      <c r="CG415" s="3">
        <v>925</v>
      </c>
      <c r="CH415" s="7">
        <v>3.1700000762939453</v>
      </c>
      <c r="CI415" s="7">
        <v>1960.550048828125</v>
      </c>
      <c r="CJ415" s="3">
        <v>75</v>
      </c>
      <c r="CK415" s="7">
        <v>1890.800048828125</v>
      </c>
      <c r="CL415" s="3">
        <v>50</v>
      </c>
      <c r="CM415" s="7">
        <v>0</v>
      </c>
      <c r="CN415" s="10">
        <v>44783.638194444444</v>
      </c>
      <c r="CO415" s="10">
        <v>44783.638194444444</v>
      </c>
      <c r="CP415" s="7">
        <v>38295.69921875</v>
      </c>
      <c r="CQ415" s="17" t="s">
        <v>321</v>
      </c>
      <c r="CR415" s="10">
        <v>44783.638194444444</v>
      </c>
      <c r="CS415" s="12">
        <v>0</v>
      </c>
      <c r="CT415" s="18">
        <v>0</v>
      </c>
      <c r="CU415" s="3">
        <v>0</v>
      </c>
      <c r="CV415" s="18">
        <v>0</v>
      </c>
      <c r="CW415" s="7">
        <v>0</v>
      </c>
      <c r="CX415" s="18">
        <v>0</v>
      </c>
      <c r="CY415" s="7">
        <v>2.25</v>
      </c>
      <c r="CZ415" s="18">
        <v>0</v>
      </c>
      <c r="DA415" s="3">
        <v>0</v>
      </c>
      <c r="DB415" s="18">
        <v>0</v>
      </c>
      <c r="DC415" s="11">
        <v>-7.7486038208007813E-5</v>
      </c>
      <c r="DD415" s="18">
        <v>-2.0233535466352644E-6</v>
      </c>
      <c r="DE415" s="7">
        <v>2.25</v>
      </c>
      <c r="DF415" s="7">
        <v>0</v>
      </c>
      <c r="DG415" s="7">
        <v>38295.69921875</v>
      </c>
      <c r="DH415" s="3" t="s">
        <v>312</v>
      </c>
      <c r="DI415" s="3" t="s">
        <v>312</v>
      </c>
      <c r="DJ415" s="3" t="s">
        <v>314</v>
      </c>
      <c r="DK415" s="3">
        <v>38300</v>
      </c>
      <c r="DL415" s="3">
        <v>3400000</v>
      </c>
      <c r="DM415" s="3">
        <v>38500</v>
      </c>
      <c r="DN415" s="3">
        <v>0</v>
      </c>
      <c r="DO415" s="3">
        <v>24500</v>
      </c>
      <c r="DP415" s="3">
        <v>2863350</v>
      </c>
      <c r="DQ415" s="28">
        <v>38000</v>
      </c>
      <c r="DR415" s="32">
        <v>0</v>
      </c>
      <c r="DS415" s="32">
        <v>24500</v>
      </c>
      <c r="DT415" s="32" t="s">
        <v>33</v>
      </c>
      <c r="DU415" s="69">
        <v>44784</v>
      </c>
    </row>
    <row r="416" spans="1:125" x14ac:dyDescent="0.25">
      <c r="A416" t="s">
        <v>139</v>
      </c>
      <c r="B416" s="2">
        <v>44789</v>
      </c>
      <c r="C416" s="1">
        <v>75</v>
      </c>
      <c r="D416">
        <v>138</v>
      </c>
      <c r="M416" s="3"/>
      <c r="N416" s="3"/>
      <c r="O416" s="3">
        <v>40300</v>
      </c>
      <c r="P416" s="7">
        <v>0</v>
      </c>
      <c r="Q416" s="7">
        <v>0</v>
      </c>
      <c r="R416" s="7">
        <v>0</v>
      </c>
      <c r="S416" s="7">
        <v>0</v>
      </c>
      <c r="T416" s="11">
        <v>0</v>
      </c>
      <c r="U416" s="11">
        <v>0</v>
      </c>
      <c r="V416" s="11">
        <v>0</v>
      </c>
      <c r="W416" s="11">
        <v>0</v>
      </c>
      <c r="X416" s="14">
        <v>0</v>
      </c>
      <c r="Y416" s="14">
        <v>0</v>
      </c>
      <c r="Z416" s="14">
        <v>0</v>
      </c>
      <c r="AA416" s="14">
        <v>0</v>
      </c>
      <c r="AB416" s="15">
        <v>0</v>
      </c>
      <c r="AC416" s="15">
        <v>0</v>
      </c>
      <c r="AD416" s="13">
        <v>0</v>
      </c>
      <c r="AE416" s="13">
        <v>0</v>
      </c>
      <c r="AF416" s="12">
        <v>0</v>
      </c>
      <c r="AG416" s="12">
        <v>0</v>
      </c>
      <c r="AH416" s="13">
        <v>0</v>
      </c>
      <c r="AI416" s="13">
        <v>0</v>
      </c>
      <c r="AJ416" s="11">
        <v>0</v>
      </c>
      <c r="AK416" s="11">
        <v>0</v>
      </c>
      <c r="AL416" s="11">
        <v>0</v>
      </c>
      <c r="AM416" s="11">
        <v>0</v>
      </c>
      <c r="AN416" s="11">
        <v>0</v>
      </c>
      <c r="AO416" s="11">
        <v>0</v>
      </c>
      <c r="AP416" s="11">
        <v>0</v>
      </c>
      <c r="AQ416" s="11">
        <v>0</v>
      </c>
      <c r="AR416" s="16">
        <v>0</v>
      </c>
      <c r="AS416" s="16">
        <v>0</v>
      </c>
      <c r="AT416" s="16">
        <v>0</v>
      </c>
      <c r="AU416" s="7">
        <v>0</v>
      </c>
      <c r="AV416" s="7">
        <v>0</v>
      </c>
      <c r="AW416" s="7">
        <v>0</v>
      </c>
      <c r="AX416" s="7">
        <v>0</v>
      </c>
      <c r="AY416" s="11">
        <v>0</v>
      </c>
      <c r="AZ416" s="16">
        <v>0</v>
      </c>
      <c r="BA416" s="16">
        <v>0</v>
      </c>
      <c r="BB416" s="16">
        <v>0</v>
      </c>
      <c r="BC416" s="11">
        <v>0</v>
      </c>
      <c r="BD416" s="11">
        <v>0</v>
      </c>
      <c r="BE416" s="11">
        <v>0</v>
      </c>
      <c r="BF416" s="11">
        <v>0</v>
      </c>
      <c r="BG416" s="11">
        <v>0</v>
      </c>
      <c r="BH416" s="11">
        <v>0</v>
      </c>
      <c r="BI416" s="13">
        <v>0</v>
      </c>
      <c r="BJ416" s="13">
        <v>0</v>
      </c>
      <c r="BK416" s="11">
        <v>0</v>
      </c>
      <c r="BL416" s="12">
        <v>0</v>
      </c>
      <c r="BM416" s="12">
        <v>0</v>
      </c>
      <c r="BN416" s="13">
        <v>0</v>
      </c>
      <c r="BO416" s="13">
        <v>0</v>
      </c>
      <c r="BP416" s="15">
        <v>0</v>
      </c>
      <c r="BQ416" s="15">
        <v>0</v>
      </c>
      <c r="BR416" s="14">
        <v>0</v>
      </c>
      <c r="BS416" s="14">
        <v>0</v>
      </c>
      <c r="BT416" s="14">
        <v>0</v>
      </c>
      <c r="BU416" s="14">
        <v>0</v>
      </c>
      <c r="BV416" s="11">
        <v>0</v>
      </c>
      <c r="BW416" s="11">
        <v>0</v>
      </c>
      <c r="BX416" s="11">
        <v>0</v>
      </c>
      <c r="BY416" s="11">
        <v>0</v>
      </c>
      <c r="BZ416" s="7">
        <v>0</v>
      </c>
      <c r="CA416" s="7">
        <v>0</v>
      </c>
      <c r="CB416" s="7">
        <v>0</v>
      </c>
      <c r="CC416" s="7">
        <v>0</v>
      </c>
      <c r="CD416" s="7">
        <v>0</v>
      </c>
      <c r="CE416" s="3">
        <v>0</v>
      </c>
      <c r="CF416" s="7">
        <v>0</v>
      </c>
      <c r="CG416" s="3">
        <v>0</v>
      </c>
      <c r="CH416" s="7">
        <v>0</v>
      </c>
      <c r="CI416" s="7">
        <v>0</v>
      </c>
      <c r="CJ416" s="3">
        <v>0</v>
      </c>
      <c r="CK416" s="7">
        <v>0</v>
      </c>
      <c r="CL416" s="3">
        <v>0</v>
      </c>
      <c r="CM416" s="7">
        <v>0</v>
      </c>
      <c r="CN416" s="10">
        <v>44783.636701388888</v>
      </c>
      <c r="CO416" s="10">
        <v>44783.636701388888</v>
      </c>
      <c r="CP416" s="7">
        <v>38295.69921875</v>
      </c>
      <c r="CQ416" s="17" t="s">
        <v>321</v>
      </c>
      <c r="CR416" s="10">
        <v>44783.638194444444</v>
      </c>
      <c r="CS416" s="12">
        <v>0</v>
      </c>
      <c r="CT416" s="18"/>
      <c r="CU416" s="3">
        <v>0</v>
      </c>
      <c r="CV416" s="18"/>
      <c r="CW416" s="7">
        <v>0</v>
      </c>
      <c r="CX416" s="18"/>
      <c r="CY416" s="7">
        <v>0</v>
      </c>
      <c r="CZ416" s="18"/>
      <c r="DA416" s="3">
        <v>0</v>
      </c>
      <c r="DB416" s="18"/>
      <c r="DC416" s="11">
        <v>0</v>
      </c>
      <c r="DD416" s="18"/>
      <c r="DE416" s="7">
        <v>0</v>
      </c>
      <c r="DF416" s="7">
        <v>0</v>
      </c>
      <c r="DG416" s="7">
        <v>38295.69921875</v>
      </c>
      <c r="DH416" s="3" t="s">
        <v>312</v>
      </c>
      <c r="DI416" s="3" t="s">
        <v>312</v>
      </c>
      <c r="DJ416" s="3" t="s">
        <v>314</v>
      </c>
      <c r="DK416" s="3">
        <v>38300</v>
      </c>
      <c r="DL416" s="3">
        <v>3400000</v>
      </c>
      <c r="DM416" s="3">
        <v>38500</v>
      </c>
      <c r="DN416" s="3">
        <v>0</v>
      </c>
      <c r="DO416" s="3">
        <v>24500</v>
      </c>
      <c r="DP416" s="3">
        <v>2863350</v>
      </c>
      <c r="DQ416" s="28">
        <v>38000</v>
      </c>
      <c r="DR416" s="32">
        <v>0</v>
      </c>
      <c r="DS416" s="32">
        <v>24500</v>
      </c>
      <c r="DT416" s="32" t="s">
        <v>33</v>
      </c>
      <c r="DU416" s="69">
        <v>44784</v>
      </c>
    </row>
    <row r="417" spans="1:125" x14ac:dyDescent="0.25">
      <c r="A417" t="s">
        <v>139</v>
      </c>
      <c r="B417" s="2">
        <v>44796</v>
      </c>
      <c r="C417" s="1">
        <v>75</v>
      </c>
      <c r="D417">
        <v>138</v>
      </c>
      <c r="M417" s="3"/>
      <c r="N417" s="3"/>
      <c r="O417" s="3">
        <v>40400</v>
      </c>
      <c r="P417" s="7">
        <v>0</v>
      </c>
      <c r="Q417" s="7">
        <v>0</v>
      </c>
      <c r="R417" s="7">
        <v>0</v>
      </c>
      <c r="S417" s="7">
        <v>0</v>
      </c>
      <c r="T417" s="11">
        <v>0</v>
      </c>
      <c r="U417" s="11">
        <v>0</v>
      </c>
      <c r="V417" s="11">
        <v>0</v>
      </c>
      <c r="W417" s="11">
        <v>0</v>
      </c>
      <c r="X417" s="14">
        <v>0</v>
      </c>
      <c r="Y417" s="14">
        <v>0</v>
      </c>
      <c r="Z417" s="14">
        <v>0</v>
      </c>
      <c r="AA417" s="14">
        <v>0</v>
      </c>
      <c r="AB417" s="15">
        <v>0</v>
      </c>
      <c r="AC417" s="15">
        <v>0</v>
      </c>
      <c r="AD417" s="13">
        <v>0</v>
      </c>
      <c r="AE417" s="13">
        <v>0</v>
      </c>
      <c r="AF417" s="12">
        <v>0</v>
      </c>
      <c r="AG417" s="12">
        <v>0</v>
      </c>
      <c r="AH417" s="13">
        <v>0</v>
      </c>
      <c r="AI417" s="13">
        <v>0</v>
      </c>
      <c r="AJ417" s="11">
        <v>0</v>
      </c>
      <c r="AK417" s="11">
        <v>0</v>
      </c>
      <c r="AL417" s="11">
        <v>0</v>
      </c>
      <c r="AM417" s="11">
        <v>0</v>
      </c>
      <c r="AN417" s="11">
        <v>0</v>
      </c>
      <c r="AO417" s="11">
        <v>0</v>
      </c>
      <c r="AP417" s="11">
        <v>0</v>
      </c>
      <c r="AQ417" s="11">
        <v>0</v>
      </c>
      <c r="AR417" s="16">
        <v>0</v>
      </c>
      <c r="AS417" s="16">
        <v>0</v>
      </c>
      <c r="AT417" s="16">
        <v>0</v>
      </c>
      <c r="AU417" s="7">
        <v>0</v>
      </c>
      <c r="AV417" s="7">
        <v>0</v>
      </c>
      <c r="AW417" s="7">
        <v>0</v>
      </c>
      <c r="AX417" s="7">
        <v>0</v>
      </c>
      <c r="AY417" s="11">
        <v>0</v>
      </c>
      <c r="AZ417" s="16">
        <v>0</v>
      </c>
      <c r="BA417" s="16">
        <v>0</v>
      </c>
      <c r="BB417" s="16">
        <v>0</v>
      </c>
      <c r="BC417" s="11">
        <v>0</v>
      </c>
      <c r="BD417" s="11">
        <v>0</v>
      </c>
      <c r="BE417" s="11">
        <v>0</v>
      </c>
      <c r="BF417" s="11">
        <v>0</v>
      </c>
      <c r="BG417" s="11">
        <v>0</v>
      </c>
      <c r="BH417" s="11">
        <v>0</v>
      </c>
      <c r="BI417" s="13">
        <v>0</v>
      </c>
      <c r="BJ417" s="13">
        <v>0</v>
      </c>
      <c r="BK417" s="11">
        <v>0</v>
      </c>
      <c r="BL417" s="12">
        <v>0</v>
      </c>
      <c r="BM417" s="12">
        <v>0</v>
      </c>
      <c r="BN417" s="13">
        <v>0</v>
      </c>
      <c r="BO417" s="13">
        <v>0</v>
      </c>
      <c r="BP417" s="15">
        <v>0</v>
      </c>
      <c r="BQ417" s="15">
        <v>0</v>
      </c>
      <c r="BR417" s="14">
        <v>0</v>
      </c>
      <c r="BS417" s="14">
        <v>0</v>
      </c>
      <c r="BT417" s="14">
        <v>0</v>
      </c>
      <c r="BU417" s="14">
        <v>0</v>
      </c>
      <c r="BV417" s="11">
        <v>0</v>
      </c>
      <c r="BW417" s="11">
        <v>0</v>
      </c>
      <c r="BX417" s="11">
        <v>0</v>
      </c>
      <c r="BY417" s="11">
        <v>0</v>
      </c>
      <c r="BZ417" s="7">
        <v>0</v>
      </c>
      <c r="CA417" s="7">
        <v>0</v>
      </c>
      <c r="CB417" s="7">
        <v>0</v>
      </c>
      <c r="CC417" s="7">
        <v>0</v>
      </c>
      <c r="CD417" s="7">
        <v>0</v>
      </c>
      <c r="CE417" s="3">
        <v>0</v>
      </c>
      <c r="CF417" s="7">
        <v>0</v>
      </c>
      <c r="CG417" s="3">
        <v>0</v>
      </c>
      <c r="CH417" s="7">
        <v>0</v>
      </c>
      <c r="CI417" s="7">
        <v>0</v>
      </c>
      <c r="CJ417" s="3">
        <v>0</v>
      </c>
      <c r="CK417" s="7">
        <v>0</v>
      </c>
      <c r="CL417" s="3">
        <v>0</v>
      </c>
      <c r="CM417" s="7">
        <v>0</v>
      </c>
      <c r="CN417" s="10">
        <v>44783.636701388888</v>
      </c>
      <c r="CO417" s="10">
        <v>44783.636701388888</v>
      </c>
      <c r="CP417" s="7">
        <v>38295.69921875</v>
      </c>
      <c r="CQ417" s="17" t="s">
        <v>321</v>
      </c>
      <c r="CR417" s="10">
        <v>44783.638194444444</v>
      </c>
      <c r="CS417" s="12">
        <v>0</v>
      </c>
      <c r="CT417" s="18"/>
      <c r="CU417" s="3">
        <v>0</v>
      </c>
      <c r="CV417" s="18"/>
      <c r="CW417" s="7">
        <v>0</v>
      </c>
      <c r="CX417" s="18"/>
      <c r="CY417" s="7">
        <v>0</v>
      </c>
      <c r="CZ417" s="18"/>
      <c r="DA417" s="3">
        <v>0</v>
      </c>
      <c r="DB417" s="18"/>
      <c r="DC417" s="11">
        <v>0</v>
      </c>
      <c r="DD417" s="18"/>
      <c r="DE417" s="7">
        <v>0</v>
      </c>
      <c r="DF417" s="7">
        <v>0</v>
      </c>
      <c r="DG417" s="7">
        <v>38295.69921875</v>
      </c>
      <c r="DH417" s="3" t="s">
        <v>312</v>
      </c>
      <c r="DI417" s="3" t="s">
        <v>312</v>
      </c>
      <c r="DJ417" s="3" t="s">
        <v>314</v>
      </c>
      <c r="DK417" s="3">
        <v>38300</v>
      </c>
      <c r="DL417" s="3">
        <v>3400000</v>
      </c>
      <c r="DM417" s="3">
        <v>38500</v>
      </c>
      <c r="DN417" s="3">
        <v>0</v>
      </c>
      <c r="DO417" s="3">
        <v>24500</v>
      </c>
      <c r="DP417" s="3">
        <v>2863350</v>
      </c>
      <c r="DQ417" s="28">
        <v>38000</v>
      </c>
      <c r="DR417" s="32">
        <v>0</v>
      </c>
      <c r="DS417" s="32">
        <v>24500</v>
      </c>
      <c r="DT417" s="32" t="s">
        <v>33</v>
      </c>
      <c r="DU417" s="69">
        <v>44784</v>
      </c>
    </row>
    <row r="418" spans="1:125" x14ac:dyDescent="0.25">
      <c r="A418" t="s">
        <v>139</v>
      </c>
      <c r="B418" s="2">
        <v>44803</v>
      </c>
      <c r="C418" s="1">
        <v>75</v>
      </c>
      <c r="D418">
        <v>138</v>
      </c>
      <c r="M418" s="3"/>
      <c r="N418" s="3"/>
      <c r="O418" s="3">
        <v>40500</v>
      </c>
      <c r="P418" s="7">
        <v>2291.35009765625</v>
      </c>
      <c r="Q418" s="7">
        <v>2134.60009765625</v>
      </c>
      <c r="R418" s="7">
        <v>2291.35009765625</v>
      </c>
      <c r="S418" s="7">
        <v>2137.75</v>
      </c>
      <c r="T418" s="11">
        <v>-0.9599609375</v>
      </c>
      <c r="U418" s="11">
        <v>2188.754638671875</v>
      </c>
      <c r="V418" s="11">
        <v>-2.54248046875</v>
      </c>
      <c r="W418" s="11">
        <v>3293.154052734375</v>
      </c>
      <c r="X418" s="14">
        <v>-2.2664607968181372E-8</v>
      </c>
      <c r="Y418" s="14">
        <v>3.098341403529048E-5</v>
      </c>
      <c r="Z418" s="14">
        <v>-7.129710866138339E-8</v>
      </c>
      <c r="AA418" s="14">
        <v>7.6046213507652283E-5</v>
      </c>
      <c r="AB418" s="15">
        <v>-1.5766943306516623E-11</v>
      </c>
      <c r="AC418" s="15">
        <v>7.6370895385480253E-8</v>
      </c>
      <c r="AD418" s="13">
        <v>2.0056962966918945E-4</v>
      </c>
      <c r="AE418" s="13">
        <v>-0.53386789560317993</v>
      </c>
      <c r="AF418" s="12">
        <v>-7.6222419738769531E-4</v>
      </c>
      <c r="AG418" s="12">
        <v>1.310334324836731</v>
      </c>
      <c r="AH418" s="13">
        <v>1.280568540096283E-8</v>
      </c>
      <c r="AI418" s="13">
        <v>1.0908095282502472E-4</v>
      </c>
      <c r="AJ418" s="11">
        <v>9.0384483337402344E-4</v>
      </c>
      <c r="AK418" s="11">
        <v>3.7748250961303711</v>
      </c>
      <c r="AL418" s="11">
        <v>-6.84814453125E-2</v>
      </c>
      <c r="AM418" s="11">
        <v>-153.7972412109375</v>
      </c>
      <c r="AN418" s="11">
        <v>3.8981437683105469E-5</v>
      </c>
      <c r="AO418" s="11">
        <v>-0.89187318086624146</v>
      </c>
      <c r="AP418" s="11">
        <v>83.774596452713013</v>
      </c>
      <c r="AQ418" s="11">
        <v>200</v>
      </c>
      <c r="AR418" s="16">
        <v>50</v>
      </c>
      <c r="AS418" s="16">
        <v>175</v>
      </c>
      <c r="AT418" s="16">
        <v>83.774596452713013</v>
      </c>
      <c r="AU418" s="7">
        <v>0</v>
      </c>
      <c r="AV418" s="7">
        <v>2291.35009765625</v>
      </c>
      <c r="AW418" s="7">
        <v>2</v>
      </c>
      <c r="AX418" s="7">
        <v>0</v>
      </c>
      <c r="AY418" s="11">
        <v>42.788353562355042</v>
      </c>
      <c r="AZ418" s="16">
        <v>1258350</v>
      </c>
      <c r="BA418" s="16">
        <v>44075</v>
      </c>
      <c r="BB418" s="16">
        <v>6418475</v>
      </c>
      <c r="BC418" s="11">
        <v>7.0818881504237652E-3</v>
      </c>
      <c r="BD418" s="11">
        <v>1.3625249266624451E-6</v>
      </c>
      <c r="BE418" s="11">
        <v>-2</v>
      </c>
      <c r="BF418" s="11">
        <v>0</v>
      </c>
      <c r="BG418" s="11">
        <v>0.40015599131584167</v>
      </c>
      <c r="BH418" s="11">
        <v>6.5028667449951172E-5</v>
      </c>
      <c r="BI418" s="13">
        <v>2.2638534574070945E-5</v>
      </c>
      <c r="BJ418" s="13">
        <v>8.6656655184924603E-9</v>
      </c>
      <c r="BK418" s="11">
        <v>42.788353562355042</v>
      </c>
      <c r="BL418" s="12">
        <v>46.774280548095703</v>
      </c>
      <c r="BM418" s="12">
        <v>2.8228759765625E-4</v>
      </c>
      <c r="BN418" s="13">
        <v>-9.7331466674804688</v>
      </c>
      <c r="BO418" s="13">
        <v>1.5239715576171875E-3</v>
      </c>
      <c r="BP418" s="15">
        <v>6.3265652272548323E-8</v>
      </c>
      <c r="BQ418" s="15">
        <v>3.6024516703037079E-11</v>
      </c>
      <c r="BR418" s="14">
        <v>2.6842020452022552E-4</v>
      </c>
      <c r="BS418" s="14">
        <v>1.3926182873547077E-7</v>
      </c>
      <c r="BT418" s="14">
        <v>5.5854910897323862E-5</v>
      </c>
      <c r="BU418" s="14">
        <v>1.9903382053598762E-8</v>
      </c>
      <c r="BV418" s="11">
        <v>233209.9375</v>
      </c>
      <c r="BW418" s="11">
        <v>-6.859375</v>
      </c>
      <c r="BX418" s="11">
        <v>56518.45703125</v>
      </c>
      <c r="BY418" s="11">
        <v>-10.390625</v>
      </c>
      <c r="BZ418" s="7">
        <v>2.0999999046325684</v>
      </c>
      <c r="CA418" s="7">
        <v>3.4500000476837158</v>
      </c>
      <c r="CB418" s="7">
        <v>1.9500000476837158</v>
      </c>
      <c r="CC418" s="7">
        <v>2</v>
      </c>
      <c r="CD418" s="7">
        <v>2</v>
      </c>
      <c r="CE418" s="3">
        <v>3300</v>
      </c>
      <c r="CF418" s="7">
        <v>1.9500000476837158</v>
      </c>
      <c r="CG418" s="3">
        <v>12000</v>
      </c>
      <c r="CH418" s="7">
        <v>2.8599998950958252</v>
      </c>
      <c r="CI418" s="7">
        <v>2217.050048828125</v>
      </c>
      <c r="CJ418" s="3">
        <v>250</v>
      </c>
      <c r="CK418" s="7">
        <v>2182.89990234375</v>
      </c>
      <c r="CL418" s="3">
        <v>250</v>
      </c>
      <c r="CM418" s="7">
        <v>2157.169921875</v>
      </c>
      <c r="CN418" s="10">
        <v>44783.638194444444</v>
      </c>
      <c r="CO418" s="10">
        <v>44783.638194444444</v>
      </c>
      <c r="CP418" s="7">
        <v>38295.69921875</v>
      </c>
      <c r="CQ418" s="17" t="s">
        <v>321</v>
      </c>
      <c r="CR418" s="10">
        <v>44783.638194444444</v>
      </c>
      <c r="CS418" s="12">
        <v>1.3625621795654297E-2</v>
      </c>
      <c r="CT418" s="18">
        <v>1.6267268228253257E-4</v>
      </c>
      <c r="CU418" s="3">
        <v>125</v>
      </c>
      <c r="CV418" s="18">
        <v>0.4</v>
      </c>
      <c r="CW418" s="7">
        <v>2291.35009765625</v>
      </c>
      <c r="CX418" s="18">
        <v>0</v>
      </c>
      <c r="CY418" s="7">
        <v>2</v>
      </c>
      <c r="CZ418" s="18">
        <v>0</v>
      </c>
      <c r="DA418" s="3">
        <v>1214275</v>
      </c>
      <c r="DB418" s="18">
        <v>3.6297379094521423E-2</v>
      </c>
      <c r="DC418" s="11">
        <v>-8.8065862655639648E-3</v>
      </c>
      <c r="DD418" s="18">
        <v>-2.0577501486036825E-4</v>
      </c>
      <c r="DE418" s="7">
        <v>2</v>
      </c>
      <c r="DF418" s="7">
        <v>2291.35009765625</v>
      </c>
      <c r="DG418" s="7">
        <v>38295.69921875</v>
      </c>
      <c r="DH418" s="3" t="s">
        <v>312</v>
      </c>
      <c r="DI418" s="3" t="s">
        <v>312</v>
      </c>
      <c r="DJ418" s="3" t="s">
        <v>314</v>
      </c>
      <c r="DK418" s="3">
        <v>38300</v>
      </c>
      <c r="DL418" s="3">
        <v>3400000</v>
      </c>
      <c r="DM418" s="3">
        <v>38500</v>
      </c>
      <c r="DN418" s="3">
        <v>0</v>
      </c>
      <c r="DO418" s="3">
        <v>24500</v>
      </c>
      <c r="DP418" s="3">
        <v>2863350</v>
      </c>
      <c r="DQ418" s="28">
        <v>38000</v>
      </c>
      <c r="DR418" s="32">
        <v>0</v>
      </c>
      <c r="DS418" s="32">
        <v>24500</v>
      </c>
      <c r="DT418" s="32" t="s">
        <v>33</v>
      </c>
      <c r="DU418" s="69">
        <v>44784</v>
      </c>
    </row>
    <row r="419" spans="1:125" x14ac:dyDescent="0.25">
      <c r="A419" t="s">
        <v>139</v>
      </c>
      <c r="B419" s="2">
        <v>44810</v>
      </c>
      <c r="C419" s="1">
        <v>75</v>
      </c>
      <c r="D419">
        <v>138</v>
      </c>
      <c r="M419" s="3"/>
      <c r="N419" s="3"/>
      <c r="O419" s="3">
        <v>40600</v>
      </c>
      <c r="P419" s="7">
        <v>0</v>
      </c>
      <c r="Q419" s="7">
        <v>0</v>
      </c>
      <c r="R419" s="7">
        <v>0</v>
      </c>
      <c r="S419" s="7">
        <v>0</v>
      </c>
      <c r="T419" s="11">
        <v>0</v>
      </c>
      <c r="U419" s="11">
        <v>0</v>
      </c>
      <c r="V419" s="11">
        <v>0</v>
      </c>
      <c r="W419" s="11">
        <v>0</v>
      </c>
      <c r="X419" s="14">
        <v>0</v>
      </c>
      <c r="Y419" s="14">
        <v>0</v>
      </c>
      <c r="Z419" s="14">
        <v>0</v>
      </c>
      <c r="AA419" s="14">
        <v>0</v>
      </c>
      <c r="AB419" s="15">
        <v>0</v>
      </c>
      <c r="AC419" s="15">
        <v>0</v>
      </c>
      <c r="AD419" s="13">
        <v>0</v>
      </c>
      <c r="AE419" s="13">
        <v>0</v>
      </c>
      <c r="AF419" s="12">
        <v>0</v>
      </c>
      <c r="AG419" s="12">
        <v>0</v>
      </c>
      <c r="AH419" s="13">
        <v>0</v>
      </c>
      <c r="AI419" s="13">
        <v>0</v>
      </c>
      <c r="AJ419" s="11">
        <v>0</v>
      </c>
      <c r="AK419" s="11">
        <v>0</v>
      </c>
      <c r="AL419" s="11">
        <v>0</v>
      </c>
      <c r="AM419" s="11">
        <v>0</v>
      </c>
      <c r="AN419" s="11">
        <v>0</v>
      </c>
      <c r="AO419" s="11">
        <v>0</v>
      </c>
      <c r="AP419" s="11">
        <v>0</v>
      </c>
      <c r="AQ419" s="11">
        <v>0</v>
      </c>
      <c r="AR419" s="16">
        <v>0</v>
      </c>
      <c r="AS419" s="16">
        <v>0</v>
      </c>
      <c r="AT419" s="16">
        <v>0</v>
      </c>
      <c r="AU419" s="7">
        <v>0</v>
      </c>
      <c r="AV419" s="7">
        <v>0</v>
      </c>
      <c r="AW419" s="7">
        <v>0</v>
      </c>
      <c r="AX419" s="7">
        <v>0</v>
      </c>
      <c r="AY419" s="11">
        <v>0</v>
      </c>
      <c r="AZ419" s="16">
        <v>0</v>
      </c>
      <c r="BA419" s="16">
        <v>0</v>
      </c>
      <c r="BB419" s="16">
        <v>0</v>
      </c>
      <c r="BC419" s="11">
        <v>0</v>
      </c>
      <c r="BD419" s="11">
        <v>0</v>
      </c>
      <c r="BE419" s="11">
        <v>0</v>
      </c>
      <c r="BF419" s="11">
        <v>0</v>
      </c>
      <c r="BG419" s="11">
        <v>0</v>
      </c>
      <c r="BH419" s="11">
        <v>0</v>
      </c>
      <c r="BI419" s="13">
        <v>0</v>
      </c>
      <c r="BJ419" s="13">
        <v>0</v>
      </c>
      <c r="BK419" s="11">
        <v>0</v>
      </c>
      <c r="BL419" s="12">
        <v>0</v>
      </c>
      <c r="BM419" s="12">
        <v>0</v>
      </c>
      <c r="BN419" s="13">
        <v>0</v>
      </c>
      <c r="BO419" s="13">
        <v>0</v>
      </c>
      <c r="BP419" s="15">
        <v>0</v>
      </c>
      <c r="BQ419" s="15">
        <v>0</v>
      </c>
      <c r="BR419" s="14">
        <v>0</v>
      </c>
      <c r="BS419" s="14">
        <v>0</v>
      </c>
      <c r="BT419" s="14">
        <v>0</v>
      </c>
      <c r="BU419" s="14">
        <v>0</v>
      </c>
      <c r="BV419" s="11">
        <v>0</v>
      </c>
      <c r="BW419" s="11">
        <v>0</v>
      </c>
      <c r="BX419" s="11">
        <v>0</v>
      </c>
      <c r="BY419" s="11">
        <v>0</v>
      </c>
      <c r="BZ419" s="7">
        <v>0</v>
      </c>
      <c r="CA419" s="7">
        <v>0</v>
      </c>
      <c r="CB419" s="7">
        <v>0</v>
      </c>
      <c r="CC419" s="7">
        <v>0</v>
      </c>
      <c r="CD419" s="7">
        <v>0</v>
      </c>
      <c r="CE419" s="3">
        <v>0</v>
      </c>
      <c r="CF419" s="7">
        <v>0</v>
      </c>
      <c r="CG419" s="3">
        <v>0</v>
      </c>
      <c r="CH419" s="7">
        <v>0</v>
      </c>
      <c r="CI419" s="7">
        <v>0</v>
      </c>
      <c r="CJ419" s="3">
        <v>0</v>
      </c>
      <c r="CK419" s="7">
        <v>0</v>
      </c>
      <c r="CL419" s="3">
        <v>0</v>
      </c>
      <c r="CM419" s="7">
        <v>0</v>
      </c>
      <c r="CN419" s="10">
        <v>44783.636701388888</v>
      </c>
      <c r="CO419" s="10">
        <v>44783.636701388888</v>
      </c>
      <c r="CP419" s="7">
        <v>38295.69921875</v>
      </c>
      <c r="CQ419" s="17" t="s">
        <v>321</v>
      </c>
      <c r="CR419" s="10">
        <v>44783.638194444444</v>
      </c>
      <c r="CS419" s="12">
        <v>0</v>
      </c>
      <c r="CT419" s="18"/>
      <c r="CU419" s="3">
        <v>0</v>
      </c>
      <c r="CV419" s="18"/>
      <c r="CW419" s="7">
        <v>0</v>
      </c>
      <c r="CX419" s="18"/>
      <c r="CY419" s="7">
        <v>0</v>
      </c>
      <c r="CZ419" s="18"/>
      <c r="DA419" s="3">
        <v>0</v>
      </c>
      <c r="DB419" s="18"/>
      <c r="DC419" s="11">
        <v>0</v>
      </c>
      <c r="DD419" s="18"/>
      <c r="DE419" s="7">
        <v>0</v>
      </c>
      <c r="DF419" s="7">
        <v>0</v>
      </c>
      <c r="DG419" s="7">
        <v>38295.69921875</v>
      </c>
      <c r="DH419" s="3" t="s">
        <v>312</v>
      </c>
      <c r="DI419" s="3" t="s">
        <v>312</v>
      </c>
      <c r="DJ419" s="3" t="s">
        <v>314</v>
      </c>
      <c r="DK419" s="3">
        <v>38300</v>
      </c>
      <c r="DL419" s="3">
        <v>3400000</v>
      </c>
      <c r="DM419" s="3">
        <v>38500</v>
      </c>
      <c r="DN419" s="3">
        <v>0</v>
      </c>
      <c r="DO419" s="3">
        <v>24500</v>
      </c>
      <c r="DP419" s="3">
        <v>2863350</v>
      </c>
      <c r="DQ419" s="28">
        <v>38000</v>
      </c>
      <c r="DR419" s="32">
        <v>0</v>
      </c>
      <c r="DS419" s="32">
        <v>24500</v>
      </c>
      <c r="DT419" s="32" t="s">
        <v>33</v>
      </c>
      <c r="DU419" s="69">
        <v>44784</v>
      </c>
    </row>
    <row r="420" spans="1:125" x14ac:dyDescent="0.25">
      <c r="A420" t="s">
        <v>139</v>
      </c>
      <c r="B420" s="2">
        <v>44817</v>
      </c>
      <c r="C420" s="1">
        <v>75</v>
      </c>
      <c r="D420">
        <v>138</v>
      </c>
      <c r="M420" s="3"/>
      <c r="N420" s="3"/>
      <c r="O420" s="3">
        <v>40700</v>
      </c>
      <c r="P420" s="7">
        <v>0</v>
      </c>
      <c r="Q420" s="7">
        <v>0</v>
      </c>
      <c r="R420" s="7">
        <v>0</v>
      </c>
      <c r="S420" s="7">
        <v>0</v>
      </c>
      <c r="T420" s="11">
        <v>0</v>
      </c>
      <c r="U420" s="11">
        <v>0</v>
      </c>
      <c r="V420" s="11">
        <v>0</v>
      </c>
      <c r="W420" s="11">
        <v>0</v>
      </c>
      <c r="X420" s="14">
        <v>0</v>
      </c>
      <c r="Y420" s="14">
        <v>0</v>
      </c>
      <c r="Z420" s="14">
        <v>0</v>
      </c>
      <c r="AA420" s="14">
        <v>0</v>
      </c>
      <c r="AB420" s="15">
        <v>0</v>
      </c>
      <c r="AC420" s="15">
        <v>0</v>
      </c>
      <c r="AD420" s="13">
        <v>0</v>
      </c>
      <c r="AE420" s="13">
        <v>0</v>
      </c>
      <c r="AF420" s="12">
        <v>0</v>
      </c>
      <c r="AG420" s="12">
        <v>0</v>
      </c>
      <c r="AH420" s="13">
        <v>0</v>
      </c>
      <c r="AI420" s="13">
        <v>0</v>
      </c>
      <c r="AJ420" s="11">
        <v>0</v>
      </c>
      <c r="AK420" s="11">
        <v>0</v>
      </c>
      <c r="AL420" s="11">
        <v>0</v>
      </c>
      <c r="AM420" s="11">
        <v>0</v>
      </c>
      <c r="AN420" s="11">
        <v>0</v>
      </c>
      <c r="AO420" s="11">
        <v>0</v>
      </c>
      <c r="AP420" s="11">
        <v>0</v>
      </c>
      <c r="AQ420" s="11">
        <v>0</v>
      </c>
      <c r="AR420" s="16">
        <v>0</v>
      </c>
      <c r="AS420" s="16">
        <v>0</v>
      </c>
      <c r="AT420" s="16">
        <v>0</v>
      </c>
      <c r="AU420" s="7">
        <v>0</v>
      </c>
      <c r="AV420" s="7">
        <v>0</v>
      </c>
      <c r="AW420" s="7">
        <v>0</v>
      </c>
      <c r="AX420" s="7">
        <v>0</v>
      </c>
      <c r="AY420" s="11">
        <v>0</v>
      </c>
      <c r="AZ420" s="16">
        <v>0</v>
      </c>
      <c r="BA420" s="16">
        <v>0</v>
      </c>
      <c r="BB420" s="16">
        <v>0</v>
      </c>
      <c r="BC420" s="11">
        <v>0</v>
      </c>
      <c r="BD420" s="11">
        <v>0</v>
      </c>
      <c r="BE420" s="11">
        <v>0</v>
      </c>
      <c r="BF420" s="11">
        <v>0</v>
      </c>
      <c r="BG420" s="11">
        <v>0</v>
      </c>
      <c r="BH420" s="11">
        <v>0</v>
      </c>
      <c r="BI420" s="13">
        <v>0</v>
      </c>
      <c r="BJ420" s="13">
        <v>0</v>
      </c>
      <c r="BK420" s="11">
        <v>0</v>
      </c>
      <c r="BL420" s="12">
        <v>0</v>
      </c>
      <c r="BM420" s="12">
        <v>0</v>
      </c>
      <c r="BN420" s="13">
        <v>0</v>
      </c>
      <c r="BO420" s="13">
        <v>0</v>
      </c>
      <c r="BP420" s="15">
        <v>0</v>
      </c>
      <c r="BQ420" s="15">
        <v>0</v>
      </c>
      <c r="BR420" s="14">
        <v>0</v>
      </c>
      <c r="BS420" s="14">
        <v>0</v>
      </c>
      <c r="BT420" s="14">
        <v>0</v>
      </c>
      <c r="BU420" s="14">
        <v>0</v>
      </c>
      <c r="BV420" s="11">
        <v>0</v>
      </c>
      <c r="BW420" s="11">
        <v>0</v>
      </c>
      <c r="BX420" s="11">
        <v>0</v>
      </c>
      <c r="BY420" s="11">
        <v>0</v>
      </c>
      <c r="BZ420" s="7">
        <v>0</v>
      </c>
      <c r="CA420" s="7">
        <v>0</v>
      </c>
      <c r="CB420" s="7">
        <v>0</v>
      </c>
      <c r="CC420" s="7">
        <v>0</v>
      </c>
      <c r="CD420" s="7">
        <v>0</v>
      </c>
      <c r="CE420" s="3">
        <v>0</v>
      </c>
      <c r="CF420" s="7">
        <v>0</v>
      </c>
      <c r="CG420" s="3">
        <v>0</v>
      </c>
      <c r="CH420" s="7">
        <v>0</v>
      </c>
      <c r="CI420" s="7">
        <v>0</v>
      </c>
      <c r="CJ420" s="3">
        <v>0</v>
      </c>
      <c r="CK420" s="7">
        <v>0</v>
      </c>
      <c r="CL420" s="3">
        <v>0</v>
      </c>
      <c r="CM420" s="7">
        <v>0</v>
      </c>
      <c r="CN420" s="10">
        <v>44783.636701388888</v>
      </c>
      <c r="CO420" s="10">
        <v>44783.636701388888</v>
      </c>
      <c r="CP420" s="7">
        <v>38295.69921875</v>
      </c>
      <c r="CQ420" s="17" t="s">
        <v>321</v>
      </c>
      <c r="CR420" s="10">
        <v>44783.638194444444</v>
      </c>
      <c r="CS420" s="12">
        <v>0</v>
      </c>
      <c r="CT420" s="18"/>
      <c r="CU420" s="3">
        <v>0</v>
      </c>
      <c r="CV420" s="18"/>
      <c r="CW420" s="7">
        <v>0</v>
      </c>
      <c r="CX420" s="18"/>
      <c r="CY420" s="7">
        <v>0</v>
      </c>
      <c r="CZ420" s="18"/>
      <c r="DA420" s="3">
        <v>0</v>
      </c>
      <c r="DB420" s="18"/>
      <c r="DC420" s="11">
        <v>0</v>
      </c>
      <c r="DD420" s="18"/>
      <c r="DE420" s="7">
        <v>0</v>
      </c>
      <c r="DF420" s="7">
        <v>0</v>
      </c>
      <c r="DG420" s="7">
        <v>38295.69921875</v>
      </c>
      <c r="DH420" s="3" t="s">
        <v>312</v>
      </c>
      <c r="DI420" s="3" t="s">
        <v>312</v>
      </c>
      <c r="DJ420" s="3" t="s">
        <v>314</v>
      </c>
      <c r="DK420" s="3">
        <v>38300</v>
      </c>
      <c r="DL420" s="3">
        <v>3400000</v>
      </c>
      <c r="DM420" s="3">
        <v>38500</v>
      </c>
      <c r="DN420" s="3">
        <v>0</v>
      </c>
      <c r="DO420" s="3">
        <v>24500</v>
      </c>
      <c r="DP420" s="3">
        <v>2863350</v>
      </c>
      <c r="DQ420" s="28">
        <v>38000</v>
      </c>
      <c r="DR420" s="32">
        <v>0</v>
      </c>
      <c r="DS420" s="32">
        <v>24500</v>
      </c>
      <c r="DT420" s="32" t="s">
        <v>33</v>
      </c>
      <c r="DU420" s="69">
        <v>44784</v>
      </c>
    </row>
    <row r="421" spans="1:125" x14ac:dyDescent="0.25">
      <c r="A421" t="s">
        <v>139</v>
      </c>
      <c r="B421" s="2">
        <v>44824</v>
      </c>
      <c r="C421" s="1">
        <v>75</v>
      </c>
      <c r="D421">
        <v>138</v>
      </c>
      <c r="M421" s="3"/>
      <c r="N421" s="3"/>
      <c r="O421" s="3">
        <v>40800</v>
      </c>
      <c r="P421" s="7">
        <v>0</v>
      </c>
      <c r="Q421" s="7">
        <v>0</v>
      </c>
      <c r="R421" s="7">
        <v>0</v>
      </c>
      <c r="S421" s="7">
        <v>0</v>
      </c>
      <c r="T421" s="11">
        <v>0</v>
      </c>
      <c r="U421" s="11">
        <v>0</v>
      </c>
      <c r="V421" s="11">
        <v>0</v>
      </c>
      <c r="W421" s="11">
        <v>0</v>
      </c>
      <c r="X421" s="14">
        <v>0</v>
      </c>
      <c r="Y421" s="14">
        <v>0</v>
      </c>
      <c r="Z421" s="14">
        <v>0</v>
      </c>
      <c r="AA421" s="14">
        <v>0</v>
      </c>
      <c r="AB421" s="15">
        <v>0</v>
      </c>
      <c r="AC421" s="15">
        <v>0</v>
      </c>
      <c r="AD421" s="13">
        <v>0</v>
      </c>
      <c r="AE421" s="13">
        <v>0</v>
      </c>
      <c r="AF421" s="12">
        <v>0</v>
      </c>
      <c r="AG421" s="12">
        <v>0</v>
      </c>
      <c r="AH421" s="13">
        <v>0</v>
      </c>
      <c r="AI421" s="13">
        <v>0</v>
      </c>
      <c r="AJ421" s="11">
        <v>0</v>
      </c>
      <c r="AK421" s="11">
        <v>0</v>
      </c>
      <c r="AL421" s="11">
        <v>0</v>
      </c>
      <c r="AM421" s="11">
        <v>0</v>
      </c>
      <c r="AN421" s="11">
        <v>0</v>
      </c>
      <c r="AO421" s="11">
        <v>0</v>
      </c>
      <c r="AP421" s="11">
        <v>0</v>
      </c>
      <c r="AQ421" s="11">
        <v>0</v>
      </c>
      <c r="AR421" s="16">
        <v>0</v>
      </c>
      <c r="AS421" s="16">
        <v>0</v>
      </c>
      <c r="AT421" s="16">
        <v>0</v>
      </c>
      <c r="AU421" s="7">
        <v>0</v>
      </c>
      <c r="AV421" s="7">
        <v>0</v>
      </c>
      <c r="AW421" s="7">
        <v>0</v>
      </c>
      <c r="AX421" s="7">
        <v>0</v>
      </c>
      <c r="AY421" s="11">
        <v>0</v>
      </c>
      <c r="AZ421" s="16">
        <v>0</v>
      </c>
      <c r="BA421" s="16">
        <v>0</v>
      </c>
      <c r="BB421" s="16">
        <v>0</v>
      </c>
      <c r="BC421" s="11">
        <v>0</v>
      </c>
      <c r="BD421" s="11">
        <v>0</v>
      </c>
      <c r="BE421" s="11">
        <v>0</v>
      </c>
      <c r="BF421" s="11">
        <v>0</v>
      </c>
      <c r="BG421" s="11">
        <v>0</v>
      </c>
      <c r="BH421" s="11">
        <v>0</v>
      </c>
      <c r="BI421" s="13">
        <v>0</v>
      </c>
      <c r="BJ421" s="13">
        <v>0</v>
      </c>
      <c r="BK421" s="11">
        <v>0</v>
      </c>
      <c r="BL421" s="12">
        <v>0</v>
      </c>
      <c r="BM421" s="12">
        <v>0</v>
      </c>
      <c r="BN421" s="13">
        <v>0</v>
      </c>
      <c r="BO421" s="13">
        <v>0</v>
      </c>
      <c r="BP421" s="15">
        <v>0</v>
      </c>
      <c r="BQ421" s="15">
        <v>0</v>
      </c>
      <c r="BR421" s="14">
        <v>0</v>
      </c>
      <c r="BS421" s="14">
        <v>0</v>
      </c>
      <c r="BT421" s="14">
        <v>0</v>
      </c>
      <c r="BU421" s="14">
        <v>0</v>
      </c>
      <c r="BV421" s="11">
        <v>0</v>
      </c>
      <c r="BW421" s="11">
        <v>0</v>
      </c>
      <c r="BX421" s="11">
        <v>0</v>
      </c>
      <c r="BY421" s="11">
        <v>0</v>
      </c>
      <c r="BZ421" s="7">
        <v>0</v>
      </c>
      <c r="CA421" s="7">
        <v>0</v>
      </c>
      <c r="CB421" s="7">
        <v>0</v>
      </c>
      <c r="CC421" s="7">
        <v>0</v>
      </c>
      <c r="CD421" s="7">
        <v>0</v>
      </c>
      <c r="CE421" s="3">
        <v>0</v>
      </c>
      <c r="CF421" s="7">
        <v>0</v>
      </c>
      <c r="CG421" s="3">
        <v>0</v>
      </c>
      <c r="CH421" s="7">
        <v>0</v>
      </c>
      <c r="CI421" s="7">
        <v>0</v>
      </c>
      <c r="CJ421" s="3">
        <v>0</v>
      </c>
      <c r="CK421" s="7">
        <v>0</v>
      </c>
      <c r="CL421" s="3">
        <v>0</v>
      </c>
      <c r="CM421" s="7">
        <v>0</v>
      </c>
      <c r="CN421" s="10">
        <v>44783.636701388888</v>
      </c>
      <c r="CO421" s="10">
        <v>44783.636701388888</v>
      </c>
      <c r="CP421" s="7">
        <v>38295.69921875</v>
      </c>
      <c r="CQ421" s="17" t="s">
        <v>321</v>
      </c>
      <c r="CR421" s="10">
        <v>44783.638194444444</v>
      </c>
      <c r="CS421" s="12">
        <v>0</v>
      </c>
      <c r="CT421" s="18"/>
      <c r="CU421" s="3">
        <v>0</v>
      </c>
      <c r="CV421" s="18"/>
      <c r="CW421" s="7">
        <v>0</v>
      </c>
      <c r="CX421" s="18"/>
      <c r="CY421" s="7">
        <v>0</v>
      </c>
      <c r="CZ421" s="18"/>
      <c r="DA421" s="3">
        <v>0</v>
      </c>
      <c r="DB421" s="18"/>
      <c r="DC421" s="11">
        <v>0</v>
      </c>
      <c r="DD421" s="18"/>
      <c r="DE421" s="7">
        <v>0</v>
      </c>
      <c r="DF421" s="7">
        <v>0</v>
      </c>
      <c r="DG421" s="7">
        <v>38295.69921875</v>
      </c>
      <c r="DH421" s="3" t="s">
        <v>312</v>
      </c>
      <c r="DI421" s="3" t="s">
        <v>312</v>
      </c>
      <c r="DJ421" s="3" t="s">
        <v>314</v>
      </c>
      <c r="DK421" s="3">
        <v>38300</v>
      </c>
      <c r="DL421" s="3">
        <v>3400000</v>
      </c>
      <c r="DM421" s="3">
        <v>38500</v>
      </c>
      <c r="DN421" s="3">
        <v>0</v>
      </c>
      <c r="DO421" s="3">
        <v>24500</v>
      </c>
      <c r="DP421" s="3">
        <v>2863350</v>
      </c>
      <c r="DQ421" s="28">
        <v>38000</v>
      </c>
      <c r="DR421" s="32">
        <v>0</v>
      </c>
      <c r="DS421" s="32">
        <v>24500</v>
      </c>
      <c r="DT421" s="32" t="s">
        <v>33</v>
      </c>
      <c r="DU421" s="69">
        <v>44784</v>
      </c>
    </row>
    <row r="422" spans="1:125" x14ac:dyDescent="0.25">
      <c r="A422" t="s">
        <v>139</v>
      </c>
      <c r="B422" s="2">
        <v>44831</v>
      </c>
      <c r="C422" s="1">
        <v>75</v>
      </c>
      <c r="D422">
        <v>138</v>
      </c>
      <c r="M422" s="3"/>
      <c r="N422" s="3"/>
      <c r="O422" s="3">
        <v>40900</v>
      </c>
      <c r="P422" s="7">
        <v>0</v>
      </c>
      <c r="Q422" s="7">
        <v>0</v>
      </c>
      <c r="R422" s="7">
        <v>0</v>
      </c>
      <c r="S422" s="7">
        <v>0</v>
      </c>
      <c r="T422" s="11">
        <v>0</v>
      </c>
      <c r="U422" s="11">
        <v>0</v>
      </c>
      <c r="V422" s="11">
        <v>0</v>
      </c>
      <c r="W422" s="11">
        <v>0</v>
      </c>
      <c r="X422" s="14">
        <v>0</v>
      </c>
      <c r="Y422" s="14">
        <v>0</v>
      </c>
      <c r="Z422" s="14">
        <v>0</v>
      </c>
      <c r="AA422" s="14">
        <v>0</v>
      </c>
      <c r="AB422" s="15">
        <v>0</v>
      </c>
      <c r="AC422" s="15">
        <v>0</v>
      </c>
      <c r="AD422" s="13">
        <v>0</v>
      </c>
      <c r="AE422" s="13">
        <v>0</v>
      </c>
      <c r="AF422" s="12">
        <v>0</v>
      </c>
      <c r="AG422" s="12">
        <v>0</v>
      </c>
      <c r="AH422" s="13">
        <v>0</v>
      </c>
      <c r="AI422" s="13">
        <v>0</v>
      </c>
      <c r="AJ422" s="11">
        <v>0</v>
      </c>
      <c r="AK422" s="11">
        <v>0</v>
      </c>
      <c r="AL422" s="11">
        <v>0</v>
      </c>
      <c r="AM422" s="11">
        <v>0</v>
      </c>
      <c r="AN422" s="11">
        <v>0</v>
      </c>
      <c r="AO422" s="11">
        <v>0</v>
      </c>
      <c r="AP422" s="11">
        <v>0</v>
      </c>
      <c r="AQ422" s="11">
        <v>0</v>
      </c>
      <c r="AR422" s="16">
        <v>0</v>
      </c>
      <c r="AS422" s="16">
        <v>0</v>
      </c>
      <c r="AT422" s="16">
        <v>0</v>
      </c>
      <c r="AU422" s="7">
        <v>0</v>
      </c>
      <c r="AV422" s="7">
        <v>0</v>
      </c>
      <c r="AW422" s="7">
        <v>0</v>
      </c>
      <c r="AX422" s="7">
        <v>0</v>
      </c>
      <c r="AY422" s="11">
        <v>0</v>
      </c>
      <c r="AZ422" s="16">
        <v>0</v>
      </c>
      <c r="BA422" s="16">
        <v>0</v>
      </c>
      <c r="BB422" s="16">
        <v>0</v>
      </c>
      <c r="BC422" s="11">
        <v>0</v>
      </c>
      <c r="BD422" s="11">
        <v>0</v>
      </c>
      <c r="BE422" s="11">
        <v>0</v>
      </c>
      <c r="BF422" s="11">
        <v>0</v>
      </c>
      <c r="BG422" s="11">
        <v>0</v>
      </c>
      <c r="BH422" s="11">
        <v>0</v>
      </c>
      <c r="BI422" s="13">
        <v>0</v>
      </c>
      <c r="BJ422" s="13">
        <v>0</v>
      </c>
      <c r="BK422" s="11">
        <v>0</v>
      </c>
      <c r="BL422" s="12">
        <v>0</v>
      </c>
      <c r="BM422" s="12">
        <v>0</v>
      </c>
      <c r="BN422" s="13">
        <v>0</v>
      </c>
      <c r="BO422" s="13">
        <v>0</v>
      </c>
      <c r="BP422" s="15">
        <v>0</v>
      </c>
      <c r="BQ422" s="15">
        <v>0</v>
      </c>
      <c r="BR422" s="14">
        <v>0</v>
      </c>
      <c r="BS422" s="14">
        <v>0</v>
      </c>
      <c r="BT422" s="14">
        <v>0</v>
      </c>
      <c r="BU422" s="14">
        <v>0</v>
      </c>
      <c r="BV422" s="11">
        <v>0</v>
      </c>
      <c r="BW422" s="11">
        <v>0</v>
      </c>
      <c r="BX422" s="11">
        <v>0</v>
      </c>
      <c r="BY422" s="11">
        <v>0</v>
      </c>
      <c r="BZ422" s="7">
        <v>0</v>
      </c>
      <c r="CA422" s="7">
        <v>0</v>
      </c>
      <c r="CB422" s="7">
        <v>0</v>
      </c>
      <c r="CC422" s="7">
        <v>0</v>
      </c>
      <c r="CD422" s="7">
        <v>0</v>
      </c>
      <c r="CE422" s="3">
        <v>0</v>
      </c>
      <c r="CF422" s="7">
        <v>0</v>
      </c>
      <c r="CG422" s="3">
        <v>0</v>
      </c>
      <c r="CH422" s="7">
        <v>0</v>
      </c>
      <c r="CI422" s="7">
        <v>0</v>
      </c>
      <c r="CJ422" s="3">
        <v>0</v>
      </c>
      <c r="CK422" s="7">
        <v>0</v>
      </c>
      <c r="CL422" s="3">
        <v>0</v>
      </c>
      <c r="CM422" s="7">
        <v>0</v>
      </c>
      <c r="CN422" s="10">
        <v>44783.636701388888</v>
      </c>
      <c r="CO422" s="10">
        <v>44783.636701388888</v>
      </c>
      <c r="CP422" s="7">
        <v>38295.69921875</v>
      </c>
      <c r="CQ422" s="17" t="s">
        <v>321</v>
      </c>
      <c r="CR422" s="10">
        <v>44783.638194444444</v>
      </c>
      <c r="CS422" s="12">
        <v>0</v>
      </c>
      <c r="CT422" s="18"/>
      <c r="CU422" s="3">
        <v>0</v>
      </c>
      <c r="CV422" s="18"/>
      <c r="CW422" s="7">
        <v>0</v>
      </c>
      <c r="CX422" s="18"/>
      <c r="CY422" s="7">
        <v>0</v>
      </c>
      <c r="CZ422" s="18"/>
      <c r="DA422" s="3">
        <v>0</v>
      </c>
      <c r="DB422" s="18"/>
      <c r="DC422" s="11">
        <v>0</v>
      </c>
      <c r="DD422" s="18"/>
      <c r="DE422" s="7">
        <v>0</v>
      </c>
      <c r="DF422" s="7">
        <v>0</v>
      </c>
      <c r="DG422" s="7">
        <v>38295.69921875</v>
      </c>
      <c r="DH422" s="3" t="s">
        <v>312</v>
      </c>
      <c r="DI422" s="3" t="s">
        <v>312</v>
      </c>
      <c r="DJ422" s="3" t="s">
        <v>314</v>
      </c>
      <c r="DK422" s="3">
        <v>38300</v>
      </c>
      <c r="DL422" s="3">
        <v>3400000</v>
      </c>
      <c r="DM422" s="3">
        <v>38500</v>
      </c>
      <c r="DN422" s="3">
        <v>0</v>
      </c>
      <c r="DO422" s="3">
        <v>24500</v>
      </c>
      <c r="DP422" s="3">
        <v>2863350</v>
      </c>
      <c r="DQ422" s="28">
        <v>38000</v>
      </c>
      <c r="DR422" s="32">
        <v>0</v>
      </c>
      <c r="DS422" s="32">
        <v>24500</v>
      </c>
      <c r="DT422" s="32" t="s">
        <v>33</v>
      </c>
      <c r="DU422" s="69">
        <v>44784</v>
      </c>
    </row>
    <row r="423" spans="1:125" x14ac:dyDescent="0.25">
      <c r="A423" t="s">
        <v>139</v>
      </c>
      <c r="B423" s="2">
        <v>44838</v>
      </c>
      <c r="C423" s="1">
        <v>75</v>
      </c>
      <c r="D423">
        <v>138</v>
      </c>
      <c r="M423" s="3"/>
      <c r="N423" s="3"/>
      <c r="O423" s="3">
        <v>41000</v>
      </c>
      <c r="P423" s="7">
        <v>2724</v>
      </c>
      <c r="Q423" s="7">
        <v>2679</v>
      </c>
      <c r="R423" s="7">
        <v>2724</v>
      </c>
      <c r="S423" s="7">
        <v>2679.14990234375</v>
      </c>
      <c r="T423" s="11">
        <v>-220.2451171875</v>
      </c>
      <c r="U423" s="11">
        <v>8804.8115234375</v>
      </c>
      <c r="V423" s="11">
        <v>-642.9453125</v>
      </c>
      <c r="W423" s="11">
        <v>19817.4453125</v>
      </c>
      <c r="X423" s="14">
        <v>-1.3847602531313896E-7</v>
      </c>
      <c r="Y423" s="14">
        <v>6.1838029068894684E-5</v>
      </c>
      <c r="Z423" s="14">
        <v>-1.2959353625774384E-6</v>
      </c>
      <c r="AA423" s="14">
        <v>1.8082321912515908E-4</v>
      </c>
      <c r="AB423" s="15">
        <v>1.2704504115390591E-10</v>
      </c>
      <c r="AC423" s="15">
        <v>6.7314665841422539E-8</v>
      </c>
      <c r="AD423" s="13">
        <v>4.0731668472290039E-2</v>
      </c>
      <c r="AE423" s="13">
        <v>-1.8425697088241577</v>
      </c>
      <c r="AF423" s="12">
        <v>-0.14618015289306641</v>
      </c>
      <c r="AG423" s="12">
        <v>5.387937068939209</v>
      </c>
      <c r="AH423" s="13">
        <v>6.5307904151268303E-7</v>
      </c>
      <c r="AI423" s="13">
        <v>5.4283911595121026E-5</v>
      </c>
      <c r="AJ423" s="11">
        <v>2.6504039764404297E-2</v>
      </c>
      <c r="AK423" s="11">
        <v>1.5769120454788208</v>
      </c>
      <c r="AL423" s="11">
        <v>-1.1657905578613281</v>
      </c>
      <c r="AM423" s="11">
        <v>-53.927330017089844</v>
      </c>
      <c r="AN423" s="11">
        <v>7.190704345703125E-4</v>
      </c>
      <c r="AO423" s="11">
        <v>-0.96482586860656738</v>
      </c>
      <c r="AP423" s="11">
        <v>70.320326089859009</v>
      </c>
      <c r="AQ423" s="11">
        <v>225</v>
      </c>
      <c r="AR423" s="16">
        <v>75</v>
      </c>
      <c r="AS423" s="16">
        <v>250</v>
      </c>
      <c r="AT423" s="16">
        <v>70.320326089859009</v>
      </c>
      <c r="AU423" s="7">
        <v>0</v>
      </c>
      <c r="AV423" s="7">
        <v>2724</v>
      </c>
      <c r="AW423" s="7">
        <v>1.6499999761581421</v>
      </c>
      <c r="AX423" s="7">
        <v>0</v>
      </c>
      <c r="AY423" s="11">
        <v>49.885562062263489</v>
      </c>
      <c r="AZ423" s="16">
        <v>909200</v>
      </c>
      <c r="BA423" s="16">
        <v>62475</v>
      </c>
      <c r="BB423" s="16">
        <v>5212375</v>
      </c>
      <c r="BC423" s="11">
        <v>5.1717264577746391E-3</v>
      </c>
      <c r="BD423" s="11">
        <v>7.4040144681930542E-8</v>
      </c>
      <c r="BE423" s="11">
        <v>-1.6499999761581421</v>
      </c>
      <c r="BF423" s="11">
        <v>0</v>
      </c>
      <c r="BG423" s="11">
        <v>0.30285537242889404</v>
      </c>
      <c r="BH423" s="11">
        <v>-2.2947788238525391E-6</v>
      </c>
      <c r="BI423" s="13">
        <v>1.4696870493935421E-5</v>
      </c>
      <c r="BJ423" s="13">
        <v>4.2018655221909285E-10</v>
      </c>
      <c r="BK423" s="11">
        <v>49.885562062263489</v>
      </c>
      <c r="BL423" s="12">
        <v>55.466300964355469</v>
      </c>
      <c r="BM423" s="12">
        <v>-1.071929931640625E-3</v>
      </c>
      <c r="BN423" s="13">
        <v>-13.456849098205566</v>
      </c>
      <c r="BO423" s="13">
        <v>-3.814697265625E-4</v>
      </c>
      <c r="BP423" s="15">
        <v>3.6784499002351367E-8</v>
      </c>
      <c r="BQ423" s="15">
        <v>1.5667467323510209E-12</v>
      </c>
      <c r="BR423" s="14">
        <v>1.6623918781988323E-4</v>
      </c>
      <c r="BS423" s="14">
        <v>3.2159732654690742E-9</v>
      </c>
      <c r="BT423" s="14">
        <v>4.0331800846615806E-5</v>
      </c>
      <c r="BU423" s="14">
        <v>2.7066562324762344E-9</v>
      </c>
      <c r="BV423" s="11">
        <v>289059.4375</v>
      </c>
      <c r="BW423" s="11">
        <v>-12.03125</v>
      </c>
      <c r="BX423" s="11">
        <v>80687.0703125</v>
      </c>
      <c r="BY423" s="11">
        <v>0.5390625</v>
      </c>
      <c r="BZ423" s="7">
        <v>1.8500000238418579</v>
      </c>
      <c r="CA423" s="7">
        <v>2.9000000953674316</v>
      </c>
      <c r="CB423" s="7">
        <v>1.6000000238418579</v>
      </c>
      <c r="CC423" s="7">
        <v>1.6499999761581421</v>
      </c>
      <c r="CD423" s="7">
        <v>1.7000000476837158</v>
      </c>
      <c r="CE423" s="3">
        <v>6725</v>
      </c>
      <c r="CF423" s="7">
        <v>1.6499999761581421</v>
      </c>
      <c r="CG423" s="3">
        <v>3175</v>
      </c>
      <c r="CH423" s="7">
        <v>2.4500000476837158</v>
      </c>
      <c r="CI423" s="7">
        <v>2710.85009765625</v>
      </c>
      <c r="CJ423" s="3">
        <v>50</v>
      </c>
      <c r="CK423" s="7">
        <v>2694.5</v>
      </c>
      <c r="CL423" s="3">
        <v>50</v>
      </c>
      <c r="CM423" s="7">
        <v>2699.010009765625</v>
      </c>
      <c r="CN423" s="10">
        <v>44783.638194444444</v>
      </c>
      <c r="CO423" s="10">
        <v>44783.638194444444</v>
      </c>
      <c r="CP423" s="7">
        <v>38295.69921875</v>
      </c>
      <c r="CQ423" s="17" t="s">
        <v>321</v>
      </c>
      <c r="CR423" s="10">
        <v>44783.638194444444</v>
      </c>
      <c r="CS423" s="12">
        <v>0.34101009368896484</v>
      </c>
      <c r="CT423" s="18">
        <v>4.8730126728822026E-3</v>
      </c>
      <c r="CU423" s="3">
        <v>175</v>
      </c>
      <c r="CV423" s="18">
        <v>0.42857142857142855</v>
      </c>
      <c r="CW423" s="7">
        <v>2724</v>
      </c>
      <c r="CX423" s="18">
        <v>0</v>
      </c>
      <c r="CY423" s="7">
        <v>1.6499999761581421</v>
      </c>
      <c r="CZ423" s="18">
        <v>0</v>
      </c>
      <c r="DA423" s="3">
        <v>846725</v>
      </c>
      <c r="DB423" s="18">
        <v>7.3784286515692812E-2</v>
      </c>
      <c r="DC423" s="11">
        <v>2.2351741790771484E-4</v>
      </c>
      <c r="DD423" s="18">
        <v>4.4806234542595856E-6</v>
      </c>
      <c r="DE423" s="7">
        <v>1.6499999761581421</v>
      </c>
      <c r="DF423" s="7">
        <v>2724</v>
      </c>
      <c r="DG423" s="7">
        <v>38295.69921875</v>
      </c>
      <c r="DH423" s="3" t="s">
        <v>312</v>
      </c>
      <c r="DI423" s="3" t="s">
        <v>312</v>
      </c>
      <c r="DJ423" s="3" t="s">
        <v>314</v>
      </c>
      <c r="DK423" s="3">
        <v>38300</v>
      </c>
      <c r="DL423" s="3">
        <v>3400000</v>
      </c>
      <c r="DM423" s="3">
        <v>38500</v>
      </c>
      <c r="DN423" s="3">
        <v>0</v>
      </c>
      <c r="DO423" s="3">
        <v>24500</v>
      </c>
      <c r="DP423" s="3">
        <v>2863350</v>
      </c>
      <c r="DQ423" s="28">
        <v>38000</v>
      </c>
      <c r="DR423" s="32">
        <v>0</v>
      </c>
      <c r="DS423" s="32">
        <v>24500</v>
      </c>
      <c r="DT423" s="32" t="s">
        <v>33</v>
      </c>
      <c r="DU423" s="69">
        <v>44784</v>
      </c>
    </row>
    <row r="424" spans="1:125" x14ac:dyDescent="0.25">
      <c r="A424" t="s">
        <v>139</v>
      </c>
      <c r="B424" s="2">
        <v>44859</v>
      </c>
      <c r="C424" s="1">
        <v>75</v>
      </c>
      <c r="D424">
        <v>138</v>
      </c>
      <c r="M424" s="3"/>
      <c r="N424" s="3"/>
      <c r="O424" s="3">
        <v>41100</v>
      </c>
      <c r="P424" s="7">
        <v>0</v>
      </c>
      <c r="Q424" s="7">
        <v>0</v>
      </c>
      <c r="R424" s="7">
        <v>0</v>
      </c>
      <c r="S424" s="7">
        <v>0</v>
      </c>
      <c r="T424" s="11">
        <v>0</v>
      </c>
      <c r="U424" s="11">
        <v>0</v>
      </c>
      <c r="V424" s="11">
        <v>0</v>
      </c>
      <c r="W424" s="11">
        <v>0</v>
      </c>
      <c r="X424" s="14">
        <v>0</v>
      </c>
      <c r="Y424" s="14">
        <v>0</v>
      </c>
      <c r="Z424" s="14">
        <v>0</v>
      </c>
      <c r="AA424" s="14">
        <v>0</v>
      </c>
      <c r="AB424" s="15">
        <v>0</v>
      </c>
      <c r="AC424" s="15">
        <v>0</v>
      </c>
      <c r="AD424" s="13">
        <v>0</v>
      </c>
      <c r="AE424" s="13">
        <v>0</v>
      </c>
      <c r="AF424" s="12">
        <v>0</v>
      </c>
      <c r="AG424" s="12">
        <v>0</v>
      </c>
      <c r="AH424" s="13">
        <v>0</v>
      </c>
      <c r="AI424" s="13">
        <v>0</v>
      </c>
      <c r="AJ424" s="11">
        <v>0</v>
      </c>
      <c r="AK424" s="11">
        <v>0</v>
      </c>
      <c r="AL424" s="11">
        <v>0</v>
      </c>
      <c r="AM424" s="11">
        <v>0</v>
      </c>
      <c r="AN424" s="11">
        <v>0</v>
      </c>
      <c r="AO424" s="11">
        <v>0</v>
      </c>
      <c r="AP424" s="11">
        <v>0</v>
      </c>
      <c r="AQ424" s="11">
        <v>0</v>
      </c>
      <c r="AR424" s="16">
        <v>0</v>
      </c>
      <c r="AS424" s="16">
        <v>0</v>
      </c>
      <c r="AT424" s="16">
        <v>0</v>
      </c>
      <c r="AU424" s="7">
        <v>0</v>
      </c>
      <c r="AV424" s="7">
        <v>0</v>
      </c>
      <c r="AW424" s="7">
        <v>0</v>
      </c>
      <c r="AX424" s="7">
        <v>0</v>
      </c>
      <c r="AY424" s="11">
        <v>0</v>
      </c>
      <c r="AZ424" s="16">
        <v>0</v>
      </c>
      <c r="BA424" s="16">
        <v>0</v>
      </c>
      <c r="BB424" s="16">
        <v>0</v>
      </c>
      <c r="BC424" s="11">
        <v>0</v>
      </c>
      <c r="BD424" s="11">
        <v>0</v>
      </c>
      <c r="BE424" s="11">
        <v>0</v>
      </c>
      <c r="BF424" s="11">
        <v>0</v>
      </c>
      <c r="BG424" s="11">
        <v>0</v>
      </c>
      <c r="BH424" s="11">
        <v>0</v>
      </c>
      <c r="BI424" s="13">
        <v>0</v>
      </c>
      <c r="BJ424" s="13">
        <v>0</v>
      </c>
      <c r="BK424" s="11">
        <v>0</v>
      </c>
      <c r="BL424" s="12">
        <v>0</v>
      </c>
      <c r="BM424" s="12">
        <v>0</v>
      </c>
      <c r="BN424" s="13">
        <v>0</v>
      </c>
      <c r="BO424" s="13">
        <v>0</v>
      </c>
      <c r="BP424" s="15">
        <v>0</v>
      </c>
      <c r="BQ424" s="15">
        <v>0</v>
      </c>
      <c r="BR424" s="14">
        <v>0</v>
      </c>
      <c r="BS424" s="14">
        <v>0</v>
      </c>
      <c r="BT424" s="14">
        <v>0</v>
      </c>
      <c r="BU424" s="14">
        <v>0</v>
      </c>
      <c r="BV424" s="11">
        <v>0</v>
      </c>
      <c r="BW424" s="11">
        <v>0</v>
      </c>
      <c r="BX424" s="11">
        <v>0</v>
      </c>
      <c r="BY424" s="11">
        <v>0</v>
      </c>
      <c r="BZ424" s="7">
        <v>0</v>
      </c>
      <c r="CA424" s="7">
        <v>0</v>
      </c>
      <c r="CB424" s="7">
        <v>0</v>
      </c>
      <c r="CC424" s="7">
        <v>0</v>
      </c>
      <c r="CD424" s="7">
        <v>0</v>
      </c>
      <c r="CE424" s="3">
        <v>0</v>
      </c>
      <c r="CF424" s="7">
        <v>0</v>
      </c>
      <c r="CG424" s="3">
        <v>0</v>
      </c>
      <c r="CH424" s="7">
        <v>0</v>
      </c>
      <c r="CI424" s="7">
        <v>0</v>
      </c>
      <c r="CJ424" s="3">
        <v>0</v>
      </c>
      <c r="CK424" s="7">
        <v>0</v>
      </c>
      <c r="CL424" s="3">
        <v>0</v>
      </c>
      <c r="CM424" s="7">
        <v>0</v>
      </c>
      <c r="CN424" s="10">
        <v>44783.636701388888</v>
      </c>
      <c r="CO424" s="10">
        <v>44783.636701388888</v>
      </c>
      <c r="CP424" s="7">
        <v>38295.69921875</v>
      </c>
      <c r="CQ424" s="17" t="s">
        <v>321</v>
      </c>
      <c r="CR424" s="10">
        <v>44783.638194444444</v>
      </c>
      <c r="CS424" s="12">
        <v>0</v>
      </c>
      <c r="CT424" s="18"/>
      <c r="CU424" s="3">
        <v>0</v>
      </c>
      <c r="CV424" s="18"/>
      <c r="CW424" s="7">
        <v>0</v>
      </c>
      <c r="CX424" s="18"/>
      <c r="CY424" s="7">
        <v>0</v>
      </c>
      <c r="CZ424" s="18"/>
      <c r="DA424" s="3">
        <v>0</v>
      </c>
      <c r="DB424" s="18"/>
      <c r="DC424" s="11">
        <v>0</v>
      </c>
      <c r="DD424" s="18"/>
      <c r="DE424" s="7">
        <v>0</v>
      </c>
      <c r="DF424" s="7">
        <v>0</v>
      </c>
      <c r="DG424" s="7">
        <v>38295.69921875</v>
      </c>
      <c r="DH424" s="3" t="s">
        <v>312</v>
      </c>
      <c r="DI424" s="3" t="s">
        <v>312</v>
      </c>
      <c r="DJ424" s="3" t="s">
        <v>314</v>
      </c>
      <c r="DK424" s="3">
        <v>38300</v>
      </c>
      <c r="DL424" s="3">
        <v>3400000</v>
      </c>
      <c r="DM424" s="3">
        <v>38500</v>
      </c>
      <c r="DN424" s="3">
        <v>0</v>
      </c>
      <c r="DO424" s="3">
        <v>24500</v>
      </c>
      <c r="DP424" s="3">
        <v>2863350</v>
      </c>
      <c r="DQ424" s="28">
        <v>38000</v>
      </c>
      <c r="DR424" s="32">
        <v>0</v>
      </c>
      <c r="DS424" s="32">
        <v>24500</v>
      </c>
      <c r="DT424" s="32" t="s">
        <v>33</v>
      </c>
      <c r="DU424" s="69">
        <v>44784</v>
      </c>
    </row>
    <row r="425" spans="1:125" x14ac:dyDescent="0.25">
      <c r="A425" t="s">
        <v>140</v>
      </c>
      <c r="B425" s="2">
        <v>44798</v>
      </c>
      <c r="C425" s="1">
        <v>200</v>
      </c>
      <c r="D425">
        <v>69</v>
      </c>
      <c r="M425" s="3"/>
      <c r="N425" s="3"/>
      <c r="O425" s="3">
        <v>41200</v>
      </c>
      <c r="P425" s="7">
        <v>0</v>
      </c>
      <c r="Q425" s="7">
        <v>0</v>
      </c>
      <c r="R425" s="7">
        <v>0</v>
      </c>
      <c r="S425" s="7">
        <v>0</v>
      </c>
      <c r="T425" s="11">
        <v>0</v>
      </c>
      <c r="U425" s="11">
        <v>0</v>
      </c>
      <c r="V425" s="11">
        <v>0</v>
      </c>
      <c r="W425" s="11">
        <v>0</v>
      </c>
      <c r="X425" s="14">
        <v>0</v>
      </c>
      <c r="Y425" s="14">
        <v>0</v>
      </c>
      <c r="Z425" s="14">
        <v>0</v>
      </c>
      <c r="AA425" s="14">
        <v>0</v>
      </c>
      <c r="AB425" s="15">
        <v>0</v>
      </c>
      <c r="AC425" s="15">
        <v>0</v>
      </c>
      <c r="AD425" s="13">
        <v>0</v>
      </c>
      <c r="AE425" s="13">
        <v>0</v>
      </c>
      <c r="AF425" s="12">
        <v>0</v>
      </c>
      <c r="AG425" s="12">
        <v>0</v>
      </c>
      <c r="AH425" s="13">
        <v>0</v>
      </c>
      <c r="AI425" s="13">
        <v>0</v>
      </c>
      <c r="AJ425" s="11">
        <v>0</v>
      </c>
      <c r="AK425" s="11">
        <v>0</v>
      </c>
      <c r="AL425" s="11">
        <v>0</v>
      </c>
      <c r="AM425" s="11">
        <v>0</v>
      </c>
      <c r="AN425" s="11">
        <v>0</v>
      </c>
      <c r="AO425" s="11">
        <v>0</v>
      </c>
      <c r="AP425" s="11">
        <v>0</v>
      </c>
      <c r="AQ425" s="11">
        <v>0</v>
      </c>
      <c r="AR425" s="16">
        <v>0</v>
      </c>
      <c r="AS425" s="16">
        <v>0</v>
      </c>
      <c r="AT425" s="16">
        <v>0</v>
      </c>
      <c r="AU425" s="7">
        <v>0</v>
      </c>
      <c r="AV425" s="7">
        <v>0</v>
      </c>
      <c r="AW425" s="7">
        <v>0</v>
      </c>
      <c r="AX425" s="7">
        <v>0</v>
      </c>
      <c r="AY425" s="11">
        <v>0</v>
      </c>
      <c r="AZ425" s="16">
        <v>0</v>
      </c>
      <c r="BA425" s="16">
        <v>0</v>
      </c>
      <c r="BB425" s="16">
        <v>0</v>
      </c>
      <c r="BC425" s="11">
        <v>0</v>
      </c>
      <c r="BD425" s="11">
        <v>0</v>
      </c>
      <c r="BE425" s="11">
        <v>0</v>
      </c>
      <c r="BF425" s="11">
        <v>0</v>
      </c>
      <c r="BG425" s="11">
        <v>0</v>
      </c>
      <c r="BH425" s="11">
        <v>0</v>
      </c>
      <c r="BI425" s="13">
        <v>0</v>
      </c>
      <c r="BJ425" s="13">
        <v>0</v>
      </c>
      <c r="BK425" s="11">
        <v>0</v>
      </c>
      <c r="BL425" s="12">
        <v>0</v>
      </c>
      <c r="BM425" s="12">
        <v>0</v>
      </c>
      <c r="BN425" s="13">
        <v>0</v>
      </c>
      <c r="BO425" s="13">
        <v>0</v>
      </c>
      <c r="BP425" s="15">
        <v>0</v>
      </c>
      <c r="BQ425" s="15">
        <v>0</v>
      </c>
      <c r="BR425" s="14">
        <v>0</v>
      </c>
      <c r="BS425" s="14">
        <v>0</v>
      </c>
      <c r="BT425" s="14">
        <v>0</v>
      </c>
      <c r="BU425" s="14">
        <v>0</v>
      </c>
      <c r="BV425" s="11">
        <v>0</v>
      </c>
      <c r="BW425" s="11">
        <v>0</v>
      </c>
      <c r="BX425" s="11">
        <v>0</v>
      </c>
      <c r="BY425" s="11">
        <v>0</v>
      </c>
      <c r="BZ425" s="7">
        <v>0</v>
      </c>
      <c r="CA425" s="7">
        <v>0</v>
      </c>
      <c r="CB425" s="7">
        <v>0</v>
      </c>
      <c r="CC425" s="7">
        <v>0</v>
      </c>
      <c r="CD425" s="7">
        <v>0</v>
      </c>
      <c r="CE425" s="3">
        <v>0</v>
      </c>
      <c r="CF425" s="7">
        <v>0</v>
      </c>
      <c r="CG425" s="3">
        <v>0</v>
      </c>
      <c r="CH425" s="7">
        <v>0</v>
      </c>
      <c r="CI425" s="7">
        <v>0</v>
      </c>
      <c r="CJ425" s="3">
        <v>0</v>
      </c>
      <c r="CK425" s="7">
        <v>0</v>
      </c>
      <c r="CL425" s="3">
        <v>0</v>
      </c>
      <c r="CM425" s="7">
        <v>0</v>
      </c>
      <c r="CN425" s="10">
        <v>44783.636701388888</v>
      </c>
      <c r="CO425" s="10">
        <v>44783.636701388888</v>
      </c>
      <c r="CP425" s="7">
        <v>38295.69921875</v>
      </c>
      <c r="CQ425" s="17" t="s">
        <v>321</v>
      </c>
      <c r="CR425" s="10">
        <v>44783.638194444444</v>
      </c>
      <c r="CS425" s="12">
        <v>0</v>
      </c>
      <c r="CT425" s="18"/>
      <c r="CU425" s="3">
        <v>0</v>
      </c>
      <c r="CV425" s="18"/>
      <c r="CW425" s="7">
        <v>0</v>
      </c>
      <c r="CX425" s="18"/>
      <c r="CY425" s="7">
        <v>0</v>
      </c>
      <c r="CZ425" s="18"/>
      <c r="DA425" s="3">
        <v>0</v>
      </c>
      <c r="DB425" s="18"/>
      <c r="DC425" s="11">
        <v>0</v>
      </c>
      <c r="DD425" s="18"/>
      <c r="DE425" s="7">
        <v>0</v>
      </c>
      <c r="DF425" s="7">
        <v>0</v>
      </c>
      <c r="DG425" s="7">
        <v>38295.69921875</v>
      </c>
      <c r="DH425" s="3" t="s">
        <v>312</v>
      </c>
      <c r="DI425" s="3" t="s">
        <v>312</v>
      </c>
      <c r="DJ425" s="3" t="s">
        <v>314</v>
      </c>
      <c r="DK425" s="3">
        <v>38300</v>
      </c>
      <c r="DL425" s="3">
        <v>3400000</v>
      </c>
      <c r="DM425" s="3">
        <v>38500</v>
      </c>
      <c r="DN425" s="3">
        <v>0</v>
      </c>
      <c r="DO425" s="3">
        <v>24500</v>
      </c>
      <c r="DP425" s="3">
        <v>2863350</v>
      </c>
      <c r="DQ425" s="28">
        <v>38000</v>
      </c>
      <c r="DR425" s="32">
        <v>0</v>
      </c>
      <c r="DS425" s="32">
        <v>24500</v>
      </c>
      <c r="DT425" s="32" t="s">
        <v>33</v>
      </c>
      <c r="DU425" s="69">
        <v>44784</v>
      </c>
    </row>
    <row r="426" spans="1:125" x14ac:dyDescent="0.25">
      <c r="A426" t="s">
        <v>140</v>
      </c>
      <c r="B426" s="2">
        <v>44833</v>
      </c>
      <c r="C426" s="1">
        <v>200</v>
      </c>
      <c r="D426">
        <v>69</v>
      </c>
      <c r="M426" s="3"/>
      <c r="N426" s="3"/>
      <c r="O426" s="3">
        <v>41300</v>
      </c>
      <c r="P426" s="7">
        <v>0</v>
      </c>
      <c r="Q426" s="7">
        <v>0</v>
      </c>
      <c r="R426" s="7">
        <v>0</v>
      </c>
      <c r="S426" s="7">
        <v>0</v>
      </c>
      <c r="T426" s="11">
        <v>0</v>
      </c>
      <c r="U426" s="11">
        <v>0</v>
      </c>
      <c r="V426" s="11">
        <v>0</v>
      </c>
      <c r="W426" s="11">
        <v>0</v>
      </c>
      <c r="X426" s="14">
        <v>0</v>
      </c>
      <c r="Y426" s="14">
        <v>0</v>
      </c>
      <c r="Z426" s="14">
        <v>0</v>
      </c>
      <c r="AA426" s="14">
        <v>0</v>
      </c>
      <c r="AB426" s="15">
        <v>0</v>
      </c>
      <c r="AC426" s="15">
        <v>0</v>
      </c>
      <c r="AD426" s="13">
        <v>0</v>
      </c>
      <c r="AE426" s="13">
        <v>0</v>
      </c>
      <c r="AF426" s="12">
        <v>0</v>
      </c>
      <c r="AG426" s="12">
        <v>0</v>
      </c>
      <c r="AH426" s="13">
        <v>0</v>
      </c>
      <c r="AI426" s="13">
        <v>0</v>
      </c>
      <c r="AJ426" s="11">
        <v>0</v>
      </c>
      <c r="AK426" s="11">
        <v>0</v>
      </c>
      <c r="AL426" s="11">
        <v>0</v>
      </c>
      <c r="AM426" s="11">
        <v>0</v>
      </c>
      <c r="AN426" s="11">
        <v>0</v>
      </c>
      <c r="AO426" s="11">
        <v>0</v>
      </c>
      <c r="AP426" s="11">
        <v>0</v>
      </c>
      <c r="AQ426" s="11">
        <v>0</v>
      </c>
      <c r="AR426" s="16">
        <v>0</v>
      </c>
      <c r="AS426" s="16">
        <v>0</v>
      </c>
      <c r="AT426" s="16">
        <v>0</v>
      </c>
      <c r="AU426" s="7">
        <v>0</v>
      </c>
      <c r="AV426" s="7">
        <v>0</v>
      </c>
      <c r="AW426" s="7">
        <v>0</v>
      </c>
      <c r="AX426" s="7">
        <v>0</v>
      </c>
      <c r="AY426" s="11">
        <v>0</v>
      </c>
      <c r="AZ426" s="16">
        <v>0</v>
      </c>
      <c r="BA426" s="16">
        <v>0</v>
      </c>
      <c r="BB426" s="16">
        <v>0</v>
      </c>
      <c r="BC426" s="11">
        <v>0</v>
      </c>
      <c r="BD426" s="11">
        <v>0</v>
      </c>
      <c r="BE426" s="11">
        <v>0</v>
      </c>
      <c r="BF426" s="11">
        <v>0</v>
      </c>
      <c r="BG426" s="11">
        <v>0</v>
      </c>
      <c r="BH426" s="11">
        <v>0</v>
      </c>
      <c r="BI426" s="13">
        <v>0</v>
      </c>
      <c r="BJ426" s="13">
        <v>0</v>
      </c>
      <c r="BK426" s="11">
        <v>0</v>
      </c>
      <c r="BL426" s="12">
        <v>0</v>
      </c>
      <c r="BM426" s="12">
        <v>0</v>
      </c>
      <c r="BN426" s="13">
        <v>0</v>
      </c>
      <c r="BO426" s="13">
        <v>0</v>
      </c>
      <c r="BP426" s="15">
        <v>0</v>
      </c>
      <c r="BQ426" s="15">
        <v>0</v>
      </c>
      <c r="BR426" s="14">
        <v>0</v>
      </c>
      <c r="BS426" s="14">
        <v>0</v>
      </c>
      <c r="BT426" s="14">
        <v>0</v>
      </c>
      <c r="BU426" s="14">
        <v>0</v>
      </c>
      <c r="BV426" s="11">
        <v>0</v>
      </c>
      <c r="BW426" s="11">
        <v>0</v>
      </c>
      <c r="BX426" s="11">
        <v>0</v>
      </c>
      <c r="BY426" s="11">
        <v>0</v>
      </c>
      <c r="BZ426" s="7">
        <v>0</v>
      </c>
      <c r="CA426" s="7">
        <v>0</v>
      </c>
      <c r="CB426" s="7">
        <v>0</v>
      </c>
      <c r="CC426" s="7">
        <v>0</v>
      </c>
      <c r="CD426" s="7">
        <v>0</v>
      </c>
      <c r="CE426" s="3">
        <v>0</v>
      </c>
      <c r="CF426" s="7">
        <v>0</v>
      </c>
      <c r="CG426" s="3">
        <v>0</v>
      </c>
      <c r="CH426" s="7">
        <v>0</v>
      </c>
      <c r="CI426" s="7">
        <v>0</v>
      </c>
      <c r="CJ426" s="3">
        <v>0</v>
      </c>
      <c r="CK426" s="7">
        <v>0</v>
      </c>
      <c r="CL426" s="3">
        <v>0</v>
      </c>
      <c r="CM426" s="7">
        <v>0</v>
      </c>
      <c r="CN426" s="10">
        <v>44783.636701388888</v>
      </c>
      <c r="CO426" s="10">
        <v>44783.636701388888</v>
      </c>
      <c r="CP426" s="7">
        <v>38295.69921875</v>
      </c>
      <c r="CQ426" s="17" t="s">
        <v>321</v>
      </c>
      <c r="CR426" s="10">
        <v>44783.638194444444</v>
      </c>
      <c r="CS426" s="12">
        <v>0</v>
      </c>
      <c r="CT426" s="18"/>
      <c r="CU426" s="3">
        <v>0</v>
      </c>
      <c r="CV426" s="18"/>
      <c r="CW426" s="7">
        <v>0</v>
      </c>
      <c r="CX426" s="18"/>
      <c r="CY426" s="7">
        <v>0</v>
      </c>
      <c r="CZ426" s="18"/>
      <c r="DA426" s="3">
        <v>0</v>
      </c>
      <c r="DB426" s="18"/>
      <c r="DC426" s="11">
        <v>0</v>
      </c>
      <c r="DD426" s="18"/>
      <c r="DE426" s="7">
        <v>0</v>
      </c>
      <c r="DF426" s="7">
        <v>0</v>
      </c>
      <c r="DG426" s="7">
        <v>38295.69921875</v>
      </c>
      <c r="DH426" s="3" t="s">
        <v>312</v>
      </c>
      <c r="DI426" s="3" t="s">
        <v>312</v>
      </c>
      <c r="DJ426" s="3" t="s">
        <v>314</v>
      </c>
      <c r="DK426" s="3">
        <v>38300</v>
      </c>
      <c r="DL426" s="3">
        <v>3400000</v>
      </c>
      <c r="DM426" s="3">
        <v>38500</v>
      </c>
      <c r="DN426" s="3">
        <v>0</v>
      </c>
      <c r="DO426" s="3">
        <v>24500</v>
      </c>
      <c r="DP426" s="3">
        <v>2863350</v>
      </c>
      <c r="DQ426" s="28">
        <v>38000</v>
      </c>
      <c r="DR426" s="32">
        <v>0</v>
      </c>
      <c r="DS426" s="32">
        <v>24500</v>
      </c>
      <c r="DT426" s="32" t="s">
        <v>33</v>
      </c>
      <c r="DU426" s="69">
        <v>44784</v>
      </c>
    </row>
    <row r="427" spans="1:125" x14ac:dyDescent="0.25">
      <c r="A427" t="s">
        <v>140</v>
      </c>
      <c r="B427" s="2">
        <v>44861</v>
      </c>
      <c r="C427" s="1">
        <v>200</v>
      </c>
      <c r="D427">
        <v>69</v>
      </c>
      <c r="M427" s="3"/>
      <c r="N427" s="3"/>
      <c r="O427" s="3">
        <v>41400</v>
      </c>
      <c r="P427" s="7">
        <v>0</v>
      </c>
      <c r="Q427" s="7">
        <v>0</v>
      </c>
      <c r="R427" s="7">
        <v>0</v>
      </c>
      <c r="S427" s="7">
        <v>0</v>
      </c>
      <c r="T427" s="11">
        <v>0</v>
      </c>
      <c r="U427" s="11">
        <v>0</v>
      </c>
      <c r="V427" s="11">
        <v>0</v>
      </c>
      <c r="W427" s="11">
        <v>0</v>
      </c>
      <c r="X427" s="14">
        <v>0</v>
      </c>
      <c r="Y427" s="14">
        <v>0</v>
      </c>
      <c r="Z427" s="14">
        <v>0</v>
      </c>
      <c r="AA427" s="14">
        <v>0</v>
      </c>
      <c r="AB427" s="15">
        <v>0</v>
      </c>
      <c r="AC427" s="15">
        <v>0</v>
      </c>
      <c r="AD427" s="13">
        <v>0</v>
      </c>
      <c r="AE427" s="13">
        <v>0</v>
      </c>
      <c r="AF427" s="12">
        <v>0</v>
      </c>
      <c r="AG427" s="12">
        <v>0</v>
      </c>
      <c r="AH427" s="13">
        <v>0</v>
      </c>
      <c r="AI427" s="13">
        <v>0</v>
      </c>
      <c r="AJ427" s="11">
        <v>0</v>
      </c>
      <c r="AK427" s="11">
        <v>0</v>
      </c>
      <c r="AL427" s="11">
        <v>0</v>
      </c>
      <c r="AM427" s="11">
        <v>0</v>
      </c>
      <c r="AN427" s="11">
        <v>0</v>
      </c>
      <c r="AO427" s="11">
        <v>0</v>
      </c>
      <c r="AP427" s="11">
        <v>0</v>
      </c>
      <c r="AQ427" s="11">
        <v>0</v>
      </c>
      <c r="AR427" s="16">
        <v>0</v>
      </c>
      <c r="AS427" s="16">
        <v>0</v>
      </c>
      <c r="AT427" s="16">
        <v>0</v>
      </c>
      <c r="AU427" s="7">
        <v>0</v>
      </c>
      <c r="AV427" s="7">
        <v>0</v>
      </c>
      <c r="AW427" s="7">
        <v>0</v>
      </c>
      <c r="AX427" s="7">
        <v>0</v>
      </c>
      <c r="AY427" s="11">
        <v>0</v>
      </c>
      <c r="AZ427" s="16">
        <v>0</v>
      </c>
      <c r="BA427" s="16">
        <v>0</v>
      </c>
      <c r="BB427" s="16">
        <v>0</v>
      </c>
      <c r="BC427" s="11">
        <v>0</v>
      </c>
      <c r="BD427" s="11">
        <v>0</v>
      </c>
      <c r="BE427" s="11">
        <v>0</v>
      </c>
      <c r="BF427" s="11">
        <v>0</v>
      </c>
      <c r="BG427" s="11">
        <v>0</v>
      </c>
      <c r="BH427" s="11">
        <v>0</v>
      </c>
      <c r="BI427" s="13">
        <v>0</v>
      </c>
      <c r="BJ427" s="13">
        <v>0</v>
      </c>
      <c r="BK427" s="11">
        <v>0</v>
      </c>
      <c r="BL427" s="12">
        <v>0</v>
      </c>
      <c r="BM427" s="12">
        <v>0</v>
      </c>
      <c r="BN427" s="13">
        <v>0</v>
      </c>
      <c r="BO427" s="13">
        <v>0</v>
      </c>
      <c r="BP427" s="15">
        <v>0</v>
      </c>
      <c r="BQ427" s="15">
        <v>0</v>
      </c>
      <c r="BR427" s="14">
        <v>0</v>
      </c>
      <c r="BS427" s="14">
        <v>0</v>
      </c>
      <c r="BT427" s="14">
        <v>0</v>
      </c>
      <c r="BU427" s="14">
        <v>0</v>
      </c>
      <c r="BV427" s="11">
        <v>0</v>
      </c>
      <c r="BW427" s="11">
        <v>0</v>
      </c>
      <c r="BX427" s="11">
        <v>0</v>
      </c>
      <c r="BY427" s="11">
        <v>0</v>
      </c>
      <c r="BZ427" s="7">
        <v>0</v>
      </c>
      <c r="CA427" s="7">
        <v>0</v>
      </c>
      <c r="CB427" s="7">
        <v>0</v>
      </c>
      <c r="CC427" s="7">
        <v>0</v>
      </c>
      <c r="CD427" s="7">
        <v>0</v>
      </c>
      <c r="CE427" s="3">
        <v>0</v>
      </c>
      <c r="CF427" s="7">
        <v>0</v>
      </c>
      <c r="CG427" s="3">
        <v>0</v>
      </c>
      <c r="CH427" s="7">
        <v>0</v>
      </c>
      <c r="CI427" s="7">
        <v>0</v>
      </c>
      <c r="CJ427" s="3">
        <v>0</v>
      </c>
      <c r="CK427" s="7">
        <v>0</v>
      </c>
      <c r="CL427" s="3">
        <v>0</v>
      </c>
      <c r="CM427" s="7">
        <v>0</v>
      </c>
      <c r="CN427" s="10">
        <v>44783.636701388888</v>
      </c>
      <c r="CO427" s="10">
        <v>44783.636701388888</v>
      </c>
      <c r="CP427" s="7">
        <v>38295.69921875</v>
      </c>
      <c r="CQ427" s="17" t="s">
        <v>321</v>
      </c>
      <c r="CR427" s="10">
        <v>44783.638194444444</v>
      </c>
      <c r="CS427" s="12">
        <v>0</v>
      </c>
      <c r="CT427" s="18"/>
      <c r="CU427" s="3">
        <v>0</v>
      </c>
      <c r="CV427" s="18"/>
      <c r="CW427" s="7">
        <v>0</v>
      </c>
      <c r="CX427" s="18"/>
      <c r="CY427" s="7">
        <v>0</v>
      </c>
      <c r="CZ427" s="18"/>
      <c r="DA427" s="3">
        <v>0</v>
      </c>
      <c r="DB427" s="18"/>
      <c r="DC427" s="11">
        <v>0</v>
      </c>
      <c r="DD427" s="18"/>
      <c r="DE427" s="7">
        <v>0</v>
      </c>
      <c r="DF427" s="7">
        <v>0</v>
      </c>
      <c r="DG427" s="7">
        <v>38295.69921875</v>
      </c>
      <c r="DH427" s="3" t="s">
        <v>312</v>
      </c>
      <c r="DI427" s="3" t="s">
        <v>312</v>
      </c>
      <c r="DJ427" s="3" t="s">
        <v>314</v>
      </c>
      <c r="DK427" s="3">
        <v>38300</v>
      </c>
      <c r="DL427" s="3">
        <v>3400000</v>
      </c>
      <c r="DM427" s="3">
        <v>38500</v>
      </c>
      <c r="DN427" s="3">
        <v>0</v>
      </c>
      <c r="DO427" s="3">
        <v>24500</v>
      </c>
      <c r="DP427" s="3">
        <v>2863350</v>
      </c>
      <c r="DQ427" s="28">
        <v>38000</v>
      </c>
      <c r="DR427" s="32">
        <v>0</v>
      </c>
      <c r="DS427" s="32">
        <v>24500</v>
      </c>
      <c r="DT427" s="32" t="s">
        <v>33</v>
      </c>
      <c r="DU427" s="69">
        <v>44784</v>
      </c>
    </row>
    <row r="428" spans="1:125" x14ac:dyDescent="0.25">
      <c r="A428" t="s">
        <v>141</v>
      </c>
      <c r="B428" s="2">
        <v>44798</v>
      </c>
      <c r="C428" s="1">
        <v>4500</v>
      </c>
      <c r="D428">
        <v>52</v>
      </c>
      <c r="M428" s="3"/>
      <c r="N428" s="3"/>
      <c r="O428" s="3">
        <v>41500</v>
      </c>
      <c r="P428" s="7">
        <v>3693.949951171875</v>
      </c>
      <c r="Q428" s="7">
        <v>0</v>
      </c>
      <c r="R428" s="7">
        <v>0</v>
      </c>
      <c r="S428" s="7">
        <v>0</v>
      </c>
      <c r="T428" s="11">
        <v>-7.0125732421875</v>
      </c>
      <c r="U428" s="11">
        <v>838.557861328125</v>
      </c>
      <c r="V428" s="11">
        <v>-8.485260009765625</v>
      </c>
      <c r="W428" s="11">
        <v>346.85543823242188</v>
      </c>
      <c r="X428" s="14">
        <v>-3.4332970244577155E-7</v>
      </c>
      <c r="Y428" s="14">
        <v>-1.4339701010612771E-5</v>
      </c>
      <c r="Z428" s="14">
        <v>-2.5851113605313003E-7</v>
      </c>
      <c r="AA428" s="14">
        <v>-1.5483128663618118E-5</v>
      </c>
      <c r="AB428" s="15">
        <v>-1.907967117631415E-10</v>
      </c>
      <c r="AC428" s="15">
        <v>1.2785666747561208E-8</v>
      </c>
      <c r="AD428" s="13">
        <v>1.8043220043182373E-3</v>
      </c>
      <c r="AE428" s="13">
        <v>-0.2135297954082489</v>
      </c>
      <c r="AF428" s="12">
        <v>-3.6743134260177612E-3</v>
      </c>
      <c r="AG428" s="12">
        <v>0.23055636882781982</v>
      </c>
      <c r="AH428" s="13">
        <v>-4.3757609091699123E-8</v>
      </c>
      <c r="AI428" s="13">
        <v>7.8050135925877839E-5</v>
      </c>
      <c r="AJ428" s="11">
        <v>2.1052360534667969E-2</v>
      </c>
      <c r="AK428" s="11">
        <v>6.1825733184814453</v>
      </c>
      <c r="AL428" s="11">
        <v>-6.155029296875</v>
      </c>
      <c r="AM428" s="11">
        <v>-572.59906005859375</v>
      </c>
      <c r="AN428" s="11">
        <v>1.706242561340332E-3</v>
      </c>
      <c r="AO428" s="11">
        <v>-0.77000612020492554</v>
      </c>
      <c r="AP428" s="11">
        <v>191.06681346893311</v>
      </c>
      <c r="AQ428" s="11">
        <v>0</v>
      </c>
      <c r="AR428" s="16">
        <v>0</v>
      </c>
      <c r="AS428" s="16">
        <v>150</v>
      </c>
      <c r="AT428" s="16">
        <v>191.06681346893311</v>
      </c>
      <c r="AU428" s="7">
        <v>0</v>
      </c>
      <c r="AV428" s="7">
        <v>3693.949951171875</v>
      </c>
      <c r="AW428" s="7">
        <v>1.6000000238418579</v>
      </c>
      <c r="AX428" s="7">
        <v>0</v>
      </c>
      <c r="AY428" s="11">
        <v>57.496225833892822</v>
      </c>
      <c r="AZ428" s="16">
        <v>359950</v>
      </c>
      <c r="BA428" s="16">
        <v>-14975</v>
      </c>
      <c r="BB428" s="16">
        <v>1599750</v>
      </c>
      <c r="BC428" s="11">
        <v>4.4199945405125618E-3</v>
      </c>
      <c r="BD428" s="11">
        <v>-5.3551048040390015E-8</v>
      </c>
      <c r="BE428" s="11">
        <v>-1.6000000238418579</v>
      </c>
      <c r="BF428" s="11">
        <v>0</v>
      </c>
      <c r="BG428" s="11">
        <v>0.26327604055404663</v>
      </c>
      <c r="BH428" s="11">
        <v>-8.8512897491455078E-6</v>
      </c>
      <c r="BI428" s="13">
        <v>1.1085018741141539E-5</v>
      </c>
      <c r="BJ428" s="13">
        <v>-2.6648194761946797E-10</v>
      </c>
      <c r="BK428" s="11">
        <v>57.496225833892822</v>
      </c>
      <c r="BL428" s="12">
        <v>56.600376129150391</v>
      </c>
      <c r="BM428" s="12">
        <v>-1.3427734375E-3</v>
      </c>
      <c r="BN428" s="13">
        <v>-15.826977729797363</v>
      </c>
      <c r="BO428" s="13">
        <v>-8.8214874267578125E-4</v>
      </c>
      <c r="BP428" s="15">
        <v>2.4546388033286348E-8</v>
      </c>
      <c r="BQ428" s="15">
        <v>-8.8284934918192448E-13</v>
      </c>
      <c r="BR428" s="14">
        <v>1.1441965034464374E-4</v>
      </c>
      <c r="BS428" s="14">
        <v>-6.4537744037806988E-9</v>
      </c>
      <c r="BT428" s="14">
        <v>3.1994790333556011E-5</v>
      </c>
      <c r="BU428" s="14">
        <v>7.3487171903252602E-10</v>
      </c>
      <c r="BV428" s="11">
        <v>301187.375</v>
      </c>
      <c r="BW428" s="11">
        <v>-13.5625</v>
      </c>
      <c r="BX428" s="11">
        <v>96364.65625</v>
      </c>
      <c r="BY428" s="11">
        <v>3.2734375</v>
      </c>
      <c r="BZ428" s="7">
        <v>1.7999999523162842</v>
      </c>
      <c r="CA428" s="7">
        <v>2.5499999523162842</v>
      </c>
      <c r="CB428" s="7">
        <v>1.6000000238418579</v>
      </c>
      <c r="CC428" s="7">
        <v>1.6000000238418579</v>
      </c>
      <c r="CD428" s="7">
        <v>1.6499999761581421</v>
      </c>
      <c r="CE428" s="3">
        <v>1425</v>
      </c>
      <c r="CF428" s="7">
        <v>1.6000000238418579</v>
      </c>
      <c r="CG428" s="3">
        <v>1225</v>
      </c>
      <c r="CH428" s="7">
        <v>2.1800000667572021</v>
      </c>
      <c r="CI428" s="7">
        <v>3278.60009765625</v>
      </c>
      <c r="CJ428" s="3">
        <v>750</v>
      </c>
      <c r="CK428" s="7">
        <v>3156</v>
      </c>
      <c r="CL428" s="3">
        <v>25</v>
      </c>
      <c r="CM428" s="7">
        <v>0</v>
      </c>
      <c r="CN428" s="10">
        <v>44783.638194444444</v>
      </c>
      <c r="CO428" s="10">
        <v>44783.637499999997</v>
      </c>
      <c r="CP428" s="7">
        <v>38295.69921875</v>
      </c>
      <c r="CQ428" s="17" t="s">
        <v>321</v>
      </c>
      <c r="CR428" s="10">
        <v>44783.638194444444</v>
      </c>
      <c r="CS428" s="12">
        <v>1.0484576225280762</v>
      </c>
      <c r="CT428" s="18">
        <v>5.5176649532509472E-3</v>
      </c>
      <c r="CU428" s="3">
        <v>150</v>
      </c>
      <c r="CV428" s="18">
        <v>0</v>
      </c>
      <c r="CW428" s="7">
        <v>3693.949951171875</v>
      </c>
      <c r="CX428" s="18">
        <v>0</v>
      </c>
      <c r="CY428" s="7">
        <v>1.6000000238418579</v>
      </c>
      <c r="CZ428" s="18">
        <v>0</v>
      </c>
      <c r="DA428" s="3">
        <v>374925</v>
      </c>
      <c r="DB428" s="18">
        <v>-3.9941321597652867E-2</v>
      </c>
      <c r="DC428" s="11">
        <v>2.0802021026611328E-3</v>
      </c>
      <c r="DD428" s="18">
        <v>3.6181111655843606E-5</v>
      </c>
      <c r="DE428" s="7">
        <v>1.6000000238418579</v>
      </c>
      <c r="DF428" s="7">
        <v>3693.949951171875</v>
      </c>
      <c r="DG428" s="7">
        <v>38295.69921875</v>
      </c>
      <c r="DH428" s="3" t="s">
        <v>312</v>
      </c>
      <c r="DI428" s="3" t="s">
        <v>312</v>
      </c>
      <c r="DJ428" s="3" t="s">
        <v>314</v>
      </c>
      <c r="DK428" s="3">
        <v>38300</v>
      </c>
      <c r="DL428" s="3">
        <v>3400000</v>
      </c>
      <c r="DM428" s="3">
        <v>38500</v>
      </c>
      <c r="DN428" s="3">
        <v>0</v>
      </c>
      <c r="DO428" s="3">
        <v>24500</v>
      </c>
      <c r="DP428" s="3">
        <v>2863350</v>
      </c>
      <c r="DQ428" s="28">
        <v>38000</v>
      </c>
      <c r="DR428" s="32">
        <v>0</v>
      </c>
      <c r="DS428" s="32">
        <v>24500</v>
      </c>
      <c r="DT428" s="32" t="s">
        <v>33</v>
      </c>
      <c r="DU428" s="69">
        <v>44784</v>
      </c>
    </row>
    <row r="429" spans="1:125" x14ac:dyDescent="0.25">
      <c r="A429" t="s">
        <v>141</v>
      </c>
      <c r="B429" s="2">
        <v>44833</v>
      </c>
      <c r="C429" s="1">
        <v>4500</v>
      </c>
      <c r="D429">
        <v>52</v>
      </c>
      <c r="M429" s="3"/>
      <c r="N429" s="3"/>
      <c r="O429" s="3">
        <v>41600</v>
      </c>
      <c r="P429" s="7">
        <v>0</v>
      </c>
      <c r="Q429" s="7">
        <v>0</v>
      </c>
      <c r="R429" s="7">
        <v>0</v>
      </c>
      <c r="S429" s="7">
        <v>0</v>
      </c>
      <c r="T429" s="11">
        <v>0</v>
      </c>
      <c r="U429" s="11">
        <v>0</v>
      </c>
      <c r="V429" s="11">
        <v>0</v>
      </c>
      <c r="W429" s="11">
        <v>0</v>
      </c>
      <c r="X429" s="14">
        <v>0</v>
      </c>
      <c r="Y429" s="14">
        <v>0</v>
      </c>
      <c r="Z429" s="14">
        <v>0</v>
      </c>
      <c r="AA429" s="14">
        <v>0</v>
      </c>
      <c r="AB429" s="15">
        <v>0</v>
      </c>
      <c r="AC429" s="15">
        <v>0</v>
      </c>
      <c r="AD429" s="13">
        <v>0</v>
      </c>
      <c r="AE429" s="13">
        <v>0</v>
      </c>
      <c r="AF429" s="12">
        <v>0</v>
      </c>
      <c r="AG429" s="12">
        <v>0</v>
      </c>
      <c r="AH429" s="13">
        <v>0</v>
      </c>
      <c r="AI429" s="13">
        <v>0</v>
      </c>
      <c r="AJ429" s="11">
        <v>0</v>
      </c>
      <c r="AK429" s="11">
        <v>0</v>
      </c>
      <c r="AL429" s="11">
        <v>0</v>
      </c>
      <c r="AM429" s="11">
        <v>0</v>
      </c>
      <c r="AN429" s="11">
        <v>0</v>
      </c>
      <c r="AO429" s="11">
        <v>0</v>
      </c>
      <c r="AP429" s="11">
        <v>0</v>
      </c>
      <c r="AQ429" s="11">
        <v>0</v>
      </c>
      <c r="AR429" s="16">
        <v>0</v>
      </c>
      <c r="AS429" s="16">
        <v>0</v>
      </c>
      <c r="AT429" s="16">
        <v>0</v>
      </c>
      <c r="AU429" s="7">
        <v>0</v>
      </c>
      <c r="AV429" s="7">
        <v>0</v>
      </c>
      <c r="AW429" s="7">
        <v>0</v>
      </c>
      <c r="AX429" s="7">
        <v>0</v>
      </c>
      <c r="AY429" s="11">
        <v>0</v>
      </c>
      <c r="AZ429" s="16">
        <v>0</v>
      </c>
      <c r="BA429" s="16">
        <v>0</v>
      </c>
      <c r="BB429" s="16">
        <v>0</v>
      </c>
      <c r="BC429" s="11">
        <v>0</v>
      </c>
      <c r="BD429" s="11">
        <v>0</v>
      </c>
      <c r="BE429" s="11">
        <v>0</v>
      </c>
      <c r="BF429" s="11">
        <v>0</v>
      </c>
      <c r="BG429" s="11">
        <v>0</v>
      </c>
      <c r="BH429" s="11">
        <v>0</v>
      </c>
      <c r="BI429" s="13">
        <v>0</v>
      </c>
      <c r="BJ429" s="13">
        <v>0</v>
      </c>
      <c r="BK429" s="11">
        <v>0</v>
      </c>
      <c r="BL429" s="12">
        <v>0</v>
      </c>
      <c r="BM429" s="12">
        <v>0</v>
      </c>
      <c r="BN429" s="13">
        <v>0</v>
      </c>
      <c r="BO429" s="13">
        <v>0</v>
      </c>
      <c r="BP429" s="15">
        <v>0</v>
      </c>
      <c r="BQ429" s="15">
        <v>0</v>
      </c>
      <c r="BR429" s="14">
        <v>0</v>
      </c>
      <c r="BS429" s="14">
        <v>0</v>
      </c>
      <c r="BT429" s="14">
        <v>0</v>
      </c>
      <c r="BU429" s="14">
        <v>0</v>
      </c>
      <c r="BV429" s="11">
        <v>0</v>
      </c>
      <c r="BW429" s="11">
        <v>0</v>
      </c>
      <c r="BX429" s="11">
        <v>0</v>
      </c>
      <c r="BY429" s="11">
        <v>0</v>
      </c>
      <c r="BZ429" s="7">
        <v>0</v>
      </c>
      <c r="CA429" s="7">
        <v>0</v>
      </c>
      <c r="CB429" s="7">
        <v>0</v>
      </c>
      <c r="CC429" s="7">
        <v>0</v>
      </c>
      <c r="CD429" s="7">
        <v>0</v>
      </c>
      <c r="CE429" s="3">
        <v>0</v>
      </c>
      <c r="CF429" s="7">
        <v>0</v>
      </c>
      <c r="CG429" s="3">
        <v>0</v>
      </c>
      <c r="CH429" s="7">
        <v>0</v>
      </c>
      <c r="CI429" s="7">
        <v>0</v>
      </c>
      <c r="CJ429" s="3">
        <v>0</v>
      </c>
      <c r="CK429" s="7">
        <v>0</v>
      </c>
      <c r="CL429" s="3">
        <v>0</v>
      </c>
      <c r="CM429" s="7">
        <v>0</v>
      </c>
      <c r="CN429" s="10">
        <v>44783.636701388888</v>
      </c>
      <c r="CO429" s="10">
        <v>44783.636701388888</v>
      </c>
      <c r="CP429" s="7">
        <v>38295.69921875</v>
      </c>
      <c r="CQ429" s="17" t="s">
        <v>321</v>
      </c>
      <c r="CR429" s="10">
        <v>44783.638194444444</v>
      </c>
      <c r="CS429" s="12">
        <v>0</v>
      </c>
      <c r="CT429" s="18"/>
      <c r="CU429" s="3">
        <v>0</v>
      </c>
      <c r="CV429" s="18"/>
      <c r="CW429" s="7">
        <v>0</v>
      </c>
      <c r="CX429" s="18"/>
      <c r="CY429" s="7">
        <v>0</v>
      </c>
      <c r="CZ429" s="18"/>
      <c r="DA429" s="3">
        <v>0</v>
      </c>
      <c r="DB429" s="18"/>
      <c r="DC429" s="11">
        <v>0</v>
      </c>
      <c r="DD429" s="18"/>
      <c r="DE429" s="7">
        <v>0</v>
      </c>
      <c r="DF429" s="7">
        <v>0</v>
      </c>
      <c r="DG429" s="7">
        <v>38295.69921875</v>
      </c>
      <c r="DH429" s="3" t="s">
        <v>312</v>
      </c>
      <c r="DI429" s="3" t="s">
        <v>312</v>
      </c>
      <c r="DJ429" s="3" t="s">
        <v>314</v>
      </c>
      <c r="DK429" s="3">
        <v>38300</v>
      </c>
      <c r="DL429" s="3">
        <v>3400000</v>
      </c>
      <c r="DM429" s="3">
        <v>38500</v>
      </c>
      <c r="DN429" s="3">
        <v>0</v>
      </c>
      <c r="DO429" s="3">
        <v>24500</v>
      </c>
      <c r="DP429" s="3">
        <v>2863350</v>
      </c>
      <c r="DQ429" s="28">
        <v>38000</v>
      </c>
      <c r="DR429" s="32">
        <v>0</v>
      </c>
      <c r="DS429" s="32">
        <v>24500</v>
      </c>
      <c r="DT429" s="32" t="s">
        <v>33</v>
      </c>
      <c r="DU429" s="69">
        <v>44784</v>
      </c>
    </row>
    <row r="430" spans="1:125" x14ac:dyDescent="0.25">
      <c r="A430" t="s">
        <v>141</v>
      </c>
      <c r="B430" s="2">
        <v>44861</v>
      </c>
      <c r="C430" s="1">
        <v>4500</v>
      </c>
      <c r="D430">
        <v>52</v>
      </c>
      <c r="M430" s="3"/>
      <c r="N430" s="3"/>
      <c r="O430" s="3">
        <v>41700</v>
      </c>
      <c r="P430" s="7">
        <v>0</v>
      </c>
      <c r="Q430" s="7">
        <v>0</v>
      </c>
      <c r="R430" s="7">
        <v>0</v>
      </c>
      <c r="S430" s="7">
        <v>0</v>
      </c>
      <c r="T430" s="11">
        <v>0</v>
      </c>
      <c r="U430" s="11">
        <v>0</v>
      </c>
      <c r="V430" s="11">
        <v>0</v>
      </c>
      <c r="W430" s="11">
        <v>0</v>
      </c>
      <c r="X430" s="14">
        <v>0</v>
      </c>
      <c r="Y430" s="14">
        <v>0</v>
      </c>
      <c r="Z430" s="14">
        <v>0</v>
      </c>
      <c r="AA430" s="14">
        <v>0</v>
      </c>
      <c r="AB430" s="15">
        <v>0</v>
      </c>
      <c r="AC430" s="15">
        <v>0</v>
      </c>
      <c r="AD430" s="13">
        <v>0</v>
      </c>
      <c r="AE430" s="13">
        <v>0</v>
      </c>
      <c r="AF430" s="12">
        <v>0</v>
      </c>
      <c r="AG430" s="12">
        <v>0</v>
      </c>
      <c r="AH430" s="13">
        <v>0</v>
      </c>
      <c r="AI430" s="13">
        <v>0</v>
      </c>
      <c r="AJ430" s="11">
        <v>0</v>
      </c>
      <c r="AK430" s="11">
        <v>0</v>
      </c>
      <c r="AL430" s="11">
        <v>0</v>
      </c>
      <c r="AM430" s="11">
        <v>0</v>
      </c>
      <c r="AN430" s="11">
        <v>0</v>
      </c>
      <c r="AO430" s="11">
        <v>0</v>
      </c>
      <c r="AP430" s="11">
        <v>0</v>
      </c>
      <c r="AQ430" s="11">
        <v>0</v>
      </c>
      <c r="AR430" s="16">
        <v>0</v>
      </c>
      <c r="AS430" s="16">
        <v>0</v>
      </c>
      <c r="AT430" s="16">
        <v>0</v>
      </c>
      <c r="AU430" s="7">
        <v>0</v>
      </c>
      <c r="AV430" s="7">
        <v>0</v>
      </c>
      <c r="AW430" s="7">
        <v>0</v>
      </c>
      <c r="AX430" s="7">
        <v>0</v>
      </c>
      <c r="AY430" s="11">
        <v>0</v>
      </c>
      <c r="AZ430" s="16">
        <v>0</v>
      </c>
      <c r="BA430" s="16">
        <v>0</v>
      </c>
      <c r="BB430" s="16">
        <v>0</v>
      </c>
      <c r="BC430" s="11">
        <v>0</v>
      </c>
      <c r="BD430" s="11">
        <v>0</v>
      </c>
      <c r="BE430" s="11">
        <v>0</v>
      </c>
      <c r="BF430" s="11">
        <v>0</v>
      </c>
      <c r="BG430" s="11">
        <v>0</v>
      </c>
      <c r="BH430" s="11">
        <v>0</v>
      </c>
      <c r="BI430" s="13">
        <v>0</v>
      </c>
      <c r="BJ430" s="13">
        <v>0</v>
      </c>
      <c r="BK430" s="11">
        <v>0</v>
      </c>
      <c r="BL430" s="12">
        <v>0</v>
      </c>
      <c r="BM430" s="12">
        <v>0</v>
      </c>
      <c r="BN430" s="13">
        <v>0</v>
      </c>
      <c r="BO430" s="13">
        <v>0</v>
      </c>
      <c r="BP430" s="15">
        <v>0</v>
      </c>
      <c r="BQ430" s="15">
        <v>0</v>
      </c>
      <c r="BR430" s="14">
        <v>0</v>
      </c>
      <c r="BS430" s="14">
        <v>0</v>
      </c>
      <c r="BT430" s="14">
        <v>0</v>
      </c>
      <c r="BU430" s="14">
        <v>0</v>
      </c>
      <c r="BV430" s="11">
        <v>0</v>
      </c>
      <c r="BW430" s="11">
        <v>0</v>
      </c>
      <c r="BX430" s="11">
        <v>0</v>
      </c>
      <c r="BY430" s="11">
        <v>0</v>
      </c>
      <c r="BZ430" s="7">
        <v>0</v>
      </c>
      <c r="CA430" s="7">
        <v>0</v>
      </c>
      <c r="CB430" s="7">
        <v>0</v>
      </c>
      <c r="CC430" s="7">
        <v>0</v>
      </c>
      <c r="CD430" s="7">
        <v>0</v>
      </c>
      <c r="CE430" s="3">
        <v>0</v>
      </c>
      <c r="CF430" s="7">
        <v>0</v>
      </c>
      <c r="CG430" s="3">
        <v>0</v>
      </c>
      <c r="CH430" s="7">
        <v>0</v>
      </c>
      <c r="CI430" s="7">
        <v>0</v>
      </c>
      <c r="CJ430" s="3">
        <v>0</v>
      </c>
      <c r="CK430" s="7">
        <v>0</v>
      </c>
      <c r="CL430" s="3">
        <v>0</v>
      </c>
      <c r="CM430" s="7">
        <v>0</v>
      </c>
      <c r="CN430" s="10">
        <v>44783.636701388888</v>
      </c>
      <c r="CO430" s="10">
        <v>44783.636701388888</v>
      </c>
      <c r="CP430" s="7">
        <v>38295.69921875</v>
      </c>
      <c r="CQ430" s="17" t="s">
        <v>321</v>
      </c>
      <c r="CR430" s="10">
        <v>44783.638194444444</v>
      </c>
      <c r="CS430" s="12">
        <v>0</v>
      </c>
      <c r="CT430" s="18"/>
      <c r="CU430" s="3">
        <v>0</v>
      </c>
      <c r="CV430" s="18"/>
      <c r="CW430" s="7">
        <v>0</v>
      </c>
      <c r="CX430" s="18"/>
      <c r="CY430" s="7">
        <v>0</v>
      </c>
      <c r="CZ430" s="18"/>
      <c r="DA430" s="3">
        <v>0</v>
      </c>
      <c r="DB430" s="18"/>
      <c r="DC430" s="11">
        <v>0</v>
      </c>
      <c r="DD430" s="18"/>
      <c r="DE430" s="7">
        <v>0</v>
      </c>
      <c r="DF430" s="7">
        <v>0</v>
      </c>
      <c r="DG430" s="7">
        <v>38295.69921875</v>
      </c>
      <c r="DH430" s="3" t="s">
        <v>312</v>
      </c>
      <c r="DI430" s="3" t="s">
        <v>312</v>
      </c>
      <c r="DJ430" s="3" t="s">
        <v>314</v>
      </c>
      <c r="DK430" s="3">
        <v>38300</v>
      </c>
      <c r="DL430" s="3">
        <v>3400000</v>
      </c>
      <c r="DM430" s="3">
        <v>38500</v>
      </c>
      <c r="DN430" s="3">
        <v>0</v>
      </c>
      <c r="DO430" s="3">
        <v>24500</v>
      </c>
      <c r="DP430" s="3">
        <v>2863350</v>
      </c>
      <c r="DQ430" s="28">
        <v>38000</v>
      </c>
      <c r="DR430" s="32">
        <v>0</v>
      </c>
      <c r="DS430" s="32">
        <v>24500</v>
      </c>
      <c r="DT430" s="32" t="s">
        <v>33</v>
      </c>
      <c r="DU430" s="69">
        <v>44784</v>
      </c>
    </row>
    <row r="431" spans="1:125" x14ac:dyDescent="0.25">
      <c r="A431" t="s">
        <v>142</v>
      </c>
      <c r="B431" s="2">
        <v>44798</v>
      </c>
      <c r="C431" s="1">
        <v>175</v>
      </c>
      <c r="D431">
        <v>61</v>
      </c>
      <c r="M431" s="3"/>
      <c r="N431" s="3"/>
      <c r="O431" s="3">
        <v>41800</v>
      </c>
      <c r="P431" s="7">
        <v>0</v>
      </c>
      <c r="Q431" s="7">
        <v>0</v>
      </c>
      <c r="R431" s="7">
        <v>0</v>
      </c>
      <c r="S431" s="7">
        <v>0</v>
      </c>
      <c r="T431" s="11">
        <v>0</v>
      </c>
      <c r="U431" s="11">
        <v>0</v>
      </c>
      <c r="V431" s="11">
        <v>0</v>
      </c>
      <c r="W431" s="11">
        <v>0</v>
      </c>
      <c r="X431" s="14">
        <v>0</v>
      </c>
      <c r="Y431" s="14">
        <v>0</v>
      </c>
      <c r="Z431" s="14">
        <v>0</v>
      </c>
      <c r="AA431" s="14">
        <v>0</v>
      </c>
      <c r="AB431" s="15">
        <v>0</v>
      </c>
      <c r="AC431" s="15">
        <v>0</v>
      </c>
      <c r="AD431" s="13">
        <v>0</v>
      </c>
      <c r="AE431" s="13">
        <v>0</v>
      </c>
      <c r="AF431" s="12">
        <v>0</v>
      </c>
      <c r="AG431" s="12">
        <v>0</v>
      </c>
      <c r="AH431" s="13">
        <v>0</v>
      </c>
      <c r="AI431" s="13">
        <v>0</v>
      </c>
      <c r="AJ431" s="11">
        <v>0</v>
      </c>
      <c r="AK431" s="11">
        <v>0</v>
      </c>
      <c r="AL431" s="11">
        <v>0</v>
      </c>
      <c r="AM431" s="11">
        <v>0</v>
      </c>
      <c r="AN431" s="11">
        <v>0</v>
      </c>
      <c r="AO431" s="11">
        <v>0</v>
      </c>
      <c r="AP431" s="11">
        <v>0</v>
      </c>
      <c r="AQ431" s="11">
        <v>0</v>
      </c>
      <c r="AR431" s="16">
        <v>0</v>
      </c>
      <c r="AS431" s="16">
        <v>0</v>
      </c>
      <c r="AT431" s="16">
        <v>0</v>
      </c>
      <c r="AU431" s="7">
        <v>0</v>
      </c>
      <c r="AV431" s="7">
        <v>0</v>
      </c>
      <c r="AW431" s="7">
        <v>0</v>
      </c>
      <c r="AX431" s="7">
        <v>0</v>
      </c>
      <c r="AY431" s="11">
        <v>0</v>
      </c>
      <c r="AZ431" s="16">
        <v>0</v>
      </c>
      <c r="BA431" s="16">
        <v>0</v>
      </c>
      <c r="BB431" s="16">
        <v>0</v>
      </c>
      <c r="BC431" s="11">
        <v>0</v>
      </c>
      <c r="BD431" s="11">
        <v>0</v>
      </c>
      <c r="BE431" s="11">
        <v>0</v>
      </c>
      <c r="BF431" s="11">
        <v>0</v>
      </c>
      <c r="BG431" s="11">
        <v>0</v>
      </c>
      <c r="BH431" s="11">
        <v>0</v>
      </c>
      <c r="BI431" s="13">
        <v>0</v>
      </c>
      <c r="BJ431" s="13">
        <v>0</v>
      </c>
      <c r="BK431" s="11">
        <v>0</v>
      </c>
      <c r="BL431" s="12">
        <v>0</v>
      </c>
      <c r="BM431" s="12">
        <v>0</v>
      </c>
      <c r="BN431" s="13">
        <v>0</v>
      </c>
      <c r="BO431" s="13">
        <v>0</v>
      </c>
      <c r="BP431" s="15">
        <v>0</v>
      </c>
      <c r="BQ431" s="15">
        <v>0</v>
      </c>
      <c r="BR431" s="14">
        <v>0</v>
      </c>
      <c r="BS431" s="14">
        <v>0</v>
      </c>
      <c r="BT431" s="14">
        <v>0</v>
      </c>
      <c r="BU431" s="14">
        <v>0</v>
      </c>
      <c r="BV431" s="11">
        <v>0</v>
      </c>
      <c r="BW431" s="11">
        <v>0</v>
      </c>
      <c r="BX431" s="11">
        <v>0</v>
      </c>
      <c r="BY431" s="11">
        <v>0</v>
      </c>
      <c r="BZ431" s="7">
        <v>0</v>
      </c>
      <c r="CA431" s="7">
        <v>0</v>
      </c>
      <c r="CB431" s="7">
        <v>0</v>
      </c>
      <c r="CC431" s="7">
        <v>0</v>
      </c>
      <c r="CD431" s="7">
        <v>0</v>
      </c>
      <c r="CE431" s="3">
        <v>0</v>
      </c>
      <c r="CF431" s="7">
        <v>0</v>
      </c>
      <c r="CG431" s="3">
        <v>0</v>
      </c>
      <c r="CH431" s="7">
        <v>0</v>
      </c>
      <c r="CI431" s="7">
        <v>0</v>
      </c>
      <c r="CJ431" s="3">
        <v>0</v>
      </c>
      <c r="CK431" s="7">
        <v>0</v>
      </c>
      <c r="CL431" s="3">
        <v>0</v>
      </c>
      <c r="CM431" s="7">
        <v>0</v>
      </c>
      <c r="CN431" s="10">
        <v>44783.636701388888</v>
      </c>
      <c r="CO431" s="10">
        <v>44783.636701388888</v>
      </c>
      <c r="CP431" s="7">
        <v>38295.69921875</v>
      </c>
      <c r="CQ431" s="17" t="s">
        <v>321</v>
      </c>
      <c r="CR431" s="10">
        <v>44783.638194444444</v>
      </c>
      <c r="CS431" s="12">
        <v>0</v>
      </c>
      <c r="CT431" s="18"/>
      <c r="CU431" s="3">
        <v>0</v>
      </c>
      <c r="CV431" s="18"/>
      <c r="CW431" s="7">
        <v>0</v>
      </c>
      <c r="CX431" s="18"/>
      <c r="CY431" s="7">
        <v>0</v>
      </c>
      <c r="CZ431" s="18"/>
      <c r="DA431" s="3">
        <v>0</v>
      </c>
      <c r="DB431" s="18"/>
      <c r="DC431" s="11">
        <v>0</v>
      </c>
      <c r="DD431" s="18"/>
      <c r="DE431" s="7">
        <v>0</v>
      </c>
      <c r="DF431" s="7">
        <v>0</v>
      </c>
      <c r="DG431" s="7">
        <v>38295.69921875</v>
      </c>
      <c r="DH431" s="3" t="s">
        <v>312</v>
      </c>
      <c r="DI431" s="3" t="s">
        <v>312</v>
      </c>
      <c r="DJ431" s="3" t="s">
        <v>314</v>
      </c>
      <c r="DK431" s="3">
        <v>38300</v>
      </c>
      <c r="DL431" s="3">
        <v>3400000</v>
      </c>
      <c r="DM431" s="3">
        <v>38500</v>
      </c>
      <c r="DN431" s="3">
        <v>0</v>
      </c>
      <c r="DO431" s="3">
        <v>24500</v>
      </c>
      <c r="DP431" s="3">
        <v>2863350</v>
      </c>
      <c r="DQ431" s="28">
        <v>38000</v>
      </c>
      <c r="DR431" s="32">
        <v>0</v>
      </c>
      <c r="DS431" s="32">
        <v>24500</v>
      </c>
      <c r="DT431" s="32" t="s">
        <v>33</v>
      </c>
      <c r="DU431" s="69">
        <v>44784</v>
      </c>
    </row>
    <row r="432" spans="1:125" x14ac:dyDescent="0.25">
      <c r="A432" t="s">
        <v>142</v>
      </c>
      <c r="B432" s="2">
        <v>44833</v>
      </c>
      <c r="C432" s="1">
        <v>175</v>
      </c>
      <c r="D432">
        <v>61</v>
      </c>
      <c r="M432" s="3"/>
      <c r="N432" s="3"/>
      <c r="O432" s="3">
        <v>41900</v>
      </c>
      <c r="P432" s="7">
        <v>0</v>
      </c>
      <c r="Q432" s="7">
        <v>0</v>
      </c>
      <c r="R432" s="7">
        <v>0</v>
      </c>
      <c r="S432" s="7">
        <v>0</v>
      </c>
      <c r="T432" s="11">
        <v>0</v>
      </c>
      <c r="U432" s="11">
        <v>0</v>
      </c>
      <c r="V432" s="11">
        <v>0</v>
      </c>
      <c r="W432" s="11">
        <v>0</v>
      </c>
      <c r="X432" s="14">
        <v>0</v>
      </c>
      <c r="Y432" s="14">
        <v>0</v>
      </c>
      <c r="Z432" s="14">
        <v>0</v>
      </c>
      <c r="AA432" s="14">
        <v>0</v>
      </c>
      <c r="AB432" s="15">
        <v>0</v>
      </c>
      <c r="AC432" s="15">
        <v>0</v>
      </c>
      <c r="AD432" s="13">
        <v>0</v>
      </c>
      <c r="AE432" s="13">
        <v>0</v>
      </c>
      <c r="AF432" s="12">
        <v>0</v>
      </c>
      <c r="AG432" s="12">
        <v>0</v>
      </c>
      <c r="AH432" s="13">
        <v>0</v>
      </c>
      <c r="AI432" s="13">
        <v>0</v>
      </c>
      <c r="AJ432" s="11">
        <v>0</v>
      </c>
      <c r="AK432" s="11">
        <v>0</v>
      </c>
      <c r="AL432" s="11">
        <v>0</v>
      </c>
      <c r="AM432" s="11">
        <v>0</v>
      </c>
      <c r="AN432" s="11">
        <v>0</v>
      </c>
      <c r="AO432" s="11">
        <v>0</v>
      </c>
      <c r="AP432" s="11">
        <v>0</v>
      </c>
      <c r="AQ432" s="11">
        <v>0</v>
      </c>
      <c r="AR432" s="16">
        <v>0</v>
      </c>
      <c r="AS432" s="16">
        <v>0</v>
      </c>
      <c r="AT432" s="16">
        <v>0</v>
      </c>
      <c r="AU432" s="7">
        <v>0</v>
      </c>
      <c r="AV432" s="7">
        <v>0</v>
      </c>
      <c r="AW432" s="7">
        <v>0</v>
      </c>
      <c r="AX432" s="7">
        <v>0</v>
      </c>
      <c r="AY432" s="11">
        <v>0</v>
      </c>
      <c r="AZ432" s="16">
        <v>0</v>
      </c>
      <c r="BA432" s="16">
        <v>0</v>
      </c>
      <c r="BB432" s="16">
        <v>0</v>
      </c>
      <c r="BC432" s="11">
        <v>0</v>
      </c>
      <c r="BD432" s="11">
        <v>0</v>
      </c>
      <c r="BE432" s="11">
        <v>0</v>
      </c>
      <c r="BF432" s="11">
        <v>0</v>
      </c>
      <c r="BG432" s="11">
        <v>0</v>
      </c>
      <c r="BH432" s="11">
        <v>0</v>
      </c>
      <c r="BI432" s="13">
        <v>0</v>
      </c>
      <c r="BJ432" s="13">
        <v>0</v>
      </c>
      <c r="BK432" s="11">
        <v>0</v>
      </c>
      <c r="BL432" s="12">
        <v>0</v>
      </c>
      <c r="BM432" s="12">
        <v>0</v>
      </c>
      <c r="BN432" s="13">
        <v>0</v>
      </c>
      <c r="BO432" s="13">
        <v>0</v>
      </c>
      <c r="BP432" s="15">
        <v>0</v>
      </c>
      <c r="BQ432" s="15">
        <v>0</v>
      </c>
      <c r="BR432" s="14">
        <v>0</v>
      </c>
      <c r="BS432" s="14">
        <v>0</v>
      </c>
      <c r="BT432" s="14">
        <v>0</v>
      </c>
      <c r="BU432" s="14">
        <v>0</v>
      </c>
      <c r="BV432" s="11">
        <v>0</v>
      </c>
      <c r="BW432" s="11">
        <v>0</v>
      </c>
      <c r="BX432" s="11">
        <v>0</v>
      </c>
      <c r="BY432" s="11">
        <v>0</v>
      </c>
      <c r="BZ432" s="7">
        <v>0</v>
      </c>
      <c r="CA432" s="7">
        <v>0</v>
      </c>
      <c r="CB432" s="7">
        <v>0</v>
      </c>
      <c r="CC432" s="7">
        <v>0</v>
      </c>
      <c r="CD432" s="7">
        <v>0</v>
      </c>
      <c r="CE432" s="3">
        <v>0</v>
      </c>
      <c r="CF432" s="7">
        <v>0</v>
      </c>
      <c r="CG432" s="3">
        <v>0</v>
      </c>
      <c r="CH432" s="7">
        <v>0</v>
      </c>
      <c r="CI432" s="7">
        <v>0</v>
      </c>
      <c r="CJ432" s="3">
        <v>0</v>
      </c>
      <c r="CK432" s="7">
        <v>0</v>
      </c>
      <c r="CL432" s="3">
        <v>0</v>
      </c>
      <c r="CM432" s="7">
        <v>0</v>
      </c>
      <c r="CN432" s="10">
        <v>44783.636701388888</v>
      </c>
      <c r="CO432" s="10">
        <v>44783.636701388888</v>
      </c>
      <c r="CP432" s="7">
        <v>38295.69921875</v>
      </c>
      <c r="CQ432" s="17" t="s">
        <v>321</v>
      </c>
      <c r="CR432" s="10">
        <v>44783.638194444444</v>
      </c>
      <c r="CS432" s="12">
        <v>0</v>
      </c>
      <c r="CT432" s="18"/>
      <c r="CU432" s="3">
        <v>0</v>
      </c>
      <c r="CV432" s="18"/>
      <c r="CW432" s="7">
        <v>0</v>
      </c>
      <c r="CX432" s="18"/>
      <c r="CY432" s="7">
        <v>0</v>
      </c>
      <c r="CZ432" s="18"/>
      <c r="DA432" s="3">
        <v>0</v>
      </c>
      <c r="DB432" s="18"/>
      <c r="DC432" s="11">
        <v>0</v>
      </c>
      <c r="DD432" s="18"/>
      <c r="DE432" s="7">
        <v>0</v>
      </c>
      <c r="DF432" s="7">
        <v>0</v>
      </c>
      <c r="DG432" s="7">
        <v>38295.69921875</v>
      </c>
      <c r="DH432" s="3" t="s">
        <v>312</v>
      </c>
      <c r="DI432" s="3" t="s">
        <v>312</v>
      </c>
      <c r="DJ432" s="3" t="s">
        <v>314</v>
      </c>
      <c r="DK432" s="3">
        <v>38300</v>
      </c>
      <c r="DL432" s="3">
        <v>3400000</v>
      </c>
      <c r="DM432" s="3">
        <v>38500</v>
      </c>
      <c r="DN432" s="3">
        <v>0</v>
      </c>
      <c r="DO432" s="3">
        <v>24500</v>
      </c>
      <c r="DP432" s="3">
        <v>2863350</v>
      </c>
      <c r="DQ432" s="28">
        <v>38000</v>
      </c>
      <c r="DR432" s="32">
        <v>0</v>
      </c>
      <c r="DS432" s="32">
        <v>24500</v>
      </c>
      <c r="DT432" s="32" t="s">
        <v>33</v>
      </c>
      <c r="DU432" s="69">
        <v>44784</v>
      </c>
    </row>
    <row r="433" spans="1:125" x14ac:dyDescent="0.25">
      <c r="A433" t="s">
        <v>142</v>
      </c>
      <c r="B433" s="2">
        <v>44861</v>
      </c>
      <c r="C433" s="1">
        <v>175</v>
      </c>
      <c r="D433">
        <v>61</v>
      </c>
      <c r="M433" s="3"/>
      <c r="N433" s="3"/>
      <c r="O433" s="3">
        <v>42000</v>
      </c>
      <c r="P433" s="7">
        <v>3750</v>
      </c>
      <c r="Q433" s="7">
        <v>0</v>
      </c>
      <c r="R433" s="7">
        <v>0</v>
      </c>
      <c r="S433" s="7">
        <v>0</v>
      </c>
      <c r="T433" s="11">
        <v>-27.95068359375</v>
      </c>
      <c r="U433" s="11">
        <v>5856.5478515625</v>
      </c>
      <c r="V433" s="11">
        <v>-63.4169921875</v>
      </c>
      <c r="W433" s="11">
        <v>8630.8037109375</v>
      </c>
      <c r="X433" s="14">
        <v>-3.7856807466596365E-8</v>
      </c>
      <c r="Y433" s="14">
        <v>4.2542349547147751E-5</v>
      </c>
      <c r="Z433" s="14">
        <v>-2.4105975171551108E-7</v>
      </c>
      <c r="AA433" s="14">
        <v>8.4967963630333543E-5</v>
      </c>
      <c r="AB433" s="15">
        <v>-7.581490990560269E-12</v>
      </c>
      <c r="AC433" s="15">
        <v>3.6656182089700451E-8</v>
      </c>
      <c r="AD433" s="13">
        <v>5.0090551376342773E-3</v>
      </c>
      <c r="AE433" s="13">
        <v>-1.2849500179290771</v>
      </c>
      <c r="AF433" s="12">
        <v>-1.5016317367553711E-2</v>
      </c>
      <c r="AG433" s="12">
        <v>2.5663743019104004</v>
      </c>
      <c r="AH433" s="13">
        <v>1.0642907000146806E-7</v>
      </c>
      <c r="AI433" s="13">
        <v>4.8456986405653879E-5</v>
      </c>
      <c r="AJ433" s="11">
        <v>6.3157081604003906E-3</v>
      </c>
      <c r="AK433" s="11">
        <v>2.0823662281036377</v>
      </c>
      <c r="AL433" s="11">
        <v>-0.518035888671875</v>
      </c>
      <c r="AM433" s="11">
        <v>-104.2613525390625</v>
      </c>
      <c r="AN433" s="11">
        <v>2.0450353622436523E-4</v>
      </c>
      <c r="AO433" s="11">
        <v>-0.95057201385498047</v>
      </c>
      <c r="AP433" s="11">
        <v>103.4975528717041</v>
      </c>
      <c r="AQ433" s="11">
        <v>0</v>
      </c>
      <c r="AR433" s="16">
        <v>0</v>
      </c>
      <c r="AS433" s="16">
        <v>50</v>
      </c>
      <c r="AT433" s="16">
        <v>103.4975528717041</v>
      </c>
      <c r="AU433" s="7">
        <v>0</v>
      </c>
      <c r="AV433" s="7">
        <v>3750</v>
      </c>
      <c r="AW433" s="7">
        <v>1.7000000476837158</v>
      </c>
      <c r="AX433" s="7">
        <v>0</v>
      </c>
      <c r="AY433" s="11">
        <v>65.482771396636963</v>
      </c>
      <c r="AZ433" s="16">
        <v>502625</v>
      </c>
      <c r="BA433" s="16">
        <v>224950</v>
      </c>
      <c r="BB433" s="16">
        <v>1517925</v>
      </c>
      <c r="BC433" s="11">
        <v>4.1518812067806721E-3</v>
      </c>
      <c r="BD433" s="11">
        <v>8.6147338151931763E-8</v>
      </c>
      <c r="BE433" s="11">
        <v>-1.7000000476837158</v>
      </c>
      <c r="BF433" s="11">
        <v>0</v>
      </c>
      <c r="BG433" s="11">
        <v>0.24895653128623962</v>
      </c>
      <c r="BH433" s="11">
        <v>-1.0430812835693359E-7</v>
      </c>
      <c r="BI433" s="13">
        <v>9.2032933025620878E-6</v>
      </c>
      <c r="BJ433" s="13">
        <v>3.8107828004285693E-10</v>
      </c>
      <c r="BK433" s="11">
        <v>65.482771396636963</v>
      </c>
      <c r="BL433" s="12">
        <v>53.0631103515625</v>
      </c>
      <c r="BM433" s="12">
        <v>-9.3841552734375E-4</v>
      </c>
      <c r="BN433" s="13">
        <v>-16.898195266723633</v>
      </c>
      <c r="BO433" s="13">
        <v>-3.662109375E-4</v>
      </c>
      <c r="BP433" s="15">
        <v>1.8011451885513452E-8</v>
      </c>
      <c r="BQ433" s="15">
        <v>1.1155520951433573E-12</v>
      </c>
      <c r="BR433" s="14">
        <v>8.5149258666206151E-5</v>
      </c>
      <c r="BS433" s="14">
        <v>3.2960087992250919E-9</v>
      </c>
      <c r="BT433" s="14">
        <v>2.7116178898722865E-5</v>
      </c>
      <c r="BU433" s="14">
        <v>2.1173036657273769E-9</v>
      </c>
      <c r="BV433" s="11">
        <v>284665.46875</v>
      </c>
      <c r="BW433" s="11">
        <v>-11.1875</v>
      </c>
      <c r="BX433" s="11">
        <v>103496.1640625</v>
      </c>
      <c r="BY433" s="11">
        <v>7.8125E-2</v>
      </c>
      <c r="BZ433" s="7">
        <v>1.7999999523162842</v>
      </c>
      <c r="CA433" s="7">
        <v>2.2000000476837158</v>
      </c>
      <c r="CB433" s="7">
        <v>1.5499999523162842</v>
      </c>
      <c r="CC433" s="7">
        <v>1.7000000476837158</v>
      </c>
      <c r="CD433" s="7">
        <v>1.75</v>
      </c>
      <c r="CE433" s="3">
        <v>125</v>
      </c>
      <c r="CF433" s="7">
        <v>1.7000000476837158</v>
      </c>
      <c r="CG433" s="3">
        <v>3050</v>
      </c>
      <c r="CH433" s="7">
        <v>1.9199999570846558</v>
      </c>
      <c r="CI433" s="7">
        <v>3807.35009765625</v>
      </c>
      <c r="CJ433" s="3">
        <v>750</v>
      </c>
      <c r="CK433" s="7">
        <v>3613.39990234375</v>
      </c>
      <c r="CL433" s="3">
        <v>750</v>
      </c>
      <c r="CM433" s="7">
        <v>0</v>
      </c>
      <c r="CN433" s="10">
        <v>44783.638194444444</v>
      </c>
      <c r="CO433" s="10">
        <v>44783.636805555558</v>
      </c>
      <c r="CP433" s="7">
        <v>38295.69921875</v>
      </c>
      <c r="CQ433" s="17" t="s">
        <v>321</v>
      </c>
      <c r="CR433" s="10">
        <v>44783.638194444444</v>
      </c>
      <c r="CS433" s="12">
        <v>0.14321804046630859</v>
      </c>
      <c r="CT433" s="18">
        <v>1.3856994068043907E-3</v>
      </c>
      <c r="CU433" s="3">
        <v>50</v>
      </c>
      <c r="CV433" s="18">
        <v>0</v>
      </c>
      <c r="CW433" s="7">
        <v>3750</v>
      </c>
      <c r="CX433" s="18">
        <v>0</v>
      </c>
      <c r="CY433" s="7">
        <v>1.7000000476837158</v>
      </c>
      <c r="CZ433" s="18">
        <v>0</v>
      </c>
      <c r="DA433" s="3">
        <v>277675</v>
      </c>
      <c r="DB433" s="18">
        <v>0.81011974430539302</v>
      </c>
      <c r="DC433" s="11">
        <v>-2.5629997253417969E-4</v>
      </c>
      <c r="DD433" s="18">
        <v>-3.9139908698426004E-6</v>
      </c>
      <c r="DE433" s="7">
        <v>1.7000000476837158</v>
      </c>
      <c r="DF433" s="7">
        <v>3750</v>
      </c>
      <c r="DG433" s="7">
        <v>38295.69921875</v>
      </c>
      <c r="DH433" s="3" t="s">
        <v>312</v>
      </c>
      <c r="DI433" s="3" t="s">
        <v>312</v>
      </c>
      <c r="DJ433" s="3" t="s">
        <v>314</v>
      </c>
      <c r="DK433" s="3">
        <v>38300</v>
      </c>
      <c r="DL433" s="3">
        <v>3400000</v>
      </c>
      <c r="DM433" s="3">
        <v>38500</v>
      </c>
      <c r="DN433" s="3">
        <v>0</v>
      </c>
      <c r="DO433" s="3">
        <v>24500</v>
      </c>
      <c r="DP433" s="3">
        <v>2863350</v>
      </c>
      <c r="DQ433" s="28">
        <v>38000</v>
      </c>
      <c r="DR433" s="32">
        <v>0</v>
      </c>
      <c r="DS433" s="32">
        <v>24500</v>
      </c>
      <c r="DT433" s="32" t="s">
        <v>33</v>
      </c>
      <c r="DU433" s="69">
        <v>44784</v>
      </c>
    </row>
    <row r="434" spans="1:125" x14ac:dyDescent="0.25">
      <c r="A434" t="s">
        <v>143</v>
      </c>
      <c r="B434" s="2">
        <v>44798</v>
      </c>
      <c r="C434" s="1">
        <v>10</v>
      </c>
      <c r="D434">
        <v>147</v>
      </c>
      <c r="M434" s="3"/>
      <c r="N434" s="3"/>
      <c r="O434" s="3">
        <v>42100</v>
      </c>
      <c r="P434" s="7">
        <v>0</v>
      </c>
      <c r="Q434" s="7">
        <v>0</v>
      </c>
      <c r="R434" s="7">
        <v>0</v>
      </c>
      <c r="S434" s="7">
        <v>0</v>
      </c>
      <c r="T434" s="11">
        <v>0</v>
      </c>
      <c r="U434" s="11">
        <v>0</v>
      </c>
      <c r="V434" s="11">
        <v>0</v>
      </c>
      <c r="W434" s="11">
        <v>0</v>
      </c>
      <c r="X434" s="14">
        <v>0</v>
      </c>
      <c r="Y434" s="14">
        <v>0</v>
      </c>
      <c r="Z434" s="14">
        <v>0</v>
      </c>
      <c r="AA434" s="14">
        <v>0</v>
      </c>
      <c r="AB434" s="15">
        <v>0</v>
      </c>
      <c r="AC434" s="15">
        <v>0</v>
      </c>
      <c r="AD434" s="13">
        <v>0</v>
      </c>
      <c r="AE434" s="13">
        <v>0</v>
      </c>
      <c r="AF434" s="12">
        <v>0</v>
      </c>
      <c r="AG434" s="12">
        <v>0</v>
      </c>
      <c r="AH434" s="13">
        <v>0</v>
      </c>
      <c r="AI434" s="13">
        <v>0</v>
      </c>
      <c r="AJ434" s="11">
        <v>0</v>
      </c>
      <c r="AK434" s="11">
        <v>0</v>
      </c>
      <c r="AL434" s="11">
        <v>0</v>
      </c>
      <c r="AM434" s="11">
        <v>0</v>
      </c>
      <c r="AN434" s="11">
        <v>0</v>
      </c>
      <c r="AO434" s="11">
        <v>0</v>
      </c>
      <c r="AP434" s="11">
        <v>0</v>
      </c>
      <c r="AQ434" s="11">
        <v>0</v>
      </c>
      <c r="AR434" s="16">
        <v>0</v>
      </c>
      <c r="AS434" s="16">
        <v>0</v>
      </c>
      <c r="AT434" s="16">
        <v>0</v>
      </c>
      <c r="AU434" s="7">
        <v>0</v>
      </c>
      <c r="AV434" s="7">
        <v>0</v>
      </c>
      <c r="AW434" s="7">
        <v>0</v>
      </c>
      <c r="AX434" s="7">
        <v>0</v>
      </c>
      <c r="AY434" s="11">
        <v>0</v>
      </c>
      <c r="AZ434" s="16">
        <v>0</v>
      </c>
      <c r="BA434" s="16">
        <v>0</v>
      </c>
      <c r="BB434" s="16">
        <v>0</v>
      </c>
      <c r="BC434" s="11">
        <v>0</v>
      </c>
      <c r="BD434" s="11">
        <v>0</v>
      </c>
      <c r="BE434" s="11">
        <v>0</v>
      </c>
      <c r="BF434" s="11">
        <v>0</v>
      </c>
      <c r="BG434" s="11">
        <v>0</v>
      </c>
      <c r="BH434" s="11">
        <v>0</v>
      </c>
      <c r="BI434" s="13">
        <v>0</v>
      </c>
      <c r="BJ434" s="13">
        <v>0</v>
      </c>
      <c r="BK434" s="11">
        <v>0</v>
      </c>
      <c r="BL434" s="12">
        <v>0</v>
      </c>
      <c r="BM434" s="12">
        <v>0</v>
      </c>
      <c r="BN434" s="13">
        <v>0</v>
      </c>
      <c r="BO434" s="13">
        <v>0</v>
      </c>
      <c r="BP434" s="15">
        <v>0</v>
      </c>
      <c r="BQ434" s="15">
        <v>0</v>
      </c>
      <c r="BR434" s="14">
        <v>0</v>
      </c>
      <c r="BS434" s="14">
        <v>0</v>
      </c>
      <c r="BT434" s="14">
        <v>0</v>
      </c>
      <c r="BU434" s="14">
        <v>0</v>
      </c>
      <c r="BV434" s="11">
        <v>0</v>
      </c>
      <c r="BW434" s="11">
        <v>0</v>
      </c>
      <c r="BX434" s="11">
        <v>0</v>
      </c>
      <c r="BY434" s="11">
        <v>0</v>
      </c>
      <c r="BZ434" s="7">
        <v>0</v>
      </c>
      <c r="CA434" s="7">
        <v>0</v>
      </c>
      <c r="CB434" s="7">
        <v>0</v>
      </c>
      <c r="CC434" s="7">
        <v>0</v>
      </c>
      <c r="CD434" s="7">
        <v>0</v>
      </c>
      <c r="CE434" s="3">
        <v>0</v>
      </c>
      <c r="CF434" s="7">
        <v>0</v>
      </c>
      <c r="CG434" s="3">
        <v>0</v>
      </c>
      <c r="CH434" s="7">
        <v>0</v>
      </c>
      <c r="CI434" s="7">
        <v>0</v>
      </c>
      <c r="CJ434" s="3">
        <v>0</v>
      </c>
      <c r="CK434" s="7">
        <v>0</v>
      </c>
      <c r="CL434" s="3">
        <v>0</v>
      </c>
      <c r="CM434" s="7">
        <v>0</v>
      </c>
      <c r="CN434" s="10">
        <v>44783.636701388888</v>
      </c>
      <c r="CO434" s="10">
        <v>44783.636701388888</v>
      </c>
      <c r="CP434" s="7">
        <v>38295.69921875</v>
      </c>
      <c r="CQ434" s="17" t="s">
        <v>321</v>
      </c>
      <c r="CR434" s="10">
        <v>44783.638194444444</v>
      </c>
      <c r="CS434" s="12">
        <v>0</v>
      </c>
      <c r="CT434" s="18"/>
      <c r="CU434" s="3">
        <v>0</v>
      </c>
      <c r="CV434" s="18"/>
      <c r="CW434" s="7">
        <v>0</v>
      </c>
      <c r="CX434" s="18"/>
      <c r="CY434" s="7">
        <v>0</v>
      </c>
      <c r="CZ434" s="18"/>
      <c r="DA434" s="3">
        <v>0</v>
      </c>
      <c r="DB434" s="18"/>
      <c r="DC434" s="11">
        <v>0</v>
      </c>
      <c r="DD434" s="18"/>
      <c r="DE434" s="7">
        <v>0</v>
      </c>
      <c r="DF434" s="7">
        <v>0</v>
      </c>
      <c r="DG434" s="7">
        <v>38295.69921875</v>
      </c>
      <c r="DH434" s="3" t="s">
        <v>312</v>
      </c>
      <c r="DI434" s="3" t="s">
        <v>312</v>
      </c>
      <c r="DJ434" s="3" t="s">
        <v>314</v>
      </c>
      <c r="DK434" s="3">
        <v>38300</v>
      </c>
      <c r="DL434" s="3">
        <v>3400000</v>
      </c>
      <c r="DM434" s="3">
        <v>38500</v>
      </c>
      <c r="DN434" s="3">
        <v>0</v>
      </c>
      <c r="DO434" s="3">
        <v>24500</v>
      </c>
      <c r="DP434" s="3">
        <v>2863350</v>
      </c>
      <c r="DQ434" s="28">
        <v>38000</v>
      </c>
      <c r="DR434" s="32">
        <v>0</v>
      </c>
      <c r="DS434" s="32">
        <v>24500</v>
      </c>
      <c r="DT434" s="32" t="s">
        <v>33</v>
      </c>
      <c r="DU434" s="69">
        <v>44784</v>
      </c>
    </row>
    <row r="435" spans="1:125" x14ac:dyDescent="0.25">
      <c r="A435" t="s">
        <v>143</v>
      </c>
      <c r="B435" s="2">
        <v>44833</v>
      </c>
      <c r="C435" s="1">
        <v>10</v>
      </c>
      <c r="D435">
        <v>147</v>
      </c>
      <c r="M435" s="3"/>
      <c r="N435" s="3"/>
      <c r="O435" s="3">
        <v>42200</v>
      </c>
      <c r="P435" s="7">
        <v>0</v>
      </c>
      <c r="Q435" s="7">
        <v>0</v>
      </c>
      <c r="R435" s="7">
        <v>0</v>
      </c>
      <c r="S435" s="7">
        <v>0</v>
      </c>
      <c r="T435" s="11">
        <v>0</v>
      </c>
      <c r="U435" s="11">
        <v>0</v>
      </c>
      <c r="V435" s="11">
        <v>0</v>
      </c>
      <c r="W435" s="11">
        <v>0</v>
      </c>
      <c r="X435" s="14">
        <v>0</v>
      </c>
      <c r="Y435" s="14">
        <v>0</v>
      </c>
      <c r="Z435" s="14">
        <v>0</v>
      </c>
      <c r="AA435" s="14">
        <v>0</v>
      </c>
      <c r="AB435" s="15">
        <v>0</v>
      </c>
      <c r="AC435" s="15">
        <v>0</v>
      </c>
      <c r="AD435" s="13">
        <v>0</v>
      </c>
      <c r="AE435" s="13">
        <v>0</v>
      </c>
      <c r="AF435" s="12">
        <v>0</v>
      </c>
      <c r="AG435" s="12">
        <v>0</v>
      </c>
      <c r="AH435" s="13">
        <v>0</v>
      </c>
      <c r="AI435" s="13">
        <v>0</v>
      </c>
      <c r="AJ435" s="11">
        <v>0</v>
      </c>
      <c r="AK435" s="11">
        <v>0</v>
      </c>
      <c r="AL435" s="11">
        <v>0</v>
      </c>
      <c r="AM435" s="11">
        <v>0</v>
      </c>
      <c r="AN435" s="11">
        <v>0</v>
      </c>
      <c r="AO435" s="11">
        <v>0</v>
      </c>
      <c r="AP435" s="11">
        <v>0</v>
      </c>
      <c r="AQ435" s="11">
        <v>0</v>
      </c>
      <c r="AR435" s="16">
        <v>0</v>
      </c>
      <c r="AS435" s="16">
        <v>0</v>
      </c>
      <c r="AT435" s="16">
        <v>0</v>
      </c>
      <c r="AU435" s="7">
        <v>0</v>
      </c>
      <c r="AV435" s="7">
        <v>0</v>
      </c>
      <c r="AW435" s="7">
        <v>0</v>
      </c>
      <c r="AX435" s="7">
        <v>0</v>
      </c>
      <c r="AY435" s="11">
        <v>0</v>
      </c>
      <c r="AZ435" s="16">
        <v>0</v>
      </c>
      <c r="BA435" s="16">
        <v>0</v>
      </c>
      <c r="BB435" s="16">
        <v>0</v>
      </c>
      <c r="BC435" s="11">
        <v>0</v>
      </c>
      <c r="BD435" s="11">
        <v>0</v>
      </c>
      <c r="BE435" s="11">
        <v>0</v>
      </c>
      <c r="BF435" s="11">
        <v>0</v>
      </c>
      <c r="BG435" s="11">
        <v>0</v>
      </c>
      <c r="BH435" s="11">
        <v>0</v>
      </c>
      <c r="BI435" s="13">
        <v>0</v>
      </c>
      <c r="BJ435" s="13">
        <v>0</v>
      </c>
      <c r="BK435" s="11">
        <v>0</v>
      </c>
      <c r="BL435" s="12">
        <v>0</v>
      </c>
      <c r="BM435" s="12">
        <v>0</v>
      </c>
      <c r="BN435" s="13">
        <v>0</v>
      </c>
      <c r="BO435" s="13">
        <v>0</v>
      </c>
      <c r="BP435" s="15">
        <v>0</v>
      </c>
      <c r="BQ435" s="15">
        <v>0</v>
      </c>
      <c r="BR435" s="14">
        <v>0</v>
      </c>
      <c r="BS435" s="14">
        <v>0</v>
      </c>
      <c r="BT435" s="14">
        <v>0</v>
      </c>
      <c r="BU435" s="14">
        <v>0</v>
      </c>
      <c r="BV435" s="11">
        <v>0</v>
      </c>
      <c r="BW435" s="11">
        <v>0</v>
      </c>
      <c r="BX435" s="11">
        <v>0</v>
      </c>
      <c r="BY435" s="11">
        <v>0</v>
      </c>
      <c r="BZ435" s="7">
        <v>0</v>
      </c>
      <c r="CA435" s="7">
        <v>0</v>
      </c>
      <c r="CB435" s="7">
        <v>0</v>
      </c>
      <c r="CC435" s="7">
        <v>0</v>
      </c>
      <c r="CD435" s="7">
        <v>0</v>
      </c>
      <c r="CE435" s="3">
        <v>0</v>
      </c>
      <c r="CF435" s="7">
        <v>0</v>
      </c>
      <c r="CG435" s="3">
        <v>0</v>
      </c>
      <c r="CH435" s="7">
        <v>0</v>
      </c>
      <c r="CI435" s="7">
        <v>0</v>
      </c>
      <c r="CJ435" s="3">
        <v>0</v>
      </c>
      <c r="CK435" s="7">
        <v>0</v>
      </c>
      <c r="CL435" s="3">
        <v>0</v>
      </c>
      <c r="CM435" s="7">
        <v>0</v>
      </c>
      <c r="CN435" s="10">
        <v>44783.636701388888</v>
      </c>
      <c r="CO435" s="10">
        <v>44783.636701388888</v>
      </c>
      <c r="CP435" s="7">
        <v>38295.69921875</v>
      </c>
      <c r="CQ435" s="17" t="s">
        <v>321</v>
      </c>
      <c r="CR435" s="10">
        <v>44783.638194444444</v>
      </c>
      <c r="CS435" s="12">
        <v>0</v>
      </c>
      <c r="CT435" s="18"/>
      <c r="CU435" s="3">
        <v>0</v>
      </c>
      <c r="CV435" s="18"/>
      <c r="CW435" s="7">
        <v>0</v>
      </c>
      <c r="CX435" s="18"/>
      <c r="CY435" s="7">
        <v>0</v>
      </c>
      <c r="CZ435" s="18"/>
      <c r="DA435" s="3">
        <v>0</v>
      </c>
      <c r="DB435" s="18"/>
      <c r="DC435" s="11">
        <v>0</v>
      </c>
      <c r="DD435" s="18"/>
      <c r="DE435" s="7">
        <v>0</v>
      </c>
      <c r="DF435" s="7">
        <v>0</v>
      </c>
      <c r="DG435" s="7">
        <v>38295.69921875</v>
      </c>
      <c r="DH435" s="3" t="s">
        <v>312</v>
      </c>
      <c r="DI435" s="3" t="s">
        <v>312</v>
      </c>
      <c r="DJ435" s="3" t="s">
        <v>314</v>
      </c>
      <c r="DK435" s="3">
        <v>38300</v>
      </c>
      <c r="DL435" s="3">
        <v>3400000</v>
      </c>
      <c r="DM435" s="3">
        <v>38500</v>
      </c>
      <c r="DN435" s="3">
        <v>0</v>
      </c>
      <c r="DO435" s="3">
        <v>24500</v>
      </c>
      <c r="DP435" s="3">
        <v>2863350</v>
      </c>
      <c r="DQ435" s="28">
        <v>38000</v>
      </c>
      <c r="DR435" s="32">
        <v>0</v>
      </c>
      <c r="DS435" s="32">
        <v>24500</v>
      </c>
      <c r="DT435" s="32" t="s">
        <v>33</v>
      </c>
      <c r="DU435" s="69">
        <v>44784</v>
      </c>
    </row>
    <row r="436" spans="1:125" x14ac:dyDescent="0.25">
      <c r="A436" t="s">
        <v>143</v>
      </c>
      <c r="B436" s="2">
        <v>44861</v>
      </c>
      <c r="C436" s="1">
        <v>10</v>
      </c>
      <c r="D436">
        <v>147</v>
      </c>
      <c r="M436" s="3"/>
      <c r="N436" s="3"/>
      <c r="O436" s="3">
        <v>42500</v>
      </c>
      <c r="P436" s="7">
        <v>0</v>
      </c>
      <c r="Q436" s="7">
        <v>0</v>
      </c>
      <c r="R436" s="7">
        <v>0</v>
      </c>
      <c r="S436" s="7">
        <v>0</v>
      </c>
      <c r="T436" s="11">
        <v>0</v>
      </c>
      <c r="U436" s="11">
        <v>0</v>
      </c>
      <c r="V436" s="11">
        <v>0</v>
      </c>
      <c r="W436" s="11">
        <v>0</v>
      </c>
      <c r="X436" s="14">
        <v>0</v>
      </c>
      <c r="Y436" s="14">
        <v>0</v>
      </c>
      <c r="Z436" s="14">
        <v>0</v>
      </c>
      <c r="AA436" s="14">
        <v>0</v>
      </c>
      <c r="AB436" s="15">
        <v>0</v>
      </c>
      <c r="AC436" s="15">
        <v>0</v>
      </c>
      <c r="AD436" s="13">
        <v>0</v>
      </c>
      <c r="AE436" s="13">
        <v>0</v>
      </c>
      <c r="AF436" s="12">
        <v>0</v>
      </c>
      <c r="AG436" s="12">
        <v>0</v>
      </c>
      <c r="AH436" s="13">
        <v>0</v>
      </c>
      <c r="AI436" s="13">
        <v>0</v>
      </c>
      <c r="AJ436" s="11">
        <v>0</v>
      </c>
      <c r="AK436" s="11">
        <v>0</v>
      </c>
      <c r="AL436" s="11">
        <v>0</v>
      </c>
      <c r="AM436" s="11">
        <v>0</v>
      </c>
      <c r="AN436" s="11">
        <v>0</v>
      </c>
      <c r="AO436" s="11">
        <v>0</v>
      </c>
      <c r="AP436" s="11">
        <v>342.38</v>
      </c>
      <c r="AQ436" s="11">
        <v>0</v>
      </c>
      <c r="AR436" s="16">
        <v>0</v>
      </c>
      <c r="AS436" s="16">
        <v>0</v>
      </c>
      <c r="AT436" s="16">
        <v>0</v>
      </c>
      <c r="AU436" s="7">
        <v>-7395.4</v>
      </c>
      <c r="AV436" s="7">
        <v>0</v>
      </c>
      <c r="AW436" s="7">
        <v>1.6499999761581421</v>
      </c>
      <c r="AX436" s="7">
        <v>0</v>
      </c>
      <c r="AY436" s="11">
        <v>72.696322202682495</v>
      </c>
      <c r="AZ436" s="16">
        <v>154350</v>
      </c>
      <c r="BA436" s="16">
        <v>11050</v>
      </c>
      <c r="BB436" s="16">
        <v>348425</v>
      </c>
      <c r="BC436" s="11">
        <v>3.6737490445375443E-3</v>
      </c>
      <c r="BD436" s="11">
        <v>-3.3294782042503357E-8</v>
      </c>
      <c r="BE436" s="11">
        <v>-1.6499999761581421</v>
      </c>
      <c r="BF436" s="11">
        <v>0</v>
      </c>
      <c r="BG436" s="11">
        <v>0.22310526669025421</v>
      </c>
      <c r="BH436" s="11">
        <v>-6.9290399551391602E-6</v>
      </c>
      <c r="BI436" s="13">
        <v>7.4295380727562588E-6</v>
      </c>
      <c r="BJ436" s="13">
        <v>-1.3505996321327984E-10</v>
      </c>
      <c r="BK436" s="11">
        <v>72.696322202682495</v>
      </c>
      <c r="BL436" s="12">
        <v>54.233173370361328</v>
      </c>
      <c r="BM436" s="12">
        <v>-1.27410888671875E-3</v>
      </c>
      <c r="BN436" s="13">
        <v>-19.174179077148438</v>
      </c>
      <c r="BO436" s="13">
        <v>-1.0089874267578125E-3</v>
      </c>
      <c r="BP436" s="15">
        <v>1.328553000945476E-8</v>
      </c>
      <c r="BQ436" s="15">
        <v>-3.6148861681795097E-13</v>
      </c>
      <c r="BR436" s="14">
        <v>6.4277599449269474E-5</v>
      </c>
      <c r="BS436" s="14">
        <v>-3.1068339012563229E-9</v>
      </c>
      <c r="BT436" s="14">
        <v>2.2725394956069067E-5</v>
      </c>
      <c r="BU436" s="14">
        <v>6.3300831243395805E-10</v>
      </c>
      <c r="BV436" s="11">
        <v>295478.65625</v>
      </c>
      <c r="BW436" s="11">
        <v>-13.375</v>
      </c>
      <c r="BX436" s="11">
        <v>118797.9921875</v>
      </c>
      <c r="BY436" s="11">
        <v>3.6328125</v>
      </c>
      <c r="BZ436" s="7">
        <v>1.7999999523162842</v>
      </c>
      <c r="CA436" s="7">
        <v>2.0999999046325684</v>
      </c>
      <c r="CB436" s="7">
        <v>1.4500000476837158</v>
      </c>
      <c r="CC436" s="7">
        <v>1.6499999761581421</v>
      </c>
      <c r="CD436" s="7">
        <v>1.6499999761581421</v>
      </c>
      <c r="CE436" s="3">
        <v>75</v>
      </c>
      <c r="CF436" s="7">
        <v>1.6000000238418579</v>
      </c>
      <c r="CG436" s="3">
        <v>2425</v>
      </c>
      <c r="CH436" s="7">
        <v>1.7699999809265137</v>
      </c>
      <c r="CI436" s="7">
        <v>0</v>
      </c>
      <c r="CJ436" s="3">
        <v>0</v>
      </c>
      <c r="CK436" s="7">
        <v>0</v>
      </c>
      <c r="CL436" s="3">
        <v>0</v>
      </c>
      <c r="CM436" s="7">
        <v>0</v>
      </c>
      <c r="CN436" s="10">
        <v>44783.638194444444</v>
      </c>
      <c r="CO436" s="10">
        <v>44783.636701388888</v>
      </c>
      <c r="CP436" s="7">
        <v>38295.69921875</v>
      </c>
      <c r="CQ436" s="17" t="s">
        <v>321</v>
      </c>
      <c r="CR436" s="10">
        <v>44783.638194444444</v>
      </c>
      <c r="CS436" s="12">
        <v>-342.38</v>
      </c>
      <c r="CT436" s="18">
        <v>-1</v>
      </c>
      <c r="CU436" s="3">
        <v>0</v>
      </c>
      <c r="CV436" s="18"/>
      <c r="CW436" s="7">
        <v>7395.4</v>
      </c>
      <c r="CX436" s="18">
        <v>-1</v>
      </c>
      <c r="CY436" s="7">
        <v>1.6499999761581421</v>
      </c>
      <c r="CZ436" s="18">
        <v>0</v>
      </c>
      <c r="DA436" s="3">
        <v>143300</v>
      </c>
      <c r="DB436" s="18">
        <v>7.7110956036287509E-2</v>
      </c>
      <c r="DC436" s="11">
        <v>2.3961067199707031E-3</v>
      </c>
      <c r="DD436" s="18">
        <v>3.2961580817737464E-5</v>
      </c>
      <c r="DE436" s="7">
        <v>1.6499999761581421</v>
      </c>
      <c r="DF436" s="7">
        <v>7395.4</v>
      </c>
      <c r="DG436" s="7">
        <v>38295.69921875</v>
      </c>
      <c r="DH436" s="3" t="s">
        <v>312</v>
      </c>
      <c r="DI436" s="3" t="s">
        <v>313</v>
      </c>
      <c r="DJ436" s="3" t="s">
        <v>314</v>
      </c>
      <c r="DK436" s="3">
        <v>38300</v>
      </c>
      <c r="DL436" s="3">
        <v>3400000</v>
      </c>
      <c r="DM436" s="3">
        <v>38500</v>
      </c>
      <c r="DN436" s="3">
        <v>0</v>
      </c>
      <c r="DO436" s="3">
        <v>24500</v>
      </c>
      <c r="DP436" s="3">
        <v>2863350</v>
      </c>
      <c r="DQ436" s="28">
        <v>38000</v>
      </c>
      <c r="DR436" s="32">
        <v>0</v>
      </c>
      <c r="DS436" s="32">
        <v>24500</v>
      </c>
      <c r="DT436" s="32" t="s">
        <v>33</v>
      </c>
      <c r="DU436" s="69">
        <v>44784</v>
      </c>
    </row>
    <row r="437" spans="1:125" x14ac:dyDescent="0.25">
      <c r="A437" t="s">
        <v>144</v>
      </c>
      <c r="B437" s="2">
        <v>44798</v>
      </c>
      <c r="C437" s="1">
        <v>375</v>
      </c>
      <c r="D437">
        <v>65</v>
      </c>
      <c r="M437" s="3"/>
      <c r="N437" s="3"/>
      <c r="O437" s="3">
        <v>43000</v>
      </c>
      <c r="P437" s="7">
        <v>0</v>
      </c>
      <c r="Q437" s="7">
        <v>0</v>
      </c>
      <c r="R437" s="7">
        <v>0</v>
      </c>
      <c r="S437" s="7">
        <v>0</v>
      </c>
      <c r="T437" s="11">
        <v>0</v>
      </c>
      <c r="U437" s="11">
        <v>0</v>
      </c>
      <c r="V437" s="11">
        <v>0</v>
      </c>
      <c r="W437" s="11">
        <v>0</v>
      </c>
      <c r="X437" s="14">
        <v>0</v>
      </c>
      <c r="Y437" s="14">
        <v>0</v>
      </c>
      <c r="Z437" s="14">
        <v>0</v>
      </c>
      <c r="AA437" s="14">
        <v>0</v>
      </c>
      <c r="AB437" s="15">
        <v>0</v>
      </c>
      <c r="AC437" s="15">
        <v>0</v>
      </c>
      <c r="AD437" s="13">
        <v>0</v>
      </c>
      <c r="AE437" s="13">
        <v>0</v>
      </c>
      <c r="AF437" s="12">
        <v>0</v>
      </c>
      <c r="AG437" s="12">
        <v>0</v>
      </c>
      <c r="AH437" s="13">
        <v>0</v>
      </c>
      <c r="AI437" s="13">
        <v>0</v>
      </c>
      <c r="AJ437" s="11">
        <v>0</v>
      </c>
      <c r="AK437" s="11">
        <v>0</v>
      </c>
      <c r="AL437" s="11">
        <v>0</v>
      </c>
      <c r="AM437" s="11">
        <v>0</v>
      </c>
      <c r="AN437" s="11">
        <v>0</v>
      </c>
      <c r="AO437" s="11">
        <v>0</v>
      </c>
      <c r="AP437" s="11">
        <v>0</v>
      </c>
      <c r="AQ437" s="11">
        <v>0</v>
      </c>
      <c r="AR437" s="16">
        <v>0</v>
      </c>
      <c r="AS437" s="16">
        <v>0</v>
      </c>
      <c r="AT437" s="16">
        <v>0</v>
      </c>
      <c r="AU437" s="7">
        <v>0</v>
      </c>
      <c r="AV437" s="7">
        <v>0</v>
      </c>
      <c r="AW437" s="7">
        <v>1.6000000238418579</v>
      </c>
      <c r="AX437" s="7">
        <v>0</v>
      </c>
      <c r="AY437" s="11">
        <v>79.703760147094727</v>
      </c>
      <c r="AZ437" s="16">
        <v>468600</v>
      </c>
      <c r="BA437" s="16">
        <v>-300</v>
      </c>
      <c r="BB437" s="16">
        <v>1048775</v>
      </c>
      <c r="BC437" s="11">
        <v>3.2845740206539631E-3</v>
      </c>
      <c r="BD437" s="11">
        <v>2.6542693376541138E-8</v>
      </c>
      <c r="BE437" s="11">
        <v>-1.6000000238418579</v>
      </c>
      <c r="BF437" s="11">
        <v>0</v>
      </c>
      <c r="BG437" s="11">
        <v>0.20175695419311523</v>
      </c>
      <c r="BH437" s="11">
        <v>-2.6375055313110352E-6</v>
      </c>
      <c r="BI437" s="13">
        <v>6.1279351939447224E-6</v>
      </c>
      <c r="BJ437" s="13">
        <v>9.9134922493249178E-11</v>
      </c>
      <c r="BK437" s="11">
        <v>79.703760147094727</v>
      </c>
      <c r="BL437" s="12">
        <v>55.523414611816406</v>
      </c>
      <c r="BM437" s="12">
        <v>-1.0986328125E-3</v>
      </c>
      <c r="BN437" s="13">
        <v>-21.522579193115234</v>
      </c>
      <c r="BO437" s="13">
        <v>-7.495880126953125E-4</v>
      </c>
      <c r="BP437" s="15">
        <v>1.0121473437152417E-8</v>
      </c>
      <c r="BQ437" s="15">
        <v>2.4513724383723456E-13</v>
      </c>
      <c r="BR437" s="14">
        <v>4.9990834668278694E-5</v>
      </c>
      <c r="BS437" s="14">
        <v>1.1641532182693481E-10</v>
      </c>
      <c r="BT437" s="14">
        <v>1.9377981516299769E-5</v>
      </c>
      <c r="BU437" s="14">
        <v>1.1041265679523349E-9</v>
      </c>
      <c r="BV437" s="11">
        <v>306713.15625</v>
      </c>
      <c r="BW437" s="11">
        <v>-12.625</v>
      </c>
      <c r="BX437" s="11">
        <v>134739.140625</v>
      </c>
      <c r="BY437" s="11">
        <v>1.859375</v>
      </c>
      <c r="BZ437" s="7">
        <v>1.7999999523162842</v>
      </c>
      <c r="CA437" s="7">
        <v>1.8500000238418579</v>
      </c>
      <c r="CB437" s="7">
        <v>1.3999999761581421</v>
      </c>
      <c r="CC437" s="7">
        <v>1.6000000238418579</v>
      </c>
      <c r="CD437" s="7">
        <v>1.6499999761581421</v>
      </c>
      <c r="CE437" s="3">
        <v>5000</v>
      </c>
      <c r="CF437" s="7">
        <v>1.6000000238418579</v>
      </c>
      <c r="CG437" s="3">
        <v>2900</v>
      </c>
      <c r="CH437" s="7">
        <v>1.6599999666213989</v>
      </c>
      <c r="CI437" s="7">
        <v>4795.75</v>
      </c>
      <c r="CJ437" s="3">
        <v>125</v>
      </c>
      <c r="CK437" s="7">
        <v>4500.14990234375</v>
      </c>
      <c r="CL437" s="3">
        <v>500</v>
      </c>
      <c r="CM437" s="7">
        <v>0</v>
      </c>
      <c r="CN437" s="10">
        <v>44783.638194444444</v>
      </c>
      <c r="CO437" s="10">
        <v>44783.638194444444</v>
      </c>
      <c r="CP437" s="7">
        <v>38295.69921875</v>
      </c>
      <c r="CQ437" s="17" t="s">
        <v>321</v>
      </c>
      <c r="CR437" s="10">
        <v>44783.638194444444</v>
      </c>
      <c r="CS437" s="12">
        <v>0</v>
      </c>
      <c r="CT437" s="18">
        <v>0</v>
      </c>
      <c r="CU437" s="3">
        <v>0</v>
      </c>
      <c r="CV437" s="18">
        <v>0</v>
      </c>
      <c r="CW437" s="7">
        <v>0</v>
      </c>
      <c r="CX437" s="18">
        <v>0</v>
      </c>
      <c r="CY437" s="7">
        <v>1.6000000238418579</v>
      </c>
      <c r="CZ437" s="18">
        <v>0</v>
      </c>
      <c r="DA437" s="3">
        <v>468900</v>
      </c>
      <c r="DB437" s="18">
        <v>-6.3979526551503517E-4</v>
      </c>
      <c r="DC437" s="11">
        <v>9.1195106506347656E-4</v>
      </c>
      <c r="DD437" s="18">
        <v>1.1441888034170712E-5</v>
      </c>
      <c r="DE437" s="7">
        <v>1.6000000238418579</v>
      </c>
      <c r="DF437" s="7">
        <v>0</v>
      </c>
      <c r="DG437" s="7">
        <v>38295.69921875</v>
      </c>
      <c r="DH437" s="3" t="s">
        <v>312</v>
      </c>
      <c r="DI437" s="3" t="s">
        <v>312</v>
      </c>
      <c r="DJ437" s="3" t="s">
        <v>314</v>
      </c>
      <c r="DK437" s="3">
        <v>38300</v>
      </c>
      <c r="DL437" s="3">
        <v>3400000</v>
      </c>
      <c r="DM437" s="3">
        <v>38500</v>
      </c>
      <c r="DN437" s="3">
        <v>0</v>
      </c>
      <c r="DO437" s="3">
        <v>24500</v>
      </c>
      <c r="DP437" s="3">
        <v>2863350</v>
      </c>
      <c r="DQ437" s="28">
        <v>38000</v>
      </c>
      <c r="DR437" s="32">
        <v>0</v>
      </c>
      <c r="DS437" s="32">
        <v>24500</v>
      </c>
      <c r="DT437" s="32" t="s">
        <v>33</v>
      </c>
      <c r="DU437" s="69">
        <v>44784</v>
      </c>
    </row>
    <row r="438" spans="1:125" x14ac:dyDescent="0.25">
      <c r="A438" t="s">
        <v>144</v>
      </c>
      <c r="B438" s="2">
        <v>44833</v>
      </c>
      <c r="C438" s="1">
        <v>375</v>
      </c>
      <c r="D438">
        <v>65</v>
      </c>
      <c r="M438" s="3"/>
      <c r="N438" s="3"/>
      <c r="O438" s="3">
        <v>43500</v>
      </c>
      <c r="P438" s="7">
        <v>0</v>
      </c>
      <c r="Q438" s="7">
        <v>0</v>
      </c>
      <c r="R438" s="7">
        <v>0</v>
      </c>
      <c r="S438" s="7">
        <v>0</v>
      </c>
      <c r="T438" s="11">
        <v>0</v>
      </c>
      <c r="U438" s="11">
        <v>0</v>
      </c>
      <c r="V438" s="11">
        <v>0</v>
      </c>
      <c r="W438" s="11">
        <v>0</v>
      </c>
      <c r="X438" s="14">
        <v>0</v>
      </c>
      <c r="Y438" s="14">
        <v>0</v>
      </c>
      <c r="Z438" s="14">
        <v>0</v>
      </c>
      <c r="AA438" s="14">
        <v>0</v>
      </c>
      <c r="AB438" s="15">
        <v>0</v>
      </c>
      <c r="AC438" s="15">
        <v>0</v>
      </c>
      <c r="AD438" s="13">
        <v>0</v>
      </c>
      <c r="AE438" s="13">
        <v>0</v>
      </c>
      <c r="AF438" s="12">
        <v>0</v>
      </c>
      <c r="AG438" s="12">
        <v>0</v>
      </c>
      <c r="AH438" s="13">
        <v>0</v>
      </c>
      <c r="AI438" s="13">
        <v>0</v>
      </c>
      <c r="AJ438" s="11">
        <v>0</v>
      </c>
      <c r="AK438" s="11">
        <v>0</v>
      </c>
      <c r="AL438" s="11">
        <v>0</v>
      </c>
      <c r="AM438" s="11">
        <v>0</v>
      </c>
      <c r="AN438" s="11">
        <v>0</v>
      </c>
      <c r="AO438" s="11">
        <v>0</v>
      </c>
      <c r="AP438" s="11">
        <v>0</v>
      </c>
      <c r="AQ438" s="11">
        <v>0</v>
      </c>
      <c r="AR438" s="16">
        <v>0</v>
      </c>
      <c r="AS438" s="16">
        <v>0</v>
      </c>
      <c r="AT438" s="16">
        <v>0</v>
      </c>
      <c r="AU438" s="7">
        <v>0</v>
      </c>
      <c r="AV438" s="7">
        <v>0</v>
      </c>
      <c r="AW438" s="7">
        <v>0</v>
      </c>
      <c r="AX438" s="7">
        <v>0</v>
      </c>
      <c r="AY438" s="11">
        <v>0</v>
      </c>
      <c r="AZ438" s="16">
        <v>0</v>
      </c>
      <c r="BA438" s="16">
        <v>0</v>
      </c>
      <c r="BB438" s="16">
        <v>0</v>
      </c>
      <c r="BC438" s="11">
        <v>0</v>
      </c>
      <c r="BD438" s="11">
        <v>0</v>
      </c>
      <c r="BE438" s="11">
        <v>0</v>
      </c>
      <c r="BF438" s="11">
        <v>0</v>
      </c>
      <c r="BG438" s="11">
        <v>0</v>
      </c>
      <c r="BH438" s="11">
        <v>0</v>
      </c>
      <c r="BI438" s="13">
        <v>0</v>
      </c>
      <c r="BJ438" s="13">
        <v>0</v>
      </c>
      <c r="BK438" s="11">
        <v>0</v>
      </c>
      <c r="BL438" s="12">
        <v>0</v>
      </c>
      <c r="BM438" s="12">
        <v>0</v>
      </c>
      <c r="BN438" s="13">
        <v>0</v>
      </c>
      <c r="BO438" s="13">
        <v>0</v>
      </c>
      <c r="BP438" s="15">
        <v>0</v>
      </c>
      <c r="BQ438" s="15">
        <v>0</v>
      </c>
      <c r="BR438" s="14">
        <v>0</v>
      </c>
      <c r="BS438" s="14">
        <v>0</v>
      </c>
      <c r="BT438" s="14">
        <v>0</v>
      </c>
      <c r="BU438" s="14">
        <v>0</v>
      </c>
      <c r="BV438" s="11">
        <v>0</v>
      </c>
      <c r="BW438" s="11">
        <v>0</v>
      </c>
      <c r="BX438" s="11">
        <v>0</v>
      </c>
      <c r="BY438" s="11">
        <v>0</v>
      </c>
      <c r="BZ438" s="7">
        <v>0</v>
      </c>
      <c r="CA438" s="7">
        <v>0</v>
      </c>
      <c r="CB438" s="7">
        <v>0</v>
      </c>
      <c r="CC438" s="7">
        <v>0</v>
      </c>
      <c r="CD438" s="7">
        <v>0</v>
      </c>
      <c r="CE438" s="3">
        <v>0</v>
      </c>
      <c r="CF438" s="7">
        <v>0</v>
      </c>
      <c r="CG438" s="3">
        <v>0</v>
      </c>
      <c r="CH438" s="7">
        <v>0</v>
      </c>
      <c r="CI438" s="7">
        <v>0</v>
      </c>
      <c r="CJ438" s="3">
        <v>0</v>
      </c>
      <c r="CK438" s="7">
        <v>0</v>
      </c>
      <c r="CL438" s="3">
        <v>0</v>
      </c>
      <c r="CM438" s="7">
        <v>0</v>
      </c>
      <c r="CN438" s="10">
        <v>44783.636701388888</v>
      </c>
      <c r="CO438" s="10">
        <v>44783.636701388888</v>
      </c>
      <c r="CP438" s="7">
        <v>38295.69921875</v>
      </c>
      <c r="CQ438" s="17" t="s">
        <v>321</v>
      </c>
      <c r="CR438" s="10">
        <v>44783.638194444444</v>
      </c>
      <c r="CS438" s="12">
        <v>0</v>
      </c>
      <c r="CT438" s="18"/>
      <c r="CU438" s="3">
        <v>0</v>
      </c>
      <c r="CV438" s="18"/>
      <c r="CW438" s="7">
        <v>0</v>
      </c>
      <c r="CX438" s="18"/>
      <c r="CY438" s="7">
        <v>0</v>
      </c>
      <c r="CZ438" s="18"/>
      <c r="DA438" s="3">
        <v>0</v>
      </c>
      <c r="DB438" s="18"/>
      <c r="DC438" s="11">
        <v>0</v>
      </c>
      <c r="DD438" s="18"/>
      <c r="DE438" s="7">
        <v>0</v>
      </c>
      <c r="DF438" s="7">
        <v>0</v>
      </c>
      <c r="DG438" s="7">
        <v>38295.69921875</v>
      </c>
      <c r="DH438" s="3" t="s">
        <v>312</v>
      </c>
      <c r="DI438" s="3" t="s">
        <v>312</v>
      </c>
      <c r="DJ438" s="3" t="s">
        <v>314</v>
      </c>
      <c r="DK438" s="3">
        <v>38300</v>
      </c>
      <c r="DL438" s="3">
        <v>3400000</v>
      </c>
      <c r="DM438" s="3">
        <v>38500</v>
      </c>
      <c r="DN438" s="3">
        <v>0</v>
      </c>
      <c r="DO438" s="3">
        <v>24500</v>
      </c>
      <c r="DP438" s="3">
        <v>2863350</v>
      </c>
      <c r="DQ438" s="28">
        <v>38000</v>
      </c>
      <c r="DR438" s="32">
        <v>0</v>
      </c>
      <c r="DS438" s="32">
        <v>24500</v>
      </c>
      <c r="DT438" s="32" t="s">
        <v>33</v>
      </c>
      <c r="DU438" s="69">
        <v>44784</v>
      </c>
    </row>
    <row r="439" spans="1:125" x14ac:dyDescent="0.25">
      <c r="A439" t="s">
        <v>144</v>
      </c>
      <c r="B439" s="2">
        <v>44861</v>
      </c>
      <c r="C439" s="1">
        <v>375</v>
      </c>
      <c r="D439">
        <v>65</v>
      </c>
      <c r="M439" s="3"/>
      <c r="N439" s="3"/>
      <c r="O439" s="3">
        <v>44000</v>
      </c>
      <c r="P439" s="7">
        <v>0</v>
      </c>
      <c r="Q439" s="7">
        <v>0</v>
      </c>
      <c r="R439" s="7">
        <v>0</v>
      </c>
      <c r="S439" s="7">
        <v>0</v>
      </c>
      <c r="T439" s="11">
        <v>0</v>
      </c>
      <c r="U439" s="11">
        <v>0</v>
      </c>
      <c r="V439" s="11">
        <v>0</v>
      </c>
      <c r="W439" s="11">
        <v>0</v>
      </c>
      <c r="X439" s="14">
        <v>0</v>
      </c>
      <c r="Y439" s="14">
        <v>0</v>
      </c>
      <c r="Z439" s="14">
        <v>0</v>
      </c>
      <c r="AA439" s="14">
        <v>0</v>
      </c>
      <c r="AB439" s="15">
        <v>0</v>
      </c>
      <c r="AC439" s="15">
        <v>0</v>
      </c>
      <c r="AD439" s="13">
        <v>0</v>
      </c>
      <c r="AE439" s="13">
        <v>0</v>
      </c>
      <c r="AF439" s="12">
        <v>0</v>
      </c>
      <c r="AG439" s="12">
        <v>0</v>
      </c>
      <c r="AH439" s="13">
        <v>0</v>
      </c>
      <c r="AI439" s="13">
        <v>0</v>
      </c>
      <c r="AJ439" s="11">
        <v>0</v>
      </c>
      <c r="AK439" s="11">
        <v>0</v>
      </c>
      <c r="AL439" s="11">
        <v>0</v>
      </c>
      <c r="AM439" s="11">
        <v>0</v>
      </c>
      <c r="AN439" s="11">
        <v>0</v>
      </c>
      <c r="AO439" s="11">
        <v>0</v>
      </c>
      <c r="AP439" s="11">
        <v>0</v>
      </c>
      <c r="AQ439" s="11">
        <v>0</v>
      </c>
      <c r="AR439" s="16">
        <v>0</v>
      </c>
      <c r="AS439" s="16">
        <v>0</v>
      </c>
      <c r="AT439" s="16">
        <v>0</v>
      </c>
      <c r="AU439" s="7">
        <v>0</v>
      </c>
      <c r="AV439" s="7">
        <v>0</v>
      </c>
      <c r="AW439" s="7">
        <v>0</v>
      </c>
      <c r="AX439" s="7">
        <v>0</v>
      </c>
      <c r="AY439" s="11">
        <v>0</v>
      </c>
      <c r="AZ439" s="16">
        <v>0</v>
      </c>
      <c r="BA439" s="16">
        <v>0</v>
      </c>
      <c r="BB439" s="16">
        <v>0</v>
      </c>
      <c r="BC439" s="11">
        <v>0</v>
      </c>
      <c r="BD439" s="11">
        <v>0</v>
      </c>
      <c r="BE439" s="11">
        <v>0</v>
      </c>
      <c r="BF439" s="11">
        <v>0</v>
      </c>
      <c r="BG439" s="11">
        <v>0</v>
      </c>
      <c r="BH439" s="11">
        <v>0</v>
      </c>
      <c r="BI439" s="13">
        <v>0</v>
      </c>
      <c r="BJ439" s="13">
        <v>0</v>
      </c>
      <c r="BK439" s="11">
        <v>0</v>
      </c>
      <c r="BL439" s="12">
        <v>0</v>
      </c>
      <c r="BM439" s="12">
        <v>0</v>
      </c>
      <c r="BN439" s="13">
        <v>0</v>
      </c>
      <c r="BO439" s="13">
        <v>0</v>
      </c>
      <c r="BP439" s="15">
        <v>0</v>
      </c>
      <c r="BQ439" s="15">
        <v>0</v>
      </c>
      <c r="BR439" s="14">
        <v>0</v>
      </c>
      <c r="BS439" s="14">
        <v>0</v>
      </c>
      <c r="BT439" s="14">
        <v>0</v>
      </c>
      <c r="BU439" s="14">
        <v>0</v>
      </c>
      <c r="BV439" s="11">
        <v>0</v>
      </c>
      <c r="BW439" s="11">
        <v>0</v>
      </c>
      <c r="BX439" s="11">
        <v>0</v>
      </c>
      <c r="BY439" s="11">
        <v>0</v>
      </c>
      <c r="BZ439" s="7">
        <v>0</v>
      </c>
      <c r="CA439" s="7">
        <v>0</v>
      </c>
      <c r="CB439" s="7">
        <v>0</v>
      </c>
      <c r="CC439" s="7">
        <v>0</v>
      </c>
      <c r="CD439" s="7">
        <v>0</v>
      </c>
      <c r="CE439" s="3">
        <v>0</v>
      </c>
      <c r="CF439" s="7">
        <v>0</v>
      </c>
      <c r="CG439" s="3">
        <v>0</v>
      </c>
      <c r="CH439" s="7">
        <v>0</v>
      </c>
      <c r="CI439" s="7">
        <v>0</v>
      </c>
      <c r="CJ439" s="3">
        <v>0</v>
      </c>
      <c r="CK439" s="7">
        <v>0</v>
      </c>
      <c r="CL439" s="3">
        <v>0</v>
      </c>
      <c r="CM439" s="7">
        <v>0</v>
      </c>
      <c r="CN439" s="10">
        <v>44783.636701388888</v>
      </c>
      <c r="CO439" s="10">
        <v>44783.636701388888</v>
      </c>
      <c r="CP439" s="7">
        <v>38295.69921875</v>
      </c>
      <c r="CQ439" s="17" t="s">
        <v>321</v>
      </c>
      <c r="CR439" s="10">
        <v>44783.638194444444</v>
      </c>
      <c r="CS439" s="12">
        <v>0</v>
      </c>
      <c r="CT439" s="18"/>
      <c r="CU439" s="3">
        <v>0</v>
      </c>
      <c r="CV439" s="18"/>
      <c r="CW439" s="7">
        <v>0</v>
      </c>
      <c r="CX439" s="18"/>
      <c r="CY439" s="7">
        <v>0</v>
      </c>
      <c r="CZ439" s="18"/>
      <c r="DA439" s="3">
        <v>0</v>
      </c>
      <c r="DB439" s="18"/>
      <c r="DC439" s="11">
        <v>0</v>
      </c>
      <c r="DD439" s="18"/>
      <c r="DE439" s="7">
        <v>0</v>
      </c>
      <c r="DF439" s="7">
        <v>0</v>
      </c>
      <c r="DG439" s="7">
        <v>38295.69921875</v>
      </c>
      <c r="DH439" s="3" t="s">
        <v>312</v>
      </c>
      <c r="DI439" s="3" t="s">
        <v>312</v>
      </c>
      <c r="DJ439" s="3" t="s">
        <v>314</v>
      </c>
      <c r="DK439" s="3">
        <v>38300</v>
      </c>
      <c r="DL439" s="3">
        <v>3400000</v>
      </c>
      <c r="DM439" s="3">
        <v>38500</v>
      </c>
      <c r="DN439" s="3">
        <v>0</v>
      </c>
      <c r="DO439" s="3">
        <v>24500</v>
      </c>
      <c r="DP439" s="3">
        <v>2863350</v>
      </c>
      <c r="DQ439" s="28">
        <v>38000</v>
      </c>
      <c r="DR439" s="32">
        <v>0</v>
      </c>
      <c r="DS439" s="32">
        <v>24500</v>
      </c>
      <c r="DT439" s="32" t="s">
        <v>33</v>
      </c>
      <c r="DU439" s="69">
        <v>44784</v>
      </c>
    </row>
    <row r="440" spans="1:125" x14ac:dyDescent="0.25">
      <c r="A440" t="s">
        <v>145</v>
      </c>
      <c r="B440" s="2">
        <v>44798</v>
      </c>
      <c r="C440" s="1">
        <v>1600</v>
      </c>
      <c r="D440">
        <v>57</v>
      </c>
      <c r="M440" s="3"/>
      <c r="N440" s="3"/>
      <c r="O440" s="3">
        <v>44500</v>
      </c>
      <c r="P440" s="7">
        <v>0</v>
      </c>
      <c r="Q440" s="7">
        <v>0</v>
      </c>
      <c r="R440" s="7">
        <v>0</v>
      </c>
      <c r="S440" s="7">
        <v>0</v>
      </c>
      <c r="T440" s="11">
        <v>0</v>
      </c>
      <c r="U440" s="11">
        <v>0</v>
      </c>
      <c r="V440" s="11">
        <v>0</v>
      </c>
      <c r="W440" s="11">
        <v>0</v>
      </c>
      <c r="X440" s="14">
        <v>0</v>
      </c>
      <c r="Y440" s="14">
        <v>0</v>
      </c>
      <c r="Z440" s="14">
        <v>0</v>
      </c>
      <c r="AA440" s="14">
        <v>0</v>
      </c>
      <c r="AB440" s="15">
        <v>0</v>
      </c>
      <c r="AC440" s="15">
        <v>0</v>
      </c>
      <c r="AD440" s="13">
        <v>0</v>
      </c>
      <c r="AE440" s="13">
        <v>0</v>
      </c>
      <c r="AF440" s="12">
        <v>0</v>
      </c>
      <c r="AG440" s="12">
        <v>0</v>
      </c>
      <c r="AH440" s="13">
        <v>0</v>
      </c>
      <c r="AI440" s="13">
        <v>0</v>
      </c>
      <c r="AJ440" s="11">
        <v>0</v>
      </c>
      <c r="AK440" s="11">
        <v>0</v>
      </c>
      <c r="AL440" s="11">
        <v>0</v>
      </c>
      <c r="AM440" s="11">
        <v>0</v>
      </c>
      <c r="AN440" s="11">
        <v>0</v>
      </c>
      <c r="AO440" s="11">
        <v>0</v>
      </c>
      <c r="AP440" s="11">
        <v>0</v>
      </c>
      <c r="AQ440" s="11">
        <v>0</v>
      </c>
      <c r="AR440" s="16">
        <v>0</v>
      </c>
      <c r="AS440" s="16">
        <v>0</v>
      </c>
      <c r="AT440" s="16">
        <v>0</v>
      </c>
      <c r="AU440" s="7">
        <v>0</v>
      </c>
      <c r="AV440" s="7">
        <v>0</v>
      </c>
      <c r="AW440" s="7">
        <v>0</v>
      </c>
      <c r="AX440" s="7">
        <v>0</v>
      </c>
      <c r="AY440" s="11">
        <v>0</v>
      </c>
      <c r="AZ440" s="16">
        <v>0</v>
      </c>
      <c r="BA440" s="16">
        <v>0</v>
      </c>
      <c r="BB440" s="16">
        <v>0</v>
      </c>
      <c r="BC440" s="11">
        <v>0</v>
      </c>
      <c r="BD440" s="11">
        <v>0</v>
      </c>
      <c r="BE440" s="11">
        <v>0</v>
      </c>
      <c r="BF440" s="11">
        <v>0</v>
      </c>
      <c r="BG440" s="11">
        <v>0</v>
      </c>
      <c r="BH440" s="11">
        <v>0</v>
      </c>
      <c r="BI440" s="13">
        <v>0</v>
      </c>
      <c r="BJ440" s="13">
        <v>0</v>
      </c>
      <c r="BK440" s="11">
        <v>0</v>
      </c>
      <c r="BL440" s="12">
        <v>0</v>
      </c>
      <c r="BM440" s="12">
        <v>0</v>
      </c>
      <c r="BN440" s="13">
        <v>0</v>
      </c>
      <c r="BO440" s="13">
        <v>0</v>
      </c>
      <c r="BP440" s="15">
        <v>0</v>
      </c>
      <c r="BQ440" s="15">
        <v>0</v>
      </c>
      <c r="BR440" s="14">
        <v>0</v>
      </c>
      <c r="BS440" s="14">
        <v>0</v>
      </c>
      <c r="BT440" s="14">
        <v>0</v>
      </c>
      <c r="BU440" s="14">
        <v>0</v>
      </c>
      <c r="BV440" s="11">
        <v>0</v>
      </c>
      <c r="BW440" s="11">
        <v>0</v>
      </c>
      <c r="BX440" s="11">
        <v>0</v>
      </c>
      <c r="BY440" s="11">
        <v>0</v>
      </c>
      <c r="BZ440" s="7">
        <v>0</v>
      </c>
      <c r="CA440" s="7">
        <v>0</v>
      </c>
      <c r="CB440" s="7">
        <v>0</v>
      </c>
      <c r="CC440" s="7">
        <v>0</v>
      </c>
      <c r="CD440" s="7">
        <v>0</v>
      </c>
      <c r="CE440" s="3">
        <v>0</v>
      </c>
      <c r="CF440" s="7">
        <v>0</v>
      </c>
      <c r="CG440" s="3">
        <v>0</v>
      </c>
      <c r="CH440" s="7">
        <v>0</v>
      </c>
      <c r="CI440" s="7">
        <v>0</v>
      </c>
      <c r="CJ440" s="3">
        <v>0</v>
      </c>
      <c r="CK440" s="7">
        <v>0</v>
      </c>
      <c r="CL440" s="3">
        <v>0</v>
      </c>
      <c r="CM440" s="7">
        <v>0</v>
      </c>
      <c r="CN440" s="10">
        <v>44783.636701388888</v>
      </c>
      <c r="CO440" s="10">
        <v>44783.636701388888</v>
      </c>
      <c r="CP440" s="7">
        <v>38295.69921875</v>
      </c>
      <c r="CQ440" s="17" t="s">
        <v>321</v>
      </c>
      <c r="CR440" s="10">
        <v>44783.638194444444</v>
      </c>
      <c r="CS440" s="12">
        <v>0</v>
      </c>
      <c r="CT440" s="18"/>
      <c r="CU440" s="3">
        <v>0</v>
      </c>
      <c r="CV440" s="18"/>
      <c r="CW440" s="7">
        <v>0</v>
      </c>
      <c r="CX440" s="18"/>
      <c r="CY440" s="7">
        <v>0</v>
      </c>
      <c r="CZ440" s="18"/>
      <c r="DA440" s="3">
        <v>0</v>
      </c>
      <c r="DB440" s="18"/>
      <c r="DC440" s="11">
        <v>0</v>
      </c>
      <c r="DD440" s="18"/>
      <c r="DE440" s="7">
        <v>0</v>
      </c>
      <c r="DF440" s="7">
        <v>0</v>
      </c>
      <c r="DG440" s="7">
        <v>38295.69921875</v>
      </c>
      <c r="DH440" s="3" t="s">
        <v>312</v>
      </c>
      <c r="DI440" s="3" t="s">
        <v>312</v>
      </c>
      <c r="DJ440" s="3" t="s">
        <v>314</v>
      </c>
      <c r="DK440" s="3">
        <v>38300</v>
      </c>
      <c r="DL440" s="3">
        <v>3400000</v>
      </c>
      <c r="DM440" s="3">
        <v>38500</v>
      </c>
      <c r="DN440" s="3">
        <v>0</v>
      </c>
      <c r="DO440" s="3">
        <v>24500</v>
      </c>
      <c r="DP440" s="3">
        <v>2863350</v>
      </c>
      <c r="DQ440" s="28">
        <v>38000</v>
      </c>
      <c r="DR440" s="32">
        <v>0</v>
      </c>
      <c r="DS440" s="32">
        <v>24500</v>
      </c>
      <c r="DT440" s="32" t="s">
        <v>33</v>
      </c>
      <c r="DU440" s="69">
        <v>44784</v>
      </c>
    </row>
    <row r="441" spans="1:125" x14ac:dyDescent="0.25">
      <c r="A441" t="s">
        <v>146</v>
      </c>
      <c r="B441" s="2">
        <v>44798</v>
      </c>
      <c r="C441" s="1">
        <v>4250</v>
      </c>
      <c r="D441">
        <v>48</v>
      </c>
      <c r="M441" s="3"/>
      <c r="N441" s="3"/>
      <c r="O441" s="3">
        <v>45000</v>
      </c>
      <c r="P441" s="7">
        <v>0</v>
      </c>
      <c r="Q441" s="7">
        <v>0</v>
      </c>
      <c r="R441" s="7">
        <v>0</v>
      </c>
      <c r="S441" s="7">
        <v>0</v>
      </c>
      <c r="T441" s="11">
        <v>0</v>
      </c>
      <c r="U441" s="11">
        <v>0</v>
      </c>
      <c r="V441" s="11">
        <v>0</v>
      </c>
      <c r="W441" s="11">
        <v>0</v>
      </c>
      <c r="X441" s="14">
        <v>0</v>
      </c>
      <c r="Y441" s="14">
        <v>0</v>
      </c>
      <c r="Z441" s="14">
        <v>0</v>
      </c>
      <c r="AA441" s="14">
        <v>0</v>
      </c>
      <c r="AB441" s="15">
        <v>0</v>
      </c>
      <c r="AC441" s="15">
        <v>0</v>
      </c>
      <c r="AD441" s="13">
        <v>0</v>
      </c>
      <c r="AE441" s="13">
        <v>0</v>
      </c>
      <c r="AF441" s="12">
        <v>0</v>
      </c>
      <c r="AG441" s="12">
        <v>0</v>
      </c>
      <c r="AH441" s="13">
        <v>0</v>
      </c>
      <c r="AI441" s="13">
        <v>0</v>
      </c>
      <c r="AJ441" s="11">
        <v>0</v>
      </c>
      <c r="AK441" s="11">
        <v>0</v>
      </c>
      <c r="AL441" s="11">
        <v>0</v>
      </c>
      <c r="AM441" s="11">
        <v>0</v>
      </c>
      <c r="AN441" s="11">
        <v>0</v>
      </c>
      <c r="AO441" s="11">
        <v>0</v>
      </c>
      <c r="AP441" s="11">
        <v>0</v>
      </c>
      <c r="AQ441" s="11">
        <v>0</v>
      </c>
      <c r="AR441" s="16">
        <v>0</v>
      </c>
      <c r="AS441" s="16">
        <v>0</v>
      </c>
      <c r="AT441" s="16">
        <v>0</v>
      </c>
      <c r="AU441" s="7">
        <v>0</v>
      </c>
      <c r="AV441" s="7">
        <v>0</v>
      </c>
      <c r="AW441" s="7">
        <v>0</v>
      </c>
      <c r="AX441" s="7">
        <v>0</v>
      </c>
      <c r="AY441" s="11">
        <v>0</v>
      </c>
      <c r="AZ441" s="16">
        <v>0</v>
      </c>
      <c r="BA441" s="16">
        <v>0</v>
      </c>
      <c r="BB441" s="16">
        <v>0</v>
      </c>
      <c r="BC441" s="11">
        <v>0</v>
      </c>
      <c r="BD441" s="11">
        <v>0</v>
      </c>
      <c r="BE441" s="11">
        <v>0</v>
      </c>
      <c r="BF441" s="11">
        <v>0</v>
      </c>
      <c r="BG441" s="11">
        <v>0</v>
      </c>
      <c r="BH441" s="11">
        <v>0</v>
      </c>
      <c r="BI441" s="13">
        <v>0</v>
      </c>
      <c r="BJ441" s="13">
        <v>0</v>
      </c>
      <c r="BK441" s="11">
        <v>0</v>
      </c>
      <c r="BL441" s="12">
        <v>0</v>
      </c>
      <c r="BM441" s="12">
        <v>0</v>
      </c>
      <c r="BN441" s="13">
        <v>0</v>
      </c>
      <c r="BO441" s="13">
        <v>0</v>
      </c>
      <c r="BP441" s="15">
        <v>0</v>
      </c>
      <c r="BQ441" s="15">
        <v>0</v>
      </c>
      <c r="BR441" s="14">
        <v>0</v>
      </c>
      <c r="BS441" s="14">
        <v>0</v>
      </c>
      <c r="BT441" s="14">
        <v>0</v>
      </c>
      <c r="BU441" s="14">
        <v>0</v>
      </c>
      <c r="BV441" s="11">
        <v>0</v>
      </c>
      <c r="BW441" s="11">
        <v>0</v>
      </c>
      <c r="BX441" s="11">
        <v>0</v>
      </c>
      <c r="BY441" s="11">
        <v>0</v>
      </c>
      <c r="BZ441" s="7">
        <v>0</v>
      </c>
      <c r="CA441" s="7">
        <v>0</v>
      </c>
      <c r="CB441" s="7">
        <v>0</v>
      </c>
      <c r="CC441" s="7">
        <v>0</v>
      </c>
      <c r="CD441" s="7">
        <v>0</v>
      </c>
      <c r="CE441" s="3">
        <v>0</v>
      </c>
      <c r="CF441" s="7">
        <v>0</v>
      </c>
      <c r="CG441" s="3">
        <v>0</v>
      </c>
      <c r="CH441" s="7">
        <v>0</v>
      </c>
      <c r="CI441" s="7">
        <v>0</v>
      </c>
      <c r="CJ441" s="3">
        <v>0</v>
      </c>
      <c r="CK441" s="7">
        <v>0</v>
      </c>
      <c r="CL441" s="3">
        <v>0</v>
      </c>
      <c r="CM441" s="7">
        <v>0</v>
      </c>
      <c r="CN441" s="10">
        <v>44783.636701388888</v>
      </c>
      <c r="CO441" s="10">
        <v>44783.636701388888</v>
      </c>
      <c r="CP441" s="7">
        <v>38295.69921875</v>
      </c>
      <c r="CQ441" s="17" t="s">
        <v>321</v>
      </c>
      <c r="CR441" s="10">
        <v>44783.638194444444</v>
      </c>
      <c r="CS441" s="12">
        <v>0</v>
      </c>
      <c r="CT441" s="18"/>
      <c r="CU441" s="3">
        <v>0</v>
      </c>
      <c r="CV441" s="18"/>
      <c r="CW441" s="7">
        <v>0</v>
      </c>
      <c r="CX441" s="18"/>
      <c r="CY441" s="7">
        <v>0</v>
      </c>
      <c r="CZ441" s="18"/>
      <c r="DA441" s="3">
        <v>0</v>
      </c>
      <c r="DB441" s="18"/>
      <c r="DC441" s="11">
        <v>0</v>
      </c>
      <c r="DD441" s="18"/>
      <c r="DE441" s="7">
        <v>0</v>
      </c>
      <c r="DF441" s="7">
        <v>0</v>
      </c>
      <c r="DG441" s="7">
        <v>38295.69921875</v>
      </c>
      <c r="DH441" s="3" t="s">
        <v>312</v>
      </c>
      <c r="DI441" s="3" t="s">
        <v>312</v>
      </c>
      <c r="DJ441" s="3" t="s">
        <v>314</v>
      </c>
      <c r="DK441" s="3">
        <v>38300</v>
      </c>
      <c r="DL441" s="3">
        <v>3400000</v>
      </c>
      <c r="DM441" s="3">
        <v>38500</v>
      </c>
      <c r="DN441" s="3">
        <v>0</v>
      </c>
      <c r="DO441" s="3">
        <v>24500</v>
      </c>
      <c r="DP441" s="3">
        <v>2863350</v>
      </c>
      <c r="DQ441" s="28">
        <v>38000</v>
      </c>
      <c r="DR441" s="32">
        <v>0</v>
      </c>
      <c r="DS441" s="32">
        <v>24500</v>
      </c>
      <c r="DT441" s="32" t="s">
        <v>33</v>
      </c>
      <c r="DU441" s="69">
        <v>44784</v>
      </c>
    </row>
    <row r="442" spans="1:125" x14ac:dyDescent="0.25">
      <c r="A442" t="s">
        <v>146</v>
      </c>
      <c r="B442" s="2">
        <v>44833</v>
      </c>
      <c r="C442" s="1">
        <v>4250</v>
      </c>
      <c r="D442">
        <v>48</v>
      </c>
      <c r="M442" s="3"/>
      <c r="N442" s="3"/>
      <c r="O442" s="3">
        <v>45500</v>
      </c>
      <c r="P442" s="7">
        <v>0</v>
      </c>
      <c r="Q442" s="7">
        <v>0</v>
      </c>
      <c r="R442" s="7">
        <v>0</v>
      </c>
      <c r="S442" s="7">
        <v>0</v>
      </c>
      <c r="T442" s="11">
        <v>0</v>
      </c>
      <c r="U442" s="11">
        <v>0</v>
      </c>
      <c r="V442" s="11">
        <v>0</v>
      </c>
      <c r="W442" s="11">
        <v>0</v>
      </c>
      <c r="X442" s="14">
        <v>0</v>
      </c>
      <c r="Y442" s="14">
        <v>0</v>
      </c>
      <c r="Z442" s="14">
        <v>0</v>
      </c>
      <c r="AA442" s="14">
        <v>0</v>
      </c>
      <c r="AB442" s="15">
        <v>0</v>
      </c>
      <c r="AC442" s="15">
        <v>0</v>
      </c>
      <c r="AD442" s="13">
        <v>0</v>
      </c>
      <c r="AE442" s="13">
        <v>0</v>
      </c>
      <c r="AF442" s="12">
        <v>0</v>
      </c>
      <c r="AG442" s="12">
        <v>0</v>
      </c>
      <c r="AH442" s="13">
        <v>0</v>
      </c>
      <c r="AI442" s="13">
        <v>0</v>
      </c>
      <c r="AJ442" s="11">
        <v>0</v>
      </c>
      <c r="AK442" s="11">
        <v>0</v>
      </c>
      <c r="AL442" s="11">
        <v>0</v>
      </c>
      <c r="AM442" s="11">
        <v>0</v>
      </c>
      <c r="AN442" s="11">
        <v>0</v>
      </c>
      <c r="AO442" s="11">
        <v>0</v>
      </c>
      <c r="AP442" s="11">
        <v>0</v>
      </c>
      <c r="AQ442" s="11">
        <v>0</v>
      </c>
      <c r="AR442" s="16">
        <v>0</v>
      </c>
      <c r="AS442" s="16">
        <v>0</v>
      </c>
      <c r="AT442" s="16">
        <v>0</v>
      </c>
      <c r="AU442" s="7">
        <v>0</v>
      </c>
      <c r="AV442" s="7">
        <v>0</v>
      </c>
      <c r="AW442" s="7">
        <v>0</v>
      </c>
      <c r="AX442" s="7">
        <v>0</v>
      </c>
      <c r="AY442" s="11">
        <v>0</v>
      </c>
      <c r="AZ442" s="16">
        <v>0</v>
      </c>
      <c r="BA442" s="16">
        <v>0</v>
      </c>
      <c r="BB442" s="16">
        <v>0</v>
      </c>
      <c r="BC442" s="11">
        <v>0</v>
      </c>
      <c r="BD442" s="11">
        <v>0</v>
      </c>
      <c r="BE442" s="11">
        <v>0</v>
      </c>
      <c r="BF442" s="11">
        <v>0</v>
      </c>
      <c r="BG442" s="11">
        <v>0</v>
      </c>
      <c r="BH442" s="11">
        <v>0</v>
      </c>
      <c r="BI442" s="13">
        <v>0</v>
      </c>
      <c r="BJ442" s="13">
        <v>0</v>
      </c>
      <c r="BK442" s="11">
        <v>0</v>
      </c>
      <c r="BL442" s="12">
        <v>0</v>
      </c>
      <c r="BM442" s="12">
        <v>0</v>
      </c>
      <c r="BN442" s="13">
        <v>0</v>
      </c>
      <c r="BO442" s="13">
        <v>0</v>
      </c>
      <c r="BP442" s="15">
        <v>0</v>
      </c>
      <c r="BQ442" s="15">
        <v>0</v>
      </c>
      <c r="BR442" s="14">
        <v>0</v>
      </c>
      <c r="BS442" s="14">
        <v>0</v>
      </c>
      <c r="BT442" s="14">
        <v>0</v>
      </c>
      <c r="BU442" s="14">
        <v>0</v>
      </c>
      <c r="BV442" s="11">
        <v>0</v>
      </c>
      <c r="BW442" s="11">
        <v>0</v>
      </c>
      <c r="BX442" s="11">
        <v>0</v>
      </c>
      <c r="BY442" s="11">
        <v>0</v>
      </c>
      <c r="BZ442" s="7">
        <v>0</v>
      </c>
      <c r="CA442" s="7">
        <v>0</v>
      </c>
      <c r="CB442" s="7">
        <v>0</v>
      </c>
      <c r="CC442" s="7">
        <v>0</v>
      </c>
      <c r="CD442" s="7">
        <v>0</v>
      </c>
      <c r="CE442" s="3">
        <v>0</v>
      </c>
      <c r="CF442" s="7">
        <v>0</v>
      </c>
      <c r="CG442" s="3">
        <v>0</v>
      </c>
      <c r="CH442" s="7">
        <v>0</v>
      </c>
      <c r="CI442" s="7">
        <v>0</v>
      </c>
      <c r="CJ442" s="3">
        <v>0</v>
      </c>
      <c r="CK442" s="7">
        <v>0</v>
      </c>
      <c r="CL442" s="3">
        <v>0</v>
      </c>
      <c r="CM442" s="7">
        <v>0</v>
      </c>
      <c r="CN442" s="10">
        <v>44783.636701388888</v>
      </c>
      <c r="CO442" s="10">
        <v>44783.636701388888</v>
      </c>
      <c r="CP442" s="7">
        <v>38295.69921875</v>
      </c>
      <c r="CQ442" s="17" t="s">
        <v>321</v>
      </c>
      <c r="CR442" s="10">
        <v>44783.638194444444</v>
      </c>
      <c r="CS442" s="12">
        <v>0</v>
      </c>
      <c r="CT442" s="18"/>
      <c r="CU442" s="3">
        <v>0</v>
      </c>
      <c r="CV442" s="18"/>
      <c r="CW442" s="7">
        <v>0</v>
      </c>
      <c r="CX442" s="18"/>
      <c r="CY442" s="7">
        <v>0</v>
      </c>
      <c r="CZ442" s="18"/>
      <c r="DA442" s="3">
        <v>0</v>
      </c>
      <c r="DB442" s="18"/>
      <c r="DC442" s="11">
        <v>0</v>
      </c>
      <c r="DD442" s="18"/>
      <c r="DE442" s="7">
        <v>0</v>
      </c>
      <c r="DF442" s="7">
        <v>0</v>
      </c>
      <c r="DG442" s="7">
        <v>38295.69921875</v>
      </c>
      <c r="DH442" s="3" t="s">
        <v>312</v>
      </c>
      <c r="DI442" s="3" t="s">
        <v>312</v>
      </c>
      <c r="DJ442" s="3" t="s">
        <v>314</v>
      </c>
      <c r="DK442" s="3">
        <v>38300</v>
      </c>
      <c r="DL442" s="3">
        <v>3400000</v>
      </c>
      <c r="DM442" s="3">
        <v>38500</v>
      </c>
      <c r="DN442" s="3">
        <v>0</v>
      </c>
      <c r="DO442" s="3">
        <v>24500</v>
      </c>
      <c r="DP442" s="3">
        <v>2863350</v>
      </c>
      <c r="DQ442" s="28">
        <v>38000</v>
      </c>
      <c r="DR442" s="32">
        <v>0</v>
      </c>
      <c r="DS442" s="32">
        <v>24500</v>
      </c>
      <c r="DT442" s="32" t="s">
        <v>33</v>
      </c>
      <c r="DU442" s="69">
        <v>44784</v>
      </c>
    </row>
    <row r="443" spans="1:125" x14ac:dyDescent="0.25">
      <c r="A443" t="s">
        <v>146</v>
      </c>
      <c r="B443" s="2">
        <v>44861</v>
      </c>
      <c r="C443" s="1">
        <v>4250</v>
      </c>
      <c r="D443">
        <v>48</v>
      </c>
      <c r="M443" s="3"/>
      <c r="N443" s="3"/>
      <c r="O443" s="3">
        <v>46000</v>
      </c>
      <c r="P443" s="7">
        <v>0</v>
      </c>
      <c r="Q443" s="7">
        <v>0</v>
      </c>
      <c r="R443" s="7">
        <v>0</v>
      </c>
      <c r="S443" s="7">
        <v>0</v>
      </c>
      <c r="T443" s="11">
        <v>0</v>
      </c>
      <c r="U443" s="11">
        <v>0</v>
      </c>
      <c r="V443" s="11">
        <v>0</v>
      </c>
      <c r="W443" s="11">
        <v>0</v>
      </c>
      <c r="X443" s="14">
        <v>0</v>
      </c>
      <c r="Y443" s="14">
        <v>0</v>
      </c>
      <c r="Z443" s="14">
        <v>0</v>
      </c>
      <c r="AA443" s="14">
        <v>0</v>
      </c>
      <c r="AB443" s="15">
        <v>0</v>
      </c>
      <c r="AC443" s="15">
        <v>0</v>
      </c>
      <c r="AD443" s="13">
        <v>0</v>
      </c>
      <c r="AE443" s="13">
        <v>0</v>
      </c>
      <c r="AF443" s="12">
        <v>0</v>
      </c>
      <c r="AG443" s="12">
        <v>0</v>
      </c>
      <c r="AH443" s="13">
        <v>0</v>
      </c>
      <c r="AI443" s="13">
        <v>0</v>
      </c>
      <c r="AJ443" s="11">
        <v>0</v>
      </c>
      <c r="AK443" s="11">
        <v>0</v>
      </c>
      <c r="AL443" s="11">
        <v>0</v>
      </c>
      <c r="AM443" s="11">
        <v>0</v>
      </c>
      <c r="AN443" s="11">
        <v>0</v>
      </c>
      <c r="AO443" s="11">
        <v>0</v>
      </c>
      <c r="AP443" s="11">
        <v>0</v>
      </c>
      <c r="AQ443" s="11">
        <v>0</v>
      </c>
      <c r="AR443" s="16">
        <v>0</v>
      </c>
      <c r="AS443" s="16">
        <v>0</v>
      </c>
      <c r="AT443" s="16">
        <v>0</v>
      </c>
      <c r="AU443" s="7">
        <v>0</v>
      </c>
      <c r="AV443" s="7">
        <v>0</v>
      </c>
      <c r="AW443" s="7">
        <v>0</v>
      </c>
      <c r="AX443" s="7">
        <v>0</v>
      </c>
      <c r="AY443" s="11">
        <v>0</v>
      </c>
      <c r="AZ443" s="16">
        <v>0</v>
      </c>
      <c r="BA443" s="16">
        <v>0</v>
      </c>
      <c r="BB443" s="16">
        <v>0</v>
      </c>
      <c r="BC443" s="11">
        <v>0</v>
      </c>
      <c r="BD443" s="11">
        <v>0</v>
      </c>
      <c r="BE443" s="11">
        <v>0</v>
      </c>
      <c r="BF443" s="11">
        <v>0</v>
      </c>
      <c r="BG443" s="11">
        <v>0</v>
      </c>
      <c r="BH443" s="11">
        <v>0</v>
      </c>
      <c r="BI443" s="13">
        <v>0</v>
      </c>
      <c r="BJ443" s="13">
        <v>0</v>
      </c>
      <c r="BK443" s="11">
        <v>0</v>
      </c>
      <c r="BL443" s="12">
        <v>0</v>
      </c>
      <c r="BM443" s="12">
        <v>0</v>
      </c>
      <c r="BN443" s="13">
        <v>0</v>
      </c>
      <c r="BO443" s="13">
        <v>0</v>
      </c>
      <c r="BP443" s="15">
        <v>0</v>
      </c>
      <c r="BQ443" s="15">
        <v>0</v>
      </c>
      <c r="BR443" s="14">
        <v>0</v>
      </c>
      <c r="BS443" s="14">
        <v>0</v>
      </c>
      <c r="BT443" s="14">
        <v>0</v>
      </c>
      <c r="BU443" s="14">
        <v>0</v>
      </c>
      <c r="BV443" s="11">
        <v>0</v>
      </c>
      <c r="BW443" s="11">
        <v>0</v>
      </c>
      <c r="BX443" s="11">
        <v>0</v>
      </c>
      <c r="BY443" s="11">
        <v>0</v>
      </c>
      <c r="BZ443" s="7">
        <v>0</v>
      </c>
      <c r="CA443" s="7">
        <v>0</v>
      </c>
      <c r="CB443" s="7">
        <v>0</v>
      </c>
      <c r="CC443" s="7">
        <v>0</v>
      </c>
      <c r="CD443" s="7">
        <v>0</v>
      </c>
      <c r="CE443" s="3">
        <v>0</v>
      </c>
      <c r="CF443" s="7">
        <v>0</v>
      </c>
      <c r="CG443" s="3">
        <v>0</v>
      </c>
      <c r="CH443" s="7">
        <v>0</v>
      </c>
      <c r="CI443" s="7">
        <v>0</v>
      </c>
      <c r="CJ443" s="3">
        <v>0</v>
      </c>
      <c r="CK443" s="7">
        <v>0</v>
      </c>
      <c r="CL443" s="3">
        <v>0</v>
      </c>
      <c r="CM443" s="7">
        <v>0</v>
      </c>
      <c r="CN443" s="10">
        <v>44783.636701388888</v>
      </c>
      <c r="CO443" s="10">
        <v>44783.636701388888</v>
      </c>
      <c r="CP443" s="7">
        <v>38295.69921875</v>
      </c>
      <c r="CQ443" s="17" t="s">
        <v>321</v>
      </c>
      <c r="CR443" s="10">
        <v>44783.638194444444</v>
      </c>
      <c r="CS443" s="12">
        <v>0</v>
      </c>
      <c r="CT443" s="18"/>
      <c r="CU443" s="3">
        <v>0</v>
      </c>
      <c r="CV443" s="18"/>
      <c r="CW443" s="7">
        <v>0</v>
      </c>
      <c r="CX443" s="18"/>
      <c r="CY443" s="7">
        <v>0</v>
      </c>
      <c r="CZ443" s="18"/>
      <c r="DA443" s="3">
        <v>0</v>
      </c>
      <c r="DB443" s="18"/>
      <c r="DC443" s="11">
        <v>0</v>
      </c>
      <c r="DD443" s="18"/>
      <c r="DE443" s="7">
        <v>0</v>
      </c>
      <c r="DF443" s="7">
        <v>0</v>
      </c>
      <c r="DG443" s="7">
        <v>38295.69921875</v>
      </c>
      <c r="DH443" s="3" t="s">
        <v>312</v>
      </c>
      <c r="DI443" s="3" t="s">
        <v>312</v>
      </c>
      <c r="DJ443" s="3" t="s">
        <v>314</v>
      </c>
      <c r="DK443" s="3">
        <v>38300</v>
      </c>
      <c r="DL443" s="3">
        <v>3400000</v>
      </c>
      <c r="DM443" s="3">
        <v>38500</v>
      </c>
      <c r="DN443" s="3">
        <v>0</v>
      </c>
      <c r="DO443" s="3">
        <v>24500</v>
      </c>
      <c r="DP443" s="3">
        <v>2863350</v>
      </c>
      <c r="DQ443" s="28">
        <v>38000</v>
      </c>
      <c r="DR443" s="32">
        <v>0</v>
      </c>
      <c r="DS443" s="32">
        <v>24500</v>
      </c>
      <c r="DT443" s="32" t="s">
        <v>33</v>
      </c>
      <c r="DU443" s="69">
        <v>44784</v>
      </c>
    </row>
    <row r="444" spans="1:125" x14ac:dyDescent="0.25">
      <c r="A444" t="s">
        <v>147</v>
      </c>
      <c r="B444" s="2">
        <v>44798</v>
      </c>
      <c r="C444" s="1">
        <v>125</v>
      </c>
      <c r="D444">
        <v>44</v>
      </c>
      <c r="M444" s="3"/>
      <c r="N444" s="3"/>
      <c r="O444" s="3">
        <v>46500</v>
      </c>
      <c r="P444" s="7">
        <v>0</v>
      </c>
      <c r="Q444" s="7">
        <v>0</v>
      </c>
      <c r="R444" s="7">
        <v>0</v>
      </c>
      <c r="S444" s="7">
        <v>0</v>
      </c>
      <c r="T444" s="11">
        <v>0</v>
      </c>
      <c r="U444" s="11">
        <v>0</v>
      </c>
      <c r="V444" s="11">
        <v>0</v>
      </c>
      <c r="W444" s="11">
        <v>0</v>
      </c>
      <c r="X444" s="14">
        <v>0</v>
      </c>
      <c r="Y444" s="14">
        <v>0</v>
      </c>
      <c r="Z444" s="14">
        <v>0</v>
      </c>
      <c r="AA444" s="14">
        <v>0</v>
      </c>
      <c r="AB444" s="15">
        <v>0</v>
      </c>
      <c r="AC444" s="15">
        <v>0</v>
      </c>
      <c r="AD444" s="13">
        <v>0</v>
      </c>
      <c r="AE444" s="13">
        <v>0</v>
      </c>
      <c r="AF444" s="12">
        <v>0</v>
      </c>
      <c r="AG444" s="12">
        <v>0</v>
      </c>
      <c r="AH444" s="13">
        <v>0</v>
      </c>
      <c r="AI444" s="13">
        <v>0</v>
      </c>
      <c r="AJ444" s="11">
        <v>0</v>
      </c>
      <c r="AK444" s="11">
        <v>0</v>
      </c>
      <c r="AL444" s="11">
        <v>0</v>
      </c>
      <c r="AM444" s="11">
        <v>0</v>
      </c>
      <c r="AN444" s="11">
        <v>0</v>
      </c>
      <c r="AO444" s="11">
        <v>0</v>
      </c>
      <c r="AP444" s="11">
        <v>0</v>
      </c>
      <c r="AQ444" s="11">
        <v>0</v>
      </c>
      <c r="AR444" s="16">
        <v>0</v>
      </c>
      <c r="AS444" s="16">
        <v>0</v>
      </c>
      <c r="AT444" s="16">
        <v>0</v>
      </c>
      <c r="AU444" s="7">
        <v>0</v>
      </c>
      <c r="AV444" s="7">
        <v>0</v>
      </c>
      <c r="AW444" s="7">
        <v>0</v>
      </c>
      <c r="AX444" s="7">
        <v>0</v>
      </c>
      <c r="AY444" s="11">
        <v>0</v>
      </c>
      <c r="AZ444" s="16">
        <v>0</v>
      </c>
      <c r="BA444" s="16">
        <v>0</v>
      </c>
      <c r="BB444" s="16">
        <v>0</v>
      </c>
      <c r="BC444" s="11">
        <v>0</v>
      </c>
      <c r="BD444" s="11">
        <v>0</v>
      </c>
      <c r="BE444" s="11">
        <v>0</v>
      </c>
      <c r="BF444" s="11">
        <v>0</v>
      </c>
      <c r="BG444" s="11">
        <v>0</v>
      </c>
      <c r="BH444" s="11">
        <v>0</v>
      </c>
      <c r="BI444" s="13">
        <v>0</v>
      </c>
      <c r="BJ444" s="13">
        <v>0</v>
      </c>
      <c r="BK444" s="11">
        <v>0</v>
      </c>
      <c r="BL444" s="12">
        <v>0</v>
      </c>
      <c r="BM444" s="12">
        <v>0</v>
      </c>
      <c r="BN444" s="13">
        <v>0</v>
      </c>
      <c r="BO444" s="13">
        <v>0</v>
      </c>
      <c r="BP444" s="15">
        <v>0</v>
      </c>
      <c r="BQ444" s="15">
        <v>0</v>
      </c>
      <c r="BR444" s="14">
        <v>0</v>
      </c>
      <c r="BS444" s="14">
        <v>0</v>
      </c>
      <c r="BT444" s="14">
        <v>0</v>
      </c>
      <c r="BU444" s="14">
        <v>0</v>
      </c>
      <c r="BV444" s="11">
        <v>0</v>
      </c>
      <c r="BW444" s="11">
        <v>0</v>
      </c>
      <c r="BX444" s="11">
        <v>0</v>
      </c>
      <c r="BY444" s="11">
        <v>0</v>
      </c>
      <c r="BZ444" s="7">
        <v>0</v>
      </c>
      <c r="CA444" s="7">
        <v>0</v>
      </c>
      <c r="CB444" s="7">
        <v>0</v>
      </c>
      <c r="CC444" s="7">
        <v>0</v>
      </c>
      <c r="CD444" s="7">
        <v>0</v>
      </c>
      <c r="CE444" s="3">
        <v>0</v>
      </c>
      <c r="CF444" s="7">
        <v>0</v>
      </c>
      <c r="CG444" s="3">
        <v>0</v>
      </c>
      <c r="CH444" s="7">
        <v>0</v>
      </c>
      <c r="CI444" s="7">
        <v>0</v>
      </c>
      <c r="CJ444" s="3">
        <v>0</v>
      </c>
      <c r="CK444" s="7">
        <v>0</v>
      </c>
      <c r="CL444" s="3">
        <v>0</v>
      </c>
      <c r="CM444" s="7">
        <v>0</v>
      </c>
      <c r="CN444" s="10">
        <v>44783.636701388888</v>
      </c>
      <c r="CO444" s="10">
        <v>44783.636701388888</v>
      </c>
      <c r="CP444" s="7">
        <v>38295.69921875</v>
      </c>
      <c r="CQ444" s="17" t="s">
        <v>321</v>
      </c>
      <c r="CR444" s="10">
        <v>44783.638194444444</v>
      </c>
      <c r="CS444" s="12">
        <v>0</v>
      </c>
      <c r="CT444" s="18"/>
      <c r="CU444" s="3">
        <v>0</v>
      </c>
      <c r="CV444" s="18"/>
      <c r="CW444" s="7">
        <v>0</v>
      </c>
      <c r="CX444" s="18"/>
      <c r="CY444" s="7">
        <v>0</v>
      </c>
      <c r="CZ444" s="18"/>
      <c r="DA444" s="3">
        <v>0</v>
      </c>
      <c r="DB444" s="18"/>
      <c r="DC444" s="11">
        <v>0</v>
      </c>
      <c r="DD444" s="18"/>
      <c r="DE444" s="7">
        <v>0</v>
      </c>
      <c r="DF444" s="7">
        <v>0</v>
      </c>
      <c r="DG444" s="7">
        <v>38295.69921875</v>
      </c>
      <c r="DH444" s="3" t="s">
        <v>312</v>
      </c>
      <c r="DI444" s="3" t="s">
        <v>312</v>
      </c>
      <c r="DJ444" s="3" t="s">
        <v>314</v>
      </c>
      <c r="DK444" s="3">
        <v>38300</v>
      </c>
      <c r="DL444" s="3">
        <v>3400000</v>
      </c>
      <c r="DM444" s="3">
        <v>38500</v>
      </c>
      <c r="DN444" s="3">
        <v>0</v>
      </c>
      <c r="DO444" s="3">
        <v>24500</v>
      </c>
      <c r="DP444" s="3">
        <v>2863350</v>
      </c>
      <c r="DQ444" s="28">
        <v>38000</v>
      </c>
      <c r="DR444" s="32">
        <v>0</v>
      </c>
      <c r="DS444" s="32">
        <v>24500</v>
      </c>
      <c r="DT444" s="32" t="s">
        <v>33</v>
      </c>
      <c r="DU444" s="69">
        <v>44784</v>
      </c>
    </row>
    <row r="445" spans="1:125" x14ac:dyDescent="0.25">
      <c r="A445" t="s">
        <v>147</v>
      </c>
      <c r="B445" s="2">
        <v>44833</v>
      </c>
      <c r="C445" s="1">
        <v>125</v>
      </c>
      <c r="D445">
        <v>44</v>
      </c>
      <c r="M445" s="3"/>
      <c r="N445" s="3"/>
      <c r="O445" s="3">
        <v>47000</v>
      </c>
      <c r="P445" s="7">
        <v>0</v>
      </c>
      <c r="Q445" s="7">
        <v>0</v>
      </c>
      <c r="R445" s="7">
        <v>0</v>
      </c>
      <c r="S445" s="7">
        <v>0</v>
      </c>
      <c r="T445" s="11">
        <v>0</v>
      </c>
      <c r="U445" s="11">
        <v>0</v>
      </c>
      <c r="V445" s="11">
        <v>0</v>
      </c>
      <c r="W445" s="11">
        <v>0</v>
      </c>
      <c r="X445" s="14">
        <v>0</v>
      </c>
      <c r="Y445" s="14">
        <v>0</v>
      </c>
      <c r="Z445" s="14">
        <v>0</v>
      </c>
      <c r="AA445" s="14">
        <v>0</v>
      </c>
      <c r="AB445" s="15">
        <v>0</v>
      </c>
      <c r="AC445" s="15">
        <v>0</v>
      </c>
      <c r="AD445" s="13">
        <v>0</v>
      </c>
      <c r="AE445" s="13">
        <v>0</v>
      </c>
      <c r="AF445" s="12">
        <v>0</v>
      </c>
      <c r="AG445" s="12">
        <v>0</v>
      </c>
      <c r="AH445" s="13">
        <v>0</v>
      </c>
      <c r="AI445" s="13">
        <v>0</v>
      </c>
      <c r="AJ445" s="11">
        <v>0</v>
      </c>
      <c r="AK445" s="11">
        <v>0</v>
      </c>
      <c r="AL445" s="11">
        <v>0</v>
      </c>
      <c r="AM445" s="11">
        <v>0</v>
      </c>
      <c r="AN445" s="11">
        <v>0</v>
      </c>
      <c r="AO445" s="11">
        <v>0</v>
      </c>
      <c r="AP445" s="11">
        <v>0</v>
      </c>
      <c r="AQ445" s="11">
        <v>0</v>
      </c>
      <c r="AR445" s="16">
        <v>0</v>
      </c>
      <c r="AS445" s="16">
        <v>0</v>
      </c>
      <c r="AT445" s="16">
        <v>0</v>
      </c>
      <c r="AU445" s="7">
        <v>0</v>
      </c>
      <c r="AV445" s="7">
        <v>0</v>
      </c>
      <c r="AW445" s="7">
        <v>0</v>
      </c>
      <c r="AX445" s="7">
        <v>0</v>
      </c>
      <c r="AY445" s="11">
        <v>0</v>
      </c>
      <c r="AZ445" s="16">
        <v>0</v>
      </c>
      <c r="BA445" s="16">
        <v>0</v>
      </c>
      <c r="BB445" s="16">
        <v>0</v>
      </c>
      <c r="BC445" s="11">
        <v>0</v>
      </c>
      <c r="BD445" s="11">
        <v>0</v>
      </c>
      <c r="BE445" s="11">
        <v>0</v>
      </c>
      <c r="BF445" s="11">
        <v>0</v>
      </c>
      <c r="BG445" s="11">
        <v>0</v>
      </c>
      <c r="BH445" s="11">
        <v>0</v>
      </c>
      <c r="BI445" s="13">
        <v>0</v>
      </c>
      <c r="BJ445" s="13">
        <v>0</v>
      </c>
      <c r="BK445" s="11">
        <v>0</v>
      </c>
      <c r="BL445" s="12">
        <v>0</v>
      </c>
      <c r="BM445" s="12">
        <v>0</v>
      </c>
      <c r="BN445" s="13">
        <v>0</v>
      </c>
      <c r="BO445" s="13">
        <v>0</v>
      </c>
      <c r="BP445" s="15">
        <v>0</v>
      </c>
      <c r="BQ445" s="15">
        <v>0</v>
      </c>
      <c r="BR445" s="14">
        <v>0</v>
      </c>
      <c r="BS445" s="14">
        <v>0</v>
      </c>
      <c r="BT445" s="14">
        <v>0</v>
      </c>
      <c r="BU445" s="14">
        <v>0</v>
      </c>
      <c r="BV445" s="11">
        <v>0</v>
      </c>
      <c r="BW445" s="11">
        <v>0</v>
      </c>
      <c r="BX445" s="11">
        <v>0</v>
      </c>
      <c r="BY445" s="11">
        <v>0</v>
      </c>
      <c r="BZ445" s="7">
        <v>0</v>
      </c>
      <c r="CA445" s="7">
        <v>0</v>
      </c>
      <c r="CB445" s="7">
        <v>0</v>
      </c>
      <c r="CC445" s="7">
        <v>0</v>
      </c>
      <c r="CD445" s="7">
        <v>0</v>
      </c>
      <c r="CE445" s="3">
        <v>0</v>
      </c>
      <c r="CF445" s="7">
        <v>0</v>
      </c>
      <c r="CG445" s="3">
        <v>0</v>
      </c>
      <c r="CH445" s="7">
        <v>0</v>
      </c>
      <c r="CI445" s="7">
        <v>0</v>
      </c>
      <c r="CJ445" s="3">
        <v>0</v>
      </c>
      <c r="CK445" s="7">
        <v>0</v>
      </c>
      <c r="CL445" s="3">
        <v>0</v>
      </c>
      <c r="CM445" s="7">
        <v>0</v>
      </c>
      <c r="CN445" s="10">
        <v>44783.636701388888</v>
      </c>
      <c r="CO445" s="10">
        <v>44783.636701388888</v>
      </c>
      <c r="CP445" s="7">
        <v>38295.69921875</v>
      </c>
      <c r="CQ445" s="17" t="s">
        <v>321</v>
      </c>
      <c r="CR445" s="10">
        <v>44783.638194444444</v>
      </c>
      <c r="CS445" s="12">
        <v>0</v>
      </c>
      <c r="CT445" s="18"/>
      <c r="CU445" s="3">
        <v>0</v>
      </c>
      <c r="CV445" s="18"/>
      <c r="CW445" s="7">
        <v>0</v>
      </c>
      <c r="CX445" s="18"/>
      <c r="CY445" s="7">
        <v>0</v>
      </c>
      <c r="CZ445" s="18"/>
      <c r="DA445" s="3">
        <v>0</v>
      </c>
      <c r="DB445" s="18"/>
      <c r="DC445" s="11">
        <v>0</v>
      </c>
      <c r="DD445" s="18"/>
      <c r="DE445" s="7">
        <v>0</v>
      </c>
      <c r="DF445" s="7">
        <v>0</v>
      </c>
      <c r="DG445" s="7">
        <v>38295.69921875</v>
      </c>
      <c r="DH445" s="3" t="s">
        <v>312</v>
      </c>
      <c r="DI445" s="3" t="s">
        <v>312</v>
      </c>
      <c r="DJ445" s="3" t="s">
        <v>314</v>
      </c>
      <c r="DK445" s="3">
        <v>38300</v>
      </c>
      <c r="DL445" s="3">
        <v>3400000</v>
      </c>
      <c r="DM445" s="3">
        <v>38500</v>
      </c>
      <c r="DN445" s="3">
        <v>0</v>
      </c>
      <c r="DO445" s="3">
        <v>24500</v>
      </c>
      <c r="DP445" s="3">
        <v>2863350</v>
      </c>
      <c r="DQ445" s="28">
        <v>38000</v>
      </c>
      <c r="DR445" s="32">
        <v>0</v>
      </c>
      <c r="DS445" s="32">
        <v>24500</v>
      </c>
      <c r="DT445" s="32" t="s">
        <v>33</v>
      </c>
      <c r="DU445" s="69">
        <v>44784</v>
      </c>
    </row>
    <row r="446" spans="1:125" x14ac:dyDescent="0.25">
      <c r="A446" t="s">
        <v>147</v>
      </c>
      <c r="B446" s="2">
        <v>44861</v>
      </c>
      <c r="C446" s="1">
        <v>125</v>
      </c>
      <c r="D446">
        <v>44</v>
      </c>
      <c r="M446" s="3"/>
      <c r="N446" s="3"/>
      <c r="O446" s="3">
        <v>47500</v>
      </c>
      <c r="P446" s="7">
        <v>0</v>
      </c>
      <c r="Q446" s="7">
        <v>0</v>
      </c>
      <c r="R446" s="7">
        <v>0</v>
      </c>
      <c r="S446" s="7">
        <v>0</v>
      </c>
      <c r="T446" s="11">
        <v>0</v>
      </c>
      <c r="U446" s="11">
        <v>0</v>
      </c>
      <c r="V446" s="11">
        <v>0</v>
      </c>
      <c r="W446" s="11">
        <v>0</v>
      </c>
      <c r="X446" s="14">
        <v>0</v>
      </c>
      <c r="Y446" s="14">
        <v>0</v>
      </c>
      <c r="Z446" s="14">
        <v>0</v>
      </c>
      <c r="AA446" s="14">
        <v>0</v>
      </c>
      <c r="AB446" s="15">
        <v>0</v>
      </c>
      <c r="AC446" s="15">
        <v>0</v>
      </c>
      <c r="AD446" s="13">
        <v>0</v>
      </c>
      <c r="AE446" s="13">
        <v>0</v>
      </c>
      <c r="AF446" s="12">
        <v>0</v>
      </c>
      <c r="AG446" s="12">
        <v>0</v>
      </c>
      <c r="AH446" s="13">
        <v>0</v>
      </c>
      <c r="AI446" s="13">
        <v>0</v>
      </c>
      <c r="AJ446" s="11">
        <v>0</v>
      </c>
      <c r="AK446" s="11">
        <v>0</v>
      </c>
      <c r="AL446" s="11">
        <v>0</v>
      </c>
      <c r="AM446" s="11">
        <v>0</v>
      </c>
      <c r="AN446" s="11">
        <v>0</v>
      </c>
      <c r="AO446" s="11">
        <v>0</v>
      </c>
      <c r="AP446" s="11">
        <v>0</v>
      </c>
      <c r="AQ446" s="11">
        <v>0</v>
      </c>
      <c r="AR446" s="16">
        <v>0</v>
      </c>
      <c r="AS446" s="16">
        <v>0</v>
      </c>
      <c r="AT446" s="16">
        <v>0</v>
      </c>
      <c r="AU446" s="7">
        <v>0</v>
      </c>
      <c r="AV446" s="7">
        <v>0</v>
      </c>
      <c r="AW446" s="7">
        <v>0</v>
      </c>
      <c r="AX446" s="7">
        <v>0</v>
      </c>
      <c r="AY446" s="11">
        <v>0</v>
      </c>
      <c r="AZ446" s="16">
        <v>0</v>
      </c>
      <c r="BA446" s="16">
        <v>0</v>
      </c>
      <c r="BB446" s="16">
        <v>0</v>
      </c>
      <c r="BC446" s="11">
        <v>0</v>
      </c>
      <c r="BD446" s="11">
        <v>0</v>
      </c>
      <c r="BE446" s="11">
        <v>0</v>
      </c>
      <c r="BF446" s="11">
        <v>0</v>
      </c>
      <c r="BG446" s="11">
        <v>0</v>
      </c>
      <c r="BH446" s="11">
        <v>0</v>
      </c>
      <c r="BI446" s="13">
        <v>0</v>
      </c>
      <c r="BJ446" s="13">
        <v>0</v>
      </c>
      <c r="BK446" s="11">
        <v>0</v>
      </c>
      <c r="BL446" s="12">
        <v>0</v>
      </c>
      <c r="BM446" s="12">
        <v>0</v>
      </c>
      <c r="BN446" s="13">
        <v>0</v>
      </c>
      <c r="BO446" s="13">
        <v>0</v>
      </c>
      <c r="BP446" s="15">
        <v>0</v>
      </c>
      <c r="BQ446" s="15">
        <v>0</v>
      </c>
      <c r="BR446" s="14">
        <v>0</v>
      </c>
      <c r="BS446" s="14">
        <v>0</v>
      </c>
      <c r="BT446" s="14">
        <v>0</v>
      </c>
      <c r="BU446" s="14">
        <v>0</v>
      </c>
      <c r="BV446" s="11">
        <v>0</v>
      </c>
      <c r="BW446" s="11">
        <v>0</v>
      </c>
      <c r="BX446" s="11">
        <v>0</v>
      </c>
      <c r="BY446" s="11">
        <v>0</v>
      </c>
      <c r="BZ446" s="7">
        <v>0</v>
      </c>
      <c r="CA446" s="7">
        <v>0</v>
      </c>
      <c r="CB446" s="7">
        <v>0</v>
      </c>
      <c r="CC446" s="7">
        <v>0</v>
      </c>
      <c r="CD446" s="7">
        <v>0</v>
      </c>
      <c r="CE446" s="3">
        <v>0</v>
      </c>
      <c r="CF446" s="7">
        <v>0</v>
      </c>
      <c r="CG446" s="3">
        <v>0</v>
      </c>
      <c r="CH446" s="7">
        <v>0</v>
      </c>
      <c r="CI446" s="7">
        <v>0</v>
      </c>
      <c r="CJ446" s="3">
        <v>0</v>
      </c>
      <c r="CK446" s="7">
        <v>0</v>
      </c>
      <c r="CL446" s="3">
        <v>0</v>
      </c>
      <c r="CM446" s="7">
        <v>0</v>
      </c>
      <c r="CN446" s="10">
        <v>44783.636701388888</v>
      </c>
      <c r="CO446" s="10">
        <v>44783.636701388888</v>
      </c>
      <c r="CP446" s="7">
        <v>38295.69921875</v>
      </c>
      <c r="CQ446" s="17" t="s">
        <v>321</v>
      </c>
      <c r="CR446" s="10">
        <v>44783.638194444444</v>
      </c>
      <c r="CS446" s="12">
        <v>0</v>
      </c>
      <c r="CT446" s="18"/>
      <c r="CU446" s="3">
        <v>0</v>
      </c>
      <c r="CV446" s="18"/>
      <c r="CW446" s="7">
        <v>0</v>
      </c>
      <c r="CX446" s="18"/>
      <c r="CY446" s="7">
        <v>0</v>
      </c>
      <c r="CZ446" s="18"/>
      <c r="DA446" s="3">
        <v>0</v>
      </c>
      <c r="DB446" s="18"/>
      <c r="DC446" s="11">
        <v>0</v>
      </c>
      <c r="DD446" s="18"/>
      <c r="DE446" s="7">
        <v>0</v>
      </c>
      <c r="DF446" s="7">
        <v>0</v>
      </c>
      <c r="DG446" s="7">
        <v>38295.69921875</v>
      </c>
      <c r="DH446" s="3" t="s">
        <v>312</v>
      </c>
      <c r="DI446" s="3" t="s">
        <v>312</v>
      </c>
      <c r="DJ446" s="3" t="s">
        <v>314</v>
      </c>
      <c r="DK446" s="3">
        <v>38300</v>
      </c>
      <c r="DL446" s="3">
        <v>3400000</v>
      </c>
      <c r="DM446" s="3">
        <v>38500</v>
      </c>
      <c r="DN446" s="3">
        <v>0</v>
      </c>
      <c r="DO446" s="3">
        <v>24500</v>
      </c>
      <c r="DP446" s="3">
        <v>2863350</v>
      </c>
      <c r="DQ446" s="28">
        <v>38000</v>
      </c>
      <c r="DR446" s="32">
        <v>0</v>
      </c>
      <c r="DS446" s="32">
        <v>24500</v>
      </c>
      <c r="DT446" s="32" t="s">
        <v>33</v>
      </c>
      <c r="DU446" s="69">
        <v>44784</v>
      </c>
    </row>
    <row r="447" spans="1:125" x14ac:dyDescent="0.25">
      <c r="A447" t="s">
        <v>148</v>
      </c>
      <c r="B447" s="2">
        <v>44798</v>
      </c>
      <c r="C447" s="1">
        <v>225</v>
      </c>
      <c r="D447">
        <v>79</v>
      </c>
      <c r="M447" s="3"/>
      <c r="N447" s="3"/>
      <c r="O447" s="3">
        <v>48000</v>
      </c>
      <c r="P447" s="7">
        <v>0</v>
      </c>
      <c r="Q447" s="7">
        <v>0</v>
      </c>
      <c r="R447" s="7">
        <v>0</v>
      </c>
      <c r="S447" s="7">
        <v>0</v>
      </c>
      <c r="T447" s="11">
        <v>0</v>
      </c>
      <c r="U447" s="11">
        <v>0</v>
      </c>
      <c r="V447" s="11">
        <v>0</v>
      </c>
      <c r="W447" s="11">
        <v>0</v>
      </c>
      <c r="X447" s="14">
        <v>0</v>
      </c>
      <c r="Y447" s="14">
        <v>0</v>
      </c>
      <c r="Z447" s="14">
        <v>0</v>
      </c>
      <c r="AA447" s="14">
        <v>0</v>
      </c>
      <c r="AB447" s="15">
        <v>0</v>
      </c>
      <c r="AC447" s="15">
        <v>0</v>
      </c>
      <c r="AD447" s="13">
        <v>0</v>
      </c>
      <c r="AE447" s="13">
        <v>0</v>
      </c>
      <c r="AF447" s="12">
        <v>0</v>
      </c>
      <c r="AG447" s="12">
        <v>0</v>
      </c>
      <c r="AH447" s="13">
        <v>0</v>
      </c>
      <c r="AI447" s="13">
        <v>0</v>
      </c>
      <c r="AJ447" s="11">
        <v>0</v>
      </c>
      <c r="AK447" s="11">
        <v>0</v>
      </c>
      <c r="AL447" s="11">
        <v>0</v>
      </c>
      <c r="AM447" s="11">
        <v>0</v>
      </c>
      <c r="AN447" s="11">
        <v>0</v>
      </c>
      <c r="AO447" s="11">
        <v>0</v>
      </c>
      <c r="AP447" s="11">
        <v>0</v>
      </c>
      <c r="AQ447" s="11">
        <v>0</v>
      </c>
      <c r="AR447" s="16">
        <v>0</v>
      </c>
      <c r="AS447" s="16">
        <v>0</v>
      </c>
      <c r="AT447" s="16">
        <v>0</v>
      </c>
      <c r="AU447" s="7">
        <v>0</v>
      </c>
      <c r="AV447" s="7">
        <v>0</v>
      </c>
      <c r="AW447" s="7">
        <v>0</v>
      </c>
      <c r="AX447" s="7">
        <v>0</v>
      </c>
      <c r="AY447" s="11">
        <v>0</v>
      </c>
      <c r="AZ447" s="16">
        <v>0</v>
      </c>
      <c r="BA447" s="16">
        <v>0</v>
      </c>
      <c r="BB447" s="16">
        <v>0</v>
      </c>
      <c r="BC447" s="11">
        <v>0</v>
      </c>
      <c r="BD447" s="11">
        <v>0</v>
      </c>
      <c r="BE447" s="11">
        <v>0</v>
      </c>
      <c r="BF447" s="11">
        <v>0</v>
      </c>
      <c r="BG447" s="11">
        <v>0</v>
      </c>
      <c r="BH447" s="11">
        <v>0</v>
      </c>
      <c r="BI447" s="13">
        <v>0</v>
      </c>
      <c r="BJ447" s="13">
        <v>0</v>
      </c>
      <c r="BK447" s="11">
        <v>0</v>
      </c>
      <c r="BL447" s="12">
        <v>0</v>
      </c>
      <c r="BM447" s="12">
        <v>0</v>
      </c>
      <c r="BN447" s="13">
        <v>0</v>
      </c>
      <c r="BO447" s="13">
        <v>0</v>
      </c>
      <c r="BP447" s="15">
        <v>0</v>
      </c>
      <c r="BQ447" s="15">
        <v>0</v>
      </c>
      <c r="BR447" s="14">
        <v>0</v>
      </c>
      <c r="BS447" s="14">
        <v>0</v>
      </c>
      <c r="BT447" s="14">
        <v>0</v>
      </c>
      <c r="BU447" s="14">
        <v>0</v>
      </c>
      <c r="BV447" s="11">
        <v>0</v>
      </c>
      <c r="BW447" s="11">
        <v>0</v>
      </c>
      <c r="BX447" s="11">
        <v>0</v>
      </c>
      <c r="BY447" s="11">
        <v>0</v>
      </c>
      <c r="BZ447" s="7">
        <v>0</v>
      </c>
      <c r="CA447" s="7">
        <v>0</v>
      </c>
      <c r="CB447" s="7">
        <v>0</v>
      </c>
      <c r="CC447" s="7">
        <v>0</v>
      </c>
      <c r="CD447" s="7">
        <v>0</v>
      </c>
      <c r="CE447" s="3">
        <v>0</v>
      </c>
      <c r="CF447" s="7">
        <v>0</v>
      </c>
      <c r="CG447" s="3">
        <v>0</v>
      </c>
      <c r="CH447" s="7">
        <v>0</v>
      </c>
      <c r="CI447" s="7">
        <v>0</v>
      </c>
      <c r="CJ447" s="3">
        <v>0</v>
      </c>
      <c r="CK447" s="7">
        <v>0</v>
      </c>
      <c r="CL447" s="3">
        <v>0</v>
      </c>
      <c r="CM447" s="7">
        <v>0</v>
      </c>
      <c r="CN447" s="10">
        <v>44783.636701388888</v>
      </c>
      <c r="CO447" s="10">
        <v>44783.636701388888</v>
      </c>
      <c r="CP447" s="7">
        <v>38295.69921875</v>
      </c>
      <c r="CQ447" s="17" t="s">
        <v>321</v>
      </c>
      <c r="CR447" s="10">
        <v>44783.638194444444</v>
      </c>
      <c r="CS447" s="12">
        <v>0</v>
      </c>
      <c r="CT447" s="18"/>
      <c r="CU447" s="3">
        <v>0</v>
      </c>
      <c r="CV447" s="18"/>
      <c r="CW447" s="7">
        <v>0</v>
      </c>
      <c r="CX447" s="18"/>
      <c r="CY447" s="7">
        <v>0</v>
      </c>
      <c r="CZ447" s="18"/>
      <c r="DA447" s="3">
        <v>0</v>
      </c>
      <c r="DB447" s="18"/>
      <c r="DC447" s="11">
        <v>0</v>
      </c>
      <c r="DD447" s="18"/>
      <c r="DE447" s="7">
        <v>0</v>
      </c>
      <c r="DF447" s="7">
        <v>0</v>
      </c>
      <c r="DG447" s="7">
        <v>38295.69921875</v>
      </c>
      <c r="DH447" s="3" t="s">
        <v>312</v>
      </c>
      <c r="DI447" s="3" t="s">
        <v>312</v>
      </c>
      <c r="DJ447" s="3" t="s">
        <v>314</v>
      </c>
      <c r="DK447" s="3">
        <v>38300</v>
      </c>
      <c r="DL447" s="3">
        <v>3400000</v>
      </c>
      <c r="DM447" s="3">
        <v>38500</v>
      </c>
      <c r="DN447" s="3">
        <v>0</v>
      </c>
      <c r="DO447" s="3">
        <v>24500</v>
      </c>
      <c r="DP447" s="3">
        <v>2863350</v>
      </c>
      <c r="DQ447" s="28">
        <v>38000</v>
      </c>
      <c r="DR447" s="32">
        <v>0</v>
      </c>
      <c r="DS447" s="32">
        <v>24500</v>
      </c>
      <c r="DT447" s="32" t="s">
        <v>33</v>
      </c>
      <c r="DU447" s="69">
        <v>44784</v>
      </c>
    </row>
    <row r="448" spans="1:125" x14ac:dyDescent="0.25">
      <c r="A448" t="s">
        <v>148</v>
      </c>
      <c r="B448" s="2">
        <v>44833</v>
      </c>
      <c r="C448" s="1">
        <v>225</v>
      </c>
      <c r="D448">
        <v>79</v>
      </c>
      <c r="M448" s="3"/>
      <c r="N448" s="3"/>
      <c r="O448" s="3"/>
      <c r="P448" s="7"/>
      <c r="Q448" s="7"/>
      <c r="R448" s="7"/>
      <c r="S448" s="7"/>
      <c r="T448" s="11"/>
      <c r="U448" s="11"/>
      <c r="V448" s="11"/>
      <c r="W448" s="11"/>
      <c r="X448" s="14"/>
      <c r="Y448" s="14"/>
      <c r="Z448" s="14"/>
      <c r="AA448" s="14"/>
      <c r="AB448" s="15"/>
      <c r="AC448" s="15"/>
      <c r="AD448" s="13"/>
      <c r="AE448" s="13"/>
      <c r="AF448" s="12"/>
      <c r="AG448" s="12"/>
      <c r="AH448" s="13"/>
      <c r="AI448" s="13"/>
      <c r="AJ448" s="11"/>
      <c r="AK448" s="11"/>
      <c r="AL448" s="11"/>
      <c r="AM448" s="11"/>
      <c r="AN448" s="11"/>
      <c r="AO448" s="11"/>
      <c r="AP448" s="11"/>
      <c r="AQ448" s="11"/>
      <c r="AR448" s="16"/>
      <c r="AS448" s="16"/>
      <c r="AT448" s="16"/>
      <c r="AU448" s="7"/>
      <c r="AV448" s="7"/>
      <c r="AW448" s="7"/>
      <c r="AX448" s="7"/>
      <c r="AY448" s="11"/>
      <c r="AZ448" s="16"/>
      <c r="BA448" s="16"/>
      <c r="BB448" s="16"/>
      <c r="BC448" s="11"/>
      <c r="BD448" s="11"/>
      <c r="BE448" s="11"/>
      <c r="BF448" s="11"/>
      <c r="BG448" s="11"/>
      <c r="BH448" s="11"/>
      <c r="BI448" s="13"/>
      <c r="BJ448" s="13"/>
      <c r="BK448" s="11"/>
      <c r="BL448" s="12"/>
      <c r="BM448" s="12"/>
      <c r="BN448" s="13"/>
      <c r="BO448" s="13"/>
      <c r="BP448" s="15"/>
      <c r="BQ448" s="15"/>
      <c r="BR448" s="14"/>
      <c r="BS448" s="14"/>
      <c r="BT448" s="14"/>
      <c r="BU448" s="14"/>
      <c r="BV448" s="11"/>
      <c r="BW448" s="11"/>
      <c r="BX448" s="11"/>
      <c r="BY448" s="11"/>
      <c r="BZ448" s="7"/>
      <c r="CA448" s="7"/>
      <c r="CB448" s="7"/>
      <c r="CC448" s="7"/>
      <c r="CD448" s="7"/>
      <c r="CE448" s="3"/>
      <c r="CF448" s="7"/>
      <c r="CG448" s="3"/>
      <c r="CH448" s="7"/>
      <c r="CI448" s="7"/>
      <c r="CJ448" s="3"/>
      <c r="CK448" s="7"/>
      <c r="CL448" s="3"/>
      <c r="CM448" s="62"/>
      <c r="CN448" s="10"/>
      <c r="CO448" s="10"/>
      <c r="CP448" s="62"/>
      <c r="CQ448" s="17"/>
      <c r="CR448" s="4"/>
      <c r="CS448" s="12"/>
      <c r="CT448" s="18"/>
      <c r="CU448" s="3"/>
      <c r="CV448" s="18"/>
      <c r="CW448" s="7"/>
      <c r="CX448" s="18"/>
      <c r="CY448" s="7"/>
      <c r="CZ448" s="18"/>
      <c r="DA448" s="3"/>
      <c r="DB448" s="18"/>
      <c r="DC448" s="11"/>
      <c r="DD448" s="18"/>
      <c r="DE448" s="7"/>
      <c r="DF448" s="7"/>
      <c r="DG448" s="7"/>
      <c r="DH448" s="3"/>
      <c r="DI448" s="3"/>
      <c r="DJ448" s="3"/>
      <c r="DK448" s="3"/>
      <c r="DL448" s="3"/>
      <c r="DM448" s="3"/>
      <c r="DN448" s="3"/>
      <c r="DO448" s="3"/>
      <c r="DP448" s="3"/>
      <c r="DQ448" s="28"/>
      <c r="DR448" s="32"/>
      <c r="DS448" s="32"/>
      <c r="DT448" s="32"/>
      <c r="DU448" s="69"/>
    </row>
    <row r="449" spans="1:125" x14ac:dyDescent="0.25">
      <c r="A449" t="s">
        <v>148</v>
      </c>
      <c r="B449" s="2">
        <v>44861</v>
      </c>
      <c r="C449" s="1">
        <v>225</v>
      </c>
      <c r="D449">
        <v>79</v>
      </c>
      <c r="M449" s="3"/>
      <c r="N449" s="3"/>
      <c r="O449" s="3"/>
      <c r="P449" s="7"/>
      <c r="Q449" s="7"/>
      <c r="R449" s="7"/>
      <c r="S449" s="7"/>
      <c r="T449" s="11"/>
      <c r="U449" s="11"/>
      <c r="V449" s="11"/>
      <c r="W449" s="11"/>
      <c r="X449" s="14"/>
      <c r="Y449" s="14"/>
      <c r="Z449" s="14"/>
      <c r="AA449" s="14"/>
      <c r="AB449" s="15"/>
      <c r="AC449" s="15"/>
      <c r="AD449" s="13"/>
      <c r="AE449" s="13"/>
      <c r="AF449" s="12"/>
      <c r="AG449" s="12"/>
      <c r="AH449" s="13"/>
      <c r="AI449" s="13"/>
      <c r="AJ449" s="11"/>
      <c r="AK449" s="11"/>
      <c r="AL449" s="11"/>
      <c r="AM449" s="11"/>
      <c r="AN449" s="11"/>
      <c r="AO449" s="11"/>
      <c r="AP449" s="11"/>
      <c r="AQ449" s="11"/>
      <c r="AR449" s="16"/>
      <c r="AS449" s="16"/>
      <c r="AT449" s="16"/>
      <c r="AU449" s="7"/>
      <c r="AV449" s="7"/>
      <c r="AW449" s="7"/>
      <c r="AX449" s="7"/>
      <c r="AY449" s="11"/>
      <c r="AZ449" s="16"/>
      <c r="BA449" s="16"/>
      <c r="BB449" s="16"/>
      <c r="BC449" s="11"/>
      <c r="BD449" s="11"/>
      <c r="BE449" s="11"/>
      <c r="BF449" s="11"/>
      <c r="BG449" s="11"/>
      <c r="BH449" s="11"/>
      <c r="BI449" s="13"/>
      <c r="BJ449" s="13"/>
      <c r="BK449" s="11"/>
      <c r="BL449" s="12"/>
      <c r="BM449" s="12"/>
      <c r="BN449" s="13"/>
      <c r="BO449" s="13"/>
      <c r="BP449" s="15"/>
      <c r="BQ449" s="15"/>
      <c r="BR449" s="14"/>
      <c r="BS449" s="14"/>
      <c r="BT449" s="14"/>
      <c r="BU449" s="14"/>
      <c r="BV449" s="11"/>
      <c r="BW449" s="11"/>
      <c r="BX449" s="11"/>
      <c r="BY449" s="11"/>
      <c r="BZ449" s="7"/>
      <c r="CA449" s="7"/>
      <c r="CB449" s="7"/>
      <c r="CC449" s="7"/>
      <c r="CD449" s="7"/>
      <c r="CE449" s="3"/>
      <c r="CF449" s="7"/>
      <c r="CG449" s="3"/>
      <c r="CH449" s="7"/>
      <c r="CI449" s="7"/>
      <c r="CJ449" s="3"/>
      <c r="CK449" s="7"/>
      <c r="CL449" s="3"/>
      <c r="CM449" s="62"/>
      <c r="CN449" s="10"/>
      <c r="CO449" s="10"/>
      <c r="CP449" s="62"/>
      <c r="CQ449" s="17"/>
      <c r="CR449" s="4"/>
      <c r="CS449" s="12"/>
      <c r="CT449" s="18"/>
      <c r="CU449" s="3"/>
      <c r="CV449" s="18"/>
      <c r="CW449" s="7"/>
      <c r="CX449" s="18"/>
      <c r="CY449" s="7"/>
      <c r="CZ449" s="18"/>
      <c r="DA449" s="3"/>
      <c r="DB449" s="18"/>
      <c r="DC449" s="11"/>
      <c r="DD449" s="18"/>
      <c r="DE449" s="7"/>
      <c r="DF449" s="7"/>
      <c r="DG449" s="7"/>
      <c r="DH449" s="3"/>
      <c r="DI449" s="3"/>
      <c r="DJ449" s="3"/>
      <c r="DK449" s="3"/>
      <c r="DL449" s="3"/>
      <c r="DM449" s="3"/>
      <c r="DN449" s="3"/>
      <c r="DO449" s="3"/>
      <c r="DP449" s="3"/>
      <c r="DQ449" s="28"/>
      <c r="DR449" s="32"/>
      <c r="DS449" s="32"/>
      <c r="DT449" s="32"/>
      <c r="DU449" s="69"/>
    </row>
    <row r="450" spans="1:125" x14ac:dyDescent="0.25">
      <c r="A450" t="s">
        <v>149</v>
      </c>
      <c r="B450" s="2">
        <v>44798</v>
      </c>
      <c r="C450" s="1">
        <v>40</v>
      </c>
      <c r="D450">
        <v>125</v>
      </c>
      <c r="M450" s="3"/>
      <c r="N450" s="3"/>
      <c r="O450" s="3"/>
      <c r="P450" s="7"/>
      <c r="Q450" s="7"/>
      <c r="R450" s="7"/>
      <c r="S450" s="7"/>
      <c r="T450" s="11"/>
      <c r="U450" s="11"/>
      <c r="V450" s="11"/>
      <c r="W450" s="11"/>
      <c r="X450" s="14"/>
      <c r="Y450" s="14"/>
      <c r="Z450" s="14"/>
      <c r="AA450" s="14"/>
      <c r="AB450" s="15"/>
      <c r="AC450" s="15"/>
      <c r="AD450" s="13"/>
      <c r="AE450" s="13"/>
      <c r="AF450" s="12"/>
      <c r="AG450" s="12"/>
      <c r="AH450" s="13"/>
      <c r="AI450" s="13"/>
      <c r="AJ450" s="11"/>
      <c r="AK450" s="11"/>
      <c r="AL450" s="11"/>
      <c r="AM450" s="11"/>
      <c r="AN450" s="11"/>
      <c r="AO450" s="11"/>
      <c r="AP450" s="11"/>
      <c r="AQ450" s="11"/>
      <c r="AR450" s="16"/>
      <c r="AS450" s="16"/>
      <c r="AT450" s="16"/>
      <c r="AU450" s="7"/>
      <c r="AV450" s="7"/>
      <c r="AW450" s="7"/>
      <c r="AX450" s="7"/>
      <c r="AY450" s="11"/>
      <c r="AZ450" s="16"/>
      <c r="BA450" s="16"/>
      <c r="BB450" s="16"/>
      <c r="BC450" s="11"/>
      <c r="BD450" s="11"/>
      <c r="BE450" s="11"/>
      <c r="BF450" s="11"/>
      <c r="BG450" s="11"/>
      <c r="BH450" s="11"/>
      <c r="BI450" s="13"/>
      <c r="BJ450" s="13"/>
      <c r="BK450" s="11"/>
      <c r="BL450" s="12"/>
      <c r="BM450" s="12"/>
      <c r="BN450" s="13"/>
      <c r="BO450" s="13"/>
      <c r="BP450" s="15"/>
      <c r="BQ450" s="15"/>
      <c r="BR450" s="14"/>
      <c r="BS450" s="14"/>
      <c r="BT450" s="14"/>
      <c r="BU450" s="14"/>
      <c r="BV450" s="11"/>
      <c r="BW450" s="11"/>
      <c r="BX450" s="11"/>
      <c r="BY450" s="11"/>
      <c r="BZ450" s="7"/>
      <c r="CA450" s="7"/>
      <c r="CB450" s="7"/>
      <c r="CC450" s="7"/>
      <c r="CD450" s="7"/>
      <c r="CE450" s="3"/>
      <c r="CF450" s="7"/>
      <c r="CG450" s="3"/>
      <c r="CH450" s="7"/>
      <c r="CI450" s="7"/>
      <c r="CJ450" s="3"/>
      <c r="CK450" s="7"/>
      <c r="CL450" s="3"/>
      <c r="CM450" s="62"/>
      <c r="CN450" s="10"/>
      <c r="CO450" s="10"/>
      <c r="CP450" s="62"/>
      <c r="CQ450" s="17"/>
      <c r="CR450" s="4"/>
      <c r="CS450" s="12"/>
      <c r="CT450" s="18"/>
      <c r="CU450" s="3"/>
      <c r="CV450" s="18"/>
      <c r="CW450" s="7"/>
      <c r="CX450" s="18"/>
      <c r="CY450" s="7"/>
      <c r="CZ450" s="18"/>
      <c r="DA450" s="3"/>
      <c r="DB450" s="18"/>
      <c r="DC450" s="11"/>
      <c r="DD450" s="18"/>
      <c r="DE450" s="7"/>
      <c r="DF450" s="7"/>
      <c r="DG450" s="7"/>
      <c r="DH450" s="3"/>
      <c r="DI450" s="3"/>
      <c r="DJ450" s="3"/>
      <c r="DK450" s="3"/>
      <c r="DL450" s="3"/>
      <c r="DM450" s="3"/>
      <c r="DN450" s="3"/>
      <c r="DO450" s="3"/>
      <c r="DP450" s="3"/>
      <c r="DQ450" s="28"/>
      <c r="DR450" s="32"/>
      <c r="DS450" s="32"/>
      <c r="DT450" s="32"/>
      <c r="DU450" s="69"/>
    </row>
    <row r="451" spans="1:125" x14ac:dyDescent="0.25">
      <c r="A451" t="s">
        <v>149</v>
      </c>
      <c r="B451" s="2">
        <v>44833</v>
      </c>
      <c r="C451" s="1">
        <v>40</v>
      </c>
      <c r="D451">
        <v>125</v>
      </c>
      <c r="M451" s="3"/>
      <c r="N451" s="3"/>
      <c r="O451" s="3"/>
      <c r="P451" s="7"/>
      <c r="Q451" s="7"/>
      <c r="R451" s="7"/>
      <c r="S451" s="7"/>
      <c r="T451" s="11"/>
      <c r="U451" s="11"/>
      <c r="V451" s="11"/>
      <c r="W451" s="11"/>
      <c r="X451" s="14"/>
      <c r="Y451" s="14"/>
      <c r="Z451" s="14"/>
      <c r="AA451" s="14"/>
      <c r="AB451" s="15"/>
      <c r="AC451" s="15"/>
      <c r="AD451" s="13"/>
      <c r="AE451" s="13"/>
      <c r="AF451" s="12"/>
      <c r="AG451" s="12"/>
      <c r="AH451" s="13"/>
      <c r="AI451" s="13"/>
      <c r="AJ451" s="11"/>
      <c r="AK451" s="11"/>
      <c r="AL451" s="11"/>
      <c r="AM451" s="11"/>
      <c r="AN451" s="11"/>
      <c r="AO451" s="11"/>
      <c r="AP451" s="11"/>
      <c r="AQ451" s="11"/>
      <c r="AR451" s="16"/>
      <c r="AS451" s="16"/>
      <c r="AT451" s="16"/>
      <c r="AU451" s="7"/>
      <c r="AV451" s="7"/>
      <c r="AW451" s="7"/>
      <c r="AX451" s="7"/>
      <c r="AY451" s="11"/>
      <c r="AZ451" s="16"/>
      <c r="BA451" s="16"/>
      <c r="BB451" s="16"/>
      <c r="BC451" s="11"/>
      <c r="BD451" s="11"/>
      <c r="BE451" s="11"/>
      <c r="BF451" s="11"/>
      <c r="BG451" s="11"/>
      <c r="BH451" s="11"/>
      <c r="BI451" s="13"/>
      <c r="BJ451" s="13"/>
      <c r="BK451" s="11"/>
      <c r="BL451" s="12"/>
      <c r="BM451" s="12"/>
      <c r="BN451" s="13"/>
      <c r="BO451" s="13"/>
      <c r="BP451" s="15"/>
      <c r="BQ451" s="15"/>
      <c r="BR451" s="14"/>
      <c r="BS451" s="14"/>
      <c r="BT451" s="14"/>
      <c r="BU451" s="14"/>
      <c r="BV451" s="11"/>
      <c r="BW451" s="11"/>
      <c r="BX451" s="11"/>
      <c r="BY451" s="11"/>
      <c r="BZ451" s="7"/>
      <c r="CA451" s="7"/>
      <c r="CB451" s="7"/>
      <c r="CC451" s="7"/>
      <c r="CD451" s="7"/>
      <c r="CE451" s="3"/>
      <c r="CF451" s="7"/>
      <c r="CG451" s="3"/>
      <c r="CH451" s="7"/>
      <c r="CI451" s="7"/>
      <c r="CJ451" s="3"/>
      <c r="CK451" s="7"/>
      <c r="CL451" s="3"/>
      <c r="CM451" s="62"/>
      <c r="CN451" s="10"/>
      <c r="CO451" s="10"/>
      <c r="CP451" s="62"/>
      <c r="CQ451" s="17"/>
      <c r="CR451" s="4"/>
      <c r="CS451" s="12"/>
      <c r="CT451" s="18"/>
      <c r="CU451" s="3"/>
      <c r="CV451" s="18"/>
      <c r="CW451" s="7"/>
      <c r="CX451" s="18"/>
      <c r="CY451" s="7"/>
      <c r="CZ451" s="18"/>
      <c r="DA451" s="3"/>
      <c r="DB451" s="18"/>
      <c r="DC451" s="11"/>
      <c r="DD451" s="18"/>
      <c r="DE451" s="7"/>
      <c r="DF451" s="7"/>
      <c r="DG451" s="7"/>
      <c r="DH451" s="3"/>
      <c r="DI451" s="3"/>
      <c r="DJ451" s="3"/>
      <c r="DK451" s="3"/>
      <c r="DL451" s="3"/>
      <c r="DM451" s="3"/>
      <c r="DN451" s="3"/>
      <c r="DO451" s="3"/>
      <c r="DP451" s="3"/>
      <c r="DQ451" s="28"/>
      <c r="DR451" s="32"/>
      <c r="DS451" s="32"/>
      <c r="DT451" s="32"/>
      <c r="DU451" s="69"/>
    </row>
    <row r="452" spans="1:125" x14ac:dyDescent="0.25">
      <c r="A452" t="s">
        <v>149</v>
      </c>
      <c r="B452" s="2">
        <v>44861</v>
      </c>
      <c r="C452" s="1">
        <v>40</v>
      </c>
      <c r="D452">
        <v>125</v>
      </c>
      <c r="M452" s="3"/>
      <c r="N452" s="3"/>
      <c r="O452" s="3"/>
      <c r="P452" s="7"/>
      <c r="Q452" s="7"/>
      <c r="R452" s="7"/>
      <c r="S452" s="7"/>
      <c r="T452" s="11"/>
      <c r="U452" s="11"/>
      <c r="V452" s="11"/>
      <c r="W452" s="11"/>
      <c r="X452" s="14"/>
      <c r="Y452" s="14"/>
      <c r="Z452" s="14"/>
      <c r="AA452" s="14"/>
      <c r="AB452" s="15"/>
      <c r="AC452" s="15"/>
      <c r="AD452" s="13"/>
      <c r="AE452" s="13"/>
      <c r="AF452" s="12"/>
      <c r="AG452" s="12"/>
      <c r="AH452" s="13"/>
      <c r="AI452" s="13"/>
      <c r="AJ452" s="11"/>
      <c r="AK452" s="11"/>
      <c r="AL452" s="11"/>
      <c r="AM452" s="11"/>
      <c r="AN452" s="11"/>
      <c r="AO452" s="11"/>
      <c r="AP452" s="11"/>
      <c r="AQ452" s="11"/>
      <c r="AR452" s="16"/>
      <c r="AS452" s="16"/>
      <c r="AT452" s="16"/>
      <c r="AU452" s="7"/>
      <c r="AV452" s="7"/>
      <c r="AW452" s="7"/>
      <c r="AX452" s="7"/>
      <c r="AY452" s="11"/>
      <c r="AZ452" s="16"/>
      <c r="BA452" s="16"/>
      <c r="BB452" s="16"/>
      <c r="BC452" s="11"/>
      <c r="BD452" s="11"/>
      <c r="BE452" s="11"/>
      <c r="BF452" s="11"/>
      <c r="BG452" s="11"/>
      <c r="BH452" s="11"/>
      <c r="BI452" s="13"/>
      <c r="BJ452" s="13"/>
      <c r="BK452" s="11"/>
      <c r="BL452" s="12"/>
      <c r="BM452" s="12"/>
      <c r="BN452" s="13"/>
      <c r="BO452" s="13"/>
      <c r="BP452" s="15"/>
      <c r="BQ452" s="15"/>
      <c r="BR452" s="14"/>
      <c r="BS452" s="14"/>
      <c r="BT452" s="14"/>
      <c r="BU452" s="14"/>
      <c r="BV452" s="11"/>
      <c r="BW452" s="11"/>
      <c r="BX452" s="11"/>
      <c r="BY452" s="11"/>
      <c r="BZ452" s="7"/>
      <c r="CA452" s="7"/>
      <c r="CB452" s="7"/>
      <c r="CC452" s="7"/>
      <c r="CD452" s="7"/>
      <c r="CE452" s="3"/>
      <c r="CF452" s="7"/>
      <c r="CG452" s="3"/>
      <c r="CH452" s="7"/>
      <c r="CI452" s="7"/>
      <c r="CJ452" s="3"/>
      <c r="CK452" s="7"/>
      <c r="CL452" s="3"/>
      <c r="CM452" s="62"/>
      <c r="CN452" s="10"/>
      <c r="CO452" s="10"/>
      <c r="CP452" s="62"/>
      <c r="CQ452" s="17"/>
      <c r="CR452" s="4"/>
      <c r="CS452" s="12"/>
      <c r="CT452" s="18"/>
      <c r="CU452" s="3"/>
      <c r="CV452" s="18"/>
      <c r="CW452" s="7"/>
      <c r="CX452" s="18"/>
      <c r="CY452" s="7"/>
      <c r="CZ452" s="18"/>
      <c r="DA452" s="3"/>
      <c r="DB452" s="18"/>
      <c r="DC452" s="11"/>
      <c r="DD452" s="18"/>
      <c r="DE452" s="7"/>
      <c r="DF452" s="7"/>
      <c r="DG452" s="7"/>
      <c r="DH452" s="3"/>
      <c r="DI452" s="3"/>
      <c r="DJ452" s="3"/>
      <c r="DK452" s="3"/>
      <c r="DL452" s="3"/>
      <c r="DM452" s="3"/>
      <c r="DN452" s="3"/>
      <c r="DO452" s="3"/>
      <c r="DP452" s="3"/>
      <c r="DQ452" s="28"/>
      <c r="DR452" s="32"/>
      <c r="DS452" s="32"/>
      <c r="DT452" s="32"/>
      <c r="DU452" s="69"/>
    </row>
    <row r="453" spans="1:125" x14ac:dyDescent="0.25">
      <c r="A453" t="s">
        <v>150</v>
      </c>
      <c r="B453" s="2">
        <v>44784</v>
      </c>
      <c r="C453" s="1">
        <v>50</v>
      </c>
      <c r="D453">
        <v>154</v>
      </c>
      <c r="M453" s="3"/>
      <c r="N453" s="3"/>
      <c r="O453" s="3"/>
      <c r="P453" s="7"/>
      <c r="Q453" s="7"/>
      <c r="R453" s="7"/>
      <c r="S453" s="7"/>
      <c r="T453" s="11"/>
      <c r="U453" s="11"/>
      <c r="V453" s="11"/>
      <c r="W453" s="11"/>
      <c r="X453" s="14"/>
      <c r="Y453" s="14"/>
      <c r="Z453" s="14"/>
      <c r="AA453" s="14"/>
      <c r="AB453" s="15"/>
      <c r="AC453" s="15"/>
      <c r="AD453" s="13"/>
      <c r="AE453" s="13"/>
      <c r="AF453" s="12"/>
      <c r="AG453" s="12"/>
      <c r="AH453" s="13"/>
      <c r="AI453" s="13"/>
      <c r="AJ453" s="11"/>
      <c r="AK453" s="11"/>
      <c r="AL453" s="11"/>
      <c r="AM453" s="11"/>
      <c r="AN453" s="11"/>
      <c r="AO453" s="11"/>
      <c r="AP453" s="11"/>
      <c r="AQ453" s="11"/>
      <c r="AR453" s="16"/>
      <c r="AS453" s="16"/>
      <c r="AT453" s="16"/>
      <c r="AU453" s="7"/>
      <c r="AV453" s="7"/>
      <c r="AW453" s="7"/>
      <c r="AX453" s="7"/>
      <c r="AY453" s="11"/>
      <c r="AZ453" s="16"/>
      <c r="BA453" s="16"/>
      <c r="BB453" s="16"/>
      <c r="BC453" s="11"/>
      <c r="BD453" s="11"/>
      <c r="BE453" s="11"/>
      <c r="BF453" s="11"/>
      <c r="BG453" s="11"/>
      <c r="BH453" s="11"/>
      <c r="BI453" s="13"/>
      <c r="BJ453" s="13"/>
      <c r="BK453" s="11"/>
      <c r="BL453" s="12"/>
      <c r="BM453" s="12"/>
      <c r="BN453" s="13"/>
      <c r="BO453" s="13"/>
      <c r="BP453" s="15"/>
      <c r="BQ453" s="15"/>
      <c r="BR453" s="14"/>
      <c r="BS453" s="14"/>
      <c r="BT453" s="14"/>
      <c r="BU453" s="14"/>
      <c r="BV453" s="11"/>
      <c r="BW453" s="11"/>
      <c r="BX453" s="11"/>
      <c r="BY453" s="11"/>
      <c r="BZ453" s="7"/>
      <c r="CA453" s="7"/>
      <c r="CB453" s="7"/>
      <c r="CC453" s="7"/>
      <c r="CD453" s="7"/>
      <c r="CE453" s="3"/>
      <c r="CF453" s="7"/>
      <c r="CG453" s="3"/>
      <c r="CH453" s="7"/>
      <c r="CI453" s="7"/>
      <c r="CJ453" s="3"/>
      <c r="CK453" s="7"/>
      <c r="CL453" s="3"/>
      <c r="CM453" s="62"/>
      <c r="CN453" s="10"/>
      <c r="CO453" s="10"/>
      <c r="CP453" s="62"/>
      <c r="CQ453" s="17"/>
      <c r="CR453" s="4"/>
      <c r="CS453" s="12"/>
      <c r="CT453" s="18"/>
      <c r="CU453" s="3"/>
      <c r="CV453" s="18"/>
      <c r="CW453" s="7"/>
      <c r="CX453" s="18"/>
      <c r="CY453" s="7"/>
      <c r="CZ453" s="18"/>
      <c r="DA453" s="3"/>
      <c r="DB453" s="18"/>
      <c r="DC453" s="11"/>
      <c r="DD453" s="18"/>
      <c r="DE453" s="7"/>
      <c r="DF453" s="7"/>
      <c r="DG453" s="7"/>
      <c r="DH453" s="3"/>
      <c r="DI453" s="3"/>
      <c r="DJ453" s="3"/>
      <c r="DK453" s="3"/>
      <c r="DL453" s="3"/>
      <c r="DM453" s="3"/>
      <c r="DN453" s="3"/>
      <c r="DO453" s="3"/>
      <c r="DP453" s="3"/>
      <c r="DQ453" s="28"/>
      <c r="DR453" s="32"/>
      <c r="DS453" s="32"/>
      <c r="DT453" s="32"/>
      <c r="DU453" s="69"/>
    </row>
    <row r="454" spans="1:125" x14ac:dyDescent="0.25">
      <c r="A454" t="s">
        <v>150</v>
      </c>
      <c r="B454" s="2">
        <v>44791</v>
      </c>
      <c r="C454" s="1">
        <v>50</v>
      </c>
      <c r="D454">
        <v>154</v>
      </c>
      <c r="M454" s="3"/>
      <c r="N454" s="3"/>
      <c r="O454" s="3"/>
      <c r="P454" s="7"/>
      <c r="Q454" s="7"/>
      <c r="R454" s="7"/>
      <c r="S454" s="7"/>
      <c r="T454" s="11"/>
      <c r="U454" s="11"/>
      <c r="V454" s="11"/>
      <c r="W454" s="11"/>
      <c r="X454" s="14"/>
      <c r="Y454" s="14"/>
      <c r="Z454" s="14"/>
      <c r="AA454" s="14"/>
      <c r="AB454" s="15"/>
      <c r="AC454" s="15"/>
      <c r="AD454" s="13"/>
      <c r="AE454" s="13"/>
      <c r="AF454" s="12"/>
      <c r="AG454" s="12"/>
      <c r="AH454" s="13"/>
      <c r="AI454" s="13"/>
      <c r="AJ454" s="11"/>
      <c r="AK454" s="11"/>
      <c r="AL454" s="11"/>
      <c r="AM454" s="11"/>
      <c r="AN454" s="11"/>
      <c r="AO454" s="11"/>
      <c r="AP454" s="11"/>
      <c r="AQ454" s="11"/>
      <c r="AR454" s="16"/>
      <c r="AS454" s="16"/>
      <c r="AT454" s="16"/>
      <c r="AU454" s="7"/>
      <c r="AV454" s="7"/>
      <c r="AW454" s="7"/>
      <c r="AX454" s="7"/>
      <c r="AY454" s="11"/>
      <c r="AZ454" s="16"/>
      <c r="BA454" s="16"/>
      <c r="BB454" s="16"/>
      <c r="BC454" s="11"/>
      <c r="BD454" s="11"/>
      <c r="BE454" s="11"/>
      <c r="BF454" s="11"/>
      <c r="BG454" s="11"/>
      <c r="BH454" s="11"/>
      <c r="BI454" s="13"/>
      <c r="BJ454" s="13"/>
      <c r="BK454" s="11"/>
      <c r="BL454" s="12"/>
      <c r="BM454" s="12"/>
      <c r="BN454" s="13"/>
      <c r="BO454" s="13"/>
      <c r="BP454" s="15"/>
      <c r="BQ454" s="15"/>
      <c r="BR454" s="14"/>
      <c r="BS454" s="14"/>
      <c r="BT454" s="14"/>
      <c r="BU454" s="14"/>
      <c r="BV454" s="11"/>
      <c r="BW454" s="11"/>
      <c r="BX454" s="11"/>
      <c r="BY454" s="11"/>
      <c r="BZ454" s="7"/>
      <c r="CA454" s="7"/>
      <c r="CB454" s="7"/>
      <c r="CC454" s="7"/>
      <c r="CD454" s="7"/>
      <c r="CE454" s="3"/>
      <c r="CF454" s="7"/>
      <c r="CG454" s="3"/>
      <c r="CH454" s="7"/>
      <c r="CI454" s="7"/>
      <c r="CJ454" s="3"/>
      <c r="CK454" s="7"/>
      <c r="CL454" s="3"/>
      <c r="CM454" s="62"/>
      <c r="CN454" s="10"/>
      <c r="CO454" s="10"/>
      <c r="CP454" s="62"/>
      <c r="CQ454" s="17"/>
      <c r="CR454" s="4"/>
      <c r="CS454" s="12"/>
      <c r="CT454" s="18"/>
      <c r="CU454" s="3"/>
      <c r="CV454" s="18"/>
      <c r="CW454" s="7"/>
      <c r="CX454" s="18"/>
      <c r="CY454" s="7"/>
      <c r="CZ454" s="18"/>
      <c r="DA454" s="3"/>
      <c r="DB454" s="18"/>
      <c r="DC454" s="11"/>
      <c r="DD454" s="18"/>
      <c r="DE454" s="7"/>
      <c r="DF454" s="7"/>
      <c r="DG454" s="7"/>
      <c r="DH454" s="3"/>
      <c r="DI454" s="3"/>
      <c r="DJ454" s="3"/>
      <c r="DK454" s="3"/>
      <c r="DL454" s="3"/>
      <c r="DM454" s="3"/>
      <c r="DN454" s="3"/>
      <c r="DO454" s="3"/>
      <c r="DP454" s="3"/>
      <c r="DQ454" s="28"/>
      <c r="DR454" s="32"/>
      <c r="DS454" s="32"/>
      <c r="DT454" s="32"/>
      <c r="DU454" s="69"/>
    </row>
    <row r="455" spans="1:125" x14ac:dyDescent="0.25">
      <c r="A455" t="s">
        <v>150</v>
      </c>
      <c r="B455" s="2">
        <v>44798</v>
      </c>
      <c r="C455" s="1">
        <v>50</v>
      </c>
      <c r="D455">
        <v>154</v>
      </c>
      <c r="M455" s="3"/>
      <c r="N455" s="3"/>
      <c r="O455" s="3"/>
      <c r="P455" s="7"/>
      <c r="Q455" s="7"/>
      <c r="R455" s="7"/>
      <c r="S455" s="7"/>
      <c r="T455" s="11"/>
      <c r="U455" s="11"/>
      <c r="V455" s="11"/>
      <c r="W455" s="11"/>
      <c r="X455" s="14"/>
      <c r="Y455" s="14"/>
      <c r="Z455" s="14"/>
      <c r="AA455" s="14"/>
      <c r="AB455" s="15"/>
      <c r="AC455" s="15"/>
      <c r="AD455" s="13"/>
      <c r="AE455" s="13"/>
      <c r="AF455" s="12"/>
      <c r="AG455" s="12"/>
      <c r="AH455" s="13"/>
      <c r="AI455" s="13"/>
      <c r="AJ455" s="11"/>
      <c r="AK455" s="11"/>
      <c r="AL455" s="11"/>
      <c r="AM455" s="11"/>
      <c r="AN455" s="11"/>
      <c r="AO455" s="11"/>
      <c r="AP455" s="11"/>
      <c r="AQ455" s="11"/>
      <c r="AR455" s="16"/>
      <c r="AS455" s="16"/>
      <c r="AT455" s="16"/>
      <c r="AU455" s="7"/>
      <c r="AV455" s="7"/>
      <c r="AW455" s="7"/>
      <c r="AX455" s="7"/>
      <c r="AY455" s="11"/>
      <c r="AZ455" s="16"/>
      <c r="BA455" s="16"/>
      <c r="BB455" s="16"/>
      <c r="BC455" s="11"/>
      <c r="BD455" s="11"/>
      <c r="BE455" s="11"/>
      <c r="BF455" s="11"/>
      <c r="BG455" s="11"/>
      <c r="BH455" s="11"/>
      <c r="BI455" s="13"/>
      <c r="BJ455" s="13"/>
      <c r="BK455" s="11"/>
      <c r="BL455" s="12"/>
      <c r="BM455" s="12"/>
      <c r="BN455" s="13"/>
      <c r="BO455" s="13"/>
      <c r="BP455" s="15"/>
      <c r="BQ455" s="15"/>
      <c r="BR455" s="14"/>
      <c r="BS455" s="14"/>
      <c r="BT455" s="14"/>
      <c r="BU455" s="14"/>
      <c r="BV455" s="11"/>
      <c r="BW455" s="11"/>
      <c r="BX455" s="11"/>
      <c r="BY455" s="11"/>
      <c r="BZ455" s="7"/>
      <c r="CA455" s="7"/>
      <c r="CB455" s="7"/>
      <c r="CC455" s="7"/>
      <c r="CD455" s="7"/>
      <c r="CE455" s="3"/>
      <c r="CF455" s="7"/>
      <c r="CG455" s="3"/>
      <c r="CH455" s="7"/>
      <c r="CI455" s="7"/>
      <c r="CJ455" s="3"/>
      <c r="CK455" s="7"/>
      <c r="CL455" s="3"/>
      <c r="CM455" s="62"/>
      <c r="CN455" s="10"/>
      <c r="CO455" s="10"/>
      <c r="CP455" s="62"/>
      <c r="CQ455" s="17"/>
      <c r="CR455" s="4"/>
      <c r="CS455" s="12"/>
      <c r="CT455" s="18"/>
      <c r="CU455" s="3"/>
      <c r="CV455" s="18"/>
      <c r="CW455" s="7"/>
      <c r="CX455" s="18"/>
      <c r="CY455" s="7"/>
      <c r="CZ455" s="18"/>
      <c r="DA455" s="3"/>
      <c r="DB455" s="18"/>
      <c r="DC455" s="11"/>
      <c r="DD455" s="18"/>
      <c r="DE455" s="7"/>
      <c r="DF455" s="7"/>
      <c r="DG455" s="7"/>
      <c r="DH455" s="3"/>
      <c r="DI455" s="3"/>
      <c r="DJ455" s="3"/>
      <c r="DK455" s="3"/>
      <c r="DL455" s="3"/>
      <c r="DM455" s="3"/>
      <c r="DN455" s="3"/>
      <c r="DO455" s="3"/>
      <c r="DP455" s="3"/>
      <c r="DQ455" s="28"/>
      <c r="DR455" s="32"/>
      <c r="DS455" s="32"/>
      <c r="DT455" s="32"/>
      <c r="DU455" s="69"/>
    </row>
    <row r="456" spans="1:125" x14ac:dyDescent="0.25">
      <c r="A456" t="s">
        <v>150</v>
      </c>
      <c r="B456" s="2">
        <v>44805</v>
      </c>
      <c r="C456" s="1">
        <v>50</v>
      </c>
      <c r="D456">
        <v>154</v>
      </c>
      <c r="M456" s="3"/>
      <c r="N456" s="3"/>
      <c r="O456" s="3"/>
      <c r="P456" s="7"/>
      <c r="Q456" s="7"/>
      <c r="R456" s="7"/>
      <c r="S456" s="7"/>
      <c r="T456" s="11"/>
      <c r="U456" s="11"/>
      <c r="V456" s="11"/>
      <c r="W456" s="11"/>
      <c r="X456" s="14"/>
      <c r="Y456" s="14"/>
      <c r="Z456" s="14"/>
      <c r="AA456" s="14"/>
      <c r="AB456" s="15"/>
      <c r="AC456" s="15"/>
      <c r="AD456" s="13"/>
      <c r="AE456" s="13"/>
      <c r="AF456" s="12"/>
      <c r="AG456" s="12"/>
      <c r="AH456" s="13"/>
      <c r="AI456" s="13"/>
      <c r="AJ456" s="11"/>
      <c r="AK456" s="11"/>
      <c r="AL456" s="11"/>
      <c r="AM456" s="11"/>
      <c r="AN456" s="11"/>
      <c r="AO456" s="11"/>
      <c r="AP456" s="11"/>
      <c r="AQ456" s="11"/>
      <c r="AR456" s="16"/>
      <c r="AS456" s="16"/>
      <c r="AT456" s="16"/>
      <c r="AU456" s="7"/>
      <c r="AV456" s="7"/>
      <c r="AW456" s="7"/>
      <c r="AX456" s="7"/>
      <c r="AY456" s="11"/>
      <c r="AZ456" s="16"/>
      <c r="BA456" s="16"/>
      <c r="BB456" s="16"/>
      <c r="BC456" s="11"/>
      <c r="BD456" s="11"/>
      <c r="BE456" s="11"/>
      <c r="BF456" s="11"/>
      <c r="BG456" s="11"/>
      <c r="BH456" s="11"/>
      <c r="BI456" s="13"/>
      <c r="BJ456" s="13"/>
      <c r="BK456" s="11"/>
      <c r="BL456" s="12"/>
      <c r="BM456" s="12"/>
      <c r="BN456" s="13"/>
      <c r="BO456" s="13"/>
      <c r="BP456" s="15"/>
      <c r="BQ456" s="15"/>
      <c r="BR456" s="14"/>
      <c r="BS456" s="14"/>
      <c r="BT456" s="14"/>
      <c r="BU456" s="14"/>
      <c r="BV456" s="11"/>
      <c r="BW456" s="11"/>
      <c r="BX456" s="11"/>
      <c r="BY456" s="11"/>
      <c r="BZ456" s="7"/>
      <c r="CA456" s="7"/>
      <c r="CB456" s="7"/>
      <c r="CC456" s="7"/>
      <c r="CD456" s="7"/>
      <c r="CE456" s="3"/>
      <c r="CF456" s="7"/>
      <c r="CG456" s="3"/>
      <c r="CH456" s="7"/>
      <c r="CI456" s="7"/>
      <c r="CJ456" s="3"/>
      <c r="CK456" s="7"/>
      <c r="CL456" s="3"/>
      <c r="CM456" s="62"/>
      <c r="CN456" s="10"/>
      <c r="CO456" s="10"/>
      <c r="CP456" s="62"/>
      <c r="CQ456" s="17"/>
      <c r="CR456" s="4"/>
      <c r="CS456" s="12"/>
      <c r="CT456" s="18"/>
      <c r="CU456" s="3"/>
      <c r="CV456" s="18"/>
      <c r="CW456" s="7"/>
      <c r="CX456" s="18"/>
      <c r="CY456" s="7"/>
      <c r="CZ456" s="18"/>
      <c r="DA456" s="3"/>
      <c r="DB456" s="18"/>
      <c r="DC456" s="11"/>
      <c r="DD456" s="18"/>
      <c r="DE456" s="7"/>
      <c r="DF456" s="7"/>
      <c r="DG456" s="7"/>
      <c r="DH456" s="3"/>
      <c r="DI456" s="3"/>
      <c r="DJ456" s="3"/>
      <c r="DK456" s="3"/>
      <c r="DL456" s="3"/>
      <c r="DM456" s="3"/>
      <c r="DN456" s="3"/>
      <c r="DO456" s="3"/>
      <c r="DP456" s="3"/>
      <c r="DQ456" s="28"/>
      <c r="DR456" s="32"/>
      <c r="DS456" s="32"/>
      <c r="DT456" s="32"/>
      <c r="DU456" s="69"/>
    </row>
    <row r="457" spans="1:125" x14ac:dyDescent="0.25">
      <c r="A457" t="s">
        <v>150</v>
      </c>
      <c r="B457" s="2">
        <v>44812</v>
      </c>
      <c r="C457" s="1">
        <v>50</v>
      </c>
      <c r="D457">
        <v>154</v>
      </c>
      <c r="M457" s="3"/>
      <c r="N457" s="3"/>
      <c r="O457" s="3"/>
      <c r="P457" s="7"/>
      <c r="Q457" s="7"/>
      <c r="R457" s="7"/>
      <c r="S457" s="7"/>
      <c r="T457" s="11"/>
      <c r="U457" s="11"/>
      <c r="V457" s="11"/>
      <c r="W457" s="11"/>
      <c r="X457" s="14"/>
      <c r="Y457" s="14"/>
      <c r="Z457" s="14"/>
      <c r="AA457" s="14"/>
      <c r="AB457" s="15"/>
      <c r="AC457" s="15"/>
      <c r="AD457" s="13"/>
      <c r="AE457" s="13"/>
      <c r="AF457" s="12"/>
      <c r="AG457" s="12"/>
      <c r="AH457" s="13"/>
      <c r="AI457" s="13"/>
      <c r="AJ457" s="11"/>
      <c r="AK457" s="11"/>
      <c r="AL457" s="11"/>
      <c r="AM457" s="11"/>
      <c r="AN457" s="11"/>
      <c r="AO457" s="11"/>
      <c r="AP457" s="11"/>
      <c r="AQ457" s="11"/>
      <c r="AR457" s="16"/>
      <c r="AS457" s="16"/>
      <c r="AT457" s="16"/>
      <c r="AU457" s="7"/>
      <c r="AV457" s="7"/>
      <c r="AW457" s="7"/>
      <c r="AX457" s="7"/>
      <c r="AY457" s="11"/>
      <c r="AZ457" s="16"/>
      <c r="BA457" s="16"/>
      <c r="BB457" s="16"/>
      <c r="BC457" s="11"/>
      <c r="BD457" s="11"/>
      <c r="BE457" s="11"/>
      <c r="BF457" s="11"/>
      <c r="BG457" s="11"/>
      <c r="BH457" s="11"/>
      <c r="BI457" s="13"/>
      <c r="BJ457" s="13"/>
      <c r="BK457" s="11"/>
      <c r="BL457" s="12"/>
      <c r="BM457" s="12"/>
      <c r="BN457" s="13"/>
      <c r="BO457" s="13"/>
      <c r="BP457" s="15"/>
      <c r="BQ457" s="15"/>
      <c r="BR457" s="14"/>
      <c r="BS457" s="14"/>
      <c r="BT457" s="14"/>
      <c r="BU457" s="14"/>
      <c r="BV457" s="11"/>
      <c r="BW457" s="11"/>
      <c r="BX457" s="11"/>
      <c r="BY457" s="11"/>
      <c r="BZ457" s="7"/>
      <c r="CA457" s="7"/>
      <c r="CB457" s="7"/>
      <c r="CC457" s="7"/>
      <c r="CD457" s="7"/>
      <c r="CE457" s="3"/>
      <c r="CF457" s="7"/>
      <c r="CG457" s="3"/>
      <c r="CH457" s="7"/>
      <c r="CI457" s="7"/>
      <c r="CJ457" s="3"/>
      <c r="CK457" s="7"/>
      <c r="CL457" s="3"/>
      <c r="CM457" s="62"/>
      <c r="CN457" s="10"/>
      <c r="CO457" s="10"/>
      <c r="CP457" s="62"/>
      <c r="CQ457" s="17"/>
      <c r="CR457" s="4"/>
      <c r="CS457" s="12"/>
      <c r="CT457" s="18"/>
      <c r="CU457" s="3"/>
      <c r="CV457" s="18"/>
      <c r="CW457" s="7"/>
      <c r="CX457" s="18"/>
      <c r="CY457" s="7"/>
      <c r="CZ457" s="18"/>
      <c r="DA457" s="3"/>
      <c r="DB457" s="18"/>
      <c r="DC457" s="11"/>
      <c r="DD457" s="18"/>
      <c r="DE457" s="7"/>
      <c r="DF457" s="7"/>
      <c r="DG457" s="7"/>
      <c r="DH457" s="3"/>
      <c r="DI457" s="3"/>
      <c r="DJ457" s="3"/>
      <c r="DK457" s="3"/>
      <c r="DL457" s="3"/>
      <c r="DM457" s="3"/>
      <c r="DN457" s="3"/>
      <c r="DO457" s="3"/>
      <c r="DP457" s="3"/>
      <c r="DQ457" s="28"/>
      <c r="DR457" s="32"/>
      <c r="DS457" s="32"/>
      <c r="DT457" s="32"/>
      <c r="DU457" s="69"/>
    </row>
    <row r="458" spans="1:125" x14ac:dyDescent="0.25">
      <c r="A458" t="s">
        <v>150</v>
      </c>
      <c r="B458" s="2">
        <v>44819</v>
      </c>
      <c r="C458" s="1">
        <v>50</v>
      </c>
      <c r="D458">
        <v>154</v>
      </c>
      <c r="M458" s="3"/>
      <c r="N458" s="3"/>
      <c r="O458" s="3"/>
      <c r="P458" s="7"/>
      <c r="Q458" s="7"/>
      <c r="R458" s="7"/>
      <c r="S458" s="7"/>
      <c r="T458" s="11"/>
      <c r="U458" s="11"/>
      <c r="V458" s="11"/>
      <c r="W458" s="11"/>
      <c r="X458" s="14"/>
      <c r="Y458" s="14"/>
      <c r="Z458" s="14"/>
      <c r="AA458" s="14"/>
      <c r="AB458" s="15"/>
      <c r="AC458" s="15"/>
      <c r="AD458" s="13"/>
      <c r="AE458" s="13"/>
      <c r="AF458" s="12"/>
      <c r="AG458" s="12"/>
      <c r="AH458" s="13"/>
      <c r="AI458" s="13"/>
      <c r="AJ458" s="11"/>
      <c r="AK458" s="11"/>
      <c r="AL458" s="11"/>
      <c r="AM458" s="11"/>
      <c r="AN458" s="11"/>
      <c r="AO458" s="11"/>
      <c r="AP458" s="11"/>
      <c r="AQ458" s="11"/>
      <c r="AR458" s="16"/>
      <c r="AS458" s="16"/>
      <c r="AT458" s="16"/>
      <c r="AU458" s="7"/>
      <c r="AV458" s="7"/>
      <c r="AW458" s="7"/>
      <c r="AX458" s="7"/>
      <c r="AY458" s="11"/>
      <c r="AZ458" s="16"/>
      <c r="BA458" s="16"/>
      <c r="BB458" s="16"/>
      <c r="BC458" s="11"/>
      <c r="BD458" s="11"/>
      <c r="BE458" s="11"/>
      <c r="BF458" s="11"/>
      <c r="BG458" s="11"/>
      <c r="BH458" s="11"/>
      <c r="BI458" s="13"/>
      <c r="BJ458" s="13"/>
      <c r="BK458" s="11"/>
      <c r="BL458" s="12"/>
      <c r="BM458" s="12"/>
      <c r="BN458" s="13"/>
      <c r="BO458" s="13"/>
      <c r="BP458" s="15"/>
      <c r="BQ458" s="15"/>
      <c r="BR458" s="14"/>
      <c r="BS458" s="14"/>
      <c r="BT458" s="14"/>
      <c r="BU458" s="14"/>
      <c r="BV458" s="11"/>
      <c r="BW458" s="11"/>
      <c r="BX458" s="11"/>
      <c r="BY458" s="11"/>
      <c r="BZ458" s="7"/>
      <c r="CA458" s="7"/>
      <c r="CB458" s="7"/>
      <c r="CC458" s="7"/>
      <c r="CD458" s="7"/>
      <c r="CE458" s="3"/>
      <c r="CF458" s="7"/>
      <c r="CG458" s="3"/>
      <c r="CH458" s="7"/>
      <c r="CI458" s="7"/>
      <c r="CJ458" s="3"/>
      <c r="CK458" s="7"/>
      <c r="CL458" s="3"/>
      <c r="CM458" s="62"/>
      <c r="CN458" s="10"/>
      <c r="CO458" s="10"/>
      <c r="CP458" s="62"/>
      <c r="CQ458" s="17"/>
      <c r="CR458" s="4"/>
      <c r="CS458" s="12"/>
      <c r="CT458" s="18"/>
      <c r="CU458" s="3"/>
      <c r="CV458" s="18"/>
      <c r="CW458" s="7"/>
      <c r="CX458" s="18"/>
      <c r="CY458" s="7"/>
      <c r="CZ458" s="18"/>
      <c r="DA458" s="3"/>
      <c r="DB458" s="18"/>
      <c r="DC458" s="11"/>
      <c r="DD458" s="18"/>
      <c r="DE458" s="7"/>
      <c r="DF458" s="7"/>
      <c r="DG458" s="7"/>
      <c r="DH458" s="3"/>
      <c r="DI458" s="3"/>
      <c r="DJ458" s="3"/>
      <c r="DK458" s="3"/>
      <c r="DL458" s="3"/>
      <c r="DM458" s="3"/>
      <c r="DN458" s="3"/>
      <c r="DO458" s="3"/>
      <c r="DP458" s="3"/>
      <c r="DQ458" s="28"/>
      <c r="DR458" s="32"/>
      <c r="DS458" s="32"/>
      <c r="DT458" s="32"/>
      <c r="DU458" s="69"/>
    </row>
    <row r="459" spans="1:125" x14ac:dyDescent="0.25">
      <c r="A459" t="s">
        <v>150</v>
      </c>
      <c r="B459" s="2">
        <v>44826</v>
      </c>
      <c r="C459" s="1">
        <v>50</v>
      </c>
      <c r="D459">
        <v>154</v>
      </c>
      <c r="M459" s="3"/>
      <c r="N459" s="3"/>
      <c r="O459" s="3"/>
      <c r="P459" s="7"/>
      <c r="Q459" s="7"/>
      <c r="R459" s="7"/>
      <c r="S459" s="7"/>
      <c r="T459" s="11"/>
      <c r="U459" s="11"/>
      <c r="V459" s="11"/>
      <c r="W459" s="11"/>
      <c r="X459" s="14"/>
      <c r="Y459" s="14"/>
      <c r="Z459" s="14"/>
      <c r="AA459" s="14"/>
      <c r="AB459" s="15"/>
      <c r="AC459" s="15"/>
      <c r="AD459" s="13"/>
      <c r="AE459" s="13"/>
      <c r="AF459" s="12"/>
      <c r="AG459" s="12"/>
      <c r="AH459" s="13"/>
      <c r="AI459" s="13"/>
      <c r="AJ459" s="11"/>
      <c r="AK459" s="11"/>
      <c r="AL459" s="11"/>
      <c r="AM459" s="11"/>
      <c r="AN459" s="11"/>
      <c r="AO459" s="11"/>
      <c r="AP459" s="11"/>
      <c r="AQ459" s="11"/>
      <c r="AR459" s="16"/>
      <c r="AS459" s="16"/>
      <c r="AT459" s="16"/>
      <c r="AU459" s="7"/>
      <c r="AV459" s="7"/>
      <c r="AW459" s="7"/>
      <c r="AX459" s="7"/>
      <c r="AY459" s="11"/>
      <c r="AZ459" s="16"/>
      <c r="BA459" s="16"/>
      <c r="BB459" s="16"/>
      <c r="BC459" s="11"/>
      <c r="BD459" s="11"/>
      <c r="BE459" s="11"/>
      <c r="BF459" s="11"/>
      <c r="BG459" s="11"/>
      <c r="BH459" s="11"/>
      <c r="BI459" s="13"/>
      <c r="BJ459" s="13"/>
      <c r="BK459" s="11"/>
      <c r="BL459" s="12"/>
      <c r="BM459" s="12"/>
      <c r="BN459" s="13"/>
      <c r="BO459" s="13"/>
      <c r="BP459" s="15"/>
      <c r="BQ459" s="15"/>
      <c r="BR459" s="14"/>
      <c r="BS459" s="14"/>
      <c r="BT459" s="14"/>
      <c r="BU459" s="14"/>
      <c r="BV459" s="11"/>
      <c r="BW459" s="11"/>
      <c r="BX459" s="11"/>
      <c r="BY459" s="11"/>
      <c r="BZ459" s="7"/>
      <c r="CA459" s="7"/>
      <c r="CB459" s="7"/>
      <c r="CC459" s="7"/>
      <c r="CD459" s="7"/>
      <c r="CE459" s="3"/>
      <c r="CF459" s="7"/>
      <c r="CG459" s="3"/>
      <c r="CH459" s="7"/>
      <c r="CI459" s="7"/>
      <c r="CJ459" s="3"/>
      <c r="CK459" s="7"/>
      <c r="CL459" s="3"/>
      <c r="CM459" s="62"/>
      <c r="CN459" s="10"/>
      <c r="CO459" s="10"/>
      <c r="CP459" s="62"/>
      <c r="CQ459" s="17"/>
      <c r="CR459" s="4"/>
      <c r="CS459" s="12"/>
      <c r="CT459" s="18"/>
      <c r="CU459" s="3"/>
      <c r="CV459" s="18"/>
      <c r="CW459" s="7"/>
      <c r="CX459" s="18"/>
      <c r="CY459" s="7"/>
      <c r="CZ459" s="18"/>
      <c r="DA459" s="3"/>
      <c r="DB459" s="18"/>
      <c r="DC459" s="11"/>
      <c r="DD459" s="18"/>
      <c r="DE459" s="7"/>
      <c r="DF459" s="7"/>
      <c r="DG459" s="7"/>
      <c r="DH459" s="3"/>
      <c r="DI459" s="3"/>
      <c r="DJ459" s="3"/>
      <c r="DK459" s="3"/>
      <c r="DL459" s="3"/>
      <c r="DM459" s="3"/>
      <c r="DN459" s="3"/>
      <c r="DO459" s="3"/>
      <c r="DP459" s="3"/>
      <c r="DQ459" s="28"/>
      <c r="DR459" s="32"/>
      <c r="DS459" s="32"/>
      <c r="DT459" s="32"/>
      <c r="DU459" s="69"/>
    </row>
    <row r="460" spans="1:125" x14ac:dyDescent="0.25">
      <c r="A460" t="s">
        <v>150</v>
      </c>
      <c r="B460" s="2">
        <v>44833</v>
      </c>
      <c r="C460" s="1">
        <v>50</v>
      </c>
      <c r="D460">
        <v>154</v>
      </c>
      <c r="M460" s="3"/>
      <c r="N460" s="3"/>
      <c r="O460" s="3"/>
      <c r="P460" s="7"/>
      <c r="Q460" s="7"/>
      <c r="R460" s="7"/>
      <c r="S460" s="7"/>
      <c r="T460" s="11"/>
      <c r="U460" s="11"/>
      <c r="V460" s="11"/>
      <c r="W460" s="11"/>
      <c r="X460" s="14"/>
      <c r="Y460" s="14"/>
      <c r="Z460" s="14"/>
      <c r="AA460" s="14"/>
      <c r="AB460" s="15"/>
      <c r="AC460" s="15"/>
      <c r="AD460" s="13"/>
      <c r="AE460" s="13"/>
      <c r="AF460" s="12"/>
      <c r="AG460" s="12"/>
      <c r="AH460" s="13"/>
      <c r="AI460" s="13"/>
      <c r="AJ460" s="11"/>
      <c r="AK460" s="11"/>
      <c r="AL460" s="11"/>
      <c r="AM460" s="11"/>
      <c r="AN460" s="11"/>
      <c r="AO460" s="11"/>
      <c r="AP460" s="11"/>
      <c r="AQ460" s="11"/>
      <c r="AR460" s="16"/>
      <c r="AS460" s="16"/>
      <c r="AT460" s="16"/>
      <c r="AU460" s="7"/>
      <c r="AV460" s="7"/>
      <c r="AW460" s="7"/>
      <c r="AX460" s="7"/>
      <c r="AY460" s="11"/>
      <c r="AZ460" s="16"/>
      <c r="BA460" s="16"/>
      <c r="BB460" s="16"/>
      <c r="BC460" s="11"/>
      <c r="BD460" s="11"/>
      <c r="BE460" s="11"/>
      <c r="BF460" s="11"/>
      <c r="BG460" s="11"/>
      <c r="BH460" s="11"/>
      <c r="BI460" s="13"/>
      <c r="BJ460" s="13"/>
      <c r="BK460" s="11"/>
      <c r="BL460" s="12"/>
      <c r="BM460" s="12"/>
      <c r="BN460" s="13"/>
      <c r="BO460" s="13"/>
      <c r="BP460" s="15"/>
      <c r="BQ460" s="15"/>
      <c r="BR460" s="14"/>
      <c r="BS460" s="14"/>
      <c r="BT460" s="14"/>
      <c r="BU460" s="14"/>
      <c r="BV460" s="11"/>
      <c r="BW460" s="11"/>
      <c r="BX460" s="11"/>
      <c r="BY460" s="11"/>
      <c r="BZ460" s="7"/>
      <c r="CA460" s="7"/>
      <c r="CB460" s="7"/>
      <c r="CC460" s="7"/>
      <c r="CD460" s="7"/>
      <c r="CE460" s="3"/>
      <c r="CF460" s="7"/>
      <c r="CG460" s="3"/>
      <c r="CH460" s="7"/>
      <c r="CI460" s="7"/>
      <c r="CJ460" s="3"/>
      <c r="CK460" s="7"/>
      <c r="CL460" s="3"/>
      <c r="CM460" s="62"/>
      <c r="CN460" s="10"/>
      <c r="CO460" s="10"/>
      <c r="CP460" s="62"/>
      <c r="CQ460" s="17"/>
      <c r="CR460" s="4"/>
      <c r="CS460" s="12"/>
      <c r="CT460" s="18"/>
      <c r="CU460" s="3"/>
      <c r="CV460" s="18"/>
      <c r="CW460" s="7"/>
      <c r="CX460" s="18"/>
      <c r="CY460" s="7"/>
      <c r="CZ460" s="18"/>
      <c r="DA460" s="3"/>
      <c r="DB460" s="18"/>
      <c r="DC460" s="11"/>
      <c r="DD460" s="18"/>
      <c r="DE460" s="7"/>
      <c r="DF460" s="7"/>
      <c r="DG460" s="7"/>
      <c r="DH460" s="3"/>
      <c r="DI460" s="3"/>
      <c r="DJ460" s="3"/>
      <c r="DK460" s="3"/>
      <c r="DL460" s="3"/>
      <c r="DM460" s="3"/>
      <c r="DN460" s="3"/>
      <c r="DO460" s="3"/>
      <c r="DP460" s="3"/>
      <c r="DQ460" s="28"/>
      <c r="DR460" s="32"/>
      <c r="DS460" s="32"/>
      <c r="DT460" s="32"/>
      <c r="DU460" s="69"/>
    </row>
    <row r="461" spans="1:125" x14ac:dyDescent="0.25">
      <c r="A461" t="s">
        <v>150</v>
      </c>
      <c r="B461" s="2">
        <v>44840</v>
      </c>
      <c r="C461" s="1">
        <v>50</v>
      </c>
      <c r="D461">
        <v>154</v>
      </c>
      <c r="M461" s="3"/>
      <c r="N461" s="3"/>
      <c r="O461" s="3"/>
      <c r="P461" s="7"/>
      <c r="Q461" s="7"/>
      <c r="R461" s="7"/>
      <c r="S461" s="7"/>
      <c r="T461" s="11"/>
      <c r="U461" s="11"/>
      <c r="V461" s="11"/>
      <c r="W461" s="11"/>
      <c r="X461" s="14"/>
      <c r="Y461" s="14"/>
      <c r="Z461" s="14"/>
      <c r="AA461" s="14"/>
      <c r="AB461" s="15"/>
      <c r="AC461" s="15"/>
      <c r="AD461" s="13"/>
      <c r="AE461" s="13"/>
      <c r="AF461" s="12"/>
      <c r="AG461" s="12"/>
      <c r="AH461" s="13"/>
      <c r="AI461" s="13"/>
      <c r="AJ461" s="11"/>
      <c r="AK461" s="11"/>
      <c r="AL461" s="11"/>
      <c r="AM461" s="11"/>
      <c r="AN461" s="11"/>
      <c r="AO461" s="11"/>
      <c r="AP461" s="11"/>
      <c r="AQ461" s="11"/>
      <c r="AR461" s="16"/>
      <c r="AS461" s="16"/>
      <c r="AT461" s="16"/>
      <c r="AU461" s="7"/>
      <c r="AV461" s="7"/>
      <c r="AW461" s="7"/>
      <c r="AX461" s="7"/>
      <c r="AY461" s="11"/>
      <c r="AZ461" s="16"/>
      <c r="BA461" s="16"/>
      <c r="BB461" s="16"/>
      <c r="BC461" s="11"/>
      <c r="BD461" s="11"/>
      <c r="BE461" s="11"/>
      <c r="BF461" s="11"/>
      <c r="BG461" s="11"/>
      <c r="BH461" s="11"/>
      <c r="BI461" s="13"/>
      <c r="BJ461" s="13"/>
      <c r="BK461" s="11"/>
      <c r="BL461" s="12"/>
      <c r="BM461" s="12"/>
      <c r="BN461" s="13"/>
      <c r="BO461" s="13"/>
      <c r="BP461" s="15"/>
      <c r="BQ461" s="15"/>
      <c r="BR461" s="14"/>
      <c r="BS461" s="14"/>
      <c r="BT461" s="14"/>
      <c r="BU461" s="14"/>
      <c r="BV461" s="11"/>
      <c r="BW461" s="11"/>
      <c r="BX461" s="11"/>
      <c r="BY461" s="11"/>
      <c r="BZ461" s="7"/>
      <c r="CA461" s="7"/>
      <c r="CB461" s="7"/>
      <c r="CC461" s="7"/>
      <c r="CD461" s="7"/>
      <c r="CE461" s="3"/>
      <c r="CF461" s="7"/>
      <c r="CG461" s="3"/>
      <c r="CH461" s="7"/>
      <c r="CI461" s="7"/>
      <c r="CJ461" s="3"/>
      <c r="CK461" s="7"/>
      <c r="CL461" s="3"/>
      <c r="CM461" s="7"/>
      <c r="CN461" s="10"/>
      <c r="CO461" s="10"/>
      <c r="CP461" s="7"/>
      <c r="CQ461" s="17"/>
      <c r="CR461" s="4"/>
      <c r="CS461" s="12"/>
      <c r="CT461" s="18"/>
      <c r="CU461" s="3"/>
      <c r="CV461" s="18"/>
      <c r="CW461" s="7"/>
      <c r="CX461" s="18"/>
      <c r="CY461" s="7"/>
      <c r="CZ461" s="18"/>
      <c r="DA461" s="3"/>
      <c r="DB461" s="18"/>
      <c r="DC461" s="11"/>
      <c r="DD461" s="18"/>
      <c r="DE461" s="7"/>
      <c r="DF461" s="7"/>
      <c r="DG461" s="7"/>
      <c r="DH461" s="3"/>
      <c r="DI461" s="3"/>
      <c r="DJ461" s="3"/>
      <c r="DK461" s="3"/>
      <c r="DL461" s="3"/>
      <c r="DM461" s="3"/>
      <c r="DN461" s="3"/>
      <c r="DO461" s="3"/>
      <c r="DP461" s="3"/>
      <c r="DQ461" s="28"/>
      <c r="DR461" s="32"/>
      <c r="DS461" s="32"/>
      <c r="DT461" s="32"/>
      <c r="DU461" s="69"/>
    </row>
    <row r="462" spans="1:125" x14ac:dyDescent="0.25">
      <c r="A462" t="s">
        <v>150</v>
      </c>
      <c r="B462" s="2">
        <v>44861</v>
      </c>
      <c r="C462" s="1">
        <v>50</v>
      </c>
      <c r="D462">
        <v>154</v>
      </c>
      <c r="M462" s="3"/>
      <c r="N462" s="3"/>
      <c r="O462" s="3"/>
      <c r="P462" s="7"/>
      <c r="Q462" s="7"/>
      <c r="R462" s="7"/>
      <c r="S462" s="7"/>
      <c r="T462" s="11"/>
      <c r="U462" s="11"/>
      <c r="V462" s="11"/>
      <c r="W462" s="11"/>
      <c r="X462" s="14"/>
      <c r="Y462" s="14"/>
      <c r="Z462" s="14"/>
      <c r="AA462" s="14"/>
      <c r="AB462" s="15"/>
      <c r="AC462" s="15"/>
      <c r="AD462" s="13"/>
      <c r="AE462" s="13"/>
      <c r="AF462" s="12"/>
      <c r="AG462" s="12"/>
      <c r="AH462" s="13"/>
      <c r="AI462" s="13"/>
      <c r="AJ462" s="11"/>
      <c r="AK462" s="11"/>
      <c r="AL462" s="11"/>
      <c r="AM462" s="11"/>
      <c r="AN462" s="11"/>
      <c r="AO462" s="11"/>
      <c r="AP462" s="11"/>
      <c r="AQ462" s="11"/>
      <c r="AR462" s="16"/>
      <c r="AS462" s="16"/>
      <c r="AT462" s="16"/>
      <c r="AU462" s="7"/>
      <c r="AV462" s="7"/>
      <c r="AW462" s="7"/>
      <c r="AX462" s="7"/>
      <c r="AY462" s="11"/>
      <c r="AZ462" s="16"/>
      <c r="BA462" s="16"/>
      <c r="BB462" s="16"/>
      <c r="BC462" s="11"/>
      <c r="BD462" s="11"/>
      <c r="BE462" s="11"/>
      <c r="BF462" s="11"/>
      <c r="BG462" s="11"/>
      <c r="BH462" s="11"/>
      <c r="BI462" s="13"/>
      <c r="BJ462" s="13"/>
      <c r="BK462" s="11"/>
      <c r="BL462" s="12"/>
      <c r="BM462" s="12"/>
      <c r="BN462" s="13"/>
      <c r="BO462" s="13"/>
      <c r="BP462" s="15"/>
      <c r="BQ462" s="15"/>
      <c r="BR462" s="14"/>
      <c r="BS462" s="14"/>
      <c r="BT462" s="14"/>
      <c r="BU462" s="14"/>
      <c r="BV462" s="11"/>
      <c r="BW462" s="11"/>
      <c r="BX462" s="11"/>
      <c r="BY462" s="11"/>
      <c r="BZ462" s="7"/>
      <c r="CA462" s="7"/>
      <c r="CB462" s="7"/>
      <c r="CC462" s="7"/>
      <c r="CD462" s="7"/>
      <c r="CE462" s="3"/>
      <c r="CF462" s="7"/>
      <c r="CG462" s="3"/>
      <c r="CH462" s="7"/>
      <c r="CI462" s="7"/>
      <c r="CJ462" s="3"/>
      <c r="CK462" s="7"/>
      <c r="CL462" s="3"/>
      <c r="CM462" s="7"/>
      <c r="CN462" s="10"/>
      <c r="CO462" s="10"/>
      <c r="CP462" s="7"/>
      <c r="CQ462" s="17"/>
      <c r="CR462" s="4"/>
      <c r="CS462" s="12"/>
      <c r="CT462" s="18"/>
      <c r="CU462" s="3"/>
      <c r="CV462" s="18"/>
      <c r="CW462" s="7"/>
      <c r="CX462" s="18"/>
      <c r="CY462" s="7"/>
      <c r="CZ462" s="18"/>
      <c r="DA462" s="3"/>
      <c r="DB462" s="18"/>
      <c r="DC462" s="11"/>
      <c r="DD462" s="18"/>
      <c r="DE462" s="7"/>
      <c r="DF462" s="7"/>
      <c r="DG462" s="7"/>
      <c r="DH462" s="3"/>
      <c r="DI462" s="3"/>
      <c r="DJ462" s="3"/>
      <c r="DK462" s="3"/>
      <c r="DL462" s="3"/>
      <c r="DM462" s="3"/>
      <c r="DN462" s="3"/>
      <c r="DO462" s="3"/>
      <c r="DP462" s="3"/>
      <c r="DQ462" s="28"/>
      <c r="DR462" s="32"/>
      <c r="DS462" s="32"/>
      <c r="DT462" s="32"/>
      <c r="DU462" s="69"/>
    </row>
    <row r="463" spans="1:125" x14ac:dyDescent="0.25">
      <c r="A463" t="s">
        <v>150</v>
      </c>
      <c r="B463" s="2">
        <v>44924</v>
      </c>
      <c r="C463" s="1">
        <v>50</v>
      </c>
      <c r="D463">
        <v>154</v>
      </c>
      <c r="M463" s="3"/>
      <c r="N463" s="3"/>
      <c r="O463" s="3"/>
      <c r="P463" s="7"/>
      <c r="Q463" s="7"/>
      <c r="R463" s="7"/>
      <c r="S463" s="7"/>
      <c r="T463" s="11"/>
      <c r="U463" s="11"/>
      <c r="V463" s="11"/>
      <c r="W463" s="11"/>
      <c r="X463" s="14"/>
      <c r="Y463" s="14"/>
      <c r="Z463" s="14"/>
      <c r="AA463" s="14"/>
      <c r="AB463" s="15"/>
      <c r="AC463" s="15"/>
      <c r="AD463" s="13"/>
      <c r="AE463" s="13"/>
      <c r="AF463" s="12"/>
      <c r="AG463" s="12"/>
      <c r="AH463" s="13"/>
      <c r="AI463" s="13"/>
      <c r="AJ463" s="11"/>
      <c r="AK463" s="11"/>
      <c r="AL463" s="11"/>
      <c r="AM463" s="11"/>
      <c r="AN463" s="11"/>
      <c r="AO463" s="11"/>
      <c r="AP463" s="11"/>
      <c r="AQ463" s="11"/>
      <c r="AR463" s="16"/>
      <c r="AS463" s="16"/>
      <c r="AT463" s="16"/>
      <c r="AU463" s="7"/>
      <c r="AV463" s="7"/>
      <c r="AW463" s="7"/>
      <c r="AX463" s="7"/>
      <c r="AY463" s="11"/>
      <c r="AZ463" s="16"/>
      <c r="BA463" s="16"/>
      <c r="BB463" s="16"/>
      <c r="BC463" s="11"/>
      <c r="BD463" s="11"/>
      <c r="BE463" s="11"/>
      <c r="BF463" s="11"/>
      <c r="BG463" s="11"/>
      <c r="BH463" s="11"/>
      <c r="BI463" s="13"/>
      <c r="BJ463" s="13"/>
      <c r="BK463" s="11"/>
      <c r="BL463" s="12"/>
      <c r="BM463" s="12"/>
      <c r="BN463" s="13"/>
      <c r="BO463" s="13"/>
      <c r="BP463" s="15"/>
      <c r="BQ463" s="15"/>
      <c r="BR463" s="14"/>
      <c r="BS463" s="14"/>
      <c r="BT463" s="14"/>
      <c r="BU463" s="14"/>
      <c r="BV463" s="11"/>
      <c r="BW463" s="11"/>
      <c r="BX463" s="11"/>
      <c r="BY463" s="11"/>
      <c r="BZ463" s="7"/>
      <c r="CA463" s="7"/>
      <c r="CB463" s="7"/>
      <c r="CC463" s="7"/>
      <c r="CD463" s="7"/>
      <c r="CE463" s="3"/>
      <c r="CF463" s="7"/>
      <c r="CG463" s="3"/>
      <c r="CH463" s="7"/>
      <c r="CI463" s="7"/>
      <c r="CJ463" s="3"/>
      <c r="CK463" s="7"/>
      <c r="CL463" s="3"/>
      <c r="CM463" s="7"/>
      <c r="CN463" s="10"/>
      <c r="CO463" s="10"/>
      <c r="CP463" s="7"/>
      <c r="CQ463" s="17"/>
      <c r="CR463" s="4"/>
      <c r="CS463" s="12"/>
      <c r="CT463" s="18"/>
      <c r="CU463" s="3"/>
      <c r="CV463" s="18"/>
      <c r="CW463" s="7"/>
      <c r="CX463" s="18"/>
      <c r="CY463" s="7"/>
      <c r="CZ463" s="18"/>
      <c r="DA463" s="3"/>
      <c r="DB463" s="18"/>
      <c r="DC463" s="11"/>
      <c r="DD463" s="18"/>
      <c r="DE463" s="7"/>
      <c r="DF463" s="7"/>
      <c r="DG463" s="7"/>
      <c r="DH463" s="3"/>
      <c r="DI463" s="3"/>
      <c r="DJ463" s="3"/>
      <c r="DK463" s="3"/>
      <c r="DL463" s="3"/>
      <c r="DM463" s="3"/>
      <c r="DN463" s="3"/>
      <c r="DO463" s="3"/>
      <c r="DP463" s="3"/>
      <c r="DQ463" s="28"/>
      <c r="DR463" s="32"/>
      <c r="DS463" s="32"/>
      <c r="DT463" s="32"/>
      <c r="DU463" s="69"/>
    </row>
    <row r="464" spans="1:125" x14ac:dyDescent="0.25">
      <c r="A464" t="s">
        <v>150</v>
      </c>
      <c r="B464" s="2">
        <v>45015</v>
      </c>
      <c r="C464" s="1">
        <v>50</v>
      </c>
      <c r="D464">
        <v>154</v>
      </c>
      <c r="M464" s="3"/>
      <c r="N464" s="3"/>
      <c r="O464" s="3"/>
      <c r="P464" s="7"/>
      <c r="Q464" s="7"/>
      <c r="R464" s="7"/>
      <c r="S464" s="7"/>
      <c r="T464" s="11"/>
      <c r="U464" s="11"/>
      <c r="V464" s="11"/>
      <c r="W464" s="11"/>
      <c r="X464" s="14"/>
      <c r="Y464" s="14"/>
      <c r="Z464" s="14"/>
      <c r="AA464" s="14"/>
      <c r="AB464" s="15"/>
      <c r="AC464" s="15"/>
      <c r="AD464" s="13"/>
      <c r="AE464" s="13"/>
      <c r="AF464" s="12"/>
      <c r="AG464" s="12"/>
      <c r="AH464" s="13"/>
      <c r="AI464" s="13"/>
      <c r="AJ464" s="11"/>
      <c r="AK464" s="11"/>
      <c r="AL464" s="11"/>
      <c r="AM464" s="11"/>
      <c r="AN464" s="11"/>
      <c r="AO464" s="11"/>
      <c r="AP464" s="11"/>
      <c r="AQ464" s="11"/>
      <c r="AR464" s="16"/>
      <c r="AS464" s="16"/>
      <c r="AT464" s="16"/>
      <c r="AU464" s="7"/>
      <c r="AV464" s="7"/>
      <c r="AW464" s="7"/>
      <c r="AX464" s="7"/>
      <c r="AY464" s="11"/>
      <c r="AZ464" s="16"/>
      <c r="BA464" s="16"/>
      <c r="BB464" s="16"/>
      <c r="BC464" s="11"/>
      <c r="BD464" s="11"/>
      <c r="BE464" s="11"/>
      <c r="BF464" s="11"/>
      <c r="BG464" s="11"/>
      <c r="BH464" s="11"/>
      <c r="BI464" s="13"/>
      <c r="BJ464" s="13"/>
      <c r="BK464" s="11"/>
      <c r="BL464" s="12"/>
      <c r="BM464" s="12"/>
      <c r="BN464" s="13"/>
      <c r="BO464" s="13"/>
      <c r="BP464" s="15"/>
      <c r="BQ464" s="15"/>
      <c r="BR464" s="14"/>
      <c r="BS464" s="14"/>
      <c r="BT464" s="14"/>
      <c r="BU464" s="14"/>
      <c r="BV464" s="11"/>
      <c r="BW464" s="11"/>
      <c r="BX464" s="11"/>
      <c r="BY464" s="11"/>
      <c r="BZ464" s="7"/>
      <c r="CA464" s="7"/>
      <c r="CB464" s="7"/>
      <c r="CC464" s="7"/>
      <c r="CD464" s="7"/>
      <c r="CE464" s="3"/>
      <c r="CF464" s="7"/>
      <c r="CG464" s="3"/>
      <c r="CH464" s="7"/>
      <c r="CI464" s="7"/>
      <c r="CJ464" s="3"/>
      <c r="CK464" s="7"/>
      <c r="CL464" s="3"/>
      <c r="CM464" s="7"/>
      <c r="CN464" s="10"/>
      <c r="CO464" s="10"/>
      <c r="CP464" s="7"/>
      <c r="CQ464" s="17"/>
      <c r="CR464" s="4"/>
      <c r="CS464" s="12"/>
      <c r="CT464" s="18"/>
      <c r="CU464" s="3"/>
      <c r="CV464" s="18"/>
      <c r="CW464" s="7"/>
      <c r="CX464" s="18"/>
      <c r="CY464" s="7"/>
      <c r="CZ464" s="18"/>
      <c r="DA464" s="3"/>
      <c r="DB464" s="18"/>
      <c r="DC464" s="11"/>
      <c r="DD464" s="18"/>
      <c r="DE464" s="7"/>
      <c r="DF464" s="7"/>
      <c r="DG464" s="7"/>
      <c r="DH464" s="3"/>
      <c r="DI464" s="3"/>
      <c r="DJ464" s="3"/>
      <c r="DK464" s="3"/>
      <c r="DL464" s="3"/>
      <c r="DM464" s="3"/>
      <c r="DN464" s="3"/>
      <c r="DO464" s="3"/>
      <c r="DP464" s="3"/>
      <c r="DQ464" s="28"/>
      <c r="DR464" s="32"/>
      <c r="DS464" s="32"/>
      <c r="DT464" s="32"/>
      <c r="DU464" s="69"/>
    </row>
    <row r="465" spans="1:125" x14ac:dyDescent="0.25">
      <c r="A465" t="s">
        <v>150</v>
      </c>
      <c r="B465" s="2">
        <v>45106</v>
      </c>
      <c r="C465" s="1">
        <v>50</v>
      </c>
      <c r="D465">
        <v>154</v>
      </c>
      <c r="M465" s="3"/>
      <c r="N465" s="3"/>
      <c r="O465" s="3"/>
      <c r="P465" s="7"/>
      <c r="Q465" s="7"/>
      <c r="R465" s="7"/>
      <c r="S465" s="7"/>
      <c r="T465" s="11"/>
      <c r="U465" s="11"/>
      <c r="V465" s="11"/>
      <c r="W465" s="11"/>
      <c r="X465" s="14"/>
      <c r="Y465" s="14"/>
      <c r="Z465" s="14"/>
      <c r="AA465" s="14"/>
      <c r="AB465" s="15"/>
      <c r="AC465" s="15"/>
      <c r="AD465" s="13"/>
      <c r="AE465" s="13"/>
      <c r="AF465" s="12"/>
      <c r="AG465" s="12"/>
      <c r="AH465" s="13"/>
      <c r="AI465" s="13"/>
      <c r="AJ465" s="11"/>
      <c r="AK465" s="11"/>
      <c r="AL465" s="11"/>
      <c r="AM465" s="11"/>
      <c r="AN465" s="11"/>
      <c r="AO465" s="11"/>
      <c r="AP465" s="11"/>
      <c r="AQ465" s="11"/>
      <c r="AR465" s="16"/>
      <c r="AS465" s="16"/>
      <c r="AT465" s="16"/>
      <c r="AU465" s="7"/>
      <c r="AV465" s="7"/>
      <c r="AW465" s="7"/>
      <c r="AX465" s="7"/>
      <c r="AY465" s="11"/>
      <c r="AZ465" s="16"/>
      <c r="BA465" s="16"/>
      <c r="BB465" s="16"/>
      <c r="BC465" s="11"/>
      <c r="BD465" s="11"/>
      <c r="BE465" s="11"/>
      <c r="BF465" s="11"/>
      <c r="BG465" s="11"/>
      <c r="BH465" s="11"/>
      <c r="BI465" s="13"/>
      <c r="BJ465" s="13"/>
      <c r="BK465" s="11"/>
      <c r="BL465" s="12"/>
      <c r="BM465" s="12"/>
      <c r="BN465" s="13"/>
      <c r="BO465" s="13"/>
      <c r="BP465" s="15"/>
      <c r="BQ465" s="15"/>
      <c r="BR465" s="14"/>
      <c r="BS465" s="14"/>
      <c r="BT465" s="14"/>
      <c r="BU465" s="14"/>
      <c r="BV465" s="11"/>
      <c r="BW465" s="11"/>
      <c r="BX465" s="11"/>
      <c r="BY465" s="11"/>
      <c r="BZ465" s="7"/>
      <c r="CA465" s="7"/>
      <c r="CB465" s="7"/>
      <c r="CC465" s="7"/>
      <c r="CD465" s="7"/>
      <c r="CE465" s="3"/>
      <c r="CF465" s="7"/>
      <c r="CG465" s="3"/>
      <c r="CH465" s="7"/>
      <c r="CI465" s="7"/>
      <c r="CJ465" s="3"/>
      <c r="CK465" s="7"/>
      <c r="CL465" s="3"/>
      <c r="CM465" s="7"/>
      <c r="CN465" s="10"/>
      <c r="CO465" s="10"/>
      <c r="CP465" s="7"/>
      <c r="CQ465" s="17"/>
      <c r="CR465" s="4"/>
      <c r="CS465" s="12"/>
      <c r="CT465" s="18"/>
      <c r="CU465" s="3"/>
      <c r="CV465" s="18"/>
      <c r="CW465" s="7"/>
      <c r="CX465" s="18"/>
      <c r="CY465" s="7"/>
      <c r="CZ465" s="18"/>
      <c r="DA465" s="3"/>
      <c r="DB465" s="18"/>
      <c r="DC465" s="11"/>
      <c r="DD465" s="18"/>
      <c r="DE465" s="7"/>
      <c r="DF465" s="7"/>
      <c r="DG465" s="7"/>
      <c r="DH465" s="3"/>
      <c r="DI465" s="3"/>
      <c r="DJ465" s="3"/>
      <c r="DK465" s="3"/>
      <c r="DL465" s="3"/>
      <c r="DM465" s="3"/>
      <c r="DN465" s="3"/>
      <c r="DO465" s="3"/>
      <c r="DP465" s="3"/>
      <c r="DQ465" s="28"/>
      <c r="DR465" s="32"/>
      <c r="DS465" s="32"/>
      <c r="DT465" s="32"/>
      <c r="DU465" s="69"/>
    </row>
    <row r="466" spans="1:125" x14ac:dyDescent="0.25">
      <c r="A466" t="s">
        <v>150</v>
      </c>
      <c r="B466" s="2">
        <v>45288</v>
      </c>
      <c r="C466" s="1">
        <v>50</v>
      </c>
      <c r="D466">
        <v>154</v>
      </c>
      <c r="M466" s="3"/>
      <c r="N466" s="3"/>
      <c r="O466" s="3"/>
      <c r="P466" s="7"/>
      <c r="Q466" s="7"/>
      <c r="R466" s="7"/>
      <c r="S466" s="7"/>
      <c r="T466" s="11"/>
      <c r="U466" s="11"/>
      <c r="V466" s="11"/>
      <c r="W466" s="11"/>
      <c r="X466" s="14"/>
      <c r="Y466" s="14"/>
      <c r="Z466" s="14"/>
      <c r="AA466" s="14"/>
      <c r="AB466" s="15"/>
      <c r="AC466" s="15"/>
      <c r="AD466" s="13"/>
      <c r="AE466" s="13"/>
      <c r="AF466" s="12"/>
      <c r="AG466" s="12"/>
      <c r="AH466" s="13"/>
      <c r="AI466" s="13"/>
      <c r="AJ466" s="11"/>
      <c r="AK466" s="11"/>
      <c r="AL466" s="11"/>
      <c r="AM466" s="11"/>
      <c r="AN466" s="11"/>
      <c r="AO466" s="11"/>
      <c r="AP466" s="11"/>
      <c r="AQ466" s="11"/>
      <c r="AR466" s="16"/>
      <c r="AS466" s="16"/>
      <c r="AT466" s="16"/>
      <c r="AU466" s="7"/>
      <c r="AV466" s="7"/>
      <c r="AW466" s="7"/>
      <c r="AX466" s="7"/>
      <c r="AY466" s="11"/>
      <c r="AZ466" s="16"/>
      <c r="BA466" s="16"/>
      <c r="BB466" s="16"/>
      <c r="BC466" s="11"/>
      <c r="BD466" s="11"/>
      <c r="BE466" s="11"/>
      <c r="BF466" s="11"/>
      <c r="BG466" s="11"/>
      <c r="BH466" s="11"/>
      <c r="BI466" s="13"/>
      <c r="BJ466" s="13"/>
      <c r="BK466" s="11"/>
      <c r="BL466" s="12"/>
      <c r="BM466" s="12"/>
      <c r="BN466" s="13"/>
      <c r="BO466" s="13"/>
      <c r="BP466" s="15"/>
      <c r="BQ466" s="15"/>
      <c r="BR466" s="14"/>
      <c r="BS466" s="14"/>
      <c r="BT466" s="14"/>
      <c r="BU466" s="14"/>
      <c r="BV466" s="11"/>
      <c r="BW466" s="11"/>
      <c r="BX466" s="11"/>
      <c r="BY466" s="11"/>
      <c r="BZ466" s="7"/>
      <c r="CA466" s="7"/>
      <c r="CB466" s="7"/>
      <c r="CC466" s="7"/>
      <c r="CD466" s="7"/>
      <c r="CE466" s="3"/>
      <c r="CF466" s="7"/>
      <c r="CG466" s="3"/>
      <c r="CH466" s="7"/>
      <c r="CI466" s="7"/>
      <c r="CJ466" s="3"/>
      <c r="CK466" s="7"/>
      <c r="CL466" s="3"/>
      <c r="CM466" s="7"/>
      <c r="CN466" s="10"/>
      <c r="CO466" s="10"/>
      <c r="CP466" s="7"/>
      <c r="CQ466" s="17"/>
      <c r="CR466" s="4"/>
      <c r="CS466" s="12"/>
      <c r="CT466" s="18"/>
      <c r="CU466" s="3"/>
      <c r="CV466" s="18"/>
      <c r="CW466" s="7"/>
      <c r="CX466" s="18"/>
      <c r="CY466" s="7"/>
      <c r="CZ466" s="18"/>
      <c r="DA466" s="3"/>
      <c r="DB466" s="18"/>
      <c r="DC466" s="11"/>
      <c r="DD466" s="18"/>
      <c r="DE466" s="7"/>
      <c r="DF466" s="7"/>
      <c r="DG466" s="7"/>
      <c r="DH466" s="3"/>
      <c r="DI466" s="3"/>
      <c r="DJ466" s="3"/>
      <c r="DK466" s="3"/>
      <c r="DL466" s="3"/>
      <c r="DM466" s="3"/>
      <c r="DN466" s="3"/>
      <c r="DO466" s="3"/>
      <c r="DP466" s="3"/>
      <c r="DQ466" s="28"/>
      <c r="DR466" s="32"/>
      <c r="DS466" s="32"/>
      <c r="DT466" s="32"/>
      <c r="DU466" s="69"/>
    </row>
    <row r="467" spans="1:125" x14ac:dyDescent="0.25">
      <c r="A467" t="s">
        <v>150</v>
      </c>
      <c r="B467" s="2">
        <v>45470</v>
      </c>
      <c r="C467" s="1">
        <v>50</v>
      </c>
      <c r="D467">
        <v>154</v>
      </c>
      <c r="M467" s="3"/>
      <c r="N467" s="3"/>
      <c r="O467" s="3"/>
      <c r="P467" s="7"/>
      <c r="Q467" s="7"/>
      <c r="R467" s="7"/>
      <c r="S467" s="7"/>
      <c r="T467" s="11"/>
      <c r="U467" s="11"/>
      <c r="V467" s="11"/>
      <c r="W467" s="11"/>
      <c r="X467" s="14"/>
      <c r="Y467" s="14"/>
      <c r="Z467" s="14"/>
      <c r="AA467" s="14"/>
      <c r="AB467" s="15"/>
      <c r="AC467" s="15"/>
      <c r="AD467" s="13"/>
      <c r="AE467" s="13"/>
      <c r="AF467" s="12"/>
      <c r="AG467" s="12"/>
      <c r="AH467" s="13"/>
      <c r="AI467" s="13"/>
      <c r="AJ467" s="11"/>
      <c r="AK467" s="11"/>
      <c r="AL467" s="11"/>
      <c r="AM467" s="11"/>
      <c r="AN467" s="11"/>
      <c r="AO467" s="11"/>
      <c r="AP467" s="11"/>
      <c r="AQ467" s="11"/>
      <c r="AR467" s="16"/>
      <c r="AS467" s="16"/>
      <c r="AT467" s="16"/>
      <c r="AU467" s="7"/>
      <c r="AV467" s="7"/>
      <c r="AW467" s="7"/>
      <c r="AX467" s="7"/>
      <c r="AY467" s="11"/>
      <c r="AZ467" s="16"/>
      <c r="BA467" s="16"/>
      <c r="BB467" s="16"/>
      <c r="BC467" s="11"/>
      <c r="BD467" s="11"/>
      <c r="BE467" s="11"/>
      <c r="BF467" s="11"/>
      <c r="BG467" s="11"/>
      <c r="BH467" s="11"/>
      <c r="BI467" s="13"/>
      <c r="BJ467" s="13"/>
      <c r="BK467" s="11"/>
      <c r="BL467" s="12"/>
      <c r="BM467" s="12"/>
      <c r="BN467" s="13"/>
      <c r="BO467" s="13"/>
      <c r="BP467" s="15"/>
      <c r="BQ467" s="15"/>
      <c r="BR467" s="14"/>
      <c r="BS467" s="14"/>
      <c r="BT467" s="14"/>
      <c r="BU467" s="14"/>
      <c r="BV467" s="11"/>
      <c r="BW467" s="11"/>
      <c r="BX467" s="11"/>
      <c r="BY467" s="11"/>
      <c r="BZ467" s="7"/>
      <c r="CA467" s="7"/>
      <c r="CB467" s="7"/>
      <c r="CC467" s="7"/>
      <c r="CD467" s="7"/>
      <c r="CE467" s="3"/>
      <c r="CF467" s="7"/>
      <c r="CG467" s="3"/>
      <c r="CH467" s="7"/>
      <c r="CI467" s="7"/>
      <c r="CJ467" s="3"/>
      <c r="CK467" s="7"/>
      <c r="CL467" s="3"/>
      <c r="CM467" s="7"/>
      <c r="CN467" s="10"/>
      <c r="CO467" s="10"/>
      <c r="CP467" s="7"/>
      <c r="CQ467" s="17"/>
      <c r="CR467" s="4"/>
      <c r="CS467" s="12"/>
      <c r="CT467" s="18"/>
      <c r="CU467" s="3"/>
      <c r="CV467" s="18"/>
      <c r="CW467" s="7"/>
      <c r="CX467" s="18"/>
      <c r="CY467" s="7"/>
      <c r="CZ467" s="18"/>
      <c r="DA467" s="3"/>
      <c r="DB467" s="18"/>
      <c r="DC467" s="11"/>
      <c r="DD467" s="18"/>
      <c r="DE467" s="7"/>
      <c r="DF467" s="7"/>
      <c r="DG467" s="7"/>
      <c r="DH467" s="3"/>
      <c r="DI467" s="3"/>
      <c r="DJ467" s="3"/>
      <c r="DK467" s="3"/>
      <c r="DL467" s="3"/>
      <c r="DM467" s="3"/>
      <c r="DN467" s="3"/>
      <c r="DO467" s="3"/>
      <c r="DP467" s="3"/>
      <c r="DQ467" s="28"/>
      <c r="DR467" s="32"/>
      <c r="DS467" s="32"/>
      <c r="DT467" s="32"/>
      <c r="DU467" s="69"/>
    </row>
    <row r="468" spans="1:125" x14ac:dyDescent="0.25">
      <c r="A468" t="s">
        <v>150</v>
      </c>
      <c r="B468" s="2">
        <v>45652</v>
      </c>
      <c r="C468" s="1">
        <v>50</v>
      </c>
      <c r="D468">
        <v>154</v>
      </c>
      <c r="M468" s="3"/>
      <c r="N468" s="3"/>
      <c r="O468" s="3"/>
      <c r="P468" s="7"/>
      <c r="Q468" s="7"/>
      <c r="R468" s="7"/>
      <c r="S468" s="7"/>
      <c r="T468" s="11"/>
      <c r="U468" s="11"/>
      <c r="V468" s="11"/>
      <c r="W468" s="11"/>
      <c r="X468" s="14"/>
      <c r="Y468" s="14"/>
      <c r="Z468" s="14"/>
      <c r="AA468" s="14"/>
      <c r="AB468" s="15"/>
      <c r="AC468" s="15"/>
      <c r="AD468" s="13"/>
      <c r="AE468" s="13"/>
      <c r="AF468" s="12"/>
      <c r="AG468" s="12"/>
      <c r="AH468" s="13"/>
      <c r="AI468" s="13"/>
      <c r="AJ468" s="11"/>
      <c r="AK468" s="11"/>
      <c r="AL468" s="11"/>
      <c r="AM468" s="11"/>
      <c r="AN468" s="11"/>
      <c r="AO468" s="11"/>
      <c r="AP468" s="11"/>
      <c r="AQ468" s="11"/>
      <c r="AR468" s="16"/>
      <c r="AS468" s="16"/>
      <c r="AT468" s="16"/>
      <c r="AU468" s="7"/>
      <c r="AV468" s="7"/>
      <c r="AW468" s="7"/>
      <c r="AX468" s="7"/>
      <c r="AY468" s="11"/>
      <c r="AZ468" s="16"/>
      <c r="BA468" s="16"/>
      <c r="BB468" s="16"/>
      <c r="BC468" s="11"/>
      <c r="BD468" s="11"/>
      <c r="BE468" s="11"/>
      <c r="BF468" s="11"/>
      <c r="BG468" s="11"/>
      <c r="BH468" s="11"/>
      <c r="BI468" s="13"/>
      <c r="BJ468" s="13"/>
      <c r="BK468" s="11"/>
      <c r="BL468" s="12"/>
      <c r="BM468" s="12"/>
      <c r="BN468" s="13"/>
      <c r="BO468" s="13"/>
      <c r="BP468" s="15"/>
      <c r="BQ468" s="15"/>
      <c r="BR468" s="14"/>
      <c r="BS468" s="14"/>
      <c r="BT468" s="14"/>
      <c r="BU468" s="14"/>
      <c r="BV468" s="11"/>
      <c r="BW468" s="11"/>
      <c r="BX468" s="11"/>
      <c r="BY468" s="11"/>
      <c r="BZ468" s="7"/>
      <c r="CA468" s="7"/>
      <c r="CB468" s="7"/>
      <c r="CC468" s="7"/>
      <c r="CD468" s="7"/>
      <c r="CE468" s="3"/>
      <c r="CF468" s="7"/>
      <c r="CG468" s="3"/>
      <c r="CH468" s="7"/>
      <c r="CI468" s="7"/>
      <c r="CJ468" s="3"/>
      <c r="CK468" s="7"/>
      <c r="CL468" s="3"/>
      <c r="CM468" s="7"/>
      <c r="CN468" s="10"/>
      <c r="CO468" s="10"/>
      <c r="CP468" s="7"/>
      <c r="CQ468" s="17"/>
      <c r="CR468" s="4"/>
      <c r="CS468" s="12"/>
      <c r="CT468" s="18"/>
      <c r="CU468" s="3"/>
      <c r="CV468" s="18"/>
      <c r="CW468" s="7"/>
      <c r="CX468" s="18"/>
      <c r="CY468" s="7"/>
      <c r="CZ468" s="18"/>
      <c r="DA468" s="3"/>
      <c r="DB468" s="18"/>
      <c r="DC468" s="11"/>
      <c r="DD468" s="18"/>
      <c r="DE468" s="7"/>
      <c r="DF468" s="7"/>
      <c r="DG468" s="7"/>
      <c r="DH468" s="3"/>
      <c r="DI468" s="3"/>
      <c r="DJ468" s="3"/>
      <c r="DK468" s="3"/>
      <c r="DL468" s="3"/>
      <c r="DM468" s="3"/>
      <c r="DN468" s="3"/>
      <c r="DO468" s="3"/>
      <c r="DP468" s="3"/>
      <c r="DQ468" s="28"/>
      <c r="DR468" s="32"/>
      <c r="DS468" s="32"/>
      <c r="DT468" s="32"/>
      <c r="DU468" s="69"/>
    </row>
    <row r="469" spans="1:125" x14ac:dyDescent="0.25">
      <c r="A469" t="s">
        <v>150</v>
      </c>
      <c r="B469" s="2">
        <v>45834</v>
      </c>
      <c r="C469" s="1">
        <v>50</v>
      </c>
      <c r="D469">
        <v>154</v>
      </c>
      <c r="M469" s="3"/>
      <c r="N469" s="3"/>
      <c r="O469" s="3"/>
      <c r="P469" s="7"/>
      <c r="Q469" s="7"/>
      <c r="R469" s="7"/>
      <c r="S469" s="7"/>
      <c r="T469" s="11"/>
      <c r="U469" s="11"/>
      <c r="V469" s="11"/>
      <c r="W469" s="11"/>
      <c r="X469" s="14"/>
      <c r="Y469" s="14"/>
      <c r="Z469" s="14"/>
      <c r="AA469" s="14"/>
      <c r="AB469" s="15"/>
      <c r="AC469" s="15"/>
      <c r="AD469" s="13"/>
      <c r="AE469" s="13"/>
      <c r="AF469" s="12"/>
      <c r="AG469" s="12"/>
      <c r="AH469" s="13"/>
      <c r="AI469" s="13"/>
      <c r="AJ469" s="11"/>
      <c r="AK469" s="11"/>
      <c r="AL469" s="11"/>
      <c r="AM469" s="11"/>
      <c r="AN469" s="11"/>
      <c r="AO469" s="11"/>
      <c r="AP469" s="11"/>
      <c r="AQ469" s="11"/>
      <c r="AR469" s="16"/>
      <c r="AS469" s="16"/>
      <c r="AT469" s="16"/>
      <c r="AU469" s="7"/>
      <c r="AV469" s="7"/>
      <c r="AW469" s="7"/>
      <c r="AX469" s="7"/>
      <c r="AY469" s="11"/>
      <c r="AZ469" s="16"/>
      <c r="BA469" s="16"/>
      <c r="BB469" s="16"/>
      <c r="BC469" s="11"/>
      <c r="BD469" s="11"/>
      <c r="BE469" s="11"/>
      <c r="BF469" s="11"/>
      <c r="BG469" s="11"/>
      <c r="BH469" s="11"/>
      <c r="BI469" s="13"/>
      <c r="BJ469" s="13"/>
      <c r="BK469" s="11"/>
      <c r="BL469" s="12"/>
      <c r="BM469" s="12"/>
      <c r="BN469" s="13"/>
      <c r="BO469" s="13"/>
      <c r="BP469" s="15"/>
      <c r="BQ469" s="15"/>
      <c r="BR469" s="14"/>
      <c r="BS469" s="14"/>
      <c r="BT469" s="14"/>
      <c r="BU469" s="14"/>
      <c r="BV469" s="11"/>
      <c r="BW469" s="11"/>
      <c r="BX469" s="11"/>
      <c r="BY469" s="11"/>
      <c r="BZ469" s="7"/>
      <c r="CA469" s="7"/>
      <c r="CB469" s="7"/>
      <c r="CC469" s="7"/>
      <c r="CD469" s="7"/>
      <c r="CE469" s="3"/>
      <c r="CF469" s="7"/>
      <c r="CG469" s="3"/>
      <c r="CH469" s="7"/>
      <c r="CI469" s="7"/>
      <c r="CJ469" s="3"/>
      <c r="CK469" s="7"/>
      <c r="CL469" s="3"/>
      <c r="CM469" s="7"/>
      <c r="CN469" s="10"/>
      <c r="CO469" s="10"/>
      <c r="CP469" s="7"/>
      <c r="CQ469" s="17"/>
      <c r="CR469" s="4"/>
      <c r="CS469" s="12"/>
      <c r="CT469" s="18"/>
      <c r="CU469" s="3"/>
      <c r="CV469" s="18"/>
      <c r="CW469" s="7"/>
      <c r="CX469" s="18"/>
      <c r="CY469" s="7"/>
      <c r="CZ469" s="18"/>
      <c r="DA469" s="3"/>
      <c r="DB469" s="18"/>
      <c r="DC469" s="11"/>
      <c r="DD469" s="18"/>
      <c r="DE469" s="7"/>
      <c r="DF469" s="7"/>
      <c r="DG469" s="7"/>
      <c r="DH469" s="3"/>
      <c r="DI469" s="3"/>
      <c r="DJ469" s="3"/>
      <c r="DK469" s="3"/>
      <c r="DL469" s="3"/>
      <c r="DM469" s="3"/>
      <c r="DN469" s="3"/>
      <c r="DO469" s="3"/>
      <c r="DP469" s="3"/>
      <c r="DQ469" s="28"/>
      <c r="DR469" s="32"/>
      <c r="DS469" s="32"/>
      <c r="DT469" s="32"/>
      <c r="DU469" s="69"/>
    </row>
    <row r="470" spans="1:125" x14ac:dyDescent="0.25">
      <c r="A470" t="s">
        <v>150</v>
      </c>
      <c r="B470" s="2">
        <v>46015</v>
      </c>
      <c r="C470" s="1">
        <v>50</v>
      </c>
      <c r="D470">
        <v>154</v>
      </c>
      <c r="M470" s="3"/>
      <c r="N470" s="3"/>
      <c r="O470" s="3"/>
      <c r="P470" s="7"/>
      <c r="Q470" s="7"/>
      <c r="R470" s="7"/>
      <c r="S470" s="7"/>
      <c r="T470" s="11"/>
      <c r="U470" s="11"/>
      <c r="V470" s="11"/>
      <c r="W470" s="11"/>
      <c r="X470" s="14"/>
      <c r="Y470" s="14"/>
      <c r="Z470" s="14"/>
      <c r="AA470" s="14"/>
      <c r="AB470" s="15"/>
      <c r="AC470" s="15"/>
      <c r="AD470" s="13"/>
      <c r="AE470" s="13"/>
      <c r="AF470" s="12"/>
      <c r="AG470" s="12"/>
      <c r="AH470" s="13"/>
      <c r="AI470" s="13"/>
      <c r="AJ470" s="11"/>
      <c r="AK470" s="11"/>
      <c r="AL470" s="11"/>
      <c r="AM470" s="11"/>
      <c r="AN470" s="11"/>
      <c r="AO470" s="11"/>
      <c r="AP470" s="11"/>
      <c r="AQ470" s="11"/>
      <c r="AR470" s="16"/>
      <c r="AS470" s="16"/>
      <c r="AT470" s="16"/>
      <c r="AU470" s="7"/>
      <c r="AV470" s="7"/>
      <c r="AW470" s="7"/>
      <c r="AX470" s="7"/>
      <c r="AY470" s="11"/>
      <c r="AZ470" s="16"/>
      <c r="BA470" s="16"/>
      <c r="BB470" s="16"/>
      <c r="BC470" s="11"/>
      <c r="BD470" s="11"/>
      <c r="BE470" s="11"/>
      <c r="BF470" s="11"/>
      <c r="BG470" s="11"/>
      <c r="BH470" s="11"/>
      <c r="BI470" s="13"/>
      <c r="BJ470" s="13"/>
      <c r="BK470" s="11"/>
      <c r="BL470" s="12"/>
      <c r="BM470" s="12"/>
      <c r="BN470" s="13"/>
      <c r="BO470" s="13"/>
      <c r="BP470" s="15"/>
      <c r="BQ470" s="15"/>
      <c r="BR470" s="14"/>
      <c r="BS470" s="14"/>
      <c r="BT470" s="14"/>
      <c r="BU470" s="14"/>
      <c r="BV470" s="11"/>
      <c r="BW470" s="11"/>
      <c r="BX470" s="11"/>
      <c r="BY470" s="11"/>
      <c r="BZ470" s="7"/>
      <c r="CA470" s="7"/>
      <c r="CB470" s="7"/>
      <c r="CC470" s="7"/>
      <c r="CD470" s="7"/>
      <c r="CE470" s="3"/>
      <c r="CF470" s="7"/>
      <c r="CG470" s="3"/>
      <c r="CH470" s="7"/>
      <c r="CI470" s="7"/>
      <c r="CJ470" s="3"/>
      <c r="CK470" s="7"/>
      <c r="CL470" s="3"/>
      <c r="CM470" s="7"/>
      <c r="CN470" s="10"/>
      <c r="CO470" s="10"/>
      <c r="CP470" s="7"/>
      <c r="CQ470" s="17"/>
      <c r="CR470" s="4"/>
      <c r="CS470" s="12"/>
      <c r="CT470" s="18"/>
      <c r="CU470" s="3"/>
      <c r="CV470" s="18"/>
      <c r="CW470" s="7"/>
      <c r="CX470" s="18"/>
      <c r="CY470" s="7"/>
      <c r="CZ470" s="18"/>
      <c r="DA470" s="3"/>
      <c r="DB470" s="18"/>
      <c r="DC470" s="11"/>
      <c r="DD470" s="18"/>
      <c r="DE470" s="7"/>
      <c r="DF470" s="7"/>
      <c r="DG470" s="7"/>
      <c r="DH470" s="3"/>
      <c r="DI470" s="3"/>
      <c r="DJ470" s="3"/>
      <c r="DK470" s="3"/>
      <c r="DL470" s="3"/>
      <c r="DM470" s="3"/>
      <c r="DN470" s="3"/>
      <c r="DO470" s="3"/>
      <c r="DP470" s="3"/>
      <c r="DQ470" s="28"/>
      <c r="DR470" s="32"/>
      <c r="DS470" s="32"/>
      <c r="DT470" s="32"/>
      <c r="DU470" s="69"/>
    </row>
    <row r="471" spans="1:125" x14ac:dyDescent="0.25">
      <c r="A471" t="s">
        <v>150</v>
      </c>
      <c r="B471" s="2">
        <v>46198</v>
      </c>
      <c r="C471" s="1">
        <v>50</v>
      </c>
      <c r="D471">
        <v>154</v>
      </c>
      <c r="M471" s="3"/>
      <c r="N471" s="3"/>
      <c r="O471" s="3"/>
      <c r="P471" s="7"/>
      <c r="Q471" s="7"/>
      <c r="R471" s="7"/>
      <c r="S471" s="7"/>
      <c r="T471" s="11"/>
      <c r="U471" s="11"/>
      <c r="V471" s="11"/>
      <c r="W471" s="11"/>
      <c r="X471" s="14"/>
      <c r="Y471" s="14"/>
      <c r="Z471" s="14"/>
      <c r="AA471" s="14"/>
      <c r="AB471" s="15"/>
      <c r="AC471" s="15"/>
      <c r="AD471" s="13"/>
      <c r="AE471" s="13"/>
      <c r="AF471" s="12"/>
      <c r="AG471" s="12"/>
      <c r="AH471" s="13"/>
      <c r="AI471" s="13"/>
      <c r="AJ471" s="11"/>
      <c r="AK471" s="11"/>
      <c r="AL471" s="11"/>
      <c r="AM471" s="11"/>
      <c r="AN471" s="11"/>
      <c r="AO471" s="11"/>
      <c r="AP471" s="11"/>
      <c r="AQ471" s="11"/>
      <c r="AR471" s="16"/>
      <c r="AS471" s="16"/>
      <c r="AT471" s="16"/>
      <c r="AU471" s="7"/>
      <c r="AV471" s="7"/>
      <c r="AW471" s="7"/>
      <c r="AX471" s="7"/>
      <c r="AY471" s="11"/>
      <c r="AZ471" s="16"/>
      <c r="BA471" s="16"/>
      <c r="BB471" s="16"/>
      <c r="BC471" s="11"/>
      <c r="BD471" s="11"/>
      <c r="BE471" s="11"/>
      <c r="BF471" s="11"/>
      <c r="BG471" s="11"/>
      <c r="BH471" s="11"/>
      <c r="BI471" s="13"/>
      <c r="BJ471" s="13"/>
      <c r="BK471" s="11"/>
      <c r="BL471" s="12"/>
      <c r="BM471" s="12"/>
      <c r="BN471" s="13"/>
      <c r="BO471" s="13"/>
      <c r="BP471" s="15"/>
      <c r="BQ471" s="15"/>
      <c r="BR471" s="14"/>
      <c r="BS471" s="14"/>
      <c r="BT471" s="14"/>
      <c r="BU471" s="14"/>
      <c r="BV471" s="11"/>
      <c r="BW471" s="11"/>
      <c r="BX471" s="11"/>
      <c r="BY471" s="11"/>
      <c r="BZ471" s="7"/>
      <c r="CA471" s="7"/>
      <c r="CB471" s="7"/>
      <c r="CC471" s="7"/>
      <c r="CD471" s="7"/>
      <c r="CE471" s="3"/>
      <c r="CF471" s="7"/>
      <c r="CG471" s="3"/>
      <c r="CH471" s="7"/>
      <c r="CI471" s="7"/>
      <c r="CJ471" s="3"/>
      <c r="CK471" s="7"/>
      <c r="CL471" s="3"/>
      <c r="CM471" s="7"/>
      <c r="CN471" s="10"/>
      <c r="CO471" s="10"/>
      <c r="CP471" s="7"/>
      <c r="CQ471" s="17"/>
      <c r="CR471" s="4"/>
      <c r="CS471" s="12"/>
      <c r="CT471" s="18"/>
      <c r="CU471" s="3"/>
      <c r="CV471" s="18"/>
      <c r="CW471" s="7"/>
      <c r="CX471" s="18"/>
      <c r="CY471" s="7"/>
      <c r="CZ471" s="18"/>
      <c r="DA471" s="3"/>
      <c r="DB471" s="18"/>
      <c r="DC471" s="11"/>
      <c r="DD471" s="18"/>
      <c r="DE471" s="7"/>
      <c r="DF471" s="7"/>
      <c r="DG471" s="7"/>
      <c r="DH471" s="3"/>
      <c r="DI471" s="3"/>
      <c r="DJ471" s="3"/>
      <c r="DK471" s="3"/>
      <c r="DL471" s="3"/>
      <c r="DM471" s="3"/>
      <c r="DN471" s="3"/>
      <c r="DO471" s="3"/>
      <c r="DP471" s="3"/>
      <c r="DQ471" s="28"/>
      <c r="DR471" s="32"/>
      <c r="DS471" s="32"/>
      <c r="DT471" s="32"/>
      <c r="DU471" s="69"/>
    </row>
    <row r="472" spans="1:125" x14ac:dyDescent="0.25">
      <c r="A472" t="s">
        <v>150</v>
      </c>
      <c r="B472" s="2">
        <v>46387</v>
      </c>
      <c r="C472" s="1">
        <v>50</v>
      </c>
      <c r="D472">
        <v>154</v>
      </c>
      <c r="M472" s="3"/>
      <c r="N472" s="3"/>
      <c r="O472" s="3"/>
      <c r="P472" s="7"/>
      <c r="Q472" s="7"/>
      <c r="R472" s="7"/>
      <c r="S472" s="7"/>
      <c r="T472" s="11"/>
      <c r="U472" s="11"/>
      <c r="V472" s="11"/>
      <c r="W472" s="11"/>
      <c r="X472" s="14"/>
      <c r="Y472" s="14"/>
      <c r="Z472" s="14"/>
      <c r="AA472" s="14"/>
      <c r="AB472" s="15"/>
      <c r="AC472" s="15"/>
      <c r="AD472" s="13"/>
      <c r="AE472" s="13"/>
      <c r="AF472" s="12"/>
      <c r="AG472" s="12"/>
      <c r="AH472" s="13"/>
      <c r="AI472" s="13"/>
      <c r="AJ472" s="11"/>
      <c r="AK472" s="11"/>
      <c r="AL472" s="11"/>
      <c r="AM472" s="11"/>
      <c r="AN472" s="11"/>
      <c r="AO472" s="11"/>
      <c r="AP472" s="11"/>
      <c r="AQ472" s="11"/>
      <c r="AR472" s="16"/>
      <c r="AS472" s="16"/>
      <c r="AT472" s="16"/>
      <c r="AU472" s="7"/>
      <c r="AV472" s="7"/>
      <c r="AW472" s="7"/>
      <c r="AX472" s="7"/>
      <c r="AY472" s="11"/>
      <c r="AZ472" s="16"/>
      <c r="BA472" s="16"/>
      <c r="BB472" s="16"/>
      <c r="BC472" s="11"/>
      <c r="BD472" s="11"/>
      <c r="BE472" s="11"/>
      <c r="BF472" s="11"/>
      <c r="BG472" s="11"/>
      <c r="BH472" s="11"/>
      <c r="BI472" s="13"/>
      <c r="BJ472" s="13"/>
      <c r="BK472" s="11"/>
      <c r="BL472" s="12"/>
      <c r="BM472" s="12"/>
      <c r="BN472" s="13"/>
      <c r="BO472" s="13"/>
      <c r="BP472" s="15"/>
      <c r="BQ472" s="15"/>
      <c r="BR472" s="14"/>
      <c r="BS472" s="14"/>
      <c r="BT472" s="14"/>
      <c r="BU472" s="14"/>
      <c r="BV472" s="11"/>
      <c r="BW472" s="11"/>
      <c r="BX472" s="11"/>
      <c r="BY472" s="11"/>
      <c r="BZ472" s="7"/>
      <c r="CA472" s="7"/>
      <c r="CB472" s="7"/>
      <c r="CC472" s="7"/>
      <c r="CD472" s="7"/>
      <c r="CE472" s="3"/>
      <c r="CF472" s="7"/>
      <c r="CG472" s="3"/>
      <c r="CH472" s="7"/>
      <c r="CI472" s="7"/>
      <c r="CJ472" s="3"/>
      <c r="CK472" s="7"/>
      <c r="CL472" s="3"/>
      <c r="CM472" s="7"/>
      <c r="CN472" s="10"/>
      <c r="CO472" s="10"/>
      <c r="CP472" s="7"/>
      <c r="CQ472" s="17"/>
      <c r="CR472" s="4"/>
      <c r="CS472" s="12"/>
      <c r="CT472" s="18"/>
      <c r="CU472" s="3"/>
      <c r="CV472" s="18"/>
      <c r="CW472" s="7"/>
      <c r="CX472" s="18"/>
      <c r="CY472" s="7"/>
      <c r="CZ472" s="18"/>
      <c r="DA472" s="3"/>
      <c r="DB472" s="18"/>
      <c r="DC472" s="11"/>
      <c r="DD472" s="18"/>
      <c r="DE472" s="7"/>
      <c r="DF472" s="7"/>
      <c r="DG472" s="7"/>
      <c r="DH472" s="3"/>
      <c r="DI472" s="3"/>
      <c r="DJ472" s="3"/>
      <c r="DK472" s="3"/>
      <c r="DL472" s="3"/>
      <c r="DM472" s="3"/>
      <c r="DN472" s="3"/>
      <c r="DO472" s="3"/>
      <c r="DP472" s="3"/>
      <c r="DQ472" s="28"/>
      <c r="DR472" s="32"/>
      <c r="DS472" s="32"/>
      <c r="DT472" s="32"/>
      <c r="DU472" s="69"/>
    </row>
    <row r="473" spans="1:125" x14ac:dyDescent="0.25">
      <c r="A473" t="s">
        <v>150</v>
      </c>
      <c r="B473" s="2">
        <v>46562</v>
      </c>
      <c r="C473" s="1">
        <v>50</v>
      </c>
      <c r="D473">
        <v>154</v>
      </c>
      <c r="M473" s="3"/>
      <c r="N473" s="3"/>
      <c r="O473" s="3"/>
      <c r="P473" s="7"/>
      <c r="Q473" s="7"/>
      <c r="R473" s="7"/>
      <c r="S473" s="7"/>
      <c r="T473" s="11"/>
      <c r="U473" s="11"/>
      <c r="V473" s="11"/>
      <c r="W473" s="11"/>
      <c r="X473" s="14"/>
      <c r="Y473" s="14"/>
      <c r="Z473" s="14"/>
      <c r="AA473" s="14"/>
      <c r="AB473" s="15"/>
      <c r="AC473" s="15"/>
      <c r="AD473" s="13"/>
      <c r="AE473" s="13"/>
      <c r="AF473" s="12"/>
      <c r="AG473" s="12"/>
      <c r="AH473" s="13"/>
      <c r="AI473" s="13"/>
      <c r="AJ473" s="11"/>
      <c r="AK473" s="11"/>
      <c r="AL473" s="11"/>
      <c r="AM473" s="11"/>
      <c r="AN473" s="11"/>
      <c r="AO473" s="11"/>
      <c r="AP473" s="11"/>
      <c r="AQ473" s="11"/>
      <c r="AR473" s="16"/>
      <c r="AS473" s="16"/>
      <c r="AT473" s="16"/>
      <c r="AU473" s="7"/>
      <c r="AV473" s="7"/>
      <c r="AW473" s="7"/>
      <c r="AX473" s="7"/>
      <c r="AY473" s="11"/>
      <c r="AZ473" s="16"/>
      <c r="BA473" s="16"/>
      <c r="BB473" s="16"/>
      <c r="BC473" s="11"/>
      <c r="BD473" s="11"/>
      <c r="BE473" s="11"/>
      <c r="BF473" s="11"/>
      <c r="BG473" s="11"/>
      <c r="BH473" s="11"/>
      <c r="BI473" s="13"/>
      <c r="BJ473" s="13"/>
      <c r="BK473" s="11"/>
      <c r="BL473" s="12"/>
      <c r="BM473" s="12"/>
      <c r="BN473" s="13"/>
      <c r="BO473" s="13"/>
      <c r="BP473" s="15"/>
      <c r="BQ473" s="15"/>
      <c r="BR473" s="14"/>
      <c r="BS473" s="14"/>
      <c r="BT473" s="14"/>
      <c r="BU473" s="14"/>
      <c r="BV473" s="11"/>
      <c r="BW473" s="11"/>
      <c r="BX473" s="11"/>
      <c r="BY473" s="11"/>
      <c r="BZ473" s="7"/>
      <c r="CA473" s="7"/>
      <c r="CB473" s="7"/>
      <c r="CC473" s="7"/>
      <c r="CD473" s="7"/>
      <c r="CE473" s="3"/>
      <c r="CF473" s="7"/>
      <c r="CG473" s="3"/>
      <c r="CH473" s="7"/>
      <c r="CI473" s="7"/>
      <c r="CJ473" s="3"/>
      <c r="CK473" s="7"/>
      <c r="CL473" s="3"/>
      <c r="CM473" s="7"/>
      <c r="CN473" s="10"/>
      <c r="CO473" s="10"/>
      <c r="CP473" s="7"/>
      <c r="CQ473" s="17"/>
      <c r="CR473" s="4"/>
      <c r="CS473" s="12"/>
      <c r="CT473" s="18"/>
      <c r="CU473" s="3"/>
      <c r="CV473" s="18"/>
      <c r="CW473" s="7"/>
      <c r="CX473" s="18"/>
      <c r="CY473" s="7"/>
      <c r="CZ473" s="18"/>
      <c r="DA473" s="3"/>
      <c r="DB473" s="18"/>
      <c r="DC473" s="11"/>
      <c r="DD473" s="18"/>
      <c r="DE473" s="7"/>
      <c r="DF473" s="7"/>
      <c r="DG473" s="7"/>
      <c r="DH473" s="3"/>
      <c r="DI473" s="3"/>
      <c r="DJ473" s="3"/>
      <c r="DK473" s="3"/>
      <c r="DL473" s="3"/>
      <c r="DM473" s="3"/>
      <c r="DN473" s="3"/>
      <c r="DO473" s="3"/>
      <c r="DP473" s="3"/>
      <c r="DQ473" s="28"/>
      <c r="DR473" s="32"/>
      <c r="DS473" s="32"/>
      <c r="DT473" s="32"/>
      <c r="DU473" s="69"/>
    </row>
    <row r="474" spans="1:125" x14ac:dyDescent="0.25">
      <c r="A474" t="s">
        <v>151</v>
      </c>
      <c r="B474" s="2">
        <v>44798</v>
      </c>
      <c r="C474" s="1">
        <v>3350</v>
      </c>
      <c r="D474">
        <v>59</v>
      </c>
      <c r="M474" s="3"/>
      <c r="N474" s="3"/>
      <c r="O474" s="3"/>
      <c r="P474" s="7"/>
      <c r="Q474" s="7"/>
      <c r="R474" s="7"/>
      <c r="S474" s="7"/>
      <c r="T474" s="11"/>
      <c r="U474" s="11"/>
      <c r="V474" s="11"/>
      <c r="W474" s="11"/>
      <c r="X474" s="14"/>
      <c r="Y474" s="14"/>
      <c r="Z474" s="14"/>
      <c r="AA474" s="14"/>
      <c r="AB474" s="15"/>
      <c r="AC474" s="15"/>
      <c r="AD474" s="13"/>
      <c r="AE474" s="13"/>
      <c r="AF474" s="12"/>
      <c r="AG474" s="12"/>
      <c r="AH474" s="13"/>
      <c r="AI474" s="13"/>
      <c r="AJ474" s="11"/>
      <c r="AK474" s="11"/>
      <c r="AL474" s="11"/>
      <c r="AM474" s="11"/>
      <c r="AN474" s="11"/>
      <c r="AO474" s="11"/>
      <c r="AP474" s="11"/>
      <c r="AQ474" s="11"/>
      <c r="AR474" s="16"/>
      <c r="AS474" s="16"/>
      <c r="AT474" s="16"/>
      <c r="AU474" s="7"/>
      <c r="AV474" s="7"/>
      <c r="AW474" s="7"/>
      <c r="AX474" s="7"/>
      <c r="AY474" s="11"/>
      <c r="AZ474" s="16"/>
      <c r="BA474" s="16"/>
      <c r="BB474" s="16"/>
      <c r="BC474" s="11"/>
      <c r="BD474" s="11"/>
      <c r="BE474" s="11"/>
      <c r="BF474" s="11"/>
      <c r="BG474" s="11"/>
      <c r="BH474" s="11"/>
      <c r="BI474" s="13"/>
      <c r="BJ474" s="13"/>
      <c r="BK474" s="11"/>
      <c r="BL474" s="12"/>
      <c r="BM474" s="12"/>
      <c r="BN474" s="13"/>
      <c r="BO474" s="13"/>
      <c r="BP474" s="15"/>
      <c r="BQ474" s="15"/>
      <c r="BR474" s="14"/>
      <c r="BS474" s="14"/>
      <c r="BT474" s="14"/>
      <c r="BU474" s="14"/>
      <c r="BV474" s="11"/>
      <c r="BW474" s="11"/>
      <c r="BX474" s="11"/>
      <c r="BY474" s="11"/>
      <c r="BZ474" s="7"/>
      <c r="CA474" s="7"/>
      <c r="CB474" s="7"/>
      <c r="CC474" s="7"/>
      <c r="CD474" s="7"/>
      <c r="CE474" s="3"/>
      <c r="CF474" s="7"/>
      <c r="CG474" s="3"/>
      <c r="CH474" s="7"/>
      <c r="CI474" s="7"/>
      <c r="CJ474" s="3"/>
      <c r="CK474" s="7"/>
      <c r="CL474" s="3"/>
      <c r="CM474" s="7"/>
      <c r="CN474" s="10"/>
      <c r="CO474" s="10"/>
      <c r="CP474" s="7"/>
      <c r="CQ474" s="17"/>
      <c r="CR474" s="4"/>
      <c r="CS474" s="12"/>
      <c r="CT474" s="18"/>
      <c r="CU474" s="3"/>
      <c r="CV474" s="18"/>
      <c r="CW474" s="7"/>
      <c r="CX474" s="18"/>
      <c r="CY474" s="7"/>
      <c r="CZ474" s="18"/>
      <c r="DA474" s="3"/>
      <c r="DB474" s="18"/>
      <c r="DC474" s="11"/>
      <c r="DD474" s="18"/>
      <c r="DE474" s="7"/>
      <c r="DF474" s="7"/>
      <c r="DG474" s="7"/>
      <c r="DH474" s="3"/>
      <c r="DI474" s="3"/>
      <c r="DJ474" s="3"/>
      <c r="DK474" s="3"/>
      <c r="DL474" s="3"/>
      <c r="DM474" s="3"/>
      <c r="DN474" s="3"/>
      <c r="DO474" s="3"/>
      <c r="DP474" s="3"/>
      <c r="DQ474" s="28"/>
      <c r="DR474" s="32"/>
      <c r="DS474" s="32"/>
      <c r="DT474" s="32"/>
      <c r="DU474" s="69"/>
    </row>
    <row r="475" spans="1:125" x14ac:dyDescent="0.25">
      <c r="A475" t="s">
        <v>151</v>
      </c>
      <c r="B475" s="2">
        <v>44833</v>
      </c>
      <c r="C475" s="1">
        <v>3350</v>
      </c>
      <c r="D475">
        <v>59</v>
      </c>
      <c r="M475" s="3"/>
      <c r="N475" s="3"/>
      <c r="O475" s="3"/>
      <c r="P475" s="7"/>
      <c r="Q475" s="7"/>
      <c r="R475" s="7"/>
      <c r="S475" s="7"/>
      <c r="T475" s="11"/>
      <c r="U475" s="11"/>
      <c r="V475" s="11"/>
      <c r="W475" s="11"/>
      <c r="X475" s="14"/>
      <c r="Y475" s="14"/>
      <c r="Z475" s="14"/>
      <c r="AA475" s="14"/>
      <c r="AB475" s="15"/>
      <c r="AC475" s="15"/>
      <c r="AD475" s="13"/>
      <c r="AE475" s="13"/>
      <c r="AF475" s="12"/>
      <c r="AG475" s="12"/>
      <c r="AH475" s="13"/>
      <c r="AI475" s="13"/>
      <c r="AJ475" s="11"/>
      <c r="AK475" s="11"/>
      <c r="AL475" s="11"/>
      <c r="AM475" s="11"/>
      <c r="AN475" s="11"/>
      <c r="AO475" s="11"/>
      <c r="AP475" s="11"/>
      <c r="AQ475" s="11"/>
      <c r="AR475" s="16"/>
      <c r="AS475" s="16"/>
      <c r="AT475" s="16"/>
      <c r="AU475" s="7"/>
      <c r="AV475" s="7"/>
      <c r="AW475" s="7"/>
      <c r="AX475" s="7"/>
      <c r="AY475" s="11"/>
      <c r="AZ475" s="16"/>
      <c r="BA475" s="16"/>
      <c r="BB475" s="16"/>
      <c r="BC475" s="11"/>
      <c r="BD475" s="11"/>
      <c r="BE475" s="11"/>
      <c r="BF475" s="11"/>
      <c r="BG475" s="11"/>
      <c r="BH475" s="11"/>
      <c r="BI475" s="13"/>
      <c r="BJ475" s="13"/>
      <c r="BK475" s="11"/>
      <c r="BL475" s="12"/>
      <c r="BM475" s="12"/>
      <c r="BN475" s="13"/>
      <c r="BO475" s="13"/>
      <c r="BP475" s="15"/>
      <c r="BQ475" s="15"/>
      <c r="BR475" s="14"/>
      <c r="BS475" s="14"/>
      <c r="BT475" s="14"/>
      <c r="BU475" s="14"/>
      <c r="BV475" s="11"/>
      <c r="BW475" s="11"/>
      <c r="BX475" s="11"/>
      <c r="BY475" s="11"/>
      <c r="BZ475" s="7"/>
      <c r="CA475" s="7"/>
      <c r="CB475" s="7"/>
      <c r="CC475" s="7"/>
      <c r="CD475" s="7"/>
      <c r="CE475" s="3"/>
      <c r="CF475" s="7"/>
      <c r="CG475" s="3"/>
      <c r="CH475" s="7"/>
      <c r="CI475" s="7"/>
      <c r="CJ475" s="3"/>
      <c r="CK475" s="7"/>
      <c r="CL475" s="3"/>
      <c r="CM475" s="7"/>
      <c r="CN475" s="10"/>
      <c r="CO475" s="10"/>
      <c r="CP475" s="7"/>
      <c r="CQ475" s="17"/>
      <c r="CR475" s="4"/>
      <c r="CS475" s="12"/>
      <c r="CT475" s="18"/>
      <c r="CU475" s="3"/>
      <c r="CV475" s="18"/>
      <c r="CW475" s="7"/>
      <c r="CX475" s="18"/>
      <c r="CY475" s="7"/>
      <c r="CZ475" s="18"/>
      <c r="DA475" s="3"/>
      <c r="DB475" s="18"/>
      <c r="DC475" s="11"/>
      <c r="DD475" s="18"/>
      <c r="DE475" s="7"/>
      <c r="DF475" s="7"/>
      <c r="DG475" s="7"/>
      <c r="DH475" s="3"/>
      <c r="DI475" s="3"/>
      <c r="DJ475" s="3"/>
      <c r="DK475" s="3"/>
      <c r="DL475" s="3"/>
      <c r="DM475" s="3"/>
      <c r="DN475" s="3"/>
      <c r="DO475" s="3"/>
      <c r="DP475" s="3"/>
      <c r="DQ475" s="28"/>
      <c r="DR475" s="32"/>
      <c r="DS475" s="32"/>
      <c r="DT475" s="32"/>
      <c r="DU475" s="69"/>
    </row>
    <row r="476" spans="1:125" x14ac:dyDescent="0.25">
      <c r="A476" t="s">
        <v>151</v>
      </c>
      <c r="B476" s="2">
        <v>44861</v>
      </c>
      <c r="C476" s="1">
        <v>3350</v>
      </c>
      <c r="D476">
        <v>59</v>
      </c>
      <c r="M476" s="3"/>
      <c r="N476" s="3"/>
      <c r="O476" s="3"/>
      <c r="P476" s="7"/>
      <c r="Q476" s="7"/>
      <c r="R476" s="7"/>
      <c r="S476" s="7"/>
      <c r="T476" s="11"/>
      <c r="U476" s="11"/>
      <c r="V476" s="11"/>
      <c r="W476" s="11"/>
      <c r="X476" s="14"/>
      <c r="Y476" s="14"/>
      <c r="Z476" s="14"/>
      <c r="AA476" s="14"/>
      <c r="AB476" s="15"/>
      <c r="AC476" s="15"/>
      <c r="AD476" s="13"/>
      <c r="AE476" s="13"/>
      <c r="AF476" s="12"/>
      <c r="AG476" s="12"/>
      <c r="AH476" s="13"/>
      <c r="AI476" s="13"/>
      <c r="AJ476" s="11"/>
      <c r="AK476" s="11"/>
      <c r="AL476" s="11"/>
      <c r="AM476" s="11"/>
      <c r="AN476" s="11"/>
      <c r="AO476" s="11"/>
      <c r="AP476" s="11"/>
      <c r="AQ476" s="11"/>
      <c r="AR476" s="16"/>
      <c r="AS476" s="16"/>
      <c r="AT476" s="16"/>
      <c r="AU476" s="7"/>
      <c r="AV476" s="7"/>
      <c r="AW476" s="7"/>
      <c r="AX476" s="7"/>
      <c r="AY476" s="11"/>
      <c r="AZ476" s="16"/>
      <c r="BA476" s="16"/>
      <c r="BB476" s="16"/>
      <c r="BC476" s="11"/>
      <c r="BD476" s="11"/>
      <c r="BE476" s="11"/>
      <c r="BF476" s="11"/>
      <c r="BG476" s="11"/>
      <c r="BH476" s="11"/>
      <c r="BI476" s="13"/>
      <c r="BJ476" s="13"/>
      <c r="BK476" s="11"/>
      <c r="BL476" s="12"/>
      <c r="BM476" s="12"/>
      <c r="BN476" s="13"/>
      <c r="BO476" s="13"/>
      <c r="BP476" s="15"/>
      <c r="BQ476" s="15"/>
      <c r="BR476" s="14"/>
      <c r="BS476" s="14"/>
      <c r="BT476" s="14"/>
      <c r="BU476" s="14"/>
      <c r="BV476" s="11"/>
      <c r="BW476" s="11"/>
      <c r="BX476" s="11"/>
      <c r="BY476" s="11"/>
      <c r="BZ476" s="7"/>
      <c r="CA476" s="7"/>
      <c r="CB476" s="7"/>
      <c r="CC476" s="7"/>
      <c r="CD476" s="7"/>
      <c r="CE476" s="3"/>
      <c r="CF476" s="7"/>
      <c r="CG476" s="3"/>
      <c r="CH476" s="7"/>
      <c r="CI476" s="7"/>
      <c r="CJ476" s="3"/>
      <c r="CK476" s="7"/>
      <c r="CL476" s="3"/>
      <c r="CM476" s="7"/>
      <c r="CN476" s="10"/>
      <c r="CO476" s="10"/>
      <c r="CP476" s="7"/>
      <c r="CQ476" s="17"/>
      <c r="CR476" s="4"/>
      <c r="CS476" s="12"/>
      <c r="CT476" s="18"/>
      <c r="CU476" s="3"/>
      <c r="CV476" s="18"/>
      <c r="CW476" s="7"/>
      <c r="CX476" s="18"/>
      <c r="CY476" s="7"/>
      <c r="CZ476" s="18"/>
      <c r="DA476" s="3"/>
      <c r="DB476" s="18"/>
      <c r="DC476" s="11"/>
      <c r="DD476" s="18"/>
      <c r="DE476" s="7"/>
      <c r="DF476" s="7"/>
      <c r="DG476" s="7"/>
      <c r="DH476" s="3"/>
      <c r="DI476" s="3"/>
      <c r="DJ476" s="3"/>
      <c r="DK476" s="3"/>
      <c r="DL476" s="3"/>
      <c r="DM476" s="3"/>
      <c r="DN476" s="3"/>
      <c r="DO476" s="3"/>
      <c r="DP476" s="3"/>
      <c r="DQ476" s="28"/>
      <c r="DR476" s="32"/>
      <c r="DS476" s="32"/>
      <c r="DT476" s="32"/>
      <c r="DU476" s="69"/>
    </row>
    <row r="477" spans="1:125" x14ac:dyDescent="0.25">
      <c r="A477" t="s">
        <v>152</v>
      </c>
      <c r="B477" s="2">
        <v>44798</v>
      </c>
      <c r="C477" s="1">
        <v>5700</v>
      </c>
      <c r="D477">
        <v>111</v>
      </c>
      <c r="M477" s="3"/>
      <c r="N477" s="3"/>
      <c r="O477" s="3"/>
      <c r="P477" s="7"/>
      <c r="Q477" s="7"/>
      <c r="R477" s="7"/>
      <c r="S477" s="7"/>
      <c r="T477" s="11"/>
      <c r="U477" s="11"/>
      <c r="V477" s="11"/>
      <c r="W477" s="11"/>
      <c r="X477" s="14"/>
      <c r="Y477" s="14"/>
      <c r="Z477" s="14"/>
      <c r="AA477" s="14"/>
      <c r="AB477" s="15"/>
      <c r="AC477" s="15"/>
      <c r="AD477" s="13"/>
      <c r="AE477" s="13"/>
      <c r="AF477" s="12"/>
      <c r="AG477" s="12"/>
      <c r="AH477" s="13"/>
      <c r="AI477" s="13"/>
      <c r="AJ477" s="11"/>
      <c r="AK477" s="11"/>
      <c r="AL477" s="11"/>
      <c r="AM477" s="11"/>
      <c r="AN477" s="11"/>
      <c r="AO477" s="11"/>
      <c r="AP477" s="11"/>
      <c r="AQ477" s="11"/>
      <c r="AR477" s="16"/>
      <c r="AS477" s="16"/>
      <c r="AT477" s="16"/>
      <c r="AU477" s="7"/>
      <c r="AV477" s="7"/>
      <c r="AW477" s="7"/>
      <c r="AX477" s="7"/>
      <c r="AY477" s="11"/>
      <c r="AZ477" s="16"/>
      <c r="BA477" s="16"/>
      <c r="BB477" s="16"/>
      <c r="BC477" s="11"/>
      <c r="BD477" s="11"/>
      <c r="BE477" s="11"/>
      <c r="BF477" s="11"/>
      <c r="BG477" s="11"/>
      <c r="BH477" s="11"/>
      <c r="BI477" s="13"/>
      <c r="BJ477" s="13"/>
      <c r="BK477" s="11"/>
      <c r="BL477" s="12"/>
      <c r="BM477" s="12"/>
      <c r="BN477" s="13"/>
      <c r="BO477" s="13"/>
      <c r="BP477" s="15"/>
      <c r="BQ477" s="15"/>
      <c r="BR477" s="14"/>
      <c r="BS477" s="14"/>
      <c r="BT477" s="14"/>
      <c r="BU477" s="14"/>
      <c r="BV477" s="11"/>
      <c r="BW477" s="11"/>
      <c r="BX477" s="11"/>
      <c r="BY477" s="11"/>
      <c r="BZ477" s="7"/>
      <c r="CA477" s="7"/>
      <c r="CB477" s="7"/>
      <c r="CC477" s="7"/>
      <c r="CD477" s="7"/>
      <c r="CE477" s="3"/>
      <c r="CF477" s="7"/>
      <c r="CG477" s="3"/>
      <c r="CH477" s="7"/>
      <c r="CI477" s="7"/>
      <c r="CJ477" s="3"/>
      <c r="CK477" s="7"/>
      <c r="CL477" s="3"/>
      <c r="CM477" s="7"/>
      <c r="CN477" s="10"/>
      <c r="CO477" s="10"/>
      <c r="CP477" s="7"/>
      <c r="CQ477" s="17"/>
      <c r="CR477" s="4"/>
      <c r="CS477" s="12"/>
      <c r="CT477" s="18"/>
      <c r="CU477" s="3"/>
      <c r="CV477" s="18"/>
      <c r="CW477" s="7"/>
      <c r="CX477" s="18"/>
      <c r="CY477" s="7"/>
      <c r="CZ477" s="18"/>
      <c r="DA477" s="3"/>
      <c r="DB477" s="18"/>
      <c r="DC477" s="11"/>
      <c r="DD477" s="18"/>
      <c r="DE477" s="7"/>
      <c r="DF477" s="7"/>
      <c r="DG477" s="7"/>
      <c r="DH477" s="3"/>
      <c r="DI477" s="3"/>
      <c r="DJ477" s="3"/>
      <c r="DK477" s="3"/>
      <c r="DL477" s="3"/>
      <c r="DM477" s="3"/>
      <c r="DN477" s="3"/>
      <c r="DO477" s="3"/>
      <c r="DP477" s="3"/>
      <c r="DQ477" s="28"/>
      <c r="DR477" s="32"/>
      <c r="DS477" s="32"/>
      <c r="DT477" s="32"/>
      <c r="DU477" s="69"/>
    </row>
    <row r="478" spans="1:125" x14ac:dyDescent="0.25">
      <c r="A478" t="s">
        <v>152</v>
      </c>
      <c r="B478" s="2">
        <v>44833</v>
      </c>
      <c r="C478" s="1">
        <v>5700</v>
      </c>
      <c r="D478">
        <v>111</v>
      </c>
      <c r="M478" s="3"/>
      <c r="N478" s="3"/>
      <c r="O478" s="3"/>
      <c r="P478" s="7"/>
      <c r="Q478" s="7"/>
      <c r="R478" s="7"/>
      <c r="S478" s="7"/>
      <c r="T478" s="11"/>
      <c r="U478" s="11"/>
      <c r="V478" s="11"/>
      <c r="W478" s="11"/>
      <c r="X478" s="14"/>
      <c r="Y478" s="14"/>
      <c r="Z478" s="14"/>
      <c r="AA478" s="14"/>
      <c r="AB478" s="15"/>
      <c r="AC478" s="15"/>
      <c r="AD478" s="13"/>
      <c r="AE478" s="13"/>
      <c r="AF478" s="12"/>
      <c r="AG478" s="12"/>
      <c r="AH478" s="13"/>
      <c r="AI478" s="13"/>
      <c r="AJ478" s="11"/>
      <c r="AK478" s="11"/>
      <c r="AL478" s="11"/>
      <c r="AM478" s="11"/>
      <c r="AN478" s="11"/>
      <c r="AO478" s="11"/>
      <c r="AP478" s="11"/>
      <c r="AQ478" s="11"/>
      <c r="AR478" s="16"/>
      <c r="AS478" s="16"/>
      <c r="AT478" s="16"/>
      <c r="AU478" s="7"/>
      <c r="AV478" s="7"/>
      <c r="AW478" s="7"/>
      <c r="AX478" s="7"/>
      <c r="AY478" s="11"/>
      <c r="AZ478" s="16"/>
      <c r="BA478" s="16"/>
      <c r="BB478" s="16"/>
      <c r="BC478" s="11"/>
      <c r="BD478" s="11"/>
      <c r="BE478" s="11"/>
      <c r="BF478" s="11"/>
      <c r="BG478" s="11"/>
      <c r="BH478" s="11"/>
      <c r="BI478" s="13"/>
      <c r="BJ478" s="13"/>
      <c r="BK478" s="11"/>
      <c r="BL478" s="12"/>
      <c r="BM478" s="12"/>
      <c r="BN478" s="13"/>
      <c r="BO478" s="13"/>
      <c r="BP478" s="15"/>
      <c r="BQ478" s="15"/>
      <c r="BR478" s="14"/>
      <c r="BS478" s="14"/>
      <c r="BT478" s="14"/>
      <c r="BU478" s="14"/>
      <c r="BV478" s="11"/>
      <c r="BW478" s="11"/>
      <c r="BX478" s="11"/>
      <c r="BY478" s="11"/>
      <c r="BZ478" s="7"/>
      <c r="CA478" s="7"/>
      <c r="CB478" s="7"/>
      <c r="CC478" s="7"/>
      <c r="CD478" s="7"/>
      <c r="CE478" s="3"/>
      <c r="CF478" s="7"/>
      <c r="CG478" s="3"/>
      <c r="CH478" s="7"/>
      <c r="CI478" s="7"/>
      <c r="CJ478" s="3"/>
      <c r="CK478" s="7"/>
      <c r="CL478" s="3"/>
      <c r="CM478" s="7"/>
      <c r="CN478" s="10"/>
      <c r="CO478" s="10"/>
      <c r="CP478" s="7"/>
      <c r="CQ478" s="17"/>
      <c r="CR478" s="4"/>
      <c r="CS478" s="12"/>
      <c r="CT478" s="18"/>
      <c r="CU478" s="3"/>
      <c r="CV478" s="18"/>
      <c r="CW478" s="7"/>
      <c r="CX478" s="18"/>
      <c r="CY478" s="7"/>
      <c r="CZ478" s="18"/>
      <c r="DA478" s="3"/>
      <c r="DB478" s="18"/>
      <c r="DC478" s="11"/>
      <c r="DD478" s="18"/>
      <c r="DE478" s="7"/>
      <c r="DF478" s="7"/>
      <c r="DG478" s="7"/>
      <c r="DH478" s="3"/>
      <c r="DI478" s="3"/>
      <c r="DJ478" s="3"/>
      <c r="DK478" s="3"/>
      <c r="DL478" s="3"/>
      <c r="DM478" s="3"/>
      <c r="DN478" s="3"/>
      <c r="DO478" s="3"/>
      <c r="DP478" s="3"/>
      <c r="DQ478" s="28"/>
      <c r="DR478" s="32"/>
      <c r="DS478" s="32"/>
      <c r="DT478" s="32"/>
      <c r="DU478" s="69"/>
    </row>
    <row r="479" spans="1:125" x14ac:dyDescent="0.25">
      <c r="A479" t="s">
        <v>152</v>
      </c>
      <c r="B479" s="2">
        <v>44861</v>
      </c>
      <c r="C479" s="1">
        <v>5700</v>
      </c>
      <c r="D479">
        <v>111</v>
      </c>
      <c r="M479" s="3"/>
      <c r="N479" s="3"/>
      <c r="O479" s="3"/>
      <c r="P479" s="7"/>
      <c r="Q479" s="7"/>
      <c r="R479" s="7"/>
      <c r="S479" s="7"/>
      <c r="T479" s="11"/>
      <c r="U479" s="11"/>
      <c r="V479" s="11"/>
      <c r="W479" s="11"/>
      <c r="X479" s="14"/>
      <c r="Y479" s="14"/>
      <c r="Z479" s="14"/>
      <c r="AA479" s="14"/>
      <c r="AB479" s="15"/>
      <c r="AC479" s="15"/>
      <c r="AD479" s="13"/>
      <c r="AE479" s="13"/>
      <c r="AF479" s="12"/>
      <c r="AG479" s="12"/>
      <c r="AH479" s="13"/>
      <c r="AI479" s="13"/>
      <c r="AJ479" s="11"/>
      <c r="AK479" s="11"/>
      <c r="AL479" s="11"/>
      <c r="AM479" s="11"/>
      <c r="AN479" s="11"/>
      <c r="AO479" s="11"/>
      <c r="AP479" s="11"/>
      <c r="AQ479" s="11"/>
      <c r="AR479" s="16"/>
      <c r="AS479" s="16"/>
      <c r="AT479" s="16"/>
      <c r="AU479" s="7"/>
      <c r="AV479" s="7"/>
      <c r="AW479" s="7"/>
      <c r="AX479" s="7"/>
      <c r="AY479" s="11"/>
      <c r="AZ479" s="16"/>
      <c r="BA479" s="16"/>
      <c r="BB479" s="16"/>
      <c r="BC479" s="11"/>
      <c r="BD479" s="11"/>
      <c r="BE479" s="11"/>
      <c r="BF479" s="11"/>
      <c r="BG479" s="11"/>
      <c r="BH479" s="11"/>
      <c r="BI479" s="13"/>
      <c r="BJ479" s="13"/>
      <c r="BK479" s="11"/>
      <c r="BL479" s="12"/>
      <c r="BM479" s="12"/>
      <c r="BN479" s="13"/>
      <c r="BO479" s="13"/>
      <c r="BP479" s="15"/>
      <c r="BQ479" s="15"/>
      <c r="BR479" s="14"/>
      <c r="BS479" s="14"/>
      <c r="BT479" s="14"/>
      <c r="BU479" s="14"/>
      <c r="BV479" s="11"/>
      <c r="BW479" s="11"/>
      <c r="BX479" s="11"/>
      <c r="BY479" s="11"/>
      <c r="BZ479" s="7"/>
      <c r="CA479" s="7"/>
      <c r="CB479" s="7"/>
      <c r="CC479" s="7"/>
      <c r="CD479" s="7"/>
      <c r="CE479" s="3"/>
      <c r="CF479" s="7"/>
      <c r="CG479" s="3"/>
      <c r="CH479" s="7"/>
      <c r="CI479" s="7"/>
      <c r="CJ479" s="3"/>
      <c r="CK479" s="7"/>
      <c r="CL479" s="3"/>
      <c r="CM479" s="7"/>
      <c r="CN479" s="10"/>
      <c r="CO479" s="10"/>
      <c r="CP479" s="7"/>
      <c r="CQ479" s="17"/>
      <c r="CR479" s="4"/>
      <c r="CS479" s="12"/>
      <c r="CT479" s="18"/>
      <c r="CU479" s="3"/>
      <c r="CV479" s="18"/>
      <c r="CW479" s="7"/>
      <c r="CX479" s="18"/>
      <c r="CY479" s="7"/>
      <c r="CZ479" s="18"/>
      <c r="DA479" s="3"/>
      <c r="DB479" s="18"/>
      <c r="DC479" s="11"/>
      <c r="DD479" s="18"/>
      <c r="DE479" s="7"/>
      <c r="DF479" s="7"/>
      <c r="DG479" s="7"/>
      <c r="DH479" s="3"/>
      <c r="DI479" s="3"/>
      <c r="DJ479" s="3"/>
      <c r="DK479" s="3"/>
      <c r="DL479" s="3"/>
      <c r="DM479" s="3"/>
      <c r="DN479" s="3"/>
      <c r="DO479" s="3"/>
      <c r="DP479" s="3"/>
      <c r="DQ479" s="28"/>
      <c r="DR479" s="32"/>
      <c r="DS479" s="32"/>
      <c r="DT479" s="32"/>
      <c r="DU479" s="69"/>
    </row>
    <row r="480" spans="1:125" x14ac:dyDescent="0.25">
      <c r="A480" t="s">
        <v>153</v>
      </c>
      <c r="B480" s="2">
        <v>44798</v>
      </c>
      <c r="C480" s="1">
        <v>700</v>
      </c>
      <c r="D480">
        <v>45</v>
      </c>
      <c r="M480" s="3"/>
      <c r="N480" s="3"/>
      <c r="O480" s="3"/>
      <c r="P480" s="7"/>
      <c r="Q480" s="7"/>
      <c r="R480" s="7"/>
      <c r="S480" s="7"/>
      <c r="T480" s="11"/>
      <c r="U480" s="11"/>
      <c r="V480" s="11"/>
      <c r="W480" s="11"/>
      <c r="X480" s="14"/>
      <c r="Y480" s="14"/>
      <c r="Z480" s="14"/>
      <c r="AA480" s="14"/>
      <c r="AB480" s="15"/>
      <c r="AC480" s="15"/>
      <c r="AD480" s="13"/>
      <c r="AE480" s="13"/>
      <c r="AF480" s="12"/>
      <c r="AG480" s="12"/>
      <c r="AH480" s="13"/>
      <c r="AI480" s="13"/>
      <c r="AJ480" s="11"/>
      <c r="AK480" s="11"/>
      <c r="AL480" s="11"/>
      <c r="AM480" s="11"/>
      <c r="AN480" s="11"/>
      <c r="AO480" s="11"/>
      <c r="AP480" s="11"/>
      <c r="AQ480" s="11"/>
      <c r="AR480" s="16"/>
      <c r="AS480" s="16"/>
      <c r="AT480" s="16"/>
      <c r="AU480" s="7"/>
      <c r="AV480" s="7"/>
      <c r="AW480" s="7"/>
      <c r="AX480" s="7"/>
      <c r="AY480" s="11"/>
      <c r="AZ480" s="16"/>
      <c r="BA480" s="16"/>
      <c r="BB480" s="16"/>
      <c r="BC480" s="11"/>
      <c r="BD480" s="11"/>
      <c r="BE480" s="11"/>
      <c r="BF480" s="11"/>
      <c r="BG480" s="11"/>
      <c r="BH480" s="11"/>
      <c r="BI480" s="13"/>
      <c r="BJ480" s="13"/>
      <c r="BK480" s="11"/>
      <c r="BL480" s="12"/>
      <c r="BM480" s="12"/>
      <c r="BN480" s="13"/>
      <c r="BO480" s="13"/>
      <c r="BP480" s="15"/>
      <c r="BQ480" s="15"/>
      <c r="BR480" s="14"/>
      <c r="BS480" s="14"/>
      <c r="BT480" s="14"/>
      <c r="BU480" s="14"/>
      <c r="BV480" s="11"/>
      <c r="BW480" s="11"/>
      <c r="BX480" s="11"/>
      <c r="BY480" s="11"/>
      <c r="BZ480" s="7"/>
      <c r="CA480" s="7"/>
      <c r="CB480" s="7"/>
      <c r="CC480" s="7"/>
      <c r="CD480" s="7"/>
      <c r="CE480" s="3"/>
      <c r="CF480" s="7"/>
      <c r="CG480" s="3"/>
      <c r="CH480" s="7"/>
      <c r="CI480" s="7"/>
      <c r="CJ480" s="3"/>
      <c r="CK480" s="7"/>
      <c r="CL480" s="3"/>
      <c r="CM480" s="7"/>
      <c r="CN480" s="10"/>
      <c r="CO480" s="10"/>
      <c r="CP480" s="7"/>
      <c r="CQ480" s="17"/>
      <c r="CR480" s="4"/>
      <c r="CS480" s="12"/>
      <c r="CT480" s="18"/>
      <c r="CU480" s="3"/>
      <c r="CV480" s="18"/>
      <c r="CW480" s="7"/>
      <c r="CX480" s="18"/>
      <c r="CY480" s="7"/>
      <c r="CZ480" s="18"/>
      <c r="DA480" s="3"/>
      <c r="DB480" s="18"/>
      <c r="DC480" s="11"/>
      <c r="DD480" s="18"/>
      <c r="DE480" s="7"/>
      <c r="DF480" s="7"/>
      <c r="DG480" s="7"/>
      <c r="DH480" s="3"/>
      <c r="DI480" s="3"/>
      <c r="DJ480" s="3"/>
      <c r="DK480" s="3"/>
      <c r="DL480" s="3"/>
      <c r="DM480" s="3"/>
      <c r="DN480" s="3"/>
      <c r="DO480" s="3"/>
      <c r="DP480" s="3"/>
      <c r="DQ480" s="28"/>
      <c r="DR480" s="32"/>
      <c r="DS480" s="32"/>
      <c r="DT480" s="32"/>
      <c r="DU480" s="69"/>
    </row>
    <row r="481" spans="1:125" x14ac:dyDescent="0.25">
      <c r="A481" t="s">
        <v>153</v>
      </c>
      <c r="B481" s="2">
        <v>44833</v>
      </c>
      <c r="C481" s="1">
        <v>700</v>
      </c>
      <c r="D481">
        <v>45</v>
      </c>
      <c r="M481" s="3"/>
      <c r="N481" s="3"/>
      <c r="O481" s="3"/>
      <c r="P481" s="7"/>
      <c r="Q481" s="7"/>
      <c r="R481" s="7"/>
      <c r="S481" s="7"/>
      <c r="T481" s="11"/>
      <c r="U481" s="11"/>
      <c r="V481" s="11"/>
      <c r="W481" s="11"/>
      <c r="X481" s="14"/>
      <c r="Y481" s="14"/>
      <c r="Z481" s="14"/>
      <c r="AA481" s="14"/>
      <c r="AB481" s="15"/>
      <c r="AC481" s="15"/>
      <c r="AD481" s="13"/>
      <c r="AE481" s="13"/>
      <c r="AF481" s="12"/>
      <c r="AG481" s="12"/>
      <c r="AH481" s="13"/>
      <c r="AI481" s="13"/>
      <c r="AJ481" s="11"/>
      <c r="AK481" s="11"/>
      <c r="AL481" s="11"/>
      <c r="AM481" s="11"/>
      <c r="AN481" s="11"/>
      <c r="AO481" s="11"/>
      <c r="AP481" s="11"/>
      <c r="AQ481" s="11"/>
      <c r="AR481" s="16"/>
      <c r="AS481" s="16"/>
      <c r="AT481" s="16"/>
      <c r="AU481" s="7"/>
      <c r="AV481" s="7"/>
      <c r="AW481" s="7"/>
      <c r="AX481" s="7"/>
      <c r="AY481" s="11"/>
      <c r="AZ481" s="16"/>
      <c r="BA481" s="16"/>
      <c r="BB481" s="16"/>
      <c r="BC481" s="11"/>
      <c r="BD481" s="11"/>
      <c r="BE481" s="11"/>
      <c r="BF481" s="11"/>
      <c r="BG481" s="11"/>
      <c r="BH481" s="11"/>
      <c r="BI481" s="13"/>
      <c r="BJ481" s="13"/>
      <c r="BK481" s="11"/>
      <c r="BL481" s="12"/>
      <c r="BM481" s="12"/>
      <c r="BN481" s="13"/>
      <c r="BO481" s="13"/>
      <c r="BP481" s="15"/>
      <c r="BQ481" s="15"/>
      <c r="BR481" s="14"/>
      <c r="BS481" s="14"/>
      <c r="BT481" s="14"/>
      <c r="BU481" s="14"/>
      <c r="BV481" s="11"/>
      <c r="BW481" s="11"/>
      <c r="BX481" s="11"/>
      <c r="BY481" s="11"/>
      <c r="BZ481" s="7"/>
      <c r="CA481" s="7"/>
      <c r="CB481" s="7"/>
      <c r="CC481" s="7"/>
      <c r="CD481" s="7"/>
      <c r="CE481" s="3"/>
      <c r="CF481" s="7"/>
      <c r="CG481" s="3"/>
      <c r="CH481" s="7"/>
      <c r="CI481" s="7"/>
      <c r="CJ481" s="3"/>
      <c r="CK481" s="7"/>
      <c r="CL481" s="3"/>
      <c r="CM481" s="7"/>
      <c r="CN481" s="10"/>
      <c r="CO481" s="10"/>
      <c r="CP481" s="7"/>
      <c r="CQ481" s="17"/>
      <c r="CR481" s="4"/>
      <c r="CS481" s="12"/>
      <c r="CT481" s="18"/>
      <c r="CU481" s="3"/>
      <c r="CV481" s="18"/>
      <c r="CW481" s="7"/>
      <c r="CX481" s="18"/>
      <c r="CY481" s="7"/>
      <c r="CZ481" s="18"/>
      <c r="DA481" s="3"/>
      <c r="DB481" s="18"/>
      <c r="DC481" s="11"/>
      <c r="DD481" s="18"/>
      <c r="DE481" s="7"/>
      <c r="DF481" s="7"/>
      <c r="DG481" s="7"/>
      <c r="DH481" s="3"/>
      <c r="DI481" s="3"/>
      <c r="DJ481" s="3"/>
      <c r="DK481" s="3"/>
      <c r="DL481" s="3"/>
      <c r="DM481" s="3"/>
      <c r="DN481" s="3"/>
      <c r="DO481" s="3"/>
      <c r="DP481" s="3"/>
      <c r="DQ481" s="28"/>
      <c r="DR481" s="32"/>
      <c r="DS481" s="32"/>
      <c r="DT481" s="32"/>
      <c r="DU481" s="69"/>
    </row>
    <row r="482" spans="1:125" x14ac:dyDescent="0.25">
      <c r="A482" t="s">
        <v>153</v>
      </c>
      <c r="B482" s="2">
        <v>44861</v>
      </c>
      <c r="C482" s="1">
        <v>700</v>
      </c>
      <c r="D482">
        <v>45</v>
      </c>
      <c r="M482" s="3"/>
      <c r="N482" s="3"/>
      <c r="O482" s="3"/>
      <c r="P482" s="7"/>
      <c r="Q482" s="7"/>
      <c r="R482" s="7"/>
      <c r="S482" s="7"/>
      <c r="T482" s="11"/>
      <c r="U482" s="11"/>
      <c r="V482" s="11"/>
      <c r="W482" s="11"/>
      <c r="X482" s="14"/>
      <c r="Y482" s="14"/>
      <c r="Z482" s="14"/>
      <c r="AA482" s="14"/>
      <c r="AB482" s="15"/>
      <c r="AC482" s="15"/>
      <c r="AD482" s="13"/>
      <c r="AE482" s="13"/>
      <c r="AF482" s="12"/>
      <c r="AG482" s="12"/>
      <c r="AH482" s="13"/>
      <c r="AI482" s="13"/>
      <c r="AJ482" s="11"/>
      <c r="AK482" s="11"/>
      <c r="AL482" s="11"/>
      <c r="AM482" s="11"/>
      <c r="AN482" s="11"/>
      <c r="AO482" s="11"/>
      <c r="AP482" s="11"/>
      <c r="AQ482" s="11"/>
      <c r="AR482" s="16"/>
      <c r="AS482" s="16"/>
      <c r="AT482" s="16"/>
      <c r="AU482" s="7"/>
      <c r="AV482" s="7"/>
      <c r="AW482" s="7"/>
      <c r="AX482" s="7"/>
      <c r="AY482" s="11"/>
      <c r="AZ482" s="16"/>
      <c r="BA482" s="16"/>
      <c r="BB482" s="16"/>
      <c r="BC482" s="11"/>
      <c r="BD482" s="11"/>
      <c r="BE482" s="11"/>
      <c r="BF482" s="11"/>
      <c r="BG482" s="11"/>
      <c r="BH482" s="11"/>
      <c r="BI482" s="13"/>
      <c r="BJ482" s="13"/>
      <c r="BK482" s="11"/>
      <c r="BL482" s="12"/>
      <c r="BM482" s="12"/>
      <c r="BN482" s="13"/>
      <c r="BO482" s="13"/>
      <c r="BP482" s="15"/>
      <c r="BQ482" s="15"/>
      <c r="BR482" s="14"/>
      <c r="BS482" s="14"/>
      <c r="BT482" s="14"/>
      <c r="BU482" s="14"/>
      <c r="BV482" s="11"/>
      <c r="BW482" s="11"/>
      <c r="BX482" s="11"/>
      <c r="BY482" s="11"/>
      <c r="BZ482" s="7"/>
      <c r="CA482" s="7"/>
      <c r="CB482" s="7"/>
      <c r="CC482" s="7"/>
      <c r="CD482" s="7"/>
      <c r="CE482" s="3"/>
      <c r="CF482" s="7"/>
      <c r="CG482" s="3"/>
      <c r="CH482" s="7"/>
      <c r="CI482" s="7"/>
      <c r="CJ482" s="3"/>
      <c r="CK482" s="7"/>
      <c r="CL482" s="3"/>
      <c r="CM482" s="7"/>
      <c r="CN482" s="10"/>
      <c r="CO482" s="10"/>
      <c r="CP482" s="7"/>
      <c r="CQ482" s="17"/>
      <c r="CR482" s="4"/>
      <c r="CS482" s="12"/>
      <c r="CT482" s="18"/>
      <c r="CU482" s="3"/>
      <c r="CV482" s="18"/>
      <c r="CW482" s="7"/>
      <c r="CX482" s="18"/>
      <c r="CY482" s="7"/>
      <c r="CZ482" s="18"/>
      <c r="DA482" s="3"/>
      <c r="DB482" s="18"/>
      <c r="DC482" s="11"/>
      <c r="DD482" s="18"/>
      <c r="DE482" s="7"/>
      <c r="DF482" s="7"/>
      <c r="DG482" s="7"/>
      <c r="DH482" s="3"/>
      <c r="DI482" s="3"/>
      <c r="DJ482" s="3"/>
      <c r="DK482" s="3"/>
      <c r="DL482" s="3"/>
      <c r="DM482" s="3"/>
      <c r="DN482" s="3"/>
      <c r="DO482" s="3"/>
      <c r="DP482" s="3"/>
      <c r="DQ482" s="28"/>
      <c r="DR482" s="32"/>
      <c r="DS482" s="32"/>
      <c r="DT482" s="32"/>
      <c r="DU482" s="69"/>
    </row>
    <row r="483" spans="1:125" x14ac:dyDescent="0.25">
      <c r="A483" t="s">
        <v>154</v>
      </c>
      <c r="B483" s="2">
        <v>44798</v>
      </c>
      <c r="C483" s="1">
        <v>200</v>
      </c>
      <c r="D483">
        <v>63</v>
      </c>
      <c r="M483" s="3"/>
      <c r="N483" s="3"/>
      <c r="O483" s="3"/>
      <c r="P483" s="7"/>
      <c r="Q483" s="7"/>
      <c r="R483" s="7"/>
      <c r="S483" s="7"/>
      <c r="T483" s="11"/>
      <c r="U483" s="11"/>
      <c r="V483" s="11"/>
      <c r="W483" s="11"/>
      <c r="X483" s="14"/>
      <c r="Y483" s="14"/>
      <c r="Z483" s="14"/>
      <c r="AA483" s="14"/>
      <c r="AB483" s="15"/>
      <c r="AC483" s="15"/>
      <c r="AD483" s="13"/>
      <c r="AE483" s="13"/>
      <c r="AF483" s="12"/>
      <c r="AG483" s="12"/>
      <c r="AH483" s="13"/>
      <c r="AI483" s="13"/>
      <c r="AJ483" s="11"/>
      <c r="AK483" s="11"/>
      <c r="AL483" s="11"/>
      <c r="AM483" s="11"/>
      <c r="AN483" s="11"/>
      <c r="AO483" s="11"/>
      <c r="AP483" s="11"/>
      <c r="AQ483" s="11"/>
      <c r="AR483" s="16"/>
      <c r="AS483" s="16"/>
      <c r="AT483" s="16"/>
      <c r="AU483" s="7"/>
      <c r="AV483" s="7"/>
      <c r="AW483" s="7"/>
      <c r="AX483" s="7"/>
      <c r="AY483" s="11"/>
      <c r="AZ483" s="16"/>
      <c r="BA483" s="16"/>
      <c r="BB483" s="16"/>
      <c r="BC483" s="11"/>
      <c r="BD483" s="11"/>
      <c r="BE483" s="11"/>
      <c r="BF483" s="11"/>
      <c r="BG483" s="11"/>
      <c r="BH483" s="11"/>
      <c r="BI483" s="13"/>
      <c r="BJ483" s="13"/>
      <c r="BK483" s="11"/>
      <c r="BL483" s="12"/>
      <c r="BM483" s="12"/>
      <c r="BN483" s="13"/>
      <c r="BO483" s="13"/>
      <c r="BP483" s="15"/>
      <c r="BQ483" s="15"/>
      <c r="BR483" s="14"/>
      <c r="BS483" s="14"/>
      <c r="BT483" s="14"/>
      <c r="BU483" s="14"/>
      <c r="BV483" s="11"/>
      <c r="BW483" s="11"/>
      <c r="BX483" s="11"/>
      <c r="BY483" s="11"/>
      <c r="BZ483" s="7"/>
      <c r="CA483" s="7"/>
      <c r="CB483" s="7"/>
      <c r="CC483" s="7"/>
      <c r="CD483" s="7"/>
      <c r="CE483" s="3"/>
      <c r="CF483" s="7"/>
      <c r="CG483" s="3"/>
      <c r="CH483" s="7"/>
      <c r="CI483" s="7"/>
      <c r="CJ483" s="3"/>
      <c r="CK483" s="7"/>
      <c r="CL483" s="3"/>
      <c r="CM483" s="7"/>
      <c r="CN483" s="10"/>
      <c r="CO483" s="10"/>
      <c r="CP483" s="7"/>
      <c r="CQ483" s="17"/>
      <c r="CR483" s="4"/>
      <c r="CS483" s="12"/>
      <c r="CT483" s="18"/>
      <c r="CU483" s="3"/>
      <c r="CV483" s="18"/>
      <c r="CW483" s="7"/>
      <c r="CX483" s="18"/>
      <c r="CY483" s="7"/>
      <c r="CZ483" s="18"/>
      <c r="DA483" s="3"/>
      <c r="DB483" s="18"/>
      <c r="DC483" s="11"/>
      <c r="DD483" s="18"/>
      <c r="DE483" s="7"/>
      <c r="DF483" s="7"/>
      <c r="DG483" s="7"/>
      <c r="DH483" s="3"/>
      <c r="DI483" s="3"/>
      <c r="DJ483" s="3"/>
      <c r="DK483" s="3"/>
      <c r="DL483" s="3"/>
      <c r="DM483" s="3"/>
      <c r="DN483" s="3"/>
      <c r="DO483" s="3"/>
      <c r="DP483" s="3"/>
      <c r="DQ483" s="28"/>
      <c r="DR483" s="32"/>
      <c r="DS483" s="32"/>
      <c r="DT483" s="32"/>
      <c r="DU483" s="69"/>
    </row>
    <row r="484" spans="1:125" x14ac:dyDescent="0.25">
      <c r="A484" t="s">
        <v>154</v>
      </c>
      <c r="B484" s="2">
        <v>44833</v>
      </c>
      <c r="C484" s="1">
        <v>200</v>
      </c>
      <c r="D484">
        <v>63</v>
      </c>
      <c r="M484" s="3"/>
      <c r="N484" s="3"/>
      <c r="O484" s="3"/>
      <c r="P484" s="7"/>
      <c r="Q484" s="7"/>
      <c r="R484" s="7"/>
      <c r="S484" s="7"/>
      <c r="T484" s="11"/>
      <c r="U484" s="11"/>
      <c r="V484" s="11"/>
      <c r="W484" s="11"/>
      <c r="X484" s="14"/>
      <c r="Y484" s="14"/>
      <c r="Z484" s="14"/>
      <c r="AA484" s="14"/>
      <c r="AB484" s="15"/>
      <c r="AC484" s="15"/>
      <c r="AD484" s="13"/>
      <c r="AE484" s="13"/>
      <c r="AF484" s="12"/>
      <c r="AG484" s="12"/>
      <c r="AH484" s="13"/>
      <c r="AI484" s="13"/>
      <c r="AJ484" s="11"/>
      <c r="AK484" s="11"/>
      <c r="AL484" s="11"/>
      <c r="AM484" s="11"/>
      <c r="AN484" s="11"/>
      <c r="AO484" s="11"/>
      <c r="AP484" s="11"/>
      <c r="AQ484" s="11"/>
      <c r="AR484" s="16"/>
      <c r="AS484" s="16"/>
      <c r="AT484" s="16"/>
      <c r="AU484" s="7"/>
      <c r="AV484" s="7"/>
      <c r="AW484" s="7"/>
      <c r="AX484" s="7"/>
      <c r="AY484" s="11"/>
      <c r="AZ484" s="16"/>
      <c r="BA484" s="16"/>
      <c r="BB484" s="16"/>
      <c r="BC484" s="11"/>
      <c r="BD484" s="11"/>
      <c r="BE484" s="11"/>
      <c r="BF484" s="11"/>
      <c r="BG484" s="11"/>
      <c r="BH484" s="11"/>
      <c r="BI484" s="13"/>
      <c r="BJ484" s="13"/>
      <c r="BK484" s="11"/>
      <c r="BL484" s="12"/>
      <c r="BM484" s="12"/>
      <c r="BN484" s="13"/>
      <c r="BO484" s="13"/>
      <c r="BP484" s="15"/>
      <c r="BQ484" s="15"/>
      <c r="BR484" s="14"/>
      <c r="BS484" s="14"/>
      <c r="BT484" s="14"/>
      <c r="BU484" s="14"/>
      <c r="BV484" s="11"/>
      <c r="BW484" s="11"/>
      <c r="BX484" s="11"/>
      <c r="BY484" s="11"/>
      <c r="BZ484" s="7"/>
      <c r="CA484" s="7"/>
      <c r="CB484" s="7"/>
      <c r="CC484" s="7"/>
      <c r="CD484" s="7"/>
      <c r="CE484" s="3"/>
      <c r="CF484" s="7"/>
      <c r="CG484" s="3"/>
      <c r="CH484" s="7"/>
      <c r="CI484" s="7"/>
      <c r="CJ484" s="3"/>
      <c r="CK484" s="7"/>
      <c r="CL484" s="3"/>
      <c r="CM484" s="7"/>
      <c r="CN484" s="10"/>
      <c r="CO484" s="10"/>
      <c r="CP484" s="7"/>
      <c r="CQ484" s="17"/>
      <c r="CR484" s="4"/>
      <c r="CS484" s="12"/>
      <c r="CT484" s="18"/>
      <c r="CU484" s="3"/>
      <c r="CV484" s="18"/>
      <c r="CW484" s="7"/>
      <c r="CX484" s="18"/>
      <c r="CY484" s="7"/>
      <c r="CZ484" s="18"/>
      <c r="DA484" s="3"/>
      <c r="DB484" s="18"/>
      <c r="DC484" s="11"/>
      <c r="DD484" s="18"/>
      <c r="DE484" s="7"/>
      <c r="DF484" s="7"/>
      <c r="DG484" s="7"/>
      <c r="DH484" s="3"/>
      <c r="DI484" s="3"/>
      <c r="DJ484" s="3"/>
      <c r="DK484" s="3"/>
      <c r="DL484" s="3"/>
      <c r="DM484" s="3"/>
      <c r="DN484" s="3"/>
      <c r="DO484" s="3"/>
      <c r="DP484" s="3"/>
      <c r="DQ484" s="28"/>
      <c r="DR484" s="32"/>
      <c r="DS484" s="32"/>
      <c r="DT484" s="32"/>
      <c r="DU484" s="69"/>
    </row>
    <row r="485" spans="1:125" x14ac:dyDescent="0.25">
      <c r="A485" t="s">
        <v>154</v>
      </c>
      <c r="B485" s="2">
        <v>44861</v>
      </c>
      <c r="C485" s="1">
        <v>200</v>
      </c>
      <c r="D485">
        <v>63</v>
      </c>
      <c r="M485" s="3"/>
      <c r="N485" s="3"/>
      <c r="O485" s="3"/>
      <c r="P485" s="7"/>
      <c r="Q485" s="7"/>
      <c r="R485" s="7"/>
      <c r="S485" s="7"/>
      <c r="T485" s="11"/>
      <c r="U485" s="11"/>
      <c r="V485" s="11"/>
      <c r="W485" s="11"/>
      <c r="X485" s="14"/>
      <c r="Y485" s="14"/>
      <c r="Z485" s="14"/>
      <c r="AA485" s="14"/>
      <c r="AB485" s="15"/>
      <c r="AC485" s="15"/>
      <c r="AD485" s="13"/>
      <c r="AE485" s="13"/>
      <c r="AF485" s="12"/>
      <c r="AG485" s="12"/>
      <c r="AH485" s="13"/>
      <c r="AI485" s="13"/>
      <c r="AJ485" s="11"/>
      <c r="AK485" s="11"/>
      <c r="AL485" s="11"/>
      <c r="AM485" s="11"/>
      <c r="AN485" s="11"/>
      <c r="AO485" s="11"/>
      <c r="AP485" s="11"/>
      <c r="AQ485" s="11"/>
      <c r="AR485" s="16"/>
      <c r="AS485" s="16"/>
      <c r="AT485" s="16"/>
      <c r="AU485" s="7"/>
      <c r="AV485" s="7"/>
      <c r="AW485" s="7"/>
      <c r="AX485" s="7"/>
      <c r="AY485" s="11"/>
      <c r="AZ485" s="16"/>
      <c r="BA485" s="16"/>
      <c r="BB485" s="16"/>
      <c r="BC485" s="11"/>
      <c r="BD485" s="11"/>
      <c r="BE485" s="11"/>
      <c r="BF485" s="11"/>
      <c r="BG485" s="11"/>
      <c r="BH485" s="11"/>
      <c r="BI485" s="13"/>
      <c r="BJ485" s="13"/>
      <c r="BK485" s="11"/>
      <c r="BL485" s="12"/>
      <c r="BM485" s="12"/>
      <c r="BN485" s="13"/>
      <c r="BO485" s="13"/>
      <c r="BP485" s="15"/>
      <c r="BQ485" s="15"/>
      <c r="BR485" s="14"/>
      <c r="BS485" s="14"/>
      <c r="BT485" s="14"/>
      <c r="BU485" s="14"/>
      <c r="BV485" s="11"/>
      <c r="BW485" s="11"/>
      <c r="BX485" s="11"/>
      <c r="BY485" s="11"/>
      <c r="BZ485" s="7"/>
      <c r="CA485" s="7"/>
      <c r="CB485" s="7"/>
      <c r="CC485" s="7"/>
      <c r="CD485" s="7"/>
      <c r="CE485" s="3"/>
      <c r="CF485" s="7"/>
      <c r="CG485" s="3"/>
      <c r="CH485" s="7"/>
      <c r="CI485" s="7"/>
      <c r="CJ485" s="3"/>
      <c r="CK485" s="7"/>
      <c r="CL485" s="3"/>
      <c r="CM485" s="7"/>
      <c r="CN485" s="10"/>
      <c r="CO485" s="10"/>
      <c r="CP485" s="7"/>
      <c r="CQ485" s="17"/>
      <c r="CR485" s="4"/>
      <c r="CS485" s="12"/>
      <c r="CT485" s="18"/>
      <c r="CU485" s="3"/>
      <c r="CV485" s="18"/>
      <c r="CW485" s="7"/>
      <c r="CX485" s="18"/>
      <c r="CY485" s="7"/>
      <c r="CZ485" s="18"/>
      <c r="DA485" s="3"/>
      <c r="DB485" s="18"/>
      <c r="DC485" s="11"/>
      <c r="DD485" s="18"/>
      <c r="DE485" s="7"/>
      <c r="DF485" s="7"/>
      <c r="DG485" s="7"/>
      <c r="DH485" s="3"/>
      <c r="DI485" s="3"/>
      <c r="DJ485" s="3"/>
      <c r="DK485" s="3"/>
      <c r="DL485" s="3"/>
      <c r="DM485" s="3"/>
      <c r="DN485" s="3"/>
      <c r="DO485" s="3"/>
      <c r="DP485" s="3"/>
      <c r="DQ485" s="28"/>
      <c r="DR485" s="32"/>
      <c r="DS485" s="32"/>
      <c r="DT485" s="32"/>
      <c r="DU485" s="69"/>
    </row>
    <row r="486" spans="1:125" x14ac:dyDescent="0.25">
      <c r="A486" t="s">
        <v>155</v>
      </c>
      <c r="B486" s="2">
        <v>44798</v>
      </c>
      <c r="C486" s="1">
        <v>3850</v>
      </c>
      <c r="D486">
        <v>72</v>
      </c>
      <c r="M486" s="3"/>
      <c r="N486" s="3"/>
      <c r="O486" s="3"/>
      <c r="P486" s="7"/>
      <c r="Q486" s="7"/>
      <c r="R486" s="7"/>
      <c r="S486" s="7"/>
      <c r="T486" s="11"/>
      <c r="U486" s="11"/>
      <c r="V486" s="11"/>
      <c r="W486" s="11"/>
      <c r="X486" s="14"/>
      <c r="Y486" s="14"/>
      <c r="Z486" s="14"/>
      <c r="AA486" s="14"/>
      <c r="AB486" s="15"/>
      <c r="AC486" s="15"/>
      <c r="AD486" s="13"/>
      <c r="AE486" s="13"/>
      <c r="AF486" s="12"/>
      <c r="AG486" s="12"/>
      <c r="AH486" s="13"/>
      <c r="AI486" s="13"/>
      <c r="AJ486" s="11"/>
      <c r="AK486" s="11"/>
      <c r="AL486" s="11"/>
      <c r="AM486" s="11"/>
      <c r="AN486" s="11"/>
      <c r="AO486" s="11"/>
      <c r="AP486" s="11"/>
      <c r="AQ486" s="11"/>
      <c r="AR486" s="16"/>
      <c r="AS486" s="16"/>
      <c r="AT486" s="16"/>
      <c r="AU486" s="7"/>
      <c r="AV486" s="7"/>
      <c r="AW486" s="7"/>
      <c r="AX486" s="7"/>
      <c r="AY486" s="11"/>
      <c r="AZ486" s="16"/>
      <c r="BA486" s="16"/>
      <c r="BB486" s="16"/>
      <c r="BC486" s="11"/>
      <c r="BD486" s="11"/>
      <c r="BE486" s="11"/>
      <c r="BF486" s="11"/>
      <c r="BG486" s="11"/>
      <c r="BH486" s="11"/>
      <c r="BI486" s="13"/>
      <c r="BJ486" s="13"/>
      <c r="BK486" s="11"/>
      <c r="BL486" s="12"/>
      <c r="BM486" s="12"/>
      <c r="BN486" s="13"/>
      <c r="BO486" s="13"/>
      <c r="BP486" s="15"/>
      <c r="BQ486" s="15"/>
      <c r="BR486" s="14"/>
      <c r="BS486" s="14"/>
      <c r="BT486" s="14"/>
      <c r="BU486" s="14"/>
      <c r="BV486" s="11"/>
      <c r="BW486" s="11"/>
      <c r="BX486" s="11"/>
      <c r="BY486" s="11"/>
      <c r="BZ486" s="7"/>
      <c r="CA486" s="7"/>
      <c r="CB486" s="7"/>
      <c r="CC486" s="7"/>
      <c r="CD486" s="7"/>
      <c r="CE486" s="3"/>
      <c r="CF486" s="7"/>
      <c r="CG486" s="3"/>
      <c r="CH486" s="7"/>
      <c r="CI486" s="7"/>
      <c r="CJ486" s="3"/>
      <c r="CK486" s="7"/>
      <c r="CL486" s="3"/>
      <c r="CM486" s="7"/>
      <c r="CN486" s="10"/>
      <c r="CO486" s="10"/>
      <c r="CP486" s="7"/>
      <c r="CQ486" s="17"/>
      <c r="CR486" s="4"/>
      <c r="CS486" s="12"/>
      <c r="CT486" s="18"/>
      <c r="CU486" s="3"/>
      <c r="CV486" s="18"/>
      <c r="CW486" s="7"/>
      <c r="CX486" s="18"/>
      <c r="CY486" s="7"/>
      <c r="CZ486" s="18"/>
      <c r="DA486" s="3"/>
      <c r="DB486" s="18"/>
      <c r="DC486" s="11"/>
      <c r="DD486" s="18"/>
      <c r="DE486" s="7"/>
      <c r="DF486" s="7"/>
      <c r="DG486" s="7"/>
      <c r="DH486" s="3"/>
      <c r="DI486" s="3"/>
      <c r="DJ486" s="3"/>
      <c r="DK486" s="3"/>
      <c r="DL486" s="3"/>
      <c r="DM486" s="3"/>
      <c r="DN486" s="3"/>
      <c r="DO486" s="3"/>
      <c r="DP486" s="3"/>
      <c r="DQ486" s="28"/>
      <c r="DR486" s="32"/>
      <c r="DS486" s="32"/>
      <c r="DT486" s="32"/>
      <c r="DU486" s="69"/>
    </row>
    <row r="487" spans="1:125" x14ac:dyDescent="0.25">
      <c r="A487" t="s">
        <v>155</v>
      </c>
      <c r="B487" s="2">
        <v>44833</v>
      </c>
      <c r="C487" s="1">
        <v>3850</v>
      </c>
      <c r="D487">
        <v>72</v>
      </c>
      <c r="M487" s="3"/>
      <c r="N487" s="3"/>
      <c r="O487" s="3"/>
      <c r="P487" s="7"/>
      <c r="Q487" s="7"/>
      <c r="R487" s="7"/>
      <c r="S487" s="7"/>
      <c r="T487" s="11"/>
      <c r="U487" s="11"/>
      <c r="V487" s="11"/>
      <c r="W487" s="11"/>
      <c r="X487" s="14"/>
      <c r="Y487" s="14"/>
      <c r="Z487" s="14"/>
      <c r="AA487" s="14"/>
      <c r="AB487" s="15"/>
      <c r="AC487" s="15"/>
      <c r="AD487" s="13"/>
      <c r="AE487" s="13"/>
      <c r="AF487" s="12"/>
      <c r="AG487" s="12"/>
      <c r="AH487" s="13"/>
      <c r="AI487" s="13"/>
      <c r="AJ487" s="11"/>
      <c r="AK487" s="11"/>
      <c r="AL487" s="11"/>
      <c r="AM487" s="11"/>
      <c r="AN487" s="11"/>
      <c r="AO487" s="11"/>
      <c r="AP487" s="11"/>
      <c r="AQ487" s="11"/>
      <c r="AR487" s="16"/>
      <c r="AS487" s="16"/>
      <c r="AT487" s="16"/>
      <c r="AU487" s="7"/>
      <c r="AV487" s="7"/>
      <c r="AW487" s="7"/>
      <c r="AX487" s="7"/>
      <c r="AY487" s="11"/>
      <c r="AZ487" s="16"/>
      <c r="BA487" s="16"/>
      <c r="BB487" s="16"/>
      <c r="BC487" s="11"/>
      <c r="BD487" s="11"/>
      <c r="BE487" s="11"/>
      <c r="BF487" s="11"/>
      <c r="BG487" s="11"/>
      <c r="BH487" s="11"/>
      <c r="BI487" s="13"/>
      <c r="BJ487" s="13"/>
      <c r="BK487" s="11"/>
      <c r="BL487" s="12"/>
      <c r="BM487" s="12"/>
      <c r="BN487" s="13"/>
      <c r="BO487" s="13"/>
      <c r="BP487" s="15"/>
      <c r="BQ487" s="15"/>
      <c r="BR487" s="14"/>
      <c r="BS487" s="14"/>
      <c r="BT487" s="14"/>
      <c r="BU487" s="14"/>
      <c r="BV487" s="11"/>
      <c r="BW487" s="11"/>
      <c r="BX487" s="11"/>
      <c r="BY487" s="11"/>
      <c r="BZ487" s="7"/>
      <c r="CA487" s="7"/>
      <c r="CB487" s="7"/>
      <c r="CC487" s="7"/>
      <c r="CD487" s="7"/>
      <c r="CE487" s="3"/>
      <c r="CF487" s="7"/>
      <c r="CG487" s="3"/>
      <c r="CH487" s="7"/>
      <c r="CI487" s="7"/>
      <c r="CJ487" s="3"/>
      <c r="CK487" s="7"/>
      <c r="CL487" s="3"/>
      <c r="CM487" s="7"/>
      <c r="CN487" s="10"/>
      <c r="CO487" s="10"/>
      <c r="CP487" s="7"/>
      <c r="CQ487" s="17"/>
      <c r="CR487" s="4"/>
      <c r="CS487" s="12"/>
      <c r="CT487" s="18"/>
      <c r="CU487" s="3"/>
      <c r="CV487" s="18"/>
      <c r="CW487" s="7"/>
      <c r="CX487" s="18"/>
      <c r="CY487" s="7"/>
      <c r="CZ487" s="18"/>
      <c r="DA487" s="3"/>
      <c r="DB487" s="18"/>
      <c r="DC487" s="11"/>
      <c r="DD487" s="18"/>
      <c r="DE487" s="7"/>
      <c r="DF487" s="7"/>
      <c r="DG487" s="7"/>
      <c r="DH487" s="3"/>
      <c r="DI487" s="3"/>
      <c r="DJ487" s="3"/>
      <c r="DK487" s="3"/>
      <c r="DL487" s="3"/>
      <c r="DM487" s="3"/>
      <c r="DN487" s="3"/>
      <c r="DO487" s="3"/>
      <c r="DP487" s="3"/>
      <c r="DQ487" s="28"/>
      <c r="DR487" s="32"/>
      <c r="DS487" s="32"/>
      <c r="DT487" s="32"/>
      <c r="DU487" s="69"/>
    </row>
    <row r="488" spans="1:125" x14ac:dyDescent="0.25">
      <c r="A488" t="s">
        <v>155</v>
      </c>
      <c r="B488" s="2">
        <v>44861</v>
      </c>
      <c r="C488" s="1">
        <v>3850</v>
      </c>
      <c r="D488">
        <v>72</v>
      </c>
      <c r="M488" s="3"/>
      <c r="N488" s="3"/>
      <c r="O488" s="3"/>
      <c r="P488" s="7"/>
      <c r="Q488" s="7"/>
      <c r="R488" s="7"/>
      <c r="S488" s="7"/>
      <c r="T488" s="11"/>
      <c r="U488" s="11"/>
      <c r="V488" s="11"/>
      <c r="W488" s="11"/>
      <c r="X488" s="14"/>
      <c r="Y488" s="14"/>
      <c r="Z488" s="14"/>
      <c r="AA488" s="14"/>
      <c r="AB488" s="15"/>
      <c r="AC488" s="15"/>
      <c r="AD488" s="13"/>
      <c r="AE488" s="13"/>
      <c r="AF488" s="12"/>
      <c r="AG488" s="12"/>
      <c r="AH488" s="13"/>
      <c r="AI488" s="13"/>
      <c r="AJ488" s="11"/>
      <c r="AK488" s="11"/>
      <c r="AL488" s="11"/>
      <c r="AM488" s="11"/>
      <c r="AN488" s="11"/>
      <c r="AO488" s="11"/>
      <c r="AP488" s="11"/>
      <c r="AQ488" s="11"/>
      <c r="AR488" s="16"/>
      <c r="AS488" s="16"/>
      <c r="AT488" s="16"/>
      <c r="AU488" s="7"/>
      <c r="AV488" s="7"/>
      <c r="AW488" s="7"/>
      <c r="AX488" s="7"/>
      <c r="AY488" s="11"/>
      <c r="AZ488" s="16"/>
      <c r="BA488" s="16"/>
      <c r="BB488" s="16"/>
      <c r="BC488" s="11"/>
      <c r="BD488" s="11"/>
      <c r="BE488" s="11"/>
      <c r="BF488" s="11"/>
      <c r="BG488" s="11"/>
      <c r="BH488" s="11"/>
      <c r="BI488" s="13"/>
      <c r="BJ488" s="13"/>
      <c r="BK488" s="11"/>
      <c r="BL488" s="12"/>
      <c r="BM488" s="12"/>
      <c r="BN488" s="13"/>
      <c r="BO488" s="13"/>
      <c r="BP488" s="15"/>
      <c r="BQ488" s="15"/>
      <c r="BR488" s="14"/>
      <c r="BS488" s="14"/>
      <c r="BT488" s="14"/>
      <c r="BU488" s="14"/>
      <c r="BV488" s="11"/>
      <c r="BW488" s="11"/>
      <c r="BX488" s="11"/>
      <c r="BY488" s="11"/>
      <c r="BZ488" s="7"/>
      <c r="CA488" s="7"/>
      <c r="CB488" s="7"/>
      <c r="CC488" s="7"/>
      <c r="CD488" s="7"/>
      <c r="CE488" s="3"/>
      <c r="CF488" s="7"/>
      <c r="CG488" s="3"/>
      <c r="CH488" s="7"/>
      <c r="CI488" s="7"/>
      <c r="CJ488" s="3"/>
      <c r="CK488" s="7"/>
      <c r="CL488" s="3"/>
      <c r="CM488" s="7"/>
      <c r="CN488" s="10"/>
      <c r="CO488" s="10"/>
      <c r="CP488" s="7"/>
      <c r="CQ488" s="17"/>
      <c r="CR488" s="4"/>
      <c r="CS488" s="12"/>
      <c r="CT488" s="18"/>
      <c r="CU488" s="3"/>
      <c r="CV488" s="18"/>
      <c r="CW488" s="7"/>
      <c r="CX488" s="18"/>
      <c r="CY488" s="7"/>
      <c r="CZ488" s="18"/>
      <c r="DA488" s="3"/>
      <c r="DB488" s="18"/>
      <c r="DC488" s="11"/>
      <c r="DD488" s="18"/>
      <c r="DE488" s="7"/>
      <c r="DF488" s="7"/>
      <c r="DG488" s="7"/>
      <c r="DH488" s="3"/>
      <c r="DI488" s="3"/>
      <c r="DJ488" s="3"/>
      <c r="DK488" s="3"/>
      <c r="DL488" s="3"/>
      <c r="DM488" s="3"/>
      <c r="DN488" s="3"/>
      <c r="DO488" s="3"/>
      <c r="DP488" s="3"/>
      <c r="DQ488" s="28"/>
      <c r="DR488" s="32"/>
      <c r="DS488" s="32"/>
      <c r="DT488" s="32"/>
      <c r="DU488" s="69"/>
    </row>
    <row r="489" spans="1:125" x14ac:dyDescent="0.25">
      <c r="A489" t="s">
        <v>156</v>
      </c>
      <c r="B489" s="2">
        <v>44798</v>
      </c>
      <c r="C489" s="1">
        <v>15</v>
      </c>
      <c r="D489">
        <v>88</v>
      </c>
      <c r="M489" s="3"/>
      <c r="N489" s="3"/>
      <c r="O489" s="3"/>
      <c r="P489" s="7"/>
      <c r="Q489" s="7"/>
      <c r="R489" s="7"/>
      <c r="S489" s="7"/>
      <c r="T489" s="11"/>
      <c r="U489" s="11"/>
      <c r="V489" s="11"/>
      <c r="W489" s="11"/>
      <c r="X489" s="14"/>
      <c r="Y489" s="14"/>
      <c r="Z489" s="14"/>
      <c r="AA489" s="14"/>
      <c r="AB489" s="15"/>
      <c r="AC489" s="15"/>
      <c r="AD489" s="13"/>
      <c r="AE489" s="13"/>
      <c r="AF489" s="12"/>
      <c r="AG489" s="12"/>
      <c r="AH489" s="13"/>
      <c r="AI489" s="13"/>
      <c r="AJ489" s="11"/>
      <c r="AK489" s="11"/>
      <c r="AL489" s="11"/>
      <c r="AM489" s="11"/>
      <c r="AN489" s="11"/>
      <c r="AO489" s="11"/>
      <c r="AP489" s="11"/>
      <c r="AQ489" s="11"/>
      <c r="AR489" s="16"/>
      <c r="AS489" s="16"/>
      <c r="AT489" s="16"/>
      <c r="AU489" s="7"/>
      <c r="AV489" s="7"/>
      <c r="AW489" s="7"/>
      <c r="AX489" s="7"/>
      <c r="AY489" s="11"/>
      <c r="AZ489" s="16"/>
      <c r="BA489" s="16"/>
      <c r="BB489" s="16"/>
      <c r="BC489" s="11"/>
      <c r="BD489" s="11"/>
      <c r="BE489" s="11"/>
      <c r="BF489" s="11"/>
      <c r="BG489" s="11"/>
      <c r="BH489" s="11"/>
      <c r="BI489" s="13"/>
      <c r="BJ489" s="13"/>
      <c r="BK489" s="11"/>
      <c r="BL489" s="12"/>
      <c r="BM489" s="12"/>
      <c r="BN489" s="13"/>
      <c r="BO489" s="13"/>
      <c r="BP489" s="15"/>
      <c r="BQ489" s="15"/>
      <c r="BR489" s="14"/>
      <c r="BS489" s="14"/>
      <c r="BT489" s="14"/>
      <c r="BU489" s="14"/>
      <c r="BV489" s="11"/>
      <c r="BW489" s="11"/>
      <c r="BX489" s="11"/>
      <c r="BY489" s="11"/>
      <c r="BZ489" s="7"/>
      <c r="CA489" s="7"/>
      <c r="CB489" s="7"/>
      <c r="CC489" s="7"/>
      <c r="CD489" s="7"/>
      <c r="CE489" s="3"/>
      <c r="CF489" s="7"/>
      <c r="CG489" s="3"/>
      <c r="CH489" s="7"/>
      <c r="CI489" s="7"/>
      <c r="CJ489" s="3"/>
      <c r="CK489" s="7"/>
      <c r="CL489" s="3"/>
      <c r="CM489" s="7"/>
      <c r="CN489" s="10"/>
      <c r="CO489" s="10"/>
      <c r="CP489" s="7"/>
      <c r="CQ489" s="17"/>
      <c r="CR489" s="4"/>
      <c r="CS489" s="12"/>
      <c r="CT489" s="18"/>
      <c r="CU489" s="3"/>
      <c r="CV489" s="18"/>
      <c r="CW489" s="7"/>
      <c r="CX489" s="18"/>
      <c r="CY489" s="7"/>
      <c r="CZ489" s="18"/>
      <c r="DA489" s="3"/>
      <c r="DB489" s="18"/>
      <c r="DC489" s="11"/>
      <c r="DD489" s="18"/>
      <c r="DE489" s="7"/>
      <c r="DF489" s="7"/>
      <c r="DG489" s="7"/>
      <c r="DH489" s="3"/>
      <c r="DI489" s="3"/>
      <c r="DJ489" s="3"/>
      <c r="DK489" s="3"/>
      <c r="DL489" s="3"/>
      <c r="DM489" s="3"/>
      <c r="DN489" s="3"/>
      <c r="DO489" s="3"/>
      <c r="DP489" s="3"/>
      <c r="DQ489" s="28"/>
      <c r="DR489" s="32"/>
      <c r="DS489" s="32"/>
      <c r="DT489" s="32"/>
      <c r="DU489" s="69"/>
    </row>
    <row r="490" spans="1:125" x14ac:dyDescent="0.25">
      <c r="A490" t="s">
        <v>156</v>
      </c>
      <c r="B490" s="2">
        <v>44833</v>
      </c>
      <c r="C490" s="1">
        <v>15</v>
      </c>
      <c r="D490">
        <v>88</v>
      </c>
      <c r="M490" s="3"/>
      <c r="N490" s="3"/>
      <c r="O490" s="3"/>
      <c r="P490" s="7"/>
      <c r="Q490" s="7"/>
      <c r="R490" s="7"/>
      <c r="S490" s="7"/>
      <c r="T490" s="11"/>
      <c r="U490" s="11"/>
      <c r="V490" s="11"/>
      <c r="W490" s="11"/>
      <c r="X490" s="14"/>
      <c r="Y490" s="14"/>
      <c r="Z490" s="14"/>
      <c r="AA490" s="14"/>
      <c r="AB490" s="15"/>
      <c r="AC490" s="15"/>
      <c r="AD490" s="13"/>
      <c r="AE490" s="13"/>
      <c r="AF490" s="12"/>
      <c r="AG490" s="12"/>
      <c r="AH490" s="13"/>
      <c r="AI490" s="13"/>
      <c r="AJ490" s="11"/>
      <c r="AK490" s="11"/>
      <c r="AL490" s="11"/>
      <c r="AM490" s="11"/>
      <c r="AN490" s="11"/>
      <c r="AO490" s="11"/>
      <c r="AP490" s="11"/>
      <c r="AQ490" s="11"/>
      <c r="AR490" s="16"/>
      <c r="AS490" s="16"/>
      <c r="AT490" s="16"/>
      <c r="AU490" s="7"/>
      <c r="AV490" s="7"/>
      <c r="AW490" s="7"/>
      <c r="AX490" s="7"/>
      <c r="AY490" s="11"/>
      <c r="AZ490" s="16"/>
      <c r="BA490" s="16"/>
      <c r="BB490" s="16"/>
      <c r="BC490" s="11"/>
      <c r="BD490" s="11"/>
      <c r="BE490" s="11"/>
      <c r="BF490" s="11"/>
      <c r="BG490" s="11"/>
      <c r="BH490" s="11"/>
      <c r="BI490" s="13"/>
      <c r="BJ490" s="13"/>
      <c r="BK490" s="11"/>
      <c r="BL490" s="12"/>
      <c r="BM490" s="12"/>
      <c r="BN490" s="13"/>
      <c r="BO490" s="13"/>
      <c r="BP490" s="15"/>
      <c r="BQ490" s="15"/>
      <c r="BR490" s="14"/>
      <c r="BS490" s="14"/>
      <c r="BT490" s="14"/>
      <c r="BU490" s="14"/>
      <c r="BV490" s="11"/>
      <c r="BW490" s="11"/>
      <c r="BX490" s="11"/>
      <c r="BY490" s="11"/>
      <c r="BZ490" s="7"/>
      <c r="CA490" s="7"/>
      <c r="CB490" s="7"/>
      <c r="CC490" s="7"/>
      <c r="CD490" s="7"/>
      <c r="CE490" s="3"/>
      <c r="CF490" s="7"/>
      <c r="CG490" s="3"/>
      <c r="CH490" s="7"/>
      <c r="CI490" s="7"/>
      <c r="CJ490" s="3"/>
      <c r="CK490" s="7"/>
      <c r="CL490" s="3"/>
      <c r="CM490" s="7"/>
      <c r="CN490" s="10"/>
      <c r="CO490" s="10"/>
      <c r="CP490" s="7"/>
      <c r="CQ490" s="17"/>
      <c r="CR490" s="4"/>
      <c r="CS490" s="12"/>
      <c r="CT490" s="18"/>
      <c r="CU490" s="3"/>
      <c r="CV490" s="18"/>
      <c r="CW490" s="7"/>
      <c r="CX490" s="18"/>
      <c r="CY490" s="7"/>
      <c r="CZ490" s="18"/>
      <c r="DA490" s="3"/>
      <c r="DB490" s="18"/>
      <c r="DC490" s="11"/>
      <c r="DD490" s="18"/>
      <c r="DE490" s="7"/>
      <c r="DF490" s="7"/>
      <c r="DG490" s="7"/>
      <c r="DH490" s="3"/>
      <c r="DI490" s="3"/>
      <c r="DJ490" s="3"/>
      <c r="DK490" s="3"/>
      <c r="DL490" s="3"/>
      <c r="DM490" s="3"/>
      <c r="DN490" s="3"/>
      <c r="DO490" s="3"/>
      <c r="DP490" s="3"/>
      <c r="DQ490" s="28"/>
      <c r="DR490" s="32"/>
      <c r="DS490" s="32"/>
      <c r="DT490" s="32"/>
      <c r="DU490" s="69"/>
    </row>
    <row r="491" spans="1:125" x14ac:dyDescent="0.25">
      <c r="A491" t="s">
        <v>156</v>
      </c>
      <c r="B491" s="2">
        <v>44861</v>
      </c>
      <c r="C491" s="1">
        <v>15</v>
      </c>
      <c r="D491">
        <v>88</v>
      </c>
      <c r="M491" s="3"/>
      <c r="N491" s="3"/>
      <c r="O491" s="3"/>
      <c r="P491" s="7"/>
      <c r="Q491" s="7"/>
      <c r="R491" s="7"/>
      <c r="S491" s="7"/>
      <c r="T491" s="11"/>
      <c r="U491" s="11"/>
      <c r="V491" s="11"/>
      <c r="W491" s="11"/>
      <c r="X491" s="14"/>
      <c r="Y491" s="14"/>
      <c r="Z491" s="14"/>
      <c r="AA491" s="14"/>
      <c r="AB491" s="15"/>
      <c r="AC491" s="15"/>
      <c r="AD491" s="13"/>
      <c r="AE491" s="13"/>
      <c r="AF491" s="12"/>
      <c r="AG491" s="12"/>
      <c r="AH491" s="13"/>
      <c r="AI491" s="13"/>
      <c r="AJ491" s="11"/>
      <c r="AK491" s="11"/>
      <c r="AL491" s="11"/>
      <c r="AM491" s="11"/>
      <c r="AN491" s="11"/>
      <c r="AO491" s="11"/>
      <c r="AP491" s="11"/>
      <c r="AQ491" s="11"/>
      <c r="AR491" s="16"/>
      <c r="AS491" s="16"/>
      <c r="AT491" s="16"/>
      <c r="AU491" s="7"/>
      <c r="AV491" s="7"/>
      <c r="AW491" s="7"/>
      <c r="AX491" s="7"/>
      <c r="AY491" s="11"/>
      <c r="AZ491" s="16"/>
      <c r="BA491" s="16"/>
      <c r="BB491" s="16"/>
      <c r="BC491" s="11"/>
      <c r="BD491" s="11"/>
      <c r="BE491" s="11"/>
      <c r="BF491" s="11"/>
      <c r="BG491" s="11"/>
      <c r="BH491" s="11"/>
      <c r="BI491" s="13"/>
      <c r="BJ491" s="13"/>
      <c r="BK491" s="11"/>
      <c r="BL491" s="12"/>
      <c r="BM491" s="12"/>
      <c r="BN491" s="13"/>
      <c r="BO491" s="13"/>
      <c r="BP491" s="15"/>
      <c r="BQ491" s="15"/>
      <c r="BR491" s="14"/>
      <c r="BS491" s="14"/>
      <c r="BT491" s="14"/>
      <c r="BU491" s="14"/>
      <c r="BV491" s="11"/>
      <c r="BW491" s="11"/>
      <c r="BX491" s="11"/>
      <c r="BY491" s="11"/>
      <c r="BZ491" s="7"/>
      <c r="CA491" s="7"/>
      <c r="CB491" s="7"/>
      <c r="CC491" s="7"/>
      <c r="CD491" s="7"/>
      <c r="CE491" s="3"/>
      <c r="CF491" s="7"/>
      <c r="CG491" s="3"/>
      <c r="CH491" s="7"/>
      <c r="CI491" s="7"/>
      <c r="CJ491" s="3"/>
      <c r="CK491" s="7"/>
      <c r="CL491" s="3"/>
      <c r="CM491" s="7"/>
      <c r="CN491" s="10"/>
      <c r="CO491" s="10"/>
      <c r="CP491" s="7"/>
      <c r="CQ491" s="17"/>
      <c r="CR491" s="4"/>
      <c r="CS491" s="12"/>
      <c r="CT491" s="18"/>
      <c r="CU491" s="3"/>
      <c r="CV491" s="18"/>
      <c r="CW491" s="7"/>
      <c r="CX491" s="18"/>
      <c r="CY491" s="7"/>
      <c r="CZ491" s="18"/>
      <c r="DA491" s="3"/>
      <c r="DB491" s="18"/>
      <c r="DC491" s="11"/>
      <c r="DD491" s="18"/>
      <c r="DE491" s="7"/>
      <c r="DF491" s="7"/>
      <c r="DG491" s="7"/>
      <c r="DH491" s="3"/>
      <c r="DI491" s="3"/>
      <c r="DJ491" s="3"/>
      <c r="DK491" s="3"/>
      <c r="DL491" s="3"/>
      <c r="DM491" s="3"/>
      <c r="DN491" s="3"/>
      <c r="DO491" s="3"/>
      <c r="DP491" s="3"/>
      <c r="DQ491" s="28"/>
      <c r="DR491" s="32"/>
      <c r="DS491" s="32"/>
      <c r="DT491" s="32"/>
      <c r="DU491" s="69"/>
    </row>
    <row r="492" spans="1:125" x14ac:dyDescent="0.25">
      <c r="A492" t="s">
        <v>157</v>
      </c>
      <c r="B492" s="2">
        <v>44798</v>
      </c>
      <c r="C492" s="1">
        <v>275</v>
      </c>
      <c r="D492">
        <v>101</v>
      </c>
      <c r="M492" s="3"/>
      <c r="N492" s="3"/>
      <c r="O492" s="3"/>
      <c r="P492" s="7"/>
      <c r="Q492" s="7"/>
      <c r="R492" s="7"/>
      <c r="S492" s="7"/>
      <c r="T492" s="11"/>
      <c r="U492" s="11"/>
      <c r="V492" s="11"/>
      <c r="W492" s="11"/>
      <c r="X492" s="14"/>
      <c r="Y492" s="14"/>
      <c r="Z492" s="14"/>
      <c r="AA492" s="14"/>
      <c r="AB492" s="15"/>
      <c r="AC492" s="15"/>
      <c r="AD492" s="13"/>
      <c r="AE492" s="13"/>
      <c r="AF492" s="12"/>
      <c r="AG492" s="12"/>
      <c r="AH492" s="13"/>
      <c r="AI492" s="13"/>
      <c r="AJ492" s="11"/>
      <c r="AK492" s="11"/>
      <c r="AL492" s="11"/>
      <c r="AM492" s="11"/>
      <c r="AN492" s="11"/>
      <c r="AO492" s="11"/>
      <c r="AP492" s="11"/>
      <c r="AQ492" s="11"/>
      <c r="AR492" s="16"/>
      <c r="AS492" s="16"/>
      <c r="AT492" s="16"/>
      <c r="AU492" s="7"/>
      <c r="AV492" s="7"/>
      <c r="AW492" s="7"/>
      <c r="AX492" s="7"/>
      <c r="AY492" s="11"/>
      <c r="AZ492" s="16"/>
      <c r="BA492" s="16"/>
      <c r="BB492" s="16"/>
      <c r="BC492" s="11"/>
      <c r="BD492" s="11"/>
      <c r="BE492" s="11"/>
      <c r="BF492" s="11"/>
      <c r="BG492" s="11"/>
      <c r="BH492" s="11"/>
      <c r="BI492" s="13"/>
      <c r="BJ492" s="13"/>
      <c r="BK492" s="11"/>
      <c r="BL492" s="12"/>
      <c r="BM492" s="12"/>
      <c r="BN492" s="13"/>
      <c r="BO492" s="13"/>
      <c r="BP492" s="15"/>
      <c r="BQ492" s="15"/>
      <c r="BR492" s="14"/>
      <c r="BS492" s="14"/>
      <c r="BT492" s="14"/>
      <c r="BU492" s="14"/>
      <c r="BV492" s="11"/>
      <c r="BW492" s="11"/>
      <c r="BX492" s="11"/>
      <c r="BY492" s="11"/>
      <c r="BZ492" s="7"/>
      <c r="CA492" s="7"/>
      <c r="CB492" s="7"/>
      <c r="CC492" s="7"/>
      <c r="CD492" s="7"/>
      <c r="CE492" s="3"/>
      <c r="CF492" s="7"/>
      <c r="CG492" s="3"/>
      <c r="CH492" s="7"/>
      <c r="CI492" s="7"/>
      <c r="CJ492" s="3"/>
      <c r="CK492" s="7"/>
      <c r="CL492" s="3"/>
      <c r="CM492" s="7"/>
      <c r="CN492" s="10"/>
      <c r="CO492" s="10"/>
      <c r="CP492" s="7"/>
      <c r="CQ492" s="17"/>
      <c r="CR492" s="4"/>
      <c r="CS492" s="12"/>
      <c r="CT492" s="18"/>
      <c r="CU492" s="3"/>
      <c r="CV492" s="18"/>
      <c r="CW492" s="7"/>
      <c r="CX492" s="18"/>
      <c r="CY492" s="7"/>
      <c r="CZ492" s="18"/>
      <c r="DA492" s="3"/>
      <c r="DB492" s="18"/>
      <c r="DC492" s="11"/>
      <c r="DD492" s="18"/>
      <c r="DE492" s="7"/>
      <c r="DF492" s="7"/>
      <c r="DG492" s="7"/>
      <c r="DH492" s="3"/>
      <c r="DI492" s="3"/>
      <c r="DJ492" s="3"/>
      <c r="DK492" s="3"/>
      <c r="DL492" s="3"/>
      <c r="DM492" s="3"/>
      <c r="DN492" s="3"/>
      <c r="DO492" s="3"/>
      <c r="DP492" s="3"/>
      <c r="DQ492" s="28"/>
      <c r="DR492" s="32"/>
      <c r="DS492" s="32"/>
      <c r="DT492" s="32"/>
      <c r="DU492" s="69"/>
    </row>
    <row r="493" spans="1:125" x14ac:dyDescent="0.25">
      <c r="A493" t="s">
        <v>157</v>
      </c>
      <c r="B493" s="2">
        <v>44833</v>
      </c>
      <c r="C493" s="1">
        <v>275</v>
      </c>
      <c r="D493">
        <v>101</v>
      </c>
      <c r="M493" s="3"/>
      <c r="N493" s="3"/>
      <c r="O493" s="3"/>
      <c r="P493" s="7"/>
      <c r="Q493" s="7"/>
      <c r="R493" s="7"/>
      <c r="S493" s="7"/>
      <c r="T493" s="11"/>
      <c r="U493" s="11"/>
      <c r="V493" s="11"/>
      <c r="W493" s="11"/>
      <c r="X493" s="14"/>
      <c r="Y493" s="14"/>
      <c r="Z493" s="14"/>
      <c r="AA493" s="14"/>
      <c r="AB493" s="15"/>
      <c r="AC493" s="15"/>
      <c r="AD493" s="13"/>
      <c r="AE493" s="13"/>
      <c r="AF493" s="12"/>
      <c r="AG493" s="12"/>
      <c r="AH493" s="13"/>
      <c r="AI493" s="13"/>
      <c r="AJ493" s="11"/>
      <c r="AK493" s="11"/>
      <c r="AL493" s="11"/>
      <c r="AM493" s="11"/>
      <c r="AN493" s="11"/>
      <c r="AO493" s="11"/>
      <c r="AP493" s="11"/>
      <c r="AQ493" s="11"/>
      <c r="AR493" s="16"/>
      <c r="AS493" s="16"/>
      <c r="AT493" s="16"/>
      <c r="AU493" s="7"/>
      <c r="AV493" s="7"/>
      <c r="AW493" s="7"/>
      <c r="AX493" s="7"/>
      <c r="AY493" s="11"/>
      <c r="AZ493" s="16"/>
      <c r="BA493" s="16"/>
      <c r="BB493" s="16"/>
      <c r="BC493" s="11"/>
      <c r="BD493" s="11"/>
      <c r="BE493" s="11"/>
      <c r="BF493" s="11"/>
      <c r="BG493" s="11"/>
      <c r="BH493" s="11"/>
      <c r="BI493" s="13"/>
      <c r="BJ493" s="13"/>
      <c r="BK493" s="11"/>
      <c r="BL493" s="12"/>
      <c r="BM493" s="12"/>
      <c r="BN493" s="13"/>
      <c r="BO493" s="13"/>
      <c r="BP493" s="15"/>
      <c r="BQ493" s="15"/>
      <c r="BR493" s="14"/>
      <c r="BS493" s="14"/>
      <c r="BT493" s="14"/>
      <c r="BU493" s="14"/>
      <c r="BV493" s="11"/>
      <c r="BW493" s="11"/>
      <c r="BX493" s="11"/>
      <c r="BY493" s="11"/>
      <c r="BZ493" s="7"/>
      <c r="CA493" s="7"/>
      <c r="CB493" s="7"/>
      <c r="CC493" s="7"/>
      <c r="CD493" s="7"/>
      <c r="CE493" s="3"/>
      <c r="CF493" s="7"/>
      <c r="CG493" s="3"/>
      <c r="CH493" s="7"/>
      <c r="CI493" s="7"/>
      <c r="CJ493" s="3"/>
      <c r="CK493" s="7"/>
      <c r="CL493" s="3"/>
      <c r="CM493" s="7"/>
      <c r="CN493" s="10"/>
      <c r="CO493" s="10"/>
      <c r="CP493" s="7"/>
      <c r="CQ493" s="17"/>
      <c r="CR493" s="4"/>
      <c r="CS493" s="12"/>
      <c r="CT493" s="18"/>
      <c r="CU493" s="3"/>
      <c r="CV493" s="18"/>
      <c r="CW493" s="7"/>
      <c r="CX493" s="18"/>
      <c r="CY493" s="7"/>
      <c r="CZ493" s="18"/>
      <c r="DA493" s="3"/>
      <c r="DB493" s="18"/>
      <c r="DC493" s="11"/>
      <c r="DD493" s="18"/>
      <c r="DE493" s="7"/>
      <c r="DF493" s="7"/>
      <c r="DG493" s="7"/>
      <c r="DH493" s="3"/>
      <c r="DI493" s="3"/>
      <c r="DJ493" s="3"/>
      <c r="DK493" s="3"/>
      <c r="DL493" s="3"/>
      <c r="DM493" s="3"/>
      <c r="DN493" s="3"/>
      <c r="DO493" s="3"/>
      <c r="DP493" s="3"/>
      <c r="DQ493" s="28"/>
      <c r="DR493" s="32"/>
      <c r="DS493" s="32"/>
      <c r="DT493" s="32"/>
      <c r="DU493" s="69"/>
    </row>
    <row r="494" spans="1:125" x14ac:dyDescent="0.25">
      <c r="A494" t="s">
        <v>157</v>
      </c>
      <c r="B494" s="2">
        <v>44861</v>
      </c>
      <c r="C494" s="1">
        <v>275</v>
      </c>
      <c r="D494">
        <v>101</v>
      </c>
      <c r="M494" s="3"/>
      <c r="N494" s="3"/>
      <c r="O494" s="3"/>
      <c r="P494" s="7"/>
      <c r="Q494" s="7"/>
      <c r="R494" s="7"/>
      <c r="S494" s="7"/>
      <c r="T494" s="11"/>
      <c r="U494" s="11"/>
      <c r="V494" s="11"/>
      <c r="W494" s="11"/>
      <c r="X494" s="14"/>
      <c r="Y494" s="14"/>
      <c r="Z494" s="14"/>
      <c r="AA494" s="14"/>
      <c r="AB494" s="15"/>
      <c r="AC494" s="15"/>
      <c r="AD494" s="13"/>
      <c r="AE494" s="13"/>
      <c r="AF494" s="12"/>
      <c r="AG494" s="12"/>
      <c r="AH494" s="13"/>
      <c r="AI494" s="13"/>
      <c r="AJ494" s="11"/>
      <c r="AK494" s="11"/>
      <c r="AL494" s="11"/>
      <c r="AM494" s="11"/>
      <c r="AN494" s="11"/>
      <c r="AO494" s="11"/>
      <c r="AP494" s="11"/>
      <c r="AQ494" s="11"/>
      <c r="AR494" s="16"/>
      <c r="AS494" s="16"/>
      <c r="AT494" s="16"/>
      <c r="AU494" s="7"/>
      <c r="AV494" s="7"/>
      <c r="AW494" s="7"/>
      <c r="AX494" s="7"/>
      <c r="AY494" s="11"/>
      <c r="AZ494" s="16"/>
      <c r="BA494" s="16"/>
      <c r="BB494" s="16"/>
      <c r="BC494" s="11"/>
      <c r="BD494" s="11"/>
      <c r="BE494" s="11"/>
      <c r="BF494" s="11"/>
      <c r="BG494" s="11"/>
      <c r="BH494" s="11"/>
      <c r="BI494" s="13"/>
      <c r="BJ494" s="13"/>
      <c r="BK494" s="11"/>
      <c r="BL494" s="12"/>
      <c r="BM494" s="12"/>
      <c r="BN494" s="13"/>
      <c r="BO494" s="13"/>
      <c r="BP494" s="15"/>
      <c r="BQ494" s="15"/>
      <c r="BR494" s="14"/>
      <c r="BS494" s="14"/>
      <c r="BT494" s="14"/>
      <c r="BU494" s="14"/>
      <c r="BV494" s="11"/>
      <c r="BW494" s="11"/>
      <c r="BX494" s="11"/>
      <c r="BY494" s="11"/>
      <c r="BZ494" s="7"/>
      <c r="CA494" s="7"/>
      <c r="CB494" s="7"/>
      <c r="CC494" s="7"/>
      <c r="CD494" s="7"/>
      <c r="CE494" s="3"/>
      <c r="CF494" s="7"/>
      <c r="CG494" s="3"/>
      <c r="CH494" s="7"/>
      <c r="CI494" s="7"/>
      <c r="CJ494" s="3"/>
      <c r="CK494" s="7"/>
      <c r="CL494" s="3"/>
      <c r="CM494" s="7"/>
      <c r="CN494" s="10"/>
      <c r="CO494" s="10"/>
      <c r="CP494" s="7"/>
      <c r="CQ494" s="17"/>
      <c r="CR494" s="4"/>
      <c r="CS494" s="12"/>
      <c r="CT494" s="18"/>
      <c r="CU494" s="3"/>
      <c r="CV494" s="18"/>
      <c r="CW494" s="7"/>
      <c r="CX494" s="18"/>
      <c r="CY494" s="7"/>
      <c r="CZ494" s="18"/>
      <c r="DA494" s="3"/>
      <c r="DB494" s="18"/>
      <c r="DC494" s="11"/>
      <c r="DD494" s="18"/>
      <c r="DE494" s="7"/>
      <c r="DF494" s="7"/>
      <c r="DG494" s="7"/>
      <c r="DH494" s="3"/>
      <c r="DI494" s="3"/>
      <c r="DJ494" s="3"/>
      <c r="DK494" s="3"/>
      <c r="DL494" s="3"/>
      <c r="DM494" s="3"/>
      <c r="DN494" s="3"/>
      <c r="DO494" s="3"/>
      <c r="DP494" s="3"/>
      <c r="DQ494" s="28"/>
      <c r="DR494" s="32"/>
      <c r="DS494" s="32"/>
      <c r="DT494" s="32"/>
      <c r="DU494" s="69"/>
    </row>
    <row r="495" spans="1:125" x14ac:dyDescent="0.25">
      <c r="A495" t="s">
        <v>158</v>
      </c>
      <c r="B495" s="2">
        <v>44798</v>
      </c>
      <c r="C495" s="1">
        <v>150</v>
      </c>
      <c r="D495">
        <v>79</v>
      </c>
      <c r="M495" s="3"/>
      <c r="N495" s="3"/>
      <c r="O495" s="3"/>
      <c r="P495" s="7"/>
      <c r="Q495" s="7"/>
      <c r="R495" s="7"/>
      <c r="S495" s="7"/>
      <c r="T495" s="11"/>
      <c r="U495" s="11"/>
      <c r="V495" s="11"/>
      <c r="W495" s="11"/>
      <c r="X495" s="14"/>
      <c r="Y495" s="14"/>
      <c r="Z495" s="14"/>
      <c r="AA495" s="14"/>
      <c r="AB495" s="15"/>
      <c r="AC495" s="15"/>
      <c r="AD495" s="13"/>
      <c r="AE495" s="13"/>
      <c r="AF495" s="12"/>
      <c r="AG495" s="12"/>
      <c r="AH495" s="13"/>
      <c r="AI495" s="13"/>
      <c r="AJ495" s="11"/>
      <c r="AK495" s="11"/>
      <c r="AL495" s="11"/>
      <c r="AM495" s="11"/>
      <c r="AN495" s="11"/>
      <c r="AO495" s="11"/>
      <c r="AP495" s="11"/>
      <c r="AQ495" s="11"/>
      <c r="AR495" s="16"/>
      <c r="AS495" s="16"/>
      <c r="AT495" s="16"/>
      <c r="AU495" s="7"/>
      <c r="AV495" s="7"/>
      <c r="AW495" s="7"/>
      <c r="AX495" s="7"/>
      <c r="AY495" s="11"/>
      <c r="AZ495" s="16"/>
      <c r="BA495" s="16"/>
      <c r="BB495" s="16"/>
      <c r="BC495" s="11"/>
      <c r="BD495" s="11"/>
      <c r="BE495" s="11"/>
      <c r="BF495" s="11"/>
      <c r="BG495" s="11"/>
      <c r="BH495" s="11"/>
      <c r="BI495" s="13"/>
      <c r="BJ495" s="13"/>
      <c r="BK495" s="11"/>
      <c r="BL495" s="12"/>
      <c r="BM495" s="12"/>
      <c r="BN495" s="13"/>
      <c r="BO495" s="13"/>
      <c r="BP495" s="15"/>
      <c r="BQ495" s="15"/>
      <c r="BR495" s="14"/>
      <c r="BS495" s="14"/>
      <c r="BT495" s="14"/>
      <c r="BU495" s="14"/>
      <c r="BV495" s="11"/>
      <c r="BW495" s="11"/>
      <c r="BX495" s="11"/>
      <c r="BY495" s="11"/>
      <c r="BZ495" s="7"/>
      <c r="CA495" s="7"/>
      <c r="CB495" s="7"/>
      <c r="CC495" s="7"/>
      <c r="CD495" s="7"/>
      <c r="CE495" s="3"/>
      <c r="CF495" s="7"/>
      <c r="CG495" s="3"/>
      <c r="CH495" s="7"/>
      <c r="CI495" s="7"/>
      <c r="CJ495" s="3"/>
      <c r="CK495" s="7"/>
      <c r="CL495" s="3"/>
      <c r="CM495" s="7"/>
      <c r="CN495" s="10"/>
      <c r="CO495" s="10"/>
      <c r="CP495" s="7"/>
      <c r="CQ495" s="17"/>
      <c r="CR495" s="4"/>
      <c r="CS495" s="12"/>
      <c r="CT495" s="18"/>
      <c r="CU495" s="3"/>
      <c r="CV495" s="18"/>
      <c r="CW495" s="7"/>
      <c r="CX495" s="18"/>
      <c r="CY495" s="7"/>
      <c r="CZ495" s="18"/>
      <c r="DA495" s="3"/>
      <c r="DB495" s="18"/>
      <c r="DC495" s="11"/>
      <c r="DD495" s="18"/>
      <c r="DE495" s="7"/>
      <c r="DF495" s="7"/>
      <c r="DG495" s="7"/>
      <c r="DH495" s="3"/>
      <c r="DI495" s="3"/>
      <c r="DJ495" s="3"/>
      <c r="DK495" s="3"/>
      <c r="DL495" s="3"/>
      <c r="DM495" s="3"/>
      <c r="DN495" s="3"/>
      <c r="DO495" s="3"/>
      <c r="DP495" s="3"/>
      <c r="DQ495" s="28"/>
      <c r="DR495" s="32"/>
      <c r="DS495" s="32"/>
      <c r="DT495" s="32"/>
      <c r="DU495" s="69"/>
    </row>
    <row r="496" spans="1:125" x14ac:dyDescent="0.25">
      <c r="A496" t="s">
        <v>158</v>
      </c>
      <c r="B496" s="2">
        <v>44833</v>
      </c>
      <c r="C496" s="1">
        <v>150</v>
      </c>
      <c r="D496">
        <v>79</v>
      </c>
      <c r="M496" s="3"/>
      <c r="N496" s="3"/>
      <c r="O496" s="3"/>
      <c r="P496" s="7"/>
      <c r="Q496" s="7"/>
      <c r="R496" s="7"/>
      <c r="S496" s="7"/>
      <c r="T496" s="11"/>
      <c r="U496" s="11"/>
      <c r="V496" s="11"/>
      <c r="W496" s="11"/>
      <c r="X496" s="14"/>
      <c r="Y496" s="14"/>
      <c r="Z496" s="14"/>
      <c r="AA496" s="14"/>
      <c r="AB496" s="15"/>
      <c r="AC496" s="15"/>
      <c r="AD496" s="13"/>
      <c r="AE496" s="13"/>
      <c r="AF496" s="12"/>
      <c r="AG496" s="12"/>
      <c r="AH496" s="13"/>
      <c r="AI496" s="13"/>
      <c r="AJ496" s="11"/>
      <c r="AK496" s="11"/>
      <c r="AL496" s="11"/>
      <c r="AM496" s="11"/>
      <c r="AN496" s="11"/>
      <c r="AO496" s="11"/>
      <c r="AP496" s="11"/>
      <c r="AQ496" s="11"/>
      <c r="AR496" s="16"/>
      <c r="AS496" s="16"/>
      <c r="AT496" s="16"/>
      <c r="AU496" s="7"/>
      <c r="AV496" s="7"/>
      <c r="AW496" s="7"/>
      <c r="AX496" s="7"/>
      <c r="AY496" s="11"/>
      <c r="AZ496" s="16"/>
      <c r="BA496" s="16"/>
      <c r="BB496" s="16"/>
      <c r="BC496" s="11"/>
      <c r="BD496" s="11"/>
      <c r="BE496" s="11"/>
      <c r="BF496" s="11"/>
      <c r="BG496" s="11"/>
      <c r="BH496" s="11"/>
      <c r="BI496" s="13"/>
      <c r="BJ496" s="13"/>
      <c r="BK496" s="11"/>
      <c r="BL496" s="12"/>
      <c r="BM496" s="12"/>
      <c r="BN496" s="13"/>
      <c r="BO496" s="13"/>
      <c r="BP496" s="15"/>
      <c r="BQ496" s="15"/>
      <c r="BR496" s="14"/>
      <c r="BS496" s="14"/>
      <c r="BT496" s="14"/>
      <c r="BU496" s="14"/>
      <c r="BV496" s="11"/>
      <c r="BW496" s="11"/>
      <c r="BX496" s="11"/>
      <c r="BY496" s="11"/>
      <c r="BZ496" s="7"/>
      <c r="CA496" s="7"/>
      <c r="CB496" s="7"/>
      <c r="CC496" s="7"/>
      <c r="CD496" s="7"/>
      <c r="CE496" s="3"/>
      <c r="CF496" s="7"/>
      <c r="CG496" s="3"/>
      <c r="CH496" s="7"/>
      <c r="CI496" s="7"/>
      <c r="CJ496" s="3"/>
      <c r="CK496" s="7"/>
      <c r="CL496" s="3"/>
      <c r="CM496" s="7"/>
      <c r="CN496" s="10"/>
      <c r="CO496" s="10"/>
      <c r="CP496" s="7"/>
      <c r="CQ496" s="17"/>
      <c r="CR496" s="4"/>
      <c r="CS496" s="12"/>
      <c r="CT496" s="18"/>
      <c r="CU496" s="3"/>
      <c r="CV496" s="18"/>
      <c r="CW496" s="7"/>
      <c r="CX496" s="18"/>
      <c r="CY496" s="7"/>
      <c r="CZ496" s="18"/>
      <c r="DA496" s="3"/>
      <c r="DB496" s="18"/>
      <c r="DC496" s="11"/>
      <c r="DD496" s="18"/>
      <c r="DE496" s="7"/>
      <c r="DF496" s="7"/>
      <c r="DG496" s="7"/>
      <c r="DH496" s="3"/>
      <c r="DI496" s="3"/>
      <c r="DJ496" s="3"/>
      <c r="DK496" s="3"/>
      <c r="DL496" s="3"/>
      <c r="DM496" s="3"/>
      <c r="DN496" s="3"/>
      <c r="DO496" s="3"/>
      <c r="DP496" s="3"/>
      <c r="DQ496" s="28"/>
      <c r="DR496" s="32"/>
      <c r="DS496" s="32"/>
      <c r="DT496" s="32"/>
      <c r="DU496" s="69"/>
    </row>
    <row r="497" spans="1:125" x14ac:dyDescent="0.25">
      <c r="A497" t="s">
        <v>158</v>
      </c>
      <c r="B497" s="2">
        <v>44861</v>
      </c>
      <c r="C497" s="1">
        <v>150</v>
      </c>
      <c r="D497">
        <v>79</v>
      </c>
      <c r="M497" s="3"/>
      <c r="N497" s="3"/>
      <c r="O497" s="3"/>
      <c r="P497" s="7"/>
      <c r="Q497" s="7"/>
      <c r="R497" s="7"/>
      <c r="S497" s="7"/>
      <c r="T497" s="11"/>
      <c r="U497" s="11"/>
      <c r="V497" s="11"/>
      <c r="W497" s="11"/>
      <c r="X497" s="14"/>
      <c r="Y497" s="14"/>
      <c r="Z497" s="14"/>
      <c r="AA497" s="14"/>
      <c r="AB497" s="15"/>
      <c r="AC497" s="15"/>
      <c r="AD497" s="13"/>
      <c r="AE497" s="13"/>
      <c r="AF497" s="12"/>
      <c r="AG497" s="12"/>
      <c r="AH497" s="13"/>
      <c r="AI497" s="13"/>
      <c r="AJ497" s="11"/>
      <c r="AK497" s="11"/>
      <c r="AL497" s="11"/>
      <c r="AM497" s="11"/>
      <c r="AN497" s="11"/>
      <c r="AO497" s="11"/>
      <c r="AP497" s="11"/>
      <c r="AQ497" s="11"/>
      <c r="AR497" s="16"/>
      <c r="AS497" s="16"/>
      <c r="AT497" s="16"/>
      <c r="AU497" s="7"/>
      <c r="AV497" s="7"/>
      <c r="AW497" s="7"/>
      <c r="AX497" s="7"/>
      <c r="AY497" s="11"/>
      <c r="AZ497" s="16"/>
      <c r="BA497" s="16"/>
      <c r="BB497" s="16"/>
      <c r="BC497" s="11"/>
      <c r="BD497" s="11"/>
      <c r="BE497" s="11"/>
      <c r="BF497" s="11"/>
      <c r="BG497" s="11"/>
      <c r="BH497" s="11"/>
      <c r="BI497" s="13"/>
      <c r="BJ497" s="13"/>
      <c r="BK497" s="11"/>
      <c r="BL497" s="12"/>
      <c r="BM497" s="12"/>
      <c r="BN497" s="13"/>
      <c r="BO497" s="13"/>
      <c r="BP497" s="15"/>
      <c r="BQ497" s="15"/>
      <c r="BR497" s="14"/>
      <c r="BS497" s="14"/>
      <c r="BT497" s="14"/>
      <c r="BU497" s="14"/>
      <c r="BV497" s="11"/>
      <c r="BW497" s="11"/>
      <c r="BX497" s="11"/>
      <c r="BY497" s="11"/>
      <c r="BZ497" s="7"/>
      <c r="CA497" s="7"/>
      <c r="CB497" s="7"/>
      <c r="CC497" s="7"/>
      <c r="CD497" s="7"/>
      <c r="CE497" s="3"/>
      <c r="CF497" s="7"/>
      <c r="CG497" s="3"/>
      <c r="CH497" s="7"/>
      <c r="CI497" s="7"/>
      <c r="CJ497" s="3"/>
      <c r="CK497" s="7"/>
      <c r="CL497" s="3"/>
      <c r="CM497" s="7"/>
      <c r="CN497" s="10"/>
      <c r="CO497" s="10"/>
      <c r="CP497" s="7"/>
      <c r="CQ497" s="17"/>
      <c r="CR497" s="4"/>
      <c r="CS497" s="12"/>
      <c r="CT497" s="18"/>
      <c r="CU497" s="3"/>
      <c r="CV497" s="18"/>
      <c r="CW497" s="7"/>
      <c r="CX497" s="18"/>
      <c r="CY497" s="7"/>
      <c r="CZ497" s="18"/>
      <c r="DA497" s="3"/>
      <c r="DB497" s="18"/>
      <c r="DC497" s="11"/>
      <c r="DD497" s="18"/>
      <c r="DE497" s="7"/>
      <c r="DF497" s="7"/>
      <c r="DG497" s="7"/>
      <c r="DH497" s="3"/>
      <c r="DI497" s="3"/>
      <c r="DJ497" s="3"/>
      <c r="DK497" s="3"/>
      <c r="DL497" s="3"/>
      <c r="DM497" s="3"/>
      <c r="DN497" s="3"/>
      <c r="DO497" s="3"/>
      <c r="DP497" s="3"/>
      <c r="DQ497" s="28"/>
      <c r="DR497" s="32"/>
      <c r="DS497" s="32"/>
      <c r="DT497" s="32"/>
      <c r="DU497" s="69"/>
    </row>
    <row r="498" spans="1:125" x14ac:dyDescent="0.25">
      <c r="A498" t="s">
        <v>159</v>
      </c>
      <c r="B498" s="2">
        <v>44798</v>
      </c>
      <c r="C498" s="1">
        <v>3000</v>
      </c>
      <c r="D498">
        <v>83</v>
      </c>
      <c r="M498" s="3"/>
      <c r="N498" s="3"/>
      <c r="O498" s="3"/>
      <c r="P498" s="7"/>
      <c r="Q498" s="7"/>
      <c r="R498" s="7"/>
      <c r="S498" s="7"/>
      <c r="T498" s="11"/>
      <c r="U498" s="11"/>
      <c r="V498" s="11"/>
      <c r="W498" s="11"/>
      <c r="X498" s="14"/>
      <c r="Y498" s="14"/>
      <c r="Z498" s="14"/>
      <c r="AA498" s="14"/>
      <c r="AB498" s="15"/>
      <c r="AC498" s="15"/>
      <c r="AD498" s="13"/>
      <c r="AE498" s="13"/>
      <c r="AF498" s="12"/>
      <c r="AG498" s="12"/>
      <c r="AH498" s="13"/>
      <c r="AI498" s="13"/>
      <c r="AJ498" s="11"/>
      <c r="AK498" s="11"/>
      <c r="AL498" s="11"/>
      <c r="AM498" s="11"/>
      <c r="AN498" s="11"/>
      <c r="AO498" s="11"/>
      <c r="AP498" s="11"/>
      <c r="AQ498" s="11"/>
      <c r="AR498" s="16"/>
      <c r="AS498" s="16"/>
      <c r="AT498" s="16"/>
      <c r="AU498" s="7"/>
      <c r="AV498" s="7"/>
      <c r="AW498" s="7"/>
      <c r="AX498" s="7"/>
      <c r="AY498" s="11"/>
      <c r="AZ498" s="16"/>
      <c r="BA498" s="16"/>
      <c r="BB498" s="16"/>
      <c r="BC498" s="11"/>
      <c r="BD498" s="11"/>
      <c r="BE498" s="11"/>
      <c r="BF498" s="11"/>
      <c r="BG498" s="11"/>
      <c r="BH498" s="11"/>
      <c r="BI498" s="13"/>
      <c r="BJ498" s="13"/>
      <c r="BK498" s="11"/>
      <c r="BL498" s="12"/>
      <c r="BM498" s="12"/>
      <c r="BN498" s="13"/>
      <c r="BO498" s="13"/>
      <c r="BP498" s="15"/>
      <c r="BQ498" s="15"/>
      <c r="BR498" s="14"/>
      <c r="BS498" s="14"/>
      <c r="BT498" s="14"/>
      <c r="BU498" s="14"/>
      <c r="BV498" s="11"/>
      <c r="BW498" s="11"/>
      <c r="BX498" s="11"/>
      <c r="BY498" s="11"/>
      <c r="BZ498" s="7"/>
      <c r="CA498" s="7"/>
      <c r="CB498" s="7"/>
      <c r="CC498" s="7"/>
      <c r="CD498" s="7"/>
      <c r="CE498" s="3"/>
      <c r="CF498" s="7"/>
      <c r="CG498" s="3"/>
      <c r="CH498" s="7"/>
      <c r="CI498" s="7"/>
      <c r="CJ498" s="3"/>
      <c r="CK498" s="7"/>
      <c r="CL498" s="3"/>
      <c r="CM498" s="7"/>
      <c r="CN498" s="10"/>
      <c r="CO498" s="10"/>
      <c r="CP498" s="7"/>
      <c r="CQ498" s="17"/>
      <c r="CR498" s="4"/>
      <c r="CS498" s="12"/>
      <c r="CT498" s="18"/>
      <c r="CU498" s="3"/>
      <c r="CV498" s="18"/>
      <c r="CW498" s="7"/>
      <c r="CX498" s="18"/>
      <c r="CY498" s="7"/>
      <c r="CZ498" s="18"/>
      <c r="DA498" s="3"/>
      <c r="DB498" s="18"/>
      <c r="DC498" s="11"/>
      <c r="DD498" s="18"/>
      <c r="DE498" s="7"/>
      <c r="DF498" s="7"/>
      <c r="DG498" s="7"/>
      <c r="DH498" s="3"/>
      <c r="DI498" s="3"/>
      <c r="DJ498" s="3"/>
      <c r="DK498" s="3"/>
      <c r="DL498" s="3"/>
      <c r="DM498" s="3"/>
      <c r="DN498" s="3"/>
      <c r="DO498" s="3"/>
      <c r="DP498" s="3"/>
      <c r="DQ498" s="28"/>
      <c r="DR498" s="32"/>
      <c r="DS498" s="32"/>
      <c r="DT498" s="32"/>
      <c r="DU498" s="69"/>
    </row>
    <row r="499" spans="1:125" x14ac:dyDescent="0.25">
      <c r="A499" t="s">
        <v>159</v>
      </c>
      <c r="B499" s="2">
        <v>44833</v>
      </c>
      <c r="C499" s="1">
        <v>3000</v>
      </c>
      <c r="D499">
        <v>83</v>
      </c>
      <c r="M499" s="3"/>
      <c r="N499" s="3"/>
      <c r="O499" s="3"/>
      <c r="P499" s="7"/>
      <c r="Q499" s="7"/>
      <c r="R499" s="7"/>
      <c r="S499" s="7"/>
      <c r="T499" s="11"/>
      <c r="U499" s="11"/>
      <c r="V499" s="11"/>
      <c r="W499" s="11"/>
      <c r="X499" s="14"/>
      <c r="Y499" s="14"/>
      <c r="Z499" s="14"/>
      <c r="AA499" s="14"/>
      <c r="AB499" s="15"/>
      <c r="AC499" s="15"/>
      <c r="AD499" s="13"/>
      <c r="AE499" s="13"/>
      <c r="AF499" s="12"/>
      <c r="AG499" s="12"/>
      <c r="AH499" s="13"/>
      <c r="AI499" s="13"/>
      <c r="AJ499" s="11"/>
      <c r="AK499" s="11"/>
      <c r="AL499" s="11"/>
      <c r="AM499" s="11"/>
      <c r="AN499" s="11"/>
      <c r="AO499" s="11"/>
      <c r="AP499" s="11"/>
      <c r="AQ499" s="11"/>
      <c r="AR499" s="16"/>
      <c r="AS499" s="16"/>
      <c r="AT499" s="16"/>
      <c r="AU499" s="7"/>
      <c r="AV499" s="7"/>
      <c r="AW499" s="7"/>
      <c r="AX499" s="7"/>
      <c r="AY499" s="11"/>
      <c r="AZ499" s="16"/>
      <c r="BA499" s="16"/>
      <c r="BB499" s="16"/>
      <c r="BC499" s="11"/>
      <c r="BD499" s="11"/>
      <c r="BE499" s="11"/>
      <c r="BF499" s="11"/>
      <c r="BG499" s="11"/>
      <c r="BH499" s="11"/>
      <c r="BI499" s="13"/>
      <c r="BJ499" s="13"/>
      <c r="BK499" s="11"/>
      <c r="BL499" s="12"/>
      <c r="BM499" s="12"/>
      <c r="BN499" s="13"/>
      <c r="BO499" s="13"/>
      <c r="BP499" s="15"/>
      <c r="BQ499" s="15"/>
      <c r="BR499" s="14"/>
      <c r="BS499" s="14"/>
      <c r="BT499" s="14"/>
      <c r="BU499" s="14"/>
      <c r="BV499" s="11"/>
      <c r="BW499" s="11"/>
      <c r="BX499" s="11"/>
      <c r="BY499" s="11"/>
      <c r="BZ499" s="7"/>
      <c r="CA499" s="7"/>
      <c r="CB499" s="7"/>
      <c r="CC499" s="7"/>
      <c r="CD499" s="7"/>
      <c r="CE499" s="3"/>
      <c r="CF499" s="7"/>
      <c r="CG499" s="3"/>
      <c r="CH499" s="7"/>
      <c r="CI499" s="7"/>
      <c r="CJ499" s="3"/>
      <c r="CK499" s="7"/>
      <c r="CL499" s="3"/>
      <c r="CM499" s="7"/>
      <c r="CN499" s="10"/>
      <c r="CO499" s="10"/>
      <c r="CP499" s="7"/>
      <c r="CQ499" s="17"/>
      <c r="CR499" s="4"/>
      <c r="CS499" s="12"/>
      <c r="CT499" s="18"/>
      <c r="CU499" s="3"/>
      <c r="CV499" s="18"/>
      <c r="CW499" s="7"/>
      <c r="CX499" s="18"/>
      <c r="CY499" s="7"/>
      <c r="CZ499" s="18"/>
      <c r="DA499" s="3"/>
      <c r="DB499" s="18"/>
      <c r="DC499" s="11"/>
      <c r="DD499" s="18"/>
      <c r="DE499" s="7"/>
      <c r="DF499" s="7"/>
      <c r="DG499" s="7"/>
      <c r="DH499" s="3"/>
      <c r="DI499" s="3"/>
      <c r="DJ499" s="3"/>
      <c r="DK499" s="3"/>
      <c r="DL499" s="3"/>
      <c r="DM499" s="3"/>
      <c r="DN499" s="3"/>
      <c r="DO499" s="3"/>
      <c r="DP499" s="3"/>
      <c r="DQ499" s="28"/>
      <c r="DR499" s="32"/>
      <c r="DS499" s="32"/>
      <c r="DT499" s="32"/>
      <c r="DU499" s="69"/>
    </row>
    <row r="500" spans="1:125" x14ac:dyDescent="0.25">
      <c r="A500" t="s">
        <v>159</v>
      </c>
      <c r="B500" s="2">
        <v>44861</v>
      </c>
      <c r="C500" s="1">
        <v>3000</v>
      </c>
      <c r="D500">
        <v>83</v>
      </c>
      <c r="M500" s="3"/>
      <c r="N500" s="3"/>
      <c r="O500" s="3"/>
      <c r="P500" s="7"/>
      <c r="Q500" s="7"/>
      <c r="R500" s="7"/>
      <c r="S500" s="7"/>
      <c r="T500" s="11"/>
      <c r="U500" s="11"/>
      <c r="V500" s="11"/>
      <c r="W500" s="11"/>
      <c r="X500" s="14"/>
      <c r="Y500" s="14"/>
      <c r="Z500" s="14"/>
      <c r="AA500" s="14"/>
      <c r="AB500" s="15"/>
      <c r="AC500" s="15"/>
      <c r="AD500" s="13"/>
      <c r="AE500" s="13"/>
      <c r="AF500" s="12"/>
      <c r="AG500" s="12"/>
      <c r="AH500" s="13"/>
      <c r="AI500" s="13"/>
      <c r="AJ500" s="11"/>
      <c r="AK500" s="11"/>
      <c r="AL500" s="11"/>
      <c r="AM500" s="11"/>
      <c r="AN500" s="11"/>
      <c r="AO500" s="11"/>
      <c r="AP500" s="11"/>
      <c r="AQ500" s="11"/>
      <c r="AR500" s="16"/>
      <c r="AS500" s="16"/>
      <c r="AT500" s="16"/>
      <c r="AU500" s="7"/>
      <c r="AV500" s="7"/>
      <c r="AW500" s="7"/>
      <c r="AX500" s="7"/>
      <c r="AY500" s="11"/>
      <c r="AZ500" s="16"/>
      <c r="BA500" s="16"/>
      <c r="BB500" s="16"/>
      <c r="BC500" s="11"/>
      <c r="BD500" s="11"/>
      <c r="BE500" s="11"/>
      <c r="BF500" s="11"/>
      <c r="BG500" s="11"/>
      <c r="BH500" s="11"/>
      <c r="BI500" s="13"/>
      <c r="BJ500" s="13"/>
      <c r="BK500" s="11"/>
      <c r="BL500" s="12"/>
      <c r="BM500" s="12"/>
      <c r="BN500" s="13"/>
      <c r="BO500" s="13"/>
      <c r="BP500" s="15"/>
      <c r="BQ500" s="15"/>
      <c r="BR500" s="14"/>
      <c r="BS500" s="14"/>
      <c r="BT500" s="14"/>
      <c r="BU500" s="14"/>
      <c r="BV500" s="11"/>
      <c r="BW500" s="11"/>
      <c r="BX500" s="11"/>
      <c r="BY500" s="11"/>
      <c r="BZ500" s="7"/>
      <c r="CA500" s="7"/>
      <c r="CB500" s="7"/>
      <c r="CC500" s="7"/>
      <c r="CD500" s="7"/>
      <c r="CE500" s="3"/>
      <c r="CF500" s="7"/>
      <c r="CG500" s="3"/>
      <c r="CH500" s="7"/>
      <c r="CI500" s="7"/>
      <c r="CJ500" s="3"/>
      <c r="CK500" s="7"/>
      <c r="CL500" s="3"/>
      <c r="CM500" s="7"/>
      <c r="CN500" s="10"/>
      <c r="CO500" s="10"/>
      <c r="CP500" s="7"/>
      <c r="CQ500" s="17"/>
      <c r="CR500" s="4"/>
      <c r="CS500" s="12"/>
      <c r="CT500" s="18"/>
      <c r="CU500" s="3"/>
      <c r="CV500" s="18"/>
      <c r="CW500" s="7"/>
      <c r="CX500" s="18"/>
      <c r="CY500" s="7"/>
      <c r="CZ500" s="18"/>
      <c r="DA500" s="3"/>
      <c r="DB500" s="18"/>
      <c r="DC500" s="11"/>
      <c r="DD500" s="18"/>
      <c r="DE500" s="7"/>
      <c r="DF500" s="7"/>
      <c r="DG500" s="7"/>
      <c r="DH500" s="3"/>
      <c r="DI500" s="3"/>
      <c r="DJ500" s="3"/>
      <c r="DK500" s="3"/>
      <c r="DL500" s="3"/>
      <c r="DM500" s="3"/>
      <c r="DN500" s="3"/>
      <c r="DO500" s="3"/>
      <c r="DP500" s="3"/>
      <c r="DQ500" s="28"/>
      <c r="DR500" s="32"/>
      <c r="DS500" s="32"/>
      <c r="DT500" s="32"/>
      <c r="DU500" s="69"/>
    </row>
    <row r="501" spans="1:125" x14ac:dyDescent="0.25">
      <c r="A501" t="s">
        <v>160</v>
      </c>
      <c r="B501" s="2">
        <v>44798</v>
      </c>
      <c r="C501" s="1">
        <v>6200</v>
      </c>
      <c r="D501">
        <v>104</v>
      </c>
      <c r="M501" s="3"/>
      <c r="N501" s="3"/>
      <c r="O501" s="3"/>
      <c r="P501" s="7"/>
      <c r="Q501" s="7"/>
      <c r="R501" s="7"/>
      <c r="S501" s="7"/>
      <c r="T501" s="11"/>
      <c r="U501" s="11"/>
      <c r="V501" s="11"/>
      <c r="W501" s="11"/>
      <c r="X501" s="14"/>
      <c r="Y501" s="14"/>
      <c r="Z501" s="14"/>
      <c r="AA501" s="14"/>
      <c r="AB501" s="15"/>
      <c r="AC501" s="15"/>
      <c r="AD501" s="13"/>
      <c r="AE501" s="13"/>
      <c r="AF501" s="12"/>
      <c r="AG501" s="12"/>
      <c r="AH501" s="13"/>
      <c r="AI501" s="13"/>
      <c r="AJ501" s="11"/>
      <c r="AK501" s="11"/>
      <c r="AL501" s="11"/>
      <c r="AM501" s="11"/>
      <c r="AN501" s="11"/>
      <c r="AO501" s="11"/>
      <c r="AP501" s="11"/>
      <c r="AQ501" s="11"/>
      <c r="AR501" s="16"/>
      <c r="AS501" s="16"/>
      <c r="AT501" s="16"/>
      <c r="AU501" s="7"/>
      <c r="AV501" s="7"/>
      <c r="AW501" s="7"/>
      <c r="AX501" s="7"/>
      <c r="AY501" s="11"/>
      <c r="AZ501" s="16"/>
      <c r="BA501" s="16"/>
      <c r="BB501" s="16"/>
      <c r="BC501" s="11"/>
      <c r="BD501" s="11"/>
      <c r="BE501" s="11"/>
      <c r="BF501" s="11"/>
      <c r="BG501" s="11"/>
      <c r="BH501" s="11"/>
      <c r="BI501" s="13"/>
      <c r="BJ501" s="13"/>
      <c r="BK501" s="11"/>
      <c r="BL501" s="12"/>
      <c r="BM501" s="12"/>
      <c r="BN501" s="13"/>
      <c r="BO501" s="13"/>
      <c r="BP501" s="15"/>
      <c r="BQ501" s="15"/>
      <c r="BR501" s="14"/>
      <c r="BS501" s="14"/>
      <c r="BT501" s="14"/>
      <c r="BU501" s="14"/>
      <c r="BV501" s="11"/>
      <c r="BW501" s="11"/>
      <c r="BX501" s="11"/>
      <c r="BY501" s="11"/>
      <c r="BZ501" s="7"/>
      <c r="CA501" s="7"/>
      <c r="CB501" s="7"/>
      <c r="CC501" s="7"/>
      <c r="CD501" s="7"/>
      <c r="CE501" s="3"/>
      <c r="CF501" s="7"/>
      <c r="CG501" s="3"/>
      <c r="CH501" s="7"/>
      <c r="CI501" s="7"/>
      <c r="CJ501" s="3"/>
      <c r="CK501" s="7"/>
      <c r="CL501" s="3"/>
      <c r="CM501" s="7"/>
      <c r="CN501" s="10"/>
      <c r="CO501" s="10"/>
      <c r="CP501" s="7"/>
      <c r="CQ501" s="17"/>
      <c r="CR501" s="4"/>
      <c r="CS501" s="12"/>
      <c r="CT501" s="18"/>
      <c r="CU501" s="3"/>
      <c r="CV501" s="18"/>
      <c r="CW501" s="7"/>
      <c r="CX501" s="18"/>
      <c r="CY501" s="7"/>
      <c r="CZ501" s="18"/>
      <c r="DA501" s="3"/>
      <c r="DB501" s="18"/>
      <c r="DC501" s="11"/>
      <c r="DD501" s="18"/>
      <c r="DE501" s="7"/>
      <c r="DF501" s="7"/>
      <c r="DG501" s="7"/>
      <c r="DH501" s="3"/>
      <c r="DI501" s="3"/>
      <c r="DJ501" s="3"/>
      <c r="DK501" s="3"/>
      <c r="DL501" s="3"/>
      <c r="DM501" s="3"/>
      <c r="DN501" s="3"/>
      <c r="DO501" s="3"/>
      <c r="DP501" s="3"/>
      <c r="DQ501" s="28"/>
      <c r="DR501" s="32"/>
      <c r="DS501" s="32"/>
      <c r="DT501" s="32"/>
      <c r="DU501" s="69"/>
    </row>
    <row r="502" spans="1:125" x14ac:dyDescent="0.25">
      <c r="A502" t="s">
        <v>160</v>
      </c>
      <c r="B502" s="2">
        <v>44833</v>
      </c>
      <c r="C502" s="1">
        <v>6200</v>
      </c>
      <c r="D502">
        <v>104</v>
      </c>
      <c r="M502" s="3"/>
      <c r="N502" s="3"/>
      <c r="O502" s="3"/>
      <c r="P502" s="7"/>
      <c r="Q502" s="7"/>
      <c r="R502" s="7"/>
      <c r="S502" s="7"/>
      <c r="T502" s="11"/>
      <c r="U502" s="11"/>
      <c r="V502" s="11"/>
      <c r="W502" s="11"/>
      <c r="X502" s="14"/>
      <c r="Y502" s="14"/>
      <c r="Z502" s="14"/>
      <c r="AA502" s="14"/>
      <c r="AB502" s="15"/>
      <c r="AC502" s="15"/>
      <c r="AD502" s="13"/>
      <c r="AE502" s="13"/>
      <c r="AF502" s="12"/>
      <c r="AG502" s="12"/>
      <c r="AH502" s="13"/>
      <c r="AI502" s="13"/>
      <c r="AJ502" s="11"/>
      <c r="AK502" s="11"/>
      <c r="AL502" s="11"/>
      <c r="AM502" s="11"/>
      <c r="AN502" s="11"/>
      <c r="AO502" s="11"/>
      <c r="AP502" s="11"/>
      <c r="AQ502" s="11"/>
      <c r="AR502" s="16"/>
      <c r="AS502" s="16"/>
      <c r="AT502" s="16"/>
      <c r="AU502" s="7"/>
      <c r="AV502" s="7"/>
      <c r="AW502" s="7"/>
      <c r="AX502" s="7"/>
      <c r="AY502" s="11"/>
      <c r="AZ502" s="16"/>
      <c r="BA502" s="16"/>
      <c r="BB502" s="16"/>
      <c r="BC502" s="11"/>
      <c r="BD502" s="11"/>
      <c r="BE502" s="11"/>
      <c r="BF502" s="11"/>
      <c r="BG502" s="11"/>
      <c r="BH502" s="11"/>
      <c r="BI502" s="13"/>
      <c r="BJ502" s="13"/>
      <c r="BK502" s="11"/>
      <c r="BL502" s="12"/>
      <c r="BM502" s="12"/>
      <c r="BN502" s="13"/>
      <c r="BO502" s="13"/>
      <c r="BP502" s="15"/>
      <c r="BQ502" s="15"/>
      <c r="BR502" s="14"/>
      <c r="BS502" s="14"/>
      <c r="BT502" s="14"/>
      <c r="BU502" s="14"/>
      <c r="BV502" s="11"/>
      <c r="BW502" s="11"/>
      <c r="BX502" s="11"/>
      <c r="BY502" s="11"/>
      <c r="BZ502" s="7"/>
      <c r="CA502" s="7"/>
      <c r="CB502" s="7"/>
      <c r="CC502" s="7"/>
      <c r="CD502" s="7"/>
      <c r="CE502" s="3"/>
      <c r="CF502" s="7"/>
      <c r="CG502" s="3"/>
      <c r="CH502" s="7"/>
      <c r="CI502" s="7"/>
      <c r="CJ502" s="3"/>
      <c r="CK502" s="7"/>
      <c r="CL502" s="3"/>
      <c r="CM502" s="7"/>
      <c r="CN502" s="10"/>
      <c r="CO502" s="10"/>
      <c r="CP502" s="7"/>
      <c r="CQ502" s="17"/>
      <c r="CR502" s="4"/>
      <c r="CS502" s="12"/>
      <c r="CT502" s="18"/>
      <c r="CU502" s="3"/>
      <c r="CV502" s="18"/>
      <c r="CW502" s="7"/>
      <c r="CX502" s="18"/>
      <c r="CY502" s="7"/>
      <c r="CZ502" s="18"/>
      <c r="DA502" s="3"/>
      <c r="DB502" s="18"/>
      <c r="DC502" s="11"/>
      <c r="DD502" s="18"/>
      <c r="DE502" s="7"/>
      <c r="DF502" s="7"/>
      <c r="DG502" s="7"/>
      <c r="DH502" s="3"/>
      <c r="DI502" s="3"/>
      <c r="DJ502" s="3"/>
      <c r="DK502" s="3"/>
      <c r="DL502" s="3"/>
      <c r="DM502" s="3"/>
      <c r="DN502" s="3"/>
      <c r="DO502" s="3"/>
      <c r="DP502" s="3"/>
      <c r="DQ502" s="28"/>
      <c r="DR502" s="32"/>
      <c r="DS502" s="32"/>
      <c r="DT502" s="32"/>
      <c r="DU502" s="69"/>
    </row>
    <row r="503" spans="1:125" x14ac:dyDescent="0.25">
      <c r="A503" t="s">
        <v>160</v>
      </c>
      <c r="B503" s="2">
        <v>44861</v>
      </c>
      <c r="C503" s="1">
        <v>6200</v>
      </c>
      <c r="D503">
        <v>104</v>
      </c>
      <c r="M503" s="3"/>
      <c r="N503" s="3"/>
      <c r="O503" s="3"/>
      <c r="P503" s="7"/>
      <c r="Q503" s="7"/>
      <c r="R503" s="7"/>
      <c r="S503" s="7"/>
      <c r="T503" s="11"/>
      <c r="U503" s="11"/>
      <c r="V503" s="11"/>
      <c r="W503" s="11"/>
      <c r="X503" s="14"/>
      <c r="Y503" s="14"/>
      <c r="Z503" s="14"/>
      <c r="AA503" s="14"/>
      <c r="AB503" s="15"/>
      <c r="AC503" s="15"/>
      <c r="AD503" s="13"/>
      <c r="AE503" s="13"/>
      <c r="AF503" s="12"/>
      <c r="AG503" s="12"/>
      <c r="AH503" s="13"/>
      <c r="AI503" s="13"/>
      <c r="AJ503" s="11"/>
      <c r="AK503" s="11"/>
      <c r="AL503" s="11"/>
      <c r="AM503" s="11"/>
      <c r="AN503" s="11"/>
      <c r="AO503" s="11"/>
      <c r="AP503" s="11"/>
      <c r="AQ503" s="11"/>
      <c r="AR503" s="16"/>
      <c r="AS503" s="16"/>
      <c r="AT503" s="16"/>
      <c r="AU503" s="7"/>
      <c r="AV503" s="7"/>
      <c r="AW503" s="7"/>
      <c r="AX503" s="7"/>
      <c r="AY503" s="11"/>
      <c r="AZ503" s="16"/>
      <c r="BA503" s="16"/>
      <c r="BB503" s="16"/>
      <c r="BC503" s="11"/>
      <c r="BD503" s="11"/>
      <c r="BE503" s="11"/>
      <c r="BF503" s="11"/>
      <c r="BG503" s="11"/>
      <c r="BH503" s="11"/>
      <c r="BI503" s="13"/>
      <c r="BJ503" s="13"/>
      <c r="BK503" s="11"/>
      <c r="BL503" s="12"/>
      <c r="BM503" s="12"/>
      <c r="BN503" s="13"/>
      <c r="BO503" s="13"/>
      <c r="BP503" s="15"/>
      <c r="BQ503" s="15"/>
      <c r="BR503" s="14"/>
      <c r="BS503" s="14"/>
      <c r="BT503" s="14"/>
      <c r="BU503" s="14"/>
      <c r="BV503" s="11"/>
      <c r="BW503" s="11"/>
      <c r="BX503" s="11"/>
      <c r="BY503" s="11"/>
      <c r="BZ503" s="7"/>
      <c r="CA503" s="7"/>
      <c r="CB503" s="7"/>
      <c r="CC503" s="7"/>
      <c r="CD503" s="7"/>
      <c r="CE503" s="3"/>
      <c r="CF503" s="7"/>
      <c r="CG503" s="3"/>
      <c r="CH503" s="7"/>
      <c r="CI503" s="7"/>
      <c r="CJ503" s="3"/>
      <c r="CK503" s="7"/>
      <c r="CL503" s="3"/>
      <c r="CM503" s="7"/>
      <c r="CN503" s="10"/>
      <c r="CO503" s="10"/>
      <c r="CP503" s="7"/>
      <c r="CQ503" s="17"/>
      <c r="CR503" s="4"/>
      <c r="CS503" s="12"/>
      <c r="CT503" s="18"/>
      <c r="CU503" s="3"/>
      <c r="CV503" s="18"/>
      <c r="CW503" s="7"/>
      <c r="CX503" s="18"/>
      <c r="CY503" s="7"/>
      <c r="CZ503" s="18"/>
      <c r="DA503" s="3"/>
      <c r="DB503" s="18"/>
      <c r="DC503" s="11"/>
      <c r="DD503" s="18"/>
      <c r="DE503" s="7"/>
      <c r="DF503" s="7"/>
      <c r="DG503" s="7"/>
      <c r="DH503" s="3"/>
      <c r="DI503" s="3"/>
      <c r="DJ503" s="3"/>
      <c r="DK503" s="3"/>
      <c r="DL503" s="3"/>
      <c r="DM503" s="3"/>
      <c r="DN503" s="3"/>
      <c r="DO503" s="3"/>
      <c r="DP503" s="3"/>
      <c r="DQ503" s="28"/>
      <c r="DR503" s="32"/>
      <c r="DS503" s="32"/>
      <c r="DT503" s="32"/>
      <c r="DU503" s="69"/>
    </row>
    <row r="504" spans="1:125" x14ac:dyDescent="0.25">
      <c r="A504" t="s">
        <v>161</v>
      </c>
      <c r="B504" s="2">
        <v>44798</v>
      </c>
      <c r="C504" s="1">
        <v>250</v>
      </c>
      <c r="D504">
        <v>116</v>
      </c>
      <c r="M504" s="3"/>
      <c r="N504" s="3"/>
      <c r="O504" s="3"/>
      <c r="P504" s="7"/>
      <c r="Q504" s="7"/>
      <c r="R504" s="7"/>
      <c r="S504" s="7"/>
      <c r="T504" s="11"/>
      <c r="U504" s="11"/>
      <c r="V504" s="11"/>
      <c r="W504" s="11"/>
      <c r="X504" s="14"/>
      <c r="Y504" s="14"/>
      <c r="Z504" s="14"/>
      <c r="AA504" s="14"/>
      <c r="AB504" s="15"/>
      <c r="AC504" s="15"/>
      <c r="AD504" s="13"/>
      <c r="AE504" s="13"/>
      <c r="AF504" s="12"/>
      <c r="AG504" s="12"/>
      <c r="AH504" s="13"/>
      <c r="AI504" s="13"/>
      <c r="AJ504" s="11"/>
      <c r="AK504" s="11"/>
      <c r="AL504" s="11"/>
      <c r="AM504" s="11"/>
      <c r="AN504" s="11"/>
      <c r="AO504" s="11"/>
      <c r="AP504" s="11"/>
      <c r="AQ504" s="11"/>
      <c r="AR504" s="16"/>
      <c r="AS504" s="16"/>
      <c r="AT504" s="16"/>
      <c r="AU504" s="7"/>
      <c r="AV504" s="7"/>
      <c r="AW504" s="7"/>
      <c r="AX504" s="7"/>
      <c r="AY504" s="11"/>
      <c r="AZ504" s="16"/>
      <c r="BA504" s="16"/>
      <c r="BB504" s="16"/>
      <c r="BC504" s="11"/>
      <c r="BD504" s="11"/>
      <c r="BE504" s="11"/>
      <c r="BF504" s="11"/>
      <c r="BG504" s="11"/>
      <c r="BH504" s="11"/>
      <c r="BI504" s="13"/>
      <c r="BJ504" s="13"/>
      <c r="BK504" s="11"/>
      <c r="BL504" s="12"/>
      <c r="BM504" s="12"/>
      <c r="BN504" s="13"/>
      <c r="BO504" s="13"/>
      <c r="BP504" s="15"/>
      <c r="BQ504" s="15"/>
      <c r="BR504" s="14"/>
      <c r="BS504" s="14"/>
      <c r="BT504" s="14"/>
      <c r="BU504" s="14"/>
      <c r="BV504" s="11"/>
      <c r="BW504" s="11"/>
      <c r="BX504" s="11"/>
      <c r="BY504" s="11"/>
      <c r="BZ504" s="7"/>
      <c r="CA504" s="7"/>
      <c r="CB504" s="7"/>
      <c r="CC504" s="7"/>
      <c r="CD504" s="7"/>
      <c r="CE504" s="3"/>
      <c r="CF504" s="7"/>
      <c r="CG504" s="3"/>
      <c r="CH504" s="7"/>
      <c r="CI504" s="7"/>
      <c r="CJ504" s="3"/>
      <c r="CK504" s="7"/>
      <c r="CL504" s="3"/>
      <c r="CM504" s="7"/>
      <c r="CN504" s="10"/>
      <c r="CO504" s="10"/>
      <c r="CP504" s="7"/>
      <c r="CQ504" s="17"/>
      <c r="CR504" s="4"/>
      <c r="CS504" s="12"/>
      <c r="CT504" s="18"/>
      <c r="CU504" s="3"/>
      <c r="CV504" s="18"/>
      <c r="CW504" s="7"/>
      <c r="CX504" s="18"/>
      <c r="CY504" s="7"/>
      <c r="CZ504" s="18"/>
      <c r="DA504" s="3"/>
      <c r="DB504" s="18"/>
      <c r="DC504" s="11"/>
      <c r="DD504" s="18"/>
      <c r="DE504" s="7"/>
      <c r="DF504" s="7"/>
      <c r="DG504" s="7"/>
      <c r="DH504" s="3"/>
      <c r="DI504" s="3"/>
      <c r="DJ504" s="3"/>
      <c r="DK504" s="3"/>
      <c r="DL504" s="3"/>
      <c r="DM504" s="3"/>
      <c r="DN504" s="3"/>
      <c r="DO504" s="3"/>
      <c r="DP504" s="3"/>
      <c r="DQ504" s="28"/>
      <c r="DR504" s="32"/>
      <c r="DS504" s="32"/>
      <c r="DT504" s="32"/>
      <c r="DU504" s="69"/>
    </row>
    <row r="505" spans="1:125" x14ac:dyDescent="0.25">
      <c r="A505" t="s">
        <v>161</v>
      </c>
      <c r="B505" s="2">
        <v>44833</v>
      </c>
      <c r="C505" s="1">
        <v>250</v>
      </c>
      <c r="D505">
        <v>116</v>
      </c>
      <c r="M505" s="3"/>
      <c r="N505" s="3"/>
      <c r="O505" s="3"/>
      <c r="P505" s="7"/>
      <c r="Q505" s="7"/>
      <c r="R505" s="7"/>
      <c r="S505" s="7"/>
      <c r="T505" s="11"/>
      <c r="U505" s="11"/>
      <c r="V505" s="11"/>
      <c r="W505" s="11"/>
      <c r="X505" s="14"/>
      <c r="Y505" s="14"/>
      <c r="Z505" s="14"/>
      <c r="AA505" s="14"/>
      <c r="AB505" s="15"/>
      <c r="AC505" s="15"/>
      <c r="AD505" s="13"/>
      <c r="AE505" s="13"/>
      <c r="AF505" s="12"/>
      <c r="AG505" s="12"/>
      <c r="AH505" s="13"/>
      <c r="AI505" s="13"/>
      <c r="AJ505" s="11"/>
      <c r="AK505" s="11"/>
      <c r="AL505" s="11"/>
      <c r="AM505" s="11"/>
      <c r="AN505" s="11"/>
      <c r="AO505" s="11"/>
      <c r="AP505" s="11"/>
      <c r="AQ505" s="11"/>
      <c r="AR505" s="16"/>
      <c r="AS505" s="16"/>
      <c r="AT505" s="16"/>
      <c r="AU505" s="7"/>
      <c r="AV505" s="7"/>
      <c r="AW505" s="7"/>
      <c r="AX505" s="7"/>
      <c r="AY505" s="11"/>
      <c r="AZ505" s="16"/>
      <c r="BA505" s="16"/>
      <c r="BB505" s="16"/>
      <c r="BC505" s="11"/>
      <c r="BD505" s="11"/>
      <c r="BE505" s="11"/>
      <c r="BF505" s="11"/>
      <c r="BG505" s="11"/>
      <c r="BH505" s="11"/>
      <c r="BI505" s="13"/>
      <c r="BJ505" s="13"/>
      <c r="BK505" s="11"/>
      <c r="BL505" s="12"/>
      <c r="BM505" s="12"/>
      <c r="BN505" s="13"/>
      <c r="BO505" s="13"/>
      <c r="BP505" s="15"/>
      <c r="BQ505" s="15"/>
      <c r="BR505" s="14"/>
      <c r="BS505" s="14"/>
      <c r="BT505" s="14"/>
      <c r="BU505" s="14"/>
      <c r="BV505" s="11"/>
      <c r="BW505" s="11"/>
      <c r="BX505" s="11"/>
      <c r="BY505" s="11"/>
      <c r="BZ505" s="7"/>
      <c r="CA505" s="7"/>
      <c r="CB505" s="7"/>
      <c r="CC505" s="7"/>
      <c r="CD505" s="7"/>
      <c r="CE505" s="3"/>
      <c r="CF505" s="7"/>
      <c r="CG505" s="3"/>
      <c r="CH505" s="7"/>
      <c r="CI505" s="7"/>
      <c r="CJ505" s="3"/>
      <c r="CK505" s="7"/>
      <c r="CL505" s="3"/>
      <c r="CM505" s="7"/>
      <c r="CN505" s="10"/>
      <c r="CO505" s="10"/>
      <c r="CP505" s="7"/>
      <c r="CQ505" s="17"/>
      <c r="CR505" s="4"/>
      <c r="CS505" s="12"/>
      <c r="CT505" s="18"/>
      <c r="CU505" s="3"/>
      <c r="CV505" s="18"/>
      <c r="CW505" s="7"/>
      <c r="CX505" s="18"/>
      <c r="CY505" s="7"/>
      <c r="CZ505" s="18"/>
      <c r="DA505" s="3"/>
      <c r="DB505" s="18"/>
      <c r="DC505" s="11"/>
      <c r="DD505" s="18"/>
      <c r="DE505" s="7"/>
      <c r="DF505" s="7"/>
      <c r="DG505" s="7"/>
      <c r="DH505" s="3"/>
      <c r="DI505" s="3"/>
      <c r="DJ505" s="3"/>
      <c r="DK505" s="3"/>
      <c r="DL505" s="3"/>
      <c r="DM505" s="3"/>
      <c r="DN505" s="3"/>
      <c r="DO505" s="3"/>
      <c r="DP505" s="3"/>
      <c r="DQ505" s="28"/>
      <c r="DR505" s="32"/>
      <c r="DS505" s="32"/>
      <c r="DT505" s="32"/>
      <c r="DU505" s="69"/>
    </row>
    <row r="506" spans="1:125" x14ac:dyDescent="0.25">
      <c r="A506" t="s">
        <v>161</v>
      </c>
      <c r="B506" s="2">
        <v>44861</v>
      </c>
      <c r="C506" s="1">
        <v>250</v>
      </c>
      <c r="D506">
        <v>116</v>
      </c>
      <c r="M506" s="3"/>
      <c r="N506" s="3"/>
      <c r="O506" s="3"/>
      <c r="P506" s="7"/>
      <c r="Q506" s="7"/>
      <c r="R506" s="7"/>
      <c r="S506" s="7"/>
      <c r="T506" s="11"/>
      <c r="U506" s="11"/>
      <c r="V506" s="11"/>
      <c r="W506" s="11"/>
      <c r="X506" s="14"/>
      <c r="Y506" s="14"/>
      <c r="Z506" s="14"/>
      <c r="AA506" s="14"/>
      <c r="AB506" s="15"/>
      <c r="AC506" s="15"/>
      <c r="AD506" s="13"/>
      <c r="AE506" s="13"/>
      <c r="AF506" s="12"/>
      <c r="AG506" s="12"/>
      <c r="AH506" s="13"/>
      <c r="AI506" s="13"/>
      <c r="AJ506" s="11"/>
      <c r="AK506" s="11"/>
      <c r="AL506" s="11"/>
      <c r="AM506" s="11"/>
      <c r="AN506" s="11"/>
      <c r="AO506" s="11"/>
      <c r="AP506" s="11"/>
      <c r="AQ506" s="11"/>
      <c r="AR506" s="16"/>
      <c r="AS506" s="16"/>
      <c r="AT506" s="16"/>
      <c r="AU506" s="7"/>
      <c r="AV506" s="7"/>
      <c r="AW506" s="7"/>
      <c r="AX506" s="7"/>
      <c r="AY506" s="11"/>
      <c r="AZ506" s="16"/>
      <c r="BA506" s="16"/>
      <c r="BB506" s="16"/>
      <c r="BC506" s="11"/>
      <c r="BD506" s="11"/>
      <c r="BE506" s="11"/>
      <c r="BF506" s="11"/>
      <c r="BG506" s="11"/>
      <c r="BH506" s="11"/>
      <c r="BI506" s="13"/>
      <c r="BJ506" s="13"/>
      <c r="BK506" s="11"/>
      <c r="BL506" s="12"/>
      <c r="BM506" s="12"/>
      <c r="BN506" s="13"/>
      <c r="BO506" s="13"/>
      <c r="BP506" s="15"/>
      <c r="BQ506" s="15"/>
      <c r="BR506" s="14"/>
      <c r="BS506" s="14"/>
      <c r="BT506" s="14"/>
      <c r="BU506" s="14"/>
      <c r="BV506" s="11"/>
      <c r="BW506" s="11"/>
      <c r="BX506" s="11"/>
      <c r="BY506" s="11"/>
      <c r="BZ506" s="7"/>
      <c r="CA506" s="7"/>
      <c r="CB506" s="7"/>
      <c r="CC506" s="7"/>
      <c r="CD506" s="7"/>
      <c r="CE506" s="3"/>
      <c r="CF506" s="7"/>
      <c r="CG506" s="3"/>
      <c r="CH506" s="7"/>
      <c r="CI506" s="7"/>
      <c r="CJ506" s="3"/>
      <c r="CK506" s="7"/>
      <c r="CL506" s="3"/>
      <c r="CM506" s="7"/>
      <c r="CN506" s="10"/>
      <c r="CO506" s="10"/>
      <c r="CP506" s="7"/>
      <c r="CQ506" s="17"/>
      <c r="CR506" s="4"/>
      <c r="CS506" s="12"/>
      <c r="CT506" s="18"/>
      <c r="CU506" s="3"/>
      <c r="CV506" s="18"/>
      <c r="CW506" s="7"/>
      <c r="CX506" s="18"/>
      <c r="CY506" s="7"/>
      <c r="CZ506" s="18"/>
      <c r="DA506" s="3"/>
      <c r="DB506" s="18"/>
      <c r="DC506" s="11"/>
      <c r="DD506" s="18"/>
      <c r="DE506" s="7"/>
      <c r="DF506" s="7"/>
      <c r="DG506" s="7"/>
      <c r="DH506" s="3"/>
      <c r="DI506" s="3"/>
      <c r="DJ506" s="3"/>
      <c r="DK506" s="3"/>
      <c r="DL506" s="3"/>
      <c r="DM506" s="3"/>
      <c r="DN506" s="3"/>
      <c r="DO506" s="3"/>
      <c r="DP506" s="3"/>
      <c r="DQ506" s="28"/>
      <c r="DR506" s="32"/>
      <c r="DS506" s="32"/>
      <c r="DT506" s="32"/>
      <c r="DU506" s="69"/>
    </row>
    <row r="507" spans="1:125" x14ac:dyDescent="0.25">
      <c r="A507" t="s">
        <v>162</v>
      </c>
      <c r="B507" s="2">
        <v>44798</v>
      </c>
      <c r="C507" s="1">
        <v>250</v>
      </c>
      <c r="D507">
        <v>60</v>
      </c>
      <c r="M507" s="3"/>
      <c r="N507" s="3"/>
      <c r="O507" s="3"/>
      <c r="P507" s="7"/>
      <c r="Q507" s="7"/>
      <c r="R507" s="7"/>
      <c r="S507" s="7"/>
      <c r="T507" s="11"/>
      <c r="U507" s="11"/>
      <c r="V507" s="11"/>
      <c r="W507" s="11"/>
      <c r="X507" s="14"/>
      <c r="Y507" s="14"/>
      <c r="Z507" s="14"/>
      <c r="AA507" s="14"/>
      <c r="AB507" s="15"/>
      <c r="AC507" s="15"/>
      <c r="AD507" s="13"/>
      <c r="AE507" s="13"/>
      <c r="AF507" s="12"/>
      <c r="AG507" s="12"/>
      <c r="AH507" s="13"/>
      <c r="AI507" s="13"/>
      <c r="AJ507" s="11"/>
      <c r="AK507" s="11"/>
      <c r="AL507" s="11"/>
      <c r="AM507" s="11"/>
      <c r="AN507" s="11"/>
      <c r="AO507" s="11"/>
      <c r="AP507" s="11"/>
      <c r="AQ507" s="11"/>
      <c r="AR507" s="16"/>
      <c r="AS507" s="16"/>
      <c r="AT507" s="16"/>
      <c r="AU507" s="7"/>
      <c r="AV507" s="7"/>
      <c r="AW507" s="7"/>
      <c r="AX507" s="7"/>
      <c r="AY507" s="11"/>
      <c r="AZ507" s="16"/>
      <c r="BA507" s="16"/>
      <c r="BB507" s="16"/>
      <c r="BC507" s="11"/>
      <c r="BD507" s="11"/>
      <c r="BE507" s="11"/>
      <c r="BF507" s="11"/>
      <c r="BG507" s="11"/>
      <c r="BH507" s="11"/>
      <c r="BI507" s="13"/>
      <c r="BJ507" s="13"/>
      <c r="BK507" s="11"/>
      <c r="BL507" s="12"/>
      <c r="BM507" s="12"/>
      <c r="BN507" s="13"/>
      <c r="BO507" s="13"/>
      <c r="BP507" s="15"/>
      <c r="BQ507" s="15"/>
      <c r="BR507" s="14"/>
      <c r="BS507" s="14"/>
      <c r="BT507" s="14"/>
      <c r="BU507" s="14"/>
      <c r="BV507" s="11"/>
      <c r="BW507" s="11"/>
      <c r="BX507" s="11"/>
      <c r="BY507" s="11"/>
      <c r="BZ507" s="7"/>
      <c r="CA507" s="7"/>
      <c r="CB507" s="7"/>
      <c r="CC507" s="7"/>
      <c r="CD507" s="7"/>
      <c r="CE507" s="3"/>
      <c r="CF507" s="7"/>
      <c r="CG507" s="3"/>
      <c r="CH507" s="7"/>
      <c r="CI507" s="7"/>
      <c r="CJ507" s="3"/>
      <c r="CK507" s="7"/>
      <c r="CL507" s="3"/>
      <c r="CM507" s="7"/>
      <c r="CN507" s="10"/>
      <c r="CO507" s="10"/>
      <c r="CP507" s="7"/>
      <c r="CQ507" s="17"/>
      <c r="CR507" s="4"/>
      <c r="CS507" s="12"/>
      <c r="CT507" s="18"/>
      <c r="CU507" s="3"/>
      <c r="CV507" s="18"/>
      <c r="CW507" s="7"/>
      <c r="CX507" s="18"/>
      <c r="CY507" s="7"/>
      <c r="CZ507" s="18"/>
      <c r="DA507" s="3"/>
      <c r="DB507" s="18"/>
      <c r="DC507" s="11"/>
      <c r="DD507" s="18"/>
      <c r="DE507" s="7"/>
      <c r="DF507" s="7"/>
      <c r="DG507" s="7"/>
      <c r="DH507" s="3"/>
      <c r="DI507" s="3"/>
      <c r="DJ507" s="3"/>
      <c r="DK507" s="3"/>
      <c r="DL507" s="3"/>
      <c r="DM507" s="3"/>
      <c r="DN507" s="3"/>
      <c r="DO507" s="3"/>
      <c r="DP507" s="3"/>
      <c r="DQ507" s="28"/>
      <c r="DR507" s="32"/>
      <c r="DS507" s="32"/>
      <c r="DT507" s="32"/>
      <c r="DU507" s="69"/>
    </row>
    <row r="508" spans="1:125" x14ac:dyDescent="0.25">
      <c r="A508" t="s">
        <v>162</v>
      </c>
      <c r="B508" s="2">
        <v>44833</v>
      </c>
      <c r="C508" s="1">
        <v>250</v>
      </c>
      <c r="D508">
        <v>60</v>
      </c>
      <c r="CN508" s="29"/>
      <c r="CO508" s="29"/>
      <c r="CR508" s="29"/>
      <c r="DK508" s="3"/>
      <c r="DL508" s="3"/>
      <c r="DM508" s="3"/>
      <c r="DN508" s="3"/>
      <c r="DO508" s="3"/>
      <c r="DP508" s="3"/>
      <c r="DQ508" s="28"/>
      <c r="DR508" s="32"/>
      <c r="DS508" s="32"/>
      <c r="DT508" s="32"/>
      <c r="DU508" s="69"/>
    </row>
    <row r="509" spans="1:125" x14ac:dyDescent="0.25">
      <c r="A509" t="s">
        <v>162</v>
      </c>
      <c r="B509" s="2">
        <v>44861</v>
      </c>
      <c r="C509" s="1">
        <v>250</v>
      </c>
      <c r="D509">
        <v>60</v>
      </c>
      <c r="CN509" s="29"/>
      <c r="CO509" s="29"/>
      <c r="CR509" s="29"/>
      <c r="DK509" s="3"/>
      <c r="DL509" s="3"/>
      <c r="DM509" s="3"/>
      <c r="DN509" s="3"/>
      <c r="DO509" s="3"/>
      <c r="DP509" s="3"/>
      <c r="DQ509" s="28"/>
      <c r="DR509" s="32"/>
      <c r="DS509" s="32"/>
      <c r="DT509" s="32"/>
      <c r="DU509" s="69"/>
    </row>
    <row r="510" spans="1:125" x14ac:dyDescent="0.25">
      <c r="A510" t="s">
        <v>163</v>
      </c>
      <c r="B510" s="2">
        <v>44798</v>
      </c>
      <c r="C510" s="1">
        <v>16000</v>
      </c>
      <c r="D510">
        <v>37</v>
      </c>
      <c r="CN510" s="29"/>
      <c r="CO510" s="29"/>
      <c r="CR510" s="29"/>
      <c r="DK510" s="3"/>
      <c r="DL510" s="3"/>
      <c r="DM510" s="3"/>
      <c r="DN510" s="3"/>
      <c r="DO510" s="3"/>
      <c r="DP510" s="3"/>
      <c r="DQ510" s="28"/>
      <c r="DR510" s="32"/>
      <c r="DS510" s="32"/>
      <c r="DT510" s="32"/>
      <c r="DU510" s="69"/>
    </row>
    <row r="511" spans="1:125" x14ac:dyDescent="0.25">
      <c r="A511" t="s">
        <v>163</v>
      </c>
      <c r="B511" s="2">
        <v>44833</v>
      </c>
      <c r="C511" s="1">
        <v>16000</v>
      </c>
      <c r="D511">
        <v>37</v>
      </c>
      <c r="CN511" s="29"/>
      <c r="CO511" s="29"/>
      <c r="CR511" s="29"/>
      <c r="DK511" s="3"/>
      <c r="DL511" s="3"/>
      <c r="DM511" s="3"/>
      <c r="DN511" s="3"/>
      <c r="DO511" s="3"/>
      <c r="DP511" s="3"/>
      <c r="DQ511" s="28"/>
      <c r="DR511" s="32"/>
      <c r="DS511" s="32"/>
      <c r="DT511" s="32"/>
      <c r="DU511" s="69"/>
    </row>
    <row r="512" spans="1:125" x14ac:dyDescent="0.25">
      <c r="A512" t="s">
        <v>163</v>
      </c>
      <c r="B512" s="2">
        <v>44861</v>
      </c>
      <c r="C512" s="1">
        <v>16000</v>
      </c>
      <c r="D512">
        <v>37</v>
      </c>
      <c r="CN512" s="29"/>
      <c r="CO512" s="29"/>
      <c r="CR512" s="29"/>
      <c r="DK512" s="3"/>
      <c r="DL512" s="3"/>
      <c r="DM512" s="3"/>
      <c r="DN512" s="3"/>
      <c r="DO512" s="3"/>
      <c r="DP512" s="3"/>
      <c r="DQ512" s="28"/>
      <c r="DR512" s="32"/>
      <c r="DS512" s="32"/>
      <c r="DT512" s="32"/>
      <c r="DU512" s="69"/>
    </row>
    <row r="513" spans="1:125" x14ac:dyDescent="0.25">
      <c r="A513" t="s">
        <v>164</v>
      </c>
      <c r="B513" s="2">
        <v>44798</v>
      </c>
      <c r="C513" s="1">
        <v>300</v>
      </c>
      <c r="D513">
        <v>50</v>
      </c>
      <c r="CN513" s="29"/>
      <c r="CO513" s="29"/>
      <c r="CR513" s="29"/>
      <c r="DK513" s="3"/>
      <c r="DL513" s="3"/>
      <c r="DM513" s="3"/>
      <c r="DN513" s="3"/>
      <c r="DO513" s="3"/>
      <c r="DP513" s="3"/>
      <c r="DQ513" s="28"/>
      <c r="DR513" s="32"/>
      <c r="DS513" s="32"/>
      <c r="DT513" s="32"/>
      <c r="DU513" s="69"/>
    </row>
    <row r="514" spans="1:125" x14ac:dyDescent="0.25">
      <c r="A514" t="s">
        <v>164</v>
      </c>
      <c r="B514" s="2">
        <v>44833</v>
      </c>
      <c r="C514" s="1">
        <v>300</v>
      </c>
      <c r="D514">
        <v>50</v>
      </c>
    </row>
    <row r="515" spans="1:125" x14ac:dyDescent="0.25">
      <c r="A515" t="s">
        <v>164</v>
      </c>
      <c r="B515" s="2">
        <v>44861</v>
      </c>
      <c r="C515" s="1">
        <v>300</v>
      </c>
      <c r="D515">
        <v>50</v>
      </c>
    </row>
    <row r="516" spans="1:125" x14ac:dyDescent="0.25">
      <c r="A516" t="s">
        <v>165</v>
      </c>
      <c r="B516" s="2">
        <v>44798</v>
      </c>
      <c r="C516" s="1">
        <v>2700</v>
      </c>
      <c r="D516">
        <v>81</v>
      </c>
    </row>
    <row r="517" spans="1:125" x14ac:dyDescent="0.25">
      <c r="A517" t="s">
        <v>165</v>
      </c>
      <c r="B517" s="2">
        <v>44833</v>
      </c>
      <c r="C517" s="1">
        <v>2700</v>
      </c>
      <c r="D517">
        <v>81</v>
      </c>
    </row>
    <row r="518" spans="1:125" x14ac:dyDescent="0.25">
      <c r="A518" t="s">
        <v>165</v>
      </c>
      <c r="B518" s="2">
        <v>44861</v>
      </c>
      <c r="C518" s="1">
        <v>2700</v>
      </c>
      <c r="D518">
        <v>81</v>
      </c>
    </row>
    <row r="519" spans="1:125" x14ac:dyDescent="0.25">
      <c r="A519" t="s">
        <v>166</v>
      </c>
      <c r="B519" s="2">
        <v>44798</v>
      </c>
      <c r="C519" s="1">
        <v>407</v>
      </c>
      <c r="D519">
        <v>97</v>
      </c>
    </row>
    <row r="520" spans="1:125" x14ac:dyDescent="0.25">
      <c r="A520" t="s">
        <v>166</v>
      </c>
      <c r="B520" s="2">
        <v>44833</v>
      </c>
      <c r="C520" s="1">
        <v>407</v>
      </c>
      <c r="D520">
        <v>97</v>
      </c>
    </row>
    <row r="521" spans="1:125" x14ac:dyDescent="0.25">
      <c r="A521" t="s">
        <v>166</v>
      </c>
      <c r="B521" s="2">
        <v>44861</v>
      </c>
      <c r="C521" s="1">
        <v>407</v>
      </c>
      <c r="D521">
        <v>97</v>
      </c>
    </row>
    <row r="522" spans="1:125" x14ac:dyDescent="0.25">
      <c r="A522" t="s">
        <v>167</v>
      </c>
      <c r="B522" s="2">
        <v>44798</v>
      </c>
      <c r="C522" s="1">
        <v>3500</v>
      </c>
      <c r="D522">
        <v>41</v>
      </c>
    </row>
    <row r="523" spans="1:125" x14ac:dyDescent="0.25">
      <c r="A523" t="s">
        <v>167</v>
      </c>
      <c r="B523" s="2">
        <v>44833</v>
      </c>
      <c r="C523" s="1">
        <v>3500</v>
      </c>
      <c r="D523">
        <v>41</v>
      </c>
    </row>
    <row r="524" spans="1:125" x14ac:dyDescent="0.25">
      <c r="A524" t="s">
        <v>167</v>
      </c>
      <c r="B524" s="2">
        <v>44861</v>
      </c>
      <c r="C524" s="1">
        <v>3500</v>
      </c>
      <c r="D524">
        <v>41</v>
      </c>
    </row>
    <row r="525" spans="1:125" x14ac:dyDescent="0.25">
      <c r="A525" t="s">
        <v>168</v>
      </c>
      <c r="B525" s="2">
        <v>44798</v>
      </c>
      <c r="C525" s="1">
        <v>850</v>
      </c>
      <c r="D525">
        <v>74</v>
      </c>
    </row>
    <row r="526" spans="1:125" x14ac:dyDescent="0.25">
      <c r="A526" t="s">
        <v>168</v>
      </c>
      <c r="B526" s="2">
        <v>44833</v>
      </c>
      <c r="C526" s="1">
        <v>850</v>
      </c>
      <c r="D526">
        <v>74</v>
      </c>
    </row>
    <row r="527" spans="1:125" x14ac:dyDescent="0.25">
      <c r="A527" t="s">
        <v>168</v>
      </c>
      <c r="B527" s="2">
        <v>44861</v>
      </c>
      <c r="C527" s="1">
        <v>850</v>
      </c>
      <c r="D527">
        <v>74</v>
      </c>
    </row>
    <row r="528" spans="1:125" x14ac:dyDescent="0.25">
      <c r="A528" t="s">
        <v>169</v>
      </c>
      <c r="B528" s="2">
        <v>44798</v>
      </c>
      <c r="C528" s="1">
        <v>5000</v>
      </c>
      <c r="D528">
        <v>60</v>
      </c>
    </row>
    <row r="529" spans="1:4" x14ac:dyDescent="0.25">
      <c r="A529" t="s">
        <v>169</v>
      </c>
      <c r="B529" s="2">
        <v>44833</v>
      </c>
      <c r="C529" s="1">
        <v>5000</v>
      </c>
      <c r="D529">
        <v>60</v>
      </c>
    </row>
    <row r="530" spans="1:4" x14ac:dyDescent="0.25">
      <c r="A530" t="s">
        <v>169</v>
      </c>
      <c r="B530" s="2">
        <v>44861</v>
      </c>
      <c r="C530" s="1">
        <v>5000</v>
      </c>
      <c r="D530">
        <v>60</v>
      </c>
    </row>
    <row r="531" spans="1:4" x14ac:dyDescent="0.25">
      <c r="A531" t="s">
        <v>170</v>
      </c>
      <c r="B531" s="2">
        <v>44798</v>
      </c>
      <c r="C531" s="1">
        <v>6000</v>
      </c>
      <c r="D531">
        <v>126</v>
      </c>
    </row>
    <row r="532" spans="1:4" x14ac:dyDescent="0.25">
      <c r="A532" t="s">
        <v>170</v>
      </c>
      <c r="B532" s="2">
        <v>44833</v>
      </c>
      <c r="C532" s="1">
        <v>6000</v>
      </c>
      <c r="D532">
        <v>126</v>
      </c>
    </row>
    <row r="533" spans="1:4" x14ac:dyDescent="0.25">
      <c r="A533" t="s">
        <v>170</v>
      </c>
      <c r="B533" s="2">
        <v>44861</v>
      </c>
      <c r="C533" s="1">
        <v>6000</v>
      </c>
      <c r="D533">
        <v>126</v>
      </c>
    </row>
    <row r="534" spans="1:4" x14ac:dyDescent="0.25">
      <c r="A534" t="s">
        <v>171</v>
      </c>
      <c r="B534" s="2">
        <v>44798</v>
      </c>
      <c r="C534" s="1">
        <v>250</v>
      </c>
      <c r="D534">
        <v>116</v>
      </c>
    </row>
    <row r="535" spans="1:4" x14ac:dyDescent="0.25">
      <c r="A535" t="s">
        <v>171</v>
      </c>
      <c r="B535" s="2">
        <v>44833</v>
      </c>
      <c r="C535" s="1">
        <v>250</v>
      </c>
      <c r="D535">
        <v>116</v>
      </c>
    </row>
    <row r="536" spans="1:4" x14ac:dyDescent="0.25">
      <c r="A536" t="s">
        <v>171</v>
      </c>
      <c r="B536" s="2">
        <v>44861</v>
      </c>
      <c r="C536" s="1">
        <v>250</v>
      </c>
      <c r="D536">
        <v>116</v>
      </c>
    </row>
    <row r="537" spans="1:4" x14ac:dyDescent="0.25">
      <c r="A537" t="s">
        <v>172</v>
      </c>
      <c r="B537" s="2">
        <v>44798</v>
      </c>
      <c r="C537" s="1">
        <v>6000</v>
      </c>
      <c r="D537">
        <v>88</v>
      </c>
    </row>
    <row r="538" spans="1:4" x14ac:dyDescent="0.25">
      <c r="A538" t="s">
        <v>172</v>
      </c>
      <c r="B538" s="2">
        <v>44833</v>
      </c>
      <c r="C538" s="1">
        <v>6000</v>
      </c>
      <c r="D538">
        <v>88</v>
      </c>
    </row>
    <row r="539" spans="1:4" x14ac:dyDescent="0.25">
      <c r="A539" t="s">
        <v>172</v>
      </c>
      <c r="B539" s="2">
        <v>44861</v>
      </c>
      <c r="C539" s="1">
        <v>6000</v>
      </c>
      <c r="D539">
        <v>88</v>
      </c>
    </row>
    <row r="540" spans="1:4" x14ac:dyDescent="0.25">
      <c r="A540" t="s">
        <v>173</v>
      </c>
      <c r="B540" s="2">
        <v>44798</v>
      </c>
      <c r="C540" s="1">
        <v>800</v>
      </c>
      <c r="D540">
        <v>90</v>
      </c>
    </row>
    <row r="541" spans="1:4" x14ac:dyDescent="0.25">
      <c r="A541" t="s">
        <v>173</v>
      </c>
      <c r="B541" s="2">
        <v>44833</v>
      </c>
      <c r="C541" s="1">
        <v>800</v>
      </c>
      <c r="D541">
        <v>90</v>
      </c>
    </row>
    <row r="542" spans="1:4" x14ac:dyDescent="0.25">
      <c r="A542" t="s">
        <v>173</v>
      </c>
      <c r="B542" s="2">
        <v>44861</v>
      </c>
      <c r="C542" s="1">
        <v>800</v>
      </c>
      <c r="D542">
        <v>90</v>
      </c>
    </row>
    <row r="543" spans="1:4" x14ac:dyDescent="0.25">
      <c r="A543" t="s">
        <v>174</v>
      </c>
      <c r="B543" s="2">
        <v>44798</v>
      </c>
      <c r="C543" s="1">
        <v>750</v>
      </c>
      <c r="D543">
        <v>91</v>
      </c>
    </row>
    <row r="544" spans="1:4" x14ac:dyDescent="0.25">
      <c r="A544" t="s">
        <v>174</v>
      </c>
      <c r="B544" s="2">
        <v>44833</v>
      </c>
      <c r="C544" s="1">
        <v>750</v>
      </c>
      <c r="D544">
        <v>91</v>
      </c>
    </row>
    <row r="545" spans="1:4" x14ac:dyDescent="0.25">
      <c r="A545" t="s">
        <v>174</v>
      </c>
      <c r="B545" s="2">
        <v>44861</v>
      </c>
      <c r="C545" s="1">
        <v>750</v>
      </c>
      <c r="D545">
        <v>91</v>
      </c>
    </row>
    <row r="546" spans="1:4" x14ac:dyDescent="0.25">
      <c r="A546" t="s">
        <v>175</v>
      </c>
      <c r="B546" s="2">
        <v>44798</v>
      </c>
      <c r="C546" s="1">
        <v>1500</v>
      </c>
      <c r="D546">
        <v>94</v>
      </c>
    </row>
    <row r="547" spans="1:4" x14ac:dyDescent="0.25">
      <c r="A547" t="s">
        <v>175</v>
      </c>
      <c r="B547" s="2">
        <v>44833</v>
      </c>
      <c r="C547" s="1">
        <v>1500</v>
      </c>
      <c r="D547">
        <v>94</v>
      </c>
    </row>
    <row r="548" spans="1:4" x14ac:dyDescent="0.25">
      <c r="A548" t="s">
        <v>175</v>
      </c>
      <c r="B548" s="2">
        <v>44861</v>
      </c>
      <c r="C548" s="1">
        <v>1500</v>
      </c>
      <c r="D548">
        <v>94</v>
      </c>
    </row>
    <row r="549" spans="1:4" x14ac:dyDescent="0.25">
      <c r="A549" t="s">
        <v>176</v>
      </c>
      <c r="B549" s="2">
        <v>44798</v>
      </c>
      <c r="C549" s="1">
        <v>25</v>
      </c>
      <c r="D549">
        <v>95</v>
      </c>
    </row>
    <row r="550" spans="1:4" x14ac:dyDescent="0.25">
      <c r="A550" t="s">
        <v>176</v>
      </c>
      <c r="B550" s="2">
        <v>44833</v>
      </c>
      <c r="C550" s="1">
        <v>25</v>
      </c>
      <c r="D550">
        <v>95</v>
      </c>
    </row>
    <row r="551" spans="1:4" x14ac:dyDescent="0.25">
      <c r="A551" t="s">
        <v>176</v>
      </c>
      <c r="B551" s="2">
        <v>44861</v>
      </c>
      <c r="C551" s="1">
        <v>25</v>
      </c>
      <c r="D551">
        <v>95</v>
      </c>
    </row>
    <row r="552" spans="1:4" x14ac:dyDescent="0.25">
      <c r="A552" t="s">
        <v>177</v>
      </c>
      <c r="B552" s="2">
        <v>44798</v>
      </c>
      <c r="C552" s="1">
        <v>275</v>
      </c>
      <c r="D552">
        <v>117</v>
      </c>
    </row>
    <row r="553" spans="1:4" x14ac:dyDescent="0.25">
      <c r="A553" t="s">
        <v>177</v>
      </c>
      <c r="B553" s="2">
        <v>44833</v>
      </c>
      <c r="C553" s="1">
        <v>275</v>
      </c>
      <c r="D553">
        <v>117</v>
      </c>
    </row>
    <row r="554" spans="1:4" x14ac:dyDescent="0.25">
      <c r="A554" t="s">
        <v>177</v>
      </c>
      <c r="B554" s="2">
        <v>44861</v>
      </c>
      <c r="C554" s="1">
        <v>275</v>
      </c>
      <c r="D554">
        <v>117</v>
      </c>
    </row>
    <row r="555" spans="1:4" x14ac:dyDescent="0.25">
      <c r="A555" t="s">
        <v>178</v>
      </c>
      <c r="B555" s="2">
        <v>44798</v>
      </c>
      <c r="C555" s="1">
        <v>375</v>
      </c>
      <c r="D555">
        <v>48</v>
      </c>
    </row>
    <row r="556" spans="1:4" x14ac:dyDescent="0.25">
      <c r="A556" t="s">
        <v>178</v>
      </c>
      <c r="B556" s="2">
        <v>44833</v>
      </c>
      <c r="C556" s="1">
        <v>375</v>
      </c>
      <c r="D556">
        <v>48</v>
      </c>
    </row>
    <row r="557" spans="1:4" x14ac:dyDescent="0.25">
      <c r="A557" t="s">
        <v>178</v>
      </c>
      <c r="B557" s="2">
        <v>44861</v>
      </c>
      <c r="C557" s="1">
        <v>375</v>
      </c>
      <c r="D557">
        <v>48</v>
      </c>
    </row>
    <row r="558" spans="1:4" x14ac:dyDescent="0.25">
      <c r="A558" t="s">
        <v>179</v>
      </c>
      <c r="B558" s="2">
        <v>44798</v>
      </c>
      <c r="C558" s="1">
        <v>600</v>
      </c>
      <c r="D558">
        <v>65</v>
      </c>
    </row>
    <row r="559" spans="1:4" x14ac:dyDescent="0.25">
      <c r="A559" t="s">
        <v>179</v>
      </c>
      <c r="B559" s="2">
        <v>44833</v>
      </c>
      <c r="C559" s="1">
        <v>600</v>
      </c>
      <c r="D559">
        <v>65</v>
      </c>
    </row>
    <row r="560" spans="1:4" x14ac:dyDescent="0.25">
      <c r="A560" t="s">
        <v>179</v>
      </c>
      <c r="B560" s="2">
        <v>44861</v>
      </c>
      <c r="C560" s="1">
        <v>600</v>
      </c>
      <c r="D560">
        <v>65</v>
      </c>
    </row>
    <row r="561" spans="1:4" x14ac:dyDescent="0.25">
      <c r="A561" t="s">
        <v>180</v>
      </c>
      <c r="B561" s="2">
        <v>44798</v>
      </c>
      <c r="C561" s="1">
        <v>700</v>
      </c>
      <c r="D561">
        <v>85</v>
      </c>
    </row>
    <row r="562" spans="1:4" x14ac:dyDescent="0.25">
      <c r="A562" t="s">
        <v>180</v>
      </c>
      <c r="B562" s="2">
        <v>44833</v>
      </c>
      <c r="C562" s="1">
        <v>700</v>
      </c>
      <c r="D562">
        <v>85</v>
      </c>
    </row>
    <row r="563" spans="1:4" x14ac:dyDescent="0.25">
      <c r="A563" t="s">
        <v>180</v>
      </c>
      <c r="B563" s="2">
        <v>44861</v>
      </c>
      <c r="C563" s="1">
        <v>700</v>
      </c>
      <c r="D563">
        <v>85</v>
      </c>
    </row>
    <row r="564" spans="1:4" x14ac:dyDescent="0.25">
      <c r="A564" t="s">
        <v>181</v>
      </c>
      <c r="B564" s="2">
        <v>44798</v>
      </c>
      <c r="C564" s="1">
        <v>1500</v>
      </c>
      <c r="D564">
        <v>83</v>
      </c>
    </row>
    <row r="565" spans="1:4" x14ac:dyDescent="0.25">
      <c r="A565" t="s">
        <v>181</v>
      </c>
      <c r="B565" s="2">
        <v>44833</v>
      </c>
      <c r="C565" s="1">
        <v>1500</v>
      </c>
      <c r="D565">
        <v>83</v>
      </c>
    </row>
    <row r="566" spans="1:4" x14ac:dyDescent="0.25">
      <c r="A566" t="s">
        <v>181</v>
      </c>
      <c r="B566" s="2">
        <v>44861</v>
      </c>
      <c r="C566" s="1">
        <v>1500</v>
      </c>
      <c r="D566">
        <v>83</v>
      </c>
    </row>
    <row r="567" spans="1:4" x14ac:dyDescent="0.25">
      <c r="A567" t="s">
        <v>182</v>
      </c>
      <c r="B567" s="2">
        <v>44798</v>
      </c>
      <c r="C567" s="1">
        <v>1000</v>
      </c>
      <c r="D567">
        <v>57</v>
      </c>
    </row>
    <row r="568" spans="1:4" x14ac:dyDescent="0.25">
      <c r="A568" t="s">
        <v>182</v>
      </c>
      <c r="B568" s="2">
        <v>44833</v>
      </c>
      <c r="C568" s="1">
        <v>1000</v>
      </c>
      <c r="D568">
        <v>57</v>
      </c>
    </row>
    <row r="569" spans="1:4" x14ac:dyDescent="0.25">
      <c r="A569" t="s">
        <v>182</v>
      </c>
      <c r="B569" s="2">
        <v>44861</v>
      </c>
      <c r="C569" s="1">
        <v>1000</v>
      </c>
      <c r="D569">
        <v>57</v>
      </c>
    </row>
    <row r="570" spans="1:4" x14ac:dyDescent="0.25">
      <c r="A570" t="s">
        <v>183</v>
      </c>
      <c r="B570" s="2">
        <v>44798</v>
      </c>
      <c r="C570" s="1">
        <v>1000</v>
      </c>
      <c r="D570">
        <v>92</v>
      </c>
    </row>
    <row r="571" spans="1:4" x14ac:dyDescent="0.25">
      <c r="A571" t="s">
        <v>183</v>
      </c>
      <c r="B571" s="2">
        <v>44833</v>
      </c>
      <c r="C571" s="1">
        <v>1000</v>
      </c>
      <c r="D571">
        <v>92</v>
      </c>
    </row>
    <row r="572" spans="1:4" x14ac:dyDescent="0.25">
      <c r="A572" t="s">
        <v>183</v>
      </c>
      <c r="B572" s="2">
        <v>44861</v>
      </c>
      <c r="C572" s="1">
        <v>1000</v>
      </c>
      <c r="D572">
        <v>92</v>
      </c>
    </row>
    <row r="573" spans="1:4" x14ac:dyDescent="0.25">
      <c r="A573" t="s">
        <v>184</v>
      </c>
      <c r="B573" s="2">
        <v>44798</v>
      </c>
      <c r="C573" s="1">
        <v>500</v>
      </c>
      <c r="D573">
        <v>55</v>
      </c>
    </row>
    <row r="574" spans="1:4" x14ac:dyDescent="0.25">
      <c r="A574" t="s">
        <v>184</v>
      </c>
      <c r="B574" s="2">
        <v>44833</v>
      </c>
      <c r="C574" s="1">
        <v>500</v>
      </c>
      <c r="D574">
        <v>55</v>
      </c>
    </row>
    <row r="575" spans="1:4" x14ac:dyDescent="0.25">
      <c r="A575" t="s">
        <v>184</v>
      </c>
      <c r="B575" s="2">
        <v>44861</v>
      </c>
      <c r="C575" s="1">
        <v>500</v>
      </c>
      <c r="D575">
        <v>55</v>
      </c>
    </row>
    <row r="576" spans="1:4" x14ac:dyDescent="0.25">
      <c r="A576" t="s">
        <v>185</v>
      </c>
      <c r="B576" s="2">
        <v>44798</v>
      </c>
      <c r="C576" s="1">
        <v>900</v>
      </c>
      <c r="D576">
        <v>72</v>
      </c>
    </row>
    <row r="577" spans="1:4" x14ac:dyDescent="0.25">
      <c r="A577" t="s">
        <v>185</v>
      </c>
      <c r="B577" s="2">
        <v>44833</v>
      </c>
      <c r="C577" s="1">
        <v>900</v>
      </c>
      <c r="D577">
        <v>72</v>
      </c>
    </row>
    <row r="578" spans="1:4" x14ac:dyDescent="0.25">
      <c r="A578" t="s">
        <v>185</v>
      </c>
      <c r="B578" s="2">
        <v>44861</v>
      </c>
      <c r="C578" s="1">
        <v>900</v>
      </c>
      <c r="D578">
        <v>72</v>
      </c>
    </row>
    <row r="579" spans="1:4" x14ac:dyDescent="0.25">
      <c r="A579" t="s">
        <v>186</v>
      </c>
      <c r="B579" s="2">
        <v>44798</v>
      </c>
      <c r="C579" s="1">
        <v>1425</v>
      </c>
      <c r="D579">
        <v>46</v>
      </c>
    </row>
    <row r="580" spans="1:4" x14ac:dyDescent="0.25">
      <c r="A580" t="s">
        <v>186</v>
      </c>
      <c r="B580" s="2">
        <v>44833</v>
      </c>
      <c r="C580" s="1">
        <v>1425</v>
      </c>
      <c r="D580">
        <v>46</v>
      </c>
    </row>
    <row r="581" spans="1:4" x14ac:dyDescent="0.25">
      <c r="A581" t="s">
        <v>186</v>
      </c>
      <c r="B581" s="2">
        <v>44861</v>
      </c>
      <c r="C581" s="1">
        <v>1425</v>
      </c>
      <c r="D581">
        <v>46</v>
      </c>
    </row>
    <row r="582" spans="1:4" x14ac:dyDescent="0.25">
      <c r="A582" t="s">
        <v>187</v>
      </c>
      <c r="B582" s="2">
        <v>44798</v>
      </c>
      <c r="C582" s="1">
        <v>3375</v>
      </c>
      <c r="D582">
        <v>45</v>
      </c>
    </row>
    <row r="583" spans="1:4" x14ac:dyDescent="0.25">
      <c r="A583" t="s">
        <v>187</v>
      </c>
      <c r="B583" s="2">
        <v>44833</v>
      </c>
      <c r="C583" s="1">
        <v>3375</v>
      </c>
      <c r="D583">
        <v>45</v>
      </c>
    </row>
    <row r="584" spans="1:4" x14ac:dyDescent="0.25">
      <c r="A584" t="s">
        <v>187</v>
      </c>
      <c r="B584" s="2">
        <v>44861</v>
      </c>
      <c r="C584" s="1">
        <v>3375</v>
      </c>
      <c r="D584">
        <v>45</v>
      </c>
    </row>
    <row r="585" spans="1:4" x14ac:dyDescent="0.25">
      <c r="A585" t="s">
        <v>188</v>
      </c>
      <c r="B585" s="2">
        <v>44798</v>
      </c>
      <c r="C585" s="1">
        <v>4250</v>
      </c>
      <c r="D585">
        <v>65</v>
      </c>
    </row>
    <row r="586" spans="1:4" x14ac:dyDescent="0.25">
      <c r="A586" t="s">
        <v>188</v>
      </c>
      <c r="B586" s="2">
        <v>44833</v>
      </c>
      <c r="C586" s="1">
        <v>4250</v>
      </c>
      <c r="D586">
        <v>65</v>
      </c>
    </row>
    <row r="587" spans="1:4" x14ac:dyDescent="0.25">
      <c r="A587" t="s">
        <v>188</v>
      </c>
      <c r="B587" s="2">
        <v>44861</v>
      </c>
      <c r="C587" s="1">
        <v>4250</v>
      </c>
      <c r="D587">
        <v>65</v>
      </c>
    </row>
    <row r="588" spans="1:4" x14ac:dyDescent="0.25">
      <c r="A588" t="s">
        <v>189</v>
      </c>
      <c r="B588" s="2">
        <v>44798</v>
      </c>
      <c r="C588" s="1">
        <v>150</v>
      </c>
      <c r="D588">
        <v>175</v>
      </c>
    </row>
    <row r="589" spans="1:4" x14ac:dyDescent="0.25">
      <c r="A589" t="s">
        <v>189</v>
      </c>
      <c r="B589" s="2">
        <v>44833</v>
      </c>
      <c r="C589" s="1">
        <v>150</v>
      </c>
      <c r="D589">
        <v>175</v>
      </c>
    </row>
    <row r="590" spans="1:4" x14ac:dyDescent="0.25">
      <c r="A590" t="s">
        <v>189</v>
      </c>
      <c r="B590" s="2">
        <v>44861</v>
      </c>
      <c r="C590" s="1">
        <v>150</v>
      </c>
      <c r="D590">
        <v>175</v>
      </c>
    </row>
    <row r="591" spans="1:4" x14ac:dyDescent="0.25">
      <c r="A591" t="s">
        <v>190</v>
      </c>
      <c r="B591" s="2">
        <v>44798</v>
      </c>
      <c r="C591" s="1">
        <v>600</v>
      </c>
      <c r="D591">
        <v>72</v>
      </c>
    </row>
    <row r="592" spans="1:4" x14ac:dyDescent="0.25">
      <c r="A592" t="s">
        <v>190</v>
      </c>
      <c r="B592" s="2">
        <v>44833</v>
      </c>
      <c r="C592" s="1">
        <v>600</v>
      </c>
      <c r="D592">
        <v>72</v>
      </c>
    </row>
    <row r="593" spans="1:4" x14ac:dyDescent="0.25">
      <c r="A593" t="s">
        <v>190</v>
      </c>
      <c r="B593" s="2">
        <v>44861</v>
      </c>
      <c r="C593" s="1">
        <v>600</v>
      </c>
      <c r="D593">
        <v>72</v>
      </c>
    </row>
    <row r="594" spans="1:4" x14ac:dyDescent="0.25">
      <c r="A594" t="s">
        <v>191</v>
      </c>
      <c r="B594" s="2">
        <v>44798</v>
      </c>
      <c r="C594" s="1">
        <v>375</v>
      </c>
      <c r="D594">
        <v>130</v>
      </c>
    </row>
    <row r="595" spans="1:4" x14ac:dyDescent="0.25">
      <c r="A595" t="s">
        <v>191</v>
      </c>
      <c r="B595" s="2">
        <v>44833</v>
      </c>
      <c r="C595" s="1">
        <v>375</v>
      </c>
      <c r="D595">
        <v>130</v>
      </c>
    </row>
    <row r="596" spans="1:4" x14ac:dyDescent="0.25">
      <c r="A596" t="s">
        <v>191</v>
      </c>
      <c r="B596" s="2">
        <v>44861</v>
      </c>
      <c r="C596" s="1">
        <v>375</v>
      </c>
      <c r="D596">
        <v>130</v>
      </c>
    </row>
    <row r="597" spans="1:4" x14ac:dyDescent="0.25">
      <c r="A597" t="s">
        <v>192</v>
      </c>
      <c r="B597" s="2">
        <v>44798</v>
      </c>
      <c r="C597" s="1">
        <v>500</v>
      </c>
      <c r="D597">
        <v>55</v>
      </c>
    </row>
    <row r="598" spans="1:4" x14ac:dyDescent="0.25">
      <c r="A598" t="s">
        <v>192</v>
      </c>
      <c r="B598" s="2">
        <v>44833</v>
      </c>
      <c r="C598" s="1">
        <v>500</v>
      </c>
      <c r="D598">
        <v>55</v>
      </c>
    </row>
    <row r="599" spans="1:4" x14ac:dyDescent="0.25">
      <c r="A599" t="s">
        <v>192</v>
      </c>
      <c r="B599" s="2">
        <v>44861</v>
      </c>
      <c r="C599" s="1">
        <v>500</v>
      </c>
      <c r="D599">
        <v>55</v>
      </c>
    </row>
    <row r="600" spans="1:4" x14ac:dyDescent="0.25">
      <c r="A600" t="s">
        <v>193</v>
      </c>
      <c r="B600" s="2">
        <v>44798</v>
      </c>
      <c r="C600" s="1">
        <v>1500</v>
      </c>
      <c r="D600">
        <v>51</v>
      </c>
    </row>
    <row r="601" spans="1:4" x14ac:dyDescent="0.25">
      <c r="A601" t="s">
        <v>193</v>
      </c>
      <c r="B601" s="2">
        <v>44833</v>
      </c>
      <c r="C601" s="1">
        <v>1500</v>
      </c>
      <c r="D601">
        <v>51</v>
      </c>
    </row>
    <row r="602" spans="1:4" x14ac:dyDescent="0.25">
      <c r="A602" t="s">
        <v>193</v>
      </c>
      <c r="B602" s="2">
        <v>44861</v>
      </c>
      <c r="C602" s="1">
        <v>1500</v>
      </c>
      <c r="D602">
        <v>51</v>
      </c>
    </row>
    <row r="603" spans="1:4" x14ac:dyDescent="0.25">
      <c r="A603" t="s">
        <v>194</v>
      </c>
      <c r="B603" s="2">
        <v>44798</v>
      </c>
      <c r="C603" s="1">
        <v>725</v>
      </c>
      <c r="D603">
        <v>62</v>
      </c>
    </row>
    <row r="604" spans="1:4" x14ac:dyDescent="0.25">
      <c r="A604" t="s">
        <v>194</v>
      </c>
      <c r="B604" s="2">
        <v>44833</v>
      </c>
      <c r="C604" s="1">
        <v>725</v>
      </c>
      <c r="D604">
        <v>62</v>
      </c>
    </row>
    <row r="605" spans="1:4" x14ac:dyDescent="0.25">
      <c r="A605" t="s">
        <v>194</v>
      </c>
      <c r="B605" s="2">
        <v>44861</v>
      </c>
      <c r="C605" s="1">
        <v>725</v>
      </c>
      <c r="D605">
        <v>62</v>
      </c>
    </row>
    <row r="606" spans="1:4" x14ac:dyDescent="0.25">
      <c r="A606" t="s">
        <v>195</v>
      </c>
      <c r="B606" s="2">
        <v>44798</v>
      </c>
      <c r="C606" s="1">
        <v>1400</v>
      </c>
      <c r="D606">
        <v>79</v>
      </c>
    </row>
    <row r="607" spans="1:4" x14ac:dyDescent="0.25">
      <c r="A607" t="s">
        <v>195</v>
      </c>
      <c r="B607" s="2">
        <v>44833</v>
      </c>
      <c r="C607" s="1">
        <v>1400</v>
      </c>
      <c r="D607">
        <v>79</v>
      </c>
    </row>
    <row r="608" spans="1:4" x14ac:dyDescent="0.25">
      <c r="A608" t="s">
        <v>195</v>
      </c>
      <c r="B608" s="2">
        <v>44861</v>
      </c>
      <c r="C608" s="1">
        <v>1400</v>
      </c>
      <c r="D608">
        <v>79</v>
      </c>
    </row>
    <row r="609" spans="1:4" x14ac:dyDescent="0.25">
      <c r="A609" t="s">
        <v>196</v>
      </c>
      <c r="B609" s="2">
        <v>44798</v>
      </c>
      <c r="C609" s="1">
        <v>400</v>
      </c>
      <c r="D609">
        <v>73</v>
      </c>
    </row>
    <row r="610" spans="1:4" x14ac:dyDescent="0.25">
      <c r="A610" t="s">
        <v>196</v>
      </c>
      <c r="B610" s="2">
        <v>44833</v>
      </c>
      <c r="C610" s="1">
        <v>400</v>
      </c>
      <c r="D610">
        <v>73</v>
      </c>
    </row>
    <row r="611" spans="1:4" x14ac:dyDescent="0.25">
      <c r="A611" t="s">
        <v>196</v>
      </c>
      <c r="B611" s="2">
        <v>44861</v>
      </c>
      <c r="C611" s="1">
        <v>400</v>
      </c>
      <c r="D611">
        <v>73</v>
      </c>
    </row>
    <row r="612" spans="1:4" x14ac:dyDescent="0.25">
      <c r="A612" t="s">
        <v>197</v>
      </c>
      <c r="B612" s="2">
        <v>44798</v>
      </c>
      <c r="C612" s="1">
        <v>100</v>
      </c>
      <c r="D612">
        <v>63</v>
      </c>
    </row>
    <row r="613" spans="1:4" x14ac:dyDescent="0.25">
      <c r="A613" t="s">
        <v>197</v>
      </c>
      <c r="B613" s="2">
        <v>44833</v>
      </c>
      <c r="C613" s="1">
        <v>100</v>
      </c>
      <c r="D613">
        <v>63</v>
      </c>
    </row>
    <row r="614" spans="1:4" x14ac:dyDescent="0.25">
      <c r="A614" t="s">
        <v>197</v>
      </c>
      <c r="B614" s="2">
        <v>44861</v>
      </c>
      <c r="C614" s="1">
        <v>100</v>
      </c>
      <c r="D614">
        <v>63</v>
      </c>
    </row>
    <row r="615" spans="1:4" x14ac:dyDescent="0.25">
      <c r="A615" t="s">
        <v>198</v>
      </c>
      <c r="B615" s="2">
        <v>44798</v>
      </c>
      <c r="C615" s="1">
        <v>1300</v>
      </c>
      <c r="D615">
        <v>78</v>
      </c>
    </row>
    <row r="616" spans="1:4" x14ac:dyDescent="0.25">
      <c r="A616" t="s">
        <v>198</v>
      </c>
      <c r="B616" s="2">
        <v>44833</v>
      </c>
      <c r="C616" s="1">
        <v>1300</v>
      </c>
      <c r="D616">
        <v>78</v>
      </c>
    </row>
    <row r="617" spans="1:4" x14ac:dyDescent="0.25">
      <c r="A617" t="s">
        <v>198</v>
      </c>
      <c r="B617" s="2">
        <v>44861</v>
      </c>
      <c r="C617" s="1">
        <v>1300</v>
      </c>
      <c r="D617">
        <v>78</v>
      </c>
    </row>
    <row r="618" spans="1:4" x14ac:dyDescent="0.25">
      <c r="A618" t="s">
        <v>199</v>
      </c>
      <c r="B618" s="2">
        <v>44798</v>
      </c>
      <c r="C618" s="1">
        <v>1550</v>
      </c>
      <c r="D618">
        <v>100</v>
      </c>
    </row>
    <row r="619" spans="1:4" x14ac:dyDescent="0.25">
      <c r="A619" t="s">
        <v>199</v>
      </c>
      <c r="B619" s="2">
        <v>44833</v>
      </c>
      <c r="C619" s="1">
        <v>1550</v>
      </c>
      <c r="D619">
        <v>100</v>
      </c>
    </row>
    <row r="620" spans="1:4" x14ac:dyDescent="0.25">
      <c r="A620" t="s">
        <v>199</v>
      </c>
      <c r="B620" s="2">
        <v>44861</v>
      </c>
      <c r="C620" s="1">
        <v>1550</v>
      </c>
      <c r="D620">
        <v>100</v>
      </c>
    </row>
    <row r="621" spans="1:4" x14ac:dyDescent="0.25">
      <c r="A621" t="s">
        <v>200</v>
      </c>
      <c r="B621" s="2">
        <v>44798</v>
      </c>
      <c r="C621" s="1">
        <v>500</v>
      </c>
      <c r="D621">
        <v>58</v>
      </c>
    </row>
    <row r="622" spans="1:4" x14ac:dyDescent="0.25">
      <c r="A622" t="s">
        <v>200</v>
      </c>
      <c r="B622" s="2">
        <v>44833</v>
      </c>
      <c r="C622" s="1">
        <v>500</v>
      </c>
      <c r="D622">
        <v>58</v>
      </c>
    </row>
    <row r="623" spans="1:4" x14ac:dyDescent="0.25">
      <c r="A623" t="s">
        <v>200</v>
      </c>
      <c r="B623" s="2">
        <v>44861</v>
      </c>
      <c r="C623" s="1">
        <v>500</v>
      </c>
      <c r="D623">
        <v>58</v>
      </c>
    </row>
    <row r="624" spans="1:4" x14ac:dyDescent="0.25">
      <c r="A624" t="s">
        <v>201</v>
      </c>
      <c r="B624" s="2">
        <v>44798</v>
      </c>
      <c r="C624" s="1">
        <v>350</v>
      </c>
      <c r="D624">
        <v>82</v>
      </c>
    </row>
    <row r="625" spans="1:4" x14ac:dyDescent="0.25">
      <c r="A625" t="s">
        <v>201</v>
      </c>
      <c r="B625" s="2">
        <v>44833</v>
      </c>
      <c r="C625" s="1">
        <v>350</v>
      </c>
      <c r="D625">
        <v>82</v>
      </c>
    </row>
    <row r="626" spans="1:4" x14ac:dyDescent="0.25">
      <c r="A626" t="s">
        <v>201</v>
      </c>
      <c r="B626" s="2">
        <v>44861</v>
      </c>
      <c r="C626" s="1">
        <v>350</v>
      </c>
      <c r="D626">
        <v>82</v>
      </c>
    </row>
    <row r="627" spans="1:4" x14ac:dyDescent="0.25">
      <c r="A627" t="s">
        <v>202</v>
      </c>
      <c r="B627" s="2">
        <v>44798</v>
      </c>
      <c r="C627" s="1">
        <v>1000</v>
      </c>
      <c r="D627">
        <v>97</v>
      </c>
    </row>
    <row r="628" spans="1:4" x14ac:dyDescent="0.25">
      <c r="A628" t="s">
        <v>202</v>
      </c>
      <c r="B628" s="2">
        <v>44833</v>
      </c>
      <c r="C628" s="1">
        <v>1000</v>
      </c>
      <c r="D628">
        <v>97</v>
      </c>
    </row>
    <row r="629" spans="1:4" x14ac:dyDescent="0.25">
      <c r="A629" t="s">
        <v>202</v>
      </c>
      <c r="B629" s="2">
        <v>44861</v>
      </c>
      <c r="C629" s="1">
        <v>1000</v>
      </c>
      <c r="D629">
        <v>97</v>
      </c>
    </row>
    <row r="630" spans="1:4" x14ac:dyDescent="0.25">
      <c r="A630" t="s">
        <v>203</v>
      </c>
      <c r="B630" s="2">
        <v>44798</v>
      </c>
      <c r="C630" s="1">
        <v>3000</v>
      </c>
      <c r="D630">
        <v>54</v>
      </c>
    </row>
    <row r="631" spans="1:4" x14ac:dyDescent="0.25">
      <c r="A631" t="s">
        <v>203</v>
      </c>
      <c r="B631" s="2">
        <v>44833</v>
      </c>
      <c r="C631" s="1">
        <v>3000</v>
      </c>
      <c r="D631">
        <v>54</v>
      </c>
    </row>
    <row r="632" spans="1:4" x14ac:dyDescent="0.25">
      <c r="A632" t="s">
        <v>203</v>
      </c>
      <c r="B632" s="2">
        <v>44861</v>
      </c>
      <c r="C632" s="1">
        <v>3000</v>
      </c>
      <c r="D632">
        <v>54</v>
      </c>
    </row>
    <row r="633" spans="1:4" x14ac:dyDescent="0.25">
      <c r="A633" t="s">
        <v>204</v>
      </c>
      <c r="B633" s="2">
        <v>44798</v>
      </c>
      <c r="C633" s="1">
        <v>1800</v>
      </c>
      <c r="D633">
        <v>70</v>
      </c>
    </row>
    <row r="634" spans="1:4" x14ac:dyDescent="0.25">
      <c r="A634" t="s">
        <v>204</v>
      </c>
      <c r="B634" s="2">
        <v>44833</v>
      </c>
      <c r="C634" s="1">
        <v>1800</v>
      </c>
      <c r="D634">
        <v>70</v>
      </c>
    </row>
    <row r="635" spans="1:4" x14ac:dyDescent="0.25">
      <c r="A635" t="s">
        <v>204</v>
      </c>
      <c r="B635" s="2">
        <v>44861</v>
      </c>
      <c r="C635" s="1">
        <v>1800</v>
      </c>
      <c r="D635">
        <v>70</v>
      </c>
    </row>
    <row r="636" spans="1:4" x14ac:dyDescent="0.25">
      <c r="A636" t="s">
        <v>204</v>
      </c>
      <c r="B636" s="2">
        <v>44798</v>
      </c>
      <c r="C636" s="1">
        <v>1800</v>
      </c>
      <c r="D636">
        <v>71</v>
      </c>
    </row>
    <row r="637" spans="1:4" x14ac:dyDescent="0.25">
      <c r="A637" t="s">
        <v>204</v>
      </c>
      <c r="B637" s="2">
        <v>44833</v>
      </c>
      <c r="C637" s="1">
        <v>1800</v>
      </c>
      <c r="D637">
        <v>71</v>
      </c>
    </row>
    <row r="726" spans="15:121" x14ac:dyDescent="0.25">
      <c r="O726" s="3"/>
      <c r="P726" s="7"/>
      <c r="Q726" s="7"/>
      <c r="R726" s="7"/>
      <c r="S726" s="7"/>
      <c r="T726" s="11"/>
      <c r="U726" s="11"/>
      <c r="V726" s="11"/>
      <c r="W726" s="11"/>
      <c r="X726" s="14"/>
      <c r="Y726" s="14"/>
      <c r="Z726" s="14"/>
      <c r="AA726" s="14"/>
      <c r="AB726" s="15"/>
      <c r="AC726" s="15"/>
      <c r="AD726" s="13"/>
      <c r="AE726" s="13"/>
      <c r="AF726" s="12"/>
      <c r="AG726" s="12"/>
      <c r="AH726" s="13"/>
      <c r="AI726" s="13"/>
      <c r="AJ726" s="11"/>
      <c r="AK726" s="11"/>
      <c r="AL726" s="11"/>
      <c r="AM726" s="11"/>
      <c r="AN726" s="11"/>
      <c r="AO726" s="11"/>
      <c r="AP726" s="11"/>
      <c r="AQ726" s="11"/>
      <c r="AR726" s="16"/>
      <c r="AS726" s="16"/>
      <c r="AT726" s="16"/>
      <c r="AU726" s="7"/>
      <c r="AV726" s="7"/>
      <c r="AW726" s="7"/>
      <c r="AX726" s="7"/>
      <c r="AY726" s="11"/>
      <c r="AZ726" s="16"/>
      <c r="BA726" s="16"/>
      <c r="BB726" s="16"/>
      <c r="BC726" s="11"/>
      <c r="BD726" s="11"/>
      <c r="BE726" s="11"/>
      <c r="BF726" s="11"/>
      <c r="BG726" s="11"/>
      <c r="BH726" s="11"/>
      <c r="BI726" s="13"/>
      <c r="BJ726" s="13"/>
      <c r="BK726" s="11"/>
      <c r="BL726" s="12"/>
      <c r="BM726" s="12"/>
      <c r="BN726" s="13"/>
      <c r="BO726" s="13"/>
      <c r="BP726" s="15"/>
      <c r="BQ726" s="15"/>
      <c r="BR726" s="14"/>
      <c r="BS726" s="14"/>
      <c r="BT726" s="14"/>
      <c r="BU726" s="14"/>
      <c r="BV726" s="11"/>
      <c r="BW726" s="11"/>
      <c r="BX726" s="11"/>
      <c r="BY726" s="11"/>
      <c r="BZ726" s="7"/>
      <c r="CA726" s="7"/>
      <c r="CB726" s="7"/>
      <c r="CC726" s="7"/>
      <c r="CD726" s="7"/>
      <c r="CE726" s="3"/>
      <c r="CF726" s="7"/>
      <c r="CG726" s="3"/>
      <c r="CH726" s="7"/>
      <c r="CI726" s="7"/>
      <c r="CJ726" s="3"/>
      <c r="CK726" s="7"/>
      <c r="CL726" s="3"/>
      <c r="CM726" s="7"/>
      <c r="CN726" s="10"/>
      <c r="CO726" s="10"/>
      <c r="CP726" s="7"/>
      <c r="CQ726" s="7"/>
      <c r="CR726" s="10"/>
      <c r="CS726" s="12"/>
      <c r="CT726" s="18"/>
      <c r="CU726" s="3"/>
      <c r="CV726" s="18"/>
      <c r="CW726" s="7"/>
      <c r="CX726" s="18"/>
      <c r="CY726" s="7"/>
      <c r="CZ726" s="18"/>
      <c r="DA726" s="3"/>
      <c r="DB726" s="18"/>
      <c r="DC726" s="11"/>
      <c r="DD726" s="18"/>
      <c r="DE726" s="7"/>
      <c r="DF726" s="7"/>
      <c r="DG726" s="7"/>
      <c r="DH726" s="3"/>
      <c r="DI726" s="3"/>
      <c r="DJ726" s="3"/>
      <c r="DK726" s="7"/>
      <c r="DL726" s="7"/>
      <c r="DM726" s="7"/>
      <c r="DN726" s="7"/>
      <c r="DO726" s="7"/>
      <c r="DP726" s="7"/>
      <c r="DQ726" s="27"/>
    </row>
    <row r="736" spans="15:121" x14ac:dyDescent="0.25">
      <c r="P736" s="29"/>
      <c r="BS736" s="29"/>
      <c r="BV736" s="29"/>
    </row>
    <row r="737" spans="16:71" x14ac:dyDescent="0.25">
      <c r="P737" s="29"/>
      <c r="BS737" s="29"/>
    </row>
    <row r="738" spans="16:71" x14ac:dyDescent="0.25">
      <c r="P738" s="29"/>
      <c r="BS738" s="29"/>
    </row>
    <row r="739" spans="16:71" x14ac:dyDescent="0.25">
      <c r="P739" s="29"/>
      <c r="BS739" s="29"/>
    </row>
    <row r="740" spans="16:71" x14ac:dyDescent="0.25">
      <c r="P740" s="29"/>
      <c r="BS740" s="29"/>
    </row>
    <row r="741" spans="16:71" x14ac:dyDescent="0.25">
      <c r="P741" s="29"/>
      <c r="BS741" s="29"/>
    </row>
    <row r="742" spans="16:71" x14ac:dyDescent="0.25">
      <c r="P742" s="29"/>
      <c r="BS742" s="29"/>
    </row>
    <row r="743" spans="16:71" x14ac:dyDescent="0.25">
      <c r="P743" s="29"/>
      <c r="BS743" s="29"/>
    </row>
    <row r="744" spans="16:71" x14ac:dyDescent="0.25">
      <c r="P744" s="29"/>
      <c r="BS744" s="29"/>
    </row>
    <row r="745" spans="16:71" x14ac:dyDescent="0.25">
      <c r="P745" s="29"/>
      <c r="BS745" s="29"/>
    </row>
    <row r="746" spans="16:71" x14ac:dyDescent="0.25">
      <c r="P746" s="29"/>
      <c r="BS746" s="29"/>
    </row>
    <row r="747" spans="16:71" x14ac:dyDescent="0.25">
      <c r="P747" s="29"/>
      <c r="BS747" s="29"/>
    </row>
    <row r="748" spans="16:71" x14ac:dyDescent="0.25">
      <c r="P748" s="29"/>
      <c r="BS748" s="29"/>
    </row>
    <row r="749" spans="16:71" x14ac:dyDescent="0.25">
      <c r="P749" s="29"/>
      <c r="BS749" s="29"/>
    </row>
    <row r="750" spans="16:71" x14ac:dyDescent="0.25">
      <c r="P750" s="29"/>
      <c r="BS750" s="29"/>
    </row>
    <row r="751" spans="16:71" x14ac:dyDescent="0.25">
      <c r="P751" s="29"/>
      <c r="BS751" s="29"/>
    </row>
    <row r="752" spans="16:71" x14ac:dyDescent="0.25">
      <c r="P752" s="29"/>
      <c r="BS752" s="29"/>
    </row>
    <row r="753" spans="16:71" x14ac:dyDescent="0.25">
      <c r="P753" s="29"/>
      <c r="BS753" s="29"/>
    </row>
    <row r="754" spans="16:71" x14ac:dyDescent="0.25">
      <c r="P754" s="29"/>
      <c r="BS754" s="29"/>
    </row>
    <row r="755" spans="16:71" x14ac:dyDescent="0.25">
      <c r="P755" s="29"/>
      <c r="BS755" s="29"/>
    </row>
    <row r="756" spans="16:71" x14ac:dyDescent="0.25">
      <c r="P756" s="29"/>
      <c r="BS756" s="29"/>
    </row>
    <row r="757" spans="16:71" x14ac:dyDescent="0.25">
      <c r="P757" s="29"/>
      <c r="BS757" s="29"/>
    </row>
    <row r="758" spans="16:71" x14ac:dyDescent="0.25">
      <c r="P758" s="29"/>
      <c r="BS758" s="29"/>
    </row>
    <row r="759" spans="16:71" x14ac:dyDescent="0.25">
      <c r="P759" s="29"/>
      <c r="BS759" s="29"/>
    </row>
    <row r="760" spans="16:71" x14ac:dyDescent="0.25">
      <c r="P760" s="29"/>
      <c r="BS760" s="29"/>
    </row>
    <row r="761" spans="16:71" x14ac:dyDescent="0.25">
      <c r="P761" s="29"/>
      <c r="BS761" s="29"/>
    </row>
    <row r="762" spans="16:71" x14ac:dyDescent="0.25">
      <c r="P762" s="29"/>
      <c r="BS762" s="29"/>
    </row>
    <row r="763" spans="16:71" x14ac:dyDescent="0.25">
      <c r="P763" s="29"/>
      <c r="BS763" s="29"/>
    </row>
    <row r="764" spans="16:71" x14ac:dyDescent="0.25">
      <c r="P764" s="29"/>
      <c r="BS764" s="29"/>
    </row>
    <row r="765" spans="16:71" x14ac:dyDescent="0.25">
      <c r="P765" s="29"/>
      <c r="BS765" s="29"/>
    </row>
    <row r="766" spans="16:71" x14ac:dyDescent="0.25">
      <c r="P766" s="29"/>
      <c r="BS766" s="29"/>
    </row>
    <row r="767" spans="16:71" x14ac:dyDescent="0.25">
      <c r="P767" s="29"/>
      <c r="BS767" s="29"/>
    </row>
    <row r="768" spans="16:71" x14ac:dyDescent="0.25">
      <c r="P768" s="29"/>
      <c r="BS768" s="29"/>
    </row>
    <row r="769" spans="16:71" x14ac:dyDescent="0.25">
      <c r="P769" s="29"/>
      <c r="BS769" s="29"/>
    </row>
    <row r="770" spans="16:71" x14ac:dyDescent="0.25">
      <c r="P770" s="29"/>
      <c r="BS770" s="29"/>
    </row>
    <row r="771" spans="16:71" x14ac:dyDescent="0.25">
      <c r="P771" s="29"/>
      <c r="BS771" s="29"/>
    </row>
    <row r="772" spans="16:71" x14ac:dyDescent="0.25">
      <c r="P772" s="29"/>
      <c r="BS772" s="29"/>
    </row>
    <row r="773" spans="16:71" x14ac:dyDescent="0.25">
      <c r="P773" s="29"/>
      <c r="BS773" s="29"/>
    </row>
    <row r="774" spans="16:71" x14ac:dyDescent="0.25">
      <c r="P774" s="29"/>
      <c r="BS774" s="29"/>
    </row>
    <row r="775" spans="16:71" x14ac:dyDescent="0.25">
      <c r="P775" s="29"/>
      <c r="BS775" s="29"/>
    </row>
    <row r="776" spans="16:71" x14ac:dyDescent="0.25">
      <c r="P776" s="29"/>
      <c r="BS776" s="29"/>
    </row>
    <row r="777" spans="16:71" x14ac:dyDescent="0.25">
      <c r="P777" s="29"/>
      <c r="BS777" s="29"/>
    </row>
    <row r="778" spans="16:71" x14ac:dyDescent="0.25">
      <c r="P778" s="29"/>
      <c r="BS778" s="29"/>
    </row>
    <row r="779" spans="16:71" x14ac:dyDescent="0.25">
      <c r="P779" s="29"/>
      <c r="BS779" s="29"/>
    </row>
    <row r="780" spans="16:71" x14ac:dyDescent="0.25">
      <c r="P780" s="29"/>
      <c r="BS780" s="29"/>
    </row>
    <row r="781" spans="16:71" x14ac:dyDescent="0.25">
      <c r="P781" s="29"/>
      <c r="BS781" s="29"/>
    </row>
    <row r="782" spans="16:71" x14ac:dyDescent="0.25">
      <c r="P782" s="29"/>
      <c r="BS782" s="29"/>
    </row>
    <row r="783" spans="16:71" x14ac:dyDescent="0.25">
      <c r="P783" s="29"/>
      <c r="BS783" s="29"/>
    </row>
    <row r="784" spans="16:71" x14ac:dyDescent="0.25">
      <c r="P784" s="29"/>
      <c r="BS784" s="29"/>
    </row>
    <row r="785" spans="16:71" x14ac:dyDescent="0.25">
      <c r="P785" s="29"/>
      <c r="BS785" s="29"/>
    </row>
    <row r="786" spans="16:71" x14ac:dyDescent="0.25">
      <c r="P786" s="29"/>
      <c r="BS786" s="29"/>
    </row>
    <row r="787" spans="16:71" x14ac:dyDescent="0.25">
      <c r="P787" s="29"/>
      <c r="BS787" s="29"/>
    </row>
    <row r="788" spans="16:71" x14ac:dyDescent="0.25">
      <c r="P788" s="29"/>
      <c r="BS788" s="29"/>
    </row>
    <row r="789" spans="16:71" x14ac:dyDescent="0.25">
      <c r="P789" s="29"/>
      <c r="BS789" s="29"/>
    </row>
    <row r="790" spans="16:71" x14ac:dyDescent="0.25">
      <c r="P790" s="29"/>
      <c r="BS790" s="29"/>
    </row>
    <row r="791" spans="16:71" x14ac:dyDescent="0.25">
      <c r="P791" s="29"/>
      <c r="BS791" s="29"/>
    </row>
    <row r="792" spans="16:71" x14ac:dyDescent="0.25">
      <c r="P792" s="29"/>
      <c r="BS792" s="29"/>
    </row>
    <row r="793" spans="16:71" x14ac:dyDescent="0.25">
      <c r="P793" s="29"/>
      <c r="BS793" s="29"/>
    </row>
    <row r="794" spans="16:71" x14ac:dyDescent="0.25">
      <c r="P794" s="29"/>
      <c r="BS794" s="29"/>
    </row>
    <row r="795" spans="16:71" x14ac:dyDescent="0.25">
      <c r="P795" s="29"/>
      <c r="BS795" s="29"/>
    </row>
    <row r="796" spans="16:71" x14ac:dyDescent="0.25">
      <c r="P796" s="29"/>
      <c r="BS796" s="29"/>
    </row>
    <row r="797" spans="16:71" x14ac:dyDescent="0.25">
      <c r="P797" s="29"/>
      <c r="BS797" s="29"/>
    </row>
    <row r="798" spans="16:71" x14ac:dyDescent="0.25">
      <c r="P798" s="29"/>
      <c r="BS798" s="29"/>
    </row>
    <row r="799" spans="16:71" x14ac:dyDescent="0.25">
      <c r="P799" s="29"/>
      <c r="BS799" s="29"/>
    </row>
    <row r="800" spans="16:71" x14ac:dyDescent="0.25">
      <c r="P800" s="29"/>
      <c r="BS800" s="29"/>
    </row>
    <row r="801" spans="16:71" x14ac:dyDescent="0.25">
      <c r="P801" s="29"/>
      <c r="BS801" s="29"/>
    </row>
    <row r="802" spans="16:71" x14ac:dyDescent="0.25">
      <c r="P802" s="29"/>
      <c r="BS802" s="29"/>
    </row>
    <row r="803" spans="16:71" x14ac:dyDescent="0.25">
      <c r="P803" s="29"/>
      <c r="BS803" s="29"/>
    </row>
    <row r="804" spans="16:71" x14ac:dyDescent="0.25">
      <c r="P804" s="29"/>
      <c r="BS804" s="29"/>
    </row>
    <row r="805" spans="16:71" x14ac:dyDescent="0.25">
      <c r="P805" s="29"/>
      <c r="BS805" s="29"/>
    </row>
    <row r="806" spans="16:71" x14ac:dyDescent="0.25">
      <c r="P806" s="29"/>
      <c r="BS806" s="29"/>
    </row>
    <row r="807" spans="16:71" x14ac:dyDescent="0.25">
      <c r="P807" s="29"/>
      <c r="BS807" s="29"/>
    </row>
    <row r="808" spans="16:71" x14ac:dyDescent="0.25">
      <c r="P808" s="29"/>
      <c r="BS808" s="29"/>
    </row>
    <row r="809" spans="16:71" x14ac:dyDescent="0.25">
      <c r="P809" s="29"/>
      <c r="BS809" s="29"/>
    </row>
    <row r="810" spans="16:71" x14ac:dyDescent="0.25">
      <c r="P810" s="29"/>
      <c r="BS810" s="29"/>
    </row>
    <row r="811" spans="16:71" x14ac:dyDescent="0.25">
      <c r="P811" s="29"/>
      <c r="BS811" s="29"/>
    </row>
    <row r="812" spans="16:71" x14ac:dyDescent="0.25">
      <c r="P812" s="29"/>
      <c r="BS812" s="29"/>
    </row>
    <row r="813" spans="16:71" x14ac:dyDescent="0.25">
      <c r="P813" s="29"/>
      <c r="BS813" s="29"/>
    </row>
    <row r="814" spans="16:71" x14ac:dyDescent="0.25">
      <c r="P814" s="29"/>
      <c r="BS814" s="29"/>
    </row>
    <row r="815" spans="16:71" x14ac:dyDescent="0.25">
      <c r="P815" s="29"/>
      <c r="BS815" s="29"/>
    </row>
    <row r="816" spans="16:71" x14ac:dyDescent="0.25">
      <c r="P816" s="29"/>
      <c r="BS816" s="29"/>
    </row>
    <row r="817" spans="16:71" x14ac:dyDescent="0.25">
      <c r="P817" s="29"/>
      <c r="BS817" s="29"/>
    </row>
    <row r="818" spans="16:71" x14ac:dyDescent="0.25">
      <c r="P818" s="29"/>
      <c r="BS818" s="29"/>
    </row>
    <row r="819" spans="16:71" x14ac:dyDescent="0.25">
      <c r="P819" s="29"/>
      <c r="BS819" s="29"/>
    </row>
    <row r="820" spans="16:71" x14ac:dyDescent="0.25">
      <c r="P820" s="29"/>
      <c r="BS820" s="29"/>
    </row>
    <row r="821" spans="16:71" x14ac:dyDescent="0.25">
      <c r="P821" s="29"/>
      <c r="BS821" s="29"/>
    </row>
    <row r="822" spans="16:71" x14ac:dyDescent="0.25">
      <c r="P822" s="29"/>
      <c r="BS822" s="29"/>
    </row>
    <row r="823" spans="16:71" x14ac:dyDescent="0.25">
      <c r="P823" s="29"/>
      <c r="BS823" s="29"/>
    </row>
    <row r="824" spans="16:71" x14ac:dyDescent="0.25">
      <c r="P824" s="29"/>
      <c r="BS824" s="29"/>
    </row>
    <row r="825" spans="16:71" x14ac:dyDescent="0.25">
      <c r="P825" s="29"/>
      <c r="BS825" s="29"/>
    </row>
    <row r="826" spans="16:71" x14ac:dyDescent="0.25">
      <c r="P826" s="29"/>
      <c r="BS826" s="29"/>
    </row>
    <row r="827" spans="16:71" x14ac:dyDescent="0.25">
      <c r="P827" s="29"/>
      <c r="BS827" s="29"/>
    </row>
    <row r="828" spans="16:71" x14ac:dyDescent="0.25">
      <c r="P828" s="29"/>
      <c r="BS828" s="29"/>
    </row>
    <row r="829" spans="16:71" x14ac:dyDescent="0.25">
      <c r="P829" s="29"/>
      <c r="BS829" s="29"/>
    </row>
    <row r="830" spans="16:71" x14ac:dyDescent="0.25">
      <c r="P830" s="29"/>
      <c r="BS830" s="29"/>
    </row>
    <row r="831" spans="16:71" x14ac:dyDescent="0.25">
      <c r="P831" s="29"/>
      <c r="BS831" s="29"/>
    </row>
    <row r="832" spans="16:71" x14ac:dyDescent="0.25">
      <c r="P832" s="29"/>
      <c r="BS832" s="29"/>
    </row>
    <row r="833" spans="16:71" x14ac:dyDescent="0.25">
      <c r="P833" s="29"/>
      <c r="BS833" s="29"/>
    </row>
    <row r="834" spans="16:71" x14ac:dyDescent="0.25">
      <c r="P834" s="29"/>
      <c r="BS834" s="29"/>
    </row>
    <row r="835" spans="16:71" x14ac:dyDescent="0.25">
      <c r="P835" s="29"/>
      <c r="BS835" s="29"/>
    </row>
    <row r="836" spans="16:71" x14ac:dyDescent="0.25">
      <c r="P836" s="29"/>
      <c r="BS836" s="29"/>
    </row>
    <row r="837" spans="16:71" x14ac:dyDescent="0.25">
      <c r="P837" s="29"/>
      <c r="BS837" s="29"/>
    </row>
    <row r="838" spans="16:71" x14ac:dyDescent="0.25">
      <c r="P838" s="29"/>
      <c r="BS838" s="29"/>
    </row>
    <row r="839" spans="16:71" x14ac:dyDescent="0.25">
      <c r="P839" s="29"/>
      <c r="BS839" s="29"/>
    </row>
    <row r="840" spans="16:71" x14ac:dyDescent="0.25">
      <c r="P840" s="29"/>
      <c r="BS840" s="29"/>
    </row>
    <row r="841" spans="16:71" x14ac:dyDescent="0.25">
      <c r="P841" s="29"/>
      <c r="BS841" s="29"/>
    </row>
    <row r="842" spans="16:71" x14ac:dyDescent="0.25">
      <c r="P842" s="29"/>
      <c r="BS842" s="29"/>
    </row>
    <row r="843" spans="16:71" x14ac:dyDescent="0.25">
      <c r="P843" s="29"/>
      <c r="BS843" s="29"/>
    </row>
    <row r="844" spans="16:71" x14ac:dyDescent="0.25">
      <c r="P844" s="29"/>
      <c r="BS844" s="29"/>
    </row>
    <row r="845" spans="16:71" x14ac:dyDescent="0.25">
      <c r="P845" s="29"/>
      <c r="BS845" s="29"/>
    </row>
    <row r="846" spans="16:71" x14ac:dyDescent="0.25">
      <c r="P846" s="29"/>
      <c r="BS846" s="29"/>
    </row>
    <row r="847" spans="16:71" x14ac:dyDescent="0.25">
      <c r="P847" s="29"/>
      <c r="BS847" s="29"/>
    </row>
    <row r="848" spans="16:71" x14ac:dyDescent="0.25">
      <c r="P848" s="29"/>
      <c r="BS848" s="29"/>
    </row>
    <row r="849" spans="16:71" x14ac:dyDescent="0.25">
      <c r="P849" s="29"/>
      <c r="BS849" s="29"/>
    </row>
    <row r="850" spans="16:71" x14ac:dyDescent="0.25">
      <c r="P850" s="29"/>
      <c r="BS850" s="29"/>
    </row>
    <row r="851" spans="16:71" x14ac:dyDescent="0.25">
      <c r="P851" s="29"/>
      <c r="BS851" s="29"/>
    </row>
    <row r="852" spans="16:71" x14ac:dyDescent="0.25">
      <c r="P852" s="29"/>
      <c r="BS852" s="29"/>
    </row>
    <row r="853" spans="16:71" x14ac:dyDescent="0.25">
      <c r="P853" s="29"/>
      <c r="BS853" s="29"/>
    </row>
    <row r="854" spans="16:71" x14ac:dyDescent="0.25">
      <c r="P854" s="29"/>
      <c r="BS854" s="29"/>
    </row>
    <row r="855" spans="16:71" x14ac:dyDescent="0.25">
      <c r="P855" s="29"/>
      <c r="BS855" s="29"/>
    </row>
    <row r="856" spans="16:71" x14ac:dyDescent="0.25">
      <c r="P856" s="29"/>
      <c r="BS856" s="29"/>
    </row>
    <row r="857" spans="16:71" x14ac:dyDescent="0.25">
      <c r="P857" s="29"/>
      <c r="BS857" s="29"/>
    </row>
    <row r="858" spans="16:71" x14ac:dyDescent="0.25">
      <c r="P858" s="29"/>
      <c r="BS858" s="29"/>
    </row>
    <row r="859" spans="16:71" x14ac:dyDescent="0.25">
      <c r="P859" s="29"/>
      <c r="BS859" s="29"/>
    </row>
    <row r="860" spans="16:71" x14ac:dyDescent="0.25">
      <c r="P860" s="29"/>
      <c r="BS860" s="29"/>
    </row>
    <row r="861" spans="16:71" x14ac:dyDescent="0.25">
      <c r="P861" s="29"/>
      <c r="BS861" s="29"/>
    </row>
    <row r="862" spans="16:71" x14ac:dyDescent="0.25">
      <c r="P862" s="29"/>
      <c r="BS862" s="29"/>
    </row>
    <row r="863" spans="16:71" x14ac:dyDescent="0.25">
      <c r="P863" s="29"/>
      <c r="BS863" s="29"/>
    </row>
    <row r="864" spans="16:71" x14ac:dyDescent="0.25">
      <c r="P864" s="29"/>
      <c r="BS864" s="29"/>
    </row>
    <row r="865" spans="16:71" x14ac:dyDescent="0.25">
      <c r="P865" s="29"/>
      <c r="BS865" s="29"/>
    </row>
    <row r="866" spans="16:71" x14ac:dyDescent="0.25">
      <c r="P866" s="29"/>
      <c r="BS866" s="29"/>
    </row>
    <row r="867" spans="16:71" x14ac:dyDescent="0.25">
      <c r="P867" s="29"/>
      <c r="BS867" s="29"/>
    </row>
    <row r="868" spans="16:71" x14ac:dyDescent="0.25">
      <c r="P868" s="29"/>
      <c r="BS868" s="29"/>
    </row>
    <row r="869" spans="16:71" x14ac:dyDescent="0.25">
      <c r="P869" s="29"/>
      <c r="BS869" s="29"/>
    </row>
    <row r="870" spans="16:71" x14ac:dyDescent="0.25">
      <c r="P870" s="29"/>
      <c r="BS870" s="29"/>
    </row>
    <row r="871" spans="16:71" x14ac:dyDescent="0.25">
      <c r="P871" s="29"/>
      <c r="BS871" s="29"/>
    </row>
    <row r="872" spans="16:71" x14ac:dyDescent="0.25">
      <c r="P872" s="29"/>
      <c r="BS872" s="29"/>
    </row>
    <row r="873" spans="16:71" x14ac:dyDescent="0.25">
      <c r="P873" s="29"/>
      <c r="BS873" s="29"/>
    </row>
    <row r="874" spans="16:71" x14ac:dyDescent="0.25">
      <c r="P874" s="29"/>
      <c r="BS874" s="29"/>
    </row>
    <row r="875" spans="16:71" x14ac:dyDescent="0.25">
      <c r="P875" s="29"/>
      <c r="BS875" s="29"/>
    </row>
    <row r="876" spans="16:71" x14ac:dyDescent="0.25">
      <c r="P876" s="29"/>
      <c r="BS876" s="29"/>
    </row>
    <row r="877" spans="16:71" x14ac:dyDescent="0.25">
      <c r="P877" s="29"/>
      <c r="BS877" s="29"/>
    </row>
    <row r="878" spans="16:71" x14ac:dyDescent="0.25">
      <c r="P878" s="29"/>
      <c r="BS878" s="29"/>
    </row>
    <row r="879" spans="16:71" x14ac:dyDescent="0.25">
      <c r="P879" s="29"/>
      <c r="BS879" s="29"/>
    </row>
    <row r="880" spans="16:71" x14ac:dyDescent="0.25">
      <c r="P880" s="29"/>
      <c r="BS880" s="29"/>
    </row>
    <row r="881" spans="16:71" x14ac:dyDescent="0.25">
      <c r="P881" s="29"/>
      <c r="BS881" s="29"/>
    </row>
    <row r="882" spans="16:71" x14ac:dyDescent="0.25">
      <c r="P882" s="29"/>
      <c r="BS882" s="29"/>
    </row>
    <row r="883" spans="16:71" x14ac:dyDescent="0.25">
      <c r="P883" s="29"/>
      <c r="BS883" s="29"/>
    </row>
    <row r="884" spans="16:71" x14ac:dyDescent="0.25">
      <c r="P884" s="29"/>
      <c r="BS884" s="29"/>
    </row>
    <row r="885" spans="16:71" x14ac:dyDescent="0.25">
      <c r="P885" s="29"/>
      <c r="BS885" s="29"/>
    </row>
    <row r="886" spans="16:71" x14ac:dyDescent="0.25">
      <c r="P886" s="29"/>
      <c r="BS886" s="29"/>
    </row>
    <row r="887" spans="16:71" x14ac:dyDescent="0.25">
      <c r="P887" s="29"/>
      <c r="BS887" s="29"/>
    </row>
    <row r="888" spans="16:71" x14ac:dyDescent="0.25">
      <c r="P888" s="29"/>
      <c r="BS888" s="29"/>
    </row>
    <row r="889" spans="16:71" x14ac:dyDescent="0.25">
      <c r="P889" s="29"/>
      <c r="BS889" s="29"/>
    </row>
    <row r="890" spans="16:71" x14ac:dyDescent="0.25">
      <c r="P890" s="29"/>
      <c r="BS890" s="29"/>
    </row>
    <row r="891" spans="16:71" x14ac:dyDescent="0.25">
      <c r="P891" s="29"/>
      <c r="BS891" s="29"/>
    </row>
    <row r="892" spans="16:71" x14ac:dyDescent="0.25">
      <c r="P892" s="29"/>
      <c r="BS892" s="29"/>
    </row>
    <row r="893" spans="16:71" x14ac:dyDescent="0.25">
      <c r="P893" s="29"/>
      <c r="BS893" s="29"/>
    </row>
    <row r="894" spans="16:71" x14ac:dyDescent="0.25">
      <c r="P894" s="29"/>
      <c r="BS894" s="29"/>
    </row>
    <row r="895" spans="16:71" x14ac:dyDescent="0.25">
      <c r="P895" s="29"/>
      <c r="BS895" s="29"/>
    </row>
    <row r="896" spans="16:71" x14ac:dyDescent="0.25">
      <c r="P896" s="29"/>
      <c r="BS896" s="29"/>
    </row>
    <row r="897" spans="16:71" x14ac:dyDescent="0.25">
      <c r="P897" s="29"/>
      <c r="BS897" s="29"/>
    </row>
    <row r="898" spans="16:71" x14ac:dyDescent="0.25">
      <c r="P898" s="29"/>
      <c r="BS898" s="29"/>
    </row>
    <row r="899" spans="16:71" x14ac:dyDescent="0.25">
      <c r="P899" s="29"/>
      <c r="BS899" s="29"/>
    </row>
    <row r="900" spans="16:71" x14ac:dyDescent="0.25">
      <c r="P900" s="29"/>
      <c r="BS900" s="29"/>
    </row>
    <row r="901" spans="16:71" x14ac:dyDescent="0.25">
      <c r="P901" s="29"/>
      <c r="BS901" s="29"/>
    </row>
    <row r="902" spans="16:71" x14ac:dyDescent="0.25">
      <c r="P902" s="29"/>
      <c r="BS902" s="29"/>
    </row>
    <row r="903" spans="16:71" x14ac:dyDescent="0.25">
      <c r="P903" s="29"/>
      <c r="BS903" s="29"/>
    </row>
    <row r="904" spans="16:71" x14ac:dyDescent="0.25">
      <c r="P904" s="29"/>
      <c r="BS904" s="29"/>
    </row>
    <row r="905" spans="16:71" x14ac:dyDescent="0.25">
      <c r="P905" s="29"/>
      <c r="BS905" s="29"/>
    </row>
    <row r="906" spans="16:71" x14ac:dyDescent="0.25">
      <c r="P906" s="29"/>
      <c r="BS906" s="29"/>
    </row>
    <row r="907" spans="16:71" x14ac:dyDescent="0.25">
      <c r="P907" s="29"/>
      <c r="BS907" s="29"/>
    </row>
    <row r="908" spans="16:71" x14ac:dyDescent="0.25">
      <c r="P908" s="29"/>
      <c r="BS908" s="29"/>
    </row>
    <row r="909" spans="16:71" x14ac:dyDescent="0.25">
      <c r="P909" s="29"/>
      <c r="BS909" s="29"/>
    </row>
    <row r="910" spans="16:71" x14ac:dyDescent="0.25">
      <c r="P910" s="29"/>
      <c r="BS910" s="29"/>
    </row>
    <row r="911" spans="16:71" x14ac:dyDescent="0.25">
      <c r="P911" s="29"/>
      <c r="BS911" s="29"/>
    </row>
    <row r="912" spans="16:71" x14ac:dyDescent="0.25">
      <c r="P912" s="29"/>
      <c r="BS912" s="29"/>
    </row>
    <row r="913" spans="16:71" x14ac:dyDescent="0.25">
      <c r="P913" s="29"/>
      <c r="BS913" s="29"/>
    </row>
    <row r="914" spans="16:71" x14ac:dyDescent="0.25">
      <c r="P914" s="29"/>
      <c r="BS914" s="29"/>
    </row>
    <row r="915" spans="16:71" x14ac:dyDescent="0.25">
      <c r="P915" s="29"/>
      <c r="BS915" s="29"/>
    </row>
    <row r="916" spans="16:71" x14ac:dyDescent="0.25">
      <c r="P916" s="29"/>
      <c r="BS916" s="29"/>
    </row>
    <row r="917" spans="16:71" x14ac:dyDescent="0.25">
      <c r="P917" s="29"/>
      <c r="BS917" s="29"/>
    </row>
    <row r="918" spans="16:71" x14ac:dyDescent="0.25">
      <c r="P918" s="29"/>
      <c r="BS918" s="29"/>
    </row>
    <row r="919" spans="16:71" x14ac:dyDescent="0.25">
      <c r="P919" s="29"/>
      <c r="BS919" s="29"/>
    </row>
    <row r="920" spans="16:71" x14ac:dyDescent="0.25">
      <c r="P920" s="29"/>
      <c r="BS920" s="29"/>
    </row>
    <row r="921" spans="16:71" x14ac:dyDescent="0.25">
      <c r="P921" s="29"/>
      <c r="BS921" s="29"/>
    </row>
    <row r="922" spans="16:71" x14ac:dyDescent="0.25">
      <c r="P922" s="29"/>
      <c r="BS922" s="29"/>
    </row>
    <row r="923" spans="16:71" x14ac:dyDescent="0.25">
      <c r="P923" s="29"/>
      <c r="BS923" s="29"/>
    </row>
    <row r="924" spans="16:71" x14ac:dyDescent="0.25">
      <c r="P924" s="29"/>
      <c r="BS924" s="29"/>
    </row>
    <row r="925" spans="16:71" x14ac:dyDescent="0.25">
      <c r="P925" s="29"/>
      <c r="BS925" s="29"/>
    </row>
    <row r="926" spans="16:71" x14ac:dyDescent="0.25">
      <c r="P926" s="29"/>
      <c r="BS926" s="29"/>
    </row>
    <row r="927" spans="16:71" x14ac:dyDescent="0.25">
      <c r="P927" s="29"/>
      <c r="BS927" s="29"/>
    </row>
    <row r="928" spans="16:71" x14ac:dyDescent="0.25">
      <c r="P928" s="29"/>
      <c r="BS928" s="29"/>
    </row>
    <row r="929" spans="16:71" x14ac:dyDescent="0.25">
      <c r="P929" s="29"/>
      <c r="BS929" s="29"/>
    </row>
    <row r="930" spans="16:71" x14ac:dyDescent="0.25">
      <c r="P930" s="29"/>
      <c r="BS930" s="29"/>
    </row>
    <row r="931" spans="16:71" x14ac:dyDescent="0.25">
      <c r="P931" s="29"/>
      <c r="BS931" s="29"/>
    </row>
    <row r="932" spans="16:71" x14ac:dyDescent="0.25">
      <c r="P932" s="29"/>
      <c r="BS932" s="29"/>
    </row>
    <row r="933" spans="16:71" x14ac:dyDescent="0.25">
      <c r="P933" s="29"/>
      <c r="BS933" s="29"/>
    </row>
    <row r="934" spans="16:71" x14ac:dyDescent="0.25">
      <c r="P934" s="29"/>
      <c r="BS934" s="29"/>
    </row>
    <row r="935" spans="16:71" x14ac:dyDescent="0.25">
      <c r="P935" s="29"/>
      <c r="BS935" s="29"/>
    </row>
    <row r="936" spans="16:71" x14ac:dyDescent="0.25">
      <c r="P936" s="29"/>
      <c r="BS936" s="29"/>
    </row>
    <row r="937" spans="16:71" x14ac:dyDescent="0.25">
      <c r="P937" s="29"/>
      <c r="BS937" s="29"/>
    </row>
    <row r="938" spans="16:71" x14ac:dyDescent="0.25">
      <c r="P938" s="29"/>
      <c r="BS938" s="29"/>
    </row>
    <row r="939" spans="16:71" x14ac:dyDescent="0.25">
      <c r="P939" s="29"/>
      <c r="BS939" s="29"/>
    </row>
    <row r="940" spans="16:71" x14ac:dyDescent="0.25">
      <c r="P940" s="29"/>
      <c r="BS940" s="29"/>
    </row>
    <row r="941" spans="16:71" x14ac:dyDescent="0.25">
      <c r="P941" s="29"/>
      <c r="BS941" s="29"/>
    </row>
    <row r="942" spans="16:71" x14ac:dyDescent="0.25">
      <c r="P942" s="29"/>
      <c r="BS942" s="29"/>
    </row>
  </sheetData>
  <dataValidations count="2">
    <dataValidation type="list" allowBlank="1" showInputMessage="1" showErrorMessage="1" sqref="J2" xr:uid="{08B735CB-52F4-4827-8C8B-7CA0F05D2ACE}">
      <formula1>$G$2:$G$201</formula1>
    </dataValidation>
    <dataValidation type="list" allowBlank="1" showInputMessage="1" showErrorMessage="1" sqref="K2" xr:uid="{E14084EC-AE78-4833-9313-B2490097CF40}">
      <formula1>$I$2:$I$22</formula1>
    </dataValidation>
  </dataValidations>
  <pageMargins left="0.7" right="0.7" top="0.75" bottom="0.75" header="0.3" footer="0.3"/>
  <pageSetup orientation="portrait" r:id="rId1"/>
  <ignoredErrors>
    <ignoredError sqref="DT2 CQ2 DT3:DT250 CQ3:CQ250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28103-8875-4C33-A83B-C6C62E2037F0}">
  <sheetPr codeName="Sheet3"/>
  <dimension ref="A1:DI381"/>
  <sheetViews>
    <sheetView tabSelected="1" topLeftCell="V1" zoomScaleNormal="100" workbookViewId="0">
      <pane xSplit="9345" ySplit="1050" topLeftCell="AU74" activePane="bottomRight"/>
      <selection activeCell="V1" sqref="A1:XFD1048576"/>
      <selection pane="topRight" activeCell="AU1" sqref="AU1:AW1"/>
      <selection pane="bottomLeft" activeCell="AO82" sqref="AO82"/>
      <selection pane="bottomRight" activeCell="AV93" sqref="AV93"/>
    </sheetView>
  </sheetViews>
  <sheetFormatPr defaultColWidth="55.140625" defaultRowHeight="11.25" x14ac:dyDescent="0.2"/>
  <cols>
    <col min="1" max="1" width="22" style="9" bestFit="1" customWidth="1"/>
    <col min="2" max="2" width="14.5703125" style="9" bestFit="1" customWidth="1"/>
    <col min="3" max="3" width="8.85546875" style="9" bestFit="1" customWidth="1"/>
    <col min="4" max="4" width="10.28515625" style="9" bestFit="1" customWidth="1"/>
    <col min="5" max="5" width="9.5703125" style="9" bestFit="1" customWidth="1"/>
    <col min="6" max="6" width="11" style="9" bestFit="1" customWidth="1"/>
    <col min="7" max="7" width="8.42578125" style="9" bestFit="1" customWidth="1"/>
    <col min="8" max="9" width="7.28515625" style="9" bestFit="1" customWidth="1"/>
    <col min="10" max="10" width="8" style="9" bestFit="1" customWidth="1"/>
    <col min="11" max="11" width="13.5703125" style="9" hidden="1" customWidth="1"/>
    <col min="12" max="12" width="7.42578125" style="9" bestFit="1" customWidth="1"/>
    <col min="13" max="13" width="14.42578125" style="9" hidden="1" customWidth="1"/>
    <col min="14" max="14" width="8.28515625" style="9" bestFit="1" customWidth="1"/>
    <col min="15" max="15" width="14.28515625" style="9" hidden="1" customWidth="1"/>
    <col min="16" max="16" width="8.140625" style="9" bestFit="1" customWidth="1"/>
    <col min="17" max="17" width="16" style="9" hidden="1" customWidth="1"/>
    <col min="18" max="18" width="9.28515625" style="9" bestFit="1" customWidth="1"/>
    <col min="19" max="19" width="15" style="9" hidden="1" customWidth="1"/>
    <col min="20" max="20" width="9.5703125" style="9" bestFit="1" customWidth="1"/>
    <col min="21" max="21" width="15.28515625" style="9" hidden="1" customWidth="1"/>
    <col min="22" max="22" width="8.7109375" style="9" bestFit="1" customWidth="1"/>
    <col min="23" max="23" width="14.85546875" style="9" hidden="1" customWidth="1"/>
    <col min="24" max="24" width="8.42578125" style="9" bestFit="1" customWidth="1"/>
    <col min="25" max="25" width="16" style="9" hidden="1" customWidth="1"/>
    <col min="26" max="26" width="9.42578125" style="9" bestFit="1" customWidth="1"/>
    <col min="27" max="27" width="14" style="9" hidden="1" customWidth="1"/>
    <col min="28" max="28" width="7.28515625" style="9" bestFit="1" customWidth="1"/>
    <col min="29" max="29" width="14.42578125" style="9" hidden="1" customWidth="1"/>
    <col min="30" max="30" width="8.42578125" style="9" bestFit="1" customWidth="1"/>
    <col min="31" max="31" width="13.85546875" style="9" hidden="1" customWidth="1"/>
    <col min="32" max="32" width="7.5703125" style="9" customWidth="1"/>
    <col min="33" max="33" width="9.7109375" style="9" bestFit="1" customWidth="1"/>
    <col min="34" max="34" width="17.85546875" style="9" hidden="1" customWidth="1"/>
    <col min="35" max="35" width="11" style="9" bestFit="1" customWidth="1"/>
    <col min="36" max="36" width="9" style="9" hidden="1" customWidth="1"/>
    <col min="37" max="37" width="8.42578125" style="9" bestFit="1" customWidth="1"/>
    <col min="38" max="38" width="17.85546875" style="9" hidden="1" customWidth="1"/>
    <col min="39" max="39" width="11.42578125" style="9" hidden="1" customWidth="1"/>
    <col min="40" max="40" width="9" style="9" hidden="1" customWidth="1"/>
    <col min="41" max="41" width="6.28515625" style="9" bestFit="1" customWidth="1"/>
    <col min="42" max="42" width="9" style="9" hidden="1" customWidth="1"/>
    <col min="43" max="43" width="16.85546875" style="9" hidden="1" customWidth="1"/>
    <col min="44" max="44" width="18.85546875" style="9" hidden="1" customWidth="1"/>
    <col min="45" max="45" width="10" style="9" hidden="1" customWidth="1"/>
    <col min="46" max="46" width="10.42578125" style="9" hidden="1" customWidth="1"/>
    <col min="47" max="47" width="7.5703125" style="9" bestFit="1" customWidth="1"/>
    <col min="48" max="48" width="9.85546875" style="9" bestFit="1" customWidth="1"/>
    <col min="49" max="49" width="7.5703125" style="9" bestFit="1" customWidth="1"/>
    <col min="50" max="50" width="10.140625" style="9" hidden="1" customWidth="1"/>
    <col min="51" max="51" width="9.7109375" style="9" hidden="1" customWidth="1"/>
    <col min="52" max="52" width="18.5703125" style="9" hidden="1" customWidth="1"/>
    <col min="53" max="53" width="16.7109375" style="9" hidden="1" customWidth="1"/>
    <col min="54" max="54" width="8.85546875" style="9" hidden="1" customWidth="1"/>
    <col min="55" max="55" width="6.28515625" style="9" bestFit="1" customWidth="1"/>
    <col min="56" max="56" width="8.7109375" style="9" hidden="1" customWidth="1"/>
    <col min="57" max="57" width="11.140625" style="9" hidden="1" customWidth="1"/>
    <col min="58" max="58" width="17.5703125" style="9" hidden="1" customWidth="1"/>
    <col min="59" max="59" width="8.42578125" style="9" bestFit="1" customWidth="1"/>
    <col min="60" max="60" width="8.7109375" style="9" hidden="1" customWidth="1"/>
    <col min="61" max="61" width="11" style="9" bestFit="1" customWidth="1"/>
    <col min="62" max="62" width="17.5703125" style="9" hidden="1" customWidth="1"/>
    <col min="63" max="63" width="9.7109375" style="9" bestFit="1" customWidth="1"/>
    <col min="64" max="64" width="7.7109375" style="9" bestFit="1" customWidth="1"/>
    <col min="65" max="65" width="13.5703125" style="9" hidden="1" customWidth="1"/>
    <col min="66" max="66" width="8" style="9" bestFit="1" customWidth="1"/>
    <col min="67" max="67" width="14.140625" style="9" hidden="1" customWidth="1"/>
    <col min="68" max="68" width="7.28515625" style="9" bestFit="1" customWidth="1"/>
    <col min="69" max="69" width="13.7109375" style="9" hidden="1" customWidth="1"/>
    <col min="70" max="70" width="9.42578125" style="9" bestFit="1" customWidth="1"/>
    <col min="71" max="71" width="15.7109375" style="9" hidden="1" customWidth="1"/>
    <col min="72" max="72" width="8.42578125" style="9" bestFit="1" customWidth="1"/>
    <col min="73" max="73" width="14.5703125" style="9" hidden="1" customWidth="1"/>
    <col min="74" max="74" width="8.7109375" style="9" bestFit="1" customWidth="1"/>
    <col min="75" max="75" width="15" style="9" hidden="1" customWidth="1"/>
    <col min="76" max="76" width="8.28515625" style="9" bestFit="1" customWidth="1"/>
    <col min="77" max="77" width="14.7109375" style="9" hidden="1" customWidth="1"/>
    <col min="78" max="78" width="9.5703125" style="9" bestFit="1" customWidth="1"/>
    <col min="79" max="79" width="15.7109375" style="9" hidden="1" customWidth="1"/>
    <col min="80" max="80" width="7.85546875" style="9" bestFit="1" customWidth="1"/>
    <col min="81" max="81" width="14" style="9" hidden="1" customWidth="1"/>
    <col min="82" max="82" width="11.7109375" style="9" bestFit="1" customWidth="1"/>
    <col min="83" max="83" width="14.140625" style="9" hidden="1" customWidth="1"/>
    <col min="84" max="84" width="7.140625" style="9" bestFit="1" customWidth="1"/>
    <col min="85" max="85" width="13.28515625" style="9" hidden="1" customWidth="1"/>
    <col min="86" max="86" width="7.7109375" style="9" bestFit="1" customWidth="1"/>
    <col min="87" max="87" width="7.28515625" style="9" customWidth="1"/>
    <col min="88" max="88" width="7.42578125" style="9" customWidth="1"/>
    <col min="89" max="89" width="8.28515625" style="9" bestFit="1" customWidth="1"/>
    <col min="90" max="90" width="9.42578125" style="9" bestFit="1" customWidth="1"/>
    <col min="91" max="91" width="10.85546875" style="9" bestFit="1" customWidth="1"/>
    <col min="92" max="92" width="8.7109375" style="9" bestFit="1" customWidth="1"/>
    <col min="93" max="93" width="10.140625" style="9" bestFit="1" customWidth="1"/>
    <col min="94" max="94" width="14.28515625" style="9" bestFit="1" customWidth="1"/>
    <col min="95" max="95" width="21.85546875" style="9" bestFit="1" customWidth="1"/>
    <col min="96" max="96" width="10.28515625" style="9" bestFit="1" customWidth="1"/>
    <col min="97" max="97" width="16.5703125" style="9" customWidth="1"/>
    <col min="98" max="98" width="8.7109375" style="9" customWidth="1"/>
    <col min="99" max="99" width="15" style="9" customWidth="1"/>
    <col min="100" max="100" width="24.28515625" style="9" customWidth="1"/>
    <col min="101" max="101" width="8.7109375" style="8" bestFit="1" customWidth="1"/>
    <col min="102" max="102" width="8.5703125" style="8" bestFit="1" customWidth="1"/>
    <col min="103" max="103" width="13.140625" style="8" bestFit="1" customWidth="1"/>
    <col min="104" max="104" width="8.28515625" style="8" bestFit="1" customWidth="1"/>
    <col min="105" max="105" width="12.7109375" style="8" bestFit="1" customWidth="1"/>
    <col min="106" max="106" width="8.5703125" style="8" bestFit="1" customWidth="1"/>
    <col min="107" max="107" width="13.140625" style="8" bestFit="1" customWidth="1"/>
    <col min="108" max="108" width="8.28515625" style="8" bestFit="1" customWidth="1"/>
    <col min="109" max="109" width="12.7109375" style="8" bestFit="1" customWidth="1"/>
    <col min="110" max="110" width="8.7109375" style="8" bestFit="1" customWidth="1"/>
    <col min="111" max="111" width="8.42578125" style="8" bestFit="1" customWidth="1"/>
    <col min="112" max="112" width="55.140625" style="8"/>
    <col min="113" max="113" width="8.7109375" style="8" bestFit="1" customWidth="1"/>
    <col min="114" max="16384" width="55.140625" style="8"/>
  </cols>
  <sheetData>
    <row r="1" spans="1:113" s="9" customFormat="1" ht="12.75" x14ac:dyDescent="0.2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4"/>
      <c r="AH1" s="72">
        <f>CR4</f>
        <v>38295.69921875</v>
      </c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0" t="s">
        <v>33</v>
      </c>
      <c r="AV1" s="70"/>
      <c r="AW1" s="70"/>
      <c r="AX1" s="23"/>
      <c r="AY1" s="23"/>
      <c r="AZ1" s="23"/>
      <c r="BA1" s="23"/>
      <c r="BB1" s="23"/>
      <c r="BC1" s="23"/>
      <c r="BD1" s="23"/>
      <c r="BE1" s="23"/>
      <c r="BF1" s="23"/>
      <c r="BG1" s="26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</row>
    <row r="2" spans="1:113" ht="13.5" thickBot="1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74" t="str">
        <f ca="1">"  Time Now  -  "&amp;TEXT(NOW(),"dd mmmm yyyy hh:mm:ss")</f>
        <v xml:space="preserve">  Time Now  -  10 August 2022 18:18:23</v>
      </c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1">
        <v>44784</v>
      </c>
      <c r="AV2" s="71"/>
      <c r="AW2" s="71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67">
        <f>MAX(CQ4:CQ250)</f>
        <v>44783.638194444444</v>
      </c>
      <c r="CR2" s="25"/>
      <c r="CS2" s="25"/>
      <c r="CT2" s="25"/>
      <c r="CU2" s="25"/>
      <c r="CV2" s="25"/>
      <c r="CW2" s="25"/>
      <c r="CX2" s="25"/>
      <c r="CY2" s="25"/>
      <c r="CZ2" s="25"/>
      <c r="DA2" s="25"/>
      <c r="DB2" s="25"/>
      <c r="DC2" s="25"/>
      <c r="DD2" s="25"/>
      <c r="DE2" s="25"/>
      <c r="DF2" s="25"/>
      <c r="DG2" s="25"/>
    </row>
    <row r="3" spans="1:113" ht="11.25" customHeight="1" thickBot="1" x14ac:dyDescent="0.25">
      <c r="A3" s="19" t="s">
        <v>285</v>
      </c>
      <c r="B3" s="20" t="s">
        <v>279</v>
      </c>
      <c r="C3" s="20" t="s">
        <v>278</v>
      </c>
      <c r="D3" s="20" t="s">
        <v>277</v>
      </c>
      <c r="E3" s="20" t="s">
        <v>276</v>
      </c>
      <c r="F3" s="20" t="s">
        <v>275</v>
      </c>
      <c r="G3" s="20" t="s">
        <v>274</v>
      </c>
      <c r="H3" s="20" t="s">
        <v>273</v>
      </c>
      <c r="I3" s="20" t="s">
        <v>272</v>
      </c>
      <c r="J3" s="20" t="s">
        <v>271</v>
      </c>
      <c r="K3" s="20" t="s">
        <v>270</v>
      </c>
      <c r="L3" s="20" t="s">
        <v>269</v>
      </c>
      <c r="M3" s="20" t="s">
        <v>268</v>
      </c>
      <c r="N3" s="20" t="s">
        <v>267</v>
      </c>
      <c r="O3" s="20" t="s">
        <v>266</v>
      </c>
      <c r="P3" s="20" t="s">
        <v>265</v>
      </c>
      <c r="Q3" s="20" t="s">
        <v>264</v>
      </c>
      <c r="R3" s="33" t="s">
        <v>263</v>
      </c>
      <c r="S3" s="33" t="s">
        <v>262</v>
      </c>
      <c r="T3" s="33" t="s">
        <v>261</v>
      </c>
      <c r="U3" s="33" t="s">
        <v>260</v>
      </c>
      <c r="V3" s="33" t="s">
        <v>259</v>
      </c>
      <c r="W3" s="33" t="s">
        <v>258</v>
      </c>
      <c r="X3" s="33" t="s">
        <v>257</v>
      </c>
      <c r="Y3" s="33" t="s">
        <v>255</v>
      </c>
      <c r="Z3" s="33" t="s">
        <v>254</v>
      </c>
      <c r="AA3" s="33" t="s">
        <v>253</v>
      </c>
      <c r="AB3" s="33" t="s">
        <v>252</v>
      </c>
      <c r="AC3" s="33" t="s">
        <v>251</v>
      </c>
      <c r="AD3" s="33" t="s">
        <v>250</v>
      </c>
      <c r="AE3" s="33" t="s">
        <v>249</v>
      </c>
      <c r="AF3" s="33" t="s">
        <v>248</v>
      </c>
      <c r="AG3" s="33" t="s">
        <v>247</v>
      </c>
      <c r="AH3" s="33" t="s">
        <v>299</v>
      </c>
      <c r="AI3" s="33" t="s">
        <v>246</v>
      </c>
      <c r="AJ3" s="33" t="s">
        <v>298</v>
      </c>
      <c r="AK3" s="33" t="s">
        <v>245</v>
      </c>
      <c r="AL3" s="33" t="s">
        <v>301</v>
      </c>
      <c r="AM3" s="33" t="s">
        <v>300</v>
      </c>
      <c r="AN3" s="33" t="s">
        <v>256</v>
      </c>
      <c r="AO3" s="33" t="s">
        <v>244</v>
      </c>
      <c r="AP3" s="33" t="s">
        <v>305</v>
      </c>
      <c r="AQ3" s="33" t="s">
        <v>302</v>
      </c>
      <c r="AR3" s="33" t="s">
        <v>297</v>
      </c>
      <c r="AS3" s="33" t="s">
        <v>311</v>
      </c>
      <c r="AT3" s="33" t="s">
        <v>296</v>
      </c>
      <c r="AU3" s="33" t="s">
        <v>1</v>
      </c>
      <c r="AV3" s="34" t="s">
        <v>242</v>
      </c>
      <c r="AW3" s="33" t="s">
        <v>0</v>
      </c>
      <c r="AX3" s="33" t="s">
        <v>294</v>
      </c>
      <c r="AY3" s="33" t="s">
        <v>310</v>
      </c>
      <c r="AZ3" s="33" t="s">
        <v>295</v>
      </c>
      <c r="BA3" s="33" t="s">
        <v>303</v>
      </c>
      <c r="BB3" s="33" t="s">
        <v>306</v>
      </c>
      <c r="BC3" s="33" t="s">
        <v>240</v>
      </c>
      <c r="BD3" s="33" t="s">
        <v>236</v>
      </c>
      <c r="BE3" s="33" t="s">
        <v>290</v>
      </c>
      <c r="BF3" s="33" t="s">
        <v>291</v>
      </c>
      <c r="BG3" s="33" t="s">
        <v>239</v>
      </c>
      <c r="BH3" s="33" t="s">
        <v>292</v>
      </c>
      <c r="BI3" s="33" t="s">
        <v>238</v>
      </c>
      <c r="BJ3" s="33" t="s">
        <v>293</v>
      </c>
      <c r="BK3" s="33" t="s">
        <v>237</v>
      </c>
      <c r="BL3" s="33" t="s">
        <v>235</v>
      </c>
      <c r="BM3" s="33" t="s">
        <v>234</v>
      </c>
      <c r="BN3" s="33" t="s">
        <v>233</v>
      </c>
      <c r="BO3" s="33" t="s">
        <v>232</v>
      </c>
      <c r="BP3" s="33" t="s">
        <v>231</v>
      </c>
      <c r="BQ3" s="33" t="s">
        <v>230</v>
      </c>
      <c r="BR3" s="33" t="s">
        <v>229</v>
      </c>
      <c r="BS3" s="33" t="s">
        <v>228</v>
      </c>
      <c r="BT3" s="33" t="s">
        <v>227</v>
      </c>
      <c r="BU3" s="33" t="s">
        <v>226</v>
      </c>
      <c r="BV3" s="33" t="s">
        <v>225</v>
      </c>
      <c r="BW3" s="33" t="s">
        <v>224</v>
      </c>
      <c r="BX3" s="33" t="s">
        <v>223</v>
      </c>
      <c r="BY3" s="33" t="s">
        <v>222</v>
      </c>
      <c r="BZ3" s="33" t="s">
        <v>221</v>
      </c>
      <c r="CA3" s="33" t="s">
        <v>220</v>
      </c>
      <c r="CB3" s="33" t="s">
        <v>219</v>
      </c>
      <c r="CC3" s="33" t="s">
        <v>218</v>
      </c>
      <c r="CD3" s="33" t="s">
        <v>217</v>
      </c>
      <c r="CE3" s="33" t="s">
        <v>216</v>
      </c>
      <c r="CF3" s="33" t="s">
        <v>215</v>
      </c>
      <c r="CG3" s="33" t="s">
        <v>214</v>
      </c>
      <c r="CH3" s="33" t="s">
        <v>213</v>
      </c>
      <c r="CI3" s="33" t="s">
        <v>212</v>
      </c>
      <c r="CJ3" s="33" t="s">
        <v>211</v>
      </c>
      <c r="CK3" s="33" t="s">
        <v>210</v>
      </c>
      <c r="CL3" s="33" t="s">
        <v>281</v>
      </c>
      <c r="CM3" s="33" t="s">
        <v>280</v>
      </c>
      <c r="CN3" s="33" t="s">
        <v>283</v>
      </c>
      <c r="CO3" s="33" t="s">
        <v>282</v>
      </c>
      <c r="CP3" s="33" t="s">
        <v>284</v>
      </c>
      <c r="CQ3" s="33" t="s">
        <v>286</v>
      </c>
      <c r="CR3" s="33" t="s">
        <v>287</v>
      </c>
      <c r="CS3" s="33" t="s">
        <v>304</v>
      </c>
      <c r="CT3" s="33" t="s">
        <v>307</v>
      </c>
      <c r="CU3" s="33" t="s">
        <v>288</v>
      </c>
      <c r="CV3" s="33" t="s">
        <v>289</v>
      </c>
      <c r="CW3" s="33" t="s">
        <v>205</v>
      </c>
      <c r="CX3" s="33" t="s">
        <v>206</v>
      </c>
      <c r="CY3" s="33" t="s">
        <v>207</v>
      </c>
      <c r="CZ3" s="33" t="s">
        <v>322</v>
      </c>
      <c r="DA3" s="33" t="s">
        <v>323</v>
      </c>
      <c r="DB3" s="33" t="s">
        <v>208</v>
      </c>
      <c r="DC3" s="33" t="s">
        <v>209</v>
      </c>
      <c r="DD3" s="33" t="s">
        <v>324</v>
      </c>
      <c r="DE3" s="33" t="s">
        <v>325</v>
      </c>
      <c r="DF3" s="33" t="s">
        <v>309</v>
      </c>
      <c r="DG3" s="35" t="s">
        <v>308</v>
      </c>
      <c r="DI3" s="22" cm="1">
        <f t="array" ref="DI3">INDEX($AV$4:$AV$250,MATCH(SMALL(ABS($DI$4:$DI$250),COUNTIF($DI$4:$DI$250,0)+1),$DI$4:$DI$250,0))</f>
        <v>38300</v>
      </c>
    </row>
    <row r="4" spans="1:113" x14ac:dyDescent="0.2">
      <c r="A4" s="59">
        <f>RawData!CN2</f>
        <v>44783.636701388888</v>
      </c>
      <c r="B4" s="44">
        <f>RawData!CH2</f>
        <v>0</v>
      </c>
      <c r="C4" s="44">
        <f>RawData!CG2</f>
        <v>0</v>
      </c>
      <c r="D4" s="63">
        <f>RawData!CF2</f>
        <v>0</v>
      </c>
      <c r="E4" s="44">
        <f>RawData!CE2</f>
        <v>0</v>
      </c>
      <c r="F4" s="63">
        <f>RawData!CD2</f>
        <v>0</v>
      </c>
      <c r="G4" s="44">
        <f>RawData!CC2</f>
        <v>0</v>
      </c>
      <c r="H4" s="44">
        <f>RawData!CB2</f>
        <v>0</v>
      </c>
      <c r="I4" s="44">
        <f>RawData!CA2</f>
        <v>0</v>
      </c>
      <c r="J4" s="44">
        <f>RawData!BZ2</f>
        <v>0</v>
      </c>
      <c r="K4" s="40">
        <f>RawData!BY2</f>
        <v>0</v>
      </c>
      <c r="L4" s="40">
        <f>RawData!BX2</f>
        <v>0</v>
      </c>
      <c r="M4" s="40">
        <f>RawData!BW2</f>
        <v>0</v>
      </c>
      <c r="N4" s="40">
        <f>RawData!BV2</f>
        <v>0</v>
      </c>
      <c r="O4" s="36">
        <f>RawData!BU2</f>
        <v>0</v>
      </c>
      <c r="P4" s="36">
        <f>RawData!BT2</f>
        <v>0</v>
      </c>
      <c r="Q4" s="36">
        <f>RawData!BS2</f>
        <v>0</v>
      </c>
      <c r="R4" s="36">
        <f>RawData!BR2</f>
        <v>0</v>
      </c>
      <c r="S4" s="37">
        <f>RawData!BQ2</f>
        <v>0</v>
      </c>
      <c r="T4" s="37">
        <f>RawData!BP2</f>
        <v>0</v>
      </c>
      <c r="U4" s="38">
        <f>RawData!BO2</f>
        <v>0</v>
      </c>
      <c r="V4" s="38">
        <f>RawData!BN2</f>
        <v>0</v>
      </c>
      <c r="W4" s="39">
        <f>RawData!BM2</f>
        <v>0</v>
      </c>
      <c r="X4" s="39">
        <f>RawData!BL2</f>
        <v>0</v>
      </c>
      <c r="Y4" s="38">
        <f>RawData!BJ2</f>
        <v>0</v>
      </c>
      <c r="Z4" s="38">
        <f>RawData!BI2</f>
        <v>0</v>
      </c>
      <c r="AA4" s="40">
        <f>RawData!BH2</f>
        <v>0</v>
      </c>
      <c r="AB4" s="40">
        <f>RawData!BG2</f>
        <v>0</v>
      </c>
      <c r="AC4" s="40">
        <f>RawData!BF2</f>
        <v>0</v>
      </c>
      <c r="AD4" s="40">
        <f>RawData!BE2</f>
        <v>0</v>
      </c>
      <c r="AE4" s="40">
        <f>RawData!BD2</f>
        <v>0</v>
      </c>
      <c r="AF4" s="40">
        <f>RawData!BC2</f>
        <v>0</v>
      </c>
      <c r="AG4" s="41">
        <f>RawData!BB2</f>
        <v>0</v>
      </c>
      <c r="AH4" s="42">
        <f>RawData!DB2</f>
        <v>0</v>
      </c>
      <c r="AI4" s="41">
        <f>RawData!BA2</f>
        <v>0</v>
      </c>
      <c r="AJ4" s="43">
        <f>RawData!DA2</f>
        <v>0</v>
      </c>
      <c r="AK4" s="41">
        <f>RawData!AZ2</f>
        <v>0</v>
      </c>
      <c r="AL4" s="42">
        <f>RawData!DD2</f>
        <v>0</v>
      </c>
      <c r="AM4" s="44">
        <f>RawData!DC2</f>
        <v>0</v>
      </c>
      <c r="AN4" s="45">
        <f>RawData!BK2</f>
        <v>0</v>
      </c>
      <c r="AO4" s="44">
        <f>RawData!AY2</f>
        <v>0</v>
      </c>
      <c r="AP4" s="43" t="str">
        <f>RawData!DH2</f>
        <v>W</v>
      </c>
      <c r="AQ4" s="63">
        <f>RawData!DE2</f>
        <v>0</v>
      </c>
      <c r="AR4" s="42">
        <f>RawData!CZ2</f>
        <v>0</v>
      </c>
      <c r="AS4" s="44">
        <f>RawData!AX2</f>
        <v>0</v>
      </c>
      <c r="AT4" s="63">
        <f>RawData!CY2</f>
        <v>0</v>
      </c>
      <c r="AU4" s="44">
        <f>RawData!AW2</f>
        <v>0</v>
      </c>
      <c r="AV4" s="46">
        <f>RawData!O2</f>
        <v>24500</v>
      </c>
      <c r="AW4" s="44">
        <f>RawData!AV2</f>
        <v>0</v>
      </c>
      <c r="AX4" s="44">
        <f>RawData!CW2</f>
        <v>0</v>
      </c>
      <c r="AY4" s="44">
        <f>RawData!AU2</f>
        <v>0</v>
      </c>
      <c r="AZ4" s="42">
        <f>RawData!CX2</f>
        <v>0</v>
      </c>
      <c r="BA4" s="44">
        <f>RawData!DF2</f>
        <v>0</v>
      </c>
      <c r="BB4" s="43" t="str">
        <f>RawData!DI2</f>
        <v>W</v>
      </c>
      <c r="BC4" s="44">
        <f>RawData!AT2</f>
        <v>0</v>
      </c>
      <c r="BD4" s="45">
        <f>RawData!AP2</f>
        <v>0</v>
      </c>
      <c r="BE4" s="44">
        <f>RawData!CS2</f>
        <v>0</v>
      </c>
      <c r="BF4" s="42">
        <f>RawData!CT2</f>
        <v>0</v>
      </c>
      <c r="BG4" s="41">
        <f>RawData!AS2</f>
        <v>0</v>
      </c>
      <c r="BH4" s="41">
        <f>RawData!CU2</f>
        <v>0</v>
      </c>
      <c r="BI4" s="41">
        <f>RawData!AR2</f>
        <v>0</v>
      </c>
      <c r="BJ4" s="42">
        <f>RawData!CV2</f>
        <v>0</v>
      </c>
      <c r="BK4" s="41">
        <f>RawData!AQ2</f>
        <v>0</v>
      </c>
      <c r="BL4" s="40">
        <f>RawData!AO2</f>
        <v>0</v>
      </c>
      <c r="BM4" s="40">
        <f>RawData!AN2</f>
        <v>0</v>
      </c>
      <c r="BN4" s="40">
        <f>RawData!AM2</f>
        <v>0</v>
      </c>
      <c r="BO4" s="40">
        <f>RawData!AL2</f>
        <v>0</v>
      </c>
      <c r="BP4" s="40">
        <f>RawData!AK2</f>
        <v>0</v>
      </c>
      <c r="BQ4" s="40">
        <f>RawData!AJ2</f>
        <v>0</v>
      </c>
      <c r="BR4" s="38">
        <f>RawData!AI2</f>
        <v>0</v>
      </c>
      <c r="BS4" s="38">
        <f>RawData!AH2</f>
        <v>0</v>
      </c>
      <c r="BT4" s="40">
        <f>RawData!AG2</f>
        <v>0</v>
      </c>
      <c r="BU4" s="40">
        <f>RawData!AF2</f>
        <v>0</v>
      </c>
      <c r="BV4" s="40">
        <f>RawData!AE2</f>
        <v>0</v>
      </c>
      <c r="BW4" s="40">
        <f>RawData!AD2</f>
        <v>0</v>
      </c>
      <c r="BX4" s="38">
        <f>RawData!AC2</f>
        <v>0</v>
      </c>
      <c r="BY4" s="37">
        <f>RawData!AB2</f>
        <v>0</v>
      </c>
      <c r="BZ4" s="37">
        <f>RawData!AA2</f>
        <v>0</v>
      </c>
      <c r="CA4" s="36">
        <f>RawData!Z2</f>
        <v>0</v>
      </c>
      <c r="CB4" s="36">
        <f>RawData!Y2</f>
        <v>0</v>
      </c>
      <c r="CC4" s="36">
        <f>RawData!X2</f>
        <v>0</v>
      </c>
      <c r="CD4" s="36">
        <f>RawData!W2</f>
        <v>0</v>
      </c>
      <c r="CE4" s="40">
        <f>RawData!V2</f>
        <v>0</v>
      </c>
      <c r="CF4" s="40">
        <f>RawData!U2</f>
        <v>0</v>
      </c>
      <c r="CG4" s="40">
        <f>RawData!T2</f>
        <v>0</v>
      </c>
      <c r="CH4" s="44">
        <f>RawData!S2</f>
        <v>0</v>
      </c>
      <c r="CI4" s="44">
        <f>RawData!R2</f>
        <v>0</v>
      </c>
      <c r="CJ4" s="44">
        <f>RawData!Q2</f>
        <v>0</v>
      </c>
      <c r="CK4" s="44">
        <f>RawData!P2</f>
        <v>0</v>
      </c>
      <c r="CL4" s="44">
        <f>RawData!CJ2</f>
        <v>0</v>
      </c>
      <c r="CM4" s="63">
        <f>RawData!CI2</f>
        <v>0</v>
      </c>
      <c r="CN4" s="44">
        <f>RawData!CL2</f>
        <v>0</v>
      </c>
      <c r="CO4" s="63">
        <f>RawData!CK2</f>
        <v>0</v>
      </c>
      <c r="CP4" s="44">
        <f>RawData!CM2</f>
        <v>0</v>
      </c>
      <c r="CQ4" s="47">
        <f>RawData!CO2</f>
        <v>44783.636701388888</v>
      </c>
      <c r="CR4" s="44">
        <f>RawData!CP2</f>
        <v>38295.69921875</v>
      </c>
      <c r="CS4" s="44">
        <f>RawData!DG2</f>
        <v>38295.69921875</v>
      </c>
      <c r="CT4" s="43" t="str">
        <f>RawData!DJ2</f>
        <v>G</v>
      </c>
      <c r="CU4" s="63" t="str">
        <f>RawData!CQ2</f>
        <v>FairPrice</v>
      </c>
      <c r="CV4" s="47">
        <f>RawData!CR2</f>
        <v>44783.638194444444</v>
      </c>
      <c r="CW4" s="65">
        <f>RawData!DK2</f>
        <v>38300</v>
      </c>
      <c r="CX4" s="65">
        <f>RawData!DL2</f>
        <v>3400000</v>
      </c>
      <c r="CY4" s="65">
        <f>RawData!DM2</f>
        <v>38500</v>
      </c>
      <c r="CZ4" s="65">
        <f>RawData!DN2</f>
        <v>0</v>
      </c>
      <c r="DA4" s="65">
        <f>RawData!DO2</f>
        <v>24500</v>
      </c>
      <c r="DB4" s="65">
        <f>RawData!DP2</f>
        <v>2863350</v>
      </c>
      <c r="DC4" s="65">
        <f>RawData!DQ2</f>
        <v>38000</v>
      </c>
      <c r="DD4" s="65">
        <f>RawData!DR2</f>
        <v>0</v>
      </c>
      <c r="DE4" s="65">
        <f>RawData!DS2</f>
        <v>24500</v>
      </c>
      <c r="DF4" s="65" t="str">
        <f>RawData!DT2</f>
        <v>BANKNIFTY</v>
      </c>
      <c r="DG4" s="66">
        <f>RawData!DU2</f>
        <v>44784</v>
      </c>
      <c r="DI4" s="21">
        <f>IFERROR(IF($AV4&gt;0, ABS($AV4-$CR$4),0),0)</f>
        <v>13795.69921875</v>
      </c>
    </row>
    <row r="5" spans="1:113" x14ac:dyDescent="0.2">
      <c r="A5" s="59">
        <f>RawData!CN3</f>
        <v>44783.636701388888</v>
      </c>
      <c r="B5" s="44">
        <f>RawData!CH3</f>
        <v>0</v>
      </c>
      <c r="C5" s="44">
        <f>RawData!CG3</f>
        <v>0</v>
      </c>
      <c r="D5" s="43">
        <f>RawData!CF3</f>
        <v>0</v>
      </c>
      <c r="E5" s="44">
        <f>RawData!CE3</f>
        <v>0</v>
      </c>
      <c r="F5" s="43">
        <f>RawData!CD3</f>
        <v>0</v>
      </c>
      <c r="G5" s="44">
        <f>RawData!CC3</f>
        <v>0</v>
      </c>
      <c r="H5" s="44">
        <f>RawData!CB3</f>
        <v>0</v>
      </c>
      <c r="I5" s="44">
        <f>RawData!CA3</f>
        <v>0</v>
      </c>
      <c r="J5" s="44">
        <f>RawData!BZ3</f>
        <v>0</v>
      </c>
      <c r="K5" s="40">
        <f>RawData!BY3</f>
        <v>0</v>
      </c>
      <c r="L5" s="40">
        <f>RawData!BX3</f>
        <v>0</v>
      </c>
      <c r="M5" s="40">
        <f>RawData!BW3</f>
        <v>0</v>
      </c>
      <c r="N5" s="40">
        <f>RawData!BV3</f>
        <v>0</v>
      </c>
      <c r="O5" s="36">
        <f>RawData!BU3</f>
        <v>0</v>
      </c>
      <c r="P5" s="36">
        <f>RawData!BT3</f>
        <v>0</v>
      </c>
      <c r="Q5" s="36">
        <f>RawData!BS3</f>
        <v>0</v>
      </c>
      <c r="R5" s="36">
        <f>RawData!BR3</f>
        <v>0</v>
      </c>
      <c r="S5" s="37">
        <f>RawData!BQ3</f>
        <v>0</v>
      </c>
      <c r="T5" s="37">
        <f>RawData!BP3</f>
        <v>0</v>
      </c>
      <c r="U5" s="38">
        <f>RawData!BO3</f>
        <v>0</v>
      </c>
      <c r="V5" s="38">
        <f>RawData!BN3</f>
        <v>0</v>
      </c>
      <c r="W5" s="39">
        <f>RawData!BM3</f>
        <v>0</v>
      </c>
      <c r="X5" s="39">
        <f>RawData!BL3</f>
        <v>0</v>
      </c>
      <c r="Y5" s="38">
        <f>RawData!BJ3</f>
        <v>0</v>
      </c>
      <c r="Z5" s="38">
        <f>RawData!BI3</f>
        <v>0</v>
      </c>
      <c r="AA5" s="40">
        <f>RawData!BH3</f>
        <v>0</v>
      </c>
      <c r="AB5" s="40">
        <f>RawData!BG3</f>
        <v>0</v>
      </c>
      <c r="AC5" s="40">
        <f>RawData!BF3</f>
        <v>0</v>
      </c>
      <c r="AD5" s="40">
        <f>RawData!BE3</f>
        <v>0</v>
      </c>
      <c r="AE5" s="40">
        <f>RawData!BD3</f>
        <v>0</v>
      </c>
      <c r="AF5" s="40">
        <f>RawData!BC3</f>
        <v>0</v>
      </c>
      <c r="AG5" s="41">
        <f>RawData!BB3</f>
        <v>0</v>
      </c>
      <c r="AH5" s="42">
        <f>RawData!DB3</f>
        <v>0</v>
      </c>
      <c r="AI5" s="41">
        <f>RawData!BA3</f>
        <v>0</v>
      </c>
      <c r="AJ5" s="43">
        <f>RawData!DA3</f>
        <v>0</v>
      </c>
      <c r="AK5" s="41">
        <f>RawData!AZ3</f>
        <v>0</v>
      </c>
      <c r="AL5" s="42">
        <f>RawData!DD3</f>
        <v>0</v>
      </c>
      <c r="AM5" s="44">
        <f>RawData!DC3</f>
        <v>0</v>
      </c>
      <c r="AN5" s="45">
        <f>RawData!BK3</f>
        <v>0</v>
      </c>
      <c r="AO5" s="44">
        <f>RawData!AY3</f>
        <v>0</v>
      </c>
      <c r="AP5" s="43" t="str">
        <f>RawData!DH3</f>
        <v>W</v>
      </c>
      <c r="AQ5" s="43">
        <f>RawData!DE3</f>
        <v>0</v>
      </c>
      <c r="AR5" s="42">
        <f>RawData!CZ3</f>
        <v>0</v>
      </c>
      <c r="AS5" s="44">
        <f>RawData!AX3</f>
        <v>0</v>
      </c>
      <c r="AT5" s="43">
        <f>RawData!CY3</f>
        <v>0</v>
      </c>
      <c r="AU5" s="44">
        <f>RawData!AW3</f>
        <v>0</v>
      </c>
      <c r="AV5" s="46">
        <f>RawData!O3</f>
        <v>25000</v>
      </c>
      <c r="AW5" s="44">
        <f>RawData!AV3</f>
        <v>0</v>
      </c>
      <c r="AX5" s="44">
        <f>RawData!CW3</f>
        <v>0</v>
      </c>
      <c r="AY5" s="44">
        <f>RawData!AU3</f>
        <v>0</v>
      </c>
      <c r="AZ5" s="42">
        <f>RawData!CX3</f>
        <v>0</v>
      </c>
      <c r="BA5" s="44">
        <f>RawData!DF3</f>
        <v>0</v>
      </c>
      <c r="BB5" s="43" t="str">
        <f>RawData!DI3</f>
        <v>W</v>
      </c>
      <c r="BC5" s="44">
        <f>RawData!AT3</f>
        <v>0</v>
      </c>
      <c r="BD5" s="45">
        <f>RawData!AP3</f>
        <v>0</v>
      </c>
      <c r="BE5" s="44">
        <f>RawData!CS3</f>
        <v>0</v>
      </c>
      <c r="BF5" s="42">
        <f>RawData!CT3</f>
        <v>0</v>
      </c>
      <c r="BG5" s="41">
        <f>RawData!AS3</f>
        <v>0</v>
      </c>
      <c r="BH5" s="41">
        <f>RawData!CU3</f>
        <v>0</v>
      </c>
      <c r="BI5" s="41">
        <f>RawData!AR3</f>
        <v>0</v>
      </c>
      <c r="BJ5" s="42">
        <f>RawData!CV3</f>
        <v>0</v>
      </c>
      <c r="BK5" s="41">
        <f>RawData!AQ3</f>
        <v>0</v>
      </c>
      <c r="BL5" s="40">
        <f>RawData!AO3</f>
        <v>0</v>
      </c>
      <c r="BM5" s="40">
        <f>RawData!AN3</f>
        <v>0</v>
      </c>
      <c r="BN5" s="40">
        <f>RawData!AM3</f>
        <v>0</v>
      </c>
      <c r="BO5" s="40">
        <f>RawData!AL3</f>
        <v>0</v>
      </c>
      <c r="BP5" s="40">
        <f>RawData!AK3</f>
        <v>0</v>
      </c>
      <c r="BQ5" s="40">
        <f>RawData!AJ3</f>
        <v>0</v>
      </c>
      <c r="BR5" s="38">
        <f>RawData!AI3</f>
        <v>0</v>
      </c>
      <c r="BS5" s="38">
        <f>RawData!AH3</f>
        <v>0</v>
      </c>
      <c r="BT5" s="40">
        <f>RawData!AG3</f>
        <v>0</v>
      </c>
      <c r="BU5" s="39">
        <f>RawData!AF3</f>
        <v>0</v>
      </c>
      <c r="BV5" s="39">
        <f>RawData!AE3</f>
        <v>0</v>
      </c>
      <c r="BW5" s="38">
        <f>RawData!AD3</f>
        <v>0</v>
      </c>
      <c r="BX5" s="38">
        <f>RawData!AC3</f>
        <v>0</v>
      </c>
      <c r="BY5" s="37">
        <f>RawData!AB3</f>
        <v>0</v>
      </c>
      <c r="BZ5" s="37">
        <f>RawData!AA3</f>
        <v>0</v>
      </c>
      <c r="CA5" s="36">
        <f>RawData!Z3</f>
        <v>0</v>
      </c>
      <c r="CB5" s="36">
        <f>RawData!Y3</f>
        <v>0</v>
      </c>
      <c r="CC5" s="36">
        <f>RawData!X3</f>
        <v>0</v>
      </c>
      <c r="CD5" s="36">
        <f>RawData!W3</f>
        <v>0</v>
      </c>
      <c r="CE5" s="40">
        <f>RawData!V3</f>
        <v>0</v>
      </c>
      <c r="CF5" s="40">
        <f>RawData!U3</f>
        <v>0</v>
      </c>
      <c r="CG5" s="40">
        <f>RawData!T3</f>
        <v>0</v>
      </c>
      <c r="CH5" s="44">
        <f>RawData!S3</f>
        <v>0</v>
      </c>
      <c r="CI5" s="44">
        <f>RawData!R3</f>
        <v>0</v>
      </c>
      <c r="CJ5" s="44">
        <f>RawData!Q3</f>
        <v>0</v>
      </c>
      <c r="CK5" s="44">
        <f>RawData!P3</f>
        <v>0</v>
      </c>
      <c r="CL5" s="44">
        <f>RawData!CJ3</f>
        <v>0</v>
      </c>
      <c r="CM5" s="43">
        <f>RawData!CI3</f>
        <v>0</v>
      </c>
      <c r="CN5" s="44">
        <f>RawData!CL3</f>
        <v>0</v>
      </c>
      <c r="CO5" s="43">
        <f>RawData!CK3</f>
        <v>0</v>
      </c>
      <c r="CP5" s="44">
        <f>RawData!CM3</f>
        <v>0</v>
      </c>
      <c r="CQ5" s="47">
        <f>RawData!CO3</f>
        <v>44783.636701388888</v>
      </c>
      <c r="CR5" s="44">
        <f>RawData!CP3</f>
        <v>38295.69921875</v>
      </c>
      <c r="CS5" s="44">
        <f>RawData!DG3</f>
        <v>38295.69921875</v>
      </c>
      <c r="CT5" s="43" t="str">
        <f>RawData!DJ3</f>
        <v>G</v>
      </c>
      <c r="CU5" s="43" t="str">
        <f>RawData!CQ3</f>
        <v>FairPrice</v>
      </c>
      <c r="CV5" s="47">
        <f>RawData!CR3</f>
        <v>44783.638194444444</v>
      </c>
      <c r="CW5" s="65">
        <f>RawData!DK3</f>
        <v>38300</v>
      </c>
      <c r="CX5" s="65">
        <f>RawData!DL3</f>
        <v>3400000</v>
      </c>
      <c r="CY5" s="65">
        <f>RawData!DM3</f>
        <v>38500</v>
      </c>
      <c r="CZ5" s="65">
        <f>RawData!DN3</f>
        <v>0</v>
      </c>
      <c r="DA5" s="65">
        <f>RawData!DO3</f>
        <v>24500</v>
      </c>
      <c r="DB5" s="65">
        <f>RawData!DP3</f>
        <v>2863350</v>
      </c>
      <c r="DC5" s="65">
        <f>RawData!DQ3</f>
        <v>38000</v>
      </c>
      <c r="DD5" s="65">
        <f>RawData!DR3</f>
        <v>0</v>
      </c>
      <c r="DE5" s="65">
        <f>RawData!DS3</f>
        <v>24500</v>
      </c>
      <c r="DF5" s="65" t="str">
        <f>RawData!DT3</f>
        <v>BANKNIFTY</v>
      </c>
      <c r="DG5" s="66">
        <f>RawData!DU3</f>
        <v>44784</v>
      </c>
      <c r="DI5" s="21">
        <f t="shared" ref="DI5:DI68" si="0">IFERROR(IF($AV5&gt;0, ABS($AV5-$CR$4),0),0)</f>
        <v>13295.69921875</v>
      </c>
    </row>
    <row r="6" spans="1:113" x14ac:dyDescent="0.2">
      <c r="A6" s="59">
        <f>RawData!CN4</f>
        <v>44783.636701388888</v>
      </c>
      <c r="B6" s="44">
        <f>RawData!CH4</f>
        <v>0</v>
      </c>
      <c r="C6" s="44">
        <f>RawData!CG4</f>
        <v>0</v>
      </c>
      <c r="D6" s="43">
        <f>RawData!CF4</f>
        <v>0</v>
      </c>
      <c r="E6" s="44">
        <f>RawData!CE4</f>
        <v>0</v>
      </c>
      <c r="F6" s="43">
        <f>RawData!CD4</f>
        <v>0</v>
      </c>
      <c r="G6" s="44">
        <f>RawData!CC4</f>
        <v>0</v>
      </c>
      <c r="H6" s="44">
        <f>RawData!CB4</f>
        <v>0</v>
      </c>
      <c r="I6" s="44">
        <f>RawData!CA4</f>
        <v>0</v>
      </c>
      <c r="J6" s="44">
        <f>RawData!BZ4</f>
        <v>0</v>
      </c>
      <c r="K6" s="40">
        <f>RawData!BY4</f>
        <v>0</v>
      </c>
      <c r="L6" s="40">
        <f>RawData!BX4</f>
        <v>0</v>
      </c>
      <c r="M6" s="40">
        <f>RawData!BW4</f>
        <v>0</v>
      </c>
      <c r="N6" s="40">
        <f>RawData!BV4</f>
        <v>0</v>
      </c>
      <c r="O6" s="36">
        <f>RawData!BU4</f>
        <v>0</v>
      </c>
      <c r="P6" s="36">
        <f>RawData!BT4</f>
        <v>0</v>
      </c>
      <c r="Q6" s="36">
        <f>RawData!BS4</f>
        <v>0</v>
      </c>
      <c r="R6" s="36">
        <f>RawData!BR4</f>
        <v>0</v>
      </c>
      <c r="S6" s="37">
        <f>RawData!BQ4</f>
        <v>0</v>
      </c>
      <c r="T6" s="37">
        <f>RawData!BP4</f>
        <v>0</v>
      </c>
      <c r="U6" s="38">
        <f>RawData!BO4</f>
        <v>0</v>
      </c>
      <c r="V6" s="38">
        <f>RawData!BN4</f>
        <v>0</v>
      </c>
      <c r="W6" s="39">
        <f>RawData!BM4</f>
        <v>0</v>
      </c>
      <c r="X6" s="39">
        <f>RawData!BL4</f>
        <v>0</v>
      </c>
      <c r="Y6" s="38">
        <f>RawData!BJ4</f>
        <v>0</v>
      </c>
      <c r="Z6" s="38">
        <f>RawData!BI4</f>
        <v>0</v>
      </c>
      <c r="AA6" s="40">
        <f>RawData!BH4</f>
        <v>0</v>
      </c>
      <c r="AB6" s="40">
        <f>RawData!BG4</f>
        <v>0</v>
      </c>
      <c r="AC6" s="40">
        <f>RawData!BF4</f>
        <v>0</v>
      </c>
      <c r="AD6" s="40">
        <f>RawData!BE4</f>
        <v>0</v>
      </c>
      <c r="AE6" s="40">
        <f>RawData!BD4</f>
        <v>0</v>
      </c>
      <c r="AF6" s="40">
        <f>RawData!BC4</f>
        <v>0</v>
      </c>
      <c r="AG6" s="41">
        <f>RawData!BB4</f>
        <v>0</v>
      </c>
      <c r="AH6" s="42">
        <f>RawData!DB4</f>
        <v>0</v>
      </c>
      <c r="AI6" s="41">
        <f>RawData!BA4</f>
        <v>0</v>
      </c>
      <c r="AJ6" s="43">
        <f>RawData!DA4</f>
        <v>0</v>
      </c>
      <c r="AK6" s="41">
        <f>RawData!AZ4</f>
        <v>0</v>
      </c>
      <c r="AL6" s="42">
        <f>RawData!DD4</f>
        <v>0</v>
      </c>
      <c r="AM6" s="44">
        <f>RawData!DC4</f>
        <v>0</v>
      </c>
      <c r="AN6" s="45">
        <f>RawData!BK4</f>
        <v>0</v>
      </c>
      <c r="AO6" s="44">
        <f>RawData!AY4</f>
        <v>0</v>
      </c>
      <c r="AP6" s="43" t="str">
        <f>RawData!DH4</f>
        <v>W</v>
      </c>
      <c r="AQ6" s="43">
        <f>RawData!DE4</f>
        <v>0</v>
      </c>
      <c r="AR6" s="42">
        <f>RawData!CZ4</f>
        <v>0</v>
      </c>
      <c r="AS6" s="44">
        <f>RawData!AX4</f>
        <v>0</v>
      </c>
      <c r="AT6" s="43">
        <f>RawData!CY4</f>
        <v>0</v>
      </c>
      <c r="AU6" s="44">
        <f>RawData!AW4</f>
        <v>0</v>
      </c>
      <c r="AV6" s="46">
        <f>RawData!O4</f>
        <v>25500</v>
      </c>
      <c r="AW6" s="44">
        <f>RawData!AV4</f>
        <v>0</v>
      </c>
      <c r="AX6" s="44">
        <f>RawData!CW4</f>
        <v>0</v>
      </c>
      <c r="AY6" s="44">
        <f>RawData!AU4</f>
        <v>0</v>
      </c>
      <c r="AZ6" s="42">
        <f>RawData!CX4</f>
        <v>0</v>
      </c>
      <c r="BA6" s="44">
        <f>RawData!DF4</f>
        <v>0</v>
      </c>
      <c r="BB6" s="43" t="str">
        <f>RawData!DI4</f>
        <v>W</v>
      </c>
      <c r="BC6" s="44">
        <f>RawData!AT4</f>
        <v>0</v>
      </c>
      <c r="BD6" s="45">
        <f>RawData!AP4</f>
        <v>0</v>
      </c>
      <c r="BE6" s="44">
        <f>RawData!CS4</f>
        <v>0</v>
      </c>
      <c r="BF6" s="42">
        <f>RawData!CT4</f>
        <v>0</v>
      </c>
      <c r="BG6" s="41">
        <f>RawData!AS4</f>
        <v>0</v>
      </c>
      <c r="BH6" s="41">
        <f>RawData!CU4</f>
        <v>0</v>
      </c>
      <c r="BI6" s="41">
        <f>RawData!AR4</f>
        <v>0</v>
      </c>
      <c r="BJ6" s="42">
        <f>RawData!CV4</f>
        <v>0</v>
      </c>
      <c r="BK6" s="41">
        <f>RawData!AQ4</f>
        <v>0</v>
      </c>
      <c r="BL6" s="40">
        <f>RawData!AO4</f>
        <v>0</v>
      </c>
      <c r="BM6" s="40">
        <f>RawData!AN4</f>
        <v>0</v>
      </c>
      <c r="BN6" s="40">
        <f>RawData!AM4</f>
        <v>0</v>
      </c>
      <c r="BO6" s="40">
        <f>RawData!AL4</f>
        <v>0</v>
      </c>
      <c r="BP6" s="40">
        <f>RawData!AK4</f>
        <v>0</v>
      </c>
      <c r="BQ6" s="40">
        <f>RawData!AJ4</f>
        <v>0</v>
      </c>
      <c r="BR6" s="38">
        <f>RawData!AI4</f>
        <v>0</v>
      </c>
      <c r="BS6" s="38">
        <f>RawData!AH4</f>
        <v>0</v>
      </c>
      <c r="BT6" s="40">
        <f>RawData!AG4</f>
        <v>0</v>
      </c>
      <c r="BU6" s="39">
        <f>RawData!AF4</f>
        <v>0</v>
      </c>
      <c r="BV6" s="39">
        <f>RawData!AE4</f>
        <v>0</v>
      </c>
      <c r="BW6" s="38">
        <f>RawData!AD4</f>
        <v>0</v>
      </c>
      <c r="BX6" s="38">
        <f>RawData!AC4</f>
        <v>0</v>
      </c>
      <c r="BY6" s="37">
        <f>RawData!AB4</f>
        <v>0</v>
      </c>
      <c r="BZ6" s="37">
        <f>RawData!AA4</f>
        <v>0</v>
      </c>
      <c r="CA6" s="36">
        <f>RawData!Z4</f>
        <v>0</v>
      </c>
      <c r="CB6" s="36">
        <f>RawData!Y4</f>
        <v>0</v>
      </c>
      <c r="CC6" s="36">
        <f>RawData!X4</f>
        <v>0</v>
      </c>
      <c r="CD6" s="36">
        <f>RawData!W4</f>
        <v>0</v>
      </c>
      <c r="CE6" s="40">
        <f>RawData!V4</f>
        <v>0</v>
      </c>
      <c r="CF6" s="40">
        <f>RawData!U4</f>
        <v>0</v>
      </c>
      <c r="CG6" s="40">
        <f>RawData!T4</f>
        <v>0</v>
      </c>
      <c r="CH6" s="44">
        <f>RawData!S4</f>
        <v>0</v>
      </c>
      <c r="CI6" s="44">
        <f>RawData!R4</f>
        <v>0</v>
      </c>
      <c r="CJ6" s="44">
        <f>RawData!Q4</f>
        <v>0</v>
      </c>
      <c r="CK6" s="44">
        <f>RawData!P4</f>
        <v>0</v>
      </c>
      <c r="CL6" s="44">
        <f>RawData!CJ4</f>
        <v>0</v>
      </c>
      <c r="CM6" s="43">
        <f>RawData!CI4</f>
        <v>0</v>
      </c>
      <c r="CN6" s="44">
        <f>RawData!CL4</f>
        <v>0</v>
      </c>
      <c r="CO6" s="43">
        <f>RawData!CK4</f>
        <v>0</v>
      </c>
      <c r="CP6" s="44">
        <f>RawData!CM4</f>
        <v>0</v>
      </c>
      <c r="CQ6" s="47">
        <f>RawData!CO4</f>
        <v>44783.636701388888</v>
      </c>
      <c r="CR6" s="44">
        <f>RawData!CP4</f>
        <v>38295.69921875</v>
      </c>
      <c r="CS6" s="44">
        <f>RawData!DG4</f>
        <v>38295.69921875</v>
      </c>
      <c r="CT6" s="43" t="str">
        <f>RawData!DJ4</f>
        <v>G</v>
      </c>
      <c r="CU6" s="43" t="str">
        <f>RawData!CQ4</f>
        <v>FairPrice</v>
      </c>
      <c r="CV6" s="47">
        <f>RawData!CR4</f>
        <v>44783.638194444444</v>
      </c>
      <c r="CW6" s="65">
        <f>RawData!DK4</f>
        <v>38300</v>
      </c>
      <c r="CX6" s="65">
        <f>RawData!DL4</f>
        <v>3400000</v>
      </c>
      <c r="CY6" s="65">
        <f>RawData!DM4</f>
        <v>38500</v>
      </c>
      <c r="CZ6" s="65">
        <f>RawData!DN4</f>
        <v>0</v>
      </c>
      <c r="DA6" s="65">
        <f>RawData!DO4</f>
        <v>24500</v>
      </c>
      <c r="DB6" s="65">
        <f>RawData!DP4</f>
        <v>2863350</v>
      </c>
      <c r="DC6" s="65">
        <f>RawData!DQ4</f>
        <v>38000</v>
      </c>
      <c r="DD6" s="65">
        <f>RawData!DR4</f>
        <v>0</v>
      </c>
      <c r="DE6" s="65">
        <f>RawData!DS4</f>
        <v>24500</v>
      </c>
      <c r="DF6" s="65" t="str">
        <f>RawData!DT4</f>
        <v>BANKNIFTY</v>
      </c>
      <c r="DG6" s="66">
        <f>RawData!DU4</f>
        <v>44784</v>
      </c>
      <c r="DI6" s="21">
        <f t="shared" si="0"/>
        <v>12795.69921875</v>
      </c>
    </row>
    <row r="7" spans="1:113" x14ac:dyDescent="0.2">
      <c r="A7" s="59">
        <f>RawData!CN5</f>
        <v>44783.636701388888</v>
      </c>
      <c r="B7" s="44">
        <f>RawData!CH5</f>
        <v>0</v>
      </c>
      <c r="C7" s="44">
        <f>RawData!CG5</f>
        <v>0</v>
      </c>
      <c r="D7" s="43">
        <f>RawData!CF5</f>
        <v>0</v>
      </c>
      <c r="E7" s="44">
        <f>RawData!CE5</f>
        <v>0</v>
      </c>
      <c r="F7" s="43">
        <f>RawData!CD5</f>
        <v>0</v>
      </c>
      <c r="G7" s="44">
        <f>RawData!CC5</f>
        <v>0</v>
      </c>
      <c r="H7" s="44">
        <f>RawData!CB5</f>
        <v>0</v>
      </c>
      <c r="I7" s="44">
        <f>RawData!CA5</f>
        <v>0</v>
      </c>
      <c r="J7" s="44">
        <f>RawData!BZ5</f>
        <v>0</v>
      </c>
      <c r="K7" s="40">
        <f>RawData!BY5</f>
        <v>0</v>
      </c>
      <c r="L7" s="40">
        <f>RawData!BX5</f>
        <v>0</v>
      </c>
      <c r="M7" s="40">
        <f>RawData!BW5</f>
        <v>0</v>
      </c>
      <c r="N7" s="40">
        <f>RawData!BV5</f>
        <v>0</v>
      </c>
      <c r="O7" s="36">
        <f>RawData!BU5</f>
        <v>0</v>
      </c>
      <c r="P7" s="36">
        <f>RawData!BT5</f>
        <v>0</v>
      </c>
      <c r="Q7" s="36">
        <f>RawData!BS5</f>
        <v>0</v>
      </c>
      <c r="R7" s="36">
        <f>RawData!BR5</f>
        <v>0</v>
      </c>
      <c r="S7" s="37">
        <f>RawData!BQ5</f>
        <v>0</v>
      </c>
      <c r="T7" s="37">
        <f>RawData!BP5</f>
        <v>0</v>
      </c>
      <c r="U7" s="38">
        <f>RawData!BO5</f>
        <v>0</v>
      </c>
      <c r="V7" s="38">
        <f>RawData!BN5</f>
        <v>0</v>
      </c>
      <c r="W7" s="39">
        <f>RawData!BM5</f>
        <v>0</v>
      </c>
      <c r="X7" s="39">
        <f>RawData!BL5</f>
        <v>0</v>
      </c>
      <c r="Y7" s="38">
        <f>RawData!BJ5</f>
        <v>0</v>
      </c>
      <c r="Z7" s="38">
        <f>RawData!BI5</f>
        <v>0</v>
      </c>
      <c r="AA7" s="40">
        <f>RawData!BH5</f>
        <v>0</v>
      </c>
      <c r="AB7" s="40">
        <f>RawData!BG5</f>
        <v>0</v>
      </c>
      <c r="AC7" s="40">
        <f>RawData!BF5</f>
        <v>0</v>
      </c>
      <c r="AD7" s="40">
        <f>RawData!BE5</f>
        <v>0</v>
      </c>
      <c r="AE7" s="40">
        <f>RawData!BD5</f>
        <v>0</v>
      </c>
      <c r="AF7" s="40">
        <f>RawData!BC5</f>
        <v>0</v>
      </c>
      <c r="AG7" s="41">
        <f>RawData!BB5</f>
        <v>0</v>
      </c>
      <c r="AH7" s="42">
        <f>RawData!DB5</f>
        <v>0</v>
      </c>
      <c r="AI7" s="41">
        <f>RawData!BA5</f>
        <v>0</v>
      </c>
      <c r="AJ7" s="43">
        <f>RawData!DA5</f>
        <v>0</v>
      </c>
      <c r="AK7" s="41">
        <f>RawData!AZ5</f>
        <v>0</v>
      </c>
      <c r="AL7" s="42">
        <f>RawData!DD5</f>
        <v>0</v>
      </c>
      <c r="AM7" s="44">
        <f>RawData!DC5</f>
        <v>0</v>
      </c>
      <c r="AN7" s="45">
        <f>RawData!BK5</f>
        <v>0</v>
      </c>
      <c r="AO7" s="44">
        <f>RawData!AY5</f>
        <v>0</v>
      </c>
      <c r="AP7" s="43" t="str">
        <f>RawData!DH5</f>
        <v>W</v>
      </c>
      <c r="AQ7" s="43">
        <f>RawData!DE5</f>
        <v>0</v>
      </c>
      <c r="AR7" s="42">
        <f>RawData!CZ5</f>
        <v>0</v>
      </c>
      <c r="AS7" s="44">
        <f>RawData!AX5</f>
        <v>0</v>
      </c>
      <c r="AT7" s="43">
        <f>RawData!CY5</f>
        <v>0</v>
      </c>
      <c r="AU7" s="44">
        <f>RawData!AW5</f>
        <v>0</v>
      </c>
      <c r="AV7" s="46">
        <f>RawData!O5</f>
        <v>26000</v>
      </c>
      <c r="AW7" s="44">
        <f>RawData!AV5</f>
        <v>0</v>
      </c>
      <c r="AX7" s="44">
        <f>RawData!CW5</f>
        <v>0</v>
      </c>
      <c r="AY7" s="44">
        <f>RawData!AU5</f>
        <v>0</v>
      </c>
      <c r="AZ7" s="42">
        <f>RawData!CX5</f>
        <v>0</v>
      </c>
      <c r="BA7" s="44">
        <f>RawData!DF5</f>
        <v>0</v>
      </c>
      <c r="BB7" s="43" t="str">
        <f>RawData!DI5</f>
        <v>W</v>
      </c>
      <c r="BC7" s="44">
        <f>RawData!AT5</f>
        <v>0</v>
      </c>
      <c r="BD7" s="45">
        <f>RawData!AP5</f>
        <v>0</v>
      </c>
      <c r="BE7" s="44">
        <f>RawData!CS5</f>
        <v>0</v>
      </c>
      <c r="BF7" s="42">
        <f>RawData!CT5</f>
        <v>0</v>
      </c>
      <c r="BG7" s="41">
        <f>RawData!AS5</f>
        <v>0</v>
      </c>
      <c r="BH7" s="41">
        <f>RawData!CU5</f>
        <v>0</v>
      </c>
      <c r="BI7" s="41">
        <f>RawData!AR5</f>
        <v>0</v>
      </c>
      <c r="BJ7" s="42">
        <f>RawData!CV5</f>
        <v>0</v>
      </c>
      <c r="BK7" s="41">
        <f>RawData!AQ5</f>
        <v>0</v>
      </c>
      <c r="BL7" s="40">
        <f>RawData!AO5</f>
        <v>0</v>
      </c>
      <c r="BM7" s="40">
        <f>RawData!AN5</f>
        <v>0</v>
      </c>
      <c r="BN7" s="40">
        <f>RawData!AM5</f>
        <v>0</v>
      </c>
      <c r="BO7" s="40">
        <f>RawData!AL5</f>
        <v>0</v>
      </c>
      <c r="BP7" s="40">
        <f>RawData!AK5</f>
        <v>0</v>
      </c>
      <c r="BQ7" s="40">
        <f>RawData!AJ5</f>
        <v>0</v>
      </c>
      <c r="BR7" s="38">
        <f>RawData!AI5</f>
        <v>0</v>
      </c>
      <c r="BS7" s="38">
        <f>RawData!AH5</f>
        <v>0</v>
      </c>
      <c r="BT7" s="40">
        <f>RawData!AG5</f>
        <v>0</v>
      </c>
      <c r="BU7" s="39">
        <f>RawData!AF5</f>
        <v>0</v>
      </c>
      <c r="BV7" s="39">
        <f>RawData!AE5</f>
        <v>0</v>
      </c>
      <c r="BW7" s="38">
        <f>RawData!AD5</f>
        <v>0</v>
      </c>
      <c r="BX7" s="38">
        <f>RawData!AC5</f>
        <v>0</v>
      </c>
      <c r="BY7" s="37">
        <f>RawData!AB5</f>
        <v>0</v>
      </c>
      <c r="BZ7" s="37">
        <f>RawData!AA5</f>
        <v>0</v>
      </c>
      <c r="CA7" s="36">
        <f>RawData!Z5</f>
        <v>0</v>
      </c>
      <c r="CB7" s="36">
        <f>RawData!Y5</f>
        <v>0</v>
      </c>
      <c r="CC7" s="36">
        <f>RawData!X5</f>
        <v>0</v>
      </c>
      <c r="CD7" s="36">
        <f>RawData!W5</f>
        <v>0</v>
      </c>
      <c r="CE7" s="40">
        <f>RawData!V5</f>
        <v>0</v>
      </c>
      <c r="CF7" s="40">
        <f>RawData!U5</f>
        <v>0</v>
      </c>
      <c r="CG7" s="40">
        <f>RawData!T5</f>
        <v>0</v>
      </c>
      <c r="CH7" s="44">
        <f>RawData!S5</f>
        <v>0</v>
      </c>
      <c r="CI7" s="44">
        <f>RawData!R5</f>
        <v>0</v>
      </c>
      <c r="CJ7" s="44">
        <f>RawData!Q5</f>
        <v>0</v>
      </c>
      <c r="CK7" s="44">
        <f>RawData!P5</f>
        <v>0</v>
      </c>
      <c r="CL7" s="44">
        <f>RawData!CJ5</f>
        <v>0</v>
      </c>
      <c r="CM7" s="43">
        <f>RawData!CI5</f>
        <v>0</v>
      </c>
      <c r="CN7" s="44">
        <f>RawData!CL5</f>
        <v>0</v>
      </c>
      <c r="CO7" s="43">
        <f>RawData!CK5</f>
        <v>0</v>
      </c>
      <c r="CP7" s="44">
        <f>RawData!CM5</f>
        <v>0</v>
      </c>
      <c r="CQ7" s="47">
        <f>RawData!CO5</f>
        <v>44783.636701388888</v>
      </c>
      <c r="CR7" s="44">
        <f>RawData!CP5</f>
        <v>38295.69921875</v>
      </c>
      <c r="CS7" s="44">
        <f>RawData!DG5</f>
        <v>38295.69921875</v>
      </c>
      <c r="CT7" s="43" t="str">
        <f>RawData!DJ5</f>
        <v>G</v>
      </c>
      <c r="CU7" s="43" t="str">
        <f>RawData!CQ5</f>
        <v>FairPrice</v>
      </c>
      <c r="CV7" s="47">
        <f>RawData!CR5</f>
        <v>44783.638194444444</v>
      </c>
      <c r="CW7" s="65">
        <f>RawData!DK5</f>
        <v>38300</v>
      </c>
      <c r="CX7" s="65">
        <f>RawData!DL5</f>
        <v>3400000</v>
      </c>
      <c r="CY7" s="65">
        <f>RawData!DM5</f>
        <v>38500</v>
      </c>
      <c r="CZ7" s="65">
        <f>RawData!DN5</f>
        <v>0</v>
      </c>
      <c r="DA7" s="65">
        <f>RawData!DO5</f>
        <v>24500</v>
      </c>
      <c r="DB7" s="65">
        <f>RawData!DP5</f>
        <v>2863350</v>
      </c>
      <c r="DC7" s="65">
        <f>RawData!DQ5</f>
        <v>38000</v>
      </c>
      <c r="DD7" s="65">
        <f>RawData!DR5</f>
        <v>0</v>
      </c>
      <c r="DE7" s="65">
        <f>RawData!DS5</f>
        <v>24500</v>
      </c>
      <c r="DF7" s="65" t="str">
        <f>RawData!DT5</f>
        <v>BANKNIFTY</v>
      </c>
      <c r="DG7" s="66">
        <f>RawData!DU5</f>
        <v>44784</v>
      </c>
      <c r="DI7" s="21">
        <f t="shared" si="0"/>
        <v>12295.69921875</v>
      </c>
    </row>
    <row r="8" spans="1:113" x14ac:dyDescent="0.2">
      <c r="A8" s="59">
        <f>RawData!CN6</f>
        <v>44783.636701388888</v>
      </c>
      <c r="B8" s="44">
        <f>RawData!CH6</f>
        <v>0</v>
      </c>
      <c r="C8" s="44">
        <f>RawData!CG6</f>
        <v>0</v>
      </c>
      <c r="D8" s="43">
        <f>RawData!CF6</f>
        <v>0</v>
      </c>
      <c r="E8" s="44">
        <f>RawData!CE6</f>
        <v>0</v>
      </c>
      <c r="F8" s="43">
        <f>RawData!CD6</f>
        <v>0</v>
      </c>
      <c r="G8" s="44">
        <f>RawData!CC6</f>
        <v>0</v>
      </c>
      <c r="H8" s="44">
        <f>RawData!CB6</f>
        <v>0</v>
      </c>
      <c r="I8" s="44">
        <f>RawData!CA6</f>
        <v>0</v>
      </c>
      <c r="J8" s="44">
        <f>RawData!BZ6</f>
        <v>0</v>
      </c>
      <c r="K8" s="40">
        <f>RawData!BY6</f>
        <v>0</v>
      </c>
      <c r="L8" s="40">
        <f>RawData!BX6</f>
        <v>0</v>
      </c>
      <c r="M8" s="40">
        <f>RawData!BW6</f>
        <v>0</v>
      </c>
      <c r="N8" s="40">
        <f>RawData!BV6</f>
        <v>0</v>
      </c>
      <c r="O8" s="36">
        <f>RawData!BU6</f>
        <v>0</v>
      </c>
      <c r="P8" s="36">
        <f>RawData!BT6</f>
        <v>0</v>
      </c>
      <c r="Q8" s="36">
        <f>RawData!BS6</f>
        <v>0</v>
      </c>
      <c r="R8" s="36">
        <f>RawData!BR6</f>
        <v>0</v>
      </c>
      <c r="S8" s="37">
        <f>RawData!BQ6</f>
        <v>0</v>
      </c>
      <c r="T8" s="37">
        <f>RawData!BP6</f>
        <v>0</v>
      </c>
      <c r="U8" s="38">
        <f>RawData!BO6</f>
        <v>0</v>
      </c>
      <c r="V8" s="38">
        <f>RawData!BN6</f>
        <v>0</v>
      </c>
      <c r="W8" s="39">
        <f>RawData!BM6</f>
        <v>0</v>
      </c>
      <c r="X8" s="39">
        <f>RawData!BL6</f>
        <v>0</v>
      </c>
      <c r="Y8" s="38">
        <f>RawData!BJ6</f>
        <v>0</v>
      </c>
      <c r="Z8" s="38">
        <f>RawData!BI6</f>
        <v>0</v>
      </c>
      <c r="AA8" s="40">
        <f>RawData!BH6</f>
        <v>0</v>
      </c>
      <c r="AB8" s="40">
        <f>RawData!BG6</f>
        <v>0</v>
      </c>
      <c r="AC8" s="40">
        <f>RawData!BF6</f>
        <v>0</v>
      </c>
      <c r="AD8" s="40">
        <f>RawData!BE6</f>
        <v>0</v>
      </c>
      <c r="AE8" s="40">
        <f>RawData!BD6</f>
        <v>0</v>
      </c>
      <c r="AF8" s="40">
        <f>RawData!BC6</f>
        <v>0</v>
      </c>
      <c r="AG8" s="41">
        <f>RawData!BB6</f>
        <v>0</v>
      </c>
      <c r="AH8" s="42">
        <f>RawData!DB6</f>
        <v>0</v>
      </c>
      <c r="AI8" s="41">
        <f>RawData!BA6</f>
        <v>0</v>
      </c>
      <c r="AJ8" s="43">
        <f>RawData!DA6</f>
        <v>0</v>
      </c>
      <c r="AK8" s="41">
        <f>RawData!AZ6</f>
        <v>0</v>
      </c>
      <c r="AL8" s="42">
        <f>RawData!DD6</f>
        <v>0</v>
      </c>
      <c r="AM8" s="44">
        <f>RawData!DC6</f>
        <v>0</v>
      </c>
      <c r="AN8" s="45">
        <f>RawData!BK6</f>
        <v>0</v>
      </c>
      <c r="AO8" s="44">
        <f>RawData!AY6</f>
        <v>0</v>
      </c>
      <c r="AP8" s="43" t="str">
        <f>RawData!DH6</f>
        <v>W</v>
      </c>
      <c r="AQ8" s="43">
        <f>RawData!DE6</f>
        <v>0</v>
      </c>
      <c r="AR8" s="42">
        <f>RawData!CZ6</f>
        <v>0</v>
      </c>
      <c r="AS8" s="44">
        <f>RawData!AX6</f>
        <v>0</v>
      </c>
      <c r="AT8" s="43">
        <f>RawData!CY6</f>
        <v>0</v>
      </c>
      <c r="AU8" s="44">
        <f>RawData!AW6</f>
        <v>0</v>
      </c>
      <c r="AV8" s="46">
        <f>RawData!O6</f>
        <v>26500</v>
      </c>
      <c r="AW8" s="44">
        <f>RawData!AV6</f>
        <v>0</v>
      </c>
      <c r="AX8" s="44">
        <f>RawData!CW6</f>
        <v>0</v>
      </c>
      <c r="AY8" s="44">
        <f>RawData!AU6</f>
        <v>0</v>
      </c>
      <c r="AZ8" s="42">
        <f>RawData!CX6</f>
        <v>0</v>
      </c>
      <c r="BA8" s="44">
        <f>RawData!DF6</f>
        <v>0</v>
      </c>
      <c r="BB8" s="43" t="str">
        <f>RawData!DI6</f>
        <v>W</v>
      </c>
      <c r="BC8" s="44">
        <f>RawData!AT6</f>
        <v>0</v>
      </c>
      <c r="BD8" s="45">
        <f>RawData!AP6</f>
        <v>0</v>
      </c>
      <c r="BE8" s="44">
        <f>RawData!CS6</f>
        <v>0</v>
      </c>
      <c r="BF8" s="42">
        <f>RawData!CT6</f>
        <v>0</v>
      </c>
      <c r="BG8" s="41">
        <f>RawData!AS6</f>
        <v>0</v>
      </c>
      <c r="BH8" s="41">
        <f>RawData!CU6</f>
        <v>0</v>
      </c>
      <c r="BI8" s="41">
        <f>RawData!AR6</f>
        <v>0</v>
      </c>
      <c r="BJ8" s="42">
        <f>RawData!CV6</f>
        <v>0</v>
      </c>
      <c r="BK8" s="41">
        <f>RawData!AQ6</f>
        <v>0</v>
      </c>
      <c r="BL8" s="40">
        <f>RawData!AO6</f>
        <v>0</v>
      </c>
      <c r="BM8" s="40">
        <f>RawData!AN6</f>
        <v>0</v>
      </c>
      <c r="BN8" s="40">
        <f>RawData!AM6</f>
        <v>0</v>
      </c>
      <c r="BO8" s="40">
        <f>RawData!AL6</f>
        <v>0</v>
      </c>
      <c r="BP8" s="40">
        <f>RawData!AK6</f>
        <v>0</v>
      </c>
      <c r="BQ8" s="40">
        <f>RawData!AJ6</f>
        <v>0</v>
      </c>
      <c r="BR8" s="38">
        <f>RawData!AI6</f>
        <v>0</v>
      </c>
      <c r="BS8" s="38">
        <f>RawData!AH6</f>
        <v>0</v>
      </c>
      <c r="BT8" s="40">
        <f>RawData!AG6</f>
        <v>0</v>
      </c>
      <c r="BU8" s="39">
        <f>RawData!AF6</f>
        <v>0</v>
      </c>
      <c r="BV8" s="39">
        <f>RawData!AE6</f>
        <v>0</v>
      </c>
      <c r="BW8" s="38">
        <f>RawData!AD6</f>
        <v>0</v>
      </c>
      <c r="BX8" s="38">
        <f>RawData!AC6</f>
        <v>0</v>
      </c>
      <c r="BY8" s="37">
        <f>RawData!AB6</f>
        <v>0</v>
      </c>
      <c r="BZ8" s="37">
        <f>RawData!AA6</f>
        <v>0</v>
      </c>
      <c r="CA8" s="36">
        <f>RawData!Z6</f>
        <v>0</v>
      </c>
      <c r="CB8" s="36">
        <f>RawData!Y6</f>
        <v>0</v>
      </c>
      <c r="CC8" s="36">
        <f>RawData!X6</f>
        <v>0</v>
      </c>
      <c r="CD8" s="36">
        <f>RawData!W6</f>
        <v>0</v>
      </c>
      <c r="CE8" s="40">
        <f>RawData!V6</f>
        <v>0</v>
      </c>
      <c r="CF8" s="40">
        <f>RawData!U6</f>
        <v>0</v>
      </c>
      <c r="CG8" s="40">
        <f>RawData!T6</f>
        <v>0</v>
      </c>
      <c r="CH8" s="44">
        <f>RawData!S6</f>
        <v>0</v>
      </c>
      <c r="CI8" s="44">
        <f>RawData!R6</f>
        <v>0</v>
      </c>
      <c r="CJ8" s="44">
        <f>RawData!Q6</f>
        <v>0</v>
      </c>
      <c r="CK8" s="44">
        <f>RawData!P6</f>
        <v>0</v>
      </c>
      <c r="CL8" s="44">
        <f>RawData!CJ6</f>
        <v>0</v>
      </c>
      <c r="CM8" s="43">
        <f>RawData!CI6</f>
        <v>0</v>
      </c>
      <c r="CN8" s="44">
        <f>RawData!CL6</f>
        <v>0</v>
      </c>
      <c r="CO8" s="43">
        <f>RawData!CK6</f>
        <v>0</v>
      </c>
      <c r="CP8" s="44">
        <f>RawData!CM6</f>
        <v>0</v>
      </c>
      <c r="CQ8" s="47">
        <f>RawData!CO6</f>
        <v>44783.636701388888</v>
      </c>
      <c r="CR8" s="44">
        <f>RawData!CP6</f>
        <v>38295.69921875</v>
      </c>
      <c r="CS8" s="44">
        <f>RawData!DG6</f>
        <v>38295.69921875</v>
      </c>
      <c r="CT8" s="43" t="str">
        <f>RawData!DJ6</f>
        <v>G</v>
      </c>
      <c r="CU8" s="43" t="str">
        <f>RawData!CQ6</f>
        <v>FairPrice</v>
      </c>
      <c r="CV8" s="47">
        <f>RawData!CR6</f>
        <v>44783.638194444444</v>
      </c>
      <c r="CW8" s="65">
        <f>RawData!DK6</f>
        <v>38300</v>
      </c>
      <c r="CX8" s="65">
        <f>RawData!DL6</f>
        <v>3400000</v>
      </c>
      <c r="CY8" s="65">
        <f>RawData!DM6</f>
        <v>38500</v>
      </c>
      <c r="CZ8" s="65">
        <f>RawData!DN6</f>
        <v>0</v>
      </c>
      <c r="DA8" s="65">
        <f>RawData!DO6</f>
        <v>24500</v>
      </c>
      <c r="DB8" s="65">
        <f>RawData!DP6</f>
        <v>2863350</v>
      </c>
      <c r="DC8" s="65">
        <f>RawData!DQ6</f>
        <v>38000</v>
      </c>
      <c r="DD8" s="65">
        <f>RawData!DR6</f>
        <v>0</v>
      </c>
      <c r="DE8" s="65">
        <f>RawData!DS6</f>
        <v>24500</v>
      </c>
      <c r="DF8" s="65" t="str">
        <f>RawData!DT6</f>
        <v>BANKNIFTY</v>
      </c>
      <c r="DG8" s="66">
        <f>RawData!DU6</f>
        <v>44784</v>
      </c>
      <c r="DI8" s="21">
        <f t="shared" si="0"/>
        <v>11795.69921875</v>
      </c>
    </row>
    <row r="9" spans="1:113" x14ac:dyDescent="0.2">
      <c r="A9" s="59">
        <f>RawData!CN7</f>
        <v>44783.636701388888</v>
      </c>
      <c r="B9" s="44">
        <f>RawData!CH7</f>
        <v>0</v>
      </c>
      <c r="C9" s="44">
        <f>RawData!CG7</f>
        <v>0</v>
      </c>
      <c r="D9" s="43">
        <f>RawData!CF7</f>
        <v>0</v>
      </c>
      <c r="E9" s="44">
        <f>RawData!CE7</f>
        <v>0</v>
      </c>
      <c r="F9" s="43">
        <f>RawData!CD7</f>
        <v>0</v>
      </c>
      <c r="G9" s="44">
        <f>RawData!CC7</f>
        <v>0</v>
      </c>
      <c r="H9" s="44">
        <f>RawData!CB7</f>
        <v>0</v>
      </c>
      <c r="I9" s="44">
        <f>RawData!CA7</f>
        <v>0</v>
      </c>
      <c r="J9" s="44">
        <f>RawData!BZ7</f>
        <v>0</v>
      </c>
      <c r="K9" s="40">
        <f>RawData!BY7</f>
        <v>0</v>
      </c>
      <c r="L9" s="40">
        <f>RawData!BX7</f>
        <v>0</v>
      </c>
      <c r="M9" s="40">
        <f>RawData!BW7</f>
        <v>0</v>
      </c>
      <c r="N9" s="40">
        <f>RawData!BV7</f>
        <v>0</v>
      </c>
      <c r="O9" s="36">
        <f>RawData!BU7</f>
        <v>0</v>
      </c>
      <c r="P9" s="36">
        <f>RawData!BT7</f>
        <v>0</v>
      </c>
      <c r="Q9" s="36">
        <f>RawData!BS7</f>
        <v>0</v>
      </c>
      <c r="R9" s="36">
        <f>RawData!BR7</f>
        <v>0</v>
      </c>
      <c r="S9" s="37">
        <f>RawData!BQ7</f>
        <v>0</v>
      </c>
      <c r="T9" s="37">
        <f>RawData!BP7</f>
        <v>0</v>
      </c>
      <c r="U9" s="38">
        <f>RawData!BO7</f>
        <v>0</v>
      </c>
      <c r="V9" s="38">
        <f>RawData!BN7</f>
        <v>0</v>
      </c>
      <c r="W9" s="39">
        <f>RawData!BM7</f>
        <v>0</v>
      </c>
      <c r="X9" s="39">
        <f>RawData!BL7</f>
        <v>0</v>
      </c>
      <c r="Y9" s="38">
        <f>RawData!BJ7</f>
        <v>0</v>
      </c>
      <c r="Z9" s="38">
        <f>RawData!BI7</f>
        <v>0</v>
      </c>
      <c r="AA9" s="40">
        <f>RawData!BH7</f>
        <v>0</v>
      </c>
      <c r="AB9" s="40">
        <f>RawData!BG7</f>
        <v>0</v>
      </c>
      <c r="AC9" s="40">
        <f>RawData!BF7</f>
        <v>0</v>
      </c>
      <c r="AD9" s="40">
        <f>RawData!BE7</f>
        <v>0</v>
      </c>
      <c r="AE9" s="40">
        <f>RawData!BD7</f>
        <v>0</v>
      </c>
      <c r="AF9" s="40">
        <f>RawData!BC7</f>
        <v>0</v>
      </c>
      <c r="AG9" s="41">
        <f>RawData!BB7</f>
        <v>0</v>
      </c>
      <c r="AH9" s="42">
        <f>RawData!DB7</f>
        <v>0</v>
      </c>
      <c r="AI9" s="41">
        <f>RawData!BA7</f>
        <v>0</v>
      </c>
      <c r="AJ9" s="43">
        <f>RawData!DA7</f>
        <v>0</v>
      </c>
      <c r="AK9" s="41">
        <f>RawData!AZ7</f>
        <v>0</v>
      </c>
      <c r="AL9" s="42">
        <f>RawData!DD7</f>
        <v>0</v>
      </c>
      <c r="AM9" s="44">
        <f>RawData!DC7</f>
        <v>0</v>
      </c>
      <c r="AN9" s="45">
        <f>RawData!BK7</f>
        <v>0</v>
      </c>
      <c r="AO9" s="44">
        <f>RawData!AY7</f>
        <v>0</v>
      </c>
      <c r="AP9" s="43" t="str">
        <f>RawData!DH7</f>
        <v>W</v>
      </c>
      <c r="AQ9" s="43">
        <f>RawData!DE7</f>
        <v>0</v>
      </c>
      <c r="AR9" s="42">
        <f>RawData!CZ7</f>
        <v>0</v>
      </c>
      <c r="AS9" s="44">
        <f>RawData!AX7</f>
        <v>0</v>
      </c>
      <c r="AT9" s="43">
        <f>RawData!CY7</f>
        <v>0</v>
      </c>
      <c r="AU9" s="44">
        <f>RawData!AW7</f>
        <v>0</v>
      </c>
      <c r="AV9" s="46">
        <f>RawData!O7</f>
        <v>27000</v>
      </c>
      <c r="AW9" s="44">
        <f>RawData!AV7</f>
        <v>0</v>
      </c>
      <c r="AX9" s="44">
        <f>RawData!CW7</f>
        <v>0</v>
      </c>
      <c r="AY9" s="44">
        <f>RawData!AU7</f>
        <v>0</v>
      </c>
      <c r="AZ9" s="42">
        <f>RawData!CX7</f>
        <v>0</v>
      </c>
      <c r="BA9" s="44">
        <f>RawData!DF7</f>
        <v>0</v>
      </c>
      <c r="BB9" s="43" t="str">
        <f>RawData!DI7</f>
        <v>W</v>
      </c>
      <c r="BC9" s="44">
        <f>RawData!AT7</f>
        <v>0</v>
      </c>
      <c r="BD9" s="45">
        <f>RawData!AP7</f>
        <v>0</v>
      </c>
      <c r="BE9" s="44">
        <f>RawData!CS7</f>
        <v>0</v>
      </c>
      <c r="BF9" s="42">
        <f>RawData!CT7</f>
        <v>0</v>
      </c>
      <c r="BG9" s="41">
        <f>RawData!AS7</f>
        <v>0</v>
      </c>
      <c r="BH9" s="41">
        <f>RawData!CU7</f>
        <v>0</v>
      </c>
      <c r="BI9" s="41">
        <f>RawData!AR7</f>
        <v>0</v>
      </c>
      <c r="BJ9" s="42">
        <f>RawData!CV7</f>
        <v>0</v>
      </c>
      <c r="BK9" s="41">
        <f>RawData!AQ7</f>
        <v>0</v>
      </c>
      <c r="BL9" s="40">
        <f>RawData!AO7</f>
        <v>0</v>
      </c>
      <c r="BM9" s="40">
        <f>RawData!AN7</f>
        <v>0</v>
      </c>
      <c r="BN9" s="40">
        <f>RawData!AM7</f>
        <v>0</v>
      </c>
      <c r="BO9" s="40">
        <f>RawData!AL7</f>
        <v>0</v>
      </c>
      <c r="BP9" s="40">
        <f>RawData!AK7</f>
        <v>0</v>
      </c>
      <c r="BQ9" s="40">
        <f>RawData!AJ7</f>
        <v>0</v>
      </c>
      <c r="BR9" s="38">
        <f>RawData!AI7</f>
        <v>0</v>
      </c>
      <c r="BS9" s="38">
        <f>RawData!AH7</f>
        <v>0</v>
      </c>
      <c r="BT9" s="40">
        <f>RawData!AG7</f>
        <v>0</v>
      </c>
      <c r="BU9" s="39">
        <f>RawData!AF7</f>
        <v>0</v>
      </c>
      <c r="BV9" s="39">
        <f>RawData!AE7</f>
        <v>0</v>
      </c>
      <c r="BW9" s="38">
        <f>RawData!AD7</f>
        <v>0</v>
      </c>
      <c r="BX9" s="38">
        <f>RawData!AC7</f>
        <v>0</v>
      </c>
      <c r="BY9" s="37">
        <f>RawData!AB7</f>
        <v>0</v>
      </c>
      <c r="BZ9" s="37">
        <f>RawData!AA7</f>
        <v>0</v>
      </c>
      <c r="CA9" s="36">
        <f>RawData!Z7</f>
        <v>0</v>
      </c>
      <c r="CB9" s="36">
        <f>RawData!Y7</f>
        <v>0</v>
      </c>
      <c r="CC9" s="36">
        <f>RawData!X7</f>
        <v>0</v>
      </c>
      <c r="CD9" s="36">
        <f>RawData!W7</f>
        <v>0</v>
      </c>
      <c r="CE9" s="40">
        <f>RawData!V7</f>
        <v>0</v>
      </c>
      <c r="CF9" s="40">
        <f>RawData!U7</f>
        <v>0</v>
      </c>
      <c r="CG9" s="40">
        <f>RawData!T7</f>
        <v>0</v>
      </c>
      <c r="CH9" s="44">
        <f>RawData!S7</f>
        <v>0</v>
      </c>
      <c r="CI9" s="44">
        <f>RawData!R7</f>
        <v>0</v>
      </c>
      <c r="CJ9" s="44">
        <f>RawData!Q7</f>
        <v>0</v>
      </c>
      <c r="CK9" s="44">
        <f>RawData!P7</f>
        <v>0</v>
      </c>
      <c r="CL9" s="44">
        <f>RawData!CJ7</f>
        <v>0</v>
      </c>
      <c r="CM9" s="43">
        <f>RawData!CI7</f>
        <v>0</v>
      </c>
      <c r="CN9" s="44">
        <f>RawData!CL7</f>
        <v>0</v>
      </c>
      <c r="CO9" s="43">
        <f>RawData!CK7</f>
        <v>0</v>
      </c>
      <c r="CP9" s="44">
        <f>RawData!CM7</f>
        <v>0</v>
      </c>
      <c r="CQ9" s="47">
        <f>RawData!CO7</f>
        <v>44783.636701388888</v>
      </c>
      <c r="CR9" s="44">
        <f>RawData!CP7</f>
        <v>38295.69921875</v>
      </c>
      <c r="CS9" s="44">
        <f>RawData!DG7</f>
        <v>38295.69921875</v>
      </c>
      <c r="CT9" s="43" t="str">
        <f>RawData!DJ7</f>
        <v>G</v>
      </c>
      <c r="CU9" s="43" t="str">
        <f>RawData!CQ7</f>
        <v>FairPrice</v>
      </c>
      <c r="CV9" s="47">
        <f>RawData!CR7</f>
        <v>44783.638194444444</v>
      </c>
      <c r="CW9" s="65">
        <f>RawData!DK7</f>
        <v>38300</v>
      </c>
      <c r="CX9" s="65">
        <f>RawData!DL7</f>
        <v>3400000</v>
      </c>
      <c r="CY9" s="65">
        <f>RawData!DM7</f>
        <v>38500</v>
      </c>
      <c r="CZ9" s="65">
        <f>RawData!DN7</f>
        <v>0</v>
      </c>
      <c r="DA9" s="65">
        <f>RawData!DO7</f>
        <v>24500</v>
      </c>
      <c r="DB9" s="65">
        <f>RawData!DP7</f>
        <v>2863350</v>
      </c>
      <c r="DC9" s="65">
        <f>RawData!DQ7</f>
        <v>38000</v>
      </c>
      <c r="DD9" s="65">
        <f>RawData!DR7</f>
        <v>0</v>
      </c>
      <c r="DE9" s="65">
        <f>RawData!DS7</f>
        <v>24500</v>
      </c>
      <c r="DF9" s="65" t="str">
        <f>RawData!DT7</f>
        <v>BANKNIFTY</v>
      </c>
      <c r="DG9" s="66">
        <f>RawData!DU7</f>
        <v>44784</v>
      </c>
      <c r="DI9" s="21">
        <f t="shared" si="0"/>
        <v>11295.69921875</v>
      </c>
    </row>
    <row r="10" spans="1:113" x14ac:dyDescent="0.2">
      <c r="A10" s="59">
        <f>RawData!CN8</f>
        <v>44783.636701388888</v>
      </c>
      <c r="B10" s="44">
        <f>RawData!CH8</f>
        <v>0</v>
      </c>
      <c r="C10" s="44">
        <f>RawData!CG8</f>
        <v>0</v>
      </c>
      <c r="D10" s="43">
        <f>RawData!CF8</f>
        <v>0</v>
      </c>
      <c r="E10" s="44">
        <f>RawData!CE8</f>
        <v>0</v>
      </c>
      <c r="F10" s="43">
        <f>RawData!CD8</f>
        <v>0</v>
      </c>
      <c r="G10" s="44">
        <f>RawData!CC8</f>
        <v>0</v>
      </c>
      <c r="H10" s="44">
        <f>RawData!CB8</f>
        <v>0</v>
      </c>
      <c r="I10" s="44">
        <f>RawData!CA8</f>
        <v>0</v>
      </c>
      <c r="J10" s="44">
        <f>RawData!BZ8</f>
        <v>0</v>
      </c>
      <c r="K10" s="40">
        <f>RawData!BY8</f>
        <v>0</v>
      </c>
      <c r="L10" s="40">
        <f>RawData!BX8</f>
        <v>0</v>
      </c>
      <c r="M10" s="40">
        <f>RawData!BW8</f>
        <v>0</v>
      </c>
      <c r="N10" s="40">
        <f>RawData!BV8</f>
        <v>0</v>
      </c>
      <c r="O10" s="36">
        <f>RawData!BU8</f>
        <v>0</v>
      </c>
      <c r="P10" s="36">
        <f>RawData!BT8</f>
        <v>0</v>
      </c>
      <c r="Q10" s="36">
        <f>RawData!BS8</f>
        <v>0</v>
      </c>
      <c r="R10" s="36">
        <f>RawData!BR8</f>
        <v>0</v>
      </c>
      <c r="S10" s="37">
        <f>RawData!BQ8</f>
        <v>0</v>
      </c>
      <c r="T10" s="37">
        <f>RawData!BP8</f>
        <v>0</v>
      </c>
      <c r="U10" s="38">
        <f>RawData!BO8</f>
        <v>0</v>
      </c>
      <c r="V10" s="38">
        <f>RawData!BN8</f>
        <v>0</v>
      </c>
      <c r="W10" s="39">
        <f>RawData!BM8</f>
        <v>0</v>
      </c>
      <c r="X10" s="39">
        <f>RawData!BL8</f>
        <v>0</v>
      </c>
      <c r="Y10" s="38">
        <f>RawData!BJ8</f>
        <v>0</v>
      </c>
      <c r="Z10" s="38">
        <f>RawData!BI8</f>
        <v>0</v>
      </c>
      <c r="AA10" s="40">
        <f>RawData!BH8</f>
        <v>0</v>
      </c>
      <c r="AB10" s="40">
        <f>RawData!BG8</f>
        <v>0</v>
      </c>
      <c r="AC10" s="40">
        <f>RawData!BF8</f>
        <v>0</v>
      </c>
      <c r="AD10" s="40">
        <f>RawData!BE8</f>
        <v>0</v>
      </c>
      <c r="AE10" s="40">
        <f>RawData!BD8</f>
        <v>0</v>
      </c>
      <c r="AF10" s="40">
        <f>RawData!BC8</f>
        <v>0</v>
      </c>
      <c r="AG10" s="41">
        <f>RawData!BB8</f>
        <v>0</v>
      </c>
      <c r="AH10" s="42">
        <f>RawData!DB8</f>
        <v>0</v>
      </c>
      <c r="AI10" s="41">
        <f>RawData!BA8</f>
        <v>0</v>
      </c>
      <c r="AJ10" s="43">
        <f>RawData!DA8</f>
        <v>0</v>
      </c>
      <c r="AK10" s="41">
        <f>RawData!AZ8</f>
        <v>0</v>
      </c>
      <c r="AL10" s="42">
        <f>RawData!DD8</f>
        <v>0</v>
      </c>
      <c r="AM10" s="44">
        <f>RawData!DC8</f>
        <v>0</v>
      </c>
      <c r="AN10" s="45">
        <f>RawData!BK8</f>
        <v>0</v>
      </c>
      <c r="AO10" s="44">
        <f>RawData!AY8</f>
        <v>0</v>
      </c>
      <c r="AP10" s="43" t="str">
        <f>RawData!DH8</f>
        <v>W</v>
      </c>
      <c r="AQ10" s="43">
        <f>RawData!DE8</f>
        <v>0</v>
      </c>
      <c r="AR10" s="42">
        <f>RawData!CZ8</f>
        <v>0</v>
      </c>
      <c r="AS10" s="44">
        <f>RawData!AX8</f>
        <v>0</v>
      </c>
      <c r="AT10" s="43">
        <f>RawData!CY8</f>
        <v>0</v>
      </c>
      <c r="AU10" s="44">
        <f>RawData!AW8</f>
        <v>0</v>
      </c>
      <c r="AV10" s="46">
        <f>RawData!O8</f>
        <v>27500</v>
      </c>
      <c r="AW10" s="44">
        <f>RawData!AV8</f>
        <v>0</v>
      </c>
      <c r="AX10" s="44">
        <f>RawData!CW8</f>
        <v>0</v>
      </c>
      <c r="AY10" s="44">
        <f>RawData!AU8</f>
        <v>0</v>
      </c>
      <c r="AZ10" s="42">
        <f>RawData!CX8</f>
        <v>0</v>
      </c>
      <c r="BA10" s="44">
        <f>RawData!DF8</f>
        <v>0</v>
      </c>
      <c r="BB10" s="43" t="str">
        <f>RawData!DI8</f>
        <v>W</v>
      </c>
      <c r="BC10" s="44">
        <f>RawData!AT8</f>
        <v>0</v>
      </c>
      <c r="BD10" s="45">
        <f>RawData!AP8</f>
        <v>0</v>
      </c>
      <c r="BE10" s="44">
        <f>RawData!CS8</f>
        <v>0</v>
      </c>
      <c r="BF10" s="42">
        <f>RawData!CT8</f>
        <v>0</v>
      </c>
      <c r="BG10" s="41">
        <f>RawData!AS8</f>
        <v>0</v>
      </c>
      <c r="BH10" s="41">
        <f>RawData!CU8</f>
        <v>0</v>
      </c>
      <c r="BI10" s="41">
        <f>RawData!AR8</f>
        <v>0</v>
      </c>
      <c r="BJ10" s="42">
        <f>RawData!CV8</f>
        <v>0</v>
      </c>
      <c r="BK10" s="41">
        <f>RawData!AQ8</f>
        <v>0</v>
      </c>
      <c r="BL10" s="40">
        <f>RawData!AO8</f>
        <v>0</v>
      </c>
      <c r="BM10" s="40">
        <f>RawData!AN8</f>
        <v>0</v>
      </c>
      <c r="BN10" s="40">
        <f>RawData!AM8</f>
        <v>0</v>
      </c>
      <c r="BO10" s="40">
        <f>RawData!AL8</f>
        <v>0</v>
      </c>
      <c r="BP10" s="40">
        <f>RawData!AK8</f>
        <v>0</v>
      </c>
      <c r="BQ10" s="40">
        <f>RawData!AJ8</f>
        <v>0</v>
      </c>
      <c r="BR10" s="38">
        <f>RawData!AI8</f>
        <v>0</v>
      </c>
      <c r="BS10" s="38">
        <f>RawData!AH8</f>
        <v>0</v>
      </c>
      <c r="BT10" s="40">
        <f>RawData!AG8</f>
        <v>0</v>
      </c>
      <c r="BU10" s="39">
        <f>RawData!AF8</f>
        <v>0</v>
      </c>
      <c r="BV10" s="39">
        <f>RawData!AE8</f>
        <v>0</v>
      </c>
      <c r="BW10" s="38">
        <f>RawData!AD8</f>
        <v>0</v>
      </c>
      <c r="BX10" s="38">
        <f>RawData!AC8</f>
        <v>0</v>
      </c>
      <c r="BY10" s="37">
        <f>RawData!AB8</f>
        <v>0</v>
      </c>
      <c r="BZ10" s="37">
        <f>RawData!AA8</f>
        <v>0</v>
      </c>
      <c r="CA10" s="36">
        <f>RawData!Z8</f>
        <v>0</v>
      </c>
      <c r="CB10" s="36">
        <f>RawData!Y8</f>
        <v>0</v>
      </c>
      <c r="CC10" s="36">
        <f>RawData!X8</f>
        <v>0</v>
      </c>
      <c r="CD10" s="36">
        <f>RawData!W8</f>
        <v>0</v>
      </c>
      <c r="CE10" s="40">
        <f>RawData!V8</f>
        <v>0</v>
      </c>
      <c r="CF10" s="40">
        <f>RawData!U8</f>
        <v>0</v>
      </c>
      <c r="CG10" s="40">
        <f>RawData!T8</f>
        <v>0</v>
      </c>
      <c r="CH10" s="44">
        <f>RawData!S8</f>
        <v>0</v>
      </c>
      <c r="CI10" s="44">
        <f>RawData!R8</f>
        <v>0</v>
      </c>
      <c r="CJ10" s="44">
        <f>RawData!Q8</f>
        <v>0</v>
      </c>
      <c r="CK10" s="44">
        <f>RawData!P8</f>
        <v>0</v>
      </c>
      <c r="CL10" s="44">
        <f>RawData!CJ8</f>
        <v>0</v>
      </c>
      <c r="CM10" s="43">
        <f>RawData!CI8</f>
        <v>0</v>
      </c>
      <c r="CN10" s="44">
        <f>RawData!CL8</f>
        <v>0</v>
      </c>
      <c r="CO10" s="43">
        <f>RawData!CK8</f>
        <v>0</v>
      </c>
      <c r="CP10" s="44">
        <f>RawData!CM8</f>
        <v>0</v>
      </c>
      <c r="CQ10" s="47">
        <f>RawData!CO8</f>
        <v>44783.636701388888</v>
      </c>
      <c r="CR10" s="44">
        <f>RawData!CP8</f>
        <v>38295.69921875</v>
      </c>
      <c r="CS10" s="44">
        <f>RawData!DG8</f>
        <v>38295.69921875</v>
      </c>
      <c r="CT10" s="43" t="str">
        <f>RawData!DJ8</f>
        <v>G</v>
      </c>
      <c r="CU10" s="43" t="str">
        <f>RawData!CQ8</f>
        <v>FairPrice</v>
      </c>
      <c r="CV10" s="47">
        <f>RawData!CR8</f>
        <v>44783.638194444444</v>
      </c>
      <c r="CW10" s="65">
        <f>RawData!DK8</f>
        <v>38300</v>
      </c>
      <c r="CX10" s="65">
        <f>RawData!DL8</f>
        <v>3400000</v>
      </c>
      <c r="CY10" s="65">
        <f>RawData!DM8</f>
        <v>38500</v>
      </c>
      <c r="CZ10" s="65">
        <f>RawData!DN8</f>
        <v>0</v>
      </c>
      <c r="DA10" s="65">
        <f>RawData!DO8</f>
        <v>24500</v>
      </c>
      <c r="DB10" s="65">
        <f>RawData!DP8</f>
        <v>2863350</v>
      </c>
      <c r="DC10" s="65">
        <f>RawData!DQ8</f>
        <v>38000</v>
      </c>
      <c r="DD10" s="65">
        <f>RawData!DR8</f>
        <v>0</v>
      </c>
      <c r="DE10" s="65">
        <f>RawData!DS8</f>
        <v>24500</v>
      </c>
      <c r="DF10" s="65" t="str">
        <f>RawData!DT8</f>
        <v>BANKNIFTY</v>
      </c>
      <c r="DG10" s="66">
        <f>RawData!DU8</f>
        <v>44784</v>
      </c>
      <c r="DI10" s="21">
        <f t="shared" si="0"/>
        <v>10795.69921875</v>
      </c>
    </row>
    <row r="11" spans="1:113" x14ac:dyDescent="0.2">
      <c r="A11" s="59">
        <f>RawData!CN9</f>
        <v>44783.636701388888</v>
      </c>
      <c r="B11" s="44">
        <f>RawData!CH9</f>
        <v>0</v>
      </c>
      <c r="C11" s="44">
        <f>RawData!CG9</f>
        <v>0</v>
      </c>
      <c r="D11" s="43">
        <f>RawData!CF9</f>
        <v>0</v>
      </c>
      <c r="E11" s="44">
        <f>RawData!CE9</f>
        <v>0</v>
      </c>
      <c r="F11" s="43">
        <f>RawData!CD9</f>
        <v>0</v>
      </c>
      <c r="G11" s="44">
        <f>RawData!CC9</f>
        <v>0</v>
      </c>
      <c r="H11" s="44">
        <f>RawData!CB9</f>
        <v>0</v>
      </c>
      <c r="I11" s="44">
        <f>RawData!CA9</f>
        <v>0</v>
      </c>
      <c r="J11" s="44">
        <f>RawData!BZ9</f>
        <v>0</v>
      </c>
      <c r="K11" s="40">
        <f>RawData!BY9</f>
        <v>0</v>
      </c>
      <c r="L11" s="40">
        <f>RawData!BX9</f>
        <v>0</v>
      </c>
      <c r="M11" s="40">
        <f>RawData!BW9</f>
        <v>0</v>
      </c>
      <c r="N11" s="40">
        <f>RawData!BV9</f>
        <v>0</v>
      </c>
      <c r="O11" s="36">
        <f>RawData!BU9</f>
        <v>0</v>
      </c>
      <c r="P11" s="36">
        <f>RawData!BT9</f>
        <v>0</v>
      </c>
      <c r="Q11" s="36">
        <f>RawData!BS9</f>
        <v>0</v>
      </c>
      <c r="R11" s="36">
        <f>RawData!BR9</f>
        <v>0</v>
      </c>
      <c r="S11" s="37">
        <f>RawData!BQ9</f>
        <v>0</v>
      </c>
      <c r="T11" s="37">
        <f>RawData!BP9</f>
        <v>0</v>
      </c>
      <c r="U11" s="38">
        <f>RawData!BO9</f>
        <v>0</v>
      </c>
      <c r="V11" s="38">
        <f>RawData!BN9</f>
        <v>0</v>
      </c>
      <c r="W11" s="39">
        <f>RawData!BM9</f>
        <v>0</v>
      </c>
      <c r="X11" s="39">
        <f>RawData!BL9</f>
        <v>0</v>
      </c>
      <c r="Y11" s="38">
        <f>RawData!BJ9</f>
        <v>0</v>
      </c>
      <c r="Z11" s="38">
        <f>RawData!BI9</f>
        <v>0</v>
      </c>
      <c r="AA11" s="40">
        <f>RawData!BH9</f>
        <v>0</v>
      </c>
      <c r="AB11" s="40">
        <f>RawData!BG9</f>
        <v>0</v>
      </c>
      <c r="AC11" s="40">
        <f>RawData!BF9</f>
        <v>0</v>
      </c>
      <c r="AD11" s="40">
        <f>RawData!BE9</f>
        <v>0</v>
      </c>
      <c r="AE11" s="40">
        <f>RawData!BD9</f>
        <v>0</v>
      </c>
      <c r="AF11" s="40">
        <f>RawData!BC9</f>
        <v>0</v>
      </c>
      <c r="AG11" s="41">
        <f>RawData!BB9</f>
        <v>0</v>
      </c>
      <c r="AH11" s="42">
        <f>RawData!DB9</f>
        <v>0</v>
      </c>
      <c r="AI11" s="41">
        <f>RawData!BA9</f>
        <v>0</v>
      </c>
      <c r="AJ11" s="43">
        <f>RawData!DA9</f>
        <v>0</v>
      </c>
      <c r="AK11" s="41">
        <f>RawData!AZ9</f>
        <v>0</v>
      </c>
      <c r="AL11" s="42">
        <f>RawData!DD9</f>
        <v>0</v>
      </c>
      <c r="AM11" s="44">
        <f>RawData!DC9</f>
        <v>0</v>
      </c>
      <c r="AN11" s="45">
        <f>RawData!BK9</f>
        <v>0</v>
      </c>
      <c r="AO11" s="44">
        <f>RawData!AY9</f>
        <v>0</v>
      </c>
      <c r="AP11" s="43" t="str">
        <f>RawData!DH9</f>
        <v>W</v>
      </c>
      <c r="AQ11" s="43">
        <f>RawData!DE9</f>
        <v>0</v>
      </c>
      <c r="AR11" s="42">
        <f>RawData!CZ9</f>
        <v>0</v>
      </c>
      <c r="AS11" s="44">
        <f>RawData!AX9</f>
        <v>0</v>
      </c>
      <c r="AT11" s="43">
        <f>RawData!CY9</f>
        <v>0</v>
      </c>
      <c r="AU11" s="44">
        <f>RawData!AW9</f>
        <v>0</v>
      </c>
      <c r="AV11" s="46">
        <f>RawData!O9</f>
        <v>28000</v>
      </c>
      <c r="AW11" s="44">
        <f>RawData!AV9</f>
        <v>0</v>
      </c>
      <c r="AX11" s="44">
        <f>RawData!CW9</f>
        <v>0</v>
      </c>
      <c r="AY11" s="44">
        <f>RawData!AU9</f>
        <v>0</v>
      </c>
      <c r="AZ11" s="42">
        <f>RawData!CX9</f>
        <v>0</v>
      </c>
      <c r="BA11" s="44">
        <f>RawData!DF9</f>
        <v>0</v>
      </c>
      <c r="BB11" s="43" t="str">
        <f>RawData!DI9</f>
        <v>W</v>
      </c>
      <c r="BC11" s="44">
        <f>RawData!AT9</f>
        <v>0</v>
      </c>
      <c r="BD11" s="45">
        <f>RawData!AP9</f>
        <v>0</v>
      </c>
      <c r="BE11" s="44">
        <f>RawData!CS9</f>
        <v>0</v>
      </c>
      <c r="BF11" s="42">
        <f>RawData!CT9</f>
        <v>0</v>
      </c>
      <c r="BG11" s="41">
        <f>RawData!AS9</f>
        <v>0</v>
      </c>
      <c r="BH11" s="41">
        <f>RawData!CU9</f>
        <v>0</v>
      </c>
      <c r="BI11" s="41">
        <f>RawData!AR9</f>
        <v>0</v>
      </c>
      <c r="BJ11" s="42">
        <f>RawData!CV9</f>
        <v>0</v>
      </c>
      <c r="BK11" s="41">
        <f>RawData!AQ9</f>
        <v>0</v>
      </c>
      <c r="BL11" s="40">
        <f>RawData!AO9</f>
        <v>0</v>
      </c>
      <c r="BM11" s="40">
        <f>RawData!AN9</f>
        <v>0</v>
      </c>
      <c r="BN11" s="40">
        <f>RawData!AM9</f>
        <v>0</v>
      </c>
      <c r="BO11" s="40">
        <f>RawData!AL9</f>
        <v>0</v>
      </c>
      <c r="BP11" s="40">
        <f>RawData!AK9</f>
        <v>0</v>
      </c>
      <c r="BQ11" s="40">
        <f>RawData!AJ9</f>
        <v>0</v>
      </c>
      <c r="BR11" s="38">
        <f>RawData!AI9</f>
        <v>0</v>
      </c>
      <c r="BS11" s="38">
        <f>RawData!AH9</f>
        <v>0</v>
      </c>
      <c r="BT11" s="40">
        <f>RawData!AG9</f>
        <v>0</v>
      </c>
      <c r="BU11" s="39">
        <f>RawData!AF9</f>
        <v>0</v>
      </c>
      <c r="BV11" s="39">
        <f>RawData!AE9</f>
        <v>0</v>
      </c>
      <c r="BW11" s="38">
        <f>RawData!AD9</f>
        <v>0</v>
      </c>
      <c r="BX11" s="38">
        <f>RawData!AC9</f>
        <v>0</v>
      </c>
      <c r="BY11" s="37">
        <f>RawData!AB9</f>
        <v>0</v>
      </c>
      <c r="BZ11" s="37">
        <f>RawData!AA9</f>
        <v>0</v>
      </c>
      <c r="CA11" s="36">
        <f>RawData!Z9</f>
        <v>0</v>
      </c>
      <c r="CB11" s="36">
        <f>RawData!Y9</f>
        <v>0</v>
      </c>
      <c r="CC11" s="36">
        <f>RawData!X9</f>
        <v>0</v>
      </c>
      <c r="CD11" s="36">
        <f>RawData!W9</f>
        <v>0</v>
      </c>
      <c r="CE11" s="40">
        <f>RawData!V9</f>
        <v>0</v>
      </c>
      <c r="CF11" s="40">
        <f>RawData!U9</f>
        <v>0</v>
      </c>
      <c r="CG11" s="40">
        <f>RawData!T9</f>
        <v>0</v>
      </c>
      <c r="CH11" s="44">
        <f>RawData!S9</f>
        <v>0</v>
      </c>
      <c r="CI11" s="44">
        <f>RawData!R9</f>
        <v>0</v>
      </c>
      <c r="CJ11" s="44">
        <f>RawData!Q9</f>
        <v>0</v>
      </c>
      <c r="CK11" s="44">
        <f>RawData!P9</f>
        <v>0</v>
      </c>
      <c r="CL11" s="44">
        <f>RawData!CJ9</f>
        <v>0</v>
      </c>
      <c r="CM11" s="43">
        <f>RawData!CI9</f>
        <v>0</v>
      </c>
      <c r="CN11" s="44">
        <f>RawData!CL9</f>
        <v>0</v>
      </c>
      <c r="CO11" s="43">
        <f>RawData!CK9</f>
        <v>0</v>
      </c>
      <c r="CP11" s="44">
        <f>RawData!CM9</f>
        <v>0</v>
      </c>
      <c r="CQ11" s="47">
        <f>RawData!CO9</f>
        <v>44783.636701388888</v>
      </c>
      <c r="CR11" s="44">
        <f>RawData!CP9</f>
        <v>38295.69921875</v>
      </c>
      <c r="CS11" s="44">
        <f>RawData!DG9</f>
        <v>38295.69921875</v>
      </c>
      <c r="CT11" s="43" t="str">
        <f>RawData!DJ9</f>
        <v>G</v>
      </c>
      <c r="CU11" s="43" t="str">
        <f>RawData!CQ9</f>
        <v>FairPrice</v>
      </c>
      <c r="CV11" s="47">
        <f>RawData!CR9</f>
        <v>44783.638194444444</v>
      </c>
      <c r="CW11" s="65">
        <f>RawData!DK9</f>
        <v>38300</v>
      </c>
      <c r="CX11" s="65">
        <f>RawData!DL9</f>
        <v>3400000</v>
      </c>
      <c r="CY11" s="65">
        <f>RawData!DM9</f>
        <v>38500</v>
      </c>
      <c r="CZ11" s="65">
        <f>RawData!DN9</f>
        <v>0</v>
      </c>
      <c r="DA11" s="65">
        <f>RawData!DO9</f>
        <v>24500</v>
      </c>
      <c r="DB11" s="65">
        <f>RawData!DP9</f>
        <v>2863350</v>
      </c>
      <c r="DC11" s="65">
        <f>RawData!DQ9</f>
        <v>38000</v>
      </c>
      <c r="DD11" s="65">
        <f>RawData!DR9</f>
        <v>0</v>
      </c>
      <c r="DE11" s="65">
        <f>RawData!DS9</f>
        <v>24500</v>
      </c>
      <c r="DF11" s="65" t="str">
        <f>RawData!DT9</f>
        <v>BANKNIFTY</v>
      </c>
      <c r="DG11" s="66">
        <f>RawData!DU9</f>
        <v>44784</v>
      </c>
      <c r="DI11" s="21">
        <f t="shared" si="0"/>
        <v>10295.69921875</v>
      </c>
    </row>
    <row r="12" spans="1:113" x14ac:dyDescent="0.2">
      <c r="A12" s="59">
        <f>RawData!CN10</f>
        <v>44783.636701388888</v>
      </c>
      <c r="B12" s="44">
        <f>RawData!CH10</f>
        <v>0</v>
      </c>
      <c r="C12" s="44">
        <f>RawData!CG10</f>
        <v>0</v>
      </c>
      <c r="D12" s="43">
        <f>RawData!CF10</f>
        <v>0</v>
      </c>
      <c r="E12" s="44">
        <f>RawData!CE10</f>
        <v>0</v>
      </c>
      <c r="F12" s="43">
        <f>RawData!CD10</f>
        <v>0</v>
      </c>
      <c r="G12" s="44">
        <f>RawData!CC10</f>
        <v>0</v>
      </c>
      <c r="H12" s="44">
        <f>RawData!CB10</f>
        <v>0</v>
      </c>
      <c r="I12" s="44">
        <f>RawData!CA10</f>
        <v>0</v>
      </c>
      <c r="J12" s="44">
        <f>RawData!BZ10</f>
        <v>0</v>
      </c>
      <c r="K12" s="40">
        <f>RawData!BY10</f>
        <v>0</v>
      </c>
      <c r="L12" s="40">
        <f>RawData!BX10</f>
        <v>0</v>
      </c>
      <c r="M12" s="40">
        <f>RawData!BW10</f>
        <v>0</v>
      </c>
      <c r="N12" s="40">
        <f>RawData!BV10</f>
        <v>0</v>
      </c>
      <c r="O12" s="36">
        <f>RawData!BU10</f>
        <v>0</v>
      </c>
      <c r="P12" s="36">
        <f>RawData!BT10</f>
        <v>0</v>
      </c>
      <c r="Q12" s="36">
        <f>RawData!BS10</f>
        <v>0</v>
      </c>
      <c r="R12" s="36">
        <f>RawData!BR10</f>
        <v>0</v>
      </c>
      <c r="S12" s="37">
        <f>RawData!BQ10</f>
        <v>0</v>
      </c>
      <c r="T12" s="37">
        <f>RawData!BP10</f>
        <v>0</v>
      </c>
      <c r="U12" s="38">
        <f>RawData!BO10</f>
        <v>0</v>
      </c>
      <c r="V12" s="38">
        <f>RawData!BN10</f>
        <v>0</v>
      </c>
      <c r="W12" s="39">
        <f>RawData!BM10</f>
        <v>0</v>
      </c>
      <c r="X12" s="39">
        <f>RawData!BL10</f>
        <v>0</v>
      </c>
      <c r="Y12" s="38">
        <f>RawData!BJ10</f>
        <v>0</v>
      </c>
      <c r="Z12" s="38">
        <f>RawData!BI10</f>
        <v>0</v>
      </c>
      <c r="AA12" s="40">
        <f>RawData!BH10</f>
        <v>0</v>
      </c>
      <c r="AB12" s="40">
        <f>RawData!BG10</f>
        <v>0</v>
      </c>
      <c r="AC12" s="40">
        <f>RawData!BF10</f>
        <v>0</v>
      </c>
      <c r="AD12" s="40">
        <f>RawData!BE10</f>
        <v>0</v>
      </c>
      <c r="AE12" s="40">
        <f>RawData!BD10</f>
        <v>0</v>
      </c>
      <c r="AF12" s="40">
        <f>RawData!BC10</f>
        <v>0</v>
      </c>
      <c r="AG12" s="41">
        <f>RawData!BB10</f>
        <v>0</v>
      </c>
      <c r="AH12" s="42">
        <f>RawData!DB10</f>
        <v>0</v>
      </c>
      <c r="AI12" s="41">
        <f>RawData!BA10</f>
        <v>0</v>
      </c>
      <c r="AJ12" s="43">
        <f>RawData!DA10</f>
        <v>0</v>
      </c>
      <c r="AK12" s="41">
        <f>RawData!AZ10</f>
        <v>0</v>
      </c>
      <c r="AL12" s="42">
        <f>RawData!DD10</f>
        <v>0</v>
      </c>
      <c r="AM12" s="44">
        <f>RawData!DC10</f>
        <v>0</v>
      </c>
      <c r="AN12" s="45">
        <f>RawData!BK10</f>
        <v>0</v>
      </c>
      <c r="AO12" s="44">
        <f>RawData!AY10</f>
        <v>0</v>
      </c>
      <c r="AP12" s="43" t="str">
        <f>RawData!DH10</f>
        <v>W</v>
      </c>
      <c r="AQ12" s="43">
        <f>RawData!DE10</f>
        <v>0</v>
      </c>
      <c r="AR12" s="42">
        <f>RawData!CZ10</f>
        <v>0</v>
      </c>
      <c r="AS12" s="44">
        <f>RawData!AX10</f>
        <v>0</v>
      </c>
      <c r="AT12" s="43">
        <f>RawData!CY10</f>
        <v>0</v>
      </c>
      <c r="AU12" s="44">
        <f>RawData!AW10</f>
        <v>0</v>
      </c>
      <c r="AV12" s="46">
        <f>RawData!O10</f>
        <v>28500</v>
      </c>
      <c r="AW12" s="44">
        <f>RawData!AV10</f>
        <v>0</v>
      </c>
      <c r="AX12" s="44">
        <f>RawData!CW10</f>
        <v>0</v>
      </c>
      <c r="AY12" s="44">
        <f>RawData!AU10</f>
        <v>0</v>
      </c>
      <c r="AZ12" s="42">
        <f>RawData!CX10</f>
        <v>0</v>
      </c>
      <c r="BA12" s="44">
        <f>RawData!DF10</f>
        <v>0</v>
      </c>
      <c r="BB12" s="43" t="str">
        <f>RawData!DI10</f>
        <v>W</v>
      </c>
      <c r="BC12" s="44">
        <f>RawData!AT10</f>
        <v>0</v>
      </c>
      <c r="BD12" s="45">
        <f>RawData!AP10</f>
        <v>0</v>
      </c>
      <c r="BE12" s="44">
        <f>RawData!CS10</f>
        <v>0</v>
      </c>
      <c r="BF12" s="42">
        <f>RawData!CT10</f>
        <v>0</v>
      </c>
      <c r="BG12" s="41">
        <f>RawData!AS10</f>
        <v>0</v>
      </c>
      <c r="BH12" s="41">
        <f>RawData!CU10</f>
        <v>0</v>
      </c>
      <c r="BI12" s="41">
        <f>RawData!AR10</f>
        <v>0</v>
      </c>
      <c r="BJ12" s="42">
        <f>RawData!CV10</f>
        <v>0</v>
      </c>
      <c r="BK12" s="41">
        <f>RawData!AQ10</f>
        <v>0</v>
      </c>
      <c r="BL12" s="40">
        <f>RawData!AO10</f>
        <v>0</v>
      </c>
      <c r="BM12" s="40">
        <f>RawData!AN10</f>
        <v>0</v>
      </c>
      <c r="BN12" s="40">
        <f>RawData!AM10</f>
        <v>0</v>
      </c>
      <c r="BO12" s="40">
        <f>RawData!AL10</f>
        <v>0</v>
      </c>
      <c r="BP12" s="40">
        <f>RawData!AK10</f>
        <v>0</v>
      </c>
      <c r="BQ12" s="40">
        <f>RawData!AJ10</f>
        <v>0</v>
      </c>
      <c r="BR12" s="38">
        <f>RawData!AI10</f>
        <v>0</v>
      </c>
      <c r="BS12" s="38">
        <f>RawData!AH10</f>
        <v>0</v>
      </c>
      <c r="BT12" s="40">
        <f>RawData!AG10</f>
        <v>0</v>
      </c>
      <c r="BU12" s="39">
        <f>RawData!AF10</f>
        <v>0</v>
      </c>
      <c r="BV12" s="39">
        <f>RawData!AE10</f>
        <v>0</v>
      </c>
      <c r="BW12" s="38">
        <f>RawData!AD10</f>
        <v>0</v>
      </c>
      <c r="BX12" s="38">
        <f>RawData!AC10</f>
        <v>0</v>
      </c>
      <c r="BY12" s="37">
        <f>RawData!AB10</f>
        <v>0</v>
      </c>
      <c r="BZ12" s="37">
        <f>RawData!AA10</f>
        <v>0</v>
      </c>
      <c r="CA12" s="36">
        <f>RawData!Z10</f>
        <v>0</v>
      </c>
      <c r="CB12" s="36">
        <f>RawData!Y10</f>
        <v>0</v>
      </c>
      <c r="CC12" s="36">
        <f>RawData!X10</f>
        <v>0</v>
      </c>
      <c r="CD12" s="36">
        <f>RawData!W10</f>
        <v>0</v>
      </c>
      <c r="CE12" s="40">
        <f>RawData!V10</f>
        <v>0</v>
      </c>
      <c r="CF12" s="40">
        <f>RawData!U10</f>
        <v>0</v>
      </c>
      <c r="CG12" s="40">
        <f>RawData!T10</f>
        <v>0</v>
      </c>
      <c r="CH12" s="44">
        <f>RawData!S10</f>
        <v>0</v>
      </c>
      <c r="CI12" s="44">
        <f>RawData!R10</f>
        <v>0</v>
      </c>
      <c r="CJ12" s="44">
        <f>RawData!Q10</f>
        <v>0</v>
      </c>
      <c r="CK12" s="44">
        <f>RawData!P10</f>
        <v>0</v>
      </c>
      <c r="CL12" s="44">
        <f>RawData!CJ10</f>
        <v>0</v>
      </c>
      <c r="CM12" s="43">
        <f>RawData!CI10</f>
        <v>0</v>
      </c>
      <c r="CN12" s="44">
        <f>RawData!CL10</f>
        <v>0</v>
      </c>
      <c r="CO12" s="43">
        <f>RawData!CK10</f>
        <v>0</v>
      </c>
      <c r="CP12" s="44">
        <f>RawData!CM10</f>
        <v>0</v>
      </c>
      <c r="CQ12" s="47">
        <f>RawData!CO10</f>
        <v>44783.636701388888</v>
      </c>
      <c r="CR12" s="44">
        <f>RawData!CP10</f>
        <v>38295.69921875</v>
      </c>
      <c r="CS12" s="44">
        <f>RawData!DG10</f>
        <v>38295.69921875</v>
      </c>
      <c r="CT12" s="43" t="str">
        <f>RawData!DJ10</f>
        <v>G</v>
      </c>
      <c r="CU12" s="43" t="str">
        <f>RawData!CQ10</f>
        <v>FairPrice</v>
      </c>
      <c r="CV12" s="47">
        <f>RawData!CR10</f>
        <v>44783.638194444444</v>
      </c>
      <c r="CW12" s="65">
        <f>RawData!DK10</f>
        <v>38300</v>
      </c>
      <c r="CX12" s="65">
        <f>RawData!DL10</f>
        <v>3400000</v>
      </c>
      <c r="CY12" s="65">
        <f>RawData!DM10</f>
        <v>38500</v>
      </c>
      <c r="CZ12" s="65">
        <f>RawData!DN10</f>
        <v>0</v>
      </c>
      <c r="DA12" s="65">
        <f>RawData!DO10</f>
        <v>24500</v>
      </c>
      <c r="DB12" s="65">
        <f>RawData!DP10</f>
        <v>2863350</v>
      </c>
      <c r="DC12" s="65">
        <f>RawData!DQ10</f>
        <v>38000</v>
      </c>
      <c r="DD12" s="65">
        <f>RawData!DR10</f>
        <v>0</v>
      </c>
      <c r="DE12" s="65">
        <f>RawData!DS10</f>
        <v>24500</v>
      </c>
      <c r="DF12" s="65" t="str">
        <f>RawData!DT10</f>
        <v>BANKNIFTY</v>
      </c>
      <c r="DG12" s="66">
        <f>RawData!DU10</f>
        <v>44784</v>
      </c>
      <c r="DI12" s="21">
        <f t="shared" si="0"/>
        <v>9795.69921875</v>
      </c>
    </row>
    <row r="13" spans="1:113" x14ac:dyDescent="0.2">
      <c r="A13" s="59">
        <f>RawData!CN11</f>
        <v>44783.636701388888</v>
      </c>
      <c r="B13" s="44">
        <f>RawData!CH11</f>
        <v>0</v>
      </c>
      <c r="C13" s="44">
        <f>RawData!CG11</f>
        <v>0</v>
      </c>
      <c r="D13" s="43">
        <f>RawData!CF11</f>
        <v>0</v>
      </c>
      <c r="E13" s="44">
        <f>RawData!CE11</f>
        <v>0</v>
      </c>
      <c r="F13" s="43">
        <f>RawData!CD11</f>
        <v>0</v>
      </c>
      <c r="G13" s="44">
        <f>RawData!CC11</f>
        <v>0</v>
      </c>
      <c r="H13" s="44">
        <f>RawData!CB11</f>
        <v>0</v>
      </c>
      <c r="I13" s="44">
        <f>RawData!CA11</f>
        <v>0</v>
      </c>
      <c r="J13" s="44">
        <f>RawData!BZ11</f>
        <v>0</v>
      </c>
      <c r="K13" s="40">
        <f>RawData!BY11</f>
        <v>0</v>
      </c>
      <c r="L13" s="40">
        <f>RawData!BX11</f>
        <v>0</v>
      </c>
      <c r="M13" s="40">
        <f>RawData!BW11</f>
        <v>0</v>
      </c>
      <c r="N13" s="40">
        <f>RawData!BV11</f>
        <v>0</v>
      </c>
      <c r="O13" s="36">
        <f>RawData!BU11</f>
        <v>0</v>
      </c>
      <c r="P13" s="36">
        <f>RawData!BT11</f>
        <v>0</v>
      </c>
      <c r="Q13" s="36">
        <f>RawData!BS11</f>
        <v>0</v>
      </c>
      <c r="R13" s="36">
        <f>RawData!BR11</f>
        <v>0</v>
      </c>
      <c r="S13" s="37">
        <f>RawData!BQ11</f>
        <v>0</v>
      </c>
      <c r="T13" s="37">
        <f>RawData!BP11</f>
        <v>0</v>
      </c>
      <c r="U13" s="38">
        <f>RawData!BO11</f>
        <v>0</v>
      </c>
      <c r="V13" s="38">
        <f>RawData!BN11</f>
        <v>0</v>
      </c>
      <c r="W13" s="39">
        <f>RawData!BM11</f>
        <v>0</v>
      </c>
      <c r="X13" s="39">
        <f>RawData!BL11</f>
        <v>0</v>
      </c>
      <c r="Y13" s="38">
        <f>RawData!BJ11</f>
        <v>0</v>
      </c>
      <c r="Z13" s="38">
        <f>RawData!BI11</f>
        <v>0</v>
      </c>
      <c r="AA13" s="40">
        <f>RawData!BH11</f>
        <v>0</v>
      </c>
      <c r="AB13" s="40">
        <f>RawData!BG11</f>
        <v>0</v>
      </c>
      <c r="AC13" s="40">
        <f>RawData!BF11</f>
        <v>0</v>
      </c>
      <c r="AD13" s="40">
        <f>RawData!BE11</f>
        <v>0</v>
      </c>
      <c r="AE13" s="40">
        <f>RawData!BD11</f>
        <v>0</v>
      </c>
      <c r="AF13" s="40">
        <f>RawData!BC11</f>
        <v>0</v>
      </c>
      <c r="AG13" s="41">
        <f>RawData!BB11</f>
        <v>0</v>
      </c>
      <c r="AH13" s="42">
        <f>RawData!DB11</f>
        <v>0</v>
      </c>
      <c r="AI13" s="41">
        <f>RawData!BA11</f>
        <v>0</v>
      </c>
      <c r="AJ13" s="43">
        <f>RawData!DA11</f>
        <v>0</v>
      </c>
      <c r="AK13" s="41">
        <f>RawData!AZ11</f>
        <v>0</v>
      </c>
      <c r="AL13" s="42">
        <f>RawData!DD11</f>
        <v>0</v>
      </c>
      <c r="AM13" s="44">
        <f>RawData!DC11</f>
        <v>0</v>
      </c>
      <c r="AN13" s="45">
        <f>RawData!BK11</f>
        <v>0</v>
      </c>
      <c r="AO13" s="44">
        <f>RawData!AY11</f>
        <v>0</v>
      </c>
      <c r="AP13" s="43" t="str">
        <f>RawData!DH11</f>
        <v>W</v>
      </c>
      <c r="AQ13" s="43">
        <f>RawData!DE11</f>
        <v>0</v>
      </c>
      <c r="AR13" s="42">
        <f>RawData!CZ11</f>
        <v>0</v>
      </c>
      <c r="AS13" s="44">
        <f>RawData!AX11</f>
        <v>0</v>
      </c>
      <c r="AT13" s="43">
        <f>RawData!CY11</f>
        <v>0</v>
      </c>
      <c r="AU13" s="44">
        <f>RawData!AW11</f>
        <v>0</v>
      </c>
      <c r="AV13" s="46">
        <f>RawData!O11</f>
        <v>29000</v>
      </c>
      <c r="AW13" s="44">
        <f>RawData!AV11</f>
        <v>0</v>
      </c>
      <c r="AX13" s="44">
        <f>RawData!CW11</f>
        <v>0</v>
      </c>
      <c r="AY13" s="44">
        <f>RawData!AU11</f>
        <v>0</v>
      </c>
      <c r="AZ13" s="42">
        <f>RawData!CX11</f>
        <v>0</v>
      </c>
      <c r="BA13" s="44">
        <f>RawData!DF11</f>
        <v>0</v>
      </c>
      <c r="BB13" s="43" t="str">
        <f>RawData!DI11</f>
        <v>W</v>
      </c>
      <c r="BC13" s="44">
        <f>RawData!AT11</f>
        <v>0</v>
      </c>
      <c r="BD13" s="45">
        <f>RawData!AP11</f>
        <v>0</v>
      </c>
      <c r="BE13" s="44">
        <f>RawData!CS11</f>
        <v>0</v>
      </c>
      <c r="BF13" s="42">
        <f>RawData!CT11</f>
        <v>0</v>
      </c>
      <c r="BG13" s="41">
        <f>RawData!AS11</f>
        <v>0</v>
      </c>
      <c r="BH13" s="41">
        <f>RawData!CU11</f>
        <v>0</v>
      </c>
      <c r="BI13" s="41">
        <f>RawData!AR11</f>
        <v>0</v>
      </c>
      <c r="BJ13" s="42">
        <f>RawData!CV11</f>
        <v>0</v>
      </c>
      <c r="BK13" s="41">
        <f>RawData!AQ11</f>
        <v>0</v>
      </c>
      <c r="BL13" s="40">
        <f>RawData!AO11</f>
        <v>0</v>
      </c>
      <c r="BM13" s="40">
        <f>RawData!AN11</f>
        <v>0</v>
      </c>
      <c r="BN13" s="40">
        <f>RawData!AM11</f>
        <v>0</v>
      </c>
      <c r="BO13" s="40">
        <f>RawData!AL11</f>
        <v>0</v>
      </c>
      <c r="BP13" s="40">
        <f>RawData!AK11</f>
        <v>0</v>
      </c>
      <c r="BQ13" s="40">
        <f>RawData!AJ11</f>
        <v>0</v>
      </c>
      <c r="BR13" s="38">
        <f>RawData!AI11</f>
        <v>0</v>
      </c>
      <c r="BS13" s="38">
        <f>RawData!AH11</f>
        <v>0</v>
      </c>
      <c r="BT13" s="40">
        <f>RawData!AG11</f>
        <v>0</v>
      </c>
      <c r="BU13" s="39">
        <f>RawData!AF11</f>
        <v>0</v>
      </c>
      <c r="BV13" s="39">
        <f>RawData!AE11</f>
        <v>0</v>
      </c>
      <c r="BW13" s="38">
        <f>RawData!AD11</f>
        <v>0</v>
      </c>
      <c r="BX13" s="38">
        <f>RawData!AC11</f>
        <v>0</v>
      </c>
      <c r="BY13" s="37">
        <f>RawData!AB11</f>
        <v>0</v>
      </c>
      <c r="BZ13" s="37">
        <f>RawData!AA11</f>
        <v>0</v>
      </c>
      <c r="CA13" s="36">
        <f>RawData!Z11</f>
        <v>0</v>
      </c>
      <c r="CB13" s="36">
        <f>RawData!Y11</f>
        <v>0</v>
      </c>
      <c r="CC13" s="36">
        <f>RawData!X11</f>
        <v>0</v>
      </c>
      <c r="CD13" s="36">
        <f>RawData!W11</f>
        <v>0</v>
      </c>
      <c r="CE13" s="40">
        <f>RawData!V11</f>
        <v>0</v>
      </c>
      <c r="CF13" s="40">
        <f>RawData!U11</f>
        <v>0</v>
      </c>
      <c r="CG13" s="40">
        <f>RawData!T11</f>
        <v>0</v>
      </c>
      <c r="CH13" s="44">
        <f>RawData!S11</f>
        <v>0</v>
      </c>
      <c r="CI13" s="44">
        <f>RawData!R11</f>
        <v>0</v>
      </c>
      <c r="CJ13" s="44">
        <f>RawData!Q11</f>
        <v>0</v>
      </c>
      <c r="CK13" s="44">
        <f>RawData!P11</f>
        <v>0</v>
      </c>
      <c r="CL13" s="44">
        <f>RawData!CJ11</f>
        <v>0</v>
      </c>
      <c r="CM13" s="43">
        <f>RawData!CI11</f>
        <v>0</v>
      </c>
      <c r="CN13" s="44">
        <f>RawData!CL11</f>
        <v>0</v>
      </c>
      <c r="CO13" s="43">
        <f>RawData!CK11</f>
        <v>0</v>
      </c>
      <c r="CP13" s="44">
        <f>RawData!CM11</f>
        <v>0</v>
      </c>
      <c r="CQ13" s="47">
        <f>RawData!CO11</f>
        <v>44783.636701388888</v>
      </c>
      <c r="CR13" s="44">
        <f>RawData!CP11</f>
        <v>38295.69921875</v>
      </c>
      <c r="CS13" s="44">
        <f>RawData!DG11</f>
        <v>38295.69921875</v>
      </c>
      <c r="CT13" s="43" t="str">
        <f>RawData!DJ11</f>
        <v>G</v>
      </c>
      <c r="CU13" s="43" t="str">
        <f>RawData!CQ11</f>
        <v>FairPrice</v>
      </c>
      <c r="CV13" s="47">
        <f>RawData!CR11</f>
        <v>44783.638194444444</v>
      </c>
      <c r="CW13" s="65">
        <f>RawData!DK11</f>
        <v>38300</v>
      </c>
      <c r="CX13" s="65">
        <f>RawData!DL11</f>
        <v>3400000</v>
      </c>
      <c r="CY13" s="65">
        <f>RawData!DM11</f>
        <v>38500</v>
      </c>
      <c r="CZ13" s="65">
        <f>RawData!DN11</f>
        <v>0</v>
      </c>
      <c r="DA13" s="65">
        <f>RawData!DO11</f>
        <v>24500</v>
      </c>
      <c r="DB13" s="65">
        <f>RawData!DP11</f>
        <v>2863350</v>
      </c>
      <c r="DC13" s="65">
        <f>RawData!DQ11</f>
        <v>38000</v>
      </c>
      <c r="DD13" s="65">
        <f>RawData!DR11</f>
        <v>0</v>
      </c>
      <c r="DE13" s="65">
        <f>RawData!DS11</f>
        <v>24500</v>
      </c>
      <c r="DF13" s="65" t="str">
        <f>RawData!DT11</f>
        <v>BANKNIFTY</v>
      </c>
      <c r="DG13" s="66">
        <f>RawData!DU11</f>
        <v>44784</v>
      </c>
      <c r="DI13" s="21">
        <f t="shared" si="0"/>
        <v>9295.69921875</v>
      </c>
    </row>
    <row r="14" spans="1:113" x14ac:dyDescent="0.2">
      <c r="A14" s="59">
        <f>RawData!CN12</f>
        <v>44783.636701388888</v>
      </c>
      <c r="B14" s="44">
        <f>RawData!CH12</f>
        <v>0</v>
      </c>
      <c r="C14" s="44">
        <f>RawData!CG12</f>
        <v>0</v>
      </c>
      <c r="D14" s="43">
        <f>RawData!CF12</f>
        <v>0</v>
      </c>
      <c r="E14" s="44">
        <f>RawData!CE12</f>
        <v>0</v>
      </c>
      <c r="F14" s="43">
        <f>RawData!CD12</f>
        <v>0</v>
      </c>
      <c r="G14" s="44">
        <f>RawData!CC12</f>
        <v>0</v>
      </c>
      <c r="H14" s="44">
        <f>RawData!CB12</f>
        <v>0</v>
      </c>
      <c r="I14" s="44">
        <f>RawData!CA12</f>
        <v>0</v>
      </c>
      <c r="J14" s="44">
        <f>RawData!BZ12</f>
        <v>0</v>
      </c>
      <c r="K14" s="40">
        <f>RawData!BY12</f>
        <v>0</v>
      </c>
      <c r="L14" s="40">
        <f>RawData!BX12</f>
        <v>0</v>
      </c>
      <c r="M14" s="40">
        <f>RawData!BW12</f>
        <v>0</v>
      </c>
      <c r="N14" s="40">
        <f>RawData!BV12</f>
        <v>0</v>
      </c>
      <c r="O14" s="36">
        <f>RawData!BU12</f>
        <v>0</v>
      </c>
      <c r="P14" s="36">
        <f>RawData!BT12</f>
        <v>0</v>
      </c>
      <c r="Q14" s="36">
        <f>RawData!BS12</f>
        <v>0</v>
      </c>
      <c r="R14" s="36">
        <f>RawData!BR12</f>
        <v>0</v>
      </c>
      <c r="S14" s="37">
        <f>RawData!BQ12</f>
        <v>0</v>
      </c>
      <c r="T14" s="37">
        <f>RawData!BP12</f>
        <v>0</v>
      </c>
      <c r="U14" s="38">
        <f>RawData!BO12</f>
        <v>0</v>
      </c>
      <c r="V14" s="38">
        <f>RawData!BN12</f>
        <v>0</v>
      </c>
      <c r="W14" s="39">
        <f>RawData!BM12</f>
        <v>0</v>
      </c>
      <c r="X14" s="39">
        <f>RawData!BL12</f>
        <v>0</v>
      </c>
      <c r="Y14" s="38">
        <f>RawData!BJ12</f>
        <v>0</v>
      </c>
      <c r="Z14" s="38">
        <f>RawData!BI12</f>
        <v>0</v>
      </c>
      <c r="AA14" s="40">
        <f>RawData!BH12</f>
        <v>0</v>
      </c>
      <c r="AB14" s="40">
        <f>RawData!BG12</f>
        <v>0</v>
      </c>
      <c r="AC14" s="40">
        <f>RawData!BF12</f>
        <v>0</v>
      </c>
      <c r="AD14" s="40">
        <f>RawData!BE12</f>
        <v>0</v>
      </c>
      <c r="AE14" s="40">
        <f>RawData!BD12</f>
        <v>0</v>
      </c>
      <c r="AF14" s="40">
        <f>RawData!BC12</f>
        <v>0</v>
      </c>
      <c r="AG14" s="41">
        <f>RawData!BB12</f>
        <v>0</v>
      </c>
      <c r="AH14" s="42">
        <f>RawData!DB12</f>
        <v>0</v>
      </c>
      <c r="AI14" s="41">
        <f>RawData!BA12</f>
        <v>0</v>
      </c>
      <c r="AJ14" s="43">
        <f>RawData!DA12</f>
        <v>0</v>
      </c>
      <c r="AK14" s="41">
        <f>RawData!AZ12</f>
        <v>0</v>
      </c>
      <c r="AL14" s="42">
        <f>RawData!DD12</f>
        <v>0</v>
      </c>
      <c r="AM14" s="44">
        <f>RawData!DC12</f>
        <v>0</v>
      </c>
      <c r="AN14" s="45">
        <f>RawData!BK12</f>
        <v>0</v>
      </c>
      <c r="AO14" s="44">
        <f>RawData!AY12</f>
        <v>0</v>
      </c>
      <c r="AP14" s="43" t="str">
        <f>RawData!DH12</f>
        <v>R</v>
      </c>
      <c r="AQ14" s="43">
        <f>RawData!DE12</f>
        <v>5604.3</v>
      </c>
      <c r="AR14" s="42">
        <f>RawData!CZ12</f>
        <v>-1</v>
      </c>
      <c r="AS14" s="44">
        <f>RawData!AX12</f>
        <v>-5604.3</v>
      </c>
      <c r="AT14" s="43">
        <f>RawData!CY12</f>
        <v>5604.3</v>
      </c>
      <c r="AU14" s="44">
        <f>RawData!AW12</f>
        <v>0</v>
      </c>
      <c r="AV14" s="46">
        <f>RawData!O12</f>
        <v>29500</v>
      </c>
      <c r="AW14" s="44">
        <f>RawData!AV12</f>
        <v>1.3999999761581421</v>
      </c>
      <c r="AX14" s="44">
        <f>RawData!CW12</f>
        <v>1.3999999761581421</v>
      </c>
      <c r="AY14" s="44">
        <f>RawData!AU12</f>
        <v>0</v>
      </c>
      <c r="AZ14" s="42">
        <f>RawData!CX12</f>
        <v>0</v>
      </c>
      <c r="BA14" s="44">
        <f>RawData!DF12</f>
        <v>1.3999999761581421</v>
      </c>
      <c r="BB14" s="43" t="str">
        <f>RawData!DI12</f>
        <v>W</v>
      </c>
      <c r="BC14" s="44">
        <f>RawData!AT12</f>
        <v>167.1772837638855</v>
      </c>
      <c r="BD14" s="45">
        <f>RawData!AP12</f>
        <v>167.1772837638855</v>
      </c>
      <c r="BE14" s="44">
        <f>RawData!CS12</f>
        <v>4.3749809265136719E-3</v>
      </c>
      <c r="BF14" s="42">
        <f>RawData!CT12</f>
        <v>2.6170394224543409E-5</v>
      </c>
      <c r="BG14" s="41">
        <f>RawData!AS12</f>
        <v>939450</v>
      </c>
      <c r="BH14" s="41">
        <f>RawData!CU12</f>
        <v>637550</v>
      </c>
      <c r="BI14" s="41">
        <f>RawData!AR12</f>
        <v>301900</v>
      </c>
      <c r="BJ14" s="42">
        <f>RawData!CV12</f>
        <v>0.47353148772645282</v>
      </c>
      <c r="BK14" s="41">
        <f>RawData!AQ12</f>
        <v>1856525</v>
      </c>
      <c r="BL14" s="40">
        <f>RawData!AO12</f>
        <v>-1.4158445410430431E-3</v>
      </c>
      <c r="BM14" s="40">
        <f>RawData!AN12</f>
        <v>7.7998265624046326E-9</v>
      </c>
      <c r="BN14" s="40">
        <f>RawData!AM12</f>
        <v>-1.3999999761581421</v>
      </c>
      <c r="BO14" s="40">
        <f>RawData!AL12</f>
        <v>0</v>
      </c>
      <c r="BP14" s="40">
        <f>RawData!AK12</f>
        <v>9.4086058437824249E-2</v>
      </c>
      <c r="BQ14" s="40">
        <f>RawData!AJ12</f>
        <v>-2.384185791015625E-6</v>
      </c>
      <c r="BR14" s="38">
        <f>RawData!AI12</f>
        <v>1.3624174926007981E-6</v>
      </c>
      <c r="BS14" s="38">
        <f>RawData!AH12</f>
        <v>-1.4779288903810084E-11</v>
      </c>
      <c r="BT14" s="40">
        <f>RawData!AG12</f>
        <v>-59.572052001953125</v>
      </c>
      <c r="BU14" s="39">
        <f>RawData!AF12</f>
        <v>1.232147216796875E-3</v>
      </c>
      <c r="BV14" s="39">
        <f>RawData!AE12</f>
        <v>48.434982299804688</v>
      </c>
      <c r="BW14" s="38">
        <f>RawData!AD12</f>
        <v>2.35748291015625E-3</v>
      </c>
      <c r="BX14" s="38">
        <f>RawData!AC12</f>
        <v>-1.23265486706714E-9</v>
      </c>
      <c r="BY14" s="37">
        <f>RawData!AB12</f>
        <v>1.9650947535865271E-14</v>
      </c>
      <c r="BZ14" s="37">
        <f>RawData!AA12</f>
        <v>6.2327499108505435E-6</v>
      </c>
      <c r="CA14" s="36">
        <f>RawData!Z12</f>
        <v>-2.2328094928525388E-10</v>
      </c>
      <c r="CB14" s="36">
        <f>RawData!Y12</f>
        <v>5.0675294005486649E-6</v>
      </c>
      <c r="CC14" s="36">
        <f>RawData!X12</f>
        <v>1.7007550923153758E-10</v>
      </c>
      <c r="CD14" s="36">
        <f>RawData!W12</f>
        <v>361468.1875</v>
      </c>
      <c r="CE14" s="40">
        <f>RawData!V12</f>
        <v>-14.625</v>
      </c>
      <c r="CF14" s="40">
        <f>RawData!U12</f>
        <v>327875.0625</v>
      </c>
      <c r="CG14" s="40">
        <f>RawData!T12</f>
        <v>9.4375</v>
      </c>
      <c r="CH14" s="44">
        <f>RawData!S12</f>
        <v>1.1000000238418579</v>
      </c>
      <c r="CI14" s="44">
        <f>RawData!R12</f>
        <v>2.2000000476837158</v>
      </c>
      <c r="CJ14" s="44">
        <f>RawData!Q12</f>
        <v>1.1000000238418579</v>
      </c>
      <c r="CK14" s="44">
        <f>RawData!P12</f>
        <v>1.3999999761581421</v>
      </c>
      <c r="CL14" s="44">
        <f>RawData!CJ12</f>
        <v>7225</v>
      </c>
      <c r="CM14" s="43">
        <f>RawData!CI12</f>
        <v>1.4500000476837158</v>
      </c>
      <c r="CN14" s="44">
        <f>RawData!CL12</f>
        <v>400</v>
      </c>
      <c r="CO14" s="43">
        <f>RawData!CK12</f>
        <v>1.3999999761581421</v>
      </c>
      <c r="CP14" s="44">
        <f>RawData!CM12</f>
        <v>1.809999942779541</v>
      </c>
      <c r="CQ14" s="47">
        <f>RawData!CO12</f>
        <v>44783.638194444444</v>
      </c>
      <c r="CR14" s="44">
        <f>RawData!CP12</f>
        <v>38295.69921875</v>
      </c>
      <c r="CS14" s="44">
        <f>RawData!DG12</f>
        <v>38295.69921875</v>
      </c>
      <c r="CT14" s="43" t="str">
        <f>RawData!DJ12</f>
        <v>G</v>
      </c>
      <c r="CU14" s="43" t="str">
        <f>RawData!CQ12</f>
        <v>FairPrice</v>
      </c>
      <c r="CV14" s="47">
        <f>RawData!CR12</f>
        <v>44783.638194444444</v>
      </c>
      <c r="CW14" s="65">
        <f>RawData!DK12</f>
        <v>38300</v>
      </c>
      <c r="CX14" s="65">
        <f>RawData!DL12</f>
        <v>3400000</v>
      </c>
      <c r="CY14" s="65">
        <f>RawData!DM12</f>
        <v>38500</v>
      </c>
      <c r="CZ14" s="65">
        <f>RawData!DN12</f>
        <v>0</v>
      </c>
      <c r="DA14" s="65">
        <f>RawData!DO12</f>
        <v>24500</v>
      </c>
      <c r="DB14" s="65">
        <f>RawData!DP12</f>
        <v>2863350</v>
      </c>
      <c r="DC14" s="65">
        <f>RawData!DQ12</f>
        <v>38000</v>
      </c>
      <c r="DD14" s="65">
        <f>RawData!DR12</f>
        <v>0</v>
      </c>
      <c r="DE14" s="65">
        <f>RawData!DS12</f>
        <v>24500</v>
      </c>
      <c r="DF14" s="65" t="str">
        <f>RawData!DT12</f>
        <v>BANKNIFTY</v>
      </c>
      <c r="DG14" s="66">
        <f>RawData!DU12</f>
        <v>44784</v>
      </c>
      <c r="DI14" s="21">
        <f t="shared" si="0"/>
        <v>8795.69921875</v>
      </c>
    </row>
    <row r="15" spans="1:113" x14ac:dyDescent="0.2">
      <c r="A15" s="59">
        <f>RawData!CN13</f>
        <v>44783.638194444444</v>
      </c>
      <c r="B15" s="44">
        <f>RawData!CH13</f>
        <v>0</v>
      </c>
      <c r="C15" s="44">
        <f>RawData!CG13</f>
        <v>50</v>
      </c>
      <c r="D15" s="43">
        <f>RawData!CF13</f>
        <v>8127.25</v>
      </c>
      <c r="E15" s="44">
        <f>RawData!CE13</f>
        <v>50</v>
      </c>
      <c r="F15" s="43">
        <f>RawData!CD13</f>
        <v>8466.150390625</v>
      </c>
      <c r="G15" s="44">
        <f>RawData!CC13</f>
        <v>7746.60009765625</v>
      </c>
      <c r="H15" s="44">
        <f>RawData!CB13</f>
        <v>0</v>
      </c>
      <c r="I15" s="44">
        <f>RawData!CA13</f>
        <v>0</v>
      </c>
      <c r="J15" s="44">
        <f>RawData!BZ13</f>
        <v>0</v>
      </c>
      <c r="K15" s="40">
        <f>RawData!BY13</f>
        <v>0</v>
      </c>
      <c r="L15" s="40">
        <f>RawData!BX13</f>
        <v>0</v>
      </c>
      <c r="M15" s="40">
        <f>RawData!BW13</f>
        <v>0</v>
      </c>
      <c r="N15" s="40">
        <f>RawData!BV13</f>
        <v>0</v>
      </c>
      <c r="O15" s="36">
        <f>RawData!BU13</f>
        <v>0</v>
      </c>
      <c r="P15" s="36">
        <f>RawData!BT13</f>
        <v>0</v>
      </c>
      <c r="Q15" s="36">
        <f>RawData!BS13</f>
        <v>0</v>
      </c>
      <c r="R15" s="36">
        <f>RawData!BR13</f>
        <v>0</v>
      </c>
      <c r="S15" s="37">
        <f>RawData!BQ13</f>
        <v>0</v>
      </c>
      <c r="T15" s="37">
        <f>RawData!BP13</f>
        <v>0</v>
      </c>
      <c r="U15" s="38">
        <f>RawData!BO13</f>
        <v>0</v>
      </c>
      <c r="V15" s="38">
        <f>RawData!BN13</f>
        <v>0</v>
      </c>
      <c r="W15" s="39">
        <f>RawData!BM13</f>
        <v>0</v>
      </c>
      <c r="X15" s="39">
        <f>RawData!BL13</f>
        <v>0</v>
      </c>
      <c r="Y15" s="38">
        <f>RawData!BJ13</f>
        <v>0</v>
      </c>
      <c r="Z15" s="38">
        <f>RawData!BI13</f>
        <v>0</v>
      </c>
      <c r="AA15" s="40">
        <f>RawData!BH13</f>
        <v>0</v>
      </c>
      <c r="AB15" s="40">
        <f>RawData!BG13</f>
        <v>0</v>
      </c>
      <c r="AC15" s="40">
        <f>RawData!BF13</f>
        <v>0</v>
      </c>
      <c r="AD15" s="40">
        <f>RawData!BE13</f>
        <v>0</v>
      </c>
      <c r="AE15" s="40">
        <f>RawData!BD13</f>
        <v>0</v>
      </c>
      <c r="AF15" s="40">
        <f>RawData!BC13</f>
        <v>0</v>
      </c>
      <c r="AG15" s="41">
        <f>RawData!BB13</f>
        <v>0</v>
      </c>
      <c r="AH15" s="42">
        <f>RawData!DB13</f>
        <v>0</v>
      </c>
      <c r="AI15" s="41">
        <f>RawData!BA13</f>
        <v>0</v>
      </c>
      <c r="AJ15" s="43">
        <f>RawData!DA13</f>
        <v>0</v>
      </c>
      <c r="AK15" s="41">
        <f>RawData!AZ13</f>
        <v>0</v>
      </c>
      <c r="AL15" s="42">
        <f>RawData!DD13</f>
        <v>0</v>
      </c>
      <c r="AM15" s="44">
        <f>RawData!DC13</f>
        <v>0</v>
      </c>
      <c r="AN15" s="45">
        <f>RawData!BK13</f>
        <v>0</v>
      </c>
      <c r="AO15" s="44">
        <f>RawData!AY13</f>
        <v>0</v>
      </c>
      <c r="AP15" s="43" t="str">
        <f>RawData!DH13</f>
        <v>W</v>
      </c>
      <c r="AQ15" s="43">
        <f>RawData!DE13</f>
        <v>7746.60009765625</v>
      </c>
      <c r="AR15" s="42">
        <f>RawData!CZ13</f>
        <v>0</v>
      </c>
      <c r="AS15" s="44">
        <f>RawData!AX13</f>
        <v>0</v>
      </c>
      <c r="AT15" s="43">
        <f>RawData!CY13</f>
        <v>7746.60009765625</v>
      </c>
      <c r="AU15" s="44">
        <f>RawData!AW13</f>
        <v>7746.60009765625</v>
      </c>
      <c r="AV15" s="46">
        <f>RawData!O13</f>
        <v>30000</v>
      </c>
      <c r="AW15" s="44">
        <f>RawData!AV13</f>
        <v>1.5</v>
      </c>
      <c r="AX15" s="44">
        <f>RawData!CW13</f>
        <v>1.5</v>
      </c>
      <c r="AY15" s="44">
        <f>RawData!AU13</f>
        <v>0</v>
      </c>
      <c r="AZ15" s="42">
        <f>RawData!CX13</f>
        <v>0</v>
      </c>
      <c r="BA15" s="44">
        <f>RawData!DF13</f>
        <v>1.5</v>
      </c>
      <c r="BB15" s="43" t="str">
        <f>RawData!DI13</f>
        <v>W</v>
      </c>
      <c r="BC15" s="44">
        <f>RawData!AT13</f>
        <v>158.20481777191162</v>
      </c>
      <c r="BD15" s="45">
        <f>RawData!AP13</f>
        <v>158.20481777191162</v>
      </c>
      <c r="BE15" s="44">
        <f>RawData!CS13</f>
        <v>4.1842460632324219E-3</v>
      </c>
      <c r="BF15" s="42">
        <f>RawData!CT13</f>
        <v>2.6448984242207591E-5</v>
      </c>
      <c r="BG15" s="41">
        <f>RawData!AS13</f>
        <v>99425</v>
      </c>
      <c r="BH15" s="41">
        <f>RawData!CU13</f>
        <v>109725</v>
      </c>
      <c r="BI15" s="41">
        <f>RawData!AR13</f>
        <v>-10300</v>
      </c>
      <c r="BJ15" s="42">
        <f>RawData!CV13</f>
        <v>-9.3871041239462286E-2</v>
      </c>
      <c r="BK15" s="41">
        <f>RawData!AQ13</f>
        <v>373125</v>
      </c>
      <c r="BL15" s="40">
        <f>RawData!AO13</f>
        <v>-1.5904681058600545E-3</v>
      </c>
      <c r="BM15" s="40">
        <f>RawData!AN13</f>
        <v>9.1968104243278503E-9</v>
      </c>
      <c r="BN15" s="40">
        <f>RawData!AM13</f>
        <v>-1.5</v>
      </c>
      <c r="BO15" s="40">
        <f>RawData!AL13</f>
        <v>0</v>
      </c>
      <c r="BP15" s="40">
        <f>RawData!AK13</f>
        <v>0.10461720824241638</v>
      </c>
      <c r="BQ15" s="40">
        <f>RawData!AJ13</f>
        <v>-2.6747584342956543E-6</v>
      </c>
      <c r="BR15" s="38">
        <f>RawData!AI13</f>
        <v>1.6008314105420141E-6</v>
      </c>
      <c r="BS15" s="38">
        <f>RawData!AH13</f>
        <v>-1.8189894035458565E-11</v>
      </c>
      <c r="BT15" s="40">
        <f>RawData!AG13</f>
        <v>-56.008106231689453</v>
      </c>
      <c r="BU15" s="39">
        <f>RawData!AF13</f>
        <v>1.15966796875E-3</v>
      </c>
      <c r="BV15" s="39">
        <f>RawData!AE13</f>
        <v>43.093318939208984</v>
      </c>
      <c r="BW15" s="38">
        <f>RawData!AD13</f>
        <v>2.109527587890625E-3</v>
      </c>
      <c r="BX15" s="38">
        <f>RawData!AC13</f>
        <v>-1.5103333028676502E-9</v>
      </c>
      <c r="BY15" s="37">
        <f>RawData!AB13</f>
        <v>2.5313084961453569E-14</v>
      </c>
      <c r="BZ15" s="37">
        <f>RawData!AA13</f>
        <v>7.5414895945868921E-6</v>
      </c>
      <c r="CA15" s="36">
        <f>RawData!Z13</f>
        <v>-2.7557689463719726E-10</v>
      </c>
      <c r="CB15" s="36">
        <f>RawData!Y13</f>
        <v>5.8025138969242107E-6</v>
      </c>
      <c r="CC15" s="36">
        <f>RawData!X13</f>
        <v>1.9235812942497432E-10</v>
      </c>
      <c r="CD15" s="36">
        <f>RawData!W13</f>
        <v>335773.25</v>
      </c>
      <c r="CE15" s="40">
        <f>RawData!V13</f>
        <v>-13.5625</v>
      </c>
      <c r="CF15" s="40">
        <f>RawData!U13</f>
        <v>288910.875</v>
      </c>
      <c r="CG15" s="40">
        <f>RawData!T13</f>
        <v>8.40625</v>
      </c>
      <c r="CH15" s="44">
        <f>RawData!S13</f>
        <v>1.9500000476837158</v>
      </c>
      <c r="CI15" s="44">
        <f>RawData!R13</f>
        <v>2.2999999523162842</v>
      </c>
      <c r="CJ15" s="44">
        <f>RawData!Q13</f>
        <v>1.3999999761581421</v>
      </c>
      <c r="CK15" s="44">
        <f>RawData!P13</f>
        <v>1.5</v>
      </c>
      <c r="CL15" s="44">
        <f>RawData!CJ13</f>
        <v>750</v>
      </c>
      <c r="CM15" s="43">
        <f>RawData!CI13</f>
        <v>1.5</v>
      </c>
      <c r="CN15" s="44">
        <f>RawData!CL13</f>
        <v>550</v>
      </c>
      <c r="CO15" s="43">
        <f>RawData!CK13</f>
        <v>1.4500000476837158</v>
      </c>
      <c r="CP15" s="44">
        <f>RawData!CM13</f>
        <v>1.8400000333786011</v>
      </c>
      <c r="CQ15" s="47">
        <f>RawData!CO13</f>
        <v>44783.638194444444</v>
      </c>
      <c r="CR15" s="44">
        <f>RawData!CP13</f>
        <v>38295.69921875</v>
      </c>
      <c r="CS15" s="44">
        <f>RawData!DG13</f>
        <v>38295.69921875</v>
      </c>
      <c r="CT15" s="43" t="str">
        <f>RawData!DJ13</f>
        <v>G</v>
      </c>
      <c r="CU15" s="43" t="str">
        <f>RawData!CQ13</f>
        <v>FairPrice</v>
      </c>
      <c r="CV15" s="47">
        <f>RawData!CR13</f>
        <v>44783.638194444444</v>
      </c>
      <c r="CW15" s="65">
        <f>RawData!DK13</f>
        <v>38300</v>
      </c>
      <c r="CX15" s="65">
        <f>RawData!DL13</f>
        <v>3400000</v>
      </c>
      <c r="CY15" s="65">
        <f>RawData!DM13</f>
        <v>38500</v>
      </c>
      <c r="CZ15" s="65">
        <f>RawData!DN13</f>
        <v>0</v>
      </c>
      <c r="DA15" s="65">
        <f>RawData!DO13</f>
        <v>24500</v>
      </c>
      <c r="DB15" s="65">
        <f>RawData!DP13</f>
        <v>2863350</v>
      </c>
      <c r="DC15" s="65">
        <f>RawData!DQ13</f>
        <v>38000</v>
      </c>
      <c r="DD15" s="65">
        <f>RawData!DR13</f>
        <v>0</v>
      </c>
      <c r="DE15" s="65">
        <f>RawData!DS13</f>
        <v>24500</v>
      </c>
      <c r="DF15" s="65" t="str">
        <f>RawData!DT13</f>
        <v>BANKNIFTY</v>
      </c>
      <c r="DG15" s="66">
        <f>RawData!DU13</f>
        <v>44784</v>
      </c>
      <c r="DI15" s="21">
        <f t="shared" si="0"/>
        <v>8295.69921875</v>
      </c>
    </row>
    <row r="16" spans="1:113" x14ac:dyDescent="0.2">
      <c r="A16" s="59">
        <f>RawData!CN14</f>
        <v>44783.636701388888</v>
      </c>
      <c r="B16" s="44">
        <f>RawData!CH14</f>
        <v>0</v>
      </c>
      <c r="C16" s="44">
        <f>RawData!CG14</f>
        <v>0</v>
      </c>
      <c r="D16" s="43">
        <f>RawData!CF14</f>
        <v>0</v>
      </c>
      <c r="E16" s="44">
        <f>RawData!CE14</f>
        <v>0</v>
      </c>
      <c r="F16" s="43">
        <f>RawData!CD14</f>
        <v>0</v>
      </c>
      <c r="G16" s="44">
        <f>RawData!CC14</f>
        <v>0</v>
      </c>
      <c r="H16" s="44">
        <f>RawData!CB14</f>
        <v>0</v>
      </c>
      <c r="I16" s="44">
        <f>RawData!CA14</f>
        <v>0</v>
      </c>
      <c r="J16" s="44">
        <f>RawData!BZ14</f>
        <v>0</v>
      </c>
      <c r="K16" s="40">
        <f>RawData!BY14</f>
        <v>0</v>
      </c>
      <c r="L16" s="40">
        <f>RawData!BX14</f>
        <v>0</v>
      </c>
      <c r="M16" s="40">
        <f>RawData!BW14</f>
        <v>0</v>
      </c>
      <c r="N16" s="40">
        <f>RawData!BV14</f>
        <v>0</v>
      </c>
      <c r="O16" s="36">
        <f>RawData!BU14</f>
        <v>0</v>
      </c>
      <c r="P16" s="36">
        <f>RawData!BT14</f>
        <v>0</v>
      </c>
      <c r="Q16" s="36">
        <f>RawData!BS14</f>
        <v>0</v>
      </c>
      <c r="R16" s="36">
        <f>RawData!BR14</f>
        <v>0</v>
      </c>
      <c r="S16" s="37">
        <f>RawData!BQ14</f>
        <v>0</v>
      </c>
      <c r="T16" s="37">
        <f>RawData!BP14</f>
        <v>0</v>
      </c>
      <c r="U16" s="38">
        <f>RawData!BO14</f>
        <v>0</v>
      </c>
      <c r="V16" s="38">
        <f>RawData!BN14</f>
        <v>0</v>
      </c>
      <c r="W16" s="39">
        <f>RawData!BM14</f>
        <v>0</v>
      </c>
      <c r="X16" s="39">
        <f>RawData!BL14</f>
        <v>0</v>
      </c>
      <c r="Y16" s="38">
        <f>RawData!BJ14</f>
        <v>0</v>
      </c>
      <c r="Z16" s="38">
        <f>RawData!BI14</f>
        <v>0</v>
      </c>
      <c r="AA16" s="40">
        <f>RawData!BH14</f>
        <v>0</v>
      </c>
      <c r="AB16" s="40">
        <f>RawData!BG14</f>
        <v>0</v>
      </c>
      <c r="AC16" s="40">
        <f>RawData!BF14</f>
        <v>0</v>
      </c>
      <c r="AD16" s="40">
        <f>RawData!BE14</f>
        <v>0</v>
      </c>
      <c r="AE16" s="40">
        <f>RawData!BD14</f>
        <v>0</v>
      </c>
      <c r="AF16" s="40">
        <f>RawData!BC14</f>
        <v>0</v>
      </c>
      <c r="AG16" s="41">
        <f>RawData!BB14</f>
        <v>0</v>
      </c>
      <c r="AH16" s="42">
        <f>RawData!DB14</f>
        <v>0</v>
      </c>
      <c r="AI16" s="41">
        <f>RawData!BA14</f>
        <v>0</v>
      </c>
      <c r="AJ16" s="43">
        <f>RawData!DA14</f>
        <v>0</v>
      </c>
      <c r="AK16" s="41">
        <f>RawData!AZ14</f>
        <v>0</v>
      </c>
      <c r="AL16" s="42">
        <f>RawData!DD14</f>
        <v>0</v>
      </c>
      <c r="AM16" s="44">
        <f>RawData!DC14</f>
        <v>0</v>
      </c>
      <c r="AN16" s="45">
        <f>RawData!BK14</f>
        <v>0</v>
      </c>
      <c r="AO16" s="44">
        <f>RawData!AY14</f>
        <v>0</v>
      </c>
      <c r="AP16" s="43" t="str">
        <f>RawData!DH14</f>
        <v>R</v>
      </c>
      <c r="AQ16" s="43">
        <f>RawData!DE14</f>
        <v>4661.7</v>
      </c>
      <c r="AR16" s="42">
        <f>RawData!CZ14</f>
        <v>-1</v>
      </c>
      <c r="AS16" s="44">
        <f>RawData!AX14</f>
        <v>-4661.7</v>
      </c>
      <c r="AT16" s="43">
        <f>RawData!CY14</f>
        <v>4661.7</v>
      </c>
      <c r="AU16" s="44">
        <f>RawData!AW14</f>
        <v>0</v>
      </c>
      <c r="AV16" s="46">
        <f>RawData!O14</f>
        <v>30500</v>
      </c>
      <c r="AW16" s="44">
        <f>RawData!AV14</f>
        <v>1.6499999761581421</v>
      </c>
      <c r="AX16" s="44">
        <f>RawData!CW14</f>
        <v>1.6499999761581421</v>
      </c>
      <c r="AY16" s="44">
        <f>RawData!AU14</f>
        <v>0</v>
      </c>
      <c r="AZ16" s="42">
        <f>RawData!CX14</f>
        <v>0</v>
      </c>
      <c r="BA16" s="44">
        <f>RawData!DF14</f>
        <v>1.6499999761581421</v>
      </c>
      <c r="BB16" s="43" t="str">
        <f>RawData!DI14</f>
        <v>W</v>
      </c>
      <c r="BC16" s="44">
        <f>RawData!AT14</f>
        <v>149.66230392456055</v>
      </c>
      <c r="BD16" s="45">
        <f>RawData!AP14</f>
        <v>149.66230392456055</v>
      </c>
      <c r="BE16" s="44">
        <f>RawData!CS14</f>
        <v>-6.008148193359375E-3</v>
      </c>
      <c r="BF16" s="42">
        <f>RawData!CT14</f>
        <v>-4.0143087806314064E-5</v>
      </c>
      <c r="BG16" s="41">
        <f>RawData!AS14</f>
        <v>28575</v>
      </c>
      <c r="BH16" s="41">
        <f>RawData!CU14</f>
        <v>29575</v>
      </c>
      <c r="BI16" s="41">
        <f>RawData!AR14</f>
        <v>-1000</v>
      </c>
      <c r="BJ16" s="42">
        <f>RawData!CV14</f>
        <v>-3.38123415046492E-2</v>
      </c>
      <c r="BK16" s="41">
        <f>RawData!AQ14</f>
        <v>135050</v>
      </c>
      <c r="BL16" s="40">
        <f>RawData!AO14</f>
        <v>-1.830347697250545E-3</v>
      </c>
      <c r="BM16" s="40">
        <f>RawData!AN14</f>
        <v>-1.3329554349184036E-7</v>
      </c>
      <c r="BN16" s="40">
        <f>RawData!AM14</f>
        <v>-1.6499999761581421</v>
      </c>
      <c r="BO16" s="40">
        <f>RawData!AL14</f>
        <v>0</v>
      </c>
      <c r="BP16" s="40">
        <f>RawData!AK14</f>
        <v>0.11892770975828171</v>
      </c>
      <c r="BQ16" s="40">
        <f>RawData!AJ14</f>
        <v>3.4421682357788086E-6</v>
      </c>
      <c r="BR16" s="38">
        <f>RawData!AI14</f>
        <v>1.9224419247620972E-6</v>
      </c>
      <c r="BS16" s="38">
        <f>RawData!AH14</f>
        <v>2.7603164198808372E-10</v>
      </c>
      <c r="BT16" s="40">
        <f>RawData!AG14</f>
        <v>-51.385677337646484</v>
      </c>
      <c r="BU16" s="39">
        <f>RawData!AF14</f>
        <v>1.667022705078125E-3</v>
      </c>
      <c r="BV16" s="39">
        <f>RawData!AE14</f>
        <v>37.385753631591797</v>
      </c>
      <c r="BW16" s="38">
        <f>RawData!AD14</f>
        <v>-1.0986328125E-3</v>
      </c>
      <c r="BX16" s="38">
        <f>RawData!AC14</f>
        <v>-1.8862222894711067E-9</v>
      </c>
      <c r="BY16" s="37">
        <f>RawData!AB14</f>
        <v>-3.9923619965520629E-13</v>
      </c>
      <c r="BZ16" s="37">
        <f>RawData!AA14</f>
        <v>9.2665550255333073E-6</v>
      </c>
      <c r="CA16" s="36">
        <f>RawData!Z14</f>
        <v>1.5525074559263885E-9</v>
      </c>
      <c r="CB16" s="36">
        <f>RawData!Y14</f>
        <v>6.7419009610603098E-6</v>
      </c>
      <c r="CC16" s="36">
        <f>RawData!X14</f>
        <v>1.1505107977427542E-9</v>
      </c>
      <c r="CD16" s="36">
        <f>RawData!W14</f>
        <v>303597.3125</v>
      </c>
      <c r="CE16" s="40">
        <f>RawData!V14</f>
        <v>-23.53125</v>
      </c>
      <c r="CF16" s="40">
        <f>RawData!U14</f>
        <v>247773.78125</v>
      </c>
      <c r="CG16" s="40">
        <f>RawData!T14</f>
        <v>-18.0625</v>
      </c>
      <c r="CH16" s="44">
        <f>RawData!S14</f>
        <v>2.2000000476837158</v>
      </c>
      <c r="CI16" s="44">
        <f>RawData!R14</f>
        <v>2.3499999046325684</v>
      </c>
      <c r="CJ16" s="44">
        <f>RawData!Q14</f>
        <v>1.3999999761581421</v>
      </c>
      <c r="CK16" s="44">
        <f>RawData!P14</f>
        <v>1.6499999761581421</v>
      </c>
      <c r="CL16" s="44">
        <f>RawData!CJ14</f>
        <v>250</v>
      </c>
      <c r="CM16" s="43">
        <f>RawData!CI14</f>
        <v>1.6499999761581421</v>
      </c>
      <c r="CN16" s="44">
        <f>RawData!CL14</f>
        <v>1650</v>
      </c>
      <c r="CO16" s="43">
        <f>RawData!CK14</f>
        <v>1.6000000238418579</v>
      </c>
      <c r="CP16" s="44">
        <f>RawData!CM14</f>
        <v>1.9800000190734863</v>
      </c>
      <c r="CQ16" s="47">
        <f>RawData!CO14</f>
        <v>44783.638194444444</v>
      </c>
      <c r="CR16" s="44">
        <f>RawData!CP14</f>
        <v>38295.69921875</v>
      </c>
      <c r="CS16" s="44">
        <f>RawData!DG14</f>
        <v>38295.69921875</v>
      </c>
      <c r="CT16" s="43" t="str">
        <f>RawData!DJ14</f>
        <v>G</v>
      </c>
      <c r="CU16" s="43" t="str">
        <f>RawData!CQ14</f>
        <v>FairPrice</v>
      </c>
      <c r="CV16" s="47">
        <f>RawData!CR14</f>
        <v>44783.638194444444</v>
      </c>
      <c r="CW16" s="65">
        <f>RawData!DK14</f>
        <v>38300</v>
      </c>
      <c r="CX16" s="65">
        <f>RawData!DL14</f>
        <v>3400000</v>
      </c>
      <c r="CY16" s="65">
        <f>RawData!DM14</f>
        <v>38500</v>
      </c>
      <c r="CZ16" s="65">
        <f>RawData!DN14</f>
        <v>0</v>
      </c>
      <c r="DA16" s="65">
        <f>RawData!DO14</f>
        <v>24500</v>
      </c>
      <c r="DB16" s="65">
        <f>RawData!DP14</f>
        <v>2863350</v>
      </c>
      <c r="DC16" s="65">
        <f>RawData!DQ14</f>
        <v>38000</v>
      </c>
      <c r="DD16" s="65">
        <f>RawData!DR14</f>
        <v>0</v>
      </c>
      <c r="DE16" s="65">
        <f>RawData!DS14</f>
        <v>24500</v>
      </c>
      <c r="DF16" s="65" t="str">
        <f>RawData!DT14</f>
        <v>BANKNIFTY</v>
      </c>
      <c r="DG16" s="66">
        <f>RawData!DU14</f>
        <v>44784</v>
      </c>
      <c r="DI16" s="21">
        <f t="shared" si="0"/>
        <v>7795.69921875</v>
      </c>
    </row>
    <row r="17" spans="1:113" x14ac:dyDescent="0.2">
      <c r="A17" s="59">
        <f>RawData!CN15</f>
        <v>44783.636701388888</v>
      </c>
      <c r="B17" s="44">
        <f>RawData!CH15</f>
        <v>0</v>
      </c>
      <c r="C17" s="44">
        <f>RawData!CG15</f>
        <v>0</v>
      </c>
      <c r="D17" s="43">
        <f>RawData!CF15</f>
        <v>0</v>
      </c>
      <c r="E17" s="44">
        <f>RawData!CE15</f>
        <v>0</v>
      </c>
      <c r="F17" s="43">
        <f>RawData!CD15</f>
        <v>0</v>
      </c>
      <c r="G17" s="44">
        <f>RawData!CC15</f>
        <v>0</v>
      </c>
      <c r="H17" s="44">
        <f>RawData!CB15</f>
        <v>0</v>
      </c>
      <c r="I17" s="44">
        <f>RawData!CA15</f>
        <v>0</v>
      </c>
      <c r="J17" s="44">
        <f>RawData!BZ15</f>
        <v>0</v>
      </c>
      <c r="K17" s="40">
        <f>RawData!BY15</f>
        <v>0</v>
      </c>
      <c r="L17" s="40">
        <f>RawData!BX15</f>
        <v>0</v>
      </c>
      <c r="M17" s="40">
        <f>RawData!BW15</f>
        <v>0</v>
      </c>
      <c r="N17" s="40">
        <f>RawData!BV15</f>
        <v>0</v>
      </c>
      <c r="O17" s="36">
        <f>RawData!BU15</f>
        <v>0</v>
      </c>
      <c r="P17" s="36">
        <f>RawData!BT15</f>
        <v>0</v>
      </c>
      <c r="Q17" s="36">
        <f>RawData!BS15</f>
        <v>0</v>
      </c>
      <c r="R17" s="36">
        <f>RawData!BR15</f>
        <v>0</v>
      </c>
      <c r="S17" s="37">
        <f>RawData!BQ15</f>
        <v>0</v>
      </c>
      <c r="T17" s="37">
        <f>RawData!BP15</f>
        <v>0</v>
      </c>
      <c r="U17" s="38">
        <f>RawData!BO15</f>
        <v>0</v>
      </c>
      <c r="V17" s="38">
        <f>RawData!BN15</f>
        <v>0</v>
      </c>
      <c r="W17" s="39">
        <f>RawData!BM15</f>
        <v>0</v>
      </c>
      <c r="X17" s="39">
        <f>RawData!BL15</f>
        <v>0</v>
      </c>
      <c r="Y17" s="38">
        <f>RawData!BJ15</f>
        <v>0</v>
      </c>
      <c r="Z17" s="38">
        <f>RawData!BI15</f>
        <v>0</v>
      </c>
      <c r="AA17" s="40">
        <f>RawData!BH15</f>
        <v>0</v>
      </c>
      <c r="AB17" s="40">
        <f>RawData!BG15</f>
        <v>0</v>
      </c>
      <c r="AC17" s="40">
        <f>RawData!BF15</f>
        <v>0</v>
      </c>
      <c r="AD17" s="40">
        <f>RawData!BE15</f>
        <v>0</v>
      </c>
      <c r="AE17" s="40">
        <f>RawData!BD15</f>
        <v>0</v>
      </c>
      <c r="AF17" s="40">
        <f>RawData!BC15</f>
        <v>0</v>
      </c>
      <c r="AG17" s="41">
        <f>RawData!BB15</f>
        <v>0</v>
      </c>
      <c r="AH17" s="42">
        <f>RawData!DB15</f>
        <v>0</v>
      </c>
      <c r="AI17" s="41">
        <f>RawData!BA15</f>
        <v>0</v>
      </c>
      <c r="AJ17" s="43">
        <f>RawData!DA15</f>
        <v>0</v>
      </c>
      <c r="AK17" s="41">
        <f>RawData!AZ15</f>
        <v>0</v>
      </c>
      <c r="AL17" s="42">
        <f>RawData!DD15</f>
        <v>0</v>
      </c>
      <c r="AM17" s="44">
        <f>RawData!DC15</f>
        <v>0</v>
      </c>
      <c r="AN17" s="45">
        <f>RawData!BK15</f>
        <v>0</v>
      </c>
      <c r="AO17" s="44">
        <f>RawData!AY15</f>
        <v>0</v>
      </c>
      <c r="AP17" s="43" t="str">
        <f>RawData!DH15</f>
        <v>W</v>
      </c>
      <c r="AQ17" s="43">
        <f>RawData!DE15</f>
        <v>0</v>
      </c>
      <c r="AR17" s="42">
        <f>RawData!CZ15</f>
        <v>0</v>
      </c>
      <c r="AS17" s="44">
        <f>RawData!AX15</f>
        <v>0</v>
      </c>
      <c r="AT17" s="43">
        <f>RawData!CY15</f>
        <v>0</v>
      </c>
      <c r="AU17" s="44">
        <f>RawData!AW15</f>
        <v>0</v>
      </c>
      <c r="AV17" s="46">
        <f>RawData!O15</f>
        <v>30700</v>
      </c>
      <c r="AW17" s="44">
        <f>RawData!AV15</f>
        <v>0</v>
      </c>
      <c r="AX17" s="44">
        <f>RawData!CW15</f>
        <v>0</v>
      </c>
      <c r="AY17" s="44">
        <f>RawData!AU15</f>
        <v>0</v>
      </c>
      <c r="AZ17" s="42">
        <f>RawData!CX15</f>
        <v>0</v>
      </c>
      <c r="BA17" s="44">
        <f>RawData!DF15</f>
        <v>0</v>
      </c>
      <c r="BB17" s="43" t="str">
        <f>RawData!DI15</f>
        <v>W</v>
      </c>
      <c r="BC17" s="44">
        <f>RawData!AT15</f>
        <v>0</v>
      </c>
      <c r="BD17" s="45">
        <f>RawData!AP15</f>
        <v>0</v>
      </c>
      <c r="BE17" s="44">
        <f>RawData!CS15</f>
        <v>0</v>
      </c>
      <c r="BF17" s="42">
        <f>RawData!CT15</f>
        <v>0</v>
      </c>
      <c r="BG17" s="41">
        <f>RawData!AS15</f>
        <v>0</v>
      </c>
      <c r="BH17" s="41">
        <f>RawData!CU15</f>
        <v>0</v>
      </c>
      <c r="BI17" s="41">
        <f>RawData!AR15</f>
        <v>0</v>
      </c>
      <c r="BJ17" s="42">
        <f>RawData!CV15</f>
        <v>0</v>
      </c>
      <c r="BK17" s="41">
        <f>RawData!AQ15</f>
        <v>0</v>
      </c>
      <c r="BL17" s="40">
        <f>RawData!AO15</f>
        <v>0</v>
      </c>
      <c r="BM17" s="40">
        <f>RawData!AN15</f>
        <v>0</v>
      </c>
      <c r="BN17" s="40">
        <f>RawData!AM15</f>
        <v>0</v>
      </c>
      <c r="BO17" s="40">
        <f>RawData!AL15</f>
        <v>0</v>
      </c>
      <c r="BP17" s="40">
        <f>RawData!AK15</f>
        <v>0</v>
      </c>
      <c r="BQ17" s="40">
        <f>RawData!AJ15</f>
        <v>0</v>
      </c>
      <c r="BR17" s="38">
        <f>RawData!AI15</f>
        <v>0</v>
      </c>
      <c r="BS17" s="38">
        <f>RawData!AH15</f>
        <v>0</v>
      </c>
      <c r="BT17" s="40">
        <f>RawData!AG15</f>
        <v>0</v>
      </c>
      <c r="BU17" s="39">
        <f>RawData!AF15</f>
        <v>0</v>
      </c>
      <c r="BV17" s="39">
        <f>RawData!AE15</f>
        <v>0</v>
      </c>
      <c r="BW17" s="38">
        <f>RawData!AD15</f>
        <v>0</v>
      </c>
      <c r="BX17" s="38">
        <f>RawData!AC15</f>
        <v>0</v>
      </c>
      <c r="BY17" s="37">
        <f>RawData!AB15</f>
        <v>0</v>
      </c>
      <c r="BZ17" s="37">
        <f>RawData!AA15</f>
        <v>0</v>
      </c>
      <c r="CA17" s="36">
        <f>RawData!Z15</f>
        <v>0</v>
      </c>
      <c r="CB17" s="36">
        <f>RawData!Y15</f>
        <v>0</v>
      </c>
      <c r="CC17" s="36">
        <f>RawData!X15</f>
        <v>0</v>
      </c>
      <c r="CD17" s="36">
        <f>RawData!W15</f>
        <v>0</v>
      </c>
      <c r="CE17" s="40">
        <f>RawData!V15</f>
        <v>0</v>
      </c>
      <c r="CF17" s="40">
        <f>RawData!U15</f>
        <v>0</v>
      </c>
      <c r="CG17" s="40">
        <f>RawData!T15</f>
        <v>0</v>
      </c>
      <c r="CH17" s="44">
        <f>RawData!S15</f>
        <v>0</v>
      </c>
      <c r="CI17" s="44">
        <f>RawData!R15</f>
        <v>0</v>
      </c>
      <c r="CJ17" s="44">
        <f>RawData!Q15</f>
        <v>0</v>
      </c>
      <c r="CK17" s="44">
        <f>RawData!P15</f>
        <v>0</v>
      </c>
      <c r="CL17" s="44">
        <f>RawData!CJ15</f>
        <v>0</v>
      </c>
      <c r="CM17" s="43">
        <f>RawData!CI15</f>
        <v>0</v>
      </c>
      <c r="CN17" s="44">
        <f>RawData!CL15</f>
        <v>0</v>
      </c>
      <c r="CO17" s="43">
        <f>RawData!CK15</f>
        <v>0</v>
      </c>
      <c r="CP17" s="44">
        <f>RawData!CM15</f>
        <v>0</v>
      </c>
      <c r="CQ17" s="47">
        <f>RawData!CO15</f>
        <v>44783.636701388888</v>
      </c>
      <c r="CR17" s="44">
        <f>RawData!CP15</f>
        <v>38295.69921875</v>
      </c>
      <c r="CS17" s="44">
        <f>RawData!DG15</f>
        <v>38295.69921875</v>
      </c>
      <c r="CT17" s="43" t="str">
        <f>RawData!DJ15</f>
        <v>G</v>
      </c>
      <c r="CU17" s="43" t="str">
        <f>RawData!CQ15</f>
        <v>FairPrice</v>
      </c>
      <c r="CV17" s="47">
        <f>RawData!CR15</f>
        <v>44783.638194444444</v>
      </c>
      <c r="CW17" s="65">
        <f>RawData!DK15</f>
        <v>38300</v>
      </c>
      <c r="CX17" s="65">
        <f>RawData!DL15</f>
        <v>3400000</v>
      </c>
      <c r="CY17" s="65">
        <f>RawData!DM15</f>
        <v>38500</v>
      </c>
      <c r="CZ17" s="65">
        <f>RawData!DN15</f>
        <v>0</v>
      </c>
      <c r="DA17" s="65">
        <f>RawData!DO15</f>
        <v>24500</v>
      </c>
      <c r="DB17" s="65">
        <f>RawData!DP15</f>
        <v>2863350</v>
      </c>
      <c r="DC17" s="65">
        <f>RawData!DQ15</f>
        <v>38000</v>
      </c>
      <c r="DD17" s="65">
        <f>RawData!DR15</f>
        <v>0</v>
      </c>
      <c r="DE17" s="65">
        <f>RawData!DS15</f>
        <v>24500</v>
      </c>
      <c r="DF17" s="65" t="str">
        <f>RawData!DT15</f>
        <v>BANKNIFTY</v>
      </c>
      <c r="DG17" s="66">
        <f>RawData!DU15</f>
        <v>44784</v>
      </c>
      <c r="DI17" s="21">
        <f t="shared" si="0"/>
        <v>7595.69921875</v>
      </c>
    </row>
    <row r="18" spans="1:113" x14ac:dyDescent="0.2">
      <c r="A18" s="59">
        <f>RawData!CN16</f>
        <v>44783.636701388888</v>
      </c>
      <c r="B18" s="44">
        <f>RawData!CH16</f>
        <v>0</v>
      </c>
      <c r="C18" s="44">
        <f>RawData!CG16</f>
        <v>0</v>
      </c>
      <c r="D18" s="43">
        <f>RawData!CF16</f>
        <v>0</v>
      </c>
      <c r="E18" s="44">
        <f>RawData!CE16</f>
        <v>0</v>
      </c>
      <c r="F18" s="43">
        <f>RawData!CD16</f>
        <v>0</v>
      </c>
      <c r="G18" s="44">
        <f>RawData!CC16</f>
        <v>0</v>
      </c>
      <c r="H18" s="44">
        <f>RawData!CB16</f>
        <v>0</v>
      </c>
      <c r="I18" s="44">
        <f>RawData!CA16</f>
        <v>0</v>
      </c>
      <c r="J18" s="44">
        <f>RawData!BZ16</f>
        <v>0</v>
      </c>
      <c r="K18" s="40">
        <f>RawData!BY16</f>
        <v>0</v>
      </c>
      <c r="L18" s="40">
        <f>RawData!BX16</f>
        <v>0</v>
      </c>
      <c r="M18" s="40">
        <f>RawData!BW16</f>
        <v>0</v>
      </c>
      <c r="N18" s="40">
        <f>RawData!BV16</f>
        <v>0</v>
      </c>
      <c r="O18" s="36">
        <f>RawData!BU16</f>
        <v>0</v>
      </c>
      <c r="P18" s="36">
        <f>RawData!BT16</f>
        <v>0</v>
      </c>
      <c r="Q18" s="36">
        <f>RawData!BS16</f>
        <v>0</v>
      </c>
      <c r="R18" s="36">
        <f>RawData!BR16</f>
        <v>0</v>
      </c>
      <c r="S18" s="37">
        <f>RawData!BQ16</f>
        <v>0</v>
      </c>
      <c r="T18" s="37">
        <f>RawData!BP16</f>
        <v>0</v>
      </c>
      <c r="U18" s="38">
        <f>RawData!BO16</f>
        <v>0</v>
      </c>
      <c r="V18" s="38">
        <f>RawData!BN16</f>
        <v>0</v>
      </c>
      <c r="W18" s="39">
        <f>RawData!BM16</f>
        <v>0</v>
      </c>
      <c r="X18" s="39">
        <f>RawData!BL16</f>
        <v>0</v>
      </c>
      <c r="Y18" s="38">
        <f>RawData!BJ16</f>
        <v>0</v>
      </c>
      <c r="Z18" s="38">
        <f>RawData!BI16</f>
        <v>0</v>
      </c>
      <c r="AA18" s="40">
        <f>RawData!BH16</f>
        <v>0</v>
      </c>
      <c r="AB18" s="40">
        <f>RawData!BG16</f>
        <v>0</v>
      </c>
      <c r="AC18" s="40">
        <f>RawData!BF16</f>
        <v>0</v>
      </c>
      <c r="AD18" s="40">
        <f>RawData!BE16</f>
        <v>0</v>
      </c>
      <c r="AE18" s="40">
        <f>RawData!BD16</f>
        <v>0</v>
      </c>
      <c r="AF18" s="40">
        <f>RawData!BC16</f>
        <v>0</v>
      </c>
      <c r="AG18" s="41">
        <f>RawData!BB16</f>
        <v>0</v>
      </c>
      <c r="AH18" s="42">
        <f>RawData!DB16</f>
        <v>0</v>
      </c>
      <c r="AI18" s="41">
        <f>RawData!BA16</f>
        <v>0</v>
      </c>
      <c r="AJ18" s="43">
        <f>RawData!DA16</f>
        <v>0</v>
      </c>
      <c r="AK18" s="41">
        <f>RawData!AZ16</f>
        <v>0</v>
      </c>
      <c r="AL18" s="42">
        <f>RawData!DD16</f>
        <v>0</v>
      </c>
      <c r="AM18" s="44">
        <f>RawData!DC16</f>
        <v>0</v>
      </c>
      <c r="AN18" s="45">
        <f>RawData!BK16</f>
        <v>0</v>
      </c>
      <c r="AO18" s="44">
        <f>RawData!AY16</f>
        <v>0</v>
      </c>
      <c r="AP18" s="43" t="str">
        <f>RawData!DH16</f>
        <v>W</v>
      </c>
      <c r="AQ18" s="43">
        <f>RawData!DE16</f>
        <v>0</v>
      </c>
      <c r="AR18" s="42">
        <f>RawData!CZ16</f>
        <v>0</v>
      </c>
      <c r="AS18" s="44">
        <f>RawData!AX16</f>
        <v>0</v>
      </c>
      <c r="AT18" s="43">
        <f>RawData!CY16</f>
        <v>0</v>
      </c>
      <c r="AU18" s="44">
        <f>RawData!AW16</f>
        <v>0</v>
      </c>
      <c r="AV18" s="46">
        <f>RawData!O16</f>
        <v>30800</v>
      </c>
      <c r="AW18" s="44">
        <f>RawData!AV16</f>
        <v>0</v>
      </c>
      <c r="AX18" s="44">
        <f>RawData!CW16</f>
        <v>0</v>
      </c>
      <c r="AY18" s="44">
        <f>RawData!AU16</f>
        <v>0</v>
      </c>
      <c r="AZ18" s="42">
        <f>RawData!CX16</f>
        <v>0</v>
      </c>
      <c r="BA18" s="44">
        <f>RawData!DF16</f>
        <v>0</v>
      </c>
      <c r="BB18" s="43" t="str">
        <f>RawData!DI16</f>
        <v>W</v>
      </c>
      <c r="BC18" s="44">
        <f>RawData!AT16</f>
        <v>0</v>
      </c>
      <c r="BD18" s="45">
        <f>RawData!AP16</f>
        <v>0</v>
      </c>
      <c r="BE18" s="44">
        <f>RawData!CS16</f>
        <v>0</v>
      </c>
      <c r="BF18" s="42">
        <f>RawData!CT16</f>
        <v>0</v>
      </c>
      <c r="BG18" s="41">
        <f>RawData!AS16</f>
        <v>0</v>
      </c>
      <c r="BH18" s="41">
        <f>RawData!CU16</f>
        <v>0</v>
      </c>
      <c r="BI18" s="41">
        <f>RawData!AR16</f>
        <v>0</v>
      </c>
      <c r="BJ18" s="42">
        <f>RawData!CV16</f>
        <v>0</v>
      </c>
      <c r="BK18" s="41">
        <f>RawData!AQ16</f>
        <v>0</v>
      </c>
      <c r="BL18" s="40">
        <f>RawData!AO16</f>
        <v>0</v>
      </c>
      <c r="BM18" s="40">
        <f>RawData!AN16</f>
        <v>0</v>
      </c>
      <c r="BN18" s="40">
        <f>RawData!AM16</f>
        <v>0</v>
      </c>
      <c r="BO18" s="40">
        <f>RawData!AL16</f>
        <v>0</v>
      </c>
      <c r="BP18" s="40">
        <f>RawData!AK16</f>
        <v>0</v>
      </c>
      <c r="BQ18" s="40">
        <f>RawData!AJ16</f>
        <v>0</v>
      </c>
      <c r="BR18" s="38">
        <f>RawData!AI16</f>
        <v>0</v>
      </c>
      <c r="BS18" s="38">
        <f>RawData!AH16</f>
        <v>0</v>
      </c>
      <c r="BT18" s="40">
        <f>RawData!AG16</f>
        <v>0</v>
      </c>
      <c r="BU18" s="39">
        <f>RawData!AF16</f>
        <v>0</v>
      </c>
      <c r="BV18" s="39">
        <f>RawData!AE16</f>
        <v>0</v>
      </c>
      <c r="BW18" s="38">
        <f>RawData!AD16</f>
        <v>0</v>
      </c>
      <c r="BX18" s="38">
        <f>RawData!AC16</f>
        <v>0</v>
      </c>
      <c r="BY18" s="37">
        <f>RawData!AB16</f>
        <v>0</v>
      </c>
      <c r="BZ18" s="37">
        <f>RawData!AA16</f>
        <v>0</v>
      </c>
      <c r="CA18" s="36">
        <f>RawData!Z16</f>
        <v>0</v>
      </c>
      <c r="CB18" s="36">
        <f>RawData!Y16</f>
        <v>0</v>
      </c>
      <c r="CC18" s="36">
        <f>RawData!X16</f>
        <v>0</v>
      </c>
      <c r="CD18" s="36">
        <f>RawData!W16</f>
        <v>0</v>
      </c>
      <c r="CE18" s="40">
        <f>RawData!V16</f>
        <v>0</v>
      </c>
      <c r="CF18" s="40">
        <f>RawData!U16</f>
        <v>0</v>
      </c>
      <c r="CG18" s="40">
        <f>RawData!T16</f>
        <v>0</v>
      </c>
      <c r="CH18" s="44">
        <f>RawData!S16</f>
        <v>0</v>
      </c>
      <c r="CI18" s="44">
        <f>RawData!R16</f>
        <v>0</v>
      </c>
      <c r="CJ18" s="44">
        <f>RawData!Q16</f>
        <v>0</v>
      </c>
      <c r="CK18" s="44">
        <f>RawData!P16</f>
        <v>0</v>
      </c>
      <c r="CL18" s="44">
        <f>RawData!CJ16</f>
        <v>0</v>
      </c>
      <c r="CM18" s="43">
        <f>RawData!CI16</f>
        <v>0</v>
      </c>
      <c r="CN18" s="44">
        <f>RawData!CL16</f>
        <v>0</v>
      </c>
      <c r="CO18" s="43">
        <f>RawData!CK16</f>
        <v>0</v>
      </c>
      <c r="CP18" s="44">
        <f>RawData!CM16</f>
        <v>0</v>
      </c>
      <c r="CQ18" s="47">
        <f>RawData!CO16</f>
        <v>44783.636701388888</v>
      </c>
      <c r="CR18" s="44">
        <f>RawData!CP16</f>
        <v>38295.69921875</v>
      </c>
      <c r="CS18" s="44">
        <f>RawData!DG16</f>
        <v>38295.69921875</v>
      </c>
      <c r="CT18" s="43" t="str">
        <f>RawData!DJ16</f>
        <v>G</v>
      </c>
      <c r="CU18" s="43" t="str">
        <f>RawData!CQ16</f>
        <v>FairPrice</v>
      </c>
      <c r="CV18" s="47">
        <f>RawData!CR16</f>
        <v>44783.638194444444</v>
      </c>
      <c r="CW18" s="65">
        <f>RawData!DK16</f>
        <v>38300</v>
      </c>
      <c r="CX18" s="65">
        <f>RawData!DL16</f>
        <v>3400000</v>
      </c>
      <c r="CY18" s="65">
        <f>RawData!DM16</f>
        <v>38500</v>
      </c>
      <c r="CZ18" s="65">
        <f>RawData!DN16</f>
        <v>0</v>
      </c>
      <c r="DA18" s="65">
        <f>RawData!DO16</f>
        <v>24500</v>
      </c>
      <c r="DB18" s="65">
        <f>RawData!DP16</f>
        <v>2863350</v>
      </c>
      <c r="DC18" s="65">
        <f>RawData!DQ16</f>
        <v>38000</v>
      </c>
      <c r="DD18" s="65">
        <f>RawData!DR16</f>
        <v>0</v>
      </c>
      <c r="DE18" s="65">
        <f>RawData!DS16</f>
        <v>24500</v>
      </c>
      <c r="DF18" s="65" t="str">
        <f>RawData!DT16</f>
        <v>BANKNIFTY</v>
      </c>
      <c r="DG18" s="66">
        <f>RawData!DU16</f>
        <v>44784</v>
      </c>
      <c r="DI18" s="21">
        <f t="shared" si="0"/>
        <v>7495.69921875</v>
      </c>
    </row>
    <row r="19" spans="1:113" x14ac:dyDescent="0.2">
      <c r="A19" s="59">
        <f>RawData!CN17</f>
        <v>44783.636701388888</v>
      </c>
      <c r="B19" s="44">
        <f>RawData!CH17</f>
        <v>0</v>
      </c>
      <c r="C19" s="44">
        <f>RawData!CG17</f>
        <v>0</v>
      </c>
      <c r="D19" s="43">
        <f>RawData!CF17</f>
        <v>0</v>
      </c>
      <c r="E19" s="44">
        <f>RawData!CE17</f>
        <v>0</v>
      </c>
      <c r="F19" s="43">
        <f>RawData!CD17</f>
        <v>0</v>
      </c>
      <c r="G19" s="44">
        <f>RawData!CC17</f>
        <v>0</v>
      </c>
      <c r="H19" s="44">
        <f>RawData!CB17</f>
        <v>0</v>
      </c>
      <c r="I19" s="44">
        <f>RawData!CA17</f>
        <v>0</v>
      </c>
      <c r="J19" s="44">
        <f>RawData!BZ17</f>
        <v>0</v>
      </c>
      <c r="K19" s="40">
        <f>RawData!BY17</f>
        <v>0</v>
      </c>
      <c r="L19" s="40">
        <f>RawData!BX17</f>
        <v>0</v>
      </c>
      <c r="M19" s="40">
        <f>RawData!BW17</f>
        <v>0</v>
      </c>
      <c r="N19" s="40">
        <f>RawData!BV17</f>
        <v>0</v>
      </c>
      <c r="O19" s="36">
        <f>RawData!BU17</f>
        <v>0</v>
      </c>
      <c r="P19" s="36">
        <f>RawData!BT17</f>
        <v>0</v>
      </c>
      <c r="Q19" s="36">
        <f>RawData!BS17</f>
        <v>0</v>
      </c>
      <c r="R19" s="36">
        <f>RawData!BR17</f>
        <v>0</v>
      </c>
      <c r="S19" s="37">
        <f>RawData!BQ17</f>
        <v>0</v>
      </c>
      <c r="T19" s="37">
        <f>RawData!BP17</f>
        <v>0</v>
      </c>
      <c r="U19" s="38">
        <f>RawData!BO17</f>
        <v>0</v>
      </c>
      <c r="V19" s="38">
        <f>RawData!BN17</f>
        <v>0</v>
      </c>
      <c r="W19" s="39">
        <f>RawData!BM17</f>
        <v>0</v>
      </c>
      <c r="X19" s="39">
        <f>RawData!BL17</f>
        <v>0</v>
      </c>
      <c r="Y19" s="38">
        <f>RawData!BJ17</f>
        <v>0</v>
      </c>
      <c r="Z19" s="38">
        <f>RawData!BI17</f>
        <v>0</v>
      </c>
      <c r="AA19" s="40">
        <f>RawData!BH17</f>
        <v>0</v>
      </c>
      <c r="AB19" s="40">
        <f>RawData!BG17</f>
        <v>0</v>
      </c>
      <c r="AC19" s="40">
        <f>RawData!BF17</f>
        <v>0</v>
      </c>
      <c r="AD19" s="40">
        <f>RawData!BE17</f>
        <v>0</v>
      </c>
      <c r="AE19" s="40">
        <f>RawData!BD17</f>
        <v>0</v>
      </c>
      <c r="AF19" s="40">
        <f>RawData!BC17</f>
        <v>0</v>
      </c>
      <c r="AG19" s="41">
        <f>RawData!BB17</f>
        <v>0</v>
      </c>
      <c r="AH19" s="42">
        <f>RawData!DB17</f>
        <v>0</v>
      </c>
      <c r="AI19" s="41">
        <f>RawData!BA17</f>
        <v>0</v>
      </c>
      <c r="AJ19" s="43">
        <f>RawData!DA17</f>
        <v>0</v>
      </c>
      <c r="AK19" s="41">
        <f>RawData!AZ17</f>
        <v>0</v>
      </c>
      <c r="AL19" s="42">
        <f>RawData!DD17</f>
        <v>0</v>
      </c>
      <c r="AM19" s="44">
        <f>RawData!DC17</f>
        <v>0</v>
      </c>
      <c r="AN19" s="45">
        <f>RawData!BK17</f>
        <v>0</v>
      </c>
      <c r="AO19" s="44">
        <f>RawData!AY17</f>
        <v>0</v>
      </c>
      <c r="AP19" s="43" t="str">
        <f>RawData!DH17</f>
        <v>R</v>
      </c>
      <c r="AQ19" s="43">
        <f>RawData!DE17</f>
        <v>4297.05</v>
      </c>
      <c r="AR19" s="42">
        <f>RawData!CZ17</f>
        <v>-1</v>
      </c>
      <c r="AS19" s="44">
        <f>RawData!AX17</f>
        <v>-4297.05</v>
      </c>
      <c r="AT19" s="43">
        <f>RawData!CY17</f>
        <v>4297.05</v>
      </c>
      <c r="AU19" s="44">
        <f>RawData!AW17</f>
        <v>0</v>
      </c>
      <c r="AV19" s="46">
        <f>RawData!O17</f>
        <v>30900</v>
      </c>
      <c r="AW19" s="44">
        <f>RawData!AV17</f>
        <v>1.75</v>
      </c>
      <c r="AX19" s="44">
        <f>RawData!CW17</f>
        <v>1.75</v>
      </c>
      <c r="AY19" s="44">
        <f>RawData!AU17</f>
        <v>0</v>
      </c>
      <c r="AZ19" s="42">
        <f>RawData!CX17</f>
        <v>0</v>
      </c>
      <c r="BA19" s="44">
        <f>RawData!DF17</f>
        <v>1.75</v>
      </c>
      <c r="BB19" s="43" t="str">
        <f>RawData!DI17</f>
        <v>W</v>
      </c>
      <c r="BC19" s="44">
        <f>RawData!AT17</f>
        <v>142.55402088165283</v>
      </c>
      <c r="BD19" s="45">
        <f>RawData!AP17</f>
        <v>142.55402088165283</v>
      </c>
      <c r="BE19" s="44">
        <f>RawData!CS17</f>
        <v>1.0061264038085938E-2</v>
      </c>
      <c r="BF19" s="42">
        <f>RawData!CT17</f>
        <v>7.0583587442611114E-5</v>
      </c>
      <c r="BG19" s="41">
        <f>RawData!AS17</f>
        <v>2475</v>
      </c>
      <c r="BH19" s="41">
        <f>RawData!CU17</f>
        <v>1850</v>
      </c>
      <c r="BI19" s="41">
        <f>RawData!AR17</f>
        <v>625</v>
      </c>
      <c r="BJ19" s="42">
        <f>RawData!CV17</f>
        <v>0.33783783783783783</v>
      </c>
      <c r="BK19" s="41">
        <f>RawData!AQ17</f>
        <v>25150</v>
      </c>
      <c r="BL19" s="40">
        <f>RawData!AO17</f>
        <v>-2.0234801340848207E-3</v>
      </c>
      <c r="BM19" s="40">
        <f>RawData!AN17</f>
        <v>1.1571682989597321E-7</v>
      </c>
      <c r="BN19" s="40">
        <f>RawData!AM17</f>
        <v>-1.75</v>
      </c>
      <c r="BO19" s="40">
        <f>RawData!AL17</f>
        <v>0</v>
      </c>
      <c r="BP19" s="40">
        <f>RawData!AK17</f>
        <v>0.13028194010257721</v>
      </c>
      <c r="BQ19" s="40">
        <f>RawData!AJ17</f>
        <v>-8.0317258834838867E-6</v>
      </c>
      <c r="BR19" s="38">
        <f>RawData!AI17</f>
        <v>2.210775619460037E-6</v>
      </c>
      <c r="BS19" s="38">
        <f>RawData!AH17</f>
        <v>-2.4897417461033911E-10</v>
      </c>
      <c r="BT19" s="40">
        <f>RawData!AG17</f>
        <v>-48.765010833740234</v>
      </c>
      <c r="BU19" s="39">
        <f>RawData!AF17</f>
        <v>6.6375732421875E-4</v>
      </c>
      <c r="BV19" s="39">
        <f>RawData!AE17</f>
        <v>33.789604187011719</v>
      </c>
      <c r="BW19" s="38">
        <f>RawData!AD17</f>
        <v>3.383636474609375E-3</v>
      </c>
      <c r="BX19" s="38">
        <f>RawData!AC17</f>
        <v>-2.2502466556773015E-9</v>
      </c>
      <c r="BY19" s="37">
        <f>RawData!AB17</f>
        <v>3.7370107008882769E-13</v>
      </c>
      <c r="BZ19" s="37">
        <f>RawData!AA17</f>
        <v>1.0925759852398187E-5</v>
      </c>
      <c r="CA19" s="36">
        <f>RawData!Z17</f>
        <v>-1.8599166651256382E-9</v>
      </c>
      <c r="CB19" s="36">
        <f>RawData!Y17</f>
        <v>7.5705329436459579E-6</v>
      </c>
      <c r="CC19" s="36">
        <f>RawData!X17</f>
        <v>-4.2700776248238981E-10</v>
      </c>
      <c r="CD19" s="36">
        <f>RawData!W17</f>
        <v>285001.625</v>
      </c>
      <c r="CE19" s="40">
        <f>RawData!V17</f>
        <v>-4.90625</v>
      </c>
      <c r="CF19" s="40">
        <f>RawData!U17</f>
        <v>222026.15625</v>
      </c>
      <c r="CG19" s="40">
        <f>RawData!T17</f>
        <v>21.171875</v>
      </c>
      <c r="CH19" s="44">
        <f>RawData!S17</f>
        <v>2.2000000476837158</v>
      </c>
      <c r="CI19" s="44">
        <f>RawData!R17</f>
        <v>2.3499999046325684</v>
      </c>
      <c r="CJ19" s="44">
        <f>RawData!Q17</f>
        <v>1.4500000476837158</v>
      </c>
      <c r="CK19" s="44">
        <f>RawData!P17</f>
        <v>1.75</v>
      </c>
      <c r="CL19" s="44">
        <f>RawData!CJ17</f>
        <v>25</v>
      </c>
      <c r="CM19" s="43">
        <f>RawData!CI17</f>
        <v>1.7000000476837158</v>
      </c>
      <c r="CN19" s="44">
        <f>RawData!CL17</f>
        <v>125</v>
      </c>
      <c r="CO19" s="43">
        <f>RawData!CK17</f>
        <v>1.6499999761581421</v>
      </c>
      <c r="CP19" s="44">
        <f>RawData!CM17</f>
        <v>2.0899999141693115</v>
      </c>
      <c r="CQ19" s="47">
        <f>RawData!CO17</f>
        <v>44783.638194444444</v>
      </c>
      <c r="CR19" s="44">
        <f>RawData!CP17</f>
        <v>38295.69921875</v>
      </c>
      <c r="CS19" s="44">
        <f>RawData!DG17</f>
        <v>38295.69921875</v>
      </c>
      <c r="CT19" s="43" t="str">
        <f>RawData!DJ17</f>
        <v>G</v>
      </c>
      <c r="CU19" s="43" t="str">
        <f>RawData!CQ17</f>
        <v>FairPrice</v>
      </c>
      <c r="CV19" s="47">
        <f>RawData!CR17</f>
        <v>44783.638194444444</v>
      </c>
      <c r="CW19" s="65">
        <f>RawData!DK17</f>
        <v>38300</v>
      </c>
      <c r="CX19" s="65">
        <f>RawData!DL17</f>
        <v>3400000</v>
      </c>
      <c r="CY19" s="65">
        <f>RawData!DM17</f>
        <v>38500</v>
      </c>
      <c r="CZ19" s="65">
        <f>RawData!DN17</f>
        <v>0</v>
      </c>
      <c r="DA19" s="65">
        <f>RawData!DO17</f>
        <v>24500</v>
      </c>
      <c r="DB19" s="65">
        <f>RawData!DP17</f>
        <v>2863350</v>
      </c>
      <c r="DC19" s="65">
        <f>RawData!DQ17</f>
        <v>38000</v>
      </c>
      <c r="DD19" s="65">
        <f>RawData!DR17</f>
        <v>0</v>
      </c>
      <c r="DE19" s="65">
        <f>RawData!DS17</f>
        <v>24500</v>
      </c>
      <c r="DF19" s="65" t="str">
        <f>RawData!DT17</f>
        <v>BANKNIFTY</v>
      </c>
      <c r="DG19" s="66">
        <f>RawData!DU17</f>
        <v>44784</v>
      </c>
      <c r="DI19" s="21">
        <f t="shared" si="0"/>
        <v>7395.69921875</v>
      </c>
    </row>
    <row r="20" spans="1:113" x14ac:dyDescent="0.2">
      <c r="A20" s="59">
        <f>RawData!CN18</f>
        <v>44783.636701388888</v>
      </c>
      <c r="B20" s="44">
        <f>RawData!CH18</f>
        <v>0</v>
      </c>
      <c r="C20" s="44">
        <f>RawData!CG18</f>
        <v>0</v>
      </c>
      <c r="D20" s="43">
        <f>RawData!CF18</f>
        <v>0</v>
      </c>
      <c r="E20" s="44">
        <f>RawData!CE18</f>
        <v>0</v>
      </c>
      <c r="F20" s="43">
        <f>RawData!CD18</f>
        <v>0</v>
      </c>
      <c r="G20" s="44">
        <f>RawData!CC18</f>
        <v>0</v>
      </c>
      <c r="H20" s="44">
        <f>RawData!CB18</f>
        <v>0</v>
      </c>
      <c r="I20" s="44">
        <f>RawData!CA18</f>
        <v>0</v>
      </c>
      <c r="J20" s="44">
        <f>RawData!BZ18</f>
        <v>0</v>
      </c>
      <c r="K20" s="40">
        <f>RawData!BY18</f>
        <v>0</v>
      </c>
      <c r="L20" s="40">
        <f>RawData!BX18</f>
        <v>0</v>
      </c>
      <c r="M20" s="40">
        <f>RawData!BW18</f>
        <v>0</v>
      </c>
      <c r="N20" s="40">
        <f>RawData!BV18</f>
        <v>0</v>
      </c>
      <c r="O20" s="36">
        <f>RawData!BU18</f>
        <v>0</v>
      </c>
      <c r="P20" s="36">
        <f>RawData!BT18</f>
        <v>0</v>
      </c>
      <c r="Q20" s="36">
        <f>RawData!BS18</f>
        <v>0</v>
      </c>
      <c r="R20" s="36">
        <f>RawData!BR18</f>
        <v>0</v>
      </c>
      <c r="S20" s="37">
        <f>RawData!BQ18</f>
        <v>0</v>
      </c>
      <c r="T20" s="37">
        <f>RawData!BP18</f>
        <v>0</v>
      </c>
      <c r="U20" s="38">
        <f>RawData!BO18</f>
        <v>0</v>
      </c>
      <c r="V20" s="38">
        <f>RawData!BN18</f>
        <v>0</v>
      </c>
      <c r="W20" s="39">
        <f>RawData!BM18</f>
        <v>0</v>
      </c>
      <c r="X20" s="39">
        <f>RawData!BL18</f>
        <v>0</v>
      </c>
      <c r="Y20" s="38">
        <f>RawData!BJ18</f>
        <v>0</v>
      </c>
      <c r="Z20" s="38">
        <f>RawData!BI18</f>
        <v>0</v>
      </c>
      <c r="AA20" s="40">
        <f>RawData!BH18</f>
        <v>0</v>
      </c>
      <c r="AB20" s="40">
        <f>RawData!BG18</f>
        <v>0</v>
      </c>
      <c r="AC20" s="40">
        <f>RawData!BF18</f>
        <v>0</v>
      </c>
      <c r="AD20" s="40">
        <f>RawData!BE18</f>
        <v>0</v>
      </c>
      <c r="AE20" s="40">
        <f>RawData!BD18</f>
        <v>0</v>
      </c>
      <c r="AF20" s="40">
        <f>RawData!BC18</f>
        <v>0</v>
      </c>
      <c r="AG20" s="41">
        <f>RawData!BB18</f>
        <v>0</v>
      </c>
      <c r="AH20" s="42">
        <f>RawData!DB18</f>
        <v>0</v>
      </c>
      <c r="AI20" s="41">
        <f>RawData!BA18</f>
        <v>0</v>
      </c>
      <c r="AJ20" s="43">
        <f>RawData!DA18</f>
        <v>0</v>
      </c>
      <c r="AK20" s="41">
        <f>RawData!AZ18</f>
        <v>0</v>
      </c>
      <c r="AL20" s="42">
        <f>RawData!DD18</f>
        <v>0</v>
      </c>
      <c r="AM20" s="44">
        <f>RawData!DC18</f>
        <v>0</v>
      </c>
      <c r="AN20" s="45">
        <f>RawData!BK18</f>
        <v>0</v>
      </c>
      <c r="AO20" s="44">
        <f>RawData!AY18</f>
        <v>0</v>
      </c>
      <c r="AP20" s="43" t="str">
        <f>RawData!DH18</f>
        <v>R</v>
      </c>
      <c r="AQ20" s="43">
        <f>RawData!DE18</f>
        <v>4207.25</v>
      </c>
      <c r="AR20" s="42">
        <f>RawData!CZ18</f>
        <v>-1</v>
      </c>
      <c r="AS20" s="44">
        <f>RawData!AX18</f>
        <v>-4207.25</v>
      </c>
      <c r="AT20" s="43">
        <f>RawData!CY18</f>
        <v>4207.25</v>
      </c>
      <c r="AU20" s="44">
        <f>RawData!AW18</f>
        <v>0</v>
      </c>
      <c r="AV20" s="46">
        <f>RawData!O18</f>
        <v>31000</v>
      </c>
      <c r="AW20" s="44">
        <f>RawData!AV18</f>
        <v>1.7000000476837158</v>
      </c>
      <c r="AX20" s="44">
        <f>RawData!CW18</f>
        <v>1.7000000476837158</v>
      </c>
      <c r="AY20" s="44">
        <f>RawData!AU18</f>
        <v>0</v>
      </c>
      <c r="AZ20" s="42">
        <f>RawData!CX18</f>
        <v>0</v>
      </c>
      <c r="BA20" s="44">
        <f>RawData!DF18</f>
        <v>1.7000000476837158</v>
      </c>
      <c r="BB20" s="43" t="str">
        <f>RawData!DI18</f>
        <v>W</v>
      </c>
      <c r="BC20" s="44">
        <f>RawData!AT18</f>
        <v>140.17480611801147</v>
      </c>
      <c r="BD20" s="45">
        <f>RawData!AP18</f>
        <v>140.17480611801147</v>
      </c>
      <c r="BE20" s="44">
        <f>RawData!CS18</f>
        <v>-5.6624412536621094E-3</v>
      </c>
      <c r="BF20" s="42">
        <f>RawData!CT18</f>
        <v>-4.039393869815863E-5</v>
      </c>
      <c r="BG20" s="41">
        <f>RawData!AS18</f>
        <v>38925</v>
      </c>
      <c r="BH20" s="41">
        <f>RawData!CU18</f>
        <v>46525</v>
      </c>
      <c r="BI20" s="41">
        <f>RawData!AR18</f>
        <v>-7600</v>
      </c>
      <c r="BJ20" s="42">
        <f>RawData!CV18</f>
        <v>-0.16335303600214937</v>
      </c>
      <c r="BK20" s="41">
        <f>RawData!AQ18</f>
        <v>213900</v>
      </c>
      <c r="BL20" s="40">
        <f>RawData!AO18</f>
        <v>-2.0021712407469749E-3</v>
      </c>
      <c r="BM20" s="40">
        <f>RawData!AN18</f>
        <v>-2.4470500648021698E-7</v>
      </c>
      <c r="BN20" s="40">
        <f>RawData!AM18</f>
        <v>-1.7000000476837158</v>
      </c>
      <c r="BO20" s="40">
        <f>RawData!AL18</f>
        <v>0</v>
      </c>
      <c r="BP20" s="40">
        <f>RawData!AK18</f>
        <v>0.12899152934551239</v>
      </c>
      <c r="BQ20" s="40">
        <f>RawData!AJ18</f>
        <v>2.7418136596679688E-6</v>
      </c>
      <c r="BR20" s="38">
        <f>RawData!AI18</f>
        <v>2.2275601168075809E-6</v>
      </c>
      <c r="BS20" s="38">
        <f>RawData!AH18</f>
        <v>5.3637450037058443E-10</v>
      </c>
      <c r="BT20" s="40">
        <f>RawData!AG18</f>
        <v>-50.154319763183594</v>
      </c>
      <c r="BU20" s="39">
        <f>RawData!AF18</f>
        <v>4.085540771484375E-3</v>
      </c>
      <c r="BV20" s="39">
        <f>RawData!AE18</f>
        <v>34.188503265380859</v>
      </c>
      <c r="BW20" s="38">
        <f>RawData!AD18</f>
        <v>2.6702880859375E-4</v>
      </c>
      <c r="BX20" s="38">
        <f>RawData!AC18</f>
        <v>-2.3082180611311287E-9</v>
      </c>
      <c r="BY20" s="37">
        <f>RawData!AB18</f>
        <v>-8.1956663677829056E-13</v>
      </c>
      <c r="BZ20" s="37">
        <f>RawData!AA18</f>
        <v>1.1231562893954106E-5</v>
      </c>
      <c r="CA20" s="36">
        <f>RawData!Z18</f>
        <v>2.8458089218474925E-9</v>
      </c>
      <c r="CB20" s="36">
        <f>RawData!Y18</f>
        <v>7.6561773312278092E-6</v>
      </c>
      <c r="CC20" s="36">
        <f>RawData!X18</f>
        <v>2.623892214614898E-9</v>
      </c>
      <c r="CD20" s="36">
        <f>RawData!W18</f>
        <v>293361.25</v>
      </c>
      <c r="CE20" s="40">
        <f>RawData!V18</f>
        <v>-54.15625</v>
      </c>
      <c r="CF20" s="40">
        <f>RawData!U18</f>
        <v>224761.375</v>
      </c>
      <c r="CG20" s="40">
        <f>RawData!T18</f>
        <v>-20.796875</v>
      </c>
      <c r="CH20" s="44">
        <f>RawData!S18</f>
        <v>2.2000000476837158</v>
      </c>
      <c r="CI20" s="44">
        <f>RawData!R18</f>
        <v>2.4000000953674316</v>
      </c>
      <c r="CJ20" s="44">
        <f>RawData!Q18</f>
        <v>1.5</v>
      </c>
      <c r="CK20" s="44">
        <f>RawData!P18</f>
        <v>1.7000000476837158</v>
      </c>
      <c r="CL20" s="44">
        <f>RawData!CJ18</f>
        <v>750</v>
      </c>
      <c r="CM20" s="43">
        <f>RawData!CI18</f>
        <v>1.75</v>
      </c>
      <c r="CN20" s="44">
        <f>RawData!CL18</f>
        <v>25</v>
      </c>
      <c r="CO20" s="43">
        <f>RawData!CK18</f>
        <v>1.7000000476837158</v>
      </c>
      <c r="CP20" s="44">
        <f>RawData!CM18</f>
        <v>1.9600000381469727</v>
      </c>
      <c r="CQ20" s="47">
        <f>RawData!CO18</f>
        <v>44783.638194444444</v>
      </c>
      <c r="CR20" s="44">
        <f>RawData!CP18</f>
        <v>38295.69921875</v>
      </c>
      <c r="CS20" s="44">
        <f>RawData!DG18</f>
        <v>38295.69921875</v>
      </c>
      <c r="CT20" s="43" t="str">
        <f>RawData!DJ18</f>
        <v>G</v>
      </c>
      <c r="CU20" s="43" t="str">
        <f>RawData!CQ18</f>
        <v>FairPrice</v>
      </c>
      <c r="CV20" s="47">
        <f>RawData!CR18</f>
        <v>44783.638194444444</v>
      </c>
      <c r="CW20" s="65">
        <f>RawData!DK18</f>
        <v>38300</v>
      </c>
      <c r="CX20" s="65">
        <f>RawData!DL18</f>
        <v>3400000</v>
      </c>
      <c r="CY20" s="65">
        <f>RawData!DM18</f>
        <v>38500</v>
      </c>
      <c r="CZ20" s="65">
        <f>RawData!DN18</f>
        <v>0</v>
      </c>
      <c r="DA20" s="65">
        <f>RawData!DO18</f>
        <v>24500</v>
      </c>
      <c r="DB20" s="65">
        <f>RawData!DP18</f>
        <v>2863350</v>
      </c>
      <c r="DC20" s="65">
        <f>RawData!DQ18</f>
        <v>38000</v>
      </c>
      <c r="DD20" s="65">
        <f>RawData!DR18</f>
        <v>0</v>
      </c>
      <c r="DE20" s="65">
        <f>RawData!DS18</f>
        <v>24500</v>
      </c>
      <c r="DF20" s="65" t="str">
        <f>RawData!DT18</f>
        <v>BANKNIFTY</v>
      </c>
      <c r="DG20" s="66">
        <f>RawData!DU18</f>
        <v>44784</v>
      </c>
      <c r="DI20" s="21">
        <f t="shared" si="0"/>
        <v>7295.69921875</v>
      </c>
    </row>
    <row r="21" spans="1:113" x14ac:dyDescent="0.2">
      <c r="A21" s="59">
        <f>RawData!CN19</f>
        <v>44783.636701388888</v>
      </c>
      <c r="B21" s="44">
        <f>RawData!CH19</f>
        <v>0</v>
      </c>
      <c r="C21" s="44">
        <f>RawData!CG19</f>
        <v>0</v>
      </c>
      <c r="D21" s="43">
        <f>RawData!CF19</f>
        <v>0</v>
      </c>
      <c r="E21" s="44">
        <f>RawData!CE19</f>
        <v>0</v>
      </c>
      <c r="F21" s="43">
        <f>RawData!CD19</f>
        <v>0</v>
      </c>
      <c r="G21" s="44">
        <f>RawData!CC19</f>
        <v>0</v>
      </c>
      <c r="H21" s="44">
        <f>RawData!CB19</f>
        <v>0</v>
      </c>
      <c r="I21" s="44">
        <f>RawData!CA19</f>
        <v>0</v>
      </c>
      <c r="J21" s="44">
        <f>RawData!BZ19</f>
        <v>0</v>
      </c>
      <c r="K21" s="40">
        <f>RawData!BY19</f>
        <v>0</v>
      </c>
      <c r="L21" s="40">
        <f>RawData!BX19</f>
        <v>0</v>
      </c>
      <c r="M21" s="40">
        <f>RawData!BW19</f>
        <v>0</v>
      </c>
      <c r="N21" s="40">
        <f>RawData!BV19</f>
        <v>0</v>
      </c>
      <c r="O21" s="36">
        <f>RawData!BU19</f>
        <v>0</v>
      </c>
      <c r="P21" s="36">
        <f>RawData!BT19</f>
        <v>0</v>
      </c>
      <c r="Q21" s="36">
        <f>RawData!BS19</f>
        <v>0</v>
      </c>
      <c r="R21" s="36">
        <f>RawData!BR19</f>
        <v>0</v>
      </c>
      <c r="S21" s="37">
        <f>RawData!BQ19</f>
        <v>0</v>
      </c>
      <c r="T21" s="37">
        <f>RawData!BP19</f>
        <v>0</v>
      </c>
      <c r="U21" s="38">
        <f>RawData!BO19</f>
        <v>0</v>
      </c>
      <c r="V21" s="38">
        <f>RawData!BN19</f>
        <v>0</v>
      </c>
      <c r="W21" s="39">
        <f>RawData!BM19</f>
        <v>0</v>
      </c>
      <c r="X21" s="39">
        <f>RawData!BL19</f>
        <v>0</v>
      </c>
      <c r="Y21" s="38">
        <f>RawData!BJ19</f>
        <v>0</v>
      </c>
      <c r="Z21" s="38">
        <f>RawData!BI19</f>
        <v>0</v>
      </c>
      <c r="AA21" s="40">
        <f>RawData!BH19</f>
        <v>0</v>
      </c>
      <c r="AB21" s="40">
        <f>RawData!BG19</f>
        <v>0</v>
      </c>
      <c r="AC21" s="40">
        <f>RawData!BF19</f>
        <v>0</v>
      </c>
      <c r="AD21" s="40">
        <f>RawData!BE19</f>
        <v>0</v>
      </c>
      <c r="AE21" s="40">
        <f>RawData!BD19</f>
        <v>0</v>
      </c>
      <c r="AF21" s="40">
        <f>RawData!BC19</f>
        <v>0</v>
      </c>
      <c r="AG21" s="41">
        <f>RawData!BB19</f>
        <v>0</v>
      </c>
      <c r="AH21" s="42">
        <f>RawData!DB19</f>
        <v>0</v>
      </c>
      <c r="AI21" s="41">
        <f>RawData!BA19</f>
        <v>0</v>
      </c>
      <c r="AJ21" s="43">
        <f>RawData!DA19</f>
        <v>0</v>
      </c>
      <c r="AK21" s="41">
        <f>RawData!AZ19</f>
        <v>0</v>
      </c>
      <c r="AL21" s="42">
        <f>RawData!DD19</f>
        <v>0</v>
      </c>
      <c r="AM21" s="44">
        <f>RawData!DC19</f>
        <v>0</v>
      </c>
      <c r="AN21" s="45">
        <f>RawData!BK19</f>
        <v>0</v>
      </c>
      <c r="AO21" s="44">
        <f>RawData!AY19</f>
        <v>0</v>
      </c>
      <c r="AP21" s="43" t="str">
        <f>RawData!DH19</f>
        <v>R</v>
      </c>
      <c r="AQ21" s="43">
        <f>RawData!DE19</f>
        <v>4118.05</v>
      </c>
      <c r="AR21" s="42">
        <f>RawData!CZ19</f>
        <v>-1</v>
      </c>
      <c r="AS21" s="44">
        <f>RawData!AX19</f>
        <v>-4118.05</v>
      </c>
      <c r="AT21" s="43">
        <f>RawData!CY19</f>
        <v>4118.05</v>
      </c>
      <c r="AU21" s="44">
        <f>RawData!AW19</f>
        <v>0</v>
      </c>
      <c r="AV21" s="46">
        <f>RawData!O19</f>
        <v>31100</v>
      </c>
      <c r="AW21" s="44">
        <f>RawData!AV19</f>
        <v>1.8999999761581421</v>
      </c>
      <c r="AX21" s="44">
        <f>RawData!CW19</f>
        <v>1.8999999761581421</v>
      </c>
      <c r="AY21" s="44">
        <f>RawData!AU19</f>
        <v>0</v>
      </c>
      <c r="AZ21" s="42">
        <f>RawData!CX19</f>
        <v>0</v>
      </c>
      <c r="BA21" s="44">
        <f>RawData!DF19</f>
        <v>1.8999999761581421</v>
      </c>
      <c r="BB21" s="43" t="str">
        <f>RawData!DI19</f>
        <v>W</v>
      </c>
      <c r="BC21" s="44">
        <f>RawData!AT19</f>
        <v>139.7003173828125</v>
      </c>
      <c r="BD21" s="45">
        <f>RawData!AP19</f>
        <v>139.7003173828125</v>
      </c>
      <c r="BE21" s="44">
        <f>RawData!CS19</f>
        <v>3.0279159545898438E-3</v>
      </c>
      <c r="BF21" s="42">
        <f>RawData!CT19</f>
        <v>2.1674836828585664E-5</v>
      </c>
      <c r="BG21" s="41">
        <f>RawData!AS19</f>
        <v>1800</v>
      </c>
      <c r="BH21" s="41">
        <f>RawData!CU19</f>
        <v>700</v>
      </c>
      <c r="BI21" s="41">
        <f>RawData!AR19</f>
        <v>1100</v>
      </c>
      <c r="BJ21" s="42">
        <f>RawData!CV19</f>
        <v>1.5714285714285714</v>
      </c>
      <c r="BK21" s="41">
        <f>RawData!AQ19</f>
        <v>6725</v>
      </c>
      <c r="BL21" s="40">
        <f>RawData!AO19</f>
        <v>-2.2260225377976894E-3</v>
      </c>
      <c r="BM21" s="40">
        <f>RawData!AN19</f>
        <v>0</v>
      </c>
      <c r="BN21" s="40">
        <f>RawData!AM19</f>
        <v>-1.8999999761581421</v>
      </c>
      <c r="BO21" s="40">
        <f>RawData!AL19</f>
        <v>0</v>
      </c>
      <c r="BP21" s="40">
        <f>RawData!AK19</f>
        <v>0.14200322329998016</v>
      </c>
      <c r="BQ21" s="40">
        <f>RawData!AJ19</f>
        <v>-3.0696392059326172E-6</v>
      </c>
      <c r="BR21" s="38">
        <f>RawData!AI19</f>
        <v>2.4607309114799136E-6</v>
      </c>
      <c r="BS21" s="38">
        <f>RawData!AH19</f>
        <v>0</v>
      </c>
      <c r="BT21" s="40">
        <f>RawData!AG19</f>
        <v>-45.16839599609375</v>
      </c>
      <c r="BU21" s="39">
        <f>RawData!AF19</f>
        <v>9.765625E-4</v>
      </c>
      <c r="BV21" s="39">
        <f>RawData!AE19</f>
        <v>30.688198089599609</v>
      </c>
      <c r="BW21" s="38">
        <f>RawData!AD19</f>
        <v>1.3275146484375E-3</v>
      </c>
      <c r="BX21" s="38">
        <f>RawData!AC19</f>
        <v>-2.5292250516173453E-9</v>
      </c>
      <c r="BY21" s="37">
        <f>RawData!AB19</f>
        <v>0</v>
      </c>
      <c r="BZ21" s="37">
        <f>RawData!AA19</f>
        <v>1.2116393918404356E-5</v>
      </c>
      <c r="CA21" s="36">
        <f>RawData!Z19</f>
        <v>-2.6193447411060333E-10</v>
      </c>
      <c r="CB21" s="36">
        <f>RawData!Y19</f>
        <v>8.2320902947685681E-6</v>
      </c>
      <c r="CC21" s="36">
        <f>RawData!X19</f>
        <v>3.5652192309498787E-10</v>
      </c>
      <c r="CD21" s="36">
        <f>RawData!W19</f>
        <v>261105.5</v>
      </c>
      <c r="CE21" s="40">
        <f>RawData!V19</f>
        <v>-11.296875</v>
      </c>
      <c r="CF21" s="40">
        <f>RawData!U19</f>
        <v>199915.984375</v>
      </c>
      <c r="CG21" s="40">
        <f>RawData!T19</f>
        <v>4.3125</v>
      </c>
      <c r="CH21" s="44">
        <f>RawData!S19</f>
        <v>2.6500000953674316</v>
      </c>
      <c r="CI21" s="44">
        <f>RawData!R19</f>
        <v>3.6500000953674316</v>
      </c>
      <c r="CJ21" s="44">
        <f>RawData!Q19</f>
        <v>1.6499999761581421</v>
      </c>
      <c r="CK21" s="44">
        <f>RawData!P19</f>
        <v>1.8999999761581421</v>
      </c>
      <c r="CL21" s="44">
        <f>RawData!CJ19</f>
        <v>150</v>
      </c>
      <c r="CM21" s="43">
        <f>RawData!CI19</f>
        <v>1.8999999761581421</v>
      </c>
      <c r="CN21" s="44">
        <f>RawData!CL19</f>
        <v>350</v>
      </c>
      <c r="CO21" s="43">
        <f>RawData!CK19</f>
        <v>1.8500000238418579</v>
      </c>
      <c r="CP21" s="44">
        <f>RawData!CM19</f>
        <v>2.0399999618530273</v>
      </c>
      <c r="CQ21" s="47">
        <f>RawData!CO19</f>
        <v>44783.638194444444</v>
      </c>
      <c r="CR21" s="44">
        <f>RawData!CP19</f>
        <v>38295.69921875</v>
      </c>
      <c r="CS21" s="44">
        <f>RawData!DG19</f>
        <v>38295.69921875</v>
      </c>
      <c r="CT21" s="43" t="str">
        <f>RawData!DJ19</f>
        <v>G</v>
      </c>
      <c r="CU21" s="43" t="str">
        <f>RawData!CQ19</f>
        <v>FairPrice</v>
      </c>
      <c r="CV21" s="47">
        <f>RawData!CR19</f>
        <v>44783.638194444444</v>
      </c>
      <c r="CW21" s="65">
        <f>RawData!DK19</f>
        <v>38300</v>
      </c>
      <c r="CX21" s="65">
        <f>RawData!DL19</f>
        <v>3400000</v>
      </c>
      <c r="CY21" s="65">
        <f>RawData!DM19</f>
        <v>38500</v>
      </c>
      <c r="CZ21" s="65">
        <f>RawData!DN19</f>
        <v>0</v>
      </c>
      <c r="DA21" s="65">
        <f>RawData!DO19</f>
        <v>24500</v>
      </c>
      <c r="DB21" s="65">
        <f>RawData!DP19</f>
        <v>2863350</v>
      </c>
      <c r="DC21" s="65">
        <f>RawData!DQ19</f>
        <v>38000</v>
      </c>
      <c r="DD21" s="65">
        <f>RawData!DR19</f>
        <v>0</v>
      </c>
      <c r="DE21" s="65">
        <f>RawData!DS19</f>
        <v>24500</v>
      </c>
      <c r="DF21" s="65" t="str">
        <f>RawData!DT19</f>
        <v>BANKNIFTY</v>
      </c>
      <c r="DG21" s="66">
        <f>RawData!DU19</f>
        <v>44784</v>
      </c>
      <c r="DI21" s="21">
        <f t="shared" si="0"/>
        <v>7195.69921875</v>
      </c>
    </row>
    <row r="22" spans="1:113" x14ac:dyDescent="0.2">
      <c r="A22" s="59">
        <f>RawData!CN20</f>
        <v>44783.636701388888</v>
      </c>
      <c r="B22" s="44">
        <f>RawData!CH20</f>
        <v>0</v>
      </c>
      <c r="C22" s="44">
        <f>RawData!CG20</f>
        <v>0</v>
      </c>
      <c r="D22" s="43">
        <f>RawData!CF20</f>
        <v>0</v>
      </c>
      <c r="E22" s="44">
        <f>RawData!CE20</f>
        <v>0</v>
      </c>
      <c r="F22" s="43">
        <f>RawData!CD20</f>
        <v>0</v>
      </c>
      <c r="G22" s="44">
        <f>RawData!CC20</f>
        <v>0</v>
      </c>
      <c r="H22" s="44">
        <f>RawData!CB20</f>
        <v>0</v>
      </c>
      <c r="I22" s="44">
        <f>RawData!CA20</f>
        <v>0</v>
      </c>
      <c r="J22" s="44">
        <f>RawData!BZ20</f>
        <v>0</v>
      </c>
      <c r="K22" s="40">
        <f>RawData!BY20</f>
        <v>0</v>
      </c>
      <c r="L22" s="40">
        <f>RawData!BX20</f>
        <v>0</v>
      </c>
      <c r="M22" s="40">
        <f>RawData!BW20</f>
        <v>0</v>
      </c>
      <c r="N22" s="40">
        <f>RawData!BV20</f>
        <v>0</v>
      </c>
      <c r="O22" s="36">
        <f>RawData!BU20</f>
        <v>0</v>
      </c>
      <c r="P22" s="36">
        <f>RawData!BT20</f>
        <v>0</v>
      </c>
      <c r="Q22" s="36">
        <f>RawData!BS20</f>
        <v>0</v>
      </c>
      <c r="R22" s="36">
        <f>RawData!BR20</f>
        <v>0</v>
      </c>
      <c r="S22" s="37">
        <f>RawData!BQ20</f>
        <v>0</v>
      </c>
      <c r="T22" s="37">
        <f>RawData!BP20</f>
        <v>0</v>
      </c>
      <c r="U22" s="38">
        <f>RawData!BO20</f>
        <v>0</v>
      </c>
      <c r="V22" s="38">
        <f>RawData!BN20</f>
        <v>0</v>
      </c>
      <c r="W22" s="39">
        <f>RawData!BM20</f>
        <v>0</v>
      </c>
      <c r="X22" s="39">
        <f>RawData!BL20</f>
        <v>0</v>
      </c>
      <c r="Y22" s="38">
        <f>RawData!BJ20</f>
        <v>0</v>
      </c>
      <c r="Z22" s="38">
        <f>RawData!BI20</f>
        <v>0</v>
      </c>
      <c r="AA22" s="40">
        <f>RawData!BH20</f>
        <v>0</v>
      </c>
      <c r="AB22" s="40">
        <f>RawData!BG20</f>
        <v>0</v>
      </c>
      <c r="AC22" s="40">
        <f>RawData!BF20</f>
        <v>0</v>
      </c>
      <c r="AD22" s="40">
        <f>RawData!BE20</f>
        <v>0</v>
      </c>
      <c r="AE22" s="40">
        <f>RawData!BD20</f>
        <v>0</v>
      </c>
      <c r="AF22" s="40">
        <f>RawData!BC20</f>
        <v>0</v>
      </c>
      <c r="AG22" s="41">
        <f>RawData!BB20</f>
        <v>0</v>
      </c>
      <c r="AH22" s="42">
        <f>RawData!DB20</f>
        <v>0</v>
      </c>
      <c r="AI22" s="41">
        <f>RawData!BA20</f>
        <v>0</v>
      </c>
      <c r="AJ22" s="43">
        <f>RawData!DA20</f>
        <v>0</v>
      </c>
      <c r="AK22" s="41">
        <f>RawData!AZ20</f>
        <v>0</v>
      </c>
      <c r="AL22" s="42">
        <f>RawData!DD20</f>
        <v>0</v>
      </c>
      <c r="AM22" s="44">
        <f>RawData!DC20</f>
        <v>0</v>
      </c>
      <c r="AN22" s="45">
        <f>RawData!BK20</f>
        <v>0</v>
      </c>
      <c r="AO22" s="44">
        <f>RawData!AY20</f>
        <v>0</v>
      </c>
      <c r="AP22" s="43" t="str">
        <f>RawData!DH20</f>
        <v>R</v>
      </c>
      <c r="AQ22" s="43">
        <f>RawData!DE20</f>
        <v>4029.5</v>
      </c>
      <c r="AR22" s="42">
        <f>RawData!CZ20</f>
        <v>-1</v>
      </c>
      <c r="AS22" s="44">
        <f>RawData!AX20</f>
        <v>-4029.5</v>
      </c>
      <c r="AT22" s="43">
        <f>RawData!CY20</f>
        <v>4029.5</v>
      </c>
      <c r="AU22" s="44">
        <f>RawData!AW20</f>
        <v>0</v>
      </c>
      <c r="AV22" s="46">
        <f>RawData!O20</f>
        <v>31200</v>
      </c>
      <c r="AW22" s="44">
        <f>RawData!AV20</f>
        <v>1.8500000238418579</v>
      </c>
      <c r="AX22" s="44">
        <f>RawData!CW20</f>
        <v>1.8500000238418579</v>
      </c>
      <c r="AY22" s="44">
        <f>RawData!AU20</f>
        <v>0</v>
      </c>
      <c r="AZ22" s="42">
        <f>RawData!CX20</f>
        <v>0</v>
      </c>
      <c r="BA22" s="44">
        <f>RawData!DF20</f>
        <v>1.8500000238418579</v>
      </c>
      <c r="BB22" s="43" t="str">
        <f>RawData!DI20</f>
        <v>W</v>
      </c>
      <c r="BC22" s="44">
        <f>RawData!AT20</f>
        <v>137.39418983459473</v>
      </c>
      <c r="BD22" s="45">
        <f>RawData!AP20</f>
        <v>137.39418983459473</v>
      </c>
      <c r="BE22" s="44">
        <f>RawData!CS20</f>
        <v>5.9366226196289063E-3</v>
      </c>
      <c r="BF22" s="42">
        <f>RawData!CT20</f>
        <v>4.3210554620483784E-5</v>
      </c>
      <c r="BG22" s="41">
        <f>RawData!AS20</f>
        <v>3025</v>
      </c>
      <c r="BH22" s="41">
        <f>RawData!CU20</f>
        <v>2300</v>
      </c>
      <c r="BI22" s="41">
        <f>RawData!AR20</f>
        <v>725</v>
      </c>
      <c r="BJ22" s="42">
        <f>RawData!CV20</f>
        <v>0.31521739130434784</v>
      </c>
      <c r="BK22" s="41">
        <f>RawData!AQ20</f>
        <v>16925</v>
      </c>
      <c r="BL22" s="40">
        <f>RawData!AO20</f>
        <v>-2.2049129474908113E-3</v>
      </c>
      <c r="BM22" s="40">
        <f>RawData!AN20</f>
        <v>0</v>
      </c>
      <c r="BN22" s="40">
        <f>RawData!AM20</f>
        <v>-1.8500000238418579</v>
      </c>
      <c r="BO22" s="40">
        <f>RawData!AL20</f>
        <v>0</v>
      </c>
      <c r="BP22" s="40">
        <f>RawData!AK20</f>
        <v>0.14087212085723877</v>
      </c>
      <c r="BQ22" s="40">
        <f>RawData!AJ20</f>
        <v>-6.0796737670898438E-6</v>
      </c>
      <c r="BR22" s="38">
        <f>RawData!AI20</f>
        <v>2.4789394501567585E-6</v>
      </c>
      <c r="BS22" s="38">
        <f>RawData!AH20</f>
        <v>0</v>
      </c>
      <c r="BT22" s="40">
        <f>RawData!AG20</f>
        <v>-46.395439147949219</v>
      </c>
      <c r="BU22" s="39">
        <f>RawData!AF20</f>
        <v>2.00653076171875E-3</v>
      </c>
      <c r="BV22" s="39">
        <f>RawData!AE20</f>
        <v>30.970727920532227</v>
      </c>
      <c r="BW22" s="38">
        <f>RawData!AD20</f>
        <v>2.6760101318359375E-3</v>
      </c>
      <c r="BX22" s="38">
        <f>RawData!AC20</f>
        <v>-2.590692993464927E-9</v>
      </c>
      <c r="BY22" s="37">
        <f>RawData!AB20</f>
        <v>0</v>
      </c>
      <c r="BZ22" s="37">
        <f>RawData!AA20</f>
        <v>1.2447781045921147E-5</v>
      </c>
      <c r="CA22" s="36">
        <f>RawData!Z20</f>
        <v>-5.3751136874780059E-10</v>
      </c>
      <c r="CB22" s="36">
        <f>RawData!Y20</f>
        <v>8.3093691500835121E-6</v>
      </c>
      <c r="CC22" s="36">
        <f>RawData!X20</f>
        <v>7.1759131969884038E-10</v>
      </c>
      <c r="CD22" s="36">
        <f>RawData!W20</f>
        <v>268656.15625</v>
      </c>
      <c r="CE22" s="40">
        <f>RawData!V20</f>
        <v>-23.1875</v>
      </c>
      <c r="CF22" s="40">
        <f>RawData!U20</f>
        <v>202041.765625</v>
      </c>
      <c r="CG22" s="40">
        <f>RawData!T20</f>
        <v>8.71875</v>
      </c>
      <c r="CH22" s="44">
        <f>RawData!S20</f>
        <v>3.0499999523162842</v>
      </c>
      <c r="CI22" s="44">
        <f>RawData!R20</f>
        <v>3.0499999523162842</v>
      </c>
      <c r="CJ22" s="44">
        <f>RawData!Q20</f>
        <v>1.6499999761581421</v>
      </c>
      <c r="CK22" s="44">
        <f>RawData!P20</f>
        <v>1.8500000238418579</v>
      </c>
      <c r="CL22" s="44">
        <f>RawData!CJ20</f>
        <v>200</v>
      </c>
      <c r="CM22" s="43">
        <f>RawData!CI20</f>
        <v>2.1500000953674316</v>
      </c>
      <c r="CN22" s="44">
        <f>RawData!CL20</f>
        <v>175</v>
      </c>
      <c r="CO22" s="43">
        <f>RawData!CK20</f>
        <v>1.75</v>
      </c>
      <c r="CP22" s="44">
        <f>RawData!CM20</f>
        <v>2.1400001049041748</v>
      </c>
      <c r="CQ22" s="47">
        <f>RawData!CO20</f>
        <v>44783.638194444444</v>
      </c>
      <c r="CR22" s="44">
        <f>RawData!CP20</f>
        <v>38295.69921875</v>
      </c>
      <c r="CS22" s="44">
        <f>RawData!DG20</f>
        <v>38295.69921875</v>
      </c>
      <c r="CT22" s="43" t="str">
        <f>RawData!DJ20</f>
        <v>G</v>
      </c>
      <c r="CU22" s="43" t="str">
        <f>RawData!CQ20</f>
        <v>FairPrice</v>
      </c>
      <c r="CV22" s="47">
        <f>RawData!CR20</f>
        <v>44783.638194444444</v>
      </c>
      <c r="CW22" s="65">
        <f>RawData!DK20</f>
        <v>38300</v>
      </c>
      <c r="CX22" s="65">
        <f>RawData!DL20</f>
        <v>3400000</v>
      </c>
      <c r="CY22" s="65">
        <f>RawData!DM20</f>
        <v>38500</v>
      </c>
      <c r="CZ22" s="65">
        <f>RawData!DN20</f>
        <v>0</v>
      </c>
      <c r="DA22" s="65">
        <f>RawData!DO20</f>
        <v>24500</v>
      </c>
      <c r="DB22" s="65">
        <f>RawData!DP20</f>
        <v>2863350</v>
      </c>
      <c r="DC22" s="65">
        <f>RawData!DQ20</f>
        <v>38000</v>
      </c>
      <c r="DD22" s="65">
        <f>RawData!DR20</f>
        <v>0</v>
      </c>
      <c r="DE22" s="65">
        <f>RawData!DS20</f>
        <v>24500</v>
      </c>
      <c r="DF22" s="65" t="str">
        <f>RawData!DT20</f>
        <v>BANKNIFTY</v>
      </c>
      <c r="DG22" s="66">
        <f>RawData!DU20</f>
        <v>44784</v>
      </c>
      <c r="DI22" s="21">
        <f t="shared" si="0"/>
        <v>7095.69921875</v>
      </c>
    </row>
    <row r="23" spans="1:113" x14ac:dyDescent="0.2">
      <c r="A23" s="59">
        <f>RawData!CN21</f>
        <v>44783.636701388888</v>
      </c>
      <c r="B23" s="44">
        <f>RawData!CH21</f>
        <v>0</v>
      </c>
      <c r="C23" s="44">
        <f>RawData!CG21</f>
        <v>0</v>
      </c>
      <c r="D23" s="43">
        <f>RawData!CF21</f>
        <v>0</v>
      </c>
      <c r="E23" s="44">
        <f>RawData!CE21</f>
        <v>0</v>
      </c>
      <c r="F23" s="43">
        <f>RawData!CD21</f>
        <v>0</v>
      </c>
      <c r="G23" s="44">
        <f>RawData!CC21</f>
        <v>0</v>
      </c>
      <c r="H23" s="44">
        <f>RawData!CB21</f>
        <v>0</v>
      </c>
      <c r="I23" s="44">
        <f>RawData!CA21</f>
        <v>0</v>
      </c>
      <c r="J23" s="44">
        <f>RawData!BZ21</f>
        <v>0</v>
      </c>
      <c r="K23" s="40">
        <f>RawData!BY21</f>
        <v>0</v>
      </c>
      <c r="L23" s="40">
        <f>RawData!BX21</f>
        <v>0</v>
      </c>
      <c r="M23" s="40">
        <f>RawData!BW21</f>
        <v>0</v>
      </c>
      <c r="N23" s="40">
        <f>RawData!BV21</f>
        <v>0</v>
      </c>
      <c r="O23" s="36">
        <f>RawData!BU21</f>
        <v>0</v>
      </c>
      <c r="P23" s="36">
        <f>RawData!BT21</f>
        <v>0</v>
      </c>
      <c r="Q23" s="36">
        <f>RawData!BS21</f>
        <v>0</v>
      </c>
      <c r="R23" s="36">
        <f>RawData!BR21</f>
        <v>0</v>
      </c>
      <c r="S23" s="37">
        <f>RawData!BQ21</f>
        <v>0</v>
      </c>
      <c r="T23" s="37">
        <f>RawData!BP21</f>
        <v>0</v>
      </c>
      <c r="U23" s="38">
        <f>RawData!BO21</f>
        <v>0</v>
      </c>
      <c r="V23" s="38">
        <f>RawData!BN21</f>
        <v>0</v>
      </c>
      <c r="W23" s="39">
        <f>RawData!BM21</f>
        <v>0</v>
      </c>
      <c r="X23" s="39">
        <f>RawData!BL21</f>
        <v>0</v>
      </c>
      <c r="Y23" s="38">
        <f>RawData!BJ21</f>
        <v>0</v>
      </c>
      <c r="Z23" s="38">
        <f>RawData!BI21</f>
        <v>0</v>
      </c>
      <c r="AA23" s="40">
        <f>RawData!BH21</f>
        <v>0</v>
      </c>
      <c r="AB23" s="40">
        <f>RawData!BG21</f>
        <v>0</v>
      </c>
      <c r="AC23" s="40">
        <f>RawData!BF21</f>
        <v>0</v>
      </c>
      <c r="AD23" s="40">
        <f>RawData!BE21</f>
        <v>0</v>
      </c>
      <c r="AE23" s="40">
        <f>RawData!BD21</f>
        <v>0</v>
      </c>
      <c r="AF23" s="40">
        <f>RawData!BC21</f>
        <v>0</v>
      </c>
      <c r="AG23" s="41">
        <f>RawData!BB21</f>
        <v>0</v>
      </c>
      <c r="AH23" s="42">
        <f>RawData!DB21</f>
        <v>0</v>
      </c>
      <c r="AI23" s="41">
        <f>RawData!BA21</f>
        <v>0</v>
      </c>
      <c r="AJ23" s="43">
        <f>RawData!DA21</f>
        <v>0</v>
      </c>
      <c r="AK23" s="41">
        <f>RawData!AZ21</f>
        <v>0</v>
      </c>
      <c r="AL23" s="42">
        <f>RawData!DD21</f>
        <v>0</v>
      </c>
      <c r="AM23" s="44">
        <f>RawData!DC21</f>
        <v>0</v>
      </c>
      <c r="AN23" s="45">
        <f>RawData!BK21</f>
        <v>0</v>
      </c>
      <c r="AO23" s="44">
        <f>RawData!AY21</f>
        <v>0</v>
      </c>
      <c r="AP23" s="43" t="str">
        <f>RawData!DH21</f>
        <v>R</v>
      </c>
      <c r="AQ23" s="43">
        <f>RawData!DE21</f>
        <v>3941.6</v>
      </c>
      <c r="AR23" s="42">
        <f>RawData!CZ21</f>
        <v>-1</v>
      </c>
      <c r="AS23" s="44">
        <f>RawData!AX21</f>
        <v>-3941.6</v>
      </c>
      <c r="AT23" s="43">
        <f>RawData!CY21</f>
        <v>3941.6</v>
      </c>
      <c r="AU23" s="44">
        <f>RawData!AW21</f>
        <v>0</v>
      </c>
      <c r="AV23" s="46">
        <f>RawData!O21</f>
        <v>31300</v>
      </c>
      <c r="AW23" s="44">
        <f>RawData!AV21</f>
        <v>1.8999999761581421</v>
      </c>
      <c r="AX23" s="44">
        <f>RawData!CW21</f>
        <v>1.8999999761581421</v>
      </c>
      <c r="AY23" s="44">
        <f>RawData!AU21</f>
        <v>0</v>
      </c>
      <c r="AZ23" s="42">
        <f>RawData!CX21</f>
        <v>0</v>
      </c>
      <c r="BA23" s="44">
        <f>RawData!DF21</f>
        <v>1.8999999761581421</v>
      </c>
      <c r="BB23" s="43" t="str">
        <f>RawData!DI21</f>
        <v>W</v>
      </c>
      <c r="BC23" s="44">
        <f>RawData!AT21</f>
        <v>135.76900959014893</v>
      </c>
      <c r="BD23" s="45">
        <f>RawData!AP21</f>
        <v>135.76900959014893</v>
      </c>
      <c r="BE23" s="44">
        <f>RawData!CS21</f>
        <v>-1.0311603546142578E-2</v>
      </c>
      <c r="BF23" s="42">
        <f>RawData!CT21</f>
        <v>-7.5943843697912072E-5</v>
      </c>
      <c r="BG23" s="41">
        <f>RawData!AS21</f>
        <v>875</v>
      </c>
      <c r="BH23" s="41">
        <f>RawData!CU21</f>
        <v>825</v>
      </c>
      <c r="BI23" s="41">
        <f>RawData!AR21</f>
        <v>50</v>
      </c>
      <c r="BJ23" s="42">
        <f>RawData!CV21</f>
        <v>6.0606060606060608E-2</v>
      </c>
      <c r="BK23" s="41">
        <f>RawData!AQ21</f>
        <v>5150</v>
      </c>
      <c r="BL23" s="40">
        <f>RawData!AO21</f>
        <v>-2.2863622289150953E-3</v>
      </c>
      <c r="BM23" s="40">
        <f>RawData!AN21</f>
        <v>-6.5378844738006592E-7</v>
      </c>
      <c r="BN23" s="40">
        <f>RawData!AM21</f>
        <v>-1.8999999761581421</v>
      </c>
      <c r="BO23" s="40">
        <f>RawData!AL21</f>
        <v>0</v>
      </c>
      <c r="BP23" s="40">
        <f>RawData!AK21</f>
        <v>0.14550688862800598</v>
      </c>
      <c r="BQ23" s="40">
        <f>RawData!AJ21</f>
        <v>4.3809413909912109E-6</v>
      </c>
      <c r="BR23" s="38">
        <f>RawData!AI21</f>
        <v>2.5937117698049406E-6</v>
      </c>
      <c r="BS23" s="38">
        <f>RawData!AH21</f>
        <v>1.4622401067754254E-9</v>
      </c>
      <c r="BT23" s="40">
        <f>RawData!AG21</f>
        <v>-45.258003234863281</v>
      </c>
      <c r="BU23" s="39">
        <f>RawData!AF21</f>
        <v>9.487152099609375E-3</v>
      </c>
      <c r="BV23" s="39">
        <f>RawData!AE21</f>
        <v>29.877309799194336</v>
      </c>
      <c r="BW23" s="38">
        <f>RawData!AD21</f>
        <v>1.796722412109375E-3</v>
      </c>
      <c r="BX23" s="38">
        <f>RawData!AC21</f>
        <v>-2.7327358154138892E-9</v>
      </c>
      <c r="BY23" s="37">
        <f>RawData!AB21</f>
        <v>-2.2708501745682952E-12</v>
      </c>
      <c r="BZ23" s="37">
        <f>RawData!AA21</f>
        <v>1.3060868695902172E-5</v>
      </c>
      <c r="CA23" s="36">
        <f>RawData!Z21</f>
        <v>7.4751369538716972E-9</v>
      </c>
      <c r="CB23" s="36">
        <f>RawData!Y21</f>
        <v>8.6222016761894338E-6</v>
      </c>
      <c r="CC23" s="36">
        <f>RawData!X21</f>
        <v>7.2586772148497403E-9</v>
      </c>
      <c r="CD23" s="36">
        <f>RawData!W21</f>
        <v>260876.078125</v>
      </c>
      <c r="CE23" s="40">
        <f>RawData!V21</f>
        <v>-122.859375</v>
      </c>
      <c r="CF23" s="40">
        <f>RawData!U21</f>
        <v>194194.453125</v>
      </c>
      <c r="CG23" s="40">
        <f>RawData!T21</f>
        <v>-37.75</v>
      </c>
      <c r="CH23" s="44">
        <f>RawData!S21</f>
        <v>2.5499999523162842</v>
      </c>
      <c r="CI23" s="44">
        <f>RawData!R21</f>
        <v>2.5499999523162842</v>
      </c>
      <c r="CJ23" s="44">
        <f>RawData!Q21</f>
        <v>1.6499999761581421</v>
      </c>
      <c r="CK23" s="44">
        <f>RawData!P21</f>
        <v>1.8999999761581421</v>
      </c>
      <c r="CL23" s="44">
        <f>RawData!CJ21</f>
        <v>525</v>
      </c>
      <c r="CM23" s="43">
        <f>RawData!CI21</f>
        <v>2</v>
      </c>
      <c r="CN23" s="44">
        <f>RawData!CL21</f>
        <v>50</v>
      </c>
      <c r="CO23" s="43">
        <f>RawData!CK21</f>
        <v>1.75</v>
      </c>
      <c r="CP23" s="44">
        <f>RawData!CM21</f>
        <v>2.059999942779541</v>
      </c>
      <c r="CQ23" s="47">
        <f>RawData!CO21</f>
        <v>44783.638194444444</v>
      </c>
      <c r="CR23" s="44">
        <f>RawData!CP21</f>
        <v>38295.69921875</v>
      </c>
      <c r="CS23" s="44">
        <f>RawData!DG21</f>
        <v>38295.69921875</v>
      </c>
      <c r="CT23" s="43" t="str">
        <f>RawData!DJ21</f>
        <v>G</v>
      </c>
      <c r="CU23" s="43" t="str">
        <f>RawData!CQ21</f>
        <v>FairPrice</v>
      </c>
      <c r="CV23" s="47">
        <f>RawData!CR21</f>
        <v>44783.638194444444</v>
      </c>
      <c r="CW23" s="65">
        <f>RawData!DK21</f>
        <v>38300</v>
      </c>
      <c r="CX23" s="65">
        <f>RawData!DL21</f>
        <v>3400000</v>
      </c>
      <c r="CY23" s="65">
        <f>RawData!DM21</f>
        <v>38500</v>
      </c>
      <c r="CZ23" s="65">
        <f>RawData!DN21</f>
        <v>0</v>
      </c>
      <c r="DA23" s="65">
        <f>RawData!DO21</f>
        <v>24500</v>
      </c>
      <c r="DB23" s="65">
        <f>RawData!DP21</f>
        <v>2863350</v>
      </c>
      <c r="DC23" s="65">
        <f>RawData!DQ21</f>
        <v>38000</v>
      </c>
      <c r="DD23" s="65">
        <f>RawData!DR21</f>
        <v>0</v>
      </c>
      <c r="DE23" s="65">
        <f>RawData!DS21</f>
        <v>24500</v>
      </c>
      <c r="DF23" s="65" t="str">
        <f>RawData!DT21</f>
        <v>BANKNIFTY</v>
      </c>
      <c r="DG23" s="66">
        <f>RawData!DU21</f>
        <v>44784</v>
      </c>
      <c r="DI23" s="21">
        <f t="shared" si="0"/>
        <v>6995.69921875</v>
      </c>
    </row>
    <row r="24" spans="1:113" x14ac:dyDescent="0.2">
      <c r="A24" s="59">
        <f>RawData!CN22</f>
        <v>44783.638194444444</v>
      </c>
      <c r="B24" s="44">
        <f>RawData!CH22</f>
        <v>0</v>
      </c>
      <c r="C24" s="44">
        <f>RawData!CG22</f>
        <v>500</v>
      </c>
      <c r="D24" s="43">
        <f>RawData!CF22</f>
        <v>6761.2001953125</v>
      </c>
      <c r="E24" s="44">
        <f>RawData!CE22</f>
        <v>750</v>
      </c>
      <c r="F24" s="43">
        <f>RawData!CD22</f>
        <v>7115.0498046875</v>
      </c>
      <c r="G24" s="44">
        <f>RawData!CC22</f>
        <v>0</v>
      </c>
      <c r="H24" s="44">
        <f>RawData!CB22</f>
        <v>0</v>
      </c>
      <c r="I24" s="44">
        <f>RawData!CA22</f>
        <v>0</v>
      </c>
      <c r="J24" s="44">
        <f>RawData!BZ22</f>
        <v>0</v>
      </c>
      <c r="K24" s="40">
        <f>RawData!BY22</f>
        <v>0</v>
      </c>
      <c r="L24" s="40">
        <f>RawData!BX22</f>
        <v>0</v>
      </c>
      <c r="M24" s="40">
        <f>RawData!BW22</f>
        <v>0</v>
      </c>
      <c r="N24" s="40">
        <f>RawData!BV22</f>
        <v>0</v>
      </c>
      <c r="O24" s="36">
        <f>RawData!BU22</f>
        <v>0</v>
      </c>
      <c r="P24" s="36">
        <f>RawData!BT22</f>
        <v>0</v>
      </c>
      <c r="Q24" s="36">
        <f>RawData!BS22</f>
        <v>0</v>
      </c>
      <c r="R24" s="36">
        <f>RawData!BR22</f>
        <v>0</v>
      </c>
      <c r="S24" s="37">
        <f>RawData!BQ22</f>
        <v>0</v>
      </c>
      <c r="T24" s="37">
        <f>RawData!BP22</f>
        <v>0</v>
      </c>
      <c r="U24" s="38">
        <f>RawData!BO22</f>
        <v>0</v>
      </c>
      <c r="V24" s="38">
        <f>RawData!BN22</f>
        <v>0</v>
      </c>
      <c r="W24" s="39">
        <f>RawData!BM22</f>
        <v>0</v>
      </c>
      <c r="X24" s="39">
        <f>RawData!BL22</f>
        <v>0</v>
      </c>
      <c r="Y24" s="38">
        <f>RawData!BJ22</f>
        <v>0</v>
      </c>
      <c r="Z24" s="38">
        <f>RawData!BI22</f>
        <v>0</v>
      </c>
      <c r="AA24" s="40">
        <f>RawData!BH22</f>
        <v>0</v>
      </c>
      <c r="AB24" s="40">
        <f>RawData!BG22</f>
        <v>0</v>
      </c>
      <c r="AC24" s="40">
        <f>RawData!BF22</f>
        <v>0</v>
      </c>
      <c r="AD24" s="40">
        <f>RawData!BE22</f>
        <v>0</v>
      </c>
      <c r="AE24" s="40">
        <f>RawData!BD22</f>
        <v>0</v>
      </c>
      <c r="AF24" s="40">
        <f>RawData!BC22</f>
        <v>0</v>
      </c>
      <c r="AG24" s="41">
        <f>RawData!BB22</f>
        <v>0</v>
      </c>
      <c r="AH24" s="42">
        <f>RawData!DB22</f>
        <v>0</v>
      </c>
      <c r="AI24" s="41">
        <f>RawData!BA22</f>
        <v>0</v>
      </c>
      <c r="AJ24" s="43">
        <f>RawData!DA22</f>
        <v>0</v>
      </c>
      <c r="AK24" s="41">
        <f>RawData!AZ22</f>
        <v>0</v>
      </c>
      <c r="AL24" s="42">
        <f>RawData!DD22</f>
        <v>0</v>
      </c>
      <c r="AM24" s="44">
        <f>RawData!DC22</f>
        <v>0</v>
      </c>
      <c r="AN24" s="45">
        <f>RawData!BK22</f>
        <v>0</v>
      </c>
      <c r="AO24" s="44">
        <f>RawData!AY22</f>
        <v>0</v>
      </c>
      <c r="AP24" s="43" t="str">
        <f>RawData!DH22</f>
        <v>W</v>
      </c>
      <c r="AQ24" s="43">
        <f>RawData!DE22</f>
        <v>0</v>
      </c>
      <c r="AR24" s="42">
        <f>RawData!CZ22</f>
        <v>0</v>
      </c>
      <c r="AS24" s="44">
        <f>RawData!AX22</f>
        <v>0</v>
      </c>
      <c r="AT24" s="43">
        <f>RawData!CY22</f>
        <v>0</v>
      </c>
      <c r="AU24" s="44">
        <f>RawData!AW22</f>
        <v>0</v>
      </c>
      <c r="AV24" s="46">
        <f>RawData!O22</f>
        <v>31400</v>
      </c>
      <c r="AW24" s="44">
        <f>RawData!AV22</f>
        <v>1.8999999761581421</v>
      </c>
      <c r="AX24" s="44">
        <f>RawData!CW22</f>
        <v>1.8999999761581421</v>
      </c>
      <c r="AY24" s="44">
        <f>RawData!AU22</f>
        <v>0</v>
      </c>
      <c r="AZ24" s="42">
        <f>RawData!CX22</f>
        <v>0</v>
      </c>
      <c r="BA24" s="44">
        <f>RawData!DF22</f>
        <v>1.8999999761581421</v>
      </c>
      <c r="BB24" s="43" t="str">
        <f>RawData!DI22</f>
        <v>W</v>
      </c>
      <c r="BC24" s="44">
        <f>RawData!AT22</f>
        <v>133.81046056747437</v>
      </c>
      <c r="BD24" s="45">
        <f>RawData!AP22</f>
        <v>133.81046056747437</v>
      </c>
      <c r="BE24" s="44">
        <f>RawData!CS22</f>
        <v>8.1419944763183594E-3</v>
      </c>
      <c r="BF24" s="42">
        <f>RawData!CT22</f>
        <v>6.0850922189934708E-5</v>
      </c>
      <c r="BG24" s="41">
        <f>RawData!AS22</f>
        <v>3800</v>
      </c>
      <c r="BH24" s="41">
        <f>RawData!CU22</f>
        <v>4575</v>
      </c>
      <c r="BI24" s="41">
        <f>RawData!AR22</f>
        <v>-775</v>
      </c>
      <c r="BJ24" s="42">
        <f>RawData!CV22</f>
        <v>-0.16939890710382513</v>
      </c>
      <c r="BK24" s="41">
        <f>RawData!AQ22</f>
        <v>26175</v>
      </c>
      <c r="BL24" s="40">
        <f>RawData!AO22</f>
        <v>-2.3173708468675613E-3</v>
      </c>
      <c r="BM24" s="40">
        <f>RawData!AN22</f>
        <v>4.6798959374427795E-8</v>
      </c>
      <c r="BN24" s="40">
        <f>RawData!AM22</f>
        <v>-1.8999999761581421</v>
      </c>
      <c r="BO24" s="40">
        <f>RawData!AL22</f>
        <v>0</v>
      </c>
      <c r="BP24" s="40">
        <f>RawData!AK22</f>
        <v>0.14732493460178375</v>
      </c>
      <c r="BQ24" s="40">
        <f>RawData!AJ22</f>
        <v>-8.4787607192993164E-6</v>
      </c>
      <c r="BR24" s="38">
        <f>RawData!AI22</f>
        <v>2.6633995275915368E-6</v>
      </c>
      <c r="BS24" s="38">
        <f>RawData!AH22</f>
        <v>-1.0618350643198937E-10</v>
      </c>
      <c r="BT24" s="40">
        <f>RawData!AG22</f>
        <v>-45.309799194335938</v>
      </c>
      <c r="BU24" s="39">
        <f>RawData!AF22</f>
        <v>1.842498779296875E-3</v>
      </c>
      <c r="BV24" s="39">
        <f>RawData!AE22</f>
        <v>29.469823837280273</v>
      </c>
      <c r="BW24" s="38">
        <f>RawData!AD22</f>
        <v>3.1414031982421875E-3</v>
      </c>
      <c r="BX24" s="38">
        <f>RawData!AC22</f>
        <v>-2.8413926767001385E-9</v>
      </c>
      <c r="BY24" s="37">
        <f>RawData!AB22</f>
        <v>1.6697754290362354E-13</v>
      </c>
      <c r="BZ24" s="37">
        <f>RawData!AA22</f>
        <v>1.3565933841164224E-5</v>
      </c>
      <c r="CA24" s="36">
        <f>RawData!Z22</f>
        <v>-1.3005774235352874E-9</v>
      </c>
      <c r="CB24" s="36">
        <f>RawData!Y22</f>
        <v>8.8233819042216055E-6</v>
      </c>
      <c r="CC24" s="36">
        <f>RawData!X22</f>
        <v>4.5292836148291826E-10</v>
      </c>
      <c r="CD24" s="36">
        <f>RawData!W22</f>
        <v>260834.75</v>
      </c>
      <c r="CE24" s="40">
        <f>RawData!V22</f>
        <v>-20.25</v>
      </c>
      <c r="CF24" s="40">
        <f>RawData!U22</f>
        <v>191355.28125</v>
      </c>
      <c r="CG24" s="40">
        <f>RawData!T22</f>
        <v>13.21875</v>
      </c>
      <c r="CH24" s="44">
        <f>RawData!S22</f>
        <v>2.4500000476837158</v>
      </c>
      <c r="CI24" s="44">
        <f>RawData!R22</f>
        <v>2.5</v>
      </c>
      <c r="CJ24" s="44">
        <f>RawData!Q22</f>
        <v>1.4500000476837158</v>
      </c>
      <c r="CK24" s="44">
        <f>RawData!P22</f>
        <v>1.8999999761581421</v>
      </c>
      <c r="CL24" s="44">
        <f>RawData!CJ22</f>
        <v>200</v>
      </c>
      <c r="CM24" s="43">
        <f>RawData!CI22</f>
        <v>1.9500000476837158</v>
      </c>
      <c r="CN24" s="44">
        <f>RawData!CL22</f>
        <v>150</v>
      </c>
      <c r="CO24" s="43">
        <f>RawData!CK22</f>
        <v>1.7999999523162842</v>
      </c>
      <c r="CP24" s="44">
        <f>RawData!CM22</f>
        <v>2.2000000476837158</v>
      </c>
      <c r="CQ24" s="47">
        <f>RawData!CO22</f>
        <v>44783.638194444444</v>
      </c>
      <c r="CR24" s="44">
        <f>RawData!CP22</f>
        <v>38295.69921875</v>
      </c>
      <c r="CS24" s="44">
        <f>RawData!DG22</f>
        <v>38295.69921875</v>
      </c>
      <c r="CT24" s="43" t="str">
        <f>RawData!DJ22</f>
        <v>G</v>
      </c>
      <c r="CU24" s="43" t="str">
        <f>RawData!CQ22</f>
        <v>FairPrice</v>
      </c>
      <c r="CV24" s="47">
        <f>RawData!CR22</f>
        <v>44783.638194444444</v>
      </c>
      <c r="CW24" s="65">
        <f>RawData!DK22</f>
        <v>38300</v>
      </c>
      <c r="CX24" s="65">
        <f>RawData!DL22</f>
        <v>3400000</v>
      </c>
      <c r="CY24" s="65">
        <f>RawData!DM22</f>
        <v>38500</v>
      </c>
      <c r="CZ24" s="65">
        <f>RawData!DN22</f>
        <v>0</v>
      </c>
      <c r="DA24" s="65">
        <f>RawData!DO22</f>
        <v>24500</v>
      </c>
      <c r="DB24" s="65">
        <f>RawData!DP22</f>
        <v>2863350</v>
      </c>
      <c r="DC24" s="65">
        <f>RawData!DQ22</f>
        <v>38000</v>
      </c>
      <c r="DD24" s="65">
        <f>RawData!DR22</f>
        <v>0</v>
      </c>
      <c r="DE24" s="65">
        <f>RawData!DS22</f>
        <v>24500</v>
      </c>
      <c r="DF24" s="65" t="str">
        <f>RawData!DT22</f>
        <v>BANKNIFTY</v>
      </c>
      <c r="DG24" s="66">
        <f>RawData!DU22</f>
        <v>44784</v>
      </c>
      <c r="DI24" s="21">
        <f t="shared" si="0"/>
        <v>6895.69921875</v>
      </c>
    </row>
    <row r="25" spans="1:113" x14ac:dyDescent="0.2">
      <c r="A25" s="59">
        <f>RawData!CN23</f>
        <v>44783.638194444444</v>
      </c>
      <c r="B25" s="44">
        <f>RawData!CH23</f>
        <v>0</v>
      </c>
      <c r="C25" s="44">
        <f>RawData!CG23</f>
        <v>750</v>
      </c>
      <c r="D25" s="43">
        <f>RawData!CF23</f>
        <v>5833.0498046875</v>
      </c>
      <c r="E25" s="44">
        <f>RawData!CE23</f>
        <v>50</v>
      </c>
      <c r="F25" s="43">
        <f>RawData!CD23</f>
        <v>6869.9501953125</v>
      </c>
      <c r="G25" s="44">
        <f>RawData!CC23</f>
        <v>0</v>
      </c>
      <c r="H25" s="44">
        <f>RawData!CB23</f>
        <v>0</v>
      </c>
      <c r="I25" s="44">
        <f>RawData!CA23</f>
        <v>0</v>
      </c>
      <c r="J25" s="44">
        <f>RawData!BZ23</f>
        <v>0</v>
      </c>
      <c r="K25" s="40">
        <f>RawData!BY23</f>
        <v>0</v>
      </c>
      <c r="L25" s="40">
        <f>RawData!BX23</f>
        <v>0</v>
      </c>
      <c r="M25" s="40">
        <f>RawData!BW23</f>
        <v>0</v>
      </c>
      <c r="N25" s="40">
        <f>RawData!BV23</f>
        <v>0</v>
      </c>
      <c r="O25" s="36">
        <f>RawData!BU23</f>
        <v>0</v>
      </c>
      <c r="P25" s="36">
        <f>RawData!BT23</f>
        <v>0</v>
      </c>
      <c r="Q25" s="36">
        <f>RawData!BS23</f>
        <v>0</v>
      </c>
      <c r="R25" s="36">
        <f>RawData!BR23</f>
        <v>0</v>
      </c>
      <c r="S25" s="37">
        <f>RawData!BQ23</f>
        <v>0</v>
      </c>
      <c r="T25" s="37">
        <f>RawData!BP23</f>
        <v>0</v>
      </c>
      <c r="U25" s="38">
        <f>RawData!BO23</f>
        <v>0</v>
      </c>
      <c r="V25" s="38">
        <f>RawData!BN23</f>
        <v>0</v>
      </c>
      <c r="W25" s="39">
        <f>RawData!BM23</f>
        <v>0</v>
      </c>
      <c r="X25" s="39">
        <f>RawData!BL23</f>
        <v>0</v>
      </c>
      <c r="Y25" s="38">
        <f>RawData!BJ23</f>
        <v>0</v>
      </c>
      <c r="Z25" s="38">
        <f>RawData!BI23</f>
        <v>0</v>
      </c>
      <c r="AA25" s="40">
        <f>RawData!BH23</f>
        <v>0</v>
      </c>
      <c r="AB25" s="40">
        <f>RawData!BG23</f>
        <v>0</v>
      </c>
      <c r="AC25" s="40">
        <f>RawData!BF23</f>
        <v>0</v>
      </c>
      <c r="AD25" s="40">
        <f>RawData!BE23</f>
        <v>0</v>
      </c>
      <c r="AE25" s="40">
        <f>RawData!BD23</f>
        <v>0</v>
      </c>
      <c r="AF25" s="40">
        <f>RawData!BC23</f>
        <v>0</v>
      </c>
      <c r="AG25" s="41">
        <f>RawData!BB23</f>
        <v>0</v>
      </c>
      <c r="AH25" s="42">
        <f>RawData!DB23</f>
        <v>0</v>
      </c>
      <c r="AI25" s="41">
        <f>RawData!BA23</f>
        <v>0</v>
      </c>
      <c r="AJ25" s="43">
        <f>RawData!DA23</f>
        <v>0</v>
      </c>
      <c r="AK25" s="41">
        <f>RawData!AZ23</f>
        <v>0</v>
      </c>
      <c r="AL25" s="42">
        <f>RawData!DD23</f>
        <v>0</v>
      </c>
      <c r="AM25" s="44">
        <f>RawData!DC23</f>
        <v>0</v>
      </c>
      <c r="AN25" s="45">
        <f>RawData!BK23</f>
        <v>0</v>
      </c>
      <c r="AO25" s="44">
        <f>RawData!AY23</f>
        <v>0</v>
      </c>
      <c r="AP25" s="43" t="str">
        <f>RawData!DH23</f>
        <v>W</v>
      </c>
      <c r="AQ25" s="43">
        <f>RawData!DE23</f>
        <v>0</v>
      </c>
      <c r="AR25" s="42">
        <f>RawData!CZ23</f>
        <v>0</v>
      </c>
      <c r="AS25" s="44">
        <f>RawData!AX23</f>
        <v>0</v>
      </c>
      <c r="AT25" s="43">
        <f>RawData!CY23</f>
        <v>0</v>
      </c>
      <c r="AU25" s="44">
        <f>RawData!AW23</f>
        <v>0</v>
      </c>
      <c r="AV25" s="46">
        <f>RawData!O23</f>
        <v>31500</v>
      </c>
      <c r="AW25" s="44">
        <f>RawData!AV23</f>
        <v>1.8500000238418579</v>
      </c>
      <c r="AX25" s="44">
        <f>RawData!CW23</f>
        <v>1.8500000238418579</v>
      </c>
      <c r="AY25" s="44">
        <f>RawData!AU23</f>
        <v>0</v>
      </c>
      <c r="AZ25" s="42">
        <f>RawData!CX23</f>
        <v>0</v>
      </c>
      <c r="BA25" s="44">
        <f>RawData!DF23</f>
        <v>1.8500000238418579</v>
      </c>
      <c r="BB25" s="43" t="str">
        <f>RawData!DI23</f>
        <v>W</v>
      </c>
      <c r="BC25" s="44">
        <f>RawData!AT23</f>
        <v>131.52050971984863</v>
      </c>
      <c r="BD25" s="45">
        <f>RawData!AP23</f>
        <v>131.52050971984863</v>
      </c>
      <c r="BE25" s="44">
        <f>RawData!CS23</f>
        <v>-1.0251998901367188E-3</v>
      </c>
      <c r="BF25" s="42">
        <f>RawData!CT23</f>
        <v>-7.7949203585735871E-6</v>
      </c>
      <c r="BG25" s="41">
        <f>RawData!AS23</f>
        <v>33600</v>
      </c>
      <c r="BH25" s="41">
        <f>RawData!CU23</f>
        <v>33550</v>
      </c>
      <c r="BI25" s="41">
        <f>RawData!AR23</f>
        <v>50</v>
      </c>
      <c r="BJ25" s="42">
        <f>RawData!CV23</f>
        <v>1.4903129657228018E-3</v>
      </c>
      <c r="BK25" s="41">
        <f>RawData!AQ23</f>
        <v>123475</v>
      </c>
      <c r="BL25" s="40">
        <f>RawData!AO23</f>
        <v>-2.2983972448855639E-3</v>
      </c>
      <c r="BM25" s="40">
        <f>RawData!AN23</f>
        <v>-3.6088749766349792E-7</v>
      </c>
      <c r="BN25" s="40">
        <f>RawData!AM23</f>
        <v>-1.8500000238418579</v>
      </c>
      <c r="BO25" s="40">
        <f>RawData!AL23</f>
        <v>0</v>
      </c>
      <c r="BP25" s="40">
        <f>RawData!AK23</f>
        <v>0.14621053636074066</v>
      </c>
      <c r="BQ25" s="40">
        <f>RawData!AJ23</f>
        <v>-2.5480985641479492E-6</v>
      </c>
      <c r="BR25" s="38">
        <f>RawData!AI23</f>
        <v>2.6900713692157296E-6</v>
      </c>
      <c r="BS25" s="38">
        <f>RawData!AH23</f>
        <v>8.3286977314855903E-10</v>
      </c>
      <c r="BT25" s="40">
        <f>RawData!AG23</f>
        <v>-46.508022308349609</v>
      </c>
      <c r="BU25" s="39">
        <f>RawData!AF23</f>
        <v>6.931304931640625E-3</v>
      </c>
      <c r="BV25" s="39">
        <f>RawData!AE23</f>
        <v>29.739198684692383</v>
      </c>
      <c r="BW25" s="38">
        <f>RawData!AD23</f>
        <v>3.0460357666015625E-3</v>
      </c>
      <c r="BX25" s="38">
        <f>RawData!AC23</f>
        <v>-2.9216589148006733E-9</v>
      </c>
      <c r="BY25" s="37">
        <f>RawData!AB23</f>
        <v>-1.333377852574813E-12</v>
      </c>
      <c r="BZ25" s="37">
        <f>RawData!AA23</f>
        <v>1.3977525668451563E-5</v>
      </c>
      <c r="CA25" s="36">
        <f>RawData!Z23</f>
        <v>3.9181031752377748E-9</v>
      </c>
      <c r="CB25" s="36">
        <f>RawData!Y23</f>
        <v>8.9378218035562895E-6</v>
      </c>
      <c r="CC25" s="36">
        <f>RawData!X23</f>
        <v>4.75210981676355E-9</v>
      </c>
      <c r="CD25" s="36">
        <f>RawData!W23</f>
        <v>267941.4375</v>
      </c>
      <c r="CE25" s="40">
        <f>RawData!V23</f>
        <v>-87.46875</v>
      </c>
      <c r="CF25" s="40">
        <f>RawData!U23</f>
        <v>193204.21875</v>
      </c>
      <c r="CG25" s="40">
        <f>RawData!T23</f>
        <v>-13.765625</v>
      </c>
      <c r="CH25" s="44">
        <f>RawData!S23</f>
        <v>2.5</v>
      </c>
      <c r="CI25" s="44">
        <f>RawData!R23</f>
        <v>2.5499999523162842</v>
      </c>
      <c r="CJ25" s="44">
        <f>RawData!Q23</f>
        <v>1.7000000476837158</v>
      </c>
      <c r="CK25" s="44">
        <f>RawData!P23</f>
        <v>1.8500000238418579</v>
      </c>
      <c r="CL25" s="44">
        <f>RawData!CJ23</f>
        <v>800</v>
      </c>
      <c r="CM25" s="43">
        <f>RawData!CI23</f>
        <v>1.8999999761581421</v>
      </c>
      <c r="CN25" s="44">
        <f>RawData!CL23</f>
        <v>600</v>
      </c>
      <c r="CO25" s="43">
        <f>RawData!CK23</f>
        <v>1.7999999523162842</v>
      </c>
      <c r="CP25" s="44">
        <f>RawData!CM23</f>
        <v>2.1400001049041748</v>
      </c>
      <c r="CQ25" s="47">
        <f>RawData!CO23</f>
        <v>44783.638194444444</v>
      </c>
      <c r="CR25" s="44">
        <f>RawData!CP23</f>
        <v>38295.69921875</v>
      </c>
      <c r="CS25" s="44">
        <f>RawData!DG23</f>
        <v>38295.69921875</v>
      </c>
      <c r="CT25" s="43" t="str">
        <f>RawData!DJ23</f>
        <v>G</v>
      </c>
      <c r="CU25" s="43" t="str">
        <f>RawData!CQ23</f>
        <v>FairPrice</v>
      </c>
      <c r="CV25" s="47">
        <f>RawData!CR23</f>
        <v>44783.638194444444</v>
      </c>
      <c r="CW25" s="65">
        <f>RawData!DK23</f>
        <v>38300</v>
      </c>
      <c r="CX25" s="65">
        <f>RawData!DL23</f>
        <v>3400000</v>
      </c>
      <c r="CY25" s="65">
        <f>RawData!DM23</f>
        <v>38500</v>
      </c>
      <c r="CZ25" s="65">
        <f>RawData!DN23</f>
        <v>0</v>
      </c>
      <c r="DA25" s="65">
        <f>RawData!DO23</f>
        <v>24500</v>
      </c>
      <c r="DB25" s="65">
        <f>RawData!DP23</f>
        <v>2863350</v>
      </c>
      <c r="DC25" s="65">
        <f>RawData!DQ23</f>
        <v>38000</v>
      </c>
      <c r="DD25" s="65">
        <f>RawData!DR23</f>
        <v>0</v>
      </c>
      <c r="DE25" s="65">
        <f>RawData!DS23</f>
        <v>24500</v>
      </c>
      <c r="DF25" s="65" t="str">
        <f>RawData!DT23</f>
        <v>BANKNIFTY</v>
      </c>
      <c r="DG25" s="66">
        <f>RawData!DU23</f>
        <v>44784</v>
      </c>
      <c r="DI25" s="21">
        <f t="shared" si="0"/>
        <v>6795.69921875</v>
      </c>
    </row>
    <row r="26" spans="1:113" x14ac:dyDescent="0.2">
      <c r="A26" s="59">
        <f>RawData!CN24</f>
        <v>44783.638194444444</v>
      </c>
      <c r="B26" s="44">
        <f>RawData!CH24</f>
        <v>0</v>
      </c>
      <c r="C26" s="44">
        <f>RawData!CG24</f>
        <v>500</v>
      </c>
      <c r="D26" s="43">
        <f>RawData!CF24</f>
        <v>6410.5498046875</v>
      </c>
      <c r="E26" s="44">
        <f>RawData!CE24</f>
        <v>750</v>
      </c>
      <c r="F26" s="43">
        <f>RawData!CD24</f>
        <v>6872.4501953125</v>
      </c>
      <c r="G26" s="44">
        <f>RawData!CC24</f>
        <v>0</v>
      </c>
      <c r="H26" s="44">
        <f>RawData!CB24</f>
        <v>0</v>
      </c>
      <c r="I26" s="44">
        <f>RawData!CA24</f>
        <v>0</v>
      </c>
      <c r="J26" s="44">
        <f>RawData!BZ24</f>
        <v>0</v>
      </c>
      <c r="K26" s="40">
        <f>RawData!BY24</f>
        <v>0</v>
      </c>
      <c r="L26" s="40">
        <f>RawData!BX24</f>
        <v>0</v>
      </c>
      <c r="M26" s="40">
        <f>RawData!BW24</f>
        <v>0</v>
      </c>
      <c r="N26" s="40">
        <f>RawData!BV24</f>
        <v>0</v>
      </c>
      <c r="O26" s="36">
        <f>RawData!BU24</f>
        <v>0</v>
      </c>
      <c r="P26" s="36">
        <f>RawData!BT24</f>
        <v>0</v>
      </c>
      <c r="Q26" s="36">
        <f>RawData!BS24</f>
        <v>0</v>
      </c>
      <c r="R26" s="36">
        <f>RawData!BR24</f>
        <v>0</v>
      </c>
      <c r="S26" s="37">
        <f>RawData!BQ24</f>
        <v>0</v>
      </c>
      <c r="T26" s="37">
        <f>RawData!BP24</f>
        <v>0</v>
      </c>
      <c r="U26" s="38">
        <f>RawData!BO24</f>
        <v>0</v>
      </c>
      <c r="V26" s="38">
        <f>RawData!BN24</f>
        <v>0</v>
      </c>
      <c r="W26" s="39">
        <f>RawData!BM24</f>
        <v>0</v>
      </c>
      <c r="X26" s="39">
        <f>RawData!BL24</f>
        <v>0</v>
      </c>
      <c r="Y26" s="38">
        <f>RawData!BJ24</f>
        <v>0</v>
      </c>
      <c r="Z26" s="38">
        <f>RawData!BI24</f>
        <v>0</v>
      </c>
      <c r="AA26" s="40">
        <f>RawData!BH24</f>
        <v>0</v>
      </c>
      <c r="AB26" s="40">
        <f>RawData!BG24</f>
        <v>0</v>
      </c>
      <c r="AC26" s="40">
        <f>RawData!BF24</f>
        <v>0</v>
      </c>
      <c r="AD26" s="40">
        <f>RawData!BE24</f>
        <v>0</v>
      </c>
      <c r="AE26" s="40">
        <f>RawData!BD24</f>
        <v>0</v>
      </c>
      <c r="AF26" s="40">
        <f>RawData!BC24</f>
        <v>0</v>
      </c>
      <c r="AG26" s="41">
        <f>RawData!BB24</f>
        <v>0</v>
      </c>
      <c r="AH26" s="42">
        <f>RawData!DB24</f>
        <v>0</v>
      </c>
      <c r="AI26" s="41">
        <f>RawData!BA24</f>
        <v>0</v>
      </c>
      <c r="AJ26" s="43">
        <f>RawData!DA24</f>
        <v>0</v>
      </c>
      <c r="AK26" s="41">
        <f>RawData!AZ24</f>
        <v>0</v>
      </c>
      <c r="AL26" s="42">
        <f>RawData!DD24</f>
        <v>0</v>
      </c>
      <c r="AM26" s="44">
        <f>RawData!DC24</f>
        <v>0</v>
      </c>
      <c r="AN26" s="45">
        <f>RawData!BK24</f>
        <v>0</v>
      </c>
      <c r="AO26" s="44">
        <f>RawData!AY24</f>
        <v>0</v>
      </c>
      <c r="AP26" s="43" t="str">
        <f>RawData!DH24</f>
        <v>W</v>
      </c>
      <c r="AQ26" s="43">
        <f>RawData!DE24</f>
        <v>0</v>
      </c>
      <c r="AR26" s="42">
        <f>RawData!CZ24</f>
        <v>0</v>
      </c>
      <c r="AS26" s="44">
        <f>RawData!AX24</f>
        <v>0</v>
      </c>
      <c r="AT26" s="43">
        <f>RawData!CY24</f>
        <v>0</v>
      </c>
      <c r="AU26" s="44">
        <f>RawData!AW24</f>
        <v>0</v>
      </c>
      <c r="AV26" s="46">
        <f>RawData!O24</f>
        <v>31600</v>
      </c>
      <c r="AW26" s="44">
        <f>RawData!AV24</f>
        <v>2</v>
      </c>
      <c r="AX26" s="44">
        <f>RawData!CW24</f>
        <v>2</v>
      </c>
      <c r="AY26" s="44">
        <f>RawData!AU24</f>
        <v>0</v>
      </c>
      <c r="AZ26" s="42">
        <f>RawData!CX24</f>
        <v>0</v>
      </c>
      <c r="BA26" s="44">
        <f>RawData!DF24</f>
        <v>2</v>
      </c>
      <c r="BB26" s="43" t="str">
        <f>RawData!DI24</f>
        <v>W</v>
      </c>
      <c r="BC26" s="44">
        <f>RawData!AT24</f>
        <v>130.53258657455444</v>
      </c>
      <c r="BD26" s="45">
        <f>RawData!AP24</f>
        <v>130.53258657455444</v>
      </c>
      <c r="BE26" s="44">
        <f>RawData!CS24</f>
        <v>-6.9141387939453125E-4</v>
      </c>
      <c r="BF26" s="42">
        <f>RawData!CT24</f>
        <v>-5.2968399326936025E-6</v>
      </c>
      <c r="BG26" s="41">
        <f>RawData!AS24</f>
        <v>1350</v>
      </c>
      <c r="BH26" s="41">
        <f>RawData!CU24</f>
        <v>425</v>
      </c>
      <c r="BI26" s="41">
        <f>RawData!AR24</f>
        <v>925</v>
      </c>
      <c r="BJ26" s="42">
        <f>RawData!CV24</f>
        <v>2.1764705882352939</v>
      </c>
      <c r="BK26" s="41">
        <f>RawData!AQ24</f>
        <v>16100</v>
      </c>
      <c r="BL26" s="40">
        <f>RawData!AO24</f>
        <v>-2.4877279065549374E-3</v>
      </c>
      <c r="BM26" s="40">
        <f>RawData!AN24</f>
        <v>-1.3760291039943695E-7</v>
      </c>
      <c r="BN26" s="40">
        <f>RawData!AM24</f>
        <v>-2</v>
      </c>
      <c r="BO26" s="40">
        <f>RawData!AL24</f>
        <v>0</v>
      </c>
      <c r="BP26" s="40">
        <f>RawData!AK24</f>
        <v>0.1570383608341217</v>
      </c>
      <c r="BQ26" s="40">
        <f>RawData!AJ24</f>
        <v>-5.9604644775390625E-7</v>
      </c>
      <c r="BR26" s="38">
        <f>RawData!AI24</f>
        <v>2.9122834348527249E-6</v>
      </c>
      <c r="BS26" s="38">
        <f>RawData!AH24</f>
        <v>3.1741365091875196E-10</v>
      </c>
      <c r="BT26" s="40">
        <f>RawData!AG24</f>
        <v>-43.228282928466797</v>
      </c>
      <c r="BU26" s="39">
        <f>RawData!AF24</f>
        <v>2.15911865234375E-3</v>
      </c>
      <c r="BV26" s="39">
        <f>RawData!AE24</f>
        <v>27.441478729248047</v>
      </c>
      <c r="BW26" s="38">
        <f>RawData!AD24</f>
        <v>8.563995361328125E-4</v>
      </c>
      <c r="BX26" s="38">
        <f>RawData!AC24</f>
        <v>-3.1590996485419964E-9</v>
      </c>
      <c r="BY26" s="37">
        <f>RawData!AB24</f>
        <v>-5.0737192225369654E-13</v>
      </c>
      <c r="BZ26" s="37">
        <f>RawData!AA24</f>
        <v>1.4934303180780262E-5</v>
      </c>
      <c r="CA26" s="36">
        <f>RawData!Z24</f>
        <v>1.507942215539515E-9</v>
      </c>
      <c r="CB26" s="36">
        <f>RawData!Y24</f>
        <v>9.4803517640684731E-6</v>
      </c>
      <c r="CC26" s="36">
        <f>RawData!X24</f>
        <v>1.7253114492632449E-9</v>
      </c>
      <c r="CD26" s="36">
        <f>RawData!W24</f>
        <v>246767.15625</v>
      </c>
      <c r="CE26" s="40">
        <f>RawData!V24</f>
        <v>-27.125</v>
      </c>
      <c r="CF26" s="40">
        <f>RawData!U24</f>
        <v>177009.21875</v>
      </c>
      <c r="CG26" s="40">
        <f>RawData!T24</f>
        <v>-4.84375</v>
      </c>
      <c r="CH26" s="44">
        <f>RawData!S24</f>
        <v>2.5999999046325684</v>
      </c>
      <c r="CI26" s="44">
        <f>RawData!R24</f>
        <v>2.6500000953674316</v>
      </c>
      <c r="CJ26" s="44">
        <f>RawData!Q24</f>
        <v>1.6499999761581421</v>
      </c>
      <c r="CK26" s="44">
        <f>RawData!P24</f>
        <v>2</v>
      </c>
      <c r="CL26" s="44">
        <f>RawData!CJ24</f>
        <v>450</v>
      </c>
      <c r="CM26" s="43">
        <f>RawData!CI24</f>
        <v>2</v>
      </c>
      <c r="CN26" s="44">
        <f>RawData!CL24</f>
        <v>225</v>
      </c>
      <c r="CO26" s="43">
        <f>RawData!CK24</f>
        <v>1.7000000476837158</v>
      </c>
      <c r="CP26" s="44">
        <f>RawData!CM24</f>
        <v>2.2300000190734863</v>
      </c>
      <c r="CQ26" s="47">
        <f>RawData!CO24</f>
        <v>44783.638194444444</v>
      </c>
      <c r="CR26" s="44">
        <f>RawData!CP24</f>
        <v>38295.69921875</v>
      </c>
      <c r="CS26" s="44">
        <f>RawData!DG24</f>
        <v>38295.69921875</v>
      </c>
      <c r="CT26" s="43" t="str">
        <f>RawData!DJ24</f>
        <v>G</v>
      </c>
      <c r="CU26" s="43" t="str">
        <f>RawData!CQ24</f>
        <v>FairPrice</v>
      </c>
      <c r="CV26" s="47">
        <f>RawData!CR24</f>
        <v>44783.638194444444</v>
      </c>
      <c r="CW26" s="65">
        <f>RawData!DK24</f>
        <v>38300</v>
      </c>
      <c r="CX26" s="65">
        <f>RawData!DL24</f>
        <v>3400000</v>
      </c>
      <c r="CY26" s="65">
        <f>RawData!DM24</f>
        <v>38500</v>
      </c>
      <c r="CZ26" s="65">
        <f>RawData!DN24</f>
        <v>0</v>
      </c>
      <c r="DA26" s="65">
        <f>RawData!DO24</f>
        <v>24500</v>
      </c>
      <c r="DB26" s="65">
        <f>RawData!DP24</f>
        <v>2863350</v>
      </c>
      <c r="DC26" s="65">
        <f>RawData!DQ24</f>
        <v>38000</v>
      </c>
      <c r="DD26" s="65">
        <f>RawData!DR24</f>
        <v>0</v>
      </c>
      <c r="DE26" s="65">
        <f>RawData!DS24</f>
        <v>24500</v>
      </c>
      <c r="DF26" s="65" t="str">
        <f>RawData!DT24</f>
        <v>BANKNIFTY</v>
      </c>
      <c r="DG26" s="66">
        <f>RawData!DU24</f>
        <v>44784</v>
      </c>
      <c r="DI26" s="21">
        <f t="shared" si="0"/>
        <v>6695.69921875</v>
      </c>
    </row>
    <row r="27" spans="1:113" x14ac:dyDescent="0.2">
      <c r="A27" s="59">
        <f>RawData!CN25</f>
        <v>44783.636701388888</v>
      </c>
      <c r="B27" s="44">
        <f>RawData!CH25</f>
        <v>0</v>
      </c>
      <c r="C27" s="44">
        <f>RawData!CG25</f>
        <v>0</v>
      </c>
      <c r="D27" s="43">
        <f>RawData!CF25</f>
        <v>0</v>
      </c>
      <c r="E27" s="44">
        <f>RawData!CE25</f>
        <v>0</v>
      </c>
      <c r="F27" s="43">
        <f>RawData!CD25</f>
        <v>0</v>
      </c>
      <c r="G27" s="44">
        <f>RawData!CC25</f>
        <v>0</v>
      </c>
      <c r="H27" s="44">
        <f>RawData!CB25</f>
        <v>0</v>
      </c>
      <c r="I27" s="44">
        <f>RawData!CA25</f>
        <v>0</v>
      </c>
      <c r="J27" s="44">
        <f>RawData!BZ25</f>
        <v>0</v>
      </c>
      <c r="K27" s="40">
        <f>RawData!BY25</f>
        <v>0</v>
      </c>
      <c r="L27" s="40">
        <f>RawData!BX25</f>
        <v>0</v>
      </c>
      <c r="M27" s="40">
        <f>RawData!BW25</f>
        <v>0</v>
      </c>
      <c r="N27" s="40">
        <f>RawData!BV25</f>
        <v>0</v>
      </c>
      <c r="O27" s="36">
        <f>RawData!BU25</f>
        <v>0</v>
      </c>
      <c r="P27" s="36">
        <f>RawData!BT25</f>
        <v>0</v>
      </c>
      <c r="Q27" s="36">
        <f>RawData!BS25</f>
        <v>0</v>
      </c>
      <c r="R27" s="36">
        <f>RawData!BR25</f>
        <v>0</v>
      </c>
      <c r="S27" s="37">
        <f>RawData!BQ25</f>
        <v>0</v>
      </c>
      <c r="T27" s="37">
        <f>RawData!BP25</f>
        <v>0</v>
      </c>
      <c r="U27" s="38">
        <f>RawData!BO25</f>
        <v>0</v>
      </c>
      <c r="V27" s="38">
        <f>RawData!BN25</f>
        <v>0</v>
      </c>
      <c r="W27" s="39">
        <f>RawData!BM25</f>
        <v>0</v>
      </c>
      <c r="X27" s="39">
        <f>RawData!BL25</f>
        <v>0</v>
      </c>
      <c r="Y27" s="38">
        <f>RawData!BJ25</f>
        <v>0</v>
      </c>
      <c r="Z27" s="38">
        <f>RawData!BI25</f>
        <v>0</v>
      </c>
      <c r="AA27" s="40">
        <f>RawData!BH25</f>
        <v>0</v>
      </c>
      <c r="AB27" s="40">
        <f>RawData!BG25</f>
        <v>0</v>
      </c>
      <c r="AC27" s="40">
        <f>RawData!BF25</f>
        <v>0</v>
      </c>
      <c r="AD27" s="40">
        <f>RawData!BE25</f>
        <v>0</v>
      </c>
      <c r="AE27" s="40">
        <f>RawData!BD25</f>
        <v>0</v>
      </c>
      <c r="AF27" s="40">
        <f>RawData!BC25</f>
        <v>0</v>
      </c>
      <c r="AG27" s="41">
        <f>RawData!BB25</f>
        <v>0</v>
      </c>
      <c r="AH27" s="42">
        <f>RawData!DB25</f>
        <v>0</v>
      </c>
      <c r="AI27" s="41">
        <f>RawData!BA25</f>
        <v>0</v>
      </c>
      <c r="AJ27" s="43">
        <f>RawData!DA25</f>
        <v>0</v>
      </c>
      <c r="AK27" s="41">
        <f>RawData!AZ25</f>
        <v>0</v>
      </c>
      <c r="AL27" s="42">
        <f>RawData!DD25</f>
        <v>0</v>
      </c>
      <c r="AM27" s="44">
        <f>RawData!DC25</f>
        <v>0</v>
      </c>
      <c r="AN27" s="45">
        <f>RawData!BK25</f>
        <v>0</v>
      </c>
      <c r="AO27" s="44">
        <f>RawData!AY25</f>
        <v>0</v>
      </c>
      <c r="AP27" s="43" t="str">
        <f>RawData!DH25</f>
        <v>R</v>
      </c>
      <c r="AQ27" s="43">
        <f>RawData!DE25</f>
        <v>3597.05</v>
      </c>
      <c r="AR27" s="42">
        <f>RawData!CZ25</f>
        <v>-1</v>
      </c>
      <c r="AS27" s="44">
        <f>RawData!AX25</f>
        <v>-3597.05</v>
      </c>
      <c r="AT27" s="43">
        <f>RawData!CY25</f>
        <v>3597.05</v>
      </c>
      <c r="AU27" s="44">
        <f>RawData!AW25</f>
        <v>0</v>
      </c>
      <c r="AV27" s="46">
        <f>RawData!O25</f>
        <v>31700</v>
      </c>
      <c r="AW27" s="44">
        <f>RawData!AV25</f>
        <v>1.9500000476837158</v>
      </c>
      <c r="AX27" s="44">
        <f>RawData!CW25</f>
        <v>1.9500000476837158</v>
      </c>
      <c r="AY27" s="44">
        <f>RawData!AU25</f>
        <v>0</v>
      </c>
      <c r="AZ27" s="42">
        <f>RawData!CX25</f>
        <v>0</v>
      </c>
      <c r="BA27" s="44">
        <f>RawData!DF25</f>
        <v>1.9500000476837158</v>
      </c>
      <c r="BB27" s="43" t="str">
        <f>RawData!DI25</f>
        <v>W</v>
      </c>
      <c r="BC27" s="44">
        <f>RawData!AT25</f>
        <v>128.2588005065918</v>
      </c>
      <c r="BD27" s="45">
        <f>RawData!AP25</f>
        <v>128.2588005065918</v>
      </c>
      <c r="BE27" s="44">
        <f>RawData!CS25</f>
        <v>1.1479854583740234E-2</v>
      </c>
      <c r="BF27" s="42">
        <f>RawData!CT25</f>
        <v>8.9513406793816604E-5</v>
      </c>
      <c r="BG27" s="41">
        <f>RawData!AS25</f>
        <v>5475</v>
      </c>
      <c r="BH27" s="41">
        <f>RawData!CU25</f>
        <v>1325</v>
      </c>
      <c r="BI27" s="41">
        <f>RawData!AR25</f>
        <v>4150</v>
      </c>
      <c r="BJ27" s="42">
        <f>RawData!CV25</f>
        <v>3.1320754716981134</v>
      </c>
      <c r="BK27" s="41">
        <f>RawData!AQ25</f>
        <v>24750</v>
      </c>
      <c r="BL27" s="40">
        <f>RawData!AO25</f>
        <v>-2.4708048440515995E-3</v>
      </c>
      <c r="BM27" s="40">
        <f>RawData!AN25</f>
        <v>1.9045546650886536E-7</v>
      </c>
      <c r="BN27" s="40">
        <f>RawData!AM25</f>
        <v>-1.9500000476837158</v>
      </c>
      <c r="BO27" s="40">
        <f>RawData!AL25</f>
        <v>0</v>
      </c>
      <c r="BP27" s="40">
        <f>RawData!AK25</f>
        <v>0.15607236325740814</v>
      </c>
      <c r="BQ27" s="40">
        <f>RawData!AJ25</f>
        <v>-1.1995434761047363E-5</v>
      </c>
      <c r="BR27" s="38">
        <f>RawData!AI25</f>
        <v>2.9456650736392476E-6</v>
      </c>
      <c r="BS27" s="38">
        <f>RawData!AH25</f>
        <v>-4.4747139327228069E-10</v>
      </c>
      <c r="BT27" s="40">
        <f>RawData!AG25</f>
        <v>-44.322063446044922</v>
      </c>
      <c r="BU27" s="39">
        <f>RawData!AF25</f>
        <v>5.53131103515625E-4</v>
      </c>
      <c r="BV27" s="39">
        <f>RawData!AE25</f>
        <v>27.645708084106445</v>
      </c>
      <c r="BW27" s="38">
        <f>RawData!AD25</f>
        <v>3.3245086669921875E-3</v>
      </c>
      <c r="BX27" s="38">
        <f>RawData!AC25</f>
        <v>-3.2530675930786401E-9</v>
      </c>
      <c r="BY27" s="37">
        <f>RawData!AB25</f>
        <v>7.2852834875902772E-13</v>
      </c>
      <c r="BZ27" s="37">
        <f>RawData!AA25</f>
        <v>1.5409072148031555E-5</v>
      </c>
      <c r="CA27" s="36">
        <f>RawData!Z25</f>
        <v>-3.434251993894577E-9</v>
      </c>
      <c r="CB27" s="36">
        <f>RawData!Y25</f>
        <v>9.611346285964828E-6</v>
      </c>
      <c r="CC27" s="36">
        <f>RawData!X25</f>
        <v>-8.6583895608782768E-10</v>
      </c>
      <c r="CD27" s="36">
        <f>RawData!W25</f>
        <v>253209.53125</v>
      </c>
      <c r="CE27" s="40">
        <f>RawData!V25</f>
        <v>-2.765625</v>
      </c>
      <c r="CF27" s="40">
        <f>RawData!U25</f>
        <v>178425.03125</v>
      </c>
      <c r="CG27" s="40">
        <f>RawData!T25</f>
        <v>21.390625</v>
      </c>
      <c r="CH27" s="44">
        <f>RawData!S25</f>
        <v>1.75</v>
      </c>
      <c r="CI27" s="44">
        <f>RawData!R25</f>
        <v>3.7000000476837158</v>
      </c>
      <c r="CJ27" s="44">
        <f>RawData!Q25</f>
        <v>1.7000000476837158</v>
      </c>
      <c r="CK27" s="44">
        <f>RawData!P25</f>
        <v>1.9500000476837158</v>
      </c>
      <c r="CL27" s="44">
        <f>RawData!CJ25</f>
        <v>450</v>
      </c>
      <c r="CM27" s="43">
        <f>RawData!CI25</f>
        <v>2.0499999523162842</v>
      </c>
      <c r="CN27" s="44">
        <f>RawData!CL25</f>
        <v>600</v>
      </c>
      <c r="CO27" s="43">
        <f>RawData!CK25</f>
        <v>1.8999999761581421</v>
      </c>
      <c r="CP27" s="44">
        <f>RawData!CM25</f>
        <v>2.2200000286102295</v>
      </c>
      <c r="CQ27" s="47">
        <f>RawData!CO25</f>
        <v>44783.638194444444</v>
      </c>
      <c r="CR27" s="44">
        <f>RawData!CP25</f>
        <v>38295.69921875</v>
      </c>
      <c r="CS27" s="44">
        <f>RawData!DG25</f>
        <v>38295.69921875</v>
      </c>
      <c r="CT27" s="43" t="str">
        <f>RawData!DJ25</f>
        <v>G</v>
      </c>
      <c r="CU27" s="43" t="str">
        <f>RawData!CQ25</f>
        <v>FairPrice</v>
      </c>
      <c r="CV27" s="47">
        <f>RawData!CR25</f>
        <v>44783.638194444444</v>
      </c>
      <c r="CW27" s="65">
        <f>RawData!DK25</f>
        <v>38300</v>
      </c>
      <c r="CX27" s="65">
        <f>RawData!DL25</f>
        <v>3400000</v>
      </c>
      <c r="CY27" s="65">
        <f>RawData!DM25</f>
        <v>38500</v>
      </c>
      <c r="CZ27" s="65">
        <f>RawData!DN25</f>
        <v>0</v>
      </c>
      <c r="DA27" s="65">
        <f>RawData!DO25</f>
        <v>24500</v>
      </c>
      <c r="DB27" s="65">
        <f>RawData!DP25</f>
        <v>2863350</v>
      </c>
      <c r="DC27" s="65">
        <f>RawData!DQ25</f>
        <v>38000</v>
      </c>
      <c r="DD27" s="65">
        <f>RawData!DR25</f>
        <v>0</v>
      </c>
      <c r="DE27" s="65">
        <f>RawData!DS25</f>
        <v>24500</v>
      </c>
      <c r="DF27" s="65" t="str">
        <f>RawData!DT25</f>
        <v>BANKNIFTY</v>
      </c>
      <c r="DG27" s="66">
        <f>RawData!DU25</f>
        <v>44784</v>
      </c>
      <c r="DI27" s="21">
        <f t="shared" si="0"/>
        <v>6595.69921875</v>
      </c>
    </row>
    <row r="28" spans="1:113" x14ac:dyDescent="0.2">
      <c r="A28" s="59">
        <f>RawData!CN26</f>
        <v>44783.636701388888</v>
      </c>
      <c r="B28" s="44">
        <f>RawData!CH26</f>
        <v>0</v>
      </c>
      <c r="C28" s="44">
        <f>RawData!CG26</f>
        <v>0</v>
      </c>
      <c r="D28" s="43">
        <f>RawData!CF26</f>
        <v>0</v>
      </c>
      <c r="E28" s="44">
        <f>RawData!CE26</f>
        <v>0</v>
      </c>
      <c r="F28" s="43">
        <f>RawData!CD26</f>
        <v>0</v>
      </c>
      <c r="G28" s="44">
        <f>RawData!CC26</f>
        <v>0</v>
      </c>
      <c r="H28" s="44">
        <f>RawData!CB26</f>
        <v>0</v>
      </c>
      <c r="I28" s="44">
        <f>RawData!CA26</f>
        <v>0</v>
      </c>
      <c r="J28" s="44">
        <f>RawData!BZ26</f>
        <v>0</v>
      </c>
      <c r="K28" s="40">
        <f>RawData!BY26</f>
        <v>0</v>
      </c>
      <c r="L28" s="40">
        <f>RawData!BX26</f>
        <v>0</v>
      </c>
      <c r="M28" s="40">
        <f>RawData!BW26</f>
        <v>0</v>
      </c>
      <c r="N28" s="40">
        <f>RawData!BV26</f>
        <v>0</v>
      </c>
      <c r="O28" s="36">
        <f>RawData!BU26</f>
        <v>0</v>
      </c>
      <c r="P28" s="36">
        <f>RawData!BT26</f>
        <v>0</v>
      </c>
      <c r="Q28" s="36">
        <f>RawData!BS26</f>
        <v>0</v>
      </c>
      <c r="R28" s="36">
        <f>RawData!BR26</f>
        <v>0</v>
      </c>
      <c r="S28" s="37">
        <f>RawData!BQ26</f>
        <v>0</v>
      </c>
      <c r="T28" s="37">
        <f>RawData!BP26</f>
        <v>0</v>
      </c>
      <c r="U28" s="38">
        <f>RawData!BO26</f>
        <v>0</v>
      </c>
      <c r="V28" s="38">
        <f>RawData!BN26</f>
        <v>0</v>
      </c>
      <c r="W28" s="39">
        <f>RawData!BM26</f>
        <v>0</v>
      </c>
      <c r="X28" s="39">
        <f>RawData!BL26</f>
        <v>0</v>
      </c>
      <c r="Y28" s="38">
        <f>RawData!BJ26</f>
        <v>0</v>
      </c>
      <c r="Z28" s="38">
        <f>RawData!BI26</f>
        <v>0</v>
      </c>
      <c r="AA28" s="40">
        <f>RawData!BH26</f>
        <v>0</v>
      </c>
      <c r="AB28" s="40">
        <f>RawData!BG26</f>
        <v>0</v>
      </c>
      <c r="AC28" s="40">
        <f>RawData!BF26</f>
        <v>0</v>
      </c>
      <c r="AD28" s="40">
        <f>RawData!BE26</f>
        <v>0</v>
      </c>
      <c r="AE28" s="40">
        <f>RawData!BD26</f>
        <v>0</v>
      </c>
      <c r="AF28" s="40">
        <f>RawData!BC26</f>
        <v>0</v>
      </c>
      <c r="AG28" s="41">
        <f>RawData!BB26</f>
        <v>0</v>
      </c>
      <c r="AH28" s="42">
        <f>RawData!DB26</f>
        <v>0</v>
      </c>
      <c r="AI28" s="41">
        <f>RawData!BA26</f>
        <v>0</v>
      </c>
      <c r="AJ28" s="43">
        <f>RawData!DA26</f>
        <v>0</v>
      </c>
      <c r="AK28" s="41">
        <f>RawData!AZ26</f>
        <v>0</v>
      </c>
      <c r="AL28" s="42">
        <f>RawData!DD26</f>
        <v>0</v>
      </c>
      <c r="AM28" s="44">
        <f>RawData!DC26</f>
        <v>0</v>
      </c>
      <c r="AN28" s="45">
        <f>RawData!BK26</f>
        <v>0</v>
      </c>
      <c r="AO28" s="44">
        <f>RawData!AY26</f>
        <v>0</v>
      </c>
      <c r="AP28" s="43" t="str">
        <f>RawData!DH26</f>
        <v>R</v>
      </c>
      <c r="AQ28" s="43">
        <f>RawData!DE26</f>
        <v>3512.8</v>
      </c>
      <c r="AR28" s="42">
        <f>RawData!CZ26</f>
        <v>-1</v>
      </c>
      <c r="AS28" s="44">
        <f>RawData!AX26</f>
        <v>-3512.8</v>
      </c>
      <c r="AT28" s="43">
        <f>RawData!CY26</f>
        <v>3512.8</v>
      </c>
      <c r="AU28" s="44">
        <f>RawData!AW26</f>
        <v>0</v>
      </c>
      <c r="AV28" s="46">
        <f>RawData!O26</f>
        <v>31800</v>
      </c>
      <c r="AW28" s="44">
        <f>RawData!AV26</f>
        <v>1.6499999761581421</v>
      </c>
      <c r="AX28" s="44">
        <f>RawData!CW26</f>
        <v>1.6499999761581421</v>
      </c>
      <c r="AY28" s="44">
        <f>RawData!AU26</f>
        <v>0</v>
      </c>
      <c r="AZ28" s="42">
        <f>RawData!CX26</f>
        <v>0</v>
      </c>
      <c r="BA28" s="44">
        <f>RawData!DF26</f>
        <v>1.6499999761581421</v>
      </c>
      <c r="BB28" s="43" t="str">
        <f>RawData!DI26</f>
        <v>W</v>
      </c>
      <c r="BC28" s="44">
        <f>RawData!AT26</f>
        <v>124.27984476089478</v>
      </c>
      <c r="BD28" s="45">
        <f>RawData!AP26</f>
        <v>124.27984476089478</v>
      </c>
      <c r="BE28" s="44">
        <f>RawData!CS26</f>
        <v>-1.888275146484375E-2</v>
      </c>
      <c r="BF28" s="42">
        <f>RawData!CT26</f>
        <v>-1.5191427814871352E-4</v>
      </c>
      <c r="BG28" s="41">
        <f>RawData!AS26</f>
        <v>4975</v>
      </c>
      <c r="BH28" s="41">
        <f>RawData!CU26</f>
        <v>5350</v>
      </c>
      <c r="BI28" s="41">
        <f>RawData!AR26</f>
        <v>-375</v>
      </c>
      <c r="BJ28" s="42">
        <f>RawData!CV26</f>
        <v>-7.0093457943925228E-2</v>
      </c>
      <c r="BK28" s="41">
        <f>RawData!AQ26</f>
        <v>31700</v>
      </c>
      <c r="BL28" s="40">
        <f>RawData!AO26</f>
        <v>-2.1816154476255178E-3</v>
      </c>
      <c r="BM28" s="40">
        <f>RawData!AN26</f>
        <v>-4.8172660171985626E-7</v>
      </c>
      <c r="BN28" s="40">
        <f>RawData!AM26</f>
        <v>-1.6499999761581421</v>
      </c>
      <c r="BO28" s="40">
        <f>RawData!AL26</f>
        <v>0</v>
      </c>
      <c r="BP28" s="40">
        <f>RawData!AK26</f>
        <v>0.13943731784820557</v>
      </c>
      <c r="BQ28" s="40">
        <f>RawData!AJ26</f>
        <v>1.6242265701293945E-5</v>
      </c>
      <c r="BR28" s="38">
        <f>RawData!AI26</f>
        <v>2.7159171622770373E-6</v>
      </c>
      <c r="BS28" s="38">
        <f>RawData!AH26</f>
        <v>1.1830252333311364E-9</v>
      </c>
      <c r="BT28" s="40">
        <f>RawData!AG26</f>
        <v>-51.9810791015625</v>
      </c>
      <c r="BU28" s="39">
        <f>RawData!AF26</f>
        <v>3.582000732421875E-3</v>
      </c>
      <c r="BV28" s="39">
        <f>RawData!AE26</f>
        <v>31.415777206420898</v>
      </c>
      <c r="BW28" s="38">
        <f>RawData!AD26</f>
        <v>-4.21905517578125E-3</v>
      </c>
      <c r="BX28" s="38">
        <f>RawData!AC26</f>
        <v>-3.1358906582568125E-9</v>
      </c>
      <c r="BY28" s="37">
        <f>RawData!AB26</f>
        <v>-2.0150547896946591E-12</v>
      </c>
      <c r="BZ28" s="37">
        <f>RawData!AA26</f>
        <v>1.5161945157160517E-5</v>
      </c>
      <c r="CA28" s="36">
        <f>RawData!Z26</f>
        <v>8.1226971815340221E-9</v>
      </c>
      <c r="CB28" s="36">
        <f>RawData!Y26</f>
        <v>9.1634165073628537E-6</v>
      </c>
      <c r="CC28" s="36">
        <f>RawData!X26</f>
        <v>4.3100953917019069E-9</v>
      </c>
      <c r="CD28" s="36">
        <f>RawData!W26</f>
        <v>301174</v>
      </c>
      <c r="CE28" s="40">
        <f>RawData!V26</f>
        <v>-53.375</v>
      </c>
      <c r="CF28" s="40">
        <f>RawData!U26</f>
        <v>204950.390625</v>
      </c>
      <c r="CG28" s="40">
        <f>RawData!T26</f>
        <v>-48.703125</v>
      </c>
      <c r="CH28" s="44">
        <f>RawData!S26</f>
        <v>2.7000000476837158</v>
      </c>
      <c r="CI28" s="44">
        <f>RawData!R26</f>
        <v>2.7999999523162842</v>
      </c>
      <c r="CJ28" s="44">
        <f>RawData!Q26</f>
        <v>1.4500000476837158</v>
      </c>
      <c r="CK28" s="44">
        <f>RawData!P26</f>
        <v>1.6499999761581421</v>
      </c>
      <c r="CL28" s="44">
        <f>RawData!CJ26</f>
        <v>50</v>
      </c>
      <c r="CM28" s="43">
        <f>RawData!CI26</f>
        <v>2</v>
      </c>
      <c r="CN28" s="44">
        <f>RawData!CL26</f>
        <v>275</v>
      </c>
      <c r="CO28" s="43">
        <f>RawData!CK26</f>
        <v>1.6499999761581421</v>
      </c>
      <c r="CP28" s="44">
        <f>RawData!CM26</f>
        <v>2.2300000190734863</v>
      </c>
      <c r="CQ28" s="47">
        <f>RawData!CO26</f>
        <v>44783.638194444444</v>
      </c>
      <c r="CR28" s="44">
        <f>RawData!CP26</f>
        <v>38295.69921875</v>
      </c>
      <c r="CS28" s="44">
        <f>RawData!DG26</f>
        <v>38295.69921875</v>
      </c>
      <c r="CT28" s="43" t="str">
        <f>RawData!DJ26</f>
        <v>G</v>
      </c>
      <c r="CU28" s="43" t="str">
        <f>RawData!CQ26</f>
        <v>FairPrice</v>
      </c>
      <c r="CV28" s="47">
        <f>RawData!CR26</f>
        <v>44783.638194444444</v>
      </c>
      <c r="CW28" s="65">
        <f>RawData!DK26</f>
        <v>38300</v>
      </c>
      <c r="CX28" s="65">
        <f>RawData!DL26</f>
        <v>3400000</v>
      </c>
      <c r="CY28" s="65">
        <f>RawData!DM26</f>
        <v>38500</v>
      </c>
      <c r="CZ28" s="65">
        <f>RawData!DN26</f>
        <v>0</v>
      </c>
      <c r="DA28" s="65">
        <f>RawData!DO26</f>
        <v>24500</v>
      </c>
      <c r="DB28" s="65">
        <f>RawData!DP26</f>
        <v>2863350</v>
      </c>
      <c r="DC28" s="65">
        <f>RawData!DQ26</f>
        <v>38000</v>
      </c>
      <c r="DD28" s="65">
        <f>RawData!DR26</f>
        <v>0</v>
      </c>
      <c r="DE28" s="65">
        <f>RawData!DS26</f>
        <v>24500</v>
      </c>
      <c r="DF28" s="65" t="str">
        <f>RawData!DT26</f>
        <v>BANKNIFTY</v>
      </c>
      <c r="DG28" s="66">
        <f>RawData!DU26</f>
        <v>44784</v>
      </c>
      <c r="DI28" s="21">
        <f t="shared" si="0"/>
        <v>6495.69921875</v>
      </c>
    </row>
    <row r="29" spans="1:113" x14ac:dyDescent="0.2">
      <c r="A29" s="59">
        <f>RawData!CN27</f>
        <v>44783.638194444444</v>
      </c>
      <c r="B29" s="44">
        <f>RawData!CH27</f>
        <v>0</v>
      </c>
      <c r="C29" s="44">
        <f>RawData!CG27</f>
        <v>750</v>
      </c>
      <c r="D29" s="43">
        <f>RawData!CF27</f>
        <v>6099.7998046875</v>
      </c>
      <c r="E29" s="44">
        <f>RawData!CE27</f>
        <v>800</v>
      </c>
      <c r="F29" s="43">
        <f>RawData!CD27</f>
        <v>6572.2998046875</v>
      </c>
      <c r="G29" s="44">
        <f>RawData!CC27</f>
        <v>0</v>
      </c>
      <c r="H29" s="44">
        <f>RawData!CB27</f>
        <v>0</v>
      </c>
      <c r="I29" s="44">
        <f>RawData!CA27</f>
        <v>0</v>
      </c>
      <c r="J29" s="44">
        <f>RawData!BZ27</f>
        <v>0</v>
      </c>
      <c r="K29" s="40">
        <f>RawData!BY27</f>
        <v>0</v>
      </c>
      <c r="L29" s="40">
        <f>RawData!BX27</f>
        <v>0</v>
      </c>
      <c r="M29" s="40">
        <f>RawData!BW27</f>
        <v>0</v>
      </c>
      <c r="N29" s="40">
        <f>RawData!BV27</f>
        <v>0</v>
      </c>
      <c r="O29" s="36">
        <f>RawData!BU27</f>
        <v>0</v>
      </c>
      <c r="P29" s="36">
        <f>RawData!BT27</f>
        <v>0</v>
      </c>
      <c r="Q29" s="36">
        <f>RawData!BS27</f>
        <v>0</v>
      </c>
      <c r="R29" s="36">
        <f>RawData!BR27</f>
        <v>0</v>
      </c>
      <c r="S29" s="37">
        <f>RawData!BQ27</f>
        <v>0</v>
      </c>
      <c r="T29" s="37">
        <f>RawData!BP27</f>
        <v>0</v>
      </c>
      <c r="U29" s="38">
        <f>RawData!BO27</f>
        <v>0</v>
      </c>
      <c r="V29" s="38">
        <f>RawData!BN27</f>
        <v>0</v>
      </c>
      <c r="W29" s="39">
        <f>RawData!BM27</f>
        <v>0</v>
      </c>
      <c r="X29" s="39">
        <f>RawData!BL27</f>
        <v>0</v>
      </c>
      <c r="Y29" s="38">
        <f>RawData!BJ27</f>
        <v>0</v>
      </c>
      <c r="Z29" s="38">
        <f>RawData!BI27</f>
        <v>0</v>
      </c>
      <c r="AA29" s="40">
        <f>RawData!BH27</f>
        <v>0</v>
      </c>
      <c r="AB29" s="40">
        <f>RawData!BG27</f>
        <v>0</v>
      </c>
      <c r="AC29" s="40">
        <f>RawData!BF27</f>
        <v>0</v>
      </c>
      <c r="AD29" s="40">
        <f>RawData!BE27</f>
        <v>0</v>
      </c>
      <c r="AE29" s="40">
        <f>RawData!BD27</f>
        <v>0</v>
      </c>
      <c r="AF29" s="40">
        <f>RawData!BC27</f>
        <v>0</v>
      </c>
      <c r="AG29" s="41">
        <f>RawData!BB27</f>
        <v>0</v>
      </c>
      <c r="AH29" s="42">
        <f>RawData!DB27</f>
        <v>0</v>
      </c>
      <c r="AI29" s="41">
        <f>RawData!BA27</f>
        <v>0</v>
      </c>
      <c r="AJ29" s="43">
        <f>RawData!DA27</f>
        <v>0</v>
      </c>
      <c r="AK29" s="41">
        <f>RawData!AZ27</f>
        <v>0</v>
      </c>
      <c r="AL29" s="42">
        <f>RawData!DD27</f>
        <v>0</v>
      </c>
      <c r="AM29" s="44">
        <f>RawData!DC27</f>
        <v>0</v>
      </c>
      <c r="AN29" s="45">
        <f>RawData!BK27</f>
        <v>0</v>
      </c>
      <c r="AO29" s="44">
        <f>RawData!AY27</f>
        <v>0</v>
      </c>
      <c r="AP29" s="43" t="str">
        <f>RawData!DH27</f>
        <v>W</v>
      </c>
      <c r="AQ29" s="43">
        <f>RawData!DE27</f>
        <v>0</v>
      </c>
      <c r="AR29" s="42">
        <f>RawData!CZ27</f>
        <v>0</v>
      </c>
      <c r="AS29" s="44">
        <f>RawData!AX27</f>
        <v>0</v>
      </c>
      <c r="AT29" s="43">
        <f>RawData!CY27</f>
        <v>0</v>
      </c>
      <c r="AU29" s="44">
        <f>RawData!AW27</f>
        <v>0</v>
      </c>
      <c r="AV29" s="46">
        <f>RawData!O27</f>
        <v>31900</v>
      </c>
      <c r="AW29" s="44">
        <f>RawData!AV27</f>
        <v>2.0499999523162842</v>
      </c>
      <c r="AX29" s="44">
        <f>RawData!CW27</f>
        <v>2.0499999523162842</v>
      </c>
      <c r="AY29" s="44">
        <f>RawData!AU27</f>
        <v>0</v>
      </c>
      <c r="AZ29" s="42">
        <f>RawData!CX27</f>
        <v>0</v>
      </c>
      <c r="BA29" s="44">
        <f>RawData!DF27</f>
        <v>2.0499999523162842</v>
      </c>
      <c r="BB29" s="43" t="str">
        <f>RawData!DI27</f>
        <v>W</v>
      </c>
      <c r="BC29" s="44">
        <f>RawData!AT27</f>
        <v>124.99665021896362</v>
      </c>
      <c r="BD29" s="45">
        <f>RawData!AP27</f>
        <v>124.99665021896362</v>
      </c>
      <c r="BE29" s="44">
        <f>RawData!CS27</f>
        <v>-3.6990642547607422E-2</v>
      </c>
      <c r="BF29" s="42">
        <f>RawData!CT27</f>
        <v>-2.9584552039541663E-4</v>
      </c>
      <c r="BG29" s="41">
        <f>RawData!AS27</f>
        <v>2350</v>
      </c>
      <c r="BH29" s="41">
        <f>RawData!CU27</f>
        <v>775</v>
      </c>
      <c r="BI29" s="41">
        <f>RawData!AR27</f>
        <v>1575</v>
      </c>
      <c r="BJ29" s="42">
        <f>RawData!CV27</f>
        <v>2.032258064516129</v>
      </c>
      <c r="BK29" s="41">
        <f>RawData!AQ27</f>
        <v>12100</v>
      </c>
      <c r="BL29" s="40">
        <f>RawData!AO27</f>
        <v>-2.6502055115997791E-3</v>
      </c>
      <c r="BM29" s="40">
        <f>RawData!AN27</f>
        <v>-1.1420343071222305E-6</v>
      </c>
      <c r="BN29" s="40">
        <f>RawData!AM27</f>
        <v>-2.0499999523162842</v>
      </c>
      <c r="BO29" s="40">
        <f>RawData!AL27</f>
        <v>0</v>
      </c>
      <c r="BP29" s="40">
        <f>RawData!AK27</f>
        <v>0.16631148755550385</v>
      </c>
      <c r="BQ29" s="40">
        <f>RawData!AJ27</f>
        <v>3.7327408790588379E-5</v>
      </c>
      <c r="BR29" s="38">
        <f>RawData!AI27</f>
        <v>3.2196041956922272E-6</v>
      </c>
      <c r="BS29" s="38">
        <f>RawData!AH27</f>
        <v>2.7353053155820817E-9</v>
      </c>
      <c r="BT29" s="40">
        <f>RawData!AG27</f>
        <v>-42.361598968505859</v>
      </c>
      <c r="BU29" s="39">
        <f>RawData!AF27</f>
        <v>5.733489990234375E-3</v>
      </c>
      <c r="BV29" s="39">
        <f>RawData!AE27</f>
        <v>25.744155883789063</v>
      </c>
      <c r="BW29" s="38">
        <f>RawData!AD27</f>
        <v>-6.65283203125E-3</v>
      </c>
      <c r="BX29" s="38">
        <f>RawData!AC27</f>
        <v>-3.6168357198107515E-9</v>
      </c>
      <c r="BY29" s="37">
        <f>RawData!AB27</f>
        <v>-4.5285997174460135E-12</v>
      </c>
      <c r="BZ29" s="37">
        <f>RawData!AA27</f>
        <v>1.6971602235571481E-5</v>
      </c>
      <c r="CA29" s="36">
        <f>RawData!Z27</f>
        <v>1.763874024618417E-8</v>
      </c>
      <c r="CB29" s="36">
        <f>RawData!Y27</f>
        <v>1.0314048267900944E-5</v>
      </c>
      <c r="CC29" s="36">
        <f>RawData!X27</f>
        <v>9.4514689408242702E-9</v>
      </c>
      <c r="CD29" s="36">
        <f>RawData!W27</f>
        <v>240106.984375</v>
      </c>
      <c r="CE29" s="40">
        <f>RawData!V27</f>
        <v>-84.078125</v>
      </c>
      <c r="CF29" s="40">
        <f>RawData!U27</f>
        <v>165146.4375</v>
      </c>
      <c r="CG29" s="40">
        <f>RawData!T27</f>
        <v>-76.390625</v>
      </c>
      <c r="CH29" s="44">
        <f>RawData!S27</f>
        <v>2.4500000476837158</v>
      </c>
      <c r="CI29" s="44">
        <f>RawData!R27</f>
        <v>2.75</v>
      </c>
      <c r="CJ29" s="44">
        <f>RawData!Q27</f>
        <v>1.7000000476837158</v>
      </c>
      <c r="CK29" s="44">
        <f>RawData!P27</f>
        <v>2.0499999523162842</v>
      </c>
      <c r="CL29" s="44">
        <f>RawData!CJ27</f>
        <v>300</v>
      </c>
      <c r="CM29" s="43">
        <f>RawData!CI27</f>
        <v>2.0499999523162842</v>
      </c>
      <c r="CN29" s="44">
        <f>RawData!CL27</f>
        <v>100</v>
      </c>
      <c r="CO29" s="43">
        <f>RawData!CK27</f>
        <v>2</v>
      </c>
      <c r="CP29" s="44">
        <f>RawData!CM27</f>
        <v>2.190000057220459</v>
      </c>
      <c r="CQ29" s="47">
        <f>RawData!CO27</f>
        <v>44783.638194444444</v>
      </c>
      <c r="CR29" s="44">
        <f>RawData!CP27</f>
        <v>38295.69921875</v>
      </c>
      <c r="CS29" s="44">
        <f>RawData!DG27</f>
        <v>38295.69921875</v>
      </c>
      <c r="CT29" s="43" t="str">
        <f>RawData!DJ27</f>
        <v>G</v>
      </c>
      <c r="CU29" s="43" t="str">
        <f>RawData!CQ27</f>
        <v>FairPrice</v>
      </c>
      <c r="CV29" s="47">
        <f>RawData!CR27</f>
        <v>44783.638194444444</v>
      </c>
      <c r="CW29" s="65">
        <f>RawData!DK27</f>
        <v>38300</v>
      </c>
      <c r="CX29" s="65">
        <f>RawData!DL27</f>
        <v>3400000</v>
      </c>
      <c r="CY29" s="65">
        <f>RawData!DM27</f>
        <v>38500</v>
      </c>
      <c r="CZ29" s="65">
        <f>RawData!DN27</f>
        <v>0</v>
      </c>
      <c r="DA29" s="65">
        <f>RawData!DO27</f>
        <v>24500</v>
      </c>
      <c r="DB29" s="65">
        <f>RawData!DP27</f>
        <v>2863350</v>
      </c>
      <c r="DC29" s="65">
        <f>RawData!DQ27</f>
        <v>38000</v>
      </c>
      <c r="DD29" s="65">
        <f>RawData!DR27</f>
        <v>0</v>
      </c>
      <c r="DE29" s="65">
        <f>RawData!DS27</f>
        <v>24500</v>
      </c>
      <c r="DF29" s="65" t="str">
        <f>RawData!DT27</f>
        <v>BANKNIFTY</v>
      </c>
      <c r="DG29" s="66">
        <f>RawData!DU27</f>
        <v>44784</v>
      </c>
      <c r="DI29" s="21">
        <f t="shared" si="0"/>
        <v>6395.69921875</v>
      </c>
    </row>
    <row r="30" spans="1:113" x14ac:dyDescent="0.2">
      <c r="A30" s="59">
        <f>RawData!CN28</f>
        <v>44783.638194444444</v>
      </c>
      <c r="B30" s="44">
        <f>RawData!CH28</f>
        <v>0</v>
      </c>
      <c r="C30" s="44">
        <f>RawData!CG28</f>
        <v>750</v>
      </c>
      <c r="D30" s="43">
        <f>RawData!CF28</f>
        <v>5610.75</v>
      </c>
      <c r="E30" s="44">
        <f>RawData!CE28</f>
        <v>425</v>
      </c>
      <c r="F30" s="43">
        <f>RawData!CD28</f>
        <v>6371.5</v>
      </c>
      <c r="G30" s="44">
        <f>RawData!CC28</f>
        <v>0</v>
      </c>
      <c r="H30" s="44">
        <f>RawData!CB28</f>
        <v>0</v>
      </c>
      <c r="I30" s="44">
        <f>RawData!CA28</f>
        <v>0</v>
      </c>
      <c r="J30" s="44">
        <f>RawData!BZ28</f>
        <v>0</v>
      </c>
      <c r="K30" s="40">
        <f>RawData!BY28</f>
        <v>0</v>
      </c>
      <c r="L30" s="40">
        <f>RawData!BX28</f>
        <v>0</v>
      </c>
      <c r="M30" s="40">
        <f>RawData!BW28</f>
        <v>0</v>
      </c>
      <c r="N30" s="40">
        <f>RawData!BV28</f>
        <v>0</v>
      </c>
      <c r="O30" s="36">
        <f>RawData!BU28</f>
        <v>0</v>
      </c>
      <c r="P30" s="36">
        <f>RawData!BT28</f>
        <v>0</v>
      </c>
      <c r="Q30" s="36">
        <f>RawData!BS28</f>
        <v>0</v>
      </c>
      <c r="R30" s="36">
        <f>RawData!BR28</f>
        <v>0</v>
      </c>
      <c r="S30" s="37">
        <f>RawData!BQ28</f>
        <v>0</v>
      </c>
      <c r="T30" s="37">
        <f>RawData!BP28</f>
        <v>0</v>
      </c>
      <c r="U30" s="38">
        <f>RawData!BO28</f>
        <v>0</v>
      </c>
      <c r="V30" s="38">
        <f>RawData!BN28</f>
        <v>0</v>
      </c>
      <c r="W30" s="39">
        <f>RawData!BM28</f>
        <v>0</v>
      </c>
      <c r="X30" s="39">
        <f>RawData!BL28</f>
        <v>0</v>
      </c>
      <c r="Y30" s="38">
        <f>RawData!BJ28</f>
        <v>0</v>
      </c>
      <c r="Z30" s="38">
        <f>RawData!BI28</f>
        <v>0</v>
      </c>
      <c r="AA30" s="40">
        <f>RawData!BH28</f>
        <v>0</v>
      </c>
      <c r="AB30" s="40">
        <f>RawData!BG28</f>
        <v>0</v>
      </c>
      <c r="AC30" s="40">
        <f>RawData!BF28</f>
        <v>0</v>
      </c>
      <c r="AD30" s="40">
        <f>RawData!BE28</f>
        <v>0</v>
      </c>
      <c r="AE30" s="40">
        <f>RawData!BD28</f>
        <v>0</v>
      </c>
      <c r="AF30" s="40">
        <f>RawData!BC28</f>
        <v>0</v>
      </c>
      <c r="AG30" s="41">
        <f>RawData!BB28</f>
        <v>0</v>
      </c>
      <c r="AH30" s="42">
        <f>RawData!DB28</f>
        <v>0</v>
      </c>
      <c r="AI30" s="41">
        <f>RawData!BA28</f>
        <v>0</v>
      </c>
      <c r="AJ30" s="43">
        <f>RawData!DA28</f>
        <v>0</v>
      </c>
      <c r="AK30" s="41">
        <f>RawData!AZ28</f>
        <v>0</v>
      </c>
      <c r="AL30" s="42">
        <f>RawData!DD28</f>
        <v>0</v>
      </c>
      <c r="AM30" s="44">
        <f>RawData!DC28</f>
        <v>0</v>
      </c>
      <c r="AN30" s="45">
        <f>RawData!BK28</f>
        <v>0</v>
      </c>
      <c r="AO30" s="44">
        <f>RawData!AY28</f>
        <v>0</v>
      </c>
      <c r="AP30" s="43" t="str">
        <f>RawData!DH28</f>
        <v>W</v>
      </c>
      <c r="AQ30" s="43">
        <f>RawData!DE28</f>
        <v>0</v>
      </c>
      <c r="AR30" s="42">
        <f>RawData!CZ28</f>
        <v>0</v>
      </c>
      <c r="AS30" s="44">
        <f>RawData!AX28</f>
        <v>0</v>
      </c>
      <c r="AT30" s="43">
        <f>RawData!CY28</f>
        <v>0</v>
      </c>
      <c r="AU30" s="44">
        <f>RawData!AW28</f>
        <v>0</v>
      </c>
      <c r="AV30" s="46">
        <f>RawData!O28</f>
        <v>32000</v>
      </c>
      <c r="AW30" s="44">
        <f>RawData!AV28</f>
        <v>1.8999999761581421</v>
      </c>
      <c r="AX30" s="44">
        <f>RawData!CW28</f>
        <v>1.8999999761581421</v>
      </c>
      <c r="AY30" s="44">
        <f>RawData!AU28</f>
        <v>0</v>
      </c>
      <c r="AZ30" s="42">
        <f>RawData!CX28</f>
        <v>0</v>
      </c>
      <c r="BA30" s="44">
        <f>RawData!DF28</f>
        <v>1.8999999761581421</v>
      </c>
      <c r="BB30" s="43" t="str">
        <f>RawData!DI28</f>
        <v>W</v>
      </c>
      <c r="BC30" s="44">
        <f>RawData!AT28</f>
        <v>122.10999727249146</v>
      </c>
      <c r="BD30" s="45">
        <f>RawData!AP28</f>
        <v>122.10999727249146</v>
      </c>
      <c r="BE30" s="44">
        <f>RawData!CS28</f>
        <v>1.1360645294189453E-2</v>
      </c>
      <c r="BF30" s="42">
        <f>RawData!CT28</f>
        <v>9.3044816944818271E-5</v>
      </c>
      <c r="BG30" s="41">
        <f>RawData!AS28</f>
        <v>110575</v>
      </c>
      <c r="BH30" s="41">
        <f>RawData!CU28</f>
        <v>111850</v>
      </c>
      <c r="BI30" s="41">
        <f>RawData!AR28</f>
        <v>-1275</v>
      </c>
      <c r="BJ30" s="42">
        <f>RawData!CV28</f>
        <v>-1.1399195350916406E-2</v>
      </c>
      <c r="BK30" s="41">
        <f>RawData!AQ28</f>
        <v>391725</v>
      </c>
      <c r="BL30" s="40">
        <f>RawData!AO28</f>
        <v>-2.5262499693781137E-3</v>
      </c>
      <c r="BM30" s="40">
        <f>RawData!AN28</f>
        <v>2.0279549062252045E-7</v>
      </c>
      <c r="BN30" s="40">
        <f>RawData!AM28</f>
        <v>-1.8999999761581421</v>
      </c>
      <c r="BO30" s="40">
        <f>RawData!AL28</f>
        <v>0</v>
      </c>
      <c r="BP30" s="40">
        <f>RawData!AK28</f>
        <v>0.15923586487770081</v>
      </c>
      <c r="BQ30" s="40">
        <f>RawData!AJ28</f>
        <v>-1.2710690498352051E-5</v>
      </c>
      <c r="BR30" s="38">
        <f>RawData!AI28</f>
        <v>3.1567062706017168E-6</v>
      </c>
      <c r="BS30" s="38">
        <f>RawData!AH28</f>
        <v>-4.999947122996673E-10</v>
      </c>
      <c r="BT30" s="40">
        <f>RawData!AG28</f>
        <v>-45.564380645751953</v>
      </c>
      <c r="BU30" s="39">
        <f>RawData!AF28</f>
        <v>5.79833984375E-4</v>
      </c>
      <c r="BV30" s="39">
        <f>RawData!AE28</f>
        <v>27.058097839355469</v>
      </c>
      <c r="BW30" s="38">
        <f>RawData!AD28</f>
        <v>3.3435821533203125E-3</v>
      </c>
      <c r="BX30" s="38">
        <f>RawData!AC28</f>
        <v>-3.6484326670915834E-9</v>
      </c>
      <c r="BY30" s="37">
        <f>RawData!AB28</f>
        <v>8.5242923830719519E-13</v>
      </c>
      <c r="BZ30" s="37">
        <f>RawData!AA28</f>
        <v>1.7265718270209618E-5</v>
      </c>
      <c r="CA30" s="36">
        <f>RawData!Z28</f>
        <v>-4.005414666607976E-9</v>
      </c>
      <c r="CB30" s="36">
        <f>RawData!Y28</f>
        <v>1.0253129403281491E-5</v>
      </c>
      <c r="CC30" s="36">
        <f>RawData!X28</f>
        <v>-9.8134478321298957E-10</v>
      </c>
      <c r="CD30" s="36">
        <f>RawData!W28</f>
        <v>259644.828125</v>
      </c>
      <c r="CE30" s="40">
        <f>RawData!V28</f>
        <v>-2.796875</v>
      </c>
      <c r="CF30" s="40">
        <f>RawData!U28</f>
        <v>174267.9375</v>
      </c>
      <c r="CG30" s="40">
        <f>RawData!T28</f>
        <v>21.546875</v>
      </c>
      <c r="CH30" s="44">
        <f>RawData!S28</f>
        <v>2.3499999046325684</v>
      </c>
      <c r="CI30" s="44">
        <f>RawData!R28</f>
        <v>2.7999999523162842</v>
      </c>
      <c r="CJ30" s="44">
        <f>RawData!Q28</f>
        <v>1.75</v>
      </c>
      <c r="CK30" s="44">
        <f>RawData!P28</f>
        <v>1.8999999761581421</v>
      </c>
      <c r="CL30" s="44">
        <f>RawData!CJ28</f>
        <v>175</v>
      </c>
      <c r="CM30" s="43">
        <f>RawData!CI28</f>
        <v>1.8999999761581421</v>
      </c>
      <c r="CN30" s="44">
        <f>RawData!CL28</f>
        <v>100</v>
      </c>
      <c r="CO30" s="43">
        <f>RawData!CK28</f>
        <v>1.8500000238418579</v>
      </c>
      <c r="CP30" s="44">
        <f>RawData!CM28</f>
        <v>2.2400000095367432</v>
      </c>
      <c r="CQ30" s="47">
        <f>RawData!CO28</f>
        <v>44783.638194444444</v>
      </c>
      <c r="CR30" s="44">
        <f>RawData!CP28</f>
        <v>38295.69921875</v>
      </c>
      <c r="CS30" s="44">
        <f>RawData!DG28</f>
        <v>38295.69921875</v>
      </c>
      <c r="CT30" s="43" t="str">
        <f>RawData!DJ28</f>
        <v>G</v>
      </c>
      <c r="CU30" s="43" t="str">
        <f>RawData!CQ28</f>
        <v>FairPrice</v>
      </c>
      <c r="CV30" s="47">
        <f>RawData!CR28</f>
        <v>44783.638194444444</v>
      </c>
      <c r="CW30" s="65">
        <f>RawData!DK28</f>
        <v>38300</v>
      </c>
      <c r="CX30" s="65">
        <f>RawData!DL28</f>
        <v>3400000</v>
      </c>
      <c r="CY30" s="65">
        <f>RawData!DM28</f>
        <v>38500</v>
      </c>
      <c r="CZ30" s="65">
        <f>RawData!DN28</f>
        <v>0</v>
      </c>
      <c r="DA30" s="65">
        <f>RawData!DO28</f>
        <v>24500</v>
      </c>
      <c r="DB30" s="65">
        <f>RawData!DP28</f>
        <v>2863350</v>
      </c>
      <c r="DC30" s="65">
        <f>RawData!DQ28</f>
        <v>38000</v>
      </c>
      <c r="DD30" s="65">
        <f>RawData!DR28</f>
        <v>0</v>
      </c>
      <c r="DE30" s="65">
        <f>RawData!DS28</f>
        <v>24500</v>
      </c>
      <c r="DF30" s="65" t="str">
        <f>RawData!DT28</f>
        <v>BANKNIFTY</v>
      </c>
      <c r="DG30" s="66">
        <f>RawData!DU28</f>
        <v>44784</v>
      </c>
      <c r="DI30" s="21">
        <f t="shared" si="0"/>
        <v>6295.69921875</v>
      </c>
    </row>
    <row r="31" spans="1:113" x14ac:dyDescent="0.2">
      <c r="A31" s="59">
        <f>RawData!CN29</f>
        <v>44783.638194444444</v>
      </c>
      <c r="B31" s="44">
        <f>RawData!CH29</f>
        <v>0</v>
      </c>
      <c r="C31" s="44">
        <f>RawData!CG29</f>
        <v>750</v>
      </c>
      <c r="D31" s="43">
        <f>RawData!CF29</f>
        <v>5916.0498046875</v>
      </c>
      <c r="E31" s="44">
        <f>RawData!CE29</f>
        <v>800</v>
      </c>
      <c r="F31" s="43">
        <f>RawData!CD29</f>
        <v>6343.64990234375</v>
      </c>
      <c r="G31" s="44">
        <f>RawData!CC29</f>
        <v>0</v>
      </c>
      <c r="H31" s="44">
        <f>RawData!CB29</f>
        <v>0</v>
      </c>
      <c r="I31" s="44">
        <f>RawData!CA29</f>
        <v>0</v>
      </c>
      <c r="J31" s="44">
        <f>RawData!BZ29</f>
        <v>0</v>
      </c>
      <c r="K31" s="40">
        <f>RawData!BY29</f>
        <v>0</v>
      </c>
      <c r="L31" s="40">
        <f>RawData!BX29</f>
        <v>0</v>
      </c>
      <c r="M31" s="40">
        <f>RawData!BW29</f>
        <v>0</v>
      </c>
      <c r="N31" s="40">
        <f>RawData!BV29</f>
        <v>0</v>
      </c>
      <c r="O31" s="36">
        <f>RawData!BU29</f>
        <v>0</v>
      </c>
      <c r="P31" s="36">
        <f>RawData!BT29</f>
        <v>0</v>
      </c>
      <c r="Q31" s="36">
        <f>RawData!BS29</f>
        <v>0</v>
      </c>
      <c r="R31" s="36">
        <f>RawData!BR29</f>
        <v>0</v>
      </c>
      <c r="S31" s="37">
        <f>RawData!BQ29</f>
        <v>0</v>
      </c>
      <c r="T31" s="37">
        <f>RawData!BP29</f>
        <v>0</v>
      </c>
      <c r="U31" s="38">
        <f>RawData!BO29</f>
        <v>0</v>
      </c>
      <c r="V31" s="38">
        <f>RawData!BN29</f>
        <v>0</v>
      </c>
      <c r="W31" s="39">
        <f>RawData!BM29</f>
        <v>0</v>
      </c>
      <c r="X31" s="39">
        <f>RawData!BL29</f>
        <v>0</v>
      </c>
      <c r="Y31" s="38">
        <f>RawData!BJ29</f>
        <v>0</v>
      </c>
      <c r="Z31" s="38">
        <f>RawData!BI29</f>
        <v>0</v>
      </c>
      <c r="AA31" s="40">
        <f>RawData!BH29</f>
        <v>0</v>
      </c>
      <c r="AB31" s="40">
        <f>RawData!BG29</f>
        <v>0</v>
      </c>
      <c r="AC31" s="40">
        <f>RawData!BF29</f>
        <v>0</v>
      </c>
      <c r="AD31" s="40">
        <f>RawData!BE29</f>
        <v>0</v>
      </c>
      <c r="AE31" s="40">
        <f>RawData!BD29</f>
        <v>0</v>
      </c>
      <c r="AF31" s="40">
        <f>RawData!BC29</f>
        <v>0</v>
      </c>
      <c r="AG31" s="41">
        <f>RawData!BB29</f>
        <v>0</v>
      </c>
      <c r="AH31" s="42">
        <f>RawData!DB29</f>
        <v>0</v>
      </c>
      <c r="AI31" s="41">
        <f>RawData!BA29</f>
        <v>0</v>
      </c>
      <c r="AJ31" s="43">
        <f>RawData!DA29</f>
        <v>0</v>
      </c>
      <c r="AK31" s="41">
        <f>RawData!AZ29</f>
        <v>0</v>
      </c>
      <c r="AL31" s="42">
        <f>RawData!DD29</f>
        <v>0</v>
      </c>
      <c r="AM31" s="44">
        <f>RawData!DC29</f>
        <v>0</v>
      </c>
      <c r="AN31" s="45">
        <f>RawData!BK29</f>
        <v>0</v>
      </c>
      <c r="AO31" s="44">
        <f>RawData!AY29</f>
        <v>0</v>
      </c>
      <c r="AP31" s="43" t="str">
        <f>RawData!DH29</f>
        <v>W</v>
      </c>
      <c r="AQ31" s="43">
        <f>RawData!DE29</f>
        <v>0</v>
      </c>
      <c r="AR31" s="42">
        <f>RawData!CZ29</f>
        <v>0</v>
      </c>
      <c r="AS31" s="44">
        <f>RawData!AX29</f>
        <v>0</v>
      </c>
      <c r="AT31" s="43">
        <f>RawData!CY29</f>
        <v>0</v>
      </c>
      <c r="AU31" s="44">
        <f>RawData!AW29</f>
        <v>0</v>
      </c>
      <c r="AV31" s="46">
        <f>RawData!O29</f>
        <v>32100</v>
      </c>
      <c r="AW31" s="44">
        <f>RawData!AV29</f>
        <v>2</v>
      </c>
      <c r="AX31" s="44">
        <f>RawData!CW29</f>
        <v>2</v>
      </c>
      <c r="AY31" s="44">
        <f>RawData!AU29</f>
        <v>0</v>
      </c>
      <c r="AZ31" s="42">
        <f>RawData!CX29</f>
        <v>0</v>
      </c>
      <c r="BA31" s="44">
        <f>RawData!DF29</f>
        <v>2</v>
      </c>
      <c r="BB31" s="43" t="str">
        <f>RawData!DI29</f>
        <v>W</v>
      </c>
      <c r="BC31" s="44">
        <f>RawData!AT29</f>
        <v>120.81024646759033</v>
      </c>
      <c r="BD31" s="45">
        <f>RawData!AP29</f>
        <v>120.81024646759033</v>
      </c>
      <c r="BE31" s="44">
        <f>RawData!CS29</f>
        <v>-2.5081634521484375E-2</v>
      </c>
      <c r="BF31" s="42">
        <f>RawData!CT29</f>
        <v>-2.0756872113004201E-4</v>
      </c>
      <c r="BG31" s="41">
        <f>RawData!AS29</f>
        <v>1300</v>
      </c>
      <c r="BH31" s="41">
        <f>RawData!CU29</f>
        <v>100</v>
      </c>
      <c r="BI31" s="41">
        <f>RawData!AR29</f>
        <v>1200</v>
      </c>
      <c r="BJ31" s="42">
        <f>RawData!CV29</f>
        <v>12</v>
      </c>
      <c r="BK31" s="41">
        <f>RawData!AQ29</f>
        <v>9525</v>
      </c>
      <c r="BL31" s="40">
        <f>RawData!AO29</f>
        <v>-2.6747211813926697E-3</v>
      </c>
      <c r="BM31" s="40">
        <f>RawData!AN29</f>
        <v>-7.5134448707103729E-7</v>
      </c>
      <c r="BN31" s="40">
        <f>RawData!AM29</f>
        <v>-2</v>
      </c>
      <c r="BO31" s="40">
        <f>RawData!AL29</f>
        <v>0</v>
      </c>
      <c r="BP31" s="40">
        <f>RawData!AK29</f>
        <v>0.16770161688327789</v>
      </c>
      <c r="BQ31" s="40">
        <f>RawData!AJ29</f>
        <v>2.6971101760864258E-5</v>
      </c>
      <c r="BR31" s="38">
        <f>RawData!AI29</f>
        <v>3.3589633403607877E-6</v>
      </c>
      <c r="BS31" s="38">
        <f>RawData!AH29</f>
        <v>1.8605987861519679E-9</v>
      </c>
      <c r="BT31" s="40">
        <f>RawData!AG29</f>
        <v>-43.454399108886719</v>
      </c>
      <c r="BU31" s="39">
        <f>RawData!AF29</f>
        <v>3.200531005859375E-3</v>
      </c>
      <c r="BV31" s="39">
        <f>RawData!AE29</f>
        <v>25.523807525634766</v>
      </c>
      <c r="BW31" s="38">
        <f>RawData!AD29</f>
        <v>-4.9724578857421875E-3</v>
      </c>
      <c r="BX31" s="38">
        <f>RawData!AC29</f>
        <v>-3.8969951710043915E-9</v>
      </c>
      <c r="BY31" s="37">
        <f>RawData!AB29</f>
        <v>-3.1818991885756986E-12</v>
      </c>
      <c r="BZ31" s="37">
        <f>RawData!AA29</f>
        <v>1.8291293599759229E-5</v>
      </c>
      <c r="CA31" s="36">
        <f>RawData!Z29</f>
        <v>1.2656528269872069E-8</v>
      </c>
      <c r="CB31" s="36">
        <f>RawData!Y29</f>
        <v>1.0743756320152897E-5</v>
      </c>
      <c r="CC31" s="36">
        <f>RawData!X29</f>
        <v>6.133632268756628E-9</v>
      </c>
      <c r="CD31" s="36">
        <f>RawData!W29</f>
        <v>246039.3125</v>
      </c>
      <c r="CE31" s="40">
        <f>RawData!V29</f>
        <v>-49</v>
      </c>
      <c r="CF31" s="40">
        <f>RawData!U29</f>
        <v>163584.703125</v>
      </c>
      <c r="CG31" s="40">
        <f>RawData!T29</f>
        <v>-51.265625</v>
      </c>
      <c r="CH31" s="44">
        <f>RawData!S29</f>
        <v>2.5</v>
      </c>
      <c r="CI31" s="44">
        <f>RawData!R29</f>
        <v>2.7999999523162842</v>
      </c>
      <c r="CJ31" s="44">
        <f>RawData!Q29</f>
        <v>1.3999999761581421</v>
      </c>
      <c r="CK31" s="44">
        <f>RawData!P29</f>
        <v>2</v>
      </c>
      <c r="CL31" s="44">
        <f>RawData!CJ29</f>
        <v>25</v>
      </c>
      <c r="CM31" s="43">
        <f>RawData!CI29</f>
        <v>2.2000000476837158</v>
      </c>
      <c r="CN31" s="44">
        <f>RawData!CL29</f>
        <v>75</v>
      </c>
      <c r="CO31" s="43">
        <f>RawData!CK29</f>
        <v>2</v>
      </c>
      <c r="CP31" s="44">
        <f>RawData!CM29</f>
        <v>2.2799999713897705</v>
      </c>
      <c r="CQ31" s="47">
        <f>RawData!CO29</f>
        <v>44783.638194444444</v>
      </c>
      <c r="CR31" s="44">
        <f>RawData!CP29</f>
        <v>38295.69921875</v>
      </c>
      <c r="CS31" s="44">
        <f>RawData!DG29</f>
        <v>38295.69921875</v>
      </c>
      <c r="CT31" s="43" t="str">
        <f>RawData!DJ29</f>
        <v>G</v>
      </c>
      <c r="CU31" s="43" t="str">
        <f>RawData!CQ29</f>
        <v>FairPrice</v>
      </c>
      <c r="CV31" s="47">
        <f>RawData!CR29</f>
        <v>44783.638194444444</v>
      </c>
      <c r="CW31" s="65">
        <f>RawData!DK29</f>
        <v>38300</v>
      </c>
      <c r="CX31" s="65">
        <f>RawData!DL29</f>
        <v>3400000</v>
      </c>
      <c r="CY31" s="65">
        <f>RawData!DM29</f>
        <v>38500</v>
      </c>
      <c r="CZ31" s="65">
        <f>RawData!DN29</f>
        <v>0</v>
      </c>
      <c r="DA31" s="65">
        <f>RawData!DO29</f>
        <v>24500</v>
      </c>
      <c r="DB31" s="65">
        <f>RawData!DP29</f>
        <v>2863350</v>
      </c>
      <c r="DC31" s="65">
        <f>RawData!DQ29</f>
        <v>38000</v>
      </c>
      <c r="DD31" s="65">
        <f>RawData!DR29</f>
        <v>0</v>
      </c>
      <c r="DE31" s="65">
        <f>RawData!DS29</f>
        <v>24500</v>
      </c>
      <c r="DF31" s="65" t="str">
        <f>RawData!DT29</f>
        <v>BANKNIFTY</v>
      </c>
      <c r="DG31" s="66">
        <f>RawData!DU29</f>
        <v>44784</v>
      </c>
      <c r="DI31" s="21">
        <f t="shared" si="0"/>
        <v>6195.69921875</v>
      </c>
    </row>
    <row r="32" spans="1:113" x14ac:dyDescent="0.2">
      <c r="A32" s="59">
        <f>RawData!CN30</f>
        <v>44783.638194444444</v>
      </c>
      <c r="B32" s="44">
        <f>RawData!CH30</f>
        <v>0</v>
      </c>
      <c r="C32" s="44">
        <f>RawData!CG30</f>
        <v>750</v>
      </c>
      <c r="D32" s="43">
        <f>RawData!CF30</f>
        <v>4777.7001953125</v>
      </c>
      <c r="E32" s="44">
        <f>RawData!CE30</f>
        <v>800</v>
      </c>
      <c r="F32" s="43">
        <f>RawData!CD30</f>
        <v>6300.10009765625</v>
      </c>
      <c r="G32" s="44">
        <f>RawData!CC30</f>
        <v>0</v>
      </c>
      <c r="H32" s="44">
        <f>RawData!CB30</f>
        <v>0</v>
      </c>
      <c r="I32" s="44">
        <f>RawData!CA30</f>
        <v>0</v>
      </c>
      <c r="J32" s="44">
        <f>RawData!BZ30</f>
        <v>0</v>
      </c>
      <c r="K32" s="40">
        <f>RawData!BY30</f>
        <v>0</v>
      </c>
      <c r="L32" s="40">
        <f>RawData!BX30</f>
        <v>0</v>
      </c>
      <c r="M32" s="40">
        <f>RawData!BW30</f>
        <v>0</v>
      </c>
      <c r="N32" s="40">
        <f>RawData!BV30</f>
        <v>0</v>
      </c>
      <c r="O32" s="36">
        <f>RawData!BU30</f>
        <v>0</v>
      </c>
      <c r="P32" s="36">
        <f>RawData!BT30</f>
        <v>0</v>
      </c>
      <c r="Q32" s="36">
        <f>RawData!BS30</f>
        <v>0</v>
      </c>
      <c r="R32" s="36">
        <f>RawData!BR30</f>
        <v>0</v>
      </c>
      <c r="S32" s="37">
        <f>RawData!BQ30</f>
        <v>0</v>
      </c>
      <c r="T32" s="37">
        <f>RawData!BP30</f>
        <v>0</v>
      </c>
      <c r="U32" s="38">
        <f>RawData!BO30</f>
        <v>0</v>
      </c>
      <c r="V32" s="38">
        <f>RawData!BN30</f>
        <v>0</v>
      </c>
      <c r="W32" s="39">
        <f>RawData!BM30</f>
        <v>0</v>
      </c>
      <c r="X32" s="39">
        <f>RawData!BL30</f>
        <v>0</v>
      </c>
      <c r="Y32" s="38">
        <f>RawData!BJ30</f>
        <v>0</v>
      </c>
      <c r="Z32" s="38">
        <f>RawData!BI30</f>
        <v>0</v>
      </c>
      <c r="AA32" s="40">
        <f>RawData!BH30</f>
        <v>0</v>
      </c>
      <c r="AB32" s="40">
        <f>RawData!BG30</f>
        <v>0</v>
      </c>
      <c r="AC32" s="40">
        <f>RawData!BF30</f>
        <v>0</v>
      </c>
      <c r="AD32" s="40">
        <f>RawData!BE30</f>
        <v>0</v>
      </c>
      <c r="AE32" s="40">
        <f>RawData!BD30</f>
        <v>0</v>
      </c>
      <c r="AF32" s="40">
        <f>RawData!BC30</f>
        <v>0</v>
      </c>
      <c r="AG32" s="41">
        <f>RawData!BB30</f>
        <v>0</v>
      </c>
      <c r="AH32" s="42">
        <f>RawData!DB30</f>
        <v>0</v>
      </c>
      <c r="AI32" s="41">
        <f>RawData!BA30</f>
        <v>0</v>
      </c>
      <c r="AJ32" s="43">
        <f>RawData!DA30</f>
        <v>0</v>
      </c>
      <c r="AK32" s="41">
        <f>RawData!AZ30</f>
        <v>0</v>
      </c>
      <c r="AL32" s="42">
        <f>RawData!DD30</f>
        <v>0</v>
      </c>
      <c r="AM32" s="44">
        <f>RawData!DC30</f>
        <v>0</v>
      </c>
      <c r="AN32" s="45">
        <f>RawData!BK30</f>
        <v>0</v>
      </c>
      <c r="AO32" s="44">
        <f>RawData!AY30</f>
        <v>0</v>
      </c>
      <c r="AP32" s="43" t="str">
        <f>RawData!DH30</f>
        <v>W</v>
      </c>
      <c r="AQ32" s="43">
        <f>RawData!DE30</f>
        <v>0</v>
      </c>
      <c r="AR32" s="42">
        <f>RawData!CZ30</f>
        <v>0</v>
      </c>
      <c r="AS32" s="44">
        <f>RawData!AX30</f>
        <v>0</v>
      </c>
      <c r="AT32" s="43">
        <f>RawData!CY30</f>
        <v>0</v>
      </c>
      <c r="AU32" s="44">
        <f>RawData!AW30</f>
        <v>0</v>
      </c>
      <c r="AV32" s="46">
        <f>RawData!O30</f>
        <v>32200</v>
      </c>
      <c r="AW32" s="44">
        <f>RawData!AV30</f>
        <v>2.0999999046325684</v>
      </c>
      <c r="AX32" s="44">
        <f>RawData!CW30</f>
        <v>2.0999999046325684</v>
      </c>
      <c r="AY32" s="44">
        <f>RawData!AU30</f>
        <v>0</v>
      </c>
      <c r="AZ32" s="42">
        <f>RawData!CX30</f>
        <v>0</v>
      </c>
      <c r="BA32" s="44">
        <f>RawData!DF30</f>
        <v>2.0999999046325684</v>
      </c>
      <c r="BB32" s="43" t="str">
        <f>RawData!DI30</f>
        <v>W</v>
      </c>
      <c r="BC32" s="44">
        <f>RawData!AT30</f>
        <v>119.41112279891968</v>
      </c>
      <c r="BD32" s="45">
        <f>RawData!AP30</f>
        <v>119.41112279891968</v>
      </c>
      <c r="BE32" s="44">
        <f>RawData!CS30</f>
        <v>-7.4982643127441406E-3</v>
      </c>
      <c r="BF32" s="42">
        <f>RawData!CT30</f>
        <v>-6.2789741214427466E-5</v>
      </c>
      <c r="BG32" s="41">
        <f>RawData!AS30</f>
        <v>1825</v>
      </c>
      <c r="BH32" s="41">
        <f>RawData!CU30</f>
        <v>450</v>
      </c>
      <c r="BI32" s="41">
        <f>RawData!AR30</f>
        <v>1375</v>
      </c>
      <c r="BJ32" s="42">
        <f>RawData!CV30</f>
        <v>3.0555555555555554</v>
      </c>
      <c r="BK32" s="41">
        <f>RawData!AQ30</f>
        <v>23500</v>
      </c>
      <c r="BL32" s="40">
        <f>RawData!AO30</f>
        <v>-2.8288259636610746E-3</v>
      </c>
      <c r="BM32" s="40">
        <f>RawData!AN30</f>
        <v>-4.0279701352119446E-7</v>
      </c>
      <c r="BN32" s="40">
        <f>RawData!AM30</f>
        <v>-2.0999999046325684</v>
      </c>
      <c r="BO32" s="40">
        <f>RawData!AL30</f>
        <v>0</v>
      </c>
      <c r="BP32" s="40">
        <f>RawData!AK30</f>
        <v>0.1763644814491272</v>
      </c>
      <c r="BQ32" s="40">
        <f>RawData!AJ30</f>
        <v>6.8396329879760742E-6</v>
      </c>
      <c r="BR32" s="38">
        <f>RawData!AI30</f>
        <v>3.5752348139794776E-6</v>
      </c>
      <c r="BS32" s="38">
        <f>RawData!AH30</f>
        <v>1.0038547770818695E-9</v>
      </c>
      <c r="BT32" s="40">
        <f>RawData!AG30</f>
        <v>-41.527866363525391</v>
      </c>
      <c r="BU32" s="39">
        <f>RawData!AF30</f>
        <v>3.314971923828125E-3</v>
      </c>
      <c r="BV32" s="39">
        <f>RawData!AE30</f>
        <v>24.114938735961914</v>
      </c>
      <c r="BW32" s="38">
        <f>RawData!AD30</f>
        <v>-3.1280517578125E-4</v>
      </c>
      <c r="BX32" s="38">
        <f>RawData!AC30</f>
        <v>-4.1693817287580259E-9</v>
      </c>
      <c r="BY32" s="37">
        <f>RawData!AB30</f>
        <v>-1.7257306694773433E-12</v>
      </c>
      <c r="BZ32" s="37">
        <f>RawData!AA30</f>
        <v>1.9404078557272442E-5</v>
      </c>
      <c r="CA32" s="36">
        <f>RawData!Z30</f>
        <v>5.9717422118410468E-9</v>
      </c>
      <c r="CB32" s="36">
        <f>RawData!Y30</f>
        <v>1.1267812624282669E-5</v>
      </c>
      <c r="CC32" s="36">
        <f>RawData!X30</f>
        <v>4.2227839003317058E-9</v>
      </c>
      <c r="CD32" s="36">
        <f>RawData!W30</f>
        <v>233549.015625</v>
      </c>
      <c r="CE32" s="40">
        <f>RawData!V30</f>
        <v>-43.515625</v>
      </c>
      <c r="CF32" s="40">
        <f>RawData!U30</f>
        <v>153749.21875</v>
      </c>
      <c r="CG32" s="40">
        <f>RawData!T30</f>
        <v>-17.796875</v>
      </c>
      <c r="CH32" s="44">
        <f>RawData!S30</f>
        <v>2.7000000476837158</v>
      </c>
      <c r="CI32" s="44">
        <f>RawData!R30</f>
        <v>2.7999999523162842</v>
      </c>
      <c r="CJ32" s="44">
        <f>RawData!Q30</f>
        <v>1.9500000476837158</v>
      </c>
      <c r="CK32" s="44">
        <f>RawData!P30</f>
        <v>2.0999999046325684</v>
      </c>
      <c r="CL32" s="44">
        <f>RawData!CJ30</f>
        <v>150</v>
      </c>
      <c r="CM32" s="43">
        <f>RawData!CI30</f>
        <v>2.1500000953674316</v>
      </c>
      <c r="CN32" s="44">
        <f>RawData!CL30</f>
        <v>525</v>
      </c>
      <c r="CO32" s="43">
        <f>RawData!CK30</f>
        <v>2</v>
      </c>
      <c r="CP32" s="44">
        <f>RawData!CM30</f>
        <v>2.4000000953674316</v>
      </c>
      <c r="CQ32" s="47">
        <f>RawData!CO30</f>
        <v>44783.638194444444</v>
      </c>
      <c r="CR32" s="44">
        <f>RawData!CP30</f>
        <v>38295.69921875</v>
      </c>
      <c r="CS32" s="44">
        <f>RawData!DG30</f>
        <v>38295.69921875</v>
      </c>
      <c r="CT32" s="43" t="str">
        <f>RawData!DJ30</f>
        <v>G</v>
      </c>
      <c r="CU32" s="43" t="str">
        <f>RawData!CQ30</f>
        <v>FairPrice</v>
      </c>
      <c r="CV32" s="47">
        <f>RawData!CR30</f>
        <v>44783.638194444444</v>
      </c>
      <c r="CW32" s="65">
        <f>RawData!DK30</f>
        <v>38300</v>
      </c>
      <c r="CX32" s="65">
        <f>RawData!DL30</f>
        <v>3400000</v>
      </c>
      <c r="CY32" s="65">
        <f>RawData!DM30</f>
        <v>38500</v>
      </c>
      <c r="CZ32" s="65">
        <f>RawData!DN30</f>
        <v>0</v>
      </c>
      <c r="DA32" s="65">
        <f>RawData!DO30</f>
        <v>24500</v>
      </c>
      <c r="DB32" s="65">
        <f>RawData!DP30</f>
        <v>2863350</v>
      </c>
      <c r="DC32" s="65">
        <f>RawData!DQ30</f>
        <v>38000</v>
      </c>
      <c r="DD32" s="65">
        <f>RawData!DR30</f>
        <v>0</v>
      </c>
      <c r="DE32" s="65">
        <f>RawData!DS30</f>
        <v>24500</v>
      </c>
      <c r="DF32" s="65" t="str">
        <f>RawData!DT30</f>
        <v>BANKNIFTY</v>
      </c>
      <c r="DG32" s="66">
        <f>RawData!DU30</f>
        <v>44784</v>
      </c>
      <c r="DI32" s="21">
        <f t="shared" si="0"/>
        <v>6095.69921875</v>
      </c>
    </row>
    <row r="33" spans="1:113" x14ac:dyDescent="0.2">
      <c r="A33" s="59">
        <f>RawData!CN31</f>
        <v>44783.638194444444</v>
      </c>
      <c r="B33" s="44">
        <f>RawData!CH31</f>
        <v>0</v>
      </c>
      <c r="C33" s="44">
        <f>RawData!CG31</f>
        <v>750</v>
      </c>
      <c r="D33" s="43">
        <f>RawData!CF31</f>
        <v>5757.2001953125</v>
      </c>
      <c r="E33" s="44">
        <f>RawData!CE31</f>
        <v>800</v>
      </c>
      <c r="F33" s="43">
        <f>RawData!CD31</f>
        <v>6162.64990234375</v>
      </c>
      <c r="G33" s="44">
        <f>RawData!CC31</f>
        <v>0</v>
      </c>
      <c r="H33" s="44">
        <f>RawData!CB31</f>
        <v>0</v>
      </c>
      <c r="I33" s="44">
        <f>RawData!CA31</f>
        <v>0</v>
      </c>
      <c r="J33" s="44">
        <f>RawData!BZ31</f>
        <v>0</v>
      </c>
      <c r="K33" s="40">
        <f>RawData!BY31</f>
        <v>0</v>
      </c>
      <c r="L33" s="40">
        <f>RawData!BX31</f>
        <v>0</v>
      </c>
      <c r="M33" s="40">
        <f>RawData!BW31</f>
        <v>0</v>
      </c>
      <c r="N33" s="40">
        <f>RawData!BV31</f>
        <v>0</v>
      </c>
      <c r="O33" s="36">
        <f>RawData!BU31</f>
        <v>0</v>
      </c>
      <c r="P33" s="36">
        <f>RawData!BT31</f>
        <v>0</v>
      </c>
      <c r="Q33" s="36">
        <f>RawData!BS31</f>
        <v>0</v>
      </c>
      <c r="R33" s="36">
        <f>RawData!BR31</f>
        <v>0</v>
      </c>
      <c r="S33" s="37">
        <f>RawData!BQ31</f>
        <v>0</v>
      </c>
      <c r="T33" s="37">
        <f>RawData!BP31</f>
        <v>0</v>
      </c>
      <c r="U33" s="38">
        <f>RawData!BO31</f>
        <v>0</v>
      </c>
      <c r="V33" s="38">
        <f>RawData!BN31</f>
        <v>0</v>
      </c>
      <c r="W33" s="39">
        <f>RawData!BM31</f>
        <v>0</v>
      </c>
      <c r="X33" s="39">
        <f>RawData!BL31</f>
        <v>0</v>
      </c>
      <c r="Y33" s="38">
        <f>RawData!BJ31</f>
        <v>0</v>
      </c>
      <c r="Z33" s="38">
        <f>RawData!BI31</f>
        <v>0</v>
      </c>
      <c r="AA33" s="40">
        <f>RawData!BH31</f>
        <v>0</v>
      </c>
      <c r="AB33" s="40">
        <f>RawData!BG31</f>
        <v>0</v>
      </c>
      <c r="AC33" s="40">
        <f>RawData!BF31</f>
        <v>0</v>
      </c>
      <c r="AD33" s="40">
        <f>RawData!BE31</f>
        <v>0</v>
      </c>
      <c r="AE33" s="40">
        <f>RawData!BD31</f>
        <v>0</v>
      </c>
      <c r="AF33" s="40">
        <f>RawData!BC31</f>
        <v>0</v>
      </c>
      <c r="AG33" s="41">
        <f>RawData!BB31</f>
        <v>0</v>
      </c>
      <c r="AH33" s="42">
        <f>RawData!DB31</f>
        <v>0</v>
      </c>
      <c r="AI33" s="41">
        <f>RawData!BA31</f>
        <v>0</v>
      </c>
      <c r="AJ33" s="43">
        <f>RawData!DA31</f>
        <v>0</v>
      </c>
      <c r="AK33" s="41">
        <f>RawData!AZ31</f>
        <v>0</v>
      </c>
      <c r="AL33" s="42">
        <f>RawData!DD31</f>
        <v>0</v>
      </c>
      <c r="AM33" s="44">
        <f>RawData!DC31</f>
        <v>0</v>
      </c>
      <c r="AN33" s="45">
        <f>RawData!BK31</f>
        <v>0</v>
      </c>
      <c r="AO33" s="44">
        <f>RawData!AY31</f>
        <v>0</v>
      </c>
      <c r="AP33" s="43" t="str">
        <f>RawData!DH31</f>
        <v>W</v>
      </c>
      <c r="AQ33" s="43">
        <f>RawData!DE31</f>
        <v>0</v>
      </c>
      <c r="AR33" s="42">
        <f>RawData!CZ31</f>
        <v>0</v>
      </c>
      <c r="AS33" s="44">
        <f>RawData!AX31</f>
        <v>0</v>
      </c>
      <c r="AT33" s="43">
        <f>RawData!CY31</f>
        <v>0</v>
      </c>
      <c r="AU33" s="44">
        <f>RawData!AW31</f>
        <v>0</v>
      </c>
      <c r="AV33" s="46">
        <f>RawData!O31</f>
        <v>32300</v>
      </c>
      <c r="AW33" s="44">
        <f>RawData!AV31</f>
        <v>2.2000000476837158</v>
      </c>
      <c r="AX33" s="44">
        <f>RawData!CW31</f>
        <v>2.2000000476837158</v>
      </c>
      <c r="AY33" s="44">
        <f>RawData!AU31</f>
        <v>0</v>
      </c>
      <c r="AZ33" s="42">
        <f>RawData!CX31</f>
        <v>0</v>
      </c>
      <c r="BA33" s="44">
        <f>RawData!DF31</f>
        <v>2.2000000476837158</v>
      </c>
      <c r="BB33" s="43" t="str">
        <f>RawData!DI31</f>
        <v>W</v>
      </c>
      <c r="BC33" s="44">
        <f>RawData!AT31</f>
        <v>118.02558898925781</v>
      </c>
      <c r="BD33" s="45">
        <f>RawData!AP31</f>
        <v>118.02558898925781</v>
      </c>
      <c r="BE33" s="44">
        <f>RawData!CS31</f>
        <v>-5.6695938110351563E-2</v>
      </c>
      <c r="BF33" s="42">
        <f>RawData!CT31</f>
        <v>-4.8013923634036176E-4</v>
      </c>
      <c r="BG33" s="41">
        <f>RawData!AS31</f>
        <v>2475</v>
      </c>
      <c r="BH33" s="41">
        <f>RawData!CU31</f>
        <v>200</v>
      </c>
      <c r="BI33" s="41">
        <f>RawData!AR31</f>
        <v>2275</v>
      </c>
      <c r="BJ33" s="42">
        <f>RawData!CV31</f>
        <v>11.375</v>
      </c>
      <c r="BK33" s="41">
        <f>RawData!AQ31</f>
        <v>13275</v>
      </c>
      <c r="BL33" s="40">
        <f>RawData!AO31</f>
        <v>-2.9847302939742804E-3</v>
      </c>
      <c r="BM33" s="40">
        <f>RawData!AN31</f>
        <v>-1.880573108792305E-6</v>
      </c>
      <c r="BN33" s="40">
        <f>RawData!AM31</f>
        <v>-2.2000000476837158</v>
      </c>
      <c r="BO33" s="40">
        <f>RawData!AL31</f>
        <v>0</v>
      </c>
      <c r="BP33" s="40">
        <f>RawData!AK31</f>
        <v>0.18512098491191864</v>
      </c>
      <c r="BQ33" s="40">
        <f>RawData!AJ31</f>
        <v>6.9051980972290039E-5</v>
      </c>
      <c r="BR33" s="38">
        <f>RawData!AI31</f>
        <v>3.7961194720992353E-6</v>
      </c>
      <c r="BS33" s="38">
        <f>RawData!AH31</f>
        <v>4.7157300286926329E-9</v>
      </c>
      <c r="BT33" s="40">
        <f>RawData!AG31</f>
        <v>-39.782749176025391</v>
      </c>
      <c r="BU33" s="39">
        <f>RawData!AF31</f>
        <v>6.01959228515625E-3</v>
      </c>
      <c r="BV33" s="39">
        <f>RawData!AE31</f>
        <v>22.830554962158203</v>
      </c>
      <c r="BW33" s="38">
        <f>RawData!AD31</f>
        <v>-1.0473251342773438E-2</v>
      </c>
      <c r="BX33" s="38">
        <f>RawData!AC31</f>
        <v>-4.4496375473102034E-9</v>
      </c>
      <c r="BY33" s="37">
        <f>RawData!AB31</f>
        <v>-8.1441520194402983E-12</v>
      </c>
      <c r="BZ33" s="37">
        <f>RawData!AA31</f>
        <v>2.0543671780615114E-5</v>
      </c>
      <c r="CA33" s="36">
        <f>RawData!Z31</f>
        <v>3.2079697120934725E-8</v>
      </c>
      <c r="CB33" s="36">
        <f>RawData!Y31</f>
        <v>1.1789617019530851E-5</v>
      </c>
      <c r="CC33" s="36">
        <f>RawData!X31</f>
        <v>1.4791112334933132E-8</v>
      </c>
      <c r="CD33" s="36">
        <f>RawData!W31</f>
        <v>222336.671875</v>
      </c>
      <c r="CE33" s="40">
        <f>RawData!V31</f>
        <v>-93.671875</v>
      </c>
      <c r="CF33" s="40">
        <f>RawData!U31</f>
        <v>144867.015625</v>
      </c>
      <c r="CG33" s="40">
        <f>RawData!T31</f>
        <v>-103.1875</v>
      </c>
      <c r="CH33" s="44">
        <f>RawData!S31</f>
        <v>2.5999999046325684</v>
      </c>
      <c r="CI33" s="44">
        <f>RawData!R31</f>
        <v>2.8499999046325684</v>
      </c>
      <c r="CJ33" s="44">
        <f>RawData!Q31</f>
        <v>1.9500000476837158</v>
      </c>
      <c r="CK33" s="44">
        <f>RawData!P31</f>
        <v>2.2000000476837158</v>
      </c>
      <c r="CL33" s="44">
        <f>RawData!CJ31</f>
        <v>300</v>
      </c>
      <c r="CM33" s="43">
        <f>RawData!CI31</f>
        <v>2.2000000476837158</v>
      </c>
      <c r="CN33" s="44">
        <f>RawData!CL31</f>
        <v>450</v>
      </c>
      <c r="CO33" s="43">
        <f>RawData!CK31</f>
        <v>2.1500000953674316</v>
      </c>
      <c r="CP33" s="44">
        <f>RawData!CM31</f>
        <v>2.2999999523162842</v>
      </c>
      <c r="CQ33" s="47">
        <f>RawData!CO31</f>
        <v>44783.638194444444</v>
      </c>
      <c r="CR33" s="44">
        <f>RawData!CP31</f>
        <v>38295.69921875</v>
      </c>
      <c r="CS33" s="44">
        <f>RawData!DG31</f>
        <v>38295.69921875</v>
      </c>
      <c r="CT33" s="43" t="str">
        <f>RawData!DJ31</f>
        <v>G</v>
      </c>
      <c r="CU33" s="43" t="str">
        <f>RawData!CQ31</f>
        <v>FairPrice</v>
      </c>
      <c r="CV33" s="47">
        <f>RawData!CR31</f>
        <v>44783.638194444444</v>
      </c>
      <c r="CW33" s="65">
        <f>RawData!DK31</f>
        <v>38300</v>
      </c>
      <c r="CX33" s="65">
        <f>RawData!DL31</f>
        <v>3400000</v>
      </c>
      <c r="CY33" s="65">
        <f>RawData!DM31</f>
        <v>38500</v>
      </c>
      <c r="CZ33" s="65">
        <f>RawData!DN31</f>
        <v>0</v>
      </c>
      <c r="DA33" s="65">
        <f>RawData!DO31</f>
        <v>24500</v>
      </c>
      <c r="DB33" s="65">
        <f>RawData!DP31</f>
        <v>2863350</v>
      </c>
      <c r="DC33" s="65">
        <f>RawData!DQ31</f>
        <v>38000</v>
      </c>
      <c r="DD33" s="65">
        <f>RawData!DR31</f>
        <v>0</v>
      </c>
      <c r="DE33" s="65">
        <f>RawData!DS31</f>
        <v>24500</v>
      </c>
      <c r="DF33" s="65" t="str">
        <f>RawData!DT31</f>
        <v>BANKNIFTY</v>
      </c>
      <c r="DG33" s="66">
        <f>RawData!DU31</f>
        <v>44784</v>
      </c>
      <c r="DI33" s="21">
        <f t="shared" si="0"/>
        <v>5995.69921875</v>
      </c>
    </row>
    <row r="34" spans="1:113" x14ac:dyDescent="0.2">
      <c r="A34" s="59">
        <f>RawData!CN32</f>
        <v>44783.638194444444</v>
      </c>
      <c r="B34" s="44">
        <f>RawData!CH32</f>
        <v>0</v>
      </c>
      <c r="C34" s="44">
        <f>RawData!CG32</f>
        <v>750</v>
      </c>
      <c r="D34" s="43">
        <f>RawData!CF32</f>
        <v>4616.0498046875</v>
      </c>
      <c r="E34" s="44">
        <f>RawData!CE32</f>
        <v>800</v>
      </c>
      <c r="F34" s="43">
        <f>RawData!CD32</f>
        <v>6071.89990234375</v>
      </c>
      <c r="G34" s="44">
        <f>RawData!CC32</f>
        <v>0</v>
      </c>
      <c r="H34" s="44">
        <f>RawData!CB32</f>
        <v>0</v>
      </c>
      <c r="I34" s="44">
        <f>RawData!CA32</f>
        <v>0</v>
      </c>
      <c r="J34" s="44">
        <f>RawData!BZ32</f>
        <v>0</v>
      </c>
      <c r="K34" s="40">
        <f>RawData!BY32</f>
        <v>0</v>
      </c>
      <c r="L34" s="40">
        <f>RawData!BX32</f>
        <v>0</v>
      </c>
      <c r="M34" s="40">
        <f>RawData!BW32</f>
        <v>0</v>
      </c>
      <c r="N34" s="40">
        <f>RawData!BV32</f>
        <v>0</v>
      </c>
      <c r="O34" s="36">
        <f>RawData!BU32</f>
        <v>0</v>
      </c>
      <c r="P34" s="36">
        <f>RawData!BT32</f>
        <v>0</v>
      </c>
      <c r="Q34" s="36">
        <f>RawData!BS32</f>
        <v>0</v>
      </c>
      <c r="R34" s="36">
        <f>RawData!BR32</f>
        <v>0</v>
      </c>
      <c r="S34" s="37">
        <f>RawData!BQ32</f>
        <v>0</v>
      </c>
      <c r="T34" s="37">
        <f>RawData!BP32</f>
        <v>0</v>
      </c>
      <c r="U34" s="38">
        <f>RawData!BO32</f>
        <v>0</v>
      </c>
      <c r="V34" s="38">
        <f>RawData!BN32</f>
        <v>0</v>
      </c>
      <c r="W34" s="39">
        <f>RawData!BM32</f>
        <v>0</v>
      </c>
      <c r="X34" s="39">
        <f>RawData!BL32</f>
        <v>0</v>
      </c>
      <c r="Y34" s="38">
        <f>RawData!BJ32</f>
        <v>0</v>
      </c>
      <c r="Z34" s="38">
        <f>RawData!BI32</f>
        <v>0</v>
      </c>
      <c r="AA34" s="40">
        <f>RawData!BH32</f>
        <v>0</v>
      </c>
      <c r="AB34" s="40">
        <f>RawData!BG32</f>
        <v>0</v>
      </c>
      <c r="AC34" s="40">
        <f>RawData!BF32</f>
        <v>0</v>
      </c>
      <c r="AD34" s="40">
        <f>RawData!BE32</f>
        <v>0</v>
      </c>
      <c r="AE34" s="40">
        <f>RawData!BD32</f>
        <v>0</v>
      </c>
      <c r="AF34" s="40">
        <f>RawData!BC32</f>
        <v>0</v>
      </c>
      <c r="AG34" s="41">
        <f>RawData!BB32</f>
        <v>0</v>
      </c>
      <c r="AH34" s="42">
        <f>RawData!DB32</f>
        <v>0</v>
      </c>
      <c r="AI34" s="41">
        <f>RawData!BA32</f>
        <v>0</v>
      </c>
      <c r="AJ34" s="43">
        <f>RawData!DA32</f>
        <v>0</v>
      </c>
      <c r="AK34" s="41">
        <f>RawData!AZ32</f>
        <v>0</v>
      </c>
      <c r="AL34" s="42">
        <f>RawData!DD32</f>
        <v>0</v>
      </c>
      <c r="AM34" s="44">
        <f>RawData!DC32</f>
        <v>0</v>
      </c>
      <c r="AN34" s="45">
        <f>RawData!BK32</f>
        <v>0</v>
      </c>
      <c r="AO34" s="44">
        <f>RawData!AY32</f>
        <v>0</v>
      </c>
      <c r="AP34" s="43" t="str">
        <f>RawData!DH32</f>
        <v>W</v>
      </c>
      <c r="AQ34" s="43">
        <f>RawData!DE32</f>
        <v>0</v>
      </c>
      <c r="AR34" s="42">
        <f>RawData!CZ32</f>
        <v>0</v>
      </c>
      <c r="AS34" s="44">
        <f>RawData!AX32</f>
        <v>0</v>
      </c>
      <c r="AT34" s="43">
        <f>RawData!CY32</f>
        <v>0</v>
      </c>
      <c r="AU34" s="44">
        <f>RawData!AW32</f>
        <v>0</v>
      </c>
      <c r="AV34" s="46">
        <f>RawData!O32</f>
        <v>32400</v>
      </c>
      <c r="AW34" s="44">
        <f>RawData!AV32</f>
        <v>2.1500000953674316</v>
      </c>
      <c r="AX34" s="44">
        <f>RawData!CW32</f>
        <v>2.1500000953674316</v>
      </c>
      <c r="AY34" s="44">
        <f>RawData!AU32</f>
        <v>0</v>
      </c>
      <c r="AZ34" s="42">
        <f>RawData!CX32</f>
        <v>0</v>
      </c>
      <c r="BA34" s="44">
        <f>RawData!DF32</f>
        <v>2.1500000953674316</v>
      </c>
      <c r="BB34" s="43" t="str">
        <f>RawData!DI32</f>
        <v>W</v>
      </c>
      <c r="BC34" s="44">
        <f>RawData!AT32</f>
        <v>115.81562757492065</v>
      </c>
      <c r="BD34" s="45">
        <f>RawData!AP32</f>
        <v>115.81562757492065</v>
      </c>
      <c r="BE34" s="44">
        <f>RawData!CS32</f>
        <v>-6.9141387939453125E-3</v>
      </c>
      <c r="BF34" s="42">
        <f>RawData!CT32</f>
        <v>-5.9695968432771892E-5</v>
      </c>
      <c r="BG34" s="41">
        <f>RawData!AS32</f>
        <v>6075</v>
      </c>
      <c r="BH34" s="41">
        <f>RawData!CU32</f>
        <v>3400</v>
      </c>
      <c r="BI34" s="41">
        <f>RawData!AR32</f>
        <v>2675</v>
      </c>
      <c r="BJ34" s="42">
        <f>RawData!CV32</f>
        <v>0.78676470588235292</v>
      </c>
      <c r="BK34" s="41">
        <f>RawData!AQ32</f>
        <v>47775</v>
      </c>
      <c r="BL34" s="40">
        <f>RawData!AO32</f>
        <v>-2.9747823718935251E-3</v>
      </c>
      <c r="BM34" s="40">
        <f>RawData!AN32</f>
        <v>-4.8195943236351013E-7</v>
      </c>
      <c r="BN34" s="40">
        <f>RawData!AM32</f>
        <v>-2.1500000953674316</v>
      </c>
      <c r="BO34" s="40">
        <f>RawData!AL32</f>
        <v>0</v>
      </c>
      <c r="BP34" s="40">
        <f>RawData!AK32</f>
        <v>0.18454280495643616</v>
      </c>
      <c r="BQ34" s="40">
        <f>RawData!AJ32</f>
        <v>5.9306621551513672E-6</v>
      </c>
      <c r="BR34" s="38">
        <f>RawData!AI32</f>
        <v>3.8573975871258881E-6</v>
      </c>
      <c r="BS34" s="38">
        <f>RawData!AH32</f>
        <v>1.2323653209023178E-9</v>
      </c>
      <c r="BT34" s="40">
        <f>RawData!AG32</f>
        <v>-40.698432922363281</v>
      </c>
      <c r="BU34" s="39">
        <f>RawData!AF32</f>
        <v>4.177093505859375E-3</v>
      </c>
      <c r="BV34" s="39">
        <f>RawData!AE32</f>
        <v>22.923671722412109</v>
      </c>
      <c r="BW34" s="38">
        <f>RawData!AD32</f>
        <v>2.422332763671875E-4</v>
      </c>
      <c r="BX34" s="38">
        <f>RawData!AC32</f>
        <v>-4.6081538584985537E-9</v>
      </c>
      <c r="BY34" s="37">
        <f>RawData!AB32</f>
        <v>-2.170263968537256E-12</v>
      </c>
      <c r="BZ34" s="37">
        <f>RawData!AA32</f>
        <v>2.1304247638909146E-5</v>
      </c>
      <c r="CA34" s="36">
        <f>RawData!Z32</f>
        <v>7.1995600592344999E-9</v>
      </c>
      <c r="CB34" s="36">
        <f>RawData!Y32</f>
        <v>1.1999763955827802E-5</v>
      </c>
      <c r="CC34" s="36">
        <f>RawData!X32</f>
        <v>5.4124029702506959E-9</v>
      </c>
      <c r="CD34" s="36">
        <f>RawData!W32</f>
        <v>227517.4375</v>
      </c>
      <c r="CE34" s="40">
        <f>RawData!V32</f>
        <v>-53.671875</v>
      </c>
      <c r="CF34" s="40">
        <f>RawData!U32</f>
        <v>145476.75</v>
      </c>
      <c r="CG34" s="40">
        <f>RawData!T32</f>
        <v>-17.21875</v>
      </c>
      <c r="CH34" s="44">
        <f>RawData!S32</f>
        <v>2.75</v>
      </c>
      <c r="CI34" s="44">
        <f>RawData!R32</f>
        <v>3</v>
      </c>
      <c r="CJ34" s="44">
        <f>RawData!Q32</f>
        <v>1.3999999761581421</v>
      </c>
      <c r="CK34" s="44">
        <f>RawData!P32</f>
        <v>2.1500000953674316</v>
      </c>
      <c r="CL34" s="44">
        <f>RawData!CJ32</f>
        <v>25</v>
      </c>
      <c r="CM34" s="43">
        <f>RawData!CI32</f>
        <v>2.2000000476837158</v>
      </c>
      <c r="CN34" s="44">
        <f>RawData!CL32</f>
        <v>375</v>
      </c>
      <c r="CO34" s="43">
        <f>RawData!CK32</f>
        <v>2.1500000953674316</v>
      </c>
      <c r="CP34" s="44">
        <f>RawData!CM32</f>
        <v>2.5</v>
      </c>
      <c r="CQ34" s="47">
        <f>RawData!CO32</f>
        <v>44783.638194444444</v>
      </c>
      <c r="CR34" s="44">
        <f>RawData!CP32</f>
        <v>38295.69921875</v>
      </c>
      <c r="CS34" s="44">
        <f>RawData!DG32</f>
        <v>38295.69921875</v>
      </c>
      <c r="CT34" s="43" t="str">
        <f>RawData!DJ32</f>
        <v>G</v>
      </c>
      <c r="CU34" s="43" t="str">
        <f>RawData!CQ32</f>
        <v>FairPrice</v>
      </c>
      <c r="CV34" s="47">
        <f>RawData!CR32</f>
        <v>44783.638194444444</v>
      </c>
      <c r="CW34" s="65">
        <f>RawData!DK32</f>
        <v>38300</v>
      </c>
      <c r="CX34" s="65">
        <f>RawData!DL32</f>
        <v>3400000</v>
      </c>
      <c r="CY34" s="65">
        <f>RawData!DM32</f>
        <v>38500</v>
      </c>
      <c r="CZ34" s="65">
        <f>RawData!DN32</f>
        <v>0</v>
      </c>
      <c r="DA34" s="65">
        <f>RawData!DO32</f>
        <v>24500</v>
      </c>
      <c r="DB34" s="65">
        <f>RawData!DP32</f>
        <v>2863350</v>
      </c>
      <c r="DC34" s="65">
        <f>RawData!DQ32</f>
        <v>38000</v>
      </c>
      <c r="DD34" s="65">
        <f>RawData!DR32</f>
        <v>0</v>
      </c>
      <c r="DE34" s="65">
        <f>RawData!DS32</f>
        <v>24500</v>
      </c>
      <c r="DF34" s="65" t="str">
        <f>RawData!DT32</f>
        <v>BANKNIFTY</v>
      </c>
      <c r="DG34" s="66">
        <f>RawData!DU32</f>
        <v>44784</v>
      </c>
      <c r="DI34" s="21">
        <f t="shared" si="0"/>
        <v>5895.69921875</v>
      </c>
    </row>
    <row r="35" spans="1:113" x14ac:dyDescent="0.2">
      <c r="A35" s="59">
        <f>RawData!CN33</f>
        <v>44783.638194444444</v>
      </c>
      <c r="B35" s="44">
        <f>RawData!CH33</f>
        <v>0</v>
      </c>
      <c r="C35" s="44">
        <f>RawData!CG33</f>
        <v>750</v>
      </c>
      <c r="D35" s="43">
        <f>RawData!CF33</f>
        <v>5306</v>
      </c>
      <c r="E35" s="44">
        <f>RawData!CE33</f>
        <v>50</v>
      </c>
      <c r="F35" s="43">
        <f>RawData!CD33</f>
        <v>5865.64990234375</v>
      </c>
      <c r="G35" s="44">
        <f>RawData!CC33</f>
        <v>0</v>
      </c>
      <c r="H35" s="44">
        <f>RawData!CB33</f>
        <v>0</v>
      </c>
      <c r="I35" s="44">
        <f>RawData!CA33</f>
        <v>0</v>
      </c>
      <c r="J35" s="44">
        <f>RawData!BZ33</f>
        <v>0</v>
      </c>
      <c r="K35" s="40">
        <f>RawData!BY33</f>
        <v>0</v>
      </c>
      <c r="L35" s="40">
        <f>RawData!BX33</f>
        <v>0</v>
      </c>
      <c r="M35" s="40">
        <f>RawData!BW33</f>
        <v>0</v>
      </c>
      <c r="N35" s="40">
        <f>RawData!BV33</f>
        <v>0</v>
      </c>
      <c r="O35" s="36">
        <f>RawData!BU33</f>
        <v>0</v>
      </c>
      <c r="P35" s="36">
        <f>RawData!BT33</f>
        <v>0</v>
      </c>
      <c r="Q35" s="36">
        <f>RawData!BS33</f>
        <v>0</v>
      </c>
      <c r="R35" s="36">
        <f>RawData!BR33</f>
        <v>0</v>
      </c>
      <c r="S35" s="37">
        <f>RawData!BQ33</f>
        <v>0</v>
      </c>
      <c r="T35" s="37">
        <f>RawData!BP33</f>
        <v>0</v>
      </c>
      <c r="U35" s="38">
        <f>RawData!BO33</f>
        <v>0</v>
      </c>
      <c r="V35" s="38">
        <f>RawData!BN33</f>
        <v>0</v>
      </c>
      <c r="W35" s="39">
        <f>RawData!BM33</f>
        <v>0</v>
      </c>
      <c r="X35" s="39">
        <f>RawData!BL33</f>
        <v>0</v>
      </c>
      <c r="Y35" s="38">
        <f>RawData!BJ33</f>
        <v>0</v>
      </c>
      <c r="Z35" s="38">
        <f>RawData!BI33</f>
        <v>0</v>
      </c>
      <c r="AA35" s="40">
        <f>RawData!BH33</f>
        <v>0</v>
      </c>
      <c r="AB35" s="40">
        <f>RawData!BG33</f>
        <v>0</v>
      </c>
      <c r="AC35" s="40">
        <f>RawData!BF33</f>
        <v>0</v>
      </c>
      <c r="AD35" s="40">
        <f>RawData!BE33</f>
        <v>0</v>
      </c>
      <c r="AE35" s="40">
        <f>RawData!BD33</f>
        <v>0</v>
      </c>
      <c r="AF35" s="40">
        <f>RawData!BC33</f>
        <v>0</v>
      </c>
      <c r="AG35" s="41">
        <f>RawData!BB33</f>
        <v>0</v>
      </c>
      <c r="AH35" s="42">
        <f>RawData!DB33</f>
        <v>0</v>
      </c>
      <c r="AI35" s="41">
        <f>RawData!BA33</f>
        <v>0</v>
      </c>
      <c r="AJ35" s="43">
        <f>RawData!DA33</f>
        <v>0</v>
      </c>
      <c r="AK35" s="41">
        <f>RawData!AZ33</f>
        <v>0</v>
      </c>
      <c r="AL35" s="42">
        <f>RawData!DD33</f>
        <v>0</v>
      </c>
      <c r="AM35" s="44">
        <f>RawData!DC33</f>
        <v>0</v>
      </c>
      <c r="AN35" s="45">
        <f>RawData!BK33</f>
        <v>0</v>
      </c>
      <c r="AO35" s="44">
        <f>RawData!AY33</f>
        <v>0</v>
      </c>
      <c r="AP35" s="43" t="str">
        <f>RawData!DH33</f>
        <v>W</v>
      </c>
      <c r="AQ35" s="43">
        <f>RawData!DE33</f>
        <v>0</v>
      </c>
      <c r="AR35" s="42">
        <f>RawData!CZ33</f>
        <v>0</v>
      </c>
      <c r="AS35" s="44">
        <f>RawData!AX33</f>
        <v>0</v>
      </c>
      <c r="AT35" s="43">
        <f>RawData!CY33</f>
        <v>0</v>
      </c>
      <c r="AU35" s="44">
        <f>RawData!AW33</f>
        <v>0</v>
      </c>
      <c r="AV35" s="46">
        <f>RawData!O33</f>
        <v>32500</v>
      </c>
      <c r="AW35" s="44">
        <f>RawData!AV33</f>
        <v>2.2000000476837158</v>
      </c>
      <c r="AX35" s="44">
        <f>RawData!CW33</f>
        <v>2.2000000476837158</v>
      </c>
      <c r="AY35" s="44">
        <f>RawData!AU33</f>
        <v>0</v>
      </c>
      <c r="AZ35" s="42">
        <f>RawData!CX33</f>
        <v>0</v>
      </c>
      <c r="BA35" s="44">
        <f>RawData!DF33</f>
        <v>2.2000000476837158</v>
      </c>
      <c r="BB35" s="43" t="str">
        <f>RawData!DI33</f>
        <v>W</v>
      </c>
      <c r="BC35" s="44">
        <f>RawData!AT33</f>
        <v>114.14176225662231</v>
      </c>
      <c r="BD35" s="45">
        <f>RawData!AP33</f>
        <v>114.14176225662231</v>
      </c>
      <c r="BE35" s="44">
        <f>RawData!CS33</f>
        <v>2.4676322937011719E-3</v>
      </c>
      <c r="BF35" s="42">
        <f>RawData!CT33</f>
        <v>2.1619480844199995E-5</v>
      </c>
      <c r="BG35" s="41">
        <f>RawData!AS33</f>
        <v>92150</v>
      </c>
      <c r="BH35" s="41">
        <f>RawData!CU33</f>
        <v>77550</v>
      </c>
      <c r="BI35" s="41">
        <f>RawData!AR33</f>
        <v>14600</v>
      </c>
      <c r="BJ35" s="42">
        <f>RawData!CV33</f>
        <v>0.1882656350741457</v>
      </c>
      <c r="BK35" s="41">
        <f>RawData!AQ33</f>
        <v>347450</v>
      </c>
      <c r="BL35" s="40">
        <f>RawData!AO33</f>
        <v>-3.0800083186477423E-3</v>
      </c>
      <c r="BM35" s="40">
        <f>RawData!AN33</f>
        <v>0</v>
      </c>
      <c r="BN35" s="40">
        <f>RawData!AM33</f>
        <v>-2.2000000476837158</v>
      </c>
      <c r="BO35" s="40">
        <f>RawData!AL33</f>
        <v>0</v>
      </c>
      <c r="BP35" s="40">
        <f>RawData!AK33</f>
        <v>0.19041326642036438</v>
      </c>
      <c r="BQ35" s="40">
        <f>RawData!AJ33</f>
        <v>-4.1127204895019531E-6</v>
      </c>
      <c r="BR35" s="38">
        <f>RawData!AI33</f>
        <v>4.0384611565968953E-6</v>
      </c>
      <c r="BS35" s="38">
        <f>RawData!AH33</f>
        <v>0</v>
      </c>
      <c r="BT35" s="40">
        <f>RawData!AG33</f>
        <v>-39.865608215332031</v>
      </c>
      <c r="BU35" s="39">
        <f>RawData!AF33</f>
        <v>8.6212158203125E-4</v>
      </c>
      <c r="BV35" s="39">
        <f>RawData!AE33</f>
        <v>22.130046844482422</v>
      </c>
      <c r="BW35" s="38">
        <f>RawData!AD33</f>
        <v>9.57489013671875E-4</v>
      </c>
      <c r="BX35" s="38">
        <f>RawData!AC33</f>
        <v>-4.8737947011545657E-9</v>
      </c>
      <c r="BY35" s="37">
        <f>RawData!AB33</f>
        <v>0</v>
      </c>
      <c r="BZ35" s="37">
        <f>RawData!AA33</f>
        <v>2.2420848836190999E-5</v>
      </c>
      <c r="CA35" s="36">
        <f>RawData!Z33</f>
        <v>-4.8385118134319782E-10</v>
      </c>
      <c r="CB35" s="36">
        <f>RawData!Y33</f>
        <v>1.2446176697267219E-5</v>
      </c>
      <c r="CC35" s="36">
        <f>RawData!X33</f>
        <v>5.3842086344957352E-10</v>
      </c>
      <c r="CD35" s="36">
        <f>RawData!W33</f>
        <v>221937.640625</v>
      </c>
      <c r="CE35" s="40">
        <f>RawData!V33</f>
        <v>-9.59375</v>
      </c>
      <c r="CF35" s="40">
        <f>RawData!U33</f>
        <v>139993.046875</v>
      </c>
      <c r="CG35" s="40">
        <f>RawData!T33</f>
        <v>3.03125</v>
      </c>
      <c r="CH35" s="44">
        <f>RawData!S33</f>
        <v>2.6500000953674316</v>
      </c>
      <c r="CI35" s="44">
        <f>RawData!R33</f>
        <v>2.9500000476837158</v>
      </c>
      <c r="CJ35" s="44">
        <f>RawData!Q33</f>
        <v>2</v>
      </c>
      <c r="CK35" s="44">
        <f>RawData!P33</f>
        <v>2.2000000476837158</v>
      </c>
      <c r="CL35" s="44">
        <f>RawData!CJ33</f>
        <v>600</v>
      </c>
      <c r="CM35" s="43">
        <f>RawData!CI33</f>
        <v>2.25</v>
      </c>
      <c r="CN35" s="44">
        <f>RawData!CL33</f>
        <v>275</v>
      </c>
      <c r="CO35" s="43">
        <f>RawData!CK33</f>
        <v>2.2000000476837158</v>
      </c>
      <c r="CP35" s="44">
        <f>RawData!CM33</f>
        <v>2.440000057220459</v>
      </c>
      <c r="CQ35" s="47">
        <f>RawData!CO33</f>
        <v>44783.638194444444</v>
      </c>
      <c r="CR35" s="44">
        <f>RawData!CP33</f>
        <v>38295.69921875</v>
      </c>
      <c r="CS35" s="44">
        <f>RawData!DG33</f>
        <v>38295.69921875</v>
      </c>
      <c r="CT35" s="43" t="str">
        <f>RawData!DJ33</f>
        <v>G</v>
      </c>
      <c r="CU35" s="43" t="str">
        <f>RawData!CQ33</f>
        <v>FairPrice</v>
      </c>
      <c r="CV35" s="47">
        <f>RawData!CR33</f>
        <v>44783.638194444444</v>
      </c>
      <c r="CW35" s="65">
        <f>RawData!DK33</f>
        <v>38300</v>
      </c>
      <c r="CX35" s="65">
        <f>RawData!DL33</f>
        <v>3400000</v>
      </c>
      <c r="CY35" s="65">
        <f>RawData!DM33</f>
        <v>38500</v>
      </c>
      <c r="CZ35" s="65">
        <f>RawData!DN33</f>
        <v>0</v>
      </c>
      <c r="DA35" s="65">
        <f>RawData!DO33</f>
        <v>24500</v>
      </c>
      <c r="DB35" s="65">
        <f>RawData!DP33</f>
        <v>2863350</v>
      </c>
      <c r="DC35" s="65">
        <f>RawData!DQ33</f>
        <v>38000</v>
      </c>
      <c r="DD35" s="65">
        <f>RawData!DR33</f>
        <v>0</v>
      </c>
      <c r="DE35" s="65">
        <f>RawData!DS33</f>
        <v>24500</v>
      </c>
      <c r="DF35" s="65" t="str">
        <f>RawData!DT33</f>
        <v>BANKNIFTY</v>
      </c>
      <c r="DG35" s="66">
        <f>RawData!DU33</f>
        <v>44784</v>
      </c>
      <c r="DI35" s="21">
        <f t="shared" si="0"/>
        <v>5795.69921875</v>
      </c>
    </row>
    <row r="36" spans="1:113" x14ac:dyDescent="0.2">
      <c r="A36" s="59">
        <f>RawData!CN34</f>
        <v>44783.638194444444</v>
      </c>
      <c r="B36" s="44">
        <f>RawData!CH34</f>
        <v>0</v>
      </c>
      <c r="C36" s="44">
        <f>RawData!CG34</f>
        <v>750</v>
      </c>
      <c r="D36" s="43">
        <f>RawData!CF34</f>
        <v>5480.2001953125</v>
      </c>
      <c r="E36" s="44">
        <f>RawData!CE34</f>
        <v>800</v>
      </c>
      <c r="F36" s="43">
        <f>RawData!CD34</f>
        <v>5895.7001953125</v>
      </c>
      <c r="G36" s="44">
        <f>RawData!CC34</f>
        <v>0</v>
      </c>
      <c r="H36" s="44">
        <f>RawData!CB34</f>
        <v>0</v>
      </c>
      <c r="I36" s="44">
        <f>RawData!CA34</f>
        <v>0</v>
      </c>
      <c r="J36" s="44">
        <f>RawData!BZ34</f>
        <v>0</v>
      </c>
      <c r="K36" s="40">
        <f>RawData!BY34</f>
        <v>0</v>
      </c>
      <c r="L36" s="40">
        <f>RawData!BX34</f>
        <v>0</v>
      </c>
      <c r="M36" s="40">
        <f>RawData!BW34</f>
        <v>0</v>
      </c>
      <c r="N36" s="40">
        <f>RawData!BV34</f>
        <v>0</v>
      </c>
      <c r="O36" s="36">
        <f>RawData!BU34</f>
        <v>0</v>
      </c>
      <c r="P36" s="36">
        <f>RawData!BT34</f>
        <v>0</v>
      </c>
      <c r="Q36" s="36">
        <f>RawData!BS34</f>
        <v>0</v>
      </c>
      <c r="R36" s="36">
        <f>RawData!BR34</f>
        <v>0</v>
      </c>
      <c r="S36" s="37">
        <f>RawData!BQ34</f>
        <v>0</v>
      </c>
      <c r="T36" s="37">
        <f>RawData!BP34</f>
        <v>0</v>
      </c>
      <c r="U36" s="38">
        <f>RawData!BO34</f>
        <v>0</v>
      </c>
      <c r="V36" s="38">
        <f>RawData!BN34</f>
        <v>0</v>
      </c>
      <c r="W36" s="39">
        <f>RawData!BM34</f>
        <v>0</v>
      </c>
      <c r="X36" s="39">
        <f>RawData!BL34</f>
        <v>0</v>
      </c>
      <c r="Y36" s="38">
        <f>RawData!BJ34</f>
        <v>0</v>
      </c>
      <c r="Z36" s="38">
        <f>RawData!BI34</f>
        <v>0</v>
      </c>
      <c r="AA36" s="40">
        <f>RawData!BH34</f>
        <v>0</v>
      </c>
      <c r="AB36" s="40">
        <f>RawData!BG34</f>
        <v>0</v>
      </c>
      <c r="AC36" s="40">
        <f>RawData!BF34</f>
        <v>0</v>
      </c>
      <c r="AD36" s="40">
        <f>RawData!BE34</f>
        <v>0</v>
      </c>
      <c r="AE36" s="40">
        <f>RawData!BD34</f>
        <v>0</v>
      </c>
      <c r="AF36" s="40">
        <f>RawData!BC34</f>
        <v>0</v>
      </c>
      <c r="AG36" s="41">
        <f>RawData!BB34</f>
        <v>0</v>
      </c>
      <c r="AH36" s="42">
        <f>RawData!DB34</f>
        <v>0</v>
      </c>
      <c r="AI36" s="41">
        <f>RawData!BA34</f>
        <v>0</v>
      </c>
      <c r="AJ36" s="43">
        <f>RawData!DA34</f>
        <v>0</v>
      </c>
      <c r="AK36" s="41">
        <f>RawData!AZ34</f>
        <v>0</v>
      </c>
      <c r="AL36" s="42">
        <f>RawData!DD34</f>
        <v>0</v>
      </c>
      <c r="AM36" s="44">
        <f>RawData!DC34</f>
        <v>0</v>
      </c>
      <c r="AN36" s="45">
        <f>RawData!BK34</f>
        <v>0</v>
      </c>
      <c r="AO36" s="44">
        <f>RawData!AY34</f>
        <v>0</v>
      </c>
      <c r="AP36" s="43" t="str">
        <f>RawData!DH34</f>
        <v>W</v>
      </c>
      <c r="AQ36" s="43">
        <f>RawData!DE34</f>
        <v>0</v>
      </c>
      <c r="AR36" s="42">
        <f>RawData!CZ34</f>
        <v>0</v>
      </c>
      <c r="AS36" s="44">
        <f>RawData!AX34</f>
        <v>0</v>
      </c>
      <c r="AT36" s="43">
        <f>RawData!CY34</f>
        <v>0</v>
      </c>
      <c r="AU36" s="44">
        <f>RawData!AW34</f>
        <v>0</v>
      </c>
      <c r="AV36" s="46">
        <f>RawData!O34</f>
        <v>32600</v>
      </c>
      <c r="AW36" s="44">
        <f>RawData!AV34</f>
        <v>2.2000000476837158</v>
      </c>
      <c r="AX36" s="44">
        <f>RawData!CW34</f>
        <v>2.2000000476837158</v>
      </c>
      <c r="AY36" s="44">
        <f>RawData!AU34</f>
        <v>0</v>
      </c>
      <c r="AZ36" s="42">
        <f>RawData!CX34</f>
        <v>0</v>
      </c>
      <c r="BA36" s="44">
        <f>RawData!DF34</f>
        <v>2.2000000476837158</v>
      </c>
      <c r="BB36" s="43" t="str">
        <f>RawData!DI34</f>
        <v>W</v>
      </c>
      <c r="BC36" s="44">
        <f>RawData!AT34</f>
        <v>112.20121383666992</v>
      </c>
      <c r="BD36" s="45">
        <f>RawData!AP34</f>
        <v>112.20121383666992</v>
      </c>
      <c r="BE36" s="44">
        <f>RawData!CS34</f>
        <v>2.6559829711914063E-2</v>
      </c>
      <c r="BF36" s="42">
        <f>RawData!CT34</f>
        <v>2.3677211173093167E-4</v>
      </c>
      <c r="BG36" s="41">
        <f>RawData!AS34</f>
        <v>2075</v>
      </c>
      <c r="BH36" s="41">
        <f>RawData!CU34</f>
        <v>1250</v>
      </c>
      <c r="BI36" s="41">
        <f>RawData!AR34</f>
        <v>825</v>
      </c>
      <c r="BJ36" s="42">
        <f>RawData!CV34</f>
        <v>0.66</v>
      </c>
      <c r="BK36" s="41">
        <f>RawData!AQ34</f>
        <v>15900</v>
      </c>
      <c r="BL36" s="40">
        <f>RawData!AO34</f>
        <v>-3.1286079902201891E-3</v>
      </c>
      <c r="BM36" s="40">
        <f>RawData!AN34</f>
        <v>-1.0440126061439514E-6</v>
      </c>
      <c r="BN36" s="40">
        <f>RawData!AM34</f>
        <v>-2.2000000476837158</v>
      </c>
      <c r="BO36" s="40">
        <f>RawData!AL34</f>
        <v>0</v>
      </c>
      <c r="BP36" s="40">
        <f>RawData!AK34</f>
        <v>0.19319495558738708</v>
      </c>
      <c r="BQ36" s="40">
        <f>RawData!AJ34</f>
        <v>-5.6833028793334961E-5</v>
      </c>
      <c r="BR36" s="38">
        <f>RawData!AI34</f>
        <v>4.1649323065939825E-6</v>
      </c>
      <c r="BS36" s="38">
        <f>RawData!AH34</f>
        <v>2.7407622837927192E-9</v>
      </c>
      <c r="BT36" s="40">
        <f>RawData!AG34</f>
        <v>-39.925613403320313</v>
      </c>
      <c r="BU36" s="39">
        <f>RawData!AF34</f>
        <v>2.2823333740234375E-2</v>
      </c>
      <c r="BV36" s="39">
        <f>RawData!AE34</f>
        <v>21.771492004394531</v>
      </c>
      <c r="BW36" s="38">
        <f>RawData!AD34</f>
        <v>1.6204833984375E-2</v>
      </c>
      <c r="BX36" s="38">
        <f>RawData!AC34</f>
        <v>-5.1000315082205816E-9</v>
      </c>
      <c r="BY36" s="37">
        <f>RawData!AB34</f>
        <v>-4.9467097085198475E-12</v>
      </c>
      <c r="BZ36" s="37">
        <f>RawData!AA34</f>
        <v>2.3429665816365741E-5</v>
      </c>
      <c r="CA36" s="36">
        <f>RawData!Z34</f>
        <v>7.8543962445110083E-9</v>
      </c>
      <c r="CB36" s="36">
        <f>RawData!Y34</f>
        <v>1.2776228686561808E-5</v>
      </c>
      <c r="CC36" s="36">
        <f>RawData!X34</f>
        <v>2.1081177692394704E-8</v>
      </c>
      <c r="CD36" s="36">
        <f>RawData!W34</f>
        <v>221944.046875</v>
      </c>
      <c r="CE36" s="40">
        <f>RawData!V34</f>
        <v>-267.859375</v>
      </c>
      <c r="CF36" s="40">
        <f>RawData!U34</f>
        <v>137578.515625</v>
      </c>
      <c r="CG36" s="40">
        <f>RawData!T34</f>
        <v>16.359375</v>
      </c>
      <c r="CH36" s="44">
        <f>RawData!S34</f>
        <v>2.7000000476837158</v>
      </c>
      <c r="CI36" s="44">
        <f>RawData!R34</f>
        <v>3.1500000953674316</v>
      </c>
      <c r="CJ36" s="44">
        <f>RawData!Q34</f>
        <v>1.6000000238418579</v>
      </c>
      <c r="CK36" s="44">
        <f>RawData!P34</f>
        <v>2.2000000476837158</v>
      </c>
      <c r="CL36" s="44">
        <f>RawData!CJ34</f>
        <v>125</v>
      </c>
      <c r="CM36" s="43">
        <f>RawData!CI34</f>
        <v>2.8499999046325684</v>
      </c>
      <c r="CN36" s="44">
        <f>RawData!CL34</f>
        <v>200</v>
      </c>
      <c r="CO36" s="43">
        <f>RawData!CK34</f>
        <v>2.2000000476837158</v>
      </c>
      <c r="CP36" s="44">
        <f>RawData!CM34</f>
        <v>2.5799999237060547</v>
      </c>
      <c r="CQ36" s="47">
        <f>RawData!CO34</f>
        <v>44783.638194444444</v>
      </c>
      <c r="CR36" s="44">
        <f>RawData!CP34</f>
        <v>38295.69921875</v>
      </c>
      <c r="CS36" s="44">
        <f>RawData!DG34</f>
        <v>38295.69921875</v>
      </c>
      <c r="CT36" s="43" t="str">
        <f>RawData!DJ34</f>
        <v>G</v>
      </c>
      <c r="CU36" s="43" t="str">
        <f>RawData!CQ34</f>
        <v>FairPrice</v>
      </c>
      <c r="CV36" s="47">
        <f>RawData!CR34</f>
        <v>44783.638194444444</v>
      </c>
      <c r="CW36" s="65">
        <f>RawData!DK34</f>
        <v>38300</v>
      </c>
      <c r="CX36" s="65">
        <f>RawData!DL34</f>
        <v>3400000</v>
      </c>
      <c r="CY36" s="65">
        <f>RawData!DM34</f>
        <v>38500</v>
      </c>
      <c r="CZ36" s="65">
        <f>RawData!DN34</f>
        <v>0</v>
      </c>
      <c r="DA36" s="65">
        <f>RawData!DO34</f>
        <v>24500</v>
      </c>
      <c r="DB36" s="65">
        <f>RawData!DP34</f>
        <v>2863350</v>
      </c>
      <c r="DC36" s="65">
        <f>RawData!DQ34</f>
        <v>38000</v>
      </c>
      <c r="DD36" s="65">
        <f>RawData!DR34</f>
        <v>0</v>
      </c>
      <c r="DE36" s="65">
        <f>RawData!DS34</f>
        <v>24500</v>
      </c>
      <c r="DF36" s="65" t="str">
        <f>RawData!DT34</f>
        <v>BANKNIFTY</v>
      </c>
      <c r="DG36" s="66">
        <f>RawData!DU34</f>
        <v>44784</v>
      </c>
      <c r="DI36" s="21">
        <f t="shared" si="0"/>
        <v>5695.69921875</v>
      </c>
    </row>
    <row r="37" spans="1:113" x14ac:dyDescent="0.2">
      <c r="A37" s="59">
        <f>RawData!CN35</f>
        <v>44783.638194444444</v>
      </c>
      <c r="B37" s="44">
        <f>RawData!CH35</f>
        <v>0</v>
      </c>
      <c r="C37" s="44">
        <f>RawData!CG35</f>
        <v>750</v>
      </c>
      <c r="D37" s="43">
        <f>RawData!CF35</f>
        <v>3986.10009765625</v>
      </c>
      <c r="E37" s="44">
        <f>RawData!CE35</f>
        <v>800</v>
      </c>
      <c r="F37" s="43">
        <f>RawData!CD35</f>
        <v>5781.0498046875</v>
      </c>
      <c r="G37" s="44">
        <f>RawData!CC35</f>
        <v>5147.39990234375</v>
      </c>
      <c r="H37" s="44">
        <f>RawData!CB35</f>
        <v>0</v>
      </c>
      <c r="I37" s="44">
        <f>RawData!CA35</f>
        <v>0</v>
      </c>
      <c r="J37" s="44">
        <f>RawData!BZ35</f>
        <v>0</v>
      </c>
      <c r="K37" s="40">
        <f>RawData!BY35</f>
        <v>0</v>
      </c>
      <c r="L37" s="40">
        <f>RawData!BX35</f>
        <v>0</v>
      </c>
      <c r="M37" s="40">
        <f>RawData!BW35</f>
        <v>0</v>
      </c>
      <c r="N37" s="40">
        <f>RawData!BV35</f>
        <v>0</v>
      </c>
      <c r="O37" s="36">
        <f>RawData!BU35</f>
        <v>0</v>
      </c>
      <c r="P37" s="36">
        <f>RawData!BT35</f>
        <v>0</v>
      </c>
      <c r="Q37" s="36">
        <f>RawData!BS35</f>
        <v>0</v>
      </c>
      <c r="R37" s="36">
        <f>RawData!BR35</f>
        <v>0</v>
      </c>
      <c r="S37" s="37">
        <f>RawData!BQ35</f>
        <v>0</v>
      </c>
      <c r="T37" s="37">
        <f>RawData!BP35</f>
        <v>0</v>
      </c>
      <c r="U37" s="38">
        <f>RawData!BO35</f>
        <v>0</v>
      </c>
      <c r="V37" s="38">
        <f>RawData!BN35</f>
        <v>0</v>
      </c>
      <c r="W37" s="39">
        <f>RawData!BM35</f>
        <v>0</v>
      </c>
      <c r="X37" s="39">
        <f>RawData!BL35</f>
        <v>0</v>
      </c>
      <c r="Y37" s="38">
        <f>RawData!BJ35</f>
        <v>0</v>
      </c>
      <c r="Z37" s="38">
        <f>RawData!BI35</f>
        <v>0</v>
      </c>
      <c r="AA37" s="40">
        <f>RawData!BH35</f>
        <v>0</v>
      </c>
      <c r="AB37" s="40">
        <f>RawData!BG35</f>
        <v>0</v>
      </c>
      <c r="AC37" s="40">
        <f>RawData!BF35</f>
        <v>0</v>
      </c>
      <c r="AD37" s="40">
        <f>RawData!BE35</f>
        <v>0</v>
      </c>
      <c r="AE37" s="40">
        <f>RawData!BD35</f>
        <v>0</v>
      </c>
      <c r="AF37" s="40">
        <f>RawData!BC35</f>
        <v>0</v>
      </c>
      <c r="AG37" s="41">
        <f>RawData!BB35</f>
        <v>0</v>
      </c>
      <c r="AH37" s="42">
        <f>RawData!DB35</f>
        <v>0</v>
      </c>
      <c r="AI37" s="41">
        <f>RawData!BA35</f>
        <v>0</v>
      </c>
      <c r="AJ37" s="43">
        <f>RawData!DA35</f>
        <v>125</v>
      </c>
      <c r="AK37" s="41">
        <f>RawData!AZ35</f>
        <v>125</v>
      </c>
      <c r="AL37" s="42">
        <f>RawData!DD35</f>
        <v>0</v>
      </c>
      <c r="AM37" s="44">
        <f>RawData!DC35</f>
        <v>0</v>
      </c>
      <c r="AN37" s="45">
        <f>RawData!BK35</f>
        <v>0</v>
      </c>
      <c r="AO37" s="44">
        <f>RawData!AY35</f>
        <v>0</v>
      </c>
      <c r="AP37" s="43" t="str">
        <f>RawData!DH35</f>
        <v>W</v>
      </c>
      <c r="AQ37" s="43">
        <f>RawData!DE35</f>
        <v>5147.39990234375</v>
      </c>
      <c r="AR37" s="42">
        <f>RawData!CZ35</f>
        <v>0</v>
      </c>
      <c r="AS37" s="44">
        <f>RawData!AX35</f>
        <v>0</v>
      </c>
      <c r="AT37" s="43">
        <f>RawData!CY35</f>
        <v>5147.39990234375</v>
      </c>
      <c r="AU37" s="44">
        <f>RawData!AW35</f>
        <v>5147.39990234375</v>
      </c>
      <c r="AV37" s="46">
        <f>RawData!O35</f>
        <v>32700</v>
      </c>
      <c r="AW37" s="44">
        <f>RawData!AV35</f>
        <v>2.4000000953674316</v>
      </c>
      <c r="AX37" s="44">
        <f>RawData!CW35</f>
        <v>2.4000000953674316</v>
      </c>
      <c r="AY37" s="44">
        <f>RawData!AU35</f>
        <v>0</v>
      </c>
      <c r="AZ37" s="42">
        <f>RawData!CX35</f>
        <v>0</v>
      </c>
      <c r="BA37" s="44">
        <f>RawData!DF35</f>
        <v>2.4000000953674316</v>
      </c>
      <c r="BB37" s="43" t="str">
        <f>RawData!DI35</f>
        <v>W</v>
      </c>
      <c r="BC37" s="44">
        <f>RawData!AT35</f>
        <v>111.25391721725464</v>
      </c>
      <c r="BD37" s="45">
        <f>RawData!AP35</f>
        <v>111.25391721725464</v>
      </c>
      <c r="BE37" s="44">
        <f>RawData!CS35</f>
        <v>3.2305717468261719E-3</v>
      </c>
      <c r="BF37" s="42">
        <f>RawData!CT35</f>
        <v>2.9038667933081195E-5</v>
      </c>
      <c r="BG37" s="41">
        <f>RawData!AS35</f>
        <v>3425</v>
      </c>
      <c r="BH37" s="41">
        <f>RawData!CU35</f>
        <v>3675</v>
      </c>
      <c r="BI37" s="41">
        <f>RawData!AR35</f>
        <v>-250</v>
      </c>
      <c r="BJ37" s="42">
        <f>RawData!CV35</f>
        <v>-6.8027210884353748E-2</v>
      </c>
      <c r="BK37" s="41">
        <f>RawData!AQ35</f>
        <v>34700</v>
      </c>
      <c r="BL37" s="40">
        <f>RawData!AO35</f>
        <v>-3.4172069281339645E-3</v>
      </c>
      <c r="BM37" s="40">
        <f>RawData!AN35</f>
        <v>2.7474015951156616E-8</v>
      </c>
      <c r="BN37" s="40">
        <f>RawData!AM35</f>
        <v>-2.4000000953674316</v>
      </c>
      <c r="BO37" s="40">
        <f>RawData!AL35</f>
        <v>0</v>
      </c>
      <c r="BP37" s="40">
        <f>RawData!AK35</f>
        <v>0.20906639099121094</v>
      </c>
      <c r="BQ37" s="40">
        <f>RawData!AJ35</f>
        <v>-5.7518482208251953E-6</v>
      </c>
      <c r="BR37" s="38">
        <f>RawData!AI35</f>
        <v>4.5491588025470264E-6</v>
      </c>
      <c r="BS37" s="38">
        <f>RawData!AH35</f>
        <v>-7.2304828790947795E-11</v>
      </c>
      <c r="BT37" s="40">
        <f>RawData!AG35</f>
        <v>-36.795124053955078</v>
      </c>
      <c r="BU37" s="39">
        <f>RawData!AF35</f>
        <v>7.66754150390625E-4</v>
      </c>
      <c r="BV37" s="39">
        <f>RawData!AE35</f>
        <v>19.908790588378906</v>
      </c>
      <c r="BW37" s="38">
        <f>RawData!AD35</f>
        <v>1.0223388671875E-3</v>
      </c>
      <c r="BX37" s="38">
        <f>RawData!AC35</f>
        <v>-5.5604720827773235E-9</v>
      </c>
      <c r="BY37" s="37">
        <f>RawData!AB35</f>
        <v>1.3011813848606835E-13</v>
      </c>
      <c r="BZ37" s="37">
        <f>RawData!AA35</f>
        <v>2.517292887205258E-5</v>
      </c>
      <c r="CA37" s="36">
        <f>RawData!Z35</f>
        <v>-1.0750227374956012E-9</v>
      </c>
      <c r="CB37" s="36">
        <f>RawData!Y35</f>
        <v>1.3620353456644807E-5</v>
      </c>
      <c r="CC37" s="36">
        <f>RawData!X35</f>
        <v>4.0199665818363428E-10</v>
      </c>
      <c r="CD37" s="36">
        <f>RawData!W35</f>
        <v>202276.484375</v>
      </c>
      <c r="CE37" s="40">
        <f>RawData!V35</f>
        <v>-8.140625</v>
      </c>
      <c r="CF37" s="40">
        <f>RawData!U35</f>
        <v>124739.75</v>
      </c>
      <c r="CG37" s="40">
        <f>RawData!T35</f>
        <v>3.9609375</v>
      </c>
      <c r="CH37" s="44">
        <f>RawData!S35</f>
        <v>2.8499999046325684</v>
      </c>
      <c r="CI37" s="44">
        <f>RawData!R35</f>
        <v>3.0999999046325684</v>
      </c>
      <c r="CJ37" s="44">
        <f>RawData!Q35</f>
        <v>1.6000000238418579</v>
      </c>
      <c r="CK37" s="44">
        <f>RawData!P35</f>
        <v>2.4000000953674316</v>
      </c>
      <c r="CL37" s="44">
        <f>RawData!CJ35</f>
        <v>250</v>
      </c>
      <c r="CM37" s="43">
        <f>RawData!CI35</f>
        <v>2.3499999046325684</v>
      </c>
      <c r="CN37" s="44">
        <f>RawData!CL35</f>
        <v>100</v>
      </c>
      <c r="CO37" s="43">
        <f>RawData!CK35</f>
        <v>2.25</v>
      </c>
      <c r="CP37" s="44">
        <f>RawData!CM35</f>
        <v>2.5299999713897705</v>
      </c>
      <c r="CQ37" s="47">
        <f>RawData!CO35</f>
        <v>44783.638194444444</v>
      </c>
      <c r="CR37" s="44">
        <f>RawData!CP35</f>
        <v>38295.69921875</v>
      </c>
      <c r="CS37" s="44">
        <f>RawData!DG35</f>
        <v>38295.69921875</v>
      </c>
      <c r="CT37" s="43" t="str">
        <f>RawData!DJ35</f>
        <v>G</v>
      </c>
      <c r="CU37" s="43" t="str">
        <f>RawData!CQ35</f>
        <v>FairPrice</v>
      </c>
      <c r="CV37" s="47">
        <f>RawData!CR35</f>
        <v>44783.638194444444</v>
      </c>
      <c r="CW37" s="65">
        <f>RawData!DK35</f>
        <v>38300</v>
      </c>
      <c r="CX37" s="65">
        <f>RawData!DL35</f>
        <v>3400000</v>
      </c>
      <c r="CY37" s="65">
        <f>RawData!DM35</f>
        <v>38500</v>
      </c>
      <c r="CZ37" s="65">
        <f>RawData!DN35</f>
        <v>0</v>
      </c>
      <c r="DA37" s="65">
        <f>RawData!DO35</f>
        <v>24500</v>
      </c>
      <c r="DB37" s="65">
        <f>RawData!DP35</f>
        <v>2863350</v>
      </c>
      <c r="DC37" s="65">
        <f>RawData!DQ35</f>
        <v>38000</v>
      </c>
      <c r="DD37" s="65">
        <f>RawData!DR35</f>
        <v>0</v>
      </c>
      <c r="DE37" s="65">
        <f>RawData!DS35</f>
        <v>24500</v>
      </c>
      <c r="DF37" s="65" t="str">
        <f>RawData!DT35</f>
        <v>BANKNIFTY</v>
      </c>
      <c r="DG37" s="66">
        <f>RawData!DU35</f>
        <v>44784</v>
      </c>
      <c r="DI37" s="21">
        <f t="shared" si="0"/>
        <v>5595.69921875</v>
      </c>
    </row>
    <row r="38" spans="1:113" x14ac:dyDescent="0.2">
      <c r="A38" s="59">
        <f>RawData!CN36</f>
        <v>44783.636701388888</v>
      </c>
      <c r="B38" s="44">
        <f>RawData!CH36</f>
        <v>0</v>
      </c>
      <c r="C38" s="44">
        <f>RawData!CG36</f>
        <v>0</v>
      </c>
      <c r="D38" s="43">
        <f>RawData!CF36</f>
        <v>0</v>
      </c>
      <c r="E38" s="44">
        <f>RawData!CE36</f>
        <v>0</v>
      </c>
      <c r="F38" s="43">
        <f>RawData!CD36</f>
        <v>0</v>
      </c>
      <c r="G38" s="44">
        <f>RawData!CC36</f>
        <v>0</v>
      </c>
      <c r="H38" s="44">
        <f>RawData!CB36</f>
        <v>0</v>
      </c>
      <c r="I38" s="44">
        <f>RawData!CA36</f>
        <v>0</v>
      </c>
      <c r="J38" s="44">
        <f>RawData!BZ36</f>
        <v>0</v>
      </c>
      <c r="K38" s="40">
        <f>RawData!BY36</f>
        <v>0</v>
      </c>
      <c r="L38" s="40">
        <f>RawData!BX36</f>
        <v>0</v>
      </c>
      <c r="M38" s="40">
        <f>RawData!BW36</f>
        <v>0</v>
      </c>
      <c r="N38" s="40">
        <f>RawData!BV36</f>
        <v>0</v>
      </c>
      <c r="O38" s="36">
        <f>RawData!BU36</f>
        <v>0</v>
      </c>
      <c r="P38" s="36">
        <f>RawData!BT36</f>
        <v>0</v>
      </c>
      <c r="Q38" s="36">
        <f>RawData!BS36</f>
        <v>0</v>
      </c>
      <c r="R38" s="36">
        <f>RawData!BR36</f>
        <v>0</v>
      </c>
      <c r="S38" s="37">
        <f>RawData!BQ36</f>
        <v>0</v>
      </c>
      <c r="T38" s="37">
        <f>RawData!BP36</f>
        <v>0</v>
      </c>
      <c r="U38" s="38">
        <f>RawData!BO36</f>
        <v>0</v>
      </c>
      <c r="V38" s="38">
        <f>RawData!BN36</f>
        <v>0</v>
      </c>
      <c r="W38" s="39">
        <f>RawData!BM36</f>
        <v>0</v>
      </c>
      <c r="X38" s="39">
        <f>RawData!BL36</f>
        <v>0</v>
      </c>
      <c r="Y38" s="38">
        <f>RawData!BJ36</f>
        <v>0</v>
      </c>
      <c r="Z38" s="38">
        <f>RawData!BI36</f>
        <v>0</v>
      </c>
      <c r="AA38" s="40">
        <f>RawData!BH36</f>
        <v>0</v>
      </c>
      <c r="AB38" s="40">
        <f>RawData!BG36</f>
        <v>0</v>
      </c>
      <c r="AC38" s="40">
        <f>RawData!BF36</f>
        <v>0</v>
      </c>
      <c r="AD38" s="40">
        <f>RawData!BE36</f>
        <v>0</v>
      </c>
      <c r="AE38" s="40">
        <f>RawData!BD36</f>
        <v>0</v>
      </c>
      <c r="AF38" s="40">
        <f>RawData!BC36</f>
        <v>0</v>
      </c>
      <c r="AG38" s="41">
        <f>RawData!BB36</f>
        <v>0</v>
      </c>
      <c r="AH38" s="42">
        <f>RawData!DB36</f>
        <v>0</v>
      </c>
      <c r="AI38" s="41">
        <f>RawData!BA36</f>
        <v>0</v>
      </c>
      <c r="AJ38" s="43">
        <f>RawData!DA36</f>
        <v>0</v>
      </c>
      <c r="AK38" s="41">
        <f>RawData!AZ36</f>
        <v>0</v>
      </c>
      <c r="AL38" s="42">
        <f>RawData!DD36</f>
        <v>0</v>
      </c>
      <c r="AM38" s="44">
        <f>RawData!DC36</f>
        <v>0</v>
      </c>
      <c r="AN38" s="45">
        <f>RawData!BK36</f>
        <v>0</v>
      </c>
      <c r="AO38" s="44">
        <f>RawData!AY36</f>
        <v>0</v>
      </c>
      <c r="AP38" s="43" t="str">
        <f>RawData!DH36</f>
        <v>R</v>
      </c>
      <c r="AQ38" s="43">
        <f>RawData!DE36</f>
        <v>2718.1</v>
      </c>
      <c r="AR38" s="42">
        <f>RawData!CZ36</f>
        <v>-1</v>
      </c>
      <c r="AS38" s="44">
        <f>RawData!AX36</f>
        <v>-2718.1</v>
      </c>
      <c r="AT38" s="43">
        <f>RawData!CY36</f>
        <v>2718.1</v>
      </c>
      <c r="AU38" s="44">
        <f>RawData!AW36</f>
        <v>0</v>
      </c>
      <c r="AV38" s="46">
        <f>RawData!O36</f>
        <v>32800</v>
      </c>
      <c r="AW38" s="44">
        <f>RawData!AV36</f>
        <v>2.2999999523162842</v>
      </c>
      <c r="AX38" s="44">
        <f>RawData!CW36</f>
        <v>2.2999999523162842</v>
      </c>
      <c r="AY38" s="44">
        <f>RawData!AU36</f>
        <v>0</v>
      </c>
      <c r="AZ38" s="42">
        <f>RawData!CX36</f>
        <v>0</v>
      </c>
      <c r="BA38" s="44">
        <f>RawData!DF36</f>
        <v>2.2999999523162842</v>
      </c>
      <c r="BB38" s="43" t="str">
        <f>RawData!DI36</f>
        <v>W</v>
      </c>
      <c r="BC38" s="44">
        <f>RawData!AT36</f>
        <v>108.82751941680908</v>
      </c>
      <c r="BD38" s="45">
        <f>RawData!AP36</f>
        <v>108.82751941680908</v>
      </c>
      <c r="BE38" s="44">
        <f>RawData!CS36</f>
        <v>3.1590461730957031E-3</v>
      </c>
      <c r="BF38" s="42">
        <f>RawData!CT36</f>
        <v>2.9028851282346766E-5</v>
      </c>
      <c r="BG38" s="41">
        <f>RawData!AS36</f>
        <v>4000</v>
      </c>
      <c r="BH38" s="41">
        <f>RawData!CU36</f>
        <v>3975</v>
      </c>
      <c r="BI38" s="41">
        <f>RawData!AR36</f>
        <v>25</v>
      </c>
      <c r="BJ38" s="42">
        <f>RawData!CV36</f>
        <v>6.2893081761006293E-3</v>
      </c>
      <c r="BK38" s="41">
        <f>RawData!AQ36</f>
        <v>41225</v>
      </c>
      <c r="BL38" s="40">
        <f>RawData!AO36</f>
        <v>-3.3546015620231628E-3</v>
      </c>
      <c r="BM38" s="40">
        <f>RawData!AN36</f>
        <v>2.7474015951156616E-8</v>
      </c>
      <c r="BN38" s="40">
        <f>RawData!AM36</f>
        <v>-2.2999999523162842</v>
      </c>
      <c r="BO38" s="40">
        <f>RawData!AL36</f>
        <v>0</v>
      </c>
      <c r="BP38" s="40">
        <f>RawData!AK36</f>
        <v>0.20562084019184113</v>
      </c>
      <c r="BQ38" s="40">
        <f>RawData!AJ36</f>
        <v>-5.6922435760498047E-6</v>
      </c>
      <c r="BR38" s="38">
        <f>RawData!AI36</f>
        <v>4.5739407141809352E-6</v>
      </c>
      <c r="BS38" s="38">
        <f>RawData!AH36</f>
        <v>-7.4123818194493651E-11</v>
      </c>
      <c r="BT38" s="40">
        <f>RawData!AG36</f>
        <v>-38.353137969970703</v>
      </c>
      <c r="BU38" s="39">
        <f>RawData!AF36</f>
        <v>8.0108642578125E-4</v>
      </c>
      <c r="BV38" s="39">
        <f>RawData!AE36</f>
        <v>20.299203872680664</v>
      </c>
      <c r="BW38" s="38">
        <f>RawData!AD36</f>
        <v>1.04522705078125E-3</v>
      </c>
      <c r="BX38" s="38">
        <f>RawData!AC36</f>
        <v>-5.7254410101847952E-9</v>
      </c>
      <c r="BY38" s="37">
        <f>RawData!AB36</f>
        <v>1.3677947663381929E-13</v>
      </c>
      <c r="BZ38" s="37">
        <f>RawData!AA36</f>
        <v>2.6027204512502067E-5</v>
      </c>
      <c r="CA38" s="36">
        <f>RawData!Z36</f>
        <v>-1.1223164619877934E-9</v>
      </c>
      <c r="CB38" s="36">
        <f>RawData!Y36</f>
        <v>1.3775444131169934E-5</v>
      </c>
      <c r="CC38" s="36">
        <f>RawData!X36</f>
        <v>4.0290615288540721E-10</v>
      </c>
      <c r="CD38" s="36">
        <f>RawData!W36</f>
        <v>211319.859375</v>
      </c>
      <c r="CE38" s="40">
        <f>RawData!V36</f>
        <v>-8.484375</v>
      </c>
      <c r="CF38" s="40">
        <f>RawData!U36</f>
        <v>127395.4609375</v>
      </c>
      <c r="CG38" s="40">
        <f>RawData!T36</f>
        <v>4.0703125</v>
      </c>
      <c r="CH38" s="44">
        <f>RawData!S36</f>
        <v>2.9500000476837158</v>
      </c>
      <c r="CI38" s="44">
        <f>RawData!R36</f>
        <v>3.4000000953674316</v>
      </c>
      <c r="CJ38" s="44">
        <f>RawData!Q36</f>
        <v>1.7000000476837158</v>
      </c>
      <c r="CK38" s="44">
        <f>RawData!P36</f>
        <v>2.2999999523162842</v>
      </c>
      <c r="CL38" s="44">
        <f>RawData!CJ36</f>
        <v>125</v>
      </c>
      <c r="CM38" s="43">
        <f>RawData!CI36</f>
        <v>2.4000000953674316</v>
      </c>
      <c r="CN38" s="44">
        <f>RawData!CL36</f>
        <v>325</v>
      </c>
      <c r="CO38" s="43">
        <f>RawData!CK36</f>
        <v>2.25</v>
      </c>
      <c r="CP38" s="44">
        <f>RawData!CM36</f>
        <v>2.5999999046325684</v>
      </c>
      <c r="CQ38" s="47">
        <f>RawData!CO36</f>
        <v>44783.638194444444</v>
      </c>
      <c r="CR38" s="44">
        <f>RawData!CP36</f>
        <v>38295.69921875</v>
      </c>
      <c r="CS38" s="44">
        <f>RawData!DG36</f>
        <v>38295.69921875</v>
      </c>
      <c r="CT38" s="43" t="str">
        <f>RawData!DJ36</f>
        <v>G</v>
      </c>
      <c r="CU38" s="43" t="str">
        <f>RawData!CQ36</f>
        <v>FairPrice</v>
      </c>
      <c r="CV38" s="47">
        <f>RawData!CR36</f>
        <v>44783.638194444444</v>
      </c>
      <c r="CW38" s="65">
        <f>RawData!DK36</f>
        <v>38300</v>
      </c>
      <c r="CX38" s="65">
        <f>RawData!DL36</f>
        <v>3400000</v>
      </c>
      <c r="CY38" s="65">
        <f>RawData!DM36</f>
        <v>38500</v>
      </c>
      <c r="CZ38" s="65">
        <f>RawData!DN36</f>
        <v>0</v>
      </c>
      <c r="DA38" s="65">
        <f>RawData!DO36</f>
        <v>24500</v>
      </c>
      <c r="DB38" s="65">
        <f>RawData!DP36</f>
        <v>2863350</v>
      </c>
      <c r="DC38" s="65">
        <f>RawData!DQ36</f>
        <v>38000</v>
      </c>
      <c r="DD38" s="65">
        <f>RawData!DR36</f>
        <v>0</v>
      </c>
      <c r="DE38" s="65">
        <f>RawData!DS36</f>
        <v>24500</v>
      </c>
      <c r="DF38" s="65" t="str">
        <f>RawData!DT36</f>
        <v>BANKNIFTY</v>
      </c>
      <c r="DG38" s="66">
        <f>RawData!DU36</f>
        <v>44784</v>
      </c>
      <c r="DI38" s="21">
        <f t="shared" si="0"/>
        <v>5495.69921875</v>
      </c>
    </row>
    <row r="39" spans="1:113" x14ac:dyDescent="0.2">
      <c r="A39" s="59">
        <f>RawData!CN37</f>
        <v>44783.636701388888</v>
      </c>
      <c r="B39" s="44">
        <f>RawData!CH37</f>
        <v>0</v>
      </c>
      <c r="C39" s="44">
        <f>RawData!CG37</f>
        <v>0</v>
      </c>
      <c r="D39" s="43">
        <f>RawData!CF37</f>
        <v>0</v>
      </c>
      <c r="E39" s="44">
        <f>RawData!CE37</f>
        <v>0</v>
      </c>
      <c r="F39" s="43">
        <f>RawData!CD37</f>
        <v>0</v>
      </c>
      <c r="G39" s="44">
        <f>RawData!CC37</f>
        <v>0</v>
      </c>
      <c r="H39" s="44">
        <f>RawData!CB37</f>
        <v>0</v>
      </c>
      <c r="I39" s="44">
        <f>RawData!CA37</f>
        <v>0</v>
      </c>
      <c r="J39" s="44">
        <f>RawData!BZ37</f>
        <v>0</v>
      </c>
      <c r="K39" s="40">
        <f>RawData!BY37</f>
        <v>0</v>
      </c>
      <c r="L39" s="40">
        <f>RawData!BX37</f>
        <v>0</v>
      </c>
      <c r="M39" s="40">
        <f>RawData!BW37</f>
        <v>0</v>
      </c>
      <c r="N39" s="40">
        <f>RawData!BV37</f>
        <v>0</v>
      </c>
      <c r="O39" s="36">
        <f>RawData!BU37</f>
        <v>0</v>
      </c>
      <c r="P39" s="36">
        <f>RawData!BT37</f>
        <v>0</v>
      </c>
      <c r="Q39" s="36">
        <f>RawData!BS37</f>
        <v>0</v>
      </c>
      <c r="R39" s="36">
        <f>RawData!BR37</f>
        <v>0</v>
      </c>
      <c r="S39" s="37">
        <f>RawData!BQ37</f>
        <v>0</v>
      </c>
      <c r="T39" s="37">
        <f>RawData!BP37</f>
        <v>0</v>
      </c>
      <c r="U39" s="38">
        <f>RawData!BO37</f>
        <v>0</v>
      </c>
      <c r="V39" s="38">
        <f>RawData!BN37</f>
        <v>0</v>
      </c>
      <c r="W39" s="39">
        <f>RawData!BM37</f>
        <v>0</v>
      </c>
      <c r="X39" s="39">
        <f>RawData!BL37</f>
        <v>0</v>
      </c>
      <c r="Y39" s="38">
        <f>RawData!BJ37</f>
        <v>0</v>
      </c>
      <c r="Z39" s="38">
        <f>RawData!BI37</f>
        <v>0</v>
      </c>
      <c r="AA39" s="40">
        <f>RawData!BH37</f>
        <v>0</v>
      </c>
      <c r="AB39" s="40">
        <f>RawData!BG37</f>
        <v>0</v>
      </c>
      <c r="AC39" s="40">
        <f>RawData!BF37</f>
        <v>0</v>
      </c>
      <c r="AD39" s="40">
        <f>RawData!BE37</f>
        <v>0</v>
      </c>
      <c r="AE39" s="40">
        <f>RawData!BD37</f>
        <v>0</v>
      </c>
      <c r="AF39" s="40">
        <f>RawData!BC37</f>
        <v>0</v>
      </c>
      <c r="AG39" s="41">
        <f>RawData!BB37</f>
        <v>0</v>
      </c>
      <c r="AH39" s="42">
        <f>RawData!DB37</f>
        <v>0</v>
      </c>
      <c r="AI39" s="41">
        <f>RawData!BA37</f>
        <v>0</v>
      </c>
      <c r="AJ39" s="43">
        <f>RawData!DA37</f>
        <v>0</v>
      </c>
      <c r="AK39" s="41">
        <f>RawData!AZ37</f>
        <v>0</v>
      </c>
      <c r="AL39" s="42">
        <f>RawData!DD37</f>
        <v>0</v>
      </c>
      <c r="AM39" s="44">
        <f>RawData!DC37</f>
        <v>0</v>
      </c>
      <c r="AN39" s="45">
        <f>RawData!BK37</f>
        <v>0</v>
      </c>
      <c r="AO39" s="44">
        <f>RawData!AY37</f>
        <v>0</v>
      </c>
      <c r="AP39" s="43" t="str">
        <f>RawData!DH37</f>
        <v>R</v>
      </c>
      <c r="AQ39" s="43">
        <f>RawData!DE37</f>
        <v>2645.2</v>
      </c>
      <c r="AR39" s="42">
        <f>RawData!CZ37</f>
        <v>-1</v>
      </c>
      <c r="AS39" s="44">
        <f>RawData!AX37</f>
        <v>-2645.2</v>
      </c>
      <c r="AT39" s="43">
        <f>RawData!CY37</f>
        <v>2645.2</v>
      </c>
      <c r="AU39" s="44">
        <f>RawData!AW37</f>
        <v>0</v>
      </c>
      <c r="AV39" s="46">
        <f>RawData!O37</f>
        <v>32900</v>
      </c>
      <c r="AW39" s="44">
        <f>RawData!AV37</f>
        <v>2.3499999046325684</v>
      </c>
      <c r="AX39" s="44">
        <f>RawData!CW37</f>
        <v>2.3499999046325684</v>
      </c>
      <c r="AY39" s="44">
        <f>RawData!AU37</f>
        <v>0</v>
      </c>
      <c r="AZ39" s="42">
        <f>RawData!CX37</f>
        <v>0</v>
      </c>
      <c r="BA39" s="44">
        <f>RawData!DF37</f>
        <v>2.3499999046325684</v>
      </c>
      <c r="BB39" s="43" t="str">
        <f>RawData!DI37</f>
        <v>W</v>
      </c>
      <c r="BC39" s="44">
        <f>RawData!AT37</f>
        <v>107.12783336639404</v>
      </c>
      <c r="BD39" s="45">
        <f>RawData!AP37</f>
        <v>107.12783336639404</v>
      </c>
      <c r="BE39" s="44">
        <f>RawData!CS37</f>
        <v>3.1232833862304688E-3</v>
      </c>
      <c r="BF39" s="42">
        <f>RawData!CT37</f>
        <v>2.9155583093856942E-5</v>
      </c>
      <c r="BG39" s="41">
        <f>RawData!AS37</f>
        <v>2350</v>
      </c>
      <c r="BH39" s="41">
        <f>RawData!CU37</f>
        <v>2000</v>
      </c>
      <c r="BI39" s="41">
        <f>RawData!AR37</f>
        <v>350</v>
      </c>
      <c r="BJ39" s="42">
        <f>RawData!CV37</f>
        <v>0.17499999999999999</v>
      </c>
      <c r="BK39" s="41">
        <f>RawData!AQ37</f>
        <v>14550</v>
      </c>
      <c r="BL39" s="40">
        <f>RawData!AO37</f>
        <v>-3.4721437841653824E-3</v>
      </c>
      <c r="BM39" s="40">
        <f>RawData!AN37</f>
        <v>2.8870999813079834E-8</v>
      </c>
      <c r="BN39" s="40">
        <f>RawData!AM37</f>
        <v>-2.3499999046325684</v>
      </c>
      <c r="BO39" s="40">
        <f>RawData!AL37</f>
        <v>0</v>
      </c>
      <c r="BP39" s="40">
        <f>RawData!AK37</f>
        <v>0.21208350360393524</v>
      </c>
      <c r="BQ39" s="40">
        <f>RawData!AJ37</f>
        <v>-5.8859586715698242E-6</v>
      </c>
      <c r="BR39" s="38">
        <f>RawData!AI37</f>
        <v>4.7925504986778833E-6</v>
      </c>
      <c r="BS39" s="38">
        <f>RawData!AH37</f>
        <v>-7.8671291703358293E-11</v>
      </c>
      <c r="BT39" s="40">
        <f>RawData!AG37</f>
        <v>-37.624374389648438</v>
      </c>
      <c r="BU39" s="39">
        <f>RawData!AF37</f>
        <v>7.8582763671875E-4</v>
      </c>
      <c r="BV39" s="39">
        <f>RawData!AE37</f>
        <v>19.60247802734375</v>
      </c>
      <c r="BW39" s="38">
        <f>RawData!AD37</f>
        <v>1.010894775390625E-3</v>
      </c>
      <c r="BX39" s="38">
        <f>RawData!AC37</f>
        <v>-6.0671023760505705E-9</v>
      </c>
      <c r="BY39" s="37">
        <f>RawData!AB37</f>
        <v>1.4699352846037073E-13</v>
      </c>
      <c r="BZ39" s="37">
        <f>RawData!AA37</f>
        <v>2.7440810299594887E-5</v>
      </c>
      <c r="CA39" s="36">
        <f>RawData!Z37</f>
        <v>-1.1932570487260818E-9</v>
      </c>
      <c r="CB39" s="36">
        <f>RawData!Y37</f>
        <v>1.4296792869572528E-5</v>
      </c>
      <c r="CC39" s="36">
        <f>RawData!X37</f>
        <v>4.1472958400845528E-10</v>
      </c>
      <c r="CD39" s="36">
        <f>RawData!W37</f>
        <v>206429.71875</v>
      </c>
      <c r="CE39" s="40">
        <f>RawData!V37</f>
        <v>-8.28125</v>
      </c>
      <c r="CF39" s="40">
        <f>RawData!U37</f>
        <v>122627.0078125</v>
      </c>
      <c r="CG39" s="40">
        <f>RawData!T37</f>
        <v>3.9296875</v>
      </c>
      <c r="CH39" s="44">
        <f>RawData!S37</f>
        <v>2.9500000476837158</v>
      </c>
      <c r="CI39" s="44">
        <f>RawData!R37</f>
        <v>3.2000000476837158</v>
      </c>
      <c r="CJ39" s="44">
        <f>RawData!Q37</f>
        <v>1.5</v>
      </c>
      <c r="CK39" s="44">
        <f>RawData!P37</f>
        <v>2.3499999046325684</v>
      </c>
      <c r="CL39" s="44">
        <f>RawData!CJ37</f>
        <v>50</v>
      </c>
      <c r="CM39" s="43">
        <f>RawData!CI37</f>
        <v>2.4000000953674316</v>
      </c>
      <c r="CN39" s="44">
        <f>RawData!CL37</f>
        <v>75</v>
      </c>
      <c r="CO39" s="43">
        <f>RawData!CK37</f>
        <v>2.2000000476837158</v>
      </c>
      <c r="CP39" s="44">
        <f>RawData!CM37</f>
        <v>2.6500000953674316</v>
      </c>
      <c r="CQ39" s="47">
        <f>RawData!CO37</f>
        <v>44783.638194444444</v>
      </c>
      <c r="CR39" s="44">
        <f>RawData!CP37</f>
        <v>38295.69921875</v>
      </c>
      <c r="CS39" s="44">
        <f>RawData!DG37</f>
        <v>38295.69921875</v>
      </c>
      <c r="CT39" s="43" t="str">
        <f>RawData!DJ37</f>
        <v>G</v>
      </c>
      <c r="CU39" s="43" t="str">
        <f>RawData!CQ37</f>
        <v>FairPrice</v>
      </c>
      <c r="CV39" s="47">
        <f>RawData!CR37</f>
        <v>44783.638194444444</v>
      </c>
      <c r="CW39" s="65">
        <f>RawData!DK37</f>
        <v>38300</v>
      </c>
      <c r="CX39" s="65">
        <f>RawData!DL37</f>
        <v>3400000</v>
      </c>
      <c r="CY39" s="65">
        <f>RawData!DM37</f>
        <v>38500</v>
      </c>
      <c r="CZ39" s="65">
        <f>RawData!DN37</f>
        <v>0</v>
      </c>
      <c r="DA39" s="65">
        <f>RawData!DO37</f>
        <v>24500</v>
      </c>
      <c r="DB39" s="65">
        <f>RawData!DP37</f>
        <v>2863350</v>
      </c>
      <c r="DC39" s="65">
        <f>RawData!DQ37</f>
        <v>38000</v>
      </c>
      <c r="DD39" s="65">
        <f>RawData!DR37</f>
        <v>0</v>
      </c>
      <c r="DE39" s="65">
        <f>RawData!DS37</f>
        <v>24500</v>
      </c>
      <c r="DF39" s="65" t="str">
        <f>RawData!DT37</f>
        <v>BANKNIFTY</v>
      </c>
      <c r="DG39" s="66">
        <f>RawData!DU37</f>
        <v>44784</v>
      </c>
      <c r="DI39" s="21">
        <f t="shared" si="0"/>
        <v>5395.69921875</v>
      </c>
    </row>
    <row r="40" spans="1:113" x14ac:dyDescent="0.2">
      <c r="A40" s="59">
        <f>RawData!CN38</f>
        <v>44783.638194444444</v>
      </c>
      <c r="B40" s="44">
        <f>RawData!CH38</f>
        <v>5183.6201171875</v>
      </c>
      <c r="C40" s="44">
        <f>RawData!CG38</f>
        <v>50</v>
      </c>
      <c r="D40" s="43">
        <f>RawData!CF38</f>
        <v>5255.5498046875</v>
      </c>
      <c r="E40" s="44">
        <f>RawData!CE38</f>
        <v>50</v>
      </c>
      <c r="F40" s="43">
        <f>RawData!CD38</f>
        <v>5365.35009765625</v>
      </c>
      <c r="G40" s="44">
        <f>RawData!CC38</f>
        <v>5114.89990234375</v>
      </c>
      <c r="H40" s="44">
        <f>RawData!CB38</f>
        <v>5114.89990234375</v>
      </c>
      <c r="I40" s="44">
        <f>RawData!CA38</f>
        <v>5252.35009765625</v>
      </c>
      <c r="J40" s="44">
        <f>RawData!BZ38</f>
        <v>5252.35009765625</v>
      </c>
      <c r="K40" s="40">
        <f>RawData!BY38</f>
        <v>0</v>
      </c>
      <c r="L40" s="40">
        <f>RawData!BX38</f>
        <v>0</v>
      </c>
      <c r="M40" s="40">
        <f>RawData!BW38</f>
        <v>0</v>
      </c>
      <c r="N40" s="40">
        <f>RawData!BV38</f>
        <v>0</v>
      </c>
      <c r="O40" s="36">
        <f>RawData!BU38</f>
        <v>0</v>
      </c>
      <c r="P40" s="36">
        <f>RawData!BT38</f>
        <v>0</v>
      </c>
      <c r="Q40" s="36">
        <f>RawData!BS38</f>
        <v>0</v>
      </c>
      <c r="R40" s="36">
        <f>RawData!BR38</f>
        <v>0</v>
      </c>
      <c r="S40" s="37">
        <f>RawData!BQ38</f>
        <v>0</v>
      </c>
      <c r="T40" s="37">
        <f>RawData!BP38</f>
        <v>0</v>
      </c>
      <c r="U40" s="38">
        <f>RawData!BO38</f>
        <v>0</v>
      </c>
      <c r="V40" s="38">
        <f>RawData!BN38</f>
        <v>0</v>
      </c>
      <c r="W40" s="39">
        <f>RawData!BM38</f>
        <v>0</v>
      </c>
      <c r="X40" s="39">
        <f>RawData!BL38</f>
        <v>0</v>
      </c>
      <c r="Y40" s="38">
        <f>RawData!BJ38</f>
        <v>0</v>
      </c>
      <c r="Z40" s="38">
        <f>RawData!BI38</f>
        <v>0</v>
      </c>
      <c r="AA40" s="40">
        <f>RawData!BH38</f>
        <v>0</v>
      </c>
      <c r="AB40" s="40">
        <f>RawData!BG38</f>
        <v>0</v>
      </c>
      <c r="AC40" s="40">
        <f>RawData!BF38</f>
        <v>0</v>
      </c>
      <c r="AD40" s="40">
        <f>RawData!BE38</f>
        <v>0</v>
      </c>
      <c r="AE40" s="40">
        <f>RawData!BD38</f>
        <v>0</v>
      </c>
      <c r="AF40" s="40">
        <f>RawData!BC38</f>
        <v>0</v>
      </c>
      <c r="AG40" s="41">
        <f>RawData!BB38</f>
        <v>50</v>
      </c>
      <c r="AH40" s="42">
        <f>RawData!DB38</f>
        <v>0</v>
      </c>
      <c r="AI40" s="41">
        <f>RawData!BA38</f>
        <v>0</v>
      </c>
      <c r="AJ40" s="43">
        <f>RawData!DA38</f>
        <v>100</v>
      </c>
      <c r="AK40" s="41">
        <f>RawData!AZ38</f>
        <v>100</v>
      </c>
      <c r="AL40" s="42">
        <f>RawData!DD38</f>
        <v>0</v>
      </c>
      <c r="AM40" s="44">
        <f>RawData!DC38</f>
        <v>0</v>
      </c>
      <c r="AN40" s="45">
        <f>RawData!BK38</f>
        <v>0</v>
      </c>
      <c r="AO40" s="44">
        <f>RawData!AY38</f>
        <v>0</v>
      </c>
      <c r="AP40" s="43" t="str">
        <f>RawData!DH38</f>
        <v>W</v>
      </c>
      <c r="AQ40" s="43">
        <f>RawData!DE38</f>
        <v>5114.89990234375</v>
      </c>
      <c r="AR40" s="42">
        <f>RawData!CZ38</f>
        <v>0</v>
      </c>
      <c r="AS40" s="44">
        <f>RawData!AX38</f>
        <v>0</v>
      </c>
      <c r="AT40" s="43">
        <f>RawData!CY38</f>
        <v>5114.89990234375</v>
      </c>
      <c r="AU40" s="44">
        <f>RawData!AW38</f>
        <v>5114.89990234375</v>
      </c>
      <c r="AV40" s="46">
        <f>RawData!O38</f>
        <v>33000</v>
      </c>
      <c r="AW40" s="44">
        <f>RawData!AV38</f>
        <v>2.3499999046325684</v>
      </c>
      <c r="AX40" s="44">
        <f>RawData!CW38</f>
        <v>2.3499999046325684</v>
      </c>
      <c r="AY40" s="44">
        <f>RawData!AU38</f>
        <v>0</v>
      </c>
      <c r="AZ40" s="42">
        <f>RawData!CX38</f>
        <v>0</v>
      </c>
      <c r="BA40" s="44">
        <f>RawData!DF38</f>
        <v>2.3499999046325684</v>
      </c>
      <c r="BB40" s="43" t="str">
        <f>RawData!DI38</f>
        <v>W</v>
      </c>
      <c r="BC40" s="44">
        <f>RawData!AT38</f>
        <v>105.19005060195923</v>
      </c>
      <c r="BD40" s="45">
        <f>RawData!AP38</f>
        <v>105.19005060195923</v>
      </c>
      <c r="BE40" s="44">
        <f>RawData!CS38</f>
        <v>3.0994415283203125E-3</v>
      </c>
      <c r="BF40" s="42">
        <f>RawData!CT38</f>
        <v>2.9466026861003424E-5</v>
      </c>
      <c r="BG40" s="41">
        <f>RawData!AS38</f>
        <v>249700</v>
      </c>
      <c r="BH40" s="41">
        <f>RawData!CU38</f>
        <v>192775</v>
      </c>
      <c r="BI40" s="41">
        <f>RawData!AR38</f>
        <v>56925</v>
      </c>
      <c r="BJ40" s="42">
        <f>RawData!CV38</f>
        <v>0.29529243937232524</v>
      </c>
      <c r="BK40" s="41">
        <f>RawData!AQ38</f>
        <v>964300</v>
      </c>
      <c r="BL40" s="40">
        <f>RawData!AO38</f>
        <v>-3.5317745059728622E-3</v>
      </c>
      <c r="BM40" s="40">
        <f>RawData!AN38</f>
        <v>2.9802322387695313E-8</v>
      </c>
      <c r="BN40" s="40">
        <f>RawData!AM38</f>
        <v>-2.3499999046325684</v>
      </c>
      <c r="BO40" s="40">
        <f>RawData!AL38</f>
        <v>0</v>
      </c>
      <c r="BP40" s="40">
        <f>RawData!AK38</f>
        <v>0.21535174548625946</v>
      </c>
      <c r="BQ40" s="40">
        <f>RawData!AJ38</f>
        <v>-6.0200691223144531E-6</v>
      </c>
      <c r="BR40" s="38">
        <f>RawData!AI38</f>
        <v>4.956052634952357E-6</v>
      </c>
      <c r="BS40" s="38">
        <f>RawData!AH38</f>
        <v>-8.276401786133647E-11</v>
      </c>
      <c r="BT40" s="40">
        <f>RawData!AG38</f>
        <v>-37.669670104980469</v>
      </c>
      <c r="BU40" s="39">
        <f>RawData!AF38</f>
        <v>7.8582763671875E-4</v>
      </c>
      <c r="BV40" s="39">
        <f>RawData!AE38</f>
        <v>19.271068572998047</v>
      </c>
      <c r="BW40" s="38">
        <f>RawData!AD38</f>
        <v>9.95635986328125E-4</v>
      </c>
      <c r="BX40" s="38">
        <f>RawData!AC38</f>
        <v>-6.3741367739567067E-9</v>
      </c>
      <c r="BY40" s="37">
        <f>RawData!AB38</f>
        <v>1.567634910770721E-13</v>
      </c>
      <c r="BZ40" s="37">
        <f>RawData!AA38</f>
        <v>2.877020051528234E-5</v>
      </c>
      <c r="CA40" s="36">
        <f>RawData!Z38</f>
        <v>-1.2623786460608244E-9</v>
      </c>
      <c r="CB40" s="36">
        <f>RawData!Y38</f>
        <v>1.4718274542246945E-5</v>
      </c>
      <c r="CC40" s="36">
        <f>RawData!X38</f>
        <v>4.2382453102618456E-10</v>
      </c>
      <c r="CD40" s="36">
        <f>RawData!W38</f>
        <v>206244.046875</v>
      </c>
      <c r="CE40" s="40">
        <f>RawData!V38</f>
        <v>-8.296875</v>
      </c>
      <c r="CF40" s="40">
        <f>RawData!U38</f>
        <v>120357.7890625</v>
      </c>
      <c r="CG40" s="40">
        <f>RawData!T38</f>
        <v>3.8828125</v>
      </c>
      <c r="CH40" s="44">
        <f>RawData!S38</f>
        <v>2.9000000953674316</v>
      </c>
      <c r="CI40" s="44">
        <f>RawData!R38</f>
        <v>3.2000000476837158</v>
      </c>
      <c r="CJ40" s="44">
        <f>RawData!Q38</f>
        <v>2.0999999046325684</v>
      </c>
      <c r="CK40" s="44">
        <f>RawData!P38</f>
        <v>2.3499999046325684</v>
      </c>
      <c r="CL40" s="44">
        <f>RawData!CJ38</f>
        <v>3200</v>
      </c>
      <c r="CM40" s="43">
        <f>RawData!CI38</f>
        <v>2.4000000953674316</v>
      </c>
      <c r="CN40" s="44">
        <f>RawData!CL38</f>
        <v>800</v>
      </c>
      <c r="CO40" s="43">
        <f>RawData!CK38</f>
        <v>2.2999999523162842</v>
      </c>
      <c r="CP40" s="44">
        <f>RawData!CM38</f>
        <v>2.7200000286102295</v>
      </c>
      <c r="CQ40" s="47">
        <f>RawData!CO38</f>
        <v>44783.638194444444</v>
      </c>
      <c r="CR40" s="44">
        <f>RawData!CP38</f>
        <v>38295.69921875</v>
      </c>
      <c r="CS40" s="44">
        <f>RawData!DG38</f>
        <v>38295.69921875</v>
      </c>
      <c r="CT40" s="43" t="str">
        <f>RawData!DJ38</f>
        <v>G</v>
      </c>
      <c r="CU40" s="43" t="str">
        <f>RawData!CQ38</f>
        <v>FairPrice</v>
      </c>
      <c r="CV40" s="47">
        <f>RawData!CR38</f>
        <v>44783.638194444444</v>
      </c>
      <c r="CW40" s="65">
        <f>RawData!DK38</f>
        <v>38300</v>
      </c>
      <c r="CX40" s="65">
        <f>RawData!DL38</f>
        <v>3400000</v>
      </c>
      <c r="CY40" s="65">
        <f>RawData!DM38</f>
        <v>38500</v>
      </c>
      <c r="CZ40" s="65">
        <f>RawData!DN38</f>
        <v>0</v>
      </c>
      <c r="DA40" s="65">
        <f>RawData!DO38</f>
        <v>24500</v>
      </c>
      <c r="DB40" s="65">
        <f>RawData!DP38</f>
        <v>2863350</v>
      </c>
      <c r="DC40" s="65">
        <f>RawData!DQ38</f>
        <v>38000</v>
      </c>
      <c r="DD40" s="65">
        <f>RawData!DR38</f>
        <v>0</v>
      </c>
      <c r="DE40" s="65">
        <f>RawData!DS38</f>
        <v>24500</v>
      </c>
      <c r="DF40" s="65" t="str">
        <f>RawData!DT38</f>
        <v>BANKNIFTY</v>
      </c>
      <c r="DG40" s="66">
        <f>RawData!DU38</f>
        <v>44784</v>
      </c>
      <c r="DI40" s="21">
        <f t="shared" si="0"/>
        <v>5295.69921875</v>
      </c>
    </row>
    <row r="41" spans="1:113" x14ac:dyDescent="0.2">
      <c r="A41" s="59">
        <f>RawData!CN39</f>
        <v>44783.638194444444</v>
      </c>
      <c r="B41" s="44">
        <f>RawData!CH39</f>
        <v>0</v>
      </c>
      <c r="C41" s="44">
        <f>RawData!CG39</f>
        <v>750</v>
      </c>
      <c r="D41" s="43">
        <f>RawData!CF39</f>
        <v>5036.7001953125</v>
      </c>
      <c r="E41" s="44">
        <f>RawData!CE39</f>
        <v>750</v>
      </c>
      <c r="F41" s="43">
        <f>RawData!CD39</f>
        <v>5304.39990234375</v>
      </c>
      <c r="G41" s="44">
        <f>RawData!CC39</f>
        <v>0</v>
      </c>
      <c r="H41" s="44">
        <f>RawData!CB39</f>
        <v>0</v>
      </c>
      <c r="I41" s="44">
        <f>RawData!CA39</f>
        <v>0</v>
      </c>
      <c r="J41" s="44">
        <f>RawData!BZ39</f>
        <v>0</v>
      </c>
      <c r="K41" s="40">
        <f>RawData!BY39</f>
        <v>0</v>
      </c>
      <c r="L41" s="40">
        <f>RawData!BX39</f>
        <v>0</v>
      </c>
      <c r="M41" s="40">
        <f>RawData!BW39</f>
        <v>0</v>
      </c>
      <c r="N41" s="40">
        <f>RawData!BV39</f>
        <v>0</v>
      </c>
      <c r="O41" s="36">
        <f>RawData!BU39</f>
        <v>0</v>
      </c>
      <c r="P41" s="36">
        <f>RawData!BT39</f>
        <v>0</v>
      </c>
      <c r="Q41" s="36">
        <f>RawData!BS39</f>
        <v>0</v>
      </c>
      <c r="R41" s="36">
        <f>RawData!BR39</f>
        <v>0</v>
      </c>
      <c r="S41" s="37">
        <f>RawData!BQ39</f>
        <v>0</v>
      </c>
      <c r="T41" s="37">
        <f>RawData!BP39</f>
        <v>0</v>
      </c>
      <c r="U41" s="38">
        <f>RawData!BO39</f>
        <v>0</v>
      </c>
      <c r="V41" s="38">
        <f>RawData!BN39</f>
        <v>0</v>
      </c>
      <c r="W41" s="39">
        <f>RawData!BM39</f>
        <v>0</v>
      </c>
      <c r="X41" s="39">
        <f>RawData!BL39</f>
        <v>0</v>
      </c>
      <c r="Y41" s="38">
        <f>RawData!BJ39</f>
        <v>0</v>
      </c>
      <c r="Z41" s="38">
        <f>RawData!BI39</f>
        <v>0</v>
      </c>
      <c r="AA41" s="40">
        <f>RawData!BH39</f>
        <v>0</v>
      </c>
      <c r="AB41" s="40">
        <f>RawData!BG39</f>
        <v>0</v>
      </c>
      <c r="AC41" s="40">
        <f>RawData!BF39</f>
        <v>0</v>
      </c>
      <c r="AD41" s="40">
        <f>RawData!BE39</f>
        <v>0</v>
      </c>
      <c r="AE41" s="40">
        <f>RawData!BD39</f>
        <v>0</v>
      </c>
      <c r="AF41" s="40">
        <f>RawData!BC39</f>
        <v>0</v>
      </c>
      <c r="AG41" s="41">
        <f>RawData!BB39</f>
        <v>0</v>
      </c>
      <c r="AH41" s="42">
        <f>RawData!DB39</f>
        <v>0</v>
      </c>
      <c r="AI41" s="41">
        <f>RawData!BA39</f>
        <v>0</v>
      </c>
      <c r="AJ41" s="43">
        <f>RawData!DA39</f>
        <v>0</v>
      </c>
      <c r="AK41" s="41">
        <f>RawData!AZ39</f>
        <v>0</v>
      </c>
      <c r="AL41" s="42">
        <f>RawData!DD39</f>
        <v>0</v>
      </c>
      <c r="AM41" s="44">
        <f>RawData!DC39</f>
        <v>0</v>
      </c>
      <c r="AN41" s="45">
        <f>RawData!BK39</f>
        <v>0</v>
      </c>
      <c r="AO41" s="44">
        <f>RawData!AY39</f>
        <v>0</v>
      </c>
      <c r="AP41" s="43" t="str">
        <f>RawData!DH39</f>
        <v>W</v>
      </c>
      <c r="AQ41" s="43">
        <f>RawData!DE39</f>
        <v>0</v>
      </c>
      <c r="AR41" s="42">
        <f>RawData!CZ39</f>
        <v>0</v>
      </c>
      <c r="AS41" s="44">
        <f>RawData!AX39</f>
        <v>0</v>
      </c>
      <c r="AT41" s="43">
        <f>RawData!CY39</f>
        <v>0</v>
      </c>
      <c r="AU41" s="44">
        <f>RawData!AW39</f>
        <v>0</v>
      </c>
      <c r="AV41" s="46">
        <f>RawData!O39</f>
        <v>33100</v>
      </c>
      <c r="AW41" s="44">
        <f>RawData!AV39</f>
        <v>2.5</v>
      </c>
      <c r="AX41" s="44">
        <f>RawData!CW39</f>
        <v>2.5</v>
      </c>
      <c r="AY41" s="44">
        <f>RawData!AU39</f>
        <v>0</v>
      </c>
      <c r="AZ41" s="42">
        <f>RawData!CX39</f>
        <v>0</v>
      </c>
      <c r="BA41" s="44">
        <f>RawData!DF39</f>
        <v>2.5</v>
      </c>
      <c r="BB41" s="43" t="str">
        <f>RawData!DI39</f>
        <v>W</v>
      </c>
      <c r="BC41" s="44">
        <f>RawData!AT39</f>
        <v>103.92248630523682</v>
      </c>
      <c r="BD41" s="45">
        <f>RawData!AP39</f>
        <v>103.92248630523682</v>
      </c>
      <c r="BE41" s="44">
        <f>RawData!CS39</f>
        <v>1.1324882507324219E-2</v>
      </c>
      <c r="BF41" s="42">
        <f>RawData!CT39</f>
        <v>1.0898619890554911E-4</v>
      </c>
      <c r="BG41" s="41">
        <f>RawData!AS39</f>
        <v>2300</v>
      </c>
      <c r="BH41" s="41">
        <f>RawData!CU39</f>
        <v>2125</v>
      </c>
      <c r="BI41" s="41">
        <f>RawData!AR39</f>
        <v>175</v>
      </c>
      <c r="BJ41" s="42">
        <f>RawData!CV39</f>
        <v>8.2352941176470587E-2</v>
      </c>
      <c r="BK41" s="41">
        <f>RawData!AQ39</f>
        <v>38675</v>
      </c>
      <c r="BL41" s="40">
        <f>RawData!AO39</f>
        <v>-3.7804476451128721E-3</v>
      </c>
      <c r="BM41" s="40">
        <f>RawData!AN39</f>
        <v>3.5762786865234375E-7</v>
      </c>
      <c r="BN41" s="40">
        <f>RawData!AM39</f>
        <v>-2.5</v>
      </c>
      <c r="BO41" s="40">
        <f>RawData!AL39</f>
        <v>0</v>
      </c>
      <c r="BP41" s="40">
        <f>RawData!AK39</f>
        <v>0.22891333699226379</v>
      </c>
      <c r="BQ41" s="40">
        <f>RawData!AJ39</f>
        <v>-2.1070241928100586E-5</v>
      </c>
      <c r="BR41" s="38">
        <f>RawData!AI39</f>
        <v>5.3321955419960432E-6</v>
      </c>
      <c r="BS41" s="38">
        <f>RawData!AH39</f>
        <v>-9.9498720373958349E-10</v>
      </c>
      <c r="BT41" s="40">
        <f>RawData!AG39</f>
        <v>-35.570625305175781</v>
      </c>
      <c r="BU41" s="39">
        <f>RawData!AF39</f>
        <v>4.92095947265625E-4</v>
      </c>
      <c r="BV41" s="39">
        <f>RawData!AE39</f>
        <v>17.977180480957031</v>
      </c>
      <c r="BW41" s="38">
        <f>RawData!AD39</f>
        <v>2.4871826171875E-3</v>
      </c>
      <c r="BX41" s="38">
        <f>RawData!AC39</f>
        <v>-6.8822623155995188E-9</v>
      </c>
      <c r="BY41" s="37">
        <f>RawData!AB39</f>
        <v>1.8927082123809669E-12</v>
      </c>
      <c r="BZ41" s="37">
        <f>RawData!AA39</f>
        <v>3.0720515496795997E-5</v>
      </c>
      <c r="CA41" s="36">
        <f>RawData!Z39</f>
        <v>-8.2873157225549221E-9</v>
      </c>
      <c r="CB41" s="36">
        <f>RawData!Y39</f>
        <v>1.5525964045082219E-5</v>
      </c>
      <c r="CC41" s="36">
        <f>RawData!X39</f>
        <v>-1.824446371756494E-9</v>
      </c>
      <c r="CD41" s="36">
        <f>RawData!W39</f>
        <v>193110.171875</v>
      </c>
      <c r="CE41" s="40">
        <f>RawData!V39</f>
        <v>-1.796875</v>
      </c>
      <c r="CF41" s="40">
        <f>RawData!U39</f>
        <v>111564.4375</v>
      </c>
      <c r="CG41" s="40">
        <f>RawData!T39</f>
        <v>15.640625</v>
      </c>
      <c r="CH41" s="44">
        <f>RawData!S39</f>
        <v>3.3499999046325684</v>
      </c>
      <c r="CI41" s="44">
        <f>RawData!R39</f>
        <v>3.3499999046325684</v>
      </c>
      <c r="CJ41" s="44">
        <f>RawData!Q39</f>
        <v>2.0499999523162842</v>
      </c>
      <c r="CK41" s="44">
        <f>RawData!P39</f>
        <v>2.5</v>
      </c>
      <c r="CL41" s="44">
        <f>RawData!CJ39</f>
        <v>25</v>
      </c>
      <c r="CM41" s="43">
        <f>RawData!CI39</f>
        <v>2.5</v>
      </c>
      <c r="CN41" s="44">
        <f>RawData!CL39</f>
        <v>325</v>
      </c>
      <c r="CO41" s="43">
        <f>RawData!CK39</f>
        <v>2.2999999523162842</v>
      </c>
      <c r="CP41" s="44">
        <f>RawData!CM39</f>
        <v>2.8199999332427979</v>
      </c>
      <c r="CQ41" s="47">
        <f>RawData!CO39</f>
        <v>44783.638194444444</v>
      </c>
      <c r="CR41" s="44">
        <f>RawData!CP39</f>
        <v>38295.69921875</v>
      </c>
      <c r="CS41" s="44">
        <f>RawData!DG39</f>
        <v>38295.69921875</v>
      </c>
      <c r="CT41" s="43" t="str">
        <f>RawData!DJ39</f>
        <v>G</v>
      </c>
      <c r="CU41" s="43" t="str">
        <f>RawData!CQ39</f>
        <v>FairPrice</v>
      </c>
      <c r="CV41" s="47">
        <f>RawData!CR39</f>
        <v>44783.638194444444</v>
      </c>
      <c r="CW41" s="65">
        <f>RawData!DK39</f>
        <v>38300</v>
      </c>
      <c r="CX41" s="65">
        <f>RawData!DL39</f>
        <v>3400000</v>
      </c>
      <c r="CY41" s="65">
        <f>RawData!DM39</f>
        <v>38500</v>
      </c>
      <c r="CZ41" s="65">
        <f>RawData!DN39</f>
        <v>0</v>
      </c>
      <c r="DA41" s="65">
        <f>RawData!DO39</f>
        <v>24500</v>
      </c>
      <c r="DB41" s="65">
        <f>RawData!DP39</f>
        <v>2863350</v>
      </c>
      <c r="DC41" s="65">
        <f>RawData!DQ39</f>
        <v>38000</v>
      </c>
      <c r="DD41" s="65">
        <f>RawData!DR39</f>
        <v>0</v>
      </c>
      <c r="DE41" s="65">
        <f>RawData!DS39</f>
        <v>24500</v>
      </c>
      <c r="DF41" s="65" t="str">
        <f>RawData!DT39</f>
        <v>BANKNIFTY</v>
      </c>
      <c r="DG41" s="66">
        <f>RawData!DU39</f>
        <v>44784</v>
      </c>
      <c r="DI41" s="21">
        <f t="shared" si="0"/>
        <v>5195.69921875</v>
      </c>
    </row>
    <row r="42" spans="1:113" x14ac:dyDescent="0.2">
      <c r="A42" s="59">
        <f>RawData!CN40</f>
        <v>44783.638194444444</v>
      </c>
      <c r="B42" s="44">
        <f>RawData!CH40</f>
        <v>0</v>
      </c>
      <c r="C42" s="44">
        <f>RawData!CG40</f>
        <v>1950</v>
      </c>
      <c r="D42" s="43">
        <f>RawData!CF40</f>
        <v>4946.14990234375</v>
      </c>
      <c r="E42" s="44">
        <f>RawData!CE40</f>
        <v>750</v>
      </c>
      <c r="F42" s="43">
        <f>RawData!CD40</f>
        <v>5233.75</v>
      </c>
      <c r="G42" s="44">
        <f>RawData!CC40</f>
        <v>0</v>
      </c>
      <c r="H42" s="44">
        <f>RawData!CB40</f>
        <v>0</v>
      </c>
      <c r="I42" s="44">
        <f>RawData!CA40</f>
        <v>0</v>
      </c>
      <c r="J42" s="44">
        <f>RawData!BZ40</f>
        <v>0</v>
      </c>
      <c r="K42" s="40">
        <f>RawData!BY40</f>
        <v>0</v>
      </c>
      <c r="L42" s="40">
        <f>RawData!BX40</f>
        <v>0</v>
      </c>
      <c r="M42" s="40">
        <f>RawData!BW40</f>
        <v>0</v>
      </c>
      <c r="N42" s="40">
        <f>RawData!BV40</f>
        <v>0</v>
      </c>
      <c r="O42" s="36">
        <f>RawData!BU40</f>
        <v>0</v>
      </c>
      <c r="P42" s="36">
        <f>RawData!BT40</f>
        <v>0</v>
      </c>
      <c r="Q42" s="36">
        <f>RawData!BS40</f>
        <v>0</v>
      </c>
      <c r="R42" s="36">
        <f>RawData!BR40</f>
        <v>0</v>
      </c>
      <c r="S42" s="37">
        <f>RawData!BQ40</f>
        <v>0</v>
      </c>
      <c r="T42" s="37">
        <f>RawData!BP40</f>
        <v>0</v>
      </c>
      <c r="U42" s="38">
        <f>RawData!BO40</f>
        <v>0</v>
      </c>
      <c r="V42" s="38">
        <f>RawData!BN40</f>
        <v>0</v>
      </c>
      <c r="W42" s="39">
        <f>RawData!BM40</f>
        <v>0</v>
      </c>
      <c r="X42" s="39">
        <f>RawData!BL40</f>
        <v>0</v>
      </c>
      <c r="Y42" s="38">
        <f>RawData!BJ40</f>
        <v>0</v>
      </c>
      <c r="Z42" s="38">
        <f>RawData!BI40</f>
        <v>0</v>
      </c>
      <c r="AA42" s="40">
        <f>RawData!BH40</f>
        <v>0</v>
      </c>
      <c r="AB42" s="40">
        <f>RawData!BG40</f>
        <v>0</v>
      </c>
      <c r="AC42" s="40">
        <f>RawData!BF40</f>
        <v>0</v>
      </c>
      <c r="AD42" s="40">
        <f>RawData!BE40</f>
        <v>0</v>
      </c>
      <c r="AE42" s="40">
        <f>RawData!BD40</f>
        <v>0</v>
      </c>
      <c r="AF42" s="40">
        <f>RawData!BC40</f>
        <v>0</v>
      </c>
      <c r="AG42" s="41">
        <f>RawData!BB40</f>
        <v>0</v>
      </c>
      <c r="AH42" s="42">
        <f>RawData!DB40</f>
        <v>0</v>
      </c>
      <c r="AI42" s="41">
        <f>RawData!BA40</f>
        <v>0</v>
      </c>
      <c r="AJ42" s="43">
        <f>RawData!DA40</f>
        <v>0</v>
      </c>
      <c r="AK42" s="41">
        <f>RawData!AZ40</f>
        <v>0</v>
      </c>
      <c r="AL42" s="42">
        <f>RawData!DD40</f>
        <v>0</v>
      </c>
      <c r="AM42" s="44">
        <f>RawData!DC40</f>
        <v>0</v>
      </c>
      <c r="AN42" s="45">
        <f>RawData!BK40</f>
        <v>0</v>
      </c>
      <c r="AO42" s="44">
        <f>RawData!AY40</f>
        <v>0</v>
      </c>
      <c r="AP42" s="43" t="str">
        <f>RawData!DH40</f>
        <v>W</v>
      </c>
      <c r="AQ42" s="43">
        <f>RawData!DE40</f>
        <v>0</v>
      </c>
      <c r="AR42" s="42">
        <f>RawData!CZ40</f>
        <v>0</v>
      </c>
      <c r="AS42" s="44">
        <f>RawData!AX40</f>
        <v>0</v>
      </c>
      <c r="AT42" s="43">
        <f>RawData!CY40</f>
        <v>0</v>
      </c>
      <c r="AU42" s="44">
        <f>RawData!AW40</f>
        <v>0</v>
      </c>
      <c r="AV42" s="46">
        <f>RawData!O40</f>
        <v>33200</v>
      </c>
      <c r="AW42" s="44">
        <f>RawData!AV40</f>
        <v>2.25</v>
      </c>
      <c r="AX42" s="44">
        <f>RawData!CW40</f>
        <v>2.25</v>
      </c>
      <c r="AY42" s="44">
        <f>RawData!AU40</f>
        <v>0</v>
      </c>
      <c r="AZ42" s="42">
        <f>RawData!CX40</f>
        <v>0</v>
      </c>
      <c r="BA42" s="44">
        <f>RawData!DF40</f>
        <v>2.25</v>
      </c>
      <c r="BB42" s="43" t="str">
        <f>RawData!DI40</f>
        <v>W</v>
      </c>
      <c r="BC42" s="44">
        <f>RawData!AT40</f>
        <v>100.86461305618286</v>
      </c>
      <c r="BD42" s="45">
        <f>RawData!AP40</f>
        <v>100.86461305618286</v>
      </c>
      <c r="BE42" s="44">
        <f>RawData!CS40</f>
        <v>-2.9003620147705078E-2</v>
      </c>
      <c r="BF42" s="42">
        <f>RawData!CT40</f>
        <v>-2.87467345340087E-4</v>
      </c>
      <c r="BG42" s="41">
        <f>RawData!AS40</f>
        <v>4900</v>
      </c>
      <c r="BH42" s="41">
        <f>RawData!CU40</f>
        <v>9050</v>
      </c>
      <c r="BI42" s="41">
        <f>RawData!AR40</f>
        <v>-4150</v>
      </c>
      <c r="BJ42" s="42">
        <f>RawData!CV40</f>
        <v>-0.4585635359116022</v>
      </c>
      <c r="BK42" s="41">
        <f>RawData!AQ40</f>
        <v>45725</v>
      </c>
      <c r="BL42" s="40">
        <f>RawData!AO40</f>
        <v>-3.5290918312966824E-3</v>
      </c>
      <c r="BM42" s="40">
        <f>RawData!AN40</f>
        <v>-1.6714911907911301E-6</v>
      </c>
      <c r="BN42" s="40">
        <f>RawData!AM40</f>
        <v>-2.25</v>
      </c>
      <c r="BO42" s="40">
        <f>RawData!AL40</f>
        <v>0</v>
      </c>
      <c r="BP42" s="40">
        <f>RawData!AK40</f>
        <v>0.21520429849624634</v>
      </c>
      <c r="BQ42" s="40">
        <f>RawData!AJ40</f>
        <v>4.3809413909912109E-5</v>
      </c>
      <c r="BR42" s="38">
        <f>RawData!AI40</f>
        <v>5.165074526303215E-6</v>
      </c>
      <c r="BS42" s="38">
        <f>RawData!AH40</f>
        <v>4.8257788876071572E-9</v>
      </c>
      <c r="BT42" s="40">
        <f>RawData!AG40</f>
        <v>-39.349880218505859</v>
      </c>
      <c r="BU42" s="39">
        <f>RawData!AF40</f>
        <v>7.42340087890625E-3</v>
      </c>
      <c r="BV42" s="39">
        <f>RawData!AE40</f>
        <v>19.302854537963867</v>
      </c>
      <c r="BW42" s="38">
        <f>RawData!AD40</f>
        <v>-3.3550262451171875E-3</v>
      </c>
      <c r="BX42" s="38">
        <f>RawData!AC40</f>
        <v>-6.9227126253679216E-9</v>
      </c>
      <c r="BY42" s="37">
        <f>RawData!AB40</f>
        <v>-9.5332630678512942E-12</v>
      </c>
      <c r="BZ42" s="37">
        <f>RawData!AA40</f>
        <v>3.1307976314565167E-5</v>
      </c>
      <c r="CA42" s="36">
        <f>RawData!Z40</f>
        <v>3.4262484405189753E-8</v>
      </c>
      <c r="CB42" s="36">
        <f>RawData!Y40</f>
        <v>1.5357945812866092E-5</v>
      </c>
      <c r="CC42" s="36">
        <f>RawData!X40</f>
        <v>1.7036654753610492E-8</v>
      </c>
      <c r="CD42" s="36">
        <f>RawData!W40</f>
        <v>215463.015625</v>
      </c>
      <c r="CE42" s="40">
        <f>RawData!V40</f>
        <v>-101.09375</v>
      </c>
      <c r="CF42" s="40">
        <f>RawData!U40</f>
        <v>120551.578125</v>
      </c>
      <c r="CG42" s="40">
        <f>RawData!T40</f>
        <v>-53.125</v>
      </c>
      <c r="CH42" s="44">
        <f>RawData!S40</f>
        <v>3</v>
      </c>
      <c r="CI42" s="44">
        <f>RawData!R40</f>
        <v>3.3499999046325684</v>
      </c>
      <c r="CJ42" s="44">
        <f>RawData!Q40</f>
        <v>2.0999999046325684</v>
      </c>
      <c r="CK42" s="44">
        <f>RawData!P40</f>
        <v>2.25</v>
      </c>
      <c r="CL42" s="44">
        <f>RawData!CJ40</f>
        <v>75</v>
      </c>
      <c r="CM42" s="43">
        <f>RawData!CI40</f>
        <v>2.8499999046325684</v>
      </c>
      <c r="CN42" s="44">
        <f>RawData!CL40</f>
        <v>375</v>
      </c>
      <c r="CO42" s="43">
        <f>RawData!CK40</f>
        <v>2.2999999523162842</v>
      </c>
      <c r="CP42" s="44">
        <f>RawData!CM40</f>
        <v>2.7899999618530273</v>
      </c>
      <c r="CQ42" s="47">
        <f>RawData!CO40</f>
        <v>44783.638194444444</v>
      </c>
      <c r="CR42" s="44">
        <f>RawData!CP40</f>
        <v>38295.69921875</v>
      </c>
      <c r="CS42" s="44">
        <f>RawData!DG40</f>
        <v>38295.69921875</v>
      </c>
      <c r="CT42" s="43" t="str">
        <f>RawData!DJ40</f>
        <v>G</v>
      </c>
      <c r="CU42" s="43" t="str">
        <f>RawData!CQ40</f>
        <v>FairPrice</v>
      </c>
      <c r="CV42" s="47">
        <f>RawData!CR40</f>
        <v>44783.638194444444</v>
      </c>
      <c r="CW42" s="65">
        <f>RawData!DK40</f>
        <v>38300</v>
      </c>
      <c r="CX42" s="65">
        <f>RawData!DL40</f>
        <v>3400000</v>
      </c>
      <c r="CY42" s="65">
        <f>RawData!DM40</f>
        <v>38500</v>
      </c>
      <c r="CZ42" s="65">
        <f>RawData!DN40</f>
        <v>0</v>
      </c>
      <c r="DA42" s="65">
        <f>RawData!DO40</f>
        <v>24500</v>
      </c>
      <c r="DB42" s="65">
        <f>RawData!DP40</f>
        <v>2863350</v>
      </c>
      <c r="DC42" s="65">
        <f>RawData!DQ40</f>
        <v>38000</v>
      </c>
      <c r="DD42" s="65">
        <f>RawData!DR40</f>
        <v>0</v>
      </c>
      <c r="DE42" s="65">
        <f>RawData!DS40</f>
        <v>24500</v>
      </c>
      <c r="DF42" s="65" t="str">
        <f>RawData!DT40</f>
        <v>BANKNIFTY</v>
      </c>
      <c r="DG42" s="66">
        <f>RawData!DU40</f>
        <v>44784</v>
      </c>
      <c r="DI42" s="21">
        <f t="shared" si="0"/>
        <v>5095.69921875</v>
      </c>
    </row>
    <row r="43" spans="1:113" x14ac:dyDescent="0.2">
      <c r="A43" s="59">
        <f>RawData!CN41</f>
        <v>44783.638194444444</v>
      </c>
      <c r="B43" s="44">
        <f>RawData!CH41</f>
        <v>0</v>
      </c>
      <c r="C43" s="44">
        <f>RawData!CG41</f>
        <v>750</v>
      </c>
      <c r="D43" s="43">
        <f>RawData!CF41</f>
        <v>4866.5498046875</v>
      </c>
      <c r="E43" s="44">
        <f>RawData!CE41</f>
        <v>750</v>
      </c>
      <c r="F43" s="43">
        <f>RawData!CD41</f>
        <v>5101.89990234375</v>
      </c>
      <c r="G43" s="44">
        <f>RawData!CC41</f>
        <v>0</v>
      </c>
      <c r="H43" s="44">
        <f>RawData!CB41</f>
        <v>0</v>
      </c>
      <c r="I43" s="44">
        <f>RawData!CA41</f>
        <v>0</v>
      </c>
      <c r="J43" s="44">
        <f>RawData!BZ41</f>
        <v>0</v>
      </c>
      <c r="K43" s="40">
        <f>RawData!BY41</f>
        <v>0</v>
      </c>
      <c r="L43" s="40">
        <f>RawData!BX41</f>
        <v>0</v>
      </c>
      <c r="M43" s="40">
        <f>RawData!BW41</f>
        <v>0</v>
      </c>
      <c r="N43" s="40">
        <f>RawData!BV41</f>
        <v>0</v>
      </c>
      <c r="O43" s="36">
        <f>RawData!BU41</f>
        <v>0</v>
      </c>
      <c r="P43" s="36">
        <f>RawData!BT41</f>
        <v>0</v>
      </c>
      <c r="Q43" s="36">
        <f>RawData!BS41</f>
        <v>0</v>
      </c>
      <c r="R43" s="36">
        <f>RawData!BR41</f>
        <v>0</v>
      </c>
      <c r="S43" s="37">
        <f>RawData!BQ41</f>
        <v>0</v>
      </c>
      <c r="T43" s="37">
        <f>RawData!BP41</f>
        <v>0</v>
      </c>
      <c r="U43" s="38">
        <f>RawData!BO41</f>
        <v>0</v>
      </c>
      <c r="V43" s="38">
        <f>RawData!BN41</f>
        <v>0</v>
      </c>
      <c r="W43" s="39">
        <f>RawData!BM41</f>
        <v>0</v>
      </c>
      <c r="X43" s="39">
        <f>RawData!BL41</f>
        <v>0</v>
      </c>
      <c r="Y43" s="38">
        <f>RawData!BJ41</f>
        <v>0</v>
      </c>
      <c r="Z43" s="38">
        <f>RawData!BI41</f>
        <v>0</v>
      </c>
      <c r="AA43" s="40">
        <f>RawData!BH41</f>
        <v>0</v>
      </c>
      <c r="AB43" s="40">
        <f>RawData!BG41</f>
        <v>0</v>
      </c>
      <c r="AC43" s="40">
        <f>RawData!BF41</f>
        <v>0</v>
      </c>
      <c r="AD43" s="40">
        <f>RawData!BE41</f>
        <v>0</v>
      </c>
      <c r="AE43" s="40">
        <f>RawData!BD41</f>
        <v>0</v>
      </c>
      <c r="AF43" s="40">
        <f>RawData!BC41</f>
        <v>0</v>
      </c>
      <c r="AG43" s="41">
        <f>RawData!BB41</f>
        <v>0</v>
      </c>
      <c r="AH43" s="42">
        <f>RawData!DB41</f>
        <v>0</v>
      </c>
      <c r="AI43" s="41">
        <f>RawData!BA41</f>
        <v>0</v>
      </c>
      <c r="AJ43" s="43">
        <f>RawData!DA41</f>
        <v>0</v>
      </c>
      <c r="AK43" s="41">
        <f>RawData!AZ41</f>
        <v>0</v>
      </c>
      <c r="AL43" s="42">
        <f>RawData!DD41</f>
        <v>0</v>
      </c>
      <c r="AM43" s="44">
        <f>RawData!DC41</f>
        <v>0</v>
      </c>
      <c r="AN43" s="45">
        <f>RawData!BK41</f>
        <v>0</v>
      </c>
      <c r="AO43" s="44">
        <f>RawData!AY41</f>
        <v>0</v>
      </c>
      <c r="AP43" s="43" t="str">
        <f>RawData!DH41</f>
        <v>W</v>
      </c>
      <c r="AQ43" s="43">
        <f>RawData!DE41</f>
        <v>0</v>
      </c>
      <c r="AR43" s="42">
        <f>RawData!CZ41</f>
        <v>0</v>
      </c>
      <c r="AS43" s="44">
        <f>RawData!AX41</f>
        <v>0</v>
      </c>
      <c r="AT43" s="43">
        <f>RawData!CY41</f>
        <v>0</v>
      </c>
      <c r="AU43" s="44">
        <f>RawData!AW41</f>
        <v>0</v>
      </c>
      <c r="AV43" s="46">
        <f>RawData!O41</f>
        <v>33300</v>
      </c>
      <c r="AW43" s="44">
        <f>RawData!AV41</f>
        <v>2.5</v>
      </c>
      <c r="AX43" s="44">
        <f>RawData!CW41</f>
        <v>2.5</v>
      </c>
      <c r="AY43" s="44">
        <f>RawData!AU41</f>
        <v>0</v>
      </c>
      <c r="AZ43" s="42">
        <f>RawData!CX41</f>
        <v>0</v>
      </c>
      <c r="BA43" s="44">
        <f>RawData!DF41</f>
        <v>2.5</v>
      </c>
      <c r="BB43" s="43" t="str">
        <f>RawData!DI41</f>
        <v>W</v>
      </c>
      <c r="BC43" s="44">
        <f>RawData!AT41</f>
        <v>100.04301071166992</v>
      </c>
      <c r="BD43" s="45">
        <f>RawData!AP41</f>
        <v>100.04301071166992</v>
      </c>
      <c r="BE43" s="44">
        <f>RawData!CS41</f>
        <v>1.1277198791503906E-2</v>
      </c>
      <c r="BF43" s="42">
        <f>RawData!CT41</f>
        <v>1.1273621275444599E-4</v>
      </c>
      <c r="BG43" s="41">
        <f>RawData!AS41</f>
        <v>6275</v>
      </c>
      <c r="BH43" s="41">
        <f>RawData!CU41</f>
        <v>10650</v>
      </c>
      <c r="BI43" s="41">
        <f>RawData!AR41</f>
        <v>-4375</v>
      </c>
      <c r="BJ43" s="42">
        <f>RawData!CV41</f>
        <v>-0.41079812206572769</v>
      </c>
      <c r="BK43" s="41">
        <f>RawData!AQ41</f>
        <v>50300</v>
      </c>
      <c r="BL43" s="40">
        <f>RawData!AO41</f>
        <v>-3.9168521761894226E-3</v>
      </c>
      <c r="BM43" s="40">
        <f>RawData!AN41</f>
        <v>3.8370490074157715E-7</v>
      </c>
      <c r="BN43" s="40">
        <f>RawData!AM41</f>
        <v>-2.5</v>
      </c>
      <c r="BO43" s="40">
        <f>RawData!AL41</f>
        <v>0</v>
      </c>
      <c r="BP43" s="40">
        <f>RawData!AK41</f>
        <v>0.23629692196846008</v>
      </c>
      <c r="BQ43" s="40">
        <f>RawData!AJ41</f>
        <v>-2.2456049919128418E-5</v>
      </c>
      <c r="BR43" s="38">
        <f>RawData!AI41</f>
        <v>5.7178740462404676E-6</v>
      </c>
      <c r="BS43" s="38">
        <f>RawData!AH41</f>
        <v>-1.1054908100049943E-9</v>
      </c>
      <c r="BT43" s="40">
        <f>RawData!AG41</f>
        <v>-35.659721374511719</v>
      </c>
      <c r="BU43" s="39">
        <f>RawData!AF41</f>
        <v>5.035400390625E-4</v>
      </c>
      <c r="BV43" s="39">
        <f>RawData!AE41</f>
        <v>17.350181579589844</v>
      </c>
      <c r="BW43" s="38">
        <f>RawData!AD41</f>
        <v>2.460479736328125E-3</v>
      </c>
      <c r="BX43" s="38">
        <f>RawData!AC41</f>
        <v>-7.6270945115197719E-9</v>
      </c>
      <c r="BY43" s="37">
        <f>RawData!AB41</f>
        <v>2.1733725930062064E-12</v>
      </c>
      <c r="BZ43" s="37">
        <f>RawData!AA41</f>
        <v>3.3891923521878198E-5</v>
      </c>
      <c r="CA43" s="36">
        <f>RawData!Z41</f>
        <v>-9.4514689408242702E-9</v>
      </c>
      <c r="CB43" s="36">
        <f>RawData!Y41</f>
        <v>1.649006298976019E-5</v>
      </c>
      <c r="CC43" s="36">
        <f>RawData!X41</f>
        <v>-2.0263541955500841E-9</v>
      </c>
      <c r="CD43" s="36">
        <f>RawData!W41</f>
        <v>192725.796875</v>
      </c>
      <c r="CE43" s="40">
        <f>RawData!V41</f>
        <v>-1.734375</v>
      </c>
      <c r="CF43" s="40">
        <f>RawData!U41</f>
        <v>107301.6953125</v>
      </c>
      <c r="CG43" s="40">
        <f>RawData!T41</f>
        <v>15.4609375</v>
      </c>
      <c r="CH43" s="44">
        <f>RawData!S41</f>
        <v>4.3000001907348633</v>
      </c>
      <c r="CI43" s="44">
        <f>RawData!R41</f>
        <v>4.3000001907348633</v>
      </c>
      <c r="CJ43" s="44">
        <f>RawData!Q41</f>
        <v>2.1500000953674316</v>
      </c>
      <c r="CK43" s="44">
        <f>RawData!P41</f>
        <v>2.5</v>
      </c>
      <c r="CL43" s="44">
        <f>RawData!CJ41</f>
        <v>25</v>
      </c>
      <c r="CM43" s="43">
        <f>RawData!CI41</f>
        <v>2.5</v>
      </c>
      <c r="CN43" s="44">
        <f>RawData!CL41</f>
        <v>50</v>
      </c>
      <c r="CO43" s="43">
        <f>RawData!CK41</f>
        <v>2.4500000476837158</v>
      </c>
      <c r="CP43" s="44">
        <f>RawData!CM41</f>
        <v>2.7999999523162842</v>
      </c>
      <c r="CQ43" s="47">
        <f>RawData!CO41</f>
        <v>44783.638194444444</v>
      </c>
      <c r="CR43" s="44">
        <f>RawData!CP41</f>
        <v>38295.69921875</v>
      </c>
      <c r="CS43" s="44">
        <f>RawData!DG41</f>
        <v>38295.69921875</v>
      </c>
      <c r="CT43" s="43" t="str">
        <f>RawData!DJ41</f>
        <v>G</v>
      </c>
      <c r="CU43" s="43" t="str">
        <f>RawData!CQ41</f>
        <v>FairPrice</v>
      </c>
      <c r="CV43" s="47">
        <f>RawData!CR41</f>
        <v>44783.638194444444</v>
      </c>
      <c r="CW43" s="65">
        <f>RawData!DK41</f>
        <v>38300</v>
      </c>
      <c r="CX43" s="65">
        <f>RawData!DL41</f>
        <v>3400000</v>
      </c>
      <c r="CY43" s="65">
        <f>RawData!DM41</f>
        <v>38500</v>
      </c>
      <c r="CZ43" s="65">
        <f>RawData!DN41</f>
        <v>0</v>
      </c>
      <c r="DA43" s="65">
        <f>RawData!DO41</f>
        <v>24500</v>
      </c>
      <c r="DB43" s="65">
        <f>RawData!DP41</f>
        <v>2863350</v>
      </c>
      <c r="DC43" s="65">
        <f>RawData!DQ41</f>
        <v>38000</v>
      </c>
      <c r="DD43" s="65">
        <f>RawData!DR41</f>
        <v>0</v>
      </c>
      <c r="DE43" s="65">
        <f>RawData!DS41</f>
        <v>24500</v>
      </c>
      <c r="DF43" s="65" t="str">
        <f>RawData!DT41</f>
        <v>BANKNIFTY</v>
      </c>
      <c r="DG43" s="66">
        <f>RawData!DU41</f>
        <v>44784</v>
      </c>
      <c r="DI43" s="21">
        <f t="shared" si="0"/>
        <v>4995.69921875</v>
      </c>
    </row>
    <row r="44" spans="1:113" x14ac:dyDescent="0.2">
      <c r="A44" s="59">
        <f>RawData!CN42</f>
        <v>44783.638194444444</v>
      </c>
      <c r="B44" s="44">
        <f>RawData!CH42</f>
        <v>0</v>
      </c>
      <c r="C44" s="44">
        <f>RawData!CG42</f>
        <v>750</v>
      </c>
      <c r="D44" s="43">
        <f>RawData!CF42</f>
        <v>4760.0498046875</v>
      </c>
      <c r="E44" s="44">
        <f>RawData!CE42</f>
        <v>750</v>
      </c>
      <c r="F44" s="43">
        <f>RawData!CD42</f>
        <v>5006.39990234375</v>
      </c>
      <c r="G44" s="44">
        <f>RawData!CC42</f>
        <v>0</v>
      </c>
      <c r="H44" s="44">
        <f>RawData!CB42</f>
        <v>0</v>
      </c>
      <c r="I44" s="44">
        <f>RawData!CA42</f>
        <v>0</v>
      </c>
      <c r="J44" s="44">
        <f>RawData!BZ42</f>
        <v>0</v>
      </c>
      <c r="K44" s="40">
        <f>RawData!BY42</f>
        <v>0</v>
      </c>
      <c r="L44" s="40">
        <f>RawData!BX42</f>
        <v>0</v>
      </c>
      <c r="M44" s="40">
        <f>RawData!BW42</f>
        <v>0</v>
      </c>
      <c r="N44" s="40">
        <f>RawData!BV42</f>
        <v>0</v>
      </c>
      <c r="O44" s="36">
        <f>RawData!BU42</f>
        <v>0</v>
      </c>
      <c r="P44" s="36">
        <f>RawData!BT42</f>
        <v>0</v>
      </c>
      <c r="Q44" s="36">
        <f>RawData!BS42</f>
        <v>0</v>
      </c>
      <c r="R44" s="36">
        <f>RawData!BR42</f>
        <v>0</v>
      </c>
      <c r="S44" s="37">
        <f>RawData!BQ42</f>
        <v>0</v>
      </c>
      <c r="T44" s="37">
        <f>RawData!BP42</f>
        <v>0</v>
      </c>
      <c r="U44" s="38">
        <f>RawData!BO42</f>
        <v>0</v>
      </c>
      <c r="V44" s="38">
        <f>RawData!BN42</f>
        <v>0</v>
      </c>
      <c r="W44" s="39">
        <f>RawData!BM42</f>
        <v>0</v>
      </c>
      <c r="X44" s="39">
        <f>RawData!BL42</f>
        <v>0</v>
      </c>
      <c r="Y44" s="38">
        <f>RawData!BJ42</f>
        <v>0</v>
      </c>
      <c r="Z44" s="38">
        <f>RawData!BI42</f>
        <v>0</v>
      </c>
      <c r="AA44" s="40">
        <f>RawData!BH42</f>
        <v>0</v>
      </c>
      <c r="AB44" s="40">
        <f>RawData!BG42</f>
        <v>0</v>
      </c>
      <c r="AC44" s="40">
        <f>RawData!BF42</f>
        <v>0</v>
      </c>
      <c r="AD44" s="40">
        <f>RawData!BE42</f>
        <v>0</v>
      </c>
      <c r="AE44" s="40">
        <f>RawData!BD42</f>
        <v>0</v>
      </c>
      <c r="AF44" s="40">
        <f>RawData!BC42</f>
        <v>0</v>
      </c>
      <c r="AG44" s="41">
        <f>RawData!BB42</f>
        <v>0</v>
      </c>
      <c r="AH44" s="42">
        <f>RawData!DB42</f>
        <v>0</v>
      </c>
      <c r="AI44" s="41">
        <f>RawData!BA42</f>
        <v>0</v>
      </c>
      <c r="AJ44" s="43">
        <f>RawData!DA42</f>
        <v>0</v>
      </c>
      <c r="AK44" s="41">
        <f>RawData!AZ42</f>
        <v>0</v>
      </c>
      <c r="AL44" s="42">
        <f>RawData!DD42</f>
        <v>0</v>
      </c>
      <c r="AM44" s="44">
        <f>RawData!DC42</f>
        <v>0</v>
      </c>
      <c r="AN44" s="45">
        <f>RawData!BK42</f>
        <v>0</v>
      </c>
      <c r="AO44" s="44">
        <f>RawData!AY42</f>
        <v>0</v>
      </c>
      <c r="AP44" s="43" t="str">
        <f>RawData!DH42</f>
        <v>W</v>
      </c>
      <c r="AQ44" s="43">
        <f>RawData!DE42</f>
        <v>0</v>
      </c>
      <c r="AR44" s="42">
        <f>RawData!CZ42</f>
        <v>0</v>
      </c>
      <c r="AS44" s="44">
        <f>RawData!AX42</f>
        <v>0</v>
      </c>
      <c r="AT44" s="43">
        <f>RawData!CY42</f>
        <v>0</v>
      </c>
      <c r="AU44" s="44">
        <f>RawData!AW42</f>
        <v>0</v>
      </c>
      <c r="AV44" s="46">
        <f>RawData!O42</f>
        <v>33400</v>
      </c>
      <c r="AW44" s="44">
        <f>RawData!AV42</f>
        <v>2.4000000953674316</v>
      </c>
      <c r="AX44" s="44">
        <f>RawData!CW42</f>
        <v>2.4000000953674316</v>
      </c>
      <c r="AY44" s="44">
        <f>RawData!AU42</f>
        <v>0</v>
      </c>
      <c r="AZ44" s="42">
        <f>RawData!CX42</f>
        <v>0</v>
      </c>
      <c r="BA44" s="44">
        <f>RawData!DF42</f>
        <v>2.4000000953674316</v>
      </c>
      <c r="BB44" s="43" t="str">
        <f>RawData!DI42</f>
        <v>W</v>
      </c>
      <c r="BC44" s="44">
        <f>RawData!AT42</f>
        <v>97.681617736816406</v>
      </c>
      <c r="BD44" s="45">
        <f>RawData!AP42</f>
        <v>97.681617736816406</v>
      </c>
      <c r="BE44" s="44">
        <f>RawData!CS42</f>
        <v>1.1211633682250977E-2</v>
      </c>
      <c r="BF44" s="42">
        <f>RawData!CT42</f>
        <v>1.147904890495915E-4</v>
      </c>
      <c r="BG44" s="41">
        <f>RawData!AS42</f>
        <v>6775</v>
      </c>
      <c r="BH44" s="41">
        <f>RawData!CU42</f>
        <v>7300</v>
      </c>
      <c r="BI44" s="41">
        <f>RawData!AR42</f>
        <v>-525</v>
      </c>
      <c r="BJ44" s="42">
        <f>RawData!CV42</f>
        <v>-7.1917808219178078E-2</v>
      </c>
      <c r="BK44" s="41">
        <f>RawData!AQ42</f>
        <v>71325</v>
      </c>
      <c r="BL44" s="40">
        <f>RawData!AO42</f>
        <v>-3.8577371742576361E-3</v>
      </c>
      <c r="BM44" s="40">
        <f>RawData!AN42</f>
        <v>3.8533471524715424E-7</v>
      </c>
      <c r="BN44" s="40">
        <f>RawData!AM42</f>
        <v>-2.4000000953674316</v>
      </c>
      <c r="BO44" s="40">
        <f>RawData!AL42</f>
        <v>0</v>
      </c>
      <c r="BP44" s="40">
        <f>RawData!AK42</f>
        <v>0.23310396075248718</v>
      </c>
      <c r="BQ44" s="40">
        <f>RawData!AJ42</f>
        <v>-2.2560358047485352E-5</v>
      </c>
      <c r="BR44" s="38">
        <f>RawData!AI42</f>
        <v>5.7767201724345796E-6</v>
      </c>
      <c r="BS44" s="38">
        <f>RawData!AH42</f>
        <v>-1.1386873666197062E-9</v>
      </c>
      <c r="BT44" s="40">
        <f>RawData!AG42</f>
        <v>-37.113346099853516</v>
      </c>
      <c r="BU44" s="39">
        <f>RawData!AF42</f>
        <v>5.30242919921875E-4</v>
      </c>
      <c r="BV44" s="39">
        <f>RawData!AE42</f>
        <v>17.630455017089844</v>
      </c>
      <c r="BW44" s="38">
        <f>RawData!AD42</f>
        <v>2.532958984375E-3</v>
      </c>
      <c r="BX44" s="38">
        <f>RawData!AC42</f>
        <v>-7.9029494060023353E-9</v>
      </c>
      <c r="BY44" s="37">
        <f>RawData!AB42</f>
        <v>2.2959412149248237E-12</v>
      </c>
      <c r="BZ44" s="37">
        <f>RawData!AA42</f>
        <v>3.5247761843493208E-5</v>
      </c>
      <c r="CA44" s="36">
        <f>RawData!Z42</f>
        <v>-1.0022631613537669E-8</v>
      </c>
      <c r="CB44" s="36">
        <f>RawData!Y42</f>
        <v>1.6744221284170635E-5</v>
      </c>
      <c r="CC44" s="36">
        <f>RawData!X42</f>
        <v>-2.1136656869202852E-9</v>
      </c>
      <c r="CD44" s="36">
        <f>RawData!W42</f>
        <v>200972.53125</v>
      </c>
      <c r="CE44" s="40">
        <f>RawData!V42</f>
        <v>-1.796875</v>
      </c>
      <c r="CF44" s="40">
        <f>RawData!U42</f>
        <v>109187.3046875</v>
      </c>
      <c r="CG44" s="40">
        <f>RawData!T42</f>
        <v>15.953125</v>
      </c>
      <c r="CH44" s="44">
        <f>RawData!S42</f>
        <v>2.9000000953674316</v>
      </c>
      <c r="CI44" s="44">
        <f>RawData!R42</f>
        <v>3.4500000476837158</v>
      </c>
      <c r="CJ44" s="44">
        <f>RawData!Q42</f>
        <v>1.5499999523162842</v>
      </c>
      <c r="CK44" s="44">
        <f>RawData!P42</f>
        <v>2.4000000953674316</v>
      </c>
      <c r="CL44" s="44">
        <f>RawData!CJ42</f>
        <v>1300</v>
      </c>
      <c r="CM44" s="43">
        <f>RawData!CI42</f>
        <v>2.4500000476837158</v>
      </c>
      <c r="CN44" s="44">
        <f>RawData!CL42</f>
        <v>400</v>
      </c>
      <c r="CO44" s="43">
        <f>RawData!CK42</f>
        <v>2.2999999523162842</v>
      </c>
      <c r="CP44" s="44">
        <f>RawData!CM42</f>
        <v>2.9200000762939453</v>
      </c>
      <c r="CQ44" s="47">
        <f>RawData!CO42</f>
        <v>44783.638194444444</v>
      </c>
      <c r="CR44" s="44">
        <f>RawData!CP42</f>
        <v>38295.69921875</v>
      </c>
      <c r="CS44" s="44">
        <f>RawData!DG42</f>
        <v>38295.69921875</v>
      </c>
      <c r="CT44" s="43" t="str">
        <f>RawData!DJ42</f>
        <v>G</v>
      </c>
      <c r="CU44" s="43" t="str">
        <f>RawData!CQ42</f>
        <v>FairPrice</v>
      </c>
      <c r="CV44" s="47">
        <f>RawData!CR42</f>
        <v>44783.638194444444</v>
      </c>
      <c r="CW44" s="65">
        <f>RawData!DK42</f>
        <v>38300</v>
      </c>
      <c r="CX44" s="65">
        <f>RawData!DL42</f>
        <v>3400000</v>
      </c>
      <c r="CY44" s="65">
        <f>RawData!DM42</f>
        <v>38500</v>
      </c>
      <c r="CZ44" s="65">
        <f>RawData!DN42</f>
        <v>0</v>
      </c>
      <c r="DA44" s="65">
        <f>RawData!DO42</f>
        <v>24500</v>
      </c>
      <c r="DB44" s="65">
        <f>RawData!DP42</f>
        <v>2863350</v>
      </c>
      <c r="DC44" s="65">
        <f>RawData!DQ42</f>
        <v>38000</v>
      </c>
      <c r="DD44" s="65">
        <f>RawData!DR42</f>
        <v>0</v>
      </c>
      <c r="DE44" s="65">
        <f>RawData!DS42</f>
        <v>24500</v>
      </c>
      <c r="DF44" s="65" t="str">
        <f>RawData!DT42</f>
        <v>BANKNIFTY</v>
      </c>
      <c r="DG44" s="66">
        <f>RawData!DU42</f>
        <v>44784</v>
      </c>
      <c r="DI44" s="21">
        <f t="shared" si="0"/>
        <v>4895.69921875</v>
      </c>
    </row>
    <row r="45" spans="1:113" x14ac:dyDescent="0.2">
      <c r="A45" s="59">
        <f>RawData!CN43</f>
        <v>44783.638194444444</v>
      </c>
      <c r="B45" s="44">
        <f>RawData!CH43</f>
        <v>4796.509765625</v>
      </c>
      <c r="C45" s="44">
        <f>RawData!CG43</f>
        <v>25</v>
      </c>
      <c r="D45" s="43">
        <f>RawData!CF43</f>
        <v>4790</v>
      </c>
      <c r="E45" s="44">
        <f>RawData!CE43</f>
        <v>50</v>
      </c>
      <c r="F45" s="43">
        <f>RawData!CD43</f>
        <v>4864.0498046875</v>
      </c>
      <c r="G45" s="44">
        <f>RawData!CC43</f>
        <v>4790</v>
      </c>
      <c r="H45" s="44">
        <f>RawData!CB43</f>
        <v>4720</v>
      </c>
      <c r="I45" s="44">
        <f>RawData!CA43</f>
        <v>4850.0498046875</v>
      </c>
      <c r="J45" s="44">
        <f>RawData!BZ43</f>
        <v>4835.14990234375</v>
      </c>
      <c r="K45" s="40">
        <f>RawData!BY43</f>
        <v>0</v>
      </c>
      <c r="L45" s="40">
        <f>RawData!BX43</f>
        <v>0</v>
      </c>
      <c r="M45" s="40">
        <f>RawData!BW43</f>
        <v>0</v>
      </c>
      <c r="N45" s="40">
        <f>RawData!BV43</f>
        <v>0</v>
      </c>
      <c r="O45" s="36">
        <f>RawData!BU43</f>
        <v>0</v>
      </c>
      <c r="P45" s="36">
        <f>RawData!BT43</f>
        <v>0</v>
      </c>
      <c r="Q45" s="36">
        <f>RawData!BS43</f>
        <v>0</v>
      </c>
      <c r="R45" s="36">
        <f>RawData!BR43</f>
        <v>0</v>
      </c>
      <c r="S45" s="37">
        <f>RawData!BQ43</f>
        <v>0</v>
      </c>
      <c r="T45" s="37">
        <f>RawData!BP43</f>
        <v>0</v>
      </c>
      <c r="U45" s="38">
        <f>RawData!BO43</f>
        <v>0</v>
      </c>
      <c r="V45" s="38">
        <f>RawData!BN43</f>
        <v>0</v>
      </c>
      <c r="W45" s="39">
        <f>RawData!BM43</f>
        <v>0</v>
      </c>
      <c r="X45" s="39">
        <f>RawData!BL43</f>
        <v>0</v>
      </c>
      <c r="Y45" s="38">
        <f>RawData!BJ43</f>
        <v>0</v>
      </c>
      <c r="Z45" s="38">
        <f>RawData!BI43</f>
        <v>0</v>
      </c>
      <c r="AA45" s="40">
        <f>RawData!BH43</f>
        <v>0</v>
      </c>
      <c r="AB45" s="40">
        <f>RawData!BG43</f>
        <v>0</v>
      </c>
      <c r="AC45" s="40">
        <f>RawData!BF43</f>
        <v>0</v>
      </c>
      <c r="AD45" s="40">
        <f>RawData!BE43</f>
        <v>0</v>
      </c>
      <c r="AE45" s="40">
        <f>RawData!BD43</f>
        <v>0</v>
      </c>
      <c r="AF45" s="40">
        <f>RawData!BC43</f>
        <v>0</v>
      </c>
      <c r="AG45" s="41">
        <f>RawData!BB43</f>
        <v>650</v>
      </c>
      <c r="AH45" s="42">
        <f>RawData!DB43</f>
        <v>-0.30769230769230771</v>
      </c>
      <c r="AI45" s="41">
        <f>RawData!BA43</f>
        <v>-500</v>
      </c>
      <c r="AJ45" s="43">
        <f>RawData!DA43</f>
        <v>1625</v>
      </c>
      <c r="AK45" s="41">
        <f>RawData!AZ43</f>
        <v>1125</v>
      </c>
      <c r="AL45" s="42">
        <f>RawData!DD43</f>
        <v>0</v>
      </c>
      <c r="AM45" s="44">
        <f>RawData!DC43</f>
        <v>0</v>
      </c>
      <c r="AN45" s="45">
        <f>RawData!BK43</f>
        <v>0</v>
      </c>
      <c r="AO45" s="44">
        <f>RawData!AY43</f>
        <v>0</v>
      </c>
      <c r="AP45" s="43" t="str">
        <f>RawData!DH43</f>
        <v>W</v>
      </c>
      <c r="AQ45" s="43">
        <f>RawData!DE43</f>
        <v>4790</v>
      </c>
      <c r="AR45" s="42">
        <f>RawData!CZ43</f>
        <v>0</v>
      </c>
      <c r="AS45" s="44">
        <f>RawData!AX43</f>
        <v>0</v>
      </c>
      <c r="AT45" s="43">
        <f>RawData!CY43</f>
        <v>4790</v>
      </c>
      <c r="AU45" s="44">
        <f>RawData!AW43</f>
        <v>4790</v>
      </c>
      <c r="AV45" s="46">
        <f>RawData!O43</f>
        <v>33500</v>
      </c>
      <c r="AW45" s="44">
        <f>RawData!AV43</f>
        <v>2.4000000953674316</v>
      </c>
      <c r="AX45" s="44">
        <f>RawData!CW43</f>
        <v>2.4000000953674316</v>
      </c>
      <c r="AY45" s="44">
        <f>RawData!AU43</f>
        <v>0</v>
      </c>
      <c r="AZ45" s="42">
        <f>RawData!CX43</f>
        <v>0</v>
      </c>
      <c r="BA45" s="44">
        <f>RawData!DF43</f>
        <v>2.4000000953674316</v>
      </c>
      <c r="BB45" s="43" t="str">
        <f>RawData!DI43</f>
        <v>W</v>
      </c>
      <c r="BC45" s="44">
        <f>RawData!AT43</f>
        <v>95.757484436035156</v>
      </c>
      <c r="BD45" s="45">
        <f>RawData!AP43</f>
        <v>95.757484436035156</v>
      </c>
      <c r="BE45" s="44">
        <f>RawData!CS43</f>
        <v>2.8967857360839844E-3</v>
      </c>
      <c r="BF45" s="42">
        <f>RawData!CT43</f>
        <v>3.0252187463468615E-5</v>
      </c>
      <c r="BG45" s="41">
        <f>RawData!AS43</f>
        <v>307950</v>
      </c>
      <c r="BH45" s="41">
        <f>RawData!CU43</f>
        <v>157600</v>
      </c>
      <c r="BI45" s="41">
        <f>RawData!AR43</f>
        <v>150350</v>
      </c>
      <c r="BJ45" s="42">
        <f>RawData!CV43</f>
        <v>0.95399746192893398</v>
      </c>
      <c r="BK45" s="41">
        <f>RawData!AQ43</f>
        <v>1028325</v>
      </c>
      <c r="BL45" s="40">
        <f>RawData!AO43</f>
        <v>-3.9298757910728455E-3</v>
      </c>
      <c r="BM45" s="40">
        <f>RawData!AN43</f>
        <v>3.6321580410003662E-8</v>
      </c>
      <c r="BN45" s="40">
        <f>RawData!AM43</f>
        <v>-2.4000000953674316</v>
      </c>
      <c r="BO45" s="40">
        <f>RawData!AL43</f>
        <v>0</v>
      </c>
      <c r="BP45" s="40">
        <f>RawData!AK43</f>
        <v>0.23700094223022461</v>
      </c>
      <c r="BQ45" s="40">
        <f>RawData!AJ43</f>
        <v>-6.7800283432006836E-6</v>
      </c>
      <c r="BR45" s="38">
        <f>RawData!AI43</f>
        <v>5.9915541896771174E-6</v>
      </c>
      <c r="BS45" s="38">
        <f>RawData!AH43</f>
        <v>-1.0959411156363785E-10</v>
      </c>
      <c r="BT45" s="40">
        <f>RawData!AG43</f>
        <v>-37.161487579345703</v>
      </c>
      <c r="BU45" s="39">
        <f>RawData!AF43</f>
        <v>7.781982421875E-4</v>
      </c>
      <c r="BV45" s="39">
        <f>RawData!AE43</f>
        <v>17.306337356567383</v>
      </c>
      <c r="BW45" s="38">
        <f>RawData!AD43</f>
        <v>9.0789794921875E-4</v>
      </c>
      <c r="BX45" s="38">
        <f>RawData!AC43</f>
        <v>-8.3393825178745828E-9</v>
      </c>
      <c r="BY45" s="37">
        <f>RawData!AB43</f>
        <v>2.2382096176443156E-13</v>
      </c>
      <c r="BZ45" s="37">
        <f>RawData!AA43</f>
        <v>3.710450982907787E-5</v>
      </c>
      <c r="CA45" s="36">
        <f>RawData!Z43</f>
        <v>-1.7025740817189217E-9</v>
      </c>
      <c r="CB45" s="36">
        <f>RawData!Y43</f>
        <v>1.7279802705161273E-5</v>
      </c>
      <c r="CC45" s="36">
        <f>RawData!X43</f>
        <v>4.765752237290144E-10</v>
      </c>
      <c r="CD45" s="36">
        <f>RawData!W43</f>
        <v>200758</v>
      </c>
      <c r="CE45" s="40">
        <f>RawData!V43</f>
        <v>-8.046875</v>
      </c>
      <c r="CF45" s="40">
        <f>RawData!U43</f>
        <v>106985.3515625</v>
      </c>
      <c r="CG45" s="40">
        <f>RawData!T43</f>
        <v>3.5390625</v>
      </c>
      <c r="CH45" s="44">
        <f>RawData!S43</f>
        <v>4.9499998092651367</v>
      </c>
      <c r="CI45" s="44">
        <f>RawData!R43</f>
        <v>4.9499998092651367</v>
      </c>
      <c r="CJ45" s="44">
        <f>RawData!Q43</f>
        <v>2.25</v>
      </c>
      <c r="CK45" s="44">
        <f>RawData!P43</f>
        <v>2.4000000953674316</v>
      </c>
      <c r="CL45" s="44">
        <f>RawData!CJ43</f>
        <v>850</v>
      </c>
      <c r="CM45" s="43">
        <f>RawData!CI43</f>
        <v>2.4500000476837158</v>
      </c>
      <c r="CN45" s="44">
        <f>RawData!CL43</f>
        <v>225</v>
      </c>
      <c r="CO45" s="43">
        <f>RawData!CK43</f>
        <v>2.4000000953674316</v>
      </c>
      <c r="CP45" s="44">
        <f>RawData!CM43</f>
        <v>2.8599998950958252</v>
      </c>
      <c r="CQ45" s="47">
        <f>RawData!CO43</f>
        <v>44783.638194444444</v>
      </c>
      <c r="CR45" s="44">
        <f>RawData!CP43</f>
        <v>38295.69921875</v>
      </c>
      <c r="CS45" s="44">
        <f>RawData!DG43</f>
        <v>38295.69921875</v>
      </c>
      <c r="CT45" s="43" t="str">
        <f>RawData!DJ43</f>
        <v>G</v>
      </c>
      <c r="CU45" s="43" t="str">
        <f>RawData!CQ43</f>
        <v>FairPrice</v>
      </c>
      <c r="CV45" s="47">
        <f>RawData!CR43</f>
        <v>44783.638194444444</v>
      </c>
      <c r="CW45" s="65">
        <f>RawData!DK43</f>
        <v>38300</v>
      </c>
      <c r="CX45" s="65">
        <f>RawData!DL43</f>
        <v>3400000</v>
      </c>
      <c r="CY45" s="65">
        <f>RawData!DM43</f>
        <v>38500</v>
      </c>
      <c r="CZ45" s="65">
        <f>RawData!DN43</f>
        <v>0</v>
      </c>
      <c r="DA45" s="65">
        <f>RawData!DO43</f>
        <v>24500</v>
      </c>
      <c r="DB45" s="65">
        <f>RawData!DP43</f>
        <v>2863350</v>
      </c>
      <c r="DC45" s="65">
        <f>RawData!DQ43</f>
        <v>38000</v>
      </c>
      <c r="DD45" s="65">
        <f>RawData!DR43</f>
        <v>0</v>
      </c>
      <c r="DE45" s="65">
        <f>RawData!DS43</f>
        <v>24500</v>
      </c>
      <c r="DF45" s="65" t="str">
        <f>RawData!DT43</f>
        <v>BANKNIFTY</v>
      </c>
      <c r="DG45" s="66">
        <f>RawData!DU43</f>
        <v>44784</v>
      </c>
      <c r="DI45" s="21">
        <f t="shared" si="0"/>
        <v>4795.69921875</v>
      </c>
    </row>
    <row r="46" spans="1:113" x14ac:dyDescent="0.2">
      <c r="A46" s="59">
        <f>RawData!CN44</f>
        <v>44783.638194444444</v>
      </c>
      <c r="B46" s="44">
        <f>RawData!CH44</f>
        <v>0</v>
      </c>
      <c r="C46" s="44">
        <f>RawData!CG44</f>
        <v>750</v>
      </c>
      <c r="D46" s="43">
        <f>RawData!CF44</f>
        <v>4558.0498046875</v>
      </c>
      <c r="E46" s="44">
        <f>RawData!CE44</f>
        <v>800</v>
      </c>
      <c r="F46" s="43">
        <f>RawData!CD44</f>
        <v>4811.89990234375</v>
      </c>
      <c r="G46" s="44">
        <f>RawData!CC44</f>
        <v>0</v>
      </c>
      <c r="H46" s="44">
        <f>RawData!CB44</f>
        <v>0</v>
      </c>
      <c r="I46" s="44">
        <f>RawData!CA44</f>
        <v>0</v>
      </c>
      <c r="J46" s="44">
        <f>RawData!BZ44</f>
        <v>0</v>
      </c>
      <c r="K46" s="40">
        <f>RawData!BY44</f>
        <v>0</v>
      </c>
      <c r="L46" s="40">
        <f>RawData!BX44</f>
        <v>0</v>
      </c>
      <c r="M46" s="40">
        <f>RawData!BW44</f>
        <v>0</v>
      </c>
      <c r="N46" s="40">
        <f>RawData!BV44</f>
        <v>0</v>
      </c>
      <c r="O46" s="36">
        <f>RawData!BU44</f>
        <v>0</v>
      </c>
      <c r="P46" s="36">
        <f>RawData!BT44</f>
        <v>0</v>
      </c>
      <c r="Q46" s="36">
        <f>RawData!BS44</f>
        <v>0</v>
      </c>
      <c r="R46" s="36">
        <f>RawData!BR44</f>
        <v>0</v>
      </c>
      <c r="S46" s="37">
        <f>RawData!BQ44</f>
        <v>0</v>
      </c>
      <c r="T46" s="37">
        <f>RawData!BP44</f>
        <v>0</v>
      </c>
      <c r="U46" s="38">
        <f>RawData!BO44</f>
        <v>0</v>
      </c>
      <c r="V46" s="38">
        <f>RawData!BN44</f>
        <v>0</v>
      </c>
      <c r="W46" s="39">
        <f>RawData!BM44</f>
        <v>0</v>
      </c>
      <c r="X46" s="39">
        <f>RawData!BL44</f>
        <v>0</v>
      </c>
      <c r="Y46" s="38">
        <f>RawData!BJ44</f>
        <v>0</v>
      </c>
      <c r="Z46" s="38">
        <f>RawData!BI44</f>
        <v>0</v>
      </c>
      <c r="AA46" s="40">
        <f>RawData!BH44</f>
        <v>0</v>
      </c>
      <c r="AB46" s="40">
        <f>RawData!BG44</f>
        <v>0</v>
      </c>
      <c r="AC46" s="40">
        <f>RawData!BF44</f>
        <v>0</v>
      </c>
      <c r="AD46" s="40">
        <f>RawData!BE44</f>
        <v>0</v>
      </c>
      <c r="AE46" s="40">
        <f>RawData!BD44</f>
        <v>0</v>
      </c>
      <c r="AF46" s="40">
        <f>RawData!BC44</f>
        <v>0</v>
      </c>
      <c r="AG46" s="41">
        <f>RawData!BB44</f>
        <v>0</v>
      </c>
      <c r="AH46" s="42">
        <f>RawData!DB44</f>
        <v>0</v>
      </c>
      <c r="AI46" s="41">
        <f>RawData!BA44</f>
        <v>0</v>
      </c>
      <c r="AJ46" s="43">
        <f>RawData!DA44</f>
        <v>0</v>
      </c>
      <c r="AK46" s="41">
        <f>RawData!AZ44</f>
        <v>0</v>
      </c>
      <c r="AL46" s="42">
        <f>RawData!DD44</f>
        <v>0</v>
      </c>
      <c r="AM46" s="44">
        <f>RawData!DC44</f>
        <v>0</v>
      </c>
      <c r="AN46" s="45">
        <f>RawData!BK44</f>
        <v>0</v>
      </c>
      <c r="AO46" s="44">
        <f>RawData!AY44</f>
        <v>0</v>
      </c>
      <c r="AP46" s="43" t="str">
        <f>RawData!DH44</f>
        <v>W</v>
      </c>
      <c r="AQ46" s="43">
        <f>RawData!DE44</f>
        <v>0</v>
      </c>
      <c r="AR46" s="42">
        <f>RawData!CZ44</f>
        <v>0</v>
      </c>
      <c r="AS46" s="44">
        <f>RawData!AX44</f>
        <v>0</v>
      </c>
      <c r="AT46" s="43">
        <f>RawData!CY44</f>
        <v>0</v>
      </c>
      <c r="AU46" s="44">
        <f>RawData!AW44</f>
        <v>0</v>
      </c>
      <c r="AV46" s="46">
        <f>RawData!O44</f>
        <v>33600</v>
      </c>
      <c r="AW46" s="44">
        <f>RawData!AV44</f>
        <v>2.2000000476837158</v>
      </c>
      <c r="AX46" s="44">
        <f>RawData!CW44</f>
        <v>2.2000000476837158</v>
      </c>
      <c r="AY46" s="44">
        <f>RawData!AU44</f>
        <v>0</v>
      </c>
      <c r="AZ46" s="42">
        <f>RawData!CX44</f>
        <v>0</v>
      </c>
      <c r="BA46" s="44">
        <f>RawData!DF44</f>
        <v>2.2000000476837158</v>
      </c>
      <c r="BB46" s="43" t="str">
        <f>RawData!DI44</f>
        <v>W</v>
      </c>
      <c r="BC46" s="44">
        <f>RawData!AT44</f>
        <v>92.974704504013062</v>
      </c>
      <c r="BD46" s="45">
        <f>RawData!AP44</f>
        <v>92.974704504013062</v>
      </c>
      <c r="BE46" s="44">
        <f>RawData!CS44</f>
        <v>-9.5307826995849609E-3</v>
      </c>
      <c r="BF46" s="42">
        <f>RawData!CT44</f>
        <v>-1.0249890930647789E-4</v>
      </c>
      <c r="BG46" s="41">
        <f>RawData!AS44</f>
        <v>9275</v>
      </c>
      <c r="BH46" s="41">
        <f>RawData!CU44</f>
        <v>6925</v>
      </c>
      <c r="BI46" s="41">
        <f>RawData!AR44</f>
        <v>2350</v>
      </c>
      <c r="BJ46" s="42">
        <f>RawData!CV44</f>
        <v>0.33935018050541516</v>
      </c>
      <c r="BK46" s="41">
        <f>RawData!AQ44</f>
        <v>90100</v>
      </c>
      <c r="BL46" s="40">
        <f>RawData!AO44</f>
        <v>-3.7292218767106533E-3</v>
      </c>
      <c r="BM46" s="40">
        <f>RawData!AN44</f>
        <v>-4.9336813390254974E-7</v>
      </c>
      <c r="BN46" s="40">
        <f>RawData!AM44</f>
        <v>-2.2000000476837158</v>
      </c>
      <c r="BO46" s="40">
        <f>RawData!AL44</f>
        <v>0</v>
      </c>
      <c r="BP46" s="40">
        <f>RawData!AK44</f>
        <v>0.22614149749279022</v>
      </c>
      <c r="BQ46" s="40">
        <f>RawData!AJ44</f>
        <v>1.7806887626647949E-5</v>
      </c>
      <c r="BR46" s="38">
        <f>RawData!AI44</f>
        <v>5.8872929002973251E-6</v>
      </c>
      <c r="BS46" s="38">
        <f>RawData!AH44</f>
        <v>1.5365912986453623E-9</v>
      </c>
      <c r="BT46" s="40">
        <f>RawData!AG44</f>
        <v>-40.408229827880859</v>
      </c>
      <c r="BU46" s="39">
        <f>RawData!AF44</f>
        <v>1.239776611328125E-3</v>
      </c>
      <c r="BV46" s="39">
        <f>RawData!AE44</f>
        <v>18.269121170043945</v>
      </c>
      <c r="BW46" s="38">
        <f>RawData!AD44</f>
        <v>-1.644134521484375E-3</v>
      </c>
      <c r="BX46" s="38">
        <f>RawData!AC44</f>
        <v>-8.4892048946016985E-9</v>
      </c>
      <c r="BY46" s="37">
        <f>RawData!AB44</f>
        <v>-3.2676084060767607E-12</v>
      </c>
      <c r="BZ46" s="37">
        <f>RawData!AA44</f>
        <v>3.8164271245477721E-5</v>
      </c>
      <c r="CA46" s="36">
        <f>RawData!Z44</f>
        <v>1.2489181244745851E-8</v>
      </c>
      <c r="CB46" s="36">
        <f>RawData!Y44</f>
        <v>1.7254595150006935E-5</v>
      </c>
      <c r="CC46" s="36">
        <f>RawData!X44</f>
        <v>4.6238710638135672E-9</v>
      </c>
      <c r="CD46" s="36">
        <f>RawData!W44</f>
        <v>219760.21875</v>
      </c>
      <c r="CE46" s="40">
        <f>RawData!V44</f>
        <v>-19.140625</v>
      </c>
      <c r="CF46" s="40">
        <f>RawData!U44</f>
        <v>113495.7734375</v>
      </c>
      <c r="CG46" s="40">
        <f>RawData!T44</f>
        <v>-16.1796875</v>
      </c>
      <c r="CH46" s="44">
        <f>RawData!S44</f>
        <v>3.2999999523162842</v>
      </c>
      <c r="CI46" s="44">
        <f>RawData!R44</f>
        <v>3.5</v>
      </c>
      <c r="CJ46" s="44">
        <f>RawData!Q44</f>
        <v>1.5499999523162842</v>
      </c>
      <c r="CK46" s="44">
        <f>RawData!P44</f>
        <v>2.2000000476837158</v>
      </c>
      <c r="CL46" s="44">
        <f>RawData!CJ44</f>
        <v>450</v>
      </c>
      <c r="CM46" s="43">
        <f>RawData!CI44</f>
        <v>2.4500000476837158</v>
      </c>
      <c r="CN46" s="44">
        <f>RawData!CL44</f>
        <v>50</v>
      </c>
      <c r="CO46" s="43">
        <f>RawData!CK44</f>
        <v>2.25</v>
      </c>
      <c r="CP46" s="44">
        <f>RawData!CM44</f>
        <v>2.8900001049041748</v>
      </c>
      <c r="CQ46" s="47">
        <f>RawData!CO44</f>
        <v>44783.638194444444</v>
      </c>
      <c r="CR46" s="44">
        <f>RawData!CP44</f>
        <v>38295.69921875</v>
      </c>
      <c r="CS46" s="44">
        <f>RawData!DG44</f>
        <v>38295.69921875</v>
      </c>
      <c r="CT46" s="43" t="str">
        <f>RawData!DJ44</f>
        <v>G</v>
      </c>
      <c r="CU46" s="43" t="str">
        <f>RawData!CQ44</f>
        <v>FairPrice</v>
      </c>
      <c r="CV46" s="47">
        <f>RawData!CR44</f>
        <v>44783.638194444444</v>
      </c>
      <c r="CW46" s="65">
        <f>RawData!DK44</f>
        <v>38300</v>
      </c>
      <c r="CX46" s="65">
        <f>RawData!DL44</f>
        <v>3400000</v>
      </c>
      <c r="CY46" s="65">
        <f>RawData!DM44</f>
        <v>38500</v>
      </c>
      <c r="CZ46" s="65">
        <f>RawData!DN44</f>
        <v>0</v>
      </c>
      <c r="DA46" s="65">
        <f>RawData!DO44</f>
        <v>24500</v>
      </c>
      <c r="DB46" s="65">
        <f>RawData!DP44</f>
        <v>2863350</v>
      </c>
      <c r="DC46" s="65">
        <f>RawData!DQ44</f>
        <v>38000</v>
      </c>
      <c r="DD46" s="65">
        <f>RawData!DR44</f>
        <v>0</v>
      </c>
      <c r="DE46" s="65">
        <f>RawData!DS44</f>
        <v>24500</v>
      </c>
      <c r="DF46" s="65" t="str">
        <f>RawData!DT44</f>
        <v>BANKNIFTY</v>
      </c>
      <c r="DG46" s="66">
        <f>RawData!DU44</f>
        <v>44784</v>
      </c>
      <c r="DI46" s="21">
        <f t="shared" si="0"/>
        <v>4695.69921875</v>
      </c>
    </row>
    <row r="47" spans="1:113" x14ac:dyDescent="0.2">
      <c r="A47" s="59">
        <f>RawData!CN45</f>
        <v>44783.638194444444</v>
      </c>
      <c r="B47" s="44">
        <f>RawData!CH45</f>
        <v>4650</v>
      </c>
      <c r="C47" s="44">
        <f>RawData!CG45</f>
        <v>750</v>
      </c>
      <c r="D47" s="43">
        <f>RawData!CF45</f>
        <v>4530.7998046875</v>
      </c>
      <c r="E47" s="44">
        <f>RawData!CE45</f>
        <v>800</v>
      </c>
      <c r="F47" s="43">
        <f>RawData!CD45</f>
        <v>4750</v>
      </c>
      <c r="G47" s="44">
        <f>RawData!CC45</f>
        <v>4660</v>
      </c>
      <c r="H47" s="44">
        <f>RawData!CB45</f>
        <v>4640</v>
      </c>
      <c r="I47" s="44">
        <f>RawData!CA45</f>
        <v>4660</v>
      </c>
      <c r="J47" s="44">
        <f>RawData!BZ45</f>
        <v>4650</v>
      </c>
      <c r="K47" s="40">
        <f>RawData!BY45</f>
        <v>3.79150390625</v>
      </c>
      <c r="L47" s="40">
        <f>RawData!BX45</f>
        <v>5543.1328125</v>
      </c>
      <c r="M47" s="40">
        <f>RawData!BW45</f>
        <v>4.75341796875</v>
      </c>
      <c r="N47" s="40">
        <f>RawData!BV45</f>
        <v>5505.06640625</v>
      </c>
      <c r="O47" s="36">
        <f>RawData!BU45</f>
        <v>7.8925950219854712E-9</v>
      </c>
      <c r="P47" s="36">
        <f>RawData!BT45</f>
        <v>2.6071558750118129E-5</v>
      </c>
      <c r="Q47" s="36">
        <f>RawData!BS45</f>
        <v>1.4028046280145645E-8</v>
      </c>
      <c r="R47" s="36">
        <f>RawData!BR45</f>
        <v>3.5867524275090545E-5</v>
      </c>
      <c r="S47" s="37">
        <f>RawData!BQ45</f>
        <v>-3.943512183468556E-13</v>
      </c>
      <c r="T47" s="37">
        <f>RawData!BP45</f>
        <v>-1.9138985507538564E-8</v>
      </c>
      <c r="U47" s="38">
        <f>RawData!BO45</f>
        <v>7.6246261596679688E-4</v>
      </c>
      <c r="V47" s="38">
        <f>RawData!BN45</f>
        <v>1.1923121213912964</v>
      </c>
      <c r="W47" s="39">
        <f>RawData!BM45</f>
        <v>-1.194000244140625E-3</v>
      </c>
      <c r="X47" s="39">
        <f>RawData!BL45</f>
        <v>-1.6403040885925293</v>
      </c>
      <c r="Y47" s="38">
        <f>RawData!BJ45</f>
        <v>-9.1749825514853001E-9</v>
      </c>
      <c r="Z47" s="38">
        <f>RawData!BI45</f>
        <v>3.3594329579500481E-5</v>
      </c>
      <c r="AA47" s="40">
        <f>RawData!BH45</f>
        <v>-9.2387199401855469E-4</v>
      </c>
      <c r="AB47" s="40">
        <f>RawData!BG45</f>
        <v>2.0740909576416016</v>
      </c>
      <c r="AC47" s="40">
        <f>RawData!BF45</f>
        <v>8.050537109375E-2</v>
      </c>
      <c r="AD47" s="40">
        <f>RawData!BE45</f>
        <v>-150.76251220703125</v>
      </c>
      <c r="AE47" s="40">
        <f>RawData!BD45</f>
        <v>2.6285648345947266E-5</v>
      </c>
      <c r="AF47" s="40">
        <f>RawData!BC45</f>
        <v>0.95065915584564209</v>
      </c>
      <c r="AG47" s="41">
        <f>RawData!BB45</f>
        <v>125</v>
      </c>
      <c r="AH47" s="42">
        <f>RawData!DB45</f>
        <v>-6.8965517241379309E-2</v>
      </c>
      <c r="AI47" s="41">
        <f>RawData!BA45</f>
        <v>-50</v>
      </c>
      <c r="AJ47" s="43">
        <f>RawData!DA45</f>
        <v>725</v>
      </c>
      <c r="AK47" s="41">
        <f>RawData!AZ45</f>
        <v>675</v>
      </c>
      <c r="AL47" s="42">
        <f>RawData!DD45</f>
        <v>-1.3166603146379531E-4</v>
      </c>
      <c r="AM47" s="44">
        <f>RawData!DC45</f>
        <v>-1.9681453704833984E-2</v>
      </c>
      <c r="AN47" s="45">
        <f>RawData!BK45</f>
        <v>149.46043491363525</v>
      </c>
      <c r="AO47" s="44">
        <f>RawData!AY45</f>
        <v>149.46043491363525</v>
      </c>
      <c r="AP47" s="43" t="str">
        <f>RawData!DH45</f>
        <v>W</v>
      </c>
      <c r="AQ47" s="43">
        <f>RawData!DE45</f>
        <v>4660</v>
      </c>
      <c r="AR47" s="42">
        <f>RawData!CZ45</f>
        <v>0</v>
      </c>
      <c r="AS47" s="44">
        <f>RawData!AX45</f>
        <v>0</v>
      </c>
      <c r="AT47" s="43">
        <f>RawData!CY45</f>
        <v>4660</v>
      </c>
      <c r="AU47" s="44">
        <f>RawData!AW45</f>
        <v>4660</v>
      </c>
      <c r="AV47" s="46">
        <f>RawData!O45</f>
        <v>33700</v>
      </c>
      <c r="AW47" s="44">
        <f>RawData!AV45</f>
        <v>2.4000000953674316</v>
      </c>
      <c r="AX47" s="44">
        <f>RawData!CW45</f>
        <v>2.4000000953674316</v>
      </c>
      <c r="AY47" s="44">
        <f>RawData!AU45</f>
        <v>0</v>
      </c>
      <c r="AZ47" s="42">
        <f>RawData!CX45</f>
        <v>0</v>
      </c>
      <c r="BA47" s="44">
        <f>RawData!DF45</f>
        <v>2.4000000953674316</v>
      </c>
      <c r="BB47" s="43" t="str">
        <f>RawData!DI45</f>
        <v>W</v>
      </c>
      <c r="BC47" s="44">
        <f>RawData!AT45</f>
        <v>91.92160964012146</v>
      </c>
      <c r="BD47" s="45">
        <f>RawData!AP45</f>
        <v>91.92160964012146</v>
      </c>
      <c r="BE47" s="44">
        <f>RawData!CS45</f>
        <v>2.8192996978759766E-3</v>
      </c>
      <c r="BF47" s="42">
        <f>RawData!CT45</f>
        <v>3.0671636206640977E-5</v>
      </c>
      <c r="BG47" s="41">
        <f>RawData!AS45</f>
        <v>12175</v>
      </c>
      <c r="BH47" s="41">
        <f>RawData!CU45</f>
        <v>13600</v>
      </c>
      <c r="BI47" s="41">
        <f>RawData!AR45</f>
        <v>-1425</v>
      </c>
      <c r="BJ47" s="42">
        <f>RawData!CV45</f>
        <v>-0.10477941176470588</v>
      </c>
      <c r="BK47" s="41">
        <f>RawData!AQ45</f>
        <v>89525</v>
      </c>
      <c r="BL47" s="40">
        <f>RawData!AO45</f>
        <v>-4.0817554108798504E-3</v>
      </c>
      <c r="BM47" s="40">
        <f>RawData!AN45</f>
        <v>3.9115548133850098E-8</v>
      </c>
      <c r="BN47" s="40">
        <f>RawData!AM45</f>
        <v>-2.4000000953674316</v>
      </c>
      <c r="BO47" s="40">
        <f>RawData!AL45</f>
        <v>0</v>
      </c>
      <c r="BP47" s="40">
        <f>RawData!AK45</f>
        <v>0.24520836770534515</v>
      </c>
      <c r="BQ47" s="40">
        <f>RawData!AJ45</f>
        <v>-7.0929527282714844E-6</v>
      </c>
      <c r="BR47" s="38">
        <f>RawData!AI45</f>
        <v>6.4565547290840186E-6</v>
      </c>
      <c r="BS47" s="38">
        <f>RawData!AH45</f>
        <v>-1.2278178473934531E-10</v>
      </c>
      <c r="BT47" s="40">
        <f>RawData!AG45</f>
        <v>-37.265285491943359</v>
      </c>
      <c r="BU47" s="39">
        <f>RawData!AF45</f>
        <v>7.82012939453125E-4</v>
      </c>
      <c r="BV47" s="39">
        <f>RawData!AE45</f>
        <v>16.657318115234375</v>
      </c>
      <c r="BW47" s="38">
        <f>RawData!AD45</f>
        <v>8.81195068359375E-4</v>
      </c>
      <c r="BX47" s="38">
        <f>RawData!AC45</f>
        <v>-9.3094829622941688E-9</v>
      </c>
      <c r="BY47" s="37">
        <f>RawData!AB45</f>
        <v>2.6023627697213669E-13</v>
      </c>
      <c r="BZ47" s="37">
        <f>RawData!AA45</f>
        <v>4.1218063415726647E-5</v>
      </c>
      <c r="CA47" s="36">
        <f>RawData!Z45</f>
        <v>-1.9317667465656996E-9</v>
      </c>
      <c r="CB47" s="36">
        <f>RawData!Y45</f>
        <v>1.8424181689624675E-5</v>
      </c>
      <c r="CC47" s="36">
        <f>RawData!X45</f>
        <v>4.9658410716801882E-10</v>
      </c>
      <c r="CD47" s="36">
        <f>RawData!W45</f>
        <v>200367.140625</v>
      </c>
      <c r="CE47" s="40">
        <f>RawData!V45</f>
        <v>-8.03125</v>
      </c>
      <c r="CF47" s="40">
        <f>RawData!U45</f>
        <v>102602.90625</v>
      </c>
      <c r="CG47" s="40">
        <f>RawData!T45</f>
        <v>3.4453125</v>
      </c>
      <c r="CH47" s="44">
        <f>RawData!S45</f>
        <v>4.1500000953674316</v>
      </c>
      <c r="CI47" s="44">
        <f>RawData!R45</f>
        <v>4.1500000953674316</v>
      </c>
      <c r="CJ47" s="44">
        <f>RawData!Q45</f>
        <v>2.0499999523162842</v>
      </c>
      <c r="CK47" s="44">
        <f>RawData!P45</f>
        <v>2.4000000953674316</v>
      </c>
      <c r="CL47" s="44">
        <f>RawData!CJ45</f>
        <v>1050</v>
      </c>
      <c r="CM47" s="43">
        <f>RawData!CI45</f>
        <v>2.5</v>
      </c>
      <c r="CN47" s="44">
        <f>RawData!CL45</f>
        <v>425</v>
      </c>
      <c r="CO47" s="43">
        <f>RawData!CK45</f>
        <v>2.4000000953674316</v>
      </c>
      <c r="CP47" s="44">
        <f>RawData!CM45</f>
        <v>2.9900000095367432</v>
      </c>
      <c r="CQ47" s="47">
        <f>RawData!CO45</f>
        <v>44783.638194444444</v>
      </c>
      <c r="CR47" s="44">
        <f>RawData!CP45</f>
        <v>38295.69921875</v>
      </c>
      <c r="CS47" s="44">
        <f>RawData!DG45</f>
        <v>38295.69921875</v>
      </c>
      <c r="CT47" s="43" t="str">
        <f>RawData!DJ45</f>
        <v>G</v>
      </c>
      <c r="CU47" s="43" t="str">
        <f>RawData!CQ45</f>
        <v>FairPrice</v>
      </c>
      <c r="CV47" s="47">
        <f>RawData!CR45</f>
        <v>44783.638194444444</v>
      </c>
      <c r="CW47" s="65">
        <f>RawData!DK45</f>
        <v>38300</v>
      </c>
      <c r="CX47" s="65">
        <f>RawData!DL45</f>
        <v>3400000</v>
      </c>
      <c r="CY47" s="65">
        <f>RawData!DM45</f>
        <v>38500</v>
      </c>
      <c r="CZ47" s="65">
        <f>RawData!DN45</f>
        <v>0</v>
      </c>
      <c r="DA47" s="65">
        <f>RawData!DO45</f>
        <v>24500</v>
      </c>
      <c r="DB47" s="65">
        <f>RawData!DP45</f>
        <v>2863350</v>
      </c>
      <c r="DC47" s="65">
        <f>RawData!DQ45</f>
        <v>38000</v>
      </c>
      <c r="DD47" s="65">
        <f>RawData!DR45</f>
        <v>0</v>
      </c>
      <c r="DE47" s="65">
        <f>RawData!DS45</f>
        <v>24500</v>
      </c>
      <c r="DF47" s="65" t="str">
        <f>RawData!DT45</f>
        <v>BANKNIFTY</v>
      </c>
      <c r="DG47" s="66">
        <f>RawData!DU45</f>
        <v>44784</v>
      </c>
      <c r="DI47" s="21">
        <f t="shared" si="0"/>
        <v>4595.69921875</v>
      </c>
    </row>
    <row r="48" spans="1:113" x14ac:dyDescent="0.2">
      <c r="A48" s="59">
        <f>RawData!CN46</f>
        <v>44783.638194444444</v>
      </c>
      <c r="B48" s="44">
        <f>RawData!CH46</f>
        <v>0</v>
      </c>
      <c r="C48" s="44">
        <f>RawData!CG46</f>
        <v>750</v>
      </c>
      <c r="D48" s="43">
        <f>RawData!CF46</f>
        <v>4374.10009765625</v>
      </c>
      <c r="E48" s="44">
        <f>RawData!CE46</f>
        <v>750</v>
      </c>
      <c r="F48" s="43">
        <f>RawData!CD46</f>
        <v>4600.2998046875</v>
      </c>
      <c r="G48" s="44">
        <f>RawData!CC46</f>
        <v>0</v>
      </c>
      <c r="H48" s="44">
        <f>RawData!CB46</f>
        <v>0</v>
      </c>
      <c r="I48" s="44">
        <f>RawData!CA46</f>
        <v>0</v>
      </c>
      <c r="J48" s="44">
        <f>RawData!BZ46</f>
        <v>0</v>
      </c>
      <c r="K48" s="40">
        <f>RawData!BY46</f>
        <v>0</v>
      </c>
      <c r="L48" s="40">
        <f>RawData!BX46</f>
        <v>0</v>
      </c>
      <c r="M48" s="40">
        <f>RawData!BW46</f>
        <v>0</v>
      </c>
      <c r="N48" s="40">
        <f>RawData!BV46</f>
        <v>0</v>
      </c>
      <c r="O48" s="36">
        <f>RawData!BU46</f>
        <v>0</v>
      </c>
      <c r="P48" s="36">
        <f>RawData!BT46</f>
        <v>0</v>
      </c>
      <c r="Q48" s="36">
        <f>RawData!BS46</f>
        <v>0</v>
      </c>
      <c r="R48" s="36">
        <f>RawData!BR46</f>
        <v>0</v>
      </c>
      <c r="S48" s="37">
        <f>RawData!BQ46</f>
        <v>0</v>
      </c>
      <c r="T48" s="37">
        <f>RawData!BP46</f>
        <v>0</v>
      </c>
      <c r="U48" s="38">
        <f>RawData!BO46</f>
        <v>0</v>
      </c>
      <c r="V48" s="38">
        <f>RawData!BN46</f>
        <v>0</v>
      </c>
      <c r="W48" s="39">
        <f>RawData!BM46</f>
        <v>0</v>
      </c>
      <c r="X48" s="39">
        <f>RawData!BL46</f>
        <v>0</v>
      </c>
      <c r="Y48" s="38">
        <f>RawData!BJ46</f>
        <v>0</v>
      </c>
      <c r="Z48" s="38">
        <f>RawData!BI46</f>
        <v>0</v>
      </c>
      <c r="AA48" s="40">
        <f>RawData!BH46</f>
        <v>0</v>
      </c>
      <c r="AB48" s="40">
        <f>RawData!BG46</f>
        <v>0</v>
      </c>
      <c r="AC48" s="40">
        <f>RawData!BF46</f>
        <v>0</v>
      </c>
      <c r="AD48" s="40">
        <f>RawData!BE46</f>
        <v>0</v>
      </c>
      <c r="AE48" s="40">
        <f>RawData!BD46</f>
        <v>0</v>
      </c>
      <c r="AF48" s="40">
        <f>RawData!BC46</f>
        <v>0</v>
      </c>
      <c r="AG48" s="41">
        <f>RawData!BB46</f>
        <v>0</v>
      </c>
      <c r="AH48" s="42">
        <f>RawData!DB46</f>
        <v>0</v>
      </c>
      <c r="AI48" s="41">
        <f>RawData!BA46</f>
        <v>0</v>
      </c>
      <c r="AJ48" s="43">
        <f>RawData!DA46</f>
        <v>0</v>
      </c>
      <c r="AK48" s="41">
        <f>RawData!AZ46</f>
        <v>0</v>
      </c>
      <c r="AL48" s="42">
        <f>RawData!DD46</f>
        <v>0</v>
      </c>
      <c r="AM48" s="44">
        <f>RawData!DC46</f>
        <v>0</v>
      </c>
      <c r="AN48" s="45">
        <f>RawData!BK46</f>
        <v>0</v>
      </c>
      <c r="AO48" s="44">
        <f>RawData!AY46</f>
        <v>0</v>
      </c>
      <c r="AP48" s="43" t="str">
        <f>RawData!DH46</f>
        <v>W</v>
      </c>
      <c r="AQ48" s="43">
        <f>RawData!DE46</f>
        <v>0</v>
      </c>
      <c r="AR48" s="42">
        <f>RawData!CZ46</f>
        <v>0</v>
      </c>
      <c r="AS48" s="44">
        <f>RawData!AX46</f>
        <v>0</v>
      </c>
      <c r="AT48" s="43">
        <f>RawData!CY46</f>
        <v>0</v>
      </c>
      <c r="AU48" s="44">
        <f>RawData!AW46</f>
        <v>0</v>
      </c>
      <c r="AV48" s="46">
        <f>RawData!O46</f>
        <v>33800</v>
      </c>
      <c r="AW48" s="44">
        <f>RawData!AV46</f>
        <v>2.5</v>
      </c>
      <c r="AX48" s="44">
        <f>RawData!CW46</f>
        <v>2.5</v>
      </c>
      <c r="AY48" s="44">
        <f>RawData!AU46</f>
        <v>0</v>
      </c>
      <c r="AZ48" s="42">
        <f>RawData!CX46</f>
        <v>0</v>
      </c>
      <c r="BA48" s="44">
        <f>RawData!DF46</f>
        <v>2.5</v>
      </c>
      <c r="BB48" s="43" t="str">
        <f>RawData!DI46</f>
        <v>W</v>
      </c>
      <c r="BC48" s="44">
        <f>RawData!AT46</f>
        <v>90.394043922424316</v>
      </c>
      <c r="BD48" s="45">
        <f>RawData!AP46</f>
        <v>90.394043922424316</v>
      </c>
      <c r="BE48" s="44">
        <f>RawData!CS46</f>
        <v>-2.1755695343017578E-2</v>
      </c>
      <c r="BF48" s="42">
        <f>RawData!CT46</f>
        <v>-2.4061829276508917E-4</v>
      </c>
      <c r="BG48" s="41">
        <f>RawData!AS46</f>
        <v>13200</v>
      </c>
      <c r="BH48" s="41">
        <f>RawData!CU46</f>
        <v>33925</v>
      </c>
      <c r="BI48" s="41">
        <f>RawData!AR46</f>
        <v>-20725</v>
      </c>
      <c r="BJ48" s="42">
        <f>RawData!CV46</f>
        <v>-0.61090641120117906</v>
      </c>
      <c r="BK48" s="41">
        <f>RawData!AQ46</f>
        <v>195375</v>
      </c>
      <c r="BL48" s="40">
        <f>RawData!AO46</f>
        <v>-4.3035889975726604E-3</v>
      </c>
      <c r="BM48" s="40">
        <f>RawData!AN46</f>
        <v>-1.3899989426136017E-6</v>
      </c>
      <c r="BN48" s="40">
        <f>RawData!AM46</f>
        <v>-2.5</v>
      </c>
      <c r="BO48" s="40">
        <f>RawData!AL46</f>
        <v>0</v>
      </c>
      <c r="BP48" s="40">
        <f>RawData!AK46</f>
        <v>0.25710031390190125</v>
      </c>
      <c r="BQ48" s="40">
        <f>RawData!AJ46</f>
        <v>4.6491622924804688E-5</v>
      </c>
      <c r="BR48" s="38">
        <f>RawData!AI46</f>
        <v>6.8838007791782729E-6</v>
      </c>
      <c r="BS48" s="38">
        <f>RawData!AH46</f>
        <v>4.38558345194906E-9</v>
      </c>
      <c r="BT48" s="40">
        <f>RawData!AG46</f>
        <v>-35.904277801513672</v>
      </c>
      <c r="BU48" s="39">
        <f>RawData!AF46</f>
        <v>3.055572509765625E-3</v>
      </c>
      <c r="BV48" s="39">
        <f>RawData!AE46</f>
        <v>15.781572341918945</v>
      </c>
      <c r="BW48" s="38">
        <f>RawData!AD46</f>
        <v>-3.093719482421875E-3</v>
      </c>
      <c r="BX48" s="38">
        <f>RawData!AC46</f>
        <v>-1.0022732865877515E-8</v>
      </c>
      <c r="BY48" s="37">
        <f>RawData!AB46</f>
        <v>-9.4093621783031267E-12</v>
      </c>
      <c r="BZ48" s="37">
        <f>RawData!AA46</f>
        <v>4.3990086851408705E-5</v>
      </c>
      <c r="CA48" s="36">
        <f>RawData!Z46</f>
        <v>3.4542608773335814E-8</v>
      </c>
      <c r="CB48" s="36">
        <f>RawData!Y46</f>
        <v>1.9335653632879257E-5</v>
      </c>
      <c r="CC48" s="36">
        <f>RawData!X46</f>
        <v>1.3038516044616699E-8</v>
      </c>
      <c r="CD48" s="36">
        <f>RawData!W46</f>
        <v>191742.75</v>
      </c>
      <c r="CE48" s="40">
        <f>RawData!V46</f>
        <v>-45.015625</v>
      </c>
      <c r="CF48" s="40">
        <f>RawData!U46</f>
        <v>96716.7265625</v>
      </c>
      <c r="CG48" s="40">
        <f>RawData!T46</f>
        <v>-32.4609375</v>
      </c>
      <c r="CH48" s="44">
        <f>RawData!S46</f>
        <v>3.8499999046325684</v>
      </c>
      <c r="CI48" s="44">
        <f>RawData!R46</f>
        <v>3.8499999046325684</v>
      </c>
      <c r="CJ48" s="44">
        <f>RawData!Q46</f>
        <v>2.2999999523162842</v>
      </c>
      <c r="CK48" s="44">
        <f>RawData!P46</f>
        <v>2.5</v>
      </c>
      <c r="CL48" s="44">
        <f>RawData!CJ46</f>
        <v>25</v>
      </c>
      <c r="CM48" s="43">
        <f>RawData!CI46</f>
        <v>2.5</v>
      </c>
      <c r="CN48" s="44">
        <f>RawData!CL46</f>
        <v>100</v>
      </c>
      <c r="CO48" s="43">
        <f>RawData!CK46</f>
        <v>2.4500000476837158</v>
      </c>
      <c r="CP48" s="44">
        <f>RawData!CM46</f>
        <v>3.0999999046325684</v>
      </c>
      <c r="CQ48" s="47">
        <f>RawData!CO46</f>
        <v>44783.638194444444</v>
      </c>
      <c r="CR48" s="44">
        <f>RawData!CP46</f>
        <v>38295.69921875</v>
      </c>
      <c r="CS48" s="44">
        <f>RawData!DG46</f>
        <v>38295.69921875</v>
      </c>
      <c r="CT48" s="43" t="str">
        <f>RawData!DJ46</f>
        <v>G</v>
      </c>
      <c r="CU48" s="43" t="str">
        <f>RawData!CQ46</f>
        <v>FairPrice</v>
      </c>
      <c r="CV48" s="47">
        <f>RawData!CR46</f>
        <v>44783.638194444444</v>
      </c>
      <c r="CW48" s="65">
        <f>RawData!DK46</f>
        <v>38300</v>
      </c>
      <c r="CX48" s="65">
        <f>RawData!DL46</f>
        <v>3400000</v>
      </c>
      <c r="CY48" s="65">
        <f>RawData!DM46</f>
        <v>38500</v>
      </c>
      <c r="CZ48" s="65">
        <f>RawData!DN46</f>
        <v>0</v>
      </c>
      <c r="DA48" s="65">
        <f>RawData!DO46</f>
        <v>24500</v>
      </c>
      <c r="DB48" s="65">
        <f>RawData!DP46</f>
        <v>2863350</v>
      </c>
      <c r="DC48" s="65">
        <f>RawData!DQ46</f>
        <v>38000</v>
      </c>
      <c r="DD48" s="65">
        <f>RawData!DR46</f>
        <v>0</v>
      </c>
      <c r="DE48" s="65">
        <f>RawData!DS46</f>
        <v>24500</v>
      </c>
      <c r="DF48" s="65" t="str">
        <f>RawData!DT46</f>
        <v>BANKNIFTY</v>
      </c>
      <c r="DG48" s="66">
        <f>RawData!DU46</f>
        <v>44784</v>
      </c>
      <c r="DI48" s="21">
        <f t="shared" si="0"/>
        <v>4495.69921875</v>
      </c>
    </row>
    <row r="49" spans="1:113" x14ac:dyDescent="0.2">
      <c r="A49" s="59">
        <f>RawData!CN47</f>
        <v>44783.638194444444</v>
      </c>
      <c r="B49" s="44">
        <f>RawData!CH47</f>
        <v>0</v>
      </c>
      <c r="C49" s="44">
        <f>RawData!CG47</f>
        <v>750</v>
      </c>
      <c r="D49" s="43">
        <f>RawData!CF47</f>
        <v>4254.2998046875</v>
      </c>
      <c r="E49" s="44">
        <f>RawData!CE47</f>
        <v>750</v>
      </c>
      <c r="F49" s="43">
        <f>RawData!CD47</f>
        <v>4514.2998046875</v>
      </c>
      <c r="G49" s="44">
        <f>RawData!CC47</f>
        <v>0</v>
      </c>
      <c r="H49" s="44">
        <f>RawData!CB47</f>
        <v>0</v>
      </c>
      <c r="I49" s="44">
        <f>RawData!CA47</f>
        <v>0</v>
      </c>
      <c r="J49" s="44">
        <f>RawData!BZ47</f>
        <v>0</v>
      </c>
      <c r="K49" s="40">
        <f>RawData!BY47</f>
        <v>0</v>
      </c>
      <c r="L49" s="40">
        <f>RawData!BX47</f>
        <v>0</v>
      </c>
      <c r="M49" s="40">
        <f>RawData!BW47</f>
        <v>0</v>
      </c>
      <c r="N49" s="40">
        <f>RawData!BV47</f>
        <v>0</v>
      </c>
      <c r="O49" s="36">
        <f>RawData!BU47</f>
        <v>0</v>
      </c>
      <c r="P49" s="36">
        <f>RawData!BT47</f>
        <v>0</v>
      </c>
      <c r="Q49" s="36">
        <f>RawData!BS47</f>
        <v>0</v>
      </c>
      <c r="R49" s="36">
        <f>RawData!BR47</f>
        <v>0</v>
      </c>
      <c r="S49" s="37">
        <f>RawData!BQ47</f>
        <v>0</v>
      </c>
      <c r="T49" s="37">
        <f>RawData!BP47</f>
        <v>0</v>
      </c>
      <c r="U49" s="38">
        <f>RawData!BO47</f>
        <v>0</v>
      </c>
      <c r="V49" s="38">
        <f>RawData!BN47</f>
        <v>0</v>
      </c>
      <c r="W49" s="39">
        <f>RawData!BM47</f>
        <v>0</v>
      </c>
      <c r="X49" s="39">
        <f>RawData!BL47</f>
        <v>0</v>
      </c>
      <c r="Y49" s="38">
        <f>RawData!BJ47</f>
        <v>0</v>
      </c>
      <c r="Z49" s="38">
        <f>RawData!BI47</f>
        <v>0</v>
      </c>
      <c r="AA49" s="40">
        <f>RawData!BH47</f>
        <v>0</v>
      </c>
      <c r="AB49" s="40">
        <f>RawData!BG47</f>
        <v>0</v>
      </c>
      <c r="AC49" s="40">
        <f>RawData!BF47</f>
        <v>0</v>
      </c>
      <c r="AD49" s="40">
        <f>RawData!BE47</f>
        <v>0</v>
      </c>
      <c r="AE49" s="40">
        <f>RawData!BD47</f>
        <v>0</v>
      </c>
      <c r="AF49" s="40">
        <f>RawData!BC47</f>
        <v>0</v>
      </c>
      <c r="AG49" s="41">
        <f>RawData!BB47</f>
        <v>0</v>
      </c>
      <c r="AH49" s="42">
        <f>RawData!DB47</f>
        <v>0</v>
      </c>
      <c r="AI49" s="41">
        <f>RawData!BA47</f>
        <v>0</v>
      </c>
      <c r="AJ49" s="43">
        <f>RawData!DA47</f>
        <v>0</v>
      </c>
      <c r="AK49" s="41">
        <f>RawData!AZ47</f>
        <v>0</v>
      </c>
      <c r="AL49" s="42">
        <f>RawData!DD47</f>
        <v>0</v>
      </c>
      <c r="AM49" s="44">
        <f>RawData!DC47</f>
        <v>0</v>
      </c>
      <c r="AN49" s="45">
        <f>RawData!BK47</f>
        <v>0</v>
      </c>
      <c r="AO49" s="44">
        <f>RawData!AY47</f>
        <v>0</v>
      </c>
      <c r="AP49" s="43" t="str">
        <f>RawData!DH47</f>
        <v>W</v>
      </c>
      <c r="AQ49" s="43">
        <f>RawData!DE47</f>
        <v>0</v>
      </c>
      <c r="AR49" s="42">
        <f>RawData!CZ47</f>
        <v>0</v>
      </c>
      <c r="AS49" s="44">
        <f>RawData!AX47</f>
        <v>0</v>
      </c>
      <c r="AT49" s="43">
        <f>RawData!CY47</f>
        <v>0</v>
      </c>
      <c r="AU49" s="44">
        <f>RawData!AW47</f>
        <v>0</v>
      </c>
      <c r="AV49" s="46">
        <f>RawData!O47</f>
        <v>33900</v>
      </c>
      <c r="AW49" s="44">
        <f>RawData!AV47</f>
        <v>2.5999999046325684</v>
      </c>
      <c r="AX49" s="44">
        <f>RawData!CW47</f>
        <v>2.5999999046325684</v>
      </c>
      <c r="AY49" s="44">
        <f>RawData!AU47</f>
        <v>0</v>
      </c>
      <c r="AZ49" s="42">
        <f>RawData!CX47</f>
        <v>0</v>
      </c>
      <c r="BA49" s="44">
        <f>RawData!DF47</f>
        <v>2.5999999046325684</v>
      </c>
      <c r="BB49" s="43" t="str">
        <f>RawData!DI47</f>
        <v>W</v>
      </c>
      <c r="BC49" s="44">
        <f>RawData!AT47</f>
        <v>88.838005065917969</v>
      </c>
      <c r="BD49" s="45">
        <f>RawData!AP47</f>
        <v>88.838005065917969</v>
      </c>
      <c r="BE49" s="44">
        <f>RawData!CS47</f>
        <v>-3.0428171157836914E-2</v>
      </c>
      <c r="BF49" s="42">
        <f>RawData!CT47</f>
        <v>-3.4239571971144322E-4</v>
      </c>
      <c r="BG49" s="41">
        <f>RawData!AS47</f>
        <v>9325</v>
      </c>
      <c r="BH49" s="41">
        <f>RawData!CU47</f>
        <v>31675</v>
      </c>
      <c r="BI49" s="41">
        <f>RawData!AR47</f>
        <v>-22350</v>
      </c>
      <c r="BJ49" s="42">
        <f>RawData!CV47</f>
        <v>-0.70560378847671668</v>
      </c>
      <c r="BK49" s="41">
        <f>RawData!AQ47</f>
        <v>117575</v>
      </c>
      <c r="BL49" s="40">
        <f>RawData!AO47</f>
        <v>-4.533328115940094E-3</v>
      </c>
      <c r="BM49" s="40">
        <f>RawData!AN47</f>
        <v>-1.9446015357971191E-6</v>
      </c>
      <c r="BN49" s="40">
        <f>RawData!AM47</f>
        <v>-2.5999999046325684</v>
      </c>
      <c r="BO49" s="40">
        <f>RawData!AL47</f>
        <v>0</v>
      </c>
      <c r="BP49" s="40">
        <f>RawData!AK47</f>
        <v>0.26932397484779358</v>
      </c>
      <c r="BQ49" s="40">
        <f>RawData!AJ47</f>
        <v>7.05718994140625E-5</v>
      </c>
      <c r="BR49" s="38">
        <f>RawData!AI47</f>
        <v>7.3375840656808577E-6</v>
      </c>
      <c r="BS49" s="38">
        <f>RawData!AH47</f>
        <v>6.2082108343020082E-9</v>
      </c>
      <c r="BT49" s="40">
        <f>RawData!AG47</f>
        <v>-34.645835876464844</v>
      </c>
      <c r="BU49" s="39">
        <f>RawData!AF47</f>
        <v>3.131866455078125E-3</v>
      </c>
      <c r="BV49" s="39">
        <f>RawData!AE47</f>
        <v>14.966288566589355</v>
      </c>
      <c r="BW49" s="38">
        <f>RawData!AD47</f>
        <v>-4.5375823974609375E-3</v>
      </c>
      <c r="BX49" s="38">
        <f>RawData!AC47</f>
        <v>-1.0795244698158513E-8</v>
      </c>
      <c r="BY49" s="37">
        <f>RawData!AB47</f>
        <v>-1.3457679415296298E-11</v>
      </c>
      <c r="BZ49" s="37">
        <f>RawData!AA47</f>
        <v>4.6968558308435604E-5</v>
      </c>
      <c r="CA49" s="36">
        <f>RawData!Z47</f>
        <v>4.9956724978983402E-8</v>
      </c>
      <c r="CB49" s="36">
        <f>RawData!Y47</f>
        <v>2.0289451640564948E-5</v>
      </c>
      <c r="CC49" s="36">
        <f>RawData!X47</f>
        <v>1.7267666407860816E-8</v>
      </c>
      <c r="CD49" s="36">
        <f>RawData!W47</f>
        <v>183770.15625</v>
      </c>
      <c r="CE49" s="40">
        <f>RawData!V47</f>
        <v>-49.1875</v>
      </c>
      <c r="CF49" s="40">
        <f>RawData!U47</f>
        <v>91257.1640625</v>
      </c>
      <c r="CG49" s="40">
        <f>RawData!T47</f>
        <v>-42.5859375</v>
      </c>
      <c r="CH49" s="44">
        <f>RawData!S47</f>
        <v>3.2000000476837158</v>
      </c>
      <c r="CI49" s="44">
        <f>RawData!R47</f>
        <v>3.7000000476837158</v>
      </c>
      <c r="CJ49" s="44">
        <f>RawData!Q47</f>
        <v>2.5499999523162842</v>
      </c>
      <c r="CK49" s="44">
        <f>RawData!P47</f>
        <v>2.5999999046325684</v>
      </c>
      <c r="CL49" s="44">
        <f>RawData!CJ47</f>
        <v>875</v>
      </c>
      <c r="CM49" s="43">
        <f>RawData!CI47</f>
        <v>2.5999999046325684</v>
      </c>
      <c r="CN49" s="44">
        <f>RawData!CL47</f>
        <v>300</v>
      </c>
      <c r="CO49" s="43">
        <f>RawData!CK47</f>
        <v>2.5</v>
      </c>
      <c r="CP49" s="44">
        <f>RawData!CM47</f>
        <v>3.1600000858306885</v>
      </c>
      <c r="CQ49" s="47">
        <f>RawData!CO47</f>
        <v>44783.638194444444</v>
      </c>
      <c r="CR49" s="44">
        <f>RawData!CP47</f>
        <v>38295.69921875</v>
      </c>
      <c r="CS49" s="44">
        <f>RawData!DG47</f>
        <v>38295.69921875</v>
      </c>
      <c r="CT49" s="43" t="str">
        <f>RawData!DJ47</f>
        <v>G</v>
      </c>
      <c r="CU49" s="43" t="str">
        <f>RawData!CQ47</f>
        <v>FairPrice</v>
      </c>
      <c r="CV49" s="47">
        <f>RawData!CR47</f>
        <v>44783.638194444444</v>
      </c>
      <c r="CW49" s="65">
        <f>RawData!DK47</f>
        <v>38300</v>
      </c>
      <c r="CX49" s="65">
        <f>RawData!DL47</f>
        <v>3400000</v>
      </c>
      <c r="CY49" s="65">
        <f>RawData!DM47</f>
        <v>38500</v>
      </c>
      <c r="CZ49" s="65">
        <f>RawData!DN47</f>
        <v>0</v>
      </c>
      <c r="DA49" s="65">
        <f>RawData!DO47</f>
        <v>24500</v>
      </c>
      <c r="DB49" s="65">
        <f>RawData!DP47</f>
        <v>2863350</v>
      </c>
      <c r="DC49" s="65">
        <f>RawData!DQ47</f>
        <v>38000</v>
      </c>
      <c r="DD49" s="65">
        <f>RawData!DR47</f>
        <v>0</v>
      </c>
      <c r="DE49" s="65">
        <f>RawData!DS47</f>
        <v>24500</v>
      </c>
      <c r="DF49" s="65" t="str">
        <f>RawData!DT47</f>
        <v>BANKNIFTY</v>
      </c>
      <c r="DG49" s="66">
        <f>RawData!DU47</f>
        <v>44784</v>
      </c>
      <c r="DI49" s="21">
        <f t="shared" si="0"/>
        <v>4395.69921875</v>
      </c>
    </row>
    <row r="50" spans="1:113" x14ac:dyDescent="0.2">
      <c r="A50" s="59">
        <f>RawData!CN48</f>
        <v>44783.638194444444</v>
      </c>
      <c r="B50" s="44">
        <f>RawData!CH48</f>
        <v>0</v>
      </c>
      <c r="C50" s="44">
        <f>RawData!CG48</f>
        <v>1325</v>
      </c>
      <c r="D50" s="43">
        <f>RawData!CF48</f>
        <v>4280.0498046875</v>
      </c>
      <c r="E50" s="44">
        <f>RawData!CE48</f>
        <v>425</v>
      </c>
      <c r="F50" s="43">
        <f>RawData!CD48</f>
        <v>4373.9501953125</v>
      </c>
      <c r="G50" s="44">
        <f>RawData!CC48</f>
        <v>3925</v>
      </c>
      <c r="H50" s="44">
        <f>RawData!CB48</f>
        <v>0</v>
      </c>
      <c r="I50" s="44">
        <f>RawData!CA48</f>
        <v>0</v>
      </c>
      <c r="J50" s="44">
        <f>RawData!BZ48</f>
        <v>0</v>
      </c>
      <c r="K50" s="40">
        <f>RawData!BY48</f>
        <v>0</v>
      </c>
      <c r="L50" s="40">
        <f>RawData!BX48</f>
        <v>0</v>
      </c>
      <c r="M50" s="40">
        <f>RawData!BW48</f>
        <v>0</v>
      </c>
      <c r="N50" s="40">
        <f>RawData!BV48</f>
        <v>0</v>
      </c>
      <c r="O50" s="36">
        <f>RawData!BU48</f>
        <v>0</v>
      </c>
      <c r="P50" s="36">
        <f>RawData!BT48</f>
        <v>0</v>
      </c>
      <c r="Q50" s="36">
        <f>RawData!BS48</f>
        <v>0</v>
      </c>
      <c r="R50" s="36">
        <f>RawData!BR48</f>
        <v>0</v>
      </c>
      <c r="S50" s="37">
        <f>RawData!BQ48</f>
        <v>0</v>
      </c>
      <c r="T50" s="37">
        <f>RawData!BP48</f>
        <v>0</v>
      </c>
      <c r="U50" s="38">
        <f>RawData!BO48</f>
        <v>0</v>
      </c>
      <c r="V50" s="38">
        <f>RawData!BN48</f>
        <v>0</v>
      </c>
      <c r="W50" s="39">
        <f>RawData!BM48</f>
        <v>0</v>
      </c>
      <c r="X50" s="39">
        <f>RawData!BL48</f>
        <v>0</v>
      </c>
      <c r="Y50" s="38">
        <f>RawData!BJ48</f>
        <v>0</v>
      </c>
      <c r="Z50" s="38">
        <f>RawData!BI48</f>
        <v>0</v>
      </c>
      <c r="AA50" s="40">
        <f>RawData!BH48</f>
        <v>0</v>
      </c>
      <c r="AB50" s="40">
        <f>RawData!BG48</f>
        <v>0</v>
      </c>
      <c r="AC50" s="40">
        <f>RawData!BF48</f>
        <v>0</v>
      </c>
      <c r="AD50" s="40">
        <f>RawData!BE48</f>
        <v>0</v>
      </c>
      <c r="AE50" s="40">
        <f>RawData!BD48</f>
        <v>0</v>
      </c>
      <c r="AF50" s="40">
        <f>RawData!BC48</f>
        <v>0</v>
      </c>
      <c r="AG50" s="41">
        <f>RawData!BB48</f>
        <v>0</v>
      </c>
      <c r="AH50" s="42">
        <f>RawData!DB48</f>
        <v>0</v>
      </c>
      <c r="AI50" s="41">
        <f>RawData!BA48</f>
        <v>0</v>
      </c>
      <c r="AJ50" s="43">
        <f>RawData!DA48</f>
        <v>1050</v>
      </c>
      <c r="AK50" s="41">
        <f>RawData!AZ48</f>
        <v>1050</v>
      </c>
      <c r="AL50" s="42">
        <f>RawData!DD48</f>
        <v>0</v>
      </c>
      <c r="AM50" s="44">
        <f>RawData!DC48</f>
        <v>0</v>
      </c>
      <c r="AN50" s="45">
        <f>RawData!BK48</f>
        <v>0</v>
      </c>
      <c r="AO50" s="44">
        <f>RawData!AY48</f>
        <v>0</v>
      </c>
      <c r="AP50" s="43" t="str">
        <f>RawData!DH48</f>
        <v>W</v>
      </c>
      <c r="AQ50" s="43">
        <f>RawData!DE48</f>
        <v>3925</v>
      </c>
      <c r="AR50" s="42">
        <f>RawData!CZ48</f>
        <v>0</v>
      </c>
      <c r="AS50" s="44">
        <f>RawData!AX48</f>
        <v>0</v>
      </c>
      <c r="AT50" s="43">
        <f>RawData!CY48</f>
        <v>3925</v>
      </c>
      <c r="AU50" s="44">
        <f>RawData!AW48</f>
        <v>3925</v>
      </c>
      <c r="AV50" s="46">
        <f>RawData!O48</f>
        <v>34000</v>
      </c>
      <c r="AW50" s="44">
        <f>RawData!AV48</f>
        <v>2.4500000476837158</v>
      </c>
      <c r="AX50" s="44">
        <f>RawData!CW48</f>
        <v>2.4500000476837158</v>
      </c>
      <c r="AY50" s="44">
        <f>RawData!AU48</f>
        <v>0</v>
      </c>
      <c r="AZ50" s="42">
        <f>RawData!CX48</f>
        <v>0</v>
      </c>
      <c r="BA50" s="44">
        <f>RawData!DF48</f>
        <v>2.4500000476837158</v>
      </c>
      <c r="BB50" s="43" t="str">
        <f>RawData!DI48</f>
        <v>W</v>
      </c>
      <c r="BC50" s="44">
        <f>RawData!AT48</f>
        <v>86.350184679031372</v>
      </c>
      <c r="BD50" s="45">
        <f>RawData!AP48</f>
        <v>86.350184679031372</v>
      </c>
      <c r="BE50" s="44">
        <f>RawData!CS48</f>
        <v>2.7060508728027344E-3</v>
      </c>
      <c r="BF50" s="42">
        <f>RawData!CT48</f>
        <v>3.1339083848133006E-5</v>
      </c>
      <c r="BG50" s="41">
        <f>RawData!AS48</f>
        <v>601775</v>
      </c>
      <c r="BH50" s="41">
        <f>RawData!CU48</f>
        <v>584325</v>
      </c>
      <c r="BI50" s="41">
        <f>RawData!AR48</f>
        <v>17450</v>
      </c>
      <c r="BJ50" s="42">
        <f>RawData!CV48</f>
        <v>2.986351773413768E-2</v>
      </c>
      <c r="BK50" s="41">
        <f>RawData!AQ48</f>
        <v>3278150</v>
      </c>
      <c r="BL50" s="40">
        <f>RawData!AO48</f>
        <v>-4.4084610417485237E-3</v>
      </c>
      <c r="BM50" s="40">
        <f>RawData!AN48</f>
        <v>4.5169144868850708E-8</v>
      </c>
      <c r="BN50" s="40">
        <f>RawData!AM48</f>
        <v>-2.4500000476837158</v>
      </c>
      <c r="BO50" s="40">
        <f>RawData!AL48</f>
        <v>0</v>
      </c>
      <c r="BP50" s="40">
        <f>RawData!AK48</f>
        <v>0.2626628577709198</v>
      </c>
      <c r="BQ50" s="40">
        <f>RawData!AJ48</f>
        <v>-7.7486038208007813E-6</v>
      </c>
      <c r="BR50" s="38">
        <f>RawData!AI48</f>
        <v>7.363725671893917E-6</v>
      </c>
      <c r="BS50" s="38">
        <f>RawData!AH48</f>
        <v>-1.482476363889873E-10</v>
      </c>
      <c r="BT50" s="40">
        <f>RawData!AG48</f>
        <v>-36.699329376220703</v>
      </c>
      <c r="BU50" s="39">
        <f>RawData!AF48</f>
        <v>7.7056884765625E-4</v>
      </c>
      <c r="BV50" s="39">
        <f>RawData!AE48</f>
        <v>15.412060737609863</v>
      </c>
      <c r="BW50" s="38">
        <f>RawData!AD48</f>
        <v>8.2492828369140625E-4</v>
      </c>
      <c r="BX50" s="38">
        <f>RawData!AC48</f>
        <v>-1.1181406023297313E-8</v>
      </c>
      <c r="BY50" s="37">
        <f>RawData!AB48</f>
        <v>3.3217872896784684E-13</v>
      </c>
      <c r="BZ50" s="37">
        <f>RawData!AA48</f>
        <v>4.8945119488053024E-5</v>
      </c>
      <c r="CA50" s="36">
        <f>RawData!Z48</f>
        <v>-2.3756001610308886E-9</v>
      </c>
      <c r="CB50" s="36">
        <f>RawData!Y48</f>
        <v>2.055474033113569E-5</v>
      </c>
      <c r="CC50" s="36">
        <f>RawData!X48</f>
        <v>5.347828846424818E-10</v>
      </c>
      <c r="CD50" s="36">
        <f>RawData!W48</f>
        <v>195355</v>
      </c>
      <c r="CE50" s="40">
        <f>RawData!V48</f>
        <v>-7.8125</v>
      </c>
      <c r="CF50" s="40">
        <f>RawData!U48</f>
        <v>94213.3125</v>
      </c>
      <c r="CG50" s="40">
        <f>RawData!T48</f>
        <v>3.2265625</v>
      </c>
      <c r="CH50" s="44">
        <f>RawData!S48</f>
        <v>3.5</v>
      </c>
      <c r="CI50" s="44">
        <f>RawData!R48</f>
        <v>3.8499999046325684</v>
      </c>
      <c r="CJ50" s="44">
        <f>RawData!Q48</f>
        <v>2.4500000476837158</v>
      </c>
      <c r="CK50" s="44">
        <f>RawData!P48</f>
        <v>2.4500000476837158</v>
      </c>
      <c r="CL50" s="44">
        <f>RawData!CJ48</f>
        <v>1350</v>
      </c>
      <c r="CM50" s="43">
        <f>RawData!CI48</f>
        <v>2.5</v>
      </c>
      <c r="CN50" s="44">
        <f>RawData!CL48</f>
        <v>1725</v>
      </c>
      <c r="CO50" s="43">
        <f>RawData!CK48</f>
        <v>2.4500000476837158</v>
      </c>
      <c r="CP50" s="44">
        <f>RawData!CM48</f>
        <v>3.1800000667572021</v>
      </c>
      <c r="CQ50" s="47">
        <f>RawData!CO48</f>
        <v>44783.638194444444</v>
      </c>
      <c r="CR50" s="44">
        <f>RawData!CP48</f>
        <v>38295.69921875</v>
      </c>
      <c r="CS50" s="44">
        <f>RawData!DG48</f>
        <v>38295.69921875</v>
      </c>
      <c r="CT50" s="43" t="str">
        <f>RawData!DJ48</f>
        <v>G</v>
      </c>
      <c r="CU50" s="43" t="str">
        <f>RawData!CQ48</f>
        <v>FairPrice</v>
      </c>
      <c r="CV50" s="47">
        <f>RawData!CR48</f>
        <v>44783.638194444444</v>
      </c>
      <c r="CW50" s="65">
        <f>RawData!DK48</f>
        <v>38300</v>
      </c>
      <c r="CX50" s="65">
        <f>RawData!DL48</f>
        <v>3400000</v>
      </c>
      <c r="CY50" s="65">
        <f>RawData!DM48</f>
        <v>38500</v>
      </c>
      <c r="CZ50" s="65">
        <f>RawData!DN48</f>
        <v>0</v>
      </c>
      <c r="DA50" s="65">
        <f>RawData!DO48</f>
        <v>24500</v>
      </c>
      <c r="DB50" s="65">
        <f>RawData!DP48</f>
        <v>2863350</v>
      </c>
      <c r="DC50" s="65">
        <f>RawData!DQ48</f>
        <v>38000</v>
      </c>
      <c r="DD50" s="65">
        <f>RawData!DR48</f>
        <v>0</v>
      </c>
      <c r="DE50" s="65">
        <f>RawData!DS48</f>
        <v>24500</v>
      </c>
      <c r="DF50" s="65" t="str">
        <f>RawData!DT48</f>
        <v>BANKNIFTY</v>
      </c>
      <c r="DG50" s="66">
        <f>RawData!DU48</f>
        <v>44784</v>
      </c>
      <c r="DI50" s="21">
        <f t="shared" si="0"/>
        <v>4295.69921875</v>
      </c>
    </row>
    <row r="51" spans="1:113" x14ac:dyDescent="0.2">
      <c r="A51" s="59">
        <f>RawData!CN49</f>
        <v>44783.636805555558</v>
      </c>
      <c r="B51" s="44">
        <f>RawData!CH49</f>
        <v>0</v>
      </c>
      <c r="C51" s="44">
        <f>RawData!CG49</f>
        <v>750</v>
      </c>
      <c r="D51" s="43">
        <f>RawData!CF49</f>
        <v>4111.85009765625</v>
      </c>
      <c r="E51" s="44">
        <f>RawData!CE49</f>
        <v>800</v>
      </c>
      <c r="F51" s="43">
        <f>RawData!CD49</f>
        <v>4284.2998046875</v>
      </c>
      <c r="G51" s="44">
        <f>RawData!CC49</f>
        <v>0</v>
      </c>
      <c r="H51" s="44">
        <f>RawData!CB49</f>
        <v>0</v>
      </c>
      <c r="I51" s="44">
        <f>RawData!CA49</f>
        <v>0</v>
      </c>
      <c r="J51" s="44">
        <f>RawData!BZ49</f>
        <v>0</v>
      </c>
      <c r="K51" s="40">
        <f>RawData!BY49</f>
        <v>0</v>
      </c>
      <c r="L51" s="40">
        <f>RawData!BX49</f>
        <v>0</v>
      </c>
      <c r="M51" s="40">
        <f>RawData!BW49</f>
        <v>0</v>
      </c>
      <c r="N51" s="40">
        <f>RawData!BV49</f>
        <v>0</v>
      </c>
      <c r="O51" s="36">
        <f>RawData!BU49</f>
        <v>0</v>
      </c>
      <c r="P51" s="36">
        <f>RawData!BT49</f>
        <v>0</v>
      </c>
      <c r="Q51" s="36">
        <f>RawData!BS49</f>
        <v>0</v>
      </c>
      <c r="R51" s="36">
        <f>RawData!BR49</f>
        <v>0</v>
      </c>
      <c r="S51" s="37">
        <f>RawData!BQ49</f>
        <v>0</v>
      </c>
      <c r="T51" s="37">
        <f>RawData!BP49</f>
        <v>0</v>
      </c>
      <c r="U51" s="38">
        <f>RawData!BO49</f>
        <v>0</v>
      </c>
      <c r="V51" s="38">
        <f>RawData!BN49</f>
        <v>0</v>
      </c>
      <c r="W51" s="39">
        <f>RawData!BM49</f>
        <v>0</v>
      </c>
      <c r="X51" s="39">
        <f>RawData!BL49</f>
        <v>0</v>
      </c>
      <c r="Y51" s="38">
        <f>RawData!BJ49</f>
        <v>0</v>
      </c>
      <c r="Z51" s="38">
        <f>RawData!BI49</f>
        <v>0</v>
      </c>
      <c r="AA51" s="40">
        <f>RawData!BH49</f>
        <v>0</v>
      </c>
      <c r="AB51" s="40">
        <f>RawData!BG49</f>
        <v>0</v>
      </c>
      <c r="AC51" s="40">
        <f>RawData!BF49</f>
        <v>0</v>
      </c>
      <c r="AD51" s="40">
        <f>RawData!BE49</f>
        <v>0</v>
      </c>
      <c r="AE51" s="40">
        <f>RawData!BD49</f>
        <v>0</v>
      </c>
      <c r="AF51" s="40">
        <f>RawData!BC49</f>
        <v>0</v>
      </c>
      <c r="AG51" s="41">
        <f>RawData!BB49</f>
        <v>0</v>
      </c>
      <c r="AH51" s="42">
        <f>RawData!DB49</f>
        <v>0</v>
      </c>
      <c r="AI51" s="41">
        <f>RawData!BA49</f>
        <v>0</v>
      </c>
      <c r="AJ51" s="43">
        <f>RawData!DA49</f>
        <v>0</v>
      </c>
      <c r="AK51" s="41">
        <f>RawData!AZ49</f>
        <v>0</v>
      </c>
      <c r="AL51" s="42">
        <f>RawData!DD49</f>
        <v>0</v>
      </c>
      <c r="AM51" s="44">
        <f>RawData!DC49</f>
        <v>0</v>
      </c>
      <c r="AN51" s="45">
        <f>RawData!BK49</f>
        <v>0</v>
      </c>
      <c r="AO51" s="44">
        <f>RawData!AY49</f>
        <v>0</v>
      </c>
      <c r="AP51" s="43" t="str">
        <f>RawData!DH49</f>
        <v>R</v>
      </c>
      <c r="AQ51" s="43">
        <f>RawData!DE49</f>
        <v>0</v>
      </c>
      <c r="AR51" s="42">
        <f>RawData!CZ49</f>
        <v>-1</v>
      </c>
      <c r="AS51" s="44">
        <f>RawData!AX49</f>
        <v>-1839.85</v>
      </c>
      <c r="AT51" s="43">
        <f>RawData!CY49</f>
        <v>0</v>
      </c>
      <c r="AU51" s="44">
        <f>RawData!AW49</f>
        <v>0</v>
      </c>
      <c r="AV51" s="46">
        <f>RawData!O49</f>
        <v>34100</v>
      </c>
      <c r="AW51" s="44">
        <f>RawData!AV49</f>
        <v>2.5499999523162842</v>
      </c>
      <c r="AX51" s="44">
        <f>RawData!CW49</f>
        <v>2.5499999523162842</v>
      </c>
      <c r="AY51" s="44">
        <f>RawData!AU49</f>
        <v>0</v>
      </c>
      <c r="AZ51" s="42">
        <f>RawData!CX49</f>
        <v>0</v>
      </c>
      <c r="BA51" s="44">
        <f>RawData!DF49</f>
        <v>2.5499999523162842</v>
      </c>
      <c r="BB51" s="43" t="str">
        <f>RawData!DI49</f>
        <v>W</v>
      </c>
      <c r="BC51" s="44">
        <f>RawData!AT49</f>
        <v>84.81297492980957</v>
      </c>
      <c r="BD51" s="45">
        <f>RawData!AP49</f>
        <v>84.81297492980957</v>
      </c>
      <c r="BE51" s="44">
        <f>RawData!CS49</f>
        <v>1.1116266250610352E-2</v>
      </c>
      <c r="BF51" s="42">
        <f>RawData!CT49</f>
        <v>1.3108517225681083E-4</v>
      </c>
      <c r="BG51" s="41">
        <f>RawData!AS49</f>
        <v>17750</v>
      </c>
      <c r="BH51" s="41">
        <f>RawData!CU49</f>
        <v>28200</v>
      </c>
      <c r="BI51" s="41">
        <f>RawData!AR49</f>
        <v>-10450</v>
      </c>
      <c r="BJ51" s="42">
        <f>RawData!CV49</f>
        <v>-0.37056737588652483</v>
      </c>
      <c r="BK51" s="41">
        <f>RawData!AQ49</f>
        <v>146600</v>
      </c>
      <c r="BL51" s="40">
        <f>RawData!AO49</f>
        <v>-4.6491418033838272E-3</v>
      </c>
      <c r="BM51" s="40">
        <f>RawData!AN49</f>
        <v>5.3271651268005371E-7</v>
      </c>
      <c r="BN51" s="40">
        <f>RawData!AM49</f>
        <v>-2.5499999523162842</v>
      </c>
      <c r="BO51" s="40">
        <f>RawData!AL49</f>
        <v>0</v>
      </c>
      <c r="BP51" s="40">
        <f>RawData!AK49</f>
        <v>0.2754548192024231</v>
      </c>
      <c r="BQ51" s="40">
        <f>RawData!AJ49</f>
        <v>-3.0159950256347656E-5</v>
      </c>
      <c r="BR51" s="38">
        <f>RawData!AI49</f>
        <v>7.860881851229351E-6</v>
      </c>
      <c r="BS51" s="38">
        <f>RawData!AH49</f>
        <v>-1.7771526472643018E-9</v>
      </c>
      <c r="BT51" s="40">
        <f>RawData!AG49</f>
        <v>-35.391998291015625</v>
      </c>
      <c r="BU51" s="39">
        <f>RawData!AF49</f>
        <v>5.45501708984375E-4</v>
      </c>
      <c r="BV51" s="39">
        <f>RawData!AE49</f>
        <v>14.596555709838867</v>
      </c>
      <c r="BW51" s="38">
        <f>RawData!AD49</f>
        <v>2.3183822631835938E-3</v>
      </c>
      <c r="BX51" s="38">
        <f>RawData!AC49</f>
        <v>-1.2064922394472433E-8</v>
      </c>
      <c r="BY51" s="37">
        <f>RawData!AB49</f>
        <v>4.0198955275627668E-12</v>
      </c>
      <c r="BZ51" s="37">
        <f>RawData!AA49</f>
        <v>5.2344152209116146E-5</v>
      </c>
      <c r="CA51" s="36">
        <f>RawData!Z49</f>
        <v>-1.6934791347011924E-8</v>
      </c>
      <c r="CB51" s="36">
        <f>RawData!Y49</f>
        <v>2.1588053641607985E-5</v>
      </c>
      <c r="CC51" s="36">
        <f>RawData!X49</f>
        <v>-3.219611244276166E-9</v>
      </c>
      <c r="CD51" s="36">
        <f>RawData!W49</f>
        <v>187104.890625</v>
      </c>
      <c r="CE51" s="40">
        <f>RawData!V49</f>
        <v>-1.40625</v>
      </c>
      <c r="CF51" s="40">
        <f>RawData!U49</f>
        <v>88775.1171875</v>
      </c>
      <c r="CG51" s="40">
        <f>RawData!T49</f>
        <v>14.46875</v>
      </c>
      <c r="CH51" s="44">
        <f>RawData!S49</f>
        <v>3.3499999046325684</v>
      </c>
      <c r="CI51" s="44">
        <f>RawData!R49</f>
        <v>3.9000000953674316</v>
      </c>
      <c r="CJ51" s="44">
        <f>RawData!Q49</f>
        <v>2.5</v>
      </c>
      <c r="CK51" s="44">
        <f>RawData!P49</f>
        <v>2.5499999523162842</v>
      </c>
      <c r="CL51" s="44">
        <f>RawData!CJ49</f>
        <v>50</v>
      </c>
      <c r="CM51" s="43">
        <f>RawData!CI49</f>
        <v>2.5999999046325684</v>
      </c>
      <c r="CN51" s="44">
        <f>RawData!CL49</f>
        <v>75</v>
      </c>
      <c r="CO51" s="43">
        <f>RawData!CK49</f>
        <v>2.5499999523162842</v>
      </c>
      <c r="CP51" s="44">
        <f>RawData!CM49</f>
        <v>3.2699999809265137</v>
      </c>
      <c r="CQ51" s="47">
        <f>RawData!CO49</f>
        <v>44783.638194444444</v>
      </c>
      <c r="CR51" s="44">
        <f>RawData!CP49</f>
        <v>38295.69921875</v>
      </c>
      <c r="CS51" s="44">
        <f>RawData!DG49</f>
        <v>38295.69921875</v>
      </c>
      <c r="CT51" s="43" t="str">
        <f>RawData!DJ49</f>
        <v>G</v>
      </c>
      <c r="CU51" s="43" t="str">
        <f>RawData!CQ49</f>
        <v>FairPrice</v>
      </c>
      <c r="CV51" s="47">
        <f>RawData!CR49</f>
        <v>44783.638194444444</v>
      </c>
      <c r="CW51" s="65">
        <f>RawData!DK49</f>
        <v>38300</v>
      </c>
      <c r="CX51" s="65">
        <f>RawData!DL49</f>
        <v>3400000</v>
      </c>
      <c r="CY51" s="65">
        <f>RawData!DM49</f>
        <v>38500</v>
      </c>
      <c r="CZ51" s="65">
        <f>RawData!DN49</f>
        <v>0</v>
      </c>
      <c r="DA51" s="65">
        <f>RawData!DO49</f>
        <v>24500</v>
      </c>
      <c r="DB51" s="65">
        <f>RawData!DP49</f>
        <v>2863350</v>
      </c>
      <c r="DC51" s="65">
        <f>RawData!DQ49</f>
        <v>38000</v>
      </c>
      <c r="DD51" s="65">
        <f>RawData!DR49</f>
        <v>0</v>
      </c>
      <c r="DE51" s="65">
        <f>RawData!DS49</f>
        <v>24500</v>
      </c>
      <c r="DF51" s="65" t="str">
        <f>RawData!DT49</f>
        <v>BANKNIFTY</v>
      </c>
      <c r="DG51" s="66">
        <f>RawData!DU49</f>
        <v>44784</v>
      </c>
      <c r="DI51" s="21">
        <f t="shared" si="0"/>
        <v>4195.69921875</v>
      </c>
    </row>
    <row r="52" spans="1:113" x14ac:dyDescent="0.2">
      <c r="A52" s="59">
        <f>RawData!CN50</f>
        <v>44783.636701388888</v>
      </c>
      <c r="B52" s="44">
        <f>RawData!CH50</f>
        <v>0</v>
      </c>
      <c r="C52" s="44">
        <f>RawData!CG50</f>
        <v>0</v>
      </c>
      <c r="D52" s="43">
        <f>RawData!CF50</f>
        <v>0</v>
      </c>
      <c r="E52" s="44">
        <f>RawData!CE50</f>
        <v>0</v>
      </c>
      <c r="F52" s="43">
        <f>RawData!CD50</f>
        <v>0</v>
      </c>
      <c r="G52" s="44">
        <f>RawData!CC50</f>
        <v>0</v>
      </c>
      <c r="H52" s="44">
        <f>RawData!CB50</f>
        <v>0</v>
      </c>
      <c r="I52" s="44">
        <f>RawData!CA50</f>
        <v>0</v>
      </c>
      <c r="J52" s="44">
        <f>RawData!BZ50</f>
        <v>0</v>
      </c>
      <c r="K52" s="40">
        <f>RawData!BY50</f>
        <v>0</v>
      </c>
      <c r="L52" s="40">
        <f>RawData!BX50</f>
        <v>0</v>
      </c>
      <c r="M52" s="40">
        <f>RawData!BW50</f>
        <v>0</v>
      </c>
      <c r="N52" s="40">
        <f>RawData!BV50</f>
        <v>0</v>
      </c>
      <c r="O52" s="36">
        <f>RawData!BU50</f>
        <v>0</v>
      </c>
      <c r="P52" s="36">
        <f>RawData!BT50</f>
        <v>0</v>
      </c>
      <c r="Q52" s="36">
        <f>RawData!BS50</f>
        <v>0</v>
      </c>
      <c r="R52" s="36">
        <f>RawData!BR50</f>
        <v>0</v>
      </c>
      <c r="S52" s="37">
        <f>RawData!BQ50</f>
        <v>0</v>
      </c>
      <c r="T52" s="37">
        <f>RawData!BP50</f>
        <v>0</v>
      </c>
      <c r="U52" s="38">
        <f>RawData!BO50</f>
        <v>0</v>
      </c>
      <c r="V52" s="38">
        <f>RawData!BN50</f>
        <v>0</v>
      </c>
      <c r="W52" s="39">
        <f>RawData!BM50</f>
        <v>0</v>
      </c>
      <c r="X52" s="39">
        <f>RawData!BL50</f>
        <v>0</v>
      </c>
      <c r="Y52" s="38">
        <f>RawData!BJ50</f>
        <v>0</v>
      </c>
      <c r="Z52" s="38">
        <f>RawData!BI50</f>
        <v>0</v>
      </c>
      <c r="AA52" s="40">
        <f>RawData!BH50</f>
        <v>0</v>
      </c>
      <c r="AB52" s="40">
        <f>RawData!BG50</f>
        <v>0</v>
      </c>
      <c r="AC52" s="40">
        <f>RawData!BF50</f>
        <v>0</v>
      </c>
      <c r="AD52" s="40">
        <f>RawData!BE50</f>
        <v>0</v>
      </c>
      <c r="AE52" s="40">
        <f>RawData!BD50</f>
        <v>0</v>
      </c>
      <c r="AF52" s="40">
        <f>RawData!BC50</f>
        <v>0</v>
      </c>
      <c r="AG52" s="41">
        <f>RawData!BB50</f>
        <v>0</v>
      </c>
      <c r="AH52" s="42">
        <f>RawData!DB50</f>
        <v>0</v>
      </c>
      <c r="AI52" s="41">
        <f>RawData!BA50</f>
        <v>0</v>
      </c>
      <c r="AJ52" s="43">
        <f>RawData!DA50</f>
        <v>0</v>
      </c>
      <c r="AK52" s="41">
        <f>RawData!AZ50</f>
        <v>0</v>
      </c>
      <c r="AL52" s="42">
        <f>RawData!DD50</f>
        <v>0</v>
      </c>
      <c r="AM52" s="44">
        <f>RawData!DC50</f>
        <v>0</v>
      </c>
      <c r="AN52" s="45">
        <f>RawData!BK50</f>
        <v>0</v>
      </c>
      <c r="AO52" s="44">
        <f>RawData!AY50</f>
        <v>0</v>
      </c>
      <c r="AP52" s="43" t="str">
        <f>RawData!DH50</f>
        <v>R</v>
      </c>
      <c r="AQ52" s="43">
        <f>RawData!DE50</f>
        <v>1780.45</v>
      </c>
      <c r="AR52" s="42">
        <f>RawData!CZ50</f>
        <v>-1</v>
      </c>
      <c r="AS52" s="44">
        <f>RawData!AX50</f>
        <v>-1780.45</v>
      </c>
      <c r="AT52" s="43">
        <f>RawData!CY50</f>
        <v>1780.45</v>
      </c>
      <c r="AU52" s="44">
        <f>RawData!AW50</f>
        <v>0</v>
      </c>
      <c r="AV52" s="46">
        <f>RawData!O50</f>
        <v>34200</v>
      </c>
      <c r="AW52" s="44">
        <f>RawData!AV50</f>
        <v>2.5499999523162842</v>
      </c>
      <c r="AX52" s="44">
        <f>RawData!CW50</f>
        <v>2.5499999523162842</v>
      </c>
      <c r="AY52" s="44">
        <f>RawData!AU50</f>
        <v>0</v>
      </c>
      <c r="AZ52" s="42">
        <f>RawData!CX50</f>
        <v>0</v>
      </c>
      <c r="BA52" s="44">
        <f>RawData!DF50</f>
        <v>2.5499999523162842</v>
      </c>
      <c r="BB52" s="43" t="str">
        <f>RawData!DI50</f>
        <v>W</v>
      </c>
      <c r="BC52" s="44">
        <f>RawData!AT50</f>
        <v>82.86592960357666</v>
      </c>
      <c r="BD52" s="45">
        <f>RawData!AP50</f>
        <v>82.86592960357666</v>
      </c>
      <c r="BE52" s="44">
        <f>RawData!CS50</f>
        <v>-2.2637844085693359E-2</v>
      </c>
      <c r="BF52" s="42">
        <f>RawData!CT50</f>
        <v>-2.7311177865376173E-4</v>
      </c>
      <c r="BG52" s="41">
        <f>RawData!AS50</f>
        <v>12475</v>
      </c>
      <c r="BH52" s="41">
        <f>RawData!CU50</f>
        <v>39175</v>
      </c>
      <c r="BI52" s="41">
        <f>RawData!AR50</f>
        <v>-26700</v>
      </c>
      <c r="BJ52" s="42">
        <f>RawData!CV50</f>
        <v>-0.68155711550733888</v>
      </c>
      <c r="BK52" s="41">
        <f>RawData!AQ50</f>
        <v>179575</v>
      </c>
      <c r="BL52" s="40">
        <f>RawData!AO50</f>
        <v>-4.750505555421114E-3</v>
      </c>
      <c r="BM52" s="40">
        <f>RawData!AN50</f>
        <v>-1.5669502317905426E-6</v>
      </c>
      <c r="BN52" s="40">
        <f>RawData!AM50</f>
        <v>-2.5499999523162842</v>
      </c>
      <c r="BO52" s="40">
        <f>RawData!AL50</f>
        <v>0</v>
      </c>
      <c r="BP52" s="40">
        <f>RawData!AK50</f>
        <v>0.2807881236076355</v>
      </c>
      <c r="BQ52" s="40">
        <f>RawData!AJ50</f>
        <v>5.91278076171875E-5</v>
      </c>
      <c r="BR52" s="38">
        <f>RawData!AI50</f>
        <v>8.2023998402291909E-6</v>
      </c>
      <c r="BS52" s="38">
        <f>RawData!AH50</f>
        <v>5.3387338994070888E-9</v>
      </c>
      <c r="BT52" s="40">
        <f>RawData!AG50</f>
        <v>-35.444683074951172</v>
      </c>
      <c r="BU52" s="39">
        <f>RawData!AF50</f>
        <v>2.132415771484375E-3</v>
      </c>
      <c r="BV52" s="39">
        <f>RawData!AE50</f>
        <v>14.28331184387207</v>
      </c>
      <c r="BW52" s="38">
        <f>RawData!AD50</f>
        <v>-3.5257339477539063E-3</v>
      </c>
      <c r="BX52" s="38">
        <f>RawData!AC50</f>
        <v>-1.2844584063032016E-8</v>
      </c>
      <c r="BY52" s="37">
        <f>RawData!AB50</f>
        <v>-1.2320811038080137E-11</v>
      </c>
      <c r="BZ52" s="37">
        <f>RawData!AA50</f>
        <v>5.5550546676386148E-5</v>
      </c>
      <c r="CA52" s="36">
        <f>RawData!Z50</f>
        <v>4.5907654566690326E-8</v>
      </c>
      <c r="CB52" s="36">
        <f>RawData!Y50</f>
        <v>2.2385465854313225E-5</v>
      </c>
      <c r="CC52" s="36">
        <f>RawData!X50</f>
        <v>1.4322722563520074E-8</v>
      </c>
      <c r="CD52" s="36">
        <f>RawData!W50</f>
        <v>186837.859375</v>
      </c>
      <c r="CE52" s="40">
        <f>RawData!V50</f>
        <v>-35.046875</v>
      </c>
      <c r="CF52" s="40">
        <f>RawData!U50</f>
        <v>86677.8203125</v>
      </c>
      <c r="CG52" s="40">
        <f>RawData!T50</f>
        <v>-31.5</v>
      </c>
      <c r="CH52" s="44">
        <f>RawData!S50</f>
        <v>3.25</v>
      </c>
      <c r="CI52" s="44">
        <f>RawData!R50</f>
        <v>4.0500001907348633</v>
      </c>
      <c r="CJ52" s="44">
        <f>RawData!Q50</f>
        <v>2.5</v>
      </c>
      <c r="CK52" s="44">
        <f>RawData!P50</f>
        <v>2.5499999523162842</v>
      </c>
      <c r="CL52" s="44">
        <f>RawData!CJ50</f>
        <v>575</v>
      </c>
      <c r="CM52" s="43">
        <f>RawData!CI50</f>
        <v>2.5499999523162842</v>
      </c>
      <c r="CN52" s="44">
        <f>RawData!CL50</f>
        <v>125</v>
      </c>
      <c r="CO52" s="43">
        <f>RawData!CK50</f>
        <v>2.4500000476837158</v>
      </c>
      <c r="CP52" s="44">
        <f>RawData!CM50</f>
        <v>3.3900001049041748</v>
      </c>
      <c r="CQ52" s="47">
        <f>RawData!CO50</f>
        <v>44783.638194444444</v>
      </c>
      <c r="CR52" s="44">
        <f>RawData!CP50</f>
        <v>38295.69921875</v>
      </c>
      <c r="CS52" s="44">
        <f>RawData!DG50</f>
        <v>38295.69921875</v>
      </c>
      <c r="CT52" s="43" t="str">
        <f>RawData!DJ50</f>
        <v>G</v>
      </c>
      <c r="CU52" s="43" t="str">
        <f>RawData!CQ50</f>
        <v>FairPrice</v>
      </c>
      <c r="CV52" s="47">
        <f>RawData!CR50</f>
        <v>44783.638194444444</v>
      </c>
      <c r="CW52" s="65">
        <f>RawData!DK50</f>
        <v>38300</v>
      </c>
      <c r="CX52" s="65">
        <f>RawData!DL50</f>
        <v>3400000</v>
      </c>
      <c r="CY52" s="65">
        <f>RawData!DM50</f>
        <v>38500</v>
      </c>
      <c r="CZ52" s="65">
        <f>RawData!DN50</f>
        <v>0</v>
      </c>
      <c r="DA52" s="65">
        <f>RawData!DO50</f>
        <v>24500</v>
      </c>
      <c r="DB52" s="65">
        <f>RawData!DP50</f>
        <v>2863350</v>
      </c>
      <c r="DC52" s="65">
        <f>RawData!DQ50</f>
        <v>38000</v>
      </c>
      <c r="DD52" s="65">
        <f>RawData!DR50</f>
        <v>0</v>
      </c>
      <c r="DE52" s="65">
        <f>RawData!DS50</f>
        <v>24500</v>
      </c>
      <c r="DF52" s="65" t="str">
        <f>RawData!DT50</f>
        <v>BANKNIFTY</v>
      </c>
      <c r="DG52" s="66">
        <f>RawData!DU50</f>
        <v>44784</v>
      </c>
      <c r="DI52" s="21">
        <f t="shared" si="0"/>
        <v>4095.69921875</v>
      </c>
    </row>
    <row r="53" spans="1:113" x14ac:dyDescent="0.2">
      <c r="A53" s="59">
        <f>RawData!CN51</f>
        <v>44783.638194444444</v>
      </c>
      <c r="B53" s="44">
        <f>RawData!CH51</f>
        <v>3864.85009765625</v>
      </c>
      <c r="C53" s="44">
        <f>RawData!CG51</f>
        <v>50</v>
      </c>
      <c r="D53" s="43">
        <f>RawData!CF51</f>
        <v>3959.64990234375</v>
      </c>
      <c r="E53" s="44">
        <f>RawData!CE51</f>
        <v>50</v>
      </c>
      <c r="F53" s="43">
        <f>RawData!CD51</f>
        <v>4068.75</v>
      </c>
      <c r="G53" s="44">
        <f>RawData!CC51</f>
        <v>3864.85009765625</v>
      </c>
      <c r="H53" s="44">
        <f>RawData!CB51</f>
        <v>3864.85009765625</v>
      </c>
      <c r="I53" s="44">
        <f>RawData!CA51</f>
        <v>3864.85009765625</v>
      </c>
      <c r="J53" s="44">
        <f>RawData!BZ51</f>
        <v>3864.85009765625</v>
      </c>
      <c r="K53" s="40">
        <f>RawData!BY51</f>
        <v>0</v>
      </c>
      <c r="L53" s="40">
        <f>RawData!BX51</f>
        <v>0</v>
      </c>
      <c r="M53" s="40">
        <f>RawData!BW51</f>
        <v>0</v>
      </c>
      <c r="N53" s="40">
        <f>RawData!BV51</f>
        <v>0</v>
      </c>
      <c r="O53" s="36">
        <f>RawData!BU51</f>
        <v>0</v>
      </c>
      <c r="P53" s="36">
        <f>RawData!BT51</f>
        <v>0</v>
      </c>
      <c r="Q53" s="36">
        <f>RawData!BS51</f>
        <v>0</v>
      </c>
      <c r="R53" s="36">
        <f>RawData!BR51</f>
        <v>0</v>
      </c>
      <c r="S53" s="37">
        <f>RawData!BQ51</f>
        <v>0</v>
      </c>
      <c r="T53" s="37">
        <f>RawData!BP51</f>
        <v>0</v>
      </c>
      <c r="U53" s="38">
        <f>RawData!BO51</f>
        <v>0</v>
      </c>
      <c r="V53" s="38">
        <f>RawData!BN51</f>
        <v>0</v>
      </c>
      <c r="W53" s="39">
        <f>RawData!BM51</f>
        <v>0</v>
      </c>
      <c r="X53" s="39">
        <f>RawData!BL51</f>
        <v>0</v>
      </c>
      <c r="Y53" s="38">
        <f>RawData!BJ51</f>
        <v>0</v>
      </c>
      <c r="Z53" s="38">
        <f>RawData!BI51</f>
        <v>0</v>
      </c>
      <c r="AA53" s="40">
        <f>RawData!BH51</f>
        <v>0</v>
      </c>
      <c r="AB53" s="40">
        <f>RawData!BG51</f>
        <v>0</v>
      </c>
      <c r="AC53" s="40">
        <f>RawData!BF51</f>
        <v>0</v>
      </c>
      <c r="AD53" s="40">
        <f>RawData!BE51</f>
        <v>0</v>
      </c>
      <c r="AE53" s="40">
        <f>RawData!BD51</f>
        <v>0</v>
      </c>
      <c r="AF53" s="40">
        <f>RawData!BC51</f>
        <v>0</v>
      </c>
      <c r="AG53" s="41">
        <f>RawData!BB51</f>
        <v>50</v>
      </c>
      <c r="AH53" s="42">
        <f>RawData!DB51</f>
        <v>0</v>
      </c>
      <c r="AI53" s="41">
        <f>RawData!BA51</f>
        <v>0</v>
      </c>
      <c r="AJ53" s="43">
        <f>RawData!DA51</f>
        <v>3750</v>
      </c>
      <c r="AK53" s="41">
        <f>RawData!AZ51</f>
        <v>3750</v>
      </c>
      <c r="AL53" s="42">
        <f>RawData!DD51</f>
        <v>0</v>
      </c>
      <c r="AM53" s="44">
        <f>RawData!DC51</f>
        <v>0</v>
      </c>
      <c r="AN53" s="45">
        <f>RawData!BK51</f>
        <v>0</v>
      </c>
      <c r="AO53" s="44">
        <f>RawData!AY51</f>
        <v>0</v>
      </c>
      <c r="AP53" s="43" t="str">
        <f>RawData!DH51</f>
        <v>W</v>
      </c>
      <c r="AQ53" s="43">
        <f>RawData!DE51</f>
        <v>3864.85009765625</v>
      </c>
      <c r="AR53" s="42">
        <f>RawData!CZ51</f>
        <v>0</v>
      </c>
      <c r="AS53" s="44">
        <f>RawData!AX51</f>
        <v>0</v>
      </c>
      <c r="AT53" s="43">
        <f>RawData!CY51</f>
        <v>3864.85009765625</v>
      </c>
      <c r="AU53" s="44">
        <f>RawData!AW51</f>
        <v>3864.85009765625</v>
      </c>
      <c r="AV53" s="46">
        <f>RawData!O51</f>
        <v>34300</v>
      </c>
      <c r="AW53" s="44">
        <f>RawData!AV51</f>
        <v>2.5499999523162842</v>
      </c>
      <c r="AX53" s="44">
        <f>RawData!CW51</f>
        <v>2.5499999523162842</v>
      </c>
      <c r="AY53" s="44">
        <f>RawData!AU51</f>
        <v>0</v>
      </c>
      <c r="AZ53" s="42">
        <f>RawData!CX51</f>
        <v>0</v>
      </c>
      <c r="BA53" s="44">
        <f>RawData!DF51</f>
        <v>2.5499999523162842</v>
      </c>
      <c r="BB53" s="43" t="str">
        <f>RawData!DI51</f>
        <v>W</v>
      </c>
      <c r="BC53" s="44">
        <f>RawData!AT51</f>
        <v>80.960094928741455</v>
      </c>
      <c r="BD53" s="45">
        <f>RawData!AP51</f>
        <v>80.960094928741455</v>
      </c>
      <c r="BE53" s="44">
        <f>RawData!CS51</f>
        <v>-2.9450654983520508E-2</v>
      </c>
      <c r="BF53" s="42">
        <f>RawData!CT51</f>
        <v>-3.6363526639466269E-4</v>
      </c>
      <c r="BG53" s="41">
        <f>RawData!AS51</f>
        <v>12000</v>
      </c>
      <c r="BH53" s="41">
        <f>RawData!CU51</f>
        <v>27925</v>
      </c>
      <c r="BI53" s="41">
        <f>RawData!AR51</f>
        <v>-15925</v>
      </c>
      <c r="BJ53" s="42">
        <f>RawData!CV51</f>
        <v>-0.57027752909579232</v>
      </c>
      <c r="BK53" s="41">
        <f>RawData!AQ51</f>
        <v>155700</v>
      </c>
      <c r="BL53" s="40">
        <f>RawData!AO51</f>
        <v>-4.8536136746406555E-3</v>
      </c>
      <c r="BM53" s="40">
        <f>RawData!AN51</f>
        <v>-2.2700987756252289E-6</v>
      </c>
      <c r="BN53" s="40">
        <f>RawData!AM51</f>
        <v>-2.5499999523162842</v>
      </c>
      <c r="BO53" s="40">
        <f>RawData!AL51</f>
        <v>0</v>
      </c>
      <c r="BP53" s="40">
        <f>RawData!AK51</f>
        <v>0.28623566031455994</v>
      </c>
      <c r="BQ53" s="40">
        <f>RawData!AJ51</f>
        <v>7.8558921813964844E-5</v>
      </c>
      <c r="BR53" s="38">
        <f>RawData!AI51</f>
        <v>8.5571591625921428E-6</v>
      </c>
      <c r="BS53" s="38">
        <f>RawData!AH51</f>
        <v>7.8980519901961088E-9</v>
      </c>
      <c r="BT53" s="40">
        <f>RawData!AG51</f>
        <v>-35.502029418945313</v>
      </c>
      <c r="BU53" s="39">
        <f>RawData!AF51</f>
        <v>3.875732421875E-3</v>
      </c>
      <c r="BV53" s="39">
        <f>RawData!AE51</f>
        <v>13.976178169250488</v>
      </c>
      <c r="BW53" s="38">
        <f>RawData!AD51</f>
        <v>-4.1933059692382813E-3</v>
      </c>
      <c r="BX53" s="38">
        <f>RawData!AC51</f>
        <v>-1.3670907073048966E-8</v>
      </c>
      <c r="BY53" s="37">
        <f>RawData!AB51</f>
        <v>-1.8594015216422122E-11</v>
      </c>
      <c r="BZ53" s="37">
        <f>RawData!AA51</f>
        <v>5.8943722251569852E-5</v>
      </c>
      <c r="CA53" s="36">
        <f>RawData!Z51</f>
        <v>6.7615474108606577E-8</v>
      </c>
      <c r="CB53" s="36">
        <f>RawData!Y51</f>
        <v>2.3204531316878274E-5</v>
      </c>
      <c r="CC53" s="36">
        <f>RawData!X51</f>
        <v>2.2193489712662995E-8</v>
      </c>
      <c r="CD53" s="36">
        <f>RawData!W51</f>
        <v>186619.90625</v>
      </c>
      <c r="CE53" s="40">
        <f>RawData!V51</f>
        <v>-58.609375</v>
      </c>
      <c r="CF53" s="40">
        <f>RawData!U51</f>
        <v>84637.9375</v>
      </c>
      <c r="CG53" s="40">
        <f>RawData!T51</f>
        <v>-41.4296875</v>
      </c>
      <c r="CH53" s="44">
        <f>RawData!S51</f>
        <v>3.7000000476837158</v>
      </c>
      <c r="CI53" s="44">
        <f>RawData!R51</f>
        <v>4.0999999046325684</v>
      </c>
      <c r="CJ53" s="44">
        <f>RawData!Q51</f>
        <v>2.5</v>
      </c>
      <c r="CK53" s="44">
        <f>RawData!P51</f>
        <v>2.5499999523162842</v>
      </c>
      <c r="CL53" s="44">
        <f>RawData!CJ51</f>
        <v>475</v>
      </c>
      <c r="CM53" s="43">
        <f>RawData!CI51</f>
        <v>2.5499999523162842</v>
      </c>
      <c r="CN53" s="44">
        <f>RawData!CL51</f>
        <v>450</v>
      </c>
      <c r="CO53" s="43">
        <f>RawData!CK51</f>
        <v>2.5</v>
      </c>
      <c r="CP53" s="44">
        <f>RawData!CM51</f>
        <v>3.2999999523162842</v>
      </c>
      <c r="CQ53" s="47">
        <f>RawData!CO51</f>
        <v>44783.638194444444</v>
      </c>
      <c r="CR53" s="44">
        <f>RawData!CP51</f>
        <v>38295.69921875</v>
      </c>
      <c r="CS53" s="44">
        <f>RawData!DG51</f>
        <v>38295.69921875</v>
      </c>
      <c r="CT53" s="43" t="str">
        <f>RawData!DJ51</f>
        <v>G</v>
      </c>
      <c r="CU53" s="43" t="str">
        <f>RawData!CQ51</f>
        <v>FairPrice</v>
      </c>
      <c r="CV53" s="47">
        <f>RawData!CR51</f>
        <v>44783.638194444444</v>
      </c>
      <c r="CW53" s="65">
        <f>RawData!DK51</f>
        <v>38300</v>
      </c>
      <c r="CX53" s="65">
        <f>RawData!DL51</f>
        <v>3400000</v>
      </c>
      <c r="CY53" s="65">
        <f>RawData!DM51</f>
        <v>38500</v>
      </c>
      <c r="CZ53" s="65">
        <f>RawData!DN51</f>
        <v>0</v>
      </c>
      <c r="DA53" s="65">
        <f>RawData!DO51</f>
        <v>24500</v>
      </c>
      <c r="DB53" s="65">
        <f>RawData!DP51</f>
        <v>2863350</v>
      </c>
      <c r="DC53" s="65">
        <f>RawData!DQ51</f>
        <v>38000</v>
      </c>
      <c r="DD53" s="65">
        <f>RawData!DR51</f>
        <v>0</v>
      </c>
      <c r="DE53" s="65">
        <f>RawData!DS51</f>
        <v>24500</v>
      </c>
      <c r="DF53" s="65" t="str">
        <f>RawData!DT51</f>
        <v>BANKNIFTY</v>
      </c>
      <c r="DG53" s="66">
        <f>RawData!DU51</f>
        <v>44784</v>
      </c>
      <c r="DI53" s="21">
        <f t="shared" si="0"/>
        <v>3995.69921875</v>
      </c>
    </row>
    <row r="54" spans="1:113" x14ac:dyDescent="0.2">
      <c r="A54" s="59">
        <f>RawData!CN52</f>
        <v>44783.638194444444</v>
      </c>
      <c r="B54" s="44">
        <f>RawData!CH52</f>
        <v>0</v>
      </c>
      <c r="C54" s="44">
        <f>RawData!CG52</f>
        <v>750</v>
      </c>
      <c r="D54" s="43">
        <f>RawData!CF52</f>
        <v>3810.85009765625</v>
      </c>
      <c r="E54" s="44">
        <f>RawData!CE52</f>
        <v>50</v>
      </c>
      <c r="F54" s="43">
        <f>RawData!CD52</f>
        <v>3965.199951171875</v>
      </c>
      <c r="G54" s="44">
        <f>RawData!CC52</f>
        <v>0</v>
      </c>
      <c r="H54" s="44">
        <f>RawData!CB52</f>
        <v>0</v>
      </c>
      <c r="I54" s="44">
        <f>RawData!CA52</f>
        <v>0</v>
      </c>
      <c r="J54" s="44">
        <f>RawData!BZ52</f>
        <v>0</v>
      </c>
      <c r="K54" s="40">
        <f>RawData!BY52</f>
        <v>0</v>
      </c>
      <c r="L54" s="40">
        <f>RawData!BX52</f>
        <v>0</v>
      </c>
      <c r="M54" s="40">
        <f>RawData!BW52</f>
        <v>0</v>
      </c>
      <c r="N54" s="40">
        <f>RawData!BV52</f>
        <v>0</v>
      </c>
      <c r="O54" s="36">
        <f>RawData!BU52</f>
        <v>0</v>
      </c>
      <c r="P54" s="36">
        <f>RawData!BT52</f>
        <v>0</v>
      </c>
      <c r="Q54" s="36">
        <f>RawData!BS52</f>
        <v>0</v>
      </c>
      <c r="R54" s="36">
        <f>RawData!BR52</f>
        <v>0</v>
      </c>
      <c r="S54" s="37">
        <f>RawData!BQ52</f>
        <v>0</v>
      </c>
      <c r="T54" s="37">
        <f>RawData!BP52</f>
        <v>0</v>
      </c>
      <c r="U54" s="38">
        <f>RawData!BO52</f>
        <v>0</v>
      </c>
      <c r="V54" s="38">
        <f>RawData!BN52</f>
        <v>0</v>
      </c>
      <c r="W54" s="39">
        <f>RawData!BM52</f>
        <v>0</v>
      </c>
      <c r="X54" s="39">
        <f>RawData!BL52</f>
        <v>0</v>
      </c>
      <c r="Y54" s="38">
        <f>RawData!BJ52</f>
        <v>0</v>
      </c>
      <c r="Z54" s="38">
        <f>RawData!BI52</f>
        <v>0</v>
      </c>
      <c r="AA54" s="40">
        <f>RawData!BH52</f>
        <v>0</v>
      </c>
      <c r="AB54" s="40">
        <f>RawData!BG52</f>
        <v>0</v>
      </c>
      <c r="AC54" s="40">
        <f>RawData!BF52</f>
        <v>0</v>
      </c>
      <c r="AD54" s="40">
        <f>RawData!BE52</f>
        <v>0</v>
      </c>
      <c r="AE54" s="40">
        <f>RawData!BD52</f>
        <v>0</v>
      </c>
      <c r="AF54" s="40">
        <f>RawData!BC52</f>
        <v>0</v>
      </c>
      <c r="AG54" s="41">
        <f>RawData!BB52</f>
        <v>0</v>
      </c>
      <c r="AH54" s="42">
        <f>RawData!DB52</f>
        <v>0</v>
      </c>
      <c r="AI54" s="41">
        <f>RawData!BA52</f>
        <v>0</v>
      </c>
      <c r="AJ54" s="43">
        <f>RawData!DA52</f>
        <v>0</v>
      </c>
      <c r="AK54" s="41">
        <f>RawData!AZ52</f>
        <v>0</v>
      </c>
      <c r="AL54" s="42">
        <f>RawData!DD52</f>
        <v>0</v>
      </c>
      <c r="AM54" s="44">
        <f>RawData!DC52</f>
        <v>0</v>
      </c>
      <c r="AN54" s="45">
        <f>RawData!BK52</f>
        <v>0</v>
      </c>
      <c r="AO54" s="44">
        <f>RawData!AY52</f>
        <v>0</v>
      </c>
      <c r="AP54" s="43" t="str">
        <f>RawData!DH52</f>
        <v>W</v>
      </c>
      <c r="AQ54" s="43">
        <f>RawData!DE52</f>
        <v>0</v>
      </c>
      <c r="AR54" s="42">
        <f>RawData!CZ52</f>
        <v>0</v>
      </c>
      <c r="AS54" s="44">
        <f>RawData!AX52</f>
        <v>0</v>
      </c>
      <c r="AT54" s="43">
        <f>RawData!CY52</f>
        <v>0</v>
      </c>
      <c r="AU54" s="44">
        <f>RawData!AW52</f>
        <v>0</v>
      </c>
      <c r="AV54" s="46">
        <f>RawData!O52</f>
        <v>34400</v>
      </c>
      <c r="AW54" s="44">
        <f>RawData!AV52</f>
        <v>2.5</v>
      </c>
      <c r="AX54" s="44">
        <f>RawData!CW52</f>
        <v>2.5</v>
      </c>
      <c r="AY54" s="44">
        <f>RawData!AU52</f>
        <v>0</v>
      </c>
      <c r="AZ54" s="42">
        <f>RawData!CX52</f>
        <v>0</v>
      </c>
      <c r="BA54" s="44">
        <f>RawData!DF52</f>
        <v>2.5</v>
      </c>
      <c r="BB54" s="43" t="str">
        <f>RawData!DI52</f>
        <v>W</v>
      </c>
      <c r="BC54" s="44">
        <f>RawData!AT52</f>
        <v>78.877663612365723</v>
      </c>
      <c r="BD54" s="45">
        <f>RawData!AP52</f>
        <v>78.877663612365723</v>
      </c>
      <c r="BE54" s="44">
        <f>RawData!CS52</f>
        <v>1.1885166168212891E-2</v>
      </c>
      <c r="BF54" s="42">
        <f>RawData!CT52</f>
        <v>1.5070118373739237E-4</v>
      </c>
      <c r="BG54" s="41">
        <f>RawData!AS52</f>
        <v>14400</v>
      </c>
      <c r="BH54" s="41">
        <f>RawData!CU52</f>
        <v>34100</v>
      </c>
      <c r="BI54" s="41">
        <f>RawData!AR52</f>
        <v>-19700</v>
      </c>
      <c r="BJ54" s="42">
        <f>RawData!CV52</f>
        <v>-0.57771260997067453</v>
      </c>
      <c r="BK54" s="41">
        <f>RawData!AQ52</f>
        <v>150850</v>
      </c>
      <c r="BL54" s="40">
        <f>RawData!AO52</f>
        <v>-4.8828385770320892E-3</v>
      </c>
      <c r="BM54" s="40">
        <f>RawData!AN52</f>
        <v>6.5332278609275818E-7</v>
      </c>
      <c r="BN54" s="40">
        <f>RawData!AM52</f>
        <v>-2.5</v>
      </c>
      <c r="BO54" s="40">
        <f>RawData!AL52</f>
        <v>0</v>
      </c>
      <c r="BP54" s="40">
        <f>RawData!AK52</f>
        <v>0.28777503967285156</v>
      </c>
      <c r="BQ54" s="40">
        <f>RawData!AJ52</f>
        <v>-3.6001205444335938E-5</v>
      </c>
      <c r="BR54" s="38">
        <f>RawData!AI52</f>
        <v>8.8300794232054614E-6</v>
      </c>
      <c r="BS54" s="38">
        <f>RawData!AH52</f>
        <v>-2.3310349206440151E-9</v>
      </c>
      <c r="BT54" s="40">
        <f>RawData!AG52</f>
        <v>-36.231113433837891</v>
      </c>
      <c r="BU54" s="39">
        <f>RawData!AF52</f>
        <v>5.645751953125E-4</v>
      </c>
      <c r="BV54" s="39">
        <f>RawData!AE52</f>
        <v>13.89632511138916</v>
      </c>
      <c r="BW54" s="38">
        <f>RawData!AD52</f>
        <v>2.4785995483398438E-3</v>
      </c>
      <c r="BX54" s="38">
        <f>RawData!AC52</f>
        <v>-1.4461683406352677E-8</v>
      </c>
      <c r="BY54" s="37">
        <f>RawData!AB52</f>
        <v>5.6274984672199935E-12</v>
      </c>
      <c r="BZ54" s="37">
        <f>RawData!AA52</f>
        <v>6.2342631281353533E-5</v>
      </c>
      <c r="CA54" s="36">
        <f>RawData!Z52</f>
        <v>-2.3363099899142981E-8</v>
      </c>
      <c r="CB54" s="36">
        <f>RawData!Y52</f>
        <v>2.3911310563562438E-5</v>
      </c>
      <c r="CC54" s="36">
        <f>RawData!X52</f>
        <v>-4.3237378122285008E-9</v>
      </c>
      <c r="CD54" s="36">
        <f>RawData!W52</f>
        <v>190302.46875</v>
      </c>
      <c r="CE54" s="40">
        <f>RawData!V52</f>
        <v>-0.6875</v>
      </c>
      <c r="CF54" s="40">
        <f>RawData!U52</f>
        <v>84101.2109375</v>
      </c>
      <c r="CG54" s="40">
        <f>RawData!T52</f>
        <v>15.6328125</v>
      </c>
      <c r="CH54" s="44">
        <f>RawData!S52</f>
        <v>3</v>
      </c>
      <c r="CI54" s="44">
        <f>RawData!R52</f>
        <v>4.1999998092651367</v>
      </c>
      <c r="CJ54" s="44">
        <f>RawData!Q52</f>
        <v>2.2999999523162842</v>
      </c>
      <c r="CK54" s="44">
        <f>RawData!P52</f>
        <v>2.5</v>
      </c>
      <c r="CL54" s="44">
        <f>RawData!CJ52</f>
        <v>200</v>
      </c>
      <c r="CM54" s="43">
        <f>RawData!CI52</f>
        <v>2.5499999523162842</v>
      </c>
      <c r="CN54" s="44">
        <f>RawData!CL52</f>
        <v>300</v>
      </c>
      <c r="CO54" s="43">
        <f>RawData!CK52</f>
        <v>2.5</v>
      </c>
      <c r="CP54" s="44">
        <f>RawData!CM52</f>
        <v>3.369999885559082</v>
      </c>
      <c r="CQ54" s="47">
        <f>RawData!CO52</f>
        <v>44783.638194444444</v>
      </c>
      <c r="CR54" s="44">
        <f>RawData!CP52</f>
        <v>38295.69921875</v>
      </c>
      <c r="CS54" s="44">
        <f>RawData!DG52</f>
        <v>38295.69921875</v>
      </c>
      <c r="CT54" s="43" t="str">
        <f>RawData!DJ52</f>
        <v>G</v>
      </c>
      <c r="CU54" s="43" t="str">
        <f>RawData!CQ52</f>
        <v>FairPrice</v>
      </c>
      <c r="CV54" s="47">
        <f>RawData!CR52</f>
        <v>44783.638194444444</v>
      </c>
      <c r="CW54" s="65">
        <f>RawData!DK52</f>
        <v>38300</v>
      </c>
      <c r="CX54" s="65">
        <f>RawData!DL52</f>
        <v>3400000</v>
      </c>
      <c r="CY54" s="65">
        <f>RawData!DM52</f>
        <v>38500</v>
      </c>
      <c r="CZ54" s="65">
        <f>RawData!DN52</f>
        <v>0</v>
      </c>
      <c r="DA54" s="65">
        <f>RawData!DO52</f>
        <v>24500</v>
      </c>
      <c r="DB54" s="65">
        <f>RawData!DP52</f>
        <v>2863350</v>
      </c>
      <c r="DC54" s="65">
        <f>RawData!DQ52</f>
        <v>38000</v>
      </c>
      <c r="DD54" s="65">
        <f>RawData!DR52</f>
        <v>0</v>
      </c>
      <c r="DE54" s="65">
        <f>RawData!DS52</f>
        <v>24500</v>
      </c>
      <c r="DF54" s="65" t="str">
        <f>RawData!DT52</f>
        <v>BANKNIFTY</v>
      </c>
      <c r="DG54" s="66">
        <f>RawData!DU52</f>
        <v>44784</v>
      </c>
      <c r="DI54" s="21">
        <f t="shared" si="0"/>
        <v>3895.69921875</v>
      </c>
    </row>
    <row r="55" spans="1:113" x14ac:dyDescent="0.2">
      <c r="A55" s="59">
        <f>RawData!CN53</f>
        <v>44783.638194444444</v>
      </c>
      <c r="B55" s="44">
        <f>RawData!CH53</f>
        <v>3815.85009765625</v>
      </c>
      <c r="C55" s="44">
        <f>RawData!CG53</f>
        <v>750</v>
      </c>
      <c r="D55" s="43">
        <f>RawData!CF53</f>
        <v>3723.050048828125</v>
      </c>
      <c r="E55" s="44">
        <f>RawData!CE53</f>
        <v>75</v>
      </c>
      <c r="F55" s="43">
        <f>RawData!CD53</f>
        <v>3831.60009765625</v>
      </c>
      <c r="G55" s="44">
        <f>RawData!CC53</f>
        <v>3800</v>
      </c>
      <c r="H55" s="44">
        <f>RawData!CB53</f>
        <v>3766.25</v>
      </c>
      <c r="I55" s="44">
        <f>RawData!CA53</f>
        <v>3850</v>
      </c>
      <c r="J55" s="44">
        <f>RawData!BZ53</f>
        <v>3850</v>
      </c>
      <c r="K55" s="40">
        <f>RawData!BY53</f>
        <v>5068.46875</v>
      </c>
      <c r="L55" s="40">
        <f>RawData!BX53</f>
        <v>49513.328125</v>
      </c>
      <c r="M55" s="40">
        <f>RawData!BW53</f>
        <v>12590.3828125</v>
      </c>
      <c r="N55" s="40">
        <f>RawData!BV53</f>
        <v>105671.78125</v>
      </c>
      <c r="O55" s="36">
        <f>RawData!BU53</f>
        <v>-9.8883174359798431E-7</v>
      </c>
      <c r="P55" s="36">
        <f>RawData!BT53</f>
        <v>2.9631220968440175E-5</v>
      </c>
      <c r="Q55" s="36">
        <f>RawData!BS53</f>
        <v>-1.3759272405877709E-6</v>
      </c>
      <c r="R55" s="36">
        <f>RawData!BR53</f>
        <v>7.4250317993573844E-5</v>
      </c>
      <c r="S55" s="37">
        <f>RawData!BQ53</f>
        <v>7.7599615622148121E-10</v>
      </c>
      <c r="T55" s="37">
        <f>RawData!BP53</f>
        <v>-1.896149548485937E-8</v>
      </c>
      <c r="U55" s="38">
        <f>RawData!BO53</f>
        <v>0.80093765258789063</v>
      </c>
      <c r="V55" s="38">
        <f>RawData!BN53</f>
        <v>8.5794315338134766</v>
      </c>
      <c r="W55" s="39">
        <f>RawData!BM53</f>
        <v>-2.2869167327880859</v>
      </c>
      <c r="X55" s="39">
        <f>RawData!BL53</f>
        <v>-21.498455047607422</v>
      </c>
      <c r="Y55" s="38">
        <f>RawData!BJ53</f>
        <v>-9.1085712483618408E-7</v>
      </c>
      <c r="Z55" s="38">
        <f>RawData!BI53</f>
        <v>1.2845630408264697E-5</v>
      </c>
      <c r="AA55" s="40">
        <f>RawData!BH53</f>
        <v>-3.7698954343795776E-2</v>
      </c>
      <c r="AB55" s="40">
        <f>RawData!BG53</f>
        <v>0.43545329570770264</v>
      </c>
      <c r="AC55" s="40">
        <f>RawData!BF53</f>
        <v>1.7795772552490234</v>
      </c>
      <c r="AD55" s="40">
        <f>RawData!BE53</f>
        <v>-17.377721786499023</v>
      </c>
      <c r="AE55" s="40">
        <f>RawData!BD53</f>
        <v>7.724761962890625E-4</v>
      </c>
      <c r="AF55" s="40">
        <f>RawData!BC53</f>
        <v>0.99220502376556396</v>
      </c>
      <c r="AG55" s="41">
        <f>RawData!BB53</f>
        <v>625</v>
      </c>
      <c r="AH55" s="42">
        <f>RawData!DB53</f>
        <v>-0.1640625</v>
      </c>
      <c r="AI55" s="41">
        <f>RawData!BA53</f>
        <v>-525</v>
      </c>
      <c r="AJ55" s="43">
        <f>RawData!DA53</f>
        <v>3200</v>
      </c>
      <c r="AK55" s="41">
        <f>RawData!AZ53</f>
        <v>2675</v>
      </c>
      <c r="AL55" s="42">
        <f>RawData!DD53</f>
        <v>-1.4403565723154614E-2</v>
      </c>
      <c r="AM55" s="44">
        <f>RawData!DC53</f>
        <v>-1.1992275714874268</v>
      </c>
      <c r="AN55" s="45">
        <f>RawData!BK53</f>
        <v>82.059848308563232</v>
      </c>
      <c r="AO55" s="44">
        <f>RawData!AY53</f>
        <v>82.059848308563232</v>
      </c>
      <c r="AP55" s="43" t="str">
        <f>RawData!DH53</f>
        <v>W</v>
      </c>
      <c r="AQ55" s="43">
        <f>RawData!DE53</f>
        <v>3800</v>
      </c>
      <c r="AR55" s="42">
        <f>RawData!CZ53</f>
        <v>0</v>
      </c>
      <c r="AS55" s="44">
        <f>RawData!AX53</f>
        <v>0</v>
      </c>
      <c r="AT55" s="43">
        <f>RawData!CY53</f>
        <v>3800</v>
      </c>
      <c r="AU55" s="44">
        <f>RawData!AW53</f>
        <v>3800</v>
      </c>
      <c r="AV55" s="46">
        <f>RawData!O53</f>
        <v>34500</v>
      </c>
      <c r="AW55" s="44">
        <f>RawData!AV53</f>
        <v>2.4500000476837158</v>
      </c>
      <c r="AX55" s="44">
        <f>RawData!CW53</f>
        <v>2.4500000476837158</v>
      </c>
      <c r="AY55" s="44">
        <f>RawData!AU53</f>
        <v>0</v>
      </c>
      <c r="AZ55" s="42">
        <f>RawData!CX53</f>
        <v>0</v>
      </c>
      <c r="BA55" s="44">
        <f>RawData!DF53</f>
        <v>2.4500000476837158</v>
      </c>
      <c r="BB55" s="43" t="str">
        <f>RawData!DI53</f>
        <v>W</v>
      </c>
      <c r="BC55" s="44">
        <f>RawData!AT53</f>
        <v>76.782304048538208</v>
      </c>
      <c r="BD55" s="45">
        <f>RawData!AP53</f>
        <v>76.782304048538208</v>
      </c>
      <c r="BE55" s="44">
        <f>RawData!CS53</f>
        <v>1.6629695892333984E-3</v>
      </c>
      <c r="BF55" s="42">
        <f>RawData!CT53</f>
        <v>2.1658709355180631E-5</v>
      </c>
      <c r="BG55" s="41">
        <f>RawData!AS53</f>
        <v>720175</v>
      </c>
      <c r="BH55" s="41">
        <f>RawData!CU53</f>
        <v>793850</v>
      </c>
      <c r="BI55" s="41">
        <f>RawData!AR53</f>
        <v>-73675</v>
      </c>
      <c r="BJ55" s="42">
        <f>RawData!CV53</f>
        <v>-9.2807205391446754E-2</v>
      </c>
      <c r="BK55" s="41">
        <f>RawData!AQ53</f>
        <v>3704400</v>
      </c>
      <c r="BL55" s="40">
        <f>RawData!AO53</f>
        <v>-4.9149054102599621E-3</v>
      </c>
      <c r="BM55" s="40">
        <f>RawData!AN53</f>
        <v>0</v>
      </c>
      <c r="BN55" s="40">
        <f>RawData!AM53</f>
        <v>-2.4500000476837158</v>
      </c>
      <c r="BO55" s="40">
        <f>RawData!AL53</f>
        <v>0</v>
      </c>
      <c r="BP55" s="40">
        <f>RawData!AK53</f>
        <v>0.28942599892616272</v>
      </c>
      <c r="BQ55" s="40">
        <f>RawData!AJ53</f>
        <v>-6.2584877014160156E-6</v>
      </c>
      <c r="BR55" s="38">
        <f>RawData!AI53</f>
        <v>9.1251440608175471E-6</v>
      </c>
      <c r="BS55" s="38">
        <f>RawData!AH53</f>
        <v>0</v>
      </c>
      <c r="BT55" s="40">
        <f>RawData!AG53</f>
        <v>-36.986736297607422</v>
      </c>
      <c r="BU55" s="39">
        <f>RawData!AF53</f>
        <v>8.0108642578125E-4</v>
      </c>
      <c r="BV55" s="39">
        <f>RawData!AE53</f>
        <v>13.811678886413574</v>
      </c>
      <c r="BW55" s="38">
        <f>RawData!AD53</f>
        <v>5.970001220703125E-4</v>
      </c>
      <c r="BX55" s="38">
        <f>RawData!AC53</f>
        <v>-1.5334771674702097E-8</v>
      </c>
      <c r="BY55" s="37">
        <f>RawData!AB53</f>
        <v>0</v>
      </c>
      <c r="BZ55" s="37">
        <f>RawData!AA53</f>
        <v>6.6080719989258796E-5</v>
      </c>
      <c r="CA55" s="36">
        <f>RawData!Z53</f>
        <v>-1.4333636499941349E-9</v>
      </c>
      <c r="CB55" s="36">
        <f>RawData!Y53</f>
        <v>2.4676028260728344E-5</v>
      </c>
      <c r="CC55" s="36">
        <f>RawData!X53</f>
        <v>1.0677467798814178E-9</v>
      </c>
      <c r="CD55" s="36">
        <f>RawData!W53</f>
        <v>194079.703125</v>
      </c>
      <c r="CE55" s="40">
        <f>RawData!V53</f>
        <v>-8.390625</v>
      </c>
      <c r="CF55" s="40">
        <f>RawData!U53</f>
        <v>83521.0859375</v>
      </c>
      <c r="CG55" s="40">
        <f>RawData!T53</f>
        <v>1.8046875</v>
      </c>
      <c r="CH55" s="44">
        <f>RawData!S53</f>
        <v>3</v>
      </c>
      <c r="CI55" s="44">
        <f>RawData!R53</f>
        <v>4.3000001907348633</v>
      </c>
      <c r="CJ55" s="44">
        <f>RawData!Q53</f>
        <v>2.4000000953674316</v>
      </c>
      <c r="CK55" s="44">
        <f>RawData!P53</f>
        <v>2.4500000476837158</v>
      </c>
      <c r="CL55" s="44">
        <f>RawData!CJ53</f>
        <v>8100</v>
      </c>
      <c r="CM55" s="43">
        <f>RawData!CI53</f>
        <v>2.5</v>
      </c>
      <c r="CN55" s="44">
        <f>RawData!CL53</f>
        <v>4425</v>
      </c>
      <c r="CO55" s="43">
        <f>RawData!CK53</f>
        <v>2.4500000476837158</v>
      </c>
      <c r="CP55" s="44">
        <f>RawData!CM53</f>
        <v>3.4900000095367432</v>
      </c>
      <c r="CQ55" s="47">
        <f>RawData!CO53</f>
        <v>44783.638194444444</v>
      </c>
      <c r="CR55" s="44">
        <f>RawData!CP53</f>
        <v>38295.69921875</v>
      </c>
      <c r="CS55" s="44">
        <f>RawData!DG53</f>
        <v>38295.69921875</v>
      </c>
      <c r="CT55" s="43" t="str">
        <f>RawData!DJ53</f>
        <v>G</v>
      </c>
      <c r="CU55" s="43" t="str">
        <f>RawData!CQ53</f>
        <v>FairPrice</v>
      </c>
      <c r="CV55" s="47">
        <f>RawData!CR53</f>
        <v>44783.638194444444</v>
      </c>
      <c r="CW55" s="65">
        <f>RawData!DK53</f>
        <v>38300</v>
      </c>
      <c r="CX55" s="65">
        <f>RawData!DL53</f>
        <v>3400000</v>
      </c>
      <c r="CY55" s="65">
        <f>RawData!DM53</f>
        <v>38500</v>
      </c>
      <c r="CZ55" s="65">
        <f>RawData!DN53</f>
        <v>0</v>
      </c>
      <c r="DA55" s="65">
        <f>RawData!DO53</f>
        <v>24500</v>
      </c>
      <c r="DB55" s="65">
        <f>RawData!DP53</f>
        <v>2863350</v>
      </c>
      <c r="DC55" s="65">
        <f>RawData!DQ53</f>
        <v>38000</v>
      </c>
      <c r="DD55" s="65">
        <f>RawData!DR53</f>
        <v>0</v>
      </c>
      <c r="DE55" s="65">
        <f>RawData!DS53</f>
        <v>24500</v>
      </c>
      <c r="DF55" s="65" t="str">
        <f>RawData!DT53</f>
        <v>BANKNIFTY</v>
      </c>
      <c r="DG55" s="66">
        <f>RawData!DU53</f>
        <v>44784</v>
      </c>
      <c r="DI55" s="21">
        <f t="shared" si="0"/>
        <v>3795.69921875</v>
      </c>
    </row>
    <row r="56" spans="1:113" x14ac:dyDescent="0.2">
      <c r="A56" s="59">
        <f>RawData!CN54</f>
        <v>44783.638194444444</v>
      </c>
      <c r="B56" s="44">
        <f>RawData!CH54</f>
        <v>0</v>
      </c>
      <c r="C56" s="44">
        <f>RawData!CG54</f>
        <v>800</v>
      </c>
      <c r="D56" s="43">
        <f>RawData!CF54</f>
        <v>3611.5</v>
      </c>
      <c r="E56" s="44">
        <f>RawData!CE54</f>
        <v>50</v>
      </c>
      <c r="F56" s="43">
        <f>RawData!CD54</f>
        <v>3767.75</v>
      </c>
      <c r="G56" s="44">
        <f>RawData!CC54</f>
        <v>3326.35009765625</v>
      </c>
      <c r="H56" s="44">
        <f>RawData!CB54</f>
        <v>0</v>
      </c>
      <c r="I56" s="44">
        <f>RawData!CA54</f>
        <v>0</v>
      </c>
      <c r="J56" s="44">
        <f>RawData!BZ54</f>
        <v>0</v>
      </c>
      <c r="K56" s="40">
        <f>RawData!BY54</f>
        <v>0</v>
      </c>
      <c r="L56" s="40">
        <f>RawData!BX54</f>
        <v>0</v>
      </c>
      <c r="M56" s="40">
        <f>RawData!BW54</f>
        <v>0</v>
      </c>
      <c r="N56" s="40">
        <f>RawData!BV54</f>
        <v>0</v>
      </c>
      <c r="O56" s="36">
        <f>RawData!BU54</f>
        <v>0</v>
      </c>
      <c r="P56" s="36">
        <f>RawData!BT54</f>
        <v>0</v>
      </c>
      <c r="Q56" s="36">
        <f>RawData!BS54</f>
        <v>0</v>
      </c>
      <c r="R56" s="36">
        <f>RawData!BR54</f>
        <v>0</v>
      </c>
      <c r="S56" s="37">
        <f>RawData!BQ54</f>
        <v>0</v>
      </c>
      <c r="T56" s="37">
        <f>RawData!BP54</f>
        <v>0</v>
      </c>
      <c r="U56" s="38">
        <f>RawData!BO54</f>
        <v>0</v>
      </c>
      <c r="V56" s="38">
        <f>RawData!BN54</f>
        <v>0</v>
      </c>
      <c r="W56" s="39">
        <f>RawData!BM54</f>
        <v>0</v>
      </c>
      <c r="X56" s="39">
        <f>RawData!BL54</f>
        <v>0</v>
      </c>
      <c r="Y56" s="38">
        <f>RawData!BJ54</f>
        <v>0</v>
      </c>
      <c r="Z56" s="38">
        <f>RawData!BI54</f>
        <v>0</v>
      </c>
      <c r="AA56" s="40">
        <f>RawData!BH54</f>
        <v>0</v>
      </c>
      <c r="AB56" s="40">
        <f>RawData!BG54</f>
        <v>0</v>
      </c>
      <c r="AC56" s="40">
        <f>RawData!BF54</f>
        <v>0</v>
      </c>
      <c r="AD56" s="40">
        <f>RawData!BE54</f>
        <v>0</v>
      </c>
      <c r="AE56" s="40">
        <f>RawData!BD54</f>
        <v>0</v>
      </c>
      <c r="AF56" s="40">
        <f>RawData!BC54</f>
        <v>0</v>
      </c>
      <c r="AG56" s="41">
        <f>RawData!BB54</f>
        <v>0</v>
      </c>
      <c r="AH56" s="42">
        <f>RawData!DB54</f>
        <v>0</v>
      </c>
      <c r="AI56" s="41">
        <f>RawData!BA54</f>
        <v>0</v>
      </c>
      <c r="AJ56" s="43">
        <f>RawData!DA54</f>
        <v>25</v>
      </c>
      <c r="AK56" s="41">
        <f>RawData!AZ54</f>
        <v>25</v>
      </c>
      <c r="AL56" s="42">
        <f>RawData!DD54</f>
        <v>0</v>
      </c>
      <c r="AM56" s="44">
        <f>RawData!DC54</f>
        <v>0</v>
      </c>
      <c r="AN56" s="45">
        <f>RawData!BK54</f>
        <v>0</v>
      </c>
      <c r="AO56" s="44">
        <f>RawData!AY54</f>
        <v>0</v>
      </c>
      <c r="AP56" s="43" t="str">
        <f>RawData!DH54</f>
        <v>W</v>
      </c>
      <c r="AQ56" s="43">
        <f>RawData!DE54</f>
        <v>3326.35009765625</v>
      </c>
      <c r="AR56" s="42">
        <f>RawData!CZ54</f>
        <v>0</v>
      </c>
      <c r="AS56" s="44">
        <f>RawData!AX54</f>
        <v>0</v>
      </c>
      <c r="AT56" s="43">
        <f>RawData!CY54</f>
        <v>3326.35009765625</v>
      </c>
      <c r="AU56" s="44">
        <f>RawData!AW54</f>
        <v>3326.35009765625</v>
      </c>
      <c r="AV56" s="46">
        <f>RawData!O54</f>
        <v>34600</v>
      </c>
      <c r="AW56" s="44">
        <f>RawData!AV54</f>
        <v>2.6500000953674316</v>
      </c>
      <c r="AX56" s="44">
        <f>RawData!CW54</f>
        <v>2.6500000953674316</v>
      </c>
      <c r="AY56" s="44">
        <f>RawData!AU54</f>
        <v>0</v>
      </c>
      <c r="AZ56" s="42">
        <f>RawData!CX54</f>
        <v>0</v>
      </c>
      <c r="BA56" s="44">
        <f>RawData!DF54</f>
        <v>2.6500000953674316</v>
      </c>
      <c r="BB56" s="43" t="str">
        <f>RawData!DI54</f>
        <v>W</v>
      </c>
      <c r="BC56" s="44">
        <f>RawData!AT54</f>
        <v>75.518524646759033</v>
      </c>
      <c r="BD56" s="45">
        <f>RawData!AP54</f>
        <v>75.518524646759033</v>
      </c>
      <c r="BE56" s="44">
        <f>RawData!CS54</f>
        <v>-1.2940168380737305E-2</v>
      </c>
      <c r="BF56" s="42">
        <f>RawData!CT54</f>
        <v>-1.7132155999367743E-4</v>
      </c>
      <c r="BG56" s="41">
        <f>RawData!AS54</f>
        <v>47800</v>
      </c>
      <c r="BH56" s="41">
        <f>RawData!CU54</f>
        <v>43550</v>
      </c>
      <c r="BI56" s="41">
        <f>RawData!AR54</f>
        <v>4250</v>
      </c>
      <c r="BJ56" s="42">
        <f>RawData!CV54</f>
        <v>9.7588978185993117E-2</v>
      </c>
      <c r="BK56" s="41">
        <f>RawData!AQ54</f>
        <v>204250</v>
      </c>
      <c r="BL56" s="40">
        <f>RawData!AO54</f>
        <v>-5.3613916970789433E-3</v>
      </c>
      <c r="BM56" s="40">
        <f>RawData!AN54</f>
        <v>-1.0635703802108765E-6</v>
      </c>
      <c r="BN56" s="40">
        <f>RawData!AM54</f>
        <v>-2.6500000953674316</v>
      </c>
      <c r="BO56" s="40">
        <f>RawData!AL54</f>
        <v>0</v>
      </c>
      <c r="BP56" s="40">
        <f>RawData!AK54</f>
        <v>0.31272482872009277</v>
      </c>
      <c r="BQ56" s="40">
        <f>RawData!AJ54</f>
        <v>4.145503044128418E-5</v>
      </c>
      <c r="BR56" s="38">
        <f>RawData!AI54</f>
        <v>1.0024139555753209E-5</v>
      </c>
      <c r="BS56" s="38">
        <f>RawData!AH54</f>
        <v>3.9244696381501853E-9</v>
      </c>
      <c r="BT56" s="40">
        <f>RawData!AG54</f>
        <v>-34.401115417480469</v>
      </c>
      <c r="BU56" s="39">
        <f>RawData!AF54</f>
        <v>1.01470947265625E-3</v>
      </c>
      <c r="BV56" s="39">
        <f>RawData!AE54</f>
        <v>12.633620262145996</v>
      </c>
      <c r="BW56" s="38">
        <f>RawData!AD54</f>
        <v>-1.99127197265625E-3</v>
      </c>
      <c r="BX56" s="38">
        <f>RawData!AC54</f>
        <v>-1.6925644885645852E-8</v>
      </c>
      <c r="BY56" s="37">
        <f>RawData!AB54</f>
        <v>-9.7628571893437766E-12</v>
      </c>
      <c r="BZ56" s="37">
        <f>RawData!AA54</f>
        <v>7.1790003858041018E-5</v>
      </c>
      <c r="CA56" s="36">
        <f>RawData!Z54</f>
        <v>3.6015990190207958E-8</v>
      </c>
      <c r="CB56" s="36">
        <f>RawData!Y54</f>
        <v>2.6364483346696943E-5</v>
      </c>
      <c r="CC56" s="36">
        <f>RawData!X54</f>
        <v>9.8516466096043587E-9</v>
      </c>
      <c r="CD56" s="36">
        <f>RawData!W54</f>
        <v>178409.078125</v>
      </c>
      <c r="CE56" s="40">
        <f>RawData!V54</f>
        <v>-17.921875</v>
      </c>
      <c r="CF56" s="40">
        <f>RawData!U54</f>
        <v>75743.765625</v>
      </c>
      <c r="CG56" s="40">
        <f>RawData!T54</f>
        <v>-16.78125</v>
      </c>
      <c r="CH56" s="44">
        <f>RawData!S54</f>
        <v>4.4000000953674316</v>
      </c>
      <c r="CI56" s="44">
        <f>RawData!R54</f>
        <v>4.5</v>
      </c>
      <c r="CJ56" s="44">
        <f>RawData!Q54</f>
        <v>2.6500000953674316</v>
      </c>
      <c r="CK56" s="44">
        <f>RawData!P54</f>
        <v>2.6500000953674316</v>
      </c>
      <c r="CL56" s="44">
        <f>RawData!CJ54</f>
        <v>3400</v>
      </c>
      <c r="CM56" s="43">
        <f>RawData!CI54</f>
        <v>2.6500000953674316</v>
      </c>
      <c r="CN56" s="44">
        <f>RawData!CL54</f>
        <v>300</v>
      </c>
      <c r="CO56" s="43">
        <f>RawData!CK54</f>
        <v>2.5999999046325684</v>
      </c>
      <c r="CP56" s="44">
        <f>RawData!CM54</f>
        <v>3.6800000667572021</v>
      </c>
      <c r="CQ56" s="47">
        <f>RawData!CO54</f>
        <v>44783.638194444444</v>
      </c>
      <c r="CR56" s="44">
        <f>RawData!CP54</f>
        <v>38295.69921875</v>
      </c>
      <c r="CS56" s="44">
        <f>RawData!DG54</f>
        <v>38295.69921875</v>
      </c>
      <c r="CT56" s="43" t="str">
        <f>RawData!DJ54</f>
        <v>G</v>
      </c>
      <c r="CU56" s="43" t="str">
        <f>RawData!CQ54</f>
        <v>FairPrice</v>
      </c>
      <c r="CV56" s="47">
        <f>RawData!CR54</f>
        <v>44783.638194444444</v>
      </c>
      <c r="CW56" s="65">
        <f>RawData!DK54</f>
        <v>38300</v>
      </c>
      <c r="CX56" s="65">
        <f>RawData!DL54</f>
        <v>3400000</v>
      </c>
      <c r="CY56" s="65">
        <f>RawData!DM54</f>
        <v>38500</v>
      </c>
      <c r="CZ56" s="65">
        <f>RawData!DN54</f>
        <v>0</v>
      </c>
      <c r="DA56" s="65">
        <f>RawData!DO54</f>
        <v>24500</v>
      </c>
      <c r="DB56" s="65">
        <f>RawData!DP54</f>
        <v>2863350</v>
      </c>
      <c r="DC56" s="65">
        <f>RawData!DQ54</f>
        <v>38000</v>
      </c>
      <c r="DD56" s="65">
        <f>RawData!DR54</f>
        <v>0</v>
      </c>
      <c r="DE56" s="65">
        <f>RawData!DS54</f>
        <v>24500</v>
      </c>
      <c r="DF56" s="65" t="str">
        <f>RawData!DT54</f>
        <v>BANKNIFTY</v>
      </c>
      <c r="DG56" s="66">
        <f>RawData!DU54</f>
        <v>44784</v>
      </c>
      <c r="DI56" s="21">
        <f t="shared" si="0"/>
        <v>3695.69921875</v>
      </c>
    </row>
    <row r="57" spans="1:113" x14ac:dyDescent="0.2">
      <c r="A57" s="59">
        <f>RawData!CN55</f>
        <v>44783.638194444444</v>
      </c>
      <c r="B57" s="44">
        <f>RawData!CH55</f>
        <v>0</v>
      </c>
      <c r="C57" s="44">
        <f>RawData!CG55</f>
        <v>50</v>
      </c>
      <c r="D57" s="43">
        <f>RawData!CF55</f>
        <v>3561.85009765625</v>
      </c>
      <c r="E57" s="44">
        <f>RawData!CE55</f>
        <v>800</v>
      </c>
      <c r="F57" s="43">
        <f>RawData!CD55</f>
        <v>3695.14990234375</v>
      </c>
      <c r="G57" s="44">
        <f>RawData!CC55</f>
        <v>3226.800048828125</v>
      </c>
      <c r="H57" s="44">
        <f>RawData!CB55</f>
        <v>0</v>
      </c>
      <c r="I57" s="44">
        <f>RawData!CA55</f>
        <v>0</v>
      </c>
      <c r="J57" s="44">
        <f>RawData!BZ55</f>
        <v>0</v>
      </c>
      <c r="K57" s="40">
        <f>RawData!BY55</f>
        <v>0</v>
      </c>
      <c r="L57" s="40">
        <f>RawData!BX55</f>
        <v>0</v>
      </c>
      <c r="M57" s="40">
        <f>RawData!BW55</f>
        <v>0</v>
      </c>
      <c r="N57" s="40">
        <f>RawData!BV55</f>
        <v>0</v>
      </c>
      <c r="O57" s="36">
        <f>RawData!BU55</f>
        <v>0</v>
      </c>
      <c r="P57" s="36">
        <f>RawData!BT55</f>
        <v>0</v>
      </c>
      <c r="Q57" s="36">
        <f>RawData!BS55</f>
        <v>0</v>
      </c>
      <c r="R57" s="36">
        <f>RawData!BR55</f>
        <v>0</v>
      </c>
      <c r="S57" s="37">
        <f>RawData!BQ55</f>
        <v>0</v>
      </c>
      <c r="T57" s="37">
        <f>RawData!BP55</f>
        <v>0</v>
      </c>
      <c r="U57" s="38">
        <f>RawData!BO55</f>
        <v>0</v>
      </c>
      <c r="V57" s="38">
        <f>RawData!BN55</f>
        <v>0</v>
      </c>
      <c r="W57" s="39">
        <f>RawData!BM55</f>
        <v>0</v>
      </c>
      <c r="X57" s="39">
        <f>RawData!BL55</f>
        <v>0</v>
      </c>
      <c r="Y57" s="38">
        <f>RawData!BJ55</f>
        <v>0</v>
      </c>
      <c r="Z57" s="38">
        <f>RawData!BI55</f>
        <v>0</v>
      </c>
      <c r="AA57" s="40">
        <f>RawData!BH55</f>
        <v>0</v>
      </c>
      <c r="AB57" s="40">
        <f>RawData!BG55</f>
        <v>0</v>
      </c>
      <c r="AC57" s="40">
        <f>RawData!BF55</f>
        <v>0</v>
      </c>
      <c r="AD57" s="40">
        <f>RawData!BE55</f>
        <v>0</v>
      </c>
      <c r="AE57" s="40">
        <f>RawData!BD55</f>
        <v>0</v>
      </c>
      <c r="AF57" s="40">
        <f>RawData!BC55</f>
        <v>0</v>
      </c>
      <c r="AG57" s="41">
        <f>RawData!BB55</f>
        <v>0</v>
      </c>
      <c r="AH57" s="42">
        <f>RawData!DB55</f>
        <v>0</v>
      </c>
      <c r="AI57" s="41">
        <f>RawData!BA55</f>
        <v>0</v>
      </c>
      <c r="AJ57" s="43">
        <f>RawData!DA55</f>
        <v>50</v>
      </c>
      <c r="AK57" s="41">
        <f>RawData!AZ55</f>
        <v>50</v>
      </c>
      <c r="AL57" s="42">
        <f>RawData!DD55</f>
        <v>0</v>
      </c>
      <c r="AM57" s="44">
        <f>RawData!DC55</f>
        <v>0</v>
      </c>
      <c r="AN57" s="45">
        <f>RawData!BK55</f>
        <v>0</v>
      </c>
      <c r="AO57" s="44">
        <f>RawData!AY55</f>
        <v>0</v>
      </c>
      <c r="AP57" s="43" t="str">
        <f>RawData!DH55</f>
        <v>W</v>
      </c>
      <c r="AQ57" s="43">
        <f>RawData!DE55</f>
        <v>3226.800048828125</v>
      </c>
      <c r="AR57" s="42">
        <f>RawData!CZ55</f>
        <v>0</v>
      </c>
      <c r="AS57" s="44">
        <f>RawData!AX55</f>
        <v>0</v>
      </c>
      <c r="AT57" s="43">
        <f>RawData!CY55</f>
        <v>3226.800048828125</v>
      </c>
      <c r="AU57" s="44">
        <f>RawData!AW55</f>
        <v>3226.800048828125</v>
      </c>
      <c r="AV57" s="46">
        <f>RawData!O55</f>
        <v>34700</v>
      </c>
      <c r="AW57" s="44">
        <f>RawData!AV55</f>
        <v>2.75</v>
      </c>
      <c r="AX57" s="44">
        <f>RawData!CW55</f>
        <v>2.75</v>
      </c>
      <c r="AY57" s="44">
        <f>RawData!AU55</f>
        <v>0</v>
      </c>
      <c r="AZ57" s="42">
        <f>RawData!CX55</f>
        <v>0</v>
      </c>
      <c r="BA57" s="44">
        <f>RawData!DF55</f>
        <v>2.75</v>
      </c>
      <c r="BB57" s="43" t="str">
        <f>RawData!DI55</f>
        <v>W</v>
      </c>
      <c r="BC57" s="44">
        <f>RawData!AT55</f>
        <v>73.905998468399048</v>
      </c>
      <c r="BD57" s="45">
        <f>RawData!AP55</f>
        <v>73.905998468399048</v>
      </c>
      <c r="BE57" s="44">
        <f>RawData!CS55</f>
        <v>-1.4913082122802734E-2</v>
      </c>
      <c r="BF57" s="42">
        <f>RawData!CT55</f>
        <v>-2.017437530192017E-4</v>
      </c>
      <c r="BG57" s="41">
        <f>RawData!AS55</f>
        <v>45000</v>
      </c>
      <c r="BH57" s="41">
        <f>RawData!CU55</f>
        <v>49050</v>
      </c>
      <c r="BI57" s="41">
        <f>RawData!AR55</f>
        <v>-4050</v>
      </c>
      <c r="BJ57" s="42">
        <f>RawData!CV55</f>
        <v>-8.2568807339449546E-2</v>
      </c>
      <c r="BK57" s="41">
        <f>RawData!AQ55</f>
        <v>288350</v>
      </c>
      <c r="BL57" s="40">
        <f>RawData!AO55</f>
        <v>-5.6571606546640396E-3</v>
      </c>
      <c r="BM57" s="40">
        <f>RawData!AN55</f>
        <v>-1.4193356037139893E-6</v>
      </c>
      <c r="BN57" s="40">
        <f>RawData!AM55</f>
        <v>-2.75</v>
      </c>
      <c r="BO57" s="40">
        <f>RawData!AL55</f>
        <v>0</v>
      </c>
      <c r="BP57" s="40">
        <f>RawData!AK55</f>
        <v>0.32800698280334473</v>
      </c>
      <c r="BQ57" s="40">
        <f>RawData!AJ55</f>
        <v>4.9918889999389648E-5</v>
      </c>
      <c r="BR57" s="38">
        <f>RawData!AI55</f>
        <v>1.0743397069745697E-5</v>
      </c>
      <c r="BS57" s="38">
        <f>RawData!AH55</f>
        <v>5.3196345106698573E-9</v>
      </c>
      <c r="BT57" s="40">
        <f>RawData!AG55</f>
        <v>-33.274936676025391</v>
      </c>
      <c r="BU57" s="39">
        <f>RawData!AF55</f>
        <v>1.74713134765625E-3</v>
      </c>
      <c r="BV57" s="39">
        <f>RawData!AE55</f>
        <v>11.9591064453125</v>
      </c>
      <c r="BW57" s="38">
        <f>RawData!AD55</f>
        <v>-2.00653076171875E-3</v>
      </c>
      <c r="BX57" s="38">
        <f>RawData!AC55</f>
        <v>-1.839554819582645E-8</v>
      </c>
      <c r="BY57" s="37">
        <f>RawData!AB55</f>
        <v>-1.3418599564829492E-11</v>
      </c>
      <c r="BZ57" s="37">
        <f>RawData!AA55</f>
        <v>7.7275202784221619E-5</v>
      </c>
      <c r="CA57" s="36">
        <f>RawData!Z55</f>
        <v>4.7773937694728374E-8</v>
      </c>
      <c r="CB57" s="36">
        <f>RawData!Y55</f>
        <v>2.7772925022873096E-5</v>
      </c>
      <c r="CC57" s="36">
        <f>RawData!X55</f>
        <v>1.3969838619232178E-8</v>
      </c>
      <c r="CD57" s="36">
        <f>RawData!W55</f>
        <v>171299.28125</v>
      </c>
      <c r="CE57" s="40">
        <f>RawData!V55</f>
        <v>-27.046875</v>
      </c>
      <c r="CF57" s="40">
        <f>RawData!U55</f>
        <v>71313.109375</v>
      </c>
      <c r="CG57" s="40">
        <f>RawData!T55</f>
        <v>-18.84375</v>
      </c>
      <c r="CH57" s="44">
        <f>RawData!S55</f>
        <v>3.8499999046325684</v>
      </c>
      <c r="CI57" s="44">
        <f>RawData!R55</f>
        <v>4.5</v>
      </c>
      <c r="CJ57" s="44">
        <f>RawData!Q55</f>
        <v>2.6500000953674316</v>
      </c>
      <c r="CK57" s="44">
        <f>RawData!P55</f>
        <v>2.75</v>
      </c>
      <c r="CL57" s="44">
        <f>RawData!CJ55</f>
        <v>425</v>
      </c>
      <c r="CM57" s="43">
        <f>RawData!CI55</f>
        <v>2.7999999523162842</v>
      </c>
      <c r="CN57" s="44">
        <f>RawData!CL55</f>
        <v>50</v>
      </c>
      <c r="CO57" s="43">
        <f>RawData!CK55</f>
        <v>2.75</v>
      </c>
      <c r="CP57" s="44">
        <f>RawData!CM55</f>
        <v>3.5199999809265137</v>
      </c>
      <c r="CQ57" s="47">
        <f>RawData!CO55</f>
        <v>44783.638194444444</v>
      </c>
      <c r="CR57" s="44">
        <f>RawData!CP55</f>
        <v>38295.69921875</v>
      </c>
      <c r="CS57" s="44">
        <f>RawData!DG55</f>
        <v>38295.69921875</v>
      </c>
      <c r="CT57" s="43" t="str">
        <f>RawData!DJ55</f>
        <v>G</v>
      </c>
      <c r="CU57" s="43" t="str">
        <f>RawData!CQ55</f>
        <v>FairPrice</v>
      </c>
      <c r="CV57" s="47">
        <f>RawData!CR55</f>
        <v>44783.638194444444</v>
      </c>
      <c r="CW57" s="65">
        <f>RawData!DK55</f>
        <v>38300</v>
      </c>
      <c r="CX57" s="65">
        <f>RawData!DL55</f>
        <v>3400000</v>
      </c>
      <c r="CY57" s="65">
        <f>RawData!DM55</f>
        <v>38500</v>
      </c>
      <c r="CZ57" s="65">
        <f>RawData!DN55</f>
        <v>0</v>
      </c>
      <c r="DA57" s="65">
        <f>RawData!DO55</f>
        <v>24500</v>
      </c>
      <c r="DB57" s="65">
        <f>RawData!DP55</f>
        <v>2863350</v>
      </c>
      <c r="DC57" s="65">
        <f>RawData!DQ55</f>
        <v>38000</v>
      </c>
      <c r="DD57" s="65">
        <f>RawData!DR55</f>
        <v>0</v>
      </c>
      <c r="DE57" s="65">
        <f>RawData!DS55</f>
        <v>24500</v>
      </c>
      <c r="DF57" s="65" t="str">
        <f>RawData!DT55</f>
        <v>BANKNIFTY</v>
      </c>
      <c r="DG57" s="66">
        <f>RawData!DU55</f>
        <v>44784</v>
      </c>
      <c r="DI57" s="21">
        <f t="shared" si="0"/>
        <v>3595.69921875</v>
      </c>
    </row>
    <row r="58" spans="1:113" x14ac:dyDescent="0.2">
      <c r="A58" s="59">
        <f>RawData!CN56</f>
        <v>44783.638194444444</v>
      </c>
      <c r="B58" s="44">
        <f>RawData!CH56</f>
        <v>0</v>
      </c>
      <c r="C58" s="44">
        <f>RawData!CG56</f>
        <v>50</v>
      </c>
      <c r="D58" s="43">
        <f>RawData!CF56</f>
        <v>3458.949951171875</v>
      </c>
      <c r="E58" s="44">
        <f>RawData!CE56</f>
        <v>50</v>
      </c>
      <c r="F58" s="43">
        <f>RawData!CD56</f>
        <v>3565.699951171875</v>
      </c>
      <c r="G58" s="44">
        <f>RawData!CC56</f>
        <v>3127.300048828125</v>
      </c>
      <c r="H58" s="44">
        <f>RawData!CB56</f>
        <v>0</v>
      </c>
      <c r="I58" s="44">
        <f>RawData!CA56</f>
        <v>0</v>
      </c>
      <c r="J58" s="44">
        <f>RawData!BZ56</f>
        <v>0</v>
      </c>
      <c r="K58" s="40">
        <f>RawData!BY56</f>
        <v>0</v>
      </c>
      <c r="L58" s="40">
        <f>RawData!BX56</f>
        <v>0</v>
      </c>
      <c r="M58" s="40">
        <f>RawData!BW56</f>
        <v>0</v>
      </c>
      <c r="N58" s="40">
        <f>RawData!BV56</f>
        <v>0</v>
      </c>
      <c r="O58" s="36">
        <f>RawData!BU56</f>
        <v>0</v>
      </c>
      <c r="P58" s="36">
        <f>RawData!BT56</f>
        <v>0</v>
      </c>
      <c r="Q58" s="36">
        <f>RawData!BS56</f>
        <v>0</v>
      </c>
      <c r="R58" s="36">
        <f>RawData!BR56</f>
        <v>0</v>
      </c>
      <c r="S58" s="37">
        <f>RawData!BQ56</f>
        <v>0</v>
      </c>
      <c r="T58" s="37">
        <f>RawData!BP56</f>
        <v>0</v>
      </c>
      <c r="U58" s="38">
        <f>RawData!BO56</f>
        <v>0</v>
      </c>
      <c r="V58" s="38">
        <f>RawData!BN56</f>
        <v>0</v>
      </c>
      <c r="W58" s="39">
        <f>RawData!BM56</f>
        <v>0</v>
      </c>
      <c r="X58" s="39">
        <f>RawData!BL56</f>
        <v>0</v>
      </c>
      <c r="Y58" s="38">
        <f>RawData!BJ56</f>
        <v>0</v>
      </c>
      <c r="Z58" s="38">
        <f>RawData!BI56</f>
        <v>0</v>
      </c>
      <c r="AA58" s="40">
        <f>RawData!BH56</f>
        <v>0</v>
      </c>
      <c r="AB58" s="40">
        <f>RawData!BG56</f>
        <v>0</v>
      </c>
      <c r="AC58" s="40">
        <f>RawData!BF56</f>
        <v>0</v>
      </c>
      <c r="AD58" s="40">
        <f>RawData!BE56</f>
        <v>0</v>
      </c>
      <c r="AE58" s="40">
        <f>RawData!BD56</f>
        <v>0</v>
      </c>
      <c r="AF58" s="40">
        <f>RawData!BC56</f>
        <v>0</v>
      </c>
      <c r="AG58" s="41">
        <f>RawData!BB56</f>
        <v>0</v>
      </c>
      <c r="AH58" s="42">
        <f>RawData!DB56</f>
        <v>0</v>
      </c>
      <c r="AI58" s="41">
        <f>RawData!BA56</f>
        <v>0</v>
      </c>
      <c r="AJ58" s="43">
        <f>RawData!DA56</f>
        <v>50</v>
      </c>
      <c r="AK58" s="41">
        <f>RawData!AZ56</f>
        <v>50</v>
      </c>
      <c r="AL58" s="42">
        <f>RawData!DD56</f>
        <v>0</v>
      </c>
      <c r="AM58" s="44">
        <f>RawData!DC56</f>
        <v>0</v>
      </c>
      <c r="AN58" s="45">
        <f>RawData!BK56</f>
        <v>0</v>
      </c>
      <c r="AO58" s="44">
        <f>RawData!AY56</f>
        <v>0</v>
      </c>
      <c r="AP58" s="43" t="str">
        <f>RawData!DH56</f>
        <v>W</v>
      </c>
      <c r="AQ58" s="43">
        <f>RawData!DE56</f>
        <v>3127.300048828125</v>
      </c>
      <c r="AR58" s="42">
        <f>RawData!CZ56</f>
        <v>0</v>
      </c>
      <c r="AS58" s="44">
        <f>RawData!AX56</f>
        <v>0</v>
      </c>
      <c r="AT58" s="43">
        <f>RawData!CY56</f>
        <v>3127.300048828125</v>
      </c>
      <c r="AU58" s="44">
        <f>RawData!AW56</f>
        <v>3127.300048828125</v>
      </c>
      <c r="AV58" s="46">
        <f>RawData!O56</f>
        <v>34800</v>
      </c>
      <c r="AW58" s="44">
        <f>RawData!AV56</f>
        <v>2.75</v>
      </c>
      <c r="AX58" s="44">
        <f>RawData!CW56</f>
        <v>2.75</v>
      </c>
      <c r="AY58" s="44">
        <f>RawData!AU56</f>
        <v>0</v>
      </c>
      <c r="AZ58" s="42">
        <f>RawData!CX56</f>
        <v>0</v>
      </c>
      <c r="BA58" s="44">
        <f>RawData!DF56</f>
        <v>2.75</v>
      </c>
      <c r="BB58" s="43" t="str">
        <f>RawData!DI56</f>
        <v>W</v>
      </c>
      <c r="BC58" s="44">
        <f>RawData!AT56</f>
        <v>72.021245956420898</v>
      </c>
      <c r="BD58" s="45">
        <f>RawData!AP56</f>
        <v>72.021245956420898</v>
      </c>
      <c r="BE58" s="44">
        <f>RawData!CS56</f>
        <v>-3.6299228668212891E-3</v>
      </c>
      <c r="BF58" s="42">
        <f>RawData!CT56</f>
        <v>-5.0398182884826743E-5</v>
      </c>
      <c r="BG58" s="41">
        <f>RawData!AS56</f>
        <v>43025</v>
      </c>
      <c r="BH58" s="41">
        <f>RawData!CU56</f>
        <v>64775</v>
      </c>
      <c r="BI58" s="41">
        <f>RawData!AR56</f>
        <v>-21750</v>
      </c>
      <c r="BJ58" s="42">
        <f>RawData!CV56</f>
        <v>-0.33577769201080665</v>
      </c>
      <c r="BK58" s="41">
        <f>RawData!AQ56</f>
        <v>375975</v>
      </c>
      <c r="BL58" s="40">
        <f>RawData!AO56</f>
        <v>-5.7925451546907425E-3</v>
      </c>
      <c r="BM58" s="40">
        <f>RawData!AN56</f>
        <v>-4.2608007788658142E-7</v>
      </c>
      <c r="BN58" s="40">
        <f>RawData!AM56</f>
        <v>-2.75</v>
      </c>
      <c r="BO58" s="40">
        <f>RawData!AL56</f>
        <v>0</v>
      </c>
      <c r="BP58" s="40">
        <f>RawData!AK56</f>
        <v>0.33502665162086487</v>
      </c>
      <c r="BQ58" s="40">
        <f>RawData!AJ56</f>
        <v>1.1980533599853516E-5</v>
      </c>
      <c r="BR58" s="38">
        <f>RawData!AI56</f>
        <v>1.1256343896093313E-5</v>
      </c>
      <c r="BS58" s="38">
        <f>RawData!AH56</f>
        <v>1.6334524843841791E-9</v>
      </c>
      <c r="BT58" s="40">
        <f>RawData!AG56</f>
        <v>-33.338470458984375</v>
      </c>
      <c r="BU58" s="39">
        <f>RawData!AF56</f>
        <v>8.04901123046875E-4</v>
      </c>
      <c r="BV58" s="39">
        <f>RawData!AE56</f>
        <v>11.673853874206543</v>
      </c>
      <c r="BW58" s="38">
        <f>RawData!AD56</f>
        <v>-3.6525726318359375E-4</v>
      </c>
      <c r="BX58" s="38">
        <f>RawData!AC56</f>
        <v>-1.9703117359881617E-8</v>
      </c>
      <c r="BY58" s="37">
        <f>RawData!AB56</f>
        <v>-4.2117420662179939E-12</v>
      </c>
      <c r="BZ58" s="37">
        <f>RawData!AA56</f>
        <v>8.247175719588995E-5</v>
      </c>
      <c r="CA58" s="36">
        <f>RawData!Z56</f>
        <v>1.4202669262886047E-8</v>
      </c>
      <c r="CB58" s="36">
        <f>RawData!Y56</f>
        <v>2.8878446755697951E-5</v>
      </c>
      <c r="CC58" s="36">
        <f>RawData!X56</f>
        <v>4.7675712266936898E-9</v>
      </c>
      <c r="CD58" s="36">
        <f>RawData!W56</f>
        <v>171095.296875</v>
      </c>
      <c r="CE58" s="40">
        <f>RawData!V56</f>
        <v>-10.90625</v>
      </c>
      <c r="CF58" s="40">
        <f>RawData!U56</f>
        <v>69455.8828125</v>
      </c>
      <c r="CG58" s="40">
        <f>RawData!T56</f>
        <v>-4.7421875</v>
      </c>
      <c r="CH58" s="44">
        <f>RawData!S56</f>
        <v>4</v>
      </c>
      <c r="CI58" s="44">
        <f>RawData!R56</f>
        <v>4.6500000953674316</v>
      </c>
      <c r="CJ58" s="44">
        <f>RawData!Q56</f>
        <v>2.75</v>
      </c>
      <c r="CK58" s="44">
        <f>RawData!P56</f>
        <v>2.75</v>
      </c>
      <c r="CL58" s="44">
        <f>RawData!CJ56</f>
        <v>500</v>
      </c>
      <c r="CM58" s="43">
        <f>RawData!CI56</f>
        <v>2.7999999523162842</v>
      </c>
      <c r="CN58" s="44">
        <f>RawData!CL56</f>
        <v>25</v>
      </c>
      <c r="CO58" s="43">
        <f>RawData!CK56</f>
        <v>2.75</v>
      </c>
      <c r="CP58" s="44">
        <f>RawData!CM56</f>
        <v>3.7100000381469727</v>
      </c>
      <c r="CQ58" s="47">
        <f>RawData!CO56</f>
        <v>44783.638194444444</v>
      </c>
      <c r="CR58" s="44">
        <f>RawData!CP56</f>
        <v>38295.69921875</v>
      </c>
      <c r="CS58" s="44">
        <f>RawData!DG56</f>
        <v>38295.69921875</v>
      </c>
      <c r="CT58" s="43" t="str">
        <f>RawData!DJ56</f>
        <v>G</v>
      </c>
      <c r="CU58" s="43" t="str">
        <f>RawData!CQ56</f>
        <v>FairPrice</v>
      </c>
      <c r="CV58" s="47">
        <f>RawData!CR56</f>
        <v>44783.638194444444</v>
      </c>
      <c r="CW58" s="65">
        <f>RawData!DK56</f>
        <v>38300</v>
      </c>
      <c r="CX58" s="65">
        <f>RawData!DL56</f>
        <v>3400000</v>
      </c>
      <c r="CY58" s="65">
        <f>RawData!DM56</f>
        <v>38500</v>
      </c>
      <c r="CZ58" s="65">
        <f>RawData!DN56</f>
        <v>0</v>
      </c>
      <c r="DA58" s="65">
        <f>RawData!DO56</f>
        <v>24500</v>
      </c>
      <c r="DB58" s="65">
        <f>RawData!DP56</f>
        <v>2863350</v>
      </c>
      <c r="DC58" s="65">
        <f>RawData!DQ56</f>
        <v>38000</v>
      </c>
      <c r="DD58" s="65">
        <f>RawData!DR56</f>
        <v>0</v>
      </c>
      <c r="DE58" s="65">
        <f>RawData!DS56</f>
        <v>24500</v>
      </c>
      <c r="DF58" s="65" t="str">
        <f>RawData!DT56</f>
        <v>BANKNIFTY</v>
      </c>
      <c r="DG58" s="66">
        <f>RawData!DU56</f>
        <v>44784</v>
      </c>
      <c r="DI58" s="21">
        <f t="shared" si="0"/>
        <v>3495.69921875</v>
      </c>
    </row>
    <row r="59" spans="1:113" x14ac:dyDescent="0.2">
      <c r="A59" s="59">
        <f>RawData!CN57</f>
        <v>44783.638194444444</v>
      </c>
      <c r="B59" s="44">
        <f>RawData!CH57</f>
        <v>0</v>
      </c>
      <c r="C59" s="44">
        <f>RawData!CG57</f>
        <v>800</v>
      </c>
      <c r="D59" s="43">
        <f>RawData!CF57</f>
        <v>3316.550048828125</v>
      </c>
      <c r="E59" s="44">
        <f>RawData!CE57</f>
        <v>50</v>
      </c>
      <c r="F59" s="43">
        <f>RawData!CD57</f>
        <v>3462</v>
      </c>
      <c r="G59" s="44">
        <f>RawData!CC57</f>
        <v>3196.14990234375</v>
      </c>
      <c r="H59" s="44">
        <f>RawData!CB57</f>
        <v>0</v>
      </c>
      <c r="I59" s="44">
        <f>RawData!CA57</f>
        <v>0</v>
      </c>
      <c r="J59" s="44">
        <f>RawData!BZ57</f>
        <v>0</v>
      </c>
      <c r="K59" s="40">
        <f>RawData!BY57</f>
        <v>0</v>
      </c>
      <c r="L59" s="40">
        <f>RawData!BX57</f>
        <v>0</v>
      </c>
      <c r="M59" s="40">
        <f>RawData!BW57</f>
        <v>0</v>
      </c>
      <c r="N59" s="40">
        <f>RawData!BV57</f>
        <v>0</v>
      </c>
      <c r="O59" s="36">
        <f>RawData!BU57</f>
        <v>0</v>
      </c>
      <c r="P59" s="36">
        <f>RawData!BT57</f>
        <v>0</v>
      </c>
      <c r="Q59" s="36">
        <f>RawData!BS57</f>
        <v>0</v>
      </c>
      <c r="R59" s="36">
        <f>RawData!BR57</f>
        <v>0</v>
      </c>
      <c r="S59" s="37">
        <f>RawData!BQ57</f>
        <v>0</v>
      </c>
      <c r="T59" s="37">
        <f>RawData!BP57</f>
        <v>0</v>
      </c>
      <c r="U59" s="38">
        <f>RawData!BO57</f>
        <v>0</v>
      </c>
      <c r="V59" s="38">
        <f>RawData!BN57</f>
        <v>0</v>
      </c>
      <c r="W59" s="39">
        <f>RawData!BM57</f>
        <v>0</v>
      </c>
      <c r="X59" s="39">
        <f>RawData!BL57</f>
        <v>0</v>
      </c>
      <c r="Y59" s="38">
        <f>RawData!BJ57</f>
        <v>0</v>
      </c>
      <c r="Z59" s="38">
        <f>RawData!BI57</f>
        <v>0</v>
      </c>
      <c r="AA59" s="40">
        <f>RawData!BH57</f>
        <v>0</v>
      </c>
      <c r="AB59" s="40">
        <f>RawData!BG57</f>
        <v>0</v>
      </c>
      <c r="AC59" s="40">
        <f>RawData!BF57</f>
        <v>0</v>
      </c>
      <c r="AD59" s="40">
        <f>RawData!BE57</f>
        <v>0</v>
      </c>
      <c r="AE59" s="40">
        <f>RawData!BD57</f>
        <v>0</v>
      </c>
      <c r="AF59" s="40">
        <f>RawData!BC57</f>
        <v>0</v>
      </c>
      <c r="AG59" s="41">
        <f>RawData!BB57</f>
        <v>0</v>
      </c>
      <c r="AH59" s="42">
        <f>RawData!DB57</f>
        <v>0</v>
      </c>
      <c r="AI59" s="41">
        <f>RawData!BA57</f>
        <v>0</v>
      </c>
      <c r="AJ59" s="43">
        <f>RawData!DA57</f>
        <v>500</v>
      </c>
      <c r="AK59" s="41">
        <f>RawData!AZ57</f>
        <v>500</v>
      </c>
      <c r="AL59" s="42">
        <f>RawData!DD57</f>
        <v>0</v>
      </c>
      <c r="AM59" s="44">
        <f>RawData!DC57</f>
        <v>0</v>
      </c>
      <c r="AN59" s="45">
        <f>RawData!BK57</f>
        <v>0</v>
      </c>
      <c r="AO59" s="44">
        <f>RawData!AY57</f>
        <v>0</v>
      </c>
      <c r="AP59" s="43" t="str">
        <f>RawData!DH57</f>
        <v>W</v>
      </c>
      <c r="AQ59" s="43">
        <f>RawData!DE57</f>
        <v>3196.14990234375</v>
      </c>
      <c r="AR59" s="42">
        <f>RawData!CZ57</f>
        <v>0</v>
      </c>
      <c r="AS59" s="44">
        <f>RawData!AX57</f>
        <v>0</v>
      </c>
      <c r="AT59" s="43">
        <f>RawData!CY57</f>
        <v>3196.14990234375</v>
      </c>
      <c r="AU59" s="44">
        <f>RawData!AW57</f>
        <v>3196.14990234375</v>
      </c>
      <c r="AV59" s="46">
        <f>RawData!O57</f>
        <v>34900</v>
      </c>
      <c r="AW59" s="44">
        <f>RawData!AV57</f>
        <v>2.7999999523162842</v>
      </c>
      <c r="AX59" s="44">
        <f>RawData!CW57</f>
        <v>2.7999999523162842</v>
      </c>
      <c r="AY59" s="44">
        <f>RawData!AU57</f>
        <v>0</v>
      </c>
      <c r="AZ59" s="42">
        <f>RawData!CX57</f>
        <v>0</v>
      </c>
      <c r="BA59" s="44">
        <f>RawData!DF57</f>
        <v>2.7999999523162842</v>
      </c>
      <c r="BB59" s="43" t="str">
        <f>RawData!DI57</f>
        <v>W</v>
      </c>
      <c r="BC59" s="44">
        <f>RawData!AT57</f>
        <v>70.210945606231689</v>
      </c>
      <c r="BD59" s="45">
        <f>RawData!AP57</f>
        <v>70.210945606231689</v>
      </c>
      <c r="BE59" s="44">
        <f>RawData!CS57</f>
        <v>2.384185791015625E-3</v>
      </c>
      <c r="BF59" s="42">
        <f>RawData!CT57</f>
        <v>3.3958619045589613E-5</v>
      </c>
      <c r="BG59" s="41">
        <f>RawData!AS57</f>
        <v>28075</v>
      </c>
      <c r="BH59" s="41">
        <f>RawData!CU57</f>
        <v>41750</v>
      </c>
      <c r="BI59" s="41">
        <f>RawData!AR57</f>
        <v>-13675</v>
      </c>
      <c r="BJ59" s="42">
        <f>RawData!CV57</f>
        <v>-0.32754491017964071</v>
      </c>
      <c r="BK59" s="41">
        <f>RawData!AQ57</f>
        <v>330100</v>
      </c>
      <c r="BL59" s="40">
        <f>RawData!AO57</f>
        <v>-6.0293176211416721E-3</v>
      </c>
      <c r="BM59" s="40">
        <f>RawData!AN57</f>
        <v>7.5902789831161499E-8</v>
      </c>
      <c r="BN59" s="40">
        <f>RawData!AM57</f>
        <v>-2.7999999523162842</v>
      </c>
      <c r="BO59" s="40">
        <f>RawData!AL57</f>
        <v>0</v>
      </c>
      <c r="BP59" s="40">
        <f>RawData!AK57</f>
        <v>0.34707045555114746</v>
      </c>
      <c r="BQ59" s="40">
        <f>RawData!AJ57</f>
        <v>-1.0907649993896484E-5</v>
      </c>
      <c r="BR59" s="38">
        <f>RawData!AI57</f>
        <v>1.1966716556344181E-5</v>
      </c>
      <c r="BS59" s="38">
        <f>RawData!AH57</f>
        <v>-2.9649527277797461E-10</v>
      </c>
      <c r="BT59" s="40">
        <f>RawData!AG57</f>
        <v>-32.829856872558594</v>
      </c>
      <c r="BU59" s="39">
        <f>RawData!AF57</f>
        <v>6.9427490234375E-4</v>
      </c>
      <c r="BV59" s="39">
        <f>RawData!AE57</f>
        <v>11.21019458770752</v>
      </c>
      <c r="BW59" s="38">
        <f>RawData!AD57</f>
        <v>6.275177001953125E-4</v>
      </c>
      <c r="BX59" s="38">
        <f>RawData!AC57</f>
        <v>-2.1364721547456611E-8</v>
      </c>
      <c r="BY59" s="37">
        <f>RawData!AB57</f>
        <v>7.815970093361102E-13</v>
      </c>
      <c r="BZ59" s="37">
        <f>RawData!AA57</f>
        <v>8.8776505435816944E-5</v>
      </c>
      <c r="CA59" s="36">
        <f>RawData!Z57</f>
        <v>-4.8676156438887119E-9</v>
      </c>
      <c r="CB59" s="36">
        <f>RawData!Y57</f>
        <v>3.0313927709357813E-5</v>
      </c>
      <c r="CC59" s="36">
        <f>RawData!X57</f>
        <v>6.7848304752260447E-10</v>
      </c>
      <c r="CD59" s="36">
        <f>RawData!W57</f>
        <v>167507.765625</v>
      </c>
      <c r="CE59" s="40">
        <f>RawData!V57</f>
        <v>-6.65625</v>
      </c>
      <c r="CF59" s="40">
        <f>RawData!U57</f>
        <v>66410.3125</v>
      </c>
      <c r="CG59" s="40">
        <f>RawData!T57</f>
        <v>2.453125</v>
      </c>
      <c r="CH59" s="44">
        <f>RawData!S57</f>
        <v>4.5</v>
      </c>
      <c r="CI59" s="44">
        <f>RawData!R57</f>
        <v>4.6999998092651367</v>
      </c>
      <c r="CJ59" s="44">
        <f>RawData!Q57</f>
        <v>2.7999999523162842</v>
      </c>
      <c r="CK59" s="44">
        <f>RawData!P57</f>
        <v>2.7999999523162842</v>
      </c>
      <c r="CL59" s="44">
        <f>RawData!CJ57</f>
        <v>5375</v>
      </c>
      <c r="CM59" s="43">
        <f>RawData!CI57</f>
        <v>2.8499999046325684</v>
      </c>
      <c r="CN59" s="44">
        <f>RawData!CL57</f>
        <v>675</v>
      </c>
      <c r="CO59" s="43">
        <f>RawData!CK57</f>
        <v>2.75</v>
      </c>
      <c r="CP59" s="44">
        <f>RawData!CM57</f>
        <v>3.8399999141693115</v>
      </c>
      <c r="CQ59" s="47">
        <f>RawData!CO57</f>
        <v>44783.638194444444</v>
      </c>
      <c r="CR59" s="44">
        <f>RawData!CP57</f>
        <v>38295.69921875</v>
      </c>
      <c r="CS59" s="44">
        <f>RawData!DG57</f>
        <v>38295.69921875</v>
      </c>
      <c r="CT59" s="43" t="str">
        <f>RawData!DJ57</f>
        <v>G</v>
      </c>
      <c r="CU59" s="43" t="str">
        <f>RawData!CQ57</f>
        <v>FairPrice</v>
      </c>
      <c r="CV59" s="47">
        <f>RawData!CR57</f>
        <v>44783.638194444444</v>
      </c>
      <c r="CW59" s="65">
        <f>RawData!DK57</f>
        <v>38300</v>
      </c>
      <c r="CX59" s="65">
        <f>RawData!DL57</f>
        <v>3400000</v>
      </c>
      <c r="CY59" s="65">
        <f>RawData!DM57</f>
        <v>38500</v>
      </c>
      <c r="CZ59" s="65">
        <f>RawData!DN57</f>
        <v>0</v>
      </c>
      <c r="DA59" s="65">
        <f>RawData!DO57</f>
        <v>24500</v>
      </c>
      <c r="DB59" s="65">
        <f>RawData!DP57</f>
        <v>2863350</v>
      </c>
      <c r="DC59" s="65">
        <f>RawData!DQ57</f>
        <v>38000</v>
      </c>
      <c r="DD59" s="65">
        <f>RawData!DR57</f>
        <v>0</v>
      </c>
      <c r="DE59" s="65">
        <f>RawData!DS57</f>
        <v>24500</v>
      </c>
      <c r="DF59" s="65" t="str">
        <f>RawData!DT57</f>
        <v>BANKNIFTY</v>
      </c>
      <c r="DG59" s="66">
        <f>RawData!DU57</f>
        <v>44784</v>
      </c>
      <c r="DI59" s="21">
        <f t="shared" si="0"/>
        <v>3395.69921875</v>
      </c>
    </row>
    <row r="60" spans="1:113" x14ac:dyDescent="0.2">
      <c r="A60" s="59">
        <f>RawData!CN58</f>
        <v>44783.638194444444</v>
      </c>
      <c r="B60" s="44">
        <f>RawData!CH58</f>
        <v>3296.580078125</v>
      </c>
      <c r="C60" s="44">
        <f>RawData!CG58</f>
        <v>200</v>
      </c>
      <c r="D60" s="43">
        <f>RawData!CF58</f>
        <v>3283.300048828125</v>
      </c>
      <c r="E60" s="44">
        <f>RawData!CE58</f>
        <v>125</v>
      </c>
      <c r="F60" s="43">
        <f>RawData!CD58</f>
        <v>3305.5</v>
      </c>
      <c r="G60" s="44">
        <f>RawData!CC58</f>
        <v>3260</v>
      </c>
      <c r="H60" s="44">
        <f>RawData!CB58</f>
        <v>3184.300048828125</v>
      </c>
      <c r="I60" s="44">
        <f>RawData!CA58</f>
        <v>3380</v>
      </c>
      <c r="J60" s="44">
        <f>RawData!BZ58</f>
        <v>3370</v>
      </c>
      <c r="K60" s="40">
        <f>RawData!BY58</f>
        <v>0</v>
      </c>
      <c r="L60" s="40">
        <f>RawData!BX58</f>
        <v>0</v>
      </c>
      <c r="M60" s="40">
        <f>RawData!BW58</f>
        <v>0</v>
      </c>
      <c r="N60" s="40">
        <f>RawData!BV58</f>
        <v>0</v>
      </c>
      <c r="O60" s="36">
        <f>RawData!BU58</f>
        <v>0</v>
      </c>
      <c r="P60" s="36">
        <f>RawData!BT58</f>
        <v>0</v>
      </c>
      <c r="Q60" s="36">
        <f>RawData!BS58</f>
        <v>0</v>
      </c>
      <c r="R60" s="36">
        <f>RawData!BR58</f>
        <v>0</v>
      </c>
      <c r="S60" s="37">
        <f>RawData!BQ58</f>
        <v>0</v>
      </c>
      <c r="T60" s="37">
        <f>RawData!BP58</f>
        <v>0</v>
      </c>
      <c r="U60" s="38">
        <f>RawData!BO58</f>
        <v>0</v>
      </c>
      <c r="V60" s="38">
        <f>RawData!BN58</f>
        <v>0</v>
      </c>
      <c r="W60" s="39">
        <f>RawData!BM58</f>
        <v>0</v>
      </c>
      <c r="X60" s="39">
        <f>RawData!BL58</f>
        <v>0</v>
      </c>
      <c r="Y60" s="38">
        <f>RawData!BJ58</f>
        <v>0</v>
      </c>
      <c r="Z60" s="38">
        <f>RawData!BI58</f>
        <v>0</v>
      </c>
      <c r="AA60" s="40">
        <f>RawData!BH58</f>
        <v>0</v>
      </c>
      <c r="AB60" s="40">
        <f>RawData!BG58</f>
        <v>0</v>
      </c>
      <c r="AC60" s="40">
        <f>RawData!BF58</f>
        <v>0</v>
      </c>
      <c r="AD60" s="40">
        <f>RawData!BE58</f>
        <v>0</v>
      </c>
      <c r="AE60" s="40">
        <f>RawData!BD58</f>
        <v>0</v>
      </c>
      <c r="AF60" s="40">
        <f>RawData!BC58</f>
        <v>0</v>
      </c>
      <c r="AG60" s="41">
        <f>RawData!BB58</f>
        <v>2375</v>
      </c>
      <c r="AH60" s="42">
        <f>RawData!DB58</f>
        <v>-7.9088471849865949E-2</v>
      </c>
      <c r="AI60" s="41">
        <f>RawData!BA58</f>
        <v>-1475</v>
      </c>
      <c r="AJ60" s="43">
        <f>RawData!DA58</f>
        <v>18650</v>
      </c>
      <c r="AK60" s="41">
        <f>RawData!AZ58</f>
        <v>17175</v>
      </c>
      <c r="AL60" s="42">
        <f>RawData!DD58</f>
        <v>0</v>
      </c>
      <c r="AM60" s="44">
        <f>RawData!DC58</f>
        <v>0</v>
      </c>
      <c r="AN60" s="45">
        <f>RawData!BK58</f>
        <v>0</v>
      </c>
      <c r="AO60" s="44">
        <f>RawData!AY58</f>
        <v>0</v>
      </c>
      <c r="AP60" s="43" t="str">
        <f>RawData!DH58</f>
        <v>W</v>
      </c>
      <c r="AQ60" s="43">
        <f>RawData!DE58</f>
        <v>3260</v>
      </c>
      <c r="AR60" s="42">
        <f>RawData!CZ58</f>
        <v>0</v>
      </c>
      <c r="AS60" s="44">
        <f>RawData!AX58</f>
        <v>0</v>
      </c>
      <c r="AT60" s="43">
        <f>RawData!CY58</f>
        <v>3260</v>
      </c>
      <c r="AU60" s="44">
        <f>RawData!AW58</f>
        <v>3260</v>
      </c>
      <c r="AV60" s="46">
        <f>RawData!O58</f>
        <v>35000</v>
      </c>
      <c r="AW60" s="44">
        <f>RawData!AV58</f>
        <v>2.75</v>
      </c>
      <c r="AX60" s="44">
        <f>RawData!CW58</f>
        <v>2.75</v>
      </c>
      <c r="AY60" s="44">
        <f>RawData!AU58</f>
        <v>0</v>
      </c>
      <c r="AZ60" s="42">
        <f>RawData!CX58</f>
        <v>0</v>
      </c>
      <c r="BA60" s="44">
        <f>RawData!DF58</f>
        <v>2.75</v>
      </c>
      <c r="BB60" s="43" t="str">
        <f>RawData!DI58</f>
        <v>W</v>
      </c>
      <c r="BC60" s="44">
        <f>RawData!AT58</f>
        <v>68.140119314193726</v>
      </c>
      <c r="BD60" s="45">
        <f>RawData!AP58</f>
        <v>68.140119314193726</v>
      </c>
      <c r="BE60" s="44">
        <f>RawData!CS58</f>
        <v>2.3424625396728516E-3</v>
      </c>
      <c r="BF60" s="42">
        <f>RawData!CT58</f>
        <v>3.4378323565982149E-5</v>
      </c>
      <c r="BG60" s="41">
        <f>RawData!AS58</f>
        <v>1025350</v>
      </c>
      <c r="BH60" s="41">
        <f>RawData!CU58</f>
        <v>1279750</v>
      </c>
      <c r="BI60" s="41">
        <f>RawData!AR58</f>
        <v>-254400</v>
      </c>
      <c r="BJ60" s="42">
        <f>RawData!CV58</f>
        <v>-0.19878882594256692</v>
      </c>
      <c r="BK60" s="41">
        <f>RawData!AQ58</f>
        <v>8117750</v>
      </c>
      <c r="BL60" s="40">
        <f>RawData!AO58</f>
        <v>-6.0969549231231213E-3</v>
      </c>
      <c r="BM60" s="40">
        <f>RawData!AN58</f>
        <v>7.8696757555007935E-8</v>
      </c>
      <c r="BN60" s="40">
        <f>RawData!AM58</f>
        <v>-2.75</v>
      </c>
      <c r="BO60" s="40">
        <f>RawData!AL58</f>
        <v>0</v>
      </c>
      <c r="BP60" s="40">
        <f>RawData!AK58</f>
        <v>0.35051882266998291</v>
      </c>
      <c r="BQ60" s="40">
        <f>RawData!AJ58</f>
        <v>-1.1116266250610352E-5</v>
      </c>
      <c r="BR60" s="38">
        <f>RawData!AI58</f>
        <v>1.2452903320081532E-5</v>
      </c>
      <c r="BS60" s="38">
        <f>RawData!AH58</f>
        <v>-3.1741365091875196E-10</v>
      </c>
      <c r="BT60" s="40">
        <f>RawData!AG58</f>
        <v>-33.456295013427734</v>
      </c>
      <c r="BU60" s="39">
        <f>RawData!AF58</f>
        <v>7.0953369140625E-4</v>
      </c>
      <c r="BV60" s="39">
        <f>RawData!AE58</f>
        <v>11.087153434753418</v>
      </c>
      <c r="BW60" s="38">
        <f>RawData!AD58</f>
        <v>6.2465667724609375E-4</v>
      </c>
      <c r="BX60" s="38">
        <f>RawData!AC58</f>
        <v>-2.2863078541490722E-8</v>
      </c>
      <c r="BY60" s="37">
        <f>RawData!AB58</f>
        <v>8.5975671026972122E-13</v>
      </c>
      <c r="BZ60" s="37">
        <f>RawData!AA58</f>
        <v>9.4882598205003887E-5</v>
      </c>
      <c r="CA60" s="36">
        <f>RawData!Z58</f>
        <v>-5.2896211855113506E-9</v>
      </c>
      <c r="CB60" s="36">
        <f>RawData!Y58</f>
        <v>3.1443349143955857E-5</v>
      </c>
      <c r="CC60" s="36">
        <f>RawData!X58</f>
        <v>6.8757799454033375E-10</v>
      </c>
      <c r="CD60" s="36">
        <f>RawData!W58</f>
        <v>170436.03125</v>
      </c>
      <c r="CE60" s="40">
        <f>RawData!V58</f>
        <v>-6.765625</v>
      </c>
      <c r="CF60" s="40">
        <f>RawData!U58</f>
        <v>65603.078125</v>
      </c>
      <c r="CG60" s="40">
        <f>RawData!T58</f>
        <v>2.453125</v>
      </c>
      <c r="CH60" s="44">
        <f>RawData!S58</f>
        <v>4.1999998092651367</v>
      </c>
      <c r="CI60" s="44">
        <f>RawData!R58</f>
        <v>4.9000000953674316</v>
      </c>
      <c r="CJ60" s="44">
        <f>RawData!Q58</f>
        <v>2.7000000476837158</v>
      </c>
      <c r="CK60" s="44">
        <f>RawData!P58</f>
        <v>2.75</v>
      </c>
      <c r="CL60" s="44">
        <f>RawData!CJ58</f>
        <v>2375</v>
      </c>
      <c r="CM60" s="43">
        <f>RawData!CI58</f>
        <v>2.75</v>
      </c>
      <c r="CN60" s="44">
        <f>RawData!CL58</f>
        <v>9150</v>
      </c>
      <c r="CO60" s="43">
        <f>RawData!CK58</f>
        <v>2.7000000476837158</v>
      </c>
      <c r="CP60" s="44">
        <f>RawData!CM58</f>
        <v>3.9600000381469727</v>
      </c>
      <c r="CQ60" s="47">
        <f>RawData!CO58</f>
        <v>44783.638194444444</v>
      </c>
      <c r="CR60" s="44">
        <f>RawData!CP58</f>
        <v>38295.69921875</v>
      </c>
      <c r="CS60" s="44">
        <f>RawData!DG58</f>
        <v>38295.69921875</v>
      </c>
      <c r="CT60" s="43" t="str">
        <f>RawData!DJ58</f>
        <v>G</v>
      </c>
      <c r="CU60" s="43" t="str">
        <f>RawData!CQ58</f>
        <v>FairPrice</v>
      </c>
      <c r="CV60" s="47">
        <f>RawData!CR58</f>
        <v>44783.638194444444</v>
      </c>
      <c r="CW60" s="65">
        <f>RawData!DK58</f>
        <v>38300</v>
      </c>
      <c r="CX60" s="65">
        <f>RawData!DL58</f>
        <v>3400000</v>
      </c>
      <c r="CY60" s="65">
        <f>RawData!DM58</f>
        <v>38500</v>
      </c>
      <c r="CZ60" s="65">
        <f>RawData!DN58</f>
        <v>0</v>
      </c>
      <c r="DA60" s="65">
        <f>RawData!DO58</f>
        <v>24500</v>
      </c>
      <c r="DB60" s="65">
        <f>RawData!DP58</f>
        <v>2863350</v>
      </c>
      <c r="DC60" s="65">
        <f>RawData!DQ58</f>
        <v>38000</v>
      </c>
      <c r="DD60" s="65">
        <f>RawData!DR58</f>
        <v>0</v>
      </c>
      <c r="DE60" s="65">
        <f>RawData!DS58</f>
        <v>24500</v>
      </c>
      <c r="DF60" s="65" t="str">
        <f>RawData!DT58</f>
        <v>BANKNIFTY</v>
      </c>
      <c r="DG60" s="66">
        <f>RawData!DU58</f>
        <v>44784</v>
      </c>
      <c r="DI60" s="21">
        <f t="shared" si="0"/>
        <v>3295.69921875</v>
      </c>
    </row>
    <row r="61" spans="1:113" x14ac:dyDescent="0.2">
      <c r="A61" s="59">
        <f>RawData!CN59</f>
        <v>44783.638194444444</v>
      </c>
      <c r="B61" s="44">
        <f>RawData!CH59</f>
        <v>0</v>
      </c>
      <c r="C61" s="44">
        <f>RawData!CG59</f>
        <v>50</v>
      </c>
      <c r="D61" s="43">
        <f>RawData!CF59</f>
        <v>3162.050048828125</v>
      </c>
      <c r="E61" s="44">
        <f>RawData!CE59</f>
        <v>50</v>
      </c>
      <c r="F61" s="43">
        <f>RawData!CD59</f>
        <v>3262.050048828125</v>
      </c>
      <c r="G61" s="44">
        <f>RawData!CC59</f>
        <v>2828</v>
      </c>
      <c r="H61" s="44">
        <f>RawData!CB59</f>
        <v>0</v>
      </c>
      <c r="I61" s="44">
        <f>RawData!CA59</f>
        <v>0</v>
      </c>
      <c r="J61" s="44">
        <f>RawData!BZ59</f>
        <v>0</v>
      </c>
      <c r="K61" s="40">
        <f>RawData!BY59</f>
        <v>0</v>
      </c>
      <c r="L61" s="40">
        <f>RawData!BX59</f>
        <v>0</v>
      </c>
      <c r="M61" s="40">
        <f>RawData!BW59</f>
        <v>0</v>
      </c>
      <c r="N61" s="40">
        <f>RawData!BV59</f>
        <v>0</v>
      </c>
      <c r="O61" s="36">
        <f>RawData!BU59</f>
        <v>0</v>
      </c>
      <c r="P61" s="36">
        <f>RawData!BT59</f>
        <v>0</v>
      </c>
      <c r="Q61" s="36">
        <f>RawData!BS59</f>
        <v>0</v>
      </c>
      <c r="R61" s="36">
        <f>RawData!BR59</f>
        <v>0</v>
      </c>
      <c r="S61" s="37">
        <f>RawData!BQ59</f>
        <v>0</v>
      </c>
      <c r="T61" s="37">
        <f>RawData!BP59</f>
        <v>0</v>
      </c>
      <c r="U61" s="38">
        <f>RawData!BO59</f>
        <v>0</v>
      </c>
      <c r="V61" s="38">
        <f>RawData!BN59</f>
        <v>0</v>
      </c>
      <c r="W61" s="39">
        <f>RawData!BM59</f>
        <v>0</v>
      </c>
      <c r="X61" s="39">
        <f>RawData!BL59</f>
        <v>0</v>
      </c>
      <c r="Y61" s="38">
        <f>RawData!BJ59</f>
        <v>0</v>
      </c>
      <c r="Z61" s="38">
        <f>RawData!BI59</f>
        <v>0</v>
      </c>
      <c r="AA61" s="40">
        <f>RawData!BH59</f>
        <v>0</v>
      </c>
      <c r="AB61" s="40">
        <f>RawData!BG59</f>
        <v>0</v>
      </c>
      <c r="AC61" s="40">
        <f>RawData!BF59</f>
        <v>0</v>
      </c>
      <c r="AD61" s="40">
        <f>RawData!BE59</f>
        <v>0</v>
      </c>
      <c r="AE61" s="40">
        <f>RawData!BD59</f>
        <v>0</v>
      </c>
      <c r="AF61" s="40">
        <f>RawData!BC59</f>
        <v>0</v>
      </c>
      <c r="AG61" s="41">
        <f>RawData!BB59</f>
        <v>0</v>
      </c>
      <c r="AH61" s="42">
        <f>RawData!DB59</f>
        <v>0</v>
      </c>
      <c r="AI61" s="41">
        <f>RawData!BA59</f>
        <v>0</v>
      </c>
      <c r="AJ61" s="43">
        <f>RawData!DA59</f>
        <v>1400</v>
      </c>
      <c r="AK61" s="41">
        <f>RawData!AZ59</f>
        <v>1400</v>
      </c>
      <c r="AL61" s="42">
        <f>RawData!DD59</f>
        <v>0</v>
      </c>
      <c r="AM61" s="44">
        <f>RawData!DC59</f>
        <v>0</v>
      </c>
      <c r="AN61" s="45">
        <f>RawData!BK59</f>
        <v>0</v>
      </c>
      <c r="AO61" s="44">
        <f>RawData!AY59</f>
        <v>0</v>
      </c>
      <c r="AP61" s="43" t="str">
        <f>RawData!DH59</f>
        <v>W</v>
      </c>
      <c r="AQ61" s="43">
        <f>RawData!DE59</f>
        <v>2828</v>
      </c>
      <c r="AR61" s="42">
        <f>RawData!CZ59</f>
        <v>0</v>
      </c>
      <c r="AS61" s="44">
        <f>RawData!AX59</f>
        <v>0</v>
      </c>
      <c r="AT61" s="43">
        <f>RawData!CY59</f>
        <v>2828</v>
      </c>
      <c r="AU61" s="44">
        <f>RawData!AW59</f>
        <v>2828</v>
      </c>
      <c r="AV61" s="46">
        <f>RawData!O59</f>
        <v>35100</v>
      </c>
      <c r="AW61" s="44">
        <f>RawData!AV59</f>
        <v>3</v>
      </c>
      <c r="AX61" s="44">
        <f>RawData!CW59</f>
        <v>3</v>
      </c>
      <c r="AY61" s="44">
        <f>RawData!AU59</f>
        <v>0</v>
      </c>
      <c r="AZ61" s="42">
        <f>RawData!CX59</f>
        <v>0</v>
      </c>
      <c r="BA61" s="44">
        <f>RawData!DF59</f>
        <v>3</v>
      </c>
      <c r="BB61" s="43" t="str">
        <f>RawData!DI59</f>
        <v>W</v>
      </c>
      <c r="BC61" s="44">
        <f>RawData!AT59</f>
        <v>66.89002513885498</v>
      </c>
      <c r="BD61" s="45">
        <f>RawData!AP59</f>
        <v>66.89002513885498</v>
      </c>
      <c r="BE61" s="44">
        <f>RawData!CS59</f>
        <v>-1.5020370483398438E-3</v>
      </c>
      <c r="BF61" s="42">
        <f>RawData!CT59</f>
        <v>-2.2454817698958595E-5</v>
      </c>
      <c r="BG61" s="41">
        <f>RawData!AS59</f>
        <v>65850</v>
      </c>
      <c r="BH61" s="41">
        <f>RawData!CU59</f>
        <v>74075</v>
      </c>
      <c r="BI61" s="41">
        <f>RawData!AR59</f>
        <v>-8225</v>
      </c>
      <c r="BJ61" s="42">
        <f>RawData!CV59</f>
        <v>-0.11103611204859939</v>
      </c>
      <c r="BK61" s="41">
        <f>RawData!AQ59</f>
        <v>545100</v>
      </c>
      <c r="BL61" s="40">
        <f>RawData!AO59</f>
        <v>-6.7125596106052399E-3</v>
      </c>
      <c r="BM61" s="40">
        <f>RawData!AN59</f>
        <v>-4.4517219066619873E-7</v>
      </c>
      <c r="BN61" s="40">
        <f>RawData!AM59</f>
        <v>-3</v>
      </c>
      <c r="BO61" s="40">
        <f>RawData!AL59</f>
        <v>0</v>
      </c>
      <c r="BP61" s="40">
        <f>RawData!AK59</f>
        <v>0.38166254758834839</v>
      </c>
      <c r="BQ61" s="40">
        <f>RawData!AJ59</f>
        <v>3.3974647521972656E-6</v>
      </c>
      <c r="BR61" s="38">
        <f>RawData!AI59</f>
        <v>1.381275706080487E-5</v>
      </c>
      <c r="BS61" s="38">
        <f>RawData!AH59</f>
        <v>1.8080754671245813E-9</v>
      </c>
      <c r="BT61" s="40">
        <f>RawData!AG59</f>
        <v>-30.875637054443359</v>
      </c>
      <c r="BU61" s="39">
        <f>RawData!AF59</f>
        <v>1.3866424560546875E-3</v>
      </c>
      <c r="BV61" s="39">
        <f>RawData!AE59</f>
        <v>10.044229507446289</v>
      </c>
      <c r="BW61" s="38">
        <f>RawData!AD59</f>
        <v>1.9168853759765625E-4</v>
      </c>
      <c r="BX61" s="38">
        <f>RawData!AC59</f>
        <v>-2.547950650466646E-8</v>
      </c>
      <c r="BY61" s="37">
        <f>RawData!AB59</f>
        <v>-4.9116266609416925E-12</v>
      </c>
      <c r="BZ61" s="37">
        <f>RawData!AA59</f>
        <v>1.0375450074207038E-4</v>
      </c>
      <c r="CA61" s="36">
        <f>RawData!Z59</f>
        <v>1.3627868611365557E-8</v>
      </c>
      <c r="CB61" s="36">
        <f>RawData!Y59</f>
        <v>3.3752628951333463E-5</v>
      </c>
      <c r="CC61" s="36">
        <f>RawData!X59</f>
        <v>6.5920175984501839E-9</v>
      </c>
      <c r="CD61" s="36">
        <f>RawData!W59</f>
        <v>155143.640625</v>
      </c>
      <c r="CE61" s="40">
        <f>RawData!V59</f>
        <v>-16.171875</v>
      </c>
      <c r="CF61" s="40">
        <f>RawData!U59</f>
        <v>58847.72265625</v>
      </c>
      <c r="CG61" s="40">
        <f>RawData!T59</f>
        <v>-2.21484375</v>
      </c>
      <c r="CH61" s="44">
        <f>RawData!S59</f>
        <v>4.5</v>
      </c>
      <c r="CI61" s="44">
        <f>RawData!R59</f>
        <v>5</v>
      </c>
      <c r="CJ61" s="44">
        <f>RawData!Q59</f>
        <v>2.9500000476837158</v>
      </c>
      <c r="CK61" s="44">
        <f>RawData!P59</f>
        <v>3</v>
      </c>
      <c r="CL61" s="44">
        <f>RawData!CJ59</f>
        <v>150</v>
      </c>
      <c r="CM61" s="43">
        <f>RawData!CI59</f>
        <v>3</v>
      </c>
      <c r="CN61" s="44">
        <f>RawData!CL59</f>
        <v>775</v>
      </c>
      <c r="CO61" s="43">
        <f>RawData!CK59</f>
        <v>2.9500000476837158</v>
      </c>
      <c r="CP61" s="44">
        <f>RawData!CM59</f>
        <v>4.1500000953674316</v>
      </c>
      <c r="CQ61" s="47">
        <f>RawData!CO59</f>
        <v>44783.638194444444</v>
      </c>
      <c r="CR61" s="44">
        <f>RawData!CP59</f>
        <v>38295.69921875</v>
      </c>
      <c r="CS61" s="44">
        <f>RawData!DG59</f>
        <v>38295.69921875</v>
      </c>
      <c r="CT61" s="43" t="str">
        <f>RawData!DJ59</f>
        <v>G</v>
      </c>
      <c r="CU61" s="43" t="str">
        <f>RawData!CQ59</f>
        <v>FairPrice</v>
      </c>
      <c r="CV61" s="47">
        <f>RawData!CR59</f>
        <v>44783.638194444444</v>
      </c>
      <c r="CW61" s="65">
        <f>RawData!DK59</f>
        <v>38300</v>
      </c>
      <c r="CX61" s="65">
        <f>RawData!DL59</f>
        <v>3400000</v>
      </c>
      <c r="CY61" s="65">
        <f>RawData!DM59</f>
        <v>38500</v>
      </c>
      <c r="CZ61" s="65">
        <f>RawData!DN59</f>
        <v>0</v>
      </c>
      <c r="DA61" s="65">
        <f>RawData!DO59</f>
        <v>24500</v>
      </c>
      <c r="DB61" s="65">
        <f>RawData!DP59</f>
        <v>2863350</v>
      </c>
      <c r="DC61" s="65">
        <f>RawData!DQ59</f>
        <v>38000</v>
      </c>
      <c r="DD61" s="65">
        <f>RawData!DR59</f>
        <v>0</v>
      </c>
      <c r="DE61" s="65">
        <f>RawData!DS59</f>
        <v>24500</v>
      </c>
      <c r="DF61" s="65" t="str">
        <f>RawData!DT59</f>
        <v>BANKNIFTY</v>
      </c>
      <c r="DG61" s="66">
        <f>RawData!DU59</f>
        <v>44784</v>
      </c>
      <c r="DI61" s="21">
        <f t="shared" si="0"/>
        <v>3195.69921875</v>
      </c>
    </row>
    <row r="62" spans="1:113" x14ac:dyDescent="0.2">
      <c r="A62" s="59">
        <f>RawData!CN60</f>
        <v>44783.638194444444</v>
      </c>
      <c r="B62" s="44">
        <f>RawData!CH60</f>
        <v>3108.5</v>
      </c>
      <c r="C62" s="44">
        <f>RawData!CG60</f>
        <v>50</v>
      </c>
      <c r="D62" s="43">
        <f>RawData!CF60</f>
        <v>3073.75</v>
      </c>
      <c r="E62" s="44">
        <f>RawData!CE60</f>
        <v>50</v>
      </c>
      <c r="F62" s="43">
        <f>RawData!CD60</f>
        <v>3097.449951171875</v>
      </c>
      <c r="G62" s="44">
        <f>RawData!CC60</f>
        <v>3105</v>
      </c>
      <c r="H62" s="44">
        <f>RawData!CB60</f>
        <v>3000</v>
      </c>
      <c r="I62" s="44">
        <f>RawData!CA60</f>
        <v>3190</v>
      </c>
      <c r="J62" s="44">
        <f>RawData!BZ60</f>
        <v>3000</v>
      </c>
      <c r="K62" s="40">
        <f>RawData!BY60</f>
        <v>96.87109375</v>
      </c>
      <c r="L62" s="40">
        <f>RawData!BX60</f>
        <v>20434.517578125</v>
      </c>
      <c r="M62" s="40">
        <f>RawData!BW60</f>
        <v>259.9375</v>
      </c>
      <c r="N62" s="40">
        <f>RawData!BV60</f>
        <v>45413.11328125</v>
      </c>
      <c r="O62" s="36">
        <f>RawData!BU60</f>
        <v>-2.8601789381355047E-8</v>
      </c>
      <c r="P62" s="36">
        <f>RawData!BT60</f>
        <v>4.5405620767269284E-5</v>
      </c>
      <c r="Q62" s="36">
        <f>RawData!BS60</f>
        <v>8.7602529674768448E-9</v>
      </c>
      <c r="R62" s="36">
        <f>RawData!BR60</f>
        <v>1.2369944306556135E-4</v>
      </c>
      <c r="S62" s="37">
        <f>RawData!BQ60</f>
        <v>4.5726977759841247E-11</v>
      </c>
      <c r="T62" s="37">
        <f>RawData!BP60</f>
        <v>-3.8432467874827125E-8</v>
      </c>
      <c r="U62" s="38">
        <f>RawData!BO60</f>
        <v>1.6542673110961914E-2</v>
      </c>
      <c r="V62" s="38">
        <f>RawData!BN60</f>
        <v>3.8609330654144287</v>
      </c>
      <c r="W62" s="39">
        <f>RawData!BM60</f>
        <v>-5.2401542663574219E-2</v>
      </c>
      <c r="X62" s="39">
        <f>RawData!BL60</f>
        <v>-10.518417358398438</v>
      </c>
      <c r="Y62" s="38">
        <f>RawData!BJ60</f>
        <v>-7.3396222433075309E-8</v>
      </c>
      <c r="Z62" s="38">
        <f>RawData!BI60</f>
        <v>2.7239088012720458E-5</v>
      </c>
      <c r="AA62" s="40">
        <f>RawData!BH60</f>
        <v>-2.9564499855041504E-3</v>
      </c>
      <c r="AB62" s="40">
        <f>RawData!BG60</f>
        <v>0.84924042224884033</v>
      </c>
      <c r="AC62" s="40">
        <f>RawData!BF60</f>
        <v>0.13043975830078125</v>
      </c>
      <c r="AD62" s="40">
        <f>RawData!BE60</f>
        <v>-31.172565460205078</v>
      </c>
      <c r="AE62" s="40">
        <f>RawData!BD60</f>
        <v>6.8068504333496094E-5</v>
      </c>
      <c r="AF62" s="40">
        <f>RawData!BC60</f>
        <v>0.98317688703536987</v>
      </c>
      <c r="AG62" s="41">
        <f>RawData!BB60</f>
        <v>1200</v>
      </c>
      <c r="AH62" s="42">
        <f>RawData!DB60</f>
        <v>-3.8095238095238099E-2</v>
      </c>
      <c r="AI62" s="41">
        <f>RawData!BA60</f>
        <v>-200</v>
      </c>
      <c r="AJ62" s="43">
        <f>RawData!DA60</f>
        <v>5250</v>
      </c>
      <c r="AK62" s="41">
        <f>RawData!AZ60</f>
        <v>5050</v>
      </c>
      <c r="AL62" s="42">
        <f>RawData!DD60</f>
        <v>-7.434496569130954E-4</v>
      </c>
      <c r="AM62" s="44">
        <f>RawData!DC60</f>
        <v>-5.6153535842895508E-2</v>
      </c>
      <c r="AN62" s="45">
        <f>RawData!BK60</f>
        <v>75.474900007247925</v>
      </c>
      <c r="AO62" s="44">
        <f>RawData!AY60</f>
        <v>75.474900007247925</v>
      </c>
      <c r="AP62" s="43" t="str">
        <f>RawData!DH60</f>
        <v>W</v>
      </c>
      <c r="AQ62" s="43">
        <f>RawData!DE60</f>
        <v>3105</v>
      </c>
      <c r="AR62" s="42">
        <f>RawData!CZ60</f>
        <v>0</v>
      </c>
      <c r="AS62" s="44">
        <f>RawData!AX60</f>
        <v>0</v>
      </c>
      <c r="AT62" s="43">
        <f>RawData!CY60</f>
        <v>3105</v>
      </c>
      <c r="AU62" s="44">
        <f>RawData!AW60</f>
        <v>3105</v>
      </c>
      <c r="AV62" s="46">
        <f>RawData!O60</f>
        <v>35200</v>
      </c>
      <c r="AW62" s="44">
        <f>RawData!AV60</f>
        <v>3</v>
      </c>
      <c r="AX62" s="44">
        <f>RawData!CW60</f>
        <v>3</v>
      </c>
      <c r="AY62" s="44">
        <f>RawData!AU60</f>
        <v>0</v>
      </c>
      <c r="AZ62" s="42">
        <f>RawData!CX60</f>
        <v>0</v>
      </c>
      <c r="BA62" s="44">
        <f>RawData!DF60</f>
        <v>3</v>
      </c>
      <c r="BB62" s="43" t="str">
        <f>RawData!DI60</f>
        <v>W</v>
      </c>
      <c r="BC62" s="44">
        <f>RawData!AT60</f>
        <v>64.946985244750977</v>
      </c>
      <c r="BD62" s="45">
        <f>RawData!AP60</f>
        <v>64.946985244750977</v>
      </c>
      <c r="BE62" s="44">
        <f>RawData!CS60</f>
        <v>1.1628866195678711E-2</v>
      </c>
      <c r="BF62" s="42">
        <f>RawData!CT60</f>
        <v>1.790837356445018E-4</v>
      </c>
      <c r="BG62" s="41">
        <f>RawData!AS60</f>
        <v>65100</v>
      </c>
      <c r="BH62" s="41">
        <f>RawData!CU60</f>
        <v>107275</v>
      </c>
      <c r="BI62" s="41">
        <f>RawData!AR60</f>
        <v>-42175</v>
      </c>
      <c r="BJ62" s="42">
        <f>RawData!CV60</f>
        <v>-0.39314845024469819</v>
      </c>
      <c r="BK62" s="41">
        <f>RawData!AQ60</f>
        <v>737425</v>
      </c>
      <c r="BL62" s="40">
        <f>RawData!AO60</f>
        <v>-6.8968124687671661E-3</v>
      </c>
      <c r="BM62" s="40">
        <f>RawData!AN60</f>
        <v>9.4203278422355652E-7</v>
      </c>
      <c r="BN62" s="40">
        <f>RawData!AM60</f>
        <v>-3</v>
      </c>
      <c r="BO62" s="40">
        <f>RawData!AL60</f>
        <v>0</v>
      </c>
      <c r="BP62" s="40">
        <f>RawData!AK60</f>
        <v>0.39090162515640259</v>
      </c>
      <c r="BQ62" s="40">
        <f>RawData!AJ60</f>
        <v>-5.8948993682861328E-5</v>
      </c>
      <c r="BR62" s="38">
        <f>RawData!AI60</f>
        <v>1.4570448001904879E-5</v>
      </c>
      <c r="BS62" s="38">
        <f>RawData!AH60</f>
        <v>-3.9281076169572771E-9</v>
      </c>
      <c r="BT62" s="40">
        <f>RawData!AG60</f>
        <v>-30.937297821044922</v>
      </c>
      <c r="BU62" s="39">
        <f>RawData!AF60</f>
        <v>1.24359130859375E-3</v>
      </c>
      <c r="BV62" s="39">
        <f>RawData!AE60</f>
        <v>9.7719383239746094</v>
      </c>
      <c r="BW62" s="38">
        <f>RawData!AD60</f>
        <v>2.2020339965820313E-3</v>
      </c>
      <c r="BX62" s="38">
        <f>RawData!AC60</f>
        <v>-2.7562938598180153E-8</v>
      </c>
      <c r="BY62" s="37">
        <f>RawData!AB60</f>
        <v>1.0942358130705543E-11</v>
      </c>
      <c r="BZ62" s="37">
        <f>RawData!AA60</f>
        <v>1.1171157530043274E-4</v>
      </c>
      <c r="CA62" s="36">
        <f>RawData!Z60</f>
        <v>-4.5009073801338673E-8</v>
      </c>
      <c r="CB62" s="36">
        <f>RawData!Y60</f>
        <v>3.5285520425532013E-5</v>
      </c>
      <c r="CC62" s="36">
        <f>RawData!X60</f>
        <v>-4.8421497922390699E-9</v>
      </c>
      <c r="CD62" s="36">
        <f>RawData!W60</f>
        <v>154843.453125</v>
      </c>
      <c r="CE62" s="40">
        <f>RawData!V60</f>
        <v>-7.828125</v>
      </c>
      <c r="CF62" s="40">
        <f>RawData!U60</f>
        <v>57088.7890625</v>
      </c>
      <c r="CG62" s="40">
        <f>RawData!T60</f>
        <v>11.96484375</v>
      </c>
      <c r="CH62" s="44">
        <f>RawData!S60</f>
        <v>5.3499999046325684</v>
      </c>
      <c r="CI62" s="44">
        <f>RawData!R60</f>
        <v>5.4000000953674316</v>
      </c>
      <c r="CJ62" s="44">
        <f>RawData!Q60</f>
        <v>2.9500000476837158</v>
      </c>
      <c r="CK62" s="44">
        <f>RawData!P60</f>
        <v>3</v>
      </c>
      <c r="CL62" s="44">
        <f>RawData!CJ60</f>
        <v>1375</v>
      </c>
      <c r="CM62" s="43">
        <f>RawData!CI60</f>
        <v>3.0999999046325684</v>
      </c>
      <c r="CN62" s="44">
        <f>RawData!CL60</f>
        <v>550</v>
      </c>
      <c r="CO62" s="43">
        <f>RawData!CK60</f>
        <v>3</v>
      </c>
      <c r="CP62" s="44">
        <f>RawData!CM60</f>
        <v>4.130000114440918</v>
      </c>
      <c r="CQ62" s="47">
        <f>RawData!CO60</f>
        <v>44783.638194444444</v>
      </c>
      <c r="CR62" s="44">
        <f>RawData!CP60</f>
        <v>38295.69921875</v>
      </c>
      <c r="CS62" s="44">
        <f>RawData!DG60</f>
        <v>38295.69921875</v>
      </c>
      <c r="CT62" s="43" t="str">
        <f>RawData!DJ60</f>
        <v>G</v>
      </c>
      <c r="CU62" s="43" t="str">
        <f>RawData!CQ60</f>
        <v>FairPrice</v>
      </c>
      <c r="CV62" s="47">
        <f>RawData!CR60</f>
        <v>44783.638194444444</v>
      </c>
      <c r="CW62" s="65">
        <f>RawData!DK60</f>
        <v>38300</v>
      </c>
      <c r="CX62" s="65">
        <f>RawData!DL60</f>
        <v>3400000</v>
      </c>
      <c r="CY62" s="65">
        <f>RawData!DM60</f>
        <v>38500</v>
      </c>
      <c r="CZ62" s="65">
        <f>RawData!DN60</f>
        <v>0</v>
      </c>
      <c r="DA62" s="65">
        <f>RawData!DO60</f>
        <v>24500</v>
      </c>
      <c r="DB62" s="65">
        <f>RawData!DP60</f>
        <v>2863350</v>
      </c>
      <c r="DC62" s="65">
        <f>RawData!DQ60</f>
        <v>38000</v>
      </c>
      <c r="DD62" s="65">
        <f>RawData!DR60</f>
        <v>0</v>
      </c>
      <c r="DE62" s="65">
        <f>RawData!DS60</f>
        <v>24500</v>
      </c>
      <c r="DF62" s="65" t="str">
        <f>RawData!DT60</f>
        <v>BANKNIFTY</v>
      </c>
      <c r="DG62" s="66">
        <f>RawData!DU60</f>
        <v>44784</v>
      </c>
      <c r="DI62" s="21">
        <f t="shared" si="0"/>
        <v>3095.69921875</v>
      </c>
    </row>
    <row r="63" spans="1:113" x14ac:dyDescent="0.2">
      <c r="A63" s="59">
        <f>RawData!CN61</f>
        <v>44783.638194444444</v>
      </c>
      <c r="B63" s="44">
        <f>RawData!CH61</f>
        <v>3048</v>
      </c>
      <c r="C63" s="44">
        <f>RawData!CG61</f>
        <v>800</v>
      </c>
      <c r="D63" s="43">
        <f>RawData!CF61</f>
        <v>2920.89990234375</v>
      </c>
      <c r="E63" s="44">
        <f>RawData!CE61</f>
        <v>50</v>
      </c>
      <c r="F63" s="43">
        <f>RawData!CD61</f>
        <v>3073.949951171875</v>
      </c>
      <c r="G63" s="44">
        <f>RawData!CC61</f>
        <v>3048</v>
      </c>
      <c r="H63" s="44">
        <f>RawData!CB61</f>
        <v>3048</v>
      </c>
      <c r="I63" s="44">
        <f>RawData!CA61</f>
        <v>3048</v>
      </c>
      <c r="J63" s="44">
        <f>RawData!BZ61</f>
        <v>3048</v>
      </c>
      <c r="K63" s="40">
        <f>RawData!BY61</f>
        <v>3.7255859375</v>
      </c>
      <c r="L63" s="40">
        <f>RawData!BX61</f>
        <v>4503.35791015625</v>
      </c>
      <c r="M63" s="40">
        <f>RawData!BW61</f>
        <v>7.080078125</v>
      </c>
      <c r="N63" s="40">
        <f>RawData!BV61</f>
        <v>6516.67333984375</v>
      </c>
      <c r="O63" s="36">
        <f>RawData!BU61</f>
        <v>1.822263584472239E-8</v>
      </c>
      <c r="P63" s="36">
        <f>RawData!BT61</f>
        <v>3.8360642065526918E-5</v>
      </c>
      <c r="Q63" s="36">
        <f>RawData!BS61</f>
        <v>4.7984940465539694E-8</v>
      </c>
      <c r="R63" s="36">
        <f>RawData!BR61</f>
        <v>7.9006909800227731E-5</v>
      </c>
      <c r="S63" s="37">
        <f>RawData!BQ61</f>
        <v>-3.716138508025324E-12</v>
      </c>
      <c r="T63" s="37">
        <f>RawData!BP61</f>
        <v>-4.6126441333171897E-8</v>
      </c>
      <c r="U63" s="38">
        <f>RawData!BO61</f>
        <v>7.6472759246826172E-4</v>
      </c>
      <c r="V63" s="38">
        <f>RawData!BN61</f>
        <v>0.99553537368774414</v>
      </c>
      <c r="W63" s="39">
        <f>RawData!BM61</f>
        <v>-1.8465518951416016E-3</v>
      </c>
      <c r="X63" s="39">
        <f>RawData!BL61</f>
        <v>-2.0503876209259033</v>
      </c>
      <c r="Y63" s="38">
        <f>RawData!BJ61</f>
        <v>-1.7869751900434494E-8</v>
      </c>
      <c r="Z63" s="38">
        <f>RawData!BI61</f>
        <v>5.7890280004357919E-5</v>
      </c>
      <c r="AA63" s="40">
        <f>RawData!BH61</f>
        <v>-1.2536048889160156E-3</v>
      </c>
      <c r="AB63" s="40">
        <f>RawData!BG61</f>
        <v>2.3873858451843262</v>
      </c>
      <c r="AC63" s="40">
        <f>RawData!BF61</f>
        <v>7.623291015625E-2</v>
      </c>
      <c r="AD63" s="40">
        <f>RawData!BE61</f>
        <v>-115.91600036621094</v>
      </c>
      <c r="AE63" s="40">
        <f>RawData!BD61</f>
        <v>3.7908554077148438E-5</v>
      </c>
      <c r="AF63" s="40">
        <f>RawData!BC61</f>
        <v>0.94106394052505493</v>
      </c>
      <c r="AG63" s="41">
        <f>RawData!BB61</f>
        <v>25</v>
      </c>
      <c r="AH63" s="42">
        <f>RawData!DB61</f>
        <v>0</v>
      </c>
      <c r="AI63" s="41">
        <f>RawData!BA61</f>
        <v>0</v>
      </c>
      <c r="AJ63" s="43">
        <f>RawData!DA61</f>
        <v>575</v>
      </c>
      <c r="AK63" s="41">
        <f>RawData!AZ61</f>
        <v>575</v>
      </c>
      <c r="AL63" s="42">
        <f>RawData!DD61</f>
        <v>-1.756760798124546E-4</v>
      </c>
      <c r="AM63" s="44">
        <f>RawData!DC61</f>
        <v>-1.7541646957397461E-2</v>
      </c>
      <c r="AN63" s="45">
        <f>RawData!BK61</f>
        <v>99.834680557250977</v>
      </c>
      <c r="AO63" s="44">
        <f>RawData!AY61</f>
        <v>99.834680557250977</v>
      </c>
      <c r="AP63" s="43" t="str">
        <f>RawData!DH61</f>
        <v>W</v>
      </c>
      <c r="AQ63" s="43">
        <f>RawData!DE61</f>
        <v>3048</v>
      </c>
      <c r="AR63" s="42">
        <f>RawData!CZ61</f>
        <v>0</v>
      </c>
      <c r="AS63" s="44">
        <f>RawData!AX61</f>
        <v>0</v>
      </c>
      <c r="AT63" s="43">
        <f>RawData!CY61</f>
        <v>3048</v>
      </c>
      <c r="AU63" s="44">
        <f>RawData!AW61</f>
        <v>3048</v>
      </c>
      <c r="AV63" s="46">
        <f>RawData!O61</f>
        <v>35300</v>
      </c>
      <c r="AW63" s="44">
        <f>RawData!AV61</f>
        <v>3.2999999523162842</v>
      </c>
      <c r="AX63" s="44">
        <f>RawData!CW61</f>
        <v>3.2999999523162842</v>
      </c>
      <c r="AY63" s="44">
        <f>RawData!AU61</f>
        <v>-4.999995231628418E-2</v>
      </c>
      <c r="AZ63" s="42">
        <f>RawData!CX61</f>
        <v>-1.4925359325276825E-2</v>
      </c>
      <c r="BA63" s="44">
        <f>RawData!DF61</f>
        <v>3.2999999523162842</v>
      </c>
      <c r="BB63" s="43" t="str">
        <f>RawData!DI61</f>
        <v>R</v>
      </c>
      <c r="BC63" s="44">
        <f>RawData!AT61</f>
        <v>63.731402158737183</v>
      </c>
      <c r="BD63" s="45">
        <f>RawData!AP61</f>
        <v>63.731402158737183</v>
      </c>
      <c r="BE63" s="44">
        <f>RawData!CS61</f>
        <v>-0.10259151458740234</v>
      </c>
      <c r="BF63" s="42">
        <f>RawData!CT61</f>
        <v>-1.6071611485319621E-3</v>
      </c>
      <c r="BG63" s="41">
        <f>RawData!AS61</f>
        <v>73025</v>
      </c>
      <c r="BH63" s="41">
        <f>RawData!CU61</f>
        <v>150400</v>
      </c>
      <c r="BI63" s="41">
        <f>RawData!AR61</f>
        <v>-77375</v>
      </c>
      <c r="BJ63" s="42">
        <f>RawData!CV61</f>
        <v>-0.51446143617021278</v>
      </c>
      <c r="BK63" s="41">
        <f>RawData!AQ61</f>
        <v>830925</v>
      </c>
      <c r="BL63" s="40">
        <f>RawData!AO61</f>
        <v>-7.6517197303473949E-3</v>
      </c>
      <c r="BM63" s="40">
        <f>RawData!AN61</f>
        <v>9.3428418040275574E-5</v>
      </c>
      <c r="BN63" s="40">
        <f>RawData!AM61</f>
        <v>-3.2999999523162842</v>
      </c>
      <c r="BO63" s="40">
        <f>RawData!AL61</f>
        <v>4.999995231628418E-2</v>
      </c>
      <c r="BP63" s="40">
        <f>RawData!AK61</f>
        <v>0.42839452624320984</v>
      </c>
      <c r="BQ63" s="40">
        <f>RawData!AJ61</f>
        <v>-4.6127438545227051E-3</v>
      </c>
      <c r="BR63" s="38">
        <f>RawData!AI61</f>
        <v>1.627243727853056E-5</v>
      </c>
      <c r="BS63" s="38">
        <f>RawData!AH61</f>
        <v>-1.478747435612604E-7</v>
      </c>
      <c r="BT63" s="40">
        <f>RawData!AG61</f>
        <v>-28.331825256347656</v>
      </c>
      <c r="BU63" s="39">
        <f>RawData!AF61</f>
        <v>-0.398345947265625</v>
      </c>
      <c r="BV63" s="39">
        <f>RawData!AE61</f>
        <v>8.7814731597900391</v>
      </c>
      <c r="BW63" s="38">
        <f>RawData!AD61</f>
        <v>0.11028003692626953</v>
      </c>
      <c r="BX63" s="38">
        <f>RawData!AC61</f>
        <v>-3.089074240847367E-8</v>
      </c>
      <c r="BY63" s="37">
        <f>RawData!AB61</f>
        <v>1.7466916801822663E-10</v>
      </c>
      <c r="BZ63" s="37">
        <f>RawData!AA61</f>
        <v>1.2253638124093413E-4</v>
      </c>
      <c r="CA63" s="36">
        <f>RawData!Z61</f>
        <v>-3.6557321436703205E-7</v>
      </c>
      <c r="CB63" s="36">
        <f>RawData!Y61</f>
        <v>3.7980251363478601E-5</v>
      </c>
      <c r="CC63" s="36">
        <f>RawData!X61</f>
        <v>-1.713378878775984E-7</v>
      </c>
      <c r="CD63" s="36">
        <f>RawData!W61</f>
        <v>139645.265625</v>
      </c>
      <c r="CE63" s="40">
        <f>RawData!V61</f>
        <v>2209.9375</v>
      </c>
      <c r="CF63" s="40">
        <f>RawData!U61</f>
        <v>50746.85546875</v>
      </c>
      <c r="CG63" s="40">
        <f>RawData!T61</f>
        <v>699.828125</v>
      </c>
      <c r="CH63" s="44">
        <f>RawData!S61</f>
        <v>6.4499998092651367</v>
      </c>
      <c r="CI63" s="44">
        <f>RawData!R61</f>
        <v>6.4499998092651367</v>
      </c>
      <c r="CJ63" s="44">
        <f>RawData!Q61</f>
        <v>3.25</v>
      </c>
      <c r="CK63" s="44">
        <f>RawData!P61</f>
        <v>3.2999999523162842</v>
      </c>
      <c r="CL63" s="44">
        <f>RawData!CJ61</f>
        <v>1575</v>
      </c>
      <c r="CM63" s="43">
        <f>RawData!CI61</f>
        <v>3.3499999046325684</v>
      </c>
      <c r="CN63" s="44">
        <f>RawData!CL61</f>
        <v>1950</v>
      </c>
      <c r="CO63" s="43">
        <f>RawData!CK61</f>
        <v>3.25</v>
      </c>
      <c r="CP63" s="44">
        <f>RawData!CM61</f>
        <v>4.2699999809265137</v>
      </c>
      <c r="CQ63" s="47">
        <f>RawData!CO61</f>
        <v>44783.638194444444</v>
      </c>
      <c r="CR63" s="44">
        <f>RawData!CP61</f>
        <v>38295.69921875</v>
      </c>
      <c r="CS63" s="44">
        <f>RawData!DG61</f>
        <v>38295.69921875</v>
      </c>
      <c r="CT63" s="43" t="str">
        <f>RawData!DJ61</f>
        <v>G</v>
      </c>
      <c r="CU63" s="43" t="str">
        <f>RawData!CQ61</f>
        <v>FairPrice</v>
      </c>
      <c r="CV63" s="47">
        <f>RawData!CR61</f>
        <v>44783.638194444444</v>
      </c>
      <c r="CW63" s="65">
        <f>RawData!DK61</f>
        <v>38300</v>
      </c>
      <c r="CX63" s="65">
        <f>RawData!DL61</f>
        <v>3400000</v>
      </c>
      <c r="CY63" s="65">
        <f>RawData!DM61</f>
        <v>38500</v>
      </c>
      <c r="CZ63" s="65">
        <f>RawData!DN61</f>
        <v>0</v>
      </c>
      <c r="DA63" s="65">
        <f>RawData!DO61</f>
        <v>24500</v>
      </c>
      <c r="DB63" s="65">
        <f>RawData!DP61</f>
        <v>2863350</v>
      </c>
      <c r="DC63" s="65">
        <f>RawData!DQ61</f>
        <v>38000</v>
      </c>
      <c r="DD63" s="65">
        <f>RawData!DR61</f>
        <v>0</v>
      </c>
      <c r="DE63" s="65">
        <f>RawData!DS61</f>
        <v>24500</v>
      </c>
      <c r="DF63" s="65" t="str">
        <f>RawData!DT61</f>
        <v>BANKNIFTY</v>
      </c>
      <c r="DG63" s="66">
        <f>RawData!DU61</f>
        <v>44784</v>
      </c>
      <c r="DI63" s="21">
        <f t="shared" si="0"/>
        <v>2995.69921875</v>
      </c>
    </row>
    <row r="64" spans="1:113" x14ac:dyDescent="0.2">
      <c r="A64" s="59">
        <f>RawData!CN62</f>
        <v>44783.638194444444</v>
      </c>
      <c r="B64" s="44">
        <f>RawData!CH62</f>
        <v>2979.14990234375</v>
      </c>
      <c r="C64" s="44">
        <f>RawData!CG62</f>
        <v>50</v>
      </c>
      <c r="D64" s="43">
        <f>RawData!CF62</f>
        <v>2860.35009765625</v>
      </c>
      <c r="E64" s="44">
        <f>RawData!CE62</f>
        <v>50</v>
      </c>
      <c r="F64" s="43">
        <f>RawData!CD62</f>
        <v>2962.85009765625</v>
      </c>
      <c r="G64" s="44">
        <f>RawData!CC62</f>
        <v>2979.14990234375</v>
      </c>
      <c r="H64" s="44">
        <f>RawData!CB62</f>
        <v>2979.14990234375</v>
      </c>
      <c r="I64" s="44">
        <f>RawData!CA62</f>
        <v>2979.14990234375</v>
      </c>
      <c r="J64" s="44">
        <f>RawData!BZ62</f>
        <v>2979.14990234375</v>
      </c>
      <c r="K64" s="40">
        <f>RawData!BY62</f>
        <v>1.542724609375</v>
      </c>
      <c r="L64" s="40">
        <f>RawData!BX62</f>
        <v>2995.393798828125</v>
      </c>
      <c r="M64" s="40">
        <f>RawData!BW62</f>
        <v>2.57861328125</v>
      </c>
      <c r="N64" s="40">
        <f>RawData!BV62</f>
        <v>3701.434814453125</v>
      </c>
      <c r="O64" s="36">
        <f>RawData!BU62</f>
        <v>1.6103513189591467E-8</v>
      </c>
      <c r="P64" s="36">
        <f>RawData!BT62</f>
        <v>2.8861111786682159E-5</v>
      </c>
      <c r="Q64" s="36">
        <f>RawData!BS62</f>
        <v>3.4578988561406732E-8</v>
      </c>
      <c r="R64" s="36">
        <f>RawData!BR62</f>
        <v>5.4757561883889139E-5</v>
      </c>
      <c r="S64" s="37">
        <f>RawData!BQ62</f>
        <v>-5.4889426337467739E-12</v>
      </c>
      <c r="T64" s="37">
        <f>RawData!BP62</f>
        <v>-4.5115864821809737E-8</v>
      </c>
      <c r="U64" s="38">
        <f>RawData!BO62</f>
        <v>3.401637077331543E-4</v>
      </c>
      <c r="V64" s="38">
        <f>RawData!BN62</f>
        <v>0.68772017955780029</v>
      </c>
      <c r="W64" s="39">
        <f>RawData!BM62</f>
        <v>-7.4124336242675781E-4</v>
      </c>
      <c r="X64" s="39">
        <f>RawData!BL62</f>
        <v>-1.304796576499939</v>
      </c>
      <c r="Y64" s="38">
        <f>RawData!BJ62</f>
        <v>-1.047010300680995E-8</v>
      </c>
      <c r="Z64" s="38">
        <f>RawData!BI62</f>
        <v>6.8380388256628066E-5</v>
      </c>
      <c r="AA64" s="40">
        <f>RawData!BH62</f>
        <v>-9.5057487487792969E-4</v>
      </c>
      <c r="AB64" s="40">
        <f>RawData!BG62</f>
        <v>3.0612516403198242</v>
      </c>
      <c r="AC64" s="40">
        <f>RawData!BF62</f>
        <v>6.1981201171875E-2</v>
      </c>
      <c r="AD64" s="40">
        <f>RawData!BE62</f>
        <v>-161.34963989257813</v>
      </c>
      <c r="AE64" s="40">
        <f>RawData!BD62</f>
        <v>3.1292438507080078E-5</v>
      </c>
      <c r="AF64" s="40">
        <f>RawData!BC62</f>
        <v>0.91860544681549072</v>
      </c>
      <c r="AG64" s="41">
        <f>RawData!BB62</f>
        <v>25</v>
      </c>
      <c r="AH64" s="42">
        <f>RawData!DB62</f>
        <v>0</v>
      </c>
      <c r="AI64" s="41">
        <f>RawData!BA62</f>
        <v>0</v>
      </c>
      <c r="AJ64" s="43">
        <f>RawData!DA62</f>
        <v>800</v>
      </c>
      <c r="AK64" s="41">
        <f>RawData!AZ62</f>
        <v>800</v>
      </c>
      <c r="AL64" s="42">
        <f>RawData!DD62</f>
        <v>-1.1680306705936841E-4</v>
      </c>
      <c r="AM64" s="44">
        <f>RawData!DC62</f>
        <v>-1.2660026550292969E-2</v>
      </c>
      <c r="AN64" s="45">
        <f>RawData!BK62</f>
        <v>108.37513208389282</v>
      </c>
      <c r="AO64" s="44">
        <f>RawData!AY62</f>
        <v>108.37513208389282</v>
      </c>
      <c r="AP64" s="43" t="str">
        <f>RawData!DH62</f>
        <v>W</v>
      </c>
      <c r="AQ64" s="43">
        <f>RawData!DE62</f>
        <v>2979.14990234375</v>
      </c>
      <c r="AR64" s="42">
        <f>RawData!CZ62</f>
        <v>0</v>
      </c>
      <c r="AS64" s="44">
        <f>RawData!AX62</f>
        <v>0</v>
      </c>
      <c r="AT64" s="43">
        <f>RawData!CY62</f>
        <v>2979.14990234375</v>
      </c>
      <c r="AU64" s="44">
        <f>RawData!AW62</f>
        <v>2979.14990234375</v>
      </c>
      <c r="AV64" s="46">
        <f>RawData!O62</f>
        <v>35400</v>
      </c>
      <c r="AW64" s="44">
        <f>RawData!AV62</f>
        <v>3.25</v>
      </c>
      <c r="AX64" s="44">
        <f>RawData!CW62</f>
        <v>3.25</v>
      </c>
      <c r="AY64" s="44">
        <f>RawData!AU62</f>
        <v>0</v>
      </c>
      <c r="AZ64" s="42">
        <f>RawData!CX62</f>
        <v>0</v>
      </c>
      <c r="BA64" s="44">
        <f>RawData!DF62</f>
        <v>3.25</v>
      </c>
      <c r="BB64" s="43" t="str">
        <f>RawData!DI62</f>
        <v>W</v>
      </c>
      <c r="BC64" s="44">
        <f>RawData!AT62</f>
        <v>61.655372381210327</v>
      </c>
      <c r="BD64" s="45">
        <f>RawData!AP62</f>
        <v>61.655372381210327</v>
      </c>
      <c r="BE64" s="44">
        <f>RawData!CS62</f>
        <v>1.1610984802246094E-2</v>
      </c>
      <c r="BF64" s="42">
        <f>RawData!CT62</f>
        <v>1.8835620246435278E-4</v>
      </c>
      <c r="BG64" s="41">
        <f>RawData!AS62</f>
        <v>99375</v>
      </c>
      <c r="BH64" s="41">
        <f>RawData!CU62</f>
        <v>65775</v>
      </c>
      <c r="BI64" s="41">
        <f>RawData!AR62</f>
        <v>33600</v>
      </c>
      <c r="BJ64" s="42">
        <f>RawData!CV62</f>
        <v>0.51083238312428736</v>
      </c>
      <c r="BK64" s="41">
        <f>RawData!AQ62</f>
        <v>905900</v>
      </c>
      <c r="BL64" s="40">
        <f>RawData!AO62</f>
        <v>-7.7789817005395889E-3</v>
      </c>
      <c r="BM64" s="40">
        <f>RawData!AN62</f>
        <v>1.1264346539974213E-6</v>
      </c>
      <c r="BN64" s="40">
        <f>RawData!AM62</f>
        <v>-3.25</v>
      </c>
      <c r="BO64" s="40">
        <f>RawData!AL62</f>
        <v>0</v>
      </c>
      <c r="BP64" s="40">
        <f>RawData!AK62</f>
        <v>0.43465825915336609</v>
      </c>
      <c r="BQ64" s="40">
        <f>RawData!AJ62</f>
        <v>-6.8485736846923828E-5</v>
      </c>
      <c r="BR64" s="38">
        <f>RawData!AI62</f>
        <v>1.7066382497432642E-5</v>
      </c>
      <c r="BS64" s="38">
        <f>RawData!AH62</f>
        <v>-4.8730726120993495E-9</v>
      </c>
      <c r="BT64" s="40">
        <f>RawData!AG62</f>
        <v>-28.804645538330078</v>
      </c>
      <c r="BU64" s="39">
        <f>RawData!AF62</f>
        <v>1.178741455078125E-3</v>
      </c>
      <c r="BV64" s="39">
        <f>RawData!AE62</f>
        <v>8.6371965408325195</v>
      </c>
      <c r="BW64" s="38">
        <f>RawData!AD62</f>
        <v>2.0198822021484375E-3</v>
      </c>
      <c r="BX64" s="38">
        <f>RawData!AC62</f>
        <v>-3.3392261400422285E-8</v>
      </c>
      <c r="BY64" s="37">
        <f>RawData!AB62</f>
        <v>1.404032445861958E-11</v>
      </c>
      <c r="BZ64" s="37">
        <f>RawData!AA62</f>
        <v>1.3211797340773046E-4</v>
      </c>
      <c r="CA64" s="36">
        <f>RawData!Z62</f>
        <v>-5.5937562137842178E-8</v>
      </c>
      <c r="CB64" s="36">
        <f>RawData!Y62</f>
        <v>3.9616141293663532E-5</v>
      </c>
      <c r="CC64" s="36">
        <f>RawData!X62</f>
        <v>-5.8826117310672998E-9</v>
      </c>
      <c r="CD64" s="36">
        <f>RawData!W62</f>
        <v>141624.484375</v>
      </c>
      <c r="CE64" s="40">
        <f>RawData!V62</f>
        <v>-6.984375</v>
      </c>
      <c r="CF64" s="40">
        <f>RawData!U62</f>
        <v>49822.796875</v>
      </c>
      <c r="CG64" s="40">
        <f>RawData!T62</f>
        <v>10.92578125</v>
      </c>
      <c r="CH64" s="44">
        <f>RawData!S62</f>
        <v>5.5999999046325684</v>
      </c>
      <c r="CI64" s="44">
        <f>RawData!R62</f>
        <v>5.6500000953674316</v>
      </c>
      <c r="CJ64" s="44">
        <f>RawData!Q62</f>
        <v>3.1500000953674316</v>
      </c>
      <c r="CK64" s="44">
        <f>RawData!P62</f>
        <v>3.25</v>
      </c>
      <c r="CL64" s="44">
        <f>RawData!CJ62</f>
        <v>850</v>
      </c>
      <c r="CM64" s="43">
        <f>RawData!CI62</f>
        <v>3.25</v>
      </c>
      <c r="CN64" s="44">
        <f>RawData!CL62</f>
        <v>850</v>
      </c>
      <c r="CO64" s="43">
        <f>RawData!CK62</f>
        <v>3.2000000476837158</v>
      </c>
      <c r="CP64" s="44">
        <f>RawData!CM62</f>
        <v>4.4600000381469727</v>
      </c>
      <c r="CQ64" s="47">
        <f>RawData!CO62</f>
        <v>44783.638194444444</v>
      </c>
      <c r="CR64" s="44">
        <f>RawData!CP62</f>
        <v>38295.69921875</v>
      </c>
      <c r="CS64" s="44">
        <f>RawData!DG62</f>
        <v>38295.69921875</v>
      </c>
      <c r="CT64" s="43" t="str">
        <f>RawData!DJ62</f>
        <v>G</v>
      </c>
      <c r="CU64" s="43" t="str">
        <f>RawData!CQ62</f>
        <v>FairPrice</v>
      </c>
      <c r="CV64" s="47">
        <f>RawData!CR62</f>
        <v>44783.638194444444</v>
      </c>
      <c r="CW64" s="65">
        <f>RawData!DK62</f>
        <v>38300</v>
      </c>
      <c r="CX64" s="65">
        <f>RawData!DL62</f>
        <v>3400000</v>
      </c>
      <c r="CY64" s="65">
        <f>RawData!DM62</f>
        <v>38500</v>
      </c>
      <c r="CZ64" s="65">
        <f>RawData!DN62</f>
        <v>0</v>
      </c>
      <c r="DA64" s="65">
        <f>RawData!DO62</f>
        <v>24500</v>
      </c>
      <c r="DB64" s="65">
        <f>RawData!DP62</f>
        <v>2863350</v>
      </c>
      <c r="DC64" s="65">
        <f>RawData!DQ62</f>
        <v>38000</v>
      </c>
      <c r="DD64" s="65">
        <f>RawData!DR62</f>
        <v>0</v>
      </c>
      <c r="DE64" s="65">
        <f>RawData!DS62</f>
        <v>24500</v>
      </c>
      <c r="DF64" s="65" t="str">
        <f>RawData!DT62</f>
        <v>BANKNIFTY</v>
      </c>
      <c r="DG64" s="66">
        <f>RawData!DU62</f>
        <v>44784</v>
      </c>
      <c r="DI64" s="21">
        <f t="shared" si="0"/>
        <v>2895.69921875</v>
      </c>
    </row>
    <row r="65" spans="1:113" x14ac:dyDescent="0.2">
      <c r="A65" s="59">
        <f>RawData!CN63</f>
        <v>44783.638194444444</v>
      </c>
      <c r="B65" s="44">
        <f>RawData!CH63</f>
        <v>2803.25</v>
      </c>
      <c r="C65" s="44">
        <f>RawData!CG63</f>
        <v>50</v>
      </c>
      <c r="D65" s="43">
        <f>RawData!CF63</f>
        <v>2792.449951171875</v>
      </c>
      <c r="E65" s="44">
        <f>RawData!CE63</f>
        <v>175</v>
      </c>
      <c r="F65" s="43">
        <f>RawData!CD63</f>
        <v>2805.64990234375</v>
      </c>
      <c r="G65" s="44">
        <f>RawData!CC63</f>
        <v>2772</v>
      </c>
      <c r="H65" s="44">
        <f>RawData!CB63</f>
        <v>2670</v>
      </c>
      <c r="I65" s="44">
        <f>RawData!CA63</f>
        <v>2901.39990234375</v>
      </c>
      <c r="J65" s="44">
        <f>RawData!BZ63</f>
        <v>2710</v>
      </c>
      <c r="K65" s="40">
        <f>RawData!BY63</f>
        <v>0</v>
      </c>
      <c r="L65" s="40">
        <f>RawData!BX63</f>
        <v>0</v>
      </c>
      <c r="M65" s="40">
        <f>RawData!BW63</f>
        <v>0</v>
      </c>
      <c r="N65" s="40">
        <f>RawData!BV63</f>
        <v>0</v>
      </c>
      <c r="O65" s="36">
        <f>RawData!BU63</f>
        <v>0</v>
      </c>
      <c r="P65" s="36">
        <f>RawData!BT63</f>
        <v>0</v>
      </c>
      <c r="Q65" s="36">
        <f>RawData!BS63</f>
        <v>0</v>
      </c>
      <c r="R65" s="36">
        <f>RawData!BR63</f>
        <v>0</v>
      </c>
      <c r="S65" s="37">
        <f>RawData!BQ63</f>
        <v>0</v>
      </c>
      <c r="T65" s="37">
        <f>RawData!BP63</f>
        <v>0</v>
      </c>
      <c r="U65" s="38">
        <f>RawData!BO63</f>
        <v>0</v>
      </c>
      <c r="V65" s="38">
        <f>RawData!BN63</f>
        <v>0</v>
      </c>
      <c r="W65" s="39">
        <f>RawData!BM63</f>
        <v>0</v>
      </c>
      <c r="X65" s="39">
        <f>RawData!BL63</f>
        <v>0</v>
      </c>
      <c r="Y65" s="38">
        <f>RawData!BJ63</f>
        <v>0</v>
      </c>
      <c r="Z65" s="38">
        <f>RawData!BI63</f>
        <v>0</v>
      </c>
      <c r="AA65" s="40">
        <f>RawData!BH63</f>
        <v>0</v>
      </c>
      <c r="AB65" s="40">
        <f>RawData!BG63</f>
        <v>0</v>
      </c>
      <c r="AC65" s="40">
        <f>RawData!BF63</f>
        <v>0</v>
      </c>
      <c r="AD65" s="40">
        <f>RawData!BE63</f>
        <v>0</v>
      </c>
      <c r="AE65" s="40">
        <f>RawData!BD63</f>
        <v>0</v>
      </c>
      <c r="AF65" s="40">
        <f>RawData!BC63</f>
        <v>0</v>
      </c>
      <c r="AG65" s="41">
        <f>RawData!BB63</f>
        <v>3750</v>
      </c>
      <c r="AH65" s="42">
        <f>RawData!DB63</f>
        <v>-0.10271317829457365</v>
      </c>
      <c r="AI65" s="41">
        <f>RawData!BA63</f>
        <v>-1325</v>
      </c>
      <c r="AJ65" s="43">
        <f>RawData!DA63</f>
        <v>12900</v>
      </c>
      <c r="AK65" s="41">
        <f>RawData!AZ63</f>
        <v>11575</v>
      </c>
      <c r="AL65" s="42">
        <f>RawData!DD63</f>
        <v>0</v>
      </c>
      <c r="AM65" s="44">
        <f>RawData!DC63</f>
        <v>0</v>
      </c>
      <c r="AN65" s="45">
        <f>RawData!BK63</f>
        <v>0</v>
      </c>
      <c r="AO65" s="44">
        <f>RawData!AY63</f>
        <v>0</v>
      </c>
      <c r="AP65" s="43" t="str">
        <f>RawData!DH63</f>
        <v>W</v>
      </c>
      <c r="AQ65" s="43">
        <f>RawData!DE63</f>
        <v>2772</v>
      </c>
      <c r="AR65" s="42">
        <f>RawData!CZ63</f>
        <v>0</v>
      </c>
      <c r="AS65" s="44">
        <f>RawData!AX63</f>
        <v>0</v>
      </c>
      <c r="AT65" s="43">
        <f>RawData!CY63</f>
        <v>2772</v>
      </c>
      <c r="AU65" s="44">
        <f>RawData!AW63</f>
        <v>2772</v>
      </c>
      <c r="AV65" s="46">
        <f>RawData!O63</f>
        <v>35500</v>
      </c>
      <c r="AW65" s="44">
        <f>RawData!AV63</f>
        <v>3.5</v>
      </c>
      <c r="AX65" s="44">
        <f>RawData!CW63</f>
        <v>3.5</v>
      </c>
      <c r="AY65" s="44">
        <f>RawData!AU63</f>
        <v>0</v>
      </c>
      <c r="AZ65" s="42">
        <f>RawData!CX63</f>
        <v>0</v>
      </c>
      <c r="BA65" s="44">
        <f>RawData!DF63</f>
        <v>3.5</v>
      </c>
      <c r="BB65" s="43" t="str">
        <f>RawData!DI63</f>
        <v>W</v>
      </c>
      <c r="BC65" s="44">
        <f>RawData!AT63</f>
        <v>60.245543718338013</v>
      </c>
      <c r="BD65" s="45">
        <f>RawData!AP63</f>
        <v>60.245543718338013</v>
      </c>
      <c r="BE65" s="44">
        <f>RawData!CS63</f>
        <v>4.0173530578613281E-3</v>
      </c>
      <c r="BF65" s="42">
        <f>RawData!CT63</f>
        <v>6.6687438055631774E-5</v>
      </c>
      <c r="BG65" s="41">
        <f>RawData!AS63</f>
        <v>1440400</v>
      </c>
      <c r="BH65" s="41">
        <f>RawData!CU63</f>
        <v>1272825</v>
      </c>
      <c r="BI65" s="41">
        <f>RawData!AR63</f>
        <v>167575</v>
      </c>
      <c r="BJ65" s="42">
        <f>RawData!CV63</f>
        <v>0.13165596213147918</v>
      </c>
      <c r="BK65" s="41">
        <f>RawData!AQ63</f>
        <v>8195975</v>
      </c>
      <c r="BL65" s="40">
        <f>RawData!AO63</f>
        <v>-8.4970751777291298E-3</v>
      </c>
      <c r="BM65" s="40">
        <f>RawData!AN63</f>
        <v>3.7997961044311523E-7</v>
      </c>
      <c r="BN65" s="40">
        <f>RawData!AM63</f>
        <v>-3.5</v>
      </c>
      <c r="BO65" s="40">
        <f>RawData!AL63</f>
        <v>0</v>
      </c>
      <c r="BP65" s="40">
        <f>RawData!AK63</f>
        <v>0.46972748637199402</v>
      </c>
      <c r="BQ65" s="40">
        <f>RawData!AJ63</f>
        <v>-2.6762485504150391E-5</v>
      </c>
      <c r="BR65" s="38">
        <f>RawData!AI63</f>
        <v>1.8874838133342564E-5</v>
      </c>
      <c r="BS65" s="38">
        <f>RawData!AH63</f>
        <v>-1.6661942936480045E-9</v>
      </c>
      <c r="BT65" s="40">
        <f>RawData!AG63</f>
        <v>-26.917413711547852</v>
      </c>
      <c r="BU65" s="39">
        <f>RawData!AF63</f>
        <v>5.664825439453125E-4</v>
      </c>
      <c r="BV65" s="39">
        <f>RawData!AE63</f>
        <v>7.8867411613464355</v>
      </c>
      <c r="BW65" s="38">
        <f>RawData!AD63</f>
        <v>7.0095062255859375E-4</v>
      </c>
      <c r="BX65" s="38">
        <f>RawData!AC63</f>
        <v>-3.728557373960939E-8</v>
      </c>
      <c r="BY65" s="37">
        <f>RawData!AB63</f>
        <v>4.8387960305262823E-12</v>
      </c>
      <c r="BZ65" s="37">
        <f>RawData!AA63</f>
        <v>1.4476465003099293E-4</v>
      </c>
      <c r="CA65" s="36">
        <f>RawData!Z63</f>
        <v>-2.0081643015146255E-8</v>
      </c>
      <c r="CB65" s="36">
        <f>RawData!Y63</f>
        <v>4.2415711504872888E-5</v>
      </c>
      <c r="CC65" s="36">
        <f>RawData!X63</f>
        <v>-1.2223608791828156E-9</v>
      </c>
      <c r="CD65" s="36">
        <f>RawData!W63</f>
        <v>130579.3515625</v>
      </c>
      <c r="CE65" s="40">
        <f>RawData!V63</f>
        <v>-4.15625</v>
      </c>
      <c r="CF65" s="40">
        <f>RawData!U63</f>
        <v>45066.3828125</v>
      </c>
      <c r="CG65" s="40">
        <f>RawData!T63</f>
        <v>3.42578125</v>
      </c>
      <c r="CH65" s="44">
        <f>RawData!S63</f>
        <v>5.0999999046325684</v>
      </c>
      <c r="CI65" s="44">
        <f>RawData!R63</f>
        <v>5.9000000953674316</v>
      </c>
      <c r="CJ65" s="44">
        <f>RawData!Q63</f>
        <v>3.4500000476837158</v>
      </c>
      <c r="CK65" s="44">
        <f>RawData!P63</f>
        <v>3.5</v>
      </c>
      <c r="CL65" s="44">
        <f>RawData!CJ63</f>
        <v>4450</v>
      </c>
      <c r="CM65" s="43">
        <f>RawData!CI63</f>
        <v>3.5</v>
      </c>
      <c r="CN65" s="44">
        <f>RawData!CL63</f>
        <v>10950</v>
      </c>
      <c r="CO65" s="43">
        <f>RawData!CK63</f>
        <v>3.4500000476837158</v>
      </c>
      <c r="CP65" s="44">
        <f>RawData!CM63</f>
        <v>4.6399998664855957</v>
      </c>
      <c r="CQ65" s="47">
        <f>RawData!CO63</f>
        <v>44783.638194444444</v>
      </c>
      <c r="CR65" s="44">
        <f>RawData!CP63</f>
        <v>38295.69921875</v>
      </c>
      <c r="CS65" s="44">
        <f>RawData!DG63</f>
        <v>38295.69921875</v>
      </c>
      <c r="CT65" s="43" t="str">
        <f>RawData!DJ63</f>
        <v>G</v>
      </c>
      <c r="CU65" s="43" t="str">
        <f>RawData!CQ63</f>
        <v>FairPrice</v>
      </c>
      <c r="CV65" s="47">
        <f>RawData!CR63</f>
        <v>44783.638194444444</v>
      </c>
      <c r="CW65" s="65">
        <f>RawData!DK63</f>
        <v>38300</v>
      </c>
      <c r="CX65" s="65">
        <f>RawData!DL63</f>
        <v>3400000</v>
      </c>
      <c r="CY65" s="65">
        <f>RawData!DM63</f>
        <v>38500</v>
      </c>
      <c r="CZ65" s="65">
        <f>RawData!DN63</f>
        <v>0</v>
      </c>
      <c r="DA65" s="65">
        <f>RawData!DO63</f>
        <v>24500</v>
      </c>
      <c r="DB65" s="65">
        <f>RawData!DP63</f>
        <v>2863350</v>
      </c>
      <c r="DC65" s="65">
        <f>RawData!DQ63</f>
        <v>38000</v>
      </c>
      <c r="DD65" s="65">
        <f>RawData!DR63</f>
        <v>0</v>
      </c>
      <c r="DE65" s="65">
        <f>RawData!DS63</f>
        <v>24500</v>
      </c>
      <c r="DF65" s="65" t="str">
        <f>RawData!DT63</f>
        <v>BANKNIFTY</v>
      </c>
      <c r="DG65" s="66">
        <f>RawData!DU63</f>
        <v>44784</v>
      </c>
      <c r="DI65" s="21">
        <f t="shared" si="0"/>
        <v>2795.69921875</v>
      </c>
    </row>
    <row r="66" spans="1:113" x14ac:dyDescent="0.2">
      <c r="A66" s="59">
        <f>RawData!CN64</f>
        <v>44783.636701388888</v>
      </c>
      <c r="B66" s="44">
        <f>RawData!CH64</f>
        <v>0</v>
      </c>
      <c r="C66" s="44">
        <f>RawData!CG64</f>
        <v>0</v>
      </c>
      <c r="D66" s="43">
        <f>RawData!CF64</f>
        <v>0</v>
      </c>
      <c r="E66" s="44">
        <f>RawData!CE64</f>
        <v>0</v>
      </c>
      <c r="F66" s="43">
        <f>RawData!CD64</f>
        <v>0</v>
      </c>
      <c r="G66" s="44">
        <f>RawData!CC64</f>
        <v>0</v>
      </c>
      <c r="H66" s="44">
        <f>RawData!CB64</f>
        <v>0</v>
      </c>
      <c r="I66" s="44">
        <f>RawData!CA64</f>
        <v>0</v>
      </c>
      <c r="J66" s="44">
        <f>RawData!BZ64</f>
        <v>0</v>
      </c>
      <c r="K66" s="40">
        <f>RawData!BY64</f>
        <v>0</v>
      </c>
      <c r="L66" s="40">
        <f>RawData!BX64</f>
        <v>0</v>
      </c>
      <c r="M66" s="40">
        <f>RawData!BW64</f>
        <v>0</v>
      </c>
      <c r="N66" s="40">
        <f>RawData!BV64</f>
        <v>0</v>
      </c>
      <c r="O66" s="36">
        <f>RawData!BU64</f>
        <v>0</v>
      </c>
      <c r="P66" s="36">
        <f>RawData!BT64</f>
        <v>0</v>
      </c>
      <c r="Q66" s="36">
        <f>RawData!BS64</f>
        <v>0</v>
      </c>
      <c r="R66" s="36">
        <f>RawData!BR64</f>
        <v>0</v>
      </c>
      <c r="S66" s="37">
        <f>RawData!BQ64</f>
        <v>0</v>
      </c>
      <c r="T66" s="37">
        <f>RawData!BP64</f>
        <v>0</v>
      </c>
      <c r="U66" s="38">
        <f>RawData!BO64</f>
        <v>0</v>
      </c>
      <c r="V66" s="38">
        <f>RawData!BN64</f>
        <v>0</v>
      </c>
      <c r="W66" s="39">
        <f>RawData!BM64</f>
        <v>0</v>
      </c>
      <c r="X66" s="39">
        <f>RawData!BL64</f>
        <v>0</v>
      </c>
      <c r="Y66" s="38">
        <f>RawData!BJ64</f>
        <v>0</v>
      </c>
      <c r="Z66" s="38">
        <f>RawData!BI64</f>
        <v>0</v>
      </c>
      <c r="AA66" s="40">
        <f>RawData!BH64</f>
        <v>0</v>
      </c>
      <c r="AB66" s="40">
        <f>RawData!BG64</f>
        <v>0</v>
      </c>
      <c r="AC66" s="40">
        <f>RawData!BF64</f>
        <v>0</v>
      </c>
      <c r="AD66" s="40">
        <f>RawData!BE64</f>
        <v>0</v>
      </c>
      <c r="AE66" s="40">
        <f>RawData!BD64</f>
        <v>0</v>
      </c>
      <c r="AF66" s="40">
        <f>RawData!BC64</f>
        <v>0</v>
      </c>
      <c r="AG66" s="41">
        <f>RawData!BB64</f>
        <v>0</v>
      </c>
      <c r="AH66" s="42">
        <f>RawData!DB64</f>
        <v>0</v>
      </c>
      <c r="AI66" s="41">
        <f>RawData!BA64</f>
        <v>0</v>
      </c>
      <c r="AJ66" s="43">
        <f>RawData!DA64</f>
        <v>425</v>
      </c>
      <c r="AK66" s="41">
        <f>RawData!AZ64</f>
        <v>425</v>
      </c>
      <c r="AL66" s="42">
        <f>RawData!DD64</f>
        <v>0</v>
      </c>
      <c r="AM66" s="44">
        <f>RawData!DC64</f>
        <v>0</v>
      </c>
      <c r="AN66" s="45">
        <f>RawData!BK64</f>
        <v>0</v>
      </c>
      <c r="AO66" s="44">
        <f>RawData!AY64</f>
        <v>0</v>
      </c>
      <c r="AP66" s="43" t="str">
        <f>RawData!DH64</f>
        <v>W</v>
      </c>
      <c r="AQ66" s="43">
        <f>RawData!DE64</f>
        <v>2386.9499999999998</v>
      </c>
      <c r="AR66" s="42">
        <f>RawData!CZ64</f>
        <v>0</v>
      </c>
      <c r="AS66" s="44">
        <f>RawData!AX64</f>
        <v>0</v>
      </c>
      <c r="AT66" s="43">
        <f>RawData!CY64</f>
        <v>2386.9499999999998</v>
      </c>
      <c r="AU66" s="44">
        <f>RawData!AW64</f>
        <v>2386.9499999999998</v>
      </c>
      <c r="AV66" s="46">
        <f>RawData!O64</f>
        <v>35600</v>
      </c>
      <c r="AW66" s="44">
        <f>RawData!AV64</f>
        <v>3.4500000476837158</v>
      </c>
      <c r="AX66" s="44">
        <f>RawData!CW64</f>
        <v>3.4500000476837158</v>
      </c>
      <c r="AY66" s="44">
        <f>RawData!AU64</f>
        <v>0</v>
      </c>
      <c r="AZ66" s="42">
        <f>RawData!CX64</f>
        <v>0</v>
      </c>
      <c r="BA66" s="44">
        <f>RawData!DF64</f>
        <v>3.4500000476837158</v>
      </c>
      <c r="BB66" s="43" t="str">
        <f>RawData!DI64</f>
        <v>W</v>
      </c>
      <c r="BC66" s="44">
        <f>RawData!AT64</f>
        <v>58.16841721534729</v>
      </c>
      <c r="BD66" s="45">
        <f>RawData!AP64</f>
        <v>58.16841721534729</v>
      </c>
      <c r="BE66" s="44">
        <f>RawData!CS64</f>
        <v>2.1636486053466797E-3</v>
      </c>
      <c r="BF66" s="42">
        <f>RawData!CT64</f>
        <v>3.7197661404546803E-5</v>
      </c>
      <c r="BG66" s="41">
        <f>RawData!AS64</f>
        <v>173825</v>
      </c>
      <c r="BH66" s="41">
        <f>RawData!CU64</f>
        <v>191250</v>
      </c>
      <c r="BI66" s="41">
        <f>RawData!AR64</f>
        <v>-17425</v>
      </c>
      <c r="BJ66" s="42">
        <f>RawData!CV64</f>
        <v>-9.1111111111111115E-2</v>
      </c>
      <c r="BK66" s="41">
        <f>RawData!AQ64</f>
        <v>1324200</v>
      </c>
      <c r="BL66" s="40">
        <f>RawData!AO64</f>
        <v>-8.6604282259941101E-3</v>
      </c>
      <c r="BM66" s="40">
        <f>RawData!AN64</f>
        <v>1.3317912817001343E-7</v>
      </c>
      <c r="BN66" s="40">
        <f>RawData!AM64</f>
        <v>-3.4500000476837158</v>
      </c>
      <c r="BO66" s="40">
        <f>RawData!AL64</f>
        <v>0</v>
      </c>
      <c r="BP66" s="40">
        <f>RawData!AK64</f>
        <v>0.47764024138450623</v>
      </c>
      <c r="BQ66" s="40">
        <f>RawData!AJ64</f>
        <v>-1.6152858734130859E-5</v>
      </c>
      <c r="BR66" s="38">
        <f>RawData!AI64</f>
        <v>1.9878145394613966E-5</v>
      </c>
      <c r="BS66" s="38">
        <f>RawData!AH64</f>
        <v>-6.0390448197722435E-10</v>
      </c>
      <c r="BT66" s="40">
        <f>RawData!AG64</f>
        <v>-27.347986221313477</v>
      </c>
      <c r="BU66" s="39">
        <f>RawData!AF64</f>
        <v>5.8746337890625E-4</v>
      </c>
      <c r="BV66" s="39">
        <f>RawData!AE64</f>
        <v>7.7366318702697754</v>
      </c>
      <c r="BW66" s="38">
        <f>RawData!AD64</f>
        <v>4.5633316040039063E-4</v>
      </c>
      <c r="BX66" s="38">
        <f>RawData!AC64</f>
        <v>-4.0533326028935335E-8</v>
      </c>
      <c r="BY66" s="37">
        <f>RawData!AB64</f>
        <v>1.8118839761882555E-12</v>
      </c>
      <c r="BZ66" s="37">
        <f>RawData!AA64</f>
        <v>1.5685944526921958E-4</v>
      </c>
      <c r="CA66" s="36">
        <f>RawData!Z64</f>
        <v>-9.720679372549057E-9</v>
      </c>
      <c r="CB66" s="36">
        <f>RawData!Y64</f>
        <v>4.4374886783771217E-5</v>
      </c>
      <c r="CC66" s="36">
        <f>RawData!X64</f>
        <v>8.1854523159563541E-10</v>
      </c>
      <c r="CD66" s="36">
        <f>RawData!W64</f>
        <v>132278.515625</v>
      </c>
      <c r="CE66" s="40">
        <f>RawData!V64</f>
        <v>-5.203125</v>
      </c>
      <c r="CF66" s="40">
        <f>RawData!U64</f>
        <v>44115.20703125</v>
      </c>
      <c r="CG66" s="40">
        <f>RawData!T64</f>
        <v>1.77734375</v>
      </c>
      <c r="CH66" s="44">
        <f>RawData!S64</f>
        <v>5.5999999046325684</v>
      </c>
      <c r="CI66" s="44">
        <f>RawData!R64</f>
        <v>6.1500000953674316</v>
      </c>
      <c r="CJ66" s="44">
        <f>RawData!Q64</f>
        <v>3.4000000953674316</v>
      </c>
      <c r="CK66" s="44">
        <f>RawData!P64</f>
        <v>3.4500000476837158</v>
      </c>
      <c r="CL66" s="44">
        <f>RawData!CJ64</f>
        <v>1125</v>
      </c>
      <c r="CM66" s="43">
        <f>RawData!CI64</f>
        <v>3.5</v>
      </c>
      <c r="CN66" s="44">
        <f>RawData!CL64</f>
        <v>5100</v>
      </c>
      <c r="CO66" s="43">
        <f>RawData!CK64</f>
        <v>3.4500000476837158</v>
      </c>
      <c r="CP66" s="44">
        <f>RawData!CM64</f>
        <v>4.7800002098083496</v>
      </c>
      <c r="CQ66" s="47">
        <f>RawData!CO64</f>
        <v>44783.638194444444</v>
      </c>
      <c r="CR66" s="44">
        <f>RawData!CP64</f>
        <v>38295.69921875</v>
      </c>
      <c r="CS66" s="44">
        <f>RawData!DG64</f>
        <v>38295.69921875</v>
      </c>
      <c r="CT66" s="43" t="str">
        <f>RawData!DJ64</f>
        <v>G</v>
      </c>
      <c r="CU66" s="43" t="str">
        <f>RawData!CQ64</f>
        <v>FairPrice</v>
      </c>
      <c r="CV66" s="47">
        <f>RawData!CR64</f>
        <v>44783.638194444444</v>
      </c>
      <c r="CW66" s="65">
        <f>RawData!DK64</f>
        <v>38300</v>
      </c>
      <c r="CX66" s="65">
        <f>RawData!DL64</f>
        <v>3400000</v>
      </c>
      <c r="CY66" s="65">
        <f>RawData!DM64</f>
        <v>38500</v>
      </c>
      <c r="CZ66" s="65">
        <f>RawData!DN64</f>
        <v>0</v>
      </c>
      <c r="DA66" s="65">
        <f>RawData!DO64</f>
        <v>24500</v>
      </c>
      <c r="DB66" s="65">
        <f>RawData!DP64</f>
        <v>2863350</v>
      </c>
      <c r="DC66" s="65">
        <f>RawData!DQ64</f>
        <v>38000</v>
      </c>
      <c r="DD66" s="65">
        <f>RawData!DR64</f>
        <v>0</v>
      </c>
      <c r="DE66" s="65">
        <f>RawData!DS64</f>
        <v>24500</v>
      </c>
      <c r="DF66" s="65" t="str">
        <f>RawData!DT64</f>
        <v>BANKNIFTY</v>
      </c>
      <c r="DG66" s="66">
        <f>RawData!DU64</f>
        <v>44784</v>
      </c>
      <c r="DI66" s="21">
        <f t="shared" si="0"/>
        <v>2695.69921875</v>
      </c>
    </row>
    <row r="67" spans="1:113" x14ac:dyDescent="0.2">
      <c r="A67" s="59">
        <f>RawData!CN65</f>
        <v>44783.638194444444</v>
      </c>
      <c r="B67" s="44">
        <f>RawData!CH65</f>
        <v>2618</v>
      </c>
      <c r="C67" s="44">
        <f>RawData!CG65</f>
        <v>75</v>
      </c>
      <c r="D67" s="43">
        <f>RawData!CF65</f>
        <v>2554.199951171875</v>
      </c>
      <c r="E67" s="44">
        <f>RawData!CE65</f>
        <v>50</v>
      </c>
      <c r="F67" s="43">
        <f>RawData!CD65</f>
        <v>2661.050048828125</v>
      </c>
      <c r="G67" s="44">
        <f>RawData!CC65</f>
        <v>2618</v>
      </c>
      <c r="H67" s="44">
        <f>RawData!CB65</f>
        <v>2618</v>
      </c>
      <c r="I67" s="44">
        <f>RawData!CA65</f>
        <v>2618</v>
      </c>
      <c r="J67" s="44">
        <f>RawData!BZ65</f>
        <v>2618</v>
      </c>
      <c r="K67" s="40">
        <f>RawData!BY65</f>
        <v>15.8955078125</v>
      </c>
      <c r="L67" s="40">
        <f>RawData!BX65</f>
        <v>8135.10595703125</v>
      </c>
      <c r="M67" s="40">
        <f>RawData!BW65</f>
        <v>42.251953125</v>
      </c>
      <c r="N67" s="40">
        <f>RawData!BV65</f>
        <v>17004.005859375</v>
      </c>
      <c r="O67" s="36">
        <f>RawData!BU65</f>
        <v>1.9401340978220105E-8</v>
      </c>
      <c r="P67" s="36">
        <f>RawData!BT65</f>
        <v>5.4973654187051579E-5</v>
      </c>
      <c r="Q67" s="36">
        <f>RawData!BS65</f>
        <v>1.0365329217165709E-7</v>
      </c>
      <c r="R67" s="36">
        <f>RawData!BR65</f>
        <v>1.5149144746828824E-4</v>
      </c>
      <c r="S67" s="37">
        <f>RawData!BQ65</f>
        <v>7.9509732131555211E-12</v>
      </c>
      <c r="T67" s="37">
        <f>RawData!BP65</f>
        <v>-6.3777072512039013E-8</v>
      </c>
      <c r="U67" s="38">
        <f>RawData!BO65</f>
        <v>2.9970407485961914E-3</v>
      </c>
      <c r="V67" s="38">
        <f>RawData!BN65</f>
        <v>1.6940683126449585</v>
      </c>
      <c r="W67" s="39">
        <f>RawData!BM65</f>
        <v>-9.80377197265625E-3</v>
      </c>
      <c r="X67" s="39">
        <f>RawData!BL65</f>
        <v>-4.6683611869812012</v>
      </c>
      <c r="Y67" s="38">
        <f>RawData!BJ65</f>
        <v>-4.7981302486732602E-8</v>
      </c>
      <c r="Z67" s="38">
        <f>RawData!BI65</f>
        <v>5.280177720123902E-5</v>
      </c>
      <c r="AA67" s="40">
        <f>RawData!BH65</f>
        <v>-2.1556615829467773E-3</v>
      </c>
      <c r="AB67" s="40">
        <f>RawData!BG65</f>
        <v>1.6274633407592773</v>
      </c>
      <c r="AC67" s="40">
        <f>RawData!BF65</f>
        <v>9.7835540771484375E-2</v>
      </c>
      <c r="AD67" s="40">
        <f>RawData!BE65</f>
        <v>-59.057857513427734</v>
      </c>
      <c r="AE67" s="40">
        <f>RawData!BD65</f>
        <v>5.8293342590332031E-5</v>
      </c>
      <c r="AF67" s="40">
        <f>RawData!BC65</f>
        <v>0.96344375610351563</v>
      </c>
      <c r="AG67" s="41">
        <f>RawData!BB65</f>
        <v>50</v>
      </c>
      <c r="AH67" s="42">
        <f>RawData!DB65</f>
        <v>0</v>
      </c>
      <c r="AI67" s="41">
        <f>RawData!BA65</f>
        <v>0</v>
      </c>
      <c r="AJ67" s="43">
        <f>RawData!DA65</f>
        <v>4925</v>
      </c>
      <c r="AK67" s="41">
        <f>RawData!AZ65</f>
        <v>4925</v>
      </c>
      <c r="AL67" s="42">
        <f>RawData!DD65</f>
        <v>-3.7466940934469584E-4</v>
      </c>
      <c r="AM67" s="44">
        <f>RawData!DC65</f>
        <v>-2.7966499328613281E-2</v>
      </c>
      <c r="AN67" s="45">
        <f>RawData!BK65</f>
        <v>74.615168571472168</v>
      </c>
      <c r="AO67" s="44">
        <f>RawData!AY65</f>
        <v>74.615168571472168</v>
      </c>
      <c r="AP67" s="43" t="str">
        <f>RawData!DH65</f>
        <v>W</v>
      </c>
      <c r="AQ67" s="43">
        <f>RawData!DE65</f>
        <v>2618</v>
      </c>
      <c r="AR67" s="42">
        <f>RawData!CZ65</f>
        <v>0</v>
      </c>
      <c r="AS67" s="44">
        <f>RawData!AX65</f>
        <v>0</v>
      </c>
      <c r="AT67" s="43">
        <f>RawData!CY65</f>
        <v>2618</v>
      </c>
      <c r="AU67" s="44">
        <f>RawData!AW65</f>
        <v>2618</v>
      </c>
      <c r="AV67" s="46">
        <f>RawData!O65</f>
        <v>35700</v>
      </c>
      <c r="AW67" s="44">
        <f>RawData!AV65</f>
        <v>3.6500000953674316</v>
      </c>
      <c r="AX67" s="44">
        <f>RawData!CW65</f>
        <v>3.6500000953674316</v>
      </c>
      <c r="AY67" s="44">
        <f>RawData!AU65</f>
        <v>0</v>
      </c>
      <c r="AZ67" s="42">
        <f>RawData!CX65</f>
        <v>0</v>
      </c>
      <c r="BA67" s="44">
        <f>RawData!DF65</f>
        <v>3.6500000953674316</v>
      </c>
      <c r="BB67" s="43" t="str">
        <f>RawData!DI65</f>
        <v>W</v>
      </c>
      <c r="BC67" s="44">
        <f>RawData!AT65</f>
        <v>56.596332788467407</v>
      </c>
      <c r="BD67" s="45">
        <f>RawData!AP65</f>
        <v>56.596332788467407</v>
      </c>
      <c r="BE67" s="44">
        <f>RawData!CS65</f>
        <v>1.3428926467895508E-2</v>
      </c>
      <c r="BF67" s="42">
        <f>RawData!CT65</f>
        <v>2.3733187148979525E-4</v>
      </c>
      <c r="BG67" s="41">
        <f>RawData!AS65</f>
        <v>144225</v>
      </c>
      <c r="BH67" s="41">
        <f>RawData!CU65</f>
        <v>132475</v>
      </c>
      <c r="BI67" s="41">
        <f>RawData!AR65</f>
        <v>11750</v>
      </c>
      <c r="BJ67" s="42">
        <f>RawData!CV65</f>
        <v>8.8695980373655406E-2</v>
      </c>
      <c r="BK67" s="41">
        <f>RawData!AQ65</f>
        <v>1191825</v>
      </c>
      <c r="BL67" s="40">
        <f>RawData!AO65</f>
        <v>-9.3439798802137375E-3</v>
      </c>
      <c r="BM67" s="40">
        <f>RawData!AN65</f>
        <v>1.7872080206871033E-6</v>
      </c>
      <c r="BN67" s="40">
        <f>RawData!AM65</f>
        <v>-3.6500000953674316</v>
      </c>
      <c r="BO67" s="40">
        <f>RawData!AL65</f>
        <v>0</v>
      </c>
      <c r="BP67" s="40">
        <f>RawData!AK65</f>
        <v>0.51050519943237305</v>
      </c>
      <c r="BQ67" s="40">
        <f>RawData!AJ65</f>
        <v>-9.9420547485351563E-5</v>
      </c>
      <c r="BR67" s="38">
        <f>RawData!AI65</f>
        <v>2.1836049199919216E-5</v>
      </c>
      <c r="BS67" s="38">
        <f>RawData!AH65</f>
        <v>-8.2327460404485464E-9</v>
      </c>
      <c r="BT67" s="40">
        <f>RawData!AG65</f>
        <v>-25.992576599121094</v>
      </c>
      <c r="BU67" s="39">
        <f>RawData!AF65</f>
        <v>1.09100341796875E-3</v>
      </c>
      <c r="BV67" s="39">
        <f>RawData!AE65</f>
        <v>7.1544613838195801</v>
      </c>
      <c r="BW67" s="38">
        <f>RawData!AD65</f>
        <v>2.0160675048828125E-3</v>
      </c>
      <c r="BX67" s="38">
        <f>RawData!AC65</f>
        <v>-4.5212679822270729E-8</v>
      </c>
      <c r="BY67" s="37">
        <f>RawData!AB65</f>
        <v>2.5071500431295135E-11</v>
      </c>
      <c r="BZ67" s="37">
        <f>RawData!AA65</f>
        <v>1.7207009659614414E-4</v>
      </c>
      <c r="CA67" s="36">
        <f>RawData!Z65</f>
        <v>-9.3437847681343555E-8</v>
      </c>
      <c r="CB67" s="36">
        <f>RawData!Y65</f>
        <v>4.7362325858557597E-5</v>
      </c>
      <c r="CC67" s="36">
        <f>RawData!X65</f>
        <v>-1.0375515557825565E-8</v>
      </c>
      <c r="CD67" s="36">
        <f>RawData!W65</f>
        <v>124236.6484375</v>
      </c>
      <c r="CE67" s="40">
        <f>RawData!V65</f>
        <v>-4.875</v>
      </c>
      <c r="CF67" s="40">
        <f>RawData!U65</f>
        <v>40459.37109375</v>
      </c>
      <c r="CG67" s="40">
        <f>RawData!T65</f>
        <v>11.140625</v>
      </c>
      <c r="CH67" s="44">
        <f>RawData!S65</f>
        <v>5.6500000953674316</v>
      </c>
      <c r="CI67" s="44">
        <f>RawData!R65</f>
        <v>6.4000000953674316</v>
      </c>
      <c r="CJ67" s="44">
        <f>RawData!Q65</f>
        <v>3.5999999046325684</v>
      </c>
      <c r="CK67" s="44">
        <f>RawData!P65</f>
        <v>3.6500000953674316</v>
      </c>
      <c r="CL67" s="44">
        <f>RawData!CJ65</f>
        <v>3950</v>
      </c>
      <c r="CM67" s="43">
        <f>RawData!CI65</f>
        <v>3.7000000476837158</v>
      </c>
      <c r="CN67" s="44">
        <f>RawData!CL65</f>
        <v>5250</v>
      </c>
      <c r="CO67" s="43">
        <f>RawData!CK65</f>
        <v>3.5999999046325684</v>
      </c>
      <c r="CP67" s="44">
        <f>RawData!CM65</f>
        <v>4.9699997901916504</v>
      </c>
      <c r="CQ67" s="47">
        <f>RawData!CO65</f>
        <v>44783.638194444444</v>
      </c>
      <c r="CR67" s="44">
        <f>RawData!CP65</f>
        <v>38295.69921875</v>
      </c>
      <c r="CS67" s="44">
        <f>RawData!DG65</f>
        <v>38295.69921875</v>
      </c>
      <c r="CT67" s="43" t="str">
        <f>RawData!DJ65</f>
        <v>G</v>
      </c>
      <c r="CU67" s="43" t="str">
        <f>RawData!CQ65</f>
        <v>FairPrice</v>
      </c>
      <c r="CV67" s="47">
        <f>RawData!CR65</f>
        <v>44783.638194444444</v>
      </c>
      <c r="CW67" s="65">
        <f>RawData!DK65</f>
        <v>38300</v>
      </c>
      <c r="CX67" s="65">
        <f>RawData!DL65</f>
        <v>3400000</v>
      </c>
      <c r="CY67" s="65">
        <f>RawData!DM65</f>
        <v>38500</v>
      </c>
      <c r="CZ67" s="65">
        <f>RawData!DN65</f>
        <v>0</v>
      </c>
      <c r="DA67" s="65">
        <f>RawData!DO65</f>
        <v>24500</v>
      </c>
      <c r="DB67" s="65">
        <f>RawData!DP65</f>
        <v>2863350</v>
      </c>
      <c r="DC67" s="65">
        <f>RawData!DQ65</f>
        <v>38000</v>
      </c>
      <c r="DD67" s="65">
        <f>RawData!DR65</f>
        <v>0</v>
      </c>
      <c r="DE67" s="65">
        <f>RawData!DS65</f>
        <v>24500</v>
      </c>
      <c r="DF67" s="65" t="str">
        <f>RawData!DT65</f>
        <v>BANKNIFTY</v>
      </c>
      <c r="DG67" s="66">
        <f>RawData!DU65</f>
        <v>44784</v>
      </c>
      <c r="DI67" s="21">
        <f t="shared" si="0"/>
        <v>2595.69921875</v>
      </c>
    </row>
    <row r="68" spans="1:113" x14ac:dyDescent="0.2">
      <c r="A68" s="59">
        <f>RawData!CN66</f>
        <v>44783.638194444444</v>
      </c>
      <c r="B68" s="44">
        <f>RawData!CH66</f>
        <v>2480.510009765625</v>
      </c>
      <c r="C68" s="44">
        <f>RawData!CG66</f>
        <v>750</v>
      </c>
      <c r="D68" s="43">
        <f>RawData!CF66</f>
        <v>2430.10009765625</v>
      </c>
      <c r="E68" s="44">
        <f>RawData!CE66</f>
        <v>75</v>
      </c>
      <c r="F68" s="43">
        <f>RawData!CD66</f>
        <v>2508.89990234375</v>
      </c>
      <c r="G68" s="44">
        <f>RawData!CC66</f>
        <v>2462.60009765625</v>
      </c>
      <c r="H68" s="44">
        <f>RawData!CB66</f>
        <v>2458</v>
      </c>
      <c r="I68" s="44">
        <f>RawData!CA66</f>
        <v>2525</v>
      </c>
      <c r="J68" s="44">
        <f>RawData!BZ66</f>
        <v>2458</v>
      </c>
      <c r="K68" s="40">
        <f>RawData!BY66</f>
        <v>0</v>
      </c>
      <c r="L68" s="40">
        <f>RawData!BX66</f>
        <v>0</v>
      </c>
      <c r="M68" s="40">
        <f>RawData!BW66</f>
        <v>0</v>
      </c>
      <c r="N68" s="40">
        <f>RawData!BV66</f>
        <v>0</v>
      </c>
      <c r="O68" s="36">
        <f>RawData!BU66</f>
        <v>0</v>
      </c>
      <c r="P68" s="36">
        <f>RawData!BT66</f>
        <v>0</v>
      </c>
      <c r="Q68" s="36">
        <f>RawData!BS66</f>
        <v>0</v>
      </c>
      <c r="R68" s="36">
        <f>RawData!BR66</f>
        <v>0</v>
      </c>
      <c r="S68" s="37">
        <f>RawData!BQ66</f>
        <v>0</v>
      </c>
      <c r="T68" s="37">
        <f>RawData!BP66</f>
        <v>0</v>
      </c>
      <c r="U68" s="38">
        <f>RawData!BO66</f>
        <v>0</v>
      </c>
      <c r="V68" s="38">
        <f>RawData!BN66</f>
        <v>0</v>
      </c>
      <c r="W68" s="39">
        <f>RawData!BM66</f>
        <v>0</v>
      </c>
      <c r="X68" s="39">
        <f>RawData!BL66</f>
        <v>0</v>
      </c>
      <c r="Y68" s="38">
        <f>RawData!BJ66</f>
        <v>0</v>
      </c>
      <c r="Z68" s="38">
        <f>RawData!BI66</f>
        <v>0</v>
      </c>
      <c r="AA68" s="40">
        <f>RawData!BH66</f>
        <v>0</v>
      </c>
      <c r="AB68" s="40">
        <f>RawData!BG66</f>
        <v>0</v>
      </c>
      <c r="AC68" s="40">
        <f>RawData!BF66</f>
        <v>0</v>
      </c>
      <c r="AD68" s="40">
        <f>RawData!BE66</f>
        <v>0</v>
      </c>
      <c r="AE68" s="40">
        <f>RawData!BD66</f>
        <v>0</v>
      </c>
      <c r="AF68" s="40">
        <f>RawData!BC66</f>
        <v>0</v>
      </c>
      <c r="AG68" s="41">
        <f>RawData!BB66</f>
        <v>225</v>
      </c>
      <c r="AH68" s="42">
        <f>RawData!DB66</f>
        <v>-9.0909090909090912E-2</v>
      </c>
      <c r="AI68" s="41">
        <f>RawData!BA66</f>
        <v>-125</v>
      </c>
      <c r="AJ68" s="43">
        <f>RawData!DA66</f>
        <v>1375</v>
      </c>
      <c r="AK68" s="41">
        <f>RawData!AZ66</f>
        <v>1250</v>
      </c>
      <c r="AL68" s="42">
        <f>RawData!DD66</f>
        <v>0</v>
      </c>
      <c r="AM68" s="44">
        <f>RawData!DC66</f>
        <v>0</v>
      </c>
      <c r="AN68" s="45">
        <f>RawData!BK66</f>
        <v>0</v>
      </c>
      <c r="AO68" s="44">
        <f>RawData!AY66</f>
        <v>0</v>
      </c>
      <c r="AP68" s="43" t="str">
        <f>RawData!DH66</f>
        <v>W</v>
      </c>
      <c r="AQ68" s="43">
        <f>RawData!DE66</f>
        <v>2462.60009765625</v>
      </c>
      <c r="AR68" s="42">
        <f>RawData!CZ66</f>
        <v>0</v>
      </c>
      <c r="AS68" s="44">
        <f>RawData!AX66</f>
        <v>0</v>
      </c>
      <c r="AT68" s="43">
        <f>RawData!CY66</f>
        <v>2462.60009765625</v>
      </c>
      <c r="AU68" s="44">
        <f>RawData!AW66</f>
        <v>2462.60009765625</v>
      </c>
      <c r="AV68" s="46">
        <f>RawData!O66</f>
        <v>35800</v>
      </c>
      <c r="AW68" s="44">
        <f>RawData!AV66</f>
        <v>3.9000000953674316</v>
      </c>
      <c r="AX68" s="44">
        <f>RawData!CW66</f>
        <v>3.9000000953674316</v>
      </c>
      <c r="AY68" s="44">
        <f>RawData!AU66</f>
        <v>0</v>
      </c>
      <c r="AZ68" s="42">
        <f>RawData!CX66</f>
        <v>0</v>
      </c>
      <c r="BA68" s="44">
        <f>RawData!DF66</f>
        <v>3.9000000953674316</v>
      </c>
      <c r="BB68" s="43" t="str">
        <f>RawData!DI66</f>
        <v>W</v>
      </c>
      <c r="BC68" s="44">
        <f>RawData!AT66</f>
        <v>55.075281858444214</v>
      </c>
      <c r="BD68" s="45">
        <f>RawData!AP66</f>
        <v>55.075281858444214</v>
      </c>
      <c r="BE68" s="44">
        <f>RawData!CS66</f>
        <v>1.163482666015625E-2</v>
      </c>
      <c r="BF68" s="42">
        <f>RawData!CT66</f>
        <v>2.112977851510698E-4</v>
      </c>
      <c r="BG68" s="41">
        <f>RawData!AS66</f>
        <v>264225</v>
      </c>
      <c r="BH68" s="41">
        <f>RawData!CU66</f>
        <v>247075</v>
      </c>
      <c r="BI68" s="41">
        <f>RawData!AR66</f>
        <v>17150</v>
      </c>
      <c r="BJ68" s="42">
        <f>RawData!CV66</f>
        <v>6.9412121825356679E-2</v>
      </c>
      <c r="BK68" s="41">
        <f>RawData!AQ66</f>
        <v>1655700</v>
      </c>
      <c r="BL68" s="40">
        <f>RawData!AO66</f>
        <v>-1.0169324465095997E-2</v>
      </c>
      <c r="BM68" s="40">
        <f>RawData!AN66</f>
        <v>1.6745179891586304E-6</v>
      </c>
      <c r="BN68" s="40">
        <f>RawData!AM66</f>
        <v>-3.9000000953674316</v>
      </c>
      <c r="BO68" s="40">
        <f>RawData!AL66</f>
        <v>0</v>
      </c>
      <c r="BP68" s="40">
        <f>RawData!AK66</f>
        <v>0.54968392848968506</v>
      </c>
      <c r="BQ68" s="40">
        <f>RawData!AJ66</f>
        <v>-9.5546245574951172E-5</v>
      </c>
      <c r="BR68" s="38">
        <f>RawData!AI66</f>
        <v>2.4161325200111605E-5</v>
      </c>
      <c r="BS68" s="38">
        <f>RawData!AH66</f>
        <v>-7.8471202868968248E-9</v>
      </c>
      <c r="BT68" s="40">
        <f>RawData!AG66</f>
        <v>-24.476963043212891</v>
      </c>
      <c r="BU68" s="39">
        <f>RawData!AF66</f>
        <v>1.0433197021484375E-3</v>
      </c>
      <c r="BV68" s="39">
        <f>RawData!AE66</f>
        <v>6.5562210083007813</v>
      </c>
      <c r="BW68" s="38">
        <f>RawData!AD66</f>
        <v>1.6717910766601563E-3</v>
      </c>
      <c r="BX68" s="38">
        <f>RawData!AC66</f>
        <v>-5.0708337084870436E-8</v>
      </c>
      <c r="BY68" s="37">
        <f>RawData!AB66</f>
        <v>2.4208191007346613E-11</v>
      </c>
      <c r="BZ68" s="37">
        <f>RawData!AA66</f>
        <v>1.8928768986370414E-4</v>
      </c>
      <c r="CA68" s="36">
        <f>RawData!Z66</f>
        <v>-8.9436070993542671E-8</v>
      </c>
      <c r="CB68" s="36">
        <f>RawData!Y66</f>
        <v>5.0701222789939493E-5</v>
      </c>
      <c r="CC68" s="36">
        <f>RawData!X66</f>
        <v>-8.858478395268321E-9</v>
      </c>
      <c r="CD68" s="36">
        <f>RawData!W66</f>
        <v>115417.328125</v>
      </c>
      <c r="CE68" s="40">
        <f>RawData!V66</f>
        <v>-5.3203125</v>
      </c>
      <c r="CF68" s="40">
        <f>RawData!U66</f>
        <v>36731.61328125</v>
      </c>
      <c r="CG68" s="40">
        <f>RawData!T66</f>
        <v>8.9375</v>
      </c>
      <c r="CH68" s="44">
        <f>RawData!S66</f>
        <v>7.0999999046325684</v>
      </c>
      <c r="CI68" s="44">
        <f>RawData!R66</f>
        <v>7.0999999046325684</v>
      </c>
      <c r="CJ68" s="44">
        <f>RawData!Q66</f>
        <v>3.7999999523162842</v>
      </c>
      <c r="CK68" s="44">
        <f>RawData!P66</f>
        <v>3.9000000953674316</v>
      </c>
      <c r="CL68" s="44">
        <f>RawData!CJ66</f>
        <v>1850</v>
      </c>
      <c r="CM68" s="43">
        <f>RawData!CI66</f>
        <v>3.9500000476837158</v>
      </c>
      <c r="CN68" s="44">
        <f>RawData!CL66</f>
        <v>375</v>
      </c>
      <c r="CO68" s="43">
        <f>RawData!CK66</f>
        <v>3.9000000953674316</v>
      </c>
      <c r="CP68" s="44">
        <f>RawData!CM66</f>
        <v>5.190000057220459</v>
      </c>
      <c r="CQ68" s="47">
        <f>RawData!CO66</f>
        <v>44783.638194444444</v>
      </c>
      <c r="CR68" s="44">
        <f>RawData!CP66</f>
        <v>38295.69921875</v>
      </c>
      <c r="CS68" s="44">
        <f>RawData!DG66</f>
        <v>38295.69921875</v>
      </c>
      <c r="CT68" s="43" t="str">
        <f>RawData!DJ66</f>
        <v>G</v>
      </c>
      <c r="CU68" s="43" t="str">
        <f>RawData!CQ66</f>
        <v>FairPrice</v>
      </c>
      <c r="CV68" s="47">
        <f>RawData!CR66</f>
        <v>44783.638194444444</v>
      </c>
      <c r="CW68" s="65">
        <f>RawData!DK66</f>
        <v>38300</v>
      </c>
      <c r="CX68" s="65">
        <f>RawData!DL66</f>
        <v>3400000</v>
      </c>
      <c r="CY68" s="65">
        <f>RawData!DM66</f>
        <v>38500</v>
      </c>
      <c r="CZ68" s="65">
        <f>RawData!DN66</f>
        <v>0</v>
      </c>
      <c r="DA68" s="65">
        <f>RawData!DO66</f>
        <v>24500</v>
      </c>
      <c r="DB68" s="65">
        <f>RawData!DP66</f>
        <v>2863350</v>
      </c>
      <c r="DC68" s="65">
        <f>RawData!DQ66</f>
        <v>38000</v>
      </c>
      <c r="DD68" s="65">
        <f>RawData!DR66</f>
        <v>0</v>
      </c>
      <c r="DE68" s="65">
        <f>RawData!DS66</f>
        <v>24500</v>
      </c>
      <c r="DF68" s="65" t="str">
        <f>RawData!DT66</f>
        <v>BANKNIFTY</v>
      </c>
      <c r="DG68" s="66">
        <f>RawData!DU66</f>
        <v>44784</v>
      </c>
      <c r="DI68" s="21">
        <f t="shared" si="0"/>
        <v>2495.69921875</v>
      </c>
    </row>
    <row r="69" spans="1:113" x14ac:dyDescent="0.2">
      <c r="A69" s="59">
        <f>RawData!CN67</f>
        <v>44783.638194444444</v>
      </c>
      <c r="B69" s="44">
        <f>RawData!CH67</f>
        <v>2391.929931640625</v>
      </c>
      <c r="C69" s="44">
        <f>RawData!CG67</f>
        <v>75</v>
      </c>
      <c r="D69" s="43">
        <f>RawData!CF67</f>
        <v>2392.300048828125</v>
      </c>
      <c r="E69" s="44">
        <f>RawData!CE67</f>
        <v>75</v>
      </c>
      <c r="F69" s="43">
        <f>RawData!CD67</f>
        <v>2408.300048828125</v>
      </c>
      <c r="G69" s="44">
        <f>RawData!CC67</f>
        <v>2440</v>
      </c>
      <c r="H69" s="44">
        <f>RawData!CB67</f>
        <v>2312.5</v>
      </c>
      <c r="I69" s="44">
        <f>RawData!CA67</f>
        <v>2459.699951171875</v>
      </c>
      <c r="J69" s="44">
        <f>RawData!BZ67</f>
        <v>2312.5</v>
      </c>
      <c r="K69" s="40">
        <f>RawData!BY67</f>
        <v>44.09765625</v>
      </c>
      <c r="L69" s="40">
        <f>RawData!BX67</f>
        <v>4261.41162109375</v>
      </c>
      <c r="M69" s="40">
        <f>RawData!BW67</f>
        <v>110.64306640625</v>
      </c>
      <c r="N69" s="40">
        <f>RawData!BV67</f>
        <v>7621.9365234375</v>
      </c>
      <c r="O69" s="36">
        <f>RawData!BU67</f>
        <v>2.8861177270300686E-7</v>
      </c>
      <c r="P69" s="36">
        <f>RawData!BT67</f>
        <v>4.7485391405643895E-5</v>
      </c>
      <c r="Q69" s="36">
        <f>RawData!BS67</f>
        <v>1.0447183740325272E-6</v>
      </c>
      <c r="R69" s="36">
        <f>RawData!BR67</f>
        <v>1.2178931501694024E-4</v>
      </c>
      <c r="S69" s="37">
        <f>RawData!BQ67</f>
        <v>-9.2335028512025019E-11</v>
      </c>
      <c r="T69" s="37">
        <f>RawData!BP67</f>
        <v>-7.2675526041621197E-8</v>
      </c>
      <c r="U69" s="38">
        <f>RawData!BO67</f>
        <v>8.8677406311035156E-3</v>
      </c>
      <c r="V69" s="38">
        <f>RawData!BN67</f>
        <v>0.94978904724121094</v>
      </c>
      <c r="W69" s="39">
        <f>RawData!BM67</f>
        <v>-2.8814077377319336E-2</v>
      </c>
      <c r="X69" s="39">
        <f>RawData!BL67</f>
        <v>-2.4359946250915527</v>
      </c>
      <c r="Y69" s="38">
        <f>RawData!BJ67</f>
        <v>-2.9143120627850294E-7</v>
      </c>
      <c r="Z69" s="38">
        <f>RawData!BI67</f>
        <v>7.485893729608506E-5</v>
      </c>
      <c r="AA69" s="40">
        <f>RawData!BH67</f>
        <v>-1.6072750091552734E-2</v>
      </c>
      <c r="AB69" s="40">
        <f>RawData!BG67</f>
        <v>2.4793016910552979</v>
      </c>
      <c r="AC69" s="40">
        <f>RawData!BF67</f>
        <v>0.8720245361328125</v>
      </c>
      <c r="AD69" s="40">
        <f>RawData!BE67</f>
        <v>-96.667442321777344</v>
      </c>
      <c r="AE69" s="40">
        <f>RawData!BD67</f>
        <v>5.1379203796386719E-4</v>
      </c>
      <c r="AF69" s="40">
        <f>RawData!BC67</f>
        <v>0.93815088272094727</v>
      </c>
      <c r="AG69" s="41">
        <f>RawData!BB67</f>
        <v>325</v>
      </c>
      <c r="AH69" s="42">
        <f>RawData!DB67</f>
        <v>6.6666666666666666E-2</v>
      </c>
      <c r="AI69" s="41">
        <f>RawData!BA67</f>
        <v>75</v>
      </c>
      <c r="AJ69" s="43">
        <f>RawData!DA67</f>
        <v>1125</v>
      </c>
      <c r="AK69" s="41">
        <f>RawData!AZ67</f>
        <v>1200</v>
      </c>
      <c r="AL69" s="42">
        <f>RawData!DD67</f>
        <v>-2.5584770928723773E-3</v>
      </c>
      <c r="AM69" s="44">
        <f>RawData!DC67</f>
        <v>-0.20564794540405273</v>
      </c>
      <c r="AN69" s="45">
        <f>RawData!BK67</f>
        <v>80.173397064208984</v>
      </c>
      <c r="AO69" s="44">
        <f>RawData!AY67</f>
        <v>80.173397064208984</v>
      </c>
      <c r="AP69" s="43" t="str">
        <f>RawData!DH67</f>
        <v>W</v>
      </c>
      <c r="AQ69" s="43">
        <f>RawData!DE67</f>
        <v>2440</v>
      </c>
      <c r="AR69" s="42">
        <f>RawData!CZ67</f>
        <v>0</v>
      </c>
      <c r="AS69" s="44">
        <f>RawData!AX67</f>
        <v>0</v>
      </c>
      <c r="AT69" s="43">
        <f>RawData!CY67</f>
        <v>2440</v>
      </c>
      <c r="AU69" s="44">
        <f>RawData!AW67</f>
        <v>2440</v>
      </c>
      <c r="AV69" s="46">
        <f>RawData!O67</f>
        <v>35900</v>
      </c>
      <c r="AW69" s="44">
        <f>RawData!AV67</f>
        <v>4.0999999046325684</v>
      </c>
      <c r="AX69" s="44">
        <f>RawData!CW67</f>
        <v>4.0999999046325684</v>
      </c>
      <c r="AY69" s="44">
        <f>RawData!AU67</f>
        <v>0</v>
      </c>
      <c r="AZ69" s="42">
        <f>RawData!CX67</f>
        <v>0</v>
      </c>
      <c r="BA69" s="44">
        <f>RawData!DF67</f>
        <v>4.0999999046325684</v>
      </c>
      <c r="BB69" s="43" t="str">
        <f>RawData!DI67</f>
        <v>W</v>
      </c>
      <c r="BC69" s="44">
        <f>RawData!AT67</f>
        <v>53.42448353767395</v>
      </c>
      <c r="BD69" s="45">
        <f>RawData!AP67</f>
        <v>53.42448353767395</v>
      </c>
      <c r="BE69" s="44">
        <f>RawData!CS67</f>
        <v>2.0921230316162109E-3</v>
      </c>
      <c r="BF69" s="42">
        <f>RawData!CT67</f>
        <v>3.9161912752613861E-5</v>
      </c>
      <c r="BG69" s="41">
        <f>RawData!AS67</f>
        <v>153125</v>
      </c>
      <c r="BH69" s="41">
        <f>RawData!CU67</f>
        <v>191750</v>
      </c>
      <c r="BI69" s="41">
        <f>RawData!AR67</f>
        <v>-38625</v>
      </c>
      <c r="BJ69" s="42">
        <f>RawData!CV67</f>
        <v>-0.20143415906127771</v>
      </c>
      <c r="BK69" s="41">
        <f>RawData!AQ67</f>
        <v>1519525</v>
      </c>
      <c r="BL69" s="40">
        <f>RawData!AO67</f>
        <v>-1.0936870239675045E-2</v>
      </c>
      <c r="BM69" s="40">
        <f>RawData!AN67</f>
        <v>1.862645149230957E-7</v>
      </c>
      <c r="BN69" s="40">
        <f>RawData!AM67</f>
        <v>-4.0999999046325684</v>
      </c>
      <c r="BO69" s="40">
        <f>RawData!AL67</f>
        <v>0</v>
      </c>
      <c r="BP69" s="40">
        <f>RawData!AK67</f>
        <v>0.58566123247146606</v>
      </c>
      <c r="BQ69" s="40">
        <f>RawData!AJ67</f>
        <v>-2.0563602447509766E-5</v>
      </c>
      <c r="BR69" s="38">
        <f>RawData!AI67</f>
        <v>2.6538007659837604E-5</v>
      </c>
      <c r="BS69" s="38">
        <f>RawData!AH67</f>
        <v>-8.9312379714101553E-10</v>
      </c>
      <c r="BT69" s="40">
        <f>RawData!AG67</f>
        <v>-23.408143997192383</v>
      </c>
      <c r="BU69" s="39">
        <f>RawData!AF67</f>
        <v>5.054473876953125E-4</v>
      </c>
      <c r="BV69" s="39">
        <f>RawData!AE67</f>
        <v>6.082003116607666</v>
      </c>
      <c r="BW69" s="38">
        <f>RawData!AD67</f>
        <v>3.6954879760742188E-4</v>
      </c>
      <c r="BX69" s="38">
        <f>RawData!AC67</f>
        <v>-5.6723994390495136E-8</v>
      </c>
      <c r="BY69" s="37">
        <f>RawData!AB67</f>
        <v>2.8030910925735952E-12</v>
      </c>
      <c r="BZ69" s="37">
        <f>RawData!AA67</f>
        <v>2.0817315089516342E-4</v>
      </c>
      <c r="CA69" s="36">
        <f>RawData!Z67</f>
        <v>-1.3737007975578308E-8</v>
      </c>
      <c r="CB69" s="36">
        <f>RawData!Y67</f>
        <v>5.408842844190076E-5</v>
      </c>
      <c r="CC69" s="36">
        <f>RawData!X67</f>
        <v>8.8402885012328625E-10</v>
      </c>
      <c r="CD69" s="36">
        <f>RawData!W67</f>
        <v>109070</v>
      </c>
      <c r="CE69" s="40">
        <f>RawData!V67</f>
        <v>-4.2578125</v>
      </c>
      <c r="CF69" s="40">
        <f>RawData!U67</f>
        <v>33798.50390625</v>
      </c>
      <c r="CG69" s="40">
        <f>RawData!T67</f>
        <v>1.43359375</v>
      </c>
      <c r="CH69" s="44">
        <f>RawData!S67</f>
        <v>8.1000003814697266</v>
      </c>
      <c r="CI69" s="44">
        <f>RawData!R67</f>
        <v>8.1000003814697266</v>
      </c>
      <c r="CJ69" s="44">
        <f>RawData!Q67</f>
        <v>3.9500000476837158</v>
      </c>
      <c r="CK69" s="44">
        <f>RawData!P67</f>
        <v>4.0999999046325684</v>
      </c>
      <c r="CL69" s="44">
        <f>RawData!CJ67</f>
        <v>1150</v>
      </c>
      <c r="CM69" s="43">
        <f>RawData!CI67</f>
        <v>4.0999999046325684</v>
      </c>
      <c r="CN69" s="44">
        <f>RawData!CL67</f>
        <v>1200</v>
      </c>
      <c r="CO69" s="43">
        <f>RawData!CK67</f>
        <v>4.0500001907348633</v>
      </c>
      <c r="CP69" s="44">
        <f>RawData!CM67</f>
        <v>5.4600000381469727</v>
      </c>
      <c r="CQ69" s="47">
        <f>RawData!CO67</f>
        <v>44783.638194444444</v>
      </c>
      <c r="CR69" s="44">
        <f>RawData!CP67</f>
        <v>38295.69921875</v>
      </c>
      <c r="CS69" s="44">
        <f>RawData!DG67</f>
        <v>38295.69921875</v>
      </c>
      <c r="CT69" s="43" t="str">
        <f>RawData!DJ67</f>
        <v>G</v>
      </c>
      <c r="CU69" s="43" t="str">
        <f>RawData!CQ67</f>
        <v>FairPrice</v>
      </c>
      <c r="CV69" s="47">
        <f>RawData!CR67</f>
        <v>44783.638194444444</v>
      </c>
      <c r="CW69" s="65">
        <f>RawData!DK67</f>
        <v>38300</v>
      </c>
      <c r="CX69" s="65">
        <f>RawData!DL67</f>
        <v>3400000</v>
      </c>
      <c r="CY69" s="65">
        <f>RawData!DM67</f>
        <v>38500</v>
      </c>
      <c r="CZ69" s="65">
        <f>RawData!DN67</f>
        <v>0</v>
      </c>
      <c r="DA69" s="65">
        <f>RawData!DO67</f>
        <v>24500</v>
      </c>
      <c r="DB69" s="65">
        <f>RawData!DP67</f>
        <v>2863350</v>
      </c>
      <c r="DC69" s="65">
        <f>RawData!DQ67</f>
        <v>38000</v>
      </c>
      <c r="DD69" s="65">
        <f>RawData!DR67</f>
        <v>0</v>
      </c>
      <c r="DE69" s="65">
        <f>RawData!DS67</f>
        <v>24500</v>
      </c>
      <c r="DF69" s="65" t="str">
        <f>RawData!DT67</f>
        <v>BANKNIFTY</v>
      </c>
      <c r="DG69" s="66">
        <f>RawData!DU67</f>
        <v>44784</v>
      </c>
      <c r="DI69" s="21">
        <f t="shared" ref="DI69:DI132" si="1">IFERROR(IF($AV69&gt;0, ABS($AV69-$CR$4),0),0)</f>
        <v>2395.69921875</v>
      </c>
    </row>
    <row r="70" spans="1:113" x14ac:dyDescent="0.2">
      <c r="A70" s="59">
        <f>RawData!CN68</f>
        <v>44783.638194444444</v>
      </c>
      <c r="B70" s="44">
        <f>RawData!CH68</f>
        <v>2300.550048828125</v>
      </c>
      <c r="C70" s="44">
        <f>RawData!CG68</f>
        <v>125</v>
      </c>
      <c r="D70" s="43">
        <f>RawData!CF68</f>
        <v>2295.050048828125</v>
      </c>
      <c r="E70" s="44">
        <f>RawData!CE68</f>
        <v>100</v>
      </c>
      <c r="F70" s="43">
        <f>RawData!CD68</f>
        <v>2300.550048828125</v>
      </c>
      <c r="G70" s="44">
        <f>RawData!CC68</f>
        <v>2292.050048828125</v>
      </c>
      <c r="H70" s="44">
        <f>RawData!CB68</f>
        <v>2175.300048828125</v>
      </c>
      <c r="I70" s="44">
        <f>RawData!CA68</f>
        <v>2394.39990234375</v>
      </c>
      <c r="J70" s="44">
        <f>RawData!BZ68</f>
        <v>2304.10009765625</v>
      </c>
      <c r="K70" s="40">
        <f>RawData!BY68</f>
        <v>0</v>
      </c>
      <c r="L70" s="40">
        <f>RawData!BX68</f>
        <v>0</v>
      </c>
      <c r="M70" s="40">
        <f>RawData!BW68</f>
        <v>0</v>
      </c>
      <c r="N70" s="40">
        <f>RawData!BV68</f>
        <v>0</v>
      </c>
      <c r="O70" s="36">
        <f>RawData!BU68</f>
        <v>0</v>
      </c>
      <c r="P70" s="36">
        <f>RawData!BT68</f>
        <v>0</v>
      </c>
      <c r="Q70" s="36">
        <f>RawData!BS68</f>
        <v>0</v>
      </c>
      <c r="R70" s="36">
        <f>RawData!BR68</f>
        <v>0</v>
      </c>
      <c r="S70" s="37">
        <f>RawData!BQ68</f>
        <v>0</v>
      </c>
      <c r="T70" s="37">
        <f>RawData!BP68</f>
        <v>0</v>
      </c>
      <c r="U70" s="38">
        <f>RawData!BO68</f>
        <v>0</v>
      </c>
      <c r="V70" s="38">
        <f>RawData!BN68</f>
        <v>0</v>
      </c>
      <c r="W70" s="39">
        <f>RawData!BM68</f>
        <v>0</v>
      </c>
      <c r="X70" s="39">
        <f>RawData!BL68</f>
        <v>0</v>
      </c>
      <c r="Y70" s="38">
        <f>RawData!BJ68</f>
        <v>0</v>
      </c>
      <c r="Z70" s="38">
        <f>RawData!BI68</f>
        <v>0</v>
      </c>
      <c r="AA70" s="40">
        <f>RawData!BH68</f>
        <v>0</v>
      </c>
      <c r="AB70" s="40">
        <f>RawData!BG68</f>
        <v>0</v>
      </c>
      <c r="AC70" s="40">
        <f>RawData!BF68</f>
        <v>0</v>
      </c>
      <c r="AD70" s="40">
        <f>RawData!BE68</f>
        <v>0</v>
      </c>
      <c r="AE70" s="40">
        <f>RawData!BD68</f>
        <v>0</v>
      </c>
      <c r="AF70" s="40">
        <f>RawData!BC68</f>
        <v>0</v>
      </c>
      <c r="AG70" s="41">
        <f>RawData!BB68</f>
        <v>6000</v>
      </c>
      <c r="AH70" s="42">
        <f>RawData!DB68</f>
        <v>-6.8656716417910449E-2</v>
      </c>
      <c r="AI70" s="41">
        <f>RawData!BA68</f>
        <v>-2300</v>
      </c>
      <c r="AJ70" s="43">
        <f>RawData!DA68</f>
        <v>33500</v>
      </c>
      <c r="AK70" s="41">
        <f>RawData!AZ68</f>
        <v>31200</v>
      </c>
      <c r="AL70" s="42">
        <f>RawData!DD68</f>
        <v>0</v>
      </c>
      <c r="AM70" s="44">
        <f>RawData!DC68</f>
        <v>0</v>
      </c>
      <c r="AN70" s="45">
        <f>RawData!BK68</f>
        <v>0</v>
      </c>
      <c r="AO70" s="44">
        <f>RawData!AY68</f>
        <v>0</v>
      </c>
      <c r="AP70" s="43" t="str">
        <f>RawData!DH68</f>
        <v>W</v>
      </c>
      <c r="AQ70" s="43">
        <f>RawData!DE68</f>
        <v>2292.050048828125</v>
      </c>
      <c r="AR70" s="42">
        <f>RawData!CZ68</f>
        <v>0</v>
      </c>
      <c r="AS70" s="44">
        <f>RawData!AX68</f>
        <v>0</v>
      </c>
      <c r="AT70" s="43">
        <f>RawData!CY68</f>
        <v>2292.050048828125</v>
      </c>
      <c r="AU70" s="44">
        <f>RawData!AW68</f>
        <v>2292.050048828125</v>
      </c>
      <c r="AV70" s="46">
        <f>RawData!O68</f>
        <v>36000</v>
      </c>
      <c r="AW70" s="44">
        <f>RawData!AV68</f>
        <v>4.4000000953674316</v>
      </c>
      <c r="AX70" s="44">
        <f>RawData!CW68</f>
        <v>4.4000000953674316</v>
      </c>
      <c r="AY70" s="44">
        <f>RawData!AU68</f>
        <v>-4.9999713897705078E-2</v>
      </c>
      <c r="AZ70" s="42">
        <f>RawData!CX68</f>
        <v>-1.1235891245119384E-2</v>
      </c>
      <c r="BA70" s="44">
        <f>RawData!DF68</f>
        <v>4.4000000953674316</v>
      </c>
      <c r="BB70" s="43" t="str">
        <f>RawData!DI68</f>
        <v>R</v>
      </c>
      <c r="BC70" s="44">
        <f>RawData!AT68</f>
        <v>51.894551515579224</v>
      </c>
      <c r="BD70" s="45">
        <f>RawData!AP68</f>
        <v>51.894551515579224</v>
      </c>
      <c r="BE70" s="44">
        <f>RawData!CS68</f>
        <v>-6.7126750946044922E-2</v>
      </c>
      <c r="BF70" s="42">
        <f>RawData!CT68</f>
        <v>-1.2918510946034877E-3</v>
      </c>
      <c r="BG70" s="41">
        <f>RawData!AS68</f>
        <v>1994275</v>
      </c>
      <c r="BH70" s="41">
        <f>RawData!CU68</f>
        <v>2065400</v>
      </c>
      <c r="BI70" s="41">
        <f>RawData!AR68</f>
        <v>-71125</v>
      </c>
      <c r="BJ70" s="42">
        <f>RawData!CV68</f>
        <v>-3.4436428778929024E-2</v>
      </c>
      <c r="BK70" s="41">
        <f>RawData!AQ68</f>
        <v>12718950</v>
      </c>
      <c r="BL70" s="40">
        <f>RawData!AO68</f>
        <v>-1.1965847574174404E-2</v>
      </c>
      <c r="BM70" s="40">
        <f>RawData!AN68</f>
        <v>1.0793097317218781E-4</v>
      </c>
      <c r="BN70" s="40">
        <f>RawData!AM68</f>
        <v>-4.4000000953674316</v>
      </c>
      <c r="BO70" s="40">
        <f>RawData!AL68</f>
        <v>4.9999713897705078E-2</v>
      </c>
      <c r="BP70" s="40">
        <f>RawData!AK68</f>
        <v>0.6332554817199707</v>
      </c>
      <c r="BQ70" s="40">
        <f>RawData!AJ68</f>
        <v>-4.9546957015991211E-3</v>
      </c>
      <c r="BR70" s="38">
        <f>RawData!AI68</f>
        <v>2.9539403840317391E-5</v>
      </c>
      <c r="BS70" s="38">
        <f>RawData!AH68</f>
        <v>-1.9222898117732257E-7</v>
      </c>
      <c r="BT70" s="40">
        <f>RawData!AG68</f>
        <v>-21.95759391784668</v>
      </c>
      <c r="BU70" s="39">
        <f>RawData!AF68</f>
        <v>-0.2324676513671875</v>
      </c>
      <c r="BV70" s="39">
        <f>RawData!AE68</f>
        <v>5.541496753692627</v>
      </c>
      <c r="BW70" s="38">
        <f>RawData!AD68</f>
        <v>5.1813125610351563E-2</v>
      </c>
      <c r="BX70" s="38">
        <f>RawData!AC68</f>
        <v>-6.4015338807621447E-8</v>
      </c>
      <c r="BY70" s="37">
        <f>RawData!AB68</f>
        <v>2.3675994498262298E-10</v>
      </c>
      <c r="BZ70" s="37">
        <f>RawData!AA68</f>
        <v>2.2981560323387384E-4</v>
      </c>
      <c r="CA70" s="36">
        <f>RawData!Z68</f>
        <v>-3.064196789637208E-7</v>
      </c>
      <c r="CB70" s="36">
        <f>RawData!Y68</f>
        <v>5.7999179261969402E-5</v>
      </c>
      <c r="CC70" s="36">
        <f>RawData!X68</f>
        <v>-1.4994293451309204E-7</v>
      </c>
      <c r="CD70" s="36">
        <f>RawData!W68</f>
        <v>100781.1953125</v>
      </c>
      <c r="CE70" s="40">
        <f>RawData!V68</f>
        <v>1218.625</v>
      </c>
      <c r="CF70" s="40">
        <f>RawData!U68</f>
        <v>30483.556640625</v>
      </c>
      <c r="CG70" s="40">
        <f>RawData!T68</f>
        <v>315.47265625</v>
      </c>
      <c r="CH70" s="44">
        <f>RawData!S68</f>
        <v>5.1999998092651367</v>
      </c>
      <c r="CI70" s="44">
        <f>RawData!R68</f>
        <v>7.6999998092651367</v>
      </c>
      <c r="CJ70" s="44">
        <f>RawData!Q68</f>
        <v>4.1999998092651367</v>
      </c>
      <c r="CK70" s="44">
        <f>RawData!P68</f>
        <v>4.4000000953674316</v>
      </c>
      <c r="CL70" s="44">
        <f>RawData!CJ68</f>
        <v>2450</v>
      </c>
      <c r="CM70" s="43">
        <f>RawData!CI68</f>
        <v>4.4499998092651367</v>
      </c>
      <c r="CN70" s="44">
        <f>RawData!CL68</f>
        <v>18625</v>
      </c>
      <c r="CO70" s="43">
        <f>RawData!CK68</f>
        <v>4.4000000953674316</v>
      </c>
      <c r="CP70" s="44">
        <f>RawData!CM68</f>
        <v>5.7699999809265137</v>
      </c>
      <c r="CQ70" s="47">
        <f>RawData!CO68</f>
        <v>44783.638194444444</v>
      </c>
      <c r="CR70" s="44">
        <f>RawData!CP68</f>
        <v>38295.69921875</v>
      </c>
      <c r="CS70" s="44">
        <f>RawData!DG68</f>
        <v>38295.69921875</v>
      </c>
      <c r="CT70" s="43" t="str">
        <f>RawData!DJ68</f>
        <v>G</v>
      </c>
      <c r="CU70" s="43" t="str">
        <f>RawData!CQ68</f>
        <v>FairPrice</v>
      </c>
      <c r="CV70" s="47">
        <f>RawData!CR68</f>
        <v>44783.638194444444</v>
      </c>
      <c r="CW70" s="65">
        <f>RawData!DK68</f>
        <v>38300</v>
      </c>
      <c r="CX70" s="65">
        <f>RawData!DL68</f>
        <v>3400000</v>
      </c>
      <c r="CY70" s="65">
        <f>RawData!DM68</f>
        <v>38500</v>
      </c>
      <c r="CZ70" s="65">
        <f>RawData!DN68</f>
        <v>0</v>
      </c>
      <c r="DA70" s="65">
        <f>RawData!DO68</f>
        <v>24500</v>
      </c>
      <c r="DB70" s="65">
        <f>RawData!DP68</f>
        <v>2863350</v>
      </c>
      <c r="DC70" s="65">
        <f>RawData!DQ68</f>
        <v>38000</v>
      </c>
      <c r="DD70" s="65">
        <f>RawData!DR68</f>
        <v>0</v>
      </c>
      <c r="DE70" s="65">
        <f>RawData!DS68</f>
        <v>24500</v>
      </c>
      <c r="DF70" s="65" t="str">
        <f>RawData!DT68</f>
        <v>BANKNIFTY</v>
      </c>
      <c r="DG70" s="66">
        <f>RawData!DU68</f>
        <v>44784</v>
      </c>
      <c r="DI70" s="21">
        <f t="shared" si="1"/>
        <v>2295.69921875</v>
      </c>
    </row>
    <row r="71" spans="1:113" x14ac:dyDescent="0.2">
      <c r="A71" s="59">
        <f>RawData!CN69</f>
        <v>44783.638194444444</v>
      </c>
      <c r="B71" s="44">
        <f>RawData!CH69</f>
        <v>2196.72998046875</v>
      </c>
      <c r="C71" s="44">
        <f>RawData!CG69</f>
        <v>125</v>
      </c>
      <c r="D71" s="43">
        <f>RawData!CF69</f>
        <v>2192.35009765625</v>
      </c>
      <c r="E71" s="44">
        <f>RawData!CE69</f>
        <v>475</v>
      </c>
      <c r="F71" s="43">
        <f>RawData!CD69</f>
        <v>2205.800048828125</v>
      </c>
      <c r="G71" s="44">
        <f>RawData!CC69</f>
        <v>2266.85009765625</v>
      </c>
      <c r="H71" s="44">
        <f>RawData!CB69</f>
        <v>2140.800048828125</v>
      </c>
      <c r="I71" s="44">
        <f>RawData!CA69</f>
        <v>2266.85009765625</v>
      </c>
      <c r="J71" s="44">
        <f>RawData!BZ69</f>
        <v>2191.25</v>
      </c>
      <c r="K71" s="40">
        <f>RawData!BY69</f>
        <v>16.99072265625</v>
      </c>
      <c r="L71" s="40">
        <f>RawData!BX69</f>
        <v>2701.4306640625</v>
      </c>
      <c r="M71" s="40">
        <f>RawData!BW69</f>
        <v>40.2216796875</v>
      </c>
      <c r="N71" s="40">
        <f>RawData!BV69</f>
        <v>4222.5986328125</v>
      </c>
      <c r="O71" s="36">
        <f>RawData!BU69</f>
        <v>2.7142596081830561E-7</v>
      </c>
      <c r="P71" s="36">
        <f>RawData!BT69</f>
        <v>3.478792859823443E-5</v>
      </c>
      <c r="Q71" s="36">
        <f>RawData!BS69</f>
        <v>8.1425969256088138E-7</v>
      </c>
      <c r="R71" s="36">
        <f>RawData!BR69</f>
        <v>8.5291132563725114E-5</v>
      </c>
      <c r="S71" s="37">
        <f>RawData!BQ69</f>
        <v>-1.4348700005939463E-10</v>
      </c>
      <c r="T71" s="37">
        <f>RawData!BP69</f>
        <v>-7.7032552781020058E-8</v>
      </c>
      <c r="U71" s="38">
        <f>RawData!BO69</f>
        <v>3.6428570747375488E-3</v>
      </c>
      <c r="V71" s="38">
        <f>RawData!BN69</f>
        <v>0.62829118967056274</v>
      </c>
      <c r="W71" s="39">
        <f>RawData!BM69</f>
        <v>-1.162409782409668E-2</v>
      </c>
      <c r="X71" s="39">
        <f>RawData!BL69</f>
        <v>-1.5404098033905029</v>
      </c>
      <c r="Y71" s="38">
        <f>RawData!BJ69</f>
        <v>-1.7234560800716281E-7</v>
      </c>
      <c r="Z71" s="38">
        <f>RawData!BI69</f>
        <v>9.4251518021337688E-5</v>
      </c>
      <c r="AA71" s="40">
        <f>RawData!BH69</f>
        <v>-1.1922597885131836E-2</v>
      </c>
      <c r="AB71" s="40">
        <f>RawData!BG69</f>
        <v>3.2654869556427002</v>
      </c>
      <c r="AC71" s="40">
        <f>RawData!BF69</f>
        <v>0.7217254638671875</v>
      </c>
      <c r="AD71" s="40">
        <f>RawData!BE69</f>
        <v>-133.19032287597656</v>
      </c>
      <c r="AE71" s="40">
        <f>RawData!BD69</f>
        <v>4.3451786041259766E-4</v>
      </c>
      <c r="AF71" s="40">
        <f>RawData!BC69</f>
        <v>0.91128355264663696</v>
      </c>
      <c r="AG71" s="41">
        <f>RawData!BB69</f>
        <v>525</v>
      </c>
      <c r="AH71" s="42">
        <f>RawData!DB69</f>
        <v>8.771929824561403E-3</v>
      </c>
      <c r="AI71" s="41">
        <f>RawData!BA69</f>
        <v>25</v>
      </c>
      <c r="AJ71" s="43">
        <f>RawData!DA69</f>
        <v>2850</v>
      </c>
      <c r="AK71" s="41">
        <f>RawData!AZ69</f>
        <v>2875</v>
      </c>
      <c r="AL71" s="42">
        <f>RawData!DD69</f>
        <v>-1.8013866413627401E-3</v>
      </c>
      <c r="AM71" s="44">
        <f>RawData!DC69</f>
        <v>-0.15135407447814941</v>
      </c>
      <c r="AN71" s="45">
        <f>RawData!BK69</f>
        <v>83.869516849517822</v>
      </c>
      <c r="AO71" s="44">
        <f>RawData!AY69</f>
        <v>83.869516849517822</v>
      </c>
      <c r="AP71" s="43" t="str">
        <f>RawData!DH69</f>
        <v>W</v>
      </c>
      <c r="AQ71" s="43">
        <f>RawData!DE69</f>
        <v>2266.85009765625</v>
      </c>
      <c r="AR71" s="42">
        <f>RawData!CZ69</f>
        <v>0</v>
      </c>
      <c r="AS71" s="44">
        <f>RawData!AX69</f>
        <v>0</v>
      </c>
      <c r="AT71" s="43">
        <f>RawData!CY69</f>
        <v>2266.85009765625</v>
      </c>
      <c r="AU71" s="44">
        <f>RawData!AW69</f>
        <v>2266.85009765625</v>
      </c>
      <c r="AV71" s="46">
        <f>RawData!O69</f>
        <v>36100</v>
      </c>
      <c r="AW71" s="44">
        <f>RawData!AV69</f>
        <v>4.6500000953674316</v>
      </c>
      <c r="AX71" s="44">
        <f>RawData!CW69</f>
        <v>4.6500000953674316</v>
      </c>
      <c r="AY71" s="44">
        <f>RawData!AU69</f>
        <v>0</v>
      </c>
      <c r="AZ71" s="42">
        <f>RawData!CX69</f>
        <v>0</v>
      </c>
      <c r="BA71" s="44">
        <f>RawData!DF69</f>
        <v>4.6500000953674316</v>
      </c>
      <c r="BB71" s="43" t="str">
        <f>RawData!DI69</f>
        <v>W</v>
      </c>
      <c r="BC71" s="44">
        <f>RawData!AT69</f>
        <v>50.239133834838867</v>
      </c>
      <c r="BD71" s="45">
        <f>RawData!AP69</f>
        <v>50.239133834838867</v>
      </c>
      <c r="BE71" s="44">
        <f>RawData!CS69</f>
        <v>2.0384788513183594E-3</v>
      </c>
      <c r="BF71" s="42">
        <f>RawData!CT69</f>
        <v>4.0577163884046126E-5</v>
      </c>
      <c r="BG71" s="41">
        <f>RawData!AS69</f>
        <v>239075</v>
      </c>
      <c r="BH71" s="41">
        <f>RawData!CU69</f>
        <v>196800</v>
      </c>
      <c r="BI71" s="41">
        <f>RawData!AR69</f>
        <v>42275</v>
      </c>
      <c r="BJ71" s="42">
        <f>RawData!CV69</f>
        <v>0.2148119918699187</v>
      </c>
      <c r="BK71" s="41">
        <f>RawData!AQ69</f>
        <v>2215725</v>
      </c>
      <c r="BL71" s="40">
        <f>RawData!AO69</f>
        <v>-1.295006275177002E-2</v>
      </c>
      <c r="BM71" s="40">
        <f>RawData!AN69</f>
        <v>2.3748725652694702E-7</v>
      </c>
      <c r="BN71" s="40">
        <f>RawData!AM69</f>
        <v>-4.6500000953674316</v>
      </c>
      <c r="BO71" s="40">
        <f>RawData!AL69</f>
        <v>0</v>
      </c>
      <c r="BP71" s="40">
        <f>RawData!AK69</f>
        <v>0.67810481786727905</v>
      </c>
      <c r="BQ71" s="40">
        <f>RawData!AJ69</f>
        <v>-2.4557113647460938E-5</v>
      </c>
      <c r="BR71" s="38">
        <f>RawData!AI69</f>
        <v>3.2675266993464902E-5</v>
      </c>
      <c r="BS71" s="38">
        <f>RawData!AH69</f>
        <v>-1.1823431123048067E-9</v>
      </c>
      <c r="BT71" s="40">
        <f>RawData!AG69</f>
        <v>-20.899091720581055</v>
      </c>
      <c r="BU71" s="39">
        <f>RawData!AF69</f>
        <v>4.53948974609375E-4</v>
      </c>
      <c r="BV71" s="39">
        <f>RawData!AE69</f>
        <v>5.106330394744873</v>
      </c>
      <c r="BW71" s="38">
        <f>RawData!AD69</f>
        <v>3.1709671020507813E-4</v>
      </c>
      <c r="BX71" s="38">
        <f>RawData!AC69</f>
        <v>-7.2141347118304111E-8</v>
      </c>
      <c r="BY71" s="37">
        <f>RawData!AB69</f>
        <v>3.836930773104541E-12</v>
      </c>
      <c r="BZ71" s="37">
        <f>RawData!AA69</f>
        <v>2.5386703782714903E-4</v>
      </c>
      <c r="CA71" s="36">
        <f>RawData!Z69</f>
        <v>-1.752050593495369E-8</v>
      </c>
      <c r="CB71" s="36">
        <f>RawData!Y69</f>
        <v>6.2028004322201014E-5</v>
      </c>
      <c r="CC71" s="36">
        <f>RawData!X69</f>
        <v>9.1677065938711166E-10</v>
      </c>
      <c r="CD71" s="36">
        <f>RawData!W69</f>
        <v>94624.390625</v>
      </c>
      <c r="CE71" s="40">
        <f>RawData!V69</f>
        <v>-3.671875</v>
      </c>
      <c r="CF71" s="40">
        <f>RawData!U69</f>
        <v>27835.005859375</v>
      </c>
      <c r="CG71" s="40">
        <f>RawData!T69</f>
        <v>1.224609375</v>
      </c>
      <c r="CH71" s="44">
        <f>RawData!S69</f>
        <v>7.3000001907348633</v>
      </c>
      <c r="CI71" s="44">
        <f>RawData!R69</f>
        <v>8.6999998092651367</v>
      </c>
      <c r="CJ71" s="44">
        <f>RawData!Q69</f>
        <v>4.4000000953674316</v>
      </c>
      <c r="CK71" s="44">
        <f>RawData!P69</f>
        <v>4.6500000953674316</v>
      </c>
      <c r="CL71" s="44">
        <f>RawData!CJ69</f>
        <v>1075</v>
      </c>
      <c r="CM71" s="43">
        <f>RawData!CI69</f>
        <v>4.6999998092651367</v>
      </c>
      <c r="CN71" s="44">
        <f>RawData!CL69</f>
        <v>650</v>
      </c>
      <c r="CO71" s="43">
        <f>RawData!CK69</f>
        <v>4.6500000953674316</v>
      </c>
      <c r="CP71" s="44">
        <f>RawData!CM69</f>
        <v>6.1999998092651367</v>
      </c>
      <c r="CQ71" s="47">
        <f>RawData!CO69</f>
        <v>44783.638194444444</v>
      </c>
      <c r="CR71" s="44">
        <f>RawData!CP69</f>
        <v>38295.69921875</v>
      </c>
      <c r="CS71" s="44">
        <f>RawData!DG69</f>
        <v>38295.69921875</v>
      </c>
      <c r="CT71" s="43" t="str">
        <f>RawData!DJ69</f>
        <v>G</v>
      </c>
      <c r="CU71" s="43" t="str">
        <f>RawData!CQ69</f>
        <v>FairPrice</v>
      </c>
      <c r="CV71" s="47">
        <f>RawData!CR69</f>
        <v>44783.638194444444</v>
      </c>
      <c r="CW71" s="65">
        <f>RawData!DK69</f>
        <v>38300</v>
      </c>
      <c r="CX71" s="65">
        <f>RawData!DL69</f>
        <v>3400000</v>
      </c>
      <c r="CY71" s="65">
        <f>RawData!DM69</f>
        <v>38500</v>
      </c>
      <c r="CZ71" s="65">
        <f>RawData!DN69</f>
        <v>0</v>
      </c>
      <c r="DA71" s="65">
        <f>RawData!DO69</f>
        <v>24500</v>
      </c>
      <c r="DB71" s="65">
        <f>RawData!DP69</f>
        <v>2863350</v>
      </c>
      <c r="DC71" s="65">
        <f>RawData!DQ69</f>
        <v>38000</v>
      </c>
      <c r="DD71" s="65">
        <f>RawData!DR69</f>
        <v>0</v>
      </c>
      <c r="DE71" s="65">
        <f>RawData!DS69</f>
        <v>24500</v>
      </c>
      <c r="DF71" s="65" t="str">
        <f>RawData!DT69</f>
        <v>BANKNIFTY</v>
      </c>
      <c r="DG71" s="66">
        <f>RawData!DU69</f>
        <v>44784</v>
      </c>
      <c r="DI71" s="21">
        <f t="shared" si="1"/>
        <v>2195.69921875</v>
      </c>
    </row>
    <row r="72" spans="1:113" x14ac:dyDescent="0.2">
      <c r="A72" s="59">
        <f>RawData!CN70</f>
        <v>44783.638194444444</v>
      </c>
      <c r="B72" s="44">
        <f>RawData!CH70</f>
        <v>2081.3701171875</v>
      </c>
      <c r="C72" s="44">
        <f>RawData!CG70</f>
        <v>125</v>
      </c>
      <c r="D72" s="43">
        <f>RawData!CF70</f>
        <v>2090.64990234375</v>
      </c>
      <c r="E72" s="44">
        <f>RawData!CE70</f>
        <v>50</v>
      </c>
      <c r="F72" s="43">
        <f>RawData!CD70</f>
        <v>2105.64990234375</v>
      </c>
      <c r="G72" s="44">
        <f>RawData!CC70</f>
        <v>2130</v>
      </c>
      <c r="H72" s="44">
        <f>RawData!CB70</f>
        <v>1996.300048828125</v>
      </c>
      <c r="I72" s="44">
        <f>RawData!CA70</f>
        <v>2130</v>
      </c>
      <c r="J72" s="44">
        <f>RawData!BZ70</f>
        <v>2018.5</v>
      </c>
      <c r="K72" s="40">
        <f>RawData!BY70</f>
        <v>5.86376953125</v>
      </c>
      <c r="L72" s="40">
        <f>RawData!BX70</f>
        <v>4688.63818359375</v>
      </c>
      <c r="M72" s="40">
        <f>RawData!BW70</f>
        <v>16.7431640625</v>
      </c>
      <c r="N72" s="40">
        <f>RawData!BV70</f>
        <v>10040.1240234375</v>
      </c>
      <c r="O72" s="36">
        <f>RawData!BU70</f>
        <v>3.746390575543046E-8</v>
      </c>
      <c r="P72" s="36">
        <f>RawData!BT70</f>
        <v>5.7868641306413338E-5</v>
      </c>
      <c r="Q72" s="36">
        <f>RawData!BS70</f>
        <v>1.5365367289632559E-7</v>
      </c>
      <c r="R72" s="36">
        <f>RawData!BR70</f>
        <v>1.7492234474048018E-4</v>
      </c>
      <c r="S72" s="37">
        <f>RawData!BQ70</f>
        <v>-1.0878409284487134E-11</v>
      </c>
      <c r="T72" s="37">
        <f>RawData!BP70</f>
        <v>-9.7105669283337193E-8</v>
      </c>
      <c r="U72" s="38">
        <f>RawData!BO70</f>
        <v>1.1868476867675781E-3</v>
      </c>
      <c r="V72" s="38">
        <f>RawData!BN70</f>
        <v>1.0363925695419312</v>
      </c>
      <c r="W72" s="39">
        <f>RawData!BM70</f>
        <v>-4.3108463287353516E-3</v>
      </c>
      <c r="X72" s="39">
        <f>RawData!BL70</f>
        <v>-3.1327540874481201</v>
      </c>
      <c r="Y72" s="38">
        <f>RawData!BJ70</f>
        <v>-4.007597453892231E-8</v>
      </c>
      <c r="Z72" s="38">
        <f>RawData!BI70</f>
        <v>8.3232924225740135E-5</v>
      </c>
      <c r="AA72" s="40">
        <f>RawData!BH70</f>
        <v>-1.8634796142578125E-3</v>
      </c>
      <c r="AB72" s="40">
        <f>RawData!BG70</f>
        <v>2.3387799263000488</v>
      </c>
      <c r="AC72" s="40">
        <f>RawData!BF70</f>
        <v>7.955169677734375E-2</v>
      </c>
      <c r="AD72" s="40">
        <f>RawData!BE70</f>
        <v>-77.372627258300781</v>
      </c>
      <c r="AE72" s="40">
        <f>RawData!BD70</f>
        <v>5.6684017181396484E-5</v>
      </c>
      <c r="AF72" s="40">
        <f>RawData!BC70</f>
        <v>0.94258689880371094</v>
      </c>
      <c r="AG72" s="41">
        <f>RawData!BB70</f>
        <v>575</v>
      </c>
      <c r="AH72" s="42">
        <f>RawData!DB70</f>
        <v>0</v>
      </c>
      <c r="AI72" s="41">
        <f>RawData!BA70</f>
        <v>0</v>
      </c>
      <c r="AJ72" s="43">
        <f>RawData!DA70</f>
        <v>3525</v>
      </c>
      <c r="AK72" s="41">
        <f>RawData!AZ70</f>
        <v>3525</v>
      </c>
      <c r="AL72" s="42">
        <f>RawData!DD70</f>
        <v>-2.7436204910607641E-4</v>
      </c>
      <c r="AM72" s="44">
        <f>RawData!DC70</f>
        <v>-1.8668174743652344E-2</v>
      </c>
      <c r="AN72" s="45">
        <f>RawData!BK70</f>
        <v>68.023449182510376</v>
      </c>
      <c r="AO72" s="44">
        <f>RawData!AY70</f>
        <v>68.023449182510376</v>
      </c>
      <c r="AP72" s="43" t="str">
        <f>RawData!DH70</f>
        <v>W</v>
      </c>
      <c r="AQ72" s="43">
        <f>RawData!DE70</f>
        <v>2130</v>
      </c>
      <c r="AR72" s="42">
        <f>RawData!CZ70</f>
        <v>0</v>
      </c>
      <c r="AS72" s="44">
        <f>RawData!AX70</f>
        <v>0</v>
      </c>
      <c r="AT72" s="43">
        <f>RawData!CY70</f>
        <v>2130</v>
      </c>
      <c r="AU72" s="44">
        <f>RawData!AW70</f>
        <v>2130</v>
      </c>
      <c r="AV72" s="46">
        <f>RawData!O70</f>
        <v>36200</v>
      </c>
      <c r="AW72" s="44">
        <f>RawData!AV70</f>
        <v>4.75</v>
      </c>
      <c r="AX72" s="44">
        <f>RawData!CW70</f>
        <v>4.75</v>
      </c>
      <c r="AY72" s="44">
        <f>RawData!AU70</f>
        <v>0</v>
      </c>
      <c r="AZ72" s="42">
        <f>RawData!CX70</f>
        <v>0</v>
      </c>
      <c r="BA72" s="44">
        <f>RawData!DF70</f>
        <v>4.75</v>
      </c>
      <c r="BB72" s="43" t="str">
        <f>RawData!DI70</f>
        <v>W</v>
      </c>
      <c r="BC72" s="44">
        <f>RawData!AT70</f>
        <v>48.333892226219177</v>
      </c>
      <c r="BD72" s="45">
        <f>RawData!AP70</f>
        <v>48.333892226219177</v>
      </c>
      <c r="BE72" s="44">
        <f>RawData!CS70</f>
        <v>0</v>
      </c>
      <c r="BF72" s="42">
        <f>RawData!CT70</f>
        <v>0</v>
      </c>
      <c r="BG72" s="41">
        <f>RawData!AS70</f>
        <v>414650</v>
      </c>
      <c r="BH72" s="41">
        <f>RawData!CU70</f>
        <v>497925</v>
      </c>
      <c r="BI72" s="41">
        <f>RawData!AR70</f>
        <v>-83275</v>
      </c>
      <c r="BJ72" s="42">
        <f>RawData!CV70</f>
        <v>-0.16724406286087262</v>
      </c>
      <c r="BK72" s="41">
        <f>RawData!AQ70</f>
        <v>3109575</v>
      </c>
      <c r="BL72" s="40">
        <f>RawData!AO70</f>
        <v>-1.3669148087501526E-2</v>
      </c>
      <c r="BM72" s="40">
        <f>RawData!AN70</f>
        <v>0</v>
      </c>
      <c r="BN72" s="40">
        <f>RawData!AM70</f>
        <v>-4.75</v>
      </c>
      <c r="BO72" s="40">
        <f>RawData!AL70</f>
        <v>0</v>
      </c>
      <c r="BP72" s="40">
        <f>RawData!AK70</f>
        <v>0.71052396297454834</v>
      </c>
      <c r="BQ72" s="40">
        <f>RawData!AJ70</f>
        <v>0</v>
      </c>
      <c r="BR72" s="38">
        <f>RawData!AI70</f>
        <v>3.5585369914770126E-5</v>
      </c>
      <c r="BS72" s="38">
        <f>RawData!AH70</f>
        <v>0</v>
      </c>
      <c r="BT72" s="40">
        <f>RawData!AG70</f>
        <v>-20.543437957763672</v>
      </c>
      <c r="BU72" s="39">
        <f>RawData!AF70</f>
        <v>0</v>
      </c>
      <c r="BV72" s="39">
        <f>RawData!AE70</f>
        <v>4.8288698196411133</v>
      </c>
      <c r="BW72" s="38">
        <f>RawData!AD70</f>
        <v>0</v>
      </c>
      <c r="BX72" s="38">
        <f>RawData!AC70</f>
        <v>-8.0862221807365131E-8</v>
      </c>
      <c r="BY72" s="37">
        <f>RawData!AB70</f>
        <v>0</v>
      </c>
      <c r="BZ72" s="37">
        <f>RawData!AA70</f>
        <v>2.8070731787011027E-4</v>
      </c>
      <c r="CA72" s="36">
        <f>RawData!Z70</f>
        <v>0</v>
      </c>
      <c r="CB72" s="36">
        <f>RawData!Y70</f>
        <v>6.598209438379854E-5</v>
      </c>
      <c r="CC72" s="36">
        <f>RawData!X70</f>
        <v>0</v>
      </c>
      <c r="CD72" s="36">
        <f>RawData!W70</f>
        <v>92137.1875</v>
      </c>
      <c r="CE72" s="40">
        <f>RawData!V70</f>
        <v>0</v>
      </c>
      <c r="CF72" s="40">
        <f>RawData!U70</f>
        <v>26157.5</v>
      </c>
      <c r="CG72" s="40">
        <f>RawData!T70</f>
        <v>0</v>
      </c>
      <c r="CH72" s="44">
        <f>RawData!S70</f>
        <v>11</v>
      </c>
      <c r="CI72" s="44">
        <f>RawData!R70</f>
        <v>11</v>
      </c>
      <c r="CJ72" s="44">
        <f>RawData!Q70</f>
        <v>4.5</v>
      </c>
      <c r="CK72" s="44">
        <f>RawData!P70</f>
        <v>4.75</v>
      </c>
      <c r="CL72" s="44">
        <f>RawData!CJ70</f>
        <v>1325</v>
      </c>
      <c r="CM72" s="43">
        <f>RawData!CI70</f>
        <v>4.8000001907348633</v>
      </c>
      <c r="CN72" s="44">
        <f>RawData!CL70</f>
        <v>2075</v>
      </c>
      <c r="CO72" s="43">
        <f>RawData!CK70</f>
        <v>4.75</v>
      </c>
      <c r="CP72" s="44">
        <f>RawData!CM70</f>
        <v>6.4600000381469727</v>
      </c>
      <c r="CQ72" s="47">
        <f>RawData!CO70</f>
        <v>44783.638194444444</v>
      </c>
      <c r="CR72" s="44">
        <f>RawData!CP70</f>
        <v>38295.69921875</v>
      </c>
      <c r="CS72" s="44">
        <f>RawData!DG70</f>
        <v>38295.69921875</v>
      </c>
      <c r="CT72" s="43" t="str">
        <f>RawData!DJ70</f>
        <v>G</v>
      </c>
      <c r="CU72" s="43" t="str">
        <f>RawData!CQ70</f>
        <v>FairPrice</v>
      </c>
      <c r="CV72" s="47">
        <f>RawData!CR70</f>
        <v>44783.638194444444</v>
      </c>
      <c r="CW72" s="65">
        <f>RawData!DK70</f>
        <v>38300</v>
      </c>
      <c r="CX72" s="65">
        <f>RawData!DL70</f>
        <v>3400000</v>
      </c>
      <c r="CY72" s="65">
        <f>RawData!DM70</f>
        <v>38500</v>
      </c>
      <c r="CZ72" s="65">
        <f>RawData!DN70</f>
        <v>0</v>
      </c>
      <c r="DA72" s="65">
        <f>RawData!DO70</f>
        <v>24500</v>
      </c>
      <c r="DB72" s="65">
        <f>RawData!DP70</f>
        <v>2863350</v>
      </c>
      <c r="DC72" s="65">
        <f>RawData!DQ70</f>
        <v>38000</v>
      </c>
      <c r="DD72" s="65">
        <f>RawData!DR70</f>
        <v>0</v>
      </c>
      <c r="DE72" s="65">
        <f>RawData!DS70</f>
        <v>24500</v>
      </c>
      <c r="DF72" s="65" t="str">
        <f>RawData!DT70</f>
        <v>BANKNIFTY</v>
      </c>
      <c r="DG72" s="66">
        <f>RawData!DU70</f>
        <v>44784</v>
      </c>
      <c r="DI72" s="21">
        <f t="shared" si="1"/>
        <v>2095.69921875</v>
      </c>
    </row>
    <row r="73" spans="1:113" x14ac:dyDescent="0.2">
      <c r="A73" s="59">
        <f>RawData!CN71</f>
        <v>44783.638194444444</v>
      </c>
      <c r="B73" s="44">
        <f>RawData!CH71</f>
        <v>2013.06005859375</v>
      </c>
      <c r="C73" s="44">
        <f>RawData!CG71</f>
        <v>125</v>
      </c>
      <c r="D73" s="43">
        <f>RawData!CF71</f>
        <v>1993.699951171875</v>
      </c>
      <c r="E73" s="44">
        <f>RawData!CE71</f>
        <v>125</v>
      </c>
      <c r="F73" s="43">
        <f>RawData!CD71</f>
        <v>2006</v>
      </c>
      <c r="G73" s="44">
        <f>RawData!CC71</f>
        <v>2066.75</v>
      </c>
      <c r="H73" s="44">
        <f>RawData!CB71</f>
        <v>1912.0999755859375</v>
      </c>
      <c r="I73" s="44">
        <f>RawData!CA71</f>
        <v>2093</v>
      </c>
      <c r="J73" s="44">
        <f>RawData!BZ71</f>
        <v>1986.800048828125</v>
      </c>
      <c r="K73" s="40">
        <f>RawData!BY71</f>
        <v>1.484130859375</v>
      </c>
      <c r="L73" s="40">
        <f>RawData!BX71</f>
        <v>2503.653564453125</v>
      </c>
      <c r="M73" s="40">
        <f>RawData!BW71</f>
        <v>3.48828125</v>
      </c>
      <c r="N73" s="40">
        <f>RawData!BV71</f>
        <v>4136.70751953125</v>
      </c>
      <c r="O73" s="36">
        <f>RawData!BU71</f>
        <v>2.9656803235411644E-8</v>
      </c>
      <c r="P73" s="36">
        <f>RawData!BT71</f>
        <v>3.4818229323718697E-5</v>
      </c>
      <c r="Q73" s="36">
        <f>RawData!BS71</f>
        <v>8.7922671809792519E-8</v>
      </c>
      <c r="R73" s="36">
        <f>RawData!BR71</f>
        <v>9.1882713604718447E-5</v>
      </c>
      <c r="S73" s="37">
        <f>RawData!BQ71</f>
        <v>-1.7180923350679222E-11</v>
      </c>
      <c r="T73" s="37">
        <f>RawData!BP71</f>
        <v>-9.0887446901888325E-8</v>
      </c>
      <c r="U73" s="38">
        <f>RawData!BO71</f>
        <v>3.3426284790039063E-4</v>
      </c>
      <c r="V73" s="38">
        <f>RawData!BN71</f>
        <v>0.58656054735183716</v>
      </c>
      <c r="W73" s="39">
        <f>RawData!BM71</f>
        <v>-1.0448694229125977E-3</v>
      </c>
      <c r="X73" s="39">
        <f>RawData!BL71</f>
        <v>-1.5478894710540771</v>
      </c>
      <c r="Y73" s="38">
        <f>RawData!BJ71</f>
        <v>-1.6720150597393513E-8</v>
      </c>
      <c r="Z73" s="38">
        <f>RawData!BI71</f>
        <v>1.0612376354401931E-4</v>
      </c>
      <c r="AA73" s="40">
        <f>RawData!BH71</f>
        <v>-1.1842250823974609E-3</v>
      </c>
      <c r="AB73" s="40">
        <f>RawData!BG71</f>
        <v>3.415733814239502</v>
      </c>
      <c r="AC73" s="40">
        <f>RawData!BF71</f>
        <v>5.85174560546875E-2</v>
      </c>
      <c r="AD73" s="40">
        <f>RawData!BE71</f>
        <v>-129.43653869628906</v>
      </c>
      <c r="AE73" s="40">
        <f>RawData!BD71</f>
        <v>4.1723251342773438E-5</v>
      </c>
      <c r="AF73" s="40">
        <f>RawData!BC71</f>
        <v>0.90572988986968994</v>
      </c>
      <c r="AG73" s="41">
        <f>RawData!BB71</f>
        <v>650</v>
      </c>
      <c r="AH73" s="42">
        <f>RawData!DB71</f>
        <v>3.968253968253968E-2</v>
      </c>
      <c r="AI73" s="41">
        <f>RawData!BA71</f>
        <v>125</v>
      </c>
      <c r="AJ73" s="43">
        <f>RawData!DA71</f>
        <v>3150</v>
      </c>
      <c r="AK73" s="41">
        <f>RawData!AZ71</f>
        <v>3275</v>
      </c>
      <c r="AL73" s="42">
        <f>RawData!DD71</f>
        <v>-1.4853584727577836E-4</v>
      </c>
      <c r="AM73" s="44">
        <f>RawData!DC71</f>
        <v>-1.1575222015380859E-2</v>
      </c>
      <c r="AN73" s="45">
        <f>RawData!BK71</f>
        <v>77.917236089706421</v>
      </c>
      <c r="AO73" s="44">
        <f>RawData!AY71</f>
        <v>77.917236089706421</v>
      </c>
      <c r="AP73" s="43" t="str">
        <f>RawData!DH71</f>
        <v>W</v>
      </c>
      <c r="AQ73" s="43">
        <f>RawData!DE71</f>
        <v>2066.75</v>
      </c>
      <c r="AR73" s="42">
        <f>RawData!CZ71</f>
        <v>0</v>
      </c>
      <c r="AS73" s="44">
        <f>RawData!AX71</f>
        <v>0</v>
      </c>
      <c r="AT73" s="43">
        <f>RawData!CY71</f>
        <v>2066.75</v>
      </c>
      <c r="AU73" s="44">
        <f>RawData!AW71</f>
        <v>2066.75</v>
      </c>
      <c r="AV73" s="46">
        <f>RawData!O71</f>
        <v>36300</v>
      </c>
      <c r="AW73" s="44">
        <f>RawData!AV71</f>
        <v>5.3000001907348633</v>
      </c>
      <c r="AX73" s="44">
        <f>RawData!CW71</f>
        <v>5.3000001907348633</v>
      </c>
      <c r="AY73" s="44">
        <f>RawData!AU71</f>
        <v>0.10000038146972656</v>
      </c>
      <c r="AZ73" s="42">
        <f>RawData!CX71</f>
        <v>1.9230843295715158E-2</v>
      </c>
      <c r="BA73" s="44">
        <f>RawData!DF71</f>
        <v>5.3000001907348633</v>
      </c>
      <c r="BB73" s="43" t="str">
        <f>RawData!DI71</f>
        <v>G</v>
      </c>
      <c r="BC73" s="44">
        <f>RawData!AT71</f>
        <v>47.001290321350098</v>
      </c>
      <c r="BD73" s="45">
        <f>RawData!AP71</f>
        <v>47.001290321350098</v>
      </c>
      <c r="BE73" s="44">
        <f>RawData!CS71</f>
        <v>0.13130307197570801</v>
      </c>
      <c r="BF73" s="42">
        <f>RawData!CT71</f>
        <v>2.8014317835655185E-3</v>
      </c>
      <c r="BG73" s="41">
        <f>RawData!AS71</f>
        <v>466475</v>
      </c>
      <c r="BH73" s="41">
        <f>RawData!CU71</f>
        <v>462475</v>
      </c>
      <c r="BI73" s="41">
        <f>RawData!AR71</f>
        <v>4000</v>
      </c>
      <c r="BJ73" s="42">
        <f>RawData!CV71</f>
        <v>8.6491161684415369E-3</v>
      </c>
      <c r="BK73" s="41">
        <f>RawData!AQ71</f>
        <v>3229475</v>
      </c>
      <c r="BL73" s="40">
        <f>RawData!AO71</f>
        <v>-1.5463473275303841E-2</v>
      </c>
      <c r="BM73" s="40">
        <f>RawData!AN71</f>
        <v>-2.2298935800790787E-4</v>
      </c>
      <c r="BN73" s="40">
        <f>RawData!AM71</f>
        <v>-5.3000001907348633</v>
      </c>
      <c r="BO73" s="40">
        <f>RawData!AL71</f>
        <v>-0.10000038146972656</v>
      </c>
      <c r="BP73" s="40">
        <f>RawData!AK71</f>
        <v>0.79008066654205322</v>
      </c>
      <c r="BQ73" s="40">
        <f>RawData!AJ71</f>
        <v>9.7796916961669922E-3</v>
      </c>
      <c r="BR73" s="38">
        <f>RawData!AI71</f>
        <v>4.0693383198231459E-5</v>
      </c>
      <c r="BS73" s="38">
        <f>RawData!AH71</f>
        <v>3.9254155126400292E-7</v>
      </c>
      <c r="BT73" s="40">
        <f>RawData!AG71</f>
        <v>-18.580707550048828</v>
      </c>
      <c r="BU73" s="39">
        <f>RawData!AF71</f>
        <v>0.33758163452148438</v>
      </c>
      <c r="BV73" s="39">
        <f>RawData!AE71</f>
        <v>4.2472848892211914</v>
      </c>
      <c r="BW73" s="38">
        <f>RawData!AD71</f>
        <v>-6.4898490905761719E-2</v>
      </c>
      <c r="BX73" s="38">
        <f>RawData!AC71</f>
        <v>-9.2990831035422161E-8</v>
      </c>
      <c r="BY73" s="37">
        <f>RawData!AB71</f>
        <v>-3.9938896634339471E-10</v>
      </c>
      <c r="BZ73" s="37">
        <f>RawData!AA71</f>
        <v>3.1196096097119153E-4</v>
      </c>
      <c r="CA73" s="36">
        <f>RawData!Z71</f>
        <v>-1.6880221664905548E-9</v>
      </c>
      <c r="CB73" s="36">
        <f>RawData!Y71</f>
        <v>7.1309827035292983E-5</v>
      </c>
      <c r="CC73" s="36">
        <f>RawData!X71</f>
        <v>2.0190782379359007E-7</v>
      </c>
      <c r="CD73" s="36">
        <f>RawData!W71</f>
        <v>81495.734375</v>
      </c>
      <c r="CE73" s="40">
        <f>RawData!V71</f>
        <v>-1704.0625</v>
      </c>
      <c r="CF73" s="40">
        <f>RawData!U71</f>
        <v>22675.6953125</v>
      </c>
      <c r="CG73" s="40">
        <f>RawData!T71</f>
        <v>-386.26171875</v>
      </c>
      <c r="CH73" s="44">
        <f>RawData!S71</f>
        <v>10.5</v>
      </c>
      <c r="CI73" s="44">
        <f>RawData!R71</f>
        <v>10.5</v>
      </c>
      <c r="CJ73" s="44">
        <f>RawData!Q71</f>
        <v>4.9000000953674316</v>
      </c>
      <c r="CK73" s="44">
        <f>RawData!P71</f>
        <v>5.3000001907348633</v>
      </c>
      <c r="CL73" s="44">
        <f>RawData!CJ71</f>
        <v>3375</v>
      </c>
      <c r="CM73" s="43">
        <f>RawData!CI71</f>
        <v>5.3000001907348633</v>
      </c>
      <c r="CN73" s="44">
        <f>RawData!CL71</f>
        <v>8300</v>
      </c>
      <c r="CO73" s="43">
        <f>RawData!CK71</f>
        <v>5.1999998092651367</v>
      </c>
      <c r="CP73" s="44">
        <f>RawData!CM71</f>
        <v>6.9600000381469727</v>
      </c>
      <c r="CQ73" s="47">
        <f>RawData!CO71</f>
        <v>44783.638194444444</v>
      </c>
      <c r="CR73" s="44">
        <f>RawData!CP71</f>
        <v>38295.69921875</v>
      </c>
      <c r="CS73" s="44">
        <f>RawData!DG71</f>
        <v>38295.69921875</v>
      </c>
      <c r="CT73" s="43" t="str">
        <f>RawData!DJ71</f>
        <v>G</v>
      </c>
      <c r="CU73" s="43" t="str">
        <f>RawData!CQ71</f>
        <v>FairPrice</v>
      </c>
      <c r="CV73" s="47">
        <f>RawData!CR71</f>
        <v>44783.638194444444</v>
      </c>
      <c r="CW73" s="65">
        <f>RawData!DK71</f>
        <v>38300</v>
      </c>
      <c r="CX73" s="65">
        <f>RawData!DL71</f>
        <v>3400000</v>
      </c>
      <c r="CY73" s="65">
        <f>RawData!DM71</f>
        <v>38500</v>
      </c>
      <c r="CZ73" s="65">
        <f>RawData!DN71</f>
        <v>0</v>
      </c>
      <c r="DA73" s="65">
        <f>RawData!DO71</f>
        <v>24500</v>
      </c>
      <c r="DB73" s="65">
        <f>RawData!DP71</f>
        <v>2863350</v>
      </c>
      <c r="DC73" s="65">
        <f>RawData!DQ71</f>
        <v>38000</v>
      </c>
      <c r="DD73" s="65">
        <f>RawData!DR71</f>
        <v>0</v>
      </c>
      <c r="DE73" s="65">
        <f>RawData!DS71</f>
        <v>24500</v>
      </c>
      <c r="DF73" s="65" t="str">
        <f>RawData!DT71</f>
        <v>BANKNIFTY</v>
      </c>
      <c r="DG73" s="66">
        <f>RawData!DU71</f>
        <v>44784</v>
      </c>
      <c r="DI73" s="21">
        <f t="shared" si="1"/>
        <v>1995.69921875</v>
      </c>
    </row>
    <row r="74" spans="1:113" x14ac:dyDescent="0.2">
      <c r="A74" s="59">
        <f>RawData!CN72</f>
        <v>44783.638194444444</v>
      </c>
      <c r="B74" s="44">
        <f>RawData!CH72</f>
        <v>1888.5400390625</v>
      </c>
      <c r="C74" s="44">
        <f>RawData!CG72</f>
        <v>200</v>
      </c>
      <c r="D74" s="43">
        <f>RawData!CF72</f>
        <v>1880.5999755859375</v>
      </c>
      <c r="E74" s="44">
        <f>RawData!CE72</f>
        <v>50</v>
      </c>
      <c r="F74" s="43">
        <f>RawData!CD72</f>
        <v>1906.1500244140625</v>
      </c>
      <c r="G74" s="44">
        <f>RawData!CC72</f>
        <v>1946</v>
      </c>
      <c r="H74" s="44">
        <f>RawData!CB72</f>
        <v>1780.199951171875</v>
      </c>
      <c r="I74" s="44">
        <f>RawData!CA72</f>
        <v>1955.949951171875</v>
      </c>
      <c r="J74" s="44">
        <f>RawData!BZ72</f>
        <v>1880</v>
      </c>
      <c r="K74" s="40">
        <f>RawData!BY72</f>
        <v>2.650146484375</v>
      </c>
      <c r="L74" s="40">
        <f>RawData!BX72</f>
        <v>3151.321533203125</v>
      </c>
      <c r="M74" s="40">
        <f>RawData!BW72</f>
        <v>7.30419921875</v>
      </c>
      <c r="N74" s="40">
        <f>RawData!BV72</f>
        <v>6240.068359375</v>
      </c>
      <c r="O74" s="36">
        <f>RawData!BU72</f>
        <v>3.926834324374795E-8</v>
      </c>
      <c r="P74" s="36">
        <f>RawData!BT72</f>
        <v>4.8479247197974473E-5</v>
      </c>
      <c r="Q74" s="36">
        <f>RawData!BS72</f>
        <v>1.4093529898673296E-7</v>
      </c>
      <c r="R74" s="36">
        <f>RawData!BR72</f>
        <v>1.4534957881551236E-4</v>
      </c>
      <c r="S74" s="37">
        <f>RawData!BQ72</f>
        <v>-2.1017854123783763E-11</v>
      </c>
      <c r="T74" s="37">
        <f>RawData!BP72</f>
        <v>-1.0967715979859349E-7</v>
      </c>
      <c r="U74" s="38">
        <f>RawData!BO72</f>
        <v>5.7047605514526367E-4</v>
      </c>
      <c r="V74" s="38">
        <f>RawData!BN72</f>
        <v>0.72473698854446411</v>
      </c>
      <c r="W74" s="39">
        <f>RawData!BM72</f>
        <v>-2.0573139190673828E-3</v>
      </c>
      <c r="X74" s="39">
        <f>RawData!BL72</f>
        <v>-2.1728930473327637</v>
      </c>
      <c r="Y74" s="38">
        <f>RawData!BJ72</f>
        <v>-2.7874193619936705E-8</v>
      </c>
      <c r="Z74" s="38">
        <f>RawData!BI72</f>
        <v>1.05477032775525E-4</v>
      </c>
      <c r="AA74" s="40">
        <f>RawData!BH72</f>
        <v>-1.5180110931396484E-3</v>
      </c>
      <c r="AB74" s="40">
        <f>RawData!BG72</f>
        <v>2.988107442855835</v>
      </c>
      <c r="AC74" s="40">
        <f>RawData!BF72</f>
        <v>6.656646728515625E-2</v>
      </c>
      <c r="AD74" s="40">
        <f>RawData!BE72</f>
        <v>-99.663993835449219</v>
      </c>
      <c r="AE74" s="40">
        <f>RawData!BD72</f>
        <v>5.0723552703857422E-5</v>
      </c>
      <c r="AF74" s="40">
        <f>RawData!BC72</f>
        <v>0.92116785049438477</v>
      </c>
      <c r="AG74" s="41">
        <f>RawData!BB72</f>
        <v>450</v>
      </c>
      <c r="AH74" s="42">
        <f>RawData!DB72</f>
        <v>1.3793103448275862E-2</v>
      </c>
      <c r="AI74" s="41">
        <f>RawData!BA72</f>
        <v>50</v>
      </c>
      <c r="AJ74" s="43">
        <f>RawData!DA72</f>
        <v>3625</v>
      </c>
      <c r="AK74" s="41">
        <f>RawData!AZ72</f>
        <v>3675</v>
      </c>
      <c r="AL74" s="42">
        <f>RawData!DD72</f>
        <v>-2.0307098595264927E-4</v>
      </c>
      <c r="AM74" s="44">
        <f>RawData!DC72</f>
        <v>-1.3929605484008789E-2</v>
      </c>
      <c r="AN74" s="45">
        <f>RawData!BK72</f>
        <v>68.580830097198486</v>
      </c>
      <c r="AO74" s="44">
        <f>RawData!AY72</f>
        <v>68.580830097198486</v>
      </c>
      <c r="AP74" s="43" t="str">
        <f>RawData!DH72</f>
        <v>W</v>
      </c>
      <c r="AQ74" s="43">
        <f>RawData!DE72</f>
        <v>1946</v>
      </c>
      <c r="AR74" s="42">
        <f>RawData!CZ72</f>
        <v>0</v>
      </c>
      <c r="AS74" s="44">
        <f>RawData!AX72</f>
        <v>0</v>
      </c>
      <c r="AT74" s="43">
        <f>RawData!CY72</f>
        <v>1946</v>
      </c>
      <c r="AU74" s="44">
        <f>RawData!AW72</f>
        <v>1946</v>
      </c>
      <c r="AV74" s="46">
        <f>RawData!O72</f>
        <v>36400</v>
      </c>
      <c r="AW74" s="44">
        <f>RawData!AV72</f>
        <v>5.6500000953674316</v>
      </c>
      <c r="AX74" s="44">
        <f>RawData!CW72</f>
        <v>5.6500000953674316</v>
      </c>
      <c r="AY74" s="44">
        <f>RawData!AU72</f>
        <v>0</v>
      </c>
      <c r="AZ74" s="42">
        <f>RawData!CX72</f>
        <v>0</v>
      </c>
      <c r="BA74" s="44">
        <f>RawData!DF72</f>
        <v>5.6500000953674316</v>
      </c>
      <c r="BB74" s="43" t="str">
        <f>RawData!DI72</f>
        <v>W</v>
      </c>
      <c r="BC74" s="44">
        <f>RawData!AT72</f>
        <v>45.332092046737671</v>
      </c>
      <c r="BD74" s="45">
        <f>RawData!AP72</f>
        <v>45.332092046737671</v>
      </c>
      <c r="BE74" s="44">
        <f>RawData!CS72</f>
        <v>1.1882185935974121E-2</v>
      </c>
      <c r="BF74" s="42">
        <f>RawData!CT72</f>
        <v>2.6218294161632399E-4</v>
      </c>
      <c r="BG74" s="41">
        <f>RawData!AS72</f>
        <v>336450</v>
      </c>
      <c r="BH74" s="41">
        <f>RawData!CU72</f>
        <v>429775</v>
      </c>
      <c r="BI74" s="41">
        <f>RawData!AR72</f>
        <v>-93325</v>
      </c>
      <c r="BJ74" s="42">
        <f>RawData!CV72</f>
        <v>-0.21714850794020127</v>
      </c>
      <c r="BK74" s="41">
        <f>RawData!AQ72</f>
        <v>3403200</v>
      </c>
      <c r="BL74" s="40">
        <f>RawData!AO72</f>
        <v>-1.6913628205657005E-2</v>
      </c>
      <c r="BM74" s="40">
        <f>RawData!AN72</f>
        <v>3.8743019104003906E-6</v>
      </c>
      <c r="BN74" s="40">
        <f>RawData!AM72</f>
        <v>-5.6500000953674316</v>
      </c>
      <c r="BO74" s="40">
        <f>RawData!AL72</f>
        <v>0</v>
      </c>
      <c r="BP74" s="40">
        <f>RawData!AK72</f>
        <v>0.85316669940948486</v>
      </c>
      <c r="BQ74" s="40">
        <f>RawData!AJ72</f>
        <v>-1.7333030700683594E-4</v>
      </c>
      <c r="BR74" s="38">
        <f>RawData!AI72</f>
        <v>4.5558841520687565E-5</v>
      </c>
      <c r="BS74" s="38">
        <f>RawData!AH72</f>
        <v>-2.0543666323646903E-8</v>
      </c>
      <c r="BT74" s="40">
        <f>RawData!AG72</f>
        <v>-17.547983169555664</v>
      </c>
      <c r="BU74" s="39">
        <f>RawData!AF72</f>
        <v>4.405975341796875E-4</v>
      </c>
      <c r="BV74" s="39">
        <f>RawData!AE72</f>
        <v>3.8685977458953857</v>
      </c>
      <c r="BW74" s="38">
        <f>RawData!AD72</f>
        <v>1.0845661163330078E-3</v>
      </c>
      <c r="BX74" s="38">
        <f>RawData!AC72</f>
        <v>-1.0612217948846592E-7</v>
      </c>
      <c r="BY74" s="37">
        <f>RawData!AB72</f>
        <v>7.0066619173303479E-11</v>
      </c>
      <c r="BZ74" s="37">
        <f>RawData!AA72</f>
        <v>3.4696253715083003E-4</v>
      </c>
      <c r="CA74" s="36">
        <f>RawData!Z72</f>
        <v>-2.0951847545802593E-7</v>
      </c>
      <c r="CB74" s="36">
        <f>RawData!Y72</f>
        <v>7.6490752690006047E-5</v>
      </c>
      <c r="CC74" s="36">
        <f>RawData!X72</f>
        <v>-2.2817403078079224E-8</v>
      </c>
      <c r="CD74" s="36">
        <f>RawData!W72</f>
        <v>75687.8046875</v>
      </c>
      <c r="CE74" s="40">
        <f>RawData!V72</f>
        <v>0.8515625</v>
      </c>
      <c r="CF74" s="40">
        <f>RawData!U72</f>
        <v>20433.677734375</v>
      </c>
      <c r="CG74" s="40">
        <f>RawData!T72</f>
        <v>6.15234375</v>
      </c>
      <c r="CH74" s="44">
        <f>RawData!S72</f>
        <v>9.6499996185302734</v>
      </c>
      <c r="CI74" s="44">
        <f>RawData!R72</f>
        <v>10.600000381469727</v>
      </c>
      <c r="CJ74" s="44">
        <f>RawData!Q72</f>
        <v>5.1999998092651367</v>
      </c>
      <c r="CK74" s="44">
        <f>RawData!P72</f>
        <v>5.6500000953674316</v>
      </c>
      <c r="CL74" s="44">
        <f>RawData!CJ72</f>
        <v>1100</v>
      </c>
      <c r="CM74" s="43">
        <f>RawData!CI72</f>
        <v>5.6999998092651367</v>
      </c>
      <c r="CN74" s="44">
        <f>RawData!CL72</f>
        <v>2650</v>
      </c>
      <c r="CO74" s="43">
        <f>RawData!CK72</f>
        <v>5.6500000953674316</v>
      </c>
      <c r="CP74" s="44">
        <f>RawData!CM72</f>
        <v>7.619999885559082</v>
      </c>
      <c r="CQ74" s="47">
        <f>RawData!CO72</f>
        <v>44783.638194444444</v>
      </c>
      <c r="CR74" s="44">
        <f>RawData!CP72</f>
        <v>38295.69921875</v>
      </c>
      <c r="CS74" s="44">
        <f>RawData!DG72</f>
        <v>38295.69921875</v>
      </c>
      <c r="CT74" s="43" t="str">
        <f>RawData!DJ72</f>
        <v>G</v>
      </c>
      <c r="CU74" s="43" t="str">
        <f>RawData!CQ72</f>
        <v>FairPrice</v>
      </c>
      <c r="CV74" s="47">
        <f>RawData!CR72</f>
        <v>44783.638194444444</v>
      </c>
      <c r="CW74" s="65">
        <f>RawData!DK72</f>
        <v>38300</v>
      </c>
      <c r="CX74" s="65">
        <f>RawData!DL72</f>
        <v>3400000</v>
      </c>
      <c r="CY74" s="65">
        <f>RawData!DM72</f>
        <v>38500</v>
      </c>
      <c r="CZ74" s="65">
        <f>RawData!DN72</f>
        <v>0</v>
      </c>
      <c r="DA74" s="65">
        <f>RawData!DO72</f>
        <v>24500</v>
      </c>
      <c r="DB74" s="65">
        <f>RawData!DP72</f>
        <v>2863350</v>
      </c>
      <c r="DC74" s="65">
        <f>RawData!DQ72</f>
        <v>38000</v>
      </c>
      <c r="DD74" s="65">
        <f>RawData!DR72</f>
        <v>0</v>
      </c>
      <c r="DE74" s="65">
        <f>RawData!DS72</f>
        <v>24500</v>
      </c>
      <c r="DF74" s="65" t="str">
        <f>RawData!DT72</f>
        <v>BANKNIFTY</v>
      </c>
      <c r="DG74" s="66">
        <f>RawData!DU72</f>
        <v>44784</v>
      </c>
      <c r="DI74" s="21">
        <f t="shared" si="1"/>
        <v>1895.69921875</v>
      </c>
    </row>
    <row r="75" spans="1:113" x14ac:dyDescent="0.2">
      <c r="A75" s="59">
        <f>RawData!CN73</f>
        <v>44783.638194444444</v>
      </c>
      <c r="B75" s="44">
        <f>RawData!CH73</f>
        <v>1803.5899658203125</v>
      </c>
      <c r="C75" s="44">
        <f>RawData!CG73</f>
        <v>50</v>
      </c>
      <c r="D75" s="43">
        <f>RawData!CF73</f>
        <v>1798.4000244140625</v>
      </c>
      <c r="E75" s="44">
        <f>RawData!CE73</f>
        <v>125</v>
      </c>
      <c r="F75" s="43">
        <f>RawData!CD73</f>
        <v>1802.550048828125</v>
      </c>
      <c r="G75" s="44">
        <f>RawData!CC73</f>
        <v>1804.550048828125</v>
      </c>
      <c r="H75" s="44">
        <f>RawData!CB73</f>
        <v>1675.300048828125</v>
      </c>
      <c r="I75" s="44">
        <f>RawData!CA73</f>
        <v>1906.1500244140625</v>
      </c>
      <c r="J75" s="44">
        <f>RawData!BZ73</f>
        <v>1802.25</v>
      </c>
      <c r="K75" s="40">
        <f>RawData!BY73</f>
        <v>65.10546875</v>
      </c>
      <c r="L75" s="40">
        <f>RawData!BX73</f>
        <v>13088.1259765625</v>
      </c>
      <c r="M75" s="40">
        <f>RawData!BW73</f>
        <v>284.2734375</v>
      </c>
      <c r="N75" s="40">
        <f>RawData!BV73</f>
        <v>46010.8203125</v>
      </c>
      <c r="O75" s="36">
        <f>RawData!BU73</f>
        <v>-6.3810148276388645E-9</v>
      </c>
      <c r="P75" s="36">
        <f>RawData!BT73</f>
        <v>8.405463449889794E-5</v>
      </c>
      <c r="Q75" s="36">
        <f>RawData!BS73</f>
        <v>2.8041540645062923E-7</v>
      </c>
      <c r="R75" s="36">
        <f>RawData!BR73</f>
        <v>3.7297885864973068E-4</v>
      </c>
      <c r="S75" s="37">
        <f>RawData!BQ73</f>
        <v>1.0861356258828891E-10</v>
      </c>
      <c r="T75" s="37">
        <f>RawData!BP73</f>
        <v>-1.2978603081137408E-7</v>
      </c>
      <c r="U75" s="38">
        <f>RawData!BO73</f>
        <v>1.1607170104980469E-2</v>
      </c>
      <c r="V75" s="38">
        <f>RawData!BN73</f>
        <v>2.5961441993713379</v>
      </c>
      <c r="W75" s="39">
        <f>RawData!BM73</f>
        <v>-6.0997962951660156E-2</v>
      </c>
      <c r="X75" s="39">
        <f>RawData!BL73</f>
        <v>-11.519970893859863</v>
      </c>
      <c r="Y75" s="38">
        <f>RawData!BJ73</f>
        <v>-1.6082776710391045E-7</v>
      </c>
      <c r="Z75" s="38">
        <f>RawData!BI73</f>
        <v>6.1431906942743808E-5</v>
      </c>
      <c r="AA75" s="40">
        <f>RawData!BH73</f>
        <v>-4.1539669036865234E-3</v>
      </c>
      <c r="AB75" s="40">
        <f>RawData!BG73</f>
        <v>1.1758987903594971</v>
      </c>
      <c r="AC75" s="40">
        <f>RawData!BF73</f>
        <v>0.11564826965332031</v>
      </c>
      <c r="AD75" s="40">
        <f>RawData!BE73</f>
        <v>-26.500089645385742</v>
      </c>
      <c r="AE75" s="40">
        <f>RawData!BD73</f>
        <v>1.0341405868530273E-4</v>
      </c>
      <c r="AF75" s="40">
        <f>RawData!BC73</f>
        <v>0.97529995441436768</v>
      </c>
      <c r="AG75" s="41">
        <f>RawData!BB73</f>
        <v>18050</v>
      </c>
      <c r="AH75" s="42">
        <f>RawData!DB73</f>
        <v>-1.7226528854435832E-2</v>
      </c>
      <c r="AI75" s="41">
        <f>RawData!BA73</f>
        <v>-500</v>
      </c>
      <c r="AJ75" s="43">
        <f>RawData!DA73</f>
        <v>29025</v>
      </c>
      <c r="AK75" s="41">
        <f>RawData!AZ73</f>
        <v>28525</v>
      </c>
      <c r="AL75" s="42">
        <f>RawData!DD73</f>
        <v>-8.7090152412586141E-4</v>
      </c>
      <c r="AM75" s="44">
        <f>RawData!DC73</f>
        <v>-4.0391087532043457E-2</v>
      </c>
      <c r="AN75" s="45">
        <f>RawData!BK73</f>
        <v>46.338087320327759</v>
      </c>
      <c r="AO75" s="44">
        <f>RawData!AY73</f>
        <v>46.338087320327759</v>
      </c>
      <c r="AP75" s="43" t="str">
        <f>RawData!DH73</f>
        <v>W</v>
      </c>
      <c r="AQ75" s="43">
        <f>RawData!DE73</f>
        <v>1804.550048828125</v>
      </c>
      <c r="AR75" s="42">
        <f>RawData!CZ73</f>
        <v>0</v>
      </c>
      <c r="AS75" s="44">
        <f>RawData!AX73</f>
        <v>0</v>
      </c>
      <c r="AT75" s="43">
        <f>RawData!CY73</f>
        <v>1804.550048828125</v>
      </c>
      <c r="AU75" s="44">
        <f>RawData!AW73</f>
        <v>1804.550048828125</v>
      </c>
      <c r="AV75" s="46">
        <f>RawData!O73</f>
        <v>36500</v>
      </c>
      <c r="AW75" s="44">
        <f>RawData!AV73</f>
        <v>6.4499998092651367</v>
      </c>
      <c r="AX75" s="44">
        <f>RawData!CW73</f>
        <v>6.4499998092651367</v>
      </c>
      <c r="AY75" s="44">
        <f>RawData!AU73</f>
        <v>0</v>
      </c>
      <c r="AZ75" s="42">
        <f>RawData!CX73</f>
        <v>0</v>
      </c>
      <c r="BA75" s="44">
        <f>RawData!DF73</f>
        <v>6.4499998092651367</v>
      </c>
      <c r="BB75" s="43" t="str">
        <f>RawData!DI73</f>
        <v>W</v>
      </c>
      <c r="BC75" s="44">
        <f>RawData!AT73</f>
        <v>44.09063458442688</v>
      </c>
      <c r="BD75" s="45">
        <f>RawData!AP73</f>
        <v>44.09063458442688</v>
      </c>
      <c r="BE75" s="44">
        <f>RawData!CS73</f>
        <v>1.9669532775878906E-3</v>
      </c>
      <c r="BF75" s="42">
        <f>RawData!CT73</f>
        <v>4.4613579481322527E-5</v>
      </c>
      <c r="BG75" s="41">
        <f>RawData!AS73</f>
        <v>1945225</v>
      </c>
      <c r="BH75" s="41">
        <f>RawData!CU73</f>
        <v>1398600</v>
      </c>
      <c r="BI75" s="41">
        <f>RawData!AR73</f>
        <v>546625</v>
      </c>
      <c r="BJ75" s="42">
        <f>RawData!CV73</f>
        <v>0.39083726583726586</v>
      </c>
      <c r="BK75" s="41">
        <f>RawData!AQ73</f>
        <v>14464025</v>
      </c>
      <c r="BL75" s="40">
        <f>RawData!AO73</f>
        <v>-1.9510896876454353E-2</v>
      </c>
      <c r="BM75" s="40">
        <f>RawData!AN73</f>
        <v>4.2282044887542725E-7</v>
      </c>
      <c r="BN75" s="40">
        <f>RawData!AM73</f>
        <v>-6.4499998092651367</v>
      </c>
      <c r="BO75" s="40">
        <f>RawData!AL73</f>
        <v>0</v>
      </c>
      <c r="BP75" s="40">
        <f>RawData!AK73</f>
        <v>0.96360331773757935</v>
      </c>
      <c r="BQ75" s="40">
        <f>RawData!AJ73</f>
        <v>-3.7372112274169922E-5</v>
      </c>
      <c r="BR75" s="38">
        <f>RawData!AI73</f>
        <v>5.2907395001966506E-5</v>
      </c>
      <c r="BS75" s="38">
        <f>RawData!AH73</f>
        <v>-2.2628228180110455E-9</v>
      </c>
      <c r="BT75" s="40">
        <f>RawData!AG73</f>
        <v>-15.536100387573242</v>
      </c>
      <c r="BU75" s="39">
        <f>RawData!AF73</f>
        <v>3.4236907958984375E-4</v>
      </c>
      <c r="BV75" s="39">
        <f>RawData!AE73</f>
        <v>3.3314070701599121</v>
      </c>
      <c r="BW75" s="38">
        <f>RawData!AD73</f>
        <v>2.1910667419433594E-4</v>
      </c>
      <c r="BX75" s="38">
        <f>RawData!AC73</f>
        <v>-1.2323923215262766E-7</v>
      </c>
      <c r="BY75" s="37">
        <f>RawData!AB73</f>
        <v>7.702283255639486E-12</v>
      </c>
      <c r="BZ75" s="37">
        <f>RawData!AA73</f>
        <v>3.853847156278789E-4</v>
      </c>
      <c r="CA75" s="36">
        <f>RawData!Z73</f>
        <v>-2.9365764930844307E-8</v>
      </c>
      <c r="CB75" s="36">
        <f>RawData!Y73</f>
        <v>8.263806375907734E-5</v>
      </c>
      <c r="CC75" s="36">
        <f>RawData!X73</f>
        <v>9.5315044745802879E-10</v>
      </c>
      <c r="CD75" s="36">
        <f>RawData!W73</f>
        <v>65171.91015625</v>
      </c>
      <c r="CE75" s="40">
        <f>RawData!V73</f>
        <v>-2.4765625</v>
      </c>
      <c r="CF75" s="40">
        <f>RawData!U73</f>
        <v>17292.97265625</v>
      </c>
      <c r="CG75" s="40">
        <f>RawData!T73</f>
        <v>0.833984375</v>
      </c>
      <c r="CH75" s="44">
        <f>RawData!S73</f>
        <v>9.9499998092651367</v>
      </c>
      <c r="CI75" s="44">
        <f>RawData!R73</f>
        <v>11.949999809265137</v>
      </c>
      <c r="CJ75" s="44">
        <f>RawData!Q73</f>
        <v>5.6999998092651367</v>
      </c>
      <c r="CK75" s="44">
        <f>RawData!P73</f>
        <v>6.4499998092651367</v>
      </c>
      <c r="CL75" s="44">
        <f>RawData!CJ73</f>
        <v>2600</v>
      </c>
      <c r="CM75" s="43">
        <f>RawData!CI73</f>
        <v>6.4499998092651367</v>
      </c>
      <c r="CN75" s="44">
        <f>RawData!CL73</f>
        <v>600</v>
      </c>
      <c r="CO75" s="43">
        <f>RawData!CK73</f>
        <v>6.4000000953674316</v>
      </c>
      <c r="CP75" s="44">
        <f>RawData!CM73</f>
        <v>8.3199996948242188</v>
      </c>
      <c r="CQ75" s="47">
        <f>RawData!CO73</f>
        <v>44783.638194444444</v>
      </c>
      <c r="CR75" s="44">
        <f>RawData!CP73</f>
        <v>38295.69921875</v>
      </c>
      <c r="CS75" s="44">
        <f>RawData!DG73</f>
        <v>38295.69921875</v>
      </c>
      <c r="CT75" s="43" t="str">
        <f>RawData!DJ73</f>
        <v>G</v>
      </c>
      <c r="CU75" s="43" t="str">
        <f>RawData!CQ73</f>
        <v>FairPrice</v>
      </c>
      <c r="CV75" s="47">
        <f>RawData!CR73</f>
        <v>44783.638194444444</v>
      </c>
      <c r="CW75" s="65">
        <f>RawData!DK73</f>
        <v>38300</v>
      </c>
      <c r="CX75" s="65">
        <f>RawData!DL73</f>
        <v>3400000</v>
      </c>
      <c r="CY75" s="65">
        <f>RawData!DM73</f>
        <v>38500</v>
      </c>
      <c r="CZ75" s="65">
        <f>RawData!DN73</f>
        <v>0</v>
      </c>
      <c r="DA75" s="65">
        <f>RawData!DO73</f>
        <v>24500</v>
      </c>
      <c r="DB75" s="65">
        <f>RawData!DP73</f>
        <v>2863350</v>
      </c>
      <c r="DC75" s="65">
        <f>RawData!DQ73</f>
        <v>38000</v>
      </c>
      <c r="DD75" s="65">
        <f>RawData!DR73</f>
        <v>0</v>
      </c>
      <c r="DE75" s="65">
        <f>RawData!DS73</f>
        <v>24500</v>
      </c>
      <c r="DF75" s="65" t="str">
        <f>RawData!DT73</f>
        <v>BANKNIFTY</v>
      </c>
      <c r="DG75" s="66">
        <f>RawData!DU73</f>
        <v>44784</v>
      </c>
      <c r="DI75" s="21">
        <f t="shared" si="1"/>
        <v>1795.69921875</v>
      </c>
    </row>
    <row r="76" spans="1:113" x14ac:dyDescent="0.2">
      <c r="A76" s="59">
        <f>RawData!CN74</f>
        <v>44783.638194444444</v>
      </c>
      <c r="B76" s="44">
        <f>RawData!CH74</f>
        <v>1711.43994140625</v>
      </c>
      <c r="C76" s="44">
        <f>RawData!CG74</f>
        <v>100</v>
      </c>
      <c r="D76" s="43">
        <f>RawData!CF74</f>
        <v>1699.050048828125</v>
      </c>
      <c r="E76" s="44">
        <f>RawData!CE74</f>
        <v>225</v>
      </c>
      <c r="F76" s="43">
        <f>RawData!CD74</f>
        <v>1706.6500244140625</v>
      </c>
      <c r="G76" s="44">
        <f>RawData!CC74</f>
        <v>1681.550048828125</v>
      </c>
      <c r="H76" s="44">
        <f>RawData!CB74</f>
        <v>1610</v>
      </c>
      <c r="I76" s="44">
        <f>RawData!CA74</f>
        <v>1785</v>
      </c>
      <c r="J76" s="44">
        <f>RawData!BZ74</f>
        <v>1661.8499755859375</v>
      </c>
      <c r="K76" s="40">
        <f>RawData!BY74</f>
        <v>0</v>
      </c>
      <c r="L76" s="40">
        <f>RawData!BX74</f>
        <v>0</v>
      </c>
      <c r="M76" s="40">
        <f>RawData!BW74</f>
        <v>0</v>
      </c>
      <c r="N76" s="40">
        <f>RawData!BV74</f>
        <v>0</v>
      </c>
      <c r="O76" s="36">
        <f>RawData!BU74</f>
        <v>0</v>
      </c>
      <c r="P76" s="36">
        <f>RawData!BT74</f>
        <v>0</v>
      </c>
      <c r="Q76" s="36">
        <f>RawData!BS74</f>
        <v>0</v>
      </c>
      <c r="R76" s="36">
        <f>RawData!BR74</f>
        <v>0</v>
      </c>
      <c r="S76" s="37">
        <f>RawData!BQ74</f>
        <v>0</v>
      </c>
      <c r="T76" s="37">
        <f>RawData!BP74</f>
        <v>0</v>
      </c>
      <c r="U76" s="38">
        <f>RawData!BO74</f>
        <v>0</v>
      </c>
      <c r="V76" s="38">
        <f>RawData!BN74</f>
        <v>0</v>
      </c>
      <c r="W76" s="39">
        <f>RawData!BM74</f>
        <v>0</v>
      </c>
      <c r="X76" s="39">
        <f>RawData!BL74</f>
        <v>0</v>
      </c>
      <c r="Y76" s="38">
        <f>RawData!BJ74</f>
        <v>0</v>
      </c>
      <c r="Z76" s="38">
        <f>RawData!BI74</f>
        <v>0</v>
      </c>
      <c r="AA76" s="40">
        <f>RawData!BH74</f>
        <v>0</v>
      </c>
      <c r="AB76" s="40">
        <f>RawData!BG74</f>
        <v>0</v>
      </c>
      <c r="AC76" s="40">
        <f>RawData!BF74</f>
        <v>0</v>
      </c>
      <c r="AD76" s="40">
        <f>RawData!BE74</f>
        <v>0</v>
      </c>
      <c r="AE76" s="40">
        <f>RawData!BD74</f>
        <v>0</v>
      </c>
      <c r="AF76" s="40">
        <f>RawData!BC74</f>
        <v>0</v>
      </c>
      <c r="AG76" s="41">
        <f>RawData!BB74</f>
        <v>1300</v>
      </c>
      <c r="AH76" s="42">
        <f>RawData!DB74</f>
        <v>-4.8701298701298704E-2</v>
      </c>
      <c r="AI76" s="41">
        <f>RawData!BA74</f>
        <v>-375</v>
      </c>
      <c r="AJ76" s="43">
        <f>RawData!DA74</f>
        <v>7700</v>
      </c>
      <c r="AK76" s="41">
        <f>RawData!AZ74</f>
        <v>7325</v>
      </c>
      <c r="AL76" s="42">
        <f>RawData!DD74</f>
        <v>0</v>
      </c>
      <c r="AM76" s="44">
        <f>RawData!DC74</f>
        <v>0</v>
      </c>
      <c r="AN76" s="45">
        <f>RawData!BK74</f>
        <v>0</v>
      </c>
      <c r="AO76" s="44">
        <f>RawData!AY74</f>
        <v>0</v>
      </c>
      <c r="AP76" s="43" t="str">
        <f>RawData!DH74</f>
        <v>W</v>
      </c>
      <c r="AQ76" s="43">
        <f>RawData!DE74</f>
        <v>1681.550048828125</v>
      </c>
      <c r="AR76" s="42">
        <f>RawData!CZ74</f>
        <v>0</v>
      </c>
      <c r="AS76" s="44">
        <f>RawData!AX74</f>
        <v>0</v>
      </c>
      <c r="AT76" s="43">
        <f>RawData!CY74</f>
        <v>1681.550048828125</v>
      </c>
      <c r="AU76" s="44">
        <f>RawData!AW74</f>
        <v>1681.550048828125</v>
      </c>
      <c r="AV76" s="46">
        <f>RawData!O74</f>
        <v>36600</v>
      </c>
      <c r="AW76" s="44">
        <f>RawData!AV74</f>
        <v>6.9499998092651367</v>
      </c>
      <c r="AX76" s="44">
        <f>RawData!CW74</f>
        <v>6.9499998092651367</v>
      </c>
      <c r="AY76" s="44">
        <f>RawData!AU74</f>
        <v>-5.0000190734863281E-2</v>
      </c>
      <c r="AZ76" s="42">
        <f>RawData!CX74</f>
        <v>-7.1428843906947547E-3</v>
      </c>
      <c r="BA76" s="44">
        <f>RawData!DF74</f>
        <v>6.9499998092651367</v>
      </c>
      <c r="BB76" s="43" t="str">
        <f>RawData!DI74</f>
        <v>R</v>
      </c>
      <c r="BC76" s="44">
        <f>RawData!AT74</f>
        <v>42.432042956352234</v>
      </c>
      <c r="BD76" s="45">
        <f>RawData!AP74</f>
        <v>42.432042956352234</v>
      </c>
      <c r="BE76" s="44">
        <f>RawData!CS74</f>
        <v>-3.5300850868225098E-2</v>
      </c>
      <c r="BF76" s="42">
        <f>RawData!CT74</f>
        <v>-8.3124697010654837E-4</v>
      </c>
      <c r="BG76" s="41">
        <f>RawData!AS74</f>
        <v>274925</v>
      </c>
      <c r="BH76" s="41">
        <f>RawData!CU74</f>
        <v>375375</v>
      </c>
      <c r="BI76" s="41">
        <f>RawData!AR74</f>
        <v>-100450</v>
      </c>
      <c r="BJ76" s="42">
        <f>RawData!CV74</f>
        <v>-0.2675990675990676</v>
      </c>
      <c r="BK76" s="41">
        <f>RawData!AQ74</f>
        <v>4610875</v>
      </c>
      <c r="BL76" s="40">
        <f>RawData!AO74</f>
        <v>-2.1574854850769043E-2</v>
      </c>
      <c r="BM76" s="40">
        <f>RawData!AN74</f>
        <v>1.2123584747314453E-4</v>
      </c>
      <c r="BN76" s="40">
        <f>RawData!AM74</f>
        <v>-6.9499998092651367</v>
      </c>
      <c r="BO76" s="40">
        <f>RawData!AL74</f>
        <v>5.0000190734863281E-2</v>
      </c>
      <c r="BP76" s="40">
        <f>RawData!AK74</f>
        <v>1.0493206977844238</v>
      </c>
      <c r="BQ76" s="40">
        <f>RawData!AJ74</f>
        <v>-4.9878358840942383E-3</v>
      </c>
      <c r="BR76" s="38">
        <f>RawData!AI74</f>
        <v>5.9863050410058349E-5</v>
      </c>
      <c r="BS76" s="38">
        <f>RawData!AH74</f>
        <v>-2.33678292715922E-7</v>
      </c>
      <c r="BT76" s="40">
        <f>RawData!AG74</f>
        <v>-14.528430938720703</v>
      </c>
      <c r="BU76" s="39">
        <f>RawData!AF74</f>
        <v>-9.7711563110351563E-2</v>
      </c>
      <c r="BV76" s="39">
        <f>RawData!AE74</f>
        <v>2.9980111122131348</v>
      </c>
      <c r="BW76" s="38">
        <f>RawData!AD74</f>
        <v>1.7814874649047852E-2</v>
      </c>
      <c r="BX76" s="38">
        <f>RawData!AC74</f>
        <v>-1.4193300046372315E-7</v>
      </c>
      <c r="BY76" s="37">
        <f>RawData!AB74</f>
        <v>2.7277735625830246E-10</v>
      </c>
      <c r="BZ76" s="37">
        <f>RawData!AA74</f>
        <v>4.2944494634866714E-4</v>
      </c>
      <c r="CA76" s="36">
        <f>RawData!Z74</f>
        <v>2.0139850676059723E-8</v>
      </c>
      <c r="CB76" s="36">
        <f>RawData!Y74</f>
        <v>8.8618013251107186E-5</v>
      </c>
      <c r="CC76" s="36">
        <f>RawData!X74</f>
        <v>-6.573100108653307E-8</v>
      </c>
      <c r="CD76" s="36">
        <f>RawData!W74</f>
        <v>59714.94140625</v>
      </c>
      <c r="CE76" s="40">
        <f>RawData!V74</f>
        <v>469.90234375</v>
      </c>
      <c r="CF76" s="40">
        <f>RawData!U74</f>
        <v>15369.5712890625</v>
      </c>
      <c r="CG76" s="40">
        <f>RawData!T74</f>
        <v>101.826171875</v>
      </c>
      <c r="CH76" s="44">
        <f>RawData!S74</f>
        <v>8.4499998092651367</v>
      </c>
      <c r="CI76" s="44">
        <f>RawData!R74</f>
        <v>13.300000190734863</v>
      </c>
      <c r="CJ76" s="44">
        <f>RawData!Q74</f>
        <v>6</v>
      </c>
      <c r="CK76" s="44">
        <f>RawData!P74</f>
        <v>6.9499998092651367</v>
      </c>
      <c r="CL76" s="44">
        <f>RawData!CJ74</f>
        <v>3225</v>
      </c>
      <c r="CM76" s="43">
        <f>RawData!CI74</f>
        <v>7</v>
      </c>
      <c r="CN76" s="44">
        <f>RawData!CL74</f>
        <v>3250</v>
      </c>
      <c r="CO76" s="43">
        <f>RawData!CK74</f>
        <v>6.9000000953674316</v>
      </c>
      <c r="CP76" s="44">
        <f>RawData!CM74</f>
        <v>9.2700004577636719</v>
      </c>
      <c r="CQ76" s="47">
        <f>RawData!CO74</f>
        <v>44783.638194444444</v>
      </c>
      <c r="CR76" s="44">
        <f>RawData!CP74</f>
        <v>38295.69921875</v>
      </c>
      <c r="CS76" s="44">
        <f>RawData!DG74</f>
        <v>38295.69921875</v>
      </c>
      <c r="CT76" s="43" t="str">
        <f>RawData!DJ74</f>
        <v>G</v>
      </c>
      <c r="CU76" s="43" t="str">
        <f>RawData!CQ74</f>
        <v>FairPrice</v>
      </c>
      <c r="CV76" s="47">
        <f>RawData!CR74</f>
        <v>44783.638194444444</v>
      </c>
      <c r="CW76" s="65">
        <f>RawData!DK74</f>
        <v>38300</v>
      </c>
      <c r="CX76" s="65">
        <f>RawData!DL74</f>
        <v>3400000</v>
      </c>
      <c r="CY76" s="65">
        <f>RawData!DM74</f>
        <v>38500</v>
      </c>
      <c r="CZ76" s="65">
        <f>RawData!DN74</f>
        <v>0</v>
      </c>
      <c r="DA76" s="65">
        <f>RawData!DO74</f>
        <v>24500</v>
      </c>
      <c r="DB76" s="65">
        <f>RawData!DP74</f>
        <v>2863350</v>
      </c>
      <c r="DC76" s="65">
        <f>RawData!DQ74</f>
        <v>38000</v>
      </c>
      <c r="DD76" s="65">
        <f>RawData!DR74</f>
        <v>0</v>
      </c>
      <c r="DE76" s="65">
        <f>RawData!DS74</f>
        <v>24500</v>
      </c>
      <c r="DF76" s="65" t="str">
        <f>RawData!DT74</f>
        <v>BANKNIFTY</v>
      </c>
      <c r="DG76" s="66">
        <f>RawData!DU74</f>
        <v>44784</v>
      </c>
      <c r="DI76" s="21">
        <f t="shared" si="1"/>
        <v>1695.69921875</v>
      </c>
    </row>
    <row r="77" spans="1:113" x14ac:dyDescent="0.2">
      <c r="A77" s="59">
        <f>RawData!CN75</f>
        <v>44783.638194444444</v>
      </c>
      <c r="B77" s="44">
        <f>RawData!CH75</f>
        <v>1618.5799560546875</v>
      </c>
      <c r="C77" s="44">
        <f>RawData!CG75</f>
        <v>125</v>
      </c>
      <c r="D77" s="43">
        <f>RawData!CF75</f>
        <v>1599.949951171875</v>
      </c>
      <c r="E77" s="44">
        <f>RawData!CE75</f>
        <v>125</v>
      </c>
      <c r="F77" s="43">
        <f>RawData!CD75</f>
        <v>1608.3499755859375</v>
      </c>
      <c r="G77" s="44">
        <f>RawData!CC75</f>
        <v>1607</v>
      </c>
      <c r="H77" s="44">
        <f>RawData!CB75</f>
        <v>1488.25</v>
      </c>
      <c r="I77" s="44">
        <f>RawData!CA75</f>
        <v>1692.1500244140625</v>
      </c>
      <c r="J77" s="44">
        <f>RawData!BZ75</f>
        <v>1632</v>
      </c>
      <c r="K77" s="40">
        <f>RawData!BY75</f>
        <v>36.794921875</v>
      </c>
      <c r="L77" s="40">
        <f>RawData!BX75</f>
        <v>9517.2119140625</v>
      </c>
      <c r="M77" s="40">
        <f>RawData!BW75</f>
        <v>169.6875</v>
      </c>
      <c r="N77" s="40">
        <f>RawData!BV75</f>
        <v>34571.58984375</v>
      </c>
      <c r="O77" s="36">
        <f>RawData!BU75</f>
        <v>3.5848643165081739E-8</v>
      </c>
      <c r="P77" s="36">
        <f>RawData!BT75</f>
        <v>9.4032380729913712E-5</v>
      </c>
      <c r="Q77" s="36">
        <f>RawData!BS75</f>
        <v>4.7331559471786022E-7</v>
      </c>
      <c r="R77" s="36">
        <f>RawData!BR75</f>
        <v>4.4283163151703775E-4</v>
      </c>
      <c r="S77" s="37">
        <f>RawData!BQ75</f>
        <v>6.5924155023822095E-11</v>
      </c>
      <c r="T77" s="37">
        <f>RawData!BP75</f>
        <v>-1.7180435918362491E-7</v>
      </c>
      <c r="U77" s="38">
        <f>RawData!BO75</f>
        <v>6.7861080169677734E-3</v>
      </c>
      <c r="V77" s="38">
        <f>RawData!BN75</f>
        <v>1.9541876316070557</v>
      </c>
      <c r="W77" s="39">
        <f>RawData!BM75</f>
        <v>-3.8266181945800781E-2</v>
      </c>
      <c r="X77" s="39">
        <f>RawData!BL75</f>
        <v>-9.2029581069946289</v>
      </c>
      <c r="Y77" s="38">
        <f>RawData!BJ75</f>
        <v>-1.5414116205647588E-7</v>
      </c>
      <c r="Z77" s="38">
        <f>RawData!BI75</f>
        <v>8.1464546383358538E-5</v>
      </c>
      <c r="AA77" s="40">
        <f>RawData!BH75</f>
        <v>-3.9168596267700195E-3</v>
      </c>
      <c r="AB77" s="40">
        <f>RawData!BG75</f>
        <v>1.4692846536636353</v>
      </c>
      <c r="AC77" s="40">
        <f>RawData!BF75</f>
        <v>0.104705810546875</v>
      </c>
      <c r="AD77" s="40">
        <f>RawData!BE75</f>
        <v>-31.19929313659668</v>
      </c>
      <c r="AE77" s="40">
        <f>RawData!BD75</f>
        <v>1.0353326797485352E-4</v>
      </c>
      <c r="AF77" s="40">
        <f>RawData!BC75</f>
        <v>0.96772068738937378</v>
      </c>
      <c r="AG77" s="41">
        <f>RawData!BB75</f>
        <v>1700</v>
      </c>
      <c r="AH77" s="42">
        <f>RawData!DB75</f>
        <v>-2.6829268292682926E-2</v>
      </c>
      <c r="AI77" s="41">
        <f>RawData!BA75</f>
        <v>-275</v>
      </c>
      <c r="AJ77" s="43">
        <f>RawData!DA75</f>
        <v>10250</v>
      </c>
      <c r="AK77" s="41">
        <f>RawData!AZ75</f>
        <v>9975</v>
      </c>
      <c r="AL77" s="42">
        <f>RawData!DD75</f>
        <v>-7.3104949596599549E-4</v>
      </c>
      <c r="AM77" s="44">
        <f>RawData!DC75</f>
        <v>-3.1942129135131836E-2</v>
      </c>
      <c r="AN77" s="45">
        <f>RawData!BK75</f>
        <v>43.661582469940186</v>
      </c>
      <c r="AO77" s="44">
        <f>RawData!AY75</f>
        <v>43.661582469940186</v>
      </c>
      <c r="AP77" s="43" t="str">
        <f>RawData!DH75</f>
        <v>W</v>
      </c>
      <c r="AQ77" s="43">
        <f>RawData!DE75</f>
        <v>1607</v>
      </c>
      <c r="AR77" s="42">
        <f>RawData!CZ75</f>
        <v>0</v>
      </c>
      <c r="AS77" s="44">
        <f>RawData!AX75</f>
        <v>0</v>
      </c>
      <c r="AT77" s="43">
        <f>RawData!CY75</f>
        <v>1607</v>
      </c>
      <c r="AU77" s="44">
        <f>RawData!AW75</f>
        <v>1607</v>
      </c>
      <c r="AV77" s="46">
        <f>RawData!O75</f>
        <v>36700</v>
      </c>
      <c r="AW77" s="44">
        <f>RawData!AV75</f>
        <v>8</v>
      </c>
      <c r="AX77" s="44">
        <f>RawData!CW75</f>
        <v>8</v>
      </c>
      <c r="AY77" s="44">
        <f>RawData!AU75</f>
        <v>-5.0000190734863281E-2</v>
      </c>
      <c r="AZ77" s="42">
        <f>RawData!CX75</f>
        <v>-6.211203670828596E-3</v>
      </c>
      <c r="BA77" s="44">
        <f>RawData!DF75</f>
        <v>8</v>
      </c>
      <c r="BB77" s="43" t="str">
        <f>RawData!DI75</f>
        <v>R</v>
      </c>
      <c r="BC77" s="44">
        <f>RawData!AT75</f>
        <v>41.177713871002197</v>
      </c>
      <c r="BD77" s="45">
        <f>RawData!AP75</f>
        <v>41.177713871002197</v>
      </c>
      <c r="BE77" s="44">
        <f>RawData!CS75</f>
        <v>-3.9932131767272949E-2</v>
      </c>
      <c r="BF77" s="42">
        <f>RawData!CT75</f>
        <v>-9.688115562104118E-4</v>
      </c>
      <c r="BG77" s="41">
        <f>RawData!AS75</f>
        <v>459650</v>
      </c>
      <c r="BH77" s="41">
        <f>RawData!CU75</f>
        <v>501150</v>
      </c>
      <c r="BI77" s="41">
        <f>RawData!AR75</f>
        <v>-41500</v>
      </c>
      <c r="BJ77" s="42">
        <f>RawData!CV75</f>
        <v>-8.2809538062456348E-2</v>
      </c>
      <c r="BK77" s="41">
        <f>RawData!AQ75</f>
        <v>5183850</v>
      </c>
      <c r="BL77" s="40">
        <f>RawData!AO75</f>
        <v>-2.5096490979194641E-2</v>
      </c>
      <c r="BM77" s="40">
        <f>RawData!AN75</f>
        <v>1.1617317795753479E-4</v>
      </c>
      <c r="BN77" s="40">
        <f>RawData!AM75</f>
        <v>-8</v>
      </c>
      <c r="BO77" s="40">
        <f>RawData!AL75</f>
        <v>5.0000190734863281E-2</v>
      </c>
      <c r="BP77" s="40">
        <f>RawData!AK75</f>
        <v>1.191703200340271</v>
      </c>
      <c r="BQ77" s="40">
        <f>RawData!AJ75</f>
        <v>-4.6458244323730469E-3</v>
      </c>
      <c r="BR77" s="38">
        <f>RawData!AI75</f>
        <v>7.0060028519947082E-5</v>
      </c>
      <c r="BS77" s="38">
        <f>RawData!AH75</f>
        <v>-2.0213337847962976E-7</v>
      </c>
      <c r="BT77" s="40">
        <f>RawData!AG75</f>
        <v>-12.764871597290039</v>
      </c>
      <c r="BU77" s="39">
        <f>RawData!AF75</f>
        <v>-7.4744224548339844E-2</v>
      </c>
      <c r="BV77" s="39">
        <f>RawData!AE75</f>
        <v>2.5563366413116455</v>
      </c>
      <c r="BW77" s="38">
        <f>RawData!AD75</f>
        <v>1.2614250183105469E-2</v>
      </c>
      <c r="BX77" s="38">
        <f>RawData!AC75</f>
        <v>-1.6576494488163007E-7</v>
      </c>
      <c r="BY77" s="37">
        <f>RawData!AB75</f>
        <v>1.4979661955294432E-10</v>
      </c>
      <c r="BZ77" s="37">
        <f>RawData!AA75</f>
        <v>4.7506726696155965E-4</v>
      </c>
      <c r="CA77" s="36">
        <f>RawData!Z75</f>
        <v>4.1039311327040195E-7</v>
      </c>
      <c r="CB77" s="36">
        <f>RawData!Y75</f>
        <v>9.5138580945786089E-5</v>
      </c>
      <c r="CC77" s="36">
        <f>RawData!X75</f>
        <v>-5.8862497098743916E-9</v>
      </c>
      <c r="CD77" s="36">
        <f>RawData!W75</f>
        <v>50806.2265625</v>
      </c>
      <c r="CE77" s="40">
        <f>RawData!V75</f>
        <v>347.4765625</v>
      </c>
      <c r="CF77" s="40">
        <f>RawData!U75</f>
        <v>12857.666015625</v>
      </c>
      <c r="CG77" s="40">
        <f>RawData!T75</f>
        <v>70.650390625</v>
      </c>
      <c r="CH77" s="44">
        <f>RawData!S75</f>
        <v>10</v>
      </c>
      <c r="CI77" s="44">
        <f>RawData!R75</f>
        <v>15.649999618530273</v>
      </c>
      <c r="CJ77" s="44">
        <f>RawData!Q75</f>
        <v>6.5500001907348633</v>
      </c>
      <c r="CK77" s="44">
        <f>RawData!P75</f>
        <v>8</v>
      </c>
      <c r="CL77" s="44">
        <f>RawData!CJ75</f>
        <v>3000</v>
      </c>
      <c r="CM77" s="43">
        <f>RawData!CI75</f>
        <v>8.0500001907348633</v>
      </c>
      <c r="CN77" s="44">
        <f>RawData!CL75</f>
        <v>75</v>
      </c>
      <c r="CO77" s="43">
        <f>RawData!CK75</f>
        <v>8</v>
      </c>
      <c r="CP77" s="44">
        <f>RawData!CM75</f>
        <v>10.079999923706055</v>
      </c>
      <c r="CQ77" s="47">
        <f>RawData!CO75</f>
        <v>44783.638194444444</v>
      </c>
      <c r="CR77" s="44">
        <f>RawData!CP75</f>
        <v>38295.69921875</v>
      </c>
      <c r="CS77" s="44">
        <f>RawData!DG75</f>
        <v>38295.69921875</v>
      </c>
      <c r="CT77" s="43" t="str">
        <f>RawData!DJ75</f>
        <v>G</v>
      </c>
      <c r="CU77" s="43" t="str">
        <f>RawData!CQ75</f>
        <v>FairPrice</v>
      </c>
      <c r="CV77" s="47">
        <f>RawData!CR75</f>
        <v>44783.638194444444</v>
      </c>
      <c r="CW77" s="65">
        <f>RawData!DK75</f>
        <v>38300</v>
      </c>
      <c r="CX77" s="65">
        <f>RawData!DL75</f>
        <v>3400000</v>
      </c>
      <c r="CY77" s="65">
        <f>RawData!DM75</f>
        <v>38500</v>
      </c>
      <c r="CZ77" s="65">
        <f>RawData!DN75</f>
        <v>0</v>
      </c>
      <c r="DA77" s="65">
        <f>RawData!DO75</f>
        <v>24500</v>
      </c>
      <c r="DB77" s="65">
        <f>RawData!DP75</f>
        <v>2863350</v>
      </c>
      <c r="DC77" s="65">
        <f>RawData!DQ75</f>
        <v>38000</v>
      </c>
      <c r="DD77" s="65">
        <f>RawData!DR75</f>
        <v>0</v>
      </c>
      <c r="DE77" s="65">
        <f>RawData!DS75</f>
        <v>24500</v>
      </c>
      <c r="DF77" s="65" t="str">
        <f>RawData!DT75</f>
        <v>BANKNIFTY</v>
      </c>
      <c r="DG77" s="66">
        <f>RawData!DU75</f>
        <v>44784</v>
      </c>
      <c r="DI77" s="21">
        <f t="shared" si="1"/>
        <v>1595.69921875</v>
      </c>
    </row>
    <row r="78" spans="1:113" x14ac:dyDescent="0.2">
      <c r="A78" s="59">
        <f>RawData!CN76</f>
        <v>44783.638194444444</v>
      </c>
      <c r="B78" s="44">
        <f>RawData!CH76</f>
        <v>1497.7099609375</v>
      </c>
      <c r="C78" s="44">
        <f>RawData!CG76</f>
        <v>250</v>
      </c>
      <c r="D78" s="43">
        <f>RawData!CF76</f>
        <v>1501.550048828125</v>
      </c>
      <c r="E78" s="44">
        <f>RawData!CE76</f>
        <v>125</v>
      </c>
      <c r="F78" s="43">
        <f>RawData!CD76</f>
        <v>1508.699951171875</v>
      </c>
      <c r="G78" s="44">
        <f>RawData!CC76</f>
        <v>1505.3499755859375</v>
      </c>
      <c r="H78" s="44">
        <f>RawData!CB76</f>
        <v>1400</v>
      </c>
      <c r="I78" s="44">
        <f>RawData!CA76</f>
        <v>1603.75</v>
      </c>
      <c r="J78" s="44">
        <f>RawData!BZ76</f>
        <v>1468.8499755859375</v>
      </c>
      <c r="K78" s="40">
        <f>RawData!BY76</f>
        <v>437.142578125</v>
      </c>
      <c r="L78" s="40">
        <f>RawData!BX76</f>
        <v>10211.505859375</v>
      </c>
      <c r="M78" s="40">
        <f>RawData!BW76</f>
        <v>2203.54296875</v>
      </c>
      <c r="N78" s="40">
        <f>RawData!BV76</f>
        <v>40469.75</v>
      </c>
      <c r="O78" s="36">
        <f>RawData!BU76</f>
        <v>3.0713272280991077E-7</v>
      </c>
      <c r="P78" s="36">
        <f>RawData!BT76</f>
        <v>1.0118775389855728E-4</v>
      </c>
      <c r="Q78" s="36">
        <f>RawData!BS76</f>
        <v>5.8213481679558754E-6</v>
      </c>
      <c r="R78" s="36">
        <f>RawData!BR76</f>
        <v>5.1651522517204285E-4</v>
      </c>
      <c r="S78" s="37">
        <f>RawData!BQ76</f>
        <v>9.4735241873422638E-10</v>
      </c>
      <c r="T78" s="37">
        <f>RawData!BP76</f>
        <v>-1.9484679114611936E-7</v>
      </c>
      <c r="U78" s="38">
        <f>RawData!BO76</f>
        <v>7.9752683639526367E-2</v>
      </c>
      <c r="V78" s="38">
        <f>RawData!BN76</f>
        <v>2.081418514251709</v>
      </c>
      <c r="W78" s="39">
        <f>RawData!BM76</f>
        <v>-0.49149894714355469</v>
      </c>
      <c r="X78" s="39">
        <f>RawData!BL76</f>
        <v>-10.624649047851563</v>
      </c>
      <c r="Y78" s="38">
        <f>RawData!BJ76</f>
        <v>-1.847925886977464E-6</v>
      </c>
      <c r="Z78" s="38">
        <f>RawData!BI76</f>
        <v>8.4157414676155895E-5</v>
      </c>
      <c r="AA78" s="40">
        <f>RawData!BH76</f>
        <v>-4.2880058288574219E-2</v>
      </c>
      <c r="AB78" s="40">
        <f>RawData!BG76</f>
        <v>1.4003397226333618</v>
      </c>
      <c r="AC78" s="40">
        <f>RawData!BF76</f>
        <v>1.075531005859375</v>
      </c>
      <c r="AD78" s="40">
        <f>RawData!BE76</f>
        <v>-27.433311462402344</v>
      </c>
      <c r="AE78" s="40">
        <f>RawData!BD76</f>
        <v>1.1295080184936523E-3</v>
      </c>
      <c r="AF78" s="40">
        <f>RawData!BC76</f>
        <v>0.96954327821731567</v>
      </c>
      <c r="AG78" s="41">
        <f>RawData!BB76</f>
        <v>2250</v>
      </c>
      <c r="AH78" s="42">
        <f>RawData!DB76</f>
        <v>-8.8888888888888892E-2</v>
      </c>
      <c r="AI78" s="41">
        <f>RawData!BA76</f>
        <v>-1000</v>
      </c>
      <c r="AJ78" s="43">
        <f>RawData!DA76</f>
        <v>11250</v>
      </c>
      <c r="AK78" s="41">
        <f>RawData!AZ76</f>
        <v>10250</v>
      </c>
      <c r="AL78" s="42">
        <f>RawData!DD76</f>
        <v>-8.345940958529724E-3</v>
      </c>
      <c r="AM78" s="44">
        <f>RawData!DC76</f>
        <v>-0.33901631832122803</v>
      </c>
      <c r="AN78" s="45">
        <f>RawData!BK76</f>
        <v>40.281486511230469</v>
      </c>
      <c r="AO78" s="44">
        <f>RawData!AY76</f>
        <v>40.281486511230469</v>
      </c>
      <c r="AP78" s="43" t="str">
        <f>RawData!DH76</f>
        <v>W</v>
      </c>
      <c r="AQ78" s="43">
        <f>RawData!DE76</f>
        <v>1505.3499755859375</v>
      </c>
      <c r="AR78" s="42">
        <f>RawData!CZ76</f>
        <v>0</v>
      </c>
      <c r="AS78" s="44">
        <f>RawData!AX76</f>
        <v>0</v>
      </c>
      <c r="AT78" s="43">
        <f>RawData!CY76</f>
        <v>1505.3499755859375</v>
      </c>
      <c r="AU78" s="44">
        <f>RawData!AW76</f>
        <v>1505.3499755859375</v>
      </c>
      <c r="AV78" s="46">
        <f>RawData!O76</f>
        <v>36800</v>
      </c>
      <c r="AW78" s="44">
        <f>RawData!AV76</f>
        <v>9.0500001907348633</v>
      </c>
      <c r="AX78" s="44">
        <f>RawData!CW76</f>
        <v>9.0500001907348633</v>
      </c>
      <c r="AY78" s="44">
        <f>RawData!AU76</f>
        <v>5.0000190734863281E-2</v>
      </c>
      <c r="AZ78" s="42">
        <f>RawData!CX76</f>
        <v>5.5555767483181423E-3</v>
      </c>
      <c r="BA78" s="44">
        <f>RawData!DF76</f>
        <v>9.0500001907348633</v>
      </c>
      <c r="BB78" s="43" t="str">
        <f>RawData!DI76</f>
        <v>G</v>
      </c>
      <c r="BC78" s="44">
        <f>RawData!AT76</f>
        <v>39.772528409957886</v>
      </c>
      <c r="BD78" s="45">
        <f>RawData!AP76</f>
        <v>39.772528409957886</v>
      </c>
      <c r="BE78" s="44">
        <f>RawData!CS76</f>
        <v>3.9345026016235352E-2</v>
      </c>
      <c r="BF78" s="42">
        <f>RawData!CT76</f>
        <v>9.9023090186468226E-4</v>
      </c>
      <c r="BG78" s="41">
        <f>RawData!AS76</f>
        <v>581500</v>
      </c>
      <c r="BH78" s="41">
        <f>RawData!CU76</f>
        <v>589625</v>
      </c>
      <c r="BI78" s="41">
        <f>RawData!AR76</f>
        <v>-8125</v>
      </c>
      <c r="BJ78" s="42">
        <f>RawData!CV76</f>
        <v>-1.3779944880220479E-2</v>
      </c>
      <c r="BK78" s="41">
        <f>RawData!AQ76</f>
        <v>6850375</v>
      </c>
      <c r="BL78" s="40">
        <f>RawData!AO76</f>
        <v>-2.8850831091403961E-2</v>
      </c>
      <c r="BM78" s="40">
        <f>RawData!AN76</f>
        <v>-1.1547654867172241E-4</v>
      </c>
      <c r="BN78" s="40">
        <f>RawData!AM76</f>
        <v>-9.0500001907348633</v>
      </c>
      <c r="BO78" s="40">
        <f>RawData!AL76</f>
        <v>-5.0000190734863281E-2</v>
      </c>
      <c r="BP78" s="40">
        <f>RawData!AK76</f>
        <v>1.3387880325317383</v>
      </c>
      <c r="BQ78" s="40">
        <f>RawData!AJ76</f>
        <v>4.4295787811279297E-3</v>
      </c>
      <c r="BR78" s="38">
        <f>RawData!AI76</f>
        <v>8.1487458373885602E-5</v>
      </c>
      <c r="BS78" s="38">
        <f>RawData!AH76</f>
        <v>1.9248545868322253E-7</v>
      </c>
      <c r="BT78" s="40">
        <f>RawData!AG76</f>
        <v>-11.401801109313965</v>
      </c>
      <c r="BU78" s="39">
        <f>RawData!AF76</f>
        <v>6.0248374938964844E-2</v>
      </c>
      <c r="BV78" s="39">
        <f>RawData!AE76</f>
        <v>2.2054438591003418</v>
      </c>
      <c r="BW78" s="38">
        <f>RawData!AD76</f>
        <v>-9.3648433685302734E-3</v>
      </c>
      <c r="BX78" s="38">
        <f>RawData!AC76</f>
        <v>-1.9345438317941444E-7</v>
      </c>
      <c r="BY78" s="37">
        <f>RawData!AB76</f>
        <v>-9.5070618044701405E-11</v>
      </c>
      <c r="BZ78" s="37">
        <f>RawData!AA76</f>
        <v>5.2494928240776062E-4</v>
      </c>
      <c r="CA78" s="36">
        <f>RawData!Z76</f>
        <v>-6.4336927607655525E-7</v>
      </c>
      <c r="CB78" s="36">
        <f>RawData!Y76</f>
        <v>1.0154063056688756E-4</v>
      </c>
      <c r="CC78" s="36">
        <f>RawData!X76</f>
        <v>-1.9492290448397398E-8</v>
      </c>
      <c r="CD78" s="36">
        <f>RawData!W76</f>
        <v>43982.3984375</v>
      </c>
      <c r="CE78" s="40">
        <f>RawData!V76</f>
        <v>-274.2109375</v>
      </c>
      <c r="CF78" s="40">
        <f>RawData!U76</f>
        <v>10895.771484375</v>
      </c>
      <c r="CG78" s="40">
        <f>RawData!T76</f>
        <v>-52.1240234375</v>
      </c>
      <c r="CH78" s="44">
        <f>RawData!S76</f>
        <v>22.399999618530273</v>
      </c>
      <c r="CI78" s="44">
        <f>RawData!R76</f>
        <v>22.5</v>
      </c>
      <c r="CJ78" s="44">
        <f>RawData!Q76</f>
        <v>7.1500000953674316</v>
      </c>
      <c r="CK78" s="44">
        <f>RawData!P76</f>
        <v>9.0500001907348633</v>
      </c>
      <c r="CL78" s="44">
        <f>RawData!CJ76</f>
        <v>2575</v>
      </c>
      <c r="CM78" s="43">
        <f>RawData!CI76</f>
        <v>9.1000003814697266</v>
      </c>
      <c r="CN78" s="44">
        <f>RawData!CL76</f>
        <v>975</v>
      </c>
      <c r="CO78" s="43">
        <f>RawData!CK76</f>
        <v>9.0500001907348633</v>
      </c>
      <c r="CP78" s="44">
        <f>RawData!CM76</f>
        <v>11.430000305175781</v>
      </c>
      <c r="CQ78" s="47">
        <f>RawData!CO76</f>
        <v>44783.638194444444</v>
      </c>
      <c r="CR78" s="44">
        <f>RawData!CP76</f>
        <v>38295.69921875</v>
      </c>
      <c r="CS78" s="44">
        <f>RawData!DG76</f>
        <v>38295.69921875</v>
      </c>
      <c r="CT78" s="43" t="str">
        <f>RawData!DJ76</f>
        <v>G</v>
      </c>
      <c r="CU78" s="43" t="str">
        <f>RawData!CQ76</f>
        <v>FairPrice</v>
      </c>
      <c r="CV78" s="47">
        <f>RawData!CR76</f>
        <v>44783.638194444444</v>
      </c>
      <c r="CW78" s="65">
        <f>RawData!DK76</f>
        <v>38300</v>
      </c>
      <c r="CX78" s="65">
        <f>RawData!DL76</f>
        <v>3400000</v>
      </c>
      <c r="CY78" s="65">
        <f>RawData!DM76</f>
        <v>38500</v>
      </c>
      <c r="CZ78" s="65">
        <f>RawData!DN76</f>
        <v>0</v>
      </c>
      <c r="DA78" s="65">
        <f>RawData!DO76</f>
        <v>24500</v>
      </c>
      <c r="DB78" s="65">
        <f>RawData!DP76</f>
        <v>2863350</v>
      </c>
      <c r="DC78" s="65">
        <f>RawData!DQ76</f>
        <v>38000</v>
      </c>
      <c r="DD78" s="65">
        <f>RawData!DR76</f>
        <v>0</v>
      </c>
      <c r="DE78" s="65">
        <f>RawData!DS76</f>
        <v>24500</v>
      </c>
      <c r="DF78" s="65" t="str">
        <f>RawData!DT76</f>
        <v>BANKNIFTY</v>
      </c>
      <c r="DG78" s="66">
        <f>RawData!DU76</f>
        <v>44784</v>
      </c>
      <c r="DI78" s="21">
        <f t="shared" si="1"/>
        <v>1495.69921875</v>
      </c>
    </row>
    <row r="79" spans="1:113" x14ac:dyDescent="0.2">
      <c r="A79" s="59">
        <f>RawData!CN77</f>
        <v>44783.638194444444</v>
      </c>
      <c r="B79" s="44">
        <f>RawData!CH77</f>
        <v>1416.989990234375</v>
      </c>
      <c r="C79" s="44">
        <f>RawData!CG77</f>
        <v>50</v>
      </c>
      <c r="D79" s="43">
        <f>RawData!CF77</f>
        <v>1403.699951171875</v>
      </c>
      <c r="E79" s="44">
        <f>RawData!CE77</f>
        <v>50</v>
      </c>
      <c r="F79" s="43">
        <f>RawData!CD77</f>
        <v>1408.199951171875</v>
      </c>
      <c r="G79" s="44">
        <f>RawData!CC77</f>
        <v>1420</v>
      </c>
      <c r="H79" s="44">
        <f>RawData!CB77</f>
        <v>1310.6500244140625</v>
      </c>
      <c r="I79" s="44">
        <f>RawData!CA77</f>
        <v>1488.699951171875</v>
      </c>
      <c r="J79" s="44">
        <f>RawData!BZ77</f>
        <v>1425.25</v>
      </c>
      <c r="K79" s="40">
        <f>RawData!BY77</f>
        <v>7.76220703125</v>
      </c>
      <c r="L79" s="40">
        <f>RawData!BX77</f>
        <v>4422.82080078125</v>
      </c>
      <c r="M79" s="40">
        <f>RawData!BW77</f>
        <v>33.5615234375</v>
      </c>
      <c r="N79" s="40">
        <f>RawData!BV77</f>
        <v>14067.5458984375</v>
      </c>
      <c r="O79" s="36">
        <f>RawData!BU77</f>
        <v>8.3564373198896646E-8</v>
      </c>
      <c r="P79" s="36">
        <f>RawData!BT77</f>
        <v>8.6308340542018414E-5</v>
      </c>
      <c r="Q79" s="36">
        <f>RawData!BS77</f>
        <v>5.1807728596031666E-7</v>
      </c>
      <c r="R79" s="36">
        <f>RawData!BR77</f>
        <v>3.9042875869199634E-4</v>
      </c>
      <c r="S79" s="37">
        <f>RawData!BQ77</f>
        <v>-4.3485215428518131E-11</v>
      </c>
      <c r="T79" s="37">
        <f>RawData!BP77</f>
        <v>-2.2113103170795512E-7</v>
      </c>
      <c r="U79" s="38">
        <f>RawData!BO77</f>
        <v>1.574397087097168E-3</v>
      </c>
      <c r="V79" s="38">
        <f>RawData!BN77</f>
        <v>0.98646450042724609</v>
      </c>
      <c r="W79" s="39">
        <f>RawData!BM77</f>
        <v>-8.7223052978515625E-3</v>
      </c>
      <c r="X79" s="39">
        <f>RawData!BL77</f>
        <v>-4.4624204635620117</v>
      </c>
      <c r="Y79" s="38">
        <f>RawData!BJ77</f>
        <v>-8.6278305388987064E-8</v>
      </c>
      <c r="Z79" s="38">
        <f>RawData!BI77</f>
        <v>1.2969068484380841E-4</v>
      </c>
      <c r="AA79" s="40">
        <f>RawData!BH77</f>
        <v>-2.6998519897460938E-3</v>
      </c>
      <c r="AB79" s="40">
        <f>RawData!BG77</f>
        <v>2.435107946395874</v>
      </c>
      <c r="AC79" s="40">
        <f>RawData!BF77</f>
        <v>7.904815673828125E-2</v>
      </c>
      <c r="AD79" s="40">
        <f>RawData!BE77</f>
        <v>-53.830593109130859</v>
      </c>
      <c r="AE79" s="40">
        <f>RawData!BD77</f>
        <v>8.4102153778076172E-5</v>
      </c>
      <c r="AF79" s="40">
        <f>RawData!BC77</f>
        <v>0.93955647945404053</v>
      </c>
      <c r="AG79" s="41">
        <f>RawData!BB77</f>
        <v>5050</v>
      </c>
      <c r="AH79" s="42">
        <f>RawData!DB77</f>
        <v>-8.3544303797468356E-2</v>
      </c>
      <c r="AI79" s="41">
        <f>RawData!BA77</f>
        <v>-825</v>
      </c>
      <c r="AJ79" s="43">
        <f>RawData!DA77</f>
        <v>9875</v>
      </c>
      <c r="AK79" s="41">
        <f>RawData!AZ77</f>
        <v>9050</v>
      </c>
      <c r="AL79" s="42">
        <f>RawData!DD77</f>
        <v>-4.0241306272125344E-4</v>
      </c>
      <c r="AM79" s="44">
        <f>RawData!DC77</f>
        <v>-1.8298625946044922E-2</v>
      </c>
      <c r="AN79" s="45">
        <f>RawData!BK77</f>
        <v>45.453947782516479</v>
      </c>
      <c r="AO79" s="44">
        <f>RawData!AY77</f>
        <v>45.453947782516479</v>
      </c>
      <c r="AP79" s="43" t="str">
        <f>RawData!DH77</f>
        <v>W</v>
      </c>
      <c r="AQ79" s="43">
        <f>RawData!DE77</f>
        <v>1420</v>
      </c>
      <c r="AR79" s="42">
        <f>RawData!CZ77</f>
        <v>0</v>
      </c>
      <c r="AS79" s="44">
        <f>RawData!AX77</f>
        <v>0</v>
      </c>
      <c r="AT79" s="43">
        <f>RawData!CY77</f>
        <v>1420</v>
      </c>
      <c r="AU79" s="44">
        <f>RawData!AW77</f>
        <v>1420</v>
      </c>
      <c r="AV79" s="46">
        <f>RawData!O77</f>
        <v>36900</v>
      </c>
      <c r="AW79" s="44">
        <f>RawData!AV77</f>
        <v>10.300000190734863</v>
      </c>
      <c r="AX79" s="44">
        <f>RawData!CW77</f>
        <v>10.300000190734863</v>
      </c>
      <c r="AY79" s="44">
        <f>RawData!AU77</f>
        <v>0.10000038146972656</v>
      </c>
      <c r="AZ79" s="42">
        <f>RawData!CX77</f>
        <v>9.8039591509493495E-3</v>
      </c>
      <c r="BA79" s="44">
        <f>RawData!DF77</f>
        <v>10.300000190734863</v>
      </c>
      <c r="BB79" s="43" t="str">
        <f>RawData!DI77</f>
        <v>G</v>
      </c>
      <c r="BC79" s="44">
        <f>RawData!AT77</f>
        <v>38.362935185432434</v>
      </c>
      <c r="BD79" s="45">
        <f>RawData!AP77</f>
        <v>38.362935185432434</v>
      </c>
      <c r="BE79" s="44">
        <f>RawData!CS77</f>
        <v>6.8354606628417969E-2</v>
      </c>
      <c r="BF79" s="42">
        <f>RawData!CT77</f>
        <v>1.784968149416216E-3</v>
      </c>
      <c r="BG79" s="41">
        <f>RawData!AS77</f>
        <v>680375</v>
      </c>
      <c r="BH79" s="41">
        <f>RawData!CU77</f>
        <v>657800</v>
      </c>
      <c r="BI79" s="41">
        <f>RawData!AR77</f>
        <v>22575</v>
      </c>
      <c r="BJ79" s="42">
        <f>RawData!CV77</f>
        <v>3.4318941927637577E-2</v>
      </c>
      <c r="BK79" s="41">
        <f>RawData!AQ77</f>
        <v>7243750</v>
      </c>
      <c r="BL79" s="40">
        <f>RawData!AO77</f>
        <v>-3.3362630754709244E-2</v>
      </c>
      <c r="BM79" s="40">
        <f>RawData!AN77</f>
        <v>-2.320706844329834E-4</v>
      </c>
      <c r="BN79" s="40">
        <f>RawData!AM77</f>
        <v>-10.300000190734863</v>
      </c>
      <c r="BO79" s="40">
        <f>RawData!AL77</f>
        <v>-0.10000038146972656</v>
      </c>
      <c r="BP79" s="40">
        <f>RawData!AK77</f>
        <v>1.5098128318786621</v>
      </c>
      <c r="BQ79" s="40">
        <f>RawData!AJ77</f>
        <v>8.625030517578125E-3</v>
      </c>
      <c r="BR79" s="38">
        <f>RawData!AI77</f>
        <v>9.5274292107205838E-5</v>
      </c>
      <c r="BS79" s="38">
        <f>RawData!AH77</f>
        <v>3.7903373595327139E-7</v>
      </c>
      <c r="BT79" s="40">
        <f>RawData!AG77</f>
        <v>-10.12602710723877</v>
      </c>
      <c r="BU79" s="39">
        <f>RawData!AF77</f>
        <v>9.4395637512207031E-2</v>
      </c>
      <c r="BV79" s="39">
        <f>RawData!AE77</f>
        <v>1.8892534971237183</v>
      </c>
      <c r="BW79" s="38">
        <f>RawData!AD77</f>
        <v>-1.4131903648376465E-2</v>
      </c>
      <c r="BX79" s="38">
        <f>RawData!AC77</f>
        <v>-2.265310854454583E-7</v>
      </c>
      <c r="BY79" s="37">
        <f>RawData!AB77</f>
        <v>-1.2543921457108809E-10</v>
      </c>
      <c r="BZ79" s="37">
        <f>RawData!AA77</f>
        <v>5.7728058891370893E-4</v>
      </c>
      <c r="CA79" s="36">
        <f>RawData!Z77</f>
        <v>-1.5796395018696785E-6</v>
      </c>
      <c r="CB79" s="36">
        <f>RawData!Y77</f>
        <v>1.077055640053004E-4</v>
      </c>
      <c r="CC79" s="36">
        <f>RawData!X77</f>
        <v>-9.7621523309499025E-8</v>
      </c>
      <c r="CD79" s="36">
        <f>RawData!W77</f>
        <v>37734.83984375</v>
      </c>
      <c r="CE79" s="40">
        <f>RawData!V77</f>
        <v>-417.625</v>
      </c>
      <c r="CF79" s="40">
        <f>RawData!U77</f>
        <v>9158.0771484375</v>
      </c>
      <c r="CG79" s="40">
        <f>RawData!T77</f>
        <v>-77.0888671875</v>
      </c>
      <c r="CH79" s="44">
        <f>RawData!S77</f>
        <v>17.600000381469727</v>
      </c>
      <c r="CI79" s="44">
        <f>RawData!R77</f>
        <v>20.049999237060547</v>
      </c>
      <c r="CJ79" s="44">
        <f>RawData!Q77</f>
        <v>7.6999998092651367</v>
      </c>
      <c r="CK79" s="44">
        <f>RawData!P77</f>
        <v>10.300000190734863</v>
      </c>
      <c r="CL79" s="44">
        <f>RawData!CJ77</f>
        <v>1550</v>
      </c>
      <c r="CM79" s="43">
        <f>RawData!CI77</f>
        <v>10.300000190734863</v>
      </c>
      <c r="CN79" s="44">
        <f>RawData!CL77</f>
        <v>125</v>
      </c>
      <c r="CO79" s="43">
        <f>RawData!CK77</f>
        <v>10.25</v>
      </c>
      <c r="CP79" s="44">
        <f>RawData!CM77</f>
        <v>13.390000343322754</v>
      </c>
      <c r="CQ79" s="47">
        <f>RawData!CO77</f>
        <v>44783.638194444444</v>
      </c>
      <c r="CR79" s="44">
        <f>RawData!CP77</f>
        <v>38295.69921875</v>
      </c>
      <c r="CS79" s="44">
        <f>RawData!DG77</f>
        <v>38295.69921875</v>
      </c>
      <c r="CT79" s="43" t="str">
        <f>RawData!DJ77</f>
        <v>G</v>
      </c>
      <c r="CU79" s="43" t="str">
        <f>RawData!CQ77</f>
        <v>FairPrice</v>
      </c>
      <c r="CV79" s="47">
        <f>RawData!CR77</f>
        <v>44783.638194444444</v>
      </c>
      <c r="CW79" s="65">
        <f>RawData!DK77</f>
        <v>38300</v>
      </c>
      <c r="CX79" s="65">
        <f>RawData!DL77</f>
        <v>3400000</v>
      </c>
      <c r="CY79" s="65">
        <f>RawData!DM77</f>
        <v>38500</v>
      </c>
      <c r="CZ79" s="65">
        <f>RawData!DN77</f>
        <v>0</v>
      </c>
      <c r="DA79" s="65">
        <f>RawData!DO77</f>
        <v>24500</v>
      </c>
      <c r="DB79" s="65">
        <f>RawData!DP77</f>
        <v>2863350</v>
      </c>
      <c r="DC79" s="65">
        <f>RawData!DQ77</f>
        <v>38000</v>
      </c>
      <c r="DD79" s="65">
        <f>RawData!DR77</f>
        <v>0</v>
      </c>
      <c r="DE79" s="65">
        <f>RawData!DS77</f>
        <v>24500</v>
      </c>
      <c r="DF79" s="65" t="str">
        <f>RawData!DT77</f>
        <v>BANKNIFTY</v>
      </c>
      <c r="DG79" s="66">
        <f>RawData!DU77</f>
        <v>44784</v>
      </c>
      <c r="DI79" s="21">
        <f t="shared" si="1"/>
        <v>1395.69921875</v>
      </c>
    </row>
    <row r="80" spans="1:113" x14ac:dyDescent="0.2">
      <c r="A80" s="59">
        <f>RawData!CN78</f>
        <v>44783.638194444444</v>
      </c>
      <c r="B80" s="44">
        <f>RawData!CH78</f>
        <v>1312.18994140625</v>
      </c>
      <c r="C80" s="44">
        <f>RawData!CG78</f>
        <v>25</v>
      </c>
      <c r="D80" s="43">
        <f>RawData!CF78</f>
        <v>1308.1500244140625</v>
      </c>
      <c r="E80" s="44">
        <f>RawData!CE78</f>
        <v>25</v>
      </c>
      <c r="F80" s="43">
        <f>RawData!CD78</f>
        <v>1310.949951171875</v>
      </c>
      <c r="G80" s="44">
        <f>RawData!CC78</f>
        <v>1308.550048828125</v>
      </c>
      <c r="H80" s="44">
        <f>RawData!CB78</f>
        <v>1179.5999755859375</v>
      </c>
      <c r="I80" s="44">
        <f>RawData!CA78</f>
        <v>1415.1500244140625</v>
      </c>
      <c r="J80" s="44">
        <f>RawData!BZ78</f>
        <v>1306.75</v>
      </c>
      <c r="K80" s="40">
        <f>RawData!BY78</f>
        <v>250.1865234375</v>
      </c>
      <c r="L80" s="40">
        <f>RawData!BX78</f>
        <v>7070.75634765625</v>
      </c>
      <c r="M80" s="40">
        <f>RawData!BW78</f>
        <v>1349.619140625</v>
      </c>
      <c r="N80" s="40">
        <f>RawData!BV78</f>
        <v>28958.91015625</v>
      </c>
      <c r="O80" s="36">
        <f>RawData!BU78</f>
        <v>9.171490091830492E-7</v>
      </c>
      <c r="P80" s="36">
        <f>RawData!BT78</f>
        <v>1.1139089474454522E-4</v>
      </c>
      <c r="Q80" s="36">
        <f>RawData!BS78</f>
        <v>9.5989089459180832E-6</v>
      </c>
      <c r="R80" s="36">
        <f>RawData!BR78</f>
        <v>6.0944282449781895E-4</v>
      </c>
      <c r="S80" s="37">
        <f>RawData!BQ78</f>
        <v>2.0338575268397108E-10</v>
      </c>
      <c r="T80" s="37">
        <f>RawData!BP78</f>
        <v>-2.6620855919645692E-7</v>
      </c>
      <c r="U80" s="38">
        <f>RawData!BO78</f>
        <v>4.7440528869628906E-2</v>
      </c>
      <c r="V80" s="38">
        <f>RawData!BN78</f>
        <v>1.500555157661438</v>
      </c>
      <c r="W80" s="39">
        <f>RawData!BM78</f>
        <v>-0.31981372833251953</v>
      </c>
      <c r="X80" s="39">
        <f>RawData!BL78</f>
        <v>-8.2098503112792969</v>
      </c>
      <c r="Y80" s="38">
        <f>RawData!BJ78</f>
        <v>-1.8968130461871624E-6</v>
      </c>
      <c r="Z80" s="38">
        <f>RawData!BI78</f>
        <v>1.1584133608266711E-4</v>
      </c>
      <c r="AA80" s="40">
        <f>RawData!BH78</f>
        <v>-4.3516039848327637E-2</v>
      </c>
      <c r="AB80" s="40">
        <f>RawData!BG78</f>
        <v>1.7985196113586426</v>
      </c>
      <c r="AC80" s="40">
        <f>RawData!BF78</f>
        <v>1.0524864196777344</v>
      </c>
      <c r="AD80" s="40">
        <f>RawData!BE78</f>
        <v>-32.8724365234375</v>
      </c>
      <c r="AE80" s="40">
        <f>RawData!BD78</f>
        <v>1.2382268905639648E-3</v>
      </c>
      <c r="AF80" s="40">
        <f>RawData!BC78</f>
        <v>0.9586719274520874</v>
      </c>
      <c r="AG80" s="41">
        <f>RawData!BB78</f>
        <v>168325</v>
      </c>
      <c r="AH80" s="42">
        <f>RawData!DB78</f>
        <v>-0.17967658215212617</v>
      </c>
      <c r="AI80" s="41">
        <f>RawData!BA78</f>
        <v>-22500</v>
      </c>
      <c r="AJ80" s="43">
        <f>RawData!DA78</f>
        <v>125225</v>
      </c>
      <c r="AK80" s="41">
        <f>RawData!AZ78</f>
        <v>102725</v>
      </c>
      <c r="AL80" s="42">
        <f>RawData!DD78</f>
        <v>-7.6220368691314391E-3</v>
      </c>
      <c r="AM80" s="44">
        <f>RawData!DC78</f>
        <v>-0.28866231441497803</v>
      </c>
      <c r="AN80" s="45">
        <f>RawData!BK78</f>
        <v>37.583407759666443</v>
      </c>
      <c r="AO80" s="44">
        <f>RawData!AY78</f>
        <v>37.583407759666443</v>
      </c>
      <c r="AP80" s="43" t="str">
        <f>RawData!DH78</f>
        <v>W</v>
      </c>
      <c r="AQ80" s="43">
        <f>RawData!DE78</f>
        <v>1308.550048828125</v>
      </c>
      <c r="AR80" s="42">
        <f>RawData!CZ78</f>
        <v>0</v>
      </c>
      <c r="AS80" s="44">
        <f>RawData!AX78</f>
        <v>0</v>
      </c>
      <c r="AT80" s="43">
        <f>RawData!CY78</f>
        <v>1308.550048828125</v>
      </c>
      <c r="AU80" s="44">
        <f>RawData!AW78</f>
        <v>1308.550048828125</v>
      </c>
      <c r="AV80" s="46">
        <f>RawData!O78</f>
        <v>37000</v>
      </c>
      <c r="AW80" s="44">
        <f>RawData!AV78</f>
        <v>12.350000381469727</v>
      </c>
      <c r="AX80" s="44">
        <f>RawData!CW78</f>
        <v>12.350000381469727</v>
      </c>
      <c r="AY80" s="44">
        <f>RawData!AU78</f>
        <v>0</v>
      </c>
      <c r="AZ80" s="42">
        <f>RawData!CX78</f>
        <v>0</v>
      </c>
      <c r="BA80" s="44">
        <f>RawData!DF78</f>
        <v>12.350000381469727</v>
      </c>
      <c r="BB80" s="43" t="str">
        <f>RawData!DI78</f>
        <v>W</v>
      </c>
      <c r="BC80" s="44">
        <f>RawData!AT78</f>
        <v>37.275752425193787</v>
      </c>
      <c r="BD80" s="45">
        <f>RawData!AP78</f>
        <v>37.275752425193787</v>
      </c>
      <c r="BE80" s="44">
        <f>RawData!CS78</f>
        <v>1.9490718841552734E-3</v>
      </c>
      <c r="BF80" s="42">
        <f>RawData!CT78</f>
        <v>5.2290662846516589E-5</v>
      </c>
      <c r="BG80" s="41">
        <f>RawData!AS78</f>
        <v>2419300</v>
      </c>
      <c r="BH80" s="41">
        <f>RawData!CU78</f>
        <v>1895550</v>
      </c>
      <c r="BI80" s="41">
        <f>RawData!AR78</f>
        <v>523750</v>
      </c>
      <c r="BJ80" s="42">
        <f>RawData!CV78</f>
        <v>0.27630503020231595</v>
      </c>
      <c r="BK80" s="41">
        <f>RawData!AQ78</f>
        <v>23525225</v>
      </c>
      <c r="BL80" s="40">
        <f>RawData!AO78</f>
        <v>-4.00814488530159E-2</v>
      </c>
      <c r="BM80" s="40">
        <f>RawData!AN78</f>
        <v>1.1213123798370361E-6</v>
      </c>
      <c r="BN80" s="40">
        <f>RawData!AM78</f>
        <v>-12.350000381469727</v>
      </c>
      <c r="BO80" s="40">
        <f>RawData!AL78</f>
        <v>0</v>
      </c>
      <c r="BP80" s="40">
        <f>RawData!AK78</f>
        <v>1.7543323040008545</v>
      </c>
      <c r="BQ80" s="40">
        <f>RawData!AJ78</f>
        <v>-7.5459480285644531E-5</v>
      </c>
      <c r="BR80" s="38">
        <f>RawData!AI78</f>
        <v>1.139324958785437E-4</v>
      </c>
      <c r="BS80" s="38">
        <f>RawData!AH78</f>
        <v>-6.2282197177410126E-9</v>
      </c>
      <c r="BT80" s="40">
        <f>RawData!AG78</f>
        <v>-8.5572938919067383</v>
      </c>
      <c r="BU80" s="39">
        <f>RawData!AF78</f>
        <v>1.9168853759765625E-4</v>
      </c>
      <c r="BV80" s="39">
        <f>RawData!AE78</f>
        <v>1.5513229370117188</v>
      </c>
      <c r="BW80" s="38">
        <f>RawData!AD78</f>
        <v>1.1336803436279297E-4</v>
      </c>
      <c r="BX80" s="38">
        <f>RawData!AC78</f>
        <v>-2.6610862846609962E-7</v>
      </c>
      <c r="BY80" s="37">
        <f>RawData!AB78</f>
        <v>2.1003643269068561E-11</v>
      </c>
      <c r="BZ80" s="37">
        <f>RawData!AA78</f>
        <v>6.1954202828928828E-4</v>
      </c>
      <c r="CA80" s="36">
        <f>RawData!Z78</f>
        <v>-5.2794348448514938E-8</v>
      </c>
      <c r="CB80" s="36">
        <f>RawData!Y78</f>
        <v>1.1231468670303002E-4</v>
      </c>
      <c r="CC80" s="36">
        <f>RawData!X78</f>
        <v>1.1641532182693481E-9</v>
      </c>
      <c r="CD80" s="36">
        <f>RawData!W78</f>
        <v>30431.916015625</v>
      </c>
      <c r="CE80" s="40">
        <f>RawData!V78</f>
        <v>-1.07421875</v>
      </c>
      <c r="CF80" s="40">
        <f>RawData!U78</f>
        <v>7339.474609375</v>
      </c>
      <c r="CG80" s="40">
        <f>RawData!T78</f>
        <v>0.41552734375</v>
      </c>
      <c r="CH80" s="44">
        <f>RawData!S78</f>
        <v>15.149999618530273</v>
      </c>
      <c r="CI80" s="44">
        <f>RawData!R78</f>
        <v>24.399999618530273</v>
      </c>
      <c r="CJ80" s="44">
        <f>RawData!Q78</f>
        <v>8.6000003814697266</v>
      </c>
      <c r="CK80" s="44">
        <f>RawData!P78</f>
        <v>12.350000381469727</v>
      </c>
      <c r="CL80" s="44">
        <f>RawData!CJ78</f>
        <v>8575</v>
      </c>
      <c r="CM80" s="43">
        <f>RawData!CI78</f>
        <v>12.399999618530273</v>
      </c>
      <c r="CN80" s="44">
        <f>RawData!CL78</f>
        <v>1575</v>
      </c>
      <c r="CO80" s="43">
        <f>RawData!CK78</f>
        <v>12.300000190734863</v>
      </c>
      <c r="CP80" s="44">
        <f>RawData!CM78</f>
        <v>15.109999656677246</v>
      </c>
      <c r="CQ80" s="47">
        <f>RawData!CO78</f>
        <v>44783.638194444444</v>
      </c>
      <c r="CR80" s="44">
        <f>RawData!CP78</f>
        <v>38295.69921875</v>
      </c>
      <c r="CS80" s="44">
        <f>RawData!DG78</f>
        <v>38295.69921875</v>
      </c>
      <c r="CT80" s="43" t="str">
        <f>RawData!DJ78</f>
        <v>G</v>
      </c>
      <c r="CU80" s="43" t="str">
        <f>RawData!CQ78</f>
        <v>FairPrice</v>
      </c>
      <c r="CV80" s="47">
        <f>RawData!CR78</f>
        <v>44783.638194444444</v>
      </c>
      <c r="CW80" s="65">
        <f>RawData!DK78</f>
        <v>38300</v>
      </c>
      <c r="CX80" s="65">
        <f>RawData!DL78</f>
        <v>3400000</v>
      </c>
      <c r="CY80" s="65">
        <f>RawData!DM78</f>
        <v>38500</v>
      </c>
      <c r="CZ80" s="65">
        <f>RawData!DN78</f>
        <v>0</v>
      </c>
      <c r="DA80" s="65">
        <f>RawData!DO78</f>
        <v>24500</v>
      </c>
      <c r="DB80" s="65">
        <f>RawData!DP78</f>
        <v>2863350</v>
      </c>
      <c r="DC80" s="65">
        <f>RawData!DQ78</f>
        <v>38000</v>
      </c>
      <c r="DD80" s="65">
        <f>RawData!DR78</f>
        <v>0</v>
      </c>
      <c r="DE80" s="65">
        <f>RawData!DS78</f>
        <v>24500</v>
      </c>
      <c r="DF80" s="65" t="str">
        <f>RawData!DT78</f>
        <v>BANKNIFTY</v>
      </c>
      <c r="DG80" s="66">
        <f>RawData!DU78</f>
        <v>44784</v>
      </c>
      <c r="DI80" s="21">
        <f t="shared" si="1"/>
        <v>1295.69921875</v>
      </c>
    </row>
    <row r="81" spans="1:113" x14ac:dyDescent="0.2">
      <c r="A81" s="59">
        <f>RawData!CN79</f>
        <v>44783.638194444444</v>
      </c>
      <c r="B81" s="44">
        <f>RawData!CH79</f>
        <v>1220.5</v>
      </c>
      <c r="C81" s="44">
        <f>RawData!CG79</f>
        <v>25</v>
      </c>
      <c r="D81" s="43">
        <f>RawData!CF79</f>
        <v>1207.75</v>
      </c>
      <c r="E81" s="44">
        <f>RawData!CE79</f>
        <v>25</v>
      </c>
      <c r="F81" s="43">
        <f>RawData!CD79</f>
        <v>1211.75</v>
      </c>
      <c r="G81" s="44">
        <f>RawData!CC79</f>
        <v>1230.4000244140625</v>
      </c>
      <c r="H81" s="44">
        <f>RawData!CB79</f>
        <v>1089.4000244140625</v>
      </c>
      <c r="I81" s="44">
        <f>RawData!CA79</f>
        <v>1320.300048828125</v>
      </c>
      <c r="J81" s="44">
        <f>RawData!BZ79</f>
        <v>1228</v>
      </c>
      <c r="K81" s="40">
        <f>RawData!BY79</f>
        <v>3.50390625</v>
      </c>
      <c r="L81" s="40">
        <f>RawData!BX79</f>
        <v>2910.4638671875</v>
      </c>
      <c r="M81" s="40">
        <f>RawData!BW79</f>
        <v>15.3955078125</v>
      </c>
      <c r="N81" s="40">
        <f>RawData!BV79</f>
        <v>8890.8974609375</v>
      </c>
      <c r="O81" s="36">
        <f>RawData!BU79</f>
        <v>9.4136339612305164E-8</v>
      </c>
      <c r="P81" s="36">
        <f>RawData!BT79</f>
        <v>7.2905218985397369E-5</v>
      </c>
      <c r="Q81" s="36">
        <f>RawData!BS79</f>
        <v>5.3338590078055859E-7</v>
      </c>
      <c r="R81" s="36">
        <f>RawData!BR79</f>
        <v>3.4229372977279127E-4</v>
      </c>
      <c r="S81" s="37">
        <f>RawData!BQ79</f>
        <v>-8.7965190687100403E-11</v>
      </c>
      <c r="T81" s="37">
        <f>RawData!BP79</f>
        <v>-2.7332339413987938E-7</v>
      </c>
      <c r="U81" s="38">
        <f>RawData!BO79</f>
        <v>7.5674057006835938E-4</v>
      </c>
      <c r="V81" s="38">
        <f>RawData!BN79</f>
        <v>0.67694127559661865</v>
      </c>
      <c r="W81" s="39">
        <f>RawData!BM79</f>
        <v>-4.4019222259521484E-3</v>
      </c>
      <c r="X81" s="39">
        <f>RawData!BL79</f>
        <v>-3.1782739162445068</v>
      </c>
      <c r="Y81" s="38">
        <f>RawData!BJ79</f>
        <v>-6.3446350395679474E-8</v>
      </c>
      <c r="Z81" s="38">
        <f>RawData!BI79</f>
        <v>1.7382329679094255E-4</v>
      </c>
      <c r="AA81" s="40">
        <f>RawData!BH79</f>
        <v>-2.2528171539306641E-3</v>
      </c>
      <c r="AB81" s="40">
        <f>RawData!BG79</f>
        <v>3.1446053981781006</v>
      </c>
      <c r="AC81" s="40">
        <f>RawData!BF79</f>
        <v>6.591033935546875E-2</v>
      </c>
      <c r="AD81" s="40">
        <f>RawData!BE79</f>
        <v>-66.977020263671875</v>
      </c>
      <c r="AE81" s="40">
        <f>RawData!BD79</f>
        <v>7.8320503234863281E-5</v>
      </c>
      <c r="AF81" s="40">
        <f>RawData!BC79</f>
        <v>0.91564655303955078</v>
      </c>
      <c r="AG81" s="41">
        <f>RawData!BB79</f>
        <v>24100</v>
      </c>
      <c r="AH81" s="42">
        <f>RawData!DB79</f>
        <v>-0.1191588785046729</v>
      </c>
      <c r="AI81" s="41">
        <f>RawData!BA79</f>
        <v>-1275</v>
      </c>
      <c r="AJ81" s="43">
        <f>RawData!DA79</f>
        <v>10700</v>
      </c>
      <c r="AK81" s="41">
        <f>RawData!AZ79</f>
        <v>9425</v>
      </c>
      <c r="AL81" s="42">
        <f>RawData!DD79</f>
        <v>-3.1055294274594247E-4</v>
      </c>
      <c r="AM81" s="44">
        <f>RawData!DC79</f>
        <v>-1.360476016998291E-2</v>
      </c>
      <c r="AN81" s="45">
        <f>RawData!BK79</f>
        <v>43.794578313827515</v>
      </c>
      <c r="AO81" s="44">
        <f>RawData!AY79</f>
        <v>43.794578313827515</v>
      </c>
      <c r="AP81" s="43" t="str">
        <f>RawData!DH79</f>
        <v>W</v>
      </c>
      <c r="AQ81" s="43">
        <f>RawData!DE79</f>
        <v>1230.4000244140625</v>
      </c>
      <c r="AR81" s="42">
        <f>RawData!CZ79</f>
        <v>0</v>
      </c>
      <c r="AS81" s="44">
        <f>RawData!AX79</f>
        <v>0</v>
      </c>
      <c r="AT81" s="43">
        <f>RawData!CY79</f>
        <v>1230.4000244140625</v>
      </c>
      <c r="AU81" s="44">
        <f>RawData!AW79</f>
        <v>1230.4000244140625</v>
      </c>
      <c r="AV81" s="46">
        <f>RawData!O79</f>
        <v>37100</v>
      </c>
      <c r="AW81" s="44">
        <f>RawData!AV79</f>
        <v>14.25</v>
      </c>
      <c r="AX81" s="44">
        <f>RawData!CW79</f>
        <v>14.25</v>
      </c>
      <c r="AY81" s="44">
        <f>RawData!AU79</f>
        <v>0</v>
      </c>
      <c r="AZ81" s="42">
        <f>RawData!CX79</f>
        <v>0</v>
      </c>
      <c r="BA81" s="44">
        <f>RawData!DF79</f>
        <v>14.25</v>
      </c>
      <c r="BB81" s="43" t="str">
        <f>RawData!DI79</f>
        <v>W</v>
      </c>
      <c r="BC81" s="44">
        <f>RawData!AT79</f>
        <v>35.872429609298706</v>
      </c>
      <c r="BD81" s="45">
        <f>RawData!AP79</f>
        <v>35.872429609298706</v>
      </c>
      <c r="BE81" s="44">
        <f>RawData!CS79</f>
        <v>1.952052116394043E-3</v>
      </c>
      <c r="BF81" s="42">
        <f>RawData!CT79</f>
        <v>5.4419462726199068E-5</v>
      </c>
      <c r="BG81" s="41">
        <f>RawData!AS79</f>
        <v>664475</v>
      </c>
      <c r="BH81" s="41">
        <f>RawData!CU79</f>
        <v>541700</v>
      </c>
      <c r="BI81" s="41">
        <f>RawData!AR79</f>
        <v>122775</v>
      </c>
      <c r="BJ81" s="42">
        <f>RawData!CV79</f>
        <v>0.22664759091748199</v>
      </c>
      <c r="BK81" s="41">
        <f>RawData!AQ79</f>
        <v>10816250</v>
      </c>
      <c r="BL81" s="40">
        <f>RawData!AO79</f>
        <v>-4.6915594488382339E-2</v>
      </c>
      <c r="BM81" s="40">
        <f>RawData!AN79</f>
        <v>1.3932585716247559E-6</v>
      </c>
      <c r="BN81" s="40">
        <f>RawData!AM79</f>
        <v>-14.25</v>
      </c>
      <c r="BO81" s="40">
        <f>RawData!AL79</f>
        <v>0</v>
      </c>
      <c r="BP81" s="40">
        <f>RawData!AK79</f>
        <v>1.9921032190322876</v>
      </c>
      <c r="BQ81" s="40">
        <f>RawData!AJ79</f>
        <v>-8.7857246398925781E-5</v>
      </c>
      <c r="BR81" s="38">
        <f>RawData!AI79</f>
        <v>1.3443597708828747E-4</v>
      </c>
      <c r="BS81" s="38">
        <f>RawData!AH79</f>
        <v>-7.7852746471762657E-9</v>
      </c>
      <c r="BT81" s="40">
        <f>RawData!AG79</f>
        <v>-7.498136043548584</v>
      </c>
      <c r="BU81" s="39">
        <f>RawData!AF79</f>
        <v>1.6832351684570313E-4</v>
      </c>
      <c r="BV81" s="39">
        <f>RawData!AE79</f>
        <v>1.3081376552581787</v>
      </c>
      <c r="BW81" s="38">
        <f>RawData!AD79</f>
        <v>9.8347663879394531E-5</v>
      </c>
      <c r="BX81" s="38">
        <f>RawData!AC79</f>
        <v>-3.1246031539922114E-7</v>
      </c>
      <c r="BY81" s="37">
        <f>RawData!AB79</f>
        <v>2.6034285838250071E-11</v>
      </c>
      <c r="BZ81" s="37">
        <f>RawData!AA79</f>
        <v>6.6538347164168954E-4</v>
      </c>
      <c r="CA81" s="36">
        <f>RawData!Z79</f>
        <v>-5.7450961321592331E-8</v>
      </c>
      <c r="CB81" s="36">
        <f>RawData!Y79</f>
        <v>1.1608393833739683E-4</v>
      </c>
      <c r="CC81" s="36">
        <f>RawData!X79</f>
        <v>1.3169483281672001E-9</v>
      </c>
      <c r="CD81" s="36">
        <f>RawData!W79</f>
        <v>25534.19140625</v>
      </c>
      <c r="CE81" s="40">
        <f>RawData!V79</f>
        <v>-0.876953125</v>
      </c>
      <c r="CF81" s="40">
        <f>RawData!U79</f>
        <v>6059.76904296875</v>
      </c>
      <c r="CG81" s="40">
        <f>RawData!T79</f>
        <v>0.357421875</v>
      </c>
      <c r="CH81" s="44">
        <f>RawData!S79</f>
        <v>15.550000190734863</v>
      </c>
      <c r="CI81" s="44">
        <f>RawData!R79</f>
        <v>29.25</v>
      </c>
      <c r="CJ81" s="44">
        <f>RawData!Q79</f>
        <v>9.6000003814697266</v>
      </c>
      <c r="CK81" s="44">
        <f>RawData!P79</f>
        <v>14.25</v>
      </c>
      <c r="CL81" s="44">
        <f>RawData!CJ79</f>
        <v>650</v>
      </c>
      <c r="CM81" s="43">
        <f>RawData!CI79</f>
        <v>14.300000190734863</v>
      </c>
      <c r="CN81" s="44">
        <f>RawData!CL79</f>
        <v>50</v>
      </c>
      <c r="CO81" s="43">
        <f>RawData!CK79</f>
        <v>14.199999809265137</v>
      </c>
      <c r="CP81" s="44">
        <f>RawData!CM79</f>
        <v>17.360000610351563</v>
      </c>
      <c r="CQ81" s="47">
        <f>RawData!CO79</f>
        <v>44783.638194444444</v>
      </c>
      <c r="CR81" s="44">
        <f>RawData!CP79</f>
        <v>38295.69921875</v>
      </c>
      <c r="CS81" s="44">
        <f>RawData!DG79</f>
        <v>38295.69921875</v>
      </c>
      <c r="CT81" s="43" t="str">
        <f>RawData!DJ79</f>
        <v>G</v>
      </c>
      <c r="CU81" s="43" t="str">
        <f>RawData!CQ79</f>
        <v>FairPrice</v>
      </c>
      <c r="CV81" s="47">
        <f>RawData!CR79</f>
        <v>44783.638194444444</v>
      </c>
      <c r="CW81" s="65">
        <f>RawData!DK79</f>
        <v>38300</v>
      </c>
      <c r="CX81" s="65">
        <f>RawData!DL79</f>
        <v>3400000</v>
      </c>
      <c r="CY81" s="65">
        <f>RawData!DM79</f>
        <v>38500</v>
      </c>
      <c r="CZ81" s="65">
        <f>RawData!DN79</f>
        <v>0</v>
      </c>
      <c r="DA81" s="65">
        <f>RawData!DO79</f>
        <v>24500</v>
      </c>
      <c r="DB81" s="65">
        <f>RawData!DP79</f>
        <v>2863350</v>
      </c>
      <c r="DC81" s="65">
        <f>RawData!DQ79</f>
        <v>38000</v>
      </c>
      <c r="DD81" s="65">
        <f>RawData!DR79</f>
        <v>0</v>
      </c>
      <c r="DE81" s="65">
        <f>RawData!DS79</f>
        <v>24500</v>
      </c>
      <c r="DF81" s="65" t="str">
        <f>RawData!DT79</f>
        <v>BANKNIFTY</v>
      </c>
      <c r="DG81" s="66">
        <f>RawData!DU79</f>
        <v>44784</v>
      </c>
      <c r="DI81" s="21">
        <f t="shared" si="1"/>
        <v>1195.69921875</v>
      </c>
    </row>
    <row r="82" spans="1:113" x14ac:dyDescent="0.2">
      <c r="A82" s="59">
        <f>RawData!CN80</f>
        <v>44783.638194444444</v>
      </c>
      <c r="B82" s="44">
        <f>RawData!CH80</f>
        <v>1134.3399658203125</v>
      </c>
      <c r="C82" s="44">
        <f>RawData!CG80</f>
        <v>25</v>
      </c>
      <c r="D82" s="43">
        <f>RawData!CF80</f>
        <v>1112.8499755859375</v>
      </c>
      <c r="E82" s="44">
        <f>RawData!CE80</f>
        <v>25</v>
      </c>
      <c r="F82" s="43">
        <f>RawData!CD80</f>
        <v>1115.3499755859375</v>
      </c>
      <c r="G82" s="44">
        <f>RawData!CC80</f>
        <v>1114</v>
      </c>
      <c r="H82" s="44">
        <f>RawData!CB80</f>
        <v>995.54998779296875</v>
      </c>
      <c r="I82" s="44">
        <f>RawData!CA80</f>
        <v>1220</v>
      </c>
      <c r="J82" s="44">
        <f>RawData!BZ80</f>
        <v>1132.550048828125</v>
      </c>
      <c r="K82" s="40">
        <f>RawData!BY80</f>
        <v>112.18359375</v>
      </c>
      <c r="L82" s="40">
        <f>RawData!BX80</f>
        <v>4549.060546875</v>
      </c>
      <c r="M82" s="40">
        <f>RawData!BW80</f>
        <v>642.03515625</v>
      </c>
      <c r="N82" s="40">
        <f>RawData!BV80</f>
        <v>18758.576171875</v>
      </c>
      <c r="O82" s="36">
        <f>RawData!BU80</f>
        <v>1.446853275410831E-6</v>
      </c>
      <c r="P82" s="36">
        <f>RawData!BT80</f>
        <v>1.1278530291747302E-4</v>
      </c>
      <c r="Q82" s="36">
        <f>RawData!BS80</f>
        <v>1.2325064744800329E-5</v>
      </c>
      <c r="R82" s="36">
        <f>RawData!BR80</f>
        <v>6.5814686240628362E-4</v>
      </c>
      <c r="S82" s="37">
        <f>RawData!BQ80</f>
        <v>-9.8825125860457774E-10</v>
      </c>
      <c r="T82" s="37">
        <f>RawData!BP80</f>
        <v>-3.6315975648903986E-7</v>
      </c>
      <c r="U82" s="38">
        <f>RawData!BO80</f>
        <v>2.2400140762329102E-2</v>
      </c>
      <c r="V82" s="38">
        <f>RawData!BN80</f>
        <v>1.0129084587097168</v>
      </c>
      <c r="W82" s="39">
        <f>RawData!BM80</f>
        <v>-0.16525077819824219</v>
      </c>
      <c r="X82" s="39">
        <f>RawData!BL80</f>
        <v>-5.9107217788696289</v>
      </c>
      <c r="Y82" s="38">
        <f>RawData!BJ80</f>
        <v>-1.5954574337229133E-6</v>
      </c>
      <c r="Z82" s="38">
        <f>RawData!BI80</f>
        <v>1.6460090409964323E-4</v>
      </c>
      <c r="AA82" s="40">
        <f>RawData!BH80</f>
        <v>-3.7908077239990234E-2</v>
      </c>
      <c r="AB82" s="40">
        <f>RawData!BG80</f>
        <v>2.3960549831390381</v>
      </c>
      <c r="AC82" s="40">
        <f>RawData!BF80</f>
        <v>0.9003448486328125</v>
      </c>
      <c r="AD82" s="40">
        <f>RawData!BE80</f>
        <v>-41.060714721679688</v>
      </c>
      <c r="AE82" s="40">
        <f>RawData!BD80</f>
        <v>1.1977553367614746E-3</v>
      </c>
      <c r="AF82" s="40">
        <f>RawData!BC80</f>
        <v>0.94079267978668213</v>
      </c>
      <c r="AG82" s="41">
        <f>RawData!BB80</f>
        <v>44750</v>
      </c>
      <c r="AH82" s="42">
        <f>RawData!DB80</f>
        <v>-0.12199630314232902</v>
      </c>
      <c r="AI82" s="41">
        <f>RawData!BA80</f>
        <v>-3300</v>
      </c>
      <c r="AJ82" s="43">
        <f>RawData!DA80</f>
        <v>27050</v>
      </c>
      <c r="AK82" s="41">
        <f>RawData!AZ80</f>
        <v>23750</v>
      </c>
      <c r="AL82" s="42">
        <f>RawData!DD80</f>
        <v>-6.0181874704613751E-3</v>
      </c>
      <c r="AM82" s="44">
        <f>RawData!DC80</f>
        <v>-0.21335184574127197</v>
      </c>
      <c r="AN82" s="45">
        <f>RawData!BK80</f>
        <v>35.237827897071838</v>
      </c>
      <c r="AO82" s="44">
        <f>RawData!AY80</f>
        <v>35.237827897071838</v>
      </c>
      <c r="AP82" s="43" t="str">
        <f>RawData!DH80</f>
        <v>W</v>
      </c>
      <c r="AQ82" s="43">
        <f>RawData!DE80</f>
        <v>1114</v>
      </c>
      <c r="AR82" s="42">
        <f>RawData!CZ80</f>
        <v>0</v>
      </c>
      <c r="AS82" s="44">
        <f>RawData!AX80</f>
        <v>0</v>
      </c>
      <c r="AT82" s="43">
        <f>RawData!CY80</f>
        <v>1114</v>
      </c>
      <c r="AU82" s="44">
        <f>RawData!AW80</f>
        <v>1114</v>
      </c>
      <c r="AV82" s="46">
        <f>RawData!O80</f>
        <v>37200</v>
      </c>
      <c r="AW82" s="44">
        <f>RawData!AV80</f>
        <v>17.299999237060547</v>
      </c>
      <c r="AX82" s="44">
        <f>RawData!CW80</f>
        <v>17.299999237060547</v>
      </c>
      <c r="AY82" s="44">
        <f>RawData!AU80</f>
        <v>0</v>
      </c>
      <c r="AZ82" s="42">
        <f>RawData!CX80</f>
        <v>0</v>
      </c>
      <c r="BA82" s="44">
        <f>RawData!DF80</f>
        <v>17.299999237060547</v>
      </c>
      <c r="BB82" s="43" t="str">
        <f>RawData!DI80</f>
        <v>W</v>
      </c>
      <c r="BC82" s="44">
        <f>RawData!AT80</f>
        <v>34.794813394546509</v>
      </c>
      <c r="BD82" s="45">
        <f>RawData!AP80</f>
        <v>34.794813394546509</v>
      </c>
      <c r="BE82" s="44">
        <f>RawData!CS80</f>
        <v>1.9788742065429688E-3</v>
      </c>
      <c r="BF82" s="42">
        <f>RawData!CT80</f>
        <v>5.6875912348737052E-5</v>
      </c>
      <c r="BG82" s="41">
        <f>RawData!AS80</f>
        <v>1065825</v>
      </c>
      <c r="BH82" s="41">
        <f>RawData!CU80</f>
        <v>960125</v>
      </c>
      <c r="BI82" s="41">
        <f>RawData!AR80</f>
        <v>105700</v>
      </c>
      <c r="BJ82" s="42">
        <f>RawData!CV80</f>
        <v>0.11008983205311808</v>
      </c>
      <c r="BK82" s="41">
        <f>RawData!AQ80</f>
        <v>14346925</v>
      </c>
      <c r="BL82" s="40">
        <f>RawData!AO80</f>
        <v>-5.691484734416008E-2</v>
      </c>
      <c r="BM82" s="40">
        <f>RawData!AN80</f>
        <v>1.7918646335601807E-6</v>
      </c>
      <c r="BN82" s="40">
        <f>RawData!AM80</f>
        <v>-17.299999237060547</v>
      </c>
      <c r="BO82" s="40">
        <f>RawData!AL80</f>
        <v>0</v>
      </c>
      <c r="BP82" s="40">
        <f>RawData!AK80</f>
        <v>2.3227956295013428</v>
      </c>
      <c r="BQ82" s="40">
        <f>RawData!AJ80</f>
        <v>-1.0466575622558594E-4</v>
      </c>
      <c r="BR82" s="38">
        <f>RawData!AI80</f>
        <v>1.6160644008778036E-4</v>
      </c>
      <c r="BS82" s="38">
        <f>RawData!AH80</f>
        <v>-9.9098542705178261E-9</v>
      </c>
      <c r="BT82" s="40">
        <f>RawData!AG80</f>
        <v>-6.2546305656433105</v>
      </c>
      <c r="BU82" s="39">
        <f>RawData!AF80</f>
        <v>1.4019012451171875E-4</v>
      </c>
      <c r="BV82" s="39">
        <f>RawData!AE80</f>
        <v>1.0584138631820679</v>
      </c>
      <c r="BW82" s="38">
        <f>RawData!AD80</f>
        <v>8.2254409790039063E-5</v>
      </c>
      <c r="BX82" s="38">
        <f>RawData!AC80</f>
        <v>-3.6555925930770172E-7</v>
      </c>
      <c r="BY82" s="37">
        <f>RawData!AB80</f>
        <v>3.2031266528065316E-11</v>
      </c>
      <c r="BZ82" s="37">
        <f>RawData!AA80</f>
        <v>6.8322819424793124E-4</v>
      </c>
      <c r="CA82" s="36">
        <f>RawData!Z80</f>
        <v>-5.8324076235294342E-8</v>
      </c>
      <c r="CB82" s="36">
        <f>RawData!Y80</f>
        <v>1.1561645078472793E-4</v>
      </c>
      <c r="CC82" s="36">
        <f>RawData!X80</f>
        <v>1.7025740817189217E-9</v>
      </c>
      <c r="CD82" s="36">
        <f>RawData!W80</f>
        <v>20100.669921875</v>
      </c>
      <c r="CE82" s="40">
        <f>RawData!V80</f>
        <v>-0.66015625</v>
      </c>
      <c r="CF82" s="40">
        <f>RawData!U80</f>
        <v>4777.984375</v>
      </c>
      <c r="CG82" s="40">
        <f>RawData!T80</f>
        <v>0.29443359375</v>
      </c>
      <c r="CH82" s="44">
        <f>RawData!S80</f>
        <v>15.050000190734863</v>
      </c>
      <c r="CI82" s="44">
        <f>RawData!R80</f>
        <v>34.799999237060547</v>
      </c>
      <c r="CJ82" s="44">
        <f>RawData!Q80</f>
        <v>11.050000190734863</v>
      </c>
      <c r="CK82" s="44">
        <f>RawData!P80</f>
        <v>17.299999237060547</v>
      </c>
      <c r="CL82" s="44">
        <f>RawData!CJ80</f>
        <v>7025</v>
      </c>
      <c r="CM82" s="43">
        <f>RawData!CI80</f>
        <v>17.350000381469727</v>
      </c>
      <c r="CN82" s="44">
        <f>RawData!CL80</f>
        <v>800</v>
      </c>
      <c r="CO82" s="43">
        <f>RawData!CK80</f>
        <v>17.25</v>
      </c>
      <c r="CP82" s="44">
        <f>RawData!CM80</f>
        <v>20.329999923706055</v>
      </c>
      <c r="CQ82" s="47">
        <f>RawData!CO80</f>
        <v>44783.638194444444</v>
      </c>
      <c r="CR82" s="44">
        <f>RawData!CP80</f>
        <v>38295.69921875</v>
      </c>
      <c r="CS82" s="44">
        <f>RawData!DG80</f>
        <v>38295.69921875</v>
      </c>
      <c r="CT82" s="43" t="str">
        <f>RawData!DJ80</f>
        <v>G</v>
      </c>
      <c r="CU82" s="43" t="str">
        <f>RawData!CQ80</f>
        <v>FairPrice</v>
      </c>
      <c r="CV82" s="47">
        <f>RawData!CR80</f>
        <v>44783.638194444444</v>
      </c>
      <c r="CW82" s="65">
        <f>RawData!DK80</f>
        <v>38300</v>
      </c>
      <c r="CX82" s="65">
        <f>RawData!DL80</f>
        <v>3400000</v>
      </c>
      <c r="CY82" s="65">
        <f>RawData!DM80</f>
        <v>38500</v>
      </c>
      <c r="CZ82" s="65">
        <f>RawData!DN80</f>
        <v>0</v>
      </c>
      <c r="DA82" s="65">
        <f>RawData!DO80</f>
        <v>24500</v>
      </c>
      <c r="DB82" s="65">
        <f>RawData!DP80</f>
        <v>2863350</v>
      </c>
      <c r="DC82" s="65">
        <f>RawData!DQ80</f>
        <v>38000</v>
      </c>
      <c r="DD82" s="65">
        <f>RawData!DR80</f>
        <v>0</v>
      </c>
      <c r="DE82" s="65">
        <f>RawData!DS80</f>
        <v>24500</v>
      </c>
      <c r="DF82" s="65" t="str">
        <f>RawData!DT80</f>
        <v>BANKNIFTY</v>
      </c>
      <c r="DG82" s="66">
        <f>RawData!DU80</f>
        <v>44784</v>
      </c>
      <c r="DI82" s="21">
        <f t="shared" si="1"/>
        <v>1095.69921875</v>
      </c>
    </row>
    <row r="83" spans="1:113" x14ac:dyDescent="0.2">
      <c r="A83" s="59">
        <f>RawData!CN81</f>
        <v>44783.638194444444</v>
      </c>
      <c r="B83" s="44">
        <f>RawData!CH81</f>
        <v>1039.949951171875</v>
      </c>
      <c r="C83" s="44">
        <f>RawData!CG81</f>
        <v>100</v>
      </c>
      <c r="D83" s="43">
        <f>RawData!CF81</f>
        <v>1016.5999755859375</v>
      </c>
      <c r="E83" s="44">
        <f>RawData!CE81</f>
        <v>100</v>
      </c>
      <c r="F83" s="43">
        <f>RawData!CD81</f>
        <v>1019.7999877929688</v>
      </c>
      <c r="G83" s="44">
        <f>RawData!CC81</f>
        <v>1019.8499755859375</v>
      </c>
      <c r="H83" s="44">
        <f>RawData!CB81</f>
        <v>900</v>
      </c>
      <c r="I83" s="44">
        <f>RawData!CA81</f>
        <v>1121.550048828125</v>
      </c>
      <c r="J83" s="44">
        <f>RawData!BZ81</f>
        <v>1018.4500122070313</v>
      </c>
      <c r="K83" s="40">
        <f>RawData!BY81</f>
        <v>5.822265625</v>
      </c>
      <c r="L83" s="40">
        <f>RawData!BX81</f>
        <v>3352.7568359375</v>
      </c>
      <c r="M83" s="40">
        <f>RawData!BW81</f>
        <v>32.7216796875</v>
      </c>
      <c r="N83" s="40">
        <f>RawData!BV81</f>
        <v>13280.2392578125</v>
      </c>
      <c r="O83" s="36">
        <f>RawData!BU81</f>
        <v>1.4840043149888515E-7</v>
      </c>
      <c r="P83" s="36">
        <f>RawData!BT81</f>
        <v>1.0124049003934488E-4</v>
      </c>
      <c r="Q83" s="36">
        <f>RawData!BS81</f>
        <v>1.1118827387690544E-6</v>
      </c>
      <c r="R83" s="36">
        <f>RawData!BR81</f>
        <v>5.9814495034515858E-4</v>
      </c>
      <c r="S83" s="37">
        <f>RawData!BQ81</f>
        <v>-1.5327827895816881E-10</v>
      </c>
      <c r="T83" s="37">
        <f>RawData!BP81</f>
        <v>-4.1374678971806134E-7</v>
      </c>
      <c r="U83" s="38">
        <f>RawData!BO81</f>
        <v>1.2251734733581543E-3</v>
      </c>
      <c r="V83" s="38">
        <f>RawData!BN81</f>
        <v>0.77041119337081909</v>
      </c>
      <c r="W83" s="39">
        <f>RawData!BM81</f>
        <v>-9.0279579162597656E-3</v>
      </c>
      <c r="X83" s="39">
        <f>RawData!BL81</f>
        <v>-4.5517125129699707</v>
      </c>
      <c r="Y83" s="38">
        <f>RawData!BJ81</f>
        <v>-1.1608062777668238E-7</v>
      </c>
      <c r="Z83" s="38">
        <f>RawData!BI81</f>
        <v>2.0127856987528503E-4</v>
      </c>
      <c r="AA83" s="40">
        <f>RawData!BH81</f>
        <v>-3.0519962310791016E-3</v>
      </c>
      <c r="AB83" s="40">
        <f>RawData!BG81</f>
        <v>2.8936352729797363</v>
      </c>
      <c r="AC83" s="40">
        <f>RawData!BF81</f>
        <v>7.0964813232421875E-2</v>
      </c>
      <c r="AD83" s="40">
        <f>RawData!BE81</f>
        <v>-48.976932525634766</v>
      </c>
      <c r="AE83" s="40">
        <f>RawData!BD81</f>
        <v>1.0257959365844727E-4</v>
      </c>
      <c r="AF83" s="40">
        <f>RawData!BC81</f>
        <v>0.92443186044692993</v>
      </c>
      <c r="AG83" s="41">
        <f>RawData!BB81</f>
        <v>114050</v>
      </c>
      <c r="AH83" s="42">
        <f>RawData!DB81</f>
        <v>-0.41705069124423966</v>
      </c>
      <c r="AI83" s="41">
        <f>RawData!BA81</f>
        <v>-18100</v>
      </c>
      <c r="AJ83" s="43">
        <f>RawData!DA81</f>
        <v>43400</v>
      </c>
      <c r="AK83" s="41">
        <f>RawData!AZ81</f>
        <v>25300</v>
      </c>
      <c r="AL83" s="42">
        <f>RawData!DD81</f>
        <v>-4.3696596852543974E-4</v>
      </c>
      <c r="AM83" s="44">
        <f>RawData!DC81</f>
        <v>-1.5214085578918457E-2</v>
      </c>
      <c r="AN83" s="45">
        <f>RawData!BK81</f>
        <v>34.802338480949402</v>
      </c>
      <c r="AO83" s="44">
        <f>RawData!AY81</f>
        <v>34.802338480949402</v>
      </c>
      <c r="AP83" s="43" t="str">
        <f>RawData!DH81</f>
        <v>W</v>
      </c>
      <c r="AQ83" s="43">
        <f>RawData!DE81</f>
        <v>1019.8499755859375</v>
      </c>
      <c r="AR83" s="42">
        <f>RawData!CZ81</f>
        <v>0</v>
      </c>
      <c r="AS83" s="44">
        <f>RawData!AX81</f>
        <v>0</v>
      </c>
      <c r="AT83" s="43">
        <f>RawData!CY81</f>
        <v>1019.8499755859375</v>
      </c>
      <c r="AU83" s="44">
        <f>RawData!AW81</f>
        <v>1019.8499755859375</v>
      </c>
      <c r="AV83" s="46">
        <f>RawData!O81</f>
        <v>37300</v>
      </c>
      <c r="AW83" s="44">
        <f>RawData!AV81</f>
        <v>21</v>
      </c>
      <c r="AX83" s="44">
        <f>RawData!CW81</f>
        <v>21</v>
      </c>
      <c r="AY83" s="44">
        <f>RawData!AU81</f>
        <v>-4.9999237060546875E-2</v>
      </c>
      <c r="AZ83" s="42">
        <f>RawData!CX81</f>
        <v>-2.3752607540487893E-3</v>
      </c>
      <c r="BA83" s="44">
        <f>RawData!DF81</f>
        <v>21</v>
      </c>
      <c r="BB83" s="43" t="str">
        <f>RawData!DI81</f>
        <v>R</v>
      </c>
      <c r="BC83" s="44">
        <f>RawData!AT81</f>
        <v>33.673754334449768</v>
      </c>
      <c r="BD83" s="45">
        <f>RawData!AP81</f>
        <v>33.673754334449768</v>
      </c>
      <c r="BE83" s="44">
        <f>RawData!CS81</f>
        <v>-1.6498565673828125E-2</v>
      </c>
      <c r="BF83" s="42">
        <f>RawData!CT81</f>
        <v>-4.8971332221040107E-4</v>
      </c>
      <c r="BG83" s="41">
        <f>RawData!AS81</f>
        <v>1162950</v>
      </c>
      <c r="BH83" s="41">
        <f>RawData!CU81</f>
        <v>697400</v>
      </c>
      <c r="BI83" s="41">
        <f>RawData!AR81</f>
        <v>465550</v>
      </c>
      <c r="BJ83" s="42">
        <f>RawData!CV81</f>
        <v>0.66755090335531975</v>
      </c>
      <c r="BK83" s="41">
        <f>RawData!AQ81</f>
        <v>14941925</v>
      </c>
      <c r="BL83" s="40">
        <f>RawData!AO81</f>
        <v>-6.9052256643772125E-2</v>
      </c>
      <c r="BM83" s="40">
        <f>RawData!AN81</f>
        <v>1.0929256677627563E-4</v>
      </c>
      <c r="BN83" s="40">
        <f>RawData!AM81</f>
        <v>-21</v>
      </c>
      <c r="BO83" s="40">
        <f>RawData!AL81</f>
        <v>4.9999237060546875E-2</v>
      </c>
      <c r="BP83" s="40">
        <f>RawData!AK81</f>
        <v>2.7004196643829346</v>
      </c>
      <c r="BQ83" s="40">
        <f>RawData!AJ81</f>
        <v>-3.3478736877441406E-3</v>
      </c>
      <c r="BR83" s="38">
        <f>RawData!AI81</f>
        <v>1.9413515110500157E-4</v>
      </c>
      <c r="BS83" s="38">
        <f>RawData!AH81</f>
        <v>-1.3760291039943695E-7</v>
      </c>
      <c r="BT83" s="40">
        <f>RawData!AG81</f>
        <v>-5.2114338874816895</v>
      </c>
      <c r="BU83" s="39">
        <f>RawData!AF81</f>
        <v>-1.1847496032714844E-2</v>
      </c>
      <c r="BV83" s="39">
        <f>RawData!AE81</f>
        <v>0.85346972942352295</v>
      </c>
      <c r="BW83" s="38">
        <f>RawData!AD81</f>
        <v>1.5599727630615234E-3</v>
      </c>
      <c r="BX83" s="38">
        <f>RawData!AC81</f>
        <v>-4.2570189862090047E-7</v>
      </c>
      <c r="BY83" s="37">
        <f>RawData!AB81</f>
        <v>-1.4614442989113741E-10</v>
      </c>
      <c r="BZ83" s="37">
        <f>RawData!AA81</f>
        <v>6.7593908170238137E-4</v>
      </c>
      <c r="CA83" s="36">
        <f>RawData!Z81</f>
        <v>1.2569362297654152E-6</v>
      </c>
      <c r="CB83" s="36">
        <f>RawData!Y81</f>
        <v>1.1069765605498105E-4</v>
      </c>
      <c r="CC83" s="36">
        <f>RawData!X81</f>
        <v>1.5649129636585712E-7</v>
      </c>
      <c r="CD83" s="36">
        <f>RawData!W81</f>
        <v>15706.62890625</v>
      </c>
      <c r="CE83" s="40">
        <f>RawData!V81</f>
        <v>44.076171875</v>
      </c>
      <c r="CF83" s="40">
        <f>RawData!U81</f>
        <v>3756.286865234375</v>
      </c>
      <c r="CG83" s="40">
        <f>RawData!T81</f>
        <v>7.541748046875</v>
      </c>
      <c r="CH83" s="44">
        <f>RawData!S81</f>
        <v>30.899999618530273</v>
      </c>
      <c r="CI83" s="44">
        <f>RawData!R81</f>
        <v>45.549999237060547</v>
      </c>
      <c r="CJ83" s="44">
        <f>RawData!Q81</f>
        <v>13.199999809265137</v>
      </c>
      <c r="CK83" s="44">
        <f>RawData!P81</f>
        <v>21</v>
      </c>
      <c r="CL83" s="44">
        <f>RawData!CJ81</f>
        <v>200</v>
      </c>
      <c r="CM83" s="43">
        <f>RawData!CI81</f>
        <v>21.049999237060547</v>
      </c>
      <c r="CN83" s="44">
        <f>RawData!CL81</f>
        <v>175</v>
      </c>
      <c r="CO83" s="43">
        <f>RawData!CK81</f>
        <v>21</v>
      </c>
      <c r="CP83" s="44">
        <f>RawData!CM81</f>
        <v>24.329999923706055</v>
      </c>
      <c r="CQ83" s="47">
        <f>RawData!CO81</f>
        <v>44783.638194444444</v>
      </c>
      <c r="CR83" s="44">
        <f>RawData!CP81</f>
        <v>38295.69921875</v>
      </c>
      <c r="CS83" s="44">
        <f>RawData!DG81</f>
        <v>38295.69921875</v>
      </c>
      <c r="CT83" s="43" t="str">
        <f>RawData!DJ81</f>
        <v>G</v>
      </c>
      <c r="CU83" s="43" t="str">
        <f>RawData!CQ81</f>
        <v>FairPrice</v>
      </c>
      <c r="CV83" s="47">
        <f>RawData!CR81</f>
        <v>44783.638194444444</v>
      </c>
      <c r="CW83" s="65">
        <f>RawData!DK81</f>
        <v>38300</v>
      </c>
      <c r="CX83" s="65">
        <f>RawData!DL81</f>
        <v>3400000</v>
      </c>
      <c r="CY83" s="65">
        <f>RawData!DM81</f>
        <v>38500</v>
      </c>
      <c r="CZ83" s="65">
        <f>RawData!DN81</f>
        <v>0</v>
      </c>
      <c r="DA83" s="65">
        <f>RawData!DO81</f>
        <v>24500</v>
      </c>
      <c r="DB83" s="65">
        <f>RawData!DP81</f>
        <v>2863350</v>
      </c>
      <c r="DC83" s="65">
        <f>RawData!DQ81</f>
        <v>38000</v>
      </c>
      <c r="DD83" s="65">
        <f>RawData!DR81</f>
        <v>0</v>
      </c>
      <c r="DE83" s="65">
        <f>RawData!DS81</f>
        <v>24500</v>
      </c>
      <c r="DF83" s="65" t="str">
        <f>RawData!DT81</f>
        <v>BANKNIFTY</v>
      </c>
      <c r="DG83" s="66">
        <f>RawData!DU81</f>
        <v>44784</v>
      </c>
      <c r="DI83" s="21">
        <f t="shared" si="1"/>
        <v>995.69921875</v>
      </c>
    </row>
    <row r="84" spans="1:113" x14ac:dyDescent="0.2">
      <c r="A84" s="59">
        <f>RawData!CN82</f>
        <v>44783.638194444444</v>
      </c>
      <c r="B84" s="44">
        <f>RawData!CH82</f>
        <v>927.9000244140625</v>
      </c>
      <c r="C84" s="44">
        <f>RawData!CG82</f>
        <v>25</v>
      </c>
      <c r="D84" s="43">
        <f>RawData!CF82</f>
        <v>921.3499755859375</v>
      </c>
      <c r="E84" s="44">
        <f>RawData!CE82</f>
        <v>25</v>
      </c>
      <c r="F84" s="43">
        <f>RawData!CD82</f>
        <v>923.9000244140625</v>
      </c>
      <c r="G84" s="44">
        <f>RawData!CC82</f>
        <v>923.54998779296875</v>
      </c>
      <c r="H84" s="44">
        <f>RawData!CB82</f>
        <v>808.4000244140625</v>
      </c>
      <c r="I84" s="44">
        <f>RawData!CA82</f>
        <v>1027.199951171875</v>
      </c>
      <c r="J84" s="44">
        <f>RawData!BZ82</f>
        <v>926.3499755859375</v>
      </c>
      <c r="K84" s="40">
        <f>RawData!BY82</f>
        <v>43.42529296875</v>
      </c>
      <c r="L84" s="40">
        <f>RawData!BX82</f>
        <v>2740.136474609375</v>
      </c>
      <c r="M84" s="40">
        <f>RawData!BW82</f>
        <v>260.33203125</v>
      </c>
      <c r="N84" s="40">
        <f>RawData!BV82</f>
        <v>10880.7666015625</v>
      </c>
      <c r="O84" s="36">
        <f>RawData!BU82</f>
        <v>1.7217607819475234E-6</v>
      </c>
      <c r="P84" s="36">
        <f>RawData!BT82</f>
        <v>9.1985653853043914E-5</v>
      </c>
      <c r="Q84" s="36">
        <f>RawData!BS82</f>
        <v>1.3157434295862913E-5</v>
      </c>
      <c r="R84" s="36">
        <f>RawData!BR82</f>
        <v>5.6857801973819733E-4</v>
      </c>
      <c r="S84" s="37">
        <f>RawData!BQ82</f>
        <v>-2.3241568669618573E-9</v>
      </c>
      <c r="T84" s="37">
        <f>RawData!BP82</f>
        <v>-4.8003471420088317E-7</v>
      </c>
      <c r="U84" s="38">
        <f>RawData!BO82</f>
        <v>9.2917084693908691E-3</v>
      </c>
      <c r="V84" s="38">
        <f>RawData!BN82</f>
        <v>0.64192003011703491</v>
      </c>
      <c r="W84" s="39">
        <f>RawData!BM82</f>
        <v>-7.5060367584228516E-2</v>
      </c>
      <c r="X84" s="39">
        <f>RawData!BL82</f>
        <v>-3.9678103923797607</v>
      </c>
      <c r="Y84" s="38">
        <f>RawData!BJ82</f>
        <v>-1.1220836313441396E-6</v>
      </c>
      <c r="Z84" s="38">
        <f>RawData!BI82</f>
        <v>2.3745576618239284E-4</v>
      </c>
      <c r="AA84" s="40">
        <f>RawData!BH82</f>
        <v>-3.0456304550170898E-2</v>
      </c>
      <c r="AB84" s="40">
        <f>RawData!BG82</f>
        <v>3.2632296085357666</v>
      </c>
      <c r="AC84" s="40">
        <f>RawData!BF82</f>
        <v>0.7340087890625</v>
      </c>
      <c r="AD84" s="40">
        <f>RawData!BE82</f>
        <v>-52.793163299560547</v>
      </c>
      <c r="AE84" s="40">
        <f>RawData!BD82</f>
        <v>1.1125802993774414E-3</v>
      </c>
      <c r="AF84" s="40">
        <f>RawData!BC82</f>
        <v>0.91136586666107178</v>
      </c>
      <c r="AG84" s="41">
        <f>RawData!BB82</f>
        <v>126925</v>
      </c>
      <c r="AH84" s="42">
        <f>RawData!DB82</f>
        <v>-0.15801886792452829</v>
      </c>
      <c r="AI84" s="41">
        <f>RawData!BA82</f>
        <v>-8375</v>
      </c>
      <c r="AJ84" s="43">
        <f>RawData!DA82</f>
        <v>53000</v>
      </c>
      <c r="AK84" s="41">
        <f>RawData!AZ82</f>
        <v>44625</v>
      </c>
      <c r="AL84" s="42">
        <f>RawData!DD82</f>
        <v>-4.5506856705882876E-3</v>
      </c>
      <c r="AM84" s="44">
        <f>RawData!DC82</f>
        <v>-0.15207827091217041</v>
      </c>
      <c r="AN84" s="45">
        <f>RawData!BK82</f>
        <v>33.266681432723999</v>
      </c>
      <c r="AO84" s="44">
        <f>RawData!AY82</f>
        <v>33.266681432723999</v>
      </c>
      <c r="AP84" s="43" t="str">
        <f>RawData!DH82</f>
        <v>W</v>
      </c>
      <c r="AQ84" s="43">
        <f>RawData!DE82</f>
        <v>923.54998779296875</v>
      </c>
      <c r="AR84" s="42">
        <f>RawData!CZ82</f>
        <v>0</v>
      </c>
      <c r="AS84" s="44">
        <f>RawData!AX82</f>
        <v>0</v>
      </c>
      <c r="AT84" s="43">
        <f>RawData!CY82</f>
        <v>923.54998779296875</v>
      </c>
      <c r="AU84" s="44">
        <f>RawData!AW82</f>
        <v>923.54998779296875</v>
      </c>
      <c r="AV84" s="46">
        <f>RawData!O82</f>
        <v>37400</v>
      </c>
      <c r="AW84" s="44">
        <f>RawData!AV82</f>
        <v>26.049999237060547</v>
      </c>
      <c r="AX84" s="44">
        <f>RawData!CW82</f>
        <v>26.049999237060547</v>
      </c>
      <c r="AY84" s="44">
        <f>RawData!AU82</f>
        <v>-0.10000038146972656</v>
      </c>
      <c r="AZ84" s="42">
        <f>RawData!CX82</f>
        <v>-3.8241064217402446E-3</v>
      </c>
      <c r="BA84" s="44">
        <f>RawData!DF82</f>
        <v>26.049999237060547</v>
      </c>
      <c r="BB84" s="43" t="str">
        <f>RawData!DI82</f>
        <v>R</v>
      </c>
      <c r="BC84" s="44">
        <f>RawData!AT82</f>
        <v>32.692790031433105</v>
      </c>
      <c r="BD84" s="45">
        <f>RawData!AP82</f>
        <v>32.692790031433105</v>
      </c>
      <c r="BE84" s="44">
        <f>RawData!CS82</f>
        <v>-2.9557943344116211E-2</v>
      </c>
      <c r="BF84" s="42">
        <f>RawData!CT82</f>
        <v>-9.0329530652567564E-4</v>
      </c>
      <c r="BG84" s="41">
        <f>RawData!AS82</f>
        <v>984650</v>
      </c>
      <c r="BH84" s="41">
        <f>RawData!CU82</f>
        <v>652225</v>
      </c>
      <c r="BI84" s="41">
        <f>RawData!AR82</f>
        <v>332425</v>
      </c>
      <c r="BJ84" s="42">
        <f>RawData!CV82</f>
        <v>0.50967840852466562</v>
      </c>
      <c r="BK84" s="41">
        <f>RawData!AQ82</f>
        <v>16274100</v>
      </c>
      <c r="BL84" s="40">
        <f>RawData!AO82</f>
        <v>-8.4923513233661652E-2</v>
      </c>
      <c r="BM84" s="40">
        <f>RawData!AN82</f>
        <v>2.0682811737060547E-4</v>
      </c>
      <c r="BN84" s="40">
        <f>RawData!AM82</f>
        <v>-26.049999237060547</v>
      </c>
      <c r="BO84" s="40">
        <f>RawData!AL82</f>
        <v>0.10000038146972656</v>
      </c>
      <c r="BP84" s="40">
        <f>RawData!AK82</f>
        <v>3.1605303287506104</v>
      </c>
      <c r="BQ84" s="40">
        <f>RawData!AJ82</f>
        <v>-5.8317184448242188E-3</v>
      </c>
      <c r="BR84" s="38">
        <f>RawData!AI82</f>
        <v>2.3402927035931498E-4</v>
      </c>
      <c r="BS84" s="38">
        <f>RawData!AH82</f>
        <v>-2.1050800569355488E-7</v>
      </c>
      <c r="BT84" s="40">
        <f>RawData!AG82</f>
        <v>-4.243037223815918</v>
      </c>
      <c r="BU84" s="39">
        <f>RawData!AF82</f>
        <v>-1.5753269195556641E-2</v>
      </c>
      <c r="BV84" s="39">
        <f>RawData!AE82</f>
        <v>0.67463392019271851</v>
      </c>
      <c r="BW84" s="38">
        <f>RawData!AD82</f>
        <v>1.9261837005615234E-3</v>
      </c>
      <c r="BX84" s="38">
        <f>RawData!AC82</f>
        <v>-4.8958554543787614E-7</v>
      </c>
      <c r="BY84" s="37">
        <f>RawData!AB82</f>
        <v>-4.7458570406888612E-10</v>
      </c>
      <c r="BZ84" s="37">
        <f>RawData!AA82</f>
        <v>6.1596592422574759E-4</v>
      </c>
      <c r="CA84" s="36">
        <f>RawData!Z82</f>
        <v>2.6123016141355038E-6</v>
      </c>
      <c r="CB84" s="36">
        <f>RawData!Y82</f>
        <v>9.7937278042081743E-5</v>
      </c>
      <c r="CC84" s="36">
        <f>RawData!X82</f>
        <v>3.3140531741082668E-7</v>
      </c>
      <c r="CD84" s="36">
        <f>RawData!W82</f>
        <v>11837.7724609375</v>
      </c>
      <c r="CE84" s="40">
        <f>RawData!V82</f>
        <v>55.12890625</v>
      </c>
      <c r="CF84" s="40">
        <f>RawData!U82</f>
        <v>2893.846923828125</v>
      </c>
      <c r="CG84" s="40">
        <f>RawData!T82</f>
        <v>9.018310546875</v>
      </c>
      <c r="CH84" s="44">
        <f>RawData!S82</f>
        <v>22</v>
      </c>
      <c r="CI84" s="44">
        <f>RawData!R82</f>
        <v>52.150001525878906</v>
      </c>
      <c r="CJ84" s="44">
        <f>RawData!Q82</f>
        <v>16.049999237060547</v>
      </c>
      <c r="CK84" s="44">
        <f>RawData!P82</f>
        <v>26.049999237060547</v>
      </c>
      <c r="CL84" s="44">
        <f>RawData!CJ82</f>
        <v>150</v>
      </c>
      <c r="CM84" s="43">
        <f>RawData!CI82</f>
        <v>26.200000762939453</v>
      </c>
      <c r="CN84" s="44">
        <f>RawData!CL82</f>
        <v>50</v>
      </c>
      <c r="CO84" s="43">
        <f>RawData!CK82</f>
        <v>26.100000381469727</v>
      </c>
      <c r="CP84" s="44">
        <f>RawData!CM82</f>
        <v>29.739999771118164</v>
      </c>
      <c r="CQ84" s="47">
        <f>RawData!CO82</f>
        <v>44783.638194444444</v>
      </c>
      <c r="CR84" s="44">
        <f>RawData!CP82</f>
        <v>38295.69921875</v>
      </c>
      <c r="CS84" s="44">
        <f>RawData!DG82</f>
        <v>38295.69921875</v>
      </c>
      <c r="CT84" s="43" t="str">
        <f>RawData!DJ82</f>
        <v>G</v>
      </c>
      <c r="CU84" s="43" t="str">
        <f>RawData!CQ82</f>
        <v>FairPrice</v>
      </c>
      <c r="CV84" s="47">
        <f>RawData!CR82</f>
        <v>44783.638194444444</v>
      </c>
      <c r="CW84" s="65">
        <f>RawData!DK82</f>
        <v>38300</v>
      </c>
      <c r="CX84" s="65">
        <f>RawData!DL82</f>
        <v>3400000</v>
      </c>
      <c r="CY84" s="65">
        <f>RawData!DM82</f>
        <v>38500</v>
      </c>
      <c r="CZ84" s="65">
        <f>RawData!DN82</f>
        <v>0</v>
      </c>
      <c r="DA84" s="65">
        <f>RawData!DO82</f>
        <v>24500</v>
      </c>
      <c r="DB84" s="65">
        <f>RawData!DP82</f>
        <v>2863350</v>
      </c>
      <c r="DC84" s="65">
        <f>RawData!DQ82</f>
        <v>38000</v>
      </c>
      <c r="DD84" s="65">
        <f>RawData!DR82</f>
        <v>0</v>
      </c>
      <c r="DE84" s="65">
        <f>RawData!DS82</f>
        <v>24500</v>
      </c>
      <c r="DF84" s="65" t="str">
        <f>RawData!DT82</f>
        <v>BANKNIFTY</v>
      </c>
      <c r="DG84" s="66">
        <f>RawData!DU82</f>
        <v>44784</v>
      </c>
      <c r="DI84" s="21">
        <f t="shared" si="1"/>
        <v>895.69921875</v>
      </c>
    </row>
    <row r="85" spans="1:113" x14ac:dyDescent="0.2">
      <c r="A85" s="59">
        <f>RawData!CN83</f>
        <v>44783.638194444444</v>
      </c>
      <c r="B85" s="44">
        <f>RawData!CH83</f>
        <v>827.69000244140625</v>
      </c>
      <c r="C85" s="44">
        <f>RawData!CG83</f>
        <v>1000</v>
      </c>
      <c r="D85" s="43">
        <f>RawData!CF83</f>
        <v>830</v>
      </c>
      <c r="E85" s="44">
        <f>RawData!CE83</f>
        <v>25</v>
      </c>
      <c r="F85" s="43">
        <f>RawData!CD83</f>
        <v>831.29998779296875</v>
      </c>
      <c r="G85" s="44">
        <f>RawData!CC83</f>
        <v>830</v>
      </c>
      <c r="H85" s="44">
        <f>RawData!CB83</f>
        <v>717.8499755859375</v>
      </c>
      <c r="I85" s="44">
        <f>RawData!CA83</f>
        <v>935</v>
      </c>
      <c r="J85" s="44">
        <f>RawData!BZ83</f>
        <v>796.1500244140625</v>
      </c>
      <c r="K85" s="40">
        <f>RawData!BY83</f>
        <v>2.517578125</v>
      </c>
      <c r="L85" s="40">
        <f>RawData!BX83</f>
        <v>2124.8388671875</v>
      </c>
      <c r="M85" s="40">
        <f>RawData!BW83</f>
        <v>14.90478515625</v>
      </c>
      <c r="N85" s="40">
        <f>RawData!BV83</f>
        <v>8155.3681640625</v>
      </c>
      <c r="O85" s="36">
        <f>RawData!BU83</f>
        <v>1.6165722627192736E-7</v>
      </c>
      <c r="P85" s="36">
        <f>RawData!BT83</f>
        <v>7.0103007601574063E-5</v>
      </c>
      <c r="Q85" s="36">
        <f>RawData!BS83</f>
        <v>1.1665397323668003E-6</v>
      </c>
      <c r="R85" s="36">
        <f>RawData!BR83</f>
        <v>4.4746242929250002E-4</v>
      </c>
      <c r="S85" s="37">
        <f>RawData!BQ83</f>
        <v>-2.6932411856250837E-10</v>
      </c>
      <c r="T85" s="37">
        <f>RawData!BP83</f>
        <v>-5.4314136832545046E-7</v>
      </c>
      <c r="U85" s="38">
        <f>RawData!BO83</f>
        <v>5.7131052017211914E-4</v>
      </c>
      <c r="V85" s="38">
        <f>RawData!BN83</f>
        <v>0.50833642482757568</v>
      </c>
      <c r="W85" s="39">
        <f>RawData!BM83</f>
        <v>-4.6248435974121094E-3</v>
      </c>
      <c r="X85" s="39">
        <f>RawData!BL83</f>
        <v>-3.2446746826171875</v>
      </c>
      <c r="Y85" s="38">
        <f>RawData!BJ83</f>
        <v>-7.9948222264647484E-8</v>
      </c>
      <c r="Z85" s="38">
        <f>RawData!BI83</f>
        <v>2.8363260207697749E-4</v>
      </c>
      <c r="AA85" s="40">
        <f>RawData!BH83</f>
        <v>-2.5196075439453125E-3</v>
      </c>
      <c r="AB85" s="40">
        <f>RawData!BG83</f>
        <v>3.7742855548858643</v>
      </c>
      <c r="AC85" s="40">
        <f>RawData!BF83</f>
        <v>5.7331085205078125E-2</v>
      </c>
      <c r="AD85" s="40">
        <f>RawData!BE83</f>
        <v>-59.130947113037109</v>
      </c>
      <c r="AE85" s="40">
        <f>RawData!BD83</f>
        <v>9.7215175628662109E-5</v>
      </c>
      <c r="AF85" s="40">
        <f>RawData!BC83</f>
        <v>0.89189499616622925</v>
      </c>
      <c r="AG85" s="41">
        <f>RawData!BB83</f>
        <v>1225425</v>
      </c>
      <c r="AH85" s="42">
        <f>RawData!DB83</f>
        <v>-9.0042638575369954E-2</v>
      </c>
      <c r="AI85" s="41">
        <f>RawData!BA83</f>
        <v>-17950</v>
      </c>
      <c r="AJ85" s="43">
        <f>RawData!DA83</f>
        <v>199350</v>
      </c>
      <c r="AK85" s="41">
        <f>RawData!AZ83</f>
        <v>181400</v>
      </c>
      <c r="AL85" s="42">
        <f>RawData!DD83</f>
        <v>-3.4486722611794458E-4</v>
      </c>
      <c r="AM85" s="44">
        <f>RawData!DC83</f>
        <v>-1.1113286018371582E-2</v>
      </c>
      <c r="AN85" s="45">
        <f>RawData!BK83</f>
        <v>32.213711738586426</v>
      </c>
      <c r="AO85" s="44">
        <f>RawData!AY83</f>
        <v>32.213711738586426</v>
      </c>
      <c r="AP85" s="43" t="str">
        <f>RawData!DH83</f>
        <v>W</v>
      </c>
      <c r="AQ85" s="43">
        <f>RawData!DE83</f>
        <v>830</v>
      </c>
      <c r="AR85" s="42">
        <f>RawData!CZ83</f>
        <v>0</v>
      </c>
      <c r="AS85" s="44">
        <f>RawData!AX83</f>
        <v>0</v>
      </c>
      <c r="AT85" s="43">
        <f>RawData!CY83</f>
        <v>830</v>
      </c>
      <c r="AU85" s="44">
        <f>RawData!AW83</f>
        <v>830</v>
      </c>
      <c r="AV85" s="46">
        <f>RawData!O83</f>
        <v>37500</v>
      </c>
      <c r="AW85" s="44">
        <f>RawData!AV83</f>
        <v>33</v>
      </c>
      <c r="AX85" s="44">
        <f>RawData!CW83</f>
        <v>33</v>
      </c>
      <c r="AY85" s="44">
        <f>RawData!AU83</f>
        <v>-0.15000152587890625</v>
      </c>
      <c r="AZ85" s="42">
        <f>RawData!CX83</f>
        <v>-4.524932699077131E-3</v>
      </c>
      <c r="BA85" s="44">
        <f>RawData!DF83</f>
        <v>33</v>
      </c>
      <c r="BB85" s="43" t="str">
        <f>RawData!DI83</f>
        <v>R</v>
      </c>
      <c r="BC85" s="44">
        <f>RawData!AT83</f>
        <v>31.863591074943542</v>
      </c>
      <c r="BD85" s="45">
        <f>RawData!AP83</f>
        <v>31.863591074943542</v>
      </c>
      <c r="BE85" s="44">
        <f>RawData!CS83</f>
        <v>-3.8248300552368164E-2</v>
      </c>
      <c r="BF85" s="42">
        <f>RawData!CT83</f>
        <v>-1.198937155383806E-3</v>
      </c>
      <c r="BG85" s="41">
        <f>RawData!AS83</f>
        <v>2355500</v>
      </c>
      <c r="BH85" s="41">
        <f>RawData!CU83</f>
        <v>1945600</v>
      </c>
      <c r="BI85" s="41">
        <f>RawData!AR83</f>
        <v>409900</v>
      </c>
      <c r="BJ85" s="42">
        <f>RawData!CV83</f>
        <v>0.21068050986842105</v>
      </c>
      <c r="BK85" s="41">
        <f>RawData!AQ83</f>
        <v>36216525</v>
      </c>
      <c r="BL85" s="40">
        <f>RawData!AO83</f>
        <v>-0.10566502809524536</v>
      </c>
      <c r="BM85" s="40">
        <f>RawData!AN83</f>
        <v>2.8927624225616455E-4</v>
      </c>
      <c r="BN85" s="40">
        <f>RawData!AM83</f>
        <v>-33</v>
      </c>
      <c r="BO85" s="40">
        <f>RawData!AL83</f>
        <v>0.15000152587890625</v>
      </c>
      <c r="BP85" s="40">
        <f>RawData!AK83</f>
        <v>3.7126209735870361</v>
      </c>
      <c r="BQ85" s="40">
        <f>RawData!AJ83</f>
        <v>-7.4198246002197266E-3</v>
      </c>
      <c r="BR85" s="38">
        <f>RawData!AI83</f>
        <v>2.8206573915667832E-4</v>
      </c>
      <c r="BS85" s="38">
        <f>RawData!AH83</f>
        <v>-2.1338928490877151E-7</v>
      </c>
      <c r="BT85" s="40">
        <f>RawData!AG83</f>
        <v>-3.371535062789917</v>
      </c>
      <c r="BU85" s="39">
        <f>RawData!AF83</f>
        <v>-1.5059471130371094E-2</v>
      </c>
      <c r="BV85" s="39">
        <f>RawData!AE83</f>
        <v>0.52247041463851929</v>
      </c>
      <c r="BW85" s="38">
        <f>RawData!AD83</f>
        <v>1.7317533493041992E-3</v>
      </c>
      <c r="BX85" s="38">
        <f>RawData!AC83</f>
        <v>-5.5176639079945744E-7</v>
      </c>
      <c r="BY85" s="37">
        <f>RawData!AB83</f>
        <v>-9.3558583103003912E-10</v>
      </c>
      <c r="BZ85" s="37">
        <f>RawData!AA83</f>
        <v>4.7904535313136876E-4</v>
      </c>
      <c r="CA85" s="36">
        <f>RawData!Z83</f>
        <v>3.7087884265929461E-6</v>
      </c>
      <c r="CB85" s="36">
        <f>RawData!Y83</f>
        <v>7.4235336796846241E-5</v>
      </c>
      <c r="CC85" s="36">
        <f>RawData!X83</f>
        <v>4.8949732445180416E-7</v>
      </c>
      <c r="CD85" s="36">
        <f>RawData!W83</f>
        <v>8564.9814453125</v>
      </c>
      <c r="CE85" s="40">
        <f>RawData!V83</f>
        <v>48.8759765625</v>
      </c>
      <c r="CF85" s="40">
        <f>RawData!U83</f>
        <v>2188.494384765625</v>
      </c>
      <c r="CG85" s="40">
        <f>RawData!T83</f>
        <v>7.76708984375</v>
      </c>
      <c r="CH85" s="44">
        <f>RawData!S83</f>
        <v>54.950000762939453</v>
      </c>
      <c r="CI85" s="44">
        <f>RawData!R83</f>
        <v>64.550003051757813</v>
      </c>
      <c r="CJ85" s="44">
        <f>RawData!Q83</f>
        <v>20.399999618530273</v>
      </c>
      <c r="CK85" s="44">
        <f>RawData!P83</f>
        <v>33</v>
      </c>
      <c r="CL85" s="44">
        <f>RawData!CJ83</f>
        <v>25</v>
      </c>
      <c r="CM85" s="43">
        <f>RawData!CI83</f>
        <v>33.049999237060547</v>
      </c>
      <c r="CN85" s="44">
        <f>RawData!CL83</f>
        <v>375</v>
      </c>
      <c r="CO85" s="43">
        <f>RawData!CK83</f>
        <v>33</v>
      </c>
      <c r="CP85" s="44">
        <f>RawData!CM83</f>
        <v>37.180000305175781</v>
      </c>
      <c r="CQ85" s="47">
        <f>RawData!CO83</f>
        <v>44783.638194444444</v>
      </c>
      <c r="CR85" s="44">
        <f>RawData!CP83</f>
        <v>38295.69921875</v>
      </c>
      <c r="CS85" s="44">
        <f>RawData!DG83</f>
        <v>38295.69921875</v>
      </c>
      <c r="CT85" s="43" t="str">
        <f>RawData!DJ83</f>
        <v>G</v>
      </c>
      <c r="CU85" s="43" t="str">
        <f>RawData!CQ83</f>
        <v>FairPrice</v>
      </c>
      <c r="CV85" s="47">
        <f>RawData!CR83</f>
        <v>44783.638194444444</v>
      </c>
      <c r="CW85" s="65">
        <f>RawData!DK83</f>
        <v>38300</v>
      </c>
      <c r="CX85" s="65">
        <f>RawData!DL83</f>
        <v>3400000</v>
      </c>
      <c r="CY85" s="65">
        <f>RawData!DM83</f>
        <v>38500</v>
      </c>
      <c r="CZ85" s="65">
        <f>RawData!DN83</f>
        <v>0</v>
      </c>
      <c r="DA85" s="65">
        <f>RawData!DO83</f>
        <v>24500</v>
      </c>
      <c r="DB85" s="65">
        <f>RawData!DP83</f>
        <v>2863350</v>
      </c>
      <c r="DC85" s="65">
        <f>RawData!DQ83</f>
        <v>38000</v>
      </c>
      <c r="DD85" s="65">
        <f>RawData!DR83</f>
        <v>0</v>
      </c>
      <c r="DE85" s="65">
        <f>RawData!DS83</f>
        <v>24500</v>
      </c>
      <c r="DF85" s="65" t="str">
        <f>RawData!DT83</f>
        <v>BANKNIFTY</v>
      </c>
      <c r="DG85" s="66">
        <f>RawData!DU83</f>
        <v>44784</v>
      </c>
      <c r="DI85" s="21">
        <f t="shared" si="1"/>
        <v>795.69921875</v>
      </c>
    </row>
    <row r="86" spans="1:113" x14ac:dyDescent="0.2">
      <c r="A86" s="59">
        <f>RawData!CN84</f>
        <v>44783.638194444444</v>
      </c>
      <c r="B86" s="44">
        <f>RawData!CH84</f>
        <v>743.44000244140625</v>
      </c>
      <c r="C86" s="44">
        <f>RawData!CG84</f>
        <v>500</v>
      </c>
      <c r="D86" s="43">
        <f>RawData!CF84</f>
        <v>736.9000244140625</v>
      </c>
      <c r="E86" s="44">
        <f>RawData!CE84</f>
        <v>25</v>
      </c>
      <c r="F86" s="43">
        <f>RawData!CD84</f>
        <v>738.70001220703125</v>
      </c>
      <c r="G86" s="44">
        <f>RawData!CC84</f>
        <v>741</v>
      </c>
      <c r="H86" s="44">
        <f>RawData!CB84</f>
        <v>632.79998779296875</v>
      </c>
      <c r="I86" s="44">
        <f>RawData!CA84</f>
        <v>841.20001220703125</v>
      </c>
      <c r="J86" s="44">
        <f>RawData!BZ84</f>
        <v>751.70001220703125</v>
      </c>
      <c r="K86" s="40">
        <f>RawData!BY84</f>
        <v>14.4312744140625</v>
      </c>
      <c r="L86" s="40">
        <f>RawData!BX84</f>
        <v>1560.0157470703125</v>
      </c>
      <c r="M86" s="40">
        <f>RawData!BW84</f>
        <v>88.255859375</v>
      </c>
      <c r="N86" s="40">
        <f>RawData!BV84</f>
        <v>5445.4716796875</v>
      </c>
      <c r="O86" s="36">
        <f>RawData!BU84</f>
        <v>1.5481091395486146E-6</v>
      </c>
      <c r="P86" s="36">
        <f>RawData!BT84</f>
        <v>2.9119728424120694E-5</v>
      </c>
      <c r="Q86" s="36">
        <f>RawData!BS84</f>
        <v>1.0576535714790225E-5</v>
      </c>
      <c r="R86" s="36">
        <f>RawData!BR84</f>
        <v>1.88039819477126E-4</v>
      </c>
      <c r="S86" s="37">
        <f>RawData!BQ84</f>
        <v>-3.3289779821643606E-9</v>
      </c>
      <c r="T86" s="37">
        <f>RawData!BP84</f>
        <v>-5.8166790495306486E-7</v>
      </c>
      <c r="U86" s="38">
        <f>RawData!BO84</f>
        <v>3.4133493900299072E-3</v>
      </c>
      <c r="V86" s="38">
        <f>RawData!BN84</f>
        <v>0.37953716516494751</v>
      </c>
      <c r="W86" s="39">
        <f>RawData!BM84</f>
        <v>-2.9949188232421875E-2</v>
      </c>
      <c r="X86" s="39">
        <f>RawData!BL84</f>
        <v>-2.4508504867553711</v>
      </c>
      <c r="Y86" s="38">
        <f>RawData!BJ84</f>
        <v>-5.1286770030856133E-7</v>
      </c>
      <c r="Z86" s="38">
        <f>RawData!BI84</f>
        <v>3.3912991057150066E-4</v>
      </c>
      <c r="AA86" s="40">
        <f>RawData!BH84</f>
        <v>-2.159881591796875E-2</v>
      </c>
      <c r="AB86" s="40">
        <f>RawData!BG84</f>
        <v>4.461064338684082</v>
      </c>
      <c r="AC86" s="40">
        <f>RawData!BF84</f>
        <v>0.56122589111328125</v>
      </c>
      <c r="AD86" s="40">
        <f>RawData!BE84</f>
        <v>-69.083763122558594</v>
      </c>
      <c r="AE86" s="40">
        <f>RawData!BD84</f>
        <v>9.7262859344482422E-4</v>
      </c>
      <c r="AF86" s="40">
        <f>RawData!BC84</f>
        <v>0.86284220218658447</v>
      </c>
      <c r="AG86" s="41">
        <f>RawData!BB84</f>
        <v>471675</v>
      </c>
      <c r="AH86" s="42">
        <f>RawData!DB84</f>
        <v>-0.23161328588374852</v>
      </c>
      <c r="AI86" s="41">
        <f>RawData!BA84</f>
        <v>-19525</v>
      </c>
      <c r="AJ86" s="43">
        <f>RawData!DA84</f>
        <v>84300</v>
      </c>
      <c r="AK86" s="41">
        <f>RawData!AZ84</f>
        <v>64775</v>
      </c>
      <c r="AL86" s="42">
        <f>RawData!DD84</f>
        <v>-3.2989200269585152E-3</v>
      </c>
      <c r="AM86" s="44">
        <f>RawData!DC84</f>
        <v>-0.10539591312408447</v>
      </c>
      <c r="AN86" s="45">
        <f>RawData!BK84</f>
        <v>31.843215227127075</v>
      </c>
      <c r="AO86" s="44">
        <f>RawData!AY84</f>
        <v>31.843215227127075</v>
      </c>
      <c r="AP86" s="43" t="str">
        <f>RawData!DH84</f>
        <v>W</v>
      </c>
      <c r="AQ86" s="43">
        <f>RawData!DE84</f>
        <v>741</v>
      </c>
      <c r="AR86" s="42">
        <f>RawData!CZ84</f>
        <v>0</v>
      </c>
      <c r="AS86" s="44">
        <f>RawData!AX84</f>
        <v>0</v>
      </c>
      <c r="AT86" s="43">
        <f>RawData!CY84</f>
        <v>741</v>
      </c>
      <c r="AU86" s="44">
        <f>RawData!AW84</f>
        <v>741</v>
      </c>
      <c r="AV86" s="46">
        <f>RawData!O84</f>
        <v>37600</v>
      </c>
      <c r="AW86" s="44">
        <f>RawData!AV84</f>
        <v>41.25</v>
      </c>
      <c r="AX86" s="44">
        <f>RawData!CW84</f>
        <v>41.25</v>
      </c>
      <c r="AY86" s="44">
        <f>RawData!AU84</f>
        <v>-4.9999237060546875E-2</v>
      </c>
      <c r="AZ86" s="42">
        <f>RawData!CX84</f>
        <v>-1.2106353022805886E-3</v>
      </c>
      <c r="BA86" s="44">
        <f>RawData!DF84</f>
        <v>41.25</v>
      </c>
      <c r="BB86" s="43" t="str">
        <f>RawData!DI84</f>
        <v>R</v>
      </c>
      <c r="BC86" s="44">
        <f>RawData!AT84</f>
        <v>30.909872055053711</v>
      </c>
      <c r="BD86" s="45">
        <f>RawData!AP84</f>
        <v>30.909872055053711</v>
      </c>
      <c r="BE86" s="44">
        <f>RawData!CS84</f>
        <v>-9.4383955001831055E-3</v>
      </c>
      <c r="BF86" s="42">
        <f>RawData!CT84</f>
        <v>-3.0525892598015636E-4</v>
      </c>
      <c r="BG86" s="41">
        <f>RawData!AS84</f>
        <v>1256350</v>
      </c>
      <c r="BH86" s="41">
        <f>RawData!CU84</f>
        <v>701125</v>
      </c>
      <c r="BI86" s="41">
        <f>RawData!AR84</f>
        <v>555225</v>
      </c>
      <c r="BJ86" s="42">
        <f>RawData!CV84</f>
        <v>0.79190586557318599</v>
      </c>
      <c r="BK86" s="41">
        <f>RawData!AQ84</f>
        <v>22588650</v>
      </c>
      <c r="BL86" s="40">
        <f>RawData!AO84</f>
        <v>-0.13012760877609253</v>
      </c>
      <c r="BM86" s="40">
        <f>RawData!AN84</f>
        <v>9.3623995780944824E-5</v>
      </c>
      <c r="BN86" s="40">
        <f>RawData!AM84</f>
        <v>-41.25</v>
      </c>
      <c r="BO86" s="40">
        <f>RawData!AL84</f>
        <v>4.9999237060546875E-2</v>
      </c>
      <c r="BP86" s="40">
        <f>RawData!AK84</f>
        <v>4.302459716796875</v>
      </c>
      <c r="BQ86" s="40">
        <f>RawData!AJ84</f>
        <v>-2.2292137145996094E-3</v>
      </c>
      <c r="BR86" s="38">
        <f>RawData!AI84</f>
        <v>3.3696266473270953E-4</v>
      </c>
      <c r="BS86" s="38">
        <f>RawData!AH84</f>
        <v>-5.7974830269813538E-8</v>
      </c>
      <c r="BT86" s="40">
        <f>RawData!AG84</f>
        <v>-2.6984024047851563</v>
      </c>
      <c r="BU86" s="39">
        <f>RawData!AF84</f>
        <v>-3.2534599304199219E-3</v>
      </c>
      <c r="BV86" s="39">
        <f>RawData!AE84</f>
        <v>0.40564233064651489</v>
      </c>
      <c r="BW86" s="38">
        <f>RawData!AD84</f>
        <v>3.8290023803710938E-4</v>
      </c>
      <c r="BX86" s="38">
        <f>RawData!AC84</f>
        <v>-6.1263955331014586E-7</v>
      </c>
      <c r="BY86" s="37">
        <f>RawData!AB84</f>
        <v>-3.2827074392116629E-10</v>
      </c>
      <c r="BZ86" s="37">
        <f>RawData!AA84</f>
        <v>2.7137075085192919E-4</v>
      </c>
      <c r="CA86" s="36">
        <f>RawData!Z84</f>
        <v>1.1197407729923725E-6</v>
      </c>
      <c r="CB86" s="36">
        <f>RawData!Y84</f>
        <v>4.0794311644276604E-5</v>
      </c>
      <c r="CC86" s="36">
        <f>RawData!X84</f>
        <v>1.5768091543577611E-7</v>
      </c>
      <c r="CD86" s="36">
        <f>RawData!W84</f>
        <v>6174.22216796875</v>
      </c>
      <c r="CE86" s="40">
        <f>RawData!V84</f>
        <v>9.74072265625</v>
      </c>
      <c r="CF86" s="40">
        <f>RawData!U84</f>
        <v>1671.3082275390625</v>
      </c>
      <c r="CG86" s="40">
        <f>RawData!T84</f>
        <v>1.6082763671875</v>
      </c>
      <c r="CH86" s="44">
        <f>RawData!S84</f>
        <v>44.150001525878906</v>
      </c>
      <c r="CI86" s="44">
        <f>RawData!R84</f>
        <v>82.5</v>
      </c>
      <c r="CJ86" s="44">
        <f>RawData!Q84</f>
        <v>25.700000762939453</v>
      </c>
      <c r="CK86" s="44">
        <f>RawData!P84</f>
        <v>41.25</v>
      </c>
      <c r="CL86" s="44">
        <f>RawData!CJ84</f>
        <v>550</v>
      </c>
      <c r="CM86" s="43">
        <f>RawData!CI84</f>
        <v>41.400001525878906</v>
      </c>
      <c r="CN86" s="44">
        <f>RawData!CL84</f>
        <v>1900</v>
      </c>
      <c r="CO86" s="43">
        <f>RawData!CK84</f>
        <v>41.25</v>
      </c>
      <c r="CP86" s="44">
        <f>RawData!CM84</f>
        <v>46.009998321533203</v>
      </c>
      <c r="CQ86" s="47">
        <f>RawData!CO84</f>
        <v>44783.638194444444</v>
      </c>
      <c r="CR86" s="44">
        <f>RawData!CP84</f>
        <v>38295.69921875</v>
      </c>
      <c r="CS86" s="44">
        <f>RawData!DG84</f>
        <v>38295.69921875</v>
      </c>
      <c r="CT86" s="43" t="str">
        <f>RawData!DJ84</f>
        <v>G</v>
      </c>
      <c r="CU86" s="43" t="str">
        <f>RawData!CQ84</f>
        <v>FairPrice</v>
      </c>
      <c r="CV86" s="47">
        <f>RawData!CR84</f>
        <v>44783.638194444444</v>
      </c>
      <c r="CW86" s="65">
        <f>RawData!DK84</f>
        <v>38300</v>
      </c>
      <c r="CX86" s="65">
        <f>RawData!DL84</f>
        <v>3400000</v>
      </c>
      <c r="CY86" s="65">
        <f>RawData!DM84</f>
        <v>38500</v>
      </c>
      <c r="CZ86" s="65">
        <f>RawData!DN84</f>
        <v>0</v>
      </c>
      <c r="DA86" s="65">
        <f>RawData!DO84</f>
        <v>24500</v>
      </c>
      <c r="DB86" s="65">
        <f>RawData!DP84</f>
        <v>2863350</v>
      </c>
      <c r="DC86" s="65">
        <f>RawData!DQ84</f>
        <v>38000</v>
      </c>
      <c r="DD86" s="65">
        <f>RawData!DR84</f>
        <v>0</v>
      </c>
      <c r="DE86" s="65">
        <f>RawData!DS84</f>
        <v>24500</v>
      </c>
      <c r="DF86" s="65" t="str">
        <f>RawData!DT84</f>
        <v>BANKNIFTY</v>
      </c>
      <c r="DG86" s="66">
        <f>RawData!DU84</f>
        <v>44784</v>
      </c>
      <c r="DI86" s="21">
        <f t="shared" si="1"/>
        <v>695.69921875</v>
      </c>
    </row>
    <row r="87" spans="1:113" x14ac:dyDescent="0.2">
      <c r="A87" s="59">
        <f>RawData!CN85</f>
        <v>44783.638194444444</v>
      </c>
      <c r="B87" s="44">
        <f>RawData!CH85</f>
        <v>660.1500244140625</v>
      </c>
      <c r="C87" s="44">
        <f>RawData!CG85</f>
        <v>125</v>
      </c>
      <c r="D87" s="43">
        <f>RawData!CF85</f>
        <v>648.0999755859375</v>
      </c>
      <c r="E87" s="44">
        <f>RawData!CE85</f>
        <v>50</v>
      </c>
      <c r="F87" s="43">
        <f>RawData!CD85</f>
        <v>649.79998779296875</v>
      </c>
      <c r="G87" s="44">
        <f>RawData!CC85</f>
        <v>648.20001220703125</v>
      </c>
      <c r="H87" s="44">
        <f>RawData!CB85</f>
        <v>551</v>
      </c>
      <c r="I87" s="44">
        <f>RawData!CA85</f>
        <v>752.95001220703125</v>
      </c>
      <c r="J87" s="44">
        <f>RawData!BZ85</f>
        <v>647.29998779296875</v>
      </c>
      <c r="K87" s="40">
        <f>RawData!BY85</f>
        <v>0.9183349609375</v>
      </c>
      <c r="L87" s="40">
        <f>RawData!BX85</f>
        <v>1261.0478515625</v>
      </c>
      <c r="M87" s="40">
        <f>RawData!BW85</f>
        <v>5.53955078125</v>
      </c>
      <c r="N87" s="40">
        <f>RawData!BV85</f>
        <v>4219.79833984375</v>
      </c>
      <c r="O87" s="36">
        <f>RawData!BU85</f>
        <v>1.3591261449619196E-7</v>
      </c>
      <c r="P87" s="36">
        <f>RawData!BT85</f>
        <v>-7.4596205195121001E-6</v>
      </c>
      <c r="Q87" s="36">
        <f>RawData!BS85</f>
        <v>9.1660695034079254E-7</v>
      </c>
      <c r="R87" s="36">
        <f>RawData!BR85</f>
        <v>-5.0919788918690756E-5</v>
      </c>
      <c r="S87" s="37">
        <f>RawData!BQ85</f>
        <v>-3.6391156754689291E-10</v>
      </c>
      <c r="T87" s="37">
        <f>RawData!BP85</f>
        <v>-6.5592439568717964E-7</v>
      </c>
      <c r="U87" s="38">
        <f>RawData!BO85</f>
        <v>2.3409724235534668E-4</v>
      </c>
      <c r="V87" s="38">
        <f>RawData!BN85</f>
        <v>0.30765184760093689</v>
      </c>
      <c r="W87" s="39">
        <f>RawData!BM85</f>
        <v>-2.0487308502197266E-3</v>
      </c>
      <c r="X87" s="39">
        <f>RawData!BL85</f>
        <v>-2.1000487804412842</v>
      </c>
      <c r="Y87" s="38">
        <f>RawData!BJ85</f>
        <v>-2.8463546186685562E-8</v>
      </c>
      <c r="Z87" s="38">
        <f>RawData!BI85</f>
        <v>3.997179155703634E-4</v>
      </c>
      <c r="AA87" s="40">
        <f>RawData!BH85</f>
        <v>-1.8405914306640625E-3</v>
      </c>
      <c r="AB87" s="40">
        <f>RawData!BG85</f>
        <v>4.9737300872802734</v>
      </c>
      <c r="AC87" s="40">
        <f>RawData!BF85</f>
        <v>4.2633056640625E-2</v>
      </c>
      <c r="AD87" s="40">
        <f>RawData!BE85</f>
        <v>-72.863883972167969</v>
      </c>
      <c r="AE87" s="40">
        <f>RawData!BD85</f>
        <v>8.6545944213867188E-5</v>
      </c>
      <c r="AF87" s="40">
        <f>RawData!BC85</f>
        <v>0.83858323097229004</v>
      </c>
      <c r="AG87" s="41">
        <f>RawData!BB85</f>
        <v>1110550</v>
      </c>
      <c r="AH87" s="42">
        <f>RawData!DB85</f>
        <v>-0.33819556996218259</v>
      </c>
      <c r="AI87" s="41">
        <f>RawData!BA85</f>
        <v>-78250</v>
      </c>
      <c r="AJ87" s="43">
        <f>RawData!DA85</f>
        <v>231375</v>
      </c>
      <c r="AK87" s="41">
        <f>RawData!AZ85</f>
        <v>153125</v>
      </c>
      <c r="AL87" s="42">
        <f>RawData!DD85</f>
        <v>-2.5815926705715644E-4</v>
      </c>
      <c r="AM87" s="44">
        <f>RawData!DC85</f>
        <v>-7.7784061431884766E-3</v>
      </c>
      <c r="AN87" s="45">
        <f>RawData!BK85</f>
        <v>30.122482776641846</v>
      </c>
      <c r="AO87" s="44">
        <f>RawData!AY85</f>
        <v>30.122482776641846</v>
      </c>
      <c r="AP87" s="43" t="str">
        <f>RawData!DH85</f>
        <v>W</v>
      </c>
      <c r="AQ87" s="43">
        <f>RawData!DE85</f>
        <v>648.20001220703125</v>
      </c>
      <c r="AR87" s="42">
        <f>RawData!CZ85</f>
        <v>0</v>
      </c>
      <c r="AS87" s="44">
        <f>RawData!AX85</f>
        <v>0</v>
      </c>
      <c r="AT87" s="43">
        <f>RawData!CY85</f>
        <v>648.20001220703125</v>
      </c>
      <c r="AU87" s="44">
        <f>RawData!AW85</f>
        <v>648.20001220703125</v>
      </c>
      <c r="AV87" s="46">
        <f>RawData!O85</f>
        <v>37700</v>
      </c>
      <c r="AW87" s="44">
        <f>RawData!AV85</f>
        <v>52.900001525878906</v>
      </c>
      <c r="AX87" s="44">
        <f>RawData!CW85</f>
        <v>52.900001525878906</v>
      </c>
      <c r="AY87" s="44">
        <f>RawData!AU85</f>
        <v>0.10000228881835938</v>
      </c>
      <c r="AZ87" s="42">
        <f>RawData!CX85</f>
        <v>1.8939827701392718E-3</v>
      </c>
      <c r="BA87" s="44">
        <f>RawData!DF85</f>
        <v>52.900001525878906</v>
      </c>
      <c r="BB87" s="43" t="str">
        <f>RawData!DI85</f>
        <v>G</v>
      </c>
      <c r="BC87" s="44">
        <f>RawData!AT85</f>
        <v>30.199554562568665</v>
      </c>
      <c r="BD87" s="45">
        <f>RawData!AP85</f>
        <v>30.199554562568665</v>
      </c>
      <c r="BE87" s="44">
        <f>RawData!CS85</f>
        <v>2.2336840629577637E-2</v>
      </c>
      <c r="BF87" s="42">
        <f>RawData!CT85</f>
        <v>7.4018886815196917E-4</v>
      </c>
      <c r="BG87" s="41">
        <f>RawData!AS85</f>
        <v>1580750</v>
      </c>
      <c r="BH87" s="41">
        <f>RawData!CU85</f>
        <v>1115450</v>
      </c>
      <c r="BI87" s="41">
        <f>RawData!AR85</f>
        <v>465300</v>
      </c>
      <c r="BJ87" s="42">
        <f>RawData!CV85</f>
        <v>0.41714106414451568</v>
      </c>
      <c r="BK87" s="41">
        <f>RawData!AQ85</f>
        <v>27986300</v>
      </c>
      <c r="BL87" s="40">
        <f>RawData!AO85</f>
        <v>-0.16206490993499756</v>
      </c>
      <c r="BM87" s="40">
        <f>RawData!AN85</f>
        <v>-1.5096366405487061E-4</v>
      </c>
      <c r="BN87" s="40">
        <f>RawData!AM85</f>
        <v>-52.900001525878906</v>
      </c>
      <c r="BO87" s="40">
        <f>RawData!AL85</f>
        <v>-0.10000228881835938</v>
      </c>
      <c r="BP87" s="40">
        <f>RawData!AK85</f>
        <v>4.9867234230041504</v>
      </c>
      <c r="BQ87" s="40">
        <f>RawData!AJ85</f>
        <v>2.9249191284179688E-3</v>
      </c>
      <c r="BR87" s="38">
        <f>RawData!AI85</f>
        <v>3.997414605692029E-4</v>
      </c>
      <c r="BS87" s="38">
        <f>RawData!AH85</f>
        <v>-4.4994521886110306E-8</v>
      </c>
      <c r="BT87" s="40">
        <f>RawData!AG85</f>
        <v>-2.0834567546844482</v>
      </c>
      <c r="BU87" s="39">
        <f>RawData!AF85</f>
        <v>4.1565895080566406E-3</v>
      </c>
      <c r="BV87" s="39">
        <f>RawData!AE85</f>
        <v>0.30600205063819885</v>
      </c>
      <c r="BW87" s="38">
        <f>RawData!AD85</f>
        <v>-3.7047266960144043E-4</v>
      </c>
      <c r="BX87" s="38">
        <f>RawData!AC85</f>
        <v>-6.5259467874057009E-7</v>
      </c>
      <c r="BY87" s="37">
        <f>RawData!AB85</f>
        <v>9.3695007308269851E-10</v>
      </c>
      <c r="BZ87" s="37">
        <f>RawData!AA85</f>
        <v>-5.7704055507201701E-5</v>
      </c>
      <c r="CA87" s="36">
        <f>RawData!Z85</f>
        <v>-1.5611476555932313E-6</v>
      </c>
      <c r="CB87" s="36">
        <f>RawData!Y85</f>
        <v>-8.4751263784710318E-6</v>
      </c>
      <c r="CC87" s="36">
        <f>RawData!X85</f>
        <v>-2.3574375518364832E-7</v>
      </c>
      <c r="CD87" s="36">
        <f>RawData!W85</f>
        <v>4175.24658203125</v>
      </c>
      <c r="CE87" s="40">
        <f>RawData!V85</f>
        <v>-11.0263671875</v>
      </c>
      <c r="CF87" s="40">
        <f>RawData!U85</f>
        <v>1254.40771484375</v>
      </c>
      <c r="CG87" s="40">
        <f>RawData!T85</f>
        <v>-1.5126953125</v>
      </c>
      <c r="CH87" s="44">
        <f>RawData!S85</f>
        <v>94</v>
      </c>
      <c r="CI87" s="44">
        <f>RawData!R85</f>
        <v>98.75</v>
      </c>
      <c r="CJ87" s="44">
        <f>RawData!Q85</f>
        <v>33.25</v>
      </c>
      <c r="CK87" s="44">
        <f>RawData!P85</f>
        <v>52.900001525878906</v>
      </c>
      <c r="CL87" s="44">
        <f>RawData!CJ85</f>
        <v>125</v>
      </c>
      <c r="CM87" s="43">
        <f>RawData!CI85</f>
        <v>52.900001525878906</v>
      </c>
      <c r="CN87" s="44">
        <f>RawData!CL85</f>
        <v>1675</v>
      </c>
      <c r="CO87" s="43">
        <f>RawData!CK85</f>
        <v>52.700000762939453</v>
      </c>
      <c r="CP87" s="44">
        <f>RawData!CM85</f>
        <v>57.759998321533203</v>
      </c>
      <c r="CQ87" s="47">
        <f>RawData!CO85</f>
        <v>44783.638194444444</v>
      </c>
      <c r="CR87" s="44">
        <f>RawData!CP85</f>
        <v>38295.69921875</v>
      </c>
      <c r="CS87" s="44">
        <f>RawData!DG85</f>
        <v>38295.69921875</v>
      </c>
      <c r="CT87" s="43" t="str">
        <f>RawData!DJ85</f>
        <v>G</v>
      </c>
      <c r="CU87" s="43" t="str">
        <f>RawData!CQ85</f>
        <v>FairPrice</v>
      </c>
      <c r="CV87" s="47">
        <f>RawData!CR85</f>
        <v>44783.638194444444</v>
      </c>
      <c r="CW87" s="65">
        <f>RawData!DK85</f>
        <v>38300</v>
      </c>
      <c r="CX87" s="65">
        <f>RawData!DL85</f>
        <v>3400000</v>
      </c>
      <c r="CY87" s="65">
        <f>RawData!DM85</f>
        <v>38500</v>
      </c>
      <c r="CZ87" s="65">
        <f>RawData!DN85</f>
        <v>0</v>
      </c>
      <c r="DA87" s="65">
        <f>RawData!DO85</f>
        <v>24500</v>
      </c>
      <c r="DB87" s="65">
        <f>RawData!DP85</f>
        <v>2863350</v>
      </c>
      <c r="DC87" s="65">
        <f>RawData!DQ85</f>
        <v>38000</v>
      </c>
      <c r="DD87" s="65">
        <f>RawData!DR85</f>
        <v>0</v>
      </c>
      <c r="DE87" s="65">
        <f>RawData!DS85</f>
        <v>24500</v>
      </c>
      <c r="DF87" s="65" t="str">
        <f>RawData!DT85</f>
        <v>BANKNIFTY</v>
      </c>
      <c r="DG87" s="66">
        <f>RawData!DU85</f>
        <v>44784</v>
      </c>
      <c r="DI87" s="21">
        <f t="shared" si="1"/>
        <v>595.69921875</v>
      </c>
    </row>
    <row r="88" spans="1:113" x14ac:dyDescent="0.2">
      <c r="A88" s="59">
        <f>RawData!CN86</f>
        <v>44783.638194444444</v>
      </c>
      <c r="B88" s="44">
        <f>RawData!CH86</f>
        <v>574.46002197265625</v>
      </c>
      <c r="C88" s="44">
        <f>RawData!CG86</f>
        <v>25</v>
      </c>
      <c r="D88" s="43">
        <f>RawData!CF86</f>
        <v>563.54998779296875</v>
      </c>
      <c r="E88" s="44">
        <f>RawData!CE86</f>
        <v>50</v>
      </c>
      <c r="F88" s="43">
        <f>RawData!CD86</f>
        <v>564.54998779296875</v>
      </c>
      <c r="G88" s="44">
        <f>RawData!CC86</f>
        <v>564.6500244140625</v>
      </c>
      <c r="H88" s="44">
        <f>RawData!CB86</f>
        <v>470.04998779296875</v>
      </c>
      <c r="I88" s="44">
        <f>RawData!CA86</f>
        <v>665.4000244140625</v>
      </c>
      <c r="J88" s="44">
        <f>RawData!BZ86</f>
        <v>571.54998779296875</v>
      </c>
      <c r="K88" s="40">
        <f>RawData!BY86</f>
        <v>5.14837646484375</v>
      </c>
      <c r="L88" s="40">
        <f>RawData!BX86</f>
        <v>938.189453125</v>
      </c>
      <c r="M88" s="40">
        <f>RawData!BW86</f>
        <v>32.33837890625</v>
      </c>
      <c r="N88" s="40">
        <f>RawData!BV86</f>
        <v>2628.829833984375</v>
      </c>
      <c r="O88" s="36">
        <f>RawData!BU86</f>
        <v>1.1232041288167238E-6</v>
      </c>
      <c r="P88" s="36">
        <f>RawData!BT86</f>
        <v>-7.2299051680602133E-5</v>
      </c>
      <c r="Q88" s="36">
        <f>RawData!BS86</f>
        <v>6.4981286413967609E-6</v>
      </c>
      <c r="R88" s="36">
        <f>RawData!BR86</f>
        <v>-4.9994286382570863E-4</v>
      </c>
      <c r="S88" s="37">
        <f>RawData!BQ86</f>
        <v>-3.9867700252216309E-9</v>
      </c>
      <c r="T88" s="37">
        <f>RawData!BP86</f>
        <v>-6.552996296704805E-7</v>
      </c>
      <c r="U88" s="38">
        <f>RawData!BO86</f>
        <v>1.4034062623977661E-3</v>
      </c>
      <c r="V88" s="38">
        <f>RawData!BN86</f>
        <v>0.22445711493492126</v>
      </c>
      <c r="W88" s="39">
        <f>RawData!BM86</f>
        <v>-1.3558864593505859E-2</v>
      </c>
      <c r="X88" s="39">
        <f>RawData!BL86</f>
        <v>-1.5521050691604614</v>
      </c>
      <c r="Y88" s="38">
        <f>RawData!BJ86</f>
        <v>2.5262124836444855E-8</v>
      </c>
      <c r="Z88" s="38">
        <f>RawData!BI86</f>
        <v>4.6644188114441931E-4</v>
      </c>
      <c r="AA88" s="40">
        <f>RawData!BH86</f>
        <v>-1.4375209808349609E-2</v>
      </c>
      <c r="AB88" s="40">
        <f>RawData!BG86</f>
        <v>5.7298688888549805</v>
      </c>
      <c r="AC88" s="40">
        <f>RawData!BF86</f>
        <v>0.41599273681640625</v>
      </c>
      <c r="AD88" s="40">
        <f>RawData!BE86</f>
        <v>-82.862289428710938</v>
      </c>
      <c r="AE88" s="40">
        <f>RawData!BD86</f>
        <v>8.4775686264038086E-4</v>
      </c>
      <c r="AF88" s="40">
        <f>RawData!BC86</f>
        <v>0.79766881465911865</v>
      </c>
      <c r="AG88" s="41">
        <f>RawData!BB86</f>
        <v>3080350</v>
      </c>
      <c r="AH88" s="42">
        <f>RawData!DB86</f>
        <v>-0.38390402399400148</v>
      </c>
      <c r="AI88" s="41">
        <f>RawData!BA86</f>
        <v>-153600</v>
      </c>
      <c r="AJ88" s="43">
        <f>RawData!DA86</f>
        <v>400100</v>
      </c>
      <c r="AK88" s="41">
        <f>RawData!AZ86</f>
        <v>246500</v>
      </c>
      <c r="AL88" s="42">
        <f>RawData!DD86</f>
        <v>-2.5420395196226078E-3</v>
      </c>
      <c r="AM88" s="44">
        <f>RawData!DC86</f>
        <v>-7.578432559967041E-2</v>
      </c>
      <c r="AN88" s="45">
        <f>RawData!BK86</f>
        <v>29.736626148223877</v>
      </c>
      <c r="AO88" s="44">
        <f>RawData!AY86</f>
        <v>29.736626148223877</v>
      </c>
      <c r="AP88" s="43" t="str">
        <f>RawData!DH86</f>
        <v>W</v>
      </c>
      <c r="AQ88" s="43">
        <f>RawData!DE86</f>
        <v>564.6500244140625</v>
      </c>
      <c r="AR88" s="42">
        <f>RawData!CZ86</f>
        <v>0</v>
      </c>
      <c r="AS88" s="44">
        <f>RawData!AX86</f>
        <v>0</v>
      </c>
      <c r="AT88" s="43">
        <f>RawData!CY86</f>
        <v>564.6500244140625</v>
      </c>
      <c r="AU88" s="44">
        <f>RawData!AW86</f>
        <v>564.6500244140625</v>
      </c>
      <c r="AV88" s="46">
        <f>RawData!O86</f>
        <v>37800</v>
      </c>
      <c r="AW88" s="44">
        <f>RawData!AV86</f>
        <v>67.150001525878906</v>
      </c>
      <c r="AX88" s="44">
        <f>RawData!CW86</f>
        <v>67.150001525878906</v>
      </c>
      <c r="AY88" s="44">
        <f>RawData!AU86</f>
        <v>0.15000152587890625</v>
      </c>
      <c r="AZ88" s="42">
        <f>RawData!CX86</f>
        <v>2.2388287444612873E-3</v>
      </c>
      <c r="BA88" s="44">
        <f>RawData!DF86</f>
        <v>67.150001525878906</v>
      </c>
      <c r="BB88" s="43" t="str">
        <f>RawData!DI86</f>
        <v>G</v>
      </c>
      <c r="BC88" s="44">
        <f>RawData!AT86</f>
        <v>29.414933919906616</v>
      </c>
      <c r="BD88" s="45">
        <f>RawData!AP86</f>
        <v>29.414933919906616</v>
      </c>
      <c r="BE88" s="44">
        <f>RawData!CS86</f>
        <v>2.8777122497558594E-2</v>
      </c>
      <c r="BF88" s="42">
        <f>RawData!CT86</f>
        <v>9.7927478900867483E-4</v>
      </c>
      <c r="BG88" s="41">
        <f>RawData!AS86</f>
        <v>1586225</v>
      </c>
      <c r="BH88" s="41">
        <f>RawData!CU86</f>
        <v>1259125</v>
      </c>
      <c r="BI88" s="41">
        <f>RawData!AR86</f>
        <v>327100</v>
      </c>
      <c r="BJ88" s="42">
        <f>RawData!CV86</f>
        <v>0.25978357986697109</v>
      </c>
      <c r="BK88" s="41">
        <f>RawData!AQ86</f>
        <v>35637075</v>
      </c>
      <c r="BL88" s="40">
        <f>RawData!AO86</f>
        <v>-0.19979135692119598</v>
      </c>
      <c r="BM88" s="40">
        <f>RawData!AN86</f>
        <v>-1.980513334274292E-4</v>
      </c>
      <c r="BN88" s="40">
        <f>RawData!AM86</f>
        <v>-67.150001525878906</v>
      </c>
      <c r="BO88" s="40">
        <f>RawData!AL86</f>
        <v>-0.15000152587890625</v>
      </c>
      <c r="BP88" s="40">
        <f>RawData!AK86</f>
        <v>5.6865029335021973</v>
      </c>
      <c r="BQ88" s="40">
        <f>RawData!AJ86</f>
        <v>3.276824951171875E-3</v>
      </c>
      <c r="BR88" s="38">
        <f>RawData!AI86</f>
        <v>4.6799320261925459E-4</v>
      </c>
      <c r="BS88" s="38">
        <f>RawData!AH86</f>
        <v>-1.6938429325819016E-7</v>
      </c>
      <c r="BT88" s="40">
        <f>RawData!AG86</f>
        <v>-1.5988326072692871</v>
      </c>
      <c r="BU88" s="39">
        <f>RawData!AF86</f>
        <v>3.9212703704833984E-3</v>
      </c>
      <c r="BV88" s="39">
        <f>RawData!AE86</f>
        <v>0.22872321307659149</v>
      </c>
      <c r="BW88" s="38">
        <f>RawData!AD86</f>
        <v>-3.2673776149749756E-4</v>
      </c>
      <c r="BX88" s="38">
        <f>RawData!AC86</f>
        <v>-6.7162812911192304E-7</v>
      </c>
      <c r="BY88" s="37">
        <f>RawData!AB86</f>
        <v>1.4306351658888161E-9</v>
      </c>
      <c r="BZ88" s="37">
        <f>RawData!AA86</f>
        <v>-4.8297934699803591E-4</v>
      </c>
      <c r="CA88" s="36">
        <f>RawData!Z86</f>
        <v>-1.2557138688862324E-6</v>
      </c>
      <c r="CB88" s="36">
        <f>RawData!Y86</f>
        <v>-6.9093279307708144E-5</v>
      </c>
      <c r="CC88" s="36">
        <f>RawData!X86</f>
        <v>-2.5003828341141343E-7</v>
      </c>
      <c r="CD88" s="36">
        <f>RawData!W86</f>
        <v>2737.3046875</v>
      </c>
      <c r="CE88" s="40">
        <f>RawData!V86</f>
        <v>-9.07568359375</v>
      </c>
      <c r="CF88" s="40">
        <f>RawData!U86</f>
        <v>953.86810302734375</v>
      </c>
      <c r="CG88" s="40">
        <f>RawData!T86</f>
        <v>-1.2197265625</v>
      </c>
      <c r="CH88" s="44">
        <f>RawData!S86</f>
        <v>117</v>
      </c>
      <c r="CI88" s="44">
        <f>RawData!R86</f>
        <v>121.90000152587891</v>
      </c>
      <c r="CJ88" s="44">
        <f>RawData!Q86</f>
        <v>43.25</v>
      </c>
      <c r="CK88" s="44">
        <f>RawData!P86</f>
        <v>67.150001525878906</v>
      </c>
      <c r="CL88" s="44">
        <f>RawData!CJ86</f>
        <v>575</v>
      </c>
      <c r="CM88" s="43">
        <f>RawData!CI86</f>
        <v>67.199996948242188</v>
      </c>
      <c r="CN88" s="44">
        <f>RawData!CL86</f>
        <v>100</v>
      </c>
      <c r="CO88" s="43">
        <f>RawData!CK86</f>
        <v>67</v>
      </c>
      <c r="CP88" s="44">
        <f>RawData!CM86</f>
        <v>73.639999389648438</v>
      </c>
      <c r="CQ88" s="47">
        <f>RawData!CO86</f>
        <v>44783.638194444444</v>
      </c>
      <c r="CR88" s="44">
        <f>RawData!CP86</f>
        <v>38295.69921875</v>
      </c>
      <c r="CS88" s="44">
        <f>RawData!DG86</f>
        <v>38295.69921875</v>
      </c>
      <c r="CT88" s="43" t="str">
        <f>RawData!DJ86</f>
        <v>G</v>
      </c>
      <c r="CU88" s="43" t="str">
        <f>RawData!CQ86</f>
        <v>FairPrice</v>
      </c>
      <c r="CV88" s="47">
        <f>RawData!CR86</f>
        <v>44783.638194444444</v>
      </c>
      <c r="CW88" s="65">
        <f>RawData!DK86</f>
        <v>38300</v>
      </c>
      <c r="CX88" s="65">
        <f>RawData!DL86</f>
        <v>3400000</v>
      </c>
      <c r="CY88" s="65">
        <f>RawData!DM86</f>
        <v>38500</v>
      </c>
      <c r="CZ88" s="65">
        <f>RawData!DN86</f>
        <v>0</v>
      </c>
      <c r="DA88" s="65">
        <f>RawData!DO86</f>
        <v>24500</v>
      </c>
      <c r="DB88" s="65">
        <f>RawData!DP86</f>
        <v>2863350</v>
      </c>
      <c r="DC88" s="65">
        <f>RawData!DQ86</f>
        <v>38000</v>
      </c>
      <c r="DD88" s="65">
        <f>RawData!DR86</f>
        <v>0</v>
      </c>
      <c r="DE88" s="65">
        <f>RawData!DS86</f>
        <v>24500</v>
      </c>
      <c r="DF88" s="65" t="str">
        <f>RawData!DT86</f>
        <v>BANKNIFTY</v>
      </c>
      <c r="DG88" s="66">
        <f>RawData!DU86</f>
        <v>44784</v>
      </c>
      <c r="DI88" s="21">
        <f t="shared" si="1"/>
        <v>495.69921875</v>
      </c>
    </row>
    <row r="89" spans="1:113" x14ac:dyDescent="0.2">
      <c r="A89" s="59">
        <f>RawData!CN87</f>
        <v>44783.638194444444</v>
      </c>
      <c r="B89" s="44">
        <f>RawData!CH87</f>
        <v>492.94000244140625</v>
      </c>
      <c r="C89" s="44">
        <f>RawData!CG87</f>
        <v>500</v>
      </c>
      <c r="D89" s="43">
        <f>RawData!CF87</f>
        <v>480.29998779296875</v>
      </c>
      <c r="E89" s="44">
        <f>RawData!CE87</f>
        <v>100</v>
      </c>
      <c r="F89" s="43">
        <f>RawData!CD87</f>
        <v>481.54998779296875</v>
      </c>
      <c r="G89" s="44">
        <f>RawData!CC87</f>
        <v>481.95001220703125</v>
      </c>
      <c r="H89" s="44">
        <f>RawData!CB87</f>
        <v>400</v>
      </c>
      <c r="I89" s="44">
        <f>RawData!CA87</f>
        <v>580</v>
      </c>
      <c r="J89" s="44">
        <f>RawData!BZ87</f>
        <v>462.20001220703125</v>
      </c>
      <c r="K89" s="40">
        <f>RawData!BY87</f>
        <v>-4.52142333984375</v>
      </c>
      <c r="L89" s="40">
        <f>RawData!BX87</f>
        <v>729.3477783203125</v>
      </c>
      <c r="M89" s="40">
        <f>RawData!BW87</f>
        <v>-32.75341796875</v>
      </c>
      <c r="N89" s="40">
        <f>RawData!BV87</f>
        <v>1642.0616455078125</v>
      </c>
      <c r="O89" s="36">
        <f>RawData!BU87</f>
        <v>-9.3621201813220978E-7</v>
      </c>
      <c r="P89" s="36">
        <f>RawData!BT87</f>
        <v>-1.4101923443377018E-4</v>
      </c>
      <c r="Q89" s="36">
        <f>RawData!BS87</f>
        <v>-8.2200858741998672E-7</v>
      </c>
      <c r="R89" s="36">
        <f>RawData!BR87</f>
        <v>-1.0061073116958141E-3</v>
      </c>
      <c r="S89" s="37">
        <f>RawData!BQ87</f>
        <v>9.2351797320588958E-9</v>
      </c>
      <c r="T89" s="37">
        <f>RawData!BP87</f>
        <v>-6.4479434058739571E-7</v>
      </c>
      <c r="U89" s="38">
        <f>RawData!BO87</f>
        <v>-1.384347677230835E-3</v>
      </c>
      <c r="V89" s="38">
        <f>RawData!BN87</f>
        <v>0.16490541398525238</v>
      </c>
      <c r="W89" s="39">
        <f>RawData!BM87</f>
        <v>1.6829848289489746E-2</v>
      </c>
      <c r="X89" s="39">
        <f>RawData!BL87</f>
        <v>-1.1765241622924805</v>
      </c>
      <c r="Y89" s="38">
        <f>RawData!BJ87</f>
        <v>-1.7026322893798351E-6</v>
      </c>
      <c r="Z89" s="38">
        <f>RawData!BI87</f>
        <v>5.3801934700459242E-4</v>
      </c>
      <c r="AA89" s="40">
        <f>RawData!BH87</f>
        <v>1.6633510589599609E-2</v>
      </c>
      <c r="AB89" s="40">
        <f>RawData!BG87</f>
        <v>6.4051671028137207</v>
      </c>
      <c r="AC89" s="40">
        <f>RawData!BF87</f>
        <v>-0.7548675537109375</v>
      </c>
      <c r="AD89" s="40">
        <f>RawData!BE87</f>
        <v>-89.776878356933594</v>
      </c>
      <c r="AE89" s="40">
        <f>RawData!BD87</f>
        <v>-1.1977553367614746E-3</v>
      </c>
      <c r="AF89" s="40">
        <f>RawData!BC87</f>
        <v>0.75386542081832886</v>
      </c>
      <c r="AG89" s="41">
        <f>RawData!BB87</f>
        <v>4769675</v>
      </c>
      <c r="AH89" s="42">
        <f>RawData!DB87</f>
        <v>3.4652966656593127E-2</v>
      </c>
      <c r="AI89" s="41">
        <f>RawData!BA87</f>
        <v>8600</v>
      </c>
      <c r="AJ89" s="43">
        <f>RawData!DA87</f>
        <v>248175</v>
      </c>
      <c r="AK89" s="41">
        <f>RawData!AZ87</f>
        <v>256775</v>
      </c>
      <c r="AL89" s="42">
        <f>RawData!DD87</f>
        <v>5.8172709188250961E-3</v>
      </c>
      <c r="AM89" s="44">
        <f>RawData!DC87</f>
        <v>0.16668438911437988</v>
      </c>
      <c r="AN89" s="45">
        <f>RawData!BK87</f>
        <v>28.82004976272583</v>
      </c>
      <c r="AO89" s="44">
        <f>RawData!AY87</f>
        <v>28.82004976272583</v>
      </c>
      <c r="AP89" s="43" t="str">
        <f>RawData!DH87</f>
        <v>G</v>
      </c>
      <c r="AQ89" s="43">
        <f>RawData!DE87</f>
        <v>481.95001220703125</v>
      </c>
      <c r="AR89" s="42">
        <f>RawData!CZ87</f>
        <v>2.2876283447084323E-3</v>
      </c>
      <c r="AS89" s="44">
        <f>RawData!AX87</f>
        <v>1.100006103515625</v>
      </c>
      <c r="AT89" s="43">
        <f>RawData!CY87</f>
        <v>481.95001220703125</v>
      </c>
      <c r="AU89" s="44">
        <f>RawData!AW87</f>
        <v>481.95001220703125</v>
      </c>
      <c r="AV89" s="46">
        <f>RawData!O87</f>
        <v>37900</v>
      </c>
      <c r="AW89" s="44">
        <f>RawData!AV87</f>
        <v>85.050003051757813</v>
      </c>
      <c r="AX89" s="44">
        <f>RawData!CW87</f>
        <v>85.050003051757813</v>
      </c>
      <c r="AY89" s="44">
        <f>RawData!AU87</f>
        <v>0.25</v>
      </c>
      <c r="AZ89" s="42">
        <f>RawData!CX87</f>
        <v>2.9481131014513304E-3</v>
      </c>
      <c r="BA89" s="44">
        <f>RawData!DF87</f>
        <v>85.050003051757813</v>
      </c>
      <c r="BB89" s="43" t="str">
        <f>RawData!DI87</f>
        <v>G</v>
      </c>
      <c r="BC89" s="44">
        <f>RawData!AT87</f>
        <v>28.628584742546082</v>
      </c>
      <c r="BD89" s="45">
        <f>RawData!AP87</f>
        <v>28.628584742546082</v>
      </c>
      <c r="BE89" s="44">
        <f>RawData!CS87</f>
        <v>4.1693449020385742E-2</v>
      </c>
      <c r="BF89" s="42">
        <f>RawData!CT87</f>
        <v>1.4584813924775513E-3</v>
      </c>
      <c r="BG89" s="41">
        <f>RawData!AS87</f>
        <v>1230600</v>
      </c>
      <c r="BH89" s="41">
        <f>RawData!CU87</f>
        <v>938200</v>
      </c>
      <c r="BI89" s="41">
        <f>RawData!AR87</f>
        <v>292400</v>
      </c>
      <c r="BJ89" s="42">
        <f>RawData!CV87</f>
        <v>0.31166062673204009</v>
      </c>
      <c r="BK89" s="41">
        <f>RawData!AQ87</f>
        <v>31039250</v>
      </c>
      <c r="BL89" s="40">
        <f>RawData!AO87</f>
        <v>-0.24477554857730865</v>
      </c>
      <c r="BM89" s="40">
        <f>RawData!AN87</f>
        <v>-2.7799606323242188E-4</v>
      </c>
      <c r="BN89" s="40">
        <f>RawData!AM87</f>
        <v>-85.050003051757813</v>
      </c>
      <c r="BO89" s="40">
        <f>RawData!AL87</f>
        <v>-0.25</v>
      </c>
      <c r="BP89" s="40">
        <f>RawData!AK87</f>
        <v>6.3861227035522461</v>
      </c>
      <c r="BQ89" s="40">
        <f>RawData!AJ87</f>
        <v>3.7770271301269531E-3</v>
      </c>
      <c r="BR89" s="38">
        <f>RawData!AI87</f>
        <v>5.40010049007833E-4</v>
      </c>
      <c r="BS89" s="38">
        <f>RawData!AH87</f>
        <v>-4.457542672753334E-7</v>
      </c>
      <c r="BT89" s="40">
        <f>RawData!AG87</f>
        <v>-1.1957424879074097</v>
      </c>
      <c r="BU89" s="39">
        <f>RawData!AF87</f>
        <v>4.0847063064575195E-3</v>
      </c>
      <c r="BV89" s="39">
        <f>RawData!AE87</f>
        <v>0.16648566722869873</v>
      </c>
      <c r="BW89" s="38">
        <f>RawData!AD87</f>
        <v>-3.1822919845581055E-4</v>
      </c>
      <c r="BX89" s="38">
        <f>RawData!AC87</f>
        <v>-6.5542388938411023E-7</v>
      </c>
      <c r="BY89" s="37">
        <f>RawData!AB87</f>
        <v>2.2873791749589145E-9</v>
      </c>
      <c r="BZ89" s="37">
        <f>RawData!AA87</f>
        <v>-1.0053522419184446E-3</v>
      </c>
      <c r="CA89" s="36">
        <f>RawData!Z87</f>
        <v>-1.9557774066925049E-8</v>
      </c>
      <c r="CB89" s="36">
        <f>RawData!Y87</f>
        <v>-1.3997724454384297E-4</v>
      </c>
      <c r="CC89" s="36">
        <f>RawData!X87</f>
        <v>-2.1261803340166807E-7</v>
      </c>
      <c r="CD89" s="36">
        <f>RawData!W87</f>
        <v>1679.3759765625</v>
      </c>
      <c r="CE89" s="40">
        <f>RawData!V87</f>
        <v>-7.9293212890625</v>
      </c>
      <c r="CF89" s="40">
        <f>RawData!U87</f>
        <v>734.50006103515625</v>
      </c>
      <c r="CG89" s="40">
        <f>RawData!T87</f>
        <v>-1.0467529296875</v>
      </c>
      <c r="CH89" s="44">
        <f>RawData!S87</f>
        <v>132.75</v>
      </c>
      <c r="CI89" s="44">
        <f>RawData!R87</f>
        <v>149.60000610351563</v>
      </c>
      <c r="CJ89" s="44">
        <f>RawData!Q87</f>
        <v>56.75</v>
      </c>
      <c r="CK89" s="44">
        <f>RawData!P87</f>
        <v>85.050003051757813</v>
      </c>
      <c r="CL89" s="44">
        <f>RawData!CJ87</f>
        <v>75</v>
      </c>
      <c r="CM89" s="43">
        <f>RawData!CI87</f>
        <v>84.949996948242188</v>
      </c>
      <c r="CN89" s="44">
        <f>RawData!CL87</f>
        <v>50</v>
      </c>
      <c r="CO89" s="43">
        <f>RawData!CK87</f>
        <v>84.849998474121094</v>
      </c>
      <c r="CP89" s="44">
        <f>RawData!CM87</f>
        <v>92.580001831054688</v>
      </c>
      <c r="CQ89" s="47">
        <f>RawData!CO87</f>
        <v>44783.638194444444</v>
      </c>
      <c r="CR89" s="44">
        <f>RawData!CP87</f>
        <v>38295.69921875</v>
      </c>
      <c r="CS89" s="44">
        <f>RawData!DG87</f>
        <v>38295.69921875</v>
      </c>
      <c r="CT89" s="43" t="str">
        <f>RawData!DJ87</f>
        <v>G</v>
      </c>
      <c r="CU89" s="43" t="str">
        <f>RawData!CQ87</f>
        <v>FairPrice</v>
      </c>
      <c r="CV89" s="47">
        <f>RawData!CR87</f>
        <v>44783.638194444444</v>
      </c>
      <c r="CW89" s="65">
        <f>RawData!DK87</f>
        <v>38300</v>
      </c>
      <c r="CX89" s="65">
        <f>RawData!DL87</f>
        <v>3400000</v>
      </c>
      <c r="CY89" s="65">
        <f>RawData!DM87</f>
        <v>38500</v>
      </c>
      <c r="CZ89" s="65">
        <f>RawData!DN87</f>
        <v>0</v>
      </c>
      <c r="DA89" s="65">
        <f>RawData!DO87</f>
        <v>24500</v>
      </c>
      <c r="DB89" s="65">
        <f>RawData!DP87</f>
        <v>2863350</v>
      </c>
      <c r="DC89" s="65">
        <f>RawData!DQ87</f>
        <v>38000</v>
      </c>
      <c r="DD89" s="65">
        <f>RawData!DR87</f>
        <v>0</v>
      </c>
      <c r="DE89" s="65">
        <f>RawData!DS87</f>
        <v>24500</v>
      </c>
      <c r="DF89" s="65" t="str">
        <f>RawData!DT87</f>
        <v>BANKNIFTY</v>
      </c>
      <c r="DG89" s="66">
        <f>RawData!DU87</f>
        <v>44784</v>
      </c>
      <c r="DI89" s="21">
        <f t="shared" si="1"/>
        <v>395.69921875</v>
      </c>
    </row>
    <row r="90" spans="1:113" x14ac:dyDescent="0.2">
      <c r="A90" s="59">
        <f>RawData!CN88</f>
        <v>44783.638194444444</v>
      </c>
      <c r="B90" s="44">
        <f>RawData!CH88</f>
        <v>417.39999389648438</v>
      </c>
      <c r="C90" s="44">
        <f>RawData!CG88</f>
        <v>25</v>
      </c>
      <c r="D90" s="43">
        <f>RawData!CF88</f>
        <v>402.20001220703125</v>
      </c>
      <c r="E90" s="44">
        <f>RawData!CE88</f>
        <v>125</v>
      </c>
      <c r="F90" s="43">
        <f>RawData!CD88</f>
        <v>403.10000610351563</v>
      </c>
      <c r="G90" s="44">
        <f>RawData!CC88</f>
        <v>402.25</v>
      </c>
      <c r="H90" s="44">
        <f>RawData!CB88</f>
        <v>330</v>
      </c>
      <c r="I90" s="44">
        <f>RawData!CA88</f>
        <v>500.14999389648438</v>
      </c>
      <c r="J90" s="44">
        <f>RawData!BZ88</f>
        <v>429.14999389648438</v>
      </c>
      <c r="K90" s="40">
        <f>RawData!BY88</f>
        <v>2.53656005859375</v>
      </c>
      <c r="L90" s="40">
        <f>RawData!BX88</f>
        <v>580.63494873046875</v>
      </c>
      <c r="M90" s="40">
        <f>RawData!BW88</f>
        <v>16.8399658203125</v>
      </c>
      <c r="N90" s="40">
        <f>RawData!BV88</f>
        <v>933.49798583984375</v>
      </c>
      <c r="O90" s="36">
        <f>RawData!BU88</f>
        <v>4.4269836507737637E-7</v>
      </c>
      <c r="P90" s="36">
        <f>RawData!BT88</f>
        <v>-2.1574238780885935E-4</v>
      </c>
      <c r="Q90" s="36">
        <f>RawData!BS88</f>
        <v>-3.450317308306694E-6</v>
      </c>
      <c r="R90" s="36">
        <f>RawData!BR88</f>
        <v>-1.5990497777238488E-3</v>
      </c>
      <c r="S90" s="37">
        <f>RawData!BQ88</f>
        <v>-7.4339823186164722E-9</v>
      </c>
      <c r="T90" s="37">
        <f>RawData!BP88</f>
        <v>-5.9679319974748068E-7</v>
      </c>
      <c r="U90" s="38">
        <f>RawData!BO88</f>
        <v>9.2698633670806885E-4</v>
      </c>
      <c r="V90" s="38">
        <f>RawData!BN88</f>
        <v>0.11610414087772369</v>
      </c>
      <c r="W90" s="39">
        <f>RawData!BM88</f>
        <v>-1.0457098484039307E-2</v>
      </c>
      <c r="X90" s="39">
        <f>RawData!BL88</f>
        <v>-0.8605462908744812</v>
      </c>
      <c r="Y90" s="38">
        <f>RawData!BJ88</f>
        <v>1.5722471289336681E-6</v>
      </c>
      <c r="Z90" s="38">
        <f>RawData!BI88</f>
        <v>6.135840667411685E-4</v>
      </c>
      <c r="AA90" s="40">
        <f>RawData!BH88</f>
        <v>-1.1979103088378906E-2</v>
      </c>
      <c r="AB90" s="40">
        <f>RawData!BG88</f>
        <v>7.0320582389831543</v>
      </c>
      <c r="AC90" s="40">
        <f>RawData!BF88</f>
        <v>0.5625762939453125</v>
      </c>
      <c r="AD90" s="40">
        <f>RawData!BE88</f>
        <v>-94.875907897949219</v>
      </c>
      <c r="AE90" s="40">
        <f>RawData!BD88</f>
        <v>1.1029243469238281E-3</v>
      </c>
      <c r="AF90" s="40">
        <f>RawData!BC88</f>
        <v>0.70323151350021362</v>
      </c>
      <c r="AG90" s="41">
        <f>RawData!BB88</f>
        <v>27974975</v>
      </c>
      <c r="AH90" s="42">
        <f>RawData!DB88</f>
        <v>-1.3639757067048687E-2</v>
      </c>
      <c r="AI90" s="41">
        <f>RawData!BA88</f>
        <v>-16900</v>
      </c>
      <c r="AJ90" s="43">
        <f>RawData!DA88</f>
        <v>1239025</v>
      </c>
      <c r="AK90" s="41">
        <f>RawData!AZ88</f>
        <v>1222125</v>
      </c>
      <c r="AL90" s="42">
        <f>RawData!DD88</f>
        <v>-4.2442387277852158E-3</v>
      </c>
      <c r="AM90" s="44">
        <f>RawData!DC88</f>
        <v>-0.11824965476989746</v>
      </c>
      <c r="AN90" s="45">
        <f>RawData!BK88</f>
        <v>27.742967009544373</v>
      </c>
      <c r="AO90" s="44">
        <f>RawData!AY88</f>
        <v>27.742967009544373</v>
      </c>
      <c r="AP90" s="43" t="str">
        <f>RawData!DH88</f>
        <v>R</v>
      </c>
      <c r="AQ90" s="43">
        <f>RawData!DE88</f>
        <v>402.25</v>
      </c>
      <c r="AR90" s="42">
        <f>RawData!CZ88</f>
        <v>-1.11748744323329E-3</v>
      </c>
      <c r="AS90" s="44">
        <f>RawData!AX88</f>
        <v>-0.45001220703125</v>
      </c>
      <c r="AT90" s="43">
        <f>RawData!CY88</f>
        <v>402.25</v>
      </c>
      <c r="AU90" s="44">
        <f>RawData!AW88</f>
        <v>402.25</v>
      </c>
      <c r="AV90" s="46">
        <f>RawData!O88</f>
        <v>38000</v>
      </c>
      <c r="AW90" s="44">
        <f>RawData!AV88</f>
        <v>106.90000152587891</v>
      </c>
      <c r="AX90" s="44">
        <f>RawData!CW88</f>
        <v>106.90000152587891</v>
      </c>
      <c r="AY90" s="44">
        <f>RawData!AU88</f>
        <v>-0.25</v>
      </c>
      <c r="AZ90" s="42">
        <f>RawData!CX88</f>
        <v>-2.3331777549216357E-3</v>
      </c>
      <c r="BA90" s="44">
        <f>RawData!DF88</f>
        <v>106.90000152587891</v>
      </c>
      <c r="BB90" s="43" t="str">
        <f>RawData!DI88</f>
        <v>R</v>
      </c>
      <c r="BC90" s="44">
        <f>RawData!AT88</f>
        <v>27.788332104682922</v>
      </c>
      <c r="BD90" s="45">
        <f>RawData!AP88</f>
        <v>27.788332104682922</v>
      </c>
      <c r="BE90" s="44">
        <f>RawData!CS88</f>
        <v>-3.2818317413330078E-2</v>
      </c>
      <c r="BF90" s="42">
        <f>RawData!CT88</f>
        <v>-1.1796175541060642E-3</v>
      </c>
      <c r="BG90" s="41">
        <f>RawData!AS88</f>
        <v>2863350</v>
      </c>
      <c r="BH90" s="41">
        <f>RawData!CU88</f>
        <v>2302100</v>
      </c>
      <c r="BI90" s="41">
        <f>RawData!AR88</f>
        <v>561250</v>
      </c>
      <c r="BJ90" s="42">
        <f>RawData!CV88</f>
        <v>0.24379913991572913</v>
      </c>
      <c r="BK90" s="41">
        <f>RawData!AQ88</f>
        <v>73033500</v>
      </c>
      <c r="BL90" s="40">
        <f>RawData!AO88</f>
        <v>-0.29702717065811157</v>
      </c>
      <c r="BM90" s="40">
        <f>RawData!AN88</f>
        <v>2.4610757827758789E-4</v>
      </c>
      <c r="BN90" s="40">
        <f>RawData!AM88</f>
        <v>-95.071121215820313</v>
      </c>
      <c r="BO90" s="40">
        <f>RawData!AL88</f>
        <v>0.14614105224609375</v>
      </c>
      <c r="BP90" s="40">
        <f>RawData!AK88</f>
        <v>7.0347194671630859</v>
      </c>
      <c r="BQ90" s="40">
        <f>RawData!AJ88</f>
        <v>-2.8071403503417969E-3</v>
      </c>
      <c r="BR90" s="38">
        <f>RawData!AI88</f>
        <v>6.1283912509679794E-4</v>
      </c>
      <c r="BS90" s="38">
        <f>RawData!AH88</f>
        <v>5.0355447456240654E-7</v>
      </c>
      <c r="BT90" s="40">
        <f>RawData!AG88</f>
        <v>-0.85752272605895996</v>
      </c>
      <c r="BU90" s="39">
        <f>RawData!AF88</f>
        <v>-2.5396347045898438E-3</v>
      </c>
      <c r="BV90" s="39">
        <f>RawData!AE88</f>
        <v>0.11589039862155914</v>
      </c>
      <c r="BW90" s="38">
        <f>RawData!AD88</f>
        <v>2.1175295114517212E-4</v>
      </c>
      <c r="BX90" s="38">
        <f>RawData!AC88</f>
        <v>-5.9432227317302022E-7</v>
      </c>
      <c r="BY90" s="37">
        <f>RawData!AB88</f>
        <v>-1.9514914129104E-9</v>
      </c>
      <c r="BZ90" s="37">
        <f>RawData!AA88</f>
        <v>-1.5962632605805993E-3</v>
      </c>
      <c r="CA90" s="36">
        <f>RawData!Z88</f>
        <v>-1.5285331755876541E-6</v>
      </c>
      <c r="CB90" s="36">
        <f>RawData!Y88</f>
        <v>-2.1572790865320712E-4</v>
      </c>
      <c r="CC90" s="36">
        <f>RawData!X88</f>
        <v>3.8620783016085625E-8</v>
      </c>
      <c r="CD90" s="36">
        <f>RawData!W88</f>
        <v>928.89642333984375</v>
      </c>
      <c r="CE90" s="40">
        <f>RawData!V88</f>
        <v>3.96759033203125</v>
      </c>
      <c r="CF90" s="40">
        <f>RawData!U88</f>
        <v>580.05364990234375</v>
      </c>
      <c r="CG90" s="40">
        <f>RawData!T88</f>
        <v>0.57647705078125</v>
      </c>
      <c r="CH90" s="44">
        <f>RawData!S88</f>
        <v>149.94999694824219</v>
      </c>
      <c r="CI90" s="44">
        <f>RawData!R88</f>
        <v>183</v>
      </c>
      <c r="CJ90" s="44">
        <f>RawData!Q88</f>
        <v>74.099998474121094</v>
      </c>
      <c r="CK90" s="44">
        <f>RawData!P88</f>
        <v>106.90000152587891</v>
      </c>
      <c r="CL90" s="44">
        <f>RawData!CJ88</f>
        <v>50</v>
      </c>
      <c r="CM90" s="43">
        <f>RawData!CI88</f>
        <v>107.15000152587891</v>
      </c>
      <c r="CN90" s="44">
        <f>RawData!CL88</f>
        <v>75</v>
      </c>
      <c r="CO90" s="43">
        <f>RawData!CK88</f>
        <v>106.94999694824219</v>
      </c>
      <c r="CP90" s="44">
        <f>RawData!CM88</f>
        <v>116.70999908447266</v>
      </c>
      <c r="CQ90" s="47">
        <f>RawData!CO88</f>
        <v>44783.638194444444</v>
      </c>
      <c r="CR90" s="44">
        <f>RawData!CP88</f>
        <v>38295.69921875</v>
      </c>
      <c r="CS90" s="44">
        <f>RawData!DG88</f>
        <v>38295.69921875</v>
      </c>
      <c r="CT90" s="43" t="str">
        <f>RawData!DJ88</f>
        <v>G</v>
      </c>
      <c r="CU90" s="43" t="str">
        <f>RawData!CQ88</f>
        <v>FairPrice</v>
      </c>
      <c r="CV90" s="47">
        <f>RawData!CR88</f>
        <v>44783.638194444444</v>
      </c>
      <c r="CW90" s="65">
        <f>RawData!DK88</f>
        <v>38300</v>
      </c>
      <c r="CX90" s="65">
        <f>RawData!DL88</f>
        <v>3400000</v>
      </c>
      <c r="CY90" s="65">
        <f>RawData!DM88</f>
        <v>38500</v>
      </c>
      <c r="CZ90" s="65">
        <f>RawData!DN88</f>
        <v>0</v>
      </c>
      <c r="DA90" s="65">
        <f>RawData!DO88</f>
        <v>24500</v>
      </c>
      <c r="DB90" s="65">
        <f>RawData!DP88</f>
        <v>2863350</v>
      </c>
      <c r="DC90" s="65">
        <f>RawData!DQ88</f>
        <v>38000</v>
      </c>
      <c r="DD90" s="65">
        <f>RawData!DR88</f>
        <v>0</v>
      </c>
      <c r="DE90" s="65">
        <f>RawData!DS88</f>
        <v>24500</v>
      </c>
      <c r="DF90" s="65" t="str">
        <f>RawData!DT88</f>
        <v>BANKNIFTY</v>
      </c>
      <c r="DG90" s="66">
        <f>RawData!DU88</f>
        <v>44784</v>
      </c>
      <c r="DI90" s="21">
        <f t="shared" si="1"/>
        <v>295.69921875</v>
      </c>
    </row>
    <row r="91" spans="1:113" x14ac:dyDescent="0.2">
      <c r="A91" s="59">
        <f>RawData!CN89</f>
        <v>44783.638194444444</v>
      </c>
      <c r="B91" s="44">
        <f>RawData!CH89</f>
        <v>347.3699951171875</v>
      </c>
      <c r="C91" s="44">
        <f>RawData!CG89</f>
        <v>275</v>
      </c>
      <c r="D91" s="43">
        <f>RawData!CF89</f>
        <v>330</v>
      </c>
      <c r="E91" s="44">
        <f>RawData!CE89</f>
        <v>325</v>
      </c>
      <c r="F91" s="43">
        <f>RawData!CD89</f>
        <v>331</v>
      </c>
      <c r="G91" s="44">
        <f>RawData!CC89</f>
        <v>330.20001220703125</v>
      </c>
      <c r="H91" s="44">
        <f>RawData!CB89</f>
        <v>265</v>
      </c>
      <c r="I91" s="44">
        <f>RawData!CA89</f>
        <v>425</v>
      </c>
      <c r="J91" s="44">
        <f>RawData!BZ89</f>
        <v>345.85000610351563</v>
      </c>
      <c r="K91" s="40">
        <f>RawData!BY89</f>
        <v>0.203155517578125</v>
      </c>
      <c r="L91" s="40">
        <f>RawData!BX89</f>
        <v>475.1619873046875</v>
      </c>
      <c r="M91" s="40">
        <f>RawData!BW89</f>
        <v>1.3388671875</v>
      </c>
      <c r="N91" s="40">
        <f>RawData!BV89</f>
        <v>409.010498046875</v>
      </c>
      <c r="O91" s="36">
        <f>RawData!BU89</f>
        <v>-1.2959935702383518E-7</v>
      </c>
      <c r="P91" s="36">
        <f>RawData!BT89</f>
        <v>-2.8839783044531941E-4</v>
      </c>
      <c r="Q91" s="36">
        <f>RawData!BS89</f>
        <v>-2.7902424335479736E-6</v>
      </c>
      <c r="R91" s="36">
        <f>RawData!BR89</f>
        <v>-2.1943817846477032E-3</v>
      </c>
      <c r="S91" s="37">
        <f>RawData!BQ89</f>
        <v>-1.2421423889463767E-9</v>
      </c>
      <c r="T91" s="37">
        <f>RawData!BP89</f>
        <v>-4.6870303549439996E-7</v>
      </c>
      <c r="U91" s="38">
        <f>RawData!BO89</f>
        <v>9.9636614322662354E-5</v>
      </c>
      <c r="V91" s="38">
        <f>RawData!BN89</f>
        <v>7.2580531239509583E-2</v>
      </c>
      <c r="W91" s="39">
        <f>RawData!BM89</f>
        <v>-1.211702823638916E-3</v>
      </c>
      <c r="X91" s="39">
        <f>RawData!BL89</f>
        <v>-0.55225586891174316</v>
      </c>
      <c r="Y91" s="38">
        <f>RawData!BJ89</f>
        <v>5.029141902923584E-7</v>
      </c>
      <c r="Z91" s="38">
        <f>RawData!BI89</f>
        <v>6.7969912197440863E-4</v>
      </c>
      <c r="AA91" s="40">
        <f>RawData!BH89</f>
        <v>-1.2636184692382813E-3</v>
      </c>
      <c r="AB91" s="40">
        <f>RawData!BG89</f>
        <v>7.587435245513916</v>
      </c>
      <c r="AC91" s="40">
        <f>RawData!BF89</f>
        <v>9.87091064453125E-2</v>
      </c>
      <c r="AD91" s="40">
        <f>RawData!BE89</f>
        <v>-99.718284606933594</v>
      </c>
      <c r="AE91" s="40">
        <f>RawData!BD89</f>
        <v>1.4996528625488281E-4</v>
      </c>
      <c r="AF91" s="40">
        <f>RawData!BC89</f>
        <v>0.64221936464309692</v>
      </c>
      <c r="AG91" s="41">
        <f>RawData!BB89</f>
        <v>20701600</v>
      </c>
      <c r="AH91" s="42">
        <f>RawData!DB89</f>
        <v>0.11572886932120567</v>
      </c>
      <c r="AI91" s="41">
        <f>RawData!BA89</f>
        <v>59800</v>
      </c>
      <c r="AJ91" s="43">
        <f>RawData!DA89</f>
        <v>516725</v>
      </c>
      <c r="AK91" s="41">
        <f>RawData!AZ89</f>
        <v>576525</v>
      </c>
      <c r="AL91" s="42">
        <f>RawData!DD89</f>
        <v>-8.6574553339985002E-4</v>
      </c>
      <c r="AM91" s="44">
        <f>RawData!DC89</f>
        <v>-2.3415684700012207E-2</v>
      </c>
      <c r="AN91" s="45">
        <f>RawData!BK89</f>
        <v>27.023428678512573</v>
      </c>
      <c r="AO91" s="44">
        <f>RawData!AY89</f>
        <v>27.023428678512573</v>
      </c>
      <c r="AP91" s="43" t="str">
        <f>RawData!DH89</f>
        <v>R</v>
      </c>
      <c r="AQ91" s="43">
        <f>RawData!DE89</f>
        <v>330.20001220703125</v>
      </c>
      <c r="AR91" s="42">
        <f>RawData!CZ89</f>
        <v>-4.5404538735614313E-4</v>
      </c>
      <c r="AS91" s="44">
        <f>RawData!AX89</f>
        <v>-0.149993896484375</v>
      </c>
      <c r="AT91" s="43">
        <f>RawData!CY89</f>
        <v>330.20001220703125</v>
      </c>
      <c r="AU91" s="44">
        <f>RawData!AW89</f>
        <v>330.20001220703125</v>
      </c>
      <c r="AV91" s="46">
        <f>RawData!O89</f>
        <v>38100</v>
      </c>
      <c r="AW91" s="44">
        <f>RawData!AV89</f>
        <v>134.30000305175781</v>
      </c>
      <c r="AX91" s="44">
        <f>RawData!CW89</f>
        <v>134.30000305175781</v>
      </c>
      <c r="AY91" s="44">
        <f>RawData!AU89</f>
        <v>0</v>
      </c>
      <c r="AZ91" s="42">
        <f>RawData!CX89</f>
        <v>0</v>
      </c>
      <c r="BA91" s="44">
        <f>RawData!DF89</f>
        <v>134.30000305175781</v>
      </c>
      <c r="BB91" s="43" t="str">
        <f>RawData!DI89</f>
        <v>W</v>
      </c>
      <c r="BC91" s="44">
        <f>RawData!AT89</f>
        <v>26.992353796958923</v>
      </c>
      <c r="BD91" s="45">
        <f>RawData!AP89</f>
        <v>26.992353796958923</v>
      </c>
      <c r="BE91" s="44">
        <f>RawData!CS89</f>
        <v>2.9414892196655273E-3</v>
      </c>
      <c r="BF91" s="42">
        <f>RawData!CT89</f>
        <v>1.0898678289567834E-4</v>
      </c>
      <c r="BG91" s="41">
        <f>RawData!AS89</f>
        <v>1262975</v>
      </c>
      <c r="BH91" s="41">
        <f>RawData!CU89</f>
        <v>863975</v>
      </c>
      <c r="BI91" s="41">
        <f>RawData!AR89</f>
        <v>399000</v>
      </c>
      <c r="BJ91" s="42">
        <f>RawData!CV89</f>
        <v>0.46181891837148065</v>
      </c>
      <c r="BK91" s="41">
        <f>RawData!AQ89</f>
        <v>38408025</v>
      </c>
      <c r="BL91" s="40">
        <f>RawData!AO89</f>
        <v>-0.35769826173782349</v>
      </c>
      <c r="BM91" s="40">
        <f>RawData!AN89</f>
        <v>2.2590160369873047E-5</v>
      </c>
      <c r="BN91" s="40">
        <f>RawData!AM89</f>
        <v>-99.5953369140625</v>
      </c>
      <c r="BO91" s="40">
        <f>RawData!AL89</f>
        <v>-1.093292236328125E-2</v>
      </c>
      <c r="BP91" s="40">
        <f>RawData!AK89</f>
        <v>7.5868048667907715</v>
      </c>
      <c r="BQ91" s="40">
        <f>RawData!AJ89</f>
        <v>-3.2138824462890625E-4</v>
      </c>
      <c r="BR91" s="38">
        <f>RawData!AI89</f>
        <v>6.8042863858863711E-4</v>
      </c>
      <c r="BS91" s="38">
        <f>RawData!AH89</f>
        <v>-7.5378920882940292E-8</v>
      </c>
      <c r="BT91" s="40">
        <f>RawData!AG89</f>
        <v>-0.55331087112426758</v>
      </c>
      <c r="BU91" s="39">
        <f>RawData!AF89</f>
        <v>-4.5597553253173828E-5</v>
      </c>
      <c r="BV91" s="39">
        <f>RawData!AE89</f>
        <v>7.2635561227798462E-2</v>
      </c>
      <c r="BW91" s="38">
        <f>RawData!AD89</f>
        <v>1.7039477825164795E-5</v>
      </c>
      <c r="BX91" s="38">
        <f>RawData!AC89</f>
        <v>-4.7000082759041106E-7</v>
      </c>
      <c r="BY91" s="37">
        <f>RawData!AB89</f>
        <v>1.7053025658242404E-11</v>
      </c>
      <c r="BZ91" s="37">
        <f>RawData!AA89</f>
        <v>-2.1988532971590757E-3</v>
      </c>
      <c r="CA91" s="36">
        <f>RawData!Z89</f>
        <v>5.9115700423717499E-7</v>
      </c>
      <c r="CB91" s="36">
        <f>RawData!Y89</f>
        <v>-2.886531874537468E-4</v>
      </c>
      <c r="CC91" s="36">
        <f>RawData!X89</f>
        <v>3.3644028007984161E-8</v>
      </c>
      <c r="CD91" s="36">
        <f>RawData!W89</f>
        <v>410.03903198242188</v>
      </c>
      <c r="CE91" s="40">
        <f>RawData!V89</f>
        <v>9.356689453125E-2</v>
      </c>
      <c r="CF91" s="40">
        <f>RawData!U89</f>
        <v>475.26797485351563</v>
      </c>
      <c r="CG91" s="40">
        <f>RawData!T89</f>
        <v>3.94287109375E-2</v>
      </c>
      <c r="CH91" s="44">
        <f>RawData!S89</f>
        <v>186.55000305175781</v>
      </c>
      <c r="CI91" s="44">
        <f>RawData!R89</f>
        <v>222.60000610351563</v>
      </c>
      <c r="CJ91" s="44">
        <f>RawData!Q89</f>
        <v>96.599998474121094</v>
      </c>
      <c r="CK91" s="44">
        <f>RawData!P89</f>
        <v>134.30000305175781</v>
      </c>
      <c r="CL91" s="44">
        <f>RawData!CJ89</f>
        <v>50</v>
      </c>
      <c r="CM91" s="43">
        <f>RawData!CI89</f>
        <v>134.25</v>
      </c>
      <c r="CN91" s="44">
        <f>RawData!CL89</f>
        <v>225</v>
      </c>
      <c r="CO91" s="43">
        <f>RawData!CK89</f>
        <v>133.85000610351563</v>
      </c>
      <c r="CP91" s="44">
        <f>RawData!CM89</f>
        <v>146.77999877929688</v>
      </c>
      <c r="CQ91" s="47">
        <f>RawData!CO89</f>
        <v>44783.638194444444</v>
      </c>
      <c r="CR91" s="44">
        <f>RawData!CP89</f>
        <v>38295.69921875</v>
      </c>
      <c r="CS91" s="44">
        <f>RawData!DG89</f>
        <v>38295.69921875</v>
      </c>
      <c r="CT91" s="43" t="str">
        <f>RawData!DJ89</f>
        <v>G</v>
      </c>
      <c r="CU91" s="43" t="str">
        <f>RawData!CQ89</f>
        <v>FairPrice</v>
      </c>
      <c r="CV91" s="47">
        <f>RawData!CR89</f>
        <v>44783.638194444444</v>
      </c>
      <c r="CW91" s="65">
        <f>RawData!DK89</f>
        <v>38300</v>
      </c>
      <c r="CX91" s="65">
        <f>RawData!DL89</f>
        <v>3400000</v>
      </c>
      <c r="CY91" s="65">
        <f>RawData!DM89</f>
        <v>38500</v>
      </c>
      <c r="CZ91" s="65">
        <f>RawData!DN89</f>
        <v>0</v>
      </c>
      <c r="DA91" s="65">
        <f>RawData!DO89</f>
        <v>24500</v>
      </c>
      <c r="DB91" s="65">
        <f>RawData!DP89</f>
        <v>2863350</v>
      </c>
      <c r="DC91" s="65">
        <f>RawData!DQ89</f>
        <v>38000</v>
      </c>
      <c r="DD91" s="65">
        <f>RawData!DR89</f>
        <v>0</v>
      </c>
      <c r="DE91" s="65">
        <f>RawData!DS89</f>
        <v>24500</v>
      </c>
      <c r="DF91" s="65" t="str">
        <f>RawData!DT89</f>
        <v>BANKNIFTY</v>
      </c>
      <c r="DG91" s="66">
        <f>RawData!DU89</f>
        <v>44784</v>
      </c>
      <c r="DI91" s="21">
        <f t="shared" si="1"/>
        <v>195.69921875</v>
      </c>
    </row>
    <row r="92" spans="1:113" x14ac:dyDescent="0.2">
      <c r="A92" s="59">
        <f>RawData!CN90</f>
        <v>44783.638194444444</v>
      </c>
      <c r="B92" s="44">
        <f>RawData!CH90</f>
        <v>282.67999267578125</v>
      </c>
      <c r="C92" s="44">
        <f>RawData!CG90</f>
        <v>75</v>
      </c>
      <c r="D92" s="43">
        <f>RawData!CF90</f>
        <v>264.04998779296875</v>
      </c>
      <c r="E92" s="44">
        <f>RawData!CE90</f>
        <v>100</v>
      </c>
      <c r="F92" s="43">
        <f>RawData!CD90</f>
        <v>264.64999389648438</v>
      </c>
      <c r="G92" s="44">
        <f>RawData!CC90</f>
        <v>264</v>
      </c>
      <c r="H92" s="44">
        <f>RawData!CB90</f>
        <v>210.75</v>
      </c>
      <c r="I92" s="44">
        <f>RawData!CA90</f>
        <v>355</v>
      </c>
      <c r="J92" s="44">
        <f>RawData!BZ90</f>
        <v>290</v>
      </c>
      <c r="K92" s="40">
        <f>RawData!BY90</f>
        <v>0.3367919921875</v>
      </c>
      <c r="L92" s="40">
        <f>RawData!BX90</f>
        <v>414.11947631835938</v>
      </c>
      <c r="M92" s="40">
        <f>RawData!BW90</f>
        <v>1.9148941040039063</v>
      </c>
      <c r="N92" s="40">
        <f>RawData!BV90</f>
        <v>100.85790252685547</v>
      </c>
      <c r="O92" s="36">
        <f>RawData!BU90</f>
        <v>-5.7893339544534683E-7</v>
      </c>
      <c r="P92" s="36">
        <f>RawData!BT90</f>
        <v>-3.456082777120173E-4</v>
      </c>
      <c r="Q92" s="36">
        <f>RawData!BS90</f>
        <v>-1.0988209396600723E-5</v>
      </c>
      <c r="R92" s="36">
        <f>RawData!BR90</f>
        <v>-2.7049568016082048E-3</v>
      </c>
      <c r="S92" s="37">
        <f>RawData!BQ90</f>
        <v>-3.2077878131531179E-9</v>
      </c>
      <c r="T92" s="37">
        <f>RawData!BP90</f>
        <v>-2.7536734137356689E-7</v>
      </c>
      <c r="U92" s="38">
        <f>RawData!BO90</f>
        <v>3.0370801687240601E-4</v>
      </c>
      <c r="V92" s="38">
        <f>RawData!BN90</f>
        <v>3.4028779715299606E-2</v>
      </c>
      <c r="W92" s="39">
        <f>RawData!BM90</f>
        <v>-3.0081570148468018E-3</v>
      </c>
      <c r="X92" s="39">
        <f>RawData!BL90</f>
        <v>-0.26633152365684509</v>
      </c>
      <c r="Y92" s="38">
        <f>RawData!BJ90</f>
        <v>1.5954137779772282E-6</v>
      </c>
      <c r="Z92" s="38">
        <f>RawData!BI90</f>
        <v>7.3424464790150523E-4</v>
      </c>
      <c r="AA92" s="40">
        <f>RawData!BH90</f>
        <v>-2.2034645080566406E-3</v>
      </c>
      <c r="AB92" s="40">
        <f>RawData!BG90</f>
        <v>7.9689207077026367</v>
      </c>
      <c r="AC92" s="40">
        <f>RawData!BF90</f>
        <v>0.27227020263671875</v>
      </c>
      <c r="AD92" s="40">
        <f>RawData!BE90</f>
        <v>-101.81770324707031</v>
      </c>
      <c r="AE92" s="40">
        <f>RawData!BD90</f>
        <v>5.6892633438110352E-4</v>
      </c>
      <c r="AF92" s="40">
        <f>RawData!BC90</f>
        <v>0.57390314340591431</v>
      </c>
      <c r="AG92" s="41">
        <f>RawData!BB90</f>
        <v>60665575</v>
      </c>
      <c r="AH92" s="42">
        <f>RawData!DB90</f>
        <v>9.2926464745833257E-2</v>
      </c>
      <c r="AI92" s="41">
        <f>RawData!BA90</f>
        <v>122800</v>
      </c>
      <c r="AJ92" s="43">
        <f>RawData!DA90</f>
        <v>1321475</v>
      </c>
      <c r="AK92" s="41">
        <f>RawData!AZ90</f>
        <v>1444275</v>
      </c>
      <c r="AL92" s="42">
        <f>RawData!DD90</f>
        <v>-2.4342725477719766E-3</v>
      </c>
      <c r="AM92" s="44">
        <f>RawData!DC90</f>
        <v>-6.4110755920410156E-2</v>
      </c>
      <c r="AN92" s="45">
        <f>RawData!BK90</f>
        <v>26.272609829902649</v>
      </c>
      <c r="AO92" s="44">
        <f>RawData!AY90</f>
        <v>26.272609829902649</v>
      </c>
      <c r="AP92" s="43" t="str">
        <f>RawData!DH90</f>
        <v>R</v>
      </c>
      <c r="AQ92" s="43">
        <f>RawData!DE90</f>
        <v>264</v>
      </c>
      <c r="AR92" s="42">
        <f>RawData!CZ90</f>
        <v>-7.5704843978022728E-4</v>
      </c>
      <c r="AS92" s="44">
        <f>RawData!AX90</f>
        <v>-0.20001220703125</v>
      </c>
      <c r="AT92" s="43">
        <f>RawData!CY90</f>
        <v>264</v>
      </c>
      <c r="AU92" s="44">
        <f>RawData!AW90</f>
        <v>264</v>
      </c>
      <c r="AV92" s="46">
        <f>RawData!O90</f>
        <v>38200</v>
      </c>
      <c r="AW92" s="44">
        <f>RawData!AV90</f>
        <v>167.30000305175781</v>
      </c>
      <c r="AX92" s="44">
        <f>RawData!CW90</f>
        <v>167.30000305175781</v>
      </c>
      <c r="AY92" s="44">
        <f>RawData!AU90</f>
        <v>-9.99908447265625E-2</v>
      </c>
      <c r="AZ92" s="42">
        <f>RawData!CX90</f>
        <v>-5.9731689589184896E-4</v>
      </c>
      <c r="BA92" s="44">
        <f>RawData!DF90</f>
        <v>167.30000305175781</v>
      </c>
      <c r="BB92" s="43" t="str">
        <f>RawData!DI90</f>
        <v>R</v>
      </c>
      <c r="BC92" s="44">
        <f>RawData!AT90</f>
        <v>26.144075393676758</v>
      </c>
      <c r="BD92" s="45">
        <f>RawData!AP90</f>
        <v>26.144075393676758</v>
      </c>
      <c r="BE92" s="44">
        <f>RawData!CS90</f>
        <v>-9.3132257461547852E-3</v>
      </c>
      <c r="BF92" s="42">
        <f>RawData!CT90</f>
        <v>-3.5610015519129643E-4</v>
      </c>
      <c r="BG92" s="41">
        <f>RawData!AS90</f>
        <v>1939375</v>
      </c>
      <c r="BH92" s="41">
        <f>RawData!CU90</f>
        <v>1260475</v>
      </c>
      <c r="BI92" s="41">
        <f>RawData!AR90</f>
        <v>678900</v>
      </c>
      <c r="BJ92" s="42">
        <f>RawData!CV90</f>
        <v>0.53860647771673376</v>
      </c>
      <c r="BK92" s="41">
        <f>RawData!AQ90</f>
        <v>66744700</v>
      </c>
      <c r="BL92" s="40">
        <f>RawData!AO90</f>
        <v>-0.42572620511054993</v>
      </c>
      <c r="BM92" s="40">
        <f>RawData!AN90</f>
        <v>6.2555074691772461E-5</v>
      </c>
      <c r="BN92" s="40">
        <f>RawData!AM90</f>
        <v>-101.30400085449219</v>
      </c>
      <c r="BO92" s="40">
        <f>RawData!AL90</f>
        <v>3.679656982421875E-2</v>
      </c>
      <c r="BP92" s="40">
        <f>RawData!AK90</f>
        <v>7.9673514366149902</v>
      </c>
      <c r="BQ92" s="40">
        <f>RawData!AJ90</f>
        <v>-3.9958953857421875E-4</v>
      </c>
      <c r="BR92" s="38">
        <f>RawData!AI90</f>
        <v>7.3773920303210616E-4</v>
      </c>
      <c r="BS92" s="38">
        <f>RawData!AH90</f>
        <v>2.5570625439286232E-7</v>
      </c>
      <c r="BT92" s="40">
        <f>RawData!AG90</f>
        <v>-0.2692628800868988</v>
      </c>
      <c r="BU92" s="39">
        <f>RawData!AF90</f>
        <v>-3.5974383354187012E-4</v>
      </c>
      <c r="BV92" s="39">
        <f>RawData!AE90</f>
        <v>3.4236479550600052E-2</v>
      </c>
      <c r="BW92" s="38">
        <f>RawData!AD90</f>
        <v>3.5040080547332764E-5</v>
      </c>
      <c r="BX92" s="38">
        <f>RawData!AC90</f>
        <v>-2.7926142820433597E-7</v>
      </c>
      <c r="BY92" s="37">
        <f>RawData!AB90</f>
        <v>-4.1595171751396265E-10</v>
      </c>
      <c r="BZ92" s="37">
        <f>RawData!AA90</f>
        <v>-2.7301970403641462E-3</v>
      </c>
      <c r="CA92" s="36">
        <f>RawData!Z90</f>
        <v>-1.7532147467136383E-6</v>
      </c>
      <c r="CB92" s="36">
        <f>RawData!Y90</f>
        <v>-3.4714158391579986E-4</v>
      </c>
      <c r="CC92" s="36">
        <f>RawData!X90</f>
        <v>-1.1434894986450672E-7</v>
      </c>
      <c r="CD92" s="36">
        <f>RawData!W90</f>
        <v>102.48335266113281</v>
      </c>
      <c r="CE92" s="40">
        <f>RawData!V90</f>
        <v>0.22205352783203125</v>
      </c>
      <c r="CF92" s="40">
        <f>RawData!U90</f>
        <v>414.34371948242188</v>
      </c>
      <c r="CG92" s="40">
        <f>RawData!T90</f>
        <v>4.534912109375E-2</v>
      </c>
      <c r="CH92" s="44">
        <f>RawData!S90</f>
        <v>222.19999694824219</v>
      </c>
      <c r="CI92" s="44">
        <f>RawData!R90</f>
        <v>268</v>
      </c>
      <c r="CJ92" s="44">
        <f>RawData!Q90</f>
        <v>125.30000305175781</v>
      </c>
      <c r="CK92" s="44">
        <f>RawData!P90</f>
        <v>167.30000305175781</v>
      </c>
      <c r="CL92" s="44">
        <f>RawData!CJ90</f>
        <v>25</v>
      </c>
      <c r="CM92" s="43">
        <f>RawData!CI90</f>
        <v>167.25</v>
      </c>
      <c r="CN92" s="44">
        <f>RawData!CL90</f>
        <v>50</v>
      </c>
      <c r="CO92" s="43">
        <f>RawData!CK90</f>
        <v>166.85000610351563</v>
      </c>
      <c r="CP92" s="44">
        <f>RawData!CM90</f>
        <v>184.32000732421875</v>
      </c>
      <c r="CQ92" s="47">
        <f>RawData!CO90</f>
        <v>44783.638194444444</v>
      </c>
      <c r="CR92" s="44">
        <f>RawData!CP90</f>
        <v>38295.69921875</v>
      </c>
      <c r="CS92" s="44">
        <f>RawData!DG90</f>
        <v>38295.69921875</v>
      </c>
      <c r="CT92" s="43" t="str">
        <f>RawData!DJ90</f>
        <v>G</v>
      </c>
      <c r="CU92" s="43" t="str">
        <f>RawData!CQ90</f>
        <v>FairPrice</v>
      </c>
      <c r="CV92" s="47">
        <f>RawData!CR90</f>
        <v>44783.638194444444</v>
      </c>
      <c r="CW92" s="65">
        <f>RawData!DK90</f>
        <v>38300</v>
      </c>
      <c r="CX92" s="65">
        <f>RawData!DL90</f>
        <v>3400000</v>
      </c>
      <c r="CY92" s="65">
        <f>RawData!DM90</f>
        <v>38500</v>
      </c>
      <c r="CZ92" s="65">
        <f>RawData!DN90</f>
        <v>0</v>
      </c>
      <c r="DA92" s="65">
        <f>RawData!DO90</f>
        <v>24500</v>
      </c>
      <c r="DB92" s="65">
        <f>RawData!DP90</f>
        <v>2863350</v>
      </c>
      <c r="DC92" s="65">
        <f>RawData!DQ90</f>
        <v>38000</v>
      </c>
      <c r="DD92" s="65">
        <f>RawData!DR90</f>
        <v>0</v>
      </c>
      <c r="DE92" s="65">
        <f>RawData!DS90</f>
        <v>24500</v>
      </c>
      <c r="DF92" s="65" t="str">
        <f>RawData!DT90</f>
        <v>BANKNIFTY</v>
      </c>
      <c r="DG92" s="66">
        <f>RawData!DU90</f>
        <v>44784</v>
      </c>
      <c r="DI92" s="21">
        <f t="shared" si="1"/>
        <v>95.69921875</v>
      </c>
    </row>
    <row r="93" spans="1:113" x14ac:dyDescent="0.2">
      <c r="A93" s="59">
        <f>RawData!CN91</f>
        <v>44783.638194444444</v>
      </c>
      <c r="B93" s="44">
        <f>RawData!CH91</f>
        <v>224.97000122070313</v>
      </c>
      <c r="C93" s="44">
        <f>RawData!CG91</f>
        <v>100</v>
      </c>
      <c r="D93" s="43">
        <f>RawData!CF91</f>
        <v>203.75</v>
      </c>
      <c r="E93" s="44">
        <f>RawData!CE91</f>
        <v>75</v>
      </c>
      <c r="F93" s="43">
        <f>RawData!CD91</f>
        <v>204.19999694824219</v>
      </c>
      <c r="G93" s="44">
        <f>RawData!CC91</f>
        <v>203.64999389648438</v>
      </c>
      <c r="H93" s="44">
        <f>RawData!CB91</f>
        <v>164.64999389648438</v>
      </c>
      <c r="I93" s="44">
        <f>RawData!CA91</f>
        <v>290</v>
      </c>
      <c r="J93" s="44">
        <f>RawData!BZ91</f>
        <v>239.35000610351563</v>
      </c>
      <c r="K93" s="40">
        <f>RawData!BY91</f>
        <v>8.11767578125E-3</v>
      </c>
      <c r="L93" s="40">
        <f>RawData!BX91</f>
        <v>394.34774780273438</v>
      </c>
      <c r="M93" s="40">
        <f>RawData!BW91</f>
        <v>-1.4203868806362152E-2</v>
      </c>
      <c r="N93" s="40">
        <f>RawData!BV91</f>
        <v>7.7086545526981354E-2</v>
      </c>
      <c r="O93" s="36">
        <f>RawData!BU91</f>
        <v>-7.0061651058495045E-7</v>
      </c>
      <c r="P93" s="36">
        <f>RawData!BT91</f>
        <v>-3.7613109452649951E-4</v>
      </c>
      <c r="Q93" s="36">
        <f>RawData!BS91</f>
        <v>-1.1010793969035149E-5</v>
      </c>
      <c r="R93" s="36">
        <f>RawData!BR91</f>
        <v>-3.0473312363028526E-3</v>
      </c>
      <c r="S93" s="37">
        <f>RawData!BQ91</f>
        <v>-4.205418235869729E-10</v>
      </c>
      <c r="T93" s="37">
        <f>RawData!BP91</f>
        <v>-1.7795199980241705E-8</v>
      </c>
      <c r="U93" s="38">
        <f>RawData!BO91</f>
        <v>5.5630691349506378E-5</v>
      </c>
      <c r="V93" s="38">
        <f>RawData!BN91</f>
        <v>-2.9239954892545938E-3</v>
      </c>
      <c r="W93" s="39">
        <f>RawData!BM91</f>
        <v>-4.0837004780769348E-4</v>
      </c>
      <c r="X93" s="39">
        <f>RawData!BL91</f>
        <v>2.3689568042755127E-2</v>
      </c>
      <c r="Y93" s="38">
        <f>RawData!BJ91</f>
        <v>1.4037941582500935E-6</v>
      </c>
      <c r="Z93" s="38">
        <f>RawData!BI91</f>
        <v>7.734110695309937E-4</v>
      </c>
      <c r="AA93" s="40">
        <f>RawData!BH91</f>
        <v>-1.392364501953125E-4</v>
      </c>
      <c r="AB93" s="40">
        <f>RawData!BG91</f>
        <v>8.1082744598388672</v>
      </c>
      <c r="AC93" s="40">
        <f>RawData!BF91</f>
        <v>0.17755126953125</v>
      </c>
      <c r="AD93" s="40">
        <f>RawData!BE91</f>
        <v>-100.08016204833984</v>
      </c>
      <c r="AE93" s="40">
        <f>RawData!BD91</f>
        <v>1.0484457015991211E-4</v>
      </c>
      <c r="AF93" s="40">
        <f>RawData!BC91</f>
        <v>0.49936127662658691</v>
      </c>
      <c r="AG93" s="41">
        <f>RawData!BB91</f>
        <v>88115300</v>
      </c>
      <c r="AH93" s="42">
        <f>RawData!DB91</f>
        <v>1.2919410765399921</v>
      </c>
      <c r="AI93" s="41">
        <f>RawData!BA91</f>
        <v>1387900</v>
      </c>
      <c r="AJ93" s="43">
        <f>RawData!DA91</f>
        <v>1074275</v>
      </c>
      <c r="AK93" s="41">
        <f>RawData!AZ91</f>
        <v>2462175</v>
      </c>
      <c r="AL93" s="42">
        <f>RawData!DD91</f>
        <v>-1.7970461910380483E-3</v>
      </c>
      <c r="AM93" s="44">
        <f>RawData!DC91</f>
        <v>-4.5689940452575684E-2</v>
      </c>
      <c r="AN93" s="45">
        <f>RawData!BK91</f>
        <v>25.379332900047302</v>
      </c>
      <c r="AO93" s="44">
        <f>RawData!AY91</f>
        <v>25.379332900047302</v>
      </c>
      <c r="AP93" s="43" t="str">
        <f>RawData!DH91</f>
        <v>R</v>
      </c>
      <c r="AQ93" s="43">
        <f>RawData!DE91</f>
        <v>203.64999389648438</v>
      </c>
      <c r="AR93" s="42">
        <f>RawData!CZ91</f>
        <v>-1.4709637472264654E-3</v>
      </c>
      <c r="AS93" s="44">
        <f>RawData!AX91</f>
        <v>-0.3000030517578125</v>
      </c>
      <c r="AT93" s="43">
        <f>RawData!CY91</f>
        <v>203.64999389648438</v>
      </c>
      <c r="AU93" s="44">
        <f>RawData!AW91</f>
        <v>203.64999389648438</v>
      </c>
      <c r="AV93" s="46">
        <f>RawData!O91</f>
        <v>38300</v>
      </c>
      <c r="AW93" s="44">
        <f>RawData!AV91</f>
        <v>207.10000610351563</v>
      </c>
      <c r="AX93" s="44">
        <f>RawData!CW91</f>
        <v>207.10000610351563</v>
      </c>
      <c r="AY93" s="44">
        <f>RawData!AU91</f>
        <v>0.5500030517578125</v>
      </c>
      <c r="AZ93" s="42">
        <f>RawData!CX91</f>
        <v>2.662808248034697E-3</v>
      </c>
      <c r="BA93" s="44">
        <f>RawData!DF91</f>
        <v>207.10000610351563</v>
      </c>
      <c r="BB93" s="43" t="str">
        <f>RawData!DI91</f>
        <v>G</v>
      </c>
      <c r="BC93" s="44">
        <f>RawData!AT91</f>
        <v>25.271415710449219</v>
      </c>
      <c r="BD93" s="45">
        <f>RawData!AP91</f>
        <v>25.271415710449219</v>
      </c>
      <c r="BE93" s="44">
        <f>RawData!CS91</f>
        <v>0.10235011577606201</v>
      </c>
      <c r="BF93" s="42">
        <f>RawData!CT91</f>
        <v>4.0665043917134389E-3</v>
      </c>
      <c r="BG93" s="41">
        <f>RawData!AS91</f>
        <v>2021400</v>
      </c>
      <c r="BH93" s="41">
        <f>RawData!CU91</f>
        <v>418000</v>
      </c>
      <c r="BI93" s="41">
        <f>RawData!AR91</f>
        <v>1603400</v>
      </c>
      <c r="BJ93" s="42">
        <f>RawData!CV91</f>
        <v>3.8358851674641148</v>
      </c>
      <c r="BK93" s="41">
        <f>RawData!AQ91</f>
        <v>81379150</v>
      </c>
      <c r="BL93" s="40">
        <f>RawData!AO91</f>
        <v>-0.50070315599441528</v>
      </c>
      <c r="BM93" s="40">
        <f>RawData!AN91</f>
        <v>4.5341253280639648E-4</v>
      </c>
      <c r="BN93" s="40">
        <f>RawData!AM91</f>
        <v>-99.654441833496094</v>
      </c>
      <c r="BO93" s="40">
        <f>RawData!AL91</f>
        <v>-0.407440185546875</v>
      </c>
      <c r="BP93" s="40">
        <f>RawData!AK91</f>
        <v>8.1082611083984375</v>
      </c>
      <c r="BQ93" s="40">
        <f>RawData!AJ91</f>
        <v>-3.719329833984375E-5</v>
      </c>
      <c r="BR93" s="38">
        <f>RawData!AI91</f>
        <v>7.7671458711847663E-4</v>
      </c>
      <c r="BS93" s="38">
        <f>RawData!AH91</f>
        <v>-3.1508388929069042E-6</v>
      </c>
      <c r="BT93" s="40">
        <f>RawData!AG91</f>
        <v>2.3955399170517921E-2</v>
      </c>
      <c r="BU93" s="39">
        <f>RawData!AF91</f>
        <v>-1.813134178519249E-3</v>
      </c>
      <c r="BV93" s="39">
        <f>RawData!AE91</f>
        <v>-2.9442340601235628E-3</v>
      </c>
      <c r="BW93" s="38">
        <f>RawData!AD91</f>
        <v>2.0987982861697674E-4</v>
      </c>
      <c r="BX93" s="38">
        <f>RawData!AC91</f>
        <v>-1.7616594405467367E-8</v>
      </c>
      <c r="BY93" s="37">
        <f>RawData!AB91</f>
        <v>-1.6716033002239783E-9</v>
      </c>
      <c r="BZ93" s="37">
        <f>RawData!AA91</f>
        <v>-3.0734085012227297E-3</v>
      </c>
      <c r="CA93" s="36">
        <f>RawData!Z91</f>
        <v>2.495315857231617E-5</v>
      </c>
      <c r="CB93" s="36">
        <f>RawData!Y91</f>
        <v>-3.7773669464513659E-4</v>
      </c>
      <c r="CC93" s="36">
        <f>RawData!X91</f>
        <v>1.508218701928854E-6</v>
      </c>
      <c r="CD93" s="36">
        <f>RawData!W91</f>
        <v>8.5818521678447723E-2</v>
      </c>
      <c r="CE93" s="40">
        <f>RawData!V91</f>
        <v>-6.6014595329761505E-2</v>
      </c>
      <c r="CF93" s="40">
        <f>RawData!U91</f>
        <v>394.34835815429688</v>
      </c>
      <c r="CG93" s="40">
        <f>RawData!T91</f>
        <v>5.096435546875E-3</v>
      </c>
      <c r="CH93" s="44">
        <f>RawData!S91</f>
        <v>295.04998779296875</v>
      </c>
      <c r="CI93" s="44">
        <f>RawData!R91</f>
        <v>320.89999389648438</v>
      </c>
      <c r="CJ93" s="44">
        <f>RawData!Q91</f>
        <v>161.19999694824219</v>
      </c>
      <c r="CK93" s="44">
        <f>RawData!P91</f>
        <v>207.10000610351563</v>
      </c>
      <c r="CL93" s="44">
        <f>RawData!CJ91</f>
        <v>125</v>
      </c>
      <c r="CM93" s="43">
        <f>RawData!CI91</f>
        <v>207.10000610351563</v>
      </c>
      <c r="CN93" s="44">
        <f>RawData!CL91</f>
        <v>75</v>
      </c>
      <c r="CO93" s="43">
        <f>RawData!CK91</f>
        <v>206.69999694824219</v>
      </c>
      <c r="CP93" s="44">
        <f>RawData!CM91</f>
        <v>221.69999694824219</v>
      </c>
      <c r="CQ93" s="47">
        <f>RawData!CO91</f>
        <v>44783.638194444444</v>
      </c>
      <c r="CR93" s="44">
        <f>RawData!CP91</f>
        <v>38295.69921875</v>
      </c>
      <c r="CS93" s="44">
        <f>RawData!DG91</f>
        <v>38295.69921875</v>
      </c>
      <c r="CT93" s="43" t="str">
        <f>RawData!DJ91</f>
        <v>G</v>
      </c>
      <c r="CU93" s="43" t="str">
        <f>RawData!CQ91</f>
        <v>FairPrice</v>
      </c>
      <c r="CV93" s="47">
        <f>RawData!CR91</f>
        <v>44783.638194444444</v>
      </c>
      <c r="CW93" s="65">
        <f>RawData!DK91</f>
        <v>38300</v>
      </c>
      <c r="CX93" s="65">
        <f>RawData!DL91</f>
        <v>3400000</v>
      </c>
      <c r="CY93" s="65">
        <f>RawData!DM91</f>
        <v>38500</v>
      </c>
      <c r="CZ93" s="65">
        <f>RawData!DN91</f>
        <v>0</v>
      </c>
      <c r="DA93" s="65">
        <f>RawData!DO91</f>
        <v>24500</v>
      </c>
      <c r="DB93" s="65">
        <f>RawData!DP91</f>
        <v>2863350</v>
      </c>
      <c r="DC93" s="65">
        <f>RawData!DQ91</f>
        <v>38000</v>
      </c>
      <c r="DD93" s="65">
        <f>RawData!DR91</f>
        <v>0</v>
      </c>
      <c r="DE93" s="65">
        <f>RawData!DS91</f>
        <v>24500</v>
      </c>
      <c r="DF93" s="65" t="str">
        <f>RawData!DT91</f>
        <v>BANKNIFTY</v>
      </c>
      <c r="DG93" s="66">
        <f>RawData!DU91</f>
        <v>44784</v>
      </c>
      <c r="DI93" s="21">
        <f t="shared" si="1"/>
        <v>4.30078125</v>
      </c>
    </row>
    <row r="94" spans="1:113" x14ac:dyDescent="0.2">
      <c r="A94" s="59">
        <f>RawData!CN92</f>
        <v>44783.638194444444</v>
      </c>
      <c r="B94" s="44">
        <f>RawData!CH92</f>
        <v>176.50999450683594</v>
      </c>
      <c r="C94" s="44">
        <f>RawData!CG92</f>
        <v>50</v>
      </c>
      <c r="D94" s="43">
        <f>RawData!CF92</f>
        <v>153.35000610351563</v>
      </c>
      <c r="E94" s="44">
        <f>RawData!CE92</f>
        <v>25</v>
      </c>
      <c r="F94" s="43">
        <f>RawData!CD92</f>
        <v>153.69999694824219</v>
      </c>
      <c r="G94" s="44">
        <f>RawData!CC92</f>
        <v>153.39999389648438</v>
      </c>
      <c r="H94" s="44">
        <f>RawData!CB92</f>
        <v>123.90000152587891</v>
      </c>
      <c r="I94" s="44">
        <f>RawData!CA92</f>
        <v>232</v>
      </c>
      <c r="J94" s="44">
        <f>RawData!BZ92</f>
        <v>185.05000305175781</v>
      </c>
      <c r="K94" s="40">
        <f>RawData!BY92</f>
        <v>-0.156829833984375</v>
      </c>
      <c r="L94" s="40">
        <f>RawData!BX92</f>
        <v>419.50482177734375</v>
      </c>
      <c r="M94" s="40">
        <f>RawData!BW92</f>
        <v>-0.6997222900390625</v>
      </c>
      <c r="N94" s="40">
        <f>RawData!BV92</f>
        <v>142.59114074707031</v>
      </c>
      <c r="O94" s="36">
        <f>RawData!BU92</f>
        <v>-8.6484942585229874E-7</v>
      </c>
      <c r="P94" s="36">
        <f>RawData!BT92</f>
        <v>-3.6128013744018972E-4</v>
      </c>
      <c r="Q94" s="36">
        <f>RawData!BS92</f>
        <v>-1.2754695490002632E-5</v>
      </c>
      <c r="R94" s="36">
        <f>RawData!BR92</f>
        <v>-2.9966565780341625E-3</v>
      </c>
      <c r="S94" s="37">
        <f>RawData!BQ92</f>
        <v>1.4296119843493216E-10</v>
      </c>
      <c r="T94" s="37">
        <f>RawData!BP92</f>
        <v>2.8814153552048083E-7</v>
      </c>
      <c r="U94" s="38">
        <f>RawData!BO92</f>
        <v>1.430213451385498E-4</v>
      </c>
      <c r="V94" s="38">
        <f>RawData!BN92</f>
        <v>-4.2239975184202194E-2</v>
      </c>
      <c r="W94" s="39">
        <f>RawData!BM92</f>
        <v>-5.2997469902038574E-4</v>
      </c>
      <c r="X94" s="39">
        <f>RawData!BL92</f>
        <v>0.35036164522171021</v>
      </c>
      <c r="Y94" s="38">
        <f>RawData!BJ92</f>
        <v>1.5930854715406895E-6</v>
      </c>
      <c r="Z94" s="38">
        <f>RawData!BI92</f>
        <v>7.7604898251593113E-4</v>
      </c>
      <c r="AA94" s="40">
        <f>RawData!BH92</f>
        <v>1.0218620300292969E-3</v>
      </c>
      <c r="AB94" s="40">
        <f>RawData!BG92</f>
        <v>7.9475111961364746</v>
      </c>
      <c r="AC94" s="40">
        <f>RawData!BF92</f>
        <v>0.1668701171875</v>
      </c>
      <c r="AD94" s="40">
        <f>RawData!BE92</f>
        <v>-95.816047668457031</v>
      </c>
      <c r="AE94" s="40">
        <f>RawData!BD92</f>
        <v>2.6479363441467285E-4</v>
      </c>
      <c r="AF94" s="40">
        <f>RawData!BC92</f>
        <v>0.42064690589904785</v>
      </c>
      <c r="AG94" s="41">
        <f>RawData!BB92</f>
        <v>67016325</v>
      </c>
      <c r="AH94" s="42">
        <f>RawData!DB92</f>
        <v>1.2669037105006595</v>
      </c>
      <c r="AI94" s="41">
        <f>RawData!BA92</f>
        <v>1104550</v>
      </c>
      <c r="AJ94" s="43">
        <f>RawData!DA92</f>
        <v>871850</v>
      </c>
      <c r="AK94" s="41">
        <f>RawData!AZ92</f>
        <v>1976400</v>
      </c>
      <c r="AL94" s="42">
        <f>RawData!DD92</f>
        <v>-1.9100688609881063E-3</v>
      </c>
      <c r="AM94" s="44">
        <f>RawData!DC92</f>
        <v>-4.7442317008972168E-2</v>
      </c>
      <c r="AN94" s="45">
        <f>RawData!BK92</f>
        <v>24.790571630001068</v>
      </c>
      <c r="AO94" s="44">
        <f>RawData!AY92</f>
        <v>24.790571630001068</v>
      </c>
      <c r="AP94" s="43" t="str">
        <f>RawData!DH92</f>
        <v>R</v>
      </c>
      <c r="AQ94" s="43">
        <f>RawData!DE92</f>
        <v>153.39999389648438</v>
      </c>
      <c r="AR94" s="42">
        <f>RawData!CZ92</f>
        <v>-9.7694009959005488E-4</v>
      </c>
      <c r="AS94" s="44">
        <f>RawData!AX92</f>
        <v>-0.1500091552734375</v>
      </c>
      <c r="AT94" s="43">
        <f>RawData!CY92</f>
        <v>153.39999389648438</v>
      </c>
      <c r="AU94" s="44">
        <f>RawData!AW92</f>
        <v>153.39999389648438</v>
      </c>
      <c r="AV94" s="46">
        <f>RawData!O92</f>
        <v>38400</v>
      </c>
      <c r="AW94" s="44">
        <f>RawData!AV92</f>
        <v>256.35000610351563</v>
      </c>
      <c r="AX94" s="44">
        <f>RawData!CW92</f>
        <v>256.35000610351563</v>
      </c>
      <c r="AY94" s="44">
        <f>RawData!AU92</f>
        <v>-0.54998779296875</v>
      </c>
      <c r="AZ94" s="42">
        <f>RawData!CX92</f>
        <v>-2.1408633944552087E-3</v>
      </c>
      <c r="BA94" s="44">
        <f>RawData!DF92</f>
        <v>256.35000610351563</v>
      </c>
      <c r="BB94" s="43" t="str">
        <f>RawData!DI92</f>
        <v>R</v>
      </c>
      <c r="BC94" s="44">
        <f>RawData!AT92</f>
        <v>24.618570506572723</v>
      </c>
      <c r="BD94" s="45">
        <f>RawData!AP92</f>
        <v>24.618570506572723</v>
      </c>
      <c r="BE94" s="44">
        <f>RawData!CS92</f>
        <v>-6.5039098262786865E-2</v>
      </c>
      <c r="BF94" s="42">
        <f>RawData!CT92</f>
        <v>-2.6349103435036395E-3</v>
      </c>
      <c r="BG94" s="41">
        <f>RawData!AS92</f>
        <v>610650</v>
      </c>
      <c r="BH94" s="41">
        <f>RawData!CU92</f>
        <v>193650</v>
      </c>
      <c r="BI94" s="41">
        <f>RawData!AR92</f>
        <v>417000</v>
      </c>
      <c r="BJ94" s="42">
        <f>RawData!CV92</f>
        <v>2.1533694810224633</v>
      </c>
      <c r="BK94" s="41">
        <f>RawData!AQ92</f>
        <v>37091850</v>
      </c>
      <c r="BL94" s="40">
        <f>RawData!AO92</f>
        <v>-0.57989859580993652</v>
      </c>
      <c r="BM94" s="40">
        <f>RawData!AN92</f>
        <v>-1.8399953842163086E-4</v>
      </c>
      <c r="BN94" s="40">
        <f>RawData!AM92</f>
        <v>-95.12677001953125</v>
      </c>
      <c r="BO94" s="40">
        <f>RawData!AL92</f>
        <v>0.25817108154296875</v>
      </c>
      <c r="BP94" s="40">
        <f>RawData!AK92</f>
        <v>7.9451217651367188</v>
      </c>
      <c r="BQ94" s="40">
        <f>RawData!AJ92</f>
        <v>-9.1505050659179688E-4</v>
      </c>
      <c r="BR94" s="38">
        <f>RawData!AI92</f>
        <v>7.8126776497811079E-4</v>
      </c>
      <c r="BS94" s="38">
        <f>RawData!AH92</f>
        <v>2.0005390979349613E-6</v>
      </c>
      <c r="BT94" s="40">
        <f>RawData!AG92</f>
        <v>0.3550645112991333</v>
      </c>
      <c r="BU94" s="39">
        <f>RawData!AF92</f>
        <v>1.6880929470062256E-3</v>
      </c>
      <c r="BV94" s="39">
        <f>RawData!AE92</f>
        <v>-4.2511798441410065E-2</v>
      </c>
      <c r="BW94" s="38">
        <f>RawData!AD92</f>
        <v>-9.217485785484314E-5</v>
      </c>
      <c r="BX94" s="38">
        <f>RawData!AC92</f>
        <v>2.9443350513247424E-7</v>
      </c>
      <c r="BY94" s="37">
        <f>RawData!AB92</f>
        <v>2.3189556941360934E-9</v>
      </c>
      <c r="BZ94" s="37">
        <f>RawData!AA92</f>
        <v>-3.0361067038029432E-3</v>
      </c>
      <c r="CA94" s="36">
        <f>RawData!Z92</f>
        <v>-1.5157973393797874E-5</v>
      </c>
      <c r="CB94" s="36">
        <f>RawData!Y92</f>
        <v>-3.6351237213239074E-4</v>
      </c>
      <c r="CC94" s="36">
        <f>RawData!X92</f>
        <v>-8.7494845502078533E-7</v>
      </c>
      <c r="CD94" s="36">
        <f>RawData!W92</f>
        <v>145.50912475585938</v>
      </c>
      <c r="CE94" s="40">
        <f>RawData!V92</f>
        <v>1.026947021484375</v>
      </c>
      <c r="CF94" s="40">
        <f>RawData!U92</f>
        <v>419.85769653320313</v>
      </c>
      <c r="CG94" s="40">
        <f>RawData!T92</f>
        <v>0.125396728515625</v>
      </c>
      <c r="CH94" s="44">
        <f>RawData!S92</f>
        <v>303.39999389648438</v>
      </c>
      <c r="CI94" s="44">
        <f>RawData!R92</f>
        <v>379.64999389648438</v>
      </c>
      <c r="CJ94" s="44">
        <f>RawData!Q92</f>
        <v>205.5</v>
      </c>
      <c r="CK94" s="44">
        <f>RawData!P92</f>
        <v>256.35000610351563</v>
      </c>
      <c r="CL94" s="44">
        <f>RawData!CJ92</f>
        <v>100</v>
      </c>
      <c r="CM94" s="43">
        <f>RawData!CI92</f>
        <v>256.95001220703125</v>
      </c>
      <c r="CN94" s="44">
        <f>RawData!CL92</f>
        <v>100</v>
      </c>
      <c r="CO94" s="43">
        <f>RawData!CK92</f>
        <v>256.35000610351563</v>
      </c>
      <c r="CP94" s="44">
        <f>RawData!CM92</f>
        <v>267.66000366210938</v>
      </c>
      <c r="CQ94" s="47">
        <f>RawData!CO92</f>
        <v>44783.638194444444</v>
      </c>
      <c r="CR94" s="44">
        <f>RawData!CP92</f>
        <v>38295.69921875</v>
      </c>
      <c r="CS94" s="44">
        <f>RawData!DG92</f>
        <v>38295.69921875</v>
      </c>
      <c r="CT94" s="43" t="str">
        <f>RawData!DJ92</f>
        <v>G</v>
      </c>
      <c r="CU94" s="43" t="str">
        <f>RawData!CQ92</f>
        <v>FairPrice</v>
      </c>
      <c r="CV94" s="47">
        <f>RawData!CR92</f>
        <v>44783.638194444444</v>
      </c>
      <c r="CW94" s="65">
        <f>RawData!DK92</f>
        <v>38300</v>
      </c>
      <c r="CX94" s="65">
        <f>RawData!DL92</f>
        <v>3400000</v>
      </c>
      <c r="CY94" s="65">
        <f>RawData!DM92</f>
        <v>38500</v>
      </c>
      <c r="CZ94" s="65">
        <f>RawData!DN92</f>
        <v>0</v>
      </c>
      <c r="DA94" s="65">
        <f>RawData!DO92</f>
        <v>24500</v>
      </c>
      <c r="DB94" s="65">
        <f>RawData!DP92</f>
        <v>2863350</v>
      </c>
      <c r="DC94" s="65">
        <f>RawData!DQ92</f>
        <v>38000</v>
      </c>
      <c r="DD94" s="65">
        <f>RawData!DR92</f>
        <v>0</v>
      </c>
      <c r="DE94" s="65">
        <f>RawData!DS92</f>
        <v>24500</v>
      </c>
      <c r="DF94" s="65" t="str">
        <f>RawData!DT92</f>
        <v>BANKNIFTY</v>
      </c>
      <c r="DG94" s="66">
        <f>RawData!DU92</f>
        <v>44784</v>
      </c>
      <c r="DI94" s="21">
        <f t="shared" si="1"/>
        <v>104.30078125</v>
      </c>
    </row>
    <row r="95" spans="1:113" x14ac:dyDescent="0.2">
      <c r="A95" s="59">
        <f>RawData!CN93</f>
        <v>44783.638194444444</v>
      </c>
      <c r="B95" s="44">
        <f>RawData!CH93</f>
        <v>131.17999267578125</v>
      </c>
      <c r="C95" s="44">
        <f>RawData!CG93</f>
        <v>75</v>
      </c>
      <c r="D95" s="43">
        <f>RawData!CF93</f>
        <v>110.05000305175781</v>
      </c>
      <c r="E95" s="44">
        <f>RawData!CE93</f>
        <v>100</v>
      </c>
      <c r="F95" s="43">
        <f>RawData!CD93</f>
        <v>110.25</v>
      </c>
      <c r="G95" s="44">
        <f>RawData!CC93</f>
        <v>110.30000305175781</v>
      </c>
      <c r="H95" s="44">
        <f>RawData!CB93</f>
        <v>90</v>
      </c>
      <c r="I95" s="44">
        <f>RawData!CA93</f>
        <v>181.55000305175781</v>
      </c>
      <c r="J95" s="44">
        <f>RawData!BZ93</f>
        <v>143.44999694824219</v>
      </c>
      <c r="K95" s="40">
        <f>RawData!BY93</f>
        <v>-0.155303955078125</v>
      </c>
      <c r="L95" s="40">
        <f>RawData!BX93</f>
        <v>503.2835693359375</v>
      </c>
      <c r="M95" s="40">
        <f>RawData!BW93</f>
        <v>-1.298583984375</v>
      </c>
      <c r="N95" s="40">
        <f>RawData!BV93</f>
        <v>635.123779296875</v>
      </c>
      <c r="O95" s="36">
        <f>RawData!BU93</f>
        <v>3.2014213502407074E-10</v>
      </c>
      <c r="P95" s="36">
        <f>RawData!BT93</f>
        <v>-3.013541572727263E-4</v>
      </c>
      <c r="Q95" s="36">
        <f>RawData!BS93</f>
        <v>1.3601966202259064E-6</v>
      </c>
      <c r="R95" s="36">
        <f>RawData!BR93</f>
        <v>-2.5738482363522053E-3</v>
      </c>
      <c r="S95" s="37">
        <f>RawData!BQ93</f>
        <v>-9.5593577498220839E-10</v>
      </c>
      <c r="T95" s="37">
        <f>RawData!BP93</f>
        <v>6.0859662198708975E-7</v>
      </c>
      <c r="U95" s="38">
        <f>RawData!BO93</f>
        <v>6.8649649620056152E-5</v>
      </c>
      <c r="V95" s="38">
        <f>RawData!BN93</f>
        <v>-8.9229665696620941E-2</v>
      </c>
      <c r="W95" s="39">
        <f>RawData!BM93</f>
        <v>-9.8848342895507813E-4</v>
      </c>
      <c r="X95" s="39">
        <f>RawData!BL93</f>
        <v>0.76210534572601318</v>
      </c>
      <c r="Y95" s="38">
        <f>RawData!BJ93</f>
        <v>-2.5605550035834312E-7</v>
      </c>
      <c r="Z95" s="38">
        <f>RawData!BI93</f>
        <v>7.4959546327590942E-4</v>
      </c>
      <c r="AA95" s="40">
        <f>RawData!BH93</f>
        <v>7.59124755859375E-4</v>
      </c>
      <c r="AB95" s="40">
        <f>RawData!BG93</f>
        <v>7.4545202255249023</v>
      </c>
      <c r="AC95" s="40">
        <f>RawData!BF93</f>
        <v>-5.48858642578125E-2</v>
      </c>
      <c r="AD95" s="40">
        <f>RawData!BE93</f>
        <v>-87.27984619140625</v>
      </c>
      <c r="AE95" s="40">
        <f>RawData!BD93</f>
        <v>1.0922551155090332E-4</v>
      </c>
      <c r="AF95" s="40">
        <f>RawData!BC93</f>
        <v>0.34088891744613647</v>
      </c>
      <c r="AG95" s="41">
        <f>RawData!BB93</f>
        <v>85791525</v>
      </c>
      <c r="AH95" s="42">
        <f>RawData!DB93</f>
        <v>0.57553290083410569</v>
      </c>
      <c r="AI95" s="41">
        <f>RawData!BA93</f>
        <v>1242000</v>
      </c>
      <c r="AJ95" s="43">
        <f>RawData!DA93</f>
        <v>2158000</v>
      </c>
      <c r="AK95" s="41">
        <f>RawData!AZ93</f>
        <v>3400000</v>
      </c>
      <c r="AL95" s="42">
        <f>RawData!DD93</f>
        <v>4.841400776147512E-4</v>
      </c>
      <c r="AM95" s="44">
        <f>RawData!DC93</f>
        <v>1.1649727821350098E-2</v>
      </c>
      <c r="AN95" s="45">
        <f>RawData!BK93</f>
        <v>24.074371159076691</v>
      </c>
      <c r="AO95" s="44">
        <f>RawData!AY93</f>
        <v>24.074371159076691</v>
      </c>
      <c r="AP95" s="43" t="str">
        <f>RawData!DH93</f>
        <v>G</v>
      </c>
      <c r="AQ95" s="43">
        <f>RawData!DE93</f>
        <v>110.30000305175781</v>
      </c>
      <c r="AR95" s="42">
        <f>RawData!CZ93</f>
        <v>9.0749642726936761E-4</v>
      </c>
      <c r="AS95" s="44">
        <f>RawData!AX93</f>
        <v>0.100006103515625</v>
      </c>
      <c r="AT95" s="43">
        <f>RawData!CY93</f>
        <v>110.30000305175781</v>
      </c>
      <c r="AU95" s="44">
        <f>RawData!AW93</f>
        <v>110.30000305175781</v>
      </c>
      <c r="AV95" s="46">
        <f>RawData!O93</f>
        <v>38500</v>
      </c>
      <c r="AW95" s="44">
        <f>RawData!AV93</f>
        <v>314.60000610351563</v>
      </c>
      <c r="AX95" s="44">
        <f>RawData!CW93</f>
        <v>314.60000610351563</v>
      </c>
      <c r="AY95" s="44">
        <f>RawData!AU93</f>
        <v>5.0018310546875E-2</v>
      </c>
      <c r="AZ95" s="42">
        <f>RawData!CX93</f>
        <v>1.5901545855343083E-4</v>
      </c>
      <c r="BA95" s="44">
        <f>RawData!DF93</f>
        <v>314.60000610351563</v>
      </c>
      <c r="BB95" s="43" t="str">
        <f>RawData!DI93</f>
        <v>G</v>
      </c>
      <c r="BC95" s="44">
        <f>RawData!AT93</f>
        <v>24.065527319908142</v>
      </c>
      <c r="BD95" s="45">
        <f>RawData!AP93</f>
        <v>24.065527319908142</v>
      </c>
      <c r="BE95" s="44">
        <f>RawData!CS93</f>
        <v>1.1651217937469482E-2</v>
      </c>
      <c r="BF95" s="42">
        <f>RawData!CT93</f>
        <v>4.8438005949963831E-4</v>
      </c>
      <c r="BG95" s="41">
        <f>RawData!AS93</f>
        <v>718825</v>
      </c>
      <c r="BH95" s="41">
        <f>RawData!CU93</f>
        <v>260825</v>
      </c>
      <c r="BI95" s="41">
        <f>RawData!AR93</f>
        <v>458000</v>
      </c>
      <c r="BJ95" s="42">
        <f>RawData!CV93</f>
        <v>1.7559666443017348</v>
      </c>
      <c r="BK95" s="41">
        <f>RawData!AQ93</f>
        <v>34150500</v>
      </c>
      <c r="BL95" s="40">
        <f>RawData!AO93</f>
        <v>-0.65924304723739624</v>
      </c>
      <c r="BM95" s="40">
        <f>RawData!AN93</f>
        <v>1.0931491851806641E-4</v>
      </c>
      <c r="BN95" s="40">
        <f>RawData!AM93</f>
        <v>-87.23468017578125</v>
      </c>
      <c r="BO95" s="40">
        <f>RawData!AL93</f>
        <v>-5.4901123046875E-2</v>
      </c>
      <c r="BP95" s="40">
        <f>RawData!AK93</f>
        <v>7.4534006118774414</v>
      </c>
      <c r="BQ95" s="40">
        <f>RawData!AJ93</f>
        <v>7.610321044921875E-4</v>
      </c>
      <c r="BR95" s="38">
        <f>RawData!AI93</f>
        <v>7.4976217001676559E-4</v>
      </c>
      <c r="BS95" s="38">
        <f>RawData!AH93</f>
        <v>-2.5617191568017006E-7</v>
      </c>
      <c r="BT95" s="40">
        <f>RawData!AG93</f>
        <v>0.76313835382461548</v>
      </c>
      <c r="BU95" s="39">
        <f>RawData!AF93</f>
        <v>-9.9039077758789063E-4</v>
      </c>
      <c r="BV95" s="39">
        <f>RawData!AE93</f>
        <v>-8.9317798614501953E-2</v>
      </c>
      <c r="BW95" s="38">
        <f>RawData!AD93</f>
        <v>6.8746507167816162E-5</v>
      </c>
      <c r="BX95" s="38">
        <f>RawData!AC93</f>
        <v>6.0951606428716332E-7</v>
      </c>
      <c r="BY95" s="37">
        <f>RawData!AB93</f>
        <v>-9.5758423412917182E-10</v>
      </c>
      <c r="BZ95" s="37">
        <f>RawData!AA93</f>
        <v>-2.5744386948645115E-3</v>
      </c>
      <c r="CA95" s="36">
        <f>RawData!Z93</f>
        <v>1.3594981282949448E-6</v>
      </c>
      <c r="CB95" s="36">
        <f>RawData!Y93</f>
        <v>-3.0131256789900362E-4</v>
      </c>
      <c r="CC95" s="36">
        <f>RawData!X93</f>
        <v>1.4551915228366852E-10</v>
      </c>
      <c r="CD95" s="36">
        <f>RawData!W93</f>
        <v>636.5411376953125</v>
      </c>
      <c r="CE95" s="40">
        <f>RawData!V93</f>
        <v>-1.302001953125</v>
      </c>
      <c r="CF95" s="40">
        <f>RawData!U93</f>
        <v>503.48431396484375</v>
      </c>
      <c r="CG95" s="40">
        <f>RawData!T93</f>
        <v>-0.15570068359375</v>
      </c>
      <c r="CH95" s="44">
        <f>RawData!S93</f>
        <v>366.10000610351563</v>
      </c>
      <c r="CI95" s="44">
        <f>RawData!R93</f>
        <v>446.45001220703125</v>
      </c>
      <c r="CJ95" s="44">
        <f>RawData!Q93</f>
        <v>259.54998779296875</v>
      </c>
      <c r="CK95" s="44">
        <f>RawData!P93</f>
        <v>314.60000610351563</v>
      </c>
      <c r="CL95" s="44">
        <f>RawData!CJ93</f>
        <v>25</v>
      </c>
      <c r="CM95" s="43">
        <f>RawData!CI93</f>
        <v>314.54998779296875</v>
      </c>
      <c r="CN95" s="44">
        <f>RawData!CL93</f>
        <v>250</v>
      </c>
      <c r="CO95" s="43">
        <f>RawData!CK93</f>
        <v>313.89999389648438</v>
      </c>
      <c r="CP95" s="44">
        <f>RawData!CM93</f>
        <v>327.55999755859375</v>
      </c>
      <c r="CQ95" s="47">
        <f>RawData!CO93</f>
        <v>44783.638194444444</v>
      </c>
      <c r="CR95" s="44">
        <f>RawData!CP93</f>
        <v>38295.69921875</v>
      </c>
      <c r="CS95" s="44">
        <f>RawData!DG93</f>
        <v>38295.69921875</v>
      </c>
      <c r="CT95" s="43" t="str">
        <f>RawData!DJ93</f>
        <v>G</v>
      </c>
      <c r="CU95" s="43" t="str">
        <f>RawData!CQ93</f>
        <v>FairPrice</v>
      </c>
      <c r="CV95" s="47">
        <f>RawData!CR93</f>
        <v>44783.638194444444</v>
      </c>
      <c r="CW95" s="65">
        <f>RawData!DK93</f>
        <v>38300</v>
      </c>
      <c r="CX95" s="65">
        <f>RawData!DL93</f>
        <v>3400000</v>
      </c>
      <c r="CY95" s="65">
        <f>RawData!DM93</f>
        <v>38500</v>
      </c>
      <c r="CZ95" s="65">
        <f>RawData!DN93</f>
        <v>0</v>
      </c>
      <c r="DA95" s="65">
        <f>RawData!DO93</f>
        <v>24500</v>
      </c>
      <c r="DB95" s="65">
        <f>RawData!DP93</f>
        <v>2863350</v>
      </c>
      <c r="DC95" s="65">
        <f>RawData!DQ93</f>
        <v>38000</v>
      </c>
      <c r="DD95" s="65">
        <f>RawData!DR93</f>
        <v>0</v>
      </c>
      <c r="DE95" s="65">
        <f>RawData!DS93</f>
        <v>24500</v>
      </c>
      <c r="DF95" s="65" t="str">
        <f>RawData!DT93</f>
        <v>BANKNIFTY</v>
      </c>
      <c r="DG95" s="66">
        <f>RawData!DU93</f>
        <v>44784</v>
      </c>
      <c r="DI95" s="21">
        <f t="shared" si="1"/>
        <v>204.30078125</v>
      </c>
    </row>
    <row r="96" spans="1:113" x14ac:dyDescent="0.2">
      <c r="A96" s="59">
        <f>RawData!CN94</f>
        <v>44783.638194444444</v>
      </c>
      <c r="B96" s="44">
        <f>RawData!CH94</f>
        <v>93.919998168945313</v>
      </c>
      <c r="C96" s="44">
        <f>RawData!CG94</f>
        <v>1350</v>
      </c>
      <c r="D96" s="43">
        <f>RawData!CF94</f>
        <v>76.099998474121094</v>
      </c>
      <c r="E96" s="44">
        <f>RawData!CE94</f>
        <v>1000</v>
      </c>
      <c r="F96" s="43">
        <f>RawData!CD94</f>
        <v>76.300003051757813</v>
      </c>
      <c r="G96" s="44">
        <f>RawData!CC94</f>
        <v>76.150001525878906</v>
      </c>
      <c r="H96" s="44">
        <f>RawData!CB94</f>
        <v>63.200000762939453</v>
      </c>
      <c r="I96" s="44">
        <f>RawData!CA94</f>
        <v>138</v>
      </c>
      <c r="J96" s="44">
        <f>RawData!BZ94</f>
        <v>112.69999694824219</v>
      </c>
      <c r="K96" s="40">
        <f>RawData!BY94</f>
        <v>8.160400390625E-2</v>
      </c>
      <c r="L96" s="40">
        <f>RawData!BX94</f>
        <v>675.0509033203125</v>
      </c>
      <c r="M96" s="40">
        <f>RawData!BW94</f>
        <v>3.506591796875</v>
      </c>
      <c r="N96" s="40">
        <f>RawData!BV94</f>
        <v>1703.052978515625</v>
      </c>
      <c r="O96" s="36">
        <f>RawData!BU94</f>
        <v>-3.5243283491581678E-7</v>
      </c>
      <c r="P96" s="36">
        <f>RawData!BT94</f>
        <v>-1.9885810615960509E-4</v>
      </c>
      <c r="Q96" s="36">
        <f>RawData!BS94</f>
        <v>-6.2652397900819778E-6</v>
      </c>
      <c r="R96" s="36">
        <f>RawData!BR94</f>
        <v>-1.742995111271739E-3</v>
      </c>
      <c r="S96" s="37">
        <f>RawData!BQ94</f>
        <v>3.4172558116551954E-9</v>
      </c>
      <c r="T96" s="37">
        <f>RawData!BP94</f>
        <v>8.8815863819036167E-7</v>
      </c>
      <c r="U96" s="38">
        <f>RawData!BO94</f>
        <v>-2.1636486053466797E-5</v>
      </c>
      <c r="V96" s="38">
        <f>RawData!BN94</f>
        <v>-0.15185260772705078</v>
      </c>
      <c r="W96" s="39">
        <f>RawData!BM94</f>
        <v>2.6189088821411133E-3</v>
      </c>
      <c r="X96" s="39">
        <f>RawData!BL94</f>
        <v>1.3309909105300903</v>
      </c>
      <c r="Y96" s="38">
        <f>RawData!BJ94</f>
        <v>1.2604868970811367E-6</v>
      </c>
      <c r="Z96" s="38">
        <f>RawData!BI94</f>
        <v>6.8627001019194722E-4</v>
      </c>
      <c r="AA96" s="40">
        <f>RawData!BH94</f>
        <v>-3.0851364135742188E-4</v>
      </c>
      <c r="AB96" s="40">
        <f>RawData!BG94</f>
        <v>6.6508488655090332</v>
      </c>
      <c r="AC96" s="40">
        <f>RawData!BF94</f>
        <v>0.1422882080078125</v>
      </c>
      <c r="AD96" s="40">
        <f>RawData!BE94</f>
        <v>-75.879463195800781</v>
      </c>
      <c r="AE96" s="40">
        <f>RawData!BD94</f>
        <v>-2.0325183868408203E-5</v>
      </c>
      <c r="AF96" s="40">
        <f>RawData!BC94</f>
        <v>0.26449686288833618</v>
      </c>
      <c r="AG96" s="41">
        <f>RawData!BB94</f>
        <v>44258500</v>
      </c>
      <c r="AH96" s="42">
        <f>RawData!DB94</f>
        <v>1.188710006113715</v>
      </c>
      <c r="AI96" s="41">
        <f>RawData!BA94</f>
        <v>729125</v>
      </c>
      <c r="AJ96" s="43">
        <f>RawData!DA94</f>
        <v>613375</v>
      </c>
      <c r="AK96" s="41">
        <f>RawData!AZ94</f>
        <v>1342500</v>
      </c>
      <c r="AL96" s="42">
        <f>RawData!DD94</f>
        <v>-1.8685538047826938E-3</v>
      </c>
      <c r="AM96" s="44">
        <f>RawData!DC94</f>
        <v>-4.3918192386627197E-2</v>
      </c>
      <c r="AN96" s="45">
        <f>RawData!BK94</f>
        <v>23.459923267364502</v>
      </c>
      <c r="AO96" s="44">
        <f>RawData!AY94</f>
        <v>23.459923267364502</v>
      </c>
      <c r="AP96" s="43" t="str">
        <f>RawData!DH94</f>
        <v>R</v>
      </c>
      <c r="AQ96" s="43">
        <f>RawData!DE94</f>
        <v>76.150001525878906</v>
      </c>
      <c r="AR96" s="42">
        <f>RawData!CZ94</f>
        <v>-1.9659439040540182E-3</v>
      </c>
      <c r="AS96" s="44">
        <f>RawData!AX94</f>
        <v>-0.15000152587890625</v>
      </c>
      <c r="AT96" s="43">
        <f>RawData!CY94</f>
        <v>76.150001525878906</v>
      </c>
      <c r="AU96" s="44">
        <f>RawData!AW94</f>
        <v>76.150001525878906</v>
      </c>
      <c r="AV96" s="46">
        <f>RawData!O94</f>
        <v>38600</v>
      </c>
      <c r="AW96" s="44">
        <f>RawData!AV94</f>
        <v>379.5</v>
      </c>
      <c r="AX96" s="44">
        <f>RawData!CW94</f>
        <v>379.5</v>
      </c>
      <c r="AY96" s="44">
        <f>RawData!AU94</f>
        <v>-0.5</v>
      </c>
      <c r="AZ96" s="42">
        <f>RawData!CX94</f>
        <v>-1.3157894736842105E-3</v>
      </c>
      <c r="BA96" s="44">
        <f>RawData!DF94</f>
        <v>379.5</v>
      </c>
      <c r="BB96" s="43" t="str">
        <f>RawData!DI94</f>
        <v>R</v>
      </c>
      <c r="BC96" s="44">
        <f>RawData!AT94</f>
        <v>23.315426707267761</v>
      </c>
      <c r="BD96" s="45">
        <f>RawData!AP94</f>
        <v>23.315426707267761</v>
      </c>
      <c r="BE96" s="44">
        <f>RawData!CS94</f>
        <v>-6.9269537925720215E-2</v>
      </c>
      <c r="BF96" s="42">
        <f>RawData!CT94</f>
        <v>-2.9621739448489931E-3</v>
      </c>
      <c r="BG96" s="41">
        <f>RawData!AS94</f>
        <v>189750</v>
      </c>
      <c r="BH96" s="41">
        <f>RawData!CU94</f>
        <v>50275</v>
      </c>
      <c r="BI96" s="41">
        <f>RawData!AR94</f>
        <v>139475</v>
      </c>
      <c r="BJ96" s="42">
        <f>RawData!CV94</f>
        <v>2.7742416708105422</v>
      </c>
      <c r="BK96" s="41">
        <f>RawData!AQ94</f>
        <v>8920525</v>
      </c>
      <c r="BL96" s="40">
        <f>RawData!AO94</f>
        <v>-0.73677349090576172</v>
      </c>
      <c r="BM96" s="40">
        <f>RawData!AN94</f>
        <v>-5.9497356414794922E-4</v>
      </c>
      <c r="BN96" s="40">
        <f>RawData!AM94</f>
        <v>-75.228950500488281</v>
      </c>
      <c r="BO96" s="40">
        <f>RawData!AL94</f>
        <v>0.3087615966796875</v>
      </c>
      <c r="BP96" s="40">
        <f>RawData!AK94</f>
        <v>6.6344094276428223</v>
      </c>
      <c r="BQ96" s="40">
        <f>RawData!AJ94</f>
        <v>-7.7838897705078125E-3</v>
      </c>
      <c r="BR96" s="38">
        <f>RawData!AI94</f>
        <v>6.8884430220350623E-4</v>
      </c>
      <c r="BS96" s="38">
        <f>RawData!AH94</f>
        <v>1.2625823728740215E-6</v>
      </c>
      <c r="BT96" s="40">
        <f>RawData!AG94</f>
        <v>1.3504983186721802</v>
      </c>
      <c r="BU96" s="39">
        <f>RawData!AF94</f>
        <v>9.2678070068359375E-3</v>
      </c>
      <c r="BV96" s="39">
        <f>RawData!AE94</f>
        <v>-0.15313580632209778</v>
      </c>
      <c r="BW96" s="38">
        <f>RawData!AD94</f>
        <v>-6.0565769672393799E-4</v>
      </c>
      <c r="BX96" s="38">
        <f>RawData!AC94</f>
        <v>9.0279547748650657E-7</v>
      </c>
      <c r="BY96" s="37">
        <f>RawData!AB94</f>
        <v>7.0312466959876474E-9</v>
      </c>
      <c r="BZ96" s="37">
        <f>RawData!AA94</f>
        <v>-1.7458731308579445E-3</v>
      </c>
      <c r="CA96" s="36">
        <f>RawData!Z94</f>
        <v>-1.5883706510066986E-6</v>
      </c>
      <c r="CB96" s="36">
        <f>RawData!Y94</f>
        <v>-1.9796818378381431E-4</v>
      </c>
      <c r="CC96" s="36">
        <f>RawData!X94</f>
        <v>3.9894075598567724E-7</v>
      </c>
      <c r="CD96" s="36">
        <f>RawData!W94</f>
        <v>1738.6470947265625</v>
      </c>
      <c r="CE96" s="40">
        <f>RawData!V94</f>
        <v>16.8624267578125</v>
      </c>
      <c r="CF96" s="40">
        <f>RawData!U94</f>
        <v>679.091064453125</v>
      </c>
      <c r="CG96" s="40">
        <f>RawData!T94</f>
        <v>1.90655517578125</v>
      </c>
      <c r="CH96" s="44">
        <f>RawData!S94</f>
        <v>423.75</v>
      </c>
      <c r="CI96" s="44">
        <f>RawData!R94</f>
        <v>519.79998779296875</v>
      </c>
      <c r="CJ96" s="44">
        <f>RawData!Q94</f>
        <v>321.25</v>
      </c>
      <c r="CK96" s="44">
        <f>RawData!P94</f>
        <v>379.5</v>
      </c>
      <c r="CL96" s="44">
        <f>RawData!CJ94</f>
        <v>125</v>
      </c>
      <c r="CM96" s="43">
        <f>RawData!CI94</f>
        <v>380.04998779296875</v>
      </c>
      <c r="CN96" s="44">
        <f>RawData!CL94</f>
        <v>250</v>
      </c>
      <c r="CO96" s="43">
        <f>RawData!CK94</f>
        <v>379.29998779296875</v>
      </c>
      <c r="CP96" s="44">
        <f>RawData!CM94</f>
        <v>394.98001098632813</v>
      </c>
      <c r="CQ96" s="47">
        <f>RawData!CO94</f>
        <v>44783.638194444444</v>
      </c>
      <c r="CR96" s="44">
        <f>RawData!CP94</f>
        <v>38295.69921875</v>
      </c>
      <c r="CS96" s="44">
        <f>RawData!DG94</f>
        <v>38295.69921875</v>
      </c>
      <c r="CT96" s="43" t="str">
        <f>RawData!DJ94</f>
        <v>G</v>
      </c>
      <c r="CU96" s="43" t="str">
        <f>RawData!CQ94</f>
        <v>FairPrice</v>
      </c>
      <c r="CV96" s="47">
        <f>RawData!CR94</f>
        <v>44783.638194444444</v>
      </c>
      <c r="CW96" s="65">
        <f>RawData!DK94</f>
        <v>38300</v>
      </c>
      <c r="CX96" s="65">
        <f>RawData!DL94</f>
        <v>3400000</v>
      </c>
      <c r="CY96" s="65">
        <f>RawData!DM94</f>
        <v>38500</v>
      </c>
      <c r="CZ96" s="65">
        <f>RawData!DN94</f>
        <v>0</v>
      </c>
      <c r="DA96" s="65">
        <f>RawData!DO94</f>
        <v>24500</v>
      </c>
      <c r="DB96" s="65">
        <f>RawData!DP94</f>
        <v>2863350</v>
      </c>
      <c r="DC96" s="65">
        <f>RawData!DQ94</f>
        <v>38000</v>
      </c>
      <c r="DD96" s="65">
        <f>RawData!DR94</f>
        <v>0</v>
      </c>
      <c r="DE96" s="65">
        <f>RawData!DS94</f>
        <v>24500</v>
      </c>
      <c r="DF96" s="65" t="str">
        <f>RawData!DT94</f>
        <v>BANKNIFTY</v>
      </c>
      <c r="DG96" s="66">
        <f>RawData!DU94</f>
        <v>44784</v>
      </c>
      <c r="DI96" s="21">
        <f t="shared" si="1"/>
        <v>304.30078125</v>
      </c>
    </row>
    <row r="97" spans="1:113" x14ac:dyDescent="0.2">
      <c r="A97" s="59">
        <f>RawData!CN95</f>
        <v>44783.638194444444</v>
      </c>
      <c r="B97" s="44">
        <f>RawData!CH95</f>
        <v>67</v>
      </c>
      <c r="C97" s="44">
        <f>RawData!CG95</f>
        <v>25</v>
      </c>
      <c r="D97" s="43">
        <f>RawData!CF95</f>
        <v>50.25</v>
      </c>
      <c r="E97" s="44">
        <f>RawData!CE95</f>
        <v>125</v>
      </c>
      <c r="F97" s="43">
        <f>RawData!CD95</f>
        <v>50.349998474121094</v>
      </c>
      <c r="G97" s="44">
        <f>RawData!CC95</f>
        <v>50.25</v>
      </c>
      <c r="H97" s="44">
        <f>RawData!CB95</f>
        <v>43.400001525878906</v>
      </c>
      <c r="I97" s="44">
        <f>RawData!CA95</f>
        <v>102.80000305175781</v>
      </c>
      <c r="J97" s="44">
        <f>RawData!BZ95</f>
        <v>79.400001525878906</v>
      </c>
      <c r="K97" s="40">
        <f>RawData!BY95</f>
        <v>0.56427001953125</v>
      </c>
      <c r="L97" s="40">
        <f>RawData!BX95</f>
        <v>994.16827392578125</v>
      </c>
      <c r="M97" s="40">
        <f>RawData!BW95</f>
        <v>5.168212890625</v>
      </c>
      <c r="N97" s="40">
        <f>RawData!BV95</f>
        <v>3810.233154296875</v>
      </c>
      <c r="O97" s="36">
        <f>RawData!BU95</f>
        <v>1.2775126378983259E-7</v>
      </c>
      <c r="P97" s="36">
        <f>RawData!BT95</f>
        <v>-7.3374700150452554E-5</v>
      </c>
      <c r="Q97" s="36">
        <f>RawData!BS95</f>
        <v>8.827773854136467E-7</v>
      </c>
      <c r="R97" s="36">
        <f>RawData!BR95</f>
        <v>-6.5837340662255883E-4</v>
      </c>
      <c r="S97" s="37">
        <f>RawData!BQ95</f>
        <v>1.1078782335971482E-9</v>
      </c>
      <c r="T97" s="37">
        <f>RawData!BP95</f>
        <v>1.0763501450128388E-6</v>
      </c>
      <c r="U97" s="38">
        <f>RawData!BO95</f>
        <v>-1.5395879745483398E-4</v>
      </c>
      <c r="V97" s="38">
        <f>RawData!BN95</f>
        <v>-0.24367344379425049</v>
      </c>
      <c r="W97" s="39">
        <f>RawData!BM95</f>
        <v>2.254486083984375E-3</v>
      </c>
      <c r="X97" s="39">
        <f>RawData!BL95</f>
        <v>2.1864228248596191</v>
      </c>
      <c r="Y97" s="38">
        <f>RawData!BJ95</f>
        <v>1.2392411008477211E-7</v>
      </c>
      <c r="Z97" s="38">
        <f>RawData!BI95</f>
        <v>5.930795450694859E-4</v>
      </c>
      <c r="AA97" s="40">
        <f>RawData!BH95</f>
        <v>-1.5411376953125E-3</v>
      </c>
      <c r="AB97" s="40">
        <f>RawData!BG95</f>
        <v>5.6141691207885742</v>
      </c>
      <c r="AC97" s="40">
        <f>RawData!BF95</f>
        <v>4.9999237060546875E-2</v>
      </c>
      <c r="AD97" s="40">
        <f>RawData!BE95</f>
        <v>-50.25</v>
      </c>
      <c r="AE97" s="40">
        <f>RawData!BD95</f>
        <v>-8.1926584243774414E-5</v>
      </c>
      <c r="AF97" s="40">
        <f>RawData!BC95</f>
        <v>0.19560375809669495</v>
      </c>
      <c r="AG97" s="41">
        <f>RawData!BB95</f>
        <v>40858800</v>
      </c>
      <c r="AH97" s="42">
        <f>RawData!DB95</f>
        <v>0.71829458847539784</v>
      </c>
      <c r="AI97" s="41">
        <f>RawData!BA95</f>
        <v>563125</v>
      </c>
      <c r="AJ97" s="43">
        <f>RawData!DA95</f>
        <v>783975</v>
      </c>
      <c r="AK97" s="41">
        <f>RawData!AZ95</f>
        <v>1347100</v>
      </c>
      <c r="AL97" s="42">
        <f>RawData!DD95</f>
        <v>-4.4275931871222293E-4</v>
      </c>
      <c r="AM97" s="44">
        <f>RawData!DC95</f>
        <v>-1.0150671005249023E-2</v>
      </c>
      <c r="AN97" s="45">
        <f>RawData!BK95</f>
        <v>22.915783524513245</v>
      </c>
      <c r="AO97" s="44">
        <f>RawData!AY95</f>
        <v>22.915783524513245</v>
      </c>
      <c r="AP97" s="43" t="str">
        <f>RawData!DH95</f>
        <v>R</v>
      </c>
      <c r="AQ97" s="43">
        <f>RawData!DE95</f>
        <v>50.25</v>
      </c>
      <c r="AR97" s="42">
        <f>RawData!CZ95</f>
        <v>-9.9402063258299074E-4</v>
      </c>
      <c r="AS97" s="44">
        <f>RawData!AX95</f>
        <v>-4.9999237060546875E-2</v>
      </c>
      <c r="AT97" s="43">
        <f>RawData!CY95</f>
        <v>50.25</v>
      </c>
      <c r="AU97" s="44">
        <f>RawData!AW95</f>
        <v>50.25</v>
      </c>
      <c r="AV97" s="46">
        <f>RawData!O95</f>
        <v>38700</v>
      </c>
      <c r="AW97" s="44">
        <f>RawData!AV95</f>
        <v>453.29998779296875</v>
      </c>
      <c r="AX97" s="44">
        <f>RawData!CW95</f>
        <v>453.29998779296875</v>
      </c>
      <c r="AY97" s="44">
        <f>RawData!AU95</f>
        <v>0</v>
      </c>
      <c r="AZ97" s="42">
        <f>RawData!CX95</f>
        <v>0</v>
      </c>
      <c r="BA97" s="44">
        <f>RawData!DF95</f>
        <v>453.29998779296875</v>
      </c>
      <c r="BB97" s="43" t="str">
        <f>RawData!DI95</f>
        <v>W</v>
      </c>
      <c r="BC97" s="44">
        <f>RawData!AT95</f>
        <v>22.67783135175705</v>
      </c>
      <c r="BD97" s="45">
        <f>RawData!AP95</f>
        <v>22.67783135175705</v>
      </c>
      <c r="BE97" s="44">
        <f>RawData!CS95</f>
        <v>7.7366828918457031E-3</v>
      </c>
      <c r="BF97" s="42">
        <f>RawData!CT95</f>
        <v>3.4127263272840043E-4</v>
      </c>
      <c r="BG97" s="41">
        <f>RawData!AS95</f>
        <v>120725</v>
      </c>
      <c r="BH97" s="41">
        <f>RawData!CU95</f>
        <v>35500</v>
      </c>
      <c r="BI97" s="41">
        <f>RawData!AR95</f>
        <v>85225</v>
      </c>
      <c r="BJ97" s="42">
        <f>RawData!CV95</f>
        <v>2.4007042253521127</v>
      </c>
      <c r="BK97" s="41">
        <f>RawData!AQ95</f>
        <v>5639475</v>
      </c>
      <c r="BL97" s="40">
        <f>RawData!AO95</f>
        <v>-0.80696606636047363</v>
      </c>
      <c r="BM97" s="40">
        <f>RawData!AN95</f>
        <v>1.0669231414794922E-4</v>
      </c>
      <c r="BN97" s="40">
        <f>RawData!AM95</f>
        <v>-61.422569274902344</v>
      </c>
      <c r="BO97" s="40">
        <f>RawData!AL95</f>
        <v>-4.3087005615234375E-2</v>
      </c>
      <c r="BP97" s="40">
        <f>RawData!AK95</f>
        <v>5.569127082824707</v>
      </c>
      <c r="BQ97" s="40">
        <f>RawData!AJ95</f>
        <v>1.7666816711425781E-3</v>
      </c>
      <c r="BR97" s="38">
        <f>RawData!AI95</f>
        <v>5.9449754189699888E-4</v>
      </c>
      <c r="BS97" s="38">
        <f>RawData!AH95</f>
        <v>9.8953023552894592E-9</v>
      </c>
      <c r="BT97" s="40">
        <f>RawData!AG95</f>
        <v>2.2508277893066406</v>
      </c>
      <c r="BU97" s="39">
        <f>RawData!AF95</f>
        <v>-2.5165081024169922E-3</v>
      </c>
      <c r="BV97" s="39">
        <f>RawData!AE95</f>
        <v>-0.24824647605419159</v>
      </c>
      <c r="BW97" s="38">
        <f>RawData!AD95</f>
        <v>1.8204748630523682E-4</v>
      </c>
      <c r="BX97" s="38">
        <f>RawData!AC95</f>
        <v>1.1024580999219324E-6</v>
      </c>
      <c r="BY97" s="37">
        <f>RawData!AB95</f>
        <v>-8.4276052803033963E-10</v>
      </c>
      <c r="BZ97" s="37">
        <f>RawData!AA95</f>
        <v>-6.2464165966957808E-4</v>
      </c>
      <c r="CA97" s="36">
        <f>RawData!Z95</f>
        <v>-1.5715486370027065E-6</v>
      </c>
      <c r="CB97" s="36">
        <f>RawData!Y95</f>
        <v>-6.889247742947191E-5</v>
      </c>
      <c r="CC97" s="36">
        <f>RawData!X95</f>
        <v>-1.9973958842456341E-7</v>
      </c>
      <c r="CD97" s="36">
        <f>RawData!W95</f>
        <v>3965.190185546875</v>
      </c>
      <c r="CE97" s="40">
        <f>RawData!V95</f>
        <v>-6.2978515625</v>
      </c>
      <c r="CF97" s="40">
        <f>RawData!U95</f>
        <v>1011.4524536132813</v>
      </c>
      <c r="CG97" s="40">
        <f>RawData!T95</f>
        <v>-0.7069091796875</v>
      </c>
      <c r="CH97" s="44">
        <f>RawData!S95</f>
        <v>475.70001220703125</v>
      </c>
      <c r="CI97" s="44">
        <f>RawData!R95</f>
        <v>600</v>
      </c>
      <c r="CJ97" s="44">
        <f>RawData!Q95</f>
        <v>385</v>
      </c>
      <c r="CK97" s="44">
        <f>RawData!P95</f>
        <v>453.29998779296875</v>
      </c>
      <c r="CL97" s="44">
        <f>RawData!CJ95</f>
        <v>300</v>
      </c>
      <c r="CM97" s="43">
        <f>RawData!CI95</f>
        <v>453.60000610351563</v>
      </c>
      <c r="CN97" s="44">
        <f>RawData!CL95</f>
        <v>500</v>
      </c>
      <c r="CO97" s="43">
        <f>RawData!CK95</f>
        <v>452.5</v>
      </c>
      <c r="CP97" s="44">
        <f>RawData!CM95</f>
        <v>465.1199951171875</v>
      </c>
      <c r="CQ97" s="47">
        <f>RawData!CO95</f>
        <v>44783.638194444444</v>
      </c>
      <c r="CR97" s="44">
        <f>RawData!CP95</f>
        <v>38295.69921875</v>
      </c>
      <c r="CS97" s="44">
        <f>RawData!DG95</f>
        <v>38295.69921875</v>
      </c>
      <c r="CT97" s="43" t="str">
        <f>RawData!DJ95</f>
        <v>G</v>
      </c>
      <c r="CU97" s="43" t="str">
        <f>RawData!CQ95</f>
        <v>FairPrice</v>
      </c>
      <c r="CV97" s="47">
        <f>RawData!CR95</f>
        <v>44783.638194444444</v>
      </c>
      <c r="CW97" s="65">
        <f>RawData!DK95</f>
        <v>38300</v>
      </c>
      <c r="CX97" s="65">
        <f>RawData!DL95</f>
        <v>3400000</v>
      </c>
      <c r="CY97" s="65">
        <f>RawData!DM95</f>
        <v>38500</v>
      </c>
      <c r="CZ97" s="65">
        <f>RawData!DN95</f>
        <v>0</v>
      </c>
      <c r="DA97" s="65">
        <f>RawData!DO95</f>
        <v>24500</v>
      </c>
      <c r="DB97" s="65">
        <f>RawData!DP95</f>
        <v>2863350</v>
      </c>
      <c r="DC97" s="65">
        <f>RawData!DQ95</f>
        <v>38000</v>
      </c>
      <c r="DD97" s="65">
        <f>RawData!DR95</f>
        <v>0</v>
      </c>
      <c r="DE97" s="65">
        <f>RawData!DS95</f>
        <v>24500</v>
      </c>
      <c r="DF97" s="65" t="str">
        <f>RawData!DT95</f>
        <v>BANKNIFTY</v>
      </c>
      <c r="DG97" s="66">
        <f>RawData!DU95</f>
        <v>44784</v>
      </c>
      <c r="DI97" s="21">
        <f t="shared" si="1"/>
        <v>404.30078125</v>
      </c>
    </row>
    <row r="98" spans="1:113" x14ac:dyDescent="0.2">
      <c r="A98" s="59">
        <f>RawData!CN96</f>
        <v>44783.638194444444</v>
      </c>
      <c r="B98" s="44">
        <f>RawData!CH96</f>
        <v>45.930000305175781</v>
      </c>
      <c r="C98" s="44">
        <f>RawData!CG96</f>
        <v>1050</v>
      </c>
      <c r="D98" s="43">
        <f>RawData!CF96</f>
        <v>31.75</v>
      </c>
      <c r="E98" s="44">
        <f>RawData!CE96</f>
        <v>125</v>
      </c>
      <c r="F98" s="43">
        <f>RawData!CD96</f>
        <v>31.850000381469727</v>
      </c>
      <c r="G98" s="44">
        <f>RawData!CC96</f>
        <v>31.75</v>
      </c>
      <c r="H98" s="44">
        <f>RawData!CB96</f>
        <v>29.350000381469727</v>
      </c>
      <c r="I98" s="44">
        <f>RawData!CA96</f>
        <v>74.650001525878906</v>
      </c>
      <c r="J98" s="44">
        <f>RawData!BZ96</f>
        <v>70</v>
      </c>
      <c r="K98" s="40">
        <f>RawData!BY96</f>
        <v>0.6201171875</v>
      </c>
      <c r="L98" s="40">
        <f>RawData!BX96</f>
        <v>1575.0045166015625</v>
      </c>
      <c r="M98" s="40">
        <f>RawData!BW96</f>
        <v>13.50341796875</v>
      </c>
      <c r="N98" s="40">
        <f>RawData!BV96</f>
        <v>7868.5908203125</v>
      </c>
      <c r="O98" s="36">
        <f>RawData!BU96</f>
        <v>1.3773387763649225E-7</v>
      </c>
      <c r="P98" s="36">
        <f>RawData!BT96</f>
        <v>4.7556368372170255E-5</v>
      </c>
      <c r="Q98" s="36">
        <f>RawData!BS96</f>
        <v>1.7738784663379192E-6</v>
      </c>
      <c r="R98" s="36">
        <f>RawData!BR96</f>
        <v>4.3508101953193545E-4</v>
      </c>
      <c r="S98" s="37">
        <f>RawData!BQ96</f>
        <v>2.7907844923902303E-9</v>
      </c>
      <c r="T98" s="37">
        <f>RawData!BP96</f>
        <v>1.1376575912436238E-6</v>
      </c>
      <c r="U98" s="38">
        <f>RawData!BO96</f>
        <v>-1.4710426330566406E-4</v>
      </c>
      <c r="V98" s="38">
        <f>RawData!BN96</f>
        <v>-0.38791248202323914</v>
      </c>
      <c r="W98" s="39">
        <f>RawData!BM96</f>
        <v>5.5475234985351563E-3</v>
      </c>
      <c r="X98" s="39">
        <f>RawData!BL96</f>
        <v>3.5489118099212646</v>
      </c>
      <c r="Y98" s="38">
        <f>RawData!BJ96</f>
        <v>5.0288508646190166E-7</v>
      </c>
      <c r="Z98" s="38">
        <f>RawData!BI96</f>
        <v>4.8167986096814275E-4</v>
      </c>
      <c r="AA98" s="40">
        <f>RawData!BH96</f>
        <v>-8.8644027709960938E-4</v>
      </c>
      <c r="AB98" s="40">
        <f>RawData!BG96</f>
        <v>4.4723105430603027</v>
      </c>
      <c r="AC98" s="40">
        <f>RawData!BF96</f>
        <v>4.9999237060546875E-2</v>
      </c>
      <c r="AD98" s="40">
        <f>RawData!BE96</f>
        <v>-31.75</v>
      </c>
      <c r="AE98" s="40">
        <f>RawData!BD96</f>
        <v>-3.8519501686096191E-5</v>
      </c>
      <c r="AF98" s="40">
        <f>RawData!BC96</f>
        <v>0.13766448199748993</v>
      </c>
      <c r="AG98" s="41">
        <f>RawData!BB96</f>
        <v>41238000</v>
      </c>
      <c r="AH98" s="42">
        <f>RawData!DB96</f>
        <v>0.77997660595354612</v>
      </c>
      <c r="AI98" s="41">
        <f>RawData!BA96</f>
        <v>816850</v>
      </c>
      <c r="AJ98" s="43">
        <f>RawData!DA96</f>
        <v>1047275</v>
      </c>
      <c r="AK98" s="41">
        <f>RawData!AZ96</f>
        <v>1864125</v>
      </c>
      <c r="AL98" s="42">
        <f>RawData!DD96</f>
        <v>-1.2275284749127427E-3</v>
      </c>
      <c r="AM98" s="44">
        <f>RawData!DC96</f>
        <v>-2.7623772621154785E-2</v>
      </c>
      <c r="AN98" s="45">
        <f>RawData!BK96</f>
        <v>22.475945949554443</v>
      </c>
      <c r="AO98" s="44">
        <f>RawData!AY96</f>
        <v>22.475945949554443</v>
      </c>
      <c r="AP98" s="43" t="str">
        <f>RawData!DH96</f>
        <v>R</v>
      </c>
      <c r="AQ98" s="43">
        <f>RawData!DE96</f>
        <v>31.75</v>
      </c>
      <c r="AR98" s="42">
        <f>RawData!CZ96</f>
        <v>-1.572303089940847E-3</v>
      </c>
      <c r="AS98" s="44">
        <f>RawData!AX96</f>
        <v>-4.9999237060546875E-2</v>
      </c>
      <c r="AT98" s="43">
        <f>RawData!CY96</f>
        <v>31.75</v>
      </c>
      <c r="AU98" s="44">
        <f>RawData!AW96</f>
        <v>31.75</v>
      </c>
      <c r="AV98" s="46">
        <f>RawData!O96</f>
        <v>38800</v>
      </c>
      <c r="AW98" s="44">
        <f>RawData!AV96</f>
        <v>533.8499755859375</v>
      </c>
      <c r="AX98" s="44">
        <f>RawData!CW96</f>
        <v>533.8499755859375</v>
      </c>
      <c r="AY98" s="44">
        <f>RawData!AU96</f>
        <v>0</v>
      </c>
      <c r="AZ98" s="42">
        <f>RawData!CX96</f>
        <v>0</v>
      </c>
      <c r="BA98" s="44">
        <f>RawData!DF96</f>
        <v>533.8499755859375</v>
      </c>
      <c r="BB98" s="43" t="str">
        <f>RawData!DI96</f>
        <v>W</v>
      </c>
      <c r="BC98" s="44">
        <f>RawData!AT96</f>
        <v>21.97624146938324</v>
      </c>
      <c r="BD98" s="45">
        <f>RawData!AP96</f>
        <v>21.97624146938324</v>
      </c>
      <c r="BE98" s="44">
        <f>RawData!CS96</f>
        <v>1.0451674461364746E-2</v>
      </c>
      <c r="BF98" s="42">
        <f>RawData!CT96</f>
        <v>4.7581601021152444E-4</v>
      </c>
      <c r="BG98" s="41">
        <f>RawData!AS96</f>
        <v>78275</v>
      </c>
      <c r="BH98" s="41">
        <f>RawData!CU96</f>
        <v>70200</v>
      </c>
      <c r="BI98" s="41">
        <f>RawData!AR96</f>
        <v>8075</v>
      </c>
      <c r="BJ98" s="42">
        <f>RawData!CV96</f>
        <v>0.11502849002849003</v>
      </c>
      <c r="BK98" s="41">
        <f>RawData!AQ96</f>
        <v>2221150</v>
      </c>
      <c r="BL98" s="40">
        <f>RawData!AO96</f>
        <v>-0.86775851249694824</v>
      </c>
      <c r="BM98" s="40">
        <f>RawData!AN96</f>
        <v>1.3357400894165039E-4</v>
      </c>
      <c r="BN98" s="40">
        <f>RawData!AM96</f>
        <v>-46.498966217041016</v>
      </c>
      <c r="BO98" s="40">
        <f>RawData!AL96</f>
        <v>-5.5545806884765625E-2</v>
      </c>
      <c r="BP98" s="40">
        <f>RawData!AK96</f>
        <v>4.3506135940551758</v>
      </c>
      <c r="BQ98" s="40">
        <f>RawData!AJ96</f>
        <v>2.941131591796875E-3</v>
      </c>
      <c r="BR98" s="38">
        <f>RawData!AI96</f>
        <v>4.7924683894962072E-4</v>
      </c>
      <c r="BS98" s="38">
        <f>RawData!AH96</f>
        <v>1.1557131074368954E-7</v>
      </c>
      <c r="BT98" s="40">
        <f>RawData!AG96</f>
        <v>3.8146951198577881</v>
      </c>
      <c r="BU98" s="39">
        <f>RawData!AF96</f>
        <v>-6.5708160400390625E-3</v>
      </c>
      <c r="BV98" s="39">
        <f>RawData!AE96</f>
        <v>-0.40771114826202393</v>
      </c>
      <c r="BW98" s="38">
        <f>RawData!AD96</f>
        <v>4.9039721488952637E-4</v>
      </c>
      <c r="BX98" s="38">
        <f>RawData!AC96</f>
        <v>1.1847658925034921E-6</v>
      </c>
      <c r="BY98" s="37">
        <f>RawData!AB96</f>
        <v>-9.2927621153648943E-10</v>
      </c>
      <c r="BZ98" s="37">
        <f>RawData!AA96</f>
        <v>5.6296808179467916E-4</v>
      </c>
      <c r="CA98" s="36">
        <f>RawData!Z96</f>
        <v>-3.1740055419504642E-6</v>
      </c>
      <c r="CB98" s="36">
        <f>RawData!Y96</f>
        <v>6.0169517382746562E-5</v>
      </c>
      <c r="CC98" s="36">
        <f>RawData!X96</f>
        <v>-3.0784576665610075E-7</v>
      </c>
      <c r="CD98" s="36">
        <f>RawData!W96</f>
        <v>8651.4248046875</v>
      </c>
      <c r="CE98" s="40">
        <f>RawData!V96</f>
        <v>-19.9248046875</v>
      </c>
      <c r="CF98" s="40">
        <f>RawData!U96</f>
        <v>1659.5877685546875</v>
      </c>
      <c r="CG98" s="40">
        <f>RawData!T96</f>
        <v>-2.14404296875</v>
      </c>
      <c r="CH98" s="44">
        <f>RawData!S96</f>
        <v>575.8499755859375</v>
      </c>
      <c r="CI98" s="44">
        <f>RawData!R96</f>
        <v>681.79998779296875</v>
      </c>
      <c r="CJ98" s="44">
        <f>RawData!Q96</f>
        <v>467.60000610351563</v>
      </c>
      <c r="CK98" s="44">
        <f>RawData!P96</f>
        <v>533.8499755859375</v>
      </c>
      <c r="CL98" s="44">
        <f>RawData!CJ96</f>
        <v>25</v>
      </c>
      <c r="CM98" s="43">
        <f>RawData!CI96</f>
        <v>535</v>
      </c>
      <c r="CN98" s="44">
        <f>RawData!CL96</f>
        <v>25</v>
      </c>
      <c r="CO98" s="43">
        <f>RawData!CK96</f>
        <v>533.79998779296875</v>
      </c>
      <c r="CP98" s="44">
        <f>RawData!CM96</f>
        <v>539.90997314453125</v>
      </c>
      <c r="CQ98" s="47">
        <f>RawData!CO96</f>
        <v>44783.638194444444</v>
      </c>
      <c r="CR98" s="44">
        <f>RawData!CP96</f>
        <v>38295.69921875</v>
      </c>
      <c r="CS98" s="44">
        <f>RawData!DG96</f>
        <v>38295.69921875</v>
      </c>
      <c r="CT98" s="43" t="str">
        <f>RawData!DJ96</f>
        <v>G</v>
      </c>
      <c r="CU98" s="43" t="str">
        <f>RawData!CQ96</f>
        <v>FairPrice</v>
      </c>
      <c r="CV98" s="47">
        <f>RawData!CR96</f>
        <v>44783.638194444444</v>
      </c>
      <c r="CW98" s="65">
        <f>RawData!DK96</f>
        <v>38300</v>
      </c>
      <c r="CX98" s="65">
        <f>RawData!DL96</f>
        <v>3400000</v>
      </c>
      <c r="CY98" s="65">
        <f>RawData!DM96</f>
        <v>38500</v>
      </c>
      <c r="CZ98" s="65">
        <f>RawData!DN96</f>
        <v>0</v>
      </c>
      <c r="DA98" s="65">
        <f>RawData!DO96</f>
        <v>24500</v>
      </c>
      <c r="DB98" s="65">
        <f>RawData!DP96</f>
        <v>2863350</v>
      </c>
      <c r="DC98" s="65">
        <f>RawData!DQ96</f>
        <v>38000</v>
      </c>
      <c r="DD98" s="65">
        <f>RawData!DR96</f>
        <v>0</v>
      </c>
      <c r="DE98" s="65">
        <f>RawData!DS96</f>
        <v>24500</v>
      </c>
      <c r="DF98" s="65" t="str">
        <f>RawData!DT96</f>
        <v>BANKNIFTY</v>
      </c>
      <c r="DG98" s="66">
        <f>RawData!DU96</f>
        <v>44784</v>
      </c>
      <c r="DI98" s="21">
        <f t="shared" si="1"/>
        <v>504.30078125</v>
      </c>
    </row>
    <row r="99" spans="1:113" x14ac:dyDescent="0.2">
      <c r="A99" s="59">
        <f>RawData!CN97</f>
        <v>44783.638194444444</v>
      </c>
      <c r="B99" s="44">
        <f>RawData!CH97</f>
        <v>31.739999771118164</v>
      </c>
      <c r="C99" s="44">
        <f>RawData!CG97</f>
        <v>275</v>
      </c>
      <c r="D99" s="43">
        <f>RawData!CF97</f>
        <v>19.549999237060547</v>
      </c>
      <c r="E99" s="44">
        <f>RawData!CE97</f>
        <v>1225</v>
      </c>
      <c r="F99" s="43">
        <f>RawData!CD97</f>
        <v>19.649999618530273</v>
      </c>
      <c r="G99" s="44">
        <f>RawData!CC97</f>
        <v>19.649999618530273</v>
      </c>
      <c r="H99" s="44">
        <f>RawData!CB97</f>
        <v>19.149999618530273</v>
      </c>
      <c r="I99" s="44">
        <f>RawData!CA97</f>
        <v>53.099998474121094</v>
      </c>
      <c r="J99" s="44">
        <f>RawData!BZ97</f>
        <v>35.049999237060547</v>
      </c>
      <c r="K99" s="40">
        <f>RawData!BY97</f>
        <v>-5.33349609375</v>
      </c>
      <c r="L99" s="40">
        <f>RawData!BX97</f>
        <v>2597.259765625</v>
      </c>
      <c r="M99" s="40">
        <f>RawData!BW97</f>
        <v>-49.21484375</v>
      </c>
      <c r="N99" s="40">
        <f>RawData!BV97</f>
        <v>15293.6123046875</v>
      </c>
      <c r="O99" s="36">
        <f>RawData!BU97</f>
        <v>-3.4424010664224625E-7</v>
      </c>
      <c r="P99" s="36">
        <f>RawData!BT97</f>
        <v>1.3596598000731319E-4</v>
      </c>
      <c r="Q99" s="36">
        <f>RawData!BS97</f>
        <v>-4.0190061554312706E-6</v>
      </c>
      <c r="R99" s="36">
        <f>RawData!BR97</f>
        <v>1.2562435586005449E-3</v>
      </c>
      <c r="S99" s="37">
        <f>RawData!BQ97</f>
        <v>-7.5101524998899549E-10</v>
      </c>
      <c r="T99" s="37">
        <f>RawData!BP97</f>
        <v>1.0676403690013103E-6</v>
      </c>
      <c r="U99" s="38">
        <f>RawData!BO97</f>
        <v>1.1348128318786621E-3</v>
      </c>
      <c r="V99" s="38">
        <f>RawData!BN97</f>
        <v>-0.61712664365768433</v>
      </c>
      <c r="W99" s="39">
        <f>RawData!BM97</f>
        <v>-1.4287948608398438E-2</v>
      </c>
      <c r="X99" s="39">
        <f>RawData!BL97</f>
        <v>5.7018775939941406</v>
      </c>
      <c r="Y99" s="38">
        <f>RawData!BJ97</f>
        <v>2.2153835743665695E-7</v>
      </c>
      <c r="Z99" s="38">
        <f>RawData!BI97</f>
        <v>3.6922580329701304E-4</v>
      </c>
      <c r="AA99" s="40">
        <f>RawData!BH97</f>
        <v>4.0090084075927734E-3</v>
      </c>
      <c r="AB99" s="40">
        <f>RawData!BG97</f>
        <v>3.3942742347717285</v>
      </c>
      <c r="AC99" s="40">
        <f>RawData!BF97</f>
        <v>-4.9999237060546875E-2</v>
      </c>
      <c r="AD99" s="40">
        <f>RawData!BE97</f>
        <v>-19.649999618530273</v>
      </c>
      <c r="AE99" s="40">
        <f>RawData!BD97</f>
        <v>1.5198439359664917E-4</v>
      </c>
      <c r="AF99" s="40">
        <f>RawData!BC97</f>
        <v>9.3468576669692993E-2</v>
      </c>
      <c r="AG99" s="41">
        <f>RawData!BB97</f>
        <v>32689350</v>
      </c>
      <c r="AH99" s="42">
        <f>RawData!DB97</f>
        <v>1.2969129856428605</v>
      </c>
      <c r="AI99" s="41">
        <f>RawData!BA97</f>
        <v>706850</v>
      </c>
      <c r="AJ99" s="43">
        <f>RawData!DA97</f>
        <v>545025</v>
      </c>
      <c r="AK99" s="41">
        <f>RawData!AZ97</f>
        <v>1251875</v>
      </c>
      <c r="AL99" s="42">
        <f>RawData!DD97</f>
        <v>6.2249483683044198E-4</v>
      </c>
      <c r="AM99" s="44">
        <f>RawData!DC97</f>
        <v>1.3844668865203857E-2</v>
      </c>
      <c r="AN99" s="45">
        <f>RawData!BK97</f>
        <v>22.254461050033569</v>
      </c>
      <c r="AO99" s="44">
        <f>RawData!AY97</f>
        <v>22.254461050033569</v>
      </c>
      <c r="AP99" s="43" t="str">
        <f>RawData!DH97</f>
        <v>G</v>
      </c>
      <c r="AQ99" s="43">
        <f>RawData!DE97</f>
        <v>19.649999618530273</v>
      </c>
      <c r="AR99" s="42">
        <f>RawData!CZ97</f>
        <v>2.5509814330318716E-3</v>
      </c>
      <c r="AS99" s="44">
        <f>RawData!AX97</f>
        <v>4.9999237060546875E-2</v>
      </c>
      <c r="AT99" s="43">
        <f>RawData!CY97</f>
        <v>19.649999618530273</v>
      </c>
      <c r="AU99" s="44">
        <f>RawData!AW97</f>
        <v>19.649999618530273</v>
      </c>
      <c r="AV99" s="46">
        <f>RawData!O97</f>
        <v>38900</v>
      </c>
      <c r="AW99" s="44">
        <f>RawData!AV97</f>
        <v>623</v>
      </c>
      <c r="AX99" s="44">
        <f>RawData!CW97</f>
        <v>623</v>
      </c>
      <c r="AY99" s="44">
        <f>RawData!AU97</f>
        <v>0</v>
      </c>
      <c r="AZ99" s="42">
        <f>RawData!CX97</f>
        <v>0</v>
      </c>
      <c r="BA99" s="44">
        <f>RawData!DF97</f>
        <v>623</v>
      </c>
      <c r="BB99" s="43" t="str">
        <f>RawData!DI97</f>
        <v>W</v>
      </c>
      <c r="BC99" s="44">
        <f>RawData!AT97</f>
        <v>21.943949162960052</v>
      </c>
      <c r="BD99" s="45">
        <f>RawData!AP97</f>
        <v>21.943949162960052</v>
      </c>
      <c r="BE99" s="44">
        <f>RawData!CS97</f>
        <v>1.4227628707885742E-2</v>
      </c>
      <c r="BF99" s="42">
        <f>RawData!CT97</f>
        <v>6.4878291708645374E-4</v>
      </c>
      <c r="BG99" s="41">
        <f>RawData!AS97</f>
        <v>19950</v>
      </c>
      <c r="BH99" s="41">
        <f>RawData!CU97</f>
        <v>22775</v>
      </c>
      <c r="BI99" s="41">
        <f>RawData!AR97</f>
        <v>-2825</v>
      </c>
      <c r="BJ99" s="42">
        <f>RawData!CV97</f>
        <v>-0.12403951701427003</v>
      </c>
      <c r="BK99" s="41">
        <f>RawData!AQ97</f>
        <v>712275</v>
      </c>
      <c r="BL99" s="40">
        <f>RawData!AO97</f>
        <v>-0.90967530012130737</v>
      </c>
      <c r="BM99" s="40">
        <f>RawData!AN97</f>
        <v>1.5610456466674805E-4</v>
      </c>
      <c r="BN99" s="40">
        <f>RawData!AM97</f>
        <v>-35.317886352539063</v>
      </c>
      <c r="BO99" s="40">
        <f>RawData!AL97</f>
        <v>-6.90155029296875E-2</v>
      </c>
      <c r="BP99" s="40">
        <f>RawData!AK97</f>
        <v>3.3093338012695313</v>
      </c>
      <c r="BQ99" s="40">
        <f>RawData!AJ97</f>
        <v>4.1811466217041016E-3</v>
      </c>
      <c r="BR99" s="38">
        <f>RawData!AI97</f>
        <v>3.6508182529360056E-4</v>
      </c>
      <c r="BS99" s="38">
        <f>RawData!AH97</f>
        <v>2.3949542082846165E-7</v>
      </c>
      <c r="BT99" s="40">
        <f>RawData!AG97</f>
        <v>6.0151491165161133</v>
      </c>
      <c r="BU99" s="39">
        <f>RawData!AF97</f>
        <v>-1.5887260437011719E-2</v>
      </c>
      <c r="BV99" s="39">
        <f>RawData!AE97</f>
        <v>-0.64194905757904053</v>
      </c>
      <c r="BW99" s="38">
        <f>RawData!AD97</f>
        <v>1.2503266334533691E-3</v>
      </c>
      <c r="BX99" s="38">
        <f>RawData!AC97</f>
        <v>1.08633867057506E-6</v>
      </c>
      <c r="BY99" s="37">
        <f>RawData!AB97</f>
        <v>-7.6067863119533285E-10</v>
      </c>
      <c r="BZ99" s="37">
        <f>RawData!AA97</f>
        <v>1.3440464390441775E-3</v>
      </c>
      <c r="CA99" s="36">
        <f>RawData!Z97</f>
        <v>-4.2660394683480263E-6</v>
      </c>
      <c r="CB99" s="36">
        <f>RawData!Y97</f>
        <v>1.434393780073151E-4</v>
      </c>
      <c r="CC99" s="36">
        <f>RawData!X97</f>
        <v>-3.5576522350311279E-7</v>
      </c>
      <c r="CD99" s="36">
        <f>RawData!W97</f>
        <v>16366.8974609375</v>
      </c>
      <c r="CE99" s="40">
        <f>RawData!V97</f>
        <v>-55.3173828125</v>
      </c>
      <c r="CF99" s="40">
        <f>RawData!U97</f>
        <v>2712.880859375</v>
      </c>
      <c r="CG99" s="40">
        <f>RawData!T97</f>
        <v>-5.9111328125</v>
      </c>
      <c r="CH99" s="44">
        <f>RawData!S97</f>
        <v>638.29998779296875</v>
      </c>
      <c r="CI99" s="44">
        <f>RawData!R97</f>
        <v>771.29998779296875</v>
      </c>
      <c r="CJ99" s="44">
        <f>RawData!Q97</f>
        <v>548.0999755859375</v>
      </c>
      <c r="CK99" s="44">
        <f>RawData!P97</f>
        <v>623</v>
      </c>
      <c r="CL99" s="44">
        <f>RawData!CJ97</f>
        <v>25</v>
      </c>
      <c r="CM99" s="43">
        <f>RawData!CI97</f>
        <v>623.45001220703125</v>
      </c>
      <c r="CN99" s="44">
        <f>RawData!CL97</f>
        <v>25</v>
      </c>
      <c r="CO99" s="43">
        <f>RawData!CK97</f>
        <v>621.9000244140625</v>
      </c>
      <c r="CP99" s="44">
        <f>RawData!CM97</f>
        <v>624.77001953125</v>
      </c>
      <c r="CQ99" s="47">
        <f>RawData!CO97</f>
        <v>44783.638194444444</v>
      </c>
      <c r="CR99" s="44">
        <f>RawData!CP97</f>
        <v>38295.69921875</v>
      </c>
      <c r="CS99" s="44">
        <f>RawData!DG97</f>
        <v>38295.69921875</v>
      </c>
      <c r="CT99" s="43" t="str">
        <f>RawData!DJ97</f>
        <v>G</v>
      </c>
      <c r="CU99" s="43" t="str">
        <f>RawData!CQ97</f>
        <v>FairPrice</v>
      </c>
      <c r="CV99" s="47">
        <f>RawData!CR97</f>
        <v>44783.638194444444</v>
      </c>
      <c r="CW99" s="65">
        <f>RawData!DK97</f>
        <v>38300</v>
      </c>
      <c r="CX99" s="65">
        <f>RawData!DL97</f>
        <v>3400000</v>
      </c>
      <c r="CY99" s="65">
        <f>RawData!DM97</f>
        <v>38500</v>
      </c>
      <c r="CZ99" s="65">
        <f>RawData!DN97</f>
        <v>0</v>
      </c>
      <c r="DA99" s="65">
        <f>RawData!DO97</f>
        <v>24500</v>
      </c>
      <c r="DB99" s="65">
        <f>RawData!DP97</f>
        <v>2863350</v>
      </c>
      <c r="DC99" s="65">
        <f>RawData!DQ97</f>
        <v>38000</v>
      </c>
      <c r="DD99" s="65">
        <f>RawData!DR97</f>
        <v>0</v>
      </c>
      <c r="DE99" s="65">
        <f>RawData!DS97</f>
        <v>24500</v>
      </c>
      <c r="DF99" s="65" t="str">
        <f>RawData!DT97</f>
        <v>BANKNIFTY</v>
      </c>
      <c r="DG99" s="66">
        <f>RawData!DU97</f>
        <v>44784</v>
      </c>
      <c r="DI99" s="21">
        <f t="shared" si="1"/>
        <v>604.30078125</v>
      </c>
    </row>
    <row r="100" spans="1:113" x14ac:dyDescent="0.2">
      <c r="A100" s="59">
        <f>RawData!CN98</f>
        <v>44783.638194444444</v>
      </c>
      <c r="B100" s="44">
        <f>RawData!CH98</f>
        <v>21.920000076293945</v>
      </c>
      <c r="C100" s="44">
        <f>RawData!CG98</f>
        <v>600</v>
      </c>
      <c r="D100" s="43">
        <f>RawData!CF98</f>
        <v>12.649999618530273</v>
      </c>
      <c r="E100" s="44">
        <f>RawData!CE98</f>
        <v>450</v>
      </c>
      <c r="F100" s="43">
        <f>RawData!CD98</f>
        <v>12.699999809265137</v>
      </c>
      <c r="G100" s="44">
        <f>RawData!CC98</f>
        <v>12.649999618530273</v>
      </c>
      <c r="H100" s="44">
        <f>RawData!CB98</f>
        <v>12.199999809265137</v>
      </c>
      <c r="I100" s="44">
        <f>RawData!CA98</f>
        <v>37</v>
      </c>
      <c r="J100" s="44">
        <f>RawData!BZ98</f>
        <v>33</v>
      </c>
      <c r="K100" s="40">
        <f>RawData!BY98</f>
        <v>11.13818359375</v>
      </c>
      <c r="L100" s="40">
        <f>RawData!BX98</f>
        <v>4192.98828125</v>
      </c>
      <c r="M100" s="40">
        <f>RawData!BW98</f>
        <v>120.759765625</v>
      </c>
      <c r="N100" s="40">
        <f>RawData!BV98</f>
        <v>26874.853515625</v>
      </c>
      <c r="O100" s="36">
        <f>RawData!BU98</f>
        <v>4.1381281334906816E-7</v>
      </c>
      <c r="P100" s="36">
        <f>RawData!BT98</f>
        <v>1.7816016043070704E-4</v>
      </c>
      <c r="Q100" s="36">
        <f>RawData!BS98</f>
        <v>6.1016762629151344E-6</v>
      </c>
      <c r="R100" s="36">
        <f>RawData!BR98</f>
        <v>1.6306701581925154E-3</v>
      </c>
      <c r="S100" s="37">
        <f>RawData!BQ98</f>
        <v>1.8406467461318243E-9</v>
      </c>
      <c r="T100" s="37">
        <f>RawData!BP98</f>
        <v>9.0693515630846377E-7</v>
      </c>
      <c r="U100" s="38">
        <f>RawData!BO98</f>
        <v>-2.2537708282470703E-3</v>
      </c>
      <c r="V100" s="38">
        <f>RawData!BN98</f>
        <v>-0.9488263726234436</v>
      </c>
      <c r="W100" s="39">
        <f>RawData!BM98</f>
        <v>3.2952308654785156E-2</v>
      </c>
      <c r="X100" s="39">
        <f>RawData!BL98</f>
        <v>8.6844491958618164</v>
      </c>
      <c r="Y100" s="38">
        <f>RawData!BJ98</f>
        <v>-4.6304194256663322E-8</v>
      </c>
      <c r="Z100" s="38">
        <f>RawData!BI98</f>
        <v>2.741360804066062E-4</v>
      </c>
      <c r="AA100" s="40">
        <f>RawData!BH98</f>
        <v>-4.2014122009277344E-3</v>
      </c>
      <c r="AB100" s="40">
        <f>RawData!BG98</f>
        <v>2.5441668033599854</v>
      </c>
      <c r="AC100" s="40">
        <f>RawData!BF98</f>
        <v>5.0000190734863281E-2</v>
      </c>
      <c r="AD100" s="40">
        <f>RawData!BE98</f>
        <v>-12.649999618530273</v>
      </c>
      <c r="AE100" s="40">
        <f>RawData!BD98</f>
        <v>-1.3522058725357056E-4</v>
      </c>
      <c r="AF100" s="40">
        <f>RawData!BC98</f>
        <v>6.3933677971363068E-2</v>
      </c>
      <c r="AG100" s="41">
        <f>RawData!BB98</f>
        <v>59659000</v>
      </c>
      <c r="AH100" s="42">
        <f>RawData!DB98</f>
        <v>0.62609838120607986</v>
      </c>
      <c r="AI100" s="41">
        <f>RawData!BA98</f>
        <v>1298575</v>
      </c>
      <c r="AJ100" s="43">
        <f>RawData!DA98</f>
        <v>2074075</v>
      </c>
      <c r="AK100" s="41">
        <f>RawData!AZ98</f>
        <v>3372650</v>
      </c>
      <c r="AL100" s="42">
        <f>RawData!DD98</f>
        <v>-1.4656187912873801E-3</v>
      </c>
      <c r="AM100" s="44">
        <f>RawData!DC98</f>
        <v>-3.2974779605865479E-2</v>
      </c>
      <c r="AN100" s="45">
        <f>RawData!BK98</f>
        <v>22.465904057025909</v>
      </c>
      <c r="AO100" s="44">
        <f>RawData!AY98</f>
        <v>22.465904057025909</v>
      </c>
      <c r="AP100" s="43" t="str">
        <f>RawData!DH98</f>
        <v>R</v>
      </c>
      <c r="AQ100" s="43">
        <f>RawData!DE98</f>
        <v>12.649999618530273</v>
      </c>
      <c r="AR100" s="42">
        <f>RawData!CZ98</f>
        <v>-3.9370229516370722E-3</v>
      </c>
      <c r="AS100" s="44">
        <f>RawData!AX98</f>
        <v>-5.0000190734863281E-2</v>
      </c>
      <c r="AT100" s="43">
        <f>RawData!CY98</f>
        <v>12.649999618530273</v>
      </c>
      <c r="AU100" s="44">
        <f>RawData!AW98</f>
        <v>12.649999618530273</v>
      </c>
      <c r="AV100" s="46">
        <f>RawData!O98</f>
        <v>39000</v>
      </c>
      <c r="AW100" s="44">
        <f>RawData!AV98</f>
        <v>715</v>
      </c>
      <c r="AX100" s="44">
        <f>RawData!CW98</f>
        <v>715</v>
      </c>
      <c r="AY100" s="44">
        <f>RawData!AU98</f>
        <v>0</v>
      </c>
      <c r="AZ100" s="42">
        <f>RawData!CX98</f>
        <v>0</v>
      </c>
      <c r="BA100" s="44">
        <f>RawData!DF98</f>
        <v>715</v>
      </c>
      <c r="BB100" s="43" t="str">
        <f>RawData!DI98</f>
        <v>W</v>
      </c>
      <c r="BC100" s="44">
        <f>RawData!AT98</f>
        <v>21.665145456790924</v>
      </c>
      <c r="BD100" s="45">
        <f>RawData!AP98</f>
        <v>21.665145456790924</v>
      </c>
      <c r="BE100" s="44">
        <f>RawData!CS98</f>
        <v>2.072751522064209E-2</v>
      </c>
      <c r="BF100" s="42">
        <f>RawData!CT98</f>
        <v>9.576379127679295E-4</v>
      </c>
      <c r="BG100" s="41">
        <f>RawData!AS98</f>
        <v>71175</v>
      </c>
      <c r="BH100" s="41">
        <f>RawData!CU98</f>
        <v>63375</v>
      </c>
      <c r="BI100" s="41">
        <f>RawData!AR98</f>
        <v>7800</v>
      </c>
      <c r="BJ100" s="42">
        <f>RawData!CV98</f>
        <v>0.12307692307692308</v>
      </c>
      <c r="BK100" s="41">
        <f>RawData!AQ98</f>
        <v>2121575</v>
      </c>
      <c r="BL100" s="40">
        <f>RawData!AO98</f>
        <v>-0.94285428524017334</v>
      </c>
      <c r="BM100" s="40">
        <f>RawData!AN98</f>
        <v>1.8352270126342773E-4</v>
      </c>
      <c r="BN100" s="40">
        <f>RawData!AM98</f>
        <v>-24.552515029907227</v>
      </c>
      <c r="BO100" s="40">
        <f>RawData!AL98</f>
        <v>-8.6076736450195313E-2</v>
      </c>
      <c r="BP100" s="40">
        <f>RawData!AK98</f>
        <v>2.3302099704742432</v>
      </c>
      <c r="BQ100" s="40">
        <f>RawData!AJ98</f>
        <v>5.8453083038330078E-3</v>
      </c>
      <c r="BR100" s="38">
        <f>RawData!AI98</f>
        <v>2.6037279167212546E-4</v>
      </c>
      <c r="BS100" s="38">
        <f>RawData!AH98</f>
        <v>4.1496241465210915E-7</v>
      </c>
      <c r="BT100" s="40">
        <f>RawData!AG98</f>
        <v>10.192218780517578</v>
      </c>
      <c r="BU100" s="39">
        <f>RawData!AF98</f>
        <v>-4.5857429504394531E-2</v>
      </c>
      <c r="BV100" s="39">
        <f>RawData!AE98</f>
        <v>-1.0739144086837769</v>
      </c>
      <c r="BW100" s="38">
        <f>RawData!AD98</f>
        <v>3.7533044815063477E-3</v>
      </c>
      <c r="BX100" s="38">
        <f>RawData!AC98</f>
        <v>9.2699440301657887E-7</v>
      </c>
      <c r="BY100" s="37">
        <f>RawData!AB98</f>
        <v>-3.432774065004196E-10</v>
      </c>
      <c r="BZ100" s="37">
        <f>RawData!AA98</f>
        <v>1.8171458505094051E-3</v>
      </c>
      <c r="CA100" s="36">
        <f>RawData!Z98</f>
        <v>-4.9247173592448235E-6</v>
      </c>
      <c r="CB100" s="36">
        <f>RawData!Y98</f>
        <v>1.9146558770444244E-4</v>
      </c>
      <c r="CC100" s="36">
        <f>RawData!X98</f>
        <v>-3.2693787943571806E-7</v>
      </c>
      <c r="CD100" s="36">
        <f>RawData!W98</f>
        <v>32713.224609375</v>
      </c>
      <c r="CE100" s="40">
        <f>RawData!V98</f>
        <v>-181.197265625</v>
      </c>
      <c r="CF100" s="40">
        <f>RawData!U98</f>
        <v>4819.01708984375</v>
      </c>
      <c r="CG100" s="40">
        <f>RawData!T98</f>
        <v>-19.07373046875</v>
      </c>
      <c r="CH100" s="44">
        <f>RawData!S98</f>
        <v>729.79998779296875</v>
      </c>
      <c r="CI100" s="44">
        <f>RawData!R98</f>
        <v>860</v>
      </c>
      <c r="CJ100" s="44">
        <f>RawData!Q98</f>
        <v>631.1500244140625</v>
      </c>
      <c r="CK100" s="44">
        <f>RawData!P98</f>
        <v>715</v>
      </c>
      <c r="CL100" s="44">
        <f>RawData!CJ98</f>
        <v>25</v>
      </c>
      <c r="CM100" s="43">
        <f>RawData!CI98</f>
        <v>717.0999755859375</v>
      </c>
      <c r="CN100" s="44">
        <f>RawData!CL98</f>
        <v>25</v>
      </c>
      <c r="CO100" s="43">
        <f>RawData!CK98</f>
        <v>715.20001220703125</v>
      </c>
      <c r="CP100" s="44">
        <f>RawData!CM98</f>
        <v>718.65997314453125</v>
      </c>
      <c r="CQ100" s="47">
        <f>RawData!CO98</f>
        <v>44783.638194444444</v>
      </c>
      <c r="CR100" s="44">
        <f>RawData!CP98</f>
        <v>38295.69921875</v>
      </c>
      <c r="CS100" s="44">
        <f>RawData!DG98</f>
        <v>38295.69921875</v>
      </c>
      <c r="CT100" s="43" t="str">
        <f>RawData!DJ98</f>
        <v>G</v>
      </c>
      <c r="CU100" s="43" t="str">
        <f>RawData!CQ98</f>
        <v>FairPrice</v>
      </c>
      <c r="CV100" s="47">
        <f>RawData!CR98</f>
        <v>44783.638194444444</v>
      </c>
      <c r="CW100" s="65">
        <f>RawData!DK98</f>
        <v>38300</v>
      </c>
      <c r="CX100" s="65">
        <f>RawData!DL98</f>
        <v>3400000</v>
      </c>
      <c r="CY100" s="65">
        <f>RawData!DM98</f>
        <v>38500</v>
      </c>
      <c r="CZ100" s="65">
        <f>RawData!DN98</f>
        <v>0</v>
      </c>
      <c r="DA100" s="65">
        <f>RawData!DO98</f>
        <v>24500</v>
      </c>
      <c r="DB100" s="65">
        <f>RawData!DP98</f>
        <v>2863350</v>
      </c>
      <c r="DC100" s="65">
        <f>RawData!DQ98</f>
        <v>38000</v>
      </c>
      <c r="DD100" s="65">
        <f>RawData!DR98</f>
        <v>0</v>
      </c>
      <c r="DE100" s="65">
        <f>RawData!DS98</f>
        <v>24500</v>
      </c>
      <c r="DF100" s="65" t="str">
        <f>RawData!DT98</f>
        <v>BANKNIFTY</v>
      </c>
      <c r="DG100" s="66">
        <f>RawData!DU98</f>
        <v>44784</v>
      </c>
      <c r="DI100" s="21">
        <f t="shared" si="1"/>
        <v>704.30078125</v>
      </c>
    </row>
    <row r="101" spans="1:113" x14ac:dyDescent="0.2">
      <c r="A101" s="59">
        <f>RawData!CN99</f>
        <v>44783.638194444444</v>
      </c>
      <c r="B101" s="44">
        <f>RawData!CH99</f>
        <v>14.630000114440918</v>
      </c>
      <c r="C101" s="44">
        <f>RawData!CG99</f>
        <v>750</v>
      </c>
      <c r="D101" s="43">
        <f>RawData!CF99</f>
        <v>8.1999998092651367</v>
      </c>
      <c r="E101" s="44">
        <f>RawData!CE99</f>
        <v>2050</v>
      </c>
      <c r="F101" s="43">
        <f>RawData!CD99</f>
        <v>8.25</v>
      </c>
      <c r="G101" s="44">
        <f>RawData!CC99</f>
        <v>8.25</v>
      </c>
      <c r="H101" s="44">
        <f>RawData!CB99</f>
        <v>7.9499998092651367</v>
      </c>
      <c r="I101" s="44">
        <f>RawData!CA99</f>
        <v>26</v>
      </c>
      <c r="J101" s="44">
        <f>RawData!BZ99</f>
        <v>20</v>
      </c>
      <c r="K101" s="40">
        <f>RawData!BY99</f>
        <v>-35.05810546875</v>
      </c>
      <c r="L101" s="40">
        <f>RawData!BX99</f>
        <v>6706.0234375</v>
      </c>
      <c r="M101" s="40">
        <f>RawData!BW99</f>
        <v>-316.44140625</v>
      </c>
      <c r="N101" s="40">
        <f>RawData!BV99</f>
        <v>45089.77734375</v>
      </c>
      <c r="O101" s="36">
        <f>RawData!BU99</f>
        <v>-2.2067979443818331E-7</v>
      </c>
      <c r="P101" s="36">
        <f>RawData!BT99</f>
        <v>1.8849766638595611E-4</v>
      </c>
      <c r="Q101" s="36">
        <f>RawData!BS99</f>
        <v>-3.9977021515369415E-6</v>
      </c>
      <c r="R101" s="36">
        <f>RawData!BR99</f>
        <v>1.6979789361357689E-3</v>
      </c>
      <c r="S101" s="37">
        <f>RawData!BQ99</f>
        <v>2.5863755581667647E-11</v>
      </c>
      <c r="T101" s="37">
        <f>RawData!BP99</f>
        <v>7.2966116704265005E-7</v>
      </c>
      <c r="U101" s="38">
        <f>RawData!BO99</f>
        <v>6.6474676132202148E-3</v>
      </c>
      <c r="V101" s="38">
        <f>RawData!BN99</f>
        <v>-1.4405395984649658</v>
      </c>
      <c r="W101" s="39">
        <f>RawData!BM99</f>
        <v>-7.5292587280273438E-2</v>
      </c>
      <c r="X101" s="39">
        <f>RawData!BL99</f>
        <v>12.976319313049316</v>
      </c>
      <c r="Y101" s="38">
        <f>RawData!BJ99</f>
        <v>4.6959030441939831E-7</v>
      </c>
      <c r="Z101" s="38">
        <f>RawData!BI99</f>
        <v>1.994137855945155E-4</v>
      </c>
      <c r="AA101" s="40">
        <f>RawData!BH99</f>
        <v>6.4858198165893555E-3</v>
      </c>
      <c r="AB101" s="40">
        <f>RawData!BG99</f>
        <v>1.8803008794784546</v>
      </c>
      <c r="AC101" s="40">
        <f>RawData!BF99</f>
        <v>-5.0000190734863281E-2</v>
      </c>
      <c r="AD101" s="40">
        <f>RawData!BE99</f>
        <v>-8.25</v>
      </c>
      <c r="AE101" s="40">
        <f>RawData!BD99</f>
        <v>1.8763914704322815E-4</v>
      </c>
      <c r="AF101" s="40">
        <f>RawData!BC99</f>
        <v>4.3665148317813873E-2</v>
      </c>
      <c r="AG101" s="41">
        <f>RawData!BB99</f>
        <v>21342325</v>
      </c>
      <c r="AH101" s="42">
        <f>RawData!DB99</f>
        <v>0.94114830626820412</v>
      </c>
      <c r="AI101" s="41">
        <f>RawData!BA99</f>
        <v>589700</v>
      </c>
      <c r="AJ101" s="43">
        <f>RawData!DA99</f>
        <v>626575</v>
      </c>
      <c r="AK101" s="41">
        <f>RawData!AZ99</f>
        <v>1216275</v>
      </c>
      <c r="AL101" s="42">
        <f>RawData!DD99</f>
        <v>1.1390104477478303E-3</v>
      </c>
      <c r="AM101" s="44">
        <f>RawData!DC99</f>
        <v>2.5969743728637695E-2</v>
      </c>
      <c r="AN101" s="45">
        <f>RawData!BK99</f>
        <v>22.826237976551056</v>
      </c>
      <c r="AO101" s="44">
        <f>RawData!AY99</f>
        <v>22.826237976551056</v>
      </c>
      <c r="AP101" s="43" t="str">
        <f>RawData!DH99</f>
        <v>G</v>
      </c>
      <c r="AQ101" s="43">
        <f>RawData!DE99</f>
        <v>8.25</v>
      </c>
      <c r="AR101" s="42">
        <f>RawData!CZ99</f>
        <v>6.097584377790879E-3</v>
      </c>
      <c r="AS101" s="44">
        <f>RawData!AX99</f>
        <v>5.0000190734863281E-2</v>
      </c>
      <c r="AT101" s="43">
        <f>RawData!CY99</f>
        <v>8.25</v>
      </c>
      <c r="AU101" s="44">
        <f>RawData!AW99</f>
        <v>8.25</v>
      </c>
      <c r="AV101" s="46">
        <f>RawData!O99</f>
        <v>39100</v>
      </c>
      <c r="AW101" s="44">
        <f>RawData!AV99</f>
        <v>804.5</v>
      </c>
      <c r="AX101" s="44">
        <f>RawData!CW99</f>
        <v>804.5</v>
      </c>
      <c r="AY101" s="44">
        <f>RawData!AU99</f>
        <v>0</v>
      </c>
      <c r="AZ101" s="42">
        <f>RawData!CX99</f>
        <v>0</v>
      </c>
      <c r="BA101" s="44">
        <f>RawData!DF99</f>
        <v>804.5</v>
      </c>
      <c r="BB101" s="43" t="str">
        <f>RawData!DI99</f>
        <v>W</v>
      </c>
      <c r="BC101" s="44">
        <f>RawData!AT99</f>
        <v>13.028727471828461</v>
      </c>
      <c r="BD101" s="45">
        <f>RawData!AP99</f>
        <v>13.028727471828461</v>
      </c>
      <c r="BE101" s="44">
        <f>RawData!CS99</f>
        <v>0.71818605065345764</v>
      </c>
      <c r="BF101" s="42">
        <f>RawData!CT99</f>
        <v>5.8339111667186853E-2</v>
      </c>
      <c r="BG101" s="41">
        <f>RawData!AS99</f>
        <v>10300</v>
      </c>
      <c r="BH101" s="41">
        <f>RawData!CU99</f>
        <v>4050</v>
      </c>
      <c r="BI101" s="41">
        <f>RawData!AR99</f>
        <v>6250</v>
      </c>
      <c r="BJ101" s="42">
        <f>RawData!CV99</f>
        <v>1.5432098765432098</v>
      </c>
      <c r="BK101" s="41">
        <f>RawData!AQ99</f>
        <v>180850</v>
      </c>
      <c r="BL101" s="40">
        <f>RawData!AO99</f>
        <v>-0.99866259098052979</v>
      </c>
      <c r="BM101" s="40">
        <f>RawData!AN99</f>
        <v>5.9729814529418945E-4</v>
      </c>
      <c r="BN101" s="40">
        <f>RawData!AM99</f>
        <v>-0.56591975688934326</v>
      </c>
      <c r="BO101" s="40">
        <f>RawData!AL99</f>
        <v>-0.2552664577960968</v>
      </c>
      <c r="BP101" s="40">
        <f>RawData!AK99</f>
        <v>8.9312762022018433E-2</v>
      </c>
      <c r="BQ101" s="40">
        <f>RawData!AJ99</f>
        <v>3.7423409521579742E-2</v>
      </c>
      <c r="BR101" s="38">
        <f>RawData!AI99</f>
        <v>1.6594949556747451E-5</v>
      </c>
      <c r="BS101" s="38">
        <f>RawData!AH99</f>
        <v>6.3914794736774638E-6</v>
      </c>
      <c r="BT101" s="40">
        <f>RawData!AG99</f>
        <v>836.66595458984375</v>
      </c>
      <c r="BU101" s="39">
        <f>RawData!AF99</f>
        <v>-776.24456787109375</v>
      </c>
      <c r="BV101" s="39">
        <f>RawData!AE99</f>
        <v>-53.014347076416016</v>
      </c>
      <c r="BW101" s="38">
        <f>RawData!AD99</f>
        <v>43.548038482666016</v>
      </c>
      <c r="BX101" s="38">
        <f>RawData!AC99</f>
        <v>1.8775249088776036E-7</v>
      </c>
      <c r="BY101" s="37">
        <f>RawData!AB99</f>
        <v>5.8399137969900039E-8</v>
      </c>
      <c r="BZ101" s="37">
        <f>RawData!AA99</f>
        <v>1.0237845126539469E-3</v>
      </c>
      <c r="CA101" s="36">
        <f>RawData!Z99</f>
        <v>2.6756251463666558E-4</v>
      </c>
      <c r="CB101" s="36">
        <f>RawData!Y99</f>
        <v>6.4870902861002833E-5</v>
      </c>
      <c r="CC101" s="36">
        <f>RawData!X99</f>
        <v>1.9597093341872096E-5</v>
      </c>
      <c r="CD101" s="36">
        <f>RawData!W99</f>
        <v>5106233</v>
      </c>
      <c r="CE101" s="40">
        <f>RawData!V99</f>
        <v>-5313678</v>
      </c>
      <c r="CF101" s="40">
        <f>RawData!U99</f>
        <v>359350.3125</v>
      </c>
      <c r="CG101" s="40">
        <f>RawData!T99</f>
        <v>-326092.3125</v>
      </c>
      <c r="CH101" s="44">
        <f>RawData!S99</f>
        <v>816.79998779296875</v>
      </c>
      <c r="CI101" s="44">
        <f>RawData!R99</f>
        <v>955</v>
      </c>
      <c r="CJ101" s="44">
        <f>RawData!Q99</f>
        <v>723.25</v>
      </c>
      <c r="CK101" s="44">
        <f>RawData!P99</f>
        <v>804.5</v>
      </c>
      <c r="CL101" s="44">
        <f>RawData!CJ99</f>
        <v>25</v>
      </c>
      <c r="CM101" s="43">
        <f>RawData!CI99</f>
        <v>811.8499755859375</v>
      </c>
      <c r="CN101" s="44">
        <f>RawData!CL99</f>
        <v>25</v>
      </c>
      <c r="CO101" s="43">
        <f>RawData!CK99</f>
        <v>809.29998779296875</v>
      </c>
      <c r="CP101" s="44">
        <f>RawData!CM99</f>
        <v>820.5</v>
      </c>
      <c r="CQ101" s="47">
        <f>RawData!CO99</f>
        <v>44783.638194444444</v>
      </c>
      <c r="CR101" s="44">
        <f>RawData!CP99</f>
        <v>38295.69921875</v>
      </c>
      <c r="CS101" s="44">
        <f>RawData!DG99</f>
        <v>38295.69921875</v>
      </c>
      <c r="CT101" s="43" t="str">
        <f>RawData!DJ99</f>
        <v>G</v>
      </c>
      <c r="CU101" s="43" t="str">
        <f>RawData!CQ99</f>
        <v>FairPrice</v>
      </c>
      <c r="CV101" s="47">
        <f>RawData!CR99</f>
        <v>44783.638194444444</v>
      </c>
      <c r="CW101" s="65">
        <f>RawData!DK99</f>
        <v>38300</v>
      </c>
      <c r="CX101" s="65">
        <f>RawData!DL99</f>
        <v>3400000</v>
      </c>
      <c r="CY101" s="65">
        <f>RawData!DM99</f>
        <v>38500</v>
      </c>
      <c r="CZ101" s="65">
        <f>RawData!DN99</f>
        <v>0</v>
      </c>
      <c r="DA101" s="65">
        <f>RawData!DO99</f>
        <v>24500</v>
      </c>
      <c r="DB101" s="65">
        <f>RawData!DP99</f>
        <v>2863350</v>
      </c>
      <c r="DC101" s="65">
        <f>RawData!DQ99</f>
        <v>38000</v>
      </c>
      <c r="DD101" s="65">
        <f>RawData!DR99</f>
        <v>0</v>
      </c>
      <c r="DE101" s="65">
        <f>RawData!DS99</f>
        <v>24500</v>
      </c>
      <c r="DF101" s="65" t="str">
        <f>RawData!DT99</f>
        <v>BANKNIFTY</v>
      </c>
      <c r="DG101" s="66">
        <f>RawData!DU99</f>
        <v>44784</v>
      </c>
      <c r="DI101" s="21">
        <f t="shared" si="1"/>
        <v>804.30078125</v>
      </c>
    </row>
    <row r="102" spans="1:113" x14ac:dyDescent="0.2">
      <c r="A102" s="59">
        <f>RawData!CN100</f>
        <v>44783.638194444444</v>
      </c>
      <c r="B102" s="44">
        <f>RawData!CH100</f>
        <v>10.239999771118164</v>
      </c>
      <c r="C102" s="44">
        <f>RawData!CG100</f>
        <v>2650</v>
      </c>
      <c r="D102" s="43">
        <f>RawData!CF100</f>
        <v>6.1999998092651367</v>
      </c>
      <c r="E102" s="44">
        <f>RawData!CE100</f>
        <v>225</v>
      </c>
      <c r="F102" s="43">
        <f>RawData!CD100</f>
        <v>6.25</v>
      </c>
      <c r="G102" s="44">
        <f>RawData!CC100</f>
        <v>6.1999998092651367</v>
      </c>
      <c r="H102" s="44">
        <f>RawData!CB100</f>
        <v>6.0500001907348633</v>
      </c>
      <c r="I102" s="44">
        <f>RawData!CA100</f>
        <v>21</v>
      </c>
      <c r="J102" s="44">
        <f>RawData!BZ100</f>
        <v>10</v>
      </c>
      <c r="K102" s="40">
        <f>RawData!BY100</f>
        <v>125.923828125</v>
      </c>
      <c r="L102" s="40">
        <f>RawData!BX100</f>
        <v>9471.201171875</v>
      </c>
      <c r="M102" s="40">
        <f>RawData!BW100</f>
        <v>1119.56640625</v>
      </c>
      <c r="N102" s="40">
        <f>RawData!BV100</f>
        <v>63263.14453125</v>
      </c>
      <c r="O102" s="36">
        <f>RawData!BU100</f>
        <v>3.1852687243372202E-7</v>
      </c>
      <c r="P102" s="36">
        <f>RawData!BT100</f>
        <v>1.776666467776522E-4</v>
      </c>
      <c r="Q102" s="36">
        <f>RawData!BS100</f>
        <v>7.7155418694019318E-6</v>
      </c>
      <c r="R102" s="36">
        <f>RawData!BR100</f>
        <v>1.5345215797424316E-3</v>
      </c>
      <c r="S102" s="37">
        <f>RawData!BQ100</f>
        <v>9.7543306765146554E-11</v>
      </c>
      <c r="T102" s="37">
        <f>RawData!BP100</f>
        <v>5.7223627436542301E-7</v>
      </c>
      <c r="U102" s="38">
        <f>RawData!BO100</f>
        <v>-2.3157358169555664E-2</v>
      </c>
      <c r="V102" s="38">
        <f>RawData!BN100</f>
        <v>-1.9576071500778198</v>
      </c>
      <c r="W102" s="39">
        <f>RawData!BM100</f>
        <v>0.25415992736816406</v>
      </c>
      <c r="X102" s="39">
        <f>RawData!BL100</f>
        <v>16.908014297485352</v>
      </c>
      <c r="Y102" s="38">
        <f>RawData!BJ100</f>
        <v>-8.9386594481766224E-7</v>
      </c>
      <c r="Z102" s="38">
        <f>RawData!BI100</f>
        <v>1.5145241923164576E-4</v>
      </c>
      <c r="AA102" s="40">
        <f>RawData!BH100</f>
        <v>-1.3749599456787109E-2</v>
      </c>
      <c r="AB102" s="40">
        <f>RawData!BG100</f>
        <v>1.4895119667053223</v>
      </c>
      <c r="AC102" s="40">
        <f>RawData!BF100</f>
        <v>0.10000038146972656</v>
      </c>
      <c r="AD102" s="40">
        <f>RawData!BE100</f>
        <v>-6.1999998092651367</v>
      </c>
      <c r="AE102" s="40">
        <f>RawData!BD100</f>
        <v>-3.6768615245819092E-4</v>
      </c>
      <c r="AF102" s="40">
        <f>RawData!BC100</f>
        <v>3.2818041741847992E-2</v>
      </c>
      <c r="AG102" s="41">
        <f>RawData!BB100</f>
        <v>20374650</v>
      </c>
      <c r="AH102" s="42">
        <f>RawData!DB100</f>
        <v>1.39701542871596</v>
      </c>
      <c r="AI102" s="41">
        <f>RawData!BA100</f>
        <v>828500</v>
      </c>
      <c r="AJ102" s="43">
        <f>RawData!DA100</f>
        <v>593050</v>
      </c>
      <c r="AK102" s="41">
        <f>RawData!AZ100</f>
        <v>1421550</v>
      </c>
      <c r="AL102" s="42">
        <f>RawData!DD100</f>
        <v>-3.284063644781622E-3</v>
      </c>
      <c r="AM102" s="44">
        <f>RawData!DC100</f>
        <v>-7.8442692756652832E-2</v>
      </c>
      <c r="AN102" s="45">
        <f>RawData!BK100</f>
        <v>23.807419836521149</v>
      </c>
      <c r="AO102" s="44">
        <f>RawData!AY100</f>
        <v>23.807419836521149</v>
      </c>
      <c r="AP102" s="43" t="str">
        <f>RawData!DH100</f>
        <v>R</v>
      </c>
      <c r="AQ102" s="43">
        <f>RawData!DE100</f>
        <v>6.1999998092651367</v>
      </c>
      <c r="AR102" s="42">
        <f>RawData!CZ100</f>
        <v>-1.5873075943202794E-2</v>
      </c>
      <c r="AS102" s="44">
        <f>RawData!AX100</f>
        <v>-0.10000038146972656</v>
      </c>
      <c r="AT102" s="43">
        <f>RawData!CY100</f>
        <v>6.1999998092651367</v>
      </c>
      <c r="AU102" s="44">
        <f>RawData!AW100</f>
        <v>6.1999998092651367</v>
      </c>
      <c r="AV102" s="46">
        <f>RawData!O100</f>
        <v>39200</v>
      </c>
      <c r="AW102" s="44">
        <f>RawData!AV100</f>
        <v>904.45001220703125</v>
      </c>
      <c r="AX102" s="44">
        <f>RawData!CW100</f>
        <v>904.45001220703125</v>
      </c>
      <c r="AY102" s="44">
        <f>RawData!AU100</f>
        <v>0</v>
      </c>
      <c r="AZ102" s="42">
        <f>RawData!CX100</f>
        <v>0</v>
      </c>
      <c r="BA102" s="44">
        <f>RawData!DF100</f>
        <v>904.45001220703125</v>
      </c>
      <c r="BB102" s="43" t="str">
        <f>RawData!DI100</f>
        <v>W</v>
      </c>
      <c r="BC102" s="44">
        <f>RawData!AT100</f>
        <v>15.002603828907013</v>
      </c>
      <c r="BD102" s="45">
        <f>RawData!AP100</f>
        <v>15.002603828907013</v>
      </c>
      <c r="BE102" s="44">
        <f>RawData!CS100</f>
        <v>0.51937699317932129</v>
      </c>
      <c r="BF102" s="42">
        <f>RawData!CT100</f>
        <v>3.5860585425487181E-2</v>
      </c>
      <c r="BG102" s="41">
        <f>RawData!AS100</f>
        <v>8200</v>
      </c>
      <c r="BH102" s="41">
        <f>RawData!CU100</f>
        <v>3500</v>
      </c>
      <c r="BI102" s="41">
        <f>RawData!AR100</f>
        <v>4700</v>
      </c>
      <c r="BJ102" s="42">
        <f>RawData!CV100</f>
        <v>1.3428571428571427</v>
      </c>
      <c r="BK102" s="41">
        <f>RawData!AQ100</f>
        <v>145075</v>
      </c>
      <c r="BL102" s="40">
        <f>RawData!AO100</f>
        <v>-0.99829012155532837</v>
      </c>
      <c r="BM102" s="40">
        <f>RawData!AN100</f>
        <v>4.9757957458496094E-4</v>
      </c>
      <c r="BN102" s="40">
        <f>RawData!AM100</f>
        <v>-0.81536823511123657</v>
      </c>
      <c r="BO102" s="40">
        <f>RawData!AL100</f>
        <v>-0.24033528566360474</v>
      </c>
      <c r="BP102" s="40">
        <f>RawData!AK100</f>
        <v>0.11175006628036499</v>
      </c>
      <c r="BQ102" s="40">
        <f>RawData!AJ100</f>
        <v>3.010934591293335E-2</v>
      </c>
      <c r="BR102" s="38">
        <f>RawData!AI100</f>
        <v>1.8031974832410924E-5</v>
      </c>
      <c r="BS102" s="38">
        <f>RawData!AH100</f>
        <v>4.3865820771316066E-6</v>
      </c>
      <c r="BT102" s="40">
        <f>RawData!AG100</f>
        <v>566.32159423828125</v>
      </c>
      <c r="BU102" s="39">
        <f>RawData!AF100</f>
        <v>-265.42364501953125</v>
      </c>
      <c r="BV102" s="39">
        <f>RawData!AE100</f>
        <v>-41.320838928222656</v>
      </c>
      <c r="BW102" s="38">
        <f>RawData!AD100</f>
        <v>17.262786865234375</v>
      </c>
      <c r="BX102" s="38">
        <f>RawData!AC100</f>
        <v>1.7263690210711502E-7</v>
      </c>
      <c r="BY102" s="37">
        <f>RawData!AB100</f>
        <v>3.2418185469396121E-8</v>
      </c>
      <c r="BZ102" s="37">
        <f>RawData!AA100</f>
        <v>9.1250723926350474E-4</v>
      </c>
      <c r="CA102" s="36">
        <f>RawData!Z100</f>
        <v>1.380608300678432E-4</v>
      </c>
      <c r="CB102" s="36">
        <f>RawData!Y100</f>
        <v>6.6579777922015637E-5</v>
      </c>
      <c r="CC102" s="36">
        <f>RawData!X100</f>
        <v>1.2031974620185792E-5</v>
      </c>
      <c r="CD102" s="36">
        <f>RawData!W100</f>
        <v>3369309.25</v>
      </c>
      <c r="CE102" s="40">
        <f>RawData!V100</f>
        <v>-1757336.75</v>
      </c>
      <c r="CF102" s="40">
        <f>RawData!U100</f>
        <v>274448.875</v>
      </c>
      <c r="CG102" s="40">
        <f>RawData!T100</f>
        <v>-125808.46875</v>
      </c>
      <c r="CH102" s="44">
        <f>RawData!S100</f>
        <v>909.79998779296875</v>
      </c>
      <c r="CI102" s="44">
        <f>RawData!R100</f>
        <v>1047.5</v>
      </c>
      <c r="CJ102" s="44">
        <f>RawData!Q100</f>
        <v>817.25</v>
      </c>
      <c r="CK102" s="44">
        <f>RawData!P100</f>
        <v>904.45001220703125</v>
      </c>
      <c r="CL102" s="44">
        <f>RawData!CJ100</f>
        <v>25</v>
      </c>
      <c r="CM102" s="43">
        <f>RawData!CI100</f>
        <v>909</v>
      </c>
      <c r="CN102" s="44">
        <f>RawData!CL100</f>
        <v>500</v>
      </c>
      <c r="CO102" s="43">
        <f>RawData!CK100</f>
        <v>907.1500244140625</v>
      </c>
      <c r="CP102" s="44">
        <f>RawData!CM100</f>
        <v>908.719970703125</v>
      </c>
      <c r="CQ102" s="47">
        <f>RawData!CO100</f>
        <v>44783.638194444444</v>
      </c>
      <c r="CR102" s="44">
        <f>RawData!CP100</f>
        <v>38295.69921875</v>
      </c>
      <c r="CS102" s="44">
        <f>RawData!DG100</f>
        <v>38295.69921875</v>
      </c>
      <c r="CT102" s="43" t="str">
        <f>RawData!DJ100</f>
        <v>G</v>
      </c>
      <c r="CU102" s="43" t="str">
        <f>RawData!CQ100</f>
        <v>FairPrice</v>
      </c>
      <c r="CV102" s="47">
        <f>RawData!CR100</f>
        <v>44783.638194444444</v>
      </c>
      <c r="CW102" s="65">
        <f>RawData!DK100</f>
        <v>38300</v>
      </c>
      <c r="CX102" s="65">
        <f>RawData!DL100</f>
        <v>3400000</v>
      </c>
      <c r="CY102" s="65">
        <f>RawData!DM100</f>
        <v>38500</v>
      </c>
      <c r="CZ102" s="65">
        <f>RawData!DN100</f>
        <v>0</v>
      </c>
      <c r="DA102" s="65">
        <f>RawData!DO100</f>
        <v>24500</v>
      </c>
      <c r="DB102" s="65">
        <f>RawData!DP100</f>
        <v>2863350</v>
      </c>
      <c r="DC102" s="65">
        <f>RawData!DQ100</f>
        <v>38000</v>
      </c>
      <c r="DD102" s="65">
        <f>RawData!DR100</f>
        <v>0</v>
      </c>
      <c r="DE102" s="65">
        <f>RawData!DS100</f>
        <v>24500</v>
      </c>
      <c r="DF102" s="65" t="str">
        <f>RawData!DT100</f>
        <v>BANKNIFTY</v>
      </c>
      <c r="DG102" s="66">
        <f>RawData!DU100</f>
        <v>44784</v>
      </c>
      <c r="DI102" s="21">
        <f t="shared" si="1"/>
        <v>904.30078125</v>
      </c>
    </row>
    <row r="103" spans="1:113" x14ac:dyDescent="0.2">
      <c r="A103" s="59">
        <f>RawData!CN101</f>
        <v>44783.638194444444</v>
      </c>
      <c r="B103" s="44">
        <f>RawData!CH101</f>
        <v>8.0699996948242188</v>
      </c>
      <c r="C103" s="44">
        <f>RawData!CG101</f>
        <v>2150</v>
      </c>
      <c r="D103" s="43">
        <f>RawData!CF101</f>
        <v>5.0500001907348633</v>
      </c>
      <c r="E103" s="44">
        <f>RawData!CE101</f>
        <v>925</v>
      </c>
      <c r="F103" s="43">
        <f>RawData!CD101</f>
        <v>5.0999999046325684</v>
      </c>
      <c r="G103" s="44">
        <f>RawData!CC101</f>
        <v>5.0999999046325684</v>
      </c>
      <c r="H103" s="44">
        <f>RawData!CB101</f>
        <v>4.9000000953674316</v>
      </c>
      <c r="I103" s="44">
        <f>RawData!CA101</f>
        <v>13</v>
      </c>
      <c r="J103" s="44">
        <f>RawData!BZ101</f>
        <v>12.449999809265137</v>
      </c>
      <c r="K103" s="40">
        <f>RawData!BY101</f>
        <v>-106.7587890625</v>
      </c>
      <c r="L103" s="40">
        <f>RawData!BX101</f>
        <v>12287.5625</v>
      </c>
      <c r="M103" s="40">
        <f>RawData!BW101</f>
        <v>-876.9609375</v>
      </c>
      <c r="N103" s="40">
        <f>RawData!BV101</f>
        <v>79588.625</v>
      </c>
      <c r="O103" s="36">
        <f>RawData!BU101</f>
        <v>3.1577656045556068E-8</v>
      </c>
      <c r="P103" s="36">
        <f>RawData!BT101</f>
        <v>1.618860405869782E-4</v>
      </c>
      <c r="Q103" s="36">
        <f>RawData!BS101</f>
        <v>-1.9061844795942307E-6</v>
      </c>
      <c r="R103" s="36">
        <f>RawData!BR101</f>
        <v>1.326210331171751E-3</v>
      </c>
      <c r="S103" s="37">
        <f>RawData!BQ101</f>
        <v>6.0089178077760153E-10</v>
      </c>
      <c r="T103" s="37">
        <f>RawData!BP101</f>
        <v>4.5200587805993564E-7</v>
      </c>
      <c r="U103" s="38">
        <f>RawData!BO101</f>
        <v>1.9025325775146484E-2</v>
      </c>
      <c r="V103" s="38">
        <f>RawData!BN101</f>
        <v>-2.4681220054626465</v>
      </c>
      <c r="W103" s="39">
        <f>RawData!BM101</f>
        <v>-0.18912506103515625</v>
      </c>
      <c r="X103" s="39">
        <f>RawData!BL101</f>
        <v>20.219463348388672</v>
      </c>
      <c r="Y103" s="38">
        <f>RawData!BJ101</f>
        <v>5.4399424698203802E-7</v>
      </c>
      <c r="Z103" s="38">
        <f>RawData!BI101</f>
        <v>1.1988244659733027E-4</v>
      </c>
      <c r="AA103" s="40">
        <f>RawData!BH101</f>
        <v>7.5534582138061523E-3</v>
      </c>
      <c r="AB103" s="40">
        <f>RawData!BG101</f>
        <v>1.2429426908493042</v>
      </c>
      <c r="AC103" s="40">
        <f>RawData!BF101</f>
        <v>-4.9999713897705078E-2</v>
      </c>
      <c r="AD103" s="40">
        <f>RawData!BE101</f>
        <v>-5.0999999046325684</v>
      </c>
      <c r="AE103" s="40">
        <f>RawData!BD101</f>
        <v>1.9237585365772247E-4</v>
      </c>
      <c r="AF103" s="40">
        <f>RawData!BC101</f>
        <v>2.6390975341200829E-2</v>
      </c>
      <c r="AG103" s="41">
        <f>RawData!BB101</f>
        <v>14891325</v>
      </c>
      <c r="AH103" s="42">
        <f>RawData!DB101</f>
        <v>0.33387141226032518</v>
      </c>
      <c r="AI103" s="41">
        <f>RawData!BA101</f>
        <v>212000</v>
      </c>
      <c r="AJ103" s="43">
        <f>RawData!DA101</f>
        <v>634975</v>
      </c>
      <c r="AK103" s="41">
        <f>RawData!AZ101</f>
        <v>846975</v>
      </c>
      <c r="AL103" s="42">
        <f>RawData!DD101</f>
        <v>1.5893465732895822E-3</v>
      </c>
      <c r="AM103" s="44">
        <f>RawData!DC101</f>
        <v>3.9827823638916016E-2</v>
      </c>
      <c r="AN103" s="45">
        <f>RawData!BK101</f>
        <v>25.099071860313416</v>
      </c>
      <c r="AO103" s="44">
        <f>RawData!AY101</f>
        <v>25.099071860313416</v>
      </c>
      <c r="AP103" s="43" t="str">
        <f>RawData!DH101</f>
        <v>G</v>
      </c>
      <c r="AQ103" s="43">
        <f>RawData!DE101</f>
        <v>5.0999999046325684</v>
      </c>
      <c r="AR103" s="42">
        <f>RawData!CZ101</f>
        <v>9.9009330711390033E-3</v>
      </c>
      <c r="AS103" s="44">
        <f>RawData!AX101</f>
        <v>4.9999713897705078E-2</v>
      </c>
      <c r="AT103" s="43">
        <f>RawData!CY101</f>
        <v>5.0999999046325684</v>
      </c>
      <c r="AU103" s="44">
        <f>RawData!AW101</f>
        <v>5.0999999046325684</v>
      </c>
      <c r="AV103" s="46">
        <f>RawData!O101</f>
        <v>39300</v>
      </c>
      <c r="AW103" s="44">
        <f>RawData!AV101</f>
        <v>1006</v>
      </c>
      <c r="AX103" s="44">
        <f>RawData!CW101</f>
        <v>1006</v>
      </c>
      <c r="AY103" s="44">
        <f>RawData!AU101</f>
        <v>0</v>
      </c>
      <c r="AZ103" s="42">
        <f>RawData!CX101</f>
        <v>0</v>
      </c>
      <c r="BA103" s="44">
        <f>RawData!DF101</f>
        <v>1006</v>
      </c>
      <c r="BB103" s="43" t="str">
        <f>RawData!DI101</f>
        <v>W</v>
      </c>
      <c r="BC103" s="44">
        <f>RawData!AT101</f>
        <v>21.211178600788116</v>
      </c>
      <c r="BD103" s="45">
        <f>RawData!AP101</f>
        <v>21.211178600788116</v>
      </c>
      <c r="BE103" s="44">
        <f>RawData!CS101</f>
        <v>8.6148083209991455E-2</v>
      </c>
      <c r="BF103" s="42">
        <f>RawData!CT101</f>
        <v>4.0780098820831379E-3</v>
      </c>
      <c r="BG103" s="41">
        <f>RawData!AS101</f>
        <v>3925</v>
      </c>
      <c r="BH103" s="41">
        <f>RawData!CU101</f>
        <v>2700</v>
      </c>
      <c r="BI103" s="41">
        <f>RawData!AR101</f>
        <v>1225</v>
      </c>
      <c r="BJ103" s="42">
        <f>RawData!CV101</f>
        <v>0.45370370370370372</v>
      </c>
      <c r="BK103" s="41">
        <f>RawData!AQ101</f>
        <v>26650</v>
      </c>
      <c r="BL103" s="40">
        <f>RawData!AO101</f>
        <v>-0.98910969495773315</v>
      </c>
      <c r="BM103" s="40">
        <f>RawData!AN101</f>
        <v>2.6887655258178711E-4</v>
      </c>
      <c r="BN103" s="40">
        <f>RawData!AM101</f>
        <v>-6.0191788673400879</v>
      </c>
      <c r="BO103" s="40">
        <f>RawData!AL101</f>
        <v>-0.15365028381347656</v>
      </c>
      <c r="BP103" s="40">
        <f>RawData!AK101</f>
        <v>0.58348959684371948</v>
      </c>
      <c r="BQ103" s="40">
        <f>RawData!AJ101</f>
        <v>1.2551248073577881E-2</v>
      </c>
      <c r="BR103" s="38">
        <f>RawData!AI101</f>
        <v>6.6593645897228271E-5</v>
      </c>
      <c r="BS103" s="38">
        <f>RawData!AH101</f>
        <v>1.1694064596667886E-6</v>
      </c>
      <c r="BT103" s="40">
        <f>RawData!AG101</f>
        <v>60.254817962646484</v>
      </c>
      <c r="BU103" s="39">
        <f>RawData!AF101</f>
        <v>-1.8296966552734375</v>
      </c>
      <c r="BV103" s="39">
        <f>RawData!AE101</f>
        <v>-6.2157835960388184</v>
      </c>
      <c r="BW103" s="38">
        <f>RawData!AD101</f>
        <v>0.16246175765991211</v>
      </c>
      <c r="BX103" s="38">
        <f>RawData!AC101</f>
        <v>3.5264673670099E-7</v>
      </c>
      <c r="BY103" s="37">
        <f>RawData!AB101</f>
        <v>3.3371918561897473E-9</v>
      </c>
      <c r="BZ103" s="37">
        <f>RawData!AA101</f>
        <v>1.3465707888826728E-3</v>
      </c>
      <c r="CA103" s="36">
        <f>RawData!Z101</f>
        <v>4.7690700739622116E-6</v>
      </c>
      <c r="CB103" s="36">
        <f>RawData!Y101</f>
        <v>1.389099343214184E-4</v>
      </c>
      <c r="CC103" s="36">
        <f>RawData!X101</f>
        <v>1.0601070243865252E-6</v>
      </c>
      <c r="CD103" s="36">
        <f>RawData!W101</f>
        <v>280954.1875</v>
      </c>
      <c r="CE103" s="40">
        <f>RawData!V101</f>
        <v>-9732.03125</v>
      </c>
      <c r="CF103" s="40">
        <f>RawData!U101</f>
        <v>34462.515625</v>
      </c>
      <c r="CG103" s="40">
        <f>RawData!T101</f>
        <v>-1001.3125</v>
      </c>
      <c r="CH103" s="44">
        <f>RawData!S101</f>
        <v>1027.3499755859375</v>
      </c>
      <c r="CI103" s="44">
        <f>RawData!R101</f>
        <v>1146.6500244140625</v>
      </c>
      <c r="CJ103" s="44">
        <f>RawData!Q101</f>
        <v>908.8499755859375</v>
      </c>
      <c r="CK103" s="44">
        <f>RawData!P101</f>
        <v>1006</v>
      </c>
      <c r="CL103" s="44">
        <f>RawData!CJ101</f>
        <v>50</v>
      </c>
      <c r="CM103" s="43">
        <f>RawData!CI101</f>
        <v>1009.2000122070313</v>
      </c>
      <c r="CN103" s="44">
        <f>RawData!CL101</f>
        <v>75</v>
      </c>
      <c r="CO103" s="43">
        <f>RawData!CK101</f>
        <v>1004.5</v>
      </c>
      <c r="CP103" s="44">
        <f>RawData!CM101</f>
        <v>998.5</v>
      </c>
      <c r="CQ103" s="47">
        <f>RawData!CO101</f>
        <v>44783.638194444444</v>
      </c>
      <c r="CR103" s="44">
        <f>RawData!CP101</f>
        <v>38295.69921875</v>
      </c>
      <c r="CS103" s="44">
        <f>RawData!DG101</f>
        <v>38295.69921875</v>
      </c>
      <c r="CT103" s="43" t="str">
        <f>RawData!DJ101</f>
        <v>G</v>
      </c>
      <c r="CU103" s="43" t="str">
        <f>RawData!CQ101</f>
        <v>FairPrice</v>
      </c>
      <c r="CV103" s="47">
        <f>RawData!CR101</f>
        <v>44783.638194444444</v>
      </c>
      <c r="CW103" s="65">
        <f>RawData!DK101</f>
        <v>38300</v>
      </c>
      <c r="CX103" s="65">
        <f>RawData!DL101</f>
        <v>3400000</v>
      </c>
      <c r="CY103" s="65">
        <f>RawData!DM101</f>
        <v>38500</v>
      </c>
      <c r="CZ103" s="65">
        <f>RawData!DN101</f>
        <v>0</v>
      </c>
      <c r="DA103" s="65">
        <f>RawData!DO101</f>
        <v>24500</v>
      </c>
      <c r="DB103" s="65">
        <f>RawData!DP101</f>
        <v>2863350</v>
      </c>
      <c r="DC103" s="65">
        <f>RawData!DQ101</f>
        <v>38000</v>
      </c>
      <c r="DD103" s="65">
        <f>RawData!DR101</f>
        <v>0</v>
      </c>
      <c r="DE103" s="65">
        <f>RawData!DS101</f>
        <v>24500</v>
      </c>
      <c r="DF103" s="65" t="str">
        <f>RawData!DT101</f>
        <v>BANKNIFTY</v>
      </c>
      <c r="DG103" s="66">
        <f>RawData!DU101</f>
        <v>44784</v>
      </c>
      <c r="DI103" s="21">
        <f t="shared" si="1"/>
        <v>1004.30078125</v>
      </c>
    </row>
    <row r="104" spans="1:113" x14ac:dyDescent="0.2">
      <c r="A104" s="59">
        <f>RawData!CN102</f>
        <v>44783.638194444444</v>
      </c>
      <c r="B104" s="44">
        <f>RawData!CH102</f>
        <v>6.690000057220459</v>
      </c>
      <c r="C104" s="44">
        <f>RawData!CG102</f>
        <v>150</v>
      </c>
      <c r="D104" s="43">
        <f>RawData!CF102</f>
        <v>4.5500001907348633</v>
      </c>
      <c r="E104" s="44">
        <f>RawData!CE102</f>
        <v>11825</v>
      </c>
      <c r="F104" s="43">
        <f>RawData!CD102</f>
        <v>4.5999999046325684</v>
      </c>
      <c r="G104" s="44">
        <f>RawData!CC102</f>
        <v>4.5500001907348633</v>
      </c>
      <c r="H104" s="44">
        <f>RawData!CB102</f>
        <v>4.25</v>
      </c>
      <c r="I104" s="44">
        <f>RawData!CA102</f>
        <v>10.350000381469727</v>
      </c>
      <c r="J104" s="44">
        <f>RawData!BZ102</f>
        <v>5.75</v>
      </c>
      <c r="K104" s="40">
        <f>RawData!BY102</f>
        <v>-149.345703125</v>
      </c>
      <c r="L104" s="40">
        <f>RawData!BX102</f>
        <v>14747.2392578125</v>
      </c>
      <c r="M104" s="40">
        <f>RawData!BW102</f>
        <v>-1123.9140625</v>
      </c>
      <c r="N104" s="40">
        <f>RawData!BV102</f>
        <v>91163.1875</v>
      </c>
      <c r="O104" s="36">
        <f>RawData!BU102</f>
        <v>1.7901766113936901E-7</v>
      </c>
      <c r="P104" s="36">
        <f>RawData!BT102</f>
        <v>1.465221430407837E-4</v>
      </c>
      <c r="Q104" s="36">
        <f>RawData!BS102</f>
        <v>-2.7462374418973923E-7</v>
      </c>
      <c r="R104" s="36">
        <f>RawData!BR102</f>
        <v>1.1300850892439485E-3</v>
      </c>
      <c r="S104" s="37">
        <f>RawData!BQ102</f>
        <v>9.9137764664192218E-10</v>
      </c>
      <c r="T104" s="37">
        <f>RawData!BP102</f>
        <v>3.6392373203852912E-7</v>
      </c>
      <c r="U104" s="38">
        <f>RawData!BO102</f>
        <v>2.6115655899047852E-2</v>
      </c>
      <c r="V104" s="38">
        <f>RawData!BN102</f>
        <v>-2.9044103622436523</v>
      </c>
      <c r="W104" s="39">
        <f>RawData!BM102</f>
        <v>-0.23457145690917969</v>
      </c>
      <c r="X104" s="39">
        <f>RawData!BL102</f>
        <v>22.400920867919922</v>
      </c>
      <c r="Y104" s="38">
        <f>RawData!BJ102</f>
        <v>5.8393925428390503E-7</v>
      </c>
      <c r="Z104" s="38">
        <f>RawData!BI102</f>
        <v>9.9180157121736556E-5</v>
      </c>
      <c r="AA104" s="40">
        <f>RawData!BH102</f>
        <v>7.8616142272949219E-3</v>
      </c>
      <c r="AB104" s="40">
        <f>RawData!BG102</f>
        <v>1.092227578163147</v>
      </c>
      <c r="AC104" s="40">
        <f>RawData!BF102</f>
        <v>-5.0000190734863281E-2</v>
      </c>
      <c r="AD104" s="40">
        <f>RawData!BE102</f>
        <v>-4.5500001907348633</v>
      </c>
      <c r="AE104" s="40">
        <f>RawData!BD102</f>
        <v>1.9380636513233185E-4</v>
      </c>
      <c r="AF104" s="40">
        <f>RawData!BC102</f>
        <v>2.2624578326940536E-2</v>
      </c>
      <c r="AG104" s="41">
        <f>RawData!BB102</f>
        <v>12797225</v>
      </c>
      <c r="AH104" s="42">
        <f>RawData!DB102</f>
        <v>0.71850487283099596</v>
      </c>
      <c r="AI104" s="41">
        <f>RawData!BA102</f>
        <v>302275</v>
      </c>
      <c r="AJ104" s="43">
        <f>RawData!DA102</f>
        <v>420700</v>
      </c>
      <c r="AK104" s="41">
        <f>RawData!AZ102</f>
        <v>722975</v>
      </c>
      <c r="AL104" s="42">
        <f>RawData!DD102</f>
        <v>1.3800311021934973E-3</v>
      </c>
      <c r="AM104" s="44">
        <f>RawData!DC102</f>
        <v>3.6740303039550781E-2</v>
      </c>
      <c r="AN104" s="45">
        <f>RawData!BK102</f>
        <v>26.659548282623291</v>
      </c>
      <c r="AO104" s="44">
        <f>RawData!AY102</f>
        <v>26.659548282623291</v>
      </c>
      <c r="AP104" s="43" t="str">
        <f>RawData!DH102</f>
        <v>G</v>
      </c>
      <c r="AQ104" s="43">
        <f>RawData!DE102</f>
        <v>4.5500001907348633</v>
      </c>
      <c r="AR104" s="42">
        <f>RawData!CZ102</f>
        <v>1.1111153496636285E-2</v>
      </c>
      <c r="AS104" s="44">
        <f>RawData!AX102</f>
        <v>5.0000190734863281E-2</v>
      </c>
      <c r="AT104" s="43">
        <f>RawData!CY102</f>
        <v>4.5500001907348633</v>
      </c>
      <c r="AU104" s="44">
        <f>RawData!AW102</f>
        <v>4.5500001907348633</v>
      </c>
      <c r="AV104" s="46">
        <f>RawData!O102</f>
        <v>39400</v>
      </c>
      <c r="AW104" s="44">
        <f>RawData!AV102</f>
        <v>1115.050048828125</v>
      </c>
      <c r="AX104" s="44">
        <f>RawData!CW102</f>
        <v>1115.050048828125</v>
      </c>
      <c r="AY104" s="44">
        <f>RawData!AU102</f>
        <v>0</v>
      </c>
      <c r="AZ104" s="42">
        <f>RawData!CX102</f>
        <v>0</v>
      </c>
      <c r="BA104" s="44">
        <f>RawData!DF102</f>
        <v>1115.050048828125</v>
      </c>
      <c r="BB104" s="43" t="str">
        <f>RawData!DI102</f>
        <v>W</v>
      </c>
      <c r="BC104" s="44">
        <f>RawData!AT102</f>
        <v>30.910098552703857</v>
      </c>
      <c r="BD104" s="45">
        <f>RawData!AP102</f>
        <v>30.910098552703857</v>
      </c>
      <c r="BE104" s="44">
        <f>RawData!CS102</f>
        <v>2.6836991310119629E-2</v>
      </c>
      <c r="BF104" s="42">
        <f>RawData!CT102</f>
        <v>8.6898177048980369E-4</v>
      </c>
      <c r="BG104" s="41">
        <f>RawData!AS102</f>
        <v>6350</v>
      </c>
      <c r="BH104" s="41">
        <f>RawData!CU102</f>
        <v>6475</v>
      </c>
      <c r="BI104" s="41">
        <f>RawData!AR102</f>
        <v>-125</v>
      </c>
      <c r="BJ104" s="42">
        <f>RawData!CV102</f>
        <v>-1.9305019305019305E-2</v>
      </c>
      <c r="BK104" s="41">
        <f>RawData!AQ102</f>
        <v>14075</v>
      </c>
      <c r="BL104" s="40">
        <f>RawData!AO102</f>
        <v>-0.95771133899688721</v>
      </c>
      <c r="BM104" s="40">
        <f>RawData!AN102</f>
        <v>1.4001131057739258E-4</v>
      </c>
      <c r="BN104" s="40">
        <f>RawData!AM102</f>
        <v>-27.543998718261719</v>
      </c>
      <c r="BO104" s="40">
        <f>RawData!AL102</f>
        <v>-9.8293304443359375E-2</v>
      </c>
      <c r="BP104" s="40">
        <f>RawData!AK102</f>
        <v>1.8322606086730957</v>
      </c>
      <c r="BQ104" s="40">
        <f>RawData!AJ102</f>
        <v>4.8729181289672852E-3</v>
      </c>
      <c r="BR104" s="38">
        <f>RawData!AI102</f>
        <v>1.434990408597514E-4</v>
      </c>
      <c r="BS104" s="38">
        <f>RawData!AH102</f>
        <v>2.6306952349841595E-7</v>
      </c>
      <c r="BT104" s="40">
        <f>RawData!AG102</f>
        <v>9.9444828033447266</v>
      </c>
      <c r="BU104" s="39">
        <f>RawData!AF102</f>
        <v>-4.4219970703125E-2</v>
      </c>
      <c r="BV104" s="39">
        <f>RawData!AE102</f>
        <v>-1.4949337244033813</v>
      </c>
      <c r="BW104" s="38">
        <f>RawData!AD102</f>
        <v>5.2788257598876953E-3</v>
      </c>
      <c r="BX104" s="38">
        <f>RawData!AC102</f>
        <v>3.9021020370455517E-7</v>
      </c>
      <c r="BY104" s="37">
        <f>RawData!AB102</f>
        <v>2.6773250283440575E-11</v>
      </c>
      <c r="BZ104" s="37">
        <f>RawData!AA102</f>
        <v>9.2986953677609563E-4</v>
      </c>
      <c r="CA104" s="36">
        <f>RawData!Z102</f>
        <v>-1.5916302800178528E-6</v>
      </c>
      <c r="CB104" s="36">
        <f>RawData!Y102</f>
        <v>1.3978537754155695E-4</v>
      </c>
      <c r="CC104" s="36">
        <f>RawData!X102</f>
        <v>-1.1164229363203049E-7</v>
      </c>
      <c r="CD104" s="36">
        <f>RawData!W102</f>
        <v>34859.45703125</v>
      </c>
      <c r="CE104" s="40">
        <f>RawData!V102</f>
        <v>-187.29296875</v>
      </c>
      <c r="CF104" s="40">
        <f>RawData!U102</f>
        <v>6985.40966796875</v>
      </c>
      <c r="CG104" s="40">
        <f>RawData!T102</f>
        <v>-28.001953125</v>
      </c>
      <c r="CH104" s="44">
        <f>RawData!S102</f>
        <v>1101.9000244140625</v>
      </c>
      <c r="CI104" s="44">
        <f>RawData!R102</f>
        <v>1224.800048828125</v>
      </c>
      <c r="CJ104" s="44">
        <f>RawData!Q102</f>
        <v>1010</v>
      </c>
      <c r="CK104" s="44">
        <f>RawData!P102</f>
        <v>1115.050048828125</v>
      </c>
      <c r="CL104" s="44">
        <f>RawData!CJ102</f>
        <v>25</v>
      </c>
      <c r="CM104" s="43">
        <f>RawData!CI102</f>
        <v>1108</v>
      </c>
      <c r="CN104" s="44">
        <f>RawData!CL102</f>
        <v>25</v>
      </c>
      <c r="CO104" s="43">
        <f>RawData!CK102</f>
        <v>1104.699951171875</v>
      </c>
      <c r="CP104" s="44">
        <f>RawData!CM102</f>
        <v>1105.3900146484375</v>
      </c>
      <c r="CQ104" s="47">
        <f>RawData!CO102</f>
        <v>44783.638194444444</v>
      </c>
      <c r="CR104" s="44">
        <f>RawData!CP102</f>
        <v>38295.69921875</v>
      </c>
      <c r="CS104" s="44">
        <f>RawData!DG102</f>
        <v>38295.69921875</v>
      </c>
      <c r="CT104" s="43" t="str">
        <f>RawData!DJ102</f>
        <v>G</v>
      </c>
      <c r="CU104" s="43" t="str">
        <f>RawData!CQ102</f>
        <v>FairPrice</v>
      </c>
      <c r="CV104" s="47">
        <f>RawData!CR102</f>
        <v>44783.638194444444</v>
      </c>
      <c r="CW104" s="65">
        <f>RawData!DK102</f>
        <v>38300</v>
      </c>
      <c r="CX104" s="65">
        <f>RawData!DL102</f>
        <v>3400000</v>
      </c>
      <c r="CY104" s="65">
        <f>RawData!DM102</f>
        <v>38500</v>
      </c>
      <c r="CZ104" s="65">
        <f>RawData!DN102</f>
        <v>0</v>
      </c>
      <c r="DA104" s="65">
        <f>RawData!DO102</f>
        <v>24500</v>
      </c>
      <c r="DB104" s="65">
        <f>RawData!DP102</f>
        <v>2863350</v>
      </c>
      <c r="DC104" s="65">
        <f>RawData!DQ102</f>
        <v>38000</v>
      </c>
      <c r="DD104" s="65">
        <f>RawData!DR102</f>
        <v>0</v>
      </c>
      <c r="DE104" s="65">
        <f>RawData!DS102</f>
        <v>24500</v>
      </c>
      <c r="DF104" s="65" t="str">
        <f>RawData!DT102</f>
        <v>BANKNIFTY</v>
      </c>
      <c r="DG104" s="66">
        <f>RawData!DU102</f>
        <v>44784</v>
      </c>
      <c r="DI104" s="21">
        <f t="shared" si="1"/>
        <v>1104.30078125</v>
      </c>
    </row>
    <row r="105" spans="1:113" x14ac:dyDescent="0.2">
      <c r="A105" s="59">
        <f>RawData!CN103</f>
        <v>44783.638194444444</v>
      </c>
      <c r="B105" s="44">
        <f>RawData!CH103</f>
        <v>6.0100002288818359</v>
      </c>
      <c r="C105" s="44">
        <f>RawData!CG103</f>
        <v>10550</v>
      </c>
      <c r="D105" s="43">
        <f>RawData!CF103</f>
        <v>3.7999999523162842</v>
      </c>
      <c r="E105" s="44">
        <f>RawData!CE103</f>
        <v>5025</v>
      </c>
      <c r="F105" s="43">
        <f>RawData!CD103</f>
        <v>3.8499999046325684</v>
      </c>
      <c r="G105" s="44">
        <f>RawData!CC103</f>
        <v>3.7999999523162842</v>
      </c>
      <c r="H105" s="44">
        <f>RawData!CB103</f>
        <v>3.7000000476837158</v>
      </c>
      <c r="I105" s="44">
        <f>RawData!CA103</f>
        <v>8.3999996185302734</v>
      </c>
      <c r="J105" s="44">
        <f>RawData!BZ103</f>
        <v>7.9000000953674316</v>
      </c>
      <c r="K105" s="40">
        <f>RawData!BY103</f>
        <v>-0.248046875</v>
      </c>
      <c r="L105" s="40">
        <f>RawData!BX103</f>
        <v>18648.373046875</v>
      </c>
      <c r="M105" s="40">
        <f>RawData!BW103</f>
        <v>-4.96875</v>
      </c>
      <c r="N105" s="40">
        <f>RawData!BV103</f>
        <v>111960.1953125</v>
      </c>
      <c r="O105" s="36">
        <f>RawData!BU103</f>
        <v>1.1612428352236748E-8</v>
      </c>
      <c r="P105" s="36">
        <f>RawData!BT103</f>
        <v>1.3157134526409209E-4</v>
      </c>
      <c r="Q105" s="36">
        <f>RawData!BS103</f>
        <v>5.7683791965246201E-8</v>
      </c>
      <c r="R105" s="36">
        <f>RawData!BR103</f>
        <v>9.7032630583271384E-4</v>
      </c>
      <c r="S105" s="37">
        <f>RawData!BQ103</f>
        <v>2.6290081223123707E-11</v>
      </c>
      <c r="T105" s="37">
        <f>RawData!BP103</f>
        <v>2.9255039635245339E-7</v>
      </c>
      <c r="U105" s="38">
        <f>RawData!BO103</f>
        <v>-3.8623809814453125E-5</v>
      </c>
      <c r="V105" s="38">
        <f>RawData!BN103</f>
        <v>-3.5822486877441406</v>
      </c>
      <c r="W105" s="39">
        <f>RawData!BM103</f>
        <v>-4.76837158203125E-4</v>
      </c>
      <c r="X105" s="39">
        <f>RawData!BL103</f>
        <v>26.41874885559082</v>
      </c>
      <c r="Y105" s="38">
        <f>RawData!BJ103</f>
        <v>4.8748916015028954E-9</v>
      </c>
      <c r="Z105" s="38">
        <f>RawData!BI103</f>
        <v>8.0072648415807635E-5</v>
      </c>
      <c r="AA105" s="40">
        <f>RawData!BH103</f>
        <v>5.4836273193359375E-6</v>
      </c>
      <c r="AB105" s="40">
        <f>RawData!BG103</f>
        <v>0.92220228910446167</v>
      </c>
      <c r="AC105" s="40">
        <f>RawData!BF103</f>
        <v>0</v>
      </c>
      <c r="AD105" s="40">
        <f>RawData!BE103</f>
        <v>-3.7999999523162842</v>
      </c>
      <c r="AE105" s="40">
        <f>RawData!BD103</f>
        <v>5.6996941566467285E-7</v>
      </c>
      <c r="AF105" s="40">
        <f>RawData!BC103</f>
        <v>1.852889358997345E-2</v>
      </c>
      <c r="AG105" s="41">
        <f>RawData!BB103</f>
        <v>21470250</v>
      </c>
      <c r="AH105" s="42">
        <f>RawData!DB103</f>
        <v>0.15364909318506012</v>
      </c>
      <c r="AI105" s="41">
        <f>RawData!BA103</f>
        <v>263900</v>
      </c>
      <c r="AJ105" s="43">
        <f>RawData!DA103</f>
        <v>1717550</v>
      </c>
      <c r="AK105" s="41">
        <f>RawData!AZ103</f>
        <v>1981450</v>
      </c>
      <c r="AL105" s="42">
        <f>RawData!DD103</f>
        <v>-1.4430236540437371E-5</v>
      </c>
      <c r="AM105" s="44">
        <f>RawData!DC103</f>
        <v>-4.0233135223388672E-4</v>
      </c>
      <c r="AN105" s="45">
        <f>RawData!BK103</f>
        <v>27.880731225013733</v>
      </c>
      <c r="AO105" s="44">
        <f>RawData!AY103</f>
        <v>27.880731225013733</v>
      </c>
      <c r="AP105" s="43" t="str">
        <f>RawData!DH103</f>
        <v>W</v>
      </c>
      <c r="AQ105" s="43">
        <f>RawData!DE103</f>
        <v>3.7999999523162842</v>
      </c>
      <c r="AR105" s="42">
        <f>RawData!CZ103</f>
        <v>0</v>
      </c>
      <c r="AS105" s="44">
        <f>RawData!AX103</f>
        <v>0</v>
      </c>
      <c r="AT105" s="43">
        <f>RawData!CY103</f>
        <v>3.7999999523162842</v>
      </c>
      <c r="AU105" s="44">
        <f>RawData!AW103</f>
        <v>3.7999999523162842</v>
      </c>
      <c r="AV105" s="46">
        <f>RawData!O103</f>
        <v>39500</v>
      </c>
      <c r="AW105" s="44">
        <f>RawData!AV103</f>
        <v>1206.25</v>
      </c>
      <c r="AX105" s="44">
        <f>RawData!CW103</f>
        <v>1206.25</v>
      </c>
      <c r="AY105" s="44">
        <f>RawData!AU103</f>
        <v>0</v>
      </c>
      <c r="AZ105" s="42">
        <f>RawData!CX103</f>
        <v>0</v>
      </c>
      <c r="BA105" s="44">
        <f>RawData!DF103</f>
        <v>1206.25</v>
      </c>
      <c r="BB105" s="43" t="str">
        <f>RawData!DI103</f>
        <v>W</v>
      </c>
      <c r="BC105" s="44">
        <f>RawData!AT103</f>
        <v>25.251379609107971</v>
      </c>
      <c r="BD105" s="45">
        <f>RawData!AP103</f>
        <v>25.251379609107971</v>
      </c>
      <c r="BE105" s="44">
        <f>RawData!CS103</f>
        <v>8.8068842887878418E-2</v>
      </c>
      <c r="BF105" s="42">
        <f>RawData!CT103</f>
        <v>3.4998909207966549E-3</v>
      </c>
      <c r="BG105" s="41">
        <f>RawData!AS103</f>
        <v>12700</v>
      </c>
      <c r="BH105" s="41">
        <f>RawData!CU103</f>
        <v>13125</v>
      </c>
      <c r="BI105" s="41">
        <f>RawData!AR103</f>
        <v>-425</v>
      </c>
      <c r="BJ105" s="42">
        <f>RawData!CV103</f>
        <v>-3.2380952380952378E-2</v>
      </c>
      <c r="BK105" s="41">
        <f>RawData!AQ103</f>
        <v>217550</v>
      </c>
      <c r="BL105" s="40">
        <f>RawData!AO103</f>
        <v>-0.98938608169555664</v>
      </c>
      <c r="BM105" s="40">
        <f>RawData!AN103</f>
        <v>2.2691488265991211E-4</v>
      </c>
      <c r="BN105" s="40">
        <f>RawData!AM103</f>
        <v>-7.0070710182189941</v>
      </c>
      <c r="BO105" s="40">
        <f>RawData!AL103</f>
        <v>-0.15483522415161133</v>
      </c>
      <c r="BP105" s="40">
        <f>RawData!AK103</f>
        <v>0.57057410478591919</v>
      </c>
      <c r="BQ105" s="40">
        <f>RawData!AJ103</f>
        <v>1.0630905628204346E-2</v>
      </c>
      <c r="BR105" s="38">
        <f>RawData!AI103</f>
        <v>5.4700514738215134E-5</v>
      </c>
      <c r="BS105" s="38">
        <f>RawData!AH103</f>
        <v>8.3349004853516817E-7</v>
      </c>
      <c r="BT105" s="40">
        <f>RawData!AG103</f>
        <v>52.026519775390625</v>
      </c>
      <c r="BU105" s="39">
        <f>RawData!AF103</f>
        <v>-1.3606071472167969</v>
      </c>
      <c r="BV105" s="39">
        <f>RawData!AE103</f>
        <v>-6.3892402648925781</v>
      </c>
      <c r="BW105" s="38">
        <f>RawData!AD103</f>
        <v>0.14394378662109375</v>
      </c>
      <c r="BX105" s="38">
        <f>RawData!AC103</f>
        <v>2.4412938159912301E-7</v>
      </c>
      <c r="BY105" s="37">
        <f>RawData!AB103</f>
        <v>2.0192487681924831E-9</v>
      </c>
      <c r="BZ105" s="37">
        <f>RawData!AA103</f>
        <v>9.3990226741880178E-4</v>
      </c>
      <c r="CA105" s="36">
        <f>RawData!Z103</f>
        <v>3.0206283554434776E-6</v>
      </c>
      <c r="CB105" s="36">
        <f>RawData!Y103</f>
        <v>1.154269339167513E-4</v>
      </c>
      <c r="CC105" s="36">
        <f>RawData!X103</f>
        <v>7.7720324043184519E-7</v>
      </c>
      <c r="CD105" s="36">
        <f>RawData!W103</f>
        <v>243617.046875</v>
      </c>
      <c r="CE105" s="40">
        <f>RawData!V103</f>
        <v>-7261.390625</v>
      </c>
      <c r="CF105" s="40">
        <f>RawData!U103</f>
        <v>35521.7734375</v>
      </c>
      <c r="CG105" s="40">
        <f>RawData!T103</f>
        <v>-889.34765625</v>
      </c>
      <c r="CH105" s="44">
        <f>RawData!S103</f>
        <v>1214.4000244140625</v>
      </c>
      <c r="CI105" s="44">
        <f>RawData!R103</f>
        <v>1347.550048828125</v>
      </c>
      <c r="CJ105" s="44">
        <f>RawData!Q103</f>
        <v>1107.800048828125</v>
      </c>
      <c r="CK105" s="44">
        <f>RawData!P103</f>
        <v>1206.25</v>
      </c>
      <c r="CL105" s="44">
        <f>RawData!CJ103</f>
        <v>50</v>
      </c>
      <c r="CM105" s="43">
        <f>RawData!CI103</f>
        <v>1207.25</v>
      </c>
      <c r="CN105" s="44">
        <f>RawData!CL103</f>
        <v>50</v>
      </c>
      <c r="CO105" s="43">
        <f>RawData!CK103</f>
        <v>1205.199951171875</v>
      </c>
      <c r="CP105" s="44">
        <f>RawData!CM103</f>
        <v>1187.219970703125</v>
      </c>
      <c r="CQ105" s="47">
        <f>RawData!CO103</f>
        <v>44783.638194444444</v>
      </c>
      <c r="CR105" s="44">
        <f>RawData!CP103</f>
        <v>38295.69921875</v>
      </c>
      <c r="CS105" s="44">
        <f>RawData!DG103</f>
        <v>38295.69921875</v>
      </c>
      <c r="CT105" s="43" t="str">
        <f>RawData!DJ103</f>
        <v>G</v>
      </c>
      <c r="CU105" s="43" t="str">
        <f>RawData!CQ103</f>
        <v>FairPrice</v>
      </c>
      <c r="CV105" s="47">
        <f>RawData!CR103</f>
        <v>44783.638194444444</v>
      </c>
      <c r="CW105" s="65">
        <f>RawData!DK103</f>
        <v>38300</v>
      </c>
      <c r="CX105" s="65">
        <f>RawData!DL103</f>
        <v>3400000</v>
      </c>
      <c r="CY105" s="65">
        <f>RawData!DM103</f>
        <v>38500</v>
      </c>
      <c r="CZ105" s="65">
        <f>RawData!DN103</f>
        <v>0</v>
      </c>
      <c r="DA105" s="65">
        <f>RawData!DO103</f>
        <v>24500</v>
      </c>
      <c r="DB105" s="65">
        <f>RawData!DP103</f>
        <v>2863350</v>
      </c>
      <c r="DC105" s="65">
        <f>RawData!DQ103</f>
        <v>38000</v>
      </c>
      <c r="DD105" s="65">
        <f>RawData!DR103</f>
        <v>0</v>
      </c>
      <c r="DE105" s="65">
        <f>RawData!DS103</f>
        <v>24500</v>
      </c>
      <c r="DF105" s="65" t="str">
        <f>RawData!DT103</f>
        <v>BANKNIFTY</v>
      </c>
      <c r="DG105" s="66">
        <f>RawData!DU103</f>
        <v>44784</v>
      </c>
      <c r="DI105" s="21">
        <f t="shared" si="1"/>
        <v>1204.30078125</v>
      </c>
    </row>
    <row r="106" spans="1:113" x14ac:dyDescent="0.2">
      <c r="A106" s="59">
        <f>RawData!CN104</f>
        <v>44783.638194444444</v>
      </c>
      <c r="B106" s="44">
        <f>RawData!CH104</f>
        <v>5.2100000381469727</v>
      </c>
      <c r="C106" s="44">
        <f>RawData!CG104</f>
        <v>225</v>
      </c>
      <c r="D106" s="43">
        <f>RawData!CF104</f>
        <v>3.3499999046325684</v>
      </c>
      <c r="E106" s="44">
        <f>RawData!CE104</f>
        <v>3225</v>
      </c>
      <c r="F106" s="43">
        <f>RawData!CD104</f>
        <v>3.4000000953674316</v>
      </c>
      <c r="G106" s="44">
        <f>RawData!CC104</f>
        <v>3.3499999046325684</v>
      </c>
      <c r="H106" s="44">
        <f>RawData!CB104</f>
        <v>3.2000000476837158</v>
      </c>
      <c r="I106" s="44">
        <f>RawData!CA104</f>
        <v>7.0999999046325684</v>
      </c>
      <c r="J106" s="44">
        <f>RawData!BZ104</f>
        <v>6</v>
      </c>
      <c r="K106" s="40">
        <f>RawData!BY104</f>
        <v>-0.236328125</v>
      </c>
      <c r="L106" s="40">
        <f>RawData!BX104</f>
        <v>22370.080078125</v>
      </c>
      <c r="M106" s="40">
        <f>RawData!BW104</f>
        <v>-5.671875</v>
      </c>
      <c r="N106" s="40">
        <f>RawData!BV104</f>
        <v>129301.671875</v>
      </c>
      <c r="O106" s="36">
        <f>RawData!BU104</f>
        <v>1.021544449031353E-8</v>
      </c>
      <c r="P106" s="36">
        <f>RawData!BT104</f>
        <v>1.1841185187222436E-4</v>
      </c>
      <c r="Q106" s="36">
        <f>RawData!BS104</f>
        <v>4.5693013817071915E-8</v>
      </c>
      <c r="R106" s="36">
        <f>RawData!BR104</f>
        <v>8.3170377183705568E-4</v>
      </c>
      <c r="S106" s="37">
        <f>RawData!BQ104</f>
        <v>2.0094148567295633E-11</v>
      </c>
      <c r="T106" s="37">
        <f>RawData!BP104</f>
        <v>2.3924778247419454E-7</v>
      </c>
      <c r="U106" s="38">
        <f>RawData!BO104</f>
        <v>-5.53131103515625E-5</v>
      </c>
      <c r="V106" s="38">
        <f>RawData!BN104</f>
        <v>-4.2166566848754883</v>
      </c>
      <c r="W106" s="39">
        <f>RawData!BM104</f>
        <v>-5.37872314453125E-4</v>
      </c>
      <c r="X106" s="39">
        <f>RawData!BL104</f>
        <v>29.617046356201172</v>
      </c>
      <c r="Y106" s="38">
        <f>RawData!BJ104</f>
        <v>3.7907739169895649E-9</v>
      </c>
      <c r="Z106" s="38">
        <f>RawData!BI104</f>
        <v>6.6751468693837523E-5</v>
      </c>
      <c r="AA106" s="40">
        <f>RawData!BH104</f>
        <v>3.4570693969726563E-6</v>
      </c>
      <c r="AB106" s="40">
        <f>RawData!BG104</f>
        <v>0.80720442533493042</v>
      </c>
      <c r="AC106" s="40">
        <f>RawData!BF104</f>
        <v>0</v>
      </c>
      <c r="AD106" s="40">
        <f>RawData!BE104</f>
        <v>-3.3499999046325684</v>
      </c>
      <c r="AE106" s="40">
        <f>RawData!BD104</f>
        <v>4.5448541641235352E-7</v>
      </c>
      <c r="AF106" s="40">
        <f>RawData!BC104</f>
        <v>1.5854842960834503E-2</v>
      </c>
      <c r="AG106" s="41">
        <f>RawData!BB104</f>
        <v>5628725</v>
      </c>
      <c r="AH106" s="42">
        <f>RawData!DB104</f>
        <v>0.4030731904569349</v>
      </c>
      <c r="AI106" s="41">
        <f>RawData!BA104</f>
        <v>124600</v>
      </c>
      <c r="AJ106" s="43">
        <f>RawData!DA104</f>
        <v>309125</v>
      </c>
      <c r="AK106" s="41">
        <f>RawData!AZ104</f>
        <v>433725</v>
      </c>
      <c r="AL106" s="42">
        <f>RawData!DD104</f>
        <v>-1.1910873680908916E-5</v>
      </c>
      <c r="AM106" s="44">
        <f>RawData!DC104</f>
        <v>-3.4868717193603516E-4</v>
      </c>
      <c r="AN106" s="45">
        <f>RawData!BK104</f>
        <v>29.274344444274902</v>
      </c>
      <c r="AO106" s="44">
        <f>RawData!AY104</f>
        <v>29.274344444274902</v>
      </c>
      <c r="AP106" s="43" t="str">
        <f>RawData!DH104</f>
        <v>W</v>
      </c>
      <c r="AQ106" s="43">
        <f>RawData!DE104</f>
        <v>3.3499999046325684</v>
      </c>
      <c r="AR106" s="42">
        <f>RawData!CZ104</f>
        <v>0</v>
      </c>
      <c r="AS106" s="44">
        <f>RawData!AX104</f>
        <v>0</v>
      </c>
      <c r="AT106" s="43">
        <f>RawData!CY104</f>
        <v>3.3499999046325684</v>
      </c>
      <c r="AU106" s="44">
        <f>RawData!AW104</f>
        <v>3.3499999046325684</v>
      </c>
      <c r="AV106" s="46">
        <f>RawData!O104</f>
        <v>39600</v>
      </c>
      <c r="AW106" s="44">
        <f>RawData!AV104</f>
        <v>1258.5999755859375</v>
      </c>
      <c r="AX106" s="44">
        <f>RawData!CW104</f>
        <v>1258.5999755859375</v>
      </c>
      <c r="AY106" s="44">
        <f>RawData!AU104</f>
        <v>0</v>
      </c>
      <c r="AZ106" s="42">
        <f>RawData!CX104</f>
        <v>0</v>
      </c>
      <c r="BA106" s="44">
        <f>RawData!DF104</f>
        <v>1258.5999755859375</v>
      </c>
      <c r="BB106" s="43" t="str">
        <f>RawData!DI104</f>
        <v>W</v>
      </c>
      <c r="BC106" s="44">
        <f>RawData!AT104</f>
        <v>0</v>
      </c>
      <c r="BD106" s="45">
        <f>RawData!AP104</f>
        <v>0</v>
      </c>
      <c r="BE106" s="44">
        <f>RawData!CS104</f>
        <v>0</v>
      </c>
      <c r="BF106" s="42">
        <f>RawData!CT104</f>
        <v>0</v>
      </c>
      <c r="BG106" s="41">
        <f>RawData!AS104</f>
        <v>1025</v>
      </c>
      <c r="BH106" s="41">
        <f>RawData!CU104</f>
        <v>850</v>
      </c>
      <c r="BI106" s="41">
        <f>RawData!AR104</f>
        <v>175</v>
      </c>
      <c r="BJ106" s="42">
        <f>RawData!CV104</f>
        <v>0.20588235294117646</v>
      </c>
      <c r="BK106" s="41">
        <f>RawData!AQ104</f>
        <v>2650</v>
      </c>
      <c r="BL106" s="40">
        <f>RawData!AO104</f>
        <v>0</v>
      </c>
      <c r="BM106" s="40">
        <f>RawData!AN104</f>
        <v>0</v>
      </c>
      <c r="BN106" s="40">
        <f>RawData!AM104</f>
        <v>0</v>
      </c>
      <c r="BO106" s="40">
        <f>RawData!AL104</f>
        <v>0</v>
      </c>
      <c r="BP106" s="40">
        <f>RawData!AK104</f>
        <v>0</v>
      </c>
      <c r="BQ106" s="40">
        <f>RawData!AJ104</f>
        <v>0</v>
      </c>
      <c r="BR106" s="38">
        <f>RawData!AI104</f>
        <v>0</v>
      </c>
      <c r="BS106" s="38">
        <f>RawData!AH104</f>
        <v>0</v>
      </c>
      <c r="BT106" s="40">
        <f>RawData!AG104</f>
        <v>0</v>
      </c>
      <c r="BU106" s="39">
        <f>RawData!AF104</f>
        <v>0</v>
      </c>
      <c r="BV106" s="39">
        <f>RawData!AE104</f>
        <v>0</v>
      </c>
      <c r="BW106" s="38">
        <f>RawData!AD104</f>
        <v>0</v>
      </c>
      <c r="BX106" s="38">
        <f>RawData!AC104</f>
        <v>0</v>
      </c>
      <c r="BY106" s="37">
        <f>RawData!AB104</f>
        <v>0</v>
      </c>
      <c r="BZ106" s="37">
        <f>RawData!AA104</f>
        <v>0</v>
      </c>
      <c r="CA106" s="36">
        <f>RawData!Z104</f>
        <v>0</v>
      </c>
      <c r="CB106" s="36">
        <f>RawData!Y104</f>
        <v>0</v>
      </c>
      <c r="CC106" s="36">
        <f>RawData!X104</f>
        <v>0</v>
      </c>
      <c r="CD106" s="36">
        <f>RawData!W104</f>
        <v>0</v>
      </c>
      <c r="CE106" s="40">
        <f>RawData!V104</f>
        <v>0</v>
      </c>
      <c r="CF106" s="40">
        <f>RawData!U104</f>
        <v>0</v>
      </c>
      <c r="CG106" s="40">
        <f>RawData!T104</f>
        <v>0</v>
      </c>
      <c r="CH106" s="44">
        <f>RawData!S104</f>
        <v>1347.25</v>
      </c>
      <c r="CI106" s="44">
        <f>RawData!R104</f>
        <v>1429.5</v>
      </c>
      <c r="CJ106" s="44">
        <f>RawData!Q104</f>
        <v>1217.4000244140625</v>
      </c>
      <c r="CK106" s="44">
        <f>RawData!P104</f>
        <v>1258.5999755859375</v>
      </c>
      <c r="CL106" s="44">
        <f>RawData!CJ104</f>
        <v>25</v>
      </c>
      <c r="CM106" s="43">
        <f>RawData!CI104</f>
        <v>1309.1500244140625</v>
      </c>
      <c r="CN106" s="44">
        <f>RawData!CL104</f>
        <v>75</v>
      </c>
      <c r="CO106" s="43">
        <f>RawData!CK104</f>
        <v>1303</v>
      </c>
      <c r="CP106" s="44">
        <f>RawData!CM104</f>
        <v>1336.0400390625</v>
      </c>
      <c r="CQ106" s="47">
        <f>RawData!CO104</f>
        <v>44783.638194444444</v>
      </c>
      <c r="CR106" s="44">
        <f>RawData!CP104</f>
        <v>38295.69921875</v>
      </c>
      <c r="CS106" s="44">
        <f>RawData!DG104</f>
        <v>38295.69921875</v>
      </c>
      <c r="CT106" s="43" t="str">
        <f>RawData!DJ104</f>
        <v>G</v>
      </c>
      <c r="CU106" s="43" t="str">
        <f>RawData!CQ104</f>
        <v>FairPrice</v>
      </c>
      <c r="CV106" s="47">
        <f>RawData!CR104</f>
        <v>44783.638194444444</v>
      </c>
      <c r="CW106" s="65">
        <f>RawData!DK104</f>
        <v>38300</v>
      </c>
      <c r="CX106" s="65">
        <f>RawData!DL104</f>
        <v>3400000</v>
      </c>
      <c r="CY106" s="65">
        <f>RawData!DM104</f>
        <v>38500</v>
      </c>
      <c r="CZ106" s="65">
        <f>RawData!DN104</f>
        <v>0</v>
      </c>
      <c r="DA106" s="65">
        <f>RawData!DO104</f>
        <v>24500</v>
      </c>
      <c r="DB106" s="65">
        <f>RawData!DP104</f>
        <v>2863350</v>
      </c>
      <c r="DC106" s="65">
        <f>RawData!DQ104</f>
        <v>38000</v>
      </c>
      <c r="DD106" s="65">
        <f>RawData!DR104</f>
        <v>0</v>
      </c>
      <c r="DE106" s="65">
        <f>RawData!DS104</f>
        <v>24500</v>
      </c>
      <c r="DF106" s="65" t="str">
        <f>RawData!DT104</f>
        <v>BANKNIFTY</v>
      </c>
      <c r="DG106" s="66">
        <f>RawData!DU104</f>
        <v>44784</v>
      </c>
      <c r="DI106" s="21">
        <f t="shared" si="1"/>
        <v>1304.30078125</v>
      </c>
    </row>
    <row r="107" spans="1:113" x14ac:dyDescent="0.2">
      <c r="A107" s="59">
        <f>RawData!CN105</f>
        <v>44783.638194444444</v>
      </c>
      <c r="B107" s="44">
        <f>RawData!CH105</f>
        <v>4.6399998664855957</v>
      </c>
      <c r="C107" s="44">
        <f>RawData!CG105</f>
        <v>850</v>
      </c>
      <c r="D107" s="43">
        <f>RawData!CF105</f>
        <v>2.9500000476837158</v>
      </c>
      <c r="E107" s="44">
        <f>RawData!CE105</f>
        <v>2100</v>
      </c>
      <c r="F107" s="43">
        <f>RawData!CD105</f>
        <v>3</v>
      </c>
      <c r="G107" s="44">
        <f>RawData!CC105</f>
        <v>2.9500000476837158</v>
      </c>
      <c r="H107" s="44">
        <f>RawData!CB105</f>
        <v>2.8499999046325684</v>
      </c>
      <c r="I107" s="44">
        <f>RawData!CA105</f>
        <v>6.4499998092651367</v>
      </c>
      <c r="J107" s="44">
        <f>RawData!BZ105</f>
        <v>5.9000000953674316</v>
      </c>
      <c r="K107" s="40">
        <f>RawData!BY105</f>
        <v>399.453125</v>
      </c>
      <c r="L107" s="40">
        <f>RawData!BX105</f>
        <v>26739.814453125</v>
      </c>
      <c r="M107" s="40">
        <f>RawData!BW105</f>
        <v>2675.34375</v>
      </c>
      <c r="N107" s="40">
        <f>RawData!BV105</f>
        <v>149253.4375</v>
      </c>
      <c r="O107" s="36">
        <f>RawData!BU105</f>
        <v>-3.3128162613138556E-7</v>
      </c>
      <c r="P107" s="36">
        <f>RawData!BT105</f>
        <v>1.0648169700289145E-4</v>
      </c>
      <c r="Q107" s="36">
        <f>RawData!BS105</f>
        <v>-6.0512684285640717E-7</v>
      </c>
      <c r="R107" s="36">
        <f>RawData!BR105</f>
        <v>7.152864127419889E-4</v>
      </c>
      <c r="S107" s="37">
        <f>RawData!BQ105</f>
        <v>-8.3683460161410039E-10</v>
      </c>
      <c r="T107" s="37">
        <f>RawData!BP105</f>
        <v>1.9711907839337073E-7</v>
      </c>
      <c r="U107" s="38">
        <f>RawData!BO105</f>
        <v>-6.6567420959472656E-2</v>
      </c>
      <c r="V107" s="38">
        <f>RawData!BN105</f>
        <v>-4.9494051933288574</v>
      </c>
      <c r="W107" s="39">
        <f>RawData!BM105</f>
        <v>0.52123260498046875</v>
      </c>
      <c r="X107" s="39">
        <f>RawData!BL105</f>
        <v>33.247425079345703</v>
      </c>
      <c r="Y107" s="38">
        <f>RawData!BJ105</f>
        <v>-5.0008020480163395E-7</v>
      </c>
      <c r="Z107" s="38">
        <f>RawData!BI105</f>
        <v>5.5932188843144104E-5</v>
      </c>
      <c r="AA107" s="40">
        <f>RawData!BH105</f>
        <v>-7.9979896545410156E-3</v>
      </c>
      <c r="AB107" s="40">
        <f>RawData!BG105</f>
        <v>0.70722126960754395</v>
      </c>
      <c r="AC107" s="40">
        <f>RawData!BF105</f>
        <v>4.999995231628418E-2</v>
      </c>
      <c r="AD107" s="40">
        <f>RawData!BE105</f>
        <v>-2.9500000476837158</v>
      </c>
      <c r="AE107" s="40">
        <f>RawData!BD105</f>
        <v>-1.7804466187953949E-4</v>
      </c>
      <c r="AF107" s="40">
        <f>RawData!BC105</f>
        <v>1.3595863245427608E-2</v>
      </c>
      <c r="AG107" s="41">
        <f>RawData!BB105</f>
        <v>4580875</v>
      </c>
      <c r="AH107" s="42">
        <f>RawData!DB105</f>
        <v>0.63031026252983291</v>
      </c>
      <c r="AI107" s="41">
        <f>RawData!BA105</f>
        <v>198075</v>
      </c>
      <c r="AJ107" s="43">
        <f>RawData!DA105</f>
        <v>314250</v>
      </c>
      <c r="AK107" s="41">
        <f>RawData!AZ105</f>
        <v>512325</v>
      </c>
      <c r="AL107" s="42">
        <f>RawData!DD105</f>
        <v>-2.3012243407171972E-3</v>
      </c>
      <c r="AM107" s="44">
        <f>RawData!DC105</f>
        <v>-7.0601701736450195E-2</v>
      </c>
      <c r="AN107" s="45">
        <f>RawData!BK105</f>
        <v>30.609458684921265</v>
      </c>
      <c r="AO107" s="44">
        <f>RawData!AY105</f>
        <v>30.609458684921265</v>
      </c>
      <c r="AP107" s="43" t="str">
        <f>RawData!DH105</f>
        <v>R</v>
      </c>
      <c r="AQ107" s="43">
        <f>RawData!DE105</f>
        <v>2.9500000476837158</v>
      </c>
      <c r="AR107" s="42">
        <f>RawData!CZ105</f>
        <v>-1.6666650772094727E-2</v>
      </c>
      <c r="AS107" s="44">
        <f>RawData!AX105</f>
        <v>-4.999995231628418E-2</v>
      </c>
      <c r="AT107" s="43">
        <f>RawData!CY105</f>
        <v>2.9500000476837158</v>
      </c>
      <c r="AU107" s="44">
        <f>RawData!AW105</f>
        <v>2.9500000476837158</v>
      </c>
      <c r="AV107" s="46">
        <f>RawData!O105</f>
        <v>39700</v>
      </c>
      <c r="AW107" s="44">
        <f>RawData!AV105</f>
        <v>1401.8499755859375</v>
      </c>
      <c r="AX107" s="44">
        <f>RawData!CW105</f>
        <v>1401.8499755859375</v>
      </c>
      <c r="AY107" s="44">
        <f>RawData!AU105</f>
        <v>0</v>
      </c>
      <c r="AZ107" s="42">
        <f>RawData!CX105</f>
        <v>0</v>
      </c>
      <c r="BA107" s="44">
        <f>RawData!DF105</f>
        <v>1401.8499755859375</v>
      </c>
      <c r="BB107" s="43" t="str">
        <f>RawData!DI105</f>
        <v>W</v>
      </c>
      <c r="BC107" s="44">
        <f>RawData!AT105</f>
        <v>0</v>
      </c>
      <c r="BD107" s="45">
        <f>RawData!AP105</f>
        <v>0</v>
      </c>
      <c r="BE107" s="44">
        <f>RawData!CS105</f>
        <v>0</v>
      </c>
      <c r="BF107" s="42">
        <f>RawData!CT105</f>
        <v>0</v>
      </c>
      <c r="BG107" s="41">
        <f>RawData!AS105</f>
        <v>900</v>
      </c>
      <c r="BH107" s="41">
        <f>RawData!CU105</f>
        <v>675</v>
      </c>
      <c r="BI107" s="41">
        <f>RawData!AR105</f>
        <v>225</v>
      </c>
      <c r="BJ107" s="42">
        <f>RawData!CV105</f>
        <v>0.33333333333333331</v>
      </c>
      <c r="BK107" s="41">
        <f>RawData!AQ105</f>
        <v>1575</v>
      </c>
      <c r="BL107" s="40">
        <f>RawData!AO105</f>
        <v>0</v>
      </c>
      <c r="BM107" s="40">
        <f>RawData!AN105</f>
        <v>0</v>
      </c>
      <c r="BN107" s="40">
        <f>RawData!AM105</f>
        <v>0</v>
      </c>
      <c r="BO107" s="40">
        <f>RawData!AL105</f>
        <v>0</v>
      </c>
      <c r="BP107" s="40">
        <f>RawData!AK105</f>
        <v>0</v>
      </c>
      <c r="BQ107" s="40">
        <f>RawData!AJ105</f>
        <v>0</v>
      </c>
      <c r="BR107" s="38">
        <f>RawData!AI105</f>
        <v>0</v>
      </c>
      <c r="BS107" s="38">
        <f>RawData!AH105</f>
        <v>0</v>
      </c>
      <c r="BT107" s="40">
        <f>RawData!AG105</f>
        <v>0</v>
      </c>
      <c r="BU107" s="39">
        <f>RawData!AF105</f>
        <v>0</v>
      </c>
      <c r="BV107" s="39">
        <f>RawData!AE105</f>
        <v>0</v>
      </c>
      <c r="BW107" s="38">
        <f>RawData!AD105</f>
        <v>0</v>
      </c>
      <c r="BX107" s="38">
        <f>RawData!AC105</f>
        <v>0</v>
      </c>
      <c r="BY107" s="37">
        <f>RawData!AB105</f>
        <v>0</v>
      </c>
      <c r="BZ107" s="37">
        <f>RawData!AA105</f>
        <v>0</v>
      </c>
      <c r="CA107" s="36">
        <f>RawData!Z105</f>
        <v>0</v>
      </c>
      <c r="CB107" s="36">
        <f>RawData!Y105</f>
        <v>0</v>
      </c>
      <c r="CC107" s="36">
        <f>RawData!X105</f>
        <v>0</v>
      </c>
      <c r="CD107" s="36">
        <f>RawData!W105</f>
        <v>0</v>
      </c>
      <c r="CE107" s="40">
        <f>RawData!V105</f>
        <v>0</v>
      </c>
      <c r="CF107" s="40">
        <f>RawData!U105</f>
        <v>0</v>
      </c>
      <c r="CG107" s="40">
        <f>RawData!T105</f>
        <v>0</v>
      </c>
      <c r="CH107" s="44">
        <f>RawData!S105</f>
        <v>1432.550048828125</v>
      </c>
      <c r="CI107" s="44">
        <f>RawData!R105</f>
        <v>1502.25</v>
      </c>
      <c r="CJ107" s="44">
        <f>RawData!Q105</f>
        <v>1325.75</v>
      </c>
      <c r="CK107" s="44">
        <f>RawData!P105</f>
        <v>1401.8499755859375</v>
      </c>
      <c r="CL107" s="44">
        <f>RawData!CJ105</f>
        <v>50</v>
      </c>
      <c r="CM107" s="43">
        <f>RawData!CI105</f>
        <v>1406.800048828125</v>
      </c>
      <c r="CN107" s="44">
        <f>RawData!CL105</f>
        <v>75</v>
      </c>
      <c r="CO107" s="43">
        <f>RawData!CK105</f>
        <v>1402.25</v>
      </c>
      <c r="CP107" s="44">
        <f>RawData!CM105</f>
        <v>1427.6199951171875</v>
      </c>
      <c r="CQ107" s="47">
        <f>RawData!CO105</f>
        <v>44783.638194444444</v>
      </c>
      <c r="CR107" s="44">
        <f>RawData!CP105</f>
        <v>38295.69921875</v>
      </c>
      <c r="CS107" s="44">
        <f>RawData!DG105</f>
        <v>38295.69921875</v>
      </c>
      <c r="CT107" s="43" t="str">
        <f>RawData!DJ105</f>
        <v>G</v>
      </c>
      <c r="CU107" s="43" t="str">
        <f>RawData!CQ105</f>
        <v>FairPrice</v>
      </c>
      <c r="CV107" s="47">
        <f>RawData!CR105</f>
        <v>44783.638194444444</v>
      </c>
      <c r="CW107" s="65">
        <f>RawData!DK105</f>
        <v>38300</v>
      </c>
      <c r="CX107" s="65">
        <f>RawData!DL105</f>
        <v>3400000</v>
      </c>
      <c r="CY107" s="65">
        <f>RawData!DM105</f>
        <v>38500</v>
      </c>
      <c r="CZ107" s="65">
        <f>RawData!DN105</f>
        <v>0</v>
      </c>
      <c r="DA107" s="65">
        <f>RawData!DO105</f>
        <v>24500</v>
      </c>
      <c r="DB107" s="65">
        <f>RawData!DP105</f>
        <v>2863350</v>
      </c>
      <c r="DC107" s="65">
        <f>RawData!DQ105</f>
        <v>38000</v>
      </c>
      <c r="DD107" s="65">
        <f>RawData!DR105</f>
        <v>0</v>
      </c>
      <c r="DE107" s="65">
        <f>RawData!DS105</f>
        <v>24500</v>
      </c>
      <c r="DF107" s="65" t="str">
        <f>RawData!DT105</f>
        <v>BANKNIFTY</v>
      </c>
      <c r="DG107" s="66">
        <f>RawData!DU105</f>
        <v>44784</v>
      </c>
      <c r="DI107" s="21">
        <f t="shared" si="1"/>
        <v>1404.30078125</v>
      </c>
    </row>
    <row r="108" spans="1:113" x14ac:dyDescent="0.2">
      <c r="A108" s="59">
        <f>RawData!CN106</f>
        <v>44783.638194444444</v>
      </c>
      <c r="B108" s="44">
        <f>RawData!CH106</f>
        <v>4.2300000190734863</v>
      </c>
      <c r="C108" s="44">
        <f>RawData!CG106</f>
        <v>500</v>
      </c>
      <c r="D108" s="43">
        <f>RawData!CF106</f>
        <v>2.75</v>
      </c>
      <c r="E108" s="44">
        <f>RawData!CE106</f>
        <v>925</v>
      </c>
      <c r="F108" s="43">
        <f>RawData!CD106</f>
        <v>2.7999999523162842</v>
      </c>
      <c r="G108" s="44">
        <f>RawData!CC106</f>
        <v>2.7999999523162842</v>
      </c>
      <c r="H108" s="44">
        <f>RawData!CB106</f>
        <v>2.7000000476837158</v>
      </c>
      <c r="I108" s="44">
        <f>RawData!CA106</f>
        <v>5.5500001907348633</v>
      </c>
      <c r="J108" s="44">
        <f>RawData!BZ106</f>
        <v>4.25</v>
      </c>
      <c r="K108" s="40">
        <f>RawData!BY106</f>
        <v>-0.1875</v>
      </c>
      <c r="L108" s="40">
        <f>RawData!BX106</f>
        <v>29769.873046875</v>
      </c>
      <c r="M108" s="40">
        <f>RawData!BW106</f>
        <v>-6.84375</v>
      </c>
      <c r="N108" s="40">
        <f>RawData!BV106</f>
        <v>158719.5</v>
      </c>
      <c r="O108" s="36">
        <f>RawData!BU106</f>
        <v>7.9890014603734016E-9</v>
      </c>
      <c r="P108" s="36">
        <f>RawData!BT106</f>
        <v>9.7248499514535069E-5</v>
      </c>
      <c r="Q108" s="36">
        <f>RawData!BS106</f>
        <v>2.9045622795820236E-8</v>
      </c>
      <c r="R108" s="36">
        <f>RawData!BR106</f>
        <v>6.20602339040488E-4</v>
      </c>
      <c r="S108" s="37">
        <f>RawData!BQ106</f>
        <v>1.2335021892795339E-11</v>
      </c>
      <c r="T108" s="37">
        <f>RawData!BP106</f>
        <v>1.6682749048868573E-7</v>
      </c>
      <c r="U108" s="38">
        <f>RawData!BO106</f>
        <v>-9.2029571533203125E-5</v>
      </c>
      <c r="V108" s="38">
        <f>RawData!BN106</f>
        <v>-5.451444149017334</v>
      </c>
      <c r="W108" s="39">
        <f>RawData!BM106</f>
        <v>-6.40869140625E-4</v>
      </c>
      <c r="X108" s="39">
        <f>RawData!BL106</f>
        <v>34.789012908935547</v>
      </c>
      <c r="Y108" s="38">
        <f>RawData!BJ106</f>
        <v>2.4483597371727228E-9</v>
      </c>
      <c r="Z108" s="38">
        <f>RawData!BI106</f>
        <v>4.9041773308999836E-5</v>
      </c>
      <c r="AA108" s="40">
        <f>RawData!BH106</f>
        <v>1.0132789611816406E-6</v>
      </c>
      <c r="AB108" s="40">
        <f>RawData!BG106</f>
        <v>0.65272748470306396</v>
      </c>
      <c r="AC108" s="40">
        <f>RawData!BF106</f>
        <v>0</v>
      </c>
      <c r="AD108" s="40">
        <f>RawData!BE106</f>
        <v>-2.7999999523162842</v>
      </c>
      <c r="AE108" s="40">
        <f>RawData!BD106</f>
        <v>3.119930624961853E-7</v>
      </c>
      <c r="AF108" s="40">
        <f>RawData!BC106</f>
        <v>1.2391692027449608E-2</v>
      </c>
      <c r="AG108" s="41">
        <f>RawData!BB106</f>
        <v>4037725</v>
      </c>
      <c r="AH108" s="42">
        <f>RawData!DB106</f>
        <v>2.943205334559669E-2</v>
      </c>
      <c r="AI108" s="41">
        <f>RawData!BA106</f>
        <v>12800</v>
      </c>
      <c r="AJ108" s="43">
        <f>RawData!DA106</f>
        <v>434900</v>
      </c>
      <c r="AK108" s="41">
        <f>RawData!AZ106</f>
        <v>447700</v>
      </c>
      <c r="AL108" s="42">
        <f>RawData!DD106</f>
        <v>-7.8620438835240969E-6</v>
      </c>
      <c r="AM108" s="44">
        <f>RawData!DC106</f>
        <v>-2.5331974029541016E-4</v>
      </c>
      <c r="AN108" s="45">
        <f>RawData!BK106</f>
        <v>32.220342755317688</v>
      </c>
      <c r="AO108" s="44">
        <f>RawData!AY106</f>
        <v>32.220342755317688</v>
      </c>
      <c r="AP108" s="43" t="str">
        <f>RawData!DH106</f>
        <v>W</v>
      </c>
      <c r="AQ108" s="43">
        <f>RawData!DE106</f>
        <v>2.7999999523162842</v>
      </c>
      <c r="AR108" s="42">
        <f>RawData!CZ106</f>
        <v>0</v>
      </c>
      <c r="AS108" s="44">
        <f>RawData!AX106</f>
        <v>0</v>
      </c>
      <c r="AT108" s="43">
        <f>RawData!CY106</f>
        <v>2.7999999523162842</v>
      </c>
      <c r="AU108" s="44">
        <f>RawData!AW106</f>
        <v>2.7999999523162842</v>
      </c>
      <c r="AV108" s="46">
        <f>RawData!O106</f>
        <v>39800</v>
      </c>
      <c r="AW108" s="44">
        <f>RawData!AV106</f>
        <v>1581.75</v>
      </c>
      <c r="AX108" s="44">
        <f>RawData!CW106</f>
        <v>1581.75</v>
      </c>
      <c r="AY108" s="44">
        <f>RawData!AU106</f>
        <v>0</v>
      </c>
      <c r="AZ108" s="42">
        <f>RawData!CX106</f>
        <v>0</v>
      </c>
      <c r="BA108" s="44">
        <f>RawData!DF106</f>
        <v>1581.75</v>
      </c>
      <c r="BB108" s="43" t="str">
        <f>RawData!DI106</f>
        <v>W</v>
      </c>
      <c r="BC108" s="44">
        <f>RawData!AT106</f>
        <v>62.223464250564575</v>
      </c>
      <c r="BD108" s="45">
        <f>RawData!AP106</f>
        <v>62.223464250564575</v>
      </c>
      <c r="BE108" s="44">
        <f>RawData!CS106</f>
        <v>0.11655688285827637</v>
      </c>
      <c r="BF108" s="42">
        <f>RawData!CT106</f>
        <v>1.8767136828790544E-3</v>
      </c>
      <c r="BG108" s="41">
        <f>RawData!AS106</f>
        <v>125</v>
      </c>
      <c r="BH108" s="41">
        <f>RawData!CU106</f>
        <v>125</v>
      </c>
      <c r="BI108" s="41">
        <f>RawData!AR106</f>
        <v>0</v>
      </c>
      <c r="BJ108" s="42">
        <f>RawData!CV106</f>
        <v>0</v>
      </c>
      <c r="BK108" s="41">
        <f>RawData!AQ106</f>
        <v>300</v>
      </c>
      <c r="BL108" s="40">
        <f>RawData!AO106</f>
        <v>-0.87497454881668091</v>
      </c>
      <c r="BM108" s="40">
        <f>RawData!AN106</f>
        <v>5.4079294204711914E-4</v>
      </c>
      <c r="BN108" s="40">
        <f>RawData!AM106</f>
        <v>-126.62590026855469</v>
      </c>
      <c r="BO108" s="40">
        <f>RawData!AL106</f>
        <v>-0.62401580810546875</v>
      </c>
      <c r="BP108" s="40">
        <f>RawData!AK106</f>
        <v>4.1845407485961914</v>
      </c>
      <c r="BQ108" s="40">
        <f>RawData!AJ106</f>
        <v>1.262664794921875E-2</v>
      </c>
      <c r="BR108" s="38">
        <f>RawData!AI106</f>
        <v>1.6279390547424555E-4</v>
      </c>
      <c r="BS108" s="38">
        <f>RawData!AH106</f>
        <v>1.889857230708003E-7</v>
      </c>
      <c r="BT108" s="40">
        <f>RawData!AG106</f>
        <v>1.4700170755386353</v>
      </c>
      <c r="BU108" s="39">
        <f>RawData!AF106</f>
        <v>-1.0434985160827637E-2</v>
      </c>
      <c r="BV108" s="39">
        <f>RawData!AE106</f>
        <v>-0.44483312964439392</v>
      </c>
      <c r="BW108" s="38">
        <f>RawData!AD106</f>
        <v>2.2991597652435303E-3</v>
      </c>
      <c r="BX108" s="38">
        <f>RawData!AC106</f>
        <v>1.4380955803972029E-7</v>
      </c>
      <c r="BY108" s="37">
        <f>RawData!AB106</f>
        <v>-4.4832404455519281E-10</v>
      </c>
      <c r="BZ108" s="37">
        <f>RawData!AA106</f>
        <v>9.4448863819707185E-5</v>
      </c>
      <c r="CA108" s="36">
        <f>RawData!Z106</f>
        <v>-1.6579069779254496E-6</v>
      </c>
      <c r="CB108" s="36">
        <f>RawData!Y106</f>
        <v>2.8580609068740159E-5</v>
      </c>
      <c r="CC108" s="36">
        <f>RawData!X106</f>
        <v>-4.4595799408853054E-7</v>
      </c>
      <c r="CD108" s="36">
        <f>RawData!W106</f>
        <v>3436.633544921875</v>
      </c>
      <c r="CE108" s="40">
        <f>RawData!V106</f>
        <v>-32.33544921875</v>
      </c>
      <c r="CF108" s="40">
        <f>RawData!U106</f>
        <v>1804.0360107421875</v>
      </c>
      <c r="CG108" s="40">
        <f>RawData!T106</f>
        <v>-10.0638427734375</v>
      </c>
      <c r="CH108" s="44">
        <f>RawData!S106</f>
        <v>1550.5999755859375</v>
      </c>
      <c r="CI108" s="44">
        <f>RawData!R106</f>
        <v>1623.199951171875</v>
      </c>
      <c r="CJ108" s="44">
        <f>RawData!Q106</f>
        <v>1449.25</v>
      </c>
      <c r="CK108" s="44">
        <f>RawData!P106</f>
        <v>1581.75</v>
      </c>
      <c r="CL108" s="44">
        <f>RawData!CJ106</f>
        <v>25</v>
      </c>
      <c r="CM108" s="43">
        <f>RawData!CI106</f>
        <v>1508.6500244140625</v>
      </c>
      <c r="CN108" s="44">
        <f>RawData!CL106</f>
        <v>75</v>
      </c>
      <c r="CO108" s="43">
        <f>RawData!CK106</f>
        <v>1501.699951171875</v>
      </c>
      <c r="CP108" s="44">
        <f>RawData!CM106</f>
        <v>1563.2900390625</v>
      </c>
      <c r="CQ108" s="47">
        <f>RawData!CO106</f>
        <v>44783.638194444444</v>
      </c>
      <c r="CR108" s="44">
        <f>RawData!CP106</f>
        <v>38295.69921875</v>
      </c>
      <c r="CS108" s="44">
        <f>RawData!DG106</f>
        <v>38295.69921875</v>
      </c>
      <c r="CT108" s="43" t="str">
        <f>RawData!DJ106</f>
        <v>G</v>
      </c>
      <c r="CU108" s="43" t="str">
        <f>RawData!CQ106</f>
        <v>FairPrice</v>
      </c>
      <c r="CV108" s="47">
        <f>RawData!CR106</f>
        <v>44783.638194444444</v>
      </c>
      <c r="CW108" s="65">
        <f>RawData!DK106</f>
        <v>38300</v>
      </c>
      <c r="CX108" s="65">
        <f>RawData!DL106</f>
        <v>3400000</v>
      </c>
      <c r="CY108" s="65">
        <f>RawData!DM106</f>
        <v>38500</v>
      </c>
      <c r="CZ108" s="65">
        <f>RawData!DN106</f>
        <v>0</v>
      </c>
      <c r="DA108" s="65">
        <f>RawData!DO106</f>
        <v>24500</v>
      </c>
      <c r="DB108" s="65">
        <f>RawData!DP106</f>
        <v>2863350</v>
      </c>
      <c r="DC108" s="65">
        <f>RawData!DQ106</f>
        <v>38000</v>
      </c>
      <c r="DD108" s="65">
        <f>RawData!DR106</f>
        <v>0</v>
      </c>
      <c r="DE108" s="65">
        <f>RawData!DS106</f>
        <v>24500</v>
      </c>
      <c r="DF108" s="65" t="str">
        <f>RawData!DT106</f>
        <v>BANKNIFTY</v>
      </c>
      <c r="DG108" s="66">
        <f>RawData!DU106</f>
        <v>44784</v>
      </c>
      <c r="DI108" s="21">
        <f t="shared" si="1"/>
        <v>1504.30078125</v>
      </c>
    </row>
    <row r="109" spans="1:113" x14ac:dyDescent="0.2">
      <c r="A109" s="59">
        <f>RawData!CN107</f>
        <v>44783.638194444444</v>
      </c>
      <c r="B109" s="44">
        <f>RawData!CH107</f>
        <v>3.8399999141693115</v>
      </c>
      <c r="C109" s="44">
        <f>RawData!CG107</f>
        <v>1250</v>
      </c>
      <c r="D109" s="43">
        <f>RawData!CF107</f>
        <v>2.5999999046325684</v>
      </c>
      <c r="E109" s="44">
        <f>RawData!CE107</f>
        <v>2550</v>
      </c>
      <c r="F109" s="43">
        <f>RawData!CD107</f>
        <v>2.6500000953674316</v>
      </c>
      <c r="G109" s="44">
        <f>RawData!CC107</f>
        <v>2.5999999046325684</v>
      </c>
      <c r="H109" s="44">
        <f>RawData!CB107</f>
        <v>2.3499999046325684</v>
      </c>
      <c r="I109" s="44">
        <f>RawData!CA107</f>
        <v>5.4000000953674316</v>
      </c>
      <c r="J109" s="44">
        <f>RawData!BZ107</f>
        <v>4.75</v>
      </c>
      <c r="K109" s="40">
        <f>RawData!BY107</f>
        <v>-8.9453125</v>
      </c>
      <c r="L109" s="40">
        <f>RawData!BX107</f>
        <v>33675.11328125</v>
      </c>
      <c r="M109" s="40">
        <f>RawData!BW107</f>
        <v>-6.765625</v>
      </c>
      <c r="N109" s="40">
        <f>RawData!BV107</f>
        <v>172688.390625</v>
      </c>
      <c r="O109" s="36">
        <f>RawData!BU107</f>
        <v>4.0010490920394659E-8</v>
      </c>
      <c r="P109" s="36">
        <f>RawData!BT107</f>
        <v>8.8646032963879406E-5</v>
      </c>
      <c r="Q109" s="36">
        <f>RawData!BS107</f>
        <v>3.7421705201268196E-7</v>
      </c>
      <c r="R109" s="36">
        <f>RawData!BR107</f>
        <v>5.4091651691123843E-4</v>
      </c>
      <c r="S109" s="37">
        <f>RawData!BQ107</f>
        <v>1.0858514087885851E-10</v>
      </c>
      <c r="T109" s="37">
        <f>RawData!BP107</f>
        <v>1.4149853200251528E-7</v>
      </c>
      <c r="U109" s="38">
        <f>RawData!BO107</f>
        <v>1.3957023620605469E-3</v>
      </c>
      <c r="V109" s="38">
        <f>RawData!BN107</f>
        <v>-6.0917148590087891</v>
      </c>
      <c r="W109" s="39">
        <f>RawData!BM107</f>
        <v>4.2724609375E-4</v>
      </c>
      <c r="X109" s="39">
        <f>RawData!BL107</f>
        <v>37.171535491943359</v>
      </c>
      <c r="Y109" s="38">
        <f>RawData!BJ107</f>
        <v>2.212982508353889E-8</v>
      </c>
      <c r="Z109" s="38">
        <f>RawData!BI107</f>
        <v>4.2734121961984783E-5</v>
      </c>
      <c r="AA109" s="40">
        <f>RawData!BH107</f>
        <v>1.3065338134765625E-4</v>
      </c>
      <c r="AB109" s="40">
        <f>RawData!BG107</f>
        <v>0.59489285945892334</v>
      </c>
      <c r="AC109" s="40">
        <f>RawData!BF107</f>
        <v>0</v>
      </c>
      <c r="AD109" s="40">
        <f>RawData!BE107</f>
        <v>-2.5999999046325684</v>
      </c>
      <c r="AE109" s="40">
        <f>RawData!BD107</f>
        <v>2.9047951102256775E-6</v>
      </c>
      <c r="AF109" s="40">
        <f>RawData!BC107</f>
        <v>1.1135032400488853E-2</v>
      </c>
      <c r="AG109" s="41">
        <f>RawData!BB107</f>
        <v>2122625</v>
      </c>
      <c r="AH109" s="42">
        <f>RawData!DB107</f>
        <v>0.25109809663250365</v>
      </c>
      <c r="AI109" s="41">
        <f>RawData!BA107</f>
        <v>60025</v>
      </c>
      <c r="AJ109" s="43">
        <f>RawData!DA107</f>
        <v>239050</v>
      </c>
      <c r="AK109" s="41">
        <f>RawData!AZ107</f>
        <v>299075</v>
      </c>
      <c r="AL109" s="42">
        <f>RawData!DD107</f>
        <v>-2.8380718228449041E-4</v>
      </c>
      <c r="AM109" s="44">
        <f>RawData!DC107</f>
        <v>-9.5665454864501953E-3</v>
      </c>
      <c r="AN109" s="45">
        <f>RawData!BK107</f>
        <v>33.698338270187378</v>
      </c>
      <c r="AO109" s="44">
        <f>RawData!AY107</f>
        <v>33.698338270187378</v>
      </c>
      <c r="AP109" s="43" t="str">
        <f>RawData!DH107</f>
        <v>W</v>
      </c>
      <c r="AQ109" s="43">
        <f>RawData!DE107</f>
        <v>2.5999999046325684</v>
      </c>
      <c r="AR109" s="42">
        <f>RawData!CZ107</f>
        <v>0</v>
      </c>
      <c r="AS109" s="44">
        <f>RawData!AX107</f>
        <v>0</v>
      </c>
      <c r="AT109" s="43">
        <f>RawData!CY107</f>
        <v>2.5999999046325684</v>
      </c>
      <c r="AU109" s="44">
        <f>RawData!AW107</f>
        <v>2.5999999046325684</v>
      </c>
      <c r="AV109" s="46">
        <f>RawData!O107</f>
        <v>39900</v>
      </c>
      <c r="AW109" s="44">
        <f>RawData!AV107</f>
        <v>1563.3499755859375</v>
      </c>
      <c r="AX109" s="44">
        <f>RawData!CW107</f>
        <v>1563.3499755859375</v>
      </c>
      <c r="AY109" s="44">
        <f>RawData!AU107</f>
        <v>0</v>
      </c>
      <c r="AZ109" s="42">
        <f>RawData!CX107</f>
        <v>0</v>
      </c>
      <c r="BA109" s="44">
        <f>RawData!DF107</f>
        <v>1563.3499755859375</v>
      </c>
      <c r="BB109" s="43" t="str">
        <f>RawData!DI107</f>
        <v>W</v>
      </c>
      <c r="BC109" s="44">
        <f>RawData!AT107</f>
        <v>0</v>
      </c>
      <c r="BD109" s="45">
        <f>RawData!AP107</f>
        <v>0</v>
      </c>
      <c r="BE109" s="44">
        <f>RawData!CS107</f>
        <v>0</v>
      </c>
      <c r="BF109" s="42">
        <f>RawData!CT107</f>
        <v>0</v>
      </c>
      <c r="BG109" s="41">
        <f>RawData!AS107</f>
        <v>225</v>
      </c>
      <c r="BH109" s="41">
        <f>RawData!CU107</f>
        <v>300</v>
      </c>
      <c r="BI109" s="41">
        <f>RawData!AR107</f>
        <v>-75</v>
      </c>
      <c r="BJ109" s="42">
        <f>RawData!CV107</f>
        <v>-0.25</v>
      </c>
      <c r="BK109" s="41">
        <f>RawData!AQ107</f>
        <v>525</v>
      </c>
      <c r="BL109" s="40">
        <f>RawData!AO107</f>
        <v>0</v>
      </c>
      <c r="BM109" s="40">
        <f>RawData!AN107</f>
        <v>0</v>
      </c>
      <c r="BN109" s="40">
        <f>RawData!AM107</f>
        <v>0</v>
      </c>
      <c r="BO109" s="40">
        <f>RawData!AL107</f>
        <v>0</v>
      </c>
      <c r="BP109" s="40">
        <f>RawData!AK107</f>
        <v>0</v>
      </c>
      <c r="BQ109" s="40">
        <f>RawData!AJ107</f>
        <v>0</v>
      </c>
      <c r="BR109" s="38">
        <f>RawData!AI107</f>
        <v>0</v>
      </c>
      <c r="BS109" s="38">
        <f>RawData!AH107</f>
        <v>0</v>
      </c>
      <c r="BT109" s="40">
        <f>RawData!AG107</f>
        <v>0</v>
      </c>
      <c r="BU109" s="39">
        <f>RawData!AF107</f>
        <v>0</v>
      </c>
      <c r="BV109" s="39">
        <f>RawData!AE107</f>
        <v>0</v>
      </c>
      <c r="BW109" s="38">
        <f>RawData!AD107</f>
        <v>0</v>
      </c>
      <c r="BX109" s="38">
        <f>RawData!AC107</f>
        <v>0</v>
      </c>
      <c r="BY109" s="37">
        <f>RawData!AB107</f>
        <v>0</v>
      </c>
      <c r="BZ109" s="37">
        <f>RawData!AA107</f>
        <v>0</v>
      </c>
      <c r="CA109" s="36">
        <f>RawData!Z107</f>
        <v>0</v>
      </c>
      <c r="CB109" s="36">
        <f>RawData!Y107</f>
        <v>0</v>
      </c>
      <c r="CC109" s="36">
        <f>RawData!X107</f>
        <v>0</v>
      </c>
      <c r="CD109" s="36">
        <f>RawData!W107</f>
        <v>0</v>
      </c>
      <c r="CE109" s="40">
        <f>RawData!V107</f>
        <v>0</v>
      </c>
      <c r="CF109" s="40">
        <f>RawData!U107</f>
        <v>0</v>
      </c>
      <c r="CG109" s="40">
        <f>RawData!T107</f>
        <v>0</v>
      </c>
      <c r="CH109" s="44">
        <f>RawData!S107</f>
        <v>1541.25</v>
      </c>
      <c r="CI109" s="44">
        <f>RawData!R107</f>
        <v>1700</v>
      </c>
      <c r="CJ109" s="44">
        <f>RawData!Q107</f>
        <v>1541.25</v>
      </c>
      <c r="CK109" s="44">
        <f>RawData!P107</f>
        <v>1563.3499755859375</v>
      </c>
      <c r="CL109" s="44">
        <f>RawData!CJ107</f>
        <v>125</v>
      </c>
      <c r="CM109" s="43">
        <f>RawData!CI107</f>
        <v>1621.5</v>
      </c>
      <c r="CN109" s="44">
        <f>RawData!CL107</f>
        <v>125</v>
      </c>
      <c r="CO109" s="43">
        <f>RawData!CK107</f>
        <v>1588.949951171875</v>
      </c>
      <c r="CP109" s="44">
        <f>RawData!CM107</f>
        <v>1645.280029296875</v>
      </c>
      <c r="CQ109" s="47">
        <f>RawData!CO107</f>
        <v>44783.638194444444</v>
      </c>
      <c r="CR109" s="44">
        <f>RawData!CP107</f>
        <v>38295.69921875</v>
      </c>
      <c r="CS109" s="44">
        <f>RawData!DG107</f>
        <v>38295.69921875</v>
      </c>
      <c r="CT109" s="43" t="str">
        <f>RawData!DJ107</f>
        <v>G</v>
      </c>
      <c r="CU109" s="43" t="str">
        <f>RawData!CQ107</f>
        <v>FairPrice</v>
      </c>
      <c r="CV109" s="47">
        <f>RawData!CR107</f>
        <v>44783.638194444444</v>
      </c>
      <c r="CW109" s="65">
        <f>RawData!DK107</f>
        <v>38300</v>
      </c>
      <c r="CX109" s="65">
        <f>RawData!DL107</f>
        <v>3400000</v>
      </c>
      <c r="CY109" s="65">
        <f>RawData!DM107</f>
        <v>38500</v>
      </c>
      <c r="CZ109" s="65">
        <f>RawData!DN107</f>
        <v>0</v>
      </c>
      <c r="DA109" s="65">
        <f>RawData!DO107</f>
        <v>24500</v>
      </c>
      <c r="DB109" s="65">
        <f>RawData!DP107</f>
        <v>2863350</v>
      </c>
      <c r="DC109" s="65">
        <f>RawData!DQ107</f>
        <v>38000</v>
      </c>
      <c r="DD109" s="65">
        <f>RawData!DR107</f>
        <v>0</v>
      </c>
      <c r="DE109" s="65">
        <f>RawData!DS107</f>
        <v>24500</v>
      </c>
      <c r="DF109" s="65" t="str">
        <f>RawData!DT107</f>
        <v>BANKNIFTY</v>
      </c>
      <c r="DG109" s="66">
        <f>RawData!DU107</f>
        <v>44784</v>
      </c>
      <c r="DI109" s="21">
        <f t="shared" si="1"/>
        <v>1604.30078125</v>
      </c>
    </row>
    <row r="110" spans="1:113" x14ac:dyDescent="0.2">
      <c r="A110" s="59">
        <f>RawData!CN108</f>
        <v>44783.638194444444</v>
      </c>
      <c r="B110" s="44">
        <f>RawData!CH108</f>
        <v>3.6800000667572021</v>
      </c>
      <c r="C110" s="44">
        <f>RawData!CG108</f>
        <v>14100</v>
      </c>
      <c r="D110" s="43">
        <f>RawData!CF108</f>
        <v>2.5</v>
      </c>
      <c r="E110" s="44">
        <f>RawData!CE108</f>
        <v>625</v>
      </c>
      <c r="F110" s="43">
        <f>RawData!CD108</f>
        <v>2.5499999523162842</v>
      </c>
      <c r="G110" s="44">
        <f>RawData!CC108</f>
        <v>2.5499999523162842</v>
      </c>
      <c r="H110" s="44">
        <f>RawData!CB108</f>
        <v>2.4000000953674316</v>
      </c>
      <c r="I110" s="44">
        <f>RawData!CA108</f>
        <v>4.6500000953674316</v>
      </c>
      <c r="J110" s="44">
        <f>RawData!BZ108</f>
        <v>3.2999999523162842</v>
      </c>
      <c r="K110" s="40">
        <f>RawData!BY108</f>
        <v>-0.1015625</v>
      </c>
      <c r="L110" s="40">
        <f>RawData!BX108</f>
        <v>36145.98828125</v>
      </c>
      <c r="M110" s="40">
        <f>RawData!BW108</f>
        <v>-7.5625</v>
      </c>
      <c r="N110" s="40">
        <f>RawData!BV108</f>
        <v>177068.4375</v>
      </c>
      <c r="O110" s="36">
        <f>RawData!BU108</f>
        <v>6.4392224885523319E-9</v>
      </c>
      <c r="P110" s="36">
        <f>RawData!BT108</f>
        <v>8.2072816439904273E-5</v>
      </c>
      <c r="Q110" s="36">
        <f>RawData!BS108</f>
        <v>1.8975697457790375E-8</v>
      </c>
      <c r="R110" s="36">
        <f>RawData!BR108</f>
        <v>4.7685214667581022E-4</v>
      </c>
      <c r="S110" s="37">
        <f>RawData!BQ108</f>
        <v>8.0859763329499401E-12</v>
      </c>
      <c r="T110" s="37">
        <f>RawData!BP108</f>
        <v>1.2282261252494209E-7</v>
      </c>
      <c r="U110" s="38">
        <f>RawData!BO108</f>
        <v>-1.2922286987304688E-4</v>
      </c>
      <c r="V110" s="38">
        <f>RawData!BN108</f>
        <v>-6.4940271377563477</v>
      </c>
      <c r="W110" s="39">
        <f>RawData!BM108</f>
        <v>-7.05718994140625E-4</v>
      </c>
      <c r="X110" s="39">
        <f>RawData!BL108</f>
        <v>37.73101806640625</v>
      </c>
      <c r="Y110" s="38">
        <f>RawData!BJ108</f>
        <v>1.7134880181401968E-9</v>
      </c>
      <c r="Z110" s="38">
        <f>RawData!BI108</f>
        <v>3.8573994970647618E-5</v>
      </c>
      <c r="AA110" s="40">
        <f>RawData!BH108</f>
        <v>-4.76837158203125E-7</v>
      </c>
      <c r="AB110" s="40">
        <f>RawData!BG108</f>
        <v>0.56390559673309326</v>
      </c>
      <c r="AC110" s="40">
        <f>RawData!BF108</f>
        <v>0</v>
      </c>
      <c r="AD110" s="40">
        <f>RawData!BE108</f>
        <v>-2.5499999523162842</v>
      </c>
      <c r="AE110" s="40">
        <f>RawData!BD108</f>
        <v>2.3376196622848511E-7</v>
      </c>
      <c r="AF110" s="40">
        <f>RawData!BC108</f>
        <v>1.0471651330590248E-2</v>
      </c>
      <c r="AG110" s="41">
        <f>RawData!BB108</f>
        <v>14022575</v>
      </c>
      <c r="AH110" s="42">
        <f>RawData!DB108</f>
        <v>0.22193656951877908</v>
      </c>
      <c r="AI110" s="41">
        <f>RawData!BA108</f>
        <v>474800</v>
      </c>
      <c r="AJ110" s="43">
        <f>RawData!DA108</f>
        <v>2139350</v>
      </c>
      <c r="AK110" s="41">
        <f>RawData!AZ108</f>
        <v>2614150</v>
      </c>
      <c r="AL110" s="42">
        <f>RawData!DD108</f>
        <v>-4.6316374522625545E-6</v>
      </c>
      <c r="AM110" s="44">
        <f>RawData!DC108</f>
        <v>-1.6391277313232422E-4</v>
      </c>
      <c r="AN110" s="45">
        <f>RawData!BK108</f>
        <v>35.389646887779236</v>
      </c>
      <c r="AO110" s="44">
        <f>RawData!AY108</f>
        <v>35.389646887779236</v>
      </c>
      <c r="AP110" s="43" t="str">
        <f>RawData!DH108</f>
        <v>W</v>
      </c>
      <c r="AQ110" s="43">
        <f>RawData!DE108</f>
        <v>2.5499999523162842</v>
      </c>
      <c r="AR110" s="42">
        <f>RawData!CZ108</f>
        <v>0</v>
      </c>
      <c r="AS110" s="44">
        <f>RawData!AX108</f>
        <v>0</v>
      </c>
      <c r="AT110" s="43">
        <f>RawData!CY108</f>
        <v>2.5499999523162842</v>
      </c>
      <c r="AU110" s="44">
        <f>RawData!AW108</f>
        <v>2.5499999523162842</v>
      </c>
      <c r="AV110" s="46">
        <f>RawData!O108</f>
        <v>40000</v>
      </c>
      <c r="AW110" s="44">
        <f>RawData!AV108</f>
        <v>1698.75</v>
      </c>
      <c r="AX110" s="44">
        <f>RawData!CW108</f>
        <v>1698.75</v>
      </c>
      <c r="AY110" s="44">
        <f>RawData!AU108</f>
        <v>0</v>
      </c>
      <c r="AZ110" s="42">
        <f>RawData!CX108</f>
        <v>0</v>
      </c>
      <c r="BA110" s="44">
        <f>RawData!DF108</f>
        <v>1698.75</v>
      </c>
      <c r="BB110" s="43" t="str">
        <f>RawData!DI108</f>
        <v>W</v>
      </c>
      <c r="BC110" s="44">
        <f>RawData!AT108</f>
        <v>0</v>
      </c>
      <c r="BD110" s="45">
        <f>RawData!AP108</f>
        <v>0</v>
      </c>
      <c r="BE110" s="44">
        <f>RawData!CS108</f>
        <v>0</v>
      </c>
      <c r="BF110" s="42">
        <f>RawData!CT108</f>
        <v>0</v>
      </c>
      <c r="BG110" s="41">
        <f>RawData!AS108</f>
        <v>5275</v>
      </c>
      <c r="BH110" s="41">
        <f>RawData!CU108</f>
        <v>3100</v>
      </c>
      <c r="BI110" s="41">
        <f>RawData!AR108</f>
        <v>2175</v>
      </c>
      <c r="BJ110" s="42">
        <f>RawData!CV108</f>
        <v>0.70161290322580649</v>
      </c>
      <c r="BK110" s="41">
        <f>RawData!AQ108</f>
        <v>12600</v>
      </c>
      <c r="BL110" s="40">
        <f>RawData!AO108</f>
        <v>0</v>
      </c>
      <c r="BM110" s="40">
        <f>RawData!AN108</f>
        <v>0</v>
      </c>
      <c r="BN110" s="40">
        <f>RawData!AM108</f>
        <v>0</v>
      </c>
      <c r="BO110" s="40">
        <f>RawData!AL108</f>
        <v>0</v>
      </c>
      <c r="BP110" s="40">
        <f>RawData!AK108</f>
        <v>0</v>
      </c>
      <c r="BQ110" s="40">
        <f>RawData!AJ108</f>
        <v>0</v>
      </c>
      <c r="BR110" s="38">
        <f>RawData!AI108</f>
        <v>0</v>
      </c>
      <c r="BS110" s="38">
        <f>RawData!AH108</f>
        <v>0</v>
      </c>
      <c r="BT110" s="40">
        <f>RawData!AG108</f>
        <v>0</v>
      </c>
      <c r="BU110" s="39">
        <f>RawData!AF108</f>
        <v>0</v>
      </c>
      <c r="BV110" s="39">
        <f>RawData!AE108</f>
        <v>0</v>
      </c>
      <c r="BW110" s="38">
        <f>RawData!AD108</f>
        <v>0</v>
      </c>
      <c r="BX110" s="38">
        <f>RawData!AC108</f>
        <v>0</v>
      </c>
      <c r="BY110" s="37">
        <f>RawData!AB108</f>
        <v>0</v>
      </c>
      <c r="BZ110" s="37">
        <f>RawData!AA108</f>
        <v>0</v>
      </c>
      <c r="CA110" s="36">
        <f>RawData!Z108</f>
        <v>0</v>
      </c>
      <c r="CB110" s="36">
        <f>RawData!Y108</f>
        <v>0</v>
      </c>
      <c r="CC110" s="36">
        <f>RawData!X108</f>
        <v>0</v>
      </c>
      <c r="CD110" s="36">
        <f>RawData!W108</f>
        <v>0</v>
      </c>
      <c r="CE110" s="40">
        <f>RawData!V108</f>
        <v>0</v>
      </c>
      <c r="CF110" s="40">
        <f>RawData!U108</f>
        <v>0</v>
      </c>
      <c r="CG110" s="40">
        <f>RawData!T108</f>
        <v>0</v>
      </c>
      <c r="CH110" s="44">
        <f>RawData!S108</f>
        <v>1750.1500244140625</v>
      </c>
      <c r="CI110" s="44">
        <f>RawData!R108</f>
        <v>1830</v>
      </c>
      <c r="CJ110" s="44">
        <f>RawData!Q108</f>
        <v>1620</v>
      </c>
      <c r="CK110" s="44">
        <f>RawData!P108</f>
        <v>1698.75</v>
      </c>
      <c r="CL110" s="44">
        <f>RawData!CJ108</f>
        <v>25</v>
      </c>
      <c r="CM110" s="43">
        <f>RawData!CI108</f>
        <v>1706</v>
      </c>
      <c r="CN110" s="44">
        <f>RawData!CL108</f>
        <v>50</v>
      </c>
      <c r="CO110" s="43">
        <f>RawData!CK108</f>
        <v>1701.449951171875</v>
      </c>
      <c r="CP110" s="44">
        <f>RawData!CM108</f>
        <v>1695.77001953125</v>
      </c>
      <c r="CQ110" s="47">
        <f>RawData!CO108</f>
        <v>44783.638194444444</v>
      </c>
      <c r="CR110" s="44">
        <f>RawData!CP108</f>
        <v>38295.69921875</v>
      </c>
      <c r="CS110" s="44">
        <f>RawData!DG108</f>
        <v>38295.69921875</v>
      </c>
      <c r="CT110" s="43" t="str">
        <f>RawData!DJ108</f>
        <v>G</v>
      </c>
      <c r="CU110" s="43" t="str">
        <f>RawData!CQ108</f>
        <v>FairPrice</v>
      </c>
      <c r="CV110" s="47">
        <f>RawData!CR108</f>
        <v>44783.638194444444</v>
      </c>
      <c r="CW110" s="65">
        <f>RawData!DK108</f>
        <v>38300</v>
      </c>
      <c r="CX110" s="65">
        <f>RawData!DL108</f>
        <v>3400000</v>
      </c>
      <c r="CY110" s="65">
        <f>RawData!DM108</f>
        <v>38500</v>
      </c>
      <c r="CZ110" s="65">
        <f>RawData!DN108</f>
        <v>0</v>
      </c>
      <c r="DA110" s="65">
        <f>RawData!DO108</f>
        <v>24500</v>
      </c>
      <c r="DB110" s="65">
        <f>RawData!DP108</f>
        <v>2863350</v>
      </c>
      <c r="DC110" s="65">
        <f>RawData!DQ108</f>
        <v>38000</v>
      </c>
      <c r="DD110" s="65">
        <f>RawData!DR108</f>
        <v>0</v>
      </c>
      <c r="DE110" s="65">
        <f>RawData!DS108</f>
        <v>24500</v>
      </c>
      <c r="DF110" s="65" t="str">
        <f>RawData!DT108</f>
        <v>BANKNIFTY</v>
      </c>
      <c r="DG110" s="66">
        <f>RawData!DU108</f>
        <v>44784</v>
      </c>
      <c r="DI110" s="21">
        <f t="shared" si="1"/>
        <v>1704.30078125</v>
      </c>
    </row>
    <row r="111" spans="1:113" x14ac:dyDescent="0.2">
      <c r="A111" s="59">
        <f>RawData!CN109</f>
        <v>44783.638194444444</v>
      </c>
      <c r="B111" s="44">
        <f>RawData!CH109</f>
        <v>3.380000114440918</v>
      </c>
      <c r="C111" s="44">
        <f>RawData!CG109</f>
        <v>100</v>
      </c>
      <c r="D111" s="43">
        <f>RawData!CF109</f>
        <v>2.2999999523162842</v>
      </c>
      <c r="E111" s="44">
        <f>RawData!CE109</f>
        <v>1325</v>
      </c>
      <c r="F111" s="43">
        <f>RawData!CD109</f>
        <v>2.3499999046325684</v>
      </c>
      <c r="G111" s="44">
        <f>RawData!CC109</f>
        <v>2.3499999046325684</v>
      </c>
      <c r="H111" s="44">
        <f>RawData!CB109</f>
        <v>1.2000000476837158</v>
      </c>
      <c r="I111" s="44">
        <f>RawData!CA109</f>
        <v>4.4000000953674316</v>
      </c>
      <c r="J111" s="44">
        <f>RawData!BZ109</f>
        <v>4.3499999046325684</v>
      </c>
      <c r="K111" s="40">
        <f>RawData!BY109</f>
        <v>0</v>
      </c>
      <c r="L111" s="40">
        <f>RawData!BX109</f>
        <v>40917.421875</v>
      </c>
      <c r="M111" s="40">
        <f>RawData!BW109</f>
        <v>0</v>
      </c>
      <c r="N111" s="40">
        <f>RawData!BV109</f>
        <v>193981.15625</v>
      </c>
      <c r="O111" s="36">
        <f>RawData!BU109</f>
        <v>0</v>
      </c>
      <c r="P111" s="36">
        <f>RawData!BT109</f>
        <v>7.5015814218204468E-5</v>
      </c>
      <c r="Q111" s="36">
        <f>RawData!BS109</f>
        <v>0</v>
      </c>
      <c r="R111" s="36">
        <f>RawData!BR109</f>
        <v>4.1952621540986001E-4</v>
      </c>
      <c r="S111" s="37">
        <f>RawData!BQ109</f>
        <v>0</v>
      </c>
      <c r="T111" s="37">
        <f>RawData!BP109</f>
        <v>1.0532616556702123E-7</v>
      </c>
      <c r="U111" s="38">
        <f>RawData!BO109</f>
        <v>0</v>
      </c>
      <c r="V111" s="38">
        <f>RawData!BN109</f>
        <v>-7.2634215354919434</v>
      </c>
      <c r="W111" s="39">
        <f>RawData!BM109</f>
        <v>0</v>
      </c>
      <c r="X111" s="39">
        <f>RawData!BL109</f>
        <v>40.620712280273438</v>
      </c>
      <c r="Y111" s="38">
        <f>RawData!BJ109</f>
        <v>0</v>
      </c>
      <c r="Z111" s="38">
        <f>RawData!BI109</f>
        <v>3.3781194360926747E-5</v>
      </c>
      <c r="AA111" s="40">
        <f>RawData!BH109</f>
        <v>0</v>
      </c>
      <c r="AB111" s="40">
        <f>RawData!BG109</f>
        <v>0.51310187578201294</v>
      </c>
      <c r="AC111" s="40">
        <f>RawData!BF109</f>
        <v>0</v>
      </c>
      <c r="AD111" s="40">
        <f>RawData!BE109</f>
        <v>-2.3499999046325684</v>
      </c>
      <c r="AE111" s="40">
        <f>RawData!BD109</f>
        <v>0</v>
      </c>
      <c r="AF111" s="40">
        <f>RawData!BC109</f>
        <v>9.3981148675084114E-3</v>
      </c>
      <c r="AG111" s="41">
        <f>RawData!BB109</f>
        <v>956850</v>
      </c>
      <c r="AH111" s="42">
        <f>RawData!DB109</f>
        <v>0</v>
      </c>
      <c r="AI111" s="41">
        <f>RawData!BA109</f>
        <v>100250</v>
      </c>
      <c r="AJ111" s="43">
        <f>RawData!DA109</f>
        <v>0</v>
      </c>
      <c r="AK111" s="41">
        <f>RawData!AZ109</f>
        <v>100250</v>
      </c>
      <c r="AL111" s="42">
        <f>RawData!DD109</f>
        <v>0</v>
      </c>
      <c r="AM111" s="44">
        <f>RawData!DC109</f>
        <v>0</v>
      </c>
      <c r="AN111" s="45">
        <f>RawData!BK109</f>
        <v>36.768266558647156</v>
      </c>
      <c r="AO111" s="44">
        <f>RawData!AY109</f>
        <v>36.768266558647156</v>
      </c>
      <c r="AP111" s="43" t="str">
        <f>RawData!DH109</f>
        <v>W</v>
      </c>
      <c r="AQ111" s="43">
        <f>RawData!DE109</f>
        <v>2.3499999046325684</v>
      </c>
      <c r="AR111" s="42">
        <f>RawData!CZ109</f>
        <v>0</v>
      </c>
      <c r="AS111" s="44">
        <f>RawData!AX109</f>
        <v>0</v>
      </c>
      <c r="AT111" s="43">
        <f>RawData!CY109</f>
        <v>2.3499999046325684</v>
      </c>
      <c r="AU111" s="44">
        <f>RawData!AW109</f>
        <v>2.3499999046325684</v>
      </c>
      <c r="AV111" s="46">
        <f>RawData!O109</f>
        <v>40100</v>
      </c>
      <c r="AW111" s="44">
        <f>RawData!AV109</f>
        <v>0</v>
      </c>
      <c r="AX111" s="44">
        <f>RawData!CW109</f>
        <v>0</v>
      </c>
      <c r="AY111" s="44">
        <f>RawData!AU109</f>
        <v>0</v>
      </c>
      <c r="AZ111" s="42">
        <f>RawData!CX109</f>
        <v>0</v>
      </c>
      <c r="BA111" s="44">
        <f>RawData!DF109</f>
        <v>0</v>
      </c>
      <c r="BB111" s="43" t="str">
        <f>RawData!DI109</f>
        <v>W</v>
      </c>
      <c r="BC111" s="44">
        <f>RawData!AT109</f>
        <v>0</v>
      </c>
      <c r="BD111" s="45">
        <f>RawData!AP109</f>
        <v>0</v>
      </c>
      <c r="BE111" s="44">
        <f>RawData!CS109</f>
        <v>0</v>
      </c>
      <c r="BF111" s="42">
        <f>RawData!CT109</f>
        <v>0</v>
      </c>
      <c r="BG111" s="41">
        <f>RawData!AS109</f>
        <v>0</v>
      </c>
      <c r="BH111" s="41">
        <f>RawData!CU109</f>
        <v>0</v>
      </c>
      <c r="BI111" s="41">
        <f>RawData!AR109</f>
        <v>0</v>
      </c>
      <c r="BJ111" s="42">
        <f>RawData!CV109</f>
        <v>0</v>
      </c>
      <c r="BK111" s="41">
        <f>RawData!AQ109</f>
        <v>0</v>
      </c>
      <c r="BL111" s="40">
        <f>RawData!AO109</f>
        <v>0</v>
      </c>
      <c r="BM111" s="40">
        <f>RawData!AN109</f>
        <v>0</v>
      </c>
      <c r="BN111" s="40">
        <f>RawData!AM109</f>
        <v>0</v>
      </c>
      <c r="BO111" s="40">
        <f>RawData!AL109</f>
        <v>0</v>
      </c>
      <c r="BP111" s="40">
        <f>RawData!AK109</f>
        <v>0</v>
      </c>
      <c r="BQ111" s="40">
        <f>RawData!AJ109</f>
        <v>0</v>
      </c>
      <c r="BR111" s="38">
        <f>RawData!AI109</f>
        <v>0</v>
      </c>
      <c r="BS111" s="38">
        <f>RawData!AH109</f>
        <v>0</v>
      </c>
      <c r="BT111" s="40">
        <f>RawData!AG109</f>
        <v>0</v>
      </c>
      <c r="BU111" s="39">
        <f>RawData!AF109</f>
        <v>0</v>
      </c>
      <c r="BV111" s="39">
        <f>RawData!AE109</f>
        <v>0</v>
      </c>
      <c r="BW111" s="38">
        <f>RawData!AD109</f>
        <v>0</v>
      </c>
      <c r="BX111" s="38">
        <f>RawData!AC109</f>
        <v>0</v>
      </c>
      <c r="BY111" s="37">
        <f>RawData!AB109</f>
        <v>0</v>
      </c>
      <c r="BZ111" s="37">
        <f>RawData!AA109</f>
        <v>0</v>
      </c>
      <c r="CA111" s="36">
        <f>RawData!Z109</f>
        <v>0</v>
      </c>
      <c r="CB111" s="36">
        <f>RawData!Y109</f>
        <v>0</v>
      </c>
      <c r="CC111" s="36">
        <f>RawData!X109</f>
        <v>0</v>
      </c>
      <c r="CD111" s="36">
        <f>RawData!W109</f>
        <v>0</v>
      </c>
      <c r="CE111" s="40">
        <f>RawData!V109</f>
        <v>0</v>
      </c>
      <c r="CF111" s="40">
        <f>RawData!U109</f>
        <v>0</v>
      </c>
      <c r="CG111" s="40">
        <f>RawData!T109</f>
        <v>0</v>
      </c>
      <c r="CH111" s="44">
        <f>RawData!S109</f>
        <v>0</v>
      </c>
      <c r="CI111" s="44">
        <f>RawData!R109</f>
        <v>0</v>
      </c>
      <c r="CJ111" s="44">
        <f>RawData!Q109</f>
        <v>0</v>
      </c>
      <c r="CK111" s="44">
        <f>RawData!P109</f>
        <v>0</v>
      </c>
      <c r="CL111" s="44">
        <f>RawData!CJ109</f>
        <v>125</v>
      </c>
      <c r="CM111" s="43">
        <f>RawData!CI109</f>
        <v>1870</v>
      </c>
      <c r="CN111" s="44">
        <f>RawData!CL109</f>
        <v>50</v>
      </c>
      <c r="CO111" s="43">
        <f>RawData!CK109</f>
        <v>1781.050048828125</v>
      </c>
      <c r="CP111" s="44">
        <f>RawData!CM109</f>
        <v>0</v>
      </c>
      <c r="CQ111" s="47">
        <f>RawData!CO109</f>
        <v>44783.638194444444</v>
      </c>
      <c r="CR111" s="44">
        <f>RawData!CP109</f>
        <v>38295.69921875</v>
      </c>
      <c r="CS111" s="44">
        <f>RawData!DG109</f>
        <v>38295.69921875</v>
      </c>
      <c r="CT111" s="43" t="str">
        <f>RawData!DJ109</f>
        <v>G</v>
      </c>
      <c r="CU111" s="43" t="str">
        <f>RawData!CQ109</f>
        <v>FairPrice</v>
      </c>
      <c r="CV111" s="47">
        <f>RawData!CR109</f>
        <v>44783.638194444444</v>
      </c>
      <c r="CW111" s="65">
        <f>RawData!DK109</f>
        <v>38300</v>
      </c>
      <c r="CX111" s="65">
        <f>RawData!DL109</f>
        <v>3400000</v>
      </c>
      <c r="CY111" s="65">
        <f>RawData!DM109</f>
        <v>38500</v>
      </c>
      <c r="CZ111" s="65">
        <f>RawData!DN109</f>
        <v>0</v>
      </c>
      <c r="DA111" s="65">
        <f>RawData!DO109</f>
        <v>24500</v>
      </c>
      <c r="DB111" s="65">
        <f>RawData!DP109</f>
        <v>2863350</v>
      </c>
      <c r="DC111" s="65">
        <f>RawData!DQ109</f>
        <v>38000</v>
      </c>
      <c r="DD111" s="65">
        <f>RawData!DR109</f>
        <v>0</v>
      </c>
      <c r="DE111" s="65">
        <f>RawData!DS109</f>
        <v>24500</v>
      </c>
      <c r="DF111" s="65" t="str">
        <f>RawData!DT109</f>
        <v>BANKNIFTY</v>
      </c>
      <c r="DG111" s="66">
        <f>RawData!DU109</f>
        <v>44784</v>
      </c>
      <c r="DI111" s="21">
        <f t="shared" si="1"/>
        <v>1804.30078125</v>
      </c>
    </row>
    <row r="112" spans="1:113" x14ac:dyDescent="0.2">
      <c r="A112" s="59">
        <f>RawData!CN110</f>
        <v>44783.638194444444</v>
      </c>
      <c r="B112" s="44">
        <f>RawData!CH110</f>
        <v>3.1700000762939453</v>
      </c>
      <c r="C112" s="44">
        <f>RawData!CG110</f>
        <v>925</v>
      </c>
      <c r="D112" s="43">
        <f>RawData!CF110</f>
        <v>2.2000000476837158</v>
      </c>
      <c r="E112" s="44">
        <f>RawData!CE110</f>
        <v>50</v>
      </c>
      <c r="F112" s="43">
        <f>RawData!CD110</f>
        <v>2.25</v>
      </c>
      <c r="G112" s="44">
        <f>RawData!CC110</f>
        <v>2.25</v>
      </c>
      <c r="H112" s="44">
        <f>RawData!CB110</f>
        <v>1.5499999523162842</v>
      </c>
      <c r="I112" s="44">
        <f>RawData!CA110</f>
        <v>4.8499999046325684</v>
      </c>
      <c r="J112" s="44">
        <f>RawData!BZ110</f>
        <v>3.1500000953674316</v>
      </c>
      <c r="K112" s="40">
        <f>RawData!BY110</f>
        <v>-1.171875E-2</v>
      </c>
      <c r="L112" s="40">
        <f>RawData!BX110</f>
        <v>44635.84375</v>
      </c>
      <c r="M112" s="40">
        <f>RawData!BW110</f>
        <v>-8.625</v>
      </c>
      <c r="N112" s="40">
        <f>RawData!BV110</f>
        <v>203898.34375</v>
      </c>
      <c r="O112" s="36">
        <f>RawData!BU110</f>
        <v>5.2386894822120667E-9</v>
      </c>
      <c r="P112" s="36">
        <f>RawData!BT110</f>
        <v>6.9392670411616564E-5</v>
      </c>
      <c r="Q112" s="36">
        <f>RawData!BS110</f>
        <v>1.280568540096283E-8</v>
      </c>
      <c r="R112" s="36">
        <f>RawData!BR110</f>
        <v>3.7258336669765413E-4</v>
      </c>
      <c r="S112" s="37">
        <f>RawData!BQ110</f>
        <v>5.4711790653527714E-12</v>
      </c>
      <c r="T112" s="37">
        <f>RawData!BP110</f>
        <v>9.1912191635401541E-8</v>
      </c>
      <c r="U112" s="38">
        <f>RawData!BO110</f>
        <v>-1.7499923706054688E-4</v>
      </c>
      <c r="V112" s="38">
        <f>RawData!BN110</f>
        <v>-7.8583226203918457</v>
      </c>
      <c r="W112" s="39">
        <f>RawData!BM110</f>
        <v>-7.97271728515625E-4</v>
      </c>
      <c r="X112" s="39">
        <f>RawData!BL110</f>
        <v>42.192935943603516</v>
      </c>
      <c r="Y112" s="38">
        <f>RawData!BJ110</f>
        <v>1.2150849215686321E-9</v>
      </c>
      <c r="Z112" s="38">
        <f>RawData!BI110</f>
        <v>3.0346862331498414E-5</v>
      </c>
      <c r="AA112" s="40">
        <f>RawData!BH110</f>
        <v>-1.2516975402832031E-6</v>
      </c>
      <c r="AB112" s="40">
        <f>RawData!BG110</f>
        <v>0.48006510734558105</v>
      </c>
      <c r="AC112" s="40">
        <f>RawData!BF110</f>
        <v>0</v>
      </c>
      <c r="AD112" s="40">
        <f>RawData!BE110</f>
        <v>-2.25</v>
      </c>
      <c r="AE112" s="40">
        <f>RawData!BD110</f>
        <v>1.7601996660232544E-7</v>
      </c>
      <c r="AF112" s="40">
        <f>RawData!BC110</f>
        <v>8.7106097489595413E-3</v>
      </c>
      <c r="AG112" s="41">
        <f>RawData!BB110</f>
        <v>1322500</v>
      </c>
      <c r="AH112" s="42">
        <f>RawData!DB110</f>
        <v>0</v>
      </c>
      <c r="AI112" s="41">
        <f>RawData!BA110</f>
        <v>156300</v>
      </c>
      <c r="AJ112" s="43">
        <f>RawData!DA110</f>
        <v>0</v>
      </c>
      <c r="AK112" s="41">
        <f>RawData!AZ110</f>
        <v>156300</v>
      </c>
      <c r="AL112" s="42">
        <f>RawData!DD110</f>
        <v>-2.0233535466352644E-6</v>
      </c>
      <c r="AM112" s="44">
        <f>RawData!DC110</f>
        <v>-7.7486038208007813E-5</v>
      </c>
      <c r="AN112" s="45">
        <f>RawData!BK110</f>
        <v>38.295769691467285</v>
      </c>
      <c r="AO112" s="44">
        <f>RawData!AY110</f>
        <v>38.295769691467285</v>
      </c>
      <c r="AP112" s="43" t="str">
        <f>RawData!DH110</f>
        <v>W</v>
      </c>
      <c r="AQ112" s="43">
        <f>RawData!DE110</f>
        <v>2.25</v>
      </c>
      <c r="AR112" s="42">
        <f>RawData!CZ110</f>
        <v>0</v>
      </c>
      <c r="AS112" s="44">
        <f>RawData!AX110</f>
        <v>0</v>
      </c>
      <c r="AT112" s="43">
        <f>RawData!CY110</f>
        <v>2.25</v>
      </c>
      <c r="AU112" s="44">
        <f>RawData!AW110</f>
        <v>2.25</v>
      </c>
      <c r="AV112" s="46">
        <f>RawData!O110</f>
        <v>40200</v>
      </c>
      <c r="AW112" s="44">
        <f>RawData!AV110</f>
        <v>0</v>
      </c>
      <c r="AX112" s="44">
        <f>RawData!CW110</f>
        <v>0</v>
      </c>
      <c r="AY112" s="44">
        <f>RawData!AU110</f>
        <v>0</v>
      </c>
      <c r="AZ112" s="42">
        <f>RawData!CX110</f>
        <v>0</v>
      </c>
      <c r="BA112" s="44">
        <f>RawData!DF110</f>
        <v>0</v>
      </c>
      <c r="BB112" s="43" t="str">
        <f>RawData!DI110</f>
        <v>W</v>
      </c>
      <c r="BC112" s="44">
        <f>RawData!AT110</f>
        <v>0</v>
      </c>
      <c r="BD112" s="45">
        <f>RawData!AP110</f>
        <v>0</v>
      </c>
      <c r="BE112" s="44">
        <f>RawData!CS110</f>
        <v>0</v>
      </c>
      <c r="BF112" s="42">
        <f>RawData!CT110</f>
        <v>0</v>
      </c>
      <c r="BG112" s="41">
        <f>RawData!AS110</f>
        <v>0</v>
      </c>
      <c r="BH112" s="41">
        <f>RawData!CU110</f>
        <v>0</v>
      </c>
      <c r="BI112" s="41">
        <f>RawData!AR110</f>
        <v>0</v>
      </c>
      <c r="BJ112" s="42">
        <f>RawData!CV110</f>
        <v>0</v>
      </c>
      <c r="BK112" s="41">
        <f>RawData!AQ110</f>
        <v>0</v>
      </c>
      <c r="BL112" s="40">
        <f>RawData!AO110</f>
        <v>0</v>
      </c>
      <c r="BM112" s="40">
        <f>RawData!AN110</f>
        <v>0</v>
      </c>
      <c r="BN112" s="40">
        <f>RawData!AM110</f>
        <v>0</v>
      </c>
      <c r="BO112" s="40">
        <f>RawData!AL110</f>
        <v>0</v>
      </c>
      <c r="BP112" s="40">
        <f>RawData!AK110</f>
        <v>0</v>
      </c>
      <c r="BQ112" s="40">
        <f>RawData!AJ110</f>
        <v>0</v>
      </c>
      <c r="BR112" s="38">
        <f>RawData!AI110</f>
        <v>0</v>
      </c>
      <c r="BS112" s="38">
        <f>RawData!AH110</f>
        <v>0</v>
      </c>
      <c r="BT112" s="40">
        <f>RawData!AG110</f>
        <v>0</v>
      </c>
      <c r="BU112" s="39">
        <f>RawData!AF110</f>
        <v>0</v>
      </c>
      <c r="BV112" s="39">
        <f>RawData!AE110</f>
        <v>0</v>
      </c>
      <c r="BW112" s="38">
        <f>RawData!AD110</f>
        <v>0</v>
      </c>
      <c r="BX112" s="38">
        <f>RawData!AC110</f>
        <v>0</v>
      </c>
      <c r="BY112" s="37">
        <f>RawData!AB110</f>
        <v>0</v>
      </c>
      <c r="BZ112" s="37">
        <f>RawData!AA110</f>
        <v>0</v>
      </c>
      <c r="CA112" s="36">
        <f>RawData!Z110</f>
        <v>0</v>
      </c>
      <c r="CB112" s="36">
        <f>RawData!Y110</f>
        <v>0</v>
      </c>
      <c r="CC112" s="36">
        <f>RawData!X110</f>
        <v>0</v>
      </c>
      <c r="CD112" s="36">
        <f>RawData!W110</f>
        <v>0</v>
      </c>
      <c r="CE112" s="40">
        <f>RawData!V110</f>
        <v>0</v>
      </c>
      <c r="CF112" s="40">
        <f>RawData!U110</f>
        <v>0</v>
      </c>
      <c r="CG112" s="40">
        <f>RawData!T110</f>
        <v>0</v>
      </c>
      <c r="CH112" s="44">
        <f>RawData!S110</f>
        <v>0</v>
      </c>
      <c r="CI112" s="44">
        <f>RawData!R110</f>
        <v>0</v>
      </c>
      <c r="CJ112" s="44">
        <f>RawData!Q110</f>
        <v>0</v>
      </c>
      <c r="CK112" s="44">
        <f>RawData!P110</f>
        <v>0</v>
      </c>
      <c r="CL112" s="44">
        <f>RawData!CJ110</f>
        <v>75</v>
      </c>
      <c r="CM112" s="43">
        <f>RawData!CI110</f>
        <v>1960.550048828125</v>
      </c>
      <c r="CN112" s="44">
        <f>RawData!CL110</f>
        <v>50</v>
      </c>
      <c r="CO112" s="43">
        <f>RawData!CK110</f>
        <v>1890.800048828125</v>
      </c>
      <c r="CP112" s="44">
        <f>RawData!CM110</f>
        <v>0</v>
      </c>
      <c r="CQ112" s="47">
        <f>RawData!CO110</f>
        <v>44783.638194444444</v>
      </c>
      <c r="CR112" s="44">
        <f>RawData!CP110</f>
        <v>38295.69921875</v>
      </c>
      <c r="CS112" s="44">
        <f>RawData!DG110</f>
        <v>38295.69921875</v>
      </c>
      <c r="CT112" s="43" t="str">
        <f>RawData!DJ110</f>
        <v>G</v>
      </c>
      <c r="CU112" s="43" t="str">
        <f>RawData!CQ110</f>
        <v>FairPrice</v>
      </c>
      <c r="CV112" s="47">
        <f>RawData!CR110</f>
        <v>44783.638194444444</v>
      </c>
      <c r="CW112" s="65">
        <f>RawData!DK110</f>
        <v>38300</v>
      </c>
      <c r="CX112" s="65">
        <f>RawData!DL110</f>
        <v>3400000</v>
      </c>
      <c r="CY112" s="65">
        <f>RawData!DM110</f>
        <v>38500</v>
      </c>
      <c r="CZ112" s="65">
        <f>RawData!DN110</f>
        <v>0</v>
      </c>
      <c r="DA112" s="65">
        <f>RawData!DO110</f>
        <v>24500</v>
      </c>
      <c r="DB112" s="65">
        <f>RawData!DP110</f>
        <v>2863350</v>
      </c>
      <c r="DC112" s="65">
        <f>RawData!DQ110</f>
        <v>38000</v>
      </c>
      <c r="DD112" s="65">
        <f>RawData!DR110</f>
        <v>0</v>
      </c>
      <c r="DE112" s="65">
        <f>RawData!DS110</f>
        <v>24500</v>
      </c>
      <c r="DF112" s="65" t="str">
        <f>RawData!DT110</f>
        <v>BANKNIFTY</v>
      </c>
      <c r="DG112" s="66">
        <f>RawData!DU110</f>
        <v>44784</v>
      </c>
      <c r="DI112" s="21">
        <f t="shared" si="1"/>
        <v>1904.30078125</v>
      </c>
    </row>
    <row r="113" spans="1:113" x14ac:dyDescent="0.2">
      <c r="A113" s="59">
        <f>RawData!CN111</f>
        <v>44783.636701388888</v>
      </c>
      <c r="B113" s="44">
        <f>RawData!CH111</f>
        <v>0</v>
      </c>
      <c r="C113" s="44">
        <f>RawData!CG111</f>
        <v>0</v>
      </c>
      <c r="D113" s="43">
        <f>RawData!CF111</f>
        <v>0</v>
      </c>
      <c r="E113" s="44">
        <f>RawData!CE111</f>
        <v>0</v>
      </c>
      <c r="F113" s="43">
        <f>RawData!CD111</f>
        <v>0</v>
      </c>
      <c r="G113" s="44">
        <f>RawData!CC111</f>
        <v>0</v>
      </c>
      <c r="H113" s="44">
        <f>RawData!CB111</f>
        <v>0</v>
      </c>
      <c r="I113" s="44">
        <f>RawData!CA111</f>
        <v>0</v>
      </c>
      <c r="J113" s="44">
        <f>RawData!BZ111</f>
        <v>0</v>
      </c>
      <c r="K113" s="40">
        <f>RawData!BY111</f>
        <v>0</v>
      </c>
      <c r="L113" s="40">
        <f>RawData!BX111</f>
        <v>0</v>
      </c>
      <c r="M113" s="40">
        <f>RawData!BW111</f>
        <v>0</v>
      </c>
      <c r="N113" s="40">
        <f>RawData!BV111</f>
        <v>0</v>
      </c>
      <c r="O113" s="36">
        <f>RawData!BU111</f>
        <v>0</v>
      </c>
      <c r="P113" s="36">
        <f>RawData!BT111</f>
        <v>0</v>
      </c>
      <c r="Q113" s="36">
        <f>RawData!BS111</f>
        <v>0</v>
      </c>
      <c r="R113" s="36">
        <f>RawData!BR111</f>
        <v>0</v>
      </c>
      <c r="S113" s="37">
        <f>RawData!BQ111</f>
        <v>0</v>
      </c>
      <c r="T113" s="37">
        <f>RawData!BP111</f>
        <v>0</v>
      </c>
      <c r="U113" s="38">
        <f>RawData!BO111</f>
        <v>0</v>
      </c>
      <c r="V113" s="38">
        <f>RawData!BN111</f>
        <v>0</v>
      </c>
      <c r="W113" s="39">
        <f>RawData!BM111</f>
        <v>0</v>
      </c>
      <c r="X113" s="39">
        <f>RawData!BL111</f>
        <v>0</v>
      </c>
      <c r="Y113" s="38">
        <f>RawData!BJ111</f>
        <v>0</v>
      </c>
      <c r="Z113" s="38">
        <f>RawData!BI111</f>
        <v>0</v>
      </c>
      <c r="AA113" s="40">
        <f>RawData!BH111</f>
        <v>0</v>
      </c>
      <c r="AB113" s="40">
        <f>RawData!BG111</f>
        <v>0</v>
      </c>
      <c r="AC113" s="40">
        <f>RawData!BF111</f>
        <v>0</v>
      </c>
      <c r="AD113" s="40">
        <f>RawData!BE111</f>
        <v>0</v>
      </c>
      <c r="AE113" s="40">
        <f>RawData!BD111</f>
        <v>0</v>
      </c>
      <c r="AF113" s="40">
        <f>RawData!BC111</f>
        <v>0</v>
      </c>
      <c r="AG113" s="41">
        <f>RawData!BB111</f>
        <v>0</v>
      </c>
      <c r="AH113" s="42">
        <f>RawData!DB111</f>
        <v>0</v>
      </c>
      <c r="AI113" s="41">
        <f>RawData!BA111</f>
        <v>0</v>
      </c>
      <c r="AJ113" s="43">
        <f>RawData!DA111</f>
        <v>0</v>
      </c>
      <c r="AK113" s="41">
        <f>RawData!AZ111</f>
        <v>0</v>
      </c>
      <c r="AL113" s="42">
        <f>RawData!DD111</f>
        <v>0</v>
      </c>
      <c r="AM113" s="44">
        <f>RawData!DC111</f>
        <v>0</v>
      </c>
      <c r="AN113" s="45">
        <f>RawData!BK111</f>
        <v>0</v>
      </c>
      <c r="AO113" s="44">
        <f>RawData!AY111</f>
        <v>0</v>
      </c>
      <c r="AP113" s="43" t="str">
        <f>RawData!DH111</f>
        <v>W</v>
      </c>
      <c r="AQ113" s="43">
        <f>RawData!DE111</f>
        <v>0</v>
      </c>
      <c r="AR113" s="42">
        <f>RawData!CZ111</f>
        <v>0</v>
      </c>
      <c r="AS113" s="44">
        <f>RawData!AX111</f>
        <v>0</v>
      </c>
      <c r="AT113" s="43">
        <f>RawData!CY111</f>
        <v>0</v>
      </c>
      <c r="AU113" s="44">
        <f>RawData!AW111</f>
        <v>0</v>
      </c>
      <c r="AV113" s="46">
        <f>RawData!O111</f>
        <v>40300</v>
      </c>
      <c r="AW113" s="44">
        <f>RawData!AV111</f>
        <v>0</v>
      </c>
      <c r="AX113" s="44">
        <f>RawData!CW111</f>
        <v>0</v>
      </c>
      <c r="AY113" s="44">
        <f>RawData!AU111</f>
        <v>0</v>
      </c>
      <c r="AZ113" s="42">
        <f>RawData!CX111</f>
        <v>0</v>
      </c>
      <c r="BA113" s="44">
        <f>RawData!DF111</f>
        <v>0</v>
      </c>
      <c r="BB113" s="43" t="str">
        <f>RawData!DI111</f>
        <v>W</v>
      </c>
      <c r="BC113" s="44">
        <f>RawData!AT111</f>
        <v>0</v>
      </c>
      <c r="BD113" s="45">
        <f>RawData!AP111</f>
        <v>0</v>
      </c>
      <c r="BE113" s="44">
        <f>RawData!CS111</f>
        <v>0</v>
      </c>
      <c r="BF113" s="42">
        <f>RawData!CT111</f>
        <v>0</v>
      </c>
      <c r="BG113" s="41">
        <f>RawData!AS111</f>
        <v>0</v>
      </c>
      <c r="BH113" s="41">
        <f>RawData!CU111</f>
        <v>0</v>
      </c>
      <c r="BI113" s="41">
        <f>RawData!AR111</f>
        <v>0</v>
      </c>
      <c r="BJ113" s="42">
        <f>RawData!CV111</f>
        <v>0</v>
      </c>
      <c r="BK113" s="41">
        <f>RawData!AQ111</f>
        <v>0</v>
      </c>
      <c r="BL113" s="40">
        <f>RawData!AO111</f>
        <v>0</v>
      </c>
      <c r="BM113" s="40">
        <f>RawData!AN111</f>
        <v>0</v>
      </c>
      <c r="BN113" s="40">
        <f>RawData!AM111</f>
        <v>0</v>
      </c>
      <c r="BO113" s="40">
        <f>RawData!AL111</f>
        <v>0</v>
      </c>
      <c r="BP113" s="40">
        <f>RawData!AK111</f>
        <v>0</v>
      </c>
      <c r="BQ113" s="40">
        <f>RawData!AJ111</f>
        <v>0</v>
      </c>
      <c r="BR113" s="38">
        <f>RawData!AI111</f>
        <v>0</v>
      </c>
      <c r="BS113" s="38">
        <f>RawData!AH111</f>
        <v>0</v>
      </c>
      <c r="BT113" s="40">
        <f>RawData!AG111</f>
        <v>0</v>
      </c>
      <c r="BU113" s="39">
        <f>RawData!AF111</f>
        <v>0</v>
      </c>
      <c r="BV113" s="39">
        <f>RawData!AE111</f>
        <v>0</v>
      </c>
      <c r="BW113" s="38">
        <f>RawData!AD111</f>
        <v>0</v>
      </c>
      <c r="BX113" s="38">
        <f>RawData!AC111</f>
        <v>0</v>
      </c>
      <c r="BY113" s="37">
        <f>RawData!AB111</f>
        <v>0</v>
      </c>
      <c r="BZ113" s="37">
        <f>RawData!AA111</f>
        <v>0</v>
      </c>
      <c r="CA113" s="36">
        <f>RawData!Z111</f>
        <v>0</v>
      </c>
      <c r="CB113" s="36">
        <f>RawData!Y111</f>
        <v>0</v>
      </c>
      <c r="CC113" s="36">
        <f>RawData!X111</f>
        <v>0</v>
      </c>
      <c r="CD113" s="36">
        <f>RawData!W111</f>
        <v>0</v>
      </c>
      <c r="CE113" s="40">
        <f>RawData!V111</f>
        <v>0</v>
      </c>
      <c r="CF113" s="40">
        <f>RawData!U111</f>
        <v>0</v>
      </c>
      <c r="CG113" s="40">
        <f>RawData!T111</f>
        <v>0</v>
      </c>
      <c r="CH113" s="44">
        <f>RawData!S111</f>
        <v>0</v>
      </c>
      <c r="CI113" s="44">
        <f>RawData!R111</f>
        <v>0</v>
      </c>
      <c r="CJ113" s="44">
        <f>RawData!Q111</f>
        <v>0</v>
      </c>
      <c r="CK113" s="44">
        <f>RawData!P111</f>
        <v>0</v>
      </c>
      <c r="CL113" s="44">
        <f>RawData!CJ111</f>
        <v>0</v>
      </c>
      <c r="CM113" s="43">
        <f>RawData!CI111</f>
        <v>0</v>
      </c>
      <c r="CN113" s="44">
        <f>RawData!CL111</f>
        <v>0</v>
      </c>
      <c r="CO113" s="43">
        <f>RawData!CK111</f>
        <v>0</v>
      </c>
      <c r="CP113" s="44">
        <f>RawData!CM111</f>
        <v>0</v>
      </c>
      <c r="CQ113" s="47">
        <f>RawData!CO111</f>
        <v>44783.636701388888</v>
      </c>
      <c r="CR113" s="44">
        <f>RawData!CP111</f>
        <v>38295.69921875</v>
      </c>
      <c r="CS113" s="44">
        <f>RawData!DG111</f>
        <v>38295.69921875</v>
      </c>
      <c r="CT113" s="43" t="str">
        <f>RawData!DJ111</f>
        <v>G</v>
      </c>
      <c r="CU113" s="43" t="str">
        <f>RawData!CQ111</f>
        <v>FairPrice</v>
      </c>
      <c r="CV113" s="47">
        <f>RawData!CR111</f>
        <v>44783.638194444444</v>
      </c>
      <c r="CW113" s="65">
        <f>RawData!DK111</f>
        <v>38300</v>
      </c>
      <c r="CX113" s="65">
        <f>RawData!DL111</f>
        <v>3400000</v>
      </c>
      <c r="CY113" s="65">
        <f>RawData!DM111</f>
        <v>38500</v>
      </c>
      <c r="CZ113" s="65">
        <f>RawData!DN111</f>
        <v>0</v>
      </c>
      <c r="DA113" s="65">
        <f>RawData!DO111</f>
        <v>24500</v>
      </c>
      <c r="DB113" s="65">
        <f>RawData!DP111</f>
        <v>2863350</v>
      </c>
      <c r="DC113" s="65">
        <f>RawData!DQ111</f>
        <v>38000</v>
      </c>
      <c r="DD113" s="65">
        <f>RawData!DR111</f>
        <v>0</v>
      </c>
      <c r="DE113" s="65">
        <f>RawData!DS111</f>
        <v>24500</v>
      </c>
      <c r="DF113" s="65" t="str">
        <f>RawData!DT111</f>
        <v>BANKNIFTY</v>
      </c>
      <c r="DG113" s="66">
        <f>RawData!DU111</f>
        <v>44784</v>
      </c>
      <c r="DI113" s="21">
        <f t="shared" si="1"/>
        <v>2004.30078125</v>
      </c>
    </row>
    <row r="114" spans="1:113" x14ac:dyDescent="0.2">
      <c r="A114" s="59">
        <f>RawData!CN112</f>
        <v>44783.636701388888</v>
      </c>
      <c r="B114" s="44">
        <f>RawData!CH112</f>
        <v>0</v>
      </c>
      <c r="C114" s="44">
        <f>RawData!CG112</f>
        <v>0</v>
      </c>
      <c r="D114" s="43">
        <f>RawData!CF112</f>
        <v>0</v>
      </c>
      <c r="E114" s="44">
        <f>RawData!CE112</f>
        <v>0</v>
      </c>
      <c r="F114" s="43">
        <f>RawData!CD112</f>
        <v>0</v>
      </c>
      <c r="G114" s="44">
        <f>RawData!CC112</f>
        <v>0</v>
      </c>
      <c r="H114" s="44">
        <f>RawData!CB112</f>
        <v>0</v>
      </c>
      <c r="I114" s="44">
        <f>RawData!CA112</f>
        <v>0</v>
      </c>
      <c r="J114" s="44">
        <f>RawData!BZ112</f>
        <v>0</v>
      </c>
      <c r="K114" s="40">
        <f>RawData!BY112</f>
        <v>0</v>
      </c>
      <c r="L114" s="40">
        <f>RawData!BX112</f>
        <v>0</v>
      </c>
      <c r="M114" s="40">
        <f>RawData!BW112</f>
        <v>0</v>
      </c>
      <c r="N114" s="40">
        <f>RawData!BV112</f>
        <v>0</v>
      </c>
      <c r="O114" s="36">
        <f>RawData!BU112</f>
        <v>0</v>
      </c>
      <c r="P114" s="36">
        <f>RawData!BT112</f>
        <v>0</v>
      </c>
      <c r="Q114" s="36">
        <f>RawData!BS112</f>
        <v>0</v>
      </c>
      <c r="R114" s="36">
        <f>RawData!BR112</f>
        <v>0</v>
      </c>
      <c r="S114" s="37">
        <f>RawData!BQ112</f>
        <v>0</v>
      </c>
      <c r="T114" s="37">
        <f>RawData!BP112</f>
        <v>0</v>
      </c>
      <c r="U114" s="38">
        <f>RawData!BO112</f>
        <v>0</v>
      </c>
      <c r="V114" s="38">
        <f>RawData!BN112</f>
        <v>0</v>
      </c>
      <c r="W114" s="39">
        <f>RawData!BM112</f>
        <v>0</v>
      </c>
      <c r="X114" s="39">
        <f>RawData!BL112</f>
        <v>0</v>
      </c>
      <c r="Y114" s="38">
        <f>RawData!BJ112</f>
        <v>0</v>
      </c>
      <c r="Z114" s="38">
        <f>RawData!BI112</f>
        <v>0</v>
      </c>
      <c r="AA114" s="40">
        <f>RawData!BH112</f>
        <v>0</v>
      </c>
      <c r="AB114" s="40">
        <f>RawData!BG112</f>
        <v>0</v>
      </c>
      <c r="AC114" s="40">
        <f>RawData!BF112</f>
        <v>0</v>
      </c>
      <c r="AD114" s="40">
        <f>RawData!BE112</f>
        <v>0</v>
      </c>
      <c r="AE114" s="40">
        <f>RawData!BD112</f>
        <v>0</v>
      </c>
      <c r="AF114" s="40">
        <f>RawData!BC112</f>
        <v>0</v>
      </c>
      <c r="AG114" s="41">
        <f>RawData!BB112</f>
        <v>0</v>
      </c>
      <c r="AH114" s="42">
        <f>RawData!DB112</f>
        <v>0</v>
      </c>
      <c r="AI114" s="41">
        <f>RawData!BA112</f>
        <v>0</v>
      </c>
      <c r="AJ114" s="43">
        <f>RawData!DA112</f>
        <v>0</v>
      </c>
      <c r="AK114" s="41">
        <f>RawData!AZ112</f>
        <v>0</v>
      </c>
      <c r="AL114" s="42">
        <f>RawData!DD112</f>
        <v>0</v>
      </c>
      <c r="AM114" s="44">
        <f>RawData!DC112</f>
        <v>0</v>
      </c>
      <c r="AN114" s="45">
        <f>RawData!BK112</f>
        <v>0</v>
      </c>
      <c r="AO114" s="44">
        <f>RawData!AY112</f>
        <v>0</v>
      </c>
      <c r="AP114" s="43" t="str">
        <f>RawData!DH112</f>
        <v>W</v>
      </c>
      <c r="AQ114" s="43">
        <f>RawData!DE112</f>
        <v>0</v>
      </c>
      <c r="AR114" s="42">
        <f>RawData!CZ112</f>
        <v>0</v>
      </c>
      <c r="AS114" s="44">
        <f>RawData!AX112</f>
        <v>0</v>
      </c>
      <c r="AT114" s="43">
        <f>RawData!CY112</f>
        <v>0</v>
      </c>
      <c r="AU114" s="44">
        <f>RawData!AW112</f>
        <v>0</v>
      </c>
      <c r="AV114" s="46">
        <f>RawData!O112</f>
        <v>40400</v>
      </c>
      <c r="AW114" s="44">
        <f>RawData!AV112</f>
        <v>0</v>
      </c>
      <c r="AX114" s="44">
        <f>RawData!CW112</f>
        <v>0</v>
      </c>
      <c r="AY114" s="44">
        <f>RawData!AU112</f>
        <v>0</v>
      </c>
      <c r="AZ114" s="42">
        <f>RawData!CX112</f>
        <v>0</v>
      </c>
      <c r="BA114" s="44">
        <f>RawData!DF112</f>
        <v>0</v>
      </c>
      <c r="BB114" s="43" t="str">
        <f>RawData!DI112</f>
        <v>W</v>
      </c>
      <c r="BC114" s="44">
        <f>RawData!AT112</f>
        <v>0</v>
      </c>
      <c r="BD114" s="45">
        <f>RawData!AP112</f>
        <v>0</v>
      </c>
      <c r="BE114" s="44">
        <f>RawData!CS112</f>
        <v>0</v>
      </c>
      <c r="BF114" s="42">
        <f>RawData!CT112</f>
        <v>0</v>
      </c>
      <c r="BG114" s="41">
        <f>RawData!AS112</f>
        <v>0</v>
      </c>
      <c r="BH114" s="41">
        <f>RawData!CU112</f>
        <v>0</v>
      </c>
      <c r="BI114" s="41">
        <f>RawData!AR112</f>
        <v>0</v>
      </c>
      <c r="BJ114" s="42">
        <f>RawData!CV112</f>
        <v>0</v>
      </c>
      <c r="BK114" s="41">
        <f>RawData!AQ112</f>
        <v>0</v>
      </c>
      <c r="BL114" s="40">
        <f>RawData!AO112</f>
        <v>0</v>
      </c>
      <c r="BM114" s="40">
        <f>RawData!AN112</f>
        <v>0</v>
      </c>
      <c r="BN114" s="40">
        <f>RawData!AM112</f>
        <v>0</v>
      </c>
      <c r="BO114" s="40">
        <f>RawData!AL112</f>
        <v>0</v>
      </c>
      <c r="BP114" s="40">
        <f>RawData!AK112</f>
        <v>0</v>
      </c>
      <c r="BQ114" s="40">
        <f>RawData!AJ112</f>
        <v>0</v>
      </c>
      <c r="BR114" s="38">
        <f>RawData!AI112</f>
        <v>0</v>
      </c>
      <c r="BS114" s="38">
        <f>RawData!AH112</f>
        <v>0</v>
      </c>
      <c r="BT114" s="40">
        <f>RawData!AG112</f>
        <v>0</v>
      </c>
      <c r="BU114" s="39">
        <f>RawData!AF112</f>
        <v>0</v>
      </c>
      <c r="BV114" s="39">
        <f>RawData!AE112</f>
        <v>0</v>
      </c>
      <c r="BW114" s="38">
        <f>RawData!AD112</f>
        <v>0</v>
      </c>
      <c r="BX114" s="38">
        <f>RawData!AC112</f>
        <v>0</v>
      </c>
      <c r="BY114" s="37">
        <f>RawData!AB112</f>
        <v>0</v>
      </c>
      <c r="BZ114" s="37">
        <f>RawData!AA112</f>
        <v>0</v>
      </c>
      <c r="CA114" s="36">
        <f>RawData!Z112</f>
        <v>0</v>
      </c>
      <c r="CB114" s="36">
        <f>RawData!Y112</f>
        <v>0</v>
      </c>
      <c r="CC114" s="36">
        <f>RawData!X112</f>
        <v>0</v>
      </c>
      <c r="CD114" s="36">
        <f>RawData!W112</f>
        <v>0</v>
      </c>
      <c r="CE114" s="40">
        <f>RawData!V112</f>
        <v>0</v>
      </c>
      <c r="CF114" s="40">
        <f>RawData!U112</f>
        <v>0</v>
      </c>
      <c r="CG114" s="40">
        <f>RawData!T112</f>
        <v>0</v>
      </c>
      <c r="CH114" s="44">
        <f>RawData!S112</f>
        <v>0</v>
      </c>
      <c r="CI114" s="44">
        <f>RawData!R112</f>
        <v>0</v>
      </c>
      <c r="CJ114" s="44">
        <f>RawData!Q112</f>
        <v>0</v>
      </c>
      <c r="CK114" s="44">
        <f>RawData!P112</f>
        <v>0</v>
      </c>
      <c r="CL114" s="44">
        <f>RawData!CJ112</f>
        <v>0</v>
      </c>
      <c r="CM114" s="43">
        <f>RawData!CI112</f>
        <v>0</v>
      </c>
      <c r="CN114" s="44">
        <f>RawData!CL112</f>
        <v>0</v>
      </c>
      <c r="CO114" s="43">
        <f>RawData!CK112</f>
        <v>0</v>
      </c>
      <c r="CP114" s="44">
        <f>RawData!CM112</f>
        <v>0</v>
      </c>
      <c r="CQ114" s="47">
        <f>RawData!CO112</f>
        <v>44783.636701388888</v>
      </c>
      <c r="CR114" s="44">
        <f>RawData!CP112</f>
        <v>38295.69921875</v>
      </c>
      <c r="CS114" s="44">
        <f>RawData!DG112</f>
        <v>38295.69921875</v>
      </c>
      <c r="CT114" s="43" t="str">
        <f>RawData!DJ112</f>
        <v>G</v>
      </c>
      <c r="CU114" s="43" t="str">
        <f>RawData!CQ112</f>
        <v>FairPrice</v>
      </c>
      <c r="CV114" s="47">
        <f>RawData!CR112</f>
        <v>44783.638194444444</v>
      </c>
      <c r="CW114" s="65">
        <f>RawData!DK112</f>
        <v>38300</v>
      </c>
      <c r="CX114" s="65">
        <f>RawData!DL112</f>
        <v>3400000</v>
      </c>
      <c r="CY114" s="65">
        <f>RawData!DM112</f>
        <v>38500</v>
      </c>
      <c r="CZ114" s="65">
        <f>RawData!DN112</f>
        <v>0</v>
      </c>
      <c r="DA114" s="65">
        <f>RawData!DO112</f>
        <v>24500</v>
      </c>
      <c r="DB114" s="65">
        <f>RawData!DP112</f>
        <v>2863350</v>
      </c>
      <c r="DC114" s="65">
        <f>RawData!DQ112</f>
        <v>38000</v>
      </c>
      <c r="DD114" s="65">
        <f>RawData!DR112</f>
        <v>0</v>
      </c>
      <c r="DE114" s="65">
        <f>RawData!DS112</f>
        <v>24500</v>
      </c>
      <c r="DF114" s="65" t="str">
        <f>RawData!DT112</f>
        <v>BANKNIFTY</v>
      </c>
      <c r="DG114" s="66">
        <f>RawData!DU112</f>
        <v>44784</v>
      </c>
      <c r="DI114" s="21">
        <f t="shared" si="1"/>
        <v>2104.30078125</v>
      </c>
    </row>
    <row r="115" spans="1:113" x14ac:dyDescent="0.2">
      <c r="A115" s="59">
        <f>RawData!CN113</f>
        <v>44783.638194444444</v>
      </c>
      <c r="B115" s="44">
        <f>RawData!CH113</f>
        <v>2.8599998950958252</v>
      </c>
      <c r="C115" s="44">
        <f>RawData!CG113</f>
        <v>12000</v>
      </c>
      <c r="D115" s="43">
        <f>RawData!CF113</f>
        <v>1.9500000476837158</v>
      </c>
      <c r="E115" s="44">
        <f>RawData!CE113</f>
        <v>3300</v>
      </c>
      <c r="F115" s="43">
        <f>RawData!CD113</f>
        <v>2</v>
      </c>
      <c r="G115" s="44">
        <f>RawData!CC113</f>
        <v>2</v>
      </c>
      <c r="H115" s="44">
        <f>RawData!CB113</f>
        <v>1.9500000476837158</v>
      </c>
      <c r="I115" s="44">
        <f>RawData!CA113</f>
        <v>3.4500000476837158</v>
      </c>
      <c r="J115" s="44">
        <f>RawData!BZ113</f>
        <v>2.0999999046325684</v>
      </c>
      <c r="K115" s="40">
        <f>RawData!BY113</f>
        <v>-10.390625</v>
      </c>
      <c r="L115" s="40">
        <f>RawData!BX113</f>
        <v>56518.45703125</v>
      </c>
      <c r="M115" s="40">
        <f>RawData!BW113</f>
        <v>-6.859375</v>
      </c>
      <c r="N115" s="40">
        <f>RawData!BV113</f>
        <v>233209.9375</v>
      </c>
      <c r="O115" s="36">
        <f>RawData!BU113</f>
        <v>1.9903382053598762E-8</v>
      </c>
      <c r="P115" s="36">
        <f>RawData!BT113</f>
        <v>5.5854910897323862E-5</v>
      </c>
      <c r="Q115" s="36">
        <f>RawData!BS113</f>
        <v>1.3926182873547077E-7</v>
      </c>
      <c r="R115" s="36">
        <f>RawData!BR113</f>
        <v>2.6842020452022552E-4</v>
      </c>
      <c r="S115" s="37">
        <f>RawData!BQ113</f>
        <v>3.6024516703037079E-11</v>
      </c>
      <c r="T115" s="37">
        <f>RawData!BP113</f>
        <v>6.3265652272548323E-8</v>
      </c>
      <c r="U115" s="38">
        <f>RawData!BO113</f>
        <v>1.5239715576171875E-3</v>
      </c>
      <c r="V115" s="38">
        <f>RawData!BN113</f>
        <v>-9.7331466674804688</v>
      </c>
      <c r="W115" s="39">
        <f>RawData!BM113</f>
        <v>2.8228759765625E-4</v>
      </c>
      <c r="X115" s="39">
        <f>RawData!BL113</f>
        <v>46.774280548095703</v>
      </c>
      <c r="Y115" s="38">
        <f>RawData!BJ113</f>
        <v>8.6656655184924603E-9</v>
      </c>
      <c r="Z115" s="38">
        <f>RawData!BI113</f>
        <v>2.2638534574070945E-5</v>
      </c>
      <c r="AA115" s="40">
        <f>RawData!BH113</f>
        <v>6.5028667449951172E-5</v>
      </c>
      <c r="AB115" s="40">
        <f>RawData!BG113</f>
        <v>0.40015599131584167</v>
      </c>
      <c r="AC115" s="40">
        <f>RawData!BF113</f>
        <v>0</v>
      </c>
      <c r="AD115" s="40">
        <f>RawData!BE113</f>
        <v>-2</v>
      </c>
      <c r="AE115" s="40">
        <f>RawData!BD113</f>
        <v>1.3625249266624451E-6</v>
      </c>
      <c r="AF115" s="40">
        <f>RawData!BC113</f>
        <v>7.0818881504237652E-3</v>
      </c>
      <c r="AG115" s="41">
        <f>RawData!BB113</f>
        <v>6418475</v>
      </c>
      <c r="AH115" s="42">
        <f>RawData!DB113</f>
        <v>3.6297379094521423E-2</v>
      </c>
      <c r="AI115" s="41">
        <f>RawData!BA113</f>
        <v>44075</v>
      </c>
      <c r="AJ115" s="43">
        <f>RawData!DA113</f>
        <v>1214275</v>
      </c>
      <c r="AK115" s="41">
        <f>RawData!AZ113</f>
        <v>1258350</v>
      </c>
      <c r="AL115" s="42">
        <f>RawData!DD113</f>
        <v>-2.0577501486036825E-4</v>
      </c>
      <c r="AM115" s="44">
        <f>RawData!DC113</f>
        <v>-8.8065862655639648E-3</v>
      </c>
      <c r="AN115" s="45">
        <f>RawData!BK113</f>
        <v>42.788353562355042</v>
      </c>
      <c r="AO115" s="44">
        <f>RawData!AY113</f>
        <v>42.788353562355042</v>
      </c>
      <c r="AP115" s="43" t="str">
        <f>RawData!DH113</f>
        <v>W</v>
      </c>
      <c r="AQ115" s="43">
        <f>RawData!DE113</f>
        <v>2</v>
      </c>
      <c r="AR115" s="42">
        <f>RawData!CZ113</f>
        <v>0</v>
      </c>
      <c r="AS115" s="44">
        <f>RawData!AX113</f>
        <v>0</v>
      </c>
      <c r="AT115" s="43">
        <f>RawData!CY113</f>
        <v>2</v>
      </c>
      <c r="AU115" s="44">
        <f>RawData!AW113</f>
        <v>2</v>
      </c>
      <c r="AV115" s="46">
        <f>RawData!O113</f>
        <v>40500</v>
      </c>
      <c r="AW115" s="44">
        <f>RawData!AV113</f>
        <v>2291.35009765625</v>
      </c>
      <c r="AX115" s="44">
        <f>RawData!CW113</f>
        <v>2291.35009765625</v>
      </c>
      <c r="AY115" s="44">
        <f>RawData!AU113</f>
        <v>0</v>
      </c>
      <c r="AZ115" s="42">
        <f>RawData!CX113</f>
        <v>0</v>
      </c>
      <c r="BA115" s="44">
        <f>RawData!DF113</f>
        <v>2291.35009765625</v>
      </c>
      <c r="BB115" s="43" t="str">
        <f>RawData!DI113</f>
        <v>W</v>
      </c>
      <c r="BC115" s="44">
        <f>RawData!AT113</f>
        <v>83.774596452713013</v>
      </c>
      <c r="BD115" s="45">
        <f>RawData!AP113</f>
        <v>83.774596452713013</v>
      </c>
      <c r="BE115" s="44">
        <f>RawData!CS113</f>
        <v>1.3625621795654297E-2</v>
      </c>
      <c r="BF115" s="42">
        <f>RawData!CT113</f>
        <v>1.6267268228253257E-4</v>
      </c>
      <c r="BG115" s="41">
        <f>RawData!AS113</f>
        <v>175</v>
      </c>
      <c r="BH115" s="41">
        <f>RawData!CU113</f>
        <v>125</v>
      </c>
      <c r="BI115" s="41">
        <f>RawData!AR113</f>
        <v>50</v>
      </c>
      <c r="BJ115" s="42">
        <f>RawData!CV113</f>
        <v>0.4</v>
      </c>
      <c r="BK115" s="41">
        <f>RawData!AQ113</f>
        <v>200</v>
      </c>
      <c r="BL115" s="40">
        <f>RawData!AO113</f>
        <v>-0.89187318086624146</v>
      </c>
      <c r="BM115" s="40">
        <f>RawData!AN113</f>
        <v>3.8981437683105469E-5</v>
      </c>
      <c r="BN115" s="40">
        <f>RawData!AM113</f>
        <v>-153.7972412109375</v>
      </c>
      <c r="BO115" s="40">
        <f>RawData!AL113</f>
        <v>-6.84814453125E-2</v>
      </c>
      <c r="BP115" s="40">
        <f>RawData!AK113</f>
        <v>3.7748250961303711</v>
      </c>
      <c r="BQ115" s="40">
        <f>RawData!AJ113</f>
        <v>9.0384483337402344E-4</v>
      </c>
      <c r="BR115" s="38">
        <f>RawData!AI113</f>
        <v>1.0908095282502472E-4</v>
      </c>
      <c r="BS115" s="38">
        <f>RawData!AH113</f>
        <v>1.280568540096283E-8</v>
      </c>
      <c r="BT115" s="40">
        <f>RawData!AG113</f>
        <v>1.310334324836731</v>
      </c>
      <c r="BU115" s="39">
        <f>RawData!AF113</f>
        <v>-7.6222419738769531E-4</v>
      </c>
      <c r="BV115" s="39">
        <f>RawData!AE113</f>
        <v>-0.53386789560317993</v>
      </c>
      <c r="BW115" s="38">
        <f>RawData!AD113</f>
        <v>2.0056962966918945E-4</v>
      </c>
      <c r="BX115" s="38">
        <f>RawData!AC113</f>
        <v>7.6370895385480253E-8</v>
      </c>
      <c r="BY115" s="37">
        <f>RawData!AB113</f>
        <v>-1.5766943306516623E-11</v>
      </c>
      <c r="BZ115" s="37">
        <f>RawData!AA113</f>
        <v>7.6046213507652283E-5</v>
      </c>
      <c r="CA115" s="36">
        <f>RawData!Z113</f>
        <v>-7.129710866138339E-8</v>
      </c>
      <c r="CB115" s="36">
        <f>RawData!Y113</f>
        <v>3.098341403529048E-5</v>
      </c>
      <c r="CC115" s="36">
        <f>RawData!X113</f>
        <v>-2.2664607968181372E-8</v>
      </c>
      <c r="CD115" s="36">
        <f>RawData!W113</f>
        <v>3293.154052734375</v>
      </c>
      <c r="CE115" s="40">
        <f>RawData!V113</f>
        <v>-2.54248046875</v>
      </c>
      <c r="CF115" s="40">
        <f>RawData!U113</f>
        <v>2188.754638671875</v>
      </c>
      <c r="CG115" s="40">
        <f>RawData!T113</f>
        <v>-0.9599609375</v>
      </c>
      <c r="CH115" s="44">
        <f>RawData!S113</f>
        <v>2137.75</v>
      </c>
      <c r="CI115" s="44">
        <f>RawData!R113</f>
        <v>2291.35009765625</v>
      </c>
      <c r="CJ115" s="44">
        <f>RawData!Q113</f>
        <v>2134.60009765625</v>
      </c>
      <c r="CK115" s="44">
        <f>RawData!P113</f>
        <v>2291.35009765625</v>
      </c>
      <c r="CL115" s="44">
        <f>RawData!CJ113</f>
        <v>250</v>
      </c>
      <c r="CM115" s="43">
        <f>RawData!CI113</f>
        <v>2217.050048828125</v>
      </c>
      <c r="CN115" s="44">
        <f>RawData!CL113</f>
        <v>250</v>
      </c>
      <c r="CO115" s="43">
        <f>RawData!CK113</f>
        <v>2182.89990234375</v>
      </c>
      <c r="CP115" s="44">
        <f>RawData!CM113</f>
        <v>2157.169921875</v>
      </c>
      <c r="CQ115" s="47">
        <f>RawData!CO113</f>
        <v>44783.638194444444</v>
      </c>
      <c r="CR115" s="44">
        <f>RawData!CP113</f>
        <v>38295.69921875</v>
      </c>
      <c r="CS115" s="44">
        <f>RawData!DG113</f>
        <v>38295.69921875</v>
      </c>
      <c r="CT115" s="43" t="str">
        <f>RawData!DJ113</f>
        <v>G</v>
      </c>
      <c r="CU115" s="43" t="str">
        <f>RawData!CQ113</f>
        <v>FairPrice</v>
      </c>
      <c r="CV115" s="47">
        <f>RawData!CR113</f>
        <v>44783.638194444444</v>
      </c>
      <c r="CW115" s="65">
        <f>RawData!DK113</f>
        <v>38300</v>
      </c>
      <c r="CX115" s="65">
        <f>RawData!DL113</f>
        <v>3400000</v>
      </c>
      <c r="CY115" s="65">
        <f>RawData!DM113</f>
        <v>38500</v>
      </c>
      <c r="CZ115" s="65">
        <f>RawData!DN113</f>
        <v>0</v>
      </c>
      <c r="DA115" s="65">
        <f>RawData!DO113</f>
        <v>24500</v>
      </c>
      <c r="DB115" s="65">
        <f>RawData!DP113</f>
        <v>2863350</v>
      </c>
      <c r="DC115" s="65">
        <f>RawData!DQ113</f>
        <v>38000</v>
      </c>
      <c r="DD115" s="65">
        <f>RawData!DR113</f>
        <v>0</v>
      </c>
      <c r="DE115" s="65">
        <f>RawData!DS113</f>
        <v>24500</v>
      </c>
      <c r="DF115" s="65" t="str">
        <f>RawData!DT113</f>
        <v>BANKNIFTY</v>
      </c>
      <c r="DG115" s="66">
        <f>RawData!DU113</f>
        <v>44784</v>
      </c>
      <c r="DI115" s="21">
        <f t="shared" si="1"/>
        <v>2204.30078125</v>
      </c>
    </row>
    <row r="116" spans="1:113" x14ac:dyDescent="0.2">
      <c r="A116" s="59">
        <f>RawData!CN114</f>
        <v>44783.636701388888</v>
      </c>
      <c r="B116" s="44">
        <f>RawData!CH114</f>
        <v>0</v>
      </c>
      <c r="C116" s="44">
        <f>RawData!CG114</f>
        <v>0</v>
      </c>
      <c r="D116" s="43">
        <f>RawData!CF114</f>
        <v>0</v>
      </c>
      <c r="E116" s="44">
        <f>RawData!CE114</f>
        <v>0</v>
      </c>
      <c r="F116" s="43">
        <f>RawData!CD114</f>
        <v>0</v>
      </c>
      <c r="G116" s="44">
        <f>RawData!CC114</f>
        <v>0</v>
      </c>
      <c r="H116" s="44">
        <f>RawData!CB114</f>
        <v>0</v>
      </c>
      <c r="I116" s="44">
        <f>RawData!CA114</f>
        <v>0</v>
      </c>
      <c r="J116" s="44">
        <f>RawData!BZ114</f>
        <v>0</v>
      </c>
      <c r="K116" s="40">
        <f>RawData!BY114</f>
        <v>0</v>
      </c>
      <c r="L116" s="40">
        <f>RawData!BX114</f>
        <v>0</v>
      </c>
      <c r="M116" s="40">
        <f>RawData!BW114</f>
        <v>0</v>
      </c>
      <c r="N116" s="40">
        <f>RawData!BV114</f>
        <v>0</v>
      </c>
      <c r="O116" s="36">
        <f>RawData!BU114</f>
        <v>0</v>
      </c>
      <c r="P116" s="36">
        <f>RawData!BT114</f>
        <v>0</v>
      </c>
      <c r="Q116" s="36">
        <f>RawData!BS114</f>
        <v>0</v>
      </c>
      <c r="R116" s="36">
        <f>RawData!BR114</f>
        <v>0</v>
      </c>
      <c r="S116" s="37">
        <f>RawData!BQ114</f>
        <v>0</v>
      </c>
      <c r="T116" s="37">
        <f>RawData!BP114</f>
        <v>0</v>
      </c>
      <c r="U116" s="38">
        <f>RawData!BO114</f>
        <v>0</v>
      </c>
      <c r="V116" s="38">
        <f>RawData!BN114</f>
        <v>0</v>
      </c>
      <c r="W116" s="39">
        <f>RawData!BM114</f>
        <v>0</v>
      </c>
      <c r="X116" s="39">
        <f>RawData!BL114</f>
        <v>0</v>
      </c>
      <c r="Y116" s="38">
        <f>RawData!BJ114</f>
        <v>0</v>
      </c>
      <c r="Z116" s="38">
        <f>RawData!BI114</f>
        <v>0</v>
      </c>
      <c r="AA116" s="40">
        <f>RawData!BH114</f>
        <v>0</v>
      </c>
      <c r="AB116" s="40">
        <f>RawData!BG114</f>
        <v>0</v>
      </c>
      <c r="AC116" s="40">
        <f>RawData!BF114</f>
        <v>0</v>
      </c>
      <c r="AD116" s="40">
        <f>RawData!BE114</f>
        <v>0</v>
      </c>
      <c r="AE116" s="40">
        <f>RawData!BD114</f>
        <v>0</v>
      </c>
      <c r="AF116" s="40">
        <f>RawData!BC114</f>
        <v>0</v>
      </c>
      <c r="AG116" s="41">
        <f>RawData!BB114</f>
        <v>0</v>
      </c>
      <c r="AH116" s="42">
        <f>RawData!DB114</f>
        <v>0</v>
      </c>
      <c r="AI116" s="41">
        <f>RawData!BA114</f>
        <v>0</v>
      </c>
      <c r="AJ116" s="43">
        <f>RawData!DA114</f>
        <v>0</v>
      </c>
      <c r="AK116" s="41">
        <f>RawData!AZ114</f>
        <v>0</v>
      </c>
      <c r="AL116" s="42">
        <f>RawData!DD114</f>
        <v>0</v>
      </c>
      <c r="AM116" s="44">
        <f>RawData!DC114</f>
        <v>0</v>
      </c>
      <c r="AN116" s="45">
        <f>RawData!BK114</f>
        <v>0</v>
      </c>
      <c r="AO116" s="44">
        <f>RawData!AY114</f>
        <v>0</v>
      </c>
      <c r="AP116" s="43" t="str">
        <f>RawData!DH114</f>
        <v>W</v>
      </c>
      <c r="AQ116" s="43">
        <f>RawData!DE114</f>
        <v>0</v>
      </c>
      <c r="AR116" s="42">
        <f>RawData!CZ114</f>
        <v>0</v>
      </c>
      <c r="AS116" s="44">
        <f>RawData!AX114</f>
        <v>0</v>
      </c>
      <c r="AT116" s="43">
        <f>RawData!CY114</f>
        <v>0</v>
      </c>
      <c r="AU116" s="44">
        <f>RawData!AW114</f>
        <v>0</v>
      </c>
      <c r="AV116" s="46">
        <f>RawData!O114</f>
        <v>40600</v>
      </c>
      <c r="AW116" s="44">
        <f>RawData!AV114</f>
        <v>0</v>
      </c>
      <c r="AX116" s="44">
        <f>RawData!CW114</f>
        <v>0</v>
      </c>
      <c r="AY116" s="44">
        <f>RawData!AU114</f>
        <v>0</v>
      </c>
      <c r="AZ116" s="42">
        <f>RawData!CX114</f>
        <v>0</v>
      </c>
      <c r="BA116" s="44">
        <f>RawData!DF114</f>
        <v>0</v>
      </c>
      <c r="BB116" s="43" t="str">
        <f>RawData!DI114</f>
        <v>W</v>
      </c>
      <c r="BC116" s="44">
        <f>RawData!AT114</f>
        <v>0</v>
      </c>
      <c r="BD116" s="45">
        <f>RawData!AP114</f>
        <v>0</v>
      </c>
      <c r="BE116" s="44">
        <f>RawData!CS114</f>
        <v>0</v>
      </c>
      <c r="BF116" s="42">
        <f>RawData!CT114</f>
        <v>0</v>
      </c>
      <c r="BG116" s="41">
        <f>RawData!AS114</f>
        <v>0</v>
      </c>
      <c r="BH116" s="41">
        <f>RawData!CU114</f>
        <v>0</v>
      </c>
      <c r="BI116" s="41">
        <f>RawData!AR114</f>
        <v>0</v>
      </c>
      <c r="BJ116" s="42">
        <f>RawData!CV114</f>
        <v>0</v>
      </c>
      <c r="BK116" s="41">
        <f>RawData!AQ114</f>
        <v>0</v>
      </c>
      <c r="BL116" s="40">
        <f>RawData!AO114</f>
        <v>0</v>
      </c>
      <c r="BM116" s="40">
        <f>RawData!AN114</f>
        <v>0</v>
      </c>
      <c r="BN116" s="40">
        <f>RawData!AM114</f>
        <v>0</v>
      </c>
      <c r="BO116" s="40">
        <f>RawData!AL114</f>
        <v>0</v>
      </c>
      <c r="BP116" s="40">
        <f>RawData!AK114</f>
        <v>0</v>
      </c>
      <c r="BQ116" s="40">
        <f>RawData!AJ114</f>
        <v>0</v>
      </c>
      <c r="BR116" s="38">
        <f>RawData!AI114</f>
        <v>0</v>
      </c>
      <c r="BS116" s="38">
        <f>RawData!AH114</f>
        <v>0</v>
      </c>
      <c r="BT116" s="40">
        <f>RawData!AG114</f>
        <v>0</v>
      </c>
      <c r="BU116" s="39">
        <f>RawData!AF114</f>
        <v>0</v>
      </c>
      <c r="BV116" s="39">
        <f>RawData!AE114</f>
        <v>0</v>
      </c>
      <c r="BW116" s="38">
        <f>RawData!AD114</f>
        <v>0</v>
      </c>
      <c r="BX116" s="38">
        <f>RawData!AC114</f>
        <v>0</v>
      </c>
      <c r="BY116" s="37">
        <f>RawData!AB114</f>
        <v>0</v>
      </c>
      <c r="BZ116" s="37">
        <f>RawData!AA114</f>
        <v>0</v>
      </c>
      <c r="CA116" s="36">
        <f>RawData!Z114</f>
        <v>0</v>
      </c>
      <c r="CB116" s="36">
        <f>RawData!Y114</f>
        <v>0</v>
      </c>
      <c r="CC116" s="36">
        <f>RawData!X114</f>
        <v>0</v>
      </c>
      <c r="CD116" s="36">
        <f>RawData!W114</f>
        <v>0</v>
      </c>
      <c r="CE116" s="40">
        <f>RawData!V114</f>
        <v>0</v>
      </c>
      <c r="CF116" s="40">
        <f>RawData!U114</f>
        <v>0</v>
      </c>
      <c r="CG116" s="40">
        <f>RawData!T114</f>
        <v>0</v>
      </c>
      <c r="CH116" s="44">
        <f>RawData!S114</f>
        <v>0</v>
      </c>
      <c r="CI116" s="44">
        <f>RawData!R114</f>
        <v>0</v>
      </c>
      <c r="CJ116" s="44">
        <f>RawData!Q114</f>
        <v>0</v>
      </c>
      <c r="CK116" s="44">
        <f>RawData!P114</f>
        <v>0</v>
      </c>
      <c r="CL116" s="44">
        <f>RawData!CJ114</f>
        <v>0</v>
      </c>
      <c r="CM116" s="43">
        <f>RawData!CI114</f>
        <v>0</v>
      </c>
      <c r="CN116" s="44">
        <f>RawData!CL114</f>
        <v>0</v>
      </c>
      <c r="CO116" s="43">
        <f>RawData!CK114</f>
        <v>0</v>
      </c>
      <c r="CP116" s="44">
        <f>RawData!CM114</f>
        <v>0</v>
      </c>
      <c r="CQ116" s="47">
        <f>RawData!CO114</f>
        <v>44783.636701388888</v>
      </c>
      <c r="CR116" s="44">
        <f>RawData!CP114</f>
        <v>38295.69921875</v>
      </c>
      <c r="CS116" s="44">
        <f>RawData!DG114</f>
        <v>38295.69921875</v>
      </c>
      <c r="CT116" s="43" t="str">
        <f>RawData!DJ114</f>
        <v>G</v>
      </c>
      <c r="CU116" s="43" t="str">
        <f>RawData!CQ114</f>
        <v>FairPrice</v>
      </c>
      <c r="CV116" s="47">
        <f>RawData!CR114</f>
        <v>44783.638194444444</v>
      </c>
      <c r="CW116" s="65">
        <f>RawData!DK114</f>
        <v>38300</v>
      </c>
      <c r="CX116" s="65">
        <f>RawData!DL114</f>
        <v>3400000</v>
      </c>
      <c r="CY116" s="65">
        <f>RawData!DM114</f>
        <v>38500</v>
      </c>
      <c r="CZ116" s="65">
        <f>RawData!DN114</f>
        <v>0</v>
      </c>
      <c r="DA116" s="65">
        <f>RawData!DO114</f>
        <v>24500</v>
      </c>
      <c r="DB116" s="65">
        <f>RawData!DP114</f>
        <v>2863350</v>
      </c>
      <c r="DC116" s="65">
        <f>RawData!DQ114</f>
        <v>38000</v>
      </c>
      <c r="DD116" s="65">
        <f>RawData!DR114</f>
        <v>0</v>
      </c>
      <c r="DE116" s="65">
        <f>RawData!DS114</f>
        <v>24500</v>
      </c>
      <c r="DF116" s="65" t="str">
        <f>RawData!DT114</f>
        <v>BANKNIFTY</v>
      </c>
      <c r="DG116" s="66">
        <f>RawData!DU114</f>
        <v>44784</v>
      </c>
      <c r="DI116" s="21">
        <f t="shared" si="1"/>
        <v>2304.30078125</v>
      </c>
    </row>
    <row r="117" spans="1:113" x14ac:dyDescent="0.2">
      <c r="A117" s="59">
        <f>RawData!CN115</f>
        <v>44783.636701388888</v>
      </c>
      <c r="B117" s="44">
        <f>RawData!CH115</f>
        <v>0</v>
      </c>
      <c r="C117" s="44">
        <f>RawData!CG115</f>
        <v>0</v>
      </c>
      <c r="D117" s="43">
        <f>RawData!CF115</f>
        <v>0</v>
      </c>
      <c r="E117" s="44">
        <f>RawData!CE115</f>
        <v>0</v>
      </c>
      <c r="F117" s="43">
        <f>RawData!CD115</f>
        <v>0</v>
      </c>
      <c r="G117" s="44">
        <f>RawData!CC115</f>
        <v>0</v>
      </c>
      <c r="H117" s="44">
        <f>RawData!CB115</f>
        <v>0</v>
      </c>
      <c r="I117" s="44">
        <f>RawData!CA115</f>
        <v>0</v>
      </c>
      <c r="J117" s="44">
        <f>RawData!BZ115</f>
        <v>0</v>
      </c>
      <c r="K117" s="40">
        <f>RawData!BY115</f>
        <v>0</v>
      </c>
      <c r="L117" s="40">
        <f>RawData!BX115</f>
        <v>0</v>
      </c>
      <c r="M117" s="40">
        <f>RawData!BW115</f>
        <v>0</v>
      </c>
      <c r="N117" s="40">
        <f>RawData!BV115</f>
        <v>0</v>
      </c>
      <c r="O117" s="36">
        <f>RawData!BU115</f>
        <v>0</v>
      </c>
      <c r="P117" s="36">
        <f>RawData!BT115</f>
        <v>0</v>
      </c>
      <c r="Q117" s="36">
        <f>RawData!BS115</f>
        <v>0</v>
      </c>
      <c r="R117" s="36">
        <f>RawData!BR115</f>
        <v>0</v>
      </c>
      <c r="S117" s="37">
        <f>RawData!BQ115</f>
        <v>0</v>
      </c>
      <c r="T117" s="37">
        <f>RawData!BP115</f>
        <v>0</v>
      </c>
      <c r="U117" s="38">
        <f>RawData!BO115</f>
        <v>0</v>
      </c>
      <c r="V117" s="38">
        <f>RawData!BN115</f>
        <v>0</v>
      </c>
      <c r="W117" s="39">
        <f>RawData!BM115</f>
        <v>0</v>
      </c>
      <c r="X117" s="39">
        <f>RawData!BL115</f>
        <v>0</v>
      </c>
      <c r="Y117" s="38">
        <f>RawData!BJ115</f>
        <v>0</v>
      </c>
      <c r="Z117" s="38">
        <f>RawData!BI115</f>
        <v>0</v>
      </c>
      <c r="AA117" s="40">
        <f>RawData!BH115</f>
        <v>0</v>
      </c>
      <c r="AB117" s="40">
        <f>RawData!BG115</f>
        <v>0</v>
      </c>
      <c r="AC117" s="40">
        <f>RawData!BF115</f>
        <v>0</v>
      </c>
      <c r="AD117" s="40">
        <f>RawData!BE115</f>
        <v>0</v>
      </c>
      <c r="AE117" s="40">
        <f>RawData!BD115</f>
        <v>0</v>
      </c>
      <c r="AF117" s="40">
        <f>RawData!BC115</f>
        <v>0</v>
      </c>
      <c r="AG117" s="41">
        <f>RawData!BB115</f>
        <v>0</v>
      </c>
      <c r="AH117" s="42">
        <f>RawData!DB115</f>
        <v>0</v>
      </c>
      <c r="AI117" s="41">
        <f>RawData!BA115</f>
        <v>0</v>
      </c>
      <c r="AJ117" s="43">
        <f>RawData!DA115</f>
        <v>0</v>
      </c>
      <c r="AK117" s="41">
        <f>RawData!AZ115</f>
        <v>0</v>
      </c>
      <c r="AL117" s="42">
        <f>RawData!DD115</f>
        <v>0</v>
      </c>
      <c r="AM117" s="44">
        <f>RawData!DC115</f>
        <v>0</v>
      </c>
      <c r="AN117" s="45">
        <f>RawData!BK115</f>
        <v>0</v>
      </c>
      <c r="AO117" s="44">
        <f>RawData!AY115</f>
        <v>0</v>
      </c>
      <c r="AP117" s="43" t="str">
        <f>RawData!DH115</f>
        <v>W</v>
      </c>
      <c r="AQ117" s="43">
        <f>RawData!DE115</f>
        <v>0</v>
      </c>
      <c r="AR117" s="42">
        <f>RawData!CZ115</f>
        <v>0</v>
      </c>
      <c r="AS117" s="44">
        <f>RawData!AX115</f>
        <v>0</v>
      </c>
      <c r="AT117" s="43">
        <f>RawData!CY115</f>
        <v>0</v>
      </c>
      <c r="AU117" s="44">
        <f>RawData!AW115</f>
        <v>0</v>
      </c>
      <c r="AV117" s="46">
        <f>RawData!O115</f>
        <v>40700</v>
      </c>
      <c r="AW117" s="44">
        <f>RawData!AV115</f>
        <v>0</v>
      </c>
      <c r="AX117" s="44">
        <f>RawData!CW115</f>
        <v>0</v>
      </c>
      <c r="AY117" s="44">
        <f>RawData!AU115</f>
        <v>0</v>
      </c>
      <c r="AZ117" s="42">
        <f>RawData!CX115</f>
        <v>0</v>
      </c>
      <c r="BA117" s="44">
        <f>RawData!DF115</f>
        <v>0</v>
      </c>
      <c r="BB117" s="43" t="str">
        <f>RawData!DI115</f>
        <v>W</v>
      </c>
      <c r="BC117" s="44">
        <f>RawData!AT115</f>
        <v>0</v>
      </c>
      <c r="BD117" s="45">
        <f>RawData!AP115</f>
        <v>0</v>
      </c>
      <c r="BE117" s="44">
        <f>RawData!CS115</f>
        <v>0</v>
      </c>
      <c r="BF117" s="42">
        <f>RawData!CT115</f>
        <v>0</v>
      </c>
      <c r="BG117" s="41">
        <f>RawData!AS115</f>
        <v>0</v>
      </c>
      <c r="BH117" s="41">
        <f>RawData!CU115</f>
        <v>0</v>
      </c>
      <c r="BI117" s="41">
        <f>RawData!AR115</f>
        <v>0</v>
      </c>
      <c r="BJ117" s="42">
        <f>RawData!CV115</f>
        <v>0</v>
      </c>
      <c r="BK117" s="41">
        <f>RawData!AQ115</f>
        <v>0</v>
      </c>
      <c r="BL117" s="40">
        <f>RawData!AO115</f>
        <v>0</v>
      </c>
      <c r="BM117" s="40">
        <f>RawData!AN115</f>
        <v>0</v>
      </c>
      <c r="BN117" s="40">
        <f>RawData!AM115</f>
        <v>0</v>
      </c>
      <c r="BO117" s="40">
        <f>RawData!AL115</f>
        <v>0</v>
      </c>
      <c r="BP117" s="40">
        <f>RawData!AK115</f>
        <v>0</v>
      </c>
      <c r="BQ117" s="40">
        <f>RawData!AJ115</f>
        <v>0</v>
      </c>
      <c r="BR117" s="38">
        <f>RawData!AI115</f>
        <v>0</v>
      </c>
      <c r="BS117" s="38">
        <f>RawData!AH115</f>
        <v>0</v>
      </c>
      <c r="BT117" s="40">
        <f>RawData!AG115</f>
        <v>0</v>
      </c>
      <c r="BU117" s="39">
        <f>RawData!AF115</f>
        <v>0</v>
      </c>
      <c r="BV117" s="39">
        <f>RawData!AE115</f>
        <v>0</v>
      </c>
      <c r="BW117" s="38">
        <f>RawData!AD115</f>
        <v>0</v>
      </c>
      <c r="BX117" s="38">
        <f>RawData!AC115</f>
        <v>0</v>
      </c>
      <c r="BY117" s="37">
        <f>RawData!AB115</f>
        <v>0</v>
      </c>
      <c r="BZ117" s="37">
        <f>RawData!AA115</f>
        <v>0</v>
      </c>
      <c r="CA117" s="36">
        <f>RawData!Z115</f>
        <v>0</v>
      </c>
      <c r="CB117" s="36">
        <f>RawData!Y115</f>
        <v>0</v>
      </c>
      <c r="CC117" s="36">
        <f>RawData!X115</f>
        <v>0</v>
      </c>
      <c r="CD117" s="36">
        <f>RawData!W115</f>
        <v>0</v>
      </c>
      <c r="CE117" s="40">
        <f>RawData!V115</f>
        <v>0</v>
      </c>
      <c r="CF117" s="40">
        <f>RawData!U115</f>
        <v>0</v>
      </c>
      <c r="CG117" s="40">
        <f>RawData!T115</f>
        <v>0</v>
      </c>
      <c r="CH117" s="44">
        <f>RawData!S115</f>
        <v>0</v>
      </c>
      <c r="CI117" s="44">
        <f>RawData!R115</f>
        <v>0</v>
      </c>
      <c r="CJ117" s="44">
        <f>RawData!Q115</f>
        <v>0</v>
      </c>
      <c r="CK117" s="44">
        <f>RawData!P115</f>
        <v>0</v>
      </c>
      <c r="CL117" s="44">
        <f>RawData!CJ115</f>
        <v>0</v>
      </c>
      <c r="CM117" s="43">
        <f>RawData!CI115</f>
        <v>0</v>
      </c>
      <c r="CN117" s="44">
        <f>RawData!CL115</f>
        <v>0</v>
      </c>
      <c r="CO117" s="43">
        <f>RawData!CK115</f>
        <v>0</v>
      </c>
      <c r="CP117" s="44">
        <f>RawData!CM115</f>
        <v>0</v>
      </c>
      <c r="CQ117" s="47">
        <f>RawData!CO115</f>
        <v>44783.636701388888</v>
      </c>
      <c r="CR117" s="44">
        <f>RawData!CP115</f>
        <v>38295.69921875</v>
      </c>
      <c r="CS117" s="44">
        <f>RawData!DG115</f>
        <v>38295.69921875</v>
      </c>
      <c r="CT117" s="43" t="str">
        <f>RawData!DJ115</f>
        <v>G</v>
      </c>
      <c r="CU117" s="43" t="str">
        <f>RawData!CQ115</f>
        <v>FairPrice</v>
      </c>
      <c r="CV117" s="47">
        <f>RawData!CR115</f>
        <v>44783.638194444444</v>
      </c>
      <c r="CW117" s="65">
        <f>RawData!DK115</f>
        <v>38300</v>
      </c>
      <c r="CX117" s="65">
        <f>RawData!DL115</f>
        <v>3400000</v>
      </c>
      <c r="CY117" s="65">
        <f>RawData!DM115</f>
        <v>38500</v>
      </c>
      <c r="CZ117" s="65">
        <f>RawData!DN115</f>
        <v>0</v>
      </c>
      <c r="DA117" s="65">
        <f>RawData!DO115</f>
        <v>24500</v>
      </c>
      <c r="DB117" s="65">
        <f>RawData!DP115</f>
        <v>2863350</v>
      </c>
      <c r="DC117" s="65">
        <f>RawData!DQ115</f>
        <v>38000</v>
      </c>
      <c r="DD117" s="65">
        <f>RawData!DR115</f>
        <v>0</v>
      </c>
      <c r="DE117" s="65">
        <f>RawData!DS115</f>
        <v>24500</v>
      </c>
      <c r="DF117" s="65" t="str">
        <f>RawData!DT115</f>
        <v>BANKNIFTY</v>
      </c>
      <c r="DG117" s="66">
        <f>RawData!DU115</f>
        <v>44784</v>
      </c>
      <c r="DI117" s="21">
        <f t="shared" si="1"/>
        <v>2404.30078125</v>
      </c>
    </row>
    <row r="118" spans="1:113" x14ac:dyDescent="0.2">
      <c r="A118" s="59">
        <f>RawData!CN116</f>
        <v>44783.636701388888</v>
      </c>
      <c r="B118" s="44">
        <f>RawData!CH116</f>
        <v>0</v>
      </c>
      <c r="C118" s="44">
        <f>RawData!CG116</f>
        <v>0</v>
      </c>
      <c r="D118" s="43">
        <f>RawData!CF116</f>
        <v>0</v>
      </c>
      <c r="E118" s="44">
        <f>RawData!CE116</f>
        <v>0</v>
      </c>
      <c r="F118" s="43">
        <f>RawData!CD116</f>
        <v>0</v>
      </c>
      <c r="G118" s="44">
        <f>RawData!CC116</f>
        <v>0</v>
      </c>
      <c r="H118" s="44">
        <f>RawData!CB116</f>
        <v>0</v>
      </c>
      <c r="I118" s="44">
        <f>RawData!CA116</f>
        <v>0</v>
      </c>
      <c r="J118" s="44">
        <f>RawData!BZ116</f>
        <v>0</v>
      </c>
      <c r="K118" s="40">
        <f>RawData!BY116</f>
        <v>0</v>
      </c>
      <c r="L118" s="40">
        <f>RawData!BX116</f>
        <v>0</v>
      </c>
      <c r="M118" s="40">
        <f>RawData!BW116</f>
        <v>0</v>
      </c>
      <c r="N118" s="40">
        <f>RawData!BV116</f>
        <v>0</v>
      </c>
      <c r="O118" s="36">
        <f>RawData!BU116</f>
        <v>0</v>
      </c>
      <c r="P118" s="36">
        <f>RawData!BT116</f>
        <v>0</v>
      </c>
      <c r="Q118" s="36">
        <f>RawData!BS116</f>
        <v>0</v>
      </c>
      <c r="R118" s="36">
        <f>RawData!BR116</f>
        <v>0</v>
      </c>
      <c r="S118" s="37">
        <f>RawData!BQ116</f>
        <v>0</v>
      </c>
      <c r="T118" s="37">
        <f>RawData!BP116</f>
        <v>0</v>
      </c>
      <c r="U118" s="38">
        <f>RawData!BO116</f>
        <v>0</v>
      </c>
      <c r="V118" s="38">
        <f>RawData!BN116</f>
        <v>0</v>
      </c>
      <c r="W118" s="39">
        <f>RawData!BM116</f>
        <v>0</v>
      </c>
      <c r="X118" s="39">
        <f>RawData!BL116</f>
        <v>0</v>
      </c>
      <c r="Y118" s="38">
        <f>RawData!BJ116</f>
        <v>0</v>
      </c>
      <c r="Z118" s="38">
        <f>RawData!BI116</f>
        <v>0</v>
      </c>
      <c r="AA118" s="40">
        <f>RawData!BH116</f>
        <v>0</v>
      </c>
      <c r="AB118" s="40">
        <f>RawData!BG116</f>
        <v>0</v>
      </c>
      <c r="AC118" s="40">
        <f>RawData!BF116</f>
        <v>0</v>
      </c>
      <c r="AD118" s="40">
        <f>RawData!BE116</f>
        <v>0</v>
      </c>
      <c r="AE118" s="40">
        <f>RawData!BD116</f>
        <v>0</v>
      </c>
      <c r="AF118" s="40">
        <f>RawData!BC116</f>
        <v>0</v>
      </c>
      <c r="AG118" s="41">
        <f>RawData!BB116</f>
        <v>0</v>
      </c>
      <c r="AH118" s="42">
        <f>RawData!DB116</f>
        <v>0</v>
      </c>
      <c r="AI118" s="41">
        <f>RawData!BA116</f>
        <v>0</v>
      </c>
      <c r="AJ118" s="43">
        <f>RawData!DA116</f>
        <v>0</v>
      </c>
      <c r="AK118" s="41">
        <f>RawData!AZ116</f>
        <v>0</v>
      </c>
      <c r="AL118" s="42">
        <f>RawData!DD116</f>
        <v>0</v>
      </c>
      <c r="AM118" s="44">
        <f>RawData!DC116</f>
        <v>0</v>
      </c>
      <c r="AN118" s="45">
        <f>RawData!BK116</f>
        <v>0</v>
      </c>
      <c r="AO118" s="44">
        <f>RawData!AY116</f>
        <v>0</v>
      </c>
      <c r="AP118" s="43" t="str">
        <f>RawData!DH116</f>
        <v>W</v>
      </c>
      <c r="AQ118" s="43">
        <f>RawData!DE116</f>
        <v>0</v>
      </c>
      <c r="AR118" s="42">
        <f>RawData!CZ116</f>
        <v>0</v>
      </c>
      <c r="AS118" s="44">
        <f>RawData!AX116</f>
        <v>0</v>
      </c>
      <c r="AT118" s="43">
        <f>RawData!CY116</f>
        <v>0</v>
      </c>
      <c r="AU118" s="44">
        <f>RawData!AW116</f>
        <v>0</v>
      </c>
      <c r="AV118" s="46">
        <f>RawData!O116</f>
        <v>40800</v>
      </c>
      <c r="AW118" s="44">
        <f>RawData!AV116</f>
        <v>0</v>
      </c>
      <c r="AX118" s="44">
        <f>RawData!CW116</f>
        <v>0</v>
      </c>
      <c r="AY118" s="44">
        <f>RawData!AU116</f>
        <v>0</v>
      </c>
      <c r="AZ118" s="42">
        <f>RawData!CX116</f>
        <v>0</v>
      </c>
      <c r="BA118" s="44">
        <f>RawData!DF116</f>
        <v>0</v>
      </c>
      <c r="BB118" s="43" t="str">
        <f>RawData!DI116</f>
        <v>W</v>
      </c>
      <c r="BC118" s="44">
        <f>RawData!AT116</f>
        <v>0</v>
      </c>
      <c r="BD118" s="45">
        <f>RawData!AP116</f>
        <v>0</v>
      </c>
      <c r="BE118" s="44">
        <f>RawData!CS116</f>
        <v>0</v>
      </c>
      <c r="BF118" s="42">
        <f>RawData!CT116</f>
        <v>0</v>
      </c>
      <c r="BG118" s="41">
        <f>RawData!AS116</f>
        <v>0</v>
      </c>
      <c r="BH118" s="41">
        <f>RawData!CU116</f>
        <v>0</v>
      </c>
      <c r="BI118" s="41">
        <f>RawData!AR116</f>
        <v>0</v>
      </c>
      <c r="BJ118" s="42">
        <f>RawData!CV116</f>
        <v>0</v>
      </c>
      <c r="BK118" s="41">
        <f>RawData!AQ116</f>
        <v>0</v>
      </c>
      <c r="BL118" s="40">
        <f>RawData!AO116</f>
        <v>0</v>
      </c>
      <c r="BM118" s="40">
        <f>RawData!AN116</f>
        <v>0</v>
      </c>
      <c r="BN118" s="40">
        <f>RawData!AM116</f>
        <v>0</v>
      </c>
      <c r="BO118" s="40">
        <f>RawData!AL116</f>
        <v>0</v>
      </c>
      <c r="BP118" s="40">
        <f>RawData!AK116</f>
        <v>0</v>
      </c>
      <c r="BQ118" s="40">
        <f>RawData!AJ116</f>
        <v>0</v>
      </c>
      <c r="BR118" s="38">
        <f>RawData!AI116</f>
        <v>0</v>
      </c>
      <c r="BS118" s="38">
        <f>RawData!AH116</f>
        <v>0</v>
      </c>
      <c r="BT118" s="40">
        <f>RawData!AG116</f>
        <v>0</v>
      </c>
      <c r="BU118" s="39">
        <f>RawData!AF116</f>
        <v>0</v>
      </c>
      <c r="BV118" s="39">
        <f>RawData!AE116</f>
        <v>0</v>
      </c>
      <c r="BW118" s="38">
        <f>RawData!AD116</f>
        <v>0</v>
      </c>
      <c r="BX118" s="38">
        <f>RawData!AC116</f>
        <v>0</v>
      </c>
      <c r="BY118" s="37">
        <f>RawData!AB116</f>
        <v>0</v>
      </c>
      <c r="BZ118" s="37">
        <f>RawData!AA116</f>
        <v>0</v>
      </c>
      <c r="CA118" s="36">
        <f>RawData!Z116</f>
        <v>0</v>
      </c>
      <c r="CB118" s="36">
        <f>RawData!Y116</f>
        <v>0</v>
      </c>
      <c r="CC118" s="36">
        <f>RawData!X116</f>
        <v>0</v>
      </c>
      <c r="CD118" s="36">
        <f>RawData!W116</f>
        <v>0</v>
      </c>
      <c r="CE118" s="40">
        <f>RawData!V116</f>
        <v>0</v>
      </c>
      <c r="CF118" s="40">
        <f>RawData!U116</f>
        <v>0</v>
      </c>
      <c r="CG118" s="40">
        <f>RawData!T116</f>
        <v>0</v>
      </c>
      <c r="CH118" s="44">
        <f>RawData!S116</f>
        <v>0</v>
      </c>
      <c r="CI118" s="44">
        <f>RawData!R116</f>
        <v>0</v>
      </c>
      <c r="CJ118" s="44">
        <f>RawData!Q116</f>
        <v>0</v>
      </c>
      <c r="CK118" s="44">
        <f>RawData!P116</f>
        <v>0</v>
      </c>
      <c r="CL118" s="44">
        <f>RawData!CJ116</f>
        <v>0</v>
      </c>
      <c r="CM118" s="43">
        <f>RawData!CI116</f>
        <v>0</v>
      </c>
      <c r="CN118" s="44">
        <f>RawData!CL116</f>
        <v>0</v>
      </c>
      <c r="CO118" s="43">
        <f>RawData!CK116</f>
        <v>0</v>
      </c>
      <c r="CP118" s="44">
        <f>RawData!CM116</f>
        <v>0</v>
      </c>
      <c r="CQ118" s="47">
        <f>RawData!CO116</f>
        <v>44783.636701388888</v>
      </c>
      <c r="CR118" s="44">
        <f>RawData!CP116</f>
        <v>38295.69921875</v>
      </c>
      <c r="CS118" s="44">
        <f>RawData!DG116</f>
        <v>38295.69921875</v>
      </c>
      <c r="CT118" s="43" t="str">
        <f>RawData!DJ116</f>
        <v>G</v>
      </c>
      <c r="CU118" s="43" t="str">
        <f>RawData!CQ116</f>
        <v>FairPrice</v>
      </c>
      <c r="CV118" s="47">
        <f>RawData!CR116</f>
        <v>44783.638194444444</v>
      </c>
      <c r="CW118" s="65">
        <f>RawData!DK116</f>
        <v>38300</v>
      </c>
      <c r="CX118" s="65">
        <f>RawData!DL116</f>
        <v>3400000</v>
      </c>
      <c r="CY118" s="65">
        <f>RawData!DM116</f>
        <v>38500</v>
      </c>
      <c r="CZ118" s="65">
        <f>RawData!DN116</f>
        <v>0</v>
      </c>
      <c r="DA118" s="65">
        <f>RawData!DO116</f>
        <v>24500</v>
      </c>
      <c r="DB118" s="65">
        <f>RawData!DP116</f>
        <v>2863350</v>
      </c>
      <c r="DC118" s="65">
        <f>RawData!DQ116</f>
        <v>38000</v>
      </c>
      <c r="DD118" s="65">
        <f>RawData!DR116</f>
        <v>0</v>
      </c>
      <c r="DE118" s="65">
        <f>RawData!DS116</f>
        <v>24500</v>
      </c>
      <c r="DF118" s="65" t="str">
        <f>RawData!DT116</f>
        <v>BANKNIFTY</v>
      </c>
      <c r="DG118" s="66">
        <f>RawData!DU116</f>
        <v>44784</v>
      </c>
      <c r="DI118" s="21">
        <f t="shared" si="1"/>
        <v>2504.30078125</v>
      </c>
    </row>
    <row r="119" spans="1:113" x14ac:dyDescent="0.2">
      <c r="A119" s="59">
        <f>RawData!CN117</f>
        <v>44783.636701388888</v>
      </c>
      <c r="B119" s="44">
        <f>RawData!CH117</f>
        <v>0</v>
      </c>
      <c r="C119" s="44">
        <f>RawData!CG117</f>
        <v>0</v>
      </c>
      <c r="D119" s="43">
        <f>RawData!CF117</f>
        <v>0</v>
      </c>
      <c r="E119" s="44">
        <f>RawData!CE117</f>
        <v>0</v>
      </c>
      <c r="F119" s="43">
        <f>RawData!CD117</f>
        <v>0</v>
      </c>
      <c r="G119" s="44">
        <f>RawData!CC117</f>
        <v>0</v>
      </c>
      <c r="H119" s="44">
        <f>RawData!CB117</f>
        <v>0</v>
      </c>
      <c r="I119" s="44">
        <f>RawData!CA117</f>
        <v>0</v>
      </c>
      <c r="J119" s="44">
        <f>RawData!BZ117</f>
        <v>0</v>
      </c>
      <c r="K119" s="40">
        <f>RawData!BY117</f>
        <v>0</v>
      </c>
      <c r="L119" s="40">
        <f>RawData!BX117</f>
        <v>0</v>
      </c>
      <c r="M119" s="40">
        <f>RawData!BW117</f>
        <v>0</v>
      </c>
      <c r="N119" s="40">
        <f>RawData!BV117</f>
        <v>0</v>
      </c>
      <c r="O119" s="36">
        <f>RawData!BU117</f>
        <v>0</v>
      </c>
      <c r="P119" s="36">
        <f>RawData!BT117</f>
        <v>0</v>
      </c>
      <c r="Q119" s="36">
        <f>RawData!BS117</f>
        <v>0</v>
      </c>
      <c r="R119" s="36">
        <f>RawData!BR117</f>
        <v>0</v>
      </c>
      <c r="S119" s="37">
        <f>RawData!BQ117</f>
        <v>0</v>
      </c>
      <c r="T119" s="37">
        <f>RawData!BP117</f>
        <v>0</v>
      </c>
      <c r="U119" s="38">
        <f>RawData!BO117</f>
        <v>0</v>
      </c>
      <c r="V119" s="38">
        <f>RawData!BN117</f>
        <v>0</v>
      </c>
      <c r="W119" s="39">
        <f>RawData!BM117</f>
        <v>0</v>
      </c>
      <c r="X119" s="39">
        <f>RawData!BL117</f>
        <v>0</v>
      </c>
      <c r="Y119" s="38">
        <f>RawData!BJ117</f>
        <v>0</v>
      </c>
      <c r="Z119" s="38">
        <f>RawData!BI117</f>
        <v>0</v>
      </c>
      <c r="AA119" s="40">
        <f>RawData!BH117</f>
        <v>0</v>
      </c>
      <c r="AB119" s="40">
        <f>RawData!BG117</f>
        <v>0</v>
      </c>
      <c r="AC119" s="40">
        <f>RawData!BF117</f>
        <v>0</v>
      </c>
      <c r="AD119" s="40">
        <f>RawData!BE117</f>
        <v>0</v>
      </c>
      <c r="AE119" s="40">
        <f>RawData!BD117</f>
        <v>0</v>
      </c>
      <c r="AF119" s="40">
        <f>RawData!BC117</f>
        <v>0</v>
      </c>
      <c r="AG119" s="41">
        <f>RawData!BB117</f>
        <v>0</v>
      </c>
      <c r="AH119" s="42">
        <f>RawData!DB117</f>
        <v>0</v>
      </c>
      <c r="AI119" s="41">
        <f>RawData!BA117</f>
        <v>0</v>
      </c>
      <c r="AJ119" s="43">
        <f>RawData!DA117</f>
        <v>0</v>
      </c>
      <c r="AK119" s="41">
        <f>RawData!AZ117</f>
        <v>0</v>
      </c>
      <c r="AL119" s="42">
        <f>RawData!DD117</f>
        <v>0</v>
      </c>
      <c r="AM119" s="44">
        <f>RawData!DC117</f>
        <v>0</v>
      </c>
      <c r="AN119" s="45">
        <f>RawData!BK117</f>
        <v>0</v>
      </c>
      <c r="AO119" s="44">
        <f>RawData!AY117</f>
        <v>0</v>
      </c>
      <c r="AP119" s="43" t="str">
        <f>RawData!DH117</f>
        <v>W</v>
      </c>
      <c r="AQ119" s="43">
        <f>RawData!DE117</f>
        <v>0</v>
      </c>
      <c r="AR119" s="42">
        <f>RawData!CZ117</f>
        <v>0</v>
      </c>
      <c r="AS119" s="44">
        <f>RawData!AX117</f>
        <v>0</v>
      </c>
      <c r="AT119" s="43">
        <f>RawData!CY117</f>
        <v>0</v>
      </c>
      <c r="AU119" s="44">
        <f>RawData!AW117</f>
        <v>0</v>
      </c>
      <c r="AV119" s="46">
        <f>RawData!O117</f>
        <v>40900</v>
      </c>
      <c r="AW119" s="44">
        <f>RawData!AV117</f>
        <v>0</v>
      </c>
      <c r="AX119" s="44">
        <f>RawData!CW117</f>
        <v>0</v>
      </c>
      <c r="AY119" s="44">
        <f>RawData!AU117</f>
        <v>0</v>
      </c>
      <c r="AZ119" s="42">
        <f>RawData!CX117</f>
        <v>0</v>
      </c>
      <c r="BA119" s="44">
        <f>RawData!DF117</f>
        <v>0</v>
      </c>
      <c r="BB119" s="43" t="str">
        <f>RawData!DI117</f>
        <v>W</v>
      </c>
      <c r="BC119" s="44">
        <f>RawData!AT117</f>
        <v>0</v>
      </c>
      <c r="BD119" s="45">
        <f>RawData!AP117</f>
        <v>0</v>
      </c>
      <c r="BE119" s="44">
        <f>RawData!CS117</f>
        <v>0</v>
      </c>
      <c r="BF119" s="42">
        <f>RawData!CT117</f>
        <v>0</v>
      </c>
      <c r="BG119" s="41">
        <f>RawData!AS117</f>
        <v>0</v>
      </c>
      <c r="BH119" s="41">
        <f>RawData!CU117</f>
        <v>0</v>
      </c>
      <c r="BI119" s="41">
        <f>RawData!AR117</f>
        <v>0</v>
      </c>
      <c r="BJ119" s="42">
        <f>RawData!CV117</f>
        <v>0</v>
      </c>
      <c r="BK119" s="41">
        <f>RawData!AQ117</f>
        <v>0</v>
      </c>
      <c r="BL119" s="40">
        <f>RawData!AO117</f>
        <v>0</v>
      </c>
      <c r="BM119" s="40">
        <f>RawData!AN117</f>
        <v>0</v>
      </c>
      <c r="BN119" s="40">
        <f>RawData!AM117</f>
        <v>0</v>
      </c>
      <c r="BO119" s="40">
        <f>RawData!AL117</f>
        <v>0</v>
      </c>
      <c r="BP119" s="40">
        <f>RawData!AK117</f>
        <v>0</v>
      </c>
      <c r="BQ119" s="40">
        <f>RawData!AJ117</f>
        <v>0</v>
      </c>
      <c r="BR119" s="38">
        <f>RawData!AI117</f>
        <v>0</v>
      </c>
      <c r="BS119" s="38">
        <f>RawData!AH117</f>
        <v>0</v>
      </c>
      <c r="BT119" s="40">
        <f>RawData!AG117</f>
        <v>0</v>
      </c>
      <c r="BU119" s="39">
        <f>RawData!AF117</f>
        <v>0</v>
      </c>
      <c r="BV119" s="39">
        <f>RawData!AE117</f>
        <v>0</v>
      </c>
      <c r="BW119" s="38">
        <f>RawData!AD117</f>
        <v>0</v>
      </c>
      <c r="BX119" s="38">
        <f>RawData!AC117</f>
        <v>0</v>
      </c>
      <c r="BY119" s="37">
        <f>RawData!AB117</f>
        <v>0</v>
      </c>
      <c r="BZ119" s="37">
        <f>RawData!AA117</f>
        <v>0</v>
      </c>
      <c r="CA119" s="36">
        <f>RawData!Z117</f>
        <v>0</v>
      </c>
      <c r="CB119" s="36">
        <f>RawData!Y117</f>
        <v>0</v>
      </c>
      <c r="CC119" s="36">
        <f>RawData!X117</f>
        <v>0</v>
      </c>
      <c r="CD119" s="36">
        <f>RawData!W117</f>
        <v>0</v>
      </c>
      <c r="CE119" s="40">
        <f>RawData!V117</f>
        <v>0</v>
      </c>
      <c r="CF119" s="40">
        <f>RawData!U117</f>
        <v>0</v>
      </c>
      <c r="CG119" s="40">
        <f>RawData!T117</f>
        <v>0</v>
      </c>
      <c r="CH119" s="44">
        <f>RawData!S117</f>
        <v>0</v>
      </c>
      <c r="CI119" s="44">
        <f>RawData!R117</f>
        <v>0</v>
      </c>
      <c r="CJ119" s="44">
        <f>RawData!Q117</f>
        <v>0</v>
      </c>
      <c r="CK119" s="44">
        <f>RawData!P117</f>
        <v>0</v>
      </c>
      <c r="CL119" s="44">
        <f>RawData!CJ117</f>
        <v>0</v>
      </c>
      <c r="CM119" s="43">
        <f>RawData!CI117</f>
        <v>0</v>
      </c>
      <c r="CN119" s="44">
        <f>RawData!CL117</f>
        <v>0</v>
      </c>
      <c r="CO119" s="43">
        <f>RawData!CK117</f>
        <v>0</v>
      </c>
      <c r="CP119" s="44">
        <f>RawData!CM117</f>
        <v>0</v>
      </c>
      <c r="CQ119" s="47">
        <f>RawData!CO117</f>
        <v>44783.636701388888</v>
      </c>
      <c r="CR119" s="44">
        <f>RawData!CP117</f>
        <v>38295.69921875</v>
      </c>
      <c r="CS119" s="44">
        <f>RawData!DG117</f>
        <v>38295.69921875</v>
      </c>
      <c r="CT119" s="43" t="str">
        <f>RawData!DJ117</f>
        <v>G</v>
      </c>
      <c r="CU119" s="43" t="str">
        <f>RawData!CQ117</f>
        <v>FairPrice</v>
      </c>
      <c r="CV119" s="47">
        <f>RawData!CR117</f>
        <v>44783.638194444444</v>
      </c>
      <c r="CW119" s="65">
        <f>RawData!DK117</f>
        <v>38300</v>
      </c>
      <c r="CX119" s="65">
        <f>RawData!DL117</f>
        <v>3400000</v>
      </c>
      <c r="CY119" s="65">
        <f>RawData!DM117</f>
        <v>38500</v>
      </c>
      <c r="CZ119" s="65">
        <f>RawData!DN117</f>
        <v>0</v>
      </c>
      <c r="DA119" s="65">
        <f>RawData!DO117</f>
        <v>24500</v>
      </c>
      <c r="DB119" s="65">
        <f>RawData!DP117</f>
        <v>2863350</v>
      </c>
      <c r="DC119" s="65">
        <f>RawData!DQ117</f>
        <v>38000</v>
      </c>
      <c r="DD119" s="65">
        <f>RawData!DR117</f>
        <v>0</v>
      </c>
      <c r="DE119" s="65">
        <f>RawData!DS117</f>
        <v>24500</v>
      </c>
      <c r="DF119" s="65" t="str">
        <f>RawData!DT117</f>
        <v>BANKNIFTY</v>
      </c>
      <c r="DG119" s="66">
        <f>RawData!DU117</f>
        <v>44784</v>
      </c>
      <c r="DI119" s="21">
        <f t="shared" si="1"/>
        <v>2604.30078125</v>
      </c>
    </row>
    <row r="120" spans="1:113" x14ac:dyDescent="0.2">
      <c r="A120" s="59">
        <f>RawData!CN118</f>
        <v>44783.638194444444</v>
      </c>
      <c r="B120" s="44">
        <f>RawData!CH118</f>
        <v>2.4500000476837158</v>
      </c>
      <c r="C120" s="44">
        <f>RawData!CG118</f>
        <v>3175</v>
      </c>
      <c r="D120" s="43">
        <f>RawData!CF118</f>
        <v>1.6499999761581421</v>
      </c>
      <c r="E120" s="44">
        <f>RawData!CE118</f>
        <v>6725</v>
      </c>
      <c r="F120" s="43">
        <f>RawData!CD118</f>
        <v>1.7000000476837158</v>
      </c>
      <c r="G120" s="44">
        <f>RawData!CC118</f>
        <v>1.6499999761581421</v>
      </c>
      <c r="H120" s="44">
        <f>RawData!CB118</f>
        <v>1.6000000238418579</v>
      </c>
      <c r="I120" s="44">
        <f>RawData!CA118</f>
        <v>2.9000000953674316</v>
      </c>
      <c r="J120" s="44">
        <f>RawData!BZ118</f>
        <v>1.8500000238418579</v>
      </c>
      <c r="K120" s="40">
        <f>RawData!BY118</f>
        <v>0.5390625</v>
      </c>
      <c r="L120" s="40">
        <f>RawData!BX118</f>
        <v>80687.0703125</v>
      </c>
      <c r="M120" s="40">
        <f>RawData!BW118</f>
        <v>-12.03125</v>
      </c>
      <c r="N120" s="40">
        <f>RawData!BV118</f>
        <v>289059.4375</v>
      </c>
      <c r="O120" s="36">
        <f>RawData!BU118</f>
        <v>2.7066562324762344E-9</v>
      </c>
      <c r="P120" s="36">
        <f>RawData!BT118</f>
        <v>4.0331800846615806E-5</v>
      </c>
      <c r="Q120" s="36">
        <f>RawData!BS118</f>
        <v>3.2159732654690742E-9</v>
      </c>
      <c r="R120" s="36">
        <f>RawData!BR118</f>
        <v>1.6623918781988323E-4</v>
      </c>
      <c r="S120" s="37">
        <f>RawData!BQ118</f>
        <v>1.5667467323510209E-12</v>
      </c>
      <c r="T120" s="37">
        <f>RawData!BP118</f>
        <v>3.6784499002351367E-8</v>
      </c>
      <c r="U120" s="38">
        <f>RawData!BO118</f>
        <v>-3.814697265625E-4</v>
      </c>
      <c r="V120" s="38">
        <f>RawData!BN118</f>
        <v>-13.456849098205566</v>
      </c>
      <c r="W120" s="39">
        <f>RawData!BM118</f>
        <v>-1.071929931640625E-3</v>
      </c>
      <c r="X120" s="39">
        <f>RawData!BL118</f>
        <v>55.466300964355469</v>
      </c>
      <c r="Y120" s="38">
        <f>RawData!BJ118</f>
        <v>4.2018655221909285E-10</v>
      </c>
      <c r="Z120" s="38">
        <f>RawData!BI118</f>
        <v>1.4696870493935421E-5</v>
      </c>
      <c r="AA120" s="40">
        <f>RawData!BH118</f>
        <v>-2.2947788238525391E-6</v>
      </c>
      <c r="AB120" s="40">
        <f>RawData!BG118</f>
        <v>0.30285537242889404</v>
      </c>
      <c r="AC120" s="40">
        <f>RawData!BF118</f>
        <v>0</v>
      </c>
      <c r="AD120" s="40">
        <f>RawData!BE118</f>
        <v>-1.6499999761581421</v>
      </c>
      <c r="AE120" s="40">
        <f>RawData!BD118</f>
        <v>7.4040144681930542E-8</v>
      </c>
      <c r="AF120" s="40">
        <f>RawData!BC118</f>
        <v>5.1717264577746391E-3</v>
      </c>
      <c r="AG120" s="41">
        <f>RawData!BB118</f>
        <v>5212375</v>
      </c>
      <c r="AH120" s="42">
        <f>RawData!DB118</f>
        <v>7.3784286515692812E-2</v>
      </c>
      <c r="AI120" s="41">
        <f>RawData!BA118</f>
        <v>62475</v>
      </c>
      <c r="AJ120" s="43">
        <f>RawData!DA118</f>
        <v>846725</v>
      </c>
      <c r="AK120" s="41">
        <f>RawData!AZ118</f>
        <v>909200</v>
      </c>
      <c r="AL120" s="42">
        <f>RawData!DD118</f>
        <v>4.4806234542595856E-6</v>
      </c>
      <c r="AM120" s="44">
        <f>RawData!DC118</f>
        <v>2.2351741790771484E-4</v>
      </c>
      <c r="AN120" s="45">
        <f>RawData!BK118</f>
        <v>49.885562062263489</v>
      </c>
      <c r="AO120" s="44">
        <f>RawData!AY118</f>
        <v>49.885562062263489</v>
      </c>
      <c r="AP120" s="43" t="str">
        <f>RawData!DH118</f>
        <v>W</v>
      </c>
      <c r="AQ120" s="43">
        <f>RawData!DE118</f>
        <v>1.6499999761581421</v>
      </c>
      <c r="AR120" s="42">
        <f>RawData!CZ118</f>
        <v>0</v>
      </c>
      <c r="AS120" s="44">
        <f>RawData!AX118</f>
        <v>0</v>
      </c>
      <c r="AT120" s="43">
        <f>RawData!CY118</f>
        <v>1.6499999761581421</v>
      </c>
      <c r="AU120" s="44">
        <f>RawData!AW118</f>
        <v>1.6499999761581421</v>
      </c>
      <c r="AV120" s="46">
        <f>RawData!O118</f>
        <v>41000</v>
      </c>
      <c r="AW120" s="44">
        <f>RawData!AV118</f>
        <v>2724</v>
      </c>
      <c r="AX120" s="44">
        <f>RawData!CW118</f>
        <v>2724</v>
      </c>
      <c r="AY120" s="44">
        <f>RawData!AU118</f>
        <v>0</v>
      </c>
      <c r="AZ120" s="42">
        <f>RawData!CX118</f>
        <v>0</v>
      </c>
      <c r="BA120" s="44">
        <f>RawData!DF118</f>
        <v>2724</v>
      </c>
      <c r="BB120" s="43" t="str">
        <f>RawData!DI118</f>
        <v>W</v>
      </c>
      <c r="BC120" s="44">
        <f>RawData!AT118</f>
        <v>70.320326089859009</v>
      </c>
      <c r="BD120" s="45">
        <f>RawData!AP118</f>
        <v>70.320326089859009</v>
      </c>
      <c r="BE120" s="44">
        <f>RawData!CS118</f>
        <v>0.34101009368896484</v>
      </c>
      <c r="BF120" s="42">
        <f>RawData!CT118</f>
        <v>4.8730126728822026E-3</v>
      </c>
      <c r="BG120" s="41">
        <f>RawData!AS118</f>
        <v>250</v>
      </c>
      <c r="BH120" s="41">
        <f>RawData!CU118</f>
        <v>175</v>
      </c>
      <c r="BI120" s="41">
        <f>RawData!AR118</f>
        <v>75</v>
      </c>
      <c r="BJ120" s="42">
        <f>RawData!CV118</f>
        <v>0.42857142857142855</v>
      </c>
      <c r="BK120" s="41">
        <f>RawData!AQ118</f>
        <v>225</v>
      </c>
      <c r="BL120" s="40">
        <f>RawData!AO118</f>
        <v>-0.96482586860656738</v>
      </c>
      <c r="BM120" s="40">
        <f>RawData!AN118</f>
        <v>7.190704345703125E-4</v>
      </c>
      <c r="BN120" s="40">
        <f>RawData!AM118</f>
        <v>-53.927330017089844</v>
      </c>
      <c r="BO120" s="40">
        <f>RawData!AL118</f>
        <v>-1.1657905578613281</v>
      </c>
      <c r="BP120" s="40">
        <f>RawData!AK118</f>
        <v>1.5769120454788208</v>
      </c>
      <c r="BQ120" s="40">
        <f>RawData!AJ118</f>
        <v>2.6504039764404297E-2</v>
      </c>
      <c r="BR120" s="38">
        <f>RawData!AI118</f>
        <v>5.4283911595121026E-5</v>
      </c>
      <c r="BS120" s="38">
        <f>RawData!AH118</f>
        <v>6.5307904151268303E-7</v>
      </c>
      <c r="BT120" s="40">
        <f>RawData!AG118</f>
        <v>5.387937068939209</v>
      </c>
      <c r="BU120" s="39">
        <f>RawData!AF118</f>
        <v>-0.14618015289306641</v>
      </c>
      <c r="BV120" s="39">
        <f>RawData!AE118</f>
        <v>-1.8425697088241577</v>
      </c>
      <c r="BW120" s="38">
        <f>RawData!AD118</f>
        <v>4.0731668472290039E-2</v>
      </c>
      <c r="BX120" s="38">
        <f>RawData!AC118</f>
        <v>6.7314665841422539E-8</v>
      </c>
      <c r="BY120" s="37">
        <f>RawData!AB118</f>
        <v>1.2704504115390591E-10</v>
      </c>
      <c r="BZ120" s="37">
        <f>RawData!AA118</f>
        <v>1.8082321912515908E-4</v>
      </c>
      <c r="CA120" s="36">
        <f>RawData!Z118</f>
        <v>-1.2959353625774384E-6</v>
      </c>
      <c r="CB120" s="36">
        <f>RawData!Y118</f>
        <v>6.1838029068894684E-5</v>
      </c>
      <c r="CC120" s="36">
        <f>RawData!X118</f>
        <v>-1.3847602531313896E-7</v>
      </c>
      <c r="CD120" s="36">
        <f>RawData!W118</f>
        <v>19817.4453125</v>
      </c>
      <c r="CE120" s="40">
        <f>RawData!V118</f>
        <v>-642.9453125</v>
      </c>
      <c r="CF120" s="40">
        <f>RawData!U118</f>
        <v>8804.8115234375</v>
      </c>
      <c r="CG120" s="40">
        <f>RawData!T118</f>
        <v>-220.2451171875</v>
      </c>
      <c r="CH120" s="44">
        <f>RawData!S118</f>
        <v>2679.14990234375</v>
      </c>
      <c r="CI120" s="44">
        <f>RawData!R118</f>
        <v>2724</v>
      </c>
      <c r="CJ120" s="44">
        <f>RawData!Q118</f>
        <v>2679</v>
      </c>
      <c r="CK120" s="44">
        <f>RawData!P118</f>
        <v>2724</v>
      </c>
      <c r="CL120" s="44">
        <f>RawData!CJ118</f>
        <v>50</v>
      </c>
      <c r="CM120" s="43">
        <f>RawData!CI118</f>
        <v>2710.85009765625</v>
      </c>
      <c r="CN120" s="44">
        <f>RawData!CL118</f>
        <v>50</v>
      </c>
      <c r="CO120" s="43">
        <f>RawData!CK118</f>
        <v>2694.5</v>
      </c>
      <c r="CP120" s="44">
        <f>RawData!CM118</f>
        <v>2699.010009765625</v>
      </c>
      <c r="CQ120" s="47">
        <f>RawData!CO118</f>
        <v>44783.638194444444</v>
      </c>
      <c r="CR120" s="44">
        <f>RawData!CP118</f>
        <v>38295.69921875</v>
      </c>
      <c r="CS120" s="44">
        <f>RawData!DG118</f>
        <v>38295.69921875</v>
      </c>
      <c r="CT120" s="43" t="str">
        <f>RawData!DJ118</f>
        <v>G</v>
      </c>
      <c r="CU120" s="43" t="str">
        <f>RawData!CQ118</f>
        <v>FairPrice</v>
      </c>
      <c r="CV120" s="47">
        <f>RawData!CR118</f>
        <v>44783.638194444444</v>
      </c>
      <c r="CW120" s="65">
        <f>RawData!DK118</f>
        <v>38300</v>
      </c>
      <c r="CX120" s="65">
        <f>RawData!DL118</f>
        <v>3400000</v>
      </c>
      <c r="CY120" s="65">
        <f>RawData!DM118</f>
        <v>38500</v>
      </c>
      <c r="CZ120" s="65">
        <f>RawData!DN118</f>
        <v>0</v>
      </c>
      <c r="DA120" s="65">
        <f>RawData!DO118</f>
        <v>24500</v>
      </c>
      <c r="DB120" s="65">
        <f>RawData!DP118</f>
        <v>2863350</v>
      </c>
      <c r="DC120" s="65">
        <f>RawData!DQ118</f>
        <v>38000</v>
      </c>
      <c r="DD120" s="65">
        <f>RawData!DR118</f>
        <v>0</v>
      </c>
      <c r="DE120" s="65">
        <f>RawData!DS118</f>
        <v>24500</v>
      </c>
      <c r="DF120" s="65" t="str">
        <f>RawData!DT118</f>
        <v>BANKNIFTY</v>
      </c>
      <c r="DG120" s="66">
        <f>RawData!DU118</f>
        <v>44784</v>
      </c>
      <c r="DI120" s="21">
        <f t="shared" si="1"/>
        <v>2704.30078125</v>
      </c>
    </row>
    <row r="121" spans="1:113" x14ac:dyDescent="0.2">
      <c r="A121" s="59">
        <f>RawData!CN119</f>
        <v>44783.636701388888</v>
      </c>
      <c r="B121" s="44">
        <f>RawData!CH119</f>
        <v>0</v>
      </c>
      <c r="C121" s="44">
        <f>RawData!CG119</f>
        <v>0</v>
      </c>
      <c r="D121" s="43">
        <f>RawData!CF119</f>
        <v>0</v>
      </c>
      <c r="E121" s="44">
        <f>RawData!CE119</f>
        <v>0</v>
      </c>
      <c r="F121" s="43">
        <f>RawData!CD119</f>
        <v>0</v>
      </c>
      <c r="G121" s="44">
        <f>RawData!CC119</f>
        <v>0</v>
      </c>
      <c r="H121" s="44">
        <f>RawData!CB119</f>
        <v>0</v>
      </c>
      <c r="I121" s="44">
        <f>RawData!CA119</f>
        <v>0</v>
      </c>
      <c r="J121" s="44">
        <f>RawData!BZ119</f>
        <v>0</v>
      </c>
      <c r="K121" s="40">
        <f>RawData!BY119</f>
        <v>0</v>
      </c>
      <c r="L121" s="40">
        <f>RawData!BX119</f>
        <v>0</v>
      </c>
      <c r="M121" s="40">
        <f>RawData!BW119</f>
        <v>0</v>
      </c>
      <c r="N121" s="40">
        <f>RawData!BV119</f>
        <v>0</v>
      </c>
      <c r="O121" s="36">
        <f>RawData!BU119</f>
        <v>0</v>
      </c>
      <c r="P121" s="36">
        <f>RawData!BT119</f>
        <v>0</v>
      </c>
      <c r="Q121" s="36">
        <f>RawData!BS119</f>
        <v>0</v>
      </c>
      <c r="R121" s="36">
        <f>RawData!BR119</f>
        <v>0</v>
      </c>
      <c r="S121" s="37">
        <f>RawData!BQ119</f>
        <v>0</v>
      </c>
      <c r="T121" s="37">
        <f>RawData!BP119</f>
        <v>0</v>
      </c>
      <c r="U121" s="38">
        <f>RawData!BO119</f>
        <v>0</v>
      </c>
      <c r="V121" s="38">
        <f>RawData!BN119</f>
        <v>0</v>
      </c>
      <c r="W121" s="39">
        <f>RawData!BM119</f>
        <v>0</v>
      </c>
      <c r="X121" s="39">
        <f>RawData!BL119</f>
        <v>0</v>
      </c>
      <c r="Y121" s="38">
        <f>RawData!BJ119</f>
        <v>0</v>
      </c>
      <c r="Z121" s="38">
        <f>RawData!BI119</f>
        <v>0</v>
      </c>
      <c r="AA121" s="40">
        <f>RawData!BH119</f>
        <v>0</v>
      </c>
      <c r="AB121" s="40">
        <f>RawData!BG119</f>
        <v>0</v>
      </c>
      <c r="AC121" s="40">
        <f>RawData!BF119</f>
        <v>0</v>
      </c>
      <c r="AD121" s="40">
        <f>RawData!BE119</f>
        <v>0</v>
      </c>
      <c r="AE121" s="40">
        <f>RawData!BD119</f>
        <v>0</v>
      </c>
      <c r="AF121" s="40">
        <f>RawData!BC119</f>
        <v>0</v>
      </c>
      <c r="AG121" s="41">
        <f>RawData!BB119</f>
        <v>0</v>
      </c>
      <c r="AH121" s="42">
        <f>RawData!DB119</f>
        <v>0</v>
      </c>
      <c r="AI121" s="41">
        <f>RawData!BA119</f>
        <v>0</v>
      </c>
      <c r="AJ121" s="43">
        <f>RawData!DA119</f>
        <v>0</v>
      </c>
      <c r="AK121" s="41">
        <f>RawData!AZ119</f>
        <v>0</v>
      </c>
      <c r="AL121" s="42">
        <f>RawData!DD119</f>
        <v>0</v>
      </c>
      <c r="AM121" s="44">
        <f>RawData!DC119</f>
        <v>0</v>
      </c>
      <c r="AN121" s="45">
        <f>RawData!BK119</f>
        <v>0</v>
      </c>
      <c r="AO121" s="44">
        <f>RawData!AY119</f>
        <v>0</v>
      </c>
      <c r="AP121" s="43" t="str">
        <f>RawData!DH119</f>
        <v>W</v>
      </c>
      <c r="AQ121" s="43">
        <f>RawData!DE119</f>
        <v>0</v>
      </c>
      <c r="AR121" s="42">
        <f>RawData!CZ119</f>
        <v>0</v>
      </c>
      <c r="AS121" s="44">
        <f>RawData!AX119</f>
        <v>0</v>
      </c>
      <c r="AT121" s="43">
        <f>RawData!CY119</f>
        <v>0</v>
      </c>
      <c r="AU121" s="44">
        <f>RawData!AW119</f>
        <v>0</v>
      </c>
      <c r="AV121" s="46">
        <f>RawData!O119</f>
        <v>41100</v>
      </c>
      <c r="AW121" s="44">
        <f>RawData!AV119</f>
        <v>0</v>
      </c>
      <c r="AX121" s="44">
        <f>RawData!CW119</f>
        <v>0</v>
      </c>
      <c r="AY121" s="44">
        <f>RawData!AU119</f>
        <v>0</v>
      </c>
      <c r="AZ121" s="42">
        <f>RawData!CX119</f>
        <v>0</v>
      </c>
      <c r="BA121" s="44">
        <f>RawData!DF119</f>
        <v>0</v>
      </c>
      <c r="BB121" s="43" t="str">
        <f>RawData!DI119</f>
        <v>W</v>
      </c>
      <c r="BC121" s="44">
        <f>RawData!AT119</f>
        <v>0</v>
      </c>
      <c r="BD121" s="45">
        <f>RawData!AP119</f>
        <v>0</v>
      </c>
      <c r="BE121" s="44">
        <f>RawData!CS119</f>
        <v>0</v>
      </c>
      <c r="BF121" s="42">
        <f>RawData!CT119</f>
        <v>0</v>
      </c>
      <c r="BG121" s="41">
        <f>RawData!AS119</f>
        <v>0</v>
      </c>
      <c r="BH121" s="41">
        <f>RawData!CU119</f>
        <v>0</v>
      </c>
      <c r="BI121" s="41">
        <f>RawData!AR119</f>
        <v>0</v>
      </c>
      <c r="BJ121" s="42">
        <f>RawData!CV119</f>
        <v>0</v>
      </c>
      <c r="BK121" s="41">
        <f>RawData!AQ119</f>
        <v>0</v>
      </c>
      <c r="BL121" s="40">
        <f>RawData!AO119</f>
        <v>0</v>
      </c>
      <c r="BM121" s="40">
        <f>RawData!AN119</f>
        <v>0</v>
      </c>
      <c r="BN121" s="40">
        <f>RawData!AM119</f>
        <v>0</v>
      </c>
      <c r="BO121" s="40">
        <f>RawData!AL119</f>
        <v>0</v>
      </c>
      <c r="BP121" s="40">
        <f>RawData!AK119</f>
        <v>0</v>
      </c>
      <c r="BQ121" s="40">
        <f>RawData!AJ119</f>
        <v>0</v>
      </c>
      <c r="BR121" s="38">
        <f>RawData!AI119</f>
        <v>0</v>
      </c>
      <c r="BS121" s="38">
        <f>RawData!AH119</f>
        <v>0</v>
      </c>
      <c r="BT121" s="40">
        <f>RawData!AG119</f>
        <v>0</v>
      </c>
      <c r="BU121" s="39">
        <f>RawData!AF119</f>
        <v>0</v>
      </c>
      <c r="BV121" s="39">
        <f>RawData!AE119</f>
        <v>0</v>
      </c>
      <c r="BW121" s="38">
        <f>RawData!AD119</f>
        <v>0</v>
      </c>
      <c r="BX121" s="38">
        <f>RawData!AC119</f>
        <v>0</v>
      </c>
      <c r="BY121" s="37">
        <f>RawData!AB119</f>
        <v>0</v>
      </c>
      <c r="BZ121" s="37">
        <f>RawData!AA119</f>
        <v>0</v>
      </c>
      <c r="CA121" s="36">
        <f>RawData!Z119</f>
        <v>0</v>
      </c>
      <c r="CB121" s="36">
        <f>RawData!Y119</f>
        <v>0</v>
      </c>
      <c r="CC121" s="36">
        <f>RawData!X119</f>
        <v>0</v>
      </c>
      <c r="CD121" s="36">
        <f>RawData!W119</f>
        <v>0</v>
      </c>
      <c r="CE121" s="40">
        <f>RawData!V119</f>
        <v>0</v>
      </c>
      <c r="CF121" s="40">
        <f>RawData!U119</f>
        <v>0</v>
      </c>
      <c r="CG121" s="40">
        <f>RawData!T119</f>
        <v>0</v>
      </c>
      <c r="CH121" s="44">
        <f>RawData!S119</f>
        <v>0</v>
      </c>
      <c r="CI121" s="44">
        <f>RawData!R119</f>
        <v>0</v>
      </c>
      <c r="CJ121" s="44">
        <f>RawData!Q119</f>
        <v>0</v>
      </c>
      <c r="CK121" s="44">
        <f>RawData!P119</f>
        <v>0</v>
      </c>
      <c r="CL121" s="44">
        <f>RawData!CJ119</f>
        <v>0</v>
      </c>
      <c r="CM121" s="43">
        <f>RawData!CI119</f>
        <v>0</v>
      </c>
      <c r="CN121" s="44">
        <f>RawData!CL119</f>
        <v>0</v>
      </c>
      <c r="CO121" s="43">
        <f>RawData!CK119</f>
        <v>0</v>
      </c>
      <c r="CP121" s="44">
        <f>RawData!CM119</f>
        <v>0</v>
      </c>
      <c r="CQ121" s="47">
        <f>RawData!CO119</f>
        <v>44783.636701388888</v>
      </c>
      <c r="CR121" s="44">
        <f>RawData!CP119</f>
        <v>38295.69921875</v>
      </c>
      <c r="CS121" s="44">
        <f>RawData!DG119</f>
        <v>38295.69921875</v>
      </c>
      <c r="CT121" s="43" t="str">
        <f>RawData!DJ119</f>
        <v>G</v>
      </c>
      <c r="CU121" s="43" t="str">
        <f>RawData!CQ119</f>
        <v>FairPrice</v>
      </c>
      <c r="CV121" s="47">
        <f>RawData!CR119</f>
        <v>44783.638194444444</v>
      </c>
      <c r="CW121" s="65">
        <f>RawData!DK119</f>
        <v>38300</v>
      </c>
      <c r="CX121" s="65">
        <f>RawData!DL119</f>
        <v>3400000</v>
      </c>
      <c r="CY121" s="65">
        <f>RawData!DM119</f>
        <v>38500</v>
      </c>
      <c r="CZ121" s="65">
        <f>RawData!DN119</f>
        <v>0</v>
      </c>
      <c r="DA121" s="65">
        <f>RawData!DO119</f>
        <v>24500</v>
      </c>
      <c r="DB121" s="65">
        <f>RawData!DP119</f>
        <v>2863350</v>
      </c>
      <c r="DC121" s="65">
        <f>RawData!DQ119</f>
        <v>38000</v>
      </c>
      <c r="DD121" s="65">
        <f>RawData!DR119</f>
        <v>0</v>
      </c>
      <c r="DE121" s="65">
        <f>RawData!DS119</f>
        <v>24500</v>
      </c>
      <c r="DF121" s="65" t="str">
        <f>RawData!DT119</f>
        <v>BANKNIFTY</v>
      </c>
      <c r="DG121" s="66">
        <f>RawData!DU119</f>
        <v>44784</v>
      </c>
      <c r="DI121" s="21">
        <f t="shared" si="1"/>
        <v>2804.30078125</v>
      </c>
    </row>
    <row r="122" spans="1:113" x14ac:dyDescent="0.2">
      <c r="A122" s="59">
        <f>RawData!CN120</f>
        <v>44783.636701388888</v>
      </c>
      <c r="B122" s="44">
        <f>RawData!CH120</f>
        <v>0</v>
      </c>
      <c r="C122" s="44">
        <f>RawData!CG120</f>
        <v>0</v>
      </c>
      <c r="D122" s="43">
        <f>RawData!CF120</f>
        <v>0</v>
      </c>
      <c r="E122" s="44">
        <f>RawData!CE120</f>
        <v>0</v>
      </c>
      <c r="F122" s="43">
        <f>RawData!CD120</f>
        <v>0</v>
      </c>
      <c r="G122" s="44">
        <f>RawData!CC120</f>
        <v>0</v>
      </c>
      <c r="H122" s="44">
        <f>RawData!CB120</f>
        <v>0</v>
      </c>
      <c r="I122" s="44">
        <f>RawData!CA120</f>
        <v>0</v>
      </c>
      <c r="J122" s="44">
        <f>RawData!BZ120</f>
        <v>0</v>
      </c>
      <c r="K122" s="40">
        <f>RawData!BY120</f>
        <v>0</v>
      </c>
      <c r="L122" s="40">
        <f>RawData!BX120</f>
        <v>0</v>
      </c>
      <c r="M122" s="40">
        <f>RawData!BW120</f>
        <v>0</v>
      </c>
      <c r="N122" s="40">
        <f>RawData!BV120</f>
        <v>0</v>
      </c>
      <c r="O122" s="36">
        <f>RawData!BU120</f>
        <v>0</v>
      </c>
      <c r="P122" s="36">
        <f>RawData!BT120</f>
        <v>0</v>
      </c>
      <c r="Q122" s="36">
        <f>RawData!BS120</f>
        <v>0</v>
      </c>
      <c r="R122" s="36">
        <f>RawData!BR120</f>
        <v>0</v>
      </c>
      <c r="S122" s="37">
        <f>RawData!BQ120</f>
        <v>0</v>
      </c>
      <c r="T122" s="37">
        <f>RawData!BP120</f>
        <v>0</v>
      </c>
      <c r="U122" s="38">
        <f>RawData!BO120</f>
        <v>0</v>
      </c>
      <c r="V122" s="38">
        <f>RawData!BN120</f>
        <v>0</v>
      </c>
      <c r="W122" s="39">
        <f>RawData!BM120</f>
        <v>0</v>
      </c>
      <c r="X122" s="39">
        <f>RawData!BL120</f>
        <v>0</v>
      </c>
      <c r="Y122" s="38">
        <f>RawData!BJ120</f>
        <v>0</v>
      </c>
      <c r="Z122" s="38">
        <f>RawData!BI120</f>
        <v>0</v>
      </c>
      <c r="AA122" s="40">
        <f>RawData!BH120</f>
        <v>0</v>
      </c>
      <c r="AB122" s="40">
        <f>RawData!BG120</f>
        <v>0</v>
      </c>
      <c r="AC122" s="40">
        <f>RawData!BF120</f>
        <v>0</v>
      </c>
      <c r="AD122" s="40">
        <f>RawData!BE120</f>
        <v>0</v>
      </c>
      <c r="AE122" s="40">
        <f>RawData!BD120</f>
        <v>0</v>
      </c>
      <c r="AF122" s="40">
        <f>RawData!BC120</f>
        <v>0</v>
      </c>
      <c r="AG122" s="41">
        <f>RawData!BB120</f>
        <v>0</v>
      </c>
      <c r="AH122" s="42">
        <f>RawData!DB120</f>
        <v>0</v>
      </c>
      <c r="AI122" s="41">
        <f>RawData!BA120</f>
        <v>0</v>
      </c>
      <c r="AJ122" s="43">
        <f>RawData!DA120</f>
        <v>0</v>
      </c>
      <c r="AK122" s="41">
        <f>RawData!AZ120</f>
        <v>0</v>
      </c>
      <c r="AL122" s="42">
        <f>RawData!DD120</f>
        <v>0</v>
      </c>
      <c r="AM122" s="44">
        <f>RawData!DC120</f>
        <v>0</v>
      </c>
      <c r="AN122" s="45">
        <f>RawData!BK120</f>
        <v>0</v>
      </c>
      <c r="AO122" s="44">
        <f>RawData!AY120</f>
        <v>0</v>
      </c>
      <c r="AP122" s="43" t="str">
        <f>RawData!DH120</f>
        <v>W</v>
      </c>
      <c r="AQ122" s="43">
        <f>RawData!DE120</f>
        <v>0</v>
      </c>
      <c r="AR122" s="42">
        <f>RawData!CZ120</f>
        <v>0</v>
      </c>
      <c r="AS122" s="44">
        <f>RawData!AX120</f>
        <v>0</v>
      </c>
      <c r="AT122" s="43">
        <f>RawData!CY120</f>
        <v>0</v>
      </c>
      <c r="AU122" s="44">
        <f>RawData!AW120</f>
        <v>0</v>
      </c>
      <c r="AV122" s="46">
        <f>RawData!O120</f>
        <v>41200</v>
      </c>
      <c r="AW122" s="44">
        <f>RawData!AV120</f>
        <v>0</v>
      </c>
      <c r="AX122" s="44">
        <f>RawData!CW120</f>
        <v>0</v>
      </c>
      <c r="AY122" s="44">
        <f>RawData!AU120</f>
        <v>0</v>
      </c>
      <c r="AZ122" s="42">
        <f>RawData!CX120</f>
        <v>0</v>
      </c>
      <c r="BA122" s="44">
        <f>RawData!DF120</f>
        <v>0</v>
      </c>
      <c r="BB122" s="43" t="str">
        <f>RawData!DI120</f>
        <v>W</v>
      </c>
      <c r="BC122" s="44">
        <f>RawData!AT120</f>
        <v>0</v>
      </c>
      <c r="BD122" s="45">
        <f>RawData!AP120</f>
        <v>0</v>
      </c>
      <c r="BE122" s="44">
        <f>RawData!CS120</f>
        <v>0</v>
      </c>
      <c r="BF122" s="42">
        <f>RawData!CT120</f>
        <v>0</v>
      </c>
      <c r="BG122" s="41">
        <f>RawData!AS120</f>
        <v>0</v>
      </c>
      <c r="BH122" s="41">
        <f>RawData!CU120</f>
        <v>0</v>
      </c>
      <c r="BI122" s="41">
        <f>RawData!AR120</f>
        <v>0</v>
      </c>
      <c r="BJ122" s="42">
        <f>RawData!CV120</f>
        <v>0</v>
      </c>
      <c r="BK122" s="41">
        <f>RawData!AQ120</f>
        <v>0</v>
      </c>
      <c r="BL122" s="40">
        <f>RawData!AO120</f>
        <v>0</v>
      </c>
      <c r="BM122" s="40">
        <f>RawData!AN120</f>
        <v>0</v>
      </c>
      <c r="BN122" s="40">
        <f>RawData!AM120</f>
        <v>0</v>
      </c>
      <c r="BO122" s="40">
        <f>RawData!AL120</f>
        <v>0</v>
      </c>
      <c r="BP122" s="40">
        <f>RawData!AK120</f>
        <v>0</v>
      </c>
      <c r="BQ122" s="40">
        <f>RawData!AJ120</f>
        <v>0</v>
      </c>
      <c r="BR122" s="38">
        <f>RawData!AI120</f>
        <v>0</v>
      </c>
      <c r="BS122" s="38">
        <f>RawData!AH120</f>
        <v>0</v>
      </c>
      <c r="BT122" s="40">
        <f>RawData!AG120</f>
        <v>0</v>
      </c>
      <c r="BU122" s="39">
        <f>RawData!AF120</f>
        <v>0</v>
      </c>
      <c r="BV122" s="39">
        <f>RawData!AE120</f>
        <v>0</v>
      </c>
      <c r="BW122" s="38">
        <f>RawData!AD120</f>
        <v>0</v>
      </c>
      <c r="BX122" s="38">
        <f>RawData!AC120</f>
        <v>0</v>
      </c>
      <c r="BY122" s="37">
        <f>RawData!AB120</f>
        <v>0</v>
      </c>
      <c r="BZ122" s="37">
        <f>RawData!AA120</f>
        <v>0</v>
      </c>
      <c r="CA122" s="36">
        <f>RawData!Z120</f>
        <v>0</v>
      </c>
      <c r="CB122" s="36">
        <f>RawData!Y120</f>
        <v>0</v>
      </c>
      <c r="CC122" s="36">
        <f>RawData!X120</f>
        <v>0</v>
      </c>
      <c r="CD122" s="36">
        <f>RawData!W120</f>
        <v>0</v>
      </c>
      <c r="CE122" s="40">
        <f>RawData!V120</f>
        <v>0</v>
      </c>
      <c r="CF122" s="40">
        <f>RawData!U120</f>
        <v>0</v>
      </c>
      <c r="CG122" s="40">
        <f>RawData!T120</f>
        <v>0</v>
      </c>
      <c r="CH122" s="44">
        <f>RawData!S120</f>
        <v>0</v>
      </c>
      <c r="CI122" s="44">
        <f>RawData!R120</f>
        <v>0</v>
      </c>
      <c r="CJ122" s="44">
        <f>RawData!Q120</f>
        <v>0</v>
      </c>
      <c r="CK122" s="44">
        <f>RawData!P120</f>
        <v>0</v>
      </c>
      <c r="CL122" s="44">
        <f>RawData!CJ120</f>
        <v>0</v>
      </c>
      <c r="CM122" s="43">
        <f>RawData!CI120</f>
        <v>0</v>
      </c>
      <c r="CN122" s="44">
        <f>RawData!CL120</f>
        <v>0</v>
      </c>
      <c r="CO122" s="43">
        <f>RawData!CK120</f>
        <v>0</v>
      </c>
      <c r="CP122" s="44">
        <f>RawData!CM120</f>
        <v>0</v>
      </c>
      <c r="CQ122" s="47">
        <f>RawData!CO120</f>
        <v>44783.636701388888</v>
      </c>
      <c r="CR122" s="44">
        <f>RawData!CP120</f>
        <v>38295.69921875</v>
      </c>
      <c r="CS122" s="44">
        <f>RawData!DG120</f>
        <v>38295.69921875</v>
      </c>
      <c r="CT122" s="43" t="str">
        <f>RawData!DJ120</f>
        <v>G</v>
      </c>
      <c r="CU122" s="43" t="str">
        <f>RawData!CQ120</f>
        <v>FairPrice</v>
      </c>
      <c r="CV122" s="47">
        <f>RawData!CR120</f>
        <v>44783.638194444444</v>
      </c>
      <c r="CW122" s="65">
        <f>RawData!DK120</f>
        <v>38300</v>
      </c>
      <c r="CX122" s="65">
        <f>RawData!DL120</f>
        <v>3400000</v>
      </c>
      <c r="CY122" s="65">
        <f>RawData!DM120</f>
        <v>38500</v>
      </c>
      <c r="CZ122" s="65">
        <f>RawData!DN120</f>
        <v>0</v>
      </c>
      <c r="DA122" s="65">
        <f>RawData!DO120</f>
        <v>24500</v>
      </c>
      <c r="DB122" s="65">
        <f>RawData!DP120</f>
        <v>2863350</v>
      </c>
      <c r="DC122" s="65">
        <f>RawData!DQ120</f>
        <v>38000</v>
      </c>
      <c r="DD122" s="65">
        <f>RawData!DR120</f>
        <v>0</v>
      </c>
      <c r="DE122" s="65">
        <f>RawData!DS120</f>
        <v>24500</v>
      </c>
      <c r="DF122" s="65" t="str">
        <f>RawData!DT120</f>
        <v>BANKNIFTY</v>
      </c>
      <c r="DG122" s="66">
        <f>RawData!DU120</f>
        <v>44784</v>
      </c>
      <c r="DI122" s="21">
        <f t="shared" si="1"/>
        <v>2904.30078125</v>
      </c>
    </row>
    <row r="123" spans="1:113" x14ac:dyDescent="0.2">
      <c r="A123" s="59">
        <f>RawData!CN121</f>
        <v>44783.636701388888</v>
      </c>
      <c r="B123" s="44">
        <f>RawData!CH121</f>
        <v>0</v>
      </c>
      <c r="C123" s="44">
        <f>RawData!CG121</f>
        <v>0</v>
      </c>
      <c r="D123" s="43">
        <f>RawData!CF121</f>
        <v>0</v>
      </c>
      <c r="E123" s="44">
        <f>RawData!CE121</f>
        <v>0</v>
      </c>
      <c r="F123" s="43">
        <f>RawData!CD121</f>
        <v>0</v>
      </c>
      <c r="G123" s="44">
        <f>RawData!CC121</f>
        <v>0</v>
      </c>
      <c r="H123" s="44">
        <f>RawData!CB121</f>
        <v>0</v>
      </c>
      <c r="I123" s="44">
        <f>RawData!CA121</f>
        <v>0</v>
      </c>
      <c r="J123" s="44">
        <f>RawData!BZ121</f>
        <v>0</v>
      </c>
      <c r="K123" s="40">
        <f>RawData!BY121</f>
        <v>0</v>
      </c>
      <c r="L123" s="40">
        <f>RawData!BX121</f>
        <v>0</v>
      </c>
      <c r="M123" s="40">
        <f>RawData!BW121</f>
        <v>0</v>
      </c>
      <c r="N123" s="40">
        <f>RawData!BV121</f>
        <v>0</v>
      </c>
      <c r="O123" s="36">
        <f>RawData!BU121</f>
        <v>0</v>
      </c>
      <c r="P123" s="36">
        <f>RawData!BT121</f>
        <v>0</v>
      </c>
      <c r="Q123" s="36">
        <f>RawData!BS121</f>
        <v>0</v>
      </c>
      <c r="R123" s="36">
        <f>RawData!BR121</f>
        <v>0</v>
      </c>
      <c r="S123" s="37">
        <f>RawData!BQ121</f>
        <v>0</v>
      </c>
      <c r="T123" s="37">
        <f>RawData!BP121</f>
        <v>0</v>
      </c>
      <c r="U123" s="38">
        <f>RawData!BO121</f>
        <v>0</v>
      </c>
      <c r="V123" s="38">
        <f>RawData!BN121</f>
        <v>0</v>
      </c>
      <c r="W123" s="39">
        <f>RawData!BM121</f>
        <v>0</v>
      </c>
      <c r="X123" s="39">
        <f>RawData!BL121</f>
        <v>0</v>
      </c>
      <c r="Y123" s="38">
        <f>RawData!BJ121</f>
        <v>0</v>
      </c>
      <c r="Z123" s="38">
        <f>RawData!BI121</f>
        <v>0</v>
      </c>
      <c r="AA123" s="40">
        <f>RawData!BH121</f>
        <v>0</v>
      </c>
      <c r="AB123" s="40">
        <f>RawData!BG121</f>
        <v>0</v>
      </c>
      <c r="AC123" s="40">
        <f>RawData!BF121</f>
        <v>0</v>
      </c>
      <c r="AD123" s="40">
        <f>RawData!BE121</f>
        <v>0</v>
      </c>
      <c r="AE123" s="40">
        <f>RawData!BD121</f>
        <v>0</v>
      </c>
      <c r="AF123" s="40">
        <f>RawData!BC121</f>
        <v>0</v>
      </c>
      <c r="AG123" s="41">
        <f>RawData!BB121</f>
        <v>0</v>
      </c>
      <c r="AH123" s="42">
        <f>RawData!DB121</f>
        <v>0</v>
      </c>
      <c r="AI123" s="41">
        <f>RawData!BA121</f>
        <v>0</v>
      </c>
      <c r="AJ123" s="43">
        <f>RawData!DA121</f>
        <v>0</v>
      </c>
      <c r="AK123" s="41">
        <f>RawData!AZ121</f>
        <v>0</v>
      </c>
      <c r="AL123" s="42">
        <f>RawData!DD121</f>
        <v>0</v>
      </c>
      <c r="AM123" s="44">
        <f>RawData!DC121</f>
        <v>0</v>
      </c>
      <c r="AN123" s="45">
        <f>RawData!BK121</f>
        <v>0</v>
      </c>
      <c r="AO123" s="44">
        <f>RawData!AY121</f>
        <v>0</v>
      </c>
      <c r="AP123" s="43" t="str">
        <f>RawData!DH121</f>
        <v>W</v>
      </c>
      <c r="AQ123" s="43">
        <f>RawData!DE121</f>
        <v>0</v>
      </c>
      <c r="AR123" s="42">
        <f>RawData!CZ121</f>
        <v>0</v>
      </c>
      <c r="AS123" s="44">
        <f>RawData!AX121</f>
        <v>0</v>
      </c>
      <c r="AT123" s="43">
        <f>RawData!CY121</f>
        <v>0</v>
      </c>
      <c r="AU123" s="44">
        <f>RawData!AW121</f>
        <v>0</v>
      </c>
      <c r="AV123" s="46">
        <f>RawData!O121</f>
        <v>41300</v>
      </c>
      <c r="AW123" s="44">
        <f>RawData!AV121</f>
        <v>0</v>
      </c>
      <c r="AX123" s="44">
        <f>RawData!CW121</f>
        <v>0</v>
      </c>
      <c r="AY123" s="44">
        <f>RawData!AU121</f>
        <v>0</v>
      </c>
      <c r="AZ123" s="42">
        <f>RawData!CX121</f>
        <v>0</v>
      </c>
      <c r="BA123" s="44">
        <f>RawData!DF121</f>
        <v>0</v>
      </c>
      <c r="BB123" s="43" t="str">
        <f>RawData!DI121</f>
        <v>W</v>
      </c>
      <c r="BC123" s="44">
        <f>RawData!AT121</f>
        <v>0</v>
      </c>
      <c r="BD123" s="45">
        <f>RawData!AP121</f>
        <v>0</v>
      </c>
      <c r="BE123" s="44">
        <f>RawData!CS121</f>
        <v>0</v>
      </c>
      <c r="BF123" s="42">
        <f>RawData!CT121</f>
        <v>0</v>
      </c>
      <c r="BG123" s="41">
        <f>RawData!AS121</f>
        <v>0</v>
      </c>
      <c r="BH123" s="41">
        <f>RawData!CU121</f>
        <v>0</v>
      </c>
      <c r="BI123" s="41">
        <f>RawData!AR121</f>
        <v>0</v>
      </c>
      <c r="BJ123" s="42">
        <f>RawData!CV121</f>
        <v>0</v>
      </c>
      <c r="BK123" s="41">
        <f>RawData!AQ121</f>
        <v>0</v>
      </c>
      <c r="BL123" s="40">
        <f>RawData!AO121</f>
        <v>0</v>
      </c>
      <c r="BM123" s="40">
        <f>RawData!AN121</f>
        <v>0</v>
      </c>
      <c r="BN123" s="40">
        <f>RawData!AM121</f>
        <v>0</v>
      </c>
      <c r="BO123" s="40">
        <f>RawData!AL121</f>
        <v>0</v>
      </c>
      <c r="BP123" s="40">
        <f>RawData!AK121</f>
        <v>0</v>
      </c>
      <c r="BQ123" s="40">
        <f>RawData!AJ121</f>
        <v>0</v>
      </c>
      <c r="BR123" s="38">
        <f>RawData!AI121</f>
        <v>0</v>
      </c>
      <c r="BS123" s="38">
        <f>RawData!AH121</f>
        <v>0</v>
      </c>
      <c r="BT123" s="40">
        <f>RawData!AG121</f>
        <v>0</v>
      </c>
      <c r="BU123" s="39">
        <f>RawData!AF121</f>
        <v>0</v>
      </c>
      <c r="BV123" s="39">
        <f>RawData!AE121</f>
        <v>0</v>
      </c>
      <c r="BW123" s="38">
        <f>RawData!AD121</f>
        <v>0</v>
      </c>
      <c r="BX123" s="38">
        <f>RawData!AC121</f>
        <v>0</v>
      </c>
      <c r="BY123" s="37">
        <f>RawData!AB121</f>
        <v>0</v>
      </c>
      <c r="BZ123" s="37">
        <f>RawData!AA121</f>
        <v>0</v>
      </c>
      <c r="CA123" s="36">
        <f>RawData!Z121</f>
        <v>0</v>
      </c>
      <c r="CB123" s="36">
        <f>RawData!Y121</f>
        <v>0</v>
      </c>
      <c r="CC123" s="36">
        <f>RawData!X121</f>
        <v>0</v>
      </c>
      <c r="CD123" s="36">
        <f>RawData!W121</f>
        <v>0</v>
      </c>
      <c r="CE123" s="40">
        <f>RawData!V121</f>
        <v>0</v>
      </c>
      <c r="CF123" s="40">
        <f>RawData!U121</f>
        <v>0</v>
      </c>
      <c r="CG123" s="40">
        <f>RawData!T121</f>
        <v>0</v>
      </c>
      <c r="CH123" s="44">
        <f>RawData!S121</f>
        <v>0</v>
      </c>
      <c r="CI123" s="44">
        <f>RawData!R121</f>
        <v>0</v>
      </c>
      <c r="CJ123" s="44">
        <f>RawData!Q121</f>
        <v>0</v>
      </c>
      <c r="CK123" s="44">
        <f>RawData!P121</f>
        <v>0</v>
      </c>
      <c r="CL123" s="44">
        <f>RawData!CJ121</f>
        <v>0</v>
      </c>
      <c r="CM123" s="43">
        <f>RawData!CI121</f>
        <v>0</v>
      </c>
      <c r="CN123" s="44">
        <f>RawData!CL121</f>
        <v>0</v>
      </c>
      <c r="CO123" s="43">
        <f>RawData!CK121</f>
        <v>0</v>
      </c>
      <c r="CP123" s="44">
        <f>RawData!CM121</f>
        <v>0</v>
      </c>
      <c r="CQ123" s="47">
        <f>RawData!CO121</f>
        <v>44783.636701388888</v>
      </c>
      <c r="CR123" s="44">
        <f>RawData!CP121</f>
        <v>38295.69921875</v>
      </c>
      <c r="CS123" s="44">
        <f>RawData!DG121</f>
        <v>38295.69921875</v>
      </c>
      <c r="CT123" s="43" t="str">
        <f>RawData!DJ121</f>
        <v>G</v>
      </c>
      <c r="CU123" s="43" t="str">
        <f>RawData!CQ121</f>
        <v>FairPrice</v>
      </c>
      <c r="CV123" s="47">
        <f>RawData!CR121</f>
        <v>44783.638194444444</v>
      </c>
      <c r="CW123" s="65">
        <f>RawData!DK121</f>
        <v>38300</v>
      </c>
      <c r="CX123" s="65">
        <f>RawData!DL121</f>
        <v>3400000</v>
      </c>
      <c r="CY123" s="65">
        <f>RawData!DM121</f>
        <v>38500</v>
      </c>
      <c r="CZ123" s="65">
        <f>RawData!DN121</f>
        <v>0</v>
      </c>
      <c r="DA123" s="65">
        <f>RawData!DO121</f>
        <v>24500</v>
      </c>
      <c r="DB123" s="65">
        <f>RawData!DP121</f>
        <v>2863350</v>
      </c>
      <c r="DC123" s="65">
        <f>RawData!DQ121</f>
        <v>38000</v>
      </c>
      <c r="DD123" s="65">
        <f>RawData!DR121</f>
        <v>0</v>
      </c>
      <c r="DE123" s="65">
        <f>RawData!DS121</f>
        <v>24500</v>
      </c>
      <c r="DF123" s="65" t="str">
        <f>RawData!DT121</f>
        <v>BANKNIFTY</v>
      </c>
      <c r="DG123" s="66">
        <f>RawData!DU121</f>
        <v>44784</v>
      </c>
      <c r="DI123" s="21">
        <f t="shared" si="1"/>
        <v>3004.30078125</v>
      </c>
    </row>
    <row r="124" spans="1:113" x14ac:dyDescent="0.2">
      <c r="A124" s="59">
        <f>RawData!CN122</f>
        <v>44783.636701388888</v>
      </c>
      <c r="B124" s="44">
        <f>RawData!CH122</f>
        <v>0</v>
      </c>
      <c r="C124" s="44">
        <f>RawData!CG122</f>
        <v>0</v>
      </c>
      <c r="D124" s="43">
        <f>RawData!CF122</f>
        <v>0</v>
      </c>
      <c r="E124" s="44">
        <f>RawData!CE122</f>
        <v>0</v>
      </c>
      <c r="F124" s="43">
        <f>RawData!CD122</f>
        <v>0</v>
      </c>
      <c r="G124" s="44">
        <f>RawData!CC122</f>
        <v>0</v>
      </c>
      <c r="H124" s="44">
        <f>RawData!CB122</f>
        <v>0</v>
      </c>
      <c r="I124" s="44">
        <f>RawData!CA122</f>
        <v>0</v>
      </c>
      <c r="J124" s="44">
        <f>RawData!BZ122</f>
        <v>0</v>
      </c>
      <c r="K124" s="40">
        <f>RawData!BY122</f>
        <v>0</v>
      </c>
      <c r="L124" s="40">
        <f>RawData!BX122</f>
        <v>0</v>
      </c>
      <c r="M124" s="40">
        <f>RawData!BW122</f>
        <v>0</v>
      </c>
      <c r="N124" s="40">
        <f>RawData!BV122</f>
        <v>0</v>
      </c>
      <c r="O124" s="36">
        <f>RawData!BU122</f>
        <v>0</v>
      </c>
      <c r="P124" s="36">
        <f>RawData!BT122</f>
        <v>0</v>
      </c>
      <c r="Q124" s="36">
        <f>RawData!BS122</f>
        <v>0</v>
      </c>
      <c r="R124" s="36">
        <f>RawData!BR122</f>
        <v>0</v>
      </c>
      <c r="S124" s="37">
        <f>RawData!BQ122</f>
        <v>0</v>
      </c>
      <c r="T124" s="37">
        <f>RawData!BP122</f>
        <v>0</v>
      </c>
      <c r="U124" s="38">
        <f>RawData!BO122</f>
        <v>0</v>
      </c>
      <c r="V124" s="38">
        <f>RawData!BN122</f>
        <v>0</v>
      </c>
      <c r="W124" s="39">
        <f>RawData!BM122</f>
        <v>0</v>
      </c>
      <c r="X124" s="39">
        <f>RawData!BL122</f>
        <v>0</v>
      </c>
      <c r="Y124" s="38">
        <f>RawData!BJ122</f>
        <v>0</v>
      </c>
      <c r="Z124" s="38">
        <f>RawData!BI122</f>
        <v>0</v>
      </c>
      <c r="AA124" s="40">
        <f>RawData!BH122</f>
        <v>0</v>
      </c>
      <c r="AB124" s="40">
        <f>RawData!BG122</f>
        <v>0</v>
      </c>
      <c r="AC124" s="40">
        <f>RawData!BF122</f>
        <v>0</v>
      </c>
      <c r="AD124" s="40">
        <f>RawData!BE122</f>
        <v>0</v>
      </c>
      <c r="AE124" s="40">
        <f>RawData!BD122</f>
        <v>0</v>
      </c>
      <c r="AF124" s="40">
        <f>RawData!BC122</f>
        <v>0</v>
      </c>
      <c r="AG124" s="41">
        <f>RawData!BB122</f>
        <v>0</v>
      </c>
      <c r="AH124" s="42">
        <f>RawData!DB122</f>
        <v>0</v>
      </c>
      <c r="AI124" s="41">
        <f>RawData!BA122</f>
        <v>0</v>
      </c>
      <c r="AJ124" s="43">
        <f>RawData!DA122</f>
        <v>0</v>
      </c>
      <c r="AK124" s="41">
        <f>RawData!AZ122</f>
        <v>0</v>
      </c>
      <c r="AL124" s="42">
        <f>RawData!DD122</f>
        <v>0</v>
      </c>
      <c r="AM124" s="44">
        <f>RawData!DC122</f>
        <v>0</v>
      </c>
      <c r="AN124" s="45">
        <f>RawData!BK122</f>
        <v>0</v>
      </c>
      <c r="AO124" s="44">
        <f>RawData!AY122</f>
        <v>0</v>
      </c>
      <c r="AP124" s="43" t="str">
        <f>RawData!DH122</f>
        <v>W</v>
      </c>
      <c r="AQ124" s="43">
        <f>RawData!DE122</f>
        <v>0</v>
      </c>
      <c r="AR124" s="42">
        <f>RawData!CZ122</f>
        <v>0</v>
      </c>
      <c r="AS124" s="44">
        <f>RawData!AX122</f>
        <v>0</v>
      </c>
      <c r="AT124" s="43">
        <f>RawData!CY122</f>
        <v>0</v>
      </c>
      <c r="AU124" s="44">
        <f>RawData!AW122</f>
        <v>0</v>
      </c>
      <c r="AV124" s="46">
        <f>RawData!O122</f>
        <v>41400</v>
      </c>
      <c r="AW124" s="44">
        <f>RawData!AV122</f>
        <v>0</v>
      </c>
      <c r="AX124" s="44">
        <f>RawData!CW122</f>
        <v>0</v>
      </c>
      <c r="AY124" s="44">
        <f>RawData!AU122</f>
        <v>0</v>
      </c>
      <c r="AZ124" s="42">
        <f>RawData!CX122</f>
        <v>0</v>
      </c>
      <c r="BA124" s="44">
        <f>RawData!DF122</f>
        <v>0</v>
      </c>
      <c r="BB124" s="43" t="str">
        <f>RawData!DI122</f>
        <v>W</v>
      </c>
      <c r="BC124" s="44">
        <f>RawData!AT122</f>
        <v>0</v>
      </c>
      <c r="BD124" s="45">
        <f>RawData!AP122</f>
        <v>0</v>
      </c>
      <c r="BE124" s="44">
        <f>RawData!CS122</f>
        <v>0</v>
      </c>
      <c r="BF124" s="42">
        <f>RawData!CT122</f>
        <v>0</v>
      </c>
      <c r="BG124" s="41">
        <f>RawData!AS122</f>
        <v>0</v>
      </c>
      <c r="BH124" s="41">
        <f>RawData!CU122</f>
        <v>0</v>
      </c>
      <c r="BI124" s="41">
        <f>RawData!AR122</f>
        <v>0</v>
      </c>
      <c r="BJ124" s="42">
        <f>RawData!CV122</f>
        <v>0</v>
      </c>
      <c r="BK124" s="41">
        <f>RawData!AQ122</f>
        <v>0</v>
      </c>
      <c r="BL124" s="40">
        <f>RawData!AO122</f>
        <v>0</v>
      </c>
      <c r="BM124" s="40">
        <f>RawData!AN122</f>
        <v>0</v>
      </c>
      <c r="BN124" s="40">
        <f>RawData!AM122</f>
        <v>0</v>
      </c>
      <c r="BO124" s="40">
        <f>RawData!AL122</f>
        <v>0</v>
      </c>
      <c r="BP124" s="40">
        <f>RawData!AK122</f>
        <v>0</v>
      </c>
      <c r="BQ124" s="40">
        <f>RawData!AJ122</f>
        <v>0</v>
      </c>
      <c r="BR124" s="38">
        <f>RawData!AI122</f>
        <v>0</v>
      </c>
      <c r="BS124" s="38">
        <f>RawData!AH122</f>
        <v>0</v>
      </c>
      <c r="BT124" s="40">
        <f>RawData!AG122</f>
        <v>0</v>
      </c>
      <c r="BU124" s="39">
        <f>RawData!AF122</f>
        <v>0</v>
      </c>
      <c r="BV124" s="39">
        <f>RawData!AE122</f>
        <v>0</v>
      </c>
      <c r="BW124" s="38">
        <f>RawData!AD122</f>
        <v>0</v>
      </c>
      <c r="BX124" s="38">
        <f>RawData!AC122</f>
        <v>0</v>
      </c>
      <c r="BY124" s="37">
        <f>RawData!AB122</f>
        <v>0</v>
      </c>
      <c r="BZ124" s="37">
        <f>RawData!AA122</f>
        <v>0</v>
      </c>
      <c r="CA124" s="36">
        <f>RawData!Z122</f>
        <v>0</v>
      </c>
      <c r="CB124" s="36">
        <f>RawData!Y122</f>
        <v>0</v>
      </c>
      <c r="CC124" s="36">
        <f>RawData!X122</f>
        <v>0</v>
      </c>
      <c r="CD124" s="36">
        <f>RawData!W122</f>
        <v>0</v>
      </c>
      <c r="CE124" s="40">
        <f>RawData!V122</f>
        <v>0</v>
      </c>
      <c r="CF124" s="40">
        <f>RawData!U122</f>
        <v>0</v>
      </c>
      <c r="CG124" s="40">
        <f>RawData!T122</f>
        <v>0</v>
      </c>
      <c r="CH124" s="44">
        <f>RawData!S122</f>
        <v>0</v>
      </c>
      <c r="CI124" s="44">
        <f>RawData!R122</f>
        <v>0</v>
      </c>
      <c r="CJ124" s="44">
        <f>RawData!Q122</f>
        <v>0</v>
      </c>
      <c r="CK124" s="44">
        <f>RawData!P122</f>
        <v>0</v>
      </c>
      <c r="CL124" s="44">
        <f>RawData!CJ122</f>
        <v>0</v>
      </c>
      <c r="CM124" s="43">
        <f>RawData!CI122</f>
        <v>0</v>
      </c>
      <c r="CN124" s="44">
        <f>RawData!CL122</f>
        <v>0</v>
      </c>
      <c r="CO124" s="43">
        <f>RawData!CK122</f>
        <v>0</v>
      </c>
      <c r="CP124" s="44">
        <f>RawData!CM122</f>
        <v>0</v>
      </c>
      <c r="CQ124" s="47">
        <f>RawData!CO122</f>
        <v>44783.636701388888</v>
      </c>
      <c r="CR124" s="44">
        <f>RawData!CP122</f>
        <v>38295.69921875</v>
      </c>
      <c r="CS124" s="44">
        <f>RawData!DG122</f>
        <v>38295.69921875</v>
      </c>
      <c r="CT124" s="43" t="str">
        <f>RawData!DJ122</f>
        <v>G</v>
      </c>
      <c r="CU124" s="43" t="str">
        <f>RawData!CQ122</f>
        <v>FairPrice</v>
      </c>
      <c r="CV124" s="47">
        <f>RawData!CR122</f>
        <v>44783.638194444444</v>
      </c>
      <c r="CW124" s="65">
        <f>RawData!DK122</f>
        <v>38300</v>
      </c>
      <c r="CX124" s="65">
        <f>RawData!DL122</f>
        <v>3400000</v>
      </c>
      <c r="CY124" s="65">
        <f>RawData!DM122</f>
        <v>38500</v>
      </c>
      <c r="CZ124" s="65">
        <f>RawData!DN122</f>
        <v>0</v>
      </c>
      <c r="DA124" s="65">
        <f>RawData!DO122</f>
        <v>24500</v>
      </c>
      <c r="DB124" s="65">
        <f>RawData!DP122</f>
        <v>2863350</v>
      </c>
      <c r="DC124" s="65">
        <f>RawData!DQ122</f>
        <v>38000</v>
      </c>
      <c r="DD124" s="65">
        <f>RawData!DR122</f>
        <v>0</v>
      </c>
      <c r="DE124" s="65">
        <f>RawData!DS122</f>
        <v>24500</v>
      </c>
      <c r="DF124" s="65" t="str">
        <f>RawData!DT122</f>
        <v>BANKNIFTY</v>
      </c>
      <c r="DG124" s="66">
        <f>RawData!DU122</f>
        <v>44784</v>
      </c>
      <c r="DI124" s="21">
        <f t="shared" si="1"/>
        <v>3104.30078125</v>
      </c>
    </row>
    <row r="125" spans="1:113" x14ac:dyDescent="0.2">
      <c r="A125" s="59">
        <f>RawData!CN123</f>
        <v>44783.638194444444</v>
      </c>
      <c r="B125" s="44">
        <f>RawData!CH123</f>
        <v>2.1800000667572021</v>
      </c>
      <c r="C125" s="44">
        <f>RawData!CG123</f>
        <v>1225</v>
      </c>
      <c r="D125" s="43">
        <f>RawData!CF123</f>
        <v>1.6000000238418579</v>
      </c>
      <c r="E125" s="44">
        <f>RawData!CE123</f>
        <v>1425</v>
      </c>
      <c r="F125" s="43">
        <f>RawData!CD123</f>
        <v>1.6499999761581421</v>
      </c>
      <c r="G125" s="44">
        <f>RawData!CC123</f>
        <v>1.6000000238418579</v>
      </c>
      <c r="H125" s="44">
        <f>RawData!CB123</f>
        <v>1.6000000238418579</v>
      </c>
      <c r="I125" s="44">
        <f>RawData!CA123</f>
        <v>2.5499999523162842</v>
      </c>
      <c r="J125" s="44">
        <f>RawData!BZ123</f>
        <v>1.7999999523162842</v>
      </c>
      <c r="K125" s="40">
        <f>RawData!BY123</f>
        <v>3.2734375</v>
      </c>
      <c r="L125" s="40">
        <f>RawData!BX123</f>
        <v>96364.65625</v>
      </c>
      <c r="M125" s="40">
        <f>RawData!BW123</f>
        <v>-13.5625</v>
      </c>
      <c r="N125" s="40">
        <f>RawData!BV123</f>
        <v>301187.375</v>
      </c>
      <c r="O125" s="36">
        <f>RawData!BU123</f>
        <v>7.3487171903252602E-10</v>
      </c>
      <c r="P125" s="36">
        <f>RawData!BT123</f>
        <v>3.1994790333556011E-5</v>
      </c>
      <c r="Q125" s="36">
        <f>RawData!BS123</f>
        <v>-6.4537744037806988E-9</v>
      </c>
      <c r="R125" s="36">
        <f>RawData!BR123</f>
        <v>1.1441965034464374E-4</v>
      </c>
      <c r="S125" s="37">
        <f>RawData!BQ123</f>
        <v>-8.8284934918192448E-13</v>
      </c>
      <c r="T125" s="37">
        <f>RawData!BP123</f>
        <v>2.4546388033286348E-8</v>
      </c>
      <c r="U125" s="38">
        <f>RawData!BO123</f>
        <v>-8.8214874267578125E-4</v>
      </c>
      <c r="V125" s="38">
        <f>RawData!BN123</f>
        <v>-15.826977729797363</v>
      </c>
      <c r="W125" s="39">
        <f>RawData!BM123</f>
        <v>-1.3427734375E-3</v>
      </c>
      <c r="X125" s="39">
        <f>RawData!BL123</f>
        <v>56.600376129150391</v>
      </c>
      <c r="Y125" s="38">
        <f>RawData!BJ123</f>
        <v>-2.6648194761946797E-10</v>
      </c>
      <c r="Z125" s="38">
        <f>RawData!BI123</f>
        <v>1.1085018741141539E-5</v>
      </c>
      <c r="AA125" s="40">
        <f>RawData!BH123</f>
        <v>-8.8512897491455078E-6</v>
      </c>
      <c r="AB125" s="40">
        <f>RawData!BG123</f>
        <v>0.26327604055404663</v>
      </c>
      <c r="AC125" s="40">
        <f>RawData!BF123</f>
        <v>0</v>
      </c>
      <c r="AD125" s="40">
        <f>RawData!BE123</f>
        <v>-1.6000000238418579</v>
      </c>
      <c r="AE125" s="40">
        <f>RawData!BD123</f>
        <v>-5.3551048040390015E-8</v>
      </c>
      <c r="AF125" s="40">
        <f>RawData!BC123</f>
        <v>4.4199945405125618E-3</v>
      </c>
      <c r="AG125" s="41">
        <f>RawData!BB123</f>
        <v>1599750</v>
      </c>
      <c r="AH125" s="42">
        <f>RawData!DB123</f>
        <v>-3.9941321597652867E-2</v>
      </c>
      <c r="AI125" s="41">
        <f>RawData!BA123</f>
        <v>-14975</v>
      </c>
      <c r="AJ125" s="43">
        <f>RawData!DA123</f>
        <v>374925</v>
      </c>
      <c r="AK125" s="41">
        <f>RawData!AZ123</f>
        <v>359950</v>
      </c>
      <c r="AL125" s="42">
        <f>RawData!DD123</f>
        <v>3.6181111655843606E-5</v>
      </c>
      <c r="AM125" s="44">
        <f>RawData!DC123</f>
        <v>2.0802021026611328E-3</v>
      </c>
      <c r="AN125" s="45">
        <f>RawData!BK123</f>
        <v>57.496225833892822</v>
      </c>
      <c r="AO125" s="44">
        <f>RawData!AY123</f>
        <v>57.496225833892822</v>
      </c>
      <c r="AP125" s="43" t="str">
        <f>RawData!DH123</f>
        <v>W</v>
      </c>
      <c r="AQ125" s="43">
        <f>RawData!DE123</f>
        <v>1.6000000238418579</v>
      </c>
      <c r="AR125" s="42">
        <f>RawData!CZ123</f>
        <v>0</v>
      </c>
      <c r="AS125" s="44">
        <f>RawData!AX123</f>
        <v>0</v>
      </c>
      <c r="AT125" s="43">
        <f>RawData!CY123</f>
        <v>1.6000000238418579</v>
      </c>
      <c r="AU125" s="44">
        <f>RawData!AW123</f>
        <v>1.6000000238418579</v>
      </c>
      <c r="AV125" s="46">
        <f>RawData!O123</f>
        <v>41500</v>
      </c>
      <c r="AW125" s="44">
        <f>RawData!AV123</f>
        <v>3693.949951171875</v>
      </c>
      <c r="AX125" s="44">
        <f>RawData!CW123</f>
        <v>3693.949951171875</v>
      </c>
      <c r="AY125" s="44">
        <f>RawData!AU123</f>
        <v>0</v>
      </c>
      <c r="AZ125" s="42">
        <f>RawData!CX123</f>
        <v>0</v>
      </c>
      <c r="BA125" s="44">
        <f>RawData!DF123</f>
        <v>3693.949951171875</v>
      </c>
      <c r="BB125" s="43" t="str">
        <f>RawData!DI123</f>
        <v>W</v>
      </c>
      <c r="BC125" s="44">
        <f>RawData!AT123</f>
        <v>191.06681346893311</v>
      </c>
      <c r="BD125" s="45">
        <f>RawData!AP123</f>
        <v>191.06681346893311</v>
      </c>
      <c r="BE125" s="44">
        <f>RawData!CS123</f>
        <v>1.0484576225280762</v>
      </c>
      <c r="BF125" s="42">
        <f>RawData!CT123</f>
        <v>5.5176649532509472E-3</v>
      </c>
      <c r="BG125" s="41">
        <f>RawData!AS123</f>
        <v>150</v>
      </c>
      <c r="BH125" s="41">
        <f>RawData!CU123</f>
        <v>150</v>
      </c>
      <c r="BI125" s="41">
        <f>RawData!AR123</f>
        <v>0</v>
      </c>
      <c r="BJ125" s="42">
        <f>RawData!CV123</f>
        <v>0</v>
      </c>
      <c r="BK125" s="41">
        <f>RawData!AQ123</f>
        <v>0</v>
      </c>
      <c r="BL125" s="40">
        <f>RawData!AO123</f>
        <v>-0.77000612020492554</v>
      </c>
      <c r="BM125" s="40">
        <f>RawData!AN123</f>
        <v>1.706242561340332E-3</v>
      </c>
      <c r="BN125" s="40">
        <f>RawData!AM123</f>
        <v>-572.59906005859375</v>
      </c>
      <c r="BO125" s="40">
        <f>RawData!AL123</f>
        <v>-6.155029296875</v>
      </c>
      <c r="BP125" s="40">
        <f>RawData!AK123</f>
        <v>6.1825733184814453</v>
      </c>
      <c r="BQ125" s="40">
        <f>RawData!AJ123</f>
        <v>2.1052360534667969E-2</v>
      </c>
      <c r="BR125" s="38">
        <f>RawData!AI123</f>
        <v>7.8050135925877839E-5</v>
      </c>
      <c r="BS125" s="38">
        <f>RawData!AH123</f>
        <v>-4.3757609091699123E-8</v>
      </c>
      <c r="BT125" s="40">
        <f>RawData!AG123</f>
        <v>0.23055636882781982</v>
      </c>
      <c r="BU125" s="39">
        <f>RawData!AF123</f>
        <v>-3.6743134260177612E-3</v>
      </c>
      <c r="BV125" s="39">
        <f>RawData!AE123</f>
        <v>-0.2135297954082489</v>
      </c>
      <c r="BW125" s="38">
        <f>RawData!AD123</f>
        <v>1.8043220043182373E-3</v>
      </c>
      <c r="BX125" s="38">
        <f>RawData!AC123</f>
        <v>1.2785666747561208E-8</v>
      </c>
      <c r="BY125" s="37">
        <f>RawData!AB123</f>
        <v>-1.907967117631415E-10</v>
      </c>
      <c r="BZ125" s="37">
        <f>RawData!AA123</f>
        <v>-1.5483128663618118E-5</v>
      </c>
      <c r="CA125" s="36">
        <f>RawData!Z123</f>
        <v>-2.5851113605313003E-7</v>
      </c>
      <c r="CB125" s="36">
        <f>RawData!Y123</f>
        <v>-1.4339701010612771E-5</v>
      </c>
      <c r="CC125" s="36">
        <f>RawData!X123</f>
        <v>-3.4332970244577155E-7</v>
      </c>
      <c r="CD125" s="36">
        <f>RawData!W123</f>
        <v>346.85543823242188</v>
      </c>
      <c r="CE125" s="40">
        <f>RawData!V123</f>
        <v>-8.485260009765625</v>
      </c>
      <c r="CF125" s="40">
        <f>RawData!U123</f>
        <v>838.557861328125</v>
      </c>
      <c r="CG125" s="40">
        <f>RawData!T123</f>
        <v>-7.0125732421875</v>
      </c>
      <c r="CH125" s="44">
        <f>RawData!S123</f>
        <v>0</v>
      </c>
      <c r="CI125" s="44">
        <f>RawData!R123</f>
        <v>0</v>
      </c>
      <c r="CJ125" s="44">
        <f>RawData!Q123</f>
        <v>0</v>
      </c>
      <c r="CK125" s="44">
        <f>RawData!P123</f>
        <v>3693.949951171875</v>
      </c>
      <c r="CL125" s="44">
        <f>RawData!CJ123</f>
        <v>750</v>
      </c>
      <c r="CM125" s="43">
        <f>RawData!CI123</f>
        <v>3278.60009765625</v>
      </c>
      <c r="CN125" s="44">
        <f>RawData!CL123</f>
        <v>25</v>
      </c>
      <c r="CO125" s="43">
        <f>RawData!CK123</f>
        <v>3156</v>
      </c>
      <c r="CP125" s="44">
        <f>RawData!CM123</f>
        <v>0</v>
      </c>
      <c r="CQ125" s="47">
        <f>RawData!CO123</f>
        <v>44783.637499999997</v>
      </c>
      <c r="CR125" s="44">
        <f>RawData!CP123</f>
        <v>38295.69921875</v>
      </c>
      <c r="CS125" s="44">
        <f>RawData!DG123</f>
        <v>38295.69921875</v>
      </c>
      <c r="CT125" s="43" t="str">
        <f>RawData!DJ123</f>
        <v>G</v>
      </c>
      <c r="CU125" s="43" t="str">
        <f>RawData!CQ123</f>
        <v>FairPrice</v>
      </c>
      <c r="CV125" s="47">
        <f>RawData!CR123</f>
        <v>44783.638194444444</v>
      </c>
      <c r="CW125" s="65">
        <f>RawData!DK123</f>
        <v>38300</v>
      </c>
      <c r="CX125" s="65">
        <f>RawData!DL123</f>
        <v>3400000</v>
      </c>
      <c r="CY125" s="65">
        <f>RawData!DM123</f>
        <v>38500</v>
      </c>
      <c r="CZ125" s="65">
        <f>RawData!DN123</f>
        <v>0</v>
      </c>
      <c r="DA125" s="65">
        <f>RawData!DO123</f>
        <v>24500</v>
      </c>
      <c r="DB125" s="65">
        <f>RawData!DP123</f>
        <v>2863350</v>
      </c>
      <c r="DC125" s="65">
        <f>RawData!DQ123</f>
        <v>38000</v>
      </c>
      <c r="DD125" s="65">
        <f>RawData!DR123</f>
        <v>0</v>
      </c>
      <c r="DE125" s="65">
        <f>RawData!DS123</f>
        <v>24500</v>
      </c>
      <c r="DF125" s="65" t="str">
        <f>RawData!DT123</f>
        <v>BANKNIFTY</v>
      </c>
      <c r="DG125" s="66">
        <f>RawData!DU123</f>
        <v>44784</v>
      </c>
      <c r="DI125" s="21">
        <f t="shared" si="1"/>
        <v>3204.30078125</v>
      </c>
    </row>
    <row r="126" spans="1:113" x14ac:dyDescent="0.2">
      <c r="A126" s="59">
        <f>RawData!CN124</f>
        <v>44783.636701388888</v>
      </c>
      <c r="B126" s="44">
        <f>RawData!CH124</f>
        <v>0</v>
      </c>
      <c r="C126" s="44">
        <f>RawData!CG124</f>
        <v>0</v>
      </c>
      <c r="D126" s="43">
        <f>RawData!CF124</f>
        <v>0</v>
      </c>
      <c r="E126" s="44">
        <f>RawData!CE124</f>
        <v>0</v>
      </c>
      <c r="F126" s="43">
        <f>RawData!CD124</f>
        <v>0</v>
      </c>
      <c r="G126" s="44">
        <f>RawData!CC124</f>
        <v>0</v>
      </c>
      <c r="H126" s="44">
        <f>RawData!CB124</f>
        <v>0</v>
      </c>
      <c r="I126" s="44">
        <f>RawData!CA124</f>
        <v>0</v>
      </c>
      <c r="J126" s="44">
        <f>RawData!BZ124</f>
        <v>0</v>
      </c>
      <c r="K126" s="40">
        <f>RawData!BY124</f>
        <v>0</v>
      </c>
      <c r="L126" s="40">
        <f>RawData!BX124</f>
        <v>0</v>
      </c>
      <c r="M126" s="40">
        <f>RawData!BW124</f>
        <v>0</v>
      </c>
      <c r="N126" s="40">
        <f>RawData!BV124</f>
        <v>0</v>
      </c>
      <c r="O126" s="36">
        <f>RawData!BU124</f>
        <v>0</v>
      </c>
      <c r="P126" s="36">
        <f>RawData!BT124</f>
        <v>0</v>
      </c>
      <c r="Q126" s="36">
        <f>RawData!BS124</f>
        <v>0</v>
      </c>
      <c r="R126" s="36">
        <f>RawData!BR124</f>
        <v>0</v>
      </c>
      <c r="S126" s="37">
        <f>RawData!BQ124</f>
        <v>0</v>
      </c>
      <c r="T126" s="37">
        <f>RawData!BP124</f>
        <v>0</v>
      </c>
      <c r="U126" s="38">
        <f>RawData!BO124</f>
        <v>0</v>
      </c>
      <c r="V126" s="38">
        <f>RawData!BN124</f>
        <v>0</v>
      </c>
      <c r="W126" s="39">
        <f>RawData!BM124</f>
        <v>0</v>
      </c>
      <c r="X126" s="39">
        <f>RawData!BL124</f>
        <v>0</v>
      </c>
      <c r="Y126" s="38">
        <f>RawData!BJ124</f>
        <v>0</v>
      </c>
      <c r="Z126" s="38">
        <f>RawData!BI124</f>
        <v>0</v>
      </c>
      <c r="AA126" s="40">
        <f>RawData!BH124</f>
        <v>0</v>
      </c>
      <c r="AB126" s="40">
        <f>RawData!BG124</f>
        <v>0</v>
      </c>
      <c r="AC126" s="40">
        <f>RawData!BF124</f>
        <v>0</v>
      </c>
      <c r="AD126" s="40">
        <f>RawData!BE124</f>
        <v>0</v>
      </c>
      <c r="AE126" s="40">
        <f>RawData!BD124</f>
        <v>0</v>
      </c>
      <c r="AF126" s="40">
        <f>RawData!BC124</f>
        <v>0</v>
      </c>
      <c r="AG126" s="41">
        <f>RawData!BB124</f>
        <v>0</v>
      </c>
      <c r="AH126" s="42">
        <f>RawData!DB124</f>
        <v>0</v>
      </c>
      <c r="AI126" s="41">
        <f>RawData!BA124</f>
        <v>0</v>
      </c>
      <c r="AJ126" s="43">
        <f>RawData!DA124</f>
        <v>0</v>
      </c>
      <c r="AK126" s="41">
        <f>RawData!AZ124</f>
        <v>0</v>
      </c>
      <c r="AL126" s="42">
        <f>RawData!DD124</f>
        <v>0</v>
      </c>
      <c r="AM126" s="44">
        <f>RawData!DC124</f>
        <v>0</v>
      </c>
      <c r="AN126" s="45">
        <f>RawData!BK124</f>
        <v>0</v>
      </c>
      <c r="AO126" s="44">
        <f>RawData!AY124</f>
        <v>0</v>
      </c>
      <c r="AP126" s="43" t="str">
        <f>RawData!DH124</f>
        <v>W</v>
      </c>
      <c r="AQ126" s="43">
        <f>RawData!DE124</f>
        <v>0</v>
      </c>
      <c r="AR126" s="42">
        <f>RawData!CZ124</f>
        <v>0</v>
      </c>
      <c r="AS126" s="44">
        <f>RawData!AX124</f>
        <v>0</v>
      </c>
      <c r="AT126" s="43">
        <f>RawData!CY124</f>
        <v>0</v>
      </c>
      <c r="AU126" s="44">
        <f>RawData!AW124</f>
        <v>0</v>
      </c>
      <c r="AV126" s="46">
        <f>RawData!O124</f>
        <v>41600</v>
      </c>
      <c r="AW126" s="44">
        <f>RawData!AV124</f>
        <v>0</v>
      </c>
      <c r="AX126" s="44">
        <f>RawData!CW124</f>
        <v>0</v>
      </c>
      <c r="AY126" s="44">
        <f>RawData!AU124</f>
        <v>0</v>
      </c>
      <c r="AZ126" s="42">
        <f>RawData!CX124</f>
        <v>0</v>
      </c>
      <c r="BA126" s="44">
        <f>RawData!DF124</f>
        <v>0</v>
      </c>
      <c r="BB126" s="43" t="str">
        <f>RawData!DI124</f>
        <v>W</v>
      </c>
      <c r="BC126" s="44">
        <f>RawData!AT124</f>
        <v>0</v>
      </c>
      <c r="BD126" s="45">
        <f>RawData!AP124</f>
        <v>0</v>
      </c>
      <c r="BE126" s="44">
        <f>RawData!CS124</f>
        <v>0</v>
      </c>
      <c r="BF126" s="42">
        <f>RawData!CT124</f>
        <v>0</v>
      </c>
      <c r="BG126" s="41">
        <f>RawData!AS124</f>
        <v>0</v>
      </c>
      <c r="BH126" s="41">
        <f>RawData!CU124</f>
        <v>0</v>
      </c>
      <c r="BI126" s="41">
        <f>RawData!AR124</f>
        <v>0</v>
      </c>
      <c r="BJ126" s="42">
        <f>RawData!CV124</f>
        <v>0</v>
      </c>
      <c r="BK126" s="41">
        <f>RawData!AQ124</f>
        <v>0</v>
      </c>
      <c r="BL126" s="40">
        <f>RawData!AO124</f>
        <v>0</v>
      </c>
      <c r="BM126" s="40">
        <f>RawData!AN124</f>
        <v>0</v>
      </c>
      <c r="BN126" s="40">
        <f>RawData!AM124</f>
        <v>0</v>
      </c>
      <c r="BO126" s="40">
        <f>RawData!AL124</f>
        <v>0</v>
      </c>
      <c r="BP126" s="40">
        <f>RawData!AK124</f>
        <v>0</v>
      </c>
      <c r="BQ126" s="40">
        <f>RawData!AJ124</f>
        <v>0</v>
      </c>
      <c r="BR126" s="38">
        <f>RawData!AI124</f>
        <v>0</v>
      </c>
      <c r="BS126" s="38">
        <f>RawData!AH124</f>
        <v>0</v>
      </c>
      <c r="BT126" s="40">
        <f>RawData!AG124</f>
        <v>0</v>
      </c>
      <c r="BU126" s="39">
        <f>RawData!AF124</f>
        <v>0</v>
      </c>
      <c r="BV126" s="39">
        <f>RawData!AE124</f>
        <v>0</v>
      </c>
      <c r="BW126" s="38">
        <f>RawData!AD124</f>
        <v>0</v>
      </c>
      <c r="BX126" s="38">
        <f>RawData!AC124</f>
        <v>0</v>
      </c>
      <c r="BY126" s="37">
        <f>RawData!AB124</f>
        <v>0</v>
      </c>
      <c r="BZ126" s="37">
        <f>RawData!AA124</f>
        <v>0</v>
      </c>
      <c r="CA126" s="36">
        <f>RawData!Z124</f>
        <v>0</v>
      </c>
      <c r="CB126" s="36">
        <f>RawData!Y124</f>
        <v>0</v>
      </c>
      <c r="CC126" s="36">
        <f>RawData!X124</f>
        <v>0</v>
      </c>
      <c r="CD126" s="36">
        <f>RawData!W124</f>
        <v>0</v>
      </c>
      <c r="CE126" s="40">
        <f>RawData!V124</f>
        <v>0</v>
      </c>
      <c r="CF126" s="40">
        <f>RawData!U124</f>
        <v>0</v>
      </c>
      <c r="CG126" s="40">
        <f>RawData!T124</f>
        <v>0</v>
      </c>
      <c r="CH126" s="44">
        <f>RawData!S124</f>
        <v>0</v>
      </c>
      <c r="CI126" s="44">
        <f>RawData!R124</f>
        <v>0</v>
      </c>
      <c r="CJ126" s="44">
        <f>RawData!Q124</f>
        <v>0</v>
      </c>
      <c r="CK126" s="44">
        <f>RawData!P124</f>
        <v>0</v>
      </c>
      <c r="CL126" s="44">
        <f>RawData!CJ124</f>
        <v>0</v>
      </c>
      <c r="CM126" s="43">
        <f>RawData!CI124</f>
        <v>0</v>
      </c>
      <c r="CN126" s="44">
        <f>RawData!CL124</f>
        <v>0</v>
      </c>
      <c r="CO126" s="43">
        <f>RawData!CK124</f>
        <v>0</v>
      </c>
      <c r="CP126" s="44">
        <f>RawData!CM124</f>
        <v>0</v>
      </c>
      <c r="CQ126" s="47">
        <f>RawData!CO124</f>
        <v>44783.636701388888</v>
      </c>
      <c r="CR126" s="44">
        <f>RawData!CP124</f>
        <v>38295.69921875</v>
      </c>
      <c r="CS126" s="44">
        <f>RawData!DG124</f>
        <v>38295.69921875</v>
      </c>
      <c r="CT126" s="43" t="str">
        <f>RawData!DJ124</f>
        <v>G</v>
      </c>
      <c r="CU126" s="43" t="str">
        <f>RawData!CQ124</f>
        <v>FairPrice</v>
      </c>
      <c r="CV126" s="47">
        <f>RawData!CR124</f>
        <v>44783.638194444444</v>
      </c>
      <c r="CW126" s="65">
        <f>RawData!DK124</f>
        <v>38300</v>
      </c>
      <c r="CX126" s="65">
        <f>RawData!DL124</f>
        <v>3400000</v>
      </c>
      <c r="CY126" s="65">
        <f>RawData!DM124</f>
        <v>38500</v>
      </c>
      <c r="CZ126" s="65">
        <f>RawData!DN124</f>
        <v>0</v>
      </c>
      <c r="DA126" s="65">
        <f>RawData!DO124</f>
        <v>24500</v>
      </c>
      <c r="DB126" s="65">
        <f>RawData!DP124</f>
        <v>2863350</v>
      </c>
      <c r="DC126" s="65">
        <f>RawData!DQ124</f>
        <v>38000</v>
      </c>
      <c r="DD126" s="65">
        <f>RawData!DR124</f>
        <v>0</v>
      </c>
      <c r="DE126" s="65">
        <f>RawData!DS124</f>
        <v>24500</v>
      </c>
      <c r="DF126" s="65" t="str">
        <f>RawData!DT124</f>
        <v>BANKNIFTY</v>
      </c>
      <c r="DG126" s="66">
        <f>RawData!DU124</f>
        <v>44784</v>
      </c>
      <c r="DI126" s="21">
        <f t="shared" si="1"/>
        <v>3304.30078125</v>
      </c>
    </row>
    <row r="127" spans="1:113" x14ac:dyDescent="0.2">
      <c r="A127" s="59">
        <f>RawData!CN125</f>
        <v>44783.636701388888</v>
      </c>
      <c r="B127" s="44">
        <f>RawData!CH125</f>
        <v>0</v>
      </c>
      <c r="C127" s="44">
        <f>RawData!CG125</f>
        <v>0</v>
      </c>
      <c r="D127" s="43">
        <f>RawData!CF125</f>
        <v>0</v>
      </c>
      <c r="E127" s="44">
        <f>RawData!CE125</f>
        <v>0</v>
      </c>
      <c r="F127" s="43">
        <f>RawData!CD125</f>
        <v>0</v>
      </c>
      <c r="G127" s="44">
        <f>RawData!CC125</f>
        <v>0</v>
      </c>
      <c r="H127" s="44">
        <f>RawData!CB125</f>
        <v>0</v>
      </c>
      <c r="I127" s="44">
        <f>RawData!CA125</f>
        <v>0</v>
      </c>
      <c r="J127" s="44">
        <f>RawData!BZ125</f>
        <v>0</v>
      </c>
      <c r="K127" s="40">
        <f>RawData!BY125</f>
        <v>0</v>
      </c>
      <c r="L127" s="40">
        <f>RawData!BX125</f>
        <v>0</v>
      </c>
      <c r="M127" s="40">
        <f>RawData!BW125</f>
        <v>0</v>
      </c>
      <c r="N127" s="40">
        <f>RawData!BV125</f>
        <v>0</v>
      </c>
      <c r="O127" s="36">
        <f>RawData!BU125</f>
        <v>0</v>
      </c>
      <c r="P127" s="36">
        <f>RawData!BT125</f>
        <v>0</v>
      </c>
      <c r="Q127" s="36">
        <f>RawData!BS125</f>
        <v>0</v>
      </c>
      <c r="R127" s="36">
        <f>RawData!BR125</f>
        <v>0</v>
      </c>
      <c r="S127" s="37">
        <f>RawData!BQ125</f>
        <v>0</v>
      </c>
      <c r="T127" s="37">
        <f>RawData!BP125</f>
        <v>0</v>
      </c>
      <c r="U127" s="38">
        <f>RawData!BO125</f>
        <v>0</v>
      </c>
      <c r="V127" s="38">
        <f>RawData!BN125</f>
        <v>0</v>
      </c>
      <c r="W127" s="39">
        <f>RawData!BM125</f>
        <v>0</v>
      </c>
      <c r="X127" s="39">
        <f>RawData!BL125</f>
        <v>0</v>
      </c>
      <c r="Y127" s="38">
        <f>RawData!BJ125</f>
        <v>0</v>
      </c>
      <c r="Z127" s="38">
        <f>RawData!BI125</f>
        <v>0</v>
      </c>
      <c r="AA127" s="40">
        <f>RawData!BH125</f>
        <v>0</v>
      </c>
      <c r="AB127" s="40">
        <f>RawData!BG125</f>
        <v>0</v>
      </c>
      <c r="AC127" s="40">
        <f>RawData!BF125</f>
        <v>0</v>
      </c>
      <c r="AD127" s="40">
        <f>RawData!BE125</f>
        <v>0</v>
      </c>
      <c r="AE127" s="40">
        <f>RawData!BD125</f>
        <v>0</v>
      </c>
      <c r="AF127" s="40">
        <f>RawData!BC125</f>
        <v>0</v>
      </c>
      <c r="AG127" s="41">
        <f>RawData!BB125</f>
        <v>0</v>
      </c>
      <c r="AH127" s="42">
        <f>RawData!DB125</f>
        <v>0</v>
      </c>
      <c r="AI127" s="41">
        <f>RawData!BA125</f>
        <v>0</v>
      </c>
      <c r="AJ127" s="43">
        <f>RawData!DA125</f>
        <v>0</v>
      </c>
      <c r="AK127" s="41">
        <f>RawData!AZ125</f>
        <v>0</v>
      </c>
      <c r="AL127" s="42">
        <f>RawData!DD125</f>
        <v>0</v>
      </c>
      <c r="AM127" s="44">
        <f>RawData!DC125</f>
        <v>0</v>
      </c>
      <c r="AN127" s="45">
        <f>RawData!BK125</f>
        <v>0</v>
      </c>
      <c r="AO127" s="44">
        <f>RawData!AY125</f>
        <v>0</v>
      </c>
      <c r="AP127" s="43" t="str">
        <f>RawData!DH125</f>
        <v>W</v>
      </c>
      <c r="AQ127" s="43">
        <f>RawData!DE125</f>
        <v>0</v>
      </c>
      <c r="AR127" s="42">
        <f>RawData!CZ125</f>
        <v>0</v>
      </c>
      <c r="AS127" s="44">
        <f>RawData!AX125</f>
        <v>0</v>
      </c>
      <c r="AT127" s="43">
        <f>RawData!CY125</f>
        <v>0</v>
      </c>
      <c r="AU127" s="44">
        <f>RawData!AW125</f>
        <v>0</v>
      </c>
      <c r="AV127" s="46">
        <f>RawData!O125</f>
        <v>41700</v>
      </c>
      <c r="AW127" s="44">
        <f>RawData!AV125</f>
        <v>0</v>
      </c>
      <c r="AX127" s="44">
        <f>RawData!CW125</f>
        <v>0</v>
      </c>
      <c r="AY127" s="44">
        <f>RawData!AU125</f>
        <v>0</v>
      </c>
      <c r="AZ127" s="42">
        <f>RawData!CX125</f>
        <v>0</v>
      </c>
      <c r="BA127" s="44">
        <f>RawData!DF125</f>
        <v>0</v>
      </c>
      <c r="BB127" s="43" t="str">
        <f>RawData!DI125</f>
        <v>W</v>
      </c>
      <c r="BC127" s="44">
        <f>RawData!AT125</f>
        <v>0</v>
      </c>
      <c r="BD127" s="45">
        <f>RawData!AP125</f>
        <v>0</v>
      </c>
      <c r="BE127" s="44">
        <f>RawData!CS125</f>
        <v>0</v>
      </c>
      <c r="BF127" s="42">
        <f>RawData!CT125</f>
        <v>0</v>
      </c>
      <c r="BG127" s="41">
        <f>RawData!AS125</f>
        <v>0</v>
      </c>
      <c r="BH127" s="41">
        <f>RawData!CU125</f>
        <v>0</v>
      </c>
      <c r="BI127" s="41">
        <f>RawData!AR125</f>
        <v>0</v>
      </c>
      <c r="BJ127" s="42">
        <f>RawData!CV125</f>
        <v>0</v>
      </c>
      <c r="BK127" s="41">
        <f>RawData!AQ125</f>
        <v>0</v>
      </c>
      <c r="BL127" s="40">
        <f>RawData!AO125</f>
        <v>0</v>
      </c>
      <c r="BM127" s="40">
        <f>RawData!AN125</f>
        <v>0</v>
      </c>
      <c r="BN127" s="40">
        <f>RawData!AM125</f>
        <v>0</v>
      </c>
      <c r="BO127" s="40">
        <f>RawData!AL125</f>
        <v>0</v>
      </c>
      <c r="BP127" s="40">
        <f>RawData!AK125</f>
        <v>0</v>
      </c>
      <c r="BQ127" s="40">
        <f>RawData!AJ125</f>
        <v>0</v>
      </c>
      <c r="BR127" s="38">
        <f>RawData!AI125</f>
        <v>0</v>
      </c>
      <c r="BS127" s="38">
        <f>RawData!AH125</f>
        <v>0</v>
      </c>
      <c r="BT127" s="40">
        <f>RawData!AG125</f>
        <v>0</v>
      </c>
      <c r="BU127" s="39">
        <f>RawData!AF125</f>
        <v>0</v>
      </c>
      <c r="BV127" s="39">
        <f>RawData!AE125</f>
        <v>0</v>
      </c>
      <c r="BW127" s="38">
        <f>RawData!AD125</f>
        <v>0</v>
      </c>
      <c r="BX127" s="38">
        <f>RawData!AC125</f>
        <v>0</v>
      </c>
      <c r="BY127" s="37">
        <f>RawData!AB125</f>
        <v>0</v>
      </c>
      <c r="BZ127" s="37">
        <f>RawData!AA125</f>
        <v>0</v>
      </c>
      <c r="CA127" s="36">
        <f>RawData!Z125</f>
        <v>0</v>
      </c>
      <c r="CB127" s="36">
        <f>RawData!Y125</f>
        <v>0</v>
      </c>
      <c r="CC127" s="36">
        <f>RawData!X125</f>
        <v>0</v>
      </c>
      <c r="CD127" s="36">
        <f>RawData!W125</f>
        <v>0</v>
      </c>
      <c r="CE127" s="40">
        <f>RawData!V125</f>
        <v>0</v>
      </c>
      <c r="CF127" s="40">
        <f>RawData!U125</f>
        <v>0</v>
      </c>
      <c r="CG127" s="40">
        <f>RawData!T125</f>
        <v>0</v>
      </c>
      <c r="CH127" s="44">
        <f>RawData!S125</f>
        <v>0</v>
      </c>
      <c r="CI127" s="44">
        <f>RawData!R125</f>
        <v>0</v>
      </c>
      <c r="CJ127" s="44">
        <f>RawData!Q125</f>
        <v>0</v>
      </c>
      <c r="CK127" s="44">
        <f>RawData!P125</f>
        <v>0</v>
      </c>
      <c r="CL127" s="44">
        <f>RawData!CJ125</f>
        <v>0</v>
      </c>
      <c r="CM127" s="43">
        <f>RawData!CI125</f>
        <v>0</v>
      </c>
      <c r="CN127" s="44">
        <f>RawData!CL125</f>
        <v>0</v>
      </c>
      <c r="CO127" s="43">
        <f>RawData!CK125</f>
        <v>0</v>
      </c>
      <c r="CP127" s="44">
        <f>RawData!CM125</f>
        <v>0</v>
      </c>
      <c r="CQ127" s="47">
        <f>RawData!CO125</f>
        <v>44783.636701388888</v>
      </c>
      <c r="CR127" s="44">
        <f>RawData!CP125</f>
        <v>38295.69921875</v>
      </c>
      <c r="CS127" s="44">
        <f>RawData!DG125</f>
        <v>38295.69921875</v>
      </c>
      <c r="CT127" s="43" t="str">
        <f>RawData!DJ125</f>
        <v>G</v>
      </c>
      <c r="CU127" s="43" t="str">
        <f>RawData!CQ125</f>
        <v>FairPrice</v>
      </c>
      <c r="CV127" s="47">
        <f>RawData!CR125</f>
        <v>44783.638194444444</v>
      </c>
      <c r="CW127" s="65">
        <f>RawData!DK125</f>
        <v>38300</v>
      </c>
      <c r="CX127" s="65">
        <f>RawData!DL125</f>
        <v>3400000</v>
      </c>
      <c r="CY127" s="65">
        <f>RawData!DM125</f>
        <v>38500</v>
      </c>
      <c r="CZ127" s="65">
        <f>RawData!DN125</f>
        <v>0</v>
      </c>
      <c r="DA127" s="65">
        <f>RawData!DO125</f>
        <v>24500</v>
      </c>
      <c r="DB127" s="65">
        <f>RawData!DP125</f>
        <v>2863350</v>
      </c>
      <c r="DC127" s="65">
        <f>RawData!DQ125</f>
        <v>38000</v>
      </c>
      <c r="DD127" s="65">
        <f>RawData!DR125</f>
        <v>0</v>
      </c>
      <c r="DE127" s="65">
        <f>RawData!DS125</f>
        <v>24500</v>
      </c>
      <c r="DF127" s="65" t="str">
        <f>RawData!DT125</f>
        <v>BANKNIFTY</v>
      </c>
      <c r="DG127" s="66">
        <f>RawData!DU125</f>
        <v>44784</v>
      </c>
      <c r="DI127" s="21">
        <f t="shared" si="1"/>
        <v>3404.30078125</v>
      </c>
    </row>
    <row r="128" spans="1:113" x14ac:dyDescent="0.2">
      <c r="A128" s="59">
        <f>RawData!CN126</f>
        <v>44783.636701388888</v>
      </c>
      <c r="B128" s="44">
        <f>RawData!CH126</f>
        <v>0</v>
      </c>
      <c r="C128" s="44">
        <f>RawData!CG126</f>
        <v>0</v>
      </c>
      <c r="D128" s="43">
        <f>RawData!CF126</f>
        <v>0</v>
      </c>
      <c r="E128" s="44">
        <f>RawData!CE126</f>
        <v>0</v>
      </c>
      <c r="F128" s="43">
        <f>RawData!CD126</f>
        <v>0</v>
      </c>
      <c r="G128" s="44">
        <f>RawData!CC126</f>
        <v>0</v>
      </c>
      <c r="H128" s="44">
        <f>RawData!CB126</f>
        <v>0</v>
      </c>
      <c r="I128" s="44">
        <f>RawData!CA126</f>
        <v>0</v>
      </c>
      <c r="J128" s="44">
        <f>RawData!BZ126</f>
        <v>0</v>
      </c>
      <c r="K128" s="40">
        <f>RawData!BY126</f>
        <v>0</v>
      </c>
      <c r="L128" s="40">
        <f>RawData!BX126</f>
        <v>0</v>
      </c>
      <c r="M128" s="40">
        <f>RawData!BW126</f>
        <v>0</v>
      </c>
      <c r="N128" s="40">
        <f>RawData!BV126</f>
        <v>0</v>
      </c>
      <c r="O128" s="36">
        <f>RawData!BU126</f>
        <v>0</v>
      </c>
      <c r="P128" s="36">
        <f>RawData!BT126</f>
        <v>0</v>
      </c>
      <c r="Q128" s="36">
        <f>RawData!BS126</f>
        <v>0</v>
      </c>
      <c r="R128" s="36">
        <f>RawData!BR126</f>
        <v>0</v>
      </c>
      <c r="S128" s="37">
        <f>RawData!BQ126</f>
        <v>0</v>
      </c>
      <c r="T128" s="37">
        <f>RawData!BP126</f>
        <v>0</v>
      </c>
      <c r="U128" s="38">
        <f>RawData!BO126</f>
        <v>0</v>
      </c>
      <c r="V128" s="38">
        <f>RawData!BN126</f>
        <v>0</v>
      </c>
      <c r="W128" s="39">
        <f>RawData!BM126</f>
        <v>0</v>
      </c>
      <c r="X128" s="39">
        <f>RawData!BL126</f>
        <v>0</v>
      </c>
      <c r="Y128" s="38">
        <f>RawData!BJ126</f>
        <v>0</v>
      </c>
      <c r="Z128" s="38">
        <f>RawData!BI126</f>
        <v>0</v>
      </c>
      <c r="AA128" s="40">
        <f>RawData!BH126</f>
        <v>0</v>
      </c>
      <c r="AB128" s="40">
        <f>RawData!BG126</f>
        <v>0</v>
      </c>
      <c r="AC128" s="40">
        <f>RawData!BF126</f>
        <v>0</v>
      </c>
      <c r="AD128" s="40">
        <f>RawData!BE126</f>
        <v>0</v>
      </c>
      <c r="AE128" s="40">
        <f>RawData!BD126</f>
        <v>0</v>
      </c>
      <c r="AF128" s="40">
        <f>RawData!BC126</f>
        <v>0</v>
      </c>
      <c r="AG128" s="41">
        <f>RawData!BB126</f>
        <v>0</v>
      </c>
      <c r="AH128" s="42">
        <f>RawData!DB126</f>
        <v>0</v>
      </c>
      <c r="AI128" s="41">
        <f>RawData!BA126</f>
        <v>0</v>
      </c>
      <c r="AJ128" s="43">
        <f>RawData!DA126</f>
        <v>0</v>
      </c>
      <c r="AK128" s="41">
        <f>RawData!AZ126</f>
        <v>0</v>
      </c>
      <c r="AL128" s="42">
        <f>RawData!DD126</f>
        <v>0</v>
      </c>
      <c r="AM128" s="44">
        <f>RawData!DC126</f>
        <v>0</v>
      </c>
      <c r="AN128" s="45">
        <f>RawData!BK126</f>
        <v>0</v>
      </c>
      <c r="AO128" s="44">
        <f>RawData!AY126</f>
        <v>0</v>
      </c>
      <c r="AP128" s="43" t="str">
        <f>RawData!DH126</f>
        <v>W</v>
      </c>
      <c r="AQ128" s="43">
        <f>RawData!DE126</f>
        <v>0</v>
      </c>
      <c r="AR128" s="42">
        <f>RawData!CZ126</f>
        <v>0</v>
      </c>
      <c r="AS128" s="44">
        <f>RawData!AX126</f>
        <v>0</v>
      </c>
      <c r="AT128" s="43">
        <f>RawData!CY126</f>
        <v>0</v>
      </c>
      <c r="AU128" s="44">
        <f>RawData!AW126</f>
        <v>0</v>
      </c>
      <c r="AV128" s="46">
        <f>RawData!O126</f>
        <v>41800</v>
      </c>
      <c r="AW128" s="44">
        <f>RawData!AV126</f>
        <v>0</v>
      </c>
      <c r="AX128" s="44">
        <f>RawData!CW126</f>
        <v>0</v>
      </c>
      <c r="AY128" s="44">
        <f>RawData!AU126</f>
        <v>0</v>
      </c>
      <c r="AZ128" s="42">
        <f>RawData!CX126</f>
        <v>0</v>
      </c>
      <c r="BA128" s="44">
        <f>RawData!DF126</f>
        <v>0</v>
      </c>
      <c r="BB128" s="43" t="str">
        <f>RawData!DI126</f>
        <v>W</v>
      </c>
      <c r="BC128" s="44">
        <f>RawData!AT126</f>
        <v>0</v>
      </c>
      <c r="BD128" s="45">
        <f>RawData!AP126</f>
        <v>0</v>
      </c>
      <c r="BE128" s="44">
        <f>RawData!CS126</f>
        <v>0</v>
      </c>
      <c r="BF128" s="42">
        <f>RawData!CT126</f>
        <v>0</v>
      </c>
      <c r="BG128" s="41">
        <f>RawData!AS126</f>
        <v>0</v>
      </c>
      <c r="BH128" s="41">
        <f>RawData!CU126</f>
        <v>0</v>
      </c>
      <c r="BI128" s="41">
        <f>RawData!AR126</f>
        <v>0</v>
      </c>
      <c r="BJ128" s="42">
        <f>RawData!CV126</f>
        <v>0</v>
      </c>
      <c r="BK128" s="41">
        <f>RawData!AQ126</f>
        <v>0</v>
      </c>
      <c r="BL128" s="40">
        <f>RawData!AO126</f>
        <v>0</v>
      </c>
      <c r="BM128" s="40">
        <f>RawData!AN126</f>
        <v>0</v>
      </c>
      <c r="BN128" s="40">
        <f>RawData!AM126</f>
        <v>0</v>
      </c>
      <c r="BO128" s="40">
        <f>RawData!AL126</f>
        <v>0</v>
      </c>
      <c r="BP128" s="40">
        <f>RawData!AK126</f>
        <v>0</v>
      </c>
      <c r="BQ128" s="40">
        <f>RawData!AJ126</f>
        <v>0</v>
      </c>
      <c r="BR128" s="38">
        <f>RawData!AI126</f>
        <v>0</v>
      </c>
      <c r="BS128" s="38">
        <f>RawData!AH126</f>
        <v>0</v>
      </c>
      <c r="BT128" s="40">
        <f>RawData!AG126</f>
        <v>0</v>
      </c>
      <c r="BU128" s="39">
        <f>RawData!AF126</f>
        <v>0</v>
      </c>
      <c r="BV128" s="39">
        <f>RawData!AE126</f>
        <v>0</v>
      </c>
      <c r="BW128" s="38">
        <f>RawData!AD126</f>
        <v>0</v>
      </c>
      <c r="BX128" s="38">
        <f>RawData!AC126</f>
        <v>0</v>
      </c>
      <c r="BY128" s="37">
        <f>RawData!AB126</f>
        <v>0</v>
      </c>
      <c r="BZ128" s="37">
        <f>RawData!AA126</f>
        <v>0</v>
      </c>
      <c r="CA128" s="36">
        <f>RawData!Z126</f>
        <v>0</v>
      </c>
      <c r="CB128" s="36">
        <f>RawData!Y126</f>
        <v>0</v>
      </c>
      <c r="CC128" s="36">
        <f>RawData!X126</f>
        <v>0</v>
      </c>
      <c r="CD128" s="36">
        <f>RawData!W126</f>
        <v>0</v>
      </c>
      <c r="CE128" s="40">
        <f>RawData!V126</f>
        <v>0</v>
      </c>
      <c r="CF128" s="40">
        <f>RawData!U126</f>
        <v>0</v>
      </c>
      <c r="CG128" s="40">
        <f>RawData!T126</f>
        <v>0</v>
      </c>
      <c r="CH128" s="44">
        <f>RawData!S126</f>
        <v>0</v>
      </c>
      <c r="CI128" s="44">
        <f>RawData!R126</f>
        <v>0</v>
      </c>
      <c r="CJ128" s="44">
        <f>RawData!Q126</f>
        <v>0</v>
      </c>
      <c r="CK128" s="44">
        <f>RawData!P126</f>
        <v>0</v>
      </c>
      <c r="CL128" s="44">
        <f>RawData!CJ126</f>
        <v>0</v>
      </c>
      <c r="CM128" s="43">
        <f>RawData!CI126</f>
        <v>0</v>
      </c>
      <c r="CN128" s="44">
        <f>RawData!CL126</f>
        <v>0</v>
      </c>
      <c r="CO128" s="43">
        <f>RawData!CK126</f>
        <v>0</v>
      </c>
      <c r="CP128" s="44">
        <f>RawData!CM126</f>
        <v>0</v>
      </c>
      <c r="CQ128" s="47">
        <f>RawData!CO126</f>
        <v>44783.636701388888</v>
      </c>
      <c r="CR128" s="44">
        <f>RawData!CP126</f>
        <v>38295.69921875</v>
      </c>
      <c r="CS128" s="44">
        <f>RawData!DG126</f>
        <v>38295.69921875</v>
      </c>
      <c r="CT128" s="43" t="str">
        <f>RawData!DJ126</f>
        <v>G</v>
      </c>
      <c r="CU128" s="43" t="str">
        <f>RawData!CQ126</f>
        <v>FairPrice</v>
      </c>
      <c r="CV128" s="47">
        <f>RawData!CR126</f>
        <v>44783.638194444444</v>
      </c>
      <c r="CW128" s="65">
        <f>RawData!DK126</f>
        <v>38300</v>
      </c>
      <c r="CX128" s="65">
        <f>RawData!DL126</f>
        <v>3400000</v>
      </c>
      <c r="CY128" s="65">
        <f>RawData!DM126</f>
        <v>38500</v>
      </c>
      <c r="CZ128" s="65">
        <f>RawData!DN126</f>
        <v>0</v>
      </c>
      <c r="DA128" s="65">
        <f>RawData!DO126</f>
        <v>24500</v>
      </c>
      <c r="DB128" s="65">
        <f>RawData!DP126</f>
        <v>2863350</v>
      </c>
      <c r="DC128" s="65">
        <f>RawData!DQ126</f>
        <v>38000</v>
      </c>
      <c r="DD128" s="65">
        <f>RawData!DR126</f>
        <v>0</v>
      </c>
      <c r="DE128" s="65">
        <f>RawData!DS126</f>
        <v>24500</v>
      </c>
      <c r="DF128" s="65" t="str">
        <f>RawData!DT126</f>
        <v>BANKNIFTY</v>
      </c>
      <c r="DG128" s="66">
        <f>RawData!DU126</f>
        <v>44784</v>
      </c>
      <c r="DI128" s="21">
        <f t="shared" si="1"/>
        <v>3504.30078125</v>
      </c>
    </row>
    <row r="129" spans="1:113" x14ac:dyDescent="0.2">
      <c r="A129" s="59">
        <f>RawData!CN127</f>
        <v>44783.636701388888</v>
      </c>
      <c r="B129" s="44">
        <f>RawData!CH127</f>
        <v>0</v>
      </c>
      <c r="C129" s="44">
        <f>RawData!CG127</f>
        <v>0</v>
      </c>
      <c r="D129" s="43">
        <f>RawData!CF127</f>
        <v>0</v>
      </c>
      <c r="E129" s="44">
        <f>RawData!CE127</f>
        <v>0</v>
      </c>
      <c r="F129" s="43">
        <f>RawData!CD127</f>
        <v>0</v>
      </c>
      <c r="G129" s="44">
        <f>RawData!CC127</f>
        <v>0</v>
      </c>
      <c r="H129" s="44">
        <f>RawData!CB127</f>
        <v>0</v>
      </c>
      <c r="I129" s="44">
        <f>RawData!CA127</f>
        <v>0</v>
      </c>
      <c r="J129" s="44">
        <f>RawData!BZ127</f>
        <v>0</v>
      </c>
      <c r="K129" s="40">
        <f>RawData!BY127</f>
        <v>0</v>
      </c>
      <c r="L129" s="40">
        <f>RawData!BX127</f>
        <v>0</v>
      </c>
      <c r="M129" s="40">
        <f>RawData!BW127</f>
        <v>0</v>
      </c>
      <c r="N129" s="40">
        <f>RawData!BV127</f>
        <v>0</v>
      </c>
      <c r="O129" s="36">
        <f>RawData!BU127</f>
        <v>0</v>
      </c>
      <c r="P129" s="36">
        <f>RawData!BT127</f>
        <v>0</v>
      </c>
      <c r="Q129" s="36">
        <f>RawData!BS127</f>
        <v>0</v>
      </c>
      <c r="R129" s="36">
        <f>RawData!BR127</f>
        <v>0</v>
      </c>
      <c r="S129" s="37">
        <f>RawData!BQ127</f>
        <v>0</v>
      </c>
      <c r="T129" s="37">
        <f>RawData!BP127</f>
        <v>0</v>
      </c>
      <c r="U129" s="38">
        <f>RawData!BO127</f>
        <v>0</v>
      </c>
      <c r="V129" s="38">
        <f>RawData!BN127</f>
        <v>0</v>
      </c>
      <c r="W129" s="39">
        <f>RawData!BM127</f>
        <v>0</v>
      </c>
      <c r="X129" s="39">
        <f>RawData!BL127</f>
        <v>0</v>
      </c>
      <c r="Y129" s="38">
        <f>RawData!BJ127</f>
        <v>0</v>
      </c>
      <c r="Z129" s="38">
        <f>RawData!BI127</f>
        <v>0</v>
      </c>
      <c r="AA129" s="40">
        <f>RawData!BH127</f>
        <v>0</v>
      </c>
      <c r="AB129" s="40">
        <f>RawData!BG127</f>
        <v>0</v>
      </c>
      <c r="AC129" s="40">
        <f>RawData!BF127</f>
        <v>0</v>
      </c>
      <c r="AD129" s="40">
        <f>RawData!BE127</f>
        <v>0</v>
      </c>
      <c r="AE129" s="40">
        <f>RawData!BD127</f>
        <v>0</v>
      </c>
      <c r="AF129" s="40">
        <f>RawData!BC127</f>
        <v>0</v>
      </c>
      <c r="AG129" s="41">
        <f>RawData!BB127</f>
        <v>0</v>
      </c>
      <c r="AH129" s="42">
        <f>RawData!DB127</f>
        <v>0</v>
      </c>
      <c r="AI129" s="41">
        <f>RawData!BA127</f>
        <v>0</v>
      </c>
      <c r="AJ129" s="43">
        <f>RawData!DA127</f>
        <v>0</v>
      </c>
      <c r="AK129" s="41">
        <f>RawData!AZ127</f>
        <v>0</v>
      </c>
      <c r="AL129" s="42">
        <f>RawData!DD127</f>
        <v>0</v>
      </c>
      <c r="AM129" s="44">
        <f>RawData!DC127</f>
        <v>0</v>
      </c>
      <c r="AN129" s="45">
        <f>RawData!BK127</f>
        <v>0</v>
      </c>
      <c r="AO129" s="44">
        <f>RawData!AY127</f>
        <v>0</v>
      </c>
      <c r="AP129" s="43" t="str">
        <f>RawData!DH127</f>
        <v>W</v>
      </c>
      <c r="AQ129" s="43">
        <f>RawData!DE127</f>
        <v>0</v>
      </c>
      <c r="AR129" s="42">
        <f>RawData!CZ127</f>
        <v>0</v>
      </c>
      <c r="AS129" s="44">
        <f>RawData!AX127</f>
        <v>0</v>
      </c>
      <c r="AT129" s="43">
        <f>RawData!CY127</f>
        <v>0</v>
      </c>
      <c r="AU129" s="44">
        <f>RawData!AW127</f>
        <v>0</v>
      </c>
      <c r="AV129" s="46">
        <f>RawData!O127</f>
        <v>41900</v>
      </c>
      <c r="AW129" s="44">
        <f>RawData!AV127</f>
        <v>0</v>
      </c>
      <c r="AX129" s="44">
        <f>RawData!CW127</f>
        <v>0</v>
      </c>
      <c r="AY129" s="44">
        <f>RawData!AU127</f>
        <v>0</v>
      </c>
      <c r="AZ129" s="42">
        <f>RawData!CX127</f>
        <v>0</v>
      </c>
      <c r="BA129" s="44">
        <f>RawData!DF127</f>
        <v>0</v>
      </c>
      <c r="BB129" s="43" t="str">
        <f>RawData!DI127</f>
        <v>W</v>
      </c>
      <c r="BC129" s="44">
        <f>RawData!AT127</f>
        <v>0</v>
      </c>
      <c r="BD129" s="45">
        <f>RawData!AP127</f>
        <v>0</v>
      </c>
      <c r="BE129" s="44">
        <f>RawData!CS127</f>
        <v>0</v>
      </c>
      <c r="BF129" s="42">
        <f>RawData!CT127</f>
        <v>0</v>
      </c>
      <c r="BG129" s="41">
        <f>RawData!AS127</f>
        <v>0</v>
      </c>
      <c r="BH129" s="41">
        <f>RawData!CU127</f>
        <v>0</v>
      </c>
      <c r="BI129" s="41">
        <f>RawData!AR127</f>
        <v>0</v>
      </c>
      <c r="BJ129" s="42">
        <f>RawData!CV127</f>
        <v>0</v>
      </c>
      <c r="BK129" s="41">
        <f>RawData!AQ127</f>
        <v>0</v>
      </c>
      <c r="BL129" s="40">
        <f>RawData!AO127</f>
        <v>0</v>
      </c>
      <c r="BM129" s="40">
        <f>RawData!AN127</f>
        <v>0</v>
      </c>
      <c r="BN129" s="40">
        <f>RawData!AM127</f>
        <v>0</v>
      </c>
      <c r="BO129" s="40">
        <f>RawData!AL127</f>
        <v>0</v>
      </c>
      <c r="BP129" s="40">
        <f>RawData!AK127</f>
        <v>0</v>
      </c>
      <c r="BQ129" s="40">
        <f>RawData!AJ127</f>
        <v>0</v>
      </c>
      <c r="BR129" s="38">
        <f>RawData!AI127</f>
        <v>0</v>
      </c>
      <c r="BS129" s="38">
        <f>RawData!AH127</f>
        <v>0</v>
      </c>
      <c r="BT129" s="40">
        <f>RawData!AG127</f>
        <v>0</v>
      </c>
      <c r="BU129" s="39">
        <f>RawData!AF127</f>
        <v>0</v>
      </c>
      <c r="BV129" s="39">
        <f>RawData!AE127</f>
        <v>0</v>
      </c>
      <c r="BW129" s="38">
        <f>RawData!AD127</f>
        <v>0</v>
      </c>
      <c r="BX129" s="38">
        <f>RawData!AC127</f>
        <v>0</v>
      </c>
      <c r="BY129" s="37">
        <f>RawData!AB127</f>
        <v>0</v>
      </c>
      <c r="BZ129" s="37">
        <f>RawData!AA127</f>
        <v>0</v>
      </c>
      <c r="CA129" s="36">
        <f>RawData!Z127</f>
        <v>0</v>
      </c>
      <c r="CB129" s="36">
        <f>RawData!Y127</f>
        <v>0</v>
      </c>
      <c r="CC129" s="36">
        <f>RawData!X127</f>
        <v>0</v>
      </c>
      <c r="CD129" s="36">
        <f>RawData!W127</f>
        <v>0</v>
      </c>
      <c r="CE129" s="40">
        <f>RawData!V127</f>
        <v>0</v>
      </c>
      <c r="CF129" s="40">
        <f>RawData!U127</f>
        <v>0</v>
      </c>
      <c r="CG129" s="40">
        <f>RawData!T127</f>
        <v>0</v>
      </c>
      <c r="CH129" s="44">
        <f>RawData!S127</f>
        <v>0</v>
      </c>
      <c r="CI129" s="44">
        <f>RawData!R127</f>
        <v>0</v>
      </c>
      <c r="CJ129" s="44">
        <f>RawData!Q127</f>
        <v>0</v>
      </c>
      <c r="CK129" s="44">
        <f>RawData!P127</f>
        <v>0</v>
      </c>
      <c r="CL129" s="44">
        <f>RawData!CJ127</f>
        <v>0</v>
      </c>
      <c r="CM129" s="43">
        <f>RawData!CI127</f>
        <v>0</v>
      </c>
      <c r="CN129" s="44">
        <f>RawData!CL127</f>
        <v>0</v>
      </c>
      <c r="CO129" s="43">
        <f>RawData!CK127</f>
        <v>0</v>
      </c>
      <c r="CP129" s="44">
        <f>RawData!CM127</f>
        <v>0</v>
      </c>
      <c r="CQ129" s="47">
        <f>RawData!CO127</f>
        <v>44783.636701388888</v>
      </c>
      <c r="CR129" s="44">
        <f>RawData!CP127</f>
        <v>38295.69921875</v>
      </c>
      <c r="CS129" s="44">
        <f>RawData!DG127</f>
        <v>38295.69921875</v>
      </c>
      <c r="CT129" s="43" t="str">
        <f>RawData!DJ127</f>
        <v>G</v>
      </c>
      <c r="CU129" s="43" t="str">
        <f>RawData!CQ127</f>
        <v>FairPrice</v>
      </c>
      <c r="CV129" s="47">
        <f>RawData!CR127</f>
        <v>44783.638194444444</v>
      </c>
      <c r="CW129" s="65">
        <f>RawData!DK127</f>
        <v>38300</v>
      </c>
      <c r="CX129" s="65">
        <f>RawData!DL127</f>
        <v>3400000</v>
      </c>
      <c r="CY129" s="65">
        <f>RawData!DM127</f>
        <v>38500</v>
      </c>
      <c r="CZ129" s="65">
        <f>RawData!DN127</f>
        <v>0</v>
      </c>
      <c r="DA129" s="65">
        <f>RawData!DO127</f>
        <v>24500</v>
      </c>
      <c r="DB129" s="65">
        <f>RawData!DP127</f>
        <v>2863350</v>
      </c>
      <c r="DC129" s="65">
        <f>RawData!DQ127</f>
        <v>38000</v>
      </c>
      <c r="DD129" s="65">
        <f>RawData!DR127</f>
        <v>0</v>
      </c>
      <c r="DE129" s="65">
        <f>RawData!DS127</f>
        <v>24500</v>
      </c>
      <c r="DF129" s="65" t="str">
        <f>RawData!DT127</f>
        <v>BANKNIFTY</v>
      </c>
      <c r="DG129" s="66">
        <f>RawData!DU127</f>
        <v>44784</v>
      </c>
      <c r="DI129" s="21">
        <f t="shared" si="1"/>
        <v>3604.30078125</v>
      </c>
    </row>
    <row r="130" spans="1:113" x14ac:dyDescent="0.2">
      <c r="A130" s="59">
        <f>RawData!CN128</f>
        <v>44783.638194444444</v>
      </c>
      <c r="B130" s="44">
        <f>RawData!CH128</f>
        <v>1.9199999570846558</v>
      </c>
      <c r="C130" s="44">
        <f>RawData!CG128</f>
        <v>3050</v>
      </c>
      <c r="D130" s="43">
        <f>RawData!CF128</f>
        <v>1.7000000476837158</v>
      </c>
      <c r="E130" s="44">
        <f>RawData!CE128</f>
        <v>125</v>
      </c>
      <c r="F130" s="43">
        <f>RawData!CD128</f>
        <v>1.75</v>
      </c>
      <c r="G130" s="44">
        <f>RawData!CC128</f>
        <v>1.7000000476837158</v>
      </c>
      <c r="H130" s="44">
        <f>RawData!CB128</f>
        <v>1.5499999523162842</v>
      </c>
      <c r="I130" s="44">
        <f>RawData!CA128</f>
        <v>2.2000000476837158</v>
      </c>
      <c r="J130" s="44">
        <f>RawData!BZ128</f>
        <v>1.7999999523162842</v>
      </c>
      <c r="K130" s="40">
        <f>RawData!BY128</f>
        <v>7.8125E-2</v>
      </c>
      <c r="L130" s="40">
        <f>RawData!BX128</f>
        <v>103496.1640625</v>
      </c>
      <c r="M130" s="40">
        <f>RawData!BW128</f>
        <v>-11.1875</v>
      </c>
      <c r="N130" s="40">
        <f>RawData!BV128</f>
        <v>284665.46875</v>
      </c>
      <c r="O130" s="36">
        <f>RawData!BU128</f>
        <v>2.1173036657273769E-9</v>
      </c>
      <c r="P130" s="36">
        <f>RawData!BT128</f>
        <v>2.7116178898722865E-5</v>
      </c>
      <c r="Q130" s="36">
        <f>RawData!BS128</f>
        <v>3.2960087992250919E-9</v>
      </c>
      <c r="R130" s="36">
        <f>RawData!BR128</f>
        <v>8.5149258666206151E-5</v>
      </c>
      <c r="S130" s="37">
        <f>RawData!BQ128</f>
        <v>1.1155520951433573E-12</v>
      </c>
      <c r="T130" s="37">
        <f>RawData!BP128</f>
        <v>1.8011451885513452E-8</v>
      </c>
      <c r="U130" s="38">
        <f>RawData!BO128</f>
        <v>-3.662109375E-4</v>
      </c>
      <c r="V130" s="38">
        <f>RawData!BN128</f>
        <v>-16.898195266723633</v>
      </c>
      <c r="W130" s="39">
        <f>RawData!BM128</f>
        <v>-9.3841552734375E-4</v>
      </c>
      <c r="X130" s="39">
        <f>RawData!BL128</f>
        <v>53.0631103515625</v>
      </c>
      <c r="Y130" s="38">
        <f>RawData!BJ128</f>
        <v>3.8107828004285693E-10</v>
      </c>
      <c r="Z130" s="38">
        <f>RawData!BI128</f>
        <v>9.2032933025620878E-6</v>
      </c>
      <c r="AA130" s="40">
        <f>RawData!BH128</f>
        <v>-1.0430812835693359E-7</v>
      </c>
      <c r="AB130" s="40">
        <f>RawData!BG128</f>
        <v>0.24895653128623962</v>
      </c>
      <c r="AC130" s="40">
        <f>RawData!BF128</f>
        <v>0</v>
      </c>
      <c r="AD130" s="40">
        <f>RawData!BE128</f>
        <v>-1.7000000476837158</v>
      </c>
      <c r="AE130" s="40">
        <f>RawData!BD128</f>
        <v>8.6147338151931763E-8</v>
      </c>
      <c r="AF130" s="40">
        <f>RawData!BC128</f>
        <v>4.1518812067806721E-3</v>
      </c>
      <c r="AG130" s="41">
        <f>RawData!BB128</f>
        <v>1517925</v>
      </c>
      <c r="AH130" s="42">
        <f>RawData!DB128</f>
        <v>0.81011974430539302</v>
      </c>
      <c r="AI130" s="41">
        <f>RawData!BA128</f>
        <v>224950</v>
      </c>
      <c r="AJ130" s="43">
        <f>RawData!DA128</f>
        <v>277675</v>
      </c>
      <c r="AK130" s="41">
        <f>RawData!AZ128</f>
        <v>502625</v>
      </c>
      <c r="AL130" s="42">
        <f>RawData!DD128</f>
        <v>-3.9139908698426004E-6</v>
      </c>
      <c r="AM130" s="44">
        <f>RawData!DC128</f>
        <v>-2.5629997253417969E-4</v>
      </c>
      <c r="AN130" s="45">
        <f>RawData!BK128</f>
        <v>65.482771396636963</v>
      </c>
      <c r="AO130" s="44">
        <f>RawData!AY128</f>
        <v>65.482771396636963</v>
      </c>
      <c r="AP130" s="43" t="str">
        <f>RawData!DH128</f>
        <v>W</v>
      </c>
      <c r="AQ130" s="43">
        <f>RawData!DE128</f>
        <v>1.7000000476837158</v>
      </c>
      <c r="AR130" s="42">
        <f>RawData!CZ128</f>
        <v>0</v>
      </c>
      <c r="AS130" s="44">
        <f>RawData!AX128</f>
        <v>0</v>
      </c>
      <c r="AT130" s="43">
        <f>RawData!CY128</f>
        <v>1.7000000476837158</v>
      </c>
      <c r="AU130" s="44">
        <f>RawData!AW128</f>
        <v>1.7000000476837158</v>
      </c>
      <c r="AV130" s="46">
        <f>RawData!O128</f>
        <v>42000</v>
      </c>
      <c r="AW130" s="44">
        <f>RawData!AV128</f>
        <v>3750</v>
      </c>
      <c r="AX130" s="44">
        <f>RawData!CW128</f>
        <v>3750</v>
      </c>
      <c r="AY130" s="44">
        <f>RawData!AU128</f>
        <v>0</v>
      </c>
      <c r="AZ130" s="42">
        <f>RawData!CX128</f>
        <v>0</v>
      </c>
      <c r="BA130" s="44">
        <f>RawData!DF128</f>
        <v>3750</v>
      </c>
      <c r="BB130" s="43" t="str">
        <f>RawData!DI128</f>
        <v>W</v>
      </c>
      <c r="BC130" s="44">
        <f>RawData!AT128</f>
        <v>103.4975528717041</v>
      </c>
      <c r="BD130" s="45">
        <f>RawData!AP128</f>
        <v>103.4975528717041</v>
      </c>
      <c r="BE130" s="44">
        <f>RawData!CS128</f>
        <v>0.14321804046630859</v>
      </c>
      <c r="BF130" s="42">
        <f>RawData!CT128</f>
        <v>1.3856994068043907E-3</v>
      </c>
      <c r="BG130" s="41">
        <f>RawData!AS128</f>
        <v>50</v>
      </c>
      <c r="BH130" s="41">
        <f>RawData!CU128</f>
        <v>50</v>
      </c>
      <c r="BI130" s="41">
        <f>RawData!AR128</f>
        <v>0</v>
      </c>
      <c r="BJ130" s="42">
        <f>RawData!CV128</f>
        <v>0</v>
      </c>
      <c r="BK130" s="41">
        <f>RawData!AQ128</f>
        <v>0</v>
      </c>
      <c r="BL130" s="40">
        <f>RawData!AO128</f>
        <v>-0.95057201385498047</v>
      </c>
      <c r="BM130" s="40">
        <f>RawData!AN128</f>
        <v>2.0450353622436523E-4</v>
      </c>
      <c r="BN130" s="40">
        <f>RawData!AM128</f>
        <v>-104.2613525390625</v>
      </c>
      <c r="BO130" s="40">
        <f>RawData!AL128</f>
        <v>-0.518035888671875</v>
      </c>
      <c r="BP130" s="40">
        <f>RawData!AK128</f>
        <v>2.0823662281036377</v>
      </c>
      <c r="BQ130" s="40">
        <f>RawData!AJ128</f>
        <v>6.3157081604003906E-3</v>
      </c>
      <c r="BR130" s="38">
        <f>RawData!AI128</f>
        <v>4.8456986405653879E-5</v>
      </c>
      <c r="BS130" s="38">
        <f>RawData!AH128</f>
        <v>1.0642907000146806E-7</v>
      </c>
      <c r="BT130" s="40">
        <f>RawData!AG128</f>
        <v>2.5663743019104004</v>
      </c>
      <c r="BU130" s="39">
        <f>RawData!AF128</f>
        <v>-1.5016317367553711E-2</v>
      </c>
      <c r="BV130" s="39">
        <f>RawData!AE128</f>
        <v>-1.2849500179290771</v>
      </c>
      <c r="BW130" s="38">
        <f>RawData!AD128</f>
        <v>5.0090551376342773E-3</v>
      </c>
      <c r="BX130" s="38">
        <f>RawData!AC128</f>
        <v>3.6656182089700451E-8</v>
      </c>
      <c r="BY130" s="37">
        <f>RawData!AB128</f>
        <v>-7.581490990560269E-12</v>
      </c>
      <c r="BZ130" s="37">
        <f>RawData!AA128</f>
        <v>8.4967963630333543E-5</v>
      </c>
      <c r="CA130" s="36">
        <f>RawData!Z128</f>
        <v>-2.4105975171551108E-7</v>
      </c>
      <c r="CB130" s="36">
        <f>RawData!Y128</f>
        <v>4.2542349547147751E-5</v>
      </c>
      <c r="CC130" s="36">
        <f>RawData!X128</f>
        <v>-3.7856807466596365E-8</v>
      </c>
      <c r="CD130" s="36">
        <f>RawData!W128</f>
        <v>8630.8037109375</v>
      </c>
      <c r="CE130" s="40">
        <f>RawData!V128</f>
        <v>-63.4169921875</v>
      </c>
      <c r="CF130" s="40">
        <f>RawData!U128</f>
        <v>5856.5478515625</v>
      </c>
      <c r="CG130" s="40">
        <f>RawData!T128</f>
        <v>-27.95068359375</v>
      </c>
      <c r="CH130" s="44">
        <f>RawData!S128</f>
        <v>0</v>
      </c>
      <c r="CI130" s="44">
        <f>RawData!R128</f>
        <v>0</v>
      </c>
      <c r="CJ130" s="44">
        <f>RawData!Q128</f>
        <v>0</v>
      </c>
      <c r="CK130" s="44">
        <f>RawData!P128</f>
        <v>3750</v>
      </c>
      <c r="CL130" s="44">
        <f>RawData!CJ128</f>
        <v>750</v>
      </c>
      <c r="CM130" s="43">
        <f>RawData!CI128</f>
        <v>3807.35009765625</v>
      </c>
      <c r="CN130" s="44">
        <f>RawData!CL128</f>
        <v>750</v>
      </c>
      <c r="CO130" s="43">
        <f>RawData!CK128</f>
        <v>3613.39990234375</v>
      </c>
      <c r="CP130" s="44">
        <f>RawData!CM128</f>
        <v>0</v>
      </c>
      <c r="CQ130" s="47">
        <f>RawData!CO128</f>
        <v>44783.636805555558</v>
      </c>
      <c r="CR130" s="44">
        <f>RawData!CP128</f>
        <v>38295.69921875</v>
      </c>
      <c r="CS130" s="44">
        <f>RawData!DG128</f>
        <v>38295.69921875</v>
      </c>
      <c r="CT130" s="43" t="str">
        <f>RawData!DJ128</f>
        <v>G</v>
      </c>
      <c r="CU130" s="43" t="str">
        <f>RawData!CQ128</f>
        <v>FairPrice</v>
      </c>
      <c r="CV130" s="47">
        <f>RawData!CR128</f>
        <v>44783.638194444444</v>
      </c>
      <c r="CW130" s="65">
        <f>RawData!DK128</f>
        <v>38300</v>
      </c>
      <c r="CX130" s="65">
        <f>RawData!DL128</f>
        <v>3400000</v>
      </c>
      <c r="CY130" s="65">
        <f>RawData!DM128</f>
        <v>38500</v>
      </c>
      <c r="CZ130" s="65">
        <f>RawData!DN128</f>
        <v>0</v>
      </c>
      <c r="DA130" s="65">
        <f>RawData!DO128</f>
        <v>24500</v>
      </c>
      <c r="DB130" s="65">
        <f>RawData!DP128</f>
        <v>2863350</v>
      </c>
      <c r="DC130" s="65">
        <f>RawData!DQ128</f>
        <v>38000</v>
      </c>
      <c r="DD130" s="65">
        <f>RawData!DR128</f>
        <v>0</v>
      </c>
      <c r="DE130" s="65">
        <f>RawData!DS128</f>
        <v>24500</v>
      </c>
      <c r="DF130" s="65" t="str">
        <f>RawData!DT128</f>
        <v>BANKNIFTY</v>
      </c>
      <c r="DG130" s="66">
        <f>RawData!DU128</f>
        <v>44784</v>
      </c>
      <c r="DI130" s="21">
        <f t="shared" si="1"/>
        <v>3704.30078125</v>
      </c>
    </row>
    <row r="131" spans="1:113" x14ac:dyDescent="0.2">
      <c r="A131" s="59">
        <f>RawData!CN129</f>
        <v>44783.636701388888</v>
      </c>
      <c r="B131" s="44">
        <f>RawData!CH129</f>
        <v>0</v>
      </c>
      <c r="C131" s="44">
        <f>RawData!CG129</f>
        <v>0</v>
      </c>
      <c r="D131" s="43">
        <f>RawData!CF129</f>
        <v>0</v>
      </c>
      <c r="E131" s="44">
        <f>RawData!CE129</f>
        <v>0</v>
      </c>
      <c r="F131" s="43">
        <f>RawData!CD129</f>
        <v>0</v>
      </c>
      <c r="G131" s="44">
        <f>RawData!CC129</f>
        <v>0</v>
      </c>
      <c r="H131" s="44">
        <f>RawData!CB129</f>
        <v>0</v>
      </c>
      <c r="I131" s="44">
        <f>RawData!CA129</f>
        <v>0</v>
      </c>
      <c r="J131" s="44">
        <f>RawData!BZ129</f>
        <v>0</v>
      </c>
      <c r="K131" s="40">
        <f>RawData!BY129</f>
        <v>0</v>
      </c>
      <c r="L131" s="40">
        <f>RawData!BX129</f>
        <v>0</v>
      </c>
      <c r="M131" s="40">
        <f>RawData!BW129</f>
        <v>0</v>
      </c>
      <c r="N131" s="40">
        <f>RawData!BV129</f>
        <v>0</v>
      </c>
      <c r="O131" s="36">
        <f>RawData!BU129</f>
        <v>0</v>
      </c>
      <c r="P131" s="36">
        <f>RawData!BT129</f>
        <v>0</v>
      </c>
      <c r="Q131" s="36">
        <f>RawData!BS129</f>
        <v>0</v>
      </c>
      <c r="R131" s="36">
        <f>RawData!BR129</f>
        <v>0</v>
      </c>
      <c r="S131" s="37">
        <f>RawData!BQ129</f>
        <v>0</v>
      </c>
      <c r="T131" s="37">
        <f>RawData!BP129</f>
        <v>0</v>
      </c>
      <c r="U131" s="38">
        <f>RawData!BO129</f>
        <v>0</v>
      </c>
      <c r="V131" s="38">
        <f>RawData!BN129</f>
        <v>0</v>
      </c>
      <c r="W131" s="39">
        <f>RawData!BM129</f>
        <v>0</v>
      </c>
      <c r="X131" s="39">
        <f>RawData!BL129</f>
        <v>0</v>
      </c>
      <c r="Y131" s="38">
        <f>RawData!BJ129</f>
        <v>0</v>
      </c>
      <c r="Z131" s="38">
        <f>RawData!BI129</f>
        <v>0</v>
      </c>
      <c r="AA131" s="40">
        <f>RawData!BH129</f>
        <v>0</v>
      </c>
      <c r="AB131" s="40">
        <f>RawData!BG129</f>
        <v>0</v>
      </c>
      <c r="AC131" s="40">
        <f>RawData!BF129</f>
        <v>0</v>
      </c>
      <c r="AD131" s="40">
        <f>RawData!BE129</f>
        <v>0</v>
      </c>
      <c r="AE131" s="40">
        <f>RawData!BD129</f>
        <v>0</v>
      </c>
      <c r="AF131" s="40">
        <f>RawData!BC129</f>
        <v>0</v>
      </c>
      <c r="AG131" s="41">
        <f>RawData!BB129</f>
        <v>0</v>
      </c>
      <c r="AH131" s="42">
        <f>RawData!DB129</f>
        <v>0</v>
      </c>
      <c r="AI131" s="41">
        <f>RawData!BA129</f>
        <v>0</v>
      </c>
      <c r="AJ131" s="43">
        <f>RawData!DA129</f>
        <v>0</v>
      </c>
      <c r="AK131" s="41">
        <f>RawData!AZ129</f>
        <v>0</v>
      </c>
      <c r="AL131" s="42">
        <f>RawData!DD129</f>
        <v>0</v>
      </c>
      <c r="AM131" s="44">
        <f>RawData!DC129</f>
        <v>0</v>
      </c>
      <c r="AN131" s="45">
        <f>RawData!BK129</f>
        <v>0</v>
      </c>
      <c r="AO131" s="44">
        <f>RawData!AY129</f>
        <v>0</v>
      </c>
      <c r="AP131" s="43" t="str">
        <f>RawData!DH129</f>
        <v>W</v>
      </c>
      <c r="AQ131" s="43">
        <f>RawData!DE129</f>
        <v>0</v>
      </c>
      <c r="AR131" s="42">
        <f>RawData!CZ129</f>
        <v>0</v>
      </c>
      <c r="AS131" s="44">
        <f>RawData!AX129</f>
        <v>0</v>
      </c>
      <c r="AT131" s="43">
        <f>RawData!CY129</f>
        <v>0</v>
      </c>
      <c r="AU131" s="44">
        <f>RawData!AW129</f>
        <v>0</v>
      </c>
      <c r="AV131" s="46">
        <f>RawData!O129</f>
        <v>42100</v>
      </c>
      <c r="AW131" s="44">
        <f>RawData!AV129</f>
        <v>0</v>
      </c>
      <c r="AX131" s="44">
        <f>RawData!CW129</f>
        <v>0</v>
      </c>
      <c r="AY131" s="44">
        <f>RawData!AU129</f>
        <v>0</v>
      </c>
      <c r="AZ131" s="42">
        <f>RawData!CX129</f>
        <v>0</v>
      </c>
      <c r="BA131" s="44">
        <f>RawData!DF129</f>
        <v>0</v>
      </c>
      <c r="BB131" s="43" t="str">
        <f>RawData!DI129</f>
        <v>W</v>
      </c>
      <c r="BC131" s="44">
        <f>RawData!AT129</f>
        <v>0</v>
      </c>
      <c r="BD131" s="45">
        <f>RawData!AP129</f>
        <v>0</v>
      </c>
      <c r="BE131" s="44">
        <f>RawData!CS129</f>
        <v>0</v>
      </c>
      <c r="BF131" s="42">
        <f>RawData!CT129</f>
        <v>0</v>
      </c>
      <c r="BG131" s="41">
        <f>RawData!AS129</f>
        <v>0</v>
      </c>
      <c r="BH131" s="41">
        <f>RawData!CU129</f>
        <v>0</v>
      </c>
      <c r="BI131" s="41">
        <f>RawData!AR129</f>
        <v>0</v>
      </c>
      <c r="BJ131" s="42">
        <f>RawData!CV129</f>
        <v>0</v>
      </c>
      <c r="BK131" s="41">
        <f>RawData!AQ129</f>
        <v>0</v>
      </c>
      <c r="BL131" s="40">
        <f>RawData!AO129</f>
        <v>0</v>
      </c>
      <c r="BM131" s="40">
        <f>RawData!AN129</f>
        <v>0</v>
      </c>
      <c r="BN131" s="40">
        <f>RawData!AM129</f>
        <v>0</v>
      </c>
      <c r="BO131" s="40">
        <f>RawData!AL129</f>
        <v>0</v>
      </c>
      <c r="BP131" s="40">
        <f>RawData!AK129</f>
        <v>0</v>
      </c>
      <c r="BQ131" s="40">
        <f>RawData!AJ129</f>
        <v>0</v>
      </c>
      <c r="BR131" s="38">
        <f>RawData!AI129</f>
        <v>0</v>
      </c>
      <c r="BS131" s="38">
        <f>RawData!AH129</f>
        <v>0</v>
      </c>
      <c r="BT131" s="40">
        <f>RawData!AG129</f>
        <v>0</v>
      </c>
      <c r="BU131" s="39">
        <f>RawData!AF129</f>
        <v>0</v>
      </c>
      <c r="BV131" s="39">
        <f>RawData!AE129</f>
        <v>0</v>
      </c>
      <c r="BW131" s="38">
        <f>RawData!AD129</f>
        <v>0</v>
      </c>
      <c r="BX131" s="38">
        <f>RawData!AC129</f>
        <v>0</v>
      </c>
      <c r="BY131" s="37">
        <f>RawData!AB129</f>
        <v>0</v>
      </c>
      <c r="BZ131" s="37">
        <f>RawData!AA129</f>
        <v>0</v>
      </c>
      <c r="CA131" s="36">
        <f>RawData!Z129</f>
        <v>0</v>
      </c>
      <c r="CB131" s="36">
        <f>RawData!Y129</f>
        <v>0</v>
      </c>
      <c r="CC131" s="36">
        <f>RawData!X129</f>
        <v>0</v>
      </c>
      <c r="CD131" s="36">
        <f>RawData!W129</f>
        <v>0</v>
      </c>
      <c r="CE131" s="40">
        <f>RawData!V129</f>
        <v>0</v>
      </c>
      <c r="CF131" s="40">
        <f>RawData!U129</f>
        <v>0</v>
      </c>
      <c r="CG131" s="40">
        <f>RawData!T129</f>
        <v>0</v>
      </c>
      <c r="CH131" s="44">
        <f>RawData!S129</f>
        <v>0</v>
      </c>
      <c r="CI131" s="44">
        <f>RawData!R129</f>
        <v>0</v>
      </c>
      <c r="CJ131" s="44">
        <f>RawData!Q129</f>
        <v>0</v>
      </c>
      <c r="CK131" s="44">
        <f>RawData!P129</f>
        <v>0</v>
      </c>
      <c r="CL131" s="44">
        <f>RawData!CJ129</f>
        <v>0</v>
      </c>
      <c r="CM131" s="43">
        <f>RawData!CI129</f>
        <v>0</v>
      </c>
      <c r="CN131" s="44">
        <f>RawData!CL129</f>
        <v>0</v>
      </c>
      <c r="CO131" s="43">
        <f>RawData!CK129</f>
        <v>0</v>
      </c>
      <c r="CP131" s="44">
        <f>RawData!CM129</f>
        <v>0</v>
      </c>
      <c r="CQ131" s="47">
        <f>RawData!CO129</f>
        <v>44783.636701388888</v>
      </c>
      <c r="CR131" s="44">
        <f>RawData!CP129</f>
        <v>38295.69921875</v>
      </c>
      <c r="CS131" s="44">
        <f>RawData!DG129</f>
        <v>38295.69921875</v>
      </c>
      <c r="CT131" s="43" t="str">
        <f>RawData!DJ129</f>
        <v>G</v>
      </c>
      <c r="CU131" s="43" t="str">
        <f>RawData!CQ129</f>
        <v>FairPrice</v>
      </c>
      <c r="CV131" s="47">
        <f>RawData!CR129</f>
        <v>44783.638194444444</v>
      </c>
      <c r="CW131" s="65">
        <f>RawData!DK129</f>
        <v>38300</v>
      </c>
      <c r="CX131" s="65">
        <f>RawData!DL129</f>
        <v>3400000</v>
      </c>
      <c r="CY131" s="65">
        <f>RawData!DM129</f>
        <v>38500</v>
      </c>
      <c r="CZ131" s="65">
        <f>RawData!DN129</f>
        <v>0</v>
      </c>
      <c r="DA131" s="65">
        <f>RawData!DO129</f>
        <v>24500</v>
      </c>
      <c r="DB131" s="65">
        <f>RawData!DP129</f>
        <v>2863350</v>
      </c>
      <c r="DC131" s="65">
        <f>RawData!DQ129</f>
        <v>38000</v>
      </c>
      <c r="DD131" s="65">
        <f>RawData!DR129</f>
        <v>0</v>
      </c>
      <c r="DE131" s="65">
        <f>RawData!DS129</f>
        <v>24500</v>
      </c>
      <c r="DF131" s="65" t="str">
        <f>RawData!DT129</f>
        <v>BANKNIFTY</v>
      </c>
      <c r="DG131" s="66">
        <f>RawData!DU129</f>
        <v>44784</v>
      </c>
      <c r="DI131" s="21">
        <f t="shared" si="1"/>
        <v>3804.30078125</v>
      </c>
    </row>
    <row r="132" spans="1:113" x14ac:dyDescent="0.2">
      <c r="A132" s="59">
        <f>RawData!CN130</f>
        <v>44783.636701388888</v>
      </c>
      <c r="B132" s="44">
        <f>RawData!CH130</f>
        <v>0</v>
      </c>
      <c r="C132" s="44">
        <f>RawData!CG130</f>
        <v>0</v>
      </c>
      <c r="D132" s="43">
        <f>RawData!CF130</f>
        <v>0</v>
      </c>
      <c r="E132" s="44">
        <f>RawData!CE130</f>
        <v>0</v>
      </c>
      <c r="F132" s="43">
        <f>RawData!CD130</f>
        <v>0</v>
      </c>
      <c r="G132" s="44">
        <f>RawData!CC130</f>
        <v>0</v>
      </c>
      <c r="H132" s="44">
        <f>RawData!CB130</f>
        <v>0</v>
      </c>
      <c r="I132" s="44">
        <f>RawData!CA130</f>
        <v>0</v>
      </c>
      <c r="J132" s="44">
        <f>RawData!BZ130</f>
        <v>0</v>
      </c>
      <c r="K132" s="40">
        <f>RawData!BY130</f>
        <v>0</v>
      </c>
      <c r="L132" s="40">
        <f>RawData!BX130</f>
        <v>0</v>
      </c>
      <c r="M132" s="40">
        <f>RawData!BW130</f>
        <v>0</v>
      </c>
      <c r="N132" s="40">
        <f>RawData!BV130</f>
        <v>0</v>
      </c>
      <c r="O132" s="36">
        <f>RawData!BU130</f>
        <v>0</v>
      </c>
      <c r="P132" s="36">
        <f>RawData!BT130</f>
        <v>0</v>
      </c>
      <c r="Q132" s="36">
        <f>RawData!BS130</f>
        <v>0</v>
      </c>
      <c r="R132" s="36">
        <f>RawData!BR130</f>
        <v>0</v>
      </c>
      <c r="S132" s="37">
        <f>RawData!BQ130</f>
        <v>0</v>
      </c>
      <c r="T132" s="37">
        <f>RawData!BP130</f>
        <v>0</v>
      </c>
      <c r="U132" s="38">
        <f>RawData!BO130</f>
        <v>0</v>
      </c>
      <c r="V132" s="38">
        <f>RawData!BN130</f>
        <v>0</v>
      </c>
      <c r="W132" s="39">
        <f>RawData!BM130</f>
        <v>0</v>
      </c>
      <c r="X132" s="39">
        <f>RawData!BL130</f>
        <v>0</v>
      </c>
      <c r="Y132" s="38">
        <f>RawData!BJ130</f>
        <v>0</v>
      </c>
      <c r="Z132" s="38">
        <f>RawData!BI130</f>
        <v>0</v>
      </c>
      <c r="AA132" s="40">
        <f>RawData!BH130</f>
        <v>0</v>
      </c>
      <c r="AB132" s="40">
        <f>RawData!BG130</f>
        <v>0</v>
      </c>
      <c r="AC132" s="40">
        <f>RawData!BF130</f>
        <v>0</v>
      </c>
      <c r="AD132" s="40">
        <f>RawData!BE130</f>
        <v>0</v>
      </c>
      <c r="AE132" s="40">
        <f>RawData!BD130</f>
        <v>0</v>
      </c>
      <c r="AF132" s="40">
        <f>RawData!BC130</f>
        <v>0</v>
      </c>
      <c r="AG132" s="41">
        <f>RawData!BB130</f>
        <v>0</v>
      </c>
      <c r="AH132" s="42">
        <f>RawData!DB130</f>
        <v>0</v>
      </c>
      <c r="AI132" s="41">
        <f>RawData!BA130</f>
        <v>0</v>
      </c>
      <c r="AJ132" s="43">
        <f>RawData!DA130</f>
        <v>0</v>
      </c>
      <c r="AK132" s="41">
        <f>RawData!AZ130</f>
        <v>0</v>
      </c>
      <c r="AL132" s="42">
        <f>RawData!DD130</f>
        <v>0</v>
      </c>
      <c r="AM132" s="44">
        <f>RawData!DC130</f>
        <v>0</v>
      </c>
      <c r="AN132" s="45">
        <f>RawData!BK130</f>
        <v>0</v>
      </c>
      <c r="AO132" s="44">
        <f>RawData!AY130</f>
        <v>0</v>
      </c>
      <c r="AP132" s="43" t="str">
        <f>RawData!DH130</f>
        <v>W</v>
      </c>
      <c r="AQ132" s="43">
        <f>RawData!DE130</f>
        <v>0</v>
      </c>
      <c r="AR132" s="42">
        <f>RawData!CZ130</f>
        <v>0</v>
      </c>
      <c r="AS132" s="44">
        <f>RawData!AX130</f>
        <v>0</v>
      </c>
      <c r="AT132" s="43">
        <f>RawData!CY130</f>
        <v>0</v>
      </c>
      <c r="AU132" s="44">
        <f>RawData!AW130</f>
        <v>0</v>
      </c>
      <c r="AV132" s="46">
        <f>RawData!O130</f>
        <v>42200</v>
      </c>
      <c r="AW132" s="44">
        <f>RawData!AV130</f>
        <v>0</v>
      </c>
      <c r="AX132" s="44">
        <f>RawData!CW130</f>
        <v>0</v>
      </c>
      <c r="AY132" s="44">
        <f>RawData!AU130</f>
        <v>0</v>
      </c>
      <c r="AZ132" s="42">
        <f>RawData!CX130</f>
        <v>0</v>
      </c>
      <c r="BA132" s="44">
        <f>RawData!DF130</f>
        <v>0</v>
      </c>
      <c r="BB132" s="43" t="str">
        <f>RawData!DI130</f>
        <v>W</v>
      </c>
      <c r="BC132" s="44">
        <f>RawData!AT130</f>
        <v>0</v>
      </c>
      <c r="BD132" s="45">
        <f>RawData!AP130</f>
        <v>0</v>
      </c>
      <c r="BE132" s="44">
        <f>RawData!CS130</f>
        <v>0</v>
      </c>
      <c r="BF132" s="42">
        <f>RawData!CT130</f>
        <v>0</v>
      </c>
      <c r="BG132" s="41">
        <f>RawData!AS130</f>
        <v>0</v>
      </c>
      <c r="BH132" s="41">
        <f>RawData!CU130</f>
        <v>0</v>
      </c>
      <c r="BI132" s="41">
        <f>RawData!AR130</f>
        <v>0</v>
      </c>
      <c r="BJ132" s="42">
        <f>RawData!CV130</f>
        <v>0</v>
      </c>
      <c r="BK132" s="41">
        <f>RawData!AQ130</f>
        <v>0</v>
      </c>
      <c r="BL132" s="40">
        <f>RawData!AO130</f>
        <v>0</v>
      </c>
      <c r="BM132" s="40">
        <f>RawData!AN130</f>
        <v>0</v>
      </c>
      <c r="BN132" s="40">
        <f>RawData!AM130</f>
        <v>0</v>
      </c>
      <c r="BO132" s="40">
        <f>RawData!AL130</f>
        <v>0</v>
      </c>
      <c r="BP132" s="40">
        <f>RawData!AK130</f>
        <v>0</v>
      </c>
      <c r="BQ132" s="40">
        <f>RawData!AJ130</f>
        <v>0</v>
      </c>
      <c r="BR132" s="38">
        <f>RawData!AI130</f>
        <v>0</v>
      </c>
      <c r="BS132" s="38">
        <f>RawData!AH130</f>
        <v>0</v>
      </c>
      <c r="BT132" s="40">
        <f>RawData!AG130</f>
        <v>0</v>
      </c>
      <c r="BU132" s="39">
        <f>RawData!AF130</f>
        <v>0</v>
      </c>
      <c r="BV132" s="39">
        <f>RawData!AE130</f>
        <v>0</v>
      </c>
      <c r="BW132" s="38">
        <f>RawData!AD130</f>
        <v>0</v>
      </c>
      <c r="BX132" s="38">
        <f>RawData!AC130</f>
        <v>0</v>
      </c>
      <c r="BY132" s="37">
        <f>RawData!AB130</f>
        <v>0</v>
      </c>
      <c r="BZ132" s="37">
        <f>RawData!AA130</f>
        <v>0</v>
      </c>
      <c r="CA132" s="36">
        <f>RawData!Z130</f>
        <v>0</v>
      </c>
      <c r="CB132" s="36">
        <f>RawData!Y130</f>
        <v>0</v>
      </c>
      <c r="CC132" s="36">
        <f>RawData!X130</f>
        <v>0</v>
      </c>
      <c r="CD132" s="36">
        <f>RawData!W130</f>
        <v>0</v>
      </c>
      <c r="CE132" s="40">
        <f>RawData!V130</f>
        <v>0</v>
      </c>
      <c r="CF132" s="40">
        <f>RawData!U130</f>
        <v>0</v>
      </c>
      <c r="CG132" s="40">
        <f>RawData!T130</f>
        <v>0</v>
      </c>
      <c r="CH132" s="44">
        <f>RawData!S130</f>
        <v>0</v>
      </c>
      <c r="CI132" s="44">
        <f>RawData!R130</f>
        <v>0</v>
      </c>
      <c r="CJ132" s="44">
        <f>RawData!Q130</f>
        <v>0</v>
      </c>
      <c r="CK132" s="44">
        <f>RawData!P130</f>
        <v>0</v>
      </c>
      <c r="CL132" s="44">
        <f>RawData!CJ130</f>
        <v>0</v>
      </c>
      <c r="CM132" s="43">
        <f>RawData!CI130</f>
        <v>0</v>
      </c>
      <c r="CN132" s="44">
        <f>RawData!CL130</f>
        <v>0</v>
      </c>
      <c r="CO132" s="43">
        <f>RawData!CK130</f>
        <v>0</v>
      </c>
      <c r="CP132" s="44">
        <f>RawData!CM130</f>
        <v>0</v>
      </c>
      <c r="CQ132" s="47">
        <f>RawData!CO130</f>
        <v>44783.636701388888</v>
      </c>
      <c r="CR132" s="44">
        <f>RawData!CP130</f>
        <v>38295.69921875</v>
      </c>
      <c r="CS132" s="44">
        <f>RawData!DG130</f>
        <v>38295.69921875</v>
      </c>
      <c r="CT132" s="43" t="str">
        <f>RawData!DJ130</f>
        <v>G</v>
      </c>
      <c r="CU132" s="43" t="str">
        <f>RawData!CQ130</f>
        <v>FairPrice</v>
      </c>
      <c r="CV132" s="47">
        <f>RawData!CR130</f>
        <v>44783.638194444444</v>
      </c>
      <c r="CW132" s="65">
        <f>RawData!DK130</f>
        <v>38300</v>
      </c>
      <c r="CX132" s="65">
        <f>RawData!DL130</f>
        <v>3400000</v>
      </c>
      <c r="CY132" s="65">
        <f>RawData!DM130</f>
        <v>38500</v>
      </c>
      <c r="CZ132" s="65">
        <f>RawData!DN130</f>
        <v>0</v>
      </c>
      <c r="DA132" s="65">
        <f>RawData!DO130</f>
        <v>24500</v>
      </c>
      <c r="DB132" s="65">
        <f>RawData!DP130</f>
        <v>2863350</v>
      </c>
      <c r="DC132" s="65">
        <f>RawData!DQ130</f>
        <v>38000</v>
      </c>
      <c r="DD132" s="65">
        <f>RawData!DR130</f>
        <v>0</v>
      </c>
      <c r="DE132" s="65">
        <f>RawData!DS130</f>
        <v>24500</v>
      </c>
      <c r="DF132" s="65" t="str">
        <f>RawData!DT130</f>
        <v>BANKNIFTY</v>
      </c>
      <c r="DG132" s="66">
        <f>RawData!DU130</f>
        <v>44784</v>
      </c>
      <c r="DI132" s="21">
        <f t="shared" si="1"/>
        <v>3904.30078125</v>
      </c>
    </row>
    <row r="133" spans="1:113" x14ac:dyDescent="0.2">
      <c r="A133" s="59">
        <f>RawData!CN131</f>
        <v>44783.638194444444</v>
      </c>
      <c r="B133" s="44">
        <f>RawData!CH131</f>
        <v>1.7699999809265137</v>
      </c>
      <c r="C133" s="44">
        <f>RawData!CG131</f>
        <v>2425</v>
      </c>
      <c r="D133" s="43">
        <f>RawData!CF131</f>
        <v>1.6000000238418579</v>
      </c>
      <c r="E133" s="44">
        <f>RawData!CE131</f>
        <v>75</v>
      </c>
      <c r="F133" s="43">
        <f>RawData!CD131</f>
        <v>1.6499999761581421</v>
      </c>
      <c r="G133" s="44">
        <f>RawData!CC131</f>
        <v>1.6499999761581421</v>
      </c>
      <c r="H133" s="44">
        <f>RawData!CB131</f>
        <v>1.4500000476837158</v>
      </c>
      <c r="I133" s="44">
        <f>RawData!CA131</f>
        <v>2.0999999046325684</v>
      </c>
      <c r="J133" s="44">
        <f>RawData!BZ131</f>
        <v>1.7999999523162842</v>
      </c>
      <c r="K133" s="40">
        <f>RawData!BY131</f>
        <v>3.6328125</v>
      </c>
      <c r="L133" s="40">
        <f>RawData!BX131</f>
        <v>118797.9921875</v>
      </c>
      <c r="M133" s="40">
        <f>RawData!BW131</f>
        <v>-13.375</v>
      </c>
      <c r="N133" s="40">
        <f>RawData!BV131</f>
        <v>295478.65625</v>
      </c>
      <c r="O133" s="36">
        <f>RawData!BU131</f>
        <v>6.3300831243395805E-10</v>
      </c>
      <c r="P133" s="36">
        <f>RawData!BT131</f>
        <v>2.2725394956069067E-5</v>
      </c>
      <c r="Q133" s="36">
        <f>RawData!BS131</f>
        <v>-3.1068339012563229E-9</v>
      </c>
      <c r="R133" s="36">
        <f>RawData!BR131</f>
        <v>6.4277599449269474E-5</v>
      </c>
      <c r="S133" s="37">
        <f>RawData!BQ131</f>
        <v>-3.6148861681795097E-13</v>
      </c>
      <c r="T133" s="37">
        <f>RawData!BP131</f>
        <v>1.328553000945476E-8</v>
      </c>
      <c r="U133" s="38">
        <f>RawData!BO131</f>
        <v>-1.0089874267578125E-3</v>
      </c>
      <c r="V133" s="38">
        <f>RawData!BN131</f>
        <v>-19.174179077148438</v>
      </c>
      <c r="W133" s="39">
        <f>RawData!BM131</f>
        <v>-1.27410888671875E-3</v>
      </c>
      <c r="X133" s="39">
        <f>RawData!BL131</f>
        <v>54.233173370361328</v>
      </c>
      <c r="Y133" s="38">
        <f>RawData!BJ131</f>
        <v>-1.3505996321327984E-10</v>
      </c>
      <c r="Z133" s="38">
        <f>RawData!BI131</f>
        <v>7.4295380727562588E-6</v>
      </c>
      <c r="AA133" s="40">
        <f>RawData!BH131</f>
        <v>-6.9290399551391602E-6</v>
      </c>
      <c r="AB133" s="40">
        <f>RawData!BG131</f>
        <v>0.22310526669025421</v>
      </c>
      <c r="AC133" s="40">
        <f>RawData!BF131</f>
        <v>0</v>
      </c>
      <c r="AD133" s="40">
        <f>RawData!BE131</f>
        <v>-1.6499999761581421</v>
      </c>
      <c r="AE133" s="40">
        <f>RawData!BD131</f>
        <v>-3.3294782042503357E-8</v>
      </c>
      <c r="AF133" s="40">
        <f>RawData!BC131</f>
        <v>3.6737490445375443E-3</v>
      </c>
      <c r="AG133" s="41">
        <f>RawData!BB131</f>
        <v>348425</v>
      </c>
      <c r="AH133" s="42">
        <f>RawData!DB131</f>
        <v>7.7110956036287509E-2</v>
      </c>
      <c r="AI133" s="41">
        <f>RawData!BA131</f>
        <v>11050</v>
      </c>
      <c r="AJ133" s="43">
        <f>RawData!DA131</f>
        <v>143300</v>
      </c>
      <c r="AK133" s="41">
        <f>RawData!AZ131</f>
        <v>154350</v>
      </c>
      <c r="AL133" s="42">
        <f>RawData!DD131</f>
        <v>3.2961580817737464E-5</v>
      </c>
      <c r="AM133" s="44">
        <f>RawData!DC131</f>
        <v>2.3961067199707031E-3</v>
      </c>
      <c r="AN133" s="45">
        <f>RawData!BK131</f>
        <v>72.696322202682495</v>
      </c>
      <c r="AO133" s="44">
        <f>RawData!AY131</f>
        <v>72.696322202682495</v>
      </c>
      <c r="AP133" s="43" t="str">
        <f>RawData!DH131</f>
        <v>W</v>
      </c>
      <c r="AQ133" s="43">
        <f>RawData!DE131</f>
        <v>1.6499999761581421</v>
      </c>
      <c r="AR133" s="42">
        <f>RawData!CZ131</f>
        <v>0</v>
      </c>
      <c r="AS133" s="44">
        <f>RawData!AX131</f>
        <v>0</v>
      </c>
      <c r="AT133" s="43">
        <f>RawData!CY131</f>
        <v>1.6499999761581421</v>
      </c>
      <c r="AU133" s="44">
        <f>RawData!AW131</f>
        <v>1.6499999761581421</v>
      </c>
      <c r="AV133" s="46">
        <f>RawData!O131</f>
        <v>42500</v>
      </c>
      <c r="AW133" s="44">
        <f>RawData!AV131</f>
        <v>0</v>
      </c>
      <c r="AX133" s="44">
        <f>RawData!CW131</f>
        <v>7395.4</v>
      </c>
      <c r="AY133" s="44">
        <f>RawData!AU131</f>
        <v>-7395.4</v>
      </c>
      <c r="AZ133" s="42">
        <f>RawData!CX131</f>
        <v>-1</v>
      </c>
      <c r="BA133" s="44">
        <f>RawData!DF131</f>
        <v>7395.4</v>
      </c>
      <c r="BB133" s="43" t="str">
        <f>RawData!DI131</f>
        <v>R</v>
      </c>
      <c r="BC133" s="44">
        <f>RawData!AT131</f>
        <v>0</v>
      </c>
      <c r="BD133" s="45">
        <f>RawData!AP131</f>
        <v>342.38</v>
      </c>
      <c r="BE133" s="44">
        <f>RawData!CS131</f>
        <v>-342.38</v>
      </c>
      <c r="BF133" s="42">
        <f>RawData!CT131</f>
        <v>-1</v>
      </c>
      <c r="BG133" s="41">
        <f>RawData!AS131</f>
        <v>0</v>
      </c>
      <c r="BH133" s="41">
        <f>RawData!CU131</f>
        <v>0</v>
      </c>
      <c r="BI133" s="41">
        <f>RawData!AR131</f>
        <v>0</v>
      </c>
      <c r="BJ133" s="42">
        <f>RawData!CV131</f>
        <v>0</v>
      </c>
      <c r="BK133" s="41">
        <f>RawData!AQ131</f>
        <v>0</v>
      </c>
      <c r="BL133" s="40">
        <f>RawData!AO131</f>
        <v>0</v>
      </c>
      <c r="BM133" s="40">
        <f>RawData!AN131</f>
        <v>0</v>
      </c>
      <c r="BN133" s="40">
        <f>RawData!AM131</f>
        <v>0</v>
      </c>
      <c r="BO133" s="40">
        <f>RawData!AL131</f>
        <v>0</v>
      </c>
      <c r="BP133" s="40">
        <f>RawData!AK131</f>
        <v>0</v>
      </c>
      <c r="BQ133" s="40">
        <f>RawData!AJ131</f>
        <v>0</v>
      </c>
      <c r="BR133" s="38">
        <f>RawData!AI131</f>
        <v>0</v>
      </c>
      <c r="BS133" s="38">
        <f>RawData!AH131</f>
        <v>0</v>
      </c>
      <c r="BT133" s="40">
        <f>RawData!AG131</f>
        <v>0</v>
      </c>
      <c r="BU133" s="39">
        <f>RawData!AF131</f>
        <v>0</v>
      </c>
      <c r="BV133" s="39">
        <f>RawData!AE131</f>
        <v>0</v>
      </c>
      <c r="BW133" s="38">
        <f>RawData!AD131</f>
        <v>0</v>
      </c>
      <c r="BX133" s="38">
        <f>RawData!AC131</f>
        <v>0</v>
      </c>
      <c r="BY133" s="37">
        <f>RawData!AB131</f>
        <v>0</v>
      </c>
      <c r="BZ133" s="37">
        <f>RawData!AA131</f>
        <v>0</v>
      </c>
      <c r="CA133" s="36">
        <f>RawData!Z131</f>
        <v>0</v>
      </c>
      <c r="CB133" s="36">
        <f>RawData!Y131</f>
        <v>0</v>
      </c>
      <c r="CC133" s="36">
        <f>RawData!X131</f>
        <v>0</v>
      </c>
      <c r="CD133" s="36">
        <f>RawData!W131</f>
        <v>0</v>
      </c>
      <c r="CE133" s="40">
        <f>RawData!V131</f>
        <v>0</v>
      </c>
      <c r="CF133" s="40">
        <f>RawData!U131</f>
        <v>0</v>
      </c>
      <c r="CG133" s="40">
        <f>RawData!T131</f>
        <v>0</v>
      </c>
      <c r="CH133" s="44">
        <f>RawData!S131</f>
        <v>0</v>
      </c>
      <c r="CI133" s="44">
        <f>RawData!R131</f>
        <v>0</v>
      </c>
      <c r="CJ133" s="44">
        <f>RawData!Q131</f>
        <v>0</v>
      </c>
      <c r="CK133" s="44">
        <f>RawData!P131</f>
        <v>0</v>
      </c>
      <c r="CL133" s="44">
        <f>RawData!CJ131</f>
        <v>0</v>
      </c>
      <c r="CM133" s="43">
        <f>RawData!CI131</f>
        <v>0</v>
      </c>
      <c r="CN133" s="44">
        <f>RawData!CL131</f>
        <v>0</v>
      </c>
      <c r="CO133" s="43">
        <f>RawData!CK131</f>
        <v>0</v>
      </c>
      <c r="CP133" s="44">
        <f>RawData!CM131</f>
        <v>0</v>
      </c>
      <c r="CQ133" s="47">
        <f>RawData!CO131</f>
        <v>44783.636701388888</v>
      </c>
      <c r="CR133" s="44">
        <f>RawData!CP131</f>
        <v>38295.69921875</v>
      </c>
      <c r="CS133" s="44">
        <f>RawData!DG131</f>
        <v>38295.69921875</v>
      </c>
      <c r="CT133" s="43" t="str">
        <f>RawData!DJ131</f>
        <v>G</v>
      </c>
      <c r="CU133" s="43" t="str">
        <f>RawData!CQ131</f>
        <v>FairPrice</v>
      </c>
      <c r="CV133" s="47">
        <f>RawData!CR131</f>
        <v>44783.638194444444</v>
      </c>
      <c r="CW133" s="65">
        <f>RawData!DK131</f>
        <v>38300</v>
      </c>
      <c r="CX133" s="65">
        <f>RawData!DL131</f>
        <v>3400000</v>
      </c>
      <c r="CY133" s="65">
        <f>RawData!DM131</f>
        <v>38500</v>
      </c>
      <c r="CZ133" s="65">
        <f>RawData!DN131</f>
        <v>0</v>
      </c>
      <c r="DA133" s="65">
        <f>RawData!DO131</f>
        <v>24500</v>
      </c>
      <c r="DB133" s="65">
        <f>RawData!DP131</f>
        <v>2863350</v>
      </c>
      <c r="DC133" s="65">
        <f>RawData!DQ131</f>
        <v>38000</v>
      </c>
      <c r="DD133" s="65">
        <f>RawData!DR131</f>
        <v>0</v>
      </c>
      <c r="DE133" s="65">
        <f>RawData!DS131</f>
        <v>24500</v>
      </c>
      <c r="DF133" s="65" t="str">
        <f>RawData!DT131</f>
        <v>BANKNIFTY</v>
      </c>
      <c r="DG133" s="66">
        <f>RawData!DU131</f>
        <v>44784</v>
      </c>
      <c r="DI133" s="21">
        <f t="shared" ref="DI133:DI196" si="2">IFERROR(IF($AV133&gt;0, ABS($AV133-$CR$4),0),0)</f>
        <v>4204.30078125</v>
      </c>
    </row>
    <row r="134" spans="1:113" x14ac:dyDescent="0.2">
      <c r="A134" s="59">
        <f>RawData!CN132</f>
        <v>44783.638194444444</v>
      </c>
      <c r="B134" s="44">
        <f>RawData!CH132</f>
        <v>1.6599999666213989</v>
      </c>
      <c r="C134" s="44">
        <f>RawData!CG132</f>
        <v>2900</v>
      </c>
      <c r="D134" s="43">
        <f>RawData!CF132</f>
        <v>1.6000000238418579</v>
      </c>
      <c r="E134" s="44">
        <f>RawData!CE132</f>
        <v>5000</v>
      </c>
      <c r="F134" s="43">
        <f>RawData!CD132</f>
        <v>1.6499999761581421</v>
      </c>
      <c r="G134" s="44">
        <f>RawData!CC132</f>
        <v>1.6000000238418579</v>
      </c>
      <c r="H134" s="44">
        <f>RawData!CB132</f>
        <v>1.3999999761581421</v>
      </c>
      <c r="I134" s="44">
        <f>RawData!CA132</f>
        <v>1.8500000238418579</v>
      </c>
      <c r="J134" s="44">
        <f>RawData!BZ132</f>
        <v>1.7999999523162842</v>
      </c>
      <c r="K134" s="40">
        <f>RawData!BY132</f>
        <v>1.859375</v>
      </c>
      <c r="L134" s="40">
        <f>RawData!BX132</f>
        <v>134739.140625</v>
      </c>
      <c r="M134" s="40">
        <f>RawData!BW132</f>
        <v>-12.625</v>
      </c>
      <c r="N134" s="40">
        <f>RawData!BV132</f>
        <v>306713.15625</v>
      </c>
      <c r="O134" s="36">
        <f>RawData!BU132</f>
        <v>1.1041265679523349E-9</v>
      </c>
      <c r="P134" s="36">
        <f>RawData!BT132</f>
        <v>1.9377981516299769E-5</v>
      </c>
      <c r="Q134" s="36">
        <f>RawData!BS132</f>
        <v>1.1641532182693481E-10</v>
      </c>
      <c r="R134" s="36">
        <f>RawData!BR132</f>
        <v>4.9990834668278694E-5</v>
      </c>
      <c r="S134" s="37">
        <f>RawData!BQ132</f>
        <v>2.4513724383723456E-13</v>
      </c>
      <c r="T134" s="37">
        <f>RawData!BP132</f>
        <v>1.0121473437152417E-8</v>
      </c>
      <c r="U134" s="38">
        <f>RawData!BO132</f>
        <v>-7.495880126953125E-4</v>
      </c>
      <c r="V134" s="38">
        <f>RawData!BN132</f>
        <v>-21.522579193115234</v>
      </c>
      <c r="W134" s="39">
        <f>RawData!BM132</f>
        <v>-1.0986328125E-3</v>
      </c>
      <c r="X134" s="39">
        <f>RawData!BL132</f>
        <v>55.523414611816406</v>
      </c>
      <c r="Y134" s="38">
        <f>RawData!BJ132</f>
        <v>9.9134922493249178E-11</v>
      </c>
      <c r="Z134" s="38">
        <f>RawData!BI132</f>
        <v>6.1279351939447224E-6</v>
      </c>
      <c r="AA134" s="40">
        <f>RawData!BH132</f>
        <v>-2.6375055313110352E-6</v>
      </c>
      <c r="AB134" s="40">
        <f>RawData!BG132</f>
        <v>0.20175695419311523</v>
      </c>
      <c r="AC134" s="40">
        <f>RawData!BF132</f>
        <v>0</v>
      </c>
      <c r="AD134" s="40">
        <f>RawData!BE132</f>
        <v>-1.6000000238418579</v>
      </c>
      <c r="AE134" s="40">
        <f>RawData!BD132</f>
        <v>2.6542693376541138E-8</v>
      </c>
      <c r="AF134" s="40">
        <f>RawData!BC132</f>
        <v>3.2845740206539631E-3</v>
      </c>
      <c r="AG134" s="41">
        <f>RawData!BB132</f>
        <v>1048775</v>
      </c>
      <c r="AH134" s="42">
        <f>RawData!DB132</f>
        <v>-6.3979526551503517E-4</v>
      </c>
      <c r="AI134" s="41">
        <f>RawData!BA132</f>
        <v>-300</v>
      </c>
      <c r="AJ134" s="43">
        <f>RawData!DA132</f>
        <v>468900</v>
      </c>
      <c r="AK134" s="41">
        <f>RawData!AZ132</f>
        <v>468600</v>
      </c>
      <c r="AL134" s="42">
        <f>RawData!DD132</f>
        <v>1.1441888034170712E-5</v>
      </c>
      <c r="AM134" s="44">
        <f>RawData!DC132</f>
        <v>9.1195106506347656E-4</v>
      </c>
      <c r="AN134" s="45">
        <f>RawData!BK132</f>
        <v>79.703760147094727</v>
      </c>
      <c r="AO134" s="44">
        <f>RawData!AY132</f>
        <v>79.703760147094727</v>
      </c>
      <c r="AP134" s="43" t="str">
        <f>RawData!DH132</f>
        <v>W</v>
      </c>
      <c r="AQ134" s="43">
        <f>RawData!DE132</f>
        <v>1.6000000238418579</v>
      </c>
      <c r="AR134" s="42">
        <f>RawData!CZ132</f>
        <v>0</v>
      </c>
      <c r="AS134" s="44">
        <f>RawData!AX132</f>
        <v>0</v>
      </c>
      <c r="AT134" s="43">
        <f>RawData!CY132</f>
        <v>1.6000000238418579</v>
      </c>
      <c r="AU134" s="44">
        <f>RawData!AW132</f>
        <v>1.6000000238418579</v>
      </c>
      <c r="AV134" s="46">
        <f>RawData!O132</f>
        <v>43000</v>
      </c>
      <c r="AW134" s="44">
        <f>RawData!AV132</f>
        <v>0</v>
      </c>
      <c r="AX134" s="44">
        <f>RawData!CW132</f>
        <v>0</v>
      </c>
      <c r="AY134" s="44">
        <f>RawData!AU132</f>
        <v>0</v>
      </c>
      <c r="AZ134" s="42">
        <f>RawData!CX132</f>
        <v>0</v>
      </c>
      <c r="BA134" s="44">
        <f>RawData!DF132</f>
        <v>0</v>
      </c>
      <c r="BB134" s="43" t="str">
        <f>RawData!DI132</f>
        <v>W</v>
      </c>
      <c r="BC134" s="44">
        <f>RawData!AT132</f>
        <v>0</v>
      </c>
      <c r="BD134" s="45">
        <f>RawData!AP132</f>
        <v>0</v>
      </c>
      <c r="BE134" s="44">
        <f>RawData!CS132</f>
        <v>0</v>
      </c>
      <c r="BF134" s="42">
        <f>RawData!CT132</f>
        <v>0</v>
      </c>
      <c r="BG134" s="41">
        <f>RawData!AS132</f>
        <v>0</v>
      </c>
      <c r="BH134" s="41">
        <f>RawData!CU132</f>
        <v>0</v>
      </c>
      <c r="BI134" s="41">
        <f>RawData!AR132</f>
        <v>0</v>
      </c>
      <c r="BJ134" s="42">
        <f>RawData!CV132</f>
        <v>0</v>
      </c>
      <c r="BK134" s="41">
        <f>RawData!AQ132</f>
        <v>0</v>
      </c>
      <c r="BL134" s="40">
        <f>RawData!AO132</f>
        <v>0</v>
      </c>
      <c r="BM134" s="40">
        <f>RawData!AN132</f>
        <v>0</v>
      </c>
      <c r="BN134" s="40">
        <f>RawData!AM132</f>
        <v>0</v>
      </c>
      <c r="BO134" s="40">
        <f>RawData!AL132</f>
        <v>0</v>
      </c>
      <c r="BP134" s="40">
        <f>RawData!AK132</f>
        <v>0</v>
      </c>
      <c r="BQ134" s="40">
        <f>RawData!AJ132</f>
        <v>0</v>
      </c>
      <c r="BR134" s="38">
        <f>RawData!AI132</f>
        <v>0</v>
      </c>
      <c r="BS134" s="38">
        <f>RawData!AH132</f>
        <v>0</v>
      </c>
      <c r="BT134" s="40">
        <f>RawData!AG132</f>
        <v>0</v>
      </c>
      <c r="BU134" s="39">
        <f>RawData!AF132</f>
        <v>0</v>
      </c>
      <c r="BV134" s="39">
        <f>RawData!AE132</f>
        <v>0</v>
      </c>
      <c r="BW134" s="38">
        <f>RawData!AD132</f>
        <v>0</v>
      </c>
      <c r="BX134" s="38">
        <f>RawData!AC132</f>
        <v>0</v>
      </c>
      <c r="BY134" s="37">
        <f>RawData!AB132</f>
        <v>0</v>
      </c>
      <c r="BZ134" s="37">
        <f>RawData!AA132</f>
        <v>0</v>
      </c>
      <c r="CA134" s="36">
        <f>RawData!Z132</f>
        <v>0</v>
      </c>
      <c r="CB134" s="36">
        <f>RawData!Y132</f>
        <v>0</v>
      </c>
      <c r="CC134" s="36">
        <f>RawData!X132</f>
        <v>0</v>
      </c>
      <c r="CD134" s="36">
        <f>RawData!W132</f>
        <v>0</v>
      </c>
      <c r="CE134" s="40">
        <f>RawData!V132</f>
        <v>0</v>
      </c>
      <c r="CF134" s="40">
        <f>RawData!U132</f>
        <v>0</v>
      </c>
      <c r="CG134" s="40">
        <f>RawData!T132</f>
        <v>0</v>
      </c>
      <c r="CH134" s="44">
        <f>RawData!S132</f>
        <v>0</v>
      </c>
      <c r="CI134" s="44">
        <f>RawData!R132</f>
        <v>0</v>
      </c>
      <c r="CJ134" s="44">
        <f>RawData!Q132</f>
        <v>0</v>
      </c>
      <c r="CK134" s="44">
        <f>RawData!P132</f>
        <v>0</v>
      </c>
      <c r="CL134" s="44">
        <f>RawData!CJ132</f>
        <v>125</v>
      </c>
      <c r="CM134" s="43">
        <f>RawData!CI132</f>
        <v>4795.75</v>
      </c>
      <c r="CN134" s="44">
        <f>RawData!CL132</f>
        <v>500</v>
      </c>
      <c r="CO134" s="43">
        <f>RawData!CK132</f>
        <v>4500.14990234375</v>
      </c>
      <c r="CP134" s="44">
        <f>RawData!CM132</f>
        <v>0</v>
      </c>
      <c r="CQ134" s="47">
        <f>RawData!CO132</f>
        <v>44783.638194444444</v>
      </c>
      <c r="CR134" s="44">
        <f>RawData!CP132</f>
        <v>38295.69921875</v>
      </c>
      <c r="CS134" s="44">
        <f>RawData!DG132</f>
        <v>38295.69921875</v>
      </c>
      <c r="CT134" s="43" t="str">
        <f>RawData!DJ132</f>
        <v>G</v>
      </c>
      <c r="CU134" s="43" t="str">
        <f>RawData!CQ132</f>
        <v>FairPrice</v>
      </c>
      <c r="CV134" s="47">
        <f>RawData!CR132</f>
        <v>44783.638194444444</v>
      </c>
      <c r="CW134" s="65">
        <f>RawData!DK132</f>
        <v>38300</v>
      </c>
      <c r="CX134" s="65">
        <f>RawData!DL132</f>
        <v>3400000</v>
      </c>
      <c r="CY134" s="65">
        <f>RawData!DM132</f>
        <v>38500</v>
      </c>
      <c r="CZ134" s="65">
        <f>RawData!DN132</f>
        <v>0</v>
      </c>
      <c r="DA134" s="65">
        <f>RawData!DO132</f>
        <v>24500</v>
      </c>
      <c r="DB134" s="65">
        <f>RawData!DP132</f>
        <v>2863350</v>
      </c>
      <c r="DC134" s="65">
        <f>RawData!DQ132</f>
        <v>38000</v>
      </c>
      <c r="DD134" s="65">
        <f>RawData!DR132</f>
        <v>0</v>
      </c>
      <c r="DE134" s="65">
        <f>RawData!DS132</f>
        <v>24500</v>
      </c>
      <c r="DF134" s="65" t="str">
        <f>RawData!DT132</f>
        <v>BANKNIFTY</v>
      </c>
      <c r="DG134" s="66">
        <f>RawData!DU132</f>
        <v>44784</v>
      </c>
      <c r="DI134" s="21">
        <f t="shared" si="2"/>
        <v>4704.30078125</v>
      </c>
    </row>
    <row r="135" spans="1:113" x14ac:dyDescent="0.2">
      <c r="A135" s="59">
        <f>RawData!CN133</f>
        <v>44783.636701388888</v>
      </c>
      <c r="B135" s="44">
        <f>RawData!CH133</f>
        <v>0</v>
      </c>
      <c r="C135" s="44">
        <f>RawData!CG133</f>
        <v>0</v>
      </c>
      <c r="D135" s="43">
        <f>RawData!CF133</f>
        <v>0</v>
      </c>
      <c r="E135" s="44">
        <f>RawData!CE133</f>
        <v>0</v>
      </c>
      <c r="F135" s="43">
        <f>RawData!CD133</f>
        <v>0</v>
      </c>
      <c r="G135" s="44">
        <f>RawData!CC133</f>
        <v>0</v>
      </c>
      <c r="H135" s="44">
        <f>RawData!CB133</f>
        <v>0</v>
      </c>
      <c r="I135" s="44">
        <f>RawData!CA133</f>
        <v>0</v>
      </c>
      <c r="J135" s="44">
        <f>RawData!BZ133</f>
        <v>0</v>
      </c>
      <c r="K135" s="40">
        <f>RawData!BY133</f>
        <v>0</v>
      </c>
      <c r="L135" s="40">
        <f>RawData!BX133</f>
        <v>0</v>
      </c>
      <c r="M135" s="40">
        <f>RawData!BW133</f>
        <v>0</v>
      </c>
      <c r="N135" s="40">
        <f>RawData!BV133</f>
        <v>0</v>
      </c>
      <c r="O135" s="36">
        <f>RawData!BU133</f>
        <v>0</v>
      </c>
      <c r="P135" s="36">
        <f>RawData!BT133</f>
        <v>0</v>
      </c>
      <c r="Q135" s="36">
        <f>RawData!BS133</f>
        <v>0</v>
      </c>
      <c r="R135" s="36">
        <f>RawData!BR133</f>
        <v>0</v>
      </c>
      <c r="S135" s="37">
        <f>RawData!BQ133</f>
        <v>0</v>
      </c>
      <c r="T135" s="37">
        <f>RawData!BP133</f>
        <v>0</v>
      </c>
      <c r="U135" s="38">
        <f>RawData!BO133</f>
        <v>0</v>
      </c>
      <c r="V135" s="38">
        <f>RawData!BN133</f>
        <v>0</v>
      </c>
      <c r="W135" s="39">
        <f>RawData!BM133</f>
        <v>0</v>
      </c>
      <c r="X135" s="39">
        <f>RawData!BL133</f>
        <v>0</v>
      </c>
      <c r="Y135" s="38">
        <f>RawData!BJ133</f>
        <v>0</v>
      </c>
      <c r="Z135" s="38">
        <f>RawData!BI133</f>
        <v>0</v>
      </c>
      <c r="AA135" s="40">
        <f>RawData!BH133</f>
        <v>0</v>
      </c>
      <c r="AB135" s="40">
        <f>RawData!BG133</f>
        <v>0</v>
      </c>
      <c r="AC135" s="40">
        <f>RawData!BF133</f>
        <v>0</v>
      </c>
      <c r="AD135" s="40">
        <f>RawData!BE133</f>
        <v>0</v>
      </c>
      <c r="AE135" s="40">
        <f>RawData!BD133</f>
        <v>0</v>
      </c>
      <c r="AF135" s="40">
        <f>RawData!BC133</f>
        <v>0</v>
      </c>
      <c r="AG135" s="41">
        <f>RawData!BB133</f>
        <v>0</v>
      </c>
      <c r="AH135" s="42">
        <f>RawData!DB133</f>
        <v>0</v>
      </c>
      <c r="AI135" s="41">
        <f>RawData!BA133</f>
        <v>0</v>
      </c>
      <c r="AJ135" s="43">
        <f>RawData!DA133</f>
        <v>0</v>
      </c>
      <c r="AK135" s="41">
        <f>RawData!AZ133</f>
        <v>0</v>
      </c>
      <c r="AL135" s="42">
        <f>RawData!DD133</f>
        <v>0</v>
      </c>
      <c r="AM135" s="44">
        <f>RawData!DC133</f>
        <v>0</v>
      </c>
      <c r="AN135" s="45">
        <f>RawData!BK133</f>
        <v>0</v>
      </c>
      <c r="AO135" s="44">
        <f>RawData!AY133</f>
        <v>0</v>
      </c>
      <c r="AP135" s="43" t="str">
        <f>RawData!DH133</f>
        <v>W</v>
      </c>
      <c r="AQ135" s="43">
        <f>RawData!DE133</f>
        <v>0</v>
      </c>
      <c r="AR135" s="42">
        <f>RawData!CZ133</f>
        <v>0</v>
      </c>
      <c r="AS135" s="44">
        <f>RawData!AX133</f>
        <v>0</v>
      </c>
      <c r="AT135" s="43">
        <f>RawData!CY133</f>
        <v>0</v>
      </c>
      <c r="AU135" s="44">
        <f>RawData!AW133</f>
        <v>0</v>
      </c>
      <c r="AV135" s="46">
        <f>RawData!O133</f>
        <v>43500</v>
      </c>
      <c r="AW135" s="44">
        <f>RawData!AV133</f>
        <v>0</v>
      </c>
      <c r="AX135" s="44">
        <f>RawData!CW133</f>
        <v>0</v>
      </c>
      <c r="AY135" s="44">
        <f>RawData!AU133</f>
        <v>0</v>
      </c>
      <c r="AZ135" s="42">
        <f>RawData!CX133</f>
        <v>0</v>
      </c>
      <c r="BA135" s="44">
        <f>RawData!DF133</f>
        <v>0</v>
      </c>
      <c r="BB135" s="43" t="str">
        <f>RawData!DI133</f>
        <v>W</v>
      </c>
      <c r="BC135" s="44">
        <f>RawData!AT133</f>
        <v>0</v>
      </c>
      <c r="BD135" s="45">
        <f>RawData!AP133</f>
        <v>0</v>
      </c>
      <c r="BE135" s="44">
        <f>RawData!CS133</f>
        <v>0</v>
      </c>
      <c r="BF135" s="42">
        <f>RawData!CT133</f>
        <v>0</v>
      </c>
      <c r="BG135" s="41">
        <f>RawData!AS133</f>
        <v>0</v>
      </c>
      <c r="BH135" s="41">
        <f>RawData!CU133</f>
        <v>0</v>
      </c>
      <c r="BI135" s="41">
        <f>RawData!AR133</f>
        <v>0</v>
      </c>
      <c r="BJ135" s="42">
        <f>RawData!CV133</f>
        <v>0</v>
      </c>
      <c r="BK135" s="41">
        <f>RawData!AQ133</f>
        <v>0</v>
      </c>
      <c r="BL135" s="40">
        <f>RawData!AO133</f>
        <v>0</v>
      </c>
      <c r="BM135" s="40">
        <f>RawData!AN133</f>
        <v>0</v>
      </c>
      <c r="BN135" s="40">
        <f>RawData!AM133</f>
        <v>0</v>
      </c>
      <c r="BO135" s="40">
        <f>RawData!AL133</f>
        <v>0</v>
      </c>
      <c r="BP135" s="40">
        <f>RawData!AK133</f>
        <v>0</v>
      </c>
      <c r="BQ135" s="40">
        <f>RawData!AJ133</f>
        <v>0</v>
      </c>
      <c r="BR135" s="38">
        <f>RawData!AI133</f>
        <v>0</v>
      </c>
      <c r="BS135" s="38">
        <f>RawData!AH133</f>
        <v>0</v>
      </c>
      <c r="BT135" s="40">
        <f>RawData!AG133</f>
        <v>0</v>
      </c>
      <c r="BU135" s="39">
        <f>RawData!AF133</f>
        <v>0</v>
      </c>
      <c r="BV135" s="39">
        <f>RawData!AE133</f>
        <v>0</v>
      </c>
      <c r="BW135" s="38">
        <f>RawData!AD133</f>
        <v>0</v>
      </c>
      <c r="BX135" s="38">
        <f>RawData!AC133</f>
        <v>0</v>
      </c>
      <c r="BY135" s="37">
        <f>RawData!AB133</f>
        <v>0</v>
      </c>
      <c r="BZ135" s="37">
        <f>RawData!AA133</f>
        <v>0</v>
      </c>
      <c r="CA135" s="36">
        <f>RawData!Z133</f>
        <v>0</v>
      </c>
      <c r="CB135" s="36">
        <f>RawData!Y133</f>
        <v>0</v>
      </c>
      <c r="CC135" s="36">
        <f>RawData!X133</f>
        <v>0</v>
      </c>
      <c r="CD135" s="36">
        <f>RawData!W133</f>
        <v>0</v>
      </c>
      <c r="CE135" s="40">
        <f>RawData!V133</f>
        <v>0</v>
      </c>
      <c r="CF135" s="40">
        <f>RawData!U133</f>
        <v>0</v>
      </c>
      <c r="CG135" s="40">
        <f>RawData!T133</f>
        <v>0</v>
      </c>
      <c r="CH135" s="44">
        <f>RawData!S133</f>
        <v>0</v>
      </c>
      <c r="CI135" s="44">
        <f>RawData!R133</f>
        <v>0</v>
      </c>
      <c r="CJ135" s="44">
        <f>RawData!Q133</f>
        <v>0</v>
      </c>
      <c r="CK135" s="44">
        <f>RawData!P133</f>
        <v>0</v>
      </c>
      <c r="CL135" s="44">
        <f>RawData!CJ133</f>
        <v>0</v>
      </c>
      <c r="CM135" s="43">
        <f>RawData!CI133</f>
        <v>0</v>
      </c>
      <c r="CN135" s="44">
        <f>RawData!CL133</f>
        <v>0</v>
      </c>
      <c r="CO135" s="43">
        <f>RawData!CK133</f>
        <v>0</v>
      </c>
      <c r="CP135" s="44">
        <f>RawData!CM133</f>
        <v>0</v>
      </c>
      <c r="CQ135" s="47">
        <f>RawData!CO133</f>
        <v>44783.636701388888</v>
      </c>
      <c r="CR135" s="44">
        <f>RawData!CP133</f>
        <v>38295.69921875</v>
      </c>
      <c r="CS135" s="44">
        <f>RawData!DG133</f>
        <v>38295.69921875</v>
      </c>
      <c r="CT135" s="43" t="str">
        <f>RawData!DJ133</f>
        <v>G</v>
      </c>
      <c r="CU135" s="43" t="str">
        <f>RawData!CQ133</f>
        <v>FairPrice</v>
      </c>
      <c r="CV135" s="47">
        <f>RawData!CR133</f>
        <v>44783.638194444444</v>
      </c>
      <c r="CW135" s="65">
        <f>RawData!DK133</f>
        <v>38300</v>
      </c>
      <c r="CX135" s="65">
        <f>RawData!DL133</f>
        <v>3400000</v>
      </c>
      <c r="CY135" s="65">
        <f>RawData!DM133</f>
        <v>38500</v>
      </c>
      <c r="CZ135" s="65">
        <f>RawData!DN133</f>
        <v>0</v>
      </c>
      <c r="DA135" s="65">
        <f>RawData!DO133</f>
        <v>24500</v>
      </c>
      <c r="DB135" s="65">
        <f>RawData!DP133</f>
        <v>2863350</v>
      </c>
      <c r="DC135" s="65">
        <f>RawData!DQ133</f>
        <v>38000</v>
      </c>
      <c r="DD135" s="65">
        <f>RawData!DR133</f>
        <v>0</v>
      </c>
      <c r="DE135" s="65">
        <f>RawData!DS133</f>
        <v>24500</v>
      </c>
      <c r="DF135" s="65" t="str">
        <f>RawData!DT133</f>
        <v>BANKNIFTY</v>
      </c>
      <c r="DG135" s="66">
        <f>RawData!DU133</f>
        <v>44784</v>
      </c>
      <c r="DI135" s="21">
        <f t="shared" si="2"/>
        <v>5204.30078125</v>
      </c>
    </row>
    <row r="136" spans="1:113" x14ac:dyDescent="0.2">
      <c r="A136" s="59">
        <f>RawData!CN134</f>
        <v>44783.636701388888</v>
      </c>
      <c r="B136" s="44">
        <f>RawData!CH134</f>
        <v>0</v>
      </c>
      <c r="C136" s="44">
        <f>RawData!CG134</f>
        <v>0</v>
      </c>
      <c r="D136" s="43">
        <f>RawData!CF134</f>
        <v>0</v>
      </c>
      <c r="E136" s="44">
        <f>RawData!CE134</f>
        <v>0</v>
      </c>
      <c r="F136" s="43">
        <f>RawData!CD134</f>
        <v>0</v>
      </c>
      <c r="G136" s="44">
        <f>RawData!CC134</f>
        <v>0</v>
      </c>
      <c r="H136" s="44">
        <f>RawData!CB134</f>
        <v>0</v>
      </c>
      <c r="I136" s="44">
        <f>RawData!CA134</f>
        <v>0</v>
      </c>
      <c r="J136" s="44">
        <f>RawData!BZ134</f>
        <v>0</v>
      </c>
      <c r="K136" s="40">
        <f>RawData!BY134</f>
        <v>0</v>
      </c>
      <c r="L136" s="40">
        <f>RawData!BX134</f>
        <v>0</v>
      </c>
      <c r="M136" s="40">
        <f>RawData!BW134</f>
        <v>0</v>
      </c>
      <c r="N136" s="40">
        <f>RawData!BV134</f>
        <v>0</v>
      </c>
      <c r="O136" s="36">
        <f>RawData!BU134</f>
        <v>0</v>
      </c>
      <c r="P136" s="36">
        <f>RawData!BT134</f>
        <v>0</v>
      </c>
      <c r="Q136" s="36">
        <f>RawData!BS134</f>
        <v>0</v>
      </c>
      <c r="R136" s="36">
        <f>RawData!BR134</f>
        <v>0</v>
      </c>
      <c r="S136" s="37">
        <f>RawData!BQ134</f>
        <v>0</v>
      </c>
      <c r="T136" s="37">
        <f>RawData!BP134</f>
        <v>0</v>
      </c>
      <c r="U136" s="38">
        <f>RawData!BO134</f>
        <v>0</v>
      </c>
      <c r="V136" s="38">
        <f>RawData!BN134</f>
        <v>0</v>
      </c>
      <c r="W136" s="39">
        <f>RawData!BM134</f>
        <v>0</v>
      </c>
      <c r="X136" s="39">
        <f>RawData!BL134</f>
        <v>0</v>
      </c>
      <c r="Y136" s="38">
        <f>RawData!BJ134</f>
        <v>0</v>
      </c>
      <c r="Z136" s="38">
        <f>RawData!BI134</f>
        <v>0</v>
      </c>
      <c r="AA136" s="40">
        <f>RawData!BH134</f>
        <v>0</v>
      </c>
      <c r="AB136" s="40">
        <f>RawData!BG134</f>
        <v>0</v>
      </c>
      <c r="AC136" s="40">
        <f>RawData!BF134</f>
        <v>0</v>
      </c>
      <c r="AD136" s="40">
        <f>RawData!BE134</f>
        <v>0</v>
      </c>
      <c r="AE136" s="40">
        <f>RawData!BD134</f>
        <v>0</v>
      </c>
      <c r="AF136" s="40">
        <f>RawData!BC134</f>
        <v>0</v>
      </c>
      <c r="AG136" s="41">
        <f>RawData!BB134</f>
        <v>0</v>
      </c>
      <c r="AH136" s="42">
        <f>RawData!DB134</f>
        <v>0</v>
      </c>
      <c r="AI136" s="41">
        <f>RawData!BA134</f>
        <v>0</v>
      </c>
      <c r="AJ136" s="43">
        <f>RawData!DA134</f>
        <v>0</v>
      </c>
      <c r="AK136" s="41">
        <f>RawData!AZ134</f>
        <v>0</v>
      </c>
      <c r="AL136" s="42">
        <f>RawData!DD134</f>
        <v>0</v>
      </c>
      <c r="AM136" s="44">
        <f>RawData!DC134</f>
        <v>0</v>
      </c>
      <c r="AN136" s="45">
        <f>RawData!BK134</f>
        <v>0</v>
      </c>
      <c r="AO136" s="44">
        <f>RawData!AY134</f>
        <v>0</v>
      </c>
      <c r="AP136" s="43" t="str">
        <f>RawData!DH134</f>
        <v>W</v>
      </c>
      <c r="AQ136" s="43">
        <f>RawData!DE134</f>
        <v>0</v>
      </c>
      <c r="AR136" s="42">
        <f>RawData!CZ134</f>
        <v>0</v>
      </c>
      <c r="AS136" s="44">
        <f>RawData!AX134</f>
        <v>0</v>
      </c>
      <c r="AT136" s="43">
        <f>RawData!CY134</f>
        <v>0</v>
      </c>
      <c r="AU136" s="44">
        <f>RawData!AW134</f>
        <v>0</v>
      </c>
      <c r="AV136" s="46">
        <f>RawData!O134</f>
        <v>44000</v>
      </c>
      <c r="AW136" s="44">
        <f>RawData!AV134</f>
        <v>0</v>
      </c>
      <c r="AX136" s="44">
        <f>RawData!CW134</f>
        <v>0</v>
      </c>
      <c r="AY136" s="44">
        <f>RawData!AU134</f>
        <v>0</v>
      </c>
      <c r="AZ136" s="42">
        <f>RawData!CX134</f>
        <v>0</v>
      </c>
      <c r="BA136" s="44">
        <f>RawData!DF134</f>
        <v>0</v>
      </c>
      <c r="BB136" s="43" t="str">
        <f>RawData!DI134</f>
        <v>W</v>
      </c>
      <c r="BC136" s="44">
        <f>RawData!AT134</f>
        <v>0</v>
      </c>
      <c r="BD136" s="45">
        <f>RawData!AP134</f>
        <v>0</v>
      </c>
      <c r="BE136" s="44">
        <f>RawData!CS134</f>
        <v>0</v>
      </c>
      <c r="BF136" s="42">
        <f>RawData!CT134</f>
        <v>0</v>
      </c>
      <c r="BG136" s="41">
        <f>RawData!AS134</f>
        <v>0</v>
      </c>
      <c r="BH136" s="41">
        <f>RawData!CU134</f>
        <v>0</v>
      </c>
      <c r="BI136" s="41">
        <f>RawData!AR134</f>
        <v>0</v>
      </c>
      <c r="BJ136" s="42">
        <f>RawData!CV134</f>
        <v>0</v>
      </c>
      <c r="BK136" s="41">
        <f>RawData!AQ134</f>
        <v>0</v>
      </c>
      <c r="BL136" s="40">
        <f>RawData!AO134</f>
        <v>0</v>
      </c>
      <c r="BM136" s="40">
        <f>RawData!AN134</f>
        <v>0</v>
      </c>
      <c r="BN136" s="40">
        <f>RawData!AM134</f>
        <v>0</v>
      </c>
      <c r="BO136" s="40">
        <f>RawData!AL134</f>
        <v>0</v>
      </c>
      <c r="BP136" s="40">
        <f>RawData!AK134</f>
        <v>0</v>
      </c>
      <c r="BQ136" s="40">
        <f>RawData!AJ134</f>
        <v>0</v>
      </c>
      <c r="BR136" s="38">
        <f>RawData!AI134</f>
        <v>0</v>
      </c>
      <c r="BS136" s="38">
        <f>RawData!AH134</f>
        <v>0</v>
      </c>
      <c r="BT136" s="40">
        <f>RawData!AG134</f>
        <v>0</v>
      </c>
      <c r="BU136" s="39">
        <f>RawData!AF134</f>
        <v>0</v>
      </c>
      <c r="BV136" s="39">
        <f>RawData!AE134</f>
        <v>0</v>
      </c>
      <c r="BW136" s="38">
        <f>RawData!AD134</f>
        <v>0</v>
      </c>
      <c r="BX136" s="38">
        <f>RawData!AC134</f>
        <v>0</v>
      </c>
      <c r="BY136" s="37">
        <f>RawData!AB134</f>
        <v>0</v>
      </c>
      <c r="BZ136" s="37">
        <f>RawData!AA134</f>
        <v>0</v>
      </c>
      <c r="CA136" s="36">
        <f>RawData!Z134</f>
        <v>0</v>
      </c>
      <c r="CB136" s="36">
        <f>RawData!Y134</f>
        <v>0</v>
      </c>
      <c r="CC136" s="36">
        <f>RawData!X134</f>
        <v>0</v>
      </c>
      <c r="CD136" s="36">
        <f>RawData!W134</f>
        <v>0</v>
      </c>
      <c r="CE136" s="40">
        <f>RawData!V134</f>
        <v>0</v>
      </c>
      <c r="CF136" s="40">
        <f>RawData!U134</f>
        <v>0</v>
      </c>
      <c r="CG136" s="40">
        <f>RawData!T134</f>
        <v>0</v>
      </c>
      <c r="CH136" s="44">
        <f>RawData!S134</f>
        <v>0</v>
      </c>
      <c r="CI136" s="44">
        <f>RawData!R134</f>
        <v>0</v>
      </c>
      <c r="CJ136" s="44">
        <f>RawData!Q134</f>
        <v>0</v>
      </c>
      <c r="CK136" s="44">
        <f>RawData!P134</f>
        <v>0</v>
      </c>
      <c r="CL136" s="44">
        <f>RawData!CJ134</f>
        <v>0</v>
      </c>
      <c r="CM136" s="43">
        <f>RawData!CI134</f>
        <v>0</v>
      </c>
      <c r="CN136" s="44">
        <f>RawData!CL134</f>
        <v>0</v>
      </c>
      <c r="CO136" s="43">
        <f>RawData!CK134</f>
        <v>0</v>
      </c>
      <c r="CP136" s="44">
        <f>RawData!CM134</f>
        <v>0</v>
      </c>
      <c r="CQ136" s="47">
        <f>RawData!CO134</f>
        <v>44783.636701388888</v>
      </c>
      <c r="CR136" s="44">
        <f>RawData!CP134</f>
        <v>38295.69921875</v>
      </c>
      <c r="CS136" s="44">
        <f>RawData!DG134</f>
        <v>38295.69921875</v>
      </c>
      <c r="CT136" s="43" t="str">
        <f>RawData!DJ134</f>
        <v>G</v>
      </c>
      <c r="CU136" s="43" t="str">
        <f>RawData!CQ134</f>
        <v>FairPrice</v>
      </c>
      <c r="CV136" s="47">
        <f>RawData!CR134</f>
        <v>44783.638194444444</v>
      </c>
      <c r="CW136" s="65">
        <f>RawData!DK134</f>
        <v>38300</v>
      </c>
      <c r="CX136" s="65">
        <f>RawData!DL134</f>
        <v>3400000</v>
      </c>
      <c r="CY136" s="65">
        <f>RawData!DM134</f>
        <v>38500</v>
      </c>
      <c r="CZ136" s="65">
        <f>RawData!DN134</f>
        <v>0</v>
      </c>
      <c r="DA136" s="65">
        <f>RawData!DO134</f>
        <v>24500</v>
      </c>
      <c r="DB136" s="65">
        <f>RawData!DP134</f>
        <v>2863350</v>
      </c>
      <c r="DC136" s="65">
        <f>RawData!DQ134</f>
        <v>38000</v>
      </c>
      <c r="DD136" s="65">
        <f>RawData!DR134</f>
        <v>0</v>
      </c>
      <c r="DE136" s="65">
        <f>RawData!DS134</f>
        <v>24500</v>
      </c>
      <c r="DF136" s="65" t="str">
        <f>RawData!DT134</f>
        <v>BANKNIFTY</v>
      </c>
      <c r="DG136" s="66">
        <f>RawData!DU134</f>
        <v>44784</v>
      </c>
      <c r="DI136" s="21">
        <f t="shared" si="2"/>
        <v>5704.30078125</v>
      </c>
    </row>
    <row r="137" spans="1:113" x14ac:dyDescent="0.2">
      <c r="A137" s="59">
        <f>RawData!CN135</f>
        <v>44783.636701388888</v>
      </c>
      <c r="B137" s="44">
        <f>RawData!CH135</f>
        <v>0</v>
      </c>
      <c r="C137" s="44">
        <f>RawData!CG135</f>
        <v>0</v>
      </c>
      <c r="D137" s="43">
        <f>RawData!CF135</f>
        <v>0</v>
      </c>
      <c r="E137" s="44">
        <f>RawData!CE135</f>
        <v>0</v>
      </c>
      <c r="F137" s="43">
        <f>RawData!CD135</f>
        <v>0</v>
      </c>
      <c r="G137" s="44">
        <f>RawData!CC135</f>
        <v>0</v>
      </c>
      <c r="H137" s="44">
        <f>RawData!CB135</f>
        <v>0</v>
      </c>
      <c r="I137" s="44">
        <f>RawData!CA135</f>
        <v>0</v>
      </c>
      <c r="J137" s="44">
        <f>RawData!BZ135</f>
        <v>0</v>
      </c>
      <c r="K137" s="40">
        <f>RawData!BY135</f>
        <v>0</v>
      </c>
      <c r="L137" s="40">
        <f>RawData!BX135</f>
        <v>0</v>
      </c>
      <c r="M137" s="40">
        <f>RawData!BW135</f>
        <v>0</v>
      </c>
      <c r="N137" s="40">
        <f>RawData!BV135</f>
        <v>0</v>
      </c>
      <c r="O137" s="36">
        <f>RawData!BU135</f>
        <v>0</v>
      </c>
      <c r="P137" s="36">
        <f>RawData!BT135</f>
        <v>0</v>
      </c>
      <c r="Q137" s="36">
        <f>RawData!BS135</f>
        <v>0</v>
      </c>
      <c r="R137" s="36">
        <f>RawData!BR135</f>
        <v>0</v>
      </c>
      <c r="S137" s="37">
        <f>RawData!BQ135</f>
        <v>0</v>
      </c>
      <c r="T137" s="37">
        <f>RawData!BP135</f>
        <v>0</v>
      </c>
      <c r="U137" s="38">
        <f>RawData!BO135</f>
        <v>0</v>
      </c>
      <c r="V137" s="38">
        <f>RawData!BN135</f>
        <v>0</v>
      </c>
      <c r="W137" s="39">
        <f>RawData!BM135</f>
        <v>0</v>
      </c>
      <c r="X137" s="39">
        <f>RawData!BL135</f>
        <v>0</v>
      </c>
      <c r="Y137" s="38">
        <f>RawData!BJ135</f>
        <v>0</v>
      </c>
      <c r="Z137" s="38">
        <f>RawData!BI135</f>
        <v>0</v>
      </c>
      <c r="AA137" s="40">
        <f>RawData!BH135</f>
        <v>0</v>
      </c>
      <c r="AB137" s="40">
        <f>RawData!BG135</f>
        <v>0</v>
      </c>
      <c r="AC137" s="40">
        <f>RawData!BF135</f>
        <v>0</v>
      </c>
      <c r="AD137" s="40">
        <f>RawData!BE135</f>
        <v>0</v>
      </c>
      <c r="AE137" s="40">
        <f>RawData!BD135</f>
        <v>0</v>
      </c>
      <c r="AF137" s="40">
        <f>RawData!BC135</f>
        <v>0</v>
      </c>
      <c r="AG137" s="41">
        <f>RawData!BB135</f>
        <v>0</v>
      </c>
      <c r="AH137" s="42">
        <f>RawData!DB135</f>
        <v>0</v>
      </c>
      <c r="AI137" s="41">
        <f>RawData!BA135</f>
        <v>0</v>
      </c>
      <c r="AJ137" s="43">
        <f>RawData!DA135</f>
        <v>0</v>
      </c>
      <c r="AK137" s="41">
        <f>RawData!AZ135</f>
        <v>0</v>
      </c>
      <c r="AL137" s="42">
        <f>RawData!DD135</f>
        <v>0</v>
      </c>
      <c r="AM137" s="44">
        <f>RawData!DC135</f>
        <v>0</v>
      </c>
      <c r="AN137" s="45">
        <f>RawData!BK135</f>
        <v>0</v>
      </c>
      <c r="AO137" s="44">
        <f>RawData!AY135</f>
        <v>0</v>
      </c>
      <c r="AP137" s="43" t="str">
        <f>RawData!DH135</f>
        <v>W</v>
      </c>
      <c r="AQ137" s="43">
        <f>RawData!DE135</f>
        <v>0</v>
      </c>
      <c r="AR137" s="42">
        <f>RawData!CZ135</f>
        <v>0</v>
      </c>
      <c r="AS137" s="44">
        <f>RawData!AX135</f>
        <v>0</v>
      </c>
      <c r="AT137" s="43">
        <f>RawData!CY135</f>
        <v>0</v>
      </c>
      <c r="AU137" s="44">
        <f>RawData!AW135</f>
        <v>0</v>
      </c>
      <c r="AV137" s="46">
        <f>RawData!O135</f>
        <v>44500</v>
      </c>
      <c r="AW137" s="44">
        <f>RawData!AV135</f>
        <v>0</v>
      </c>
      <c r="AX137" s="44">
        <f>RawData!CW135</f>
        <v>0</v>
      </c>
      <c r="AY137" s="44">
        <f>RawData!AU135</f>
        <v>0</v>
      </c>
      <c r="AZ137" s="42">
        <f>RawData!CX135</f>
        <v>0</v>
      </c>
      <c r="BA137" s="44">
        <f>RawData!DF135</f>
        <v>0</v>
      </c>
      <c r="BB137" s="43" t="str">
        <f>RawData!DI135</f>
        <v>W</v>
      </c>
      <c r="BC137" s="44">
        <f>RawData!AT135</f>
        <v>0</v>
      </c>
      <c r="BD137" s="45">
        <f>RawData!AP135</f>
        <v>0</v>
      </c>
      <c r="BE137" s="44">
        <f>RawData!CS135</f>
        <v>0</v>
      </c>
      <c r="BF137" s="42">
        <f>RawData!CT135</f>
        <v>0</v>
      </c>
      <c r="BG137" s="41">
        <f>RawData!AS135</f>
        <v>0</v>
      </c>
      <c r="BH137" s="41">
        <f>RawData!CU135</f>
        <v>0</v>
      </c>
      <c r="BI137" s="41">
        <f>RawData!AR135</f>
        <v>0</v>
      </c>
      <c r="BJ137" s="42">
        <f>RawData!CV135</f>
        <v>0</v>
      </c>
      <c r="BK137" s="41">
        <f>RawData!AQ135</f>
        <v>0</v>
      </c>
      <c r="BL137" s="40">
        <f>RawData!AO135</f>
        <v>0</v>
      </c>
      <c r="BM137" s="40">
        <f>RawData!AN135</f>
        <v>0</v>
      </c>
      <c r="BN137" s="40">
        <f>RawData!AM135</f>
        <v>0</v>
      </c>
      <c r="BO137" s="40">
        <f>RawData!AL135</f>
        <v>0</v>
      </c>
      <c r="BP137" s="40">
        <f>RawData!AK135</f>
        <v>0</v>
      </c>
      <c r="BQ137" s="40">
        <f>RawData!AJ135</f>
        <v>0</v>
      </c>
      <c r="BR137" s="38">
        <f>RawData!AI135</f>
        <v>0</v>
      </c>
      <c r="BS137" s="38">
        <f>RawData!AH135</f>
        <v>0</v>
      </c>
      <c r="BT137" s="40">
        <f>RawData!AG135</f>
        <v>0</v>
      </c>
      <c r="BU137" s="39">
        <f>RawData!AF135</f>
        <v>0</v>
      </c>
      <c r="BV137" s="39">
        <f>RawData!AE135</f>
        <v>0</v>
      </c>
      <c r="BW137" s="38">
        <f>RawData!AD135</f>
        <v>0</v>
      </c>
      <c r="BX137" s="38">
        <f>RawData!AC135</f>
        <v>0</v>
      </c>
      <c r="BY137" s="37">
        <f>RawData!AB135</f>
        <v>0</v>
      </c>
      <c r="BZ137" s="37">
        <f>RawData!AA135</f>
        <v>0</v>
      </c>
      <c r="CA137" s="36">
        <f>RawData!Z135</f>
        <v>0</v>
      </c>
      <c r="CB137" s="36">
        <f>RawData!Y135</f>
        <v>0</v>
      </c>
      <c r="CC137" s="36">
        <f>RawData!X135</f>
        <v>0</v>
      </c>
      <c r="CD137" s="36">
        <f>RawData!W135</f>
        <v>0</v>
      </c>
      <c r="CE137" s="40">
        <f>RawData!V135</f>
        <v>0</v>
      </c>
      <c r="CF137" s="40">
        <f>RawData!U135</f>
        <v>0</v>
      </c>
      <c r="CG137" s="40">
        <f>RawData!T135</f>
        <v>0</v>
      </c>
      <c r="CH137" s="44">
        <f>RawData!S135</f>
        <v>0</v>
      </c>
      <c r="CI137" s="44">
        <f>RawData!R135</f>
        <v>0</v>
      </c>
      <c r="CJ137" s="44">
        <f>RawData!Q135</f>
        <v>0</v>
      </c>
      <c r="CK137" s="44">
        <f>RawData!P135</f>
        <v>0</v>
      </c>
      <c r="CL137" s="44">
        <f>RawData!CJ135</f>
        <v>0</v>
      </c>
      <c r="CM137" s="43">
        <f>RawData!CI135</f>
        <v>0</v>
      </c>
      <c r="CN137" s="44">
        <f>RawData!CL135</f>
        <v>0</v>
      </c>
      <c r="CO137" s="43">
        <f>RawData!CK135</f>
        <v>0</v>
      </c>
      <c r="CP137" s="44">
        <f>RawData!CM135</f>
        <v>0</v>
      </c>
      <c r="CQ137" s="47">
        <f>RawData!CO135</f>
        <v>44783.636701388888</v>
      </c>
      <c r="CR137" s="44">
        <f>RawData!CP135</f>
        <v>38295.69921875</v>
      </c>
      <c r="CS137" s="44">
        <f>RawData!DG135</f>
        <v>38295.69921875</v>
      </c>
      <c r="CT137" s="43" t="str">
        <f>RawData!DJ135</f>
        <v>G</v>
      </c>
      <c r="CU137" s="43" t="str">
        <f>RawData!CQ135</f>
        <v>FairPrice</v>
      </c>
      <c r="CV137" s="47">
        <f>RawData!CR135</f>
        <v>44783.638194444444</v>
      </c>
      <c r="CW137" s="65">
        <f>RawData!DK135</f>
        <v>38300</v>
      </c>
      <c r="CX137" s="65">
        <f>RawData!DL135</f>
        <v>3400000</v>
      </c>
      <c r="CY137" s="65">
        <f>RawData!DM135</f>
        <v>38500</v>
      </c>
      <c r="CZ137" s="65">
        <f>RawData!DN135</f>
        <v>0</v>
      </c>
      <c r="DA137" s="65">
        <f>RawData!DO135</f>
        <v>24500</v>
      </c>
      <c r="DB137" s="65">
        <f>RawData!DP135</f>
        <v>2863350</v>
      </c>
      <c r="DC137" s="65">
        <f>RawData!DQ135</f>
        <v>38000</v>
      </c>
      <c r="DD137" s="65">
        <f>RawData!DR135</f>
        <v>0</v>
      </c>
      <c r="DE137" s="65">
        <f>RawData!DS135</f>
        <v>24500</v>
      </c>
      <c r="DF137" s="65" t="str">
        <f>RawData!DT135</f>
        <v>BANKNIFTY</v>
      </c>
      <c r="DG137" s="66">
        <f>RawData!DU135</f>
        <v>44784</v>
      </c>
      <c r="DI137" s="21">
        <f t="shared" si="2"/>
        <v>6204.30078125</v>
      </c>
    </row>
    <row r="138" spans="1:113" x14ac:dyDescent="0.2">
      <c r="A138" s="59">
        <f>RawData!CN136</f>
        <v>44783.636701388888</v>
      </c>
      <c r="B138" s="44">
        <f>RawData!CH136</f>
        <v>0</v>
      </c>
      <c r="C138" s="44">
        <f>RawData!CG136</f>
        <v>0</v>
      </c>
      <c r="D138" s="43">
        <f>RawData!CF136</f>
        <v>0</v>
      </c>
      <c r="E138" s="44">
        <f>RawData!CE136</f>
        <v>0</v>
      </c>
      <c r="F138" s="43">
        <f>RawData!CD136</f>
        <v>0</v>
      </c>
      <c r="G138" s="44">
        <f>RawData!CC136</f>
        <v>0</v>
      </c>
      <c r="H138" s="44">
        <f>RawData!CB136</f>
        <v>0</v>
      </c>
      <c r="I138" s="44">
        <f>RawData!CA136</f>
        <v>0</v>
      </c>
      <c r="J138" s="44">
        <f>RawData!BZ136</f>
        <v>0</v>
      </c>
      <c r="K138" s="40">
        <f>RawData!BY136</f>
        <v>0</v>
      </c>
      <c r="L138" s="40">
        <f>RawData!BX136</f>
        <v>0</v>
      </c>
      <c r="M138" s="40">
        <f>RawData!BW136</f>
        <v>0</v>
      </c>
      <c r="N138" s="40">
        <f>RawData!BV136</f>
        <v>0</v>
      </c>
      <c r="O138" s="36">
        <f>RawData!BU136</f>
        <v>0</v>
      </c>
      <c r="P138" s="36">
        <f>RawData!BT136</f>
        <v>0</v>
      </c>
      <c r="Q138" s="36">
        <f>RawData!BS136</f>
        <v>0</v>
      </c>
      <c r="R138" s="36">
        <f>RawData!BR136</f>
        <v>0</v>
      </c>
      <c r="S138" s="37">
        <f>RawData!BQ136</f>
        <v>0</v>
      </c>
      <c r="T138" s="37">
        <f>RawData!BP136</f>
        <v>0</v>
      </c>
      <c r="U138" s="38">
        <f>RawData!BO136</f>
        <v>0</v>
      </c>
      <c r="V138" s="38">
        <f>RawData!BN136</f>
        <v>0</v>
      </c>
      <c r="W138" s="39">
        <f>RawData!BM136</f>
        <v>0</v>
      </c>
      <c r="X138" s="39">
        <f>RawData!BL136</f>
        <v>0</v>
      </c>
      <c r="Y138" s="38">
        <f>RawData!BJ136</f>
        <v>0</v>
      </c>
      <c r="Z138" s="38">
        <f>RawData!BI136</f>
        <v>0</v>
      </c>
      <c r="AA138" s="40">
        <f>RawData!BH136</f>
        <v>0</v>
      </c>
      <c r="AB138" s="40">
        <f>RawData!BG136</f>
        <v>0</v>
      </c>
      <c r="AC138" s="40">
        <f>RawData!BF136</f>
        <v>0</v>
      </c>
      <c r="AD138" s="40">
        <f>RawData!BE136</f>
        <v>0</v>
      </c>
      <c r="AE138" s="40">
        <f>RawData!BD136</f>
        <v>0</v>
      </c>
      <c r="AF138" s="40">
        <f>RawData!BC136</f>
        <v>0</v>
      </c>
      <c r="AG138" s="41">
        <f>RawData!BB136</f>
        <v>0</v>
      </c>
      <c r="AH138" s="42">
        <f>RawData!DB136</f>
        <v>0</v>
      </c>
      <c r="AI138" s="41">
        <f>RawData!BA136</f>
        <v>0</v>
      </c>
      <c r="AJ138" s="43">
        <f>RawData!DA136</f>
        <v>0</v>
      </c>
      <c r="AK138" s="41">
        <f>RawData!AZ136</f>
        <v>0</v>
      </c>
      <c r="AL138" s="42">
        <f>RawData!DD136</f>
        <v>0</v>
      </c>
      <c r="AM138" s="44">
        <f>RawData!DC136</f>
        <v>0</v>
      </c>
      <c r="AN138" s="45">
        <f>RawData!BK136</f>
        <v>0</v>
      </c>
      <c r="AO138" s="44">
        <f>RawData!AY136</f>
        <v>0</v>
      </c>
      <c r="AP138" s="43" t="str">
        <f>RawData!DH136</f>
        <v>W</v>
      </c>
      <c r="AQ138" s="43">
        <f>RawData!DE136</f>
        <v>0</v>
      </c>
      <c r="AR138" s="42">
        <f>RawData!CZ136</f>
        <v>0</v>
      </c>
      <c r="AS138" s="44">
        <f>RawData!AX136</f>
        <v>0</v>
      </c>
      <c r="AT138" s="43">
        <f>RawData!CY136</f>
        <v>0</v>
      </c>
      <c r="AU138" s="44">
        <f>RawData!AW136</f>
        <v>0</v>
      </c>
      <c r="AV138" s="46">
        <f>RawData!O136</f>
        <v>45000</v>
      </c>
      <c r="AW138" s="44">
        <f>RawData!AV136</f>
        <v>0</v>
      </c>
      <c r="AX138" s="44">
        <f>RawData!CW136</f>
        <v>0</v>
      </c>
      <c r="AY138" s="44">
        <f>RawData!AU136</f>
        <v>0</v>
      </c>
      <c r="AZ138" s="42">
        <f>RawData!CX136</f>
        <v>0</v>
      </c>
      <c r="BA138" s="44">
        <f>RawData!DF136</f>
        <v>0</v>
      </c>
      <c r="BB138" s="43" t="str">
        <f>RawData!DI136</f>
        <v>W</v>
      </c>
      <c r="BC138" s="44">
        <f>RawData!AT136</f>
        <v>0</v>
      </c>
      <c r="BD138" s="45">
        <f>RawData!AP136</f>
        <v>0</v>
      </c>
      <c r="BE138" s="44">
        <f>RawData!CS136</f>
        <v>0</v>
      </c>
      <c r="BF138" s="42">
        <f>RawData!CT136</f>
        <v>0</v>
      </c>
      <c r="BG138" s="41">
        <f>RawData!AS136</f>
        <v>0</v>
      </c>
      <c r="BH138" s="41">
        <f>RawData!CU136</f>
        <v>0</v>
      </c>
      <c r="BI138" s="41">
        <f>RawData!AR136</f>
        <v>0</v>
      </c>
      <c r="BJ138" s="42">
        <f>RawData!CV136</f>
        <v>0</v>
      </c>
      <c r="BK138" s="41">
        <f>RawData!AQ136</f>
        <v>0</v>
      </c>
      <c r="BL138" s="40">
        <f>RawData!AO136</f>
        <v>0</v>
      </c>
      <c r="BM138" s="40">
        <f>RawData!AN136</f>
        <v>0</v>
      </c>
      <c r="BN138" s="40">
        <f>RawData!AM136</f>
        <v>0</v>
      </c>
      <c r="BO138" s="40">
        <f>RawData!AL136</f>
        <v>0</v>
      </c>
      <c r="BP138" s="40">
        <f>RawData!AK136</f>
        <v>0</v>
      </c>
      <c r="BQ138" s="40">
        <f>RawData!AJ136</f>
        <v>0</v>
      </c>
      <c r="BR138" s="38">
        <f>RawData!AI136</f>
        <v>0</v>
      </c>
      <c r="BS138" s="38">
        <f>RawData!AH136</f>
        <v>0</v>
      </c>
      <c r="BT138" s="40">
        <f>RawData!AG136</f>
        <v>0</v>
      </c>
      <c r="BU138" s="39">
        <f>RawData!AF136</f>
        <v>0</v>
      </c>
      <c r="BV138" s="39">
        <f>RawData!AE136</f>
        <v>0</v>
      </c>
      <c r="BW138" s="38">
        <f>RawData!AD136</f>
        <v>0</v>
      </c>
      <c r="BX138" s="38">
        <f>RawData!AC136</f>
        <v>0</v>
      </c>
      <c r="BY138" s="37">
        <f>RawData!AB136</f>
        <v>0</v>
      </c>
      <c r="BZ138" s="37">
        <f>RawData!AA136</f>
        <v>0</v>
      </c>
      <c r="CA138" s="36">
        <f>RawData!Z136</f>
        <v>0</v>
      </c>
      <c r="CB138" s="36">
        <f>RawData!Y136</f>
        <v>0</v>
      </c>
      <c r="CC138" s="36">
        <f>RawData!X136</f>
        <v>0</v>
      </c>
      <c r="CD138" s="36">
        <f>RawData!W136</f>
        <v>0</v>
      </c>
      <c r="CE138" s="40">
        <f>RawData!V136</f>
        <v>0</v>
      </c>
      <c r="CF138" s="40">
        <f>RawData!U136</f>
        <v>0</v>
      </c>
      <c r="CG138" s="40">
        <f>RawData!T136</f>
        <v>0</v>
      </c>
      <c r="CH138" s="44">
        <f>RawData!S136</f>
        <v>0</v>
      </c>
      <c r="CI138" s="44">
        <f>RawData!R136</f>
        <v>0</v>
      </c>
      <c r="CJ138" s="44">
        <f>RawData!Q136</f>
        <v>0</v>
      </c>
      <c r="CK138" s="44">
        <f>RawData!P136</f>
        <v>0</v>
      </c>
      <c r="CL138" s="44">
        <f>RawData!CJ136</f>
        <v>0</v>
      </c>
      <c r="CM138" s="43">
        <f>RawData!CI136</f>
        <v>0</v>
      </c>
      <c r="CN138" s="44">
        <f>RawData!CL136</f>
        <v>0</v>
      </c>
      <c r="CO138" s="43">
        <f>RawData!CK136</f>
        <v>0</v>
      </c>
      <c r="CP138" s="44">
        <f>RawData!CM136</f>
        <v>0</v>
      </c>
      <c r="CQ138" s="47">
        <f>RawData!CO136</f>
        <v>44783.636701388888</v>
      </c>
      <c r="CR138" s="44">
        <f>RawData!CP136</f>
        <v>38295.69921875</v>
      </c>
      <c r="CS138" s="44">
        <f>RawData!DG136</f>
        <v>38295.69921875</v>
      </c>
      <c r="CT138" s="43" t="str">
        <f>RawData!DJ136</f>
        <v>G</v>
      </c>
      <c r="CU138" s="43" t="str">
        <f>RawData!CQ136</f>
        <v>FairPrice</v>
      </c>
      <c r="CV138" s="47">
        <f>RawData!CR136</f>
        <v>44783.638194444444</v>
      </c>
      <c r="CW138" s="65">
        <f>RawData!DK136</f>
        <v>38300</v>
      </c>
      <c r="CX138" s="65">
        <f>RawData!DL136</f>
        <v>3400000</v>
      </c>
      <c r="CY138" s="65">
        <f>RawData!DM136</f>
        <v>38500</v>
      </c>
      <c r="CZ138" s="65">
        <f>RawData!DN136</f>
        <v>0</v>
      </c>
      <c r="DA138" s="65">
        <f>RawData!DO136</f>
        <v>24500</v>
      </c>
      <c r="DB138" s="65">
        <f>RawData!DP136</f>
        <v>2863350</v>
      </c>
      <c r="DC138" s="65">
        <f>RawData!DQ136</f>
        <v>38000</v>
      </c>
      <c r="DD138" s="65">
        <f>RawData!DR136</f>
        <v>0</v>
      </c>
      <c r="DE138" s="65">
        <f>RawData!DS136</f>
        <v>24500</v>
      </c>
      <c r="DF138" s="65" t="str">
        <f>RawData!DT136</f>
        <v>BANKNIFTY</v>
      </c>
      <c r="DG138" s="66">
        <f>RawData!DU136</f>
        <v>44784</v>
      </c>
      <c r="DI138" s="21">
        <f t="shared" si="2"/>
        <v>6704.30078125</v>
      </c>
    </row>
    <row r="139" spans="1:113" x14ac:dyDescent="0.2">
      <c r="A139" s="59">
        <f>RawData!CN137</f>
        <v>44783.636701388888</v>
      </c>
      <c r="B139" s="44">
        <f>RawData!CH137</f>
        <v>0</v>
      </c>
      <c r="C139" s="44">
        <f>RawData!CG137</f>
        <v>0</v>
      </c>
      <c r="D139" s="43">
        <f>RawData!CF137</f>
        <v>0</v>
      </c>
      <c r="E139" s="44">
        <f>RawData!CE137</f>
        <v>0</v>
      </c>
      <c r="F139" s="43">
        <f>RawData!CD137</f>
        <v>0</v>
      </c>
      <c r="G139" s="44">
        <f>RawData!CC137</f>
        <v>0</v>
      </c>
      <c r="H139" s="44">
        <f>RawData!CB137</f>
        <v>0</v>
      </c>
      <c r="I139" s="44">
        <f>RawData!CA137</f>
        <v>0</v>
      </c>
      <c r="J139" s="44">
        <f>RawData!BZ137</f>
        <v>0</v>
      </c>
      <c r="K139" s="40">
        <f>RawData!BY137</f>
        <v>0</v>
      </c>
      <c r="L139" s="40">
        <f>RawData!BX137</f>
        <v>0</v>
      </c>
      <c r="M139" s="40">
        <f>RawData!BW137</f>
        <v>0</v>
      </c>
      <c r="N139" s="40">
        <f>RawData!BV137</f>
        <v>0</v>
      </c>
      <c r="O139" s="36">
        <f>RawData!BU137</f>
        <v>0</v>
      </c>
      <c r="P139" s="36">
        <f>RawData!BT137</f>
        <v>0</v>
      </c>
      <c r="Q139" s="36">
        <f>RawData!BS137</f>
        <v>0</v>
      </c>
      <c r="R139" s="36">
        <f>RawData!BR137</f>
        <v>0</v>
      </c>
      <c r="S139" s="37">
        <f>RawData!BQ137</f>
        <v>0</v>
      </c>
      <c r="T139" s="37">
        <f>RawData!BP137</f>
        <v>0</v>
      </c>
      <c r="U139" s="38">
        <f>RawData!BO137</f>
        <v>0</v>
      </c>
      <c r="V139" s="38">
        <f>RawData!BN137</f>
        <v>0</v>
      </c>
      <c r="W139" s="39">
        <f>RawData!BM137</f>
        <v>0</v>
      </c>
      <c r="X139" s="39">
        <f>RawData!BL137</f>
        <v>0</v>
      </c>
      <c r="Y139" s="38">
        <f>RawData!BJ137</f>
        <v>0</v>
      </c>
      <c r="Z139" s="38">
        <f>RawData!BI137</f>
        <v>0</v>
      </c>
      <c r="AA139" s="40">
        <f>RawData!BH137</f>
        <v>0</v>
      </c>
      <c r="AB139" s="40">
        <f>RawData!BG137</f>
        <v>0</v>
      </c>
      <c r="AC139" s="40">
        <f>RawData!BF137</f>
        <v>0</v>
      </c>
      <c r="AD139" s="40">
        <f>RawData!BE137</f>
        <v>0</v>
      </c>
      <c r="AE139" s="40">
        <f>RawData!BD137</f>
        <v>0</v>
      </c>
      <c r="AF139" s="40">
        <f>RawData!BC137</f>
        <v>0</v>
      </c>
      <c r="AG139" s="41">
        <f>RawData!BB137</f>
        <v>0</v>
      </c>
      <c r="AH139" s="42">
        <f>RawData!DB137</f>
        <v>0</v>
      </c>
      <c r="AI139" s="41">
        <f>RawData!BA137</f>
        <v>0</v>
      </c>
      <c r="AJ139" s="43">
        <f>RawData!DA137</f>
        <v>0</v>
      </c>
      <c r="AK139" s="41">
        <f>RawData!AZ137</f>
        <v>0</v>
      </c>
      <c r="AL139" s="42">
        <f>RawData!DD137</f>
        <v>0</v>
      </c>
      <c r="AM139" s="44">
        <f>RawData!DC137</f>
        <v>0</v>
      </c>
      <c r="AN139" s="45">
        <f>RawData!BK137</f>
        <v>0</v>
      </c>
      <c r="AO139" s="44">
        <f>RawData!AY137</f>
        <v>0</v>
      </c>
      <c r="AP139" s="43" t="str">
        <f>RawData!DH137</f>
        <v>W</v>
      </c>
      <c r="AQ139" s="43">
        <f>RawData!DE137</f>
        <v>0</v>
      </c>
      <c r="AR139" s="42">
        <f>RawData!CZ137</f>
        <v>0</v>
      </c>
      <c r="AS139" s="44">
        <f>RawData!AX137</f>
        <v>0</v>
      </c>
      <c r="AT139" s="43">
        <f>RawData!CY137</f>
        <v>0</v>
      </c>
      <c r="AU139" s="44">
        <f>RawData!AW137</f>
        <v>0</v>
      </c>
      <c r="AV139" s="46">
        <f>RawData!O137</f>
        <v>45500</v>
      </c>
      <c r="AW139" s="44">
        <f>RawData!AV137</f>
        <v>0</v>
      </c>
      <c r="AX139" s="44">
        <f>RawData!CW137</f>
        <v>0</v>
      </c>
      <c r="AY139" s="44">
        <f>RawData!AU137</f>
        <v>0</v>
      </c>
      <c r="AZ139" s="42">
        <f>RawData!CX137</f>
        <v>0</v>
      </c>
      <c r="BA139" s="44">
        <f>RawData!DF137</f>
        <v>0</v>
      </c>
      <c r="BB139" s="43" t="str">
        <f>RawData!DI137</f>
        <v>W</v>
      </c>
      <c r="BC139" s="44">
        <f>RawData!AT137</f>
        <v>0</v>
      </c>
      <c r="BD139" s="45">
        <f>RawData!AP137</f>
        <v>0</v>
      </c>
      <c r="BE139" s="44">
        <f>RawData!CS137</f>
        <v>0</v>
      </c>
      <c r="BF139" s="42">
        <f>RawData!CT137</f>
        <v>0</v>
      </c>
      <c r="BG139" s="41">
        <f>RawData!AS137</f>
        <v>0</v>
      </c>
      <c r="BH139" s="41">
        <f>RawData!CU137</f>
        <v>0</v>
      </c>
      <c r="BI139" s="41">
        <f>RawData!AR137</f>
        <v>0</v>
      </c>
      <c r="BJ139" s="42">
        <f>RawData!CV137</f>
        <v>0</v>
      </c>
      <c r="BK139" s="41">
        <f>RawData!AQ137</f>
        <v>0</v>
      </c>
      <c r="BL139" s="40">
        <f>RawData!AO137</f>
        <v>0</v>
      </c>
      <c r="BM139" s="40">
        <f>RawData!AN137</f>
        <v>0</v>
      </c>
      <c r="BN139" s="40">
        <f>RawData!AM137</f>
        <v>0</v>
      </c>
      <c r="BO139" s="40">
        <f>RawData!AL137</f>
        <v>0</v>
      </c>
      <c r="BP139" s="40">
        <f>RawData!AK137</f>
        <v>0</v>
      </c>
      <c r="BQ139" s="40">
        <f>RawData!AJ137</f>
        <v>0</v>
      </c>
      <c r="BR139" s="38">
        <f>RawData!AI137</f>
        <v>0</v>
      </c>
      <c r="BS139" s="38">
        <f>RawData!AH137</f>
        <v>0</v>
      </c>
      <c r="BT139" s="40">
        <f>RawData!AG137</f>
        <v>0</v>
      </c>
      <c r="BU139" s="39">
        <f>RawData!AF137</f>
        <v>0</v>
      </c>
      <c r="BV139" s="39">
        <f>RawData!AE137</f>
        <v>0</v>
      </c>
      <c r="BW139" s="38">
        <f>RawData!AD137</f>
        <v>0</v>
      </c>
      <c r="BX139" s="38">
        <f>RawData!AC137</f>
        <v>0</v>
      </c>
      <c r="BY139" s="37">
        <f>RawData!AB137</f>
        <v>0</v>
      </c>
      <c r="BZ139" s="37">
        <f>RawData!AA137</f>
        <v>0</v>
      </c>
      <c r="CA139" s="36">
        <f>RawData!Z137</f>
        <v>0</v>
      </c>
      <c r="CB139" s="36">
        <f>RawData!Y137</f>
        <v>0</v>
      </c>
      <c r="CC139" s="36">
        <f>RawData!X137</f>
        <v>0</v>
      </c>
      <c r="CD139" s="36">
        <f>RawData!W137</f>
        <v>0</v>
      </c>
      <c r="CE139" s="40">
        <f>RawData!V137</f>
        <v>0</v>
      </c>
      <c r="CF139" s="40">
        <f>RawData!U137</f>
        <v>0</v>
      </c>
      <c r="CG139" s="40">
        <f>RawData!T137</f>
        <v>0</v>
      </c>
      <c r="CH139" s="44">
        <f>RawData!S137</f>
        <v>0</v>
      </c>
      <c r="CI139" s="44">
        <f>RawData!R137</f>
        <v>0</v>
      </c>
      <c r="CJ139" s="44">
        <f>RawData!Q137</f>
        <v>0</v>
      </c>
      <c r="CK139" s="44">
        <f>RawData!P137</f>
        <v>0</v>
      </c>
      <c r="CL139" s="44">
        <f>RawData!CJ137</f>
        <v>0</v>
      </c>
      <c r="CM139" s="43">
        <f>RawData!CI137</f>
        <v>0</v>
      </c>
      <c r="CN139" s="44">
        <f>RawData!CL137</f>
        <v>0</v>
      </c>
      <c r="CO139" s="43">
        <f>RawData!CK137</f>
        <v>0</v>
      </c>
      <c r="CP139" s="44">
        <f>RawData!CM137</f>
        <v>0</v>
      </c>
      <c r="CQ139" s="47">
        <f>RawData!CO137</f>
        <v>44783.636701388888</v>
      </c>
      <c r="CR139" s="44">
        <f>RawData!CP137</f>
        <v>38295.69921875</v>
      </c>
      <c r="CS139" s="44">
        <f>RawData!DG137</f>
        <v>38295.69921875</v>
      </c>
      <c r="CT139" s="43" t="str">
        <f>RawData!DJ137</f>
        <v>G</v>
      </c>
      <c r="CU139" s="43" t="str">
        <f>RawData!CQ137</f>
        <v>FairPrice</v>
      </c>
      <c r="CV139" s="47">
        <f>RawData!CR137</f>
        <v>44783.638194444444</v>
      </c>
      <c r="CW139" s="65">
        <f>RawData!DK137</f>
        <v>38300</v>
      </c>
      <c r="CX139" s="65">
        <f>RawData!DL137</f>
        <v>3400000</v>
      </c>
      <c r="CY139" s="65">
        <f>RawData!DM137</f>
        <v>38500</v>
      </c>
      <c r="CZ139" s="65">
        <f>RawData!DN137</f>
        <v>0</v>
      </c>
      <c r="DA139" s="65">
        <f>RawData!DO137</f>
        <v>24500</v>
      </c>
      <c r="DB139" s="65">
        <f>RawData!DP137</f>
        <v>2863350</v>
      </c>
      <c r="DC139" s="65">
        <f>RawData!DQ137</f>
        <v>38000</v>
      </c>
      <c r="DD139" s="65">
        <f>RawData!DR137</f>
        <v>0</v>
      </c>
      <c r="DE139" s="65">
        <f>RawData!DS137</f>
        <v>24500</v>
      </c>
      <c r="DF139" s="65" t="str">
        <f>RawData!DT137</f>
        <v>BANKNIFTY</v>
      </c>
      <c r="DG139" s="66">
        <f>RawData!DU137</f>
        <v>44784</v>
      </c>
      <c r="DI139" s="21">
        <f t="shared" si="2"/>
        <v>7204.30078125</v>
      </c>
    </row>
    <row r="140" spans="1:113" x14ac:dyDescent="0.2">
      <c r="A140" s="59">
        <f>RawData!CN138</f>
        <v>44783.636701388888</v>
      </c>
      <c r="B140" s="44">
        <f>RawData!CH138</f>
        <v>0</v>
      </c>
      <c r="C140" s="44">
        <f>RawData!CG138</f>
        <v>0</v>
      </c>
      <c r="D140" s="43">
        <f>RawData!CF138</f>
        <v>0</v>
      </c>
      <c r="E140" s="44">
        <f>RawData!CE138</f>
        <v>0</v>
      </c>
      <c r="F140" s="43">
        <f>RawData!CD138</f>
        <v>0</v>
      </c>
      <c r="G140" s="44">
        <f>RawData!CC138</f>
        <v>0</v>
      </c>
      <c r="H140" s="44">
        <f>RawData!CB138</f>
        <v>0</v>
      </c>
      <c r="I140" s="44">
        <f>RawData!CA138</f>
        <v>0</v>
      </c>
      <c r="J140" s="44">
        <f>RawData!BZ138</f>
        <v>0</v>
      </c>
      <c r="K140" s="40">
        <f>RawData!BY138</f>
        <v>0</v>
      </c>
      <c r="L140" s="40">
        <f>RawData!BX138</f>
        <v>0</v>
      </c>
      <c r="M140" s="40">
        <f>RawData!BW138</f>
        <v>0</v>
      </c>
      <c r="N140" s="40">
        <f>RawData!BV138</f>
        <v>0</v>
      </c>
      <c r="O140" s="36">
        <f>RawData!BU138</f>
        <v>0</v>
      </c>
      <c r="P140" s="36">
        <f>RawData!BT138</f>
        <v>0</v>
      </c>
      <c r="Q140" s="36">
        <f>RawData!BS138</f>
        <v>0</v>
      </c>
      <c r="R140" s="36">
        <f>RawData!BR138</f>
        <v>0</v>
      </c>
      <c r="S140" s="37">
        <f>RawData!BQ138</f>
        <v>0</v>
      </c>
      <c r="T140" s="37">
        <f>RawData!BP138</f>
        <v>0</v>
      </c>
      <c r="U140" s="38">
        <f>RawData!BO138</f>
        <v>0</v>
      </c>
      <c r="V140" s="38">
        <f>RawData!BN138</f>
        <v>0</v>
      </c>
      <c r="W140" s="39">
        <f>RawData!BM138</f>
        <v>0</v>
      </c>
      <c r="X140" s="39">
        <f>RawData!BL138</f>
        <v>0</v>
      </c>
      <c r="Y140" s="38">
        <f>RawData!BJ138</f>
        <v>0</v>
      </c>
      <c r="Z140" s="38">
        <f>RawData!BI138</f>
        <v>0</v>
      </c>
      <c r="AA140" s="40">
        <f>RawData!BH138</f>
        <v>0</v>
      </c>
      <c r="AB140" s="40">
        <f>RawData!BG138</f>
        <v>0</v>
      </c>
      <c r="AC140" s="40">
        <f>RawData!BF138</f>
        <v>0</v>
      </c>
      <c r="AD140" s="40">
        <f>RawData!BE138</f>
        <v>0</v>
      </c>
      <c r="AE140" s="40">
        <f>RawData!BD138</f>
        <v>0</v>
      </c>
      <c r="AF140" s="40">
        <f>RawData!BC138</f>
        <v>0</v>
      </c>
      <c r="AG140" s="41">
        <f>RawData!BB138</f>
        <v>0</v>
      </c>
      <c r="AH140" s="42">
        <f>RawData!DB138</f>
        <v>0</v>
      </c>
      <c r="AI140" s="41">
        <f>RawData!BA138</f>
        <v>0</v>
      </c>
      <c r="AJ140" s="43">
        <f>RawData!DA138</f>
        <v>0</v>
      </c>
      <c r="AK140" s="41">
        <f>RawData!AZ138</f>
        <v>0</v>
      </c>
      <c r="AL140" s="42">
        <f>RawData!DD138</f>
        <v>0</v>
      </c>
      <c r="AM140" s="44">
        <f>RawData!DC138</f>
        <v>0</v>
      </c>
      <c r="AN140" s="45">
        <f>RawData!BK138</f>
        <v>0</v>
      </c>
      <c r="AO140" s="44">
        <f>RawData!AY138</f>
        <v>0</v>
      </c>
      <c r="AP140" s="43" t="str">
        <f>RawData!DH138</f>
        <v>W</v>
      </c>
      <c r="AQ140" s="43">
        <f>RawData!DE138</f>
        <v>0</v>
      </c>
      <c r="AR140" s="42">
        <f>RawData!CZ138</f>
        <v>0</v>
      </c>
      <c r="AS140" s="44">
        <f>RawData!AX138</f>
        <v>0</v>
      </c>
      <c r="AT140" s="43">
        <f>RawData!CY138</f>
        <v>0</v>
      </c>
      <c r="AU140" s="44">
        <f>RawData!AW138</f>
        <v>0</v>
      </c>
      <c r="AV140" s="46">
        <f>RawData!O138</f>
        <v>46000</v>
      </c>
      <c r="AW140" s="44">
        <f>RawData!AV138</f>
        <v>0</v>
      </c>
      <c r="AX140" s="44">
        <f>RawData!CW138</f>
        <v>0</v>
      </c>
      <c r="AY140" s="44">
        <f>RawData!AU138</f>
        <v>0</v>
      </c>
      <c r="AZ140" s="42">
        <f>RawData!CX138</f>
        <v>0</v>
      </c>
      <c r="BA140" s="44">
        <f>RawData!DF138</f>
        <v>0</v>
      </c>
      <c r="BB140" s="43" t="str">
        <f>RawData!DI138</f>
        <v>W</v>
      </c>
      <c r="BC140" s="44">
        <f>RawData!AT138</f>
        <v>0</v>
      </c>
      <c r="BD140" s="45">
        <f>RawData!AP138</f>
        <v>0</v>
      </c>
      <c r="BE140" s="44">
        <f>RawData!CS138</f>
        <v>0</v>
      </c>
      <c r="BF140" s="42">
        <f>RawData!CT138</f>
        <v>0</v>
      </c>
      <c r="BG140" s="41">
        <f>RawData!AS138</f>
        <v>0</v>
      </c>
      <c r="BH140" s="41">
        <f>RawData!CU138</f>
        <v>0</v>
      </c>
      <c r="BI140" s="41">
        <f>RawData!AR138</f>
        <v>0</v>
      </c>
      <c r="BJ140" s="42">
        <f>RawData!CV138</f>
        <v>0</v>
      </c>
      <c r="BK140" s="41">
        <f>RawData!AQ138</f>
        <v>0</v>
      </c>
      <c r="BL140" s="40">
        <f>RawData!AO138</f>
        <v>0</v>
      </c>
      <c r="BM140" s="40">
        <f>RawData!AN138</f>
        <v>0</v>
      </c>
      <c r="BN140" s="40">
        <f>RawData!AM138</f>
        <v>0</v>
      </c>
      <c r="BO140" s="40">
        <f>RawData!AL138</f>
        <v>0</v>
      </c>
      <c r="BP140" s="40">
        <f>RawData!AK138</f>
        <v>0</v>
      </c>
      <c r="BQ140" s="40">
        <f>RawData!AJ138</f>
        <v>0</v>
      </c>
      <c r="BR140" s="38">
        <f>RawData!AI138</f>
        <v>0</v>
      </c>
      <c r="BS140" s="38">
        <f>RawData!AH138</f>
        <v>0</v>
      </c>
      <c r="BT140" s="40">
        <f>RawData!AG138</f>
        <v>0</v>
      </c>
      <c r="BU140" s="39">
        <f>RawData!AF138</f>
        <v>0</v>
      </c>
      <c r="BV140" s="39">
        <f>RawData!AE138</f>
        <v>0</v>
      </c>
      <c r="BW140" s="38">
        <f>RawData!AD138</f>
        <v>0</v>
      </c>
      <c r="BX140" s="38">
        <f>RawData!AC138</f>
        <v>0</v>
      </c>
      <c r="BY140" s="37">
        <f>RawData!AB138</f>
        <v>0</v>
      </c>
      <c r="BZ140" s="37">
        <f>RawData!AA138</f>
        <v>0</v>
      </c>
      <c r="CA140" s="36">
        <f>RawData!Z138</f>
        <v>0</v>
      </c>
      <c r="CB140" s="36">
        <f>RawData!Y138</f>
        <v>0</v>
      </c>
      <c r="CC140" s="36">
        <f>RawData!X138</f>
        <v>0</v>
      </c>
      <c r="CD140" s="36">
        <f>RawData!W138</f>
        <v>0</v>
      </c>
      <c r="CE140" s="40">
        <f>RawData!V138</f>
        <v>0</v>
      </c>
      <c r="CF140" s="40">
        <f>RawData!U138</f>
        <v>0</v>
      </c>
      <c r="CG140" s="40">
        <f>RawData!T138</f>
        <v>0</v>
      </c>
      <c r="CH140" s="44">
        <f>RawData!S138</f>
        <v>0</v>
      </c>
      <c r="CI140" s="44">
        <f>RawData!R138</f>
        <v>0</v>
      </c>
      <c r="CJ140" s="44">
        <f>RawData!Q138</f>
        <v>0</v>
      </c>
      <c r="CK140" s="44">
        <f>RawData!P138</f>
        <v>0</v>
      </c>
      <c r="CL140" s="44">
        <f>RawData!CJ138</f>
        <v>0</v>
      </c>
      <c r="CM140" s="43">
        <f>RawData!CI138</f>
        <v>0</v>
      </c>
      <c r="CN140" s="44">
        <f>RawData!CL138</f>
        <v>0</v>
      </c>
      <c r="CO140" s="43">
        <f>RawData!CK138</f>
        <v>0</v>
      </c>
      <c r="CP140" s="44">
        <f>RawData!CM138</f>
        <v>0</v>
      </c>
      <c r="CQ140" s="47">
        <f>RawData!CO138</f>
        <v>44783.636701388888</v>
      </c>
      <c r="CR140" s="44">
        <f>RawData!CP138</f>
        <v>38295.69921875</v>
      </c>
      <c r="CS140" s="44">
        <f>RawData!DG138</f>
        <v>38295.69921875</v>
      </c>
      <c r="CT140" s="43" t="str">
        <f>RawData!DJ138</f>
        <v>G</v>
      </c>
      <c r="CU140" s="43" t="str">
        <f>RawData!CQ138</f>
        <v>FairPrice</v>
      </c>
      <c r="CV140" s="47">
        <f>RawData!CR138</f>
        <v>44783.638194444444</v>
      </c>
      <c r="CW140" s="65">
        <f>RawData!DK138</f>
        <v>38300</v>
      </c>
      <c r="CX140" s="65">
        <f>RawData!DL138</f>
        <v>3400000</v>
      </c>
      <c r="CY140" s="65">
        <f>RawData!DM138</f>
        <v>38500</v>
      </c>
      <c r="CZ140" s="65">
        <f>RawData!DN138</f>
        <v>0</v>
      </c>
      <c r="DA140" s="65">
        <f>RawData!DO138</f>
        <v>24500</v>
      </c>
      <c r="DB140" s="65">
        <f>RawData!DP138</f>
        <v>2863350</v>
      </c>
      <c r="DC140" s="65">
        <f>RawData!DQ138</f>
        <v>38000</v>
      </c>
      <c r="DD140" s="65">
        <f>RawData!DR138</f>
        <v>0</v>
      </c>
      <c r="DE140" s="65">
        <f>RawData!DS138</f>
        <v>24500</v>
      </c>
      <c r="DF140" s="65" t="str">
        <f>RawData!DT138</f>
        <v>BANKNIFTY</v>
      </c>
      <c r="DG140" s="66">
        <f>RawData!DU138</f>
        <v>44784</v>
      </c>
      <c r="DI140" s="21">
        <f t="shared" si="2"/>
        <v>7704.30078125</v>
      </c>
    </row>
    <row r="141" spans="1:113" x14ac:dyDescent="0.2">
      <c r="A141" s="59">
        <f>RawData!CN139</f>
        <v>44783.636701388888</v>
      </c>
      <c r="B141" s="44">
        <f>RawData!CH139</f>
        <v>0</v>
      </c>
      <c r="C141" s="44">
        <f>RawData!CG139</f>
        <v>0</v>
      </c>
      <c r="D141" s="43">
        <f>RawData!CF139</f>
        <v>0</v>
      </c>
      <c r="E141" s="44">
        <f>RawData!CE139</f>
        <v>0</v>
      </c>
      <c r="F141" s="43">
        <f>RawData!CD139</f>
        <v>0</v>
      </c>
      <c r="G141" s="44">
        <f>RawData!CC139</f>
        <v>0</v>
      </c>
      <c r="H141" s="44">
        <f>RawData!CB139</f>
        <v>0</v>
      </c>
      <c r="I141" s="44">
        <f>RawData!CA139</f>
        <v>0</v>
      </c>
      <c r="J141" s="44">
        <f>RawData!BZ139</f>
        <v>0</v>
      </c>
      <c r="K141" s="40">
        <f>RawData!BY139</f>
        <v>0</v>
      </c>
      <c r="L141" s="40">
        <f>RawData!BX139</f>
        <v>0</v>
      </c>
      <c r="M141" s="40">
        <f>RawData!BW139</f>
        <v>0</v>
      </c>
      <c r="N141" s="40">
        <f>RawData!BV139</f>
        <v>0</v>
      </c>
      <c r="O141" s="36">
        <f>RawData!BU139</f>
        <v>0</v>
      </c>
      <c r="P141" s="36">
        <f>RawData!BT139</f>
        <v>0</v>
      </c>
      <c r="Q141" s="36">
        <f>RawData!BS139</f>
        <v>0</v>
      </c>
      <c r="R141" s="36">
        <f>RawData!BR139</f>
        <v>0</v>
      </c>
      <c r="S141" s="37">
        <f>RawData!BQ139</f>
        <v>0</v>
      </c>
      <c r="T141" s="37">
        <f>RawData!BP139</f>
        <v>0</v>
      </c>
      <c r="U141" s="38">
        <f>RawData!BO139</f>
        <v>0</v>
      </c>
      <c r="V141" s="38">
        <f>RawData!BN139</f>
        <v>0</v>
      </c>
      <c r="W141" s="39">
        <f>RawData!BM139</f>
        <v>0</v>
      </c>
      <c r="X141" s="39">
        <f>RawData!BL139</f>
        <v>0</v>
      </c>
      <c r="Y141" s="38">
        <f>RawData!BJ139</f>
        <v>0</v>
      </c>
      <c r="Z141" s="38">
        <f>RawData!BI139</f>
        <v>0</v>
      </c>
      <c r="AA141" s="40">
        <f>RawData!BH139</f>
        <v>0</v>
      </c>
      <c r="AB141" s="40">
        <f>RawData!BG139</f>
        <v>0</v>
      </c>
      <c r="AC141" s="40">
        <f>RawData!BF139</f>
        <v>0</v>
      </c>
      <c r="AD141" s="40">
        <f>RawData!BE139</f>
        <v>0</v>
      </c>
      <c r="AE141" s="40">
        <f>RawData!BD139</f>
        <v>0</v>
      </c>
      <c r="AF141" s="40">
        <f>RawData!BC139</f>
        <v>0</v>
      </c>
      <c r="AG141" s="41">
        <f>RawData!BB139</f>
        <v>0</v>
      </c>
      <c r="AH141" s="42">
        <f>RawData!DB139</f>
        <v>0</v>
      </c>
      <c r="AI141" s="41">
        <f>RawData!BA139</f>
        <v>0</v>
      </c>
      <c r="AJ141" s="43">
        <f>RawData!DA139</f>
        <v>0</v>
      </c>
      <c r="AK141" s="41">
        <f>RawData!AZ139</f>
        <v>0</v>
      </c>
      <c r="AL141" s="42">
        <f>RawData!DD139</f>
        <v>0</v>
      </c>
      <c r="AM141" s="44">
        <f>RawData!DC139</f>
        <v>0</v>
      </c>
      <c r="AN141" s="45">
        <f>RawData!BK139</f>
        <v>0</v>
      </c>
      <c r="AO141" s="44">
        <f>RawData!AY139</f>
        <v>0</v>
      </c>
      <c r="AP141" s="43" t="str">
        <f>RawData!DH139</f>
        <v>W</v>
      </c>
      <c r="AQ141" s="43">
        <f>RawData!DE139</f>
        <v>0</v>
      </c>
      <c r="AR141" s="42">
        <f>RawData!CZ139</f>
        <v>0</v>
      </c>
      <c r="AS141" s="44">
        <f>RawData!AX139</f>
        <v>0</v>
      </c>
      <c r="AT141" s="43">
        <f>RawData!CY139</f>
        <v>0</v>
      </c>
      <c r="AU141" s="44">
        <f>RawData!AW139</f>
        <v>0</v>
      </c>
      <c r="AV141" s="46">
        <f>RawData!O139</f>
        <v>46500</v>
      </c>
      <c r="AW141" s="44">
        <f>RawData!AV139</f>
        <v>0</v>
      </c>
      <c r="AX141" s="44">
        <f>RawData!CW139</f>
        <v>0</v>
      </c>
      <c r="AY141" s="44">
        <f>RawData!AU139</f>
        <v>0</v>
      </c>
      <c r="AZ141" s="42">
        <f>RawData!CX139</f>
        <v>0</v>
      </c>
      <c r="BA141" s="44">
        <f>RawData!DF139</f>
        <v>0</v>
      </c>
      <c r="BB141" s="43" t="str">
        <f>RawData!DI139</f>
        <v>W</v>
      </c>
      <c r="BC141" s="44">
        <f>RawData!AT139</f>
        <v>0</v>
      </c>
      <c r="BD141" s="45">
        <f>RawData!AP139</f>
        <v>0</v>
      </c>
      <c r="BE141" s="44">
        <f>RawData!CS139</f>
        <v>0</v>
      </c>
      <c r="BF141" s="42">
        <f>RawData!CT139</f>
        <v>0</v>
      </c>
      <c r="BG141" s="41">
        <f>RawData!AS139</f>
        <v>0</v>
      </c>
      <c r="BH141" s="41">
        <f>RawData!CU139</f>
        <v>0</v>
      </c>
      <c r="BI141" s="41">
        <f>RawData!AR139</f>
        <v>0</v>
      </c>
      <c r="BJ141" s="42">
        <f>RawData!CV139</f>
        <v>0</v>
      </c>
      <c r="BK141" s="41">
        <f>RawData!AQ139</f>
        <v>0</v>
      </c>
      <c r="BL141" s="40">
        <f>RawData!AO139</f>
        <v>0</v>
      </c>
      <c r="BM141" s="40">
        <f>RawData!AN139</f>
        <v>0</v>
      </c>
      <c r="BN141" s="40">
        <f>RawData!AM139</f>
        <v>0</v>
      </c>
      <c r="BO141" s="40">
        <f>RawData!AL139</f>
        <v>0</v>
      </c>
      <c r="BP141" s="40">
        <f>RawData!AK139</f>
        <v>0</v>
      </c>
      <c r="BQ141" s="40">
        <f>RawData!AJ139</f>
        <v>0</v>
      </c>
      <c r="BR141" s="38">
        <f>RawData!AI139</f>
        <v>0</v>
      </c>
      <c r="BS141" s="38">
        <f>RawData!AH139</f>
        <v>0</v>
      </c>
      <c r="BT141" s="40">
        <f>RawData!AG139</f>
        <v>0</v>
      </c>
      <c r="BU141" s="39">
        <f>RawData!AF139</f>
        <v>0</v>
      </c>
      <c r="BV141" s="39">
        <f>RawData!AE139</f>
        <v>0</v>
      </c>
      <c r="BW141" s="38">
        <f>RawData!AD139</f>
        <v>0</v>
      </c>
      <c r="BX141" s="38">
        <f>RawData!AC139</f>
        <v>0</v>
      </c>
      <c r="BY141" s="37">
        <f>RawData!AB139</f>
        <v>0</v>
      </c>
      <c r="BZ141" s="37">
        <f>RawData!AA139</f>
        <v>0</v>
      </c>
      <c r="CA141" s="36">
        <f>RawData!Z139</f>
        <v>0</v>
      </c>
      <c r="CB141" s="36">
        <f>RawData!Y139</f>
        <v>0</v>
      </c>
      <c r="CC141" s="36">
        <f>RawData!X139</f>
        <v>0</v>
      </c>
      <c r="CD141" s="36">
        <f>RawData!W139</f>
        <v>0</v>
      </c>
      <c r="CE141" s="40">
        <f>RawData!V139</f>
        <v>0</v>
      </c>
      <c r="CF141" s="40">
        <f>RawData!U139</f>
        <v>0</v>
      </c>
      <c r="CG141" s="40">
        <f>RawData!T139</f>
        <v>0</v>
      </c>
      <c r="CH141" s="44">
        <f>RawData!S139</f>
        <v>0</v>
      </c>
      <c r="CI141" s="44">
        <f>RawData!R139</f>
        <v>0</v>
      </c>
      <c r="CJ141" s="44">
        <f>RawData!Q139</f>
        <v>0</v>
      </c>
      <c r="CK141" s="44">
        <f>RawData!P139</f>
        <v>0</v>
      </c>
      <c r="CL141" s="44">
        <f>RawData!CJ139</f>
        <v>0</v>
      </c>
      <c r="CM141" s="43">
        <f>RawData!CI139</f>
        <v>0</v>
      </c>
      <c r="CN141" s="44">
        <f>RawData!CL139</f>
        <v>0</v>
      </c>
      <c r="CO141" s="43">
        <f>RawData!CK139</f>
        <v>0</v>
      </c>
      <c r="CP141" s="44">
        <f>RawData!CM139</f>
        <v>0</v>
      </c>
      <c r="CQ141" s="47">
        <f>RawData!CO139</f>
        <v>44783.636701388888</v>
      </c>
      <c r="CR141" s="44">
        <f>RawData!CP139</f>
        <v>38295.69921875</v>
      </c>
      <c r="CS141" s="44">
        <f>RawData!DG139</f>
        <v>38295.69921875</v>
      </c>
      <c r="CT141" s="43" t="str">
        <f>RawData!DJ139</f>
        <v>G</v>
      </c>
      <c r="CU141" s="43" t="str">
        <f>RawData!CQ139</f>
        <v>FairPrice</v>
      </c>
      <c r="CV141" s="47">
        <f>RawData!CR139</f>
        <v>44783.638194444444</v>
      </c>
      <c r="CW141" s="65">
        <f>RawData!DK139</f>
        <v>38300</v>
      </c>
      <c r="CX141" s="65">
        <f>RawData!DL139</f>
        <v>3400000</v>
      </c>
      <c r="CY141" s="65">
        <f>RawData!DM139</f>
        <v>38500</v>
      </c>
      <c r="CZ141" s="65">
        <f>RawData!DN139</f>
        <v>0</v>
      </c>
      <c r="DA141" s="65">
        <f>RawData!DO139</f>
        <v>24500</v>
      </c>
      <c r="DB141" s="65">
        <f>RawData!DP139</f>
        <v>2863350</v>
      </c>
      <c r="DC141" s="65">
        <f>RawData!DQ139</f>
        <v>38000</v>
      </c>
      <c r="DD141" s="65">
        <f>RawData!DR139</f>
        <v>0</v>
      </c>
      <c r="DE141" s="65">
        <f>RawData!DS139</f>
        <v>24500</v>
      </c>
      <c r="DF141" s="65" t="str">
        <f>RawData!DT139</f>
        <v>BANKNIFTY</v>
      </c>
      <c r="DG141" s="66">
        <f>RawData!DU139</f>
        <v>44784</v>
      </c>
      <c r="DI141" s="21">
        <f t="shared" si="2"/>
        <v>8204.30078125</v>
      </c>
    </row>
    <row r="142" spans="1:113" x14ac:dyDescent="0.2">
      <c r="A142" s="59">
        <f>RawData!CN140</f>
        <v>44783.636701388888</v>
      </c>
      <c r="B142" s="44">
        <f>RawData!CH140</f>
        <v>0</v>
      </c>
      <c r="C142" s="44">
        <f>RawData!CG140</f>
        <v>0</v>
      </c>
      <c r="D142" s="43">
        <f>RawData!CF140</f>
        <v>0</v>
      </c>
      <c r="E142" s="44">
        <f>RawData!CE140</f>
        <v>0</v>
      </c>
      <c r="F142" s="43">
        <f>RawData!CD140</f>
        <v>0</v>
      </c>
      <c r="G142" s="44">
        <f>RawData!CC140</f>
        <v>0</v>
      </c>
      <c r="H142" s="44">
        <f>RawData!CB140</f>
        <v>0</v>
      </c>
      <c r="I142" s="44">
        <f>RawData!CA140</f>
        <v>0</v>
      </c>
      <c r="J142" s="44">
        <f>RawData!BZ140</f>
        <v>0</v>
      </c>
      <c r="K142" s="40">
        <f>RawData!BY140</f>
        <v>0</v>
      </c>
      <c r="L142" s="40">
        <f>RawData!BX140</f>
        <v>0</v>
      </c>
      <c r="M142" s="40">
        <f>RawData!BW140</f>
        <v>0</v>
      </c>
      <c r="N142" s="40">
        <f>RawData!BV140</f>
        <v>0</v>
      </c>
      <c r="O142" s="36">
        <f>RawData!BU140</f>
        <v>0</v>
      </c>
      <c r="P142" s="36">
        <f>RawData!BT140</f>
        <v>0</v>
      </c>
      <c r="Q142" s="36">
        <f>RawData!BS140</f>
        <v>0</v>
      </c>
      <c r="R142" s="36">
        <f>RawData!BR140</f>
        <v>0</v>
      </c>
      <c r="S142" s="37">
        <f>RawData!BQ140</f>
        <v>0</v>
      </c>
      <c r="T142" s="37">
        <f>RawData!BP140</f>
        <v>0</v>
      </c>
      <c r="U142" s="38">
        <f>RawData!BO140</f>
        <v>0</v>
      </c>
      <c r="V142" s="38">
        <f>RawData!BN140</f>
        <v>0</v>
      </c>
      <c r="W142" s="39">
        <f>RawData!BM140</f>
        <v>0</v>
      </c>
      <c r="X142" s="39">
        <f>RawData!BL140</f>
        <v>0</v>
      </c>
      <c r="Y142" s="38">
        <f>RawData!BJ140</f>
        <v>0</v>
      </c>
      <c r="Z142" s="38">
        <f>RawData!BI140</f>
        <v>0</v>
      </c>
      <c r="AA142" s="40">
        <f>RawData!BH140</f>
        <v>0</v>
      </c>
      <c r="AB142" s="40">
        <f>RawData!BG140</f>
        <v>0</v>
      </c>
      <c r="AC142" s="40">
        <f>RawData!BF140</f>
        <v>0</v>
      </c>
      <c r="AD142" s="40">
        <f>RawData!BE140</f>
        <v>0</v>
      </c>
      <c r="AE142" s="40">
        <f>RawData!BD140</f>
        <v>0</v>
      </c>
      <c r="AF142" s="40">
        <f>RawData!BC140</f>
        <v>0</v>
      </c>
      <c r="AG142" s="41">
        <f>RawData!BB140</f>
        <v>0</v>
      </c>
      <c r="AH142" s="42">
        <f>RawData!DB140</f>
        <v>0</v>
      </c>
      <c r="AI142" s="41">
        <f>RawData!BA140</f>
        <v>0</v>
      </c>
      <c r="AJ142" s="43">
        <f>RawData!DA140</f>
        <v>0</v>
      </c>
      <c r="AK142" s="41">
        <f>RawData!AZ140</f>
        <v>0</v>
      </c>
      <c r="AL142" s="42">
        <f>RawData!DD140</f>
        <v>0</v>
      </c>
      <c r="AM142" s="44">
        <f>RawData!DC140</f>
        <v>0</v>
      </c>
      <c r="AN142" s="45">
        <f>RawData!BK140</f>
        <v>0</v>
      </c>
      <c r="AO142" s="44">
        <f>RawData!AY140</f>
        <v>0</v>
      </c>
      <c r="AP142" s="43" t="str">
        <f>RawData!DH140</f>
        <v>W</v>
      </c>
      <c r="AQ142" s="43">
        <f>RawData!DE140</f>
        <v>0</v>
      </c>
      <c r="AR142" s="42">
        <f>RawData!CZ140</f>
        <v>0</v>
      </c>
      <c r="AS142" s="44">
        <f>RawData!AX140</f>
        <v>0</v>
      </c>
      <c r="AT142" s="43">
        <f>RawData!CY140</f>
        <v>0</v>
      </c>
      <c r="AU142" s="44">
        <f>RawData!AW140</f>
        <v>0</v>
      </c>
      <c r="AV142" s="46">
        <f>RawData!O140</f>
        <v>47000</v>
      </c>
      <c r="AW142" s="44">
        <f>RawData!AV140</f>
        <v>0</v>
      </c>
      <c r="AX142" s="44">
        <f>RawData!CW140</f>
        <v>0</v>
      </c>
      <c r="AY142" s="44">
        <f>RawData!AU140</f>
        <v>0</v>
      </c>
      <c r="AZ142" s="42">
        <f>RawData!CX140</f>
        <v>0</v>
      </c>
      <c r="BA142" s="44">
        <f>RawData!DF140</f>
        <v>0</v>
      </c>
      <c r="BB142" s="43" t="str">
        <f>RawData!DI140</f>
        <v>W</v>
      </c>
      <c r="BC142" s="44">
        <f>RawData!AT140</f>
        <v>0</v>
      </c>
      <c r="BD142" s="45">
        <f>RawData!AP140</f>
        <v>0</v>
      </c>
      <c r="BE142" s="44">
        <f>RawData!CS140</f>
        <v>0</v>
      </c>
      <c r="BF142" s="42">
        <f>RawData!CT140</f>
        <v>0</v>
      </c>
      <c r="BG142" s="41">
        <f>RawData!AS140</f>
        <v>0</v>
      </c>
      <c r="BH142" s="41">
        <f>RawData!CU140</f>
        <v>0</v>
      </c>
      <c r="BI142" s="41">
        <f>RawData!AR140</f>
        <v>0</v>
      </c>
      <c r="BJ142" s="42">
        <f>RawData!CV140</f>
        <v>0</v>
      </c>
      <c r="BK142" s="41">
        <f>RawData!AQ140</f>
        <v>0</v>
      </c>
      <c r="BL142" s="40">
        <f>RawData!AO140</f>
        <v>0</v>
      </c>
      <c r="BM142" s="40">
        <f>RawData!AN140</f>
        <v>0</v>
      </c>
      <c r="BN142" s="40">
        <f>RawData!AM140</f>
        <v>0</v>
      </c>
      <c r="BO142" s="40">
        <f>RawData!AL140</f>
        <v>0</v>
      </c>
      <c r="BP142" s="40">
        <f>RawData!AK140</f>
        <v>0</v>
      </c>
      <c r="BQ142" s="40">
        <f>RawData!AJ140</f>
        <v>0</v>
      </c>
      <c r="BR142" s="38">
        <f>RawData!AI140</f>
        <v>0</v>
      </c>
      <c r="BS142" s="38">
        <f>RawData!AH140</f>
        <v>0</v>
      </c>
      <c r="BT142" s="40">
        <f>RawData!AG140</f>
        <v>0</v>
      </c>
      <c r="BU142" s="39">
        <f>RawData!AF140</f>
        <v>0</v>
      </c>
      <c r="BV142" s="39">
        <f>RawData!AE140</f>
        <v>0</v>
      </c>
      <c r="BW142" s="38">
        <f>RawData!AD140</f>
        <v>0</v>
      </c>
      <c r="BX142" s="38">
        <f>RawData!AC140</f>
        <v>0</v>
      </c>
      <c r="BY142" s="37">
        <f>RawData!AB140</f>
        <v>0</v>
      </c>
      <c r="BZ142" s="37">
        <f>RawData!AA140</f>
        <v>0</v>
      </c>
      <c r="CA142" s="36">
        <f>RawData!Z140</f>
        <v>0</v>
      </c>
      <c r="CB142" s="36">
        <f>RawData!Y140</f>
        <v>0</v>
      </c>
      <c r="CC142" s="36">
        <f>RawData!X140</f>
        <v>0</v>
      </c>
      <c r="CD142" s="36">
        <f>RawData!W140</f>
        <v>0</v>
      </c>
      <c r="CE142" s="40">
        <f>RawData!V140</f>
        <v>0</v>
      </c>
      <c r="CF142" s="40">
        <f>RawData!U140</f>
        <v>0</v>
      </c>
      <c r="CG142" s="40">
        <f>RawData!T140</f>
        <v>0</v>
      </c>
      <c r="CH142" s="44">
        <f>RawData!S140</f>
        <v>0</v>
      </c>
      <c r="CI142" s="44">
        <f>RawData!R140</f>
        <v>0</v>
      </c>
      <c r="CJ142" s="44">
        <f>RawData!Q140</f>
        <v>0</v>
      </c>
      <c r="CK142" s="44">
        <f>RawData!P140</f>
        <v>0</v>
      </c>
      <c r="CL142" s="44">
        <f>RawData!CJ140</f>
        <v>0</v>
      </c>
      <c r="CM142" s="43">
        <f>RawData!CI140</f>
        <v>0</v>
      </c>
      <c r="CN142" s="44">
        <f>RawData!CL140</f>
        <v>0</v>
      </c>
      <c r="CO142" s="43">
        <f>RawData!CK140</f>
        <v>0</v>
      </c>
      <c r="CP142" s="44">
        <f>RawData!CM140</f>
        <v>0</v>
      </c>
      <c r="CQ142" s="47">
        <f>RawData!CO140</f>
        <v>44783.636701388888</v>
      </c>
      <c r="CR142" s="44">
        <f>RawData!CP140</f>
        <v>38295.69921875</v>
      </c>
      <c r="CS142" s="44">
        <f>RawData!DG140</f>
        <v>38295.69921875</v>
      </c>
      <c r="CT142" s="43" t="str">
        <f>RawData!DJ140</f>
        <v>G</v>
      </c>
      <c r="CU142" s="43" t="str">
        <f>RawData!CQ140</f>
        <v>FairPrice</v>
      </c>
      <c r="CV142" s="47">
        <f>RawData!CR140</f>
        <v>44783.638194444444</v>
      </c>
      <c r="CW142" s="65">
        <f>RawData!DK140</f>
        <v>38300</v>
      </c>
      <c r="CX142" s="65">
        <f>RawData!DL140</f>
        <v>3400000</v>
      </c>
      <c r="CY142" s="65">
        <f>RawData!DM140</f>
        <v>38500</v>
      </c>
      <c r="CZ142" s="65">
        <f>RawData!DN140</f>
        <v>0</v>
      </c>
      <c r="DA142" s="65">
        <f>RawData!DO140</f>
        <v>24500</v>
      </c>
      <c r="DB142" s="65">
        <f>RawData!DP140</f>
        <v>2863350</v>
      </c>
      <c r="DC142" s="65">
        <f>RawData!DQ140</f>
        <v>38000</v>
      </c>
      <c r="DD142" s="65">
        <f>RawData!DR140</f>
        <v>0</v>
      </c>
      <c r="DE142" s="65">
        <f>RawData!DS140</f>
        <v>24500</v>
      </c>
      <c r="DF142" s="65" t="str">
        <f>RawData!DT140</f>
        <v>BANKNIFTY</v>
      </c>
      <c r="DG142" s="66">
        <f>RawData!DU140</f>
        <v>44784</v>
      </c>
      <c r="DI142" s="21">
        <f t="shared" si="2"/>
        <v>8704.30078125</v>
      </c>
    </row>
    <row r="143" spans="1:113" x14ac:dyDescent="0.2">
      <c r="A143" s="59">
        <f>RawData!CN141</f>
        <v>44783.636701388888</v>
      </c>
      <c r="B143" s="44">
        <f>RawData!CH141</f>
        <v>0</v>
      </c>
      <c r="C143" s="44">
        <f>RawData!CG141</f>
        <v>0</v>
      </c>
      <c r="D143" s="43">
        <f>RawData!CF141</f>
        <v>0</v>
      </c>
      <c r="E143" s="44">
        <f>RawData!CE141</f>
        <v>0</v>
      </c>
      <c r="F143" s="43">
        <f>RawData!CD141</f>
        <v>0</v>
      </c>
      <c r="G143" s="44">
        <f>RawData!CC141</f>
        <v>0</v>
      </c>
      <c r="H143" s="44">
        <f>RawData!CB141</f>
        <v>0</v>
      </c>
      <c r="I143" s="44">
        <f>RawData!CA141</f>
        <v>0</v>
      </c>
      <c r="J143" s="44">
        <f>RawData!BZ141</f>
        <v>0</v>
      </c>
      <c r="K143" s="40">
        <f>RawData!BY141</f>
        <v>0</v>
      </c>
      <c r="L143" s="40">
        <f>RawData!BX141</f>
        <v>0</v>
      </c>
      <c r="M143" s="40">
        <f>RawData!BW141</f>
        <v>0</v>
      </c>
      <c r="N143" s="40">
        <f>RawData!BV141</f>
        <v>0</v>
      </c>
      <c r="O143" s="36">
        <f>RawData!BU141</f>
        <v>0</v>
      </c>
      <c r="P143" s="36">
        <f>RawData!BT141</f>
        <v>0</v>
      </c>
      <c r="Q143" s="36">
        <f>RawData!BS141</f>
        <v>0</v>
      </c>
      <c r="R143" s="36">
        <f>RawData!BR141</f>
        <v>0</v>
      </c>
      <c r="S143" s="37">
        <f>RawData!BQ141</f>
        <v>0</v>
      </c>
      <c r="T143" s="37">
        <f>RawData!BP141</f>
        <v>0</v>
      </c>
      <c r="U143" s="38">
        <f>RawData!BO141</f>
        <v>0</v>
      </c>
      <c r="V143" s="38">
        <f>RawData!BN141</f>
        <v>0</v>
      </c>
      <c r="W143" s="39">
        <f>RawData!BM141</f>
        <v>0</v>
      </c>
      <c r="X143" s="39">
        <f>RawData!BL141</f>
        <v>0</v>
      </c>
      <c r="Y143" s="38">
        <f>RawData!BJ141</f>
        <v>0</v>
      </c>
      <c r="Z143" s="38">
        <f>RawData!BI141</f>
        <v>0</v>
      </c>
      <c r="AA143" s="40">
        <f>RawData!BH141</f>
        <v>0</v>
      </c>
      <c r="AB143" s="40">
        <f>RawData!BG141</f>
        <v>0</v>
      </c>
      <c r="AC143" s="40">
        <f>RawData!BF141</f>
        <v>0</v>
      </c>
      <c r="AD143" s="40">
        <f>RawData!BE141</f>
        <v>0</v>
      </c>
      <c r="AE143" s="40">
        <f>RawData!BD141</f>
        <v>0</v>
      </c>
      <c r="AF143" s="40">
        <f>RawData!BC141</f>
        <v>0</v>
      </c>
      <c r="AG143" s="41">
        <f>RawData!BB141</f>
        <v>0</v>
      </c>
      <c r="AH143" s="42">
        <f>RawData!DB141</f>
        <v>0</v>
      </c>
      <c r="AI143" s="41">
        <f>RawData!BA141</f>
        <v>0</v>
      </c>
      <c r="AJ143" s="43">
        <f>RawData!DA141</f>
        <v>0</v>
      </c>
      <c r="AK143" s="41">
        <f>RawData!AZ141</f>
        <v>0</v>
      </c>
      <c r="AL143" s="42">
        <f>RawData!DD141</f>
        <v>0</v>
      </c>
      <c r="AM143" s="44">
        <f>RawData!DC141</f>
        <v>0</v>
      </c>
      <c r="AN143" s="45">
        <f>RawData!BK141</f>
        <v>0</v>
      </c>
      <c r="AO143" s="44">
        <f>RawData!AY141</f>
        <v>0</v>
      </c>
      <c r="AP143" s="43" t="str">
        <f>RawData!DH141</f>
        <v>W</v>
      </c>
      <c r="AQ143" s="43">
        <f>RawData!DE141</f>
        <v>0</v>
      </c>
      <c r="AR143" s="42">
        <f>RawData!CZ141</f>
        <v>0</v>
      </c>
      <c r="AS143" s="44">
        <f>RawData!AX141</f>
        <v>0</v>
      </c>
      <c r="AT143" s="43">
        <f>RawData!CY141</f>
        <v>0</v>
      </c>
      <c r="AU143" s="44">
        <f>RawData!AW141</f>
        <v>0</v>
      </c>
      <c r="AV143" s="46">
        <f>RawData!O141</f>
        <v>47500</v>
      </c>
      <c r="AW143" s="44">
        <f>RawData!AV141</f>
        <v>0</v>
      </c>
      <c r="AX143" s="44">
        <f>RawData!CW141</f>
        <v>0</v>
      </c>
      <c r="AY143" s="44">
        <f>RawData!AU141</f>
        <v>0</v>
      </c>
      <c r="AZ143" s="42">
        <f>RawData!CX141</f>
        <v>0</v>
      </c>
      <c r="BA143" s="44">
        <f>RawData!DF141</f>
        <v>0</v>
      </c>
      <c r="BB143" s="43" t="str">
        <f>RawData!DI141</f>
        <v>W</v>
      </c>
      <c r="BC143" s="44">
        <f>RawData!AT141</f>
        <v>0</v>
      </c>
      <c r="BD143" s="45">
        <f>RawData!AP141</f>
        <v>0</v>
      </c>
      <c r="BE143" s="44">
        <f>RawData!CS141</f>
        <v>0</v>
      </c>
      <c r="BF143" s="42">
        <f>RawData!CT141</f>
        <v>0</v>
      </c>
      <c r="BG143" s="41">
        <f>RawData!AS141</f>
        <v>0</v>
      </c>
      <c r="BH143" s="41">
        <f>RawData!CU141</f>
        <v>0</v>
      </c>
      <c r="BI143" s="41">
        <f>RawData!AR141</f>
        <v>0</v>
      </c>
      <c r="BJ143" s="42">
        <f>RawData!CV141</f>
        <v>0</v>
      </c>
      <c r="BK143" s="41">
        <f>RawData!AQ141</f>
        <v>0</v>
      </c>
      <c r="BL143" s="40">
        <f>RawData!AO141</f>
        <v>0</v>
      </c>
      <c r="BM143" s="40">
        <f>RawData!AN141</f>
        <v>0</v>
      </c>
      <c r="BN143" s="40">
        <f>RawData!AM141</f>
        <v>0</v>
      </c>
      <c r="BO143" s="40">
        <f>RawData!AL141</f>
        <v>0</v>
      </c>
      <c r="BP143" s="40">
        <f>RawData!AK141</f>
        <v>0</v>
      </c>
      <c r="BQ143" s="40">
        <f>RawData!AJ141</f>
        <v>0</v>
      </c>
      <c r="BR143" s="38">
        <f>RawData!AI141</f>
        <v>0</v>
      </c>
      <c r="BS143" s="38">
        <f>RawData!AH141</f>
        <v>0</v>
      </c>
      <c r="BT143" s="40">
        <f>RawData!AG141</f>
        <v>0</v>
      </c>
      <c r="BU143" s="39">
        <f>RawData!AF141</f>
        <v>0</v>
      </c>
      <c r="BV143" s="39">
        <f>RawData!AE141</f>
        <v>0</v>
      </c>
      <c r="BW143" s="38">
        <f>RawData!AD141</f>
        <v>0</v>
      </c>
      <c r="BX143" s="38">
        <f>RawData!AC141</f>
        <v>0</v>
      </c>
      <c r="BY143" s="37">
        <f>RawData!AB141</f>
        <v>0</v>
      </c>
      <c r="BZ143" s="37">
        <f>RawData!AA141</f>
        <v>0</v>
      </c>
      <c r="CA143" s="36">
        <f>RawData!Z141</f>
        <v>0</v>
      </c>
      <c r="CB143" s="36">
        <f>RawData!Y141</f>
        <v>0</v>
      </c>
      <c r="CC143" s="36">
        <f>RawData!X141</f>
        <v>0</v>
      </c>
      <c r="CD143" s="36">
        <f>RawData!W141</f>
        <v>0</v>
      </c>
      <c r="CE143" s="40">
        <f>RawData!V141</f>
        <v>0</v>
      </c>
      <c r="CF143" s="40">
        <f>RawData!U141</f>
        <v>0</v>
      </c>
      <c r="CG143" s="40">
        <f>RawData!T141</f>
        <v>0</v>
      </c>
      <c r="CH143" s="44">
        <f>RawData!S141</f>
        <v>0</v>
      </c>
      <c r="CI143" s="44">
        <f>RawData!R141</f>
        <v>0</v>
      </c>
      <c r="CJ143" s="44">
        <f>RawData!Q141</f>
        <v>0</v>
      </c>
      <c r="CK143" s="44">
        <f>RawData!P141</f>
        <v>0</v>
      </c>
      <c r="CL143" s="44">
        <f>RawData!CJ141</f>
        <v>0</v>
      </c>
      <c r="CM143" s="43">
        <f>RawData!CI141</f>
        <v>0</v>
      </c>
      <c r="CN143" s="44">
        <f>RawData!CL141</f>
        <v>0</v>
      </c>
      <c r="CO143" s="43">
        <f>RawData!CK141</f>
        <v>0</v>
      </c>
      <c r="CP143" s="44">
        <f>RawData!CM141</f>
        <v>0</v>
      </c>
      <c r="CQ143" s="47">
        <f>RawData!CO141</f>
        <v>44783.636701388888</v>
      </c>
      <c r="CR143" s="44">
        <f>RawData!CP141</f>
        <v>38295.69921875</v>
      </c>
      <c r="CS143" s="44">
        <f>RawData!DG141</f>
        <v>38295.69921875</v>
      </c>
      <c r="CT143" s="43" t="str">
        <f>RawData!DJ141</f>
        <v>G</v>
      </c>
      <c r="CU143" s="43" t="str">
        <f>RawData!CQ141</f>
        <v>FairPrice</v>
      </c>
      <c r="CV143" s="47">
        <f>RawData!CR141</f>
        <v>44783.638194444444</v>
      </c>
      <c r="CW143" s="65">
        <f>RawData!DK141</f>
        <v>38300</v>
      </c>
      <c r="CX143" s="65">
        <f>RawData!DL141</f>
        <v>3400000</v>
      </c>
      <c r="CY143" s="65">
        <f>RawData!DM141</f>
        <v>38500</v>
      </c>
      <c r="CZ143" s="65">
        <f>RawData!DN141</f>
        <v>0</v>
      </c>
      <c r="DA143" s="65">
        <f>RawData!DO141</f>
        <v>24500</v>
      </c>
      <c r="DB143" s="65">
        <f>RawData!DP141</f>
        <v>2863350</v>
      </c>
      <c r="DC143" s="65">
        <f>RawData!DQ141</f>
        <v>38000</v>
      </c>
      <c r="DD143" s="65">
        <f>RawData!DR141</f>
        <v>0</v>
      </c>
      <c r="DE143" s="65">
        <f>RawData!DS141</f>
        <v>24500</v>
      </c>
      <c r="DF143" s="65" t="str">
        <f>RawData!DT141</f>
        <v>BANKNIFTY</v>
      </c>
      <c r="DG143" s="66">
        <f>RawData!DU141</f>
        <v>44784</v>
      </c>
      <c r="DI143" s="21">
        <f t="shared" si="2"/>
        <v>9204.30078125</v>
      </c>
    </row>
    <row r="144" spans="1:113" x14ac:dyDescent="0.2">
      <c r="A144" s="59">
        <f>RawData!CN142</f>
        <v>44783.636701388888</v>
      </c>
      <c r="B144" s="44">
        <f>RawData!CH142</f>
        <v>0</v>
      </c>
      <c r="C144" s="44">
        <f>RawData!CG142</f>
        <v>0</v>
      </c>
      <c r="D144" s="43">
        <f>RawData!CF142</f>
        <v>0</v>
      </c>
      <c r="E144" s="44">
        <f>RawData!CE142</f>
        <v>0</v>
      </c>
      <c r="F144" s="43">
        <f>RawData!CD142</f>
        <v>0</v>
      </c>
      <c r="G144" s="44">
        <f>RawData!CC142</f>
        <v>0</v>
      </c>
      <c r="H144" s="44">
        <f>RawData!CB142</f>
        <v>0</v>
      </c>
      <c r="I144" s="44">
        <f>RawData!CA142</f>
        <v>0</v>
      </c>
      <c r="J144" s="44">
        <f>RawData!BZ142</f>
        <v>0</v>
      </c>
      <c r="K144" s="40">
        <f>RawData!BY142</f>
        <v>0</v>
      </c>
      <c r="L144" s="40">
        <f>RawData!BX142</f>
        <v>0</v>
      </c>
      <c r="M144" s="40">
        <f>RawData!BW142</f>
        <v>0</v>
      </c>
      <c r="N144" s="40">
        <f>RawData!BV142</f>
        <v>0</v>
      </c>
      <c r="O144" s="36">
        <f>RawData!BU142</f>
        <v>0</v>
      </c>
      <c r="P144" s="36">
        <f>RawData!BT142</f>
        <v>0</v>
      </c>
      <c r="Q144" s="36">
        <f>RawData!BS142</f>
        <v>0</v>
      </c>
      <c r="R144" s="36">
        <f>RawData!BR142</f>
        <v>0</v>
      </c>
      <c r="S144" s="37">
        <f>RawData!BQ142</f>
        <v>0</v>
      </c>
      <c r="T144" s="37">
        <f>RawData!BP142</f>
        <v>0</v>
      </c>
      <c r="U144" s="38">
        <f>RawData!BO142</f>
        <v>0</v>
      </c>
      <c r="V144" s="38">
        <f>RawData!BN142</f>
        <v>0</v>
      </c>
      <c r="W144" s="39">
        <f>RawData!BM142</f>
        <v>0</v>
      </c>
      <c r="X144" s="39">
        <f>RawData!BL142</f>
        <v>0</v>
      </c>
      <c r="Y144" s="38">
        <f>RawData!BJ142</f>
        <v>0</v>
      </c>
      <c r="Z144" s="38">
        <f>RawData!BI142</f>
        <v>0</v>
      </c>
      <c r="AA144" s="40">
        <f>RawData!BH142</f>
        <v>0</v>
      </c>
      <c r="AB144" s="40">
        <f>RawData!BG142</f>
        <v>0</v>
      </c>
      <c r="AC144" s="40">
        <f>RawData!BF142</f>
        <v>0</v>
      </c>
      <c r="AD144" s="40">
        <f>RawData!BE142</f>
        <v>0</v>
      </c>
      <c r="AE144" s="40">
        <f>RawData!BD142</f>
        <v>0</v>
      </c>
      <c r="AF144" s="40">
        <f>RawData!BC142</f>
        <v>0</v>
      </c>
      <c r="AG144" s="41">
        <f>RawData!BB142</f>
        <v>0</v>
      </c>
      <c r="AH144" s="42">
        <f>RawData!DB142</f>
        <v>0</v>
      </c>
      <c r="AI144" s="41">
        <f>RawData!BA142</f>
        <v>0</v>
      </c>
      <c r="AJ144" s="43">
        <f>RawData!DA142</f>
        <v>0</v>
      </c>
      <c r="AK144" s="41">
        <f>RawData!AZ142</f>
        <v>0</v>
      </c>
      <c r="AL144" s="42">
        <f>RawData!DD142</f>
        <v>0</v>
      </c>
      <c r="AM144" s="44">
        <f>RawData!DC142</f>
        <v>0</v>
      </c>
      <c r="AN144" s="45">
        <f>RawData!BK142</f>
        <v>0</v>
      </c>
      <c r="AO144" s="44">
        <f>RawData!AY142</f>
        <v>0</v>
      </c>
      <c r="AP144" s="43" t="str">
        <f>RawData!DH142</f>
        <v>W</v>
      </c>
      <c r="AQ144" s="43">
        <f>RawData!DE142</f>
        <v>0</v>
      </c>
      <c r="AR144" s="42">
        <f>RawData!CZ142</f>
        <v>0</v>
      </c>
      <c r="AS144" s="44">
        <f>RawData!AX142</f>
        <v>0</v>
      </c>
      <c r="AT144" s="43">
        <f>RawData!CY142</f>
        <v>0</v>
      </c>
      <c r="AU144" s="44">
        <f>RawData!AW142</f>
        <v>0</v>
      </c>
      <c r="AV144" s="46">
        <f>RawData!O142</f>
        <v>48000</v>
      </c>
      <c r="AW144" s="44">
        <f>RawData!AV142</f>
        <v>0</v>
      </c>
      <c r="AX144" s="44">
        <f>RawData!CW142</f>
        <v>0</v>
      </c>
      <c r="AY144" s="44">
        <f>RawData!AU142</f>
        <v>0</v>
      </c>
      <c r="AZ144" s="42">
        <f>RawData!CX142</f>
        <v>0</v>
      </c>
      <c r="BA144" s="44">
        <f>RawData!DF142</f>
        <v>0</v>
      </c>
      <c r="BB144" s="43" t="str">
        <f>RawData!DI142</f>
        <v>W</v>
      </c>
      <c r="BC144" s="44">
        <f>RawData!AT142</f>
        <v>0</v>
      </c>
      <c r="BD144" s="45">
        <f>RawData!AP142</f>
        <v>0</v>
      </c>
      <c r="BE144" s="44">
        <f>RawData!CS142</f>
        <v>0</v>
      </c>
      <c r="BF144" s="42">
        <f>RawData!CT142</f>
        <v>0</v>
      </c>
      <c r="BG144" s="41">
        <f>RawData!AS142</f>
        <v>0</v>
      </c>
      <c r="BH144" s="41">
        <f>RawData!CU142</f>
        <v>0</v>
      </c>
      <c r="BI144" s="41">
        <f>RawData!AR142</f>
        <v>0</v>
      </c>
      <c r="BJ144" s="42">
        <f>RawData!CV142</f>
        <v>0</v>
      </c>
      <c r="BK144" s="41">
        <f>RawData!AQ142</f>
        <v>0</v>
      </c>
      <c r="BL144" s="40">
        <f>RawData!AO142</f>
        <v>0</v>
      </c>
      <c r="BM144" s="40">
        <f>RawData!AN142</f>
        <v>0</v>
      </c>
      <c r="BN144" s="40">
        <f>RawData!AM142</f>
        <v>0</v>
      </c>
      <c r="BO144" s="40">
        <f>RawData!AL142</f>
        <v>0</v>
      </c>
      <c r="BP144" s="40">
        <f>RawData!AK142</f>
        <v>0</v>
      </c>
      <c r="BQ144" s="40">
        <f>RawData!AJ142</f>
        <v>0</v>
      </c>
      <c r="BR144" s="38">
        <f>RawData!AI142</f>
        <v>0</v>
      </c>
      <c r="BS144" s="38">
        <f>RawData!AH142</f>
        <v>0</v>
      </c>
      <c r="BT144" s="40">
        <f>RawData!AG142</f>
        <v>0</v>
      </c>
      <c r="BU144" s="39">
        <f>RawData!AF142</f>
        <v>0</v>
      </c>
      <c r="BV144" s="39">
        <f>RawData!AE142</f>
        <v>0</v>
      </c>
      <c r="BW144" s="38">
        <f>RawData!AD142</f>
        <v>0</v>
      </c>
      <c r="BX144" s="38">
        <f>RawData!AC142</f>
        <v>0</v>
      </c>
      <c r="BY144" s="37">
        <f>RawData!AB142</f>
        <v>0</v>
      </c>
      <c r="BZ144" s="37">
        <f>RawData!AA142</f>
        <v>0</v>
      </c>
      <c r="CA144" s="36">
        <f>RawData!Z142</f>
        <v>0</v>
      </c>
      <c r="CB144" s="36">
        <f>RawData!Y142</f>
        <v>0</v>
      </c>
      <c r="CC144" s="36">
        <f>RawData!X142</f>
        <v>0</v>
      </c>
      <c r="CD144" s="36">
        <f>RawData!W142</f>
        <v>0</v>
      </c>
      <c r="CE144" s="40">
        <f>RawData!V142</f>
        <v>0</v>
      </c>
      <c r="CF144" s="40">
        <f>RawData!U142</f>
        <v>0</v>
      </c>
      <c r="CG144" s="40">
        <f>RawData!T142</f>
        <v>0</v>
      </c>
      <c r="CH144" s="44">
        <f>RawData!S142</f>
        <v>0</v>
      </c>
      <c r="CI144" s="44">
        <f>RawData!R142</f>
        <v>0</v>
      </c>
      <c r="CJ144" s="44">
        <f>RawData!Q142</f>
        <v>0</v>
      </c>
      <c r="CK144" s="44">
        <f>RawData!P142</f>
        <v>0</v>
      </c>
      <c r="CL144" s="44">
        <f>RawData!CJ142</f>
        <v>0</v>
      </c>
      <c r="CM144" s="43">
        <f>RawData!CI142</f>
        <v>0</v>
      </c>
      <c r="CN144" s="44">
        <f>RawData!CL142</f>
        <v>0</v>
      </c>
      <c r="CO144" s="43">
        <f>RawData!CK142</f>
        <v>0</v>
      </c>
      <c r="CP144" s="44">
        <f>RawData!CM142</f>
        <v>0</v>
      </c>
      <c r="CQ144" s="47">
        <f>RawData!CO142</f>
        <v>44783.636701388888</v>
      </c>
      <c r="CR144" s="44">
        <f>RawData!CP142</f>
        <v>38295.69921875</v>
      </c>
      <c r="CS144" s="44">
        <f>RawData!DG142</f>
        <v>38295.69921875</v>
      </c>
      <c r="CT144" s="43" t="str">
        <f>RawData!DJ142</f>
        <v>G</v>
      </c>
      <c r="CU144" s="43" t="str">
        <f>RawData!CQ142</f>
        <v>FairPrice</v>
      </c>
      <c r="CV144" s="47">
        <f>RawData!CR142</f>
        <v>44783.638194444444</v>
      </c>
      <c r="CW144" s="65">
        <f>RawData!DK142</f>
        <v>38300</v>
      </c>
      <c r="CX144" s="65">
        <f>RawData!DL142</f>
        <v>3400000</v>
      </c>
      <c r="CY144" s="65">
        <f>RawData!DM142</f>
        <v>38500</v>
      </c>
      <c r="CZ144" s="65">
        <f>RawData!DN142</f>
        <v>0</v>
      </c>
      <c r="DA144" s="65">
        <f>RawData!DO142</f>
        <v>24500</v>
      </c>
      <c r="DB144" s="65">
        <f>RawData!DP142</f>
        <v>2863350</v>
      </c>
      <c r="DC144" s="65">
        <f>RawData!DQ142</f>
        <v>38000</v>
      </c>
      <c r="DD144" s="65">
        <f>RawData!DR142</f>
        <v>0</v>
      </c>
      <c r="DE144" s="65">
        <f>RawData!DS142</f>
        <v>24500</v>
      </c>
      <c r="DF144" s="65" t="str">
        <f>RawData!DT142</f>
        <v>BANKNIFTY</v>
      </c>
      <c r="DG144" s="66">
        <f>RawData!DU142</f>
        <v>44784</v>
      </c>
      <c r="DI144" s="21">
        <f t="shared" si="2"/>
        <v>9704.30078125</v>
      </c>
    </row>
    <row r="145" spans="1:113" x14ac:dyDescent="0.2">
      <c r="A145" s="59">
        <f>RawData!CN143</f>
        <v>0</v>
      </c>
      <c r="B145" s="44">
        <f>RawData!CH143</f>
        <v>0</v>
      </c>
      <c r="C145" s="44">
        <f>RawData!CG143</f>
        <v>0</v>
      </c>
      <c r="D145" s="43">
        <f>RawData!CF143</f>
        <v>0</v>
      </c>
      <c r="E145" s="44">
        <f>RawData!CE143</f>
        <v>0</v>
      </c>
      <c r="F145" s="43">
        <f>RawData!CD143</f>
        <v>0</v>
      </c>
      <c r="G145" s="44">
        <f>RawData!CC143</f>
        <v>0</v>
      </c>
      <c r="H145" s="44">
        <f>RawData!CB143</f>
        <v>0</v>
      </c>
      <c r="I145" s="44">
        <f>RawData!CA143</f>
        <v>0</v>
      </c>
      <c r="J145" s="44">
        <f>RawData!BZ143</f>
        <v>0</v>
      </c>
      <c r="K145" s="40">
        <f>RawData!BY143</f>
        <v>0</v>
      </c>
      <c r="L145" s="40">
        <f>RawData!BX143</f>
        <v>0</v>
      </c>
      <c r="M145" s="40">
        <f>RawData!BW143</f>
        <v>0</v>
      </c>
      <c r="N145" s="40">
        <f>RawData!BV143</f>
        <v>0</v>
      </c>
      <c r="O145" s="36">
        <f>RawData!BU143</f>
        <v>0</v>
      </c>
      <c r="P145" s="36">
        <f>RawData!BT143</f>
        <v>0</v>
      </c>
      <c r="Q145" s="36">
        <f>RawData!BS143</f>
        <v>0</v>
      </c>
      <c r="R145" s="36">
        <f>RawData!BR143</f>
        <v>0</v>
      </c>
      <c r="S145" s="37">
        <f>RawData!BQ143</f>
        <v>0</v>
      </c>
      <c r="T145" s="37">
        <f>RawData!BP143</f>
        <v>0</v>
      </c>
      <c r="U145" s="38">
        <f>RawData!BO143</f>
        <v>0</v>
      </c>
      <c r="V145" s="38">
        <f>RawData!BN143</f>
        <v>0</v>
      </c>
      <c r="W145" s="39">
        <f>RawData!BM143</f>
        <v>0</v>
      </c>
      <c r="X145" s="39">
        <f>RawData!BL143</f>
        <v>0</v>
      </c>
      <c r="Y145" s="38">
        <f>RawData!BJ143</f>
        <v>0</v>
      </c>
      <c r="Z145" s="38">
        <f>RawData!BI143</f>
        <v>0</v>
      </c>
      <c r="AA145" s="40">
        <f>RawData!BH143</f>
        <v>0</v>
      </c>
      <c r="AB145" s="40">
        <f>RawData!BG143</f>
        <v>0</v>
      </c>
      <c r="AC145" s="40">
        <f>RawData!BF143</f>
        <v>0</v>
      </c>
      <c r="AD145" s="40">
        <f>RawData!BE143</f>
        <v>0</v>
      </c>
      <c r="AE145" s="40">
        <f>RawData!BD143</f>
        <v>0</v>
      </c>
      <c r="AF145" s="40">
        <f>RawData!BC143</f>
        <v>0</v>
      </c>
      <c r="AG145" s="41">
        <f>RawData!BB143</f>
        <v>0</v>
      </c>
      <c r="AH145" s="42">
        <f>RawData!DB143</f>
        <v>0</v>
      </c>
      <c r="AI145" s="41">
        <f>RawData!BA143</f>
        <v>0</v>
      </c>
      <c r="AJ145" s="43">
        <f>RawData!DA143</f>
        <v>0</v>
      </c>
      <c r="AK145" s="41">
        <f>RawData!AZ143</f>
        <v>0</v>
      </c>
      <c r="AL145" s="42">
        <f>RawData!DD143</f>
        <v>0</v>
      </c>
      <c r="AM145" s="44">
        <f>RawData!DC143</f>
        <v>0</v>
      </c>
      <c r="AN145" s="45">
        <f>RawData!BK143</f>
        <v>0</v>
      </c>
      <c r="AO145" s="44">
        <f>RawData!AY143</f>
        <v>0</v>
      </c>
      <c r="AP145" s="43">
        <f>RawData!DH143</f>
        <v>0</v>
      </c>
      <c r="AQ145" s="43">
        <f>RawData!DE143</f>
        <v>0</v>
      </c>
      <c r="AR145" s="42">
        <f>RawData!CZ143</f>
        <v>0</v>
      </c>
      <c r="AS145" s="44">
        <f>RawData!AX143</f>
        <v>0</v>
      </c>
      <c r="AT145" s="43">
        <f>RawData!CY143</f>
        <v>0</v>
      </c>
      <c r="AU145" s="44">
        <f>RawData!AW143</f>
        <v>0</v>
      </c>
      <c r="AV145" s="46">
        <f>RawData!O143</f>
        <v>0</v>
      </c>
      <c r="AW145" s="44">
        <f>RawData!AV143</f>
        <v>0</v>
      </c>
      <c r="AX145" s="44">
        <f>RawData!CW143</f>
        <v>0</v>
      </c>
      <c r="AY145" s="44">
        <f>RawData!AU143</f>
        <v>0</v>
      </c>
      <c r="AZ145" s="42">
        <f>RawData!CX143</f>
        <v>0</v>
      </c>
      <c r="BA145" s="44">
        <f>RawData!DF143</f>
        <v>0</v>
      </c>
      <c r="BB145" s="43">
        <f>RawData!DI143</f>
        <v>0</v>
      </c>
      <c r="BC145" s="44">
        <f>RawData!AT143</f>
        <v>0</v>
      </c>
      <c r="BD145" s="45">
        <f>RawData!AP143</f>
        <v>0</v>
      </c>
      <c r="BE145" s="44">
        <f>RawData!CS143</f>
        <v>0</v>
      </c>
      <c r="BF145" s="42">
        <f>RawData!CT143</f>
        <v>0</v>
      </c>
      <c r="BG145" s="41">
        <f>RawData!AS143</f>
        <v>0</v>
      </c>
      <c r="BH145" s="41">
        <f>RawData!CU143</f>
        <v>0</v>
      </c>
      <c r="BI145" s="41">
        <f>RawData!AR143</f>
        <v>0</v>
      </c>
      <c r="BJ145" s="42">
        <f>RawData!CV143</f>
        <v>0</v>
      </c>
      <c r="BK145" s="41">
        <f>RawData!AQ143</f>
        <v>0</v>
      </c>
      <c r="BL145" s="40">
        <f>RawData!AO143</f>
        <v>0</v>
      </c>
      <c r="BM145" s="40">
        <f>RawData!AN143</f>
        <v>0</v>
      </c>
      <c r="BN145" s="40">
        <f>RawData!AM143</f>
        <v>0</v>
      </c>
      <c r="BO145" s="40">
        <f>RawData!AL143</f>
        <v>0</v>
      </c>
      <c r="BP145" s="40">
        <f>RawData!AK143</f>
        <v>0</v>
      </c>
      <c r="BQ145" s="40">
        <f>RawData!AJ143</f>
        <v>0</v>
      </c>
      <c r="BR145" s="38">
        <f>RawData!AI143</f>
        <v>0</v>
      </c>
      <c r="BS145" s="38">
        <f>RawData!AH143</f>
        <v>0</v>
      </c>
      <c r="BT145" s="40">
        <f>RawData!AG143</f>
        <v>0</v>
      </c>
      <c r="BU145" s="39">
        <f>RawData!AF143</f>
        <v>0</v>
      </c>
      <c r="BV145" s="39">
        <f>RawData!AE143</f>
        <v>0</v>
      </c>
      <c r="BW145" s="38">
        <f>RawData!AD143</f>
        <v>0</v>
      </c>
      <c r="BX145" s="38">
        <f>RawData!AC143</f>
        <v>0</v>
      </c>
      <c r="BY145" s="37">
        <f>RawData!AB143</f>
        <v>0</v>
      </c>
      <c r="BZ145" s="37">
        <f>RawData!AA143</f>
        <v>0</v>
      </c>
      <c r="CA145" s="36">
        <f>RawData!Z143</f>
        <v>0</v>
      </c>
      <c r="CB145" s="36">
        <f>RawData!Y143</f>
        <v>0</v>
      </c>
      <c r="CC145" s="36">
        <f>RawData!X143</f>
        <v>0</v>
      </c>
      <c r="CD145" s="36">
        <f>RawData!W143</f>
        <v>0</v>
      </c>
      <c r="CE145" s="40">
        <f>RawData!V143</f>
        <v>0</v>
      </c>
      <c r="CF145" s="40">
        <f>RawData!U143</f>
        <v>0</v>
      </c>
      <c r="CG145" s="40">
        <f>RawData!T143</f>
        <v>0</v>
      </c>
      <c r="CH145" s="44">
        <f>RawData!S143</f>
        <v>0</v>
      </c>
      <c r="CI145" s="44">
        <f>RawData!R143</f>
        <v>0</v>
      </c>
      <c r="CJ145" s="44">
        <f>RawData!Q143</f>
        <v>0</v>
      </c>
      <c r="CK145" s="44">
        <f>RawData!P143</f>
        <v>0</v>
      </c>
      <c r="CL145" s="44">
        <f>RawData!CJ143</f>
        <v>0</v>
      </c>
      <c r="CM145" s="43">
        <f>RawData!CI143</f>
        <v>0</v>
      </c>
      <c r="CN145" s="44">
        <f>RawData!CL143</f>
        <v>0</v>
      </c>
      <c r="CO145" s="43">
        <f>RawData!CK143</f>
        <v>0</v>
      </c>
      <c r="CP145" s="44">
        <f>RawData!CM143</f>
        <v>0</v>
      </c>
      <c r="CQ145" s="47">
        <f>RawData!CO143</f>
        <v>0</v>
      </c>
      <c r="CR145" s="44">
        <f>RawData!CP143</f>
        <v>0</v>
      </c>
      <c r="CS145" s="44">
        <f>RawData!DG143</f>
        <v>0</v>
      </c>
      <c r="CT145" s="43">
        <f>RawData!DJ143</f>
        <v>0</v>
      </c>
      <c r="CU145" s="43">
        <f>RawData!CQ143</f>
        <v>0</v>
      </c>
      <c r="CV145" s="47">
        <f>RawData!CR143</f>
        <v>0</v>
      </c>
      <c r="CW145" s="65">
        <f>RawData!DK143</f>
        <v>0</v>
      </c>
      <c r="CX145" s="65">
        <f>RawData!DL143</f>
        <v>0</v>
      </c>
      <c r="CY145" s="65">
        <f>RawData!DM143</f>
        <v>0</v>
      </c>
      <c r="CZ145" s="65">
        <f>RawData!DN143</f>
        <v>0</v>
      </c>
      <c r="DA145" s="65">
        <f>RawData!DO143</f>
        <v>0</v>
      </c>
      <c r="DB145" s="65">
        <f>RawData!DP143</f>
        <v>0</v>
      </c>
      <c r="DC145" s="65">
        <f>RawData!DQ143</f>
        <v>0</v>
      </c>
      <c r="DD145" s="65">
        <f>RawData!DR143</f>
        <v>0</v>
      </c>
      <c r="DE145" s="65">
        <f>RawData!DS143</f>
        <v>0</v>
      </c>
      <c r="DF145" s="65">
        <f>RawData!DT143</f>
        <v>0</v>
      </c>
      <c r="DG145" s="66">
        <f>RawData!DU143</f>
        <v>0</v>
      </c>
      <c r="DI145" s="21">
        <f t="shared" si="2"/>
        <v>0</v>
      </c>
    </row>
    <row r="146" spans="1:113" x14ac:dyDescent="0.2">
      <c r="A146" s="59">
        <f>RawData!CN144</f>
        <v>0</v>
      </c>
      <c r="B146" s="44">
        <f>RawData!CH144</f>
        <v>0</v>
      </c>
      <c r="C146" s="44">
        <f>RawData!CG144</f>
        <v>0</v>
      </c>
      <c r="D146" s="43">
        <f>RawData!CF144</f>
        <v>0</v>
      </c>
      <c r="E146" s="44">
        <f>RawData!CE144</f>
        <v>0</v>
      </c>
      <c r="F146" s="43">
        <f>RawData!CD144</f>
        <v>0</v>
      </c>
      <c r="G146" s="44">
        <f>RawData!CC144</f>
        <v>0</v>
      </c>
      <c r="H146" s="44">
        <f>RawData!CB144</f>
        <v>0</v>
      </c>
      <c r="I146" s="44">
        <f>RawData!CA144</f>
        <v>0</v>
      </c>
      <c r="J146" s="44">
        <f>RawData!BZ144</f>
        <v>0</v>
      </c>
      <c r="K146" s="40">
        <f>RawData!BY144</f>
        <v>0</v>
      </c>
      <c r="L146" s="40">
        <f>RawData!BX144</f>
        <v>0</v>
      </c>
      <c r="M146" s="40">
        <f>RawData!BW144</f>
        <v>0</v>
      </c>
      <c r="N146" s="40">
        <f>RawData!BV144</f>
        <v>0</v>
      </c>
      <c r="O146" s="36">
        <f>RawData!BU144</f>
        <v>0</v>
      </c>
      <c r="P146" s="36">
        <f>RawData!BT144</f>
        <v>0</v>
      </c>
      <c r="Q146" s="36">
        <f>RawData!BS144</f>
        <v>0</v>
      </c>
      <c r="R146" s="36">
        <f>RawData!BR144</f>
        <v>0</v>
      </c>
      <c r="S146" s="37">
        <f>RawData!BQ144</f>
        <v>0</v>
      </c>
      <c r="T146" s="37">
        <f>RawData!BP144</f>
        <v>0</v>
      </c>
      <c r="U146" s="38">
        <f>RawData!BO144</f>
        <v>0</v>
      </c>
      <c r="V146" s="38">
        <f>RawData!BN144</f>
        <v>0</v>
      </c>
      <c r="W146" s="39">
        <f>RawData!BM144</f>
        <v>0</v>
      </c>
      <c r="X146" s="39">
        <f>RawData!BL144</f>
        <v>0</v>
      </c>
      <c r="Y146" s="38">
        <f>RawData!BJ144</f>
        <v>0</v>
      </c>
      <c r="Z146" s="38">
        <f>RawData!BI144</f>
        <v>0</v>
      </c>
      <c r="AA146" s="40">
        <f>RawData!BH144</f>
        <v>0</v>
      </c>
      <c r="AB146" s="40">
        <f>RawData!BG144</f>
        <v>0</v>
      </c>
      <c r="AC146" s="40">
        <f>RawData!BF144</f>
        <v>0</v>
      </c>
      <c r="AD146" s="40">
        <f>RawData!BE144</f>
        <v>0</v>
      </c>
      <c r="AE146" s="40">
        <f>RawData!BD144</f>
        <v>0</v>
      </c>
      <c r="AF146" s="40">
        <f>RawData!BC144</f>
        <v>0</v>
      </c>
      <c r="AG146" s="41">
        <f>RawData!BB144</f>
        <v>0</v>
      </c>
      <c r="AH146" s="42">
        <f>RawData!DB144</f>
        <v>0</v>
      </c>
      <c r="AI146" s="41">
        <f>RawData!BA144</f>
        <v>0</v>
      </c>
      <c r="AJ146" s="43">
        <f>RawData!DA144</f>
        <v>0</v>
      </c>
      <c r="AK146" s="41">
        <f>RawData!AZ144</f>
        <v>0</v>
      </c>
      <c r="AL146" s="42">
        <f>RawData!DD144</f>
        <v>0</v>
      </c>
      <c r="AM146" s="44">
        <f>RawData!DC144</f>
        <v>0</v>
      </c>
      <c r="AN146" s="45">
        <f>RawData!BK144</f>
        <v>0</v>
      </c>
      <c r="AO146" s="44">
        <f>RawData!AY144</f>
        <v>0</v>
      </c>
      <c r="AP146" s="43">
        <f>RawData!DH144</f>
        <v>0</v>
      </c>
      <c r="AQ146" s="43">
        <f>RawData!DE144</f>
        <v>0</v>
      </c>
      <c r="AR146" s="42">
        <f>RawData!CZ144</f>
        <v>0</v>
      </c>
      <c r="AS146" s="44">
        <f>RawData!AX144</f>
        <v>0</v>
      </c>
      <c r="AT146" s="43">
        <f>RawData!CY144</f>
        <v>0</v>
      </c>
      <c r="AU146" s="44">
        <f>RawData!AW144</f>
        <v>0</v>
      </c>
      <c r="AV146" s="46">
        <f>RawData!O144</f>
        <v>0</v>
      </c>
      <c r="AW146" s="44">
        <f>RawData!AV144</f>
        <v>0</v>
      </c>
      <c r="AX146" s="44">
        <f>RawData!CW144</f>
        <v>0</v>
      </c>
      <c r="AY146" s="44">
        <f>RawData!AU144</f>
        <v>0</v>
      </c>
      <c r="AZ146" s="42">
        <f>RawData!CX144</f>
        <v>0</v>
      </c>
      <c r="BA146" s="44">
        <f>RawData!DF144</f>
        <v>0</v>
      </c>
      <c r="BB146" s="43">
        <f>RawData!DI144</f>
        <v>0</v>
      </c>
      <c r="BC146" s="44">
        <f>RawData!AT144</f>
        <v>0</v>
      </c>
      <c r="BD146" s="45">
        <f>RawData!AP144</f>
        <v>0</v>
      </c>
      <c r="BE146" s="44">
        <f>RawData!CS144</f>
        <v>0</v>
      </c>
      <c r="BF146" s="42">
        <f>RawData!CT144</f>
        <v>0</v>
      </c>
      <c r="BG146" s="41">
        <f>RawData!AS144</f>
        <v>0</v>
      </c>
      <c r="BH146" s="41">
        <f>RawData!CU144</f>
        <v>0</v>
      </c>
      <c r="BI146" s="41">
        <f>RawData!AR144</f>
        <v>0</v>
      </c>
      <c r="BJ146" s="42">
        <f>RawData!CV144</f>
        <v>0</v>
      </c>
      <c r="BK146" s="41">
        <f>RawData!AQ144</f>
        <v>0</v>
      </c>
      <c r="BL146" s="40">
        <f>RawData!AO144</f>
        <v>0</v>
      </c>
      <c r="BM146" s="40">
        <f>RawData!AN144</f>
        <v>0</v>
      </c>
      <c r="BN146" s="40">
        <f>RawData!AM144</f>
        <v>0</v>
      </c>
      <c r="BO146" s="40">
        <f>RawData!AL144</f>
        <v>0</v>
      </c>
      <c r="BP146" s="40">
        <f>RawData!AK144</f>
        <v>0</v>
      </c>
      <c r="BQ146" s="40">
        <f>RawData!AJ144</f>
        <v>0</v>
      </c>
      <c r="BR146" s="38">
        <f>RawData!AI144</f>
        <v>0</v>
      </c>
      <c r="BS146" s="38">
        <f>RawData!AH144</f>
        <v>0</v>
      </c>
      <c r="BT146" s="40">
        <f>RawData!AG144</f>
        <v>0</v>
      </c>
      <c r="BU146" s="39">
        <f>RawData!AF144</f>
        <v>0</v>
      </c>
      <c r="BV146" s="39">
        <f>RawData!AE144</f>
        <v>0</v>
      </c>
      <c r="BW146" s="38">
        <f>RawData!AD144</f>
        <v>0</v>
      </c>
      <c r="BX146" s="38">
        <f>RawData!AC144</f>
        <v>0</v>
      </c>
      <c r="BY146" s="37">
        <f>RawData!AB144</f>
        <v>0</v>
      </c>
      <c r="BZ146" s="37">
        <f>RawData!AA144</f>
        <v>0</v>
      </c>
      <c r="CA146" s="36">
        <f>RawData!Z144</f>
        <v>0</v>
      </c>
      <c r="CB146" s="36">
        <f>RawData!Y144</f>
        <v>0</v>
      </c>
      <c r="CC146" s="36">
        <f>RawData!X144</f>
        <v>0</v>
      </c>
      <c r="CD146" s="36">
        <f>RawData!W144</f>
        <v>0</v>
      </c>
      <c r="CE146" s="40">
        <f>RawData!V144</f>
        <v>0</v>
      </c>
      <c r="CF146" s="40">
        <f>RawData!U144</f>
        <v>0</v>
      </c>
      <c r="CG146" s="40">
        <f>RawData!T144</f>
        <v>0</v>
      </c>
      <c r="CH146" s="44">
        <f>RawData!S144</f>
        <v>0</v>
      </c>
      <c r="CI146" s="44">
        <f>RawData!R144</f>
        <v>0</v>
      </c>
      <c r="CJ146" s="44">
        <f>RawData!Q144</f>
        <v>0</v>
      </c>
      <c r="CK146" s="44">
        <f>RawData!P144</f>
        <v>0</v>
      </c>
      <c r="CL146" s="44">
        <f>RawData!CJ144</f>
        <v>0</v>
      </c>
      <c r="CM146" s="43">
        <f>RawData!CI144</f>
        <v>0</v>
      </c>
      <c r="CN146" s="44">
        <f>RawData!CL144</f>
        <v>0</v>
      </c>
      <c r="CO146" s="43">
        <f>RawData!CK144</f>
        <v>0</v>
      </c>
      <c r="CP146" s="44">
        <f>RawData!CM144</f>
        <v>0</v>
      </c>
      <c r="CQ146" s="47">
        <f>RawData!CO144</f>
        <v>0</v>
      </c>
      <c r="CR146" s="44">
        <f>RawData!CP144</f>
        <v>0</v>
      </c>
      <c r="CS146" s="44">
        <f>RawData!DG144</f>
        <v>0</v>
      </c>
      <c r="CT146" s="43">
        <f>RawData!DJ144</f>
        <v>0</v>
      </c>
      <c r="CU146" s="43">
        <f>RawData!CQ144</f>
        <v>0</v>
      </c>
      <c r="CV146" s="47">
        <f>RawData!CR144</f>
        <v>0</v>
      </c>
      <c r="CW146" s="65">
        <f>RawData!DK144</f>
        <v>0</v>
      </c>
      <c r="CX146" s="65">
        <f>RawData!DL144</f>
        <v>0</v>
      </c>
      <c r="CY146" s="65">
        <f>RawData!DM144</f>
        <v>0</v>
      </c>
      <c r="CZ146" s="65">
        <f>RawData!DN144</f>
        <v>0</v>
      </c>
      <c r="DA146" s="65">
        <f>RawData!DO144</f>
        <v>0</v>
      </c>
      <c r="DB146" s="65">
        <f>RawData!DP144</f>
        <v>0</v>
      </c>
      <c r="DC146" s="65">
        <f>RawData!DQ144</f>
        <v>0</v>
      </c>
      <c r="DD146" s="65">
        <f>RawData!DR144</f>
        <v>0</v>
      </c>
      <c r="DE146" s="65">
        <f>RawData!DS144</f>
        <v>0</v>
      </c>
      <c r="DF146" s="65">
        <f>RawData!DT144</f>
        <v>0</v>
      </c>
      <c r="DG146" s="66">
        <f>RawData!DU144</f>
        <v>0</v>
      </c>
      <c r="DI146" s="21">
        <f t="shared" si="2"/>
        <v>0</v>
      </c>
    </row>
    <row r="147" spans="1:113" x14ac:dyDescent="0.2">
      <c r="A147" s="59">
        <f>RawData!CN145</f>
        <v>0</v>
      </c>
      <c r="B147" s="44">
        <f>RawData!CH145</f>
        <v>0</v>
      </c>
      <c r="C147" s="44">
        <f>RawData!CG145</f>
        <v>0</v>
      </c>
      <c r="D147" s="43">
        <f>RawData!CF145</f>
        <v>0</v>
      </c>
      <c r="E147" s="44">
        <f>RawData!CE145</f>
        <v>0</v>
      </c>
      <c r="F147" s="43">
        <f>RawData!CD145</f>
        <v>0</v>
      </c>
      <c r="G147" s="44">
        <f>RawData!CC145</f>
        <v>0</v>
      </c>
      <c r="H147" s="44">
        <f>RawData!CB145</f>
        <v>0</v>
      </c>
      <c r="I147" s="44">
        <f>RawData!CA145</f>
        <v>0</v>
      </c>
      <c r="J147" s="44">
        <f>RawData!BZ145</f>
        <v>0</v>
      </c>
      <c r="K147" s="40">
        <f>RawData!BY145</f>
        <v>0</v>
      </c>
      <c r="L147" s="40">
        <f>RawData!BX145</f>
        <v>0</v>
      </c>
      <c r="M147" s="40">
        <f>RawData!BW145</f>
        <v>0</v>
      </c>
      <c r="N147" s="40">
        <f>RawData!BV145</f>
        <v>0</v>
      </c>
      <c r="O147" s="36">
        <f>RawData!BU145</f>
        <v>0</v>
      </c>
      <c r="P147" s="36">
        <f>RawData!BT145</f>
        <v>0</v>
      </c>
      <c r="Q147" s="36">
        <f>RawData!BS145</f>
        <v>0</v>
      </c>
      <c r="R147" s="36">
        <f>RawData!BR145</f>
        <v>0</v>
      </c>
      <c r="S147" s="37">
        <f>RawData!BQ145</f>
        <v>0</v>
      </c>
      <c r="T147" s="37">
        <f>RawData!BP145</f>
        <v>0</v>
      </c>
      <c r="U147" s="38">
        <f>RawData!BO145</f>
        <v>0</v>
      </c>
      <c r="V147" s="38">
        <f>RawData!BN145</f>
        <v>0</v>
      </c>
      <c r="W147" s="39">
        <f>RawData!BM145</f>
        <v>0</v>
      </c>
      <c r="X147" s="39">
        <f>RawData!BL145</f>
        <v>0</v>
      </c>
      <c r="Y147" s="38">
        <f>RawData!BJ145</f>
        <v>0</v>
      </c>
      <c r="Z147" s="38">
        <f>RawData!BI145</f>
        <v>0</v>
      </c>
      <c r="AA147" s="40">
        <f>RawData!BH145</f>
        <v>0</v>
      </c>
      <c r="AB147" s="40">
        <f>RawData!BG145</f>
        <v>0</v>
      </c>
      <c r="AC147" s="40">
        <f>RawData!BF145</f>
        <v>0</v>
      </c>
      <c r="AD147" s="40">
        <f>RawData!BE145</f>
        <v>0</v>
      </c>
      <c r="AE147" s="40">
        <f>RawData!BD145</f>
        <v>0</v>
      </c>
      <c r="AF147" s="40">
        <f>RawData!BC145</f>
        <v>0</v>
      </c>
      <c r="AG147" s="41">
        <f>RawData!BB145</f>
        <v>0</v>
      </c>
      <c r="AH147" s="42">
        <f>RawData!DB145</f>
        <v>0</v>
      </c>
      <c r="AI147" s="41">
        <f>RawData!BA145</f>
        <v>0</v>
      </c>
      <c r="AJ147" s="43">
        <f>RawData!DA145</f>
        <v>0</v>
      </c>
      <c r="AK147" s="41">
        <f>RawData!AZ145</f>
        <v>0</v>
      </c>
      <c r="AL147" s="42">
        <f>RawData!DD145</f>
        <v>0</v>
      </c>
      <c r="AM147" s="44">
        <f>RawData!DC145</f>
        <v>0</v>
      </c>
      <c r="AN147" s="45">
        <f>RawData!BK145</f>
        <v>0</v>
      </c>
      <c r="AO147" s="44">
        <f>RawData!AY145</f>
        <v>0</v>
      </c>
      <c r="AP147" s="43">
        <f>RawData!DH145</f>
        <v>0</v>
      </c>
      <c r="AQ147" s="43">
        <f>RawData!DE145</f>
        <v>0</v>
      </c>
      <c r="AR147" s="42">
        <f>RawData!CZ145</f>
        <v>0</v>
      </c>
      <c r="AS147" s="44">
        <f>RawData!AX145</f>
        <v>0</v>
      </c>
      <c r="AT147" s="43">
        <f>RawData!CY145</f>
        <v>0</v>
      </c>
      <c r="AU147" s="44">
        <f>RawData!AW145</f>
        <v>0</v>
      </c>
      <c r="AV147" s="46">
        <f>RawData!O145</f>
        <v>0</v>
      </c>
      <c r="AW147" s="44">
        <f>RawData!AV145</f>
        <v>0</v>
      </c>
      <c r="AX147" s="44">
        <f>RawData!CW145</f>
        <v>0</v>
      </c>
      <c r="AY147" s="44">
        <f>RawData!AU145</f>
        <v>0</v>
      </c>
      <c r="AZ147" s="42">
        <f>RawData!CX145</f>
        <v>0</v>
      </c>
      <c r="BA147" s="44">
        <f>RawData!DF145</f>
        <v>0</v>
      </c>
      <c r="BB147" s="43">
        <f>RawData!DI145</f>
        <v>0</v>
      </c>
      <c r="BC147" s="44">
        <f>RawData!AT145</f>
        <v>0</v>
      </c>
      <c r="BD147" s="45">
        <f>RawData!AP145</f>
        <v>0</v>
      </c>
      <c r="BE147" s="44">
        <f>RawData!CS145</f>
        <v>0</v>
      </c>
      <c r="BF147" s="42">
        <f>RawData!CT145</f>
        <v>0</v>
      </c>
      <c r="BG147" s="41">
        <f>RawData!AS145</f>
        <v>0</v>
      </c>
      <c r="BH147" s="41">
        <f>RawData!CU145</f>
        <v>0</v>
      </c>
      <c r="BI147" s="41">
        <f>RawData!AR145</f>
        <v>0</v>
      </c>
      <c r="BJ147" s="42">
        <f>RawData!CV145</f>
        <v>0</v>
      </c>
      <c r="BK147" s="41">
        <f>RawData!AQ145</f>
        <v>0</v>
      </c>
      <c r="BL147" s="40">
        <f>RawData!AO145</f>
        <v>0</v>
      </c>
      <c r="BM147" s="40">
        <f>RawData!AN145</f>
        <v>0</v>
      </c>
      <c r="BN147" s="40">
        <f>RawData!AM145</f>
        <v>0</v>
      </c>
      <c r="BO147" s="40">
        <f>RawData!AL145</f>
        <v>0</v>
      </c>
      <c r="BP147" s="40">
        <f>RawData!AK145</f>
        <v>0</v>
      </c>
      <c r="BQ147" s="40">
        <f>RawData!AJ145</f>
        <v>0</v>
      </c>
      <c r="BR147" s="38">
        <f>RawData!AI145</f>
        <v>0</v>
      </c>
      <c r="BS147" s="38">
        <f>RawData!AH145</f>
        <v>0</v>
      </c>
      <c r="BT147" s="40">
        <f>RawData!AG145</f>
        <v>0</v>
      </c>
      <c r="BU147" s="39">
        <f>RawData!AF145</f>
        <v>0</v>
      </c>
      <c r="BV147" s="39">
        <f>RawData!AE145</f>
        <v>0</v>
      </c>
      <c r="BW147" s="38">
        <f>RawData!AD145</f>
        <v>0</v>
      </c>
      <c r="BX147" s="38">
        <f>RawData!AC145</f>
        <v>0</v>
      </c>
      <c r="BY147" s="37">
        <f>RawData!AB145</f>
        <v>0</v>
      </c>
      <c r="BZ147" s="37">
        <f>RawData!AA145</f>
        <v>0</v>
      </c>
      <c r="CA147" s="36">
        <f>RawData!Z145</f>
        <v>0</v>
      </c>
      <c r="CB147" s="36">
        <f>RawData!Y145</f>
        <v>0</v>
      </c>
      <c r="CC147" s="36">
        <f>RawData!X145</f>
        <v>0</v>
      </c>
      <c r="CD147" s="36">
        <f>RawData!W145</f>
        <v>0</v>
      </c>
      <c r="CE147" s="40">
        <f>RawData!V145</f>
        <v>0</v>
      </c>
      <c r="CF147" s="40">
        <f>RawData!U145</f>
        <v>0</v>
      </c>
      <c r="CG147" s="40">
        <f>RawData!T145</f>
        <v>0</v>
      </c>
      <c r="CH147" s="44">
        <f>RawData!S145</f>
        <v>0</v>
      </c>
      <c r="CI147" s="44">
        <f>RawData!R145</f>
        <v>0</v>
      </c>
      <c r="CJ147" s="44">
        <f>RawData!Q145</f>
        <v>0</v>
      </c>
      <c r="CK147" s="44">
        <f>RawData!P145</f>
        <v>0</v>
      </c>
      <c r="CL147" s="44">
        <f>RawData!CJ145</f>
        <v>0</v>
      </c>
      <c r="CM147" s="43">
        <f>RawData!CI145</f>
        <v>0</v>
      </c>
      <c r="CN147" s="44">
        <f>RawData!CL145</f>
        <v>0</v>
      </c>
      <c r="CO147" s="43">
        <f>RawData!CK145</f>
        <v>0</v>
      </c>
      <c r="CP147" s="44">
        <f>RawData!CM145</f>
        <v>0</v>
      </c>
      <c r="CQ147" s="47">
        <f>RawData!CO145</f>
        <v>0</v>
      </c>
      <c r="CR147" s="44">
        <f>RawData!CP145</f>
        <v>0</v>
      </c>
      <c r="CS147" s="44">
        <f>RawData!DG145</f>
        <v>0</v>
      </c>
      <c r="CT147" s="43">
        <f>RawData!DJ145</f>
        <v>0</v>
      </c>
      <c r="CU147" s="43">
        <f>RawData!CQ145</f>
        <v>0</v>
      </c>
      <c r="CV147" s="47">
        <f>RawData!CR145</f>
        <v>0</v>
      </c>
      <c r="CW147" s="65">
        <f>RawData!DK145</f>
        <v>0</v>
      </c>
      <c r="CX147" s="65">
        <f>RawData!DL145</f>
        <v>0</v>
      </c>
      <c r="CY147" s="65">
        <f>RawData!DM145</f>
        <v>0</v>
      </c>
      <c r="CZ147" s="65">
        <f>RawData!DN145</f>
        <v>0</v>
      </c>
      <c r="DA147" s="65">
        <f>RawData!DO145</f>
        <v>0</v>
      </c>
      <c r="DB147" s="65">
        <f>RawData!DP145</f>
        <v>0</v>
      </c>
      <c r="DC147" s="65">
        <f>RawData!DQ145</f>
        <v>0</v>
      </c>
      <c r="DD147" s="65">
        <f>RawData!DR145</f>
        <v>0</v>
      </c>
      <c r="DE147" s="65">
        <f>RawData!DS145</f>
        <v>0</v>
      </c>
      <c r="DF147" s="65">
        <f>RawData!DT145</f>
        <v>0</v>
      </c>
      <c r="DG147" s="66">
        <f>RawData!DU145</f>
        <v>0</v>
      </c>
      <c r="DI147" s="21">
        <f t="shared" si="2"/>
        <v>0</v>
      </c>
    </row>
    <row r="148" spans="1:113" x14ac:dyDescent="0.2">
      <c r="A148" s="59">
        <f>RawData!CN146</f>
        <v>0</v>
      </c>
      <c r="B148" s="44">
        <f>RawData!CH146</f>
        <v>0</v>
      </c>
      <c r="C148" s="44">
        <f>RawData!CG146</f>
        <v>0</v>
      </c>
      <c r="D148" s="43">
        <f>RawData!CF146</f>
        <v>0</v>
      </c>
      <c r="E148" s="44">
        <f>RawData!CE146</f>
        <v>0</v>
      </c>
      <c r="F148" s="43">
        <f>RawData!CD146</f>
        <v>0</v>
      </c>
      <c r="G148" s="44">
        <f>RawData!CC146</f>
        <v>0</v>
      </c>
      <c r="H148" s="44">
        <f>RawData!CB146</f>
        <v>0</v>
      </c>
      <c r="I148" s="44">
        <f>RawData!CA146</f>
        <v>0</v>
      </c>
      <c r="J148" s="44">
        <f>RawData!BZ146</f>
        <v>0</v>
      </c>
      <c r="K148" s="40">
        <f>RawData!BY146</f>
        <v>0</v>
      </c>
      <c r="L148" s="40">
        <f>RawData!BX146</f>
        <v>0</v>
      </c>
      <c r="M148" s="40">
        <f>RawData!BW146</f>
        <v>0</v>
      </c>
      <c r="N148" s="40">
        <f>RawData!BV146</f>
        <v>0</v>
      </c>
      <c r="O148" s="36">
        <f>RawData!BU146</f>
        <v>0</v>
      </c>
      <c r="P148" s="36">
        <f>RawData!BT146</f>
        <v>0</v>
      </c>
      <c r="Q148" s="36">
        <f>RawData!BS146</f>
        <v>0</v>
      </c>
      <c r="R148" s="36">
        <f>RawData!BR146</f>
        <v>0</v>
      </c>
      <c r="S148" s="37">
        <f>RawData!BQ146</f>
        <v>0</v>
      </c>
      <c r="T148" s="37">
        <f>RawData!BP146</f>
        <v>0</v>
      </c>
      <c r="U148" s="38">
        <f>RawData!BO146</f>
        <v>0</v>
      </c>
      <c r="V148" s="38">
        <f>RawData!BN146</f>
        <v>0</v>
      </c>
      <c r="W148" s="39">
        <f>RawData!BM146</f>
        <v>0</v>
      </c>
      <c r="X148" s="39">
        <f>RawData!BL146</f>
        <v>0</v>
      </c>
      <c r="Y148" s="38">
        <f>RawData!BJ146</f>
        <v>0</v>
      </c>
      <c r="Z148" s="38">
        <f>RawData!BI146</f>
        <v>0</v>
      </c>
      <c r="AA148" s="40">
        <f>RawData!BH146</f>
        <v>0</v>
      </c>
      <c r="AB148" s="40">
        <f>RawData!BG146</f>
        <v>0</v>
      </c>
      <c r="AC148" s="40">
        <f>RawData!BF146</f>
        <v>0</v>
      </c>
      <c r="AD148" s="40">
        <f>RawData!BE146</f>
        <v>0</v>
      </c>
      <c r="AE148" s="40">
        <f>RawData!BD146</f>
        <v>0</v>
      </c>
      <c r="AF148" s="40">
        <f>RawData!BC146</f>
        <v>0</v>
      </c>
      <c r="AG148" s="41">
        <f>RawData!BB146</f>
        <v>0</v>
      </c>
      <c r="AH148" s="42">
        <f>RawData!DB146</f>
        <v>0</v>
      </c>
      <c r="AI148" s="41">
        <f>RawData!BA146</f>
        <v>0</v>
      </c>
      <c r="AJ148" s="43">
        <f>RawData!DA146</f>
        <v>0</v>
      </c>
      <c r="AK148" s="41">
        <f>RawData!AZ146</f>
        <v>0</v>
      </c>
      <c r="AL148" s="42">
        <f>RawData!DD146</f>
        <v>0</v>
      </c>
      <c r="AM148" s="44">
        <f>RawData!DC146</f>
        <v>0</v>
      </c>
      <c r="AN148" s="45">
        <f>RawData!BK146</f>
        <v>0</v>
      </c>
      <c r="AO148" s="44">
        <f>RawData!AY146</f>
        <v>0</v>
      </c>
      <c r="AP148" s="43">
        <f>RawData!DH146</f>
        <v>0</v>
      </c>
      <c r="AQ148" s="43">
        <f>RawData!DE146</f>
        <v>0</v>
      </c>
      <c r="AR148" s="42">
        <f>RawData!CZ146</f>
        <v>0</v>
      </c>
      <c r="AS148" s="44">
        <f>RawData!AX146</f>
        <v>0</v>
      </c>
      <c r="AT148" s="43">
        <f>RawData!CY146</f>
        <v>0</v>
      </c>
      <c r="AU148" s="44">
        <f>RawData!AW146</f>
        <v>0</v>
      </c>
      <c r="AV148" s="46">
        <f>RawData!O146</f>
        <v>0</v>
      </c>
      <c r="AW148" s="44">
        <f>RawData!AV146</f>
        <v>0</v>
      </c>
      <c r="AX148" s="44">
        <f>RawData!CW146</f>
        <v>0</v>
      </c>
      <c r="AY148" s="44">
        <f>RawData!AU146</f>
        <v>0</v>
      </c>
      <c r="AZ148" s="42">
        <f>RawData!CX146</f>
        <v>0</v>
      </c>
      <c r="BA148" s="44">
        <f>RawData!DF146</f>
        <v>0</v>
      </c>
      <c r="BB148" s="43">
        <f>RawData!DI146</f>
        <v>0</v>
      </c>
      <c r="BC148" s="44">
        <f>RawData!AT146</f>
        <v>0</v>
      </c>
      <c r="BD148" s="45">
        <f>RawData!AP146</f>
        <v>0</v>
      </c>
      <c r="BE148" s="44">
        <f>RawData!CS146</f>
        <v>0</v>
      </c>
      <c r="BF148" s="42">
        <f>RawData!CT146</f>
        <v>0</v>
      </c>
      <c r="BG148" s="41">
        <f>RawData!AS146</f>
        <v>0</v>
      </c>
      <c r="BH148" s="41">
        <f>RawData!CU146</f>
        <v>0</v>
      </c>
      <c r="BI148" s="41">
        <f>RawData!AR146</f>
        <v>0</v>
      </c>
      <c r="BJ148" s="42">
        <f>RawData!CV146</f>
        <v>0</v>
      </c>
      <c r="BK148" s="41">
        <f>RawData!AQ146</f>
        <v>0</v>
      </c>
      <c r="BL148" s="40">
        <f>RawData!AO146</f>
        <v>0</v>
      </c>
      <c r="BM148" s="40">
        <f>RawData!AN146</f>
        <v>0</v>
      </c>
      <c r="BN148" s="40">
        <f>RawData!AM146</f>
        <v>0</v>
      </c>
      <c r="BO148" s="40">
        <f>RawData!AL146</f>
        <v>0</v>
      </c>
      <c r="BP148" s="40">
        <f>RawData!AK146</f>
        <v>0</v>
      </c>
      <c r="BQ148" s="40">
        <f>RawData!AJ146</f>
        <v>0</v>
      </c>
      <c r="BR148" s="38">
        <f>RawData!AI146</f>
        <v>0</v>
      </c>
      <c r="BS148" s="38">
        <f>RawData!AH146</f>
        <v>0</v>
      </c>
      <c r="BT148" s="40">
        <f>RawData!AG146</f>
        <v>0</v>
      </c>
      <c r="BU148" s="39">
        <f>RawData!AF146</f>
        <v>0</v>
      </c>
      <c r="BV148" s="39">
        <f>RawData!AE146</f>
        <v>0</v>
      </c>
      <c r="BW148" s="38">
        <f>RawData!AD146</f>
        <v>0</v>
      </c>
      <c r="BX148" s="38">
        <f>RawData!AC146</f>
        <v>0</v>
      </c>
      <c r="BY148" s="37">
        <f>RawData!AB146</f>
        <v>0</v>
      </c>
      <c r="BZ148" s="37">
        <f>RawData!AA146</f>
        <v>0</v>
      </c>
      <c r="CA148" s="36">
        <f>RawData!Z146</f>
        <v>0</v>
      </c>
      <c r="CB148" s="36">
        <f>RawData!Y146</f>
        <v>0</v>
      </c>
      <c r="CC148" s="36">
        <f>RawData!X146</f>
        <v>0</v>
      </c>
      <c r="CD148" s="36">
        <f>RawData!W146</f>
        <v>0</v>
      </c>
      <c r="CE148" s="40">
        <f>RawData!V146</f>
        <v>0</v>
      </c>
      <c r="CF148" s="40">
        <f>RawData!U146</f>
        <v>0</v>
      </c>
      <c r="CG148" s="40">
        <f>RawData!T146</f>
        <v>0</v>
      </c>
      <c r="CH148" s="44">
        <f>RawData!S146</f>
        <v>0</v>
      </c>
      <c r="CI148" s="44">
        <f>RawData!R146</f>
        <v>0</v>
      </c>
      <c r="CJ148" s="44">
        <f>RawData!Q146</f>
        <v>0</v>
      </c>
      <c r="CK148" s="44">
        <f>RawData!P146</f>
        <v>0</v>
      </c>
      <c r="CL148" s="44">
        <f>RawData!CJ146</f>
        <v>0</v>
      </c>
      <c r="CM148" s="43">
        <f>RawData!CI146</f>
        <v>0</v>
      </c>
      <c r="CN148" s="44">
        <f>RawData!CL146</f>
        <v>0</v>
      </c>
      <c r="CO148" s="43">
        <f>RawData!CK146</f>
        <v>0</v>
      </c>
      <c r="CP148" s="44">
        <f>RawData!CM146</f>
        <v>0</v>
      </c>
      <c r="CQ148" s="47">
        <f>RawData!CO146</f>
        <v>0</v>
      </c>
      <c r="CR148" s="44">
        <f>RawData!CP146</f>
        <v>0</v>
      </c>
      <c r="CS148" s="44">
        <f>RawData!DG146</f>
        <v>0</v>
      </c>
      <c r="CT148" s="43">
        <f>RawData!DJ146</f>
        <v>0</v>
      </c>
      <c r="CU148" s="43">
        <f>RawData!CQ146</f>
        <v>0</v>
      </c>
      <c r="CV148" s="47">
        <f>RawData!CR146</f>
        <v>0</v>
      </c>
      <c r="CW148" s="65">
        <f>RawData!DK146</f>
        <v>0</v>
      </c>
      <c r="CX148" s="65">
        <f>RawData!DL146</f>
        <v>0</v>
      </c>
      <c r="CY148" s="65">
        <f>RawData!DM146</f>
        <v>0</v>
      </c>
      <c r="CZ148" s="65">
        <f>RawData!DN146</f>
        <v>0</v>
      </c>
      <c r="DA148" s="65">
        <f>RawData!DO146</f>
        <v>0</v>
      </c>
      <c r="DB148" s="65">
        <f>RawData!DP146</f>
        <v>0</v>
      </c>
      <c r="DC148" s="65">
        <f>RawData!DQ146</f>
        <v>0</v>
      </c>
      <c r="DD148" s="65">
        <f>RawData!DR146</f>
        <v>0</v>
      </c>
      <c r="DE148" s="65">
        <f>RawData!DS146</f>
        <v>0</v>
      </c>
      <c r="DF148" s="65">
        <f>RawData!DT146</f>
        <v>0</v>
      </c>
      <c r="DG148" s="66">
        <f>RawData!DU146</f>
        <v>0</v>
      </c>
      <c r="DI148" s="21">
        <f t="shared" si="2"/>
        <v>0</v>
      </c>
    </row>
    <row r="149" spans="1:113" x14ac:dyDescent="0.2">
      <c r="A149" s="59">
        <f>RawData!CN147</f>
        <v>0</v>
      </c>
      <c r="B149" s="44">
        <f>RawData!CH147</f>
        <v>0</v>
      </c>
      <c r="C149" s="44">
        <f>RawData!CG147</f>
        <v>0</v>
      </c>
      <c r="D149" s="43">
        <f>RawData!CF147</f>
        <v>0</v>
      </c>
      <c r="E149" s="44">
        <f>RawData!CE147</f>
        <v>0</v>
      </c>
      <c r="F149" s="43">
        <f>RawData!CD147</f>
        <v>0</v>
      </c>
      <c r="G149" s="44">
        <f>RawData!CC147</f>
        <v>0</v>
      </c>
      <c r="H149" s="44">
        <f>RawData!CB147</f>
        <v>0</v>
      </c>
      <c r="I149" s="44">
        <f>RawData!CA147</f>
        <v>0</v>
      </c>
      <c r="J149" s="44">
        <f>RawData!BZ147</f>
        <v>0</v>
      </c>
      <c r="K149" s="40">
        <f>RawData!BY147</f>
        <v>0</v>
      </c>
      <c r="L149" s="40">
        <f>RawData!BX147</f>
        <v>0</v>
      </c>
      <c r="M149" s="40">
        <f>RawData!BW147</f>
        <v>0</v>
      </c>
      <c r="N149" s="40">
        <f>RawData!BV147</f>
        <v>0</v>
      </c>
      <c r="O149" s="36">
        <f>RawData!BU147</f>
        <v>0</v>
      </c>
      <c r="P149" s="36">
        <f>RawData!BT147</f>
        <v>0</v>
      </c>
      <c r="Q149" s="36">
        <f>RawData!BS147</f>
        <v>0</v>
      </c>
      <c r="R149" s="36">
        <f>RawData!BR147</f>
        <v>0</v>
      </c>
      <c r="S149" s="37">
        <f>RawData!BQ147</f>
        <v>0</v>
      </c>
      <c r="T149" s="37">
        <f>RawData!BP147</f>
        <v>0</v>
      </c>
      <c r="U149" s="38">
        <f>RawData!BO147</f>
        <v>0</v>
      </c>
      <c r="V149" s="38">
        <f>RawData!BN147</f>
        <v>0</v>
      </c>
      <c r="W149" s="39">
        <f>RawData!BM147</f>
        <v>0</v>
      </c>
      <c r="X149" s="39">
        <f>RawData!BL147</f>
        <v>0</v>
      </c>
      <c r="Y149" s="38">
        <f>RawData!BJ147</f>
        <v>0</v>
      </c>
      <c r="Z149" s="38">
        <f>RawData!BI147</f>
        <v>0</v>
      </c>
      <c r="AA149" s="40">
        <f>RawData!BH147</f>
        <v>0</v>
      </c>
      <c r="AB149" s="40">
        <f>RawData!BG147</f>
        <v>0</v>
      </c>
      <c r="AC149" s="40">
        <f>RawData!BF147</f>
        <v>0</v>
      </c>
      <c r="AD149" s="40">
        <f>RawData!BE147</f>
        <v>0</v>
      </c>
      <c r="AE149" s="40">
        <f>RawData!BD147</f>
        <v>0</v>
      </c>
      <c r="AF149" s="40">
        <f>RawData!BC147</f>
        <v>0</v>
      </c>
      <c r="AG149" s="41">
        <f>RawData!BB147</f>
        <v>0</v>
      </c>
      <c r="AH149" s="42">
        <f>RawData!DB147</f>
        <v>0</v>
      </c>
      <c r="AI149" s="41">
        <f>RawData!BA147</f>
        <v>0</v>
      </c>
      <c r="AJ149" s="43">
        <f>RawData!DA147</f>
        <v>0</v>
      </c>
      <c r="AK149" s="41">
        <f>RawData!AZ147</f>
        <v>0</v>
      </c>
      <c r="AL149" s="42">
        <f>RawData!DD147</f>
        <v>0</v>
      </c>
      <c r="AM149" s="44">
        <f>RawData!DC147</f>
        <v>0</v>
      </c>
      <c r="AN149" s="45">
        <f>RawData!BK147</f>
        <v>0</v>
      </c>
      <c r="AO149" s="44">
        <f>RawData!AY147</f>
        <v>0</v>
      </c>
      <c r="AP149" s="43">
        <f>RawData!DH147</f>
        <v>0</v>
      </c>
      <c r="AQ149" s="43">
        <f>RawData!DE147</f>
        <v>0</v>
      </c>
      <c r="AR149" s="42">
        <f>RawData!CZ147</f>
        <v>0</v>
      </c>
      <c r="AS149" s="44">
        <f>RawData!AX147</f>
        <v>0</v>
      </c>
      <c r="AT149" s="43">
        <f>RawData!CY147</f>
        <v>0</v>
      </c>
      <c r="AU149" s="44">
        <f>RawData!AW147</f>
        <v>0</v>
      </c>
      <c r="AV149" s="46">
        <f>RawData!O147</f>
        <v>0</v>
      </c>
      <c r="AW149" s="44">
        <f>RawData!AV147</f>
        <v>0</v>
      </c>
      <c r="AX149" s="44">
        <f>RawData!CW147</f>
        <v>0</v>
      </c>
      <c r="AY149" s="44">
        <f>RawData!AU147</f>
        <v>0</v>
      </c>
      <c r="AZ149" s="42">
        <f>RawData!CX147</f>
        <v>0</v>
      </c>
      <c r="BA149" s="44">
        <f>RawData!DF147</f>
        <v>0</v>
      </c>
      <c r="BB149" s="43">
        <f>RawData!DI147</f>
        <v>0</v>
      </c>
      <c r="BC149" s="44">
        <f>RawData!AT147</f>
        <v>0</v>
      </c>
      <c r="BD149" s="45">
        <f>RawData!AP147</f>
        <v>0</v>
      </c>
      <c r="BE149" s="44">
        <f>RawData!CS147</f>
        <v>0</v>
      </c>
      <c r="BF149" s="42">
        <f>RawData!CT147</f>
        <v>0</v>
      </c>
      <c r="BG149" s="41">
        <f>RawData!AS147</f>
        <v>0</v>
      </c>
      <c r="BH149" s="41">
        <f>RawData!CU147</f>
        <v>0</v>
      </c>
      <c r="BI149" s="41">
        <f>RawData!AR147</f>
        <v>0</v>
      </c>
      <c r="BJ149" s="42">
        <f>RawData!CV147</f>
        <v>0</v>
      </c>
      <c r="BK149" s="41">
        <f>RawData!AQ147</f>
        <v>0</v>
      </c>
      <c r="BL149" s="40">
        <f>RawData!AO147</f>
        <v>0</v>
      </c>
      <c r="BM149" s="40">
        <f>RawData!AN147</f>
        <v>0</v>
      </c>
      <c r="BN149" s="40">
        <f>RawData!AM147</f>
        <v>0</v>
      </c>
      <c r="BO149" s="40">
        <f>RawData!AL147</f>
        <v>0</v>
      </c>
      <c r="BP149" s="40">
        <f>RawData!AK147</f>
        <v>0</v>
      </c>
      <c r="BQ149" s="40">
        <f>RawData!AJ147</f>
        <v>0</v>
      </c>
      <c r="BR149" s="38">
        <f>RawData!AI147</f>
        <v>0</v>
      </c>
      <c r="BS149" s="38">
        <f>RawData!AH147</f>
        <v>0</v>
      </c>
      <c r="BT149" s="40">
        <f>RawData!AG147</f>
        <v>0</v>
      </c>
      <c r="BU149" s="39">
        <f>RawData!AF147</f>
        <v>0</v>
      </c>
      <c r="BV149" s="39">
        <f>RawData!AE147</f>
        <v>0</v>
      </c>
      <c r="BW149" s="38">
        <f>RawData!AD147</f>
        <v>0</v>
      </c>
      <c r="BX149" s="38">
        <f>RawData!AC147</f>
        <v>0</v>
      </c>
      <c r="BY149" s="37">
        <f>RawData!AB147</f>
        <v>0</v>
      </c>
      <c r="BZ149" s="37">
        <f>RawData!AA147</f>
        <v>0</v>
      </c>
      <c r="CA149" s="36">
        <f>RawData!Z147</f>
        <v>0</v>
      </c>
      <c r="CB149" s="36">
        <f>RawData!Y147</f>
        <v>0</v>
      </c>
      <c r="CC149" s="36">
        <f>RawData!X147</f>
        <v>0</v>
      </c>
      <c r="CD149" s="36">
        <f>RawData!W147</f>
        <v>0</v>
      </c>
      <c r="CE149" s="40">
        <f>RawData!V147</f>
        <v>0</v>
      </c>
      <c r="CF149" s="40">
        <f>RawData!U147</f>
        <v>0</v>
      </c>
      <c r="CG149" s="40">
        <f>RawData!T147</f>
        <v>0</v>
      </c>
      <c r="CH149" s="44">
        <f>RawData!S147</f>
        <v>0</v>
      </c>
      <c r="CI149" s="44">
        <f>RawData!R147</f>
        <v>0</v>
      </c>
      <c r="CJ149" s="44">
        <f>RawData!Q147</f>
        <v>0</v>
      </c>
      <c r="CK149" s="44">
        <f>RawData!P147</f>
        <v>0</v>
      </c>
      <c r="CL149" s="44">
        <f>RawData!CJ147</f>
        <v>0</v>
      </c>
      <c r="CM149" s="43">
        <f>RawData!CI147</f>
        <v>0</v>
      </c>
      <c r="CN149" s="44">
        <f>RawData!CL147</f>
        <v>0</v>
      </c>
      <c r="CO149" s="43">
        <f>RawData!CK147</f>
        <v>0</v>
      </c>
      <c r="CP149" s="44">
        <f>RawData!CM147</f>
        <v>0</v>
      </c>
      <c r="CQ149" s="47">
        <f>RawData!CO147</f>
        <v>0</v>
      </c>
      <c r="CR149" s="44">
        <f>RawData!CP147</f>
        <v>0</v>
      </c>
      <c r="CS149" s="44">
        <f>RawData!DG147</f>
        <v>0</v>
      </c>
      <c r="CT149" s="43">
        <f>RawData!DJ147</f>
        <v>0</v>
      </c>
      <c r="CU149" s="43">
        <f>RawData!CQ147</f>
        <v>0</v>
      </c>
      <c r="CV149" s="47">
        <f>RawData!CR147</f>
        <v>0</v>
      </c>
      <c r="CW149" s="65">
        <f>RawData!DK147</f>
        <v>0</v>
      </c>
      <c r="CX149" s="65">
        <f>RawData!DL147</f>
        <v>0</v>
      </c>
      <c r="CY149" s="65">
        <f>RawData!DM147</f>
        <v>0</v>
      </c>
      <c r="CZ149" s="65">
        <f>RawData!DN147</f>
        <v>0</v>
      </c>
      <c r="DA149" s="65">
        <f>RawData!DO147</f>
        <v>0</v>
      </c>
      <c r="DB149" s="65">
        <f>RawData!DP147</f>
        <v>0</v>
      </c>
      <c r="DC149" s="65">
        <f>RawData!DQ147</f>
        <v>0</v>
      </c>
      <c r="DD149" s="65">
        <f>RawData!DR147</f>
        <v>0</v>
      </c>
      <c r="DE149" s="65">
        <f>RawData!DS147</f>
        <v>0</v>
      </c>
      <c r="DF149" s="65">
        <f>RawData!DT147</f>
        <v>0</v>
      </c>
      <c r="DG149" s="66">
        <f>RawData!DU147</f>
        <v>0</v>
      </c>
      <c r="DI149" s="21">
        <f t="shared" si="2"/>
        <v>0</v>
      </c>
    </row>
    <row r="150" spans="1:113" x14ac:dyDescent="0.2">
      <c r="A150" s="59">
        <f>RawData!CN148</f>
        <v>0</v>
      </c>
      <c r="B150" s="44">
        <f>RawData!CH148</f>
        <v>0</v>
      </c>
      <c r="C150" s="44">
        <f>RawData!CG148</f>
        <v>0</v>
      </c>
      <c r="D150" s="43">
        <f>RawData!CF148</f>
        <v>0</v>
      </c>
      <c r="E150" s="44">
        <f>RawData!CE148</f>
        <v>0</v>
      </c>
      <c r="F150" s="43">
        <f>RawData!CD148</f>
        <v>0</v>
      </c>
      <c r="G150" s="44">
        <f>RawData!CC148</f>
        <v>0</v>
      </c>
      <c r="H150" s="44">
        <f>RawData!CB148</f>
        <v>0</v>
      </c>
      <c r="I150" s="44">
        <f>RawData!CA148</f>
        <v>0</v>
      </c>
      <c r="J150" s="44">
        <f>RawData!BZ148</f>
        <v>0</v>
      </c>
      <c r="K150" s="40">
        <f>RawData!BY148</f>
        <v>0</v>
      </c>
      <c r="L150" s="40">
        <f>RawData!BX148</f>
        <v>0</v>
      </c>
      <c r="M150" s="40">
        <f>RawData!BW148</f>
        <v>0</v>
      </c>
      <c r="N150" s="40">
        <f>RawData!BV148</f>
        <v>0</v>
      </c>
      <c r="O150" s="36">
        <f>RawData!BU148</f>
        <v>0</v>
      </c>
      <c r="P150" s="36">
        <f>RawData!BT148</f>
        <v>0</v>
      </c>
      <c r="Q150" s="36">
        <f>RawData!BS148</f>
        <v>0</v>
      </c>
      <c r="R150" s="36">
        <f>RawData!BR148</f>
        <v>0</v>
      </c>
      <c r="S150" s="37">
        <f>RawData!BQ148</f>
        <v>0</v>
      </c>
      <c r="T150" s="37">
        <f>RawData!BP148</f>
        <v>0</v>
      </c>
      <c r="U150" s="38">
        <f>RawData!BO148</f>
        <v>0</v>
      </c>
      <c r="V150" s="38">
        <f>RawData!BN148</f>
        <v>0</v>
      </c>
      <c r="W150" s="39">
        <f>RawData!BM148</f>
        <v>0</v>
      </c>
      <c r="X150" s="39">
        <f>RawData!BL148</f>
        <v>0</v>
      </c>
      <c r="Y150" s="38">
        <f>RawData!BJ148</f>
        <v>0</v>
      </c>
      <c r="Z150" s="38">
        <f>RawData!BI148</f>
        <v>0</v>
      </c>
      <c r="AA150" s="40">
        <f>RawData!BH148</f>
        <v>0</v>
      </c>
      <c r="AB150" s="40">
        <f>RawData!BG148</f>
        <v>0</v>
      </c>
      <c r="AC150" s="40">
        <f>RawData!BF148</f>
        <v>0</v>
      </c>
      <c r="AD150" s="40">
        <f>RawData!BE148</f>
        <v>0</v>
      </c>
      <c r="AE150" s="40">
        <f>RawData!BD148</f>
        <v>0</v>
      </c>
      <c r="AF150" s="40">
        <f>RawData!BC148</f>
        <v>0</v>
      </c>
      <c r="AG150" s="41">
        <f>RawData!BB148</f>
        <v>0</v>
      </c>
      <c r="AH150" s="42">
        <f>RawData!DB148</f>
        <v>0</v>
      </c>
      <c r="AI150" s="41">
        <f>RawData!BA148</f>
        <v>0</v>
      </c>
      <c r="AJ150" s="43">
        <f>RawData!DA148</f>
        <v>0</v>
      </c>
      <c r="AK150" s="41">
        <f>RawData!AZ148</f>
        <v>0</v>
      </c>
      <c r="AL150" s="42">
        <f>RawData!DD148</f>
        <v>0</v>
      </c>
      <c r="AM150" s="44">
        <f>RawData!DC148</f>
        <v>0</v>
      </c>
      <c r="AN150" s="45">
        <f>RawData!BK148</f>
        <v>0</v>
      </c>
      <c r="AO150" s="44">
        <f>RawData!AY148</f>
        <v>0</v>
      </c>
      <c r="AP150" s="43">
        <f>RawData!DH148</f>
        <v>0</v>
      </c>
      <c r="AQ150" s="43">
        <f>RawData!DE148</f>
        <v>0</v>
      </c>
      <c r="AR150" s="42">
        <f>RawData!CZ148</f>
        <v>0</v>
      </c>
      <c r="AS150" s="44">
        <f>RawData!AX148</f>
        <v>0</v>
      </c>
      <c r="AT150" s="43">
        <f>RawData!CY148</f>
        <v>0</v>
      </c>
      <c r="AU150" s="44">
        <f>RawData!AW148</f>
        <v>0</v>
      </c>
      <c r="AV150" s="46">
        <f>RawData!O148</f>
        <v>0</v>
      </c>
      <c r="AW150" s="44">
        <f>RawData!AV148</f>
        <v>0</v>
      </c>
      <c r="AX150" s="44">
        <f>RawData!CW148</f>
        <v>0</v>
      </c>
      <c r="AY150" s="44">
        <f>RawData!AU148</f>
        <v>0</v>
      </c>
      <c r="AZ150" s="42">
        <f>RawData!CX148</f>
        <v>0</v>
      </c>
      <c r="BA150" s="44">
        <f>RawData!DF148</f>
        <v>0</v>
      </c>
      <c r="BB150" s="43">
        <f>RawData!DI148</f>
        <v>0</v>
      </c>
      <c r="BC150" s="44">
        <f>RawData!AT148</f>
        <v>0</v>
      </c>
      <c r="BD150" s="45">
        <f>RawData!AP148</f>
        <v>0</v>
      </c>
      <c r="BE150" s="44">
        <f>RawData!CS148</f>
        <v>0</v>
      </c>
      <c r="BF150" s="42">
        <f>RawData!CT148</f>
        <v>0</v>
      </c>
      <c r="BG150" s="41">
        <f>RawData!AS148</f>
        <v>0</v>
      </c>
      <c r="BH150" s="41">
        <f>RawData!CU148</f>
        <v>0</v>
      </c>
      <c r="BI150" s="41">
        <f>RawData!AR148</f>
        <v>0</v>
      </c>
      <c r="BJ150" s="42">
        <f>RawData!CV148</f>
        <v>0</v>
      </c>
      <c r="BK150" s="41">
        <f>RawData!AQ148</f>
        <v>0</v>
      </c>
      <c r="BL150" s="40">
        <f>RawData!AO148</f>
        <v>0</v>
      </c>
      <c r="BM150" s="40">
        <f>RawData!AN148</f>
        <v>0</v>
      </c>
      <c r="BN150" s="40">
        <f>RawData!AM148</f>
        <v>0</v>
      </c>
      <c r="BO150" s="40">
        <f>RawData!AL148</f>
        <v>0</v>
      </c>
      <c r="BP150" s="40">
        <f>RawData!AK148</f>
        <v>0</v>
      </c>
      <c r="BQ150" s="40">
        <f>RawData!AJ148</f>
        <v>0</v>
      </c>
      <c r="BR150" s="38">
        <f>RawData!AI148</f>
        <v>0</v>
      </c>
      <c r="BS150" s="38">
        <f>RawData!AH148</f>
        <v>0</v>
      </c>
      <c r="BT150" s="40">
        <f>RawData!AG148</f>
        <v>0</v>
      </c>
      <c r="BU150" s="39">
        <f>RawData!AF148</f>
        <v>0</v>
      </c>
      <c r="BV150" s="39">
        <f>RawData!AE148</f>
        <v>0</v>
      </c>
      <c r="BW150" s="38">
        <f>RawData!AD148</f>
        <v>0</v>
      </c>
      <c r="BX150" s="38">
        <f>RawData!AC148</f>
        <v>0</v>
      </c>
      <c r="BY150" s="37">
        <f>RawData!AB148</f>
        <v>0</v>
      </c>
      <c r="BZ150" s="37">
        <f>RawData!AA148</f>
        <v>0</v>
      </c>
      <c r="CA150" s="36">
        <f>RawData!Z148</f>
        <v>0</v>
      </c>
      <c r="CB150" s="36">
        <f>RawData!Y148</f>
        <v>0</v>
      </c>
      <c r="CC150" s="36">
        <f>RawData!X148</f>
        <v>0</v>
      </c>
      <c r="CD150" s="36">
        <f>RawData!W148</f>
        <v>0</v>
      </c>
      <c r="CE150" s="40">
        <f>RawData!V148</f>
        <v>0</v>
      </c>
      <c r="CF150" s="40">
        <f>RawData!U148</f>
        <v>0</v>
      </c>
      <c r="CG150" s="40">
        <f>RawData!T148</f>
        <v>0</v>
      </c>
      <c r="CH150" s="44">
        <f>RawData!S148</f>
        <v>0</v>
      </c>
      <c r="CI150" s="44">
        <f>RawData!R148</f>
        <v>0</v>
      </c>
      <c r="CJ150" s="44">
        <f>RawData!Q148</f>
        <v>0</v>
      </c>
      <c r="CK150" s="44">
        <f>RawData!P148</f>
        <v>0</v>
      </c>
      <c r="CL150" s="44">
        <f>RawData!CJ148</f>
        <v>0</v>
      </c>
      <c r="CM150" s="43">
        <f>RawData!CI148</f>
        <v>0</v>
      </c>
      <c r="CN150" s="44">
        <f>RawData!CL148</f>
        <v>0</v>
      </c>
      <c r="CO150" s="43">
        <f>RawData!CK148</f>
        <v>0</v>
      </c>
      <c r="CP150" s="44">
        <f>RawData!CM148</f>
        <v>0</v>
      </c>
      <c r="CQ150" s="47">
        <f>RawData!CO148</f>
        <v>0</v>
      </c>
      <c r="CR150" s="44">
        <f>RawData!CP148</f>
        <v>0</v>
      </c>
      <c r="CS150" s="44">
        <f>RawData!DG148</f>
        <v>0</v>
      </c>
      <c r="CT150" s="43">
        <f>RawData!DJ148</f>
        <v>0</v>
      </c>
      <c r="CU150" s="43">
        <f>RawData!CQ148</f>
        <v>0</v>
      </c>
      <c r="CV150" s="47">
        <f>RawData!CR148</f>
        <v>0</v>
      </c>
      <c r="CW150" s="65">
        <f>RawData!DK148</f>
        <v>0</v>
      </c>
      <c r="CX150" s="65">
        <f>RawData!DL148</f>
        <v>0</v>
      </c>
      <c r="CY150" s="65">
        <f>RawData!DM148</f>
        <v>0</v>
      </c>
      <c r="CZ150" s="65">
        <f>RawData!DN148</f>
        <v>0</v>
      </c>
      <c r="DA150" s="65">
        <f>RawData!DO148</f>
        <v>0</v>
      </c>
      <c r="DB150" s="65">
        <f>RawData!DP148</f>
        <v>0</v>
      </c>
      <c r="DC150" s="65">
        <f>RawData!DQ148</f>
        <v>0</v>
      </c>
      <c r="DD150" s="65">
        <f>RawData!DR148</f>
        <v>0</v>
      </c>
      <c r="DE150" s="65">
        <f>RawData!DS148</f>
        <v>0</v>
      </c>
      <c r="DF150" s="65">
        <f>RawData!DT148</f>
        <v>0</v>
      </c>
      <c r="DG150" s="66">
        <f>RawData!DU148</f>
        <v>0</v>
      </c>
      <c r="DI150" s="21">
        <f t="shared" si="2"/>
        <v>0</v>
      </c>
    </row>
    <row r="151" spans="1:113" x14ac:dyDescent="0.2">
      <c r="A151" s="59">
        <f>RawData!CN149</f>
        <v>0</v>
      </c>
      <c r="B151" s="44">
        <f>RawData!CH149</f>
        <v>0</v>
      </c>
      <c r="C151" s="44">
        <f>RawData!CG149</f>
        <v>0</v>
      </c>
      <c r="D151" s="43">
        <f>RawData!CF149</f>
        <v>0</v>
      </c>
      <c r="E151" s="44">
        <f>RawData!CE149</f>
        <v>0</v>
      </c>
      <c r="F151" s="43">
        <f>RawData!CD149</f>
        <v>0</v>
      </c>
      <c r="G151" s="44">
        <f>RawData!CC149</f>
        <v>0</v>
      </c>
      <c r="H151" s="44">
        <f>RawData!CB149</f>
        <v>0</v>
      </c>
      <c r="I151" s="44">
        <f>RawData!CA149</f>
        <v>0</v>
      </c>
      <c r="J151" s="44">
        <f>RawData!BZ149</f>
        <v>0</v>
      </c>
      <c r="K151" s="40">
        <f>RawData!BY149</f>
        <v>0</v>
      </c>
      <c r="L151" s="40">
        <f>RawData!BX149</f>
        <v>0</v>
      </c>
      <c r="M151" s="40">
        <f>RawData!BW149</f>
        <v>0</v>
      </c>
      <c r="N151" s="40">
        <f>RawData!BV149</f>
        <v>0</v>
      </c>
      <c r="O151" s="36">
        <f>RawData!BU149</f>
        <v>0</v>
      </c>
      <c r="P151" s="36">
        <f>RawData!BT149</f>
        <v>0</v>
      </c>
      <c r="Q151" s="36">
        <f>RawData!BS149</f>
        <v>0</v>
      </c>
      <c r="R151" s="36">
        <f>RawData!BR149</f>
        <v>0</v>
      </c>
      <c r="S151" s="37">
        <f>RawData!BQ149</f>
        <v>0</v>
      </c>
      <c r="T151" s="37">
        <f>RawData!BP149</f>
        <v>0</v>
      </c>
      <c r="U151" s="38">
        <f>RawData!BO149</f>
        <v>0</v>
      </c>
      <c r="V151" s="38">
        <f>RawData!BN149</f>
        <v>0</v>
      </c>
      <c r="W151" s="39">
        <f>RawData!BM149</f>
        <v>0</v>
      </c>
      <c r="X151" s="39">
        <f>RawData!BL149</f>
        <v>0</v>
      </c>
      <c r="Y151" s="38">
        <f>RawData!BJ149</f>
        <v>0</v>
      </c>
      <c r="Z151" s="38">
        <f>RawData!BI149</f>
        <v>0</v>
      </c>
      <c r="AA151" s="40">
        <f>RawData!BH149</f>
        <v>0</v>
      </c>
      <c r="AB151" s="40">
        <f>RawData!BG149</f>
        <v>0</v>
      </c>
      <c r="AC151" s="40">
        <f>RawData!BF149</f>
        <v>0</v>
      </c>
      <c r="AD151" s="40">
        <f>RawData!BE149</f>
        <v>0</v>
      </c>
      <c r="AE151" s="40">
        <f>RawData!BD149</f>
        <v>0</v>
      </c>
      <c r="AF151" s="40">
        <f>RawData!BC149</f>
        <v>0</v>
      </c>
      <c r="AG151" s="41">
        <f>RawData!BB149</f>
        <v>0</v>
      </c>
      <c r="AH151" s="42">
        <f>RawData!DB149</f>
        <v>0</v>
      </c>
      <c r="AI151" s="41">
        <f>RawData!BA149</f>
        <v>0</v>
      </c>
      <c r="AJ151" s="43">
        <f>RawData!DA149</f>
        <v>0</v>
      </c>
      <c r="AK151" s="41">
        <f>RawData!AZ149</f>
        <v>0</v>
      </c>
      <c r="AL151" s="42">
        <f>RawData!DD149</f>
        <v>0</v>
      </c>
      <c r="AM151" s="44">
        <f>RawData!DC149</f>
        <v>0</v>
      </c>
      <c r="AN151" s="45">
        <f>RawData!BK149</f>
        <v>0</v>
      </c>
      <c r="AO151" s="44">
        <f>RawData!AY149</f>
        <v>0</v>
      </c>
      <c r="AP151" s="43">
        <f>RawData!DH149</f>
        <v>0</v>
      </c>
      <c r="AQ151" s="43">
        <f>RawData!DE149</f>
        <v>0</v>
      </c>
      <c r="AR151" s="42">
        <f>RawData!CZ149</f>
        <v>0</v>
      </c>
      <c r="AS151" s="44">
        <f>RawData!AX149</f>
        <v>0</v>
      </c>
      <c r="AT151" s="43">
        <f>RawData!CY149</f>
        <v>0</v>
      </c>
      <c r="AU151" s="44">
        <f>RawData!AW149</f>
        <v>0</v>
      </c>
      <c r="AV151" s="46">
        <f>RawData!O149</f>
        <v>0</v>
      </c>
      <c r="AW151" s="44">
        <f>RawData!AV149</f>
        <v>0</v>
      </c>
      <c r="AX151" s="44">
        <f>RawData!CW149</f>
        <v>0</v>
      </c>
      <c r="AY151" s="44">
        <f>RawData!AU149</f>
        <v>0</v>
      </c>
      <c r="AZ151" s="42">
        <f>RawData!CX149</f>
        <v>0</v>
      </c>
      <c r="BA151" s="44">
        <f>RawData!DF149</f>
        <v>0</v>
      </c>
      <c r="BB151" s="43">
        <f>RawData!DI149</f>
        <v>0</v>
      </c>
      <c r="BC151" s="44">
        <f>RawData!AT149</f>
        <v>0</v>
      </c>
      <c r="BD151" s="45">
        <f>RawData!AP149</f>
        <v>0</v>
      </c>
      <c r="BE151" s="44">
        <f>RawData!CS149</f>
        <v>0</v>
      </c>
      <c r="BF151" s="42">
        <f>RawData!CT149</f>
        <v>0</v>
      </c>
      <c r="BG151" s="41">
        <f>RawData!AS149</f>
        <v>0</v>
      </c>
      <c r="BH151" s="41">
        <f>RawData!CU149</f>
        <v>0</v>
      </c>
      <c r="BI151" s="41">
        <f>RawData!AR149</f>
        <v>0</v>
      </c>
      <c r="BJ151" s="42">
        <f>RawData!CV149</f>
        <v>0</v>
      </c>
      <c r="BK151" s="41">
        <f>RawData!AQ149</f>
        <v>0</v>
      </c>
      <c r="BL151" s="40">
        <f>RawData!AO149</f>
        <v>0</v>
      </c>
      <c r="BM151" s="40">
        <f>RawData!AN149</f>
        <v>0</v>
      </c>
      <c r="BN151" s="40">
        <f>RawData!AM149</f>
        <v>0</v>
      </c>
      <c r="BO151" s="40">
        <f>RawData!AL149</f>
        <v>0</v>
      </c>
      <c r="BP151" s="40">
        <f>RawData!AK149</f>
        <v>0</v>
      </c>
      <c r="BQ151" s="40">
        <f>RawData!AJ149</f>
        <v>0</v>
      </c>
      <c r="BR151" s="38">
        <f>RawData!AI149</f>
        <v>0</v>
      </c>
      <c r="BS151" s="38">
        <f>RawData!AH149</f>
        <v>0</v>
      </c>
      <c r="BT151" s="40">
        <f>RawData!AG149</f>
        <v>0</v>
      </c>
      <c r="BU151" s="39">
        <f>RawData!AF149</f>
        <v>0</v>
      </c>
      <c r="BV151" s="39">
        <f>RawData!AE149</f>
        <v>0</v>
      </c>
      <c r="BW151" s="38">
        <f>RawData!AD149</f>
        <v>0</v>
      </c>
      <c r="BX151" s="38">
        <f>RawData!AC149</f>
        <v>0</v>
      </c>
      <c r="BY151" s="37">
        <f>RawData!AB149</f>
        <v>0</v>
      </c>
      <c r="BZ151" s="37">
        <f>RawData!AA149</f>
        <v>0</v>
      </c>
      <c r="CA151" s="36">
        <f>RawData!Z149</f>
        <v>0</v>
      </c>
      <c r="CB151" s="36">
        <f>RawData!Y149</f>
        <v>0</v>
      </c>
      <c r="CC151" s="36">
        <f>RawData!X149</f>
        <v>0</v>
      </c>
      <c r="CD151" s="36">
        <f>RawData!W149</f>
        <v>0</v>
      </c>
      <c r="CE151" s="40">
        <f>RawData!V149</f>
        <v>0</v>
      </c>
      <c r="CF151" s="40">
        <f>RawData!U149</f>
        <v>0</v>
      </c>
      <c r="CG151" s="40">
        <f>RawData!T149</f>
        <v>0</v>
      </c>
      <c r="CH151" s="44">
        <f>RawData!S149</f>
        <v>0</v>
      </c>
      <c r="CI151" s="44">
        <f>RawData!R149</f>
        <v>0</v>
      </c>
      <c r="CJ151" s="44">
        <f>RawData!Q149</f>
        <v>0</v>
      </c>
      <c r="CK151" s="44">
        <f>RawData!P149</f>
        <v>0</v>
      </c>
      <c r="CL151" s="44">
        <f>RawData!CJ149</f>
        <v>0</v>
      </c>
      <c r="CM151" s="43">
        <f>RawData!CI149</f>
        <v>0</v>
      </c>
      <c r="CN151" s="44">
        <f>RawData!CL149</f>
        <v>0</v>
      </c>
      <c r="CO151" s="43">
        <f>RawData!CK149</f>
        <v>0</v>
      </c>
      <c r="CP151" s="44">
        <f>RawData!CM149</f>
        <v>0</v>
      </c>
      <c r="CQ151" s="47">
        <f>RawData!CO149</f>
        <v>0</v>
      </c>
      <c r="CR151" s="44">
        <f>RawData!CP149</f>
        <v>0</v>
      </c>
      <c r="CS151" s="44">
        <f>RawData!DG149</f>
        <v>0</v>
      </c>
      <c r="CT151" s="43">
        <f>RawData!DJ149</f>
        <v>0</v>
      </c>
      <c r="CU151" s="43">
        <f>RawData!CQ149</f>
        <v>0</v>
      </c>
      <c r="CV151" s="47">
        <f>RawData!CR149</f>
        <v>0</v>
      </c>
      <c r="CW151" s="65">
        <f>RawData!DK149</f>
        <v>0</v>
      </c>
      <c r="CX151" s="65">
        <f>RawData!DL149</f>
        <v>0</v>
      </c>
      <c r="CY151" s="65">
        <f>RawData!DM149</f>
        <v>0</v>
      </c>
      <c r="CZ151" s="65">
        <f>RawData!DN149</f>
        <v>0</v>
      </c>
      <c r="DA151" s="65">
        <f>RawData!DO149</f>
        <v>0</v>
      </c>
      <c r="DB151" s="65">
        <f>RawData!DP149</f>
        <v>0</v>
      </c>
      <c r="DC151" s="65">
        <f>RawData!DQ149</f>
        <v>0</v>
      </c>
      <c r="DD151" s="65">
        <f>RawData!DR149</f>
        <v>0</v>
      </c>
      <c r="DE151" s="65">
        <f>RawData!DS149</f>
        <v>0</v>
      </c>
      <c r="DF151" s="65">
        <f>RawData!DT149</f>
        <v>0</v>
      </c>
      <c r="DG151" s="66">
        <f>RawData!DU149</f>
        <v>0</v>
      </c>
      <c r="DI151" s="21">
        <f t="shared" si="2"/>
        <v>0</v>
      </c>
    </row>
    <row r="152" spans="1:113" x14ac:dyDescent="0.2">
      <c r="A152" s="59">
        <f>RawData!CN150</f>
        <v>0</v>
      </c>
      <c r="B152" s="44">
        <f>RawData!CH150</f>
        <v>0</v>
      </c>
      <c r="C152" s="44">
        <f>RawData!CG150</f>
        <v>0</v>
      </c>
      <c r="D152" s="43">
        <f>RawData!CF150</f>
        <v>0</v>
      </c>
      <c r="E152" s="44">
        <f>RawData!CE150</f>
        <v>0</v>
      </c>
      <c r="F152" s="43">
        <f>RawData!CD150</f>
        <v>0</v>
      </c>
      <c r="G152" s="44">
        <f>RawData!CC150</f>
        <v>0</v>
      </c>
      <c r="H152" s="44">
        <f>RawData!CB150</f>
        <v>0</v>
      </c>
      <c r="I152" s="44">
        <f>RawData!CA150</f>
        <v>0</v>
      </c>
      <c r="J152" s="44">
        <f>RawData!BZ150</f>
        <v>0</v>
      </c>
      <c r="K152" s="40">
        <f>RawData!BY150</f>
        <v>0</v>
      </c>
      <c r="L152" s="40">
        <f>RawData!BX150</f>
        <v>0</v>
      </c>
      <c r="M152" s="40">
        <f>RawData!BW150</f>
        <v>0</v>
      </c>
      <c r="N152" s="40">
        <f>RawData!BV150</f>
        <v>0</v>
      </c>
      <c r="O152" s="36">
        <f>RawData!BU150</f>
        <v>0</v>
      </c>
      <c r="P152" s="36">
        <f>RawData!BT150</f>
        <v>0</v>
      </c>
      <c r="Q152" s="36">
        <f>RawData!BS150</f>
        <v>0</v>
      </c>
      <c r="R152" s="36">
        <f>RawData!BR150</f>
        <v>0</v>
      </c>
      <c r="S152" s="37">
        <f>RawData!BQ150</f>
        <v>0</v>
      </c>
      <c r="T152" s="37">
        <f>RawData!BP150</f>
        <v>0</v>
      </c>
      <c r="U152" s="38">
        <f>RawData!BO150</f>
        <v>0</v>
      </c>
      <c r="V152" s="38">
        <f>RawData!BN150</f>
        <v>0</v>
      </c>
      <c r="W152" s="39">
        <f>RawData!BM150</f>
        <v>0</v>
      </c>
      <c r="X152" s="39">
        <f>RawData!BL150</f>
        <v>0</v>
      </c>
      <c r="Y152" s="38">
        <f>RawData!BJ150</f>
        <v>0</v>
      </c>
      <c r="Z152" s="38">
        <f>RawData!BI150</f>
        <v>0</v>
      </c>
      <c r="AA152" s="40">
        <f>RawData!BH150</f>
        <v>0</v>
      </c>
      <c r="AB152" s="40">
        <f>RawData!BG150</f>
        <v>0</v>
      </c>
      <c r="AC152" s="40">
        <f>RawData!BF150</f>
        <v>0</v>
      </c>
      <c r="AD152" s="40">
        <f>RawData!BE150</f>
        <v>0</v>
      </c>
      <c r="AE152" s="40">
        <f>RawData!BD150</f>
        <v>0</v>
      </c>
      <c r="AF152" s="40">
        <f>RawData!BC150</f>
        <v>0</v>
      </c>
      <c r="AG152" s="41">
        <f>RawData!BB150</f>
        <v>0</v>
      </c>
      <c r="AH152" s="42">
        <f>RawData!DB150</f>
        <v>0</v>
      </c>
      <c r="AI152" s="41">
        <f>RawData!BA150</f>
        <v>0</v>
      </c>
      <c r="AJ152" s="43">
        <f>RawData!DA150</f>
        <v>0</v>
      </c>
      <c r="AK152" s="41">
        <f>RawData!AZ150</f>
        <v>0</v>
      </c>
      <c r="AL152" s="42">
        <f>RawData!DD150</f>
        <v>0</v>
      </c>
      <c r="AM152" s="44">
        <f>RawData!DC150</f>
        <v>0</v>
      </c>
      <c r="AN152" s="45">
        <f>RawData!BK150</f>
        <v>0</v>
      </c>
      <c r="AO152" s="44">
        <f>RawData!AY150</f>
        <v>0</v>
      </c>
      <c r="AP152" s="43">
        <f>RawData!DH150</f>
        <v>0</v>
      </c>
      <c r="AQ152" s="43">
        <f>RawData!DE150</f>
        <v>0</v>
      </c>
      <c r="AR152" s="42">
        <f>RawData!CZ150</f>
        <v>0</v>
      </c>
      <c r="AS152" s="44">
        <f>RawData!AX150</f>
        <v>0</v>
      </c>
      <c r="AT152" s="43">
        <f>RawData!CY150</f>
        <v>0</v>
      </c>
      <c r="AU152" s="44">
        <f>RawData!AW150</f>
        <v>0</v>
      </c>
      <c r="AV152" s="46">
        <f>RawData!O150</f>
        <v>0</v>
      </c>
      <c r="AW152" s="44">
        <f>RawData!AV150</f>
        <v>0</v>
      </c>
      <c r="AX152" s="44">
        <f>RawData!CW150</f>
        <v>0</v>
      </c>
      <c r="AY152" s="44">
        <f>RawData!AU150</f>
        <v>0</v>
      </c>
      <c r="AZ152" s="42">
        <f>RawData!CX150</f>
        <v>0</v>
      </c>
      <c r="BA152" s="44">
        <f>RawData!DF150</f>
        <v>0</v>
      </c>
      <c r="BB152" s="43">
        <f>RawData!DI150</f>
        <v>0</v>
      </c>
      <c r="BC152" s="44">
        <f>RawData!AT150</f>
        <v>0</v>
      </c>
      <c r="BD152" s="45">
        <f>RawData!AP150</f>
        <v>0</v>
      </c>
      <c r="BE152" s="44">
        <f>RawData!CS150</f>
        <v>0</v>
      </c>
      <c r="BF152" s="42">
        <f>RawData!CT150</f>
        <v>0</v>
      </c>
      <c r="BG152" s="41">
        <f>RawData!AS150</f>
        <v>0</v>
      </c>
      <c r="BH152" s="41">
        <f>RawData!CU150</f>
        <v>0</v>
      </c>
      <c r="BI152" s="41">
        <f>RawData!AR150</f>
        <v>0</v>
      </c>
      <c r="BJ152" s="42">
        <f>RawData!CV150</f>
        <v>0</v>
      </c>
      <c r="BK152" s="41">
        <f>RawData!AQ150</f>
        <v>0</v>
      </c>
      <c r="BL152" s="40">
        <f>RawData!AO150</f>
        <v>0</v>
      </c>
      <c r="BM152" s="40">
        <f>RawData!AN150</f>
        <v>0</v>
      </c>
      <c r="BN152" s="40">
        <f>RawData!AM150</f>
        <v>0</v>
      </c>
      <c r="BO152" s="40">
        <f>RawData!AL150</f>
        <v>0</v>
      </c>
      <c r="BP152" s="40">
        <f>RawData!AK150</f>
        <v>0</v>
      </c>
      <c r="BQ152" s="40">
        <f>RawData!AJ150</f>
        <v>0</v>
      </c>
      <c r="BR152" s="38">
        <f>RawData!AI150</f>
        <v>0</v>
      </c>
      <c r="BS152" s="38">
        <f>RawData!AH150</f>
        <v>0</v>
      </c>
      <c r="BT152" s="40">
        <f>RawData!AG150</f>
        <v>0</v>
      </c>
      <c r="BU152" s="39">
        <f>RawData!AF150</f>
        <v>0</v>
      </c>
      <c r="BV152" s="39">
        <f>RawData!AE150</f>
        <v>0</v>
      </c>
      <c r="BW152" s="38">
        <f>RawData!AD150</f>
        <v>0</v>
      </c>
      <c r="BX152" s="38">
        <f>RawData!AC150</f>
        <v>0</v>
      </c>
      <c r="BY152" s="37">
        <f>RawData!AB150</f>
        <v>0</v>
      </c>
      <c r="BZ152" s="37">
        <f>RawData!AA150</f>
        <v>0</v>
      </c>
      <c r="CA152" s="36">
        <f>RawData!Z150</f>
        <v>0</v>
      </c>
      <c r="CB152" s="36">
        <f>RawData!Y150</f>
        <v>0</v>
      </c>
      <c r="CC152" s="36">
        <f>RawData!X150</f>
        <v>0</v>
      </c>
      <c r="CD152" s="36">
        <f>RawData!W150</f>
        <v>0</v>
      </c>
      <c r="CE152" s="40">
        <f>RawData!V150</f>
        <v>0</v>
      </c>
      <c r="CF152" s="40">
        <f>RawData!U150</f>
        <v>0</v>
      </c>
      <c r="CG152" s="40">
        <f>RawData!T150</f>
        <v>0</v>
      </c>
      <c r="CH152" s="44">
        <f>RawData!S150</f>
        <v>0</v>
      </c>
      <c r="CI152" s="44">
        <f>RawData!R150</f>
        <v>0</v>
      </c>
      <c r="CJ152" s="44">
        <f>RawData!Q150</f>
        <v>0</v>
      </c>
      <c r="CK152" s="44">
        <f>RawData!P150</f>
        <v>0</v>
      </c>
      <c r="CL152" s="44">
        <f>RawData!CJ150</f>
        <v>0</v>
      </c>
      <c r="CM152" s="43">
        <f>RawData!CI150</f>
        <v>0</v>
      </c>
      <c r="CN152" s="44">
        <f>RawData!CL150</f>
        <v>0</v>
      </c>
      <c r="CO152" s="43">
        <f>RawData!CK150</f>
        <v>0</v>
      </c>
      <c r="CP152" s="44">
        <f>RawData!CM150</f>
        <v>0</v>
      </c>
      <c r="CQ152" s="47">
        <f>RawData!CO150</f>
        <v>0</v>
      </c>
      <c r="CR152" s="44">
        <f>RawData!CP150</f>
        <v>0</v>
      </c>
      <c r="CS152" s="44">
        <f>RawData!DG150</f>
        <v>0</v>
      </c>
      <c r="CT152" s="43">
        <f>RawData!DJ150</f>
        <v>0</v>
      </c>
      <c r="CU152" s="43">
        <f>RawData!CQ150</f>
        <v>0</v>
      </c>
      <c r="CV152" s="47">
        <f>RawData!CR150</f>
        <v>0</v>
      </c>
      <c r="CW152" s="65">
        <f>RawData!DK150</f>
        <v>0</v>
      </c>
      <c r="CX152" s="65">
        <f>RawData!DL150</f>
        <v>0</v>
      </c>
      <c r="CY152" s="65">
        <f>RawData!DM150</f>
        <v>0</v>
      </c>
      <c r="CZ152" s="65">
        <f>RawData!DN150</f>
        <v>0</v>
      </c>
      <c r="DA152" s="65">
        <f>RawData!DO150</f>
        <v>0</v>
      </c>
      <c r="DB152" s="65">
        <f>RawData!DP150</f>
        <v>0</v>
      </c>
      <c r="DC152" s="65">
        <f>RawData!DQ150</f>
        <v>0</v>
      </c>
      <c r="DD152" s="65">
        <f>RawData!DR150</f>
        <v>0</v>
      </c>
      <c r="DE152" s="65">
        <f>RawData!DS150</f>
        <v>0</v>
      </c>
      <c r="DF152" s="65">
        <f>RawData!DT150</f>
        <v>0</v>
      </c>
      <c r="DG152" s="66">
        <f>RawData!DU150</f>
        <v>0</v>
      </c>
      <c r="DI152" s="21">
        <f t="shared" si="2"/>
        <v>0</v>
      </c>
    </row>
    <row r="153" spans="1:113" x14ac:dyDescent="0.2">
      <c r="A153" s="59">
        <f>RawData!CN151</f>
        <v>0</v>
      </c>
      <c r="B153" s="44">
        <f>RawData!CH151</f>
        <v>0</v>
      </c>
      <c r="C153" s="44">
        <f>RawData!CG151</f>
        <v>0</v>
      </c>
      <c r="D153" s="43">
        <f>RawData!CF151</f>
        <v>0</v>
      </c>
      <c r="E153" s="44">
        <f>RawData!CE151</f>
        <v>0</v>
      </c>
      <c r="F153" s="43">
        <f>RawData!CD151</f>
        <v>0</v>
      </c>
      <c r="G153" s="44">
        <f>RawData!CC151</f>
        <v>0</v>
      </c>
      <c r="H153" s="44">
        <f>RawData!CB151</f>
        <v>0</v>
      </c>
      <c r="I153" s="44">
        <f>RawData!CA151</f>
        <v>0</v>
      </c>
      <c r="J153" s="44">
        <f>RawData!BZ151</f>
        <v>0</v>
      </c>
      <c r="K153" s="40">
        <f>RawData!BY151</f>
        <v>0</v>
      </c>
      <c r="L153" s="40">
        <f>RawData!BX151</f>
        <v>0</v>
      </c>
      <c r="M153" s="40">
        <f>RawData!BW151</f>
        <v>0</v>
      </c>
      <c r="N153" s="40">
        <f>RawData!BV151</f>
        <v>0</v>
      </c>
      <c r="O153" s="36">
        <f>RawData!BU151</f>
        <v>0</v>
      </c>
      <c r="P153" s="36">
        <f>RawData!BT151</f>
        <v>0</v>
      </c>
      <c r="Q153" s="36">
        <f>RawData!BS151</f>
        <v>0</v>
      </c>
      <c r="R153" s="36">
        <f>RawData!BR151</f>
        <v>0</v>
      </c>
      <c r="S153" s="37">
        <f>RawData!BQ151</f>
        <v>0</v>
      </c>
      <c r="T153" s="37">
        <f>RawData!BP151</f>
        <v>0</v>
      </c>
      <c r="U153" s="38">
        <f>RawData!BO151</f>
        <v>0</v>
      </c>
      <c r="V153" s="38">
        <f>RawData!BN151</f>
        <v>0</v>
      </c>
      <c r="W153" s="39">
        <f>RawData!BM151</f>
        <v>0</v>
      </c>
      <c r="X153" s="39">
        <f>RawData!BL151</f>
        <v>0</v>
      </c>
      <c r="Y153" s="38">
        <f>RawData!BJ151</f>
        <v>0</v>
      </c>
      <c r="Z153" s="38">
        <f>RawData!BI151</f>
        <v>0</v>
      </c>
      <c r="AA153" s="40">
        <f>RawData!BH151</f>
        <v>0</v>
      </c>
      <c r="AB153" s="40">
        <f>RawData!BG151</f>
        <v>0</v>
      </c>
      <c r="AC153" s="40">
        <f>RawData!BF151</f>
        <v>0</v>
      </c>
      <c r="AD153" s="40">
        <f>RawData!BE151</f>
        <v>0</v>
      </c>
      <c r="AE153" s="40">
        <f>RawData!BD151</f>
        <v>0</v>
      </c>
      <c r="AF153" s="40">
        <f>RawData!BC151</f>
        <v>0</v>
      </c>
      <c r="AG153" s="41">
        <f>RawData!BB151</f>
        <v>0</v>
      </c>
      <c r="AH153" s="42">
        <f>RawData!DB151</f>
        <v>0</v>
      </c>
      <c r="AI153" s="41">
        <f>RawData!BA151</f>
        <v>0</v>
      </c>
      <c r="AJ153" s="43">
        <f>RawData!DA151</f>
        <v>0</v>
      </c>
      <c r="AK153" s="41">
        <f>RawData!AZ151</f>
        <v>0</v>
      </c>
      <c r="AL153" s="42">
        <f>RawData!DD151</f>
        <v>0</v>
      </c>
      <c r="AM153" s="44">
        <f>RawData!DC151</f>
        <v>0</v>
      </c>
      <c r="AN153" s="45">
        <f>RawData!BK151</f>
        <v>0</v>
      </c>
      <c r="AO153" s="44">
        <f>RawData!AY151</f>
        <v>0</v>
      </c>
      <c r="AP153" s="43">
        <f>RawData!DH151</f>
        <v>0</v>
      </c>
      <c r="AQ153" s="43">
        <f>RawData!DE151</f>
        <v>0</v>
      </c>
      <c r="AR153" s="42">
        <f>RawData!CZ151</f>
        <v>0</v>
      </c>
      <c r="AS153" s="44">
        <f>RawData!AX151</f>
        <v>0</v>
      </c>
      <c r="AT153" s="43">
        <f>RawData!CY151</f>
        <v>0</v>
      </c>
      <c r="AU153" s="44">
        <f>RawData!AW151</f>
        <v>0</v>
      </c>
      <c r="AV153" s="46">
        <f>RawData!O151</f>
        <v>0</v>
      </c>
      <c r="AW153" s="44">
        <f>RawData!AV151</f>
        <v>0</v>
      </c>
      <c r="AX153" s="44">
        <f>RawData!CW151</f>
        <v>0</v>
      </c>
      <c r="AY153" s="44">
        <f>RawData!AU151</f>
        <v>0</v>
      </c>
      <c r="AZ153" s="42">
        <f>RawData!CX151</f>
        <v>0</v>
      </c>
      <c r="BA153" s="44">
        <f>RawData!DF151</f>
        <v>0</v>
      </c>
      <c r="BB153" s="43">
        <f>RawData!DI151</f>
        <v>0</v>
      </c>
      <c r="BC153" s="44">
        <f>RawData!AT151</f>
        <v>0</v>
      </c>
      <c r="BD153" s="45">
        <f>RawData!AP151</f>
        <v>0</v>
      </c>
      <c r="BE153" s="44">
        <f>RawData!CS151</f>
        <v>0</v>
      </c>
      <c r="BF153" s="42">
        <f>RawData!CT151</f>
        <v>0</v>
      </c>
      <c r="BG153" s="41">
        <f>RawData!AS151</f>
        <v>0</v>
      </c>
      <c r="BH153" s="41">
        <f>RawData!CU151</f>
        <v>0</v>
      </c>
      <c r="BI153" s="41">
        <f>RawData!AR151</f>
        <v>0</v>
      </c>
      <c r="BJ153" s="42">
        <f>RawData!CV151</f>
        <v>0</v>
      </c>
      <c r="BK153" s="41">
        <f>RawData!AQ151</f>
        <v>0</v>
      </c>
      <c r="BL153" s="40">
        <f>RawData!AO151</f>
        <v>0</v>
      </c>
      <c r="BM153" s="40">
        <f>RawData!AN151</f>
        <v>0</v>
      </c>
      <c r="BN153" s="40">
        <f>RawData!AM151</f>
        <v>0</v>
      </c>
      <c r="BO153" s="40">
        <f>RawData!AL151</f>
        <v>0</v>
      </c>
      <c r="BP153" s="40">
        <f>RawData!AK151</f>
        <v>0</v>
      </c>
      <c r="BQ153" s="40">
        <f>RawData!AJ151</f>
        <v>0</v>
      </c>
      <c r="BR153" s="38">
        <f>RawData!AI151</f>
        <v>0</v>
      </c>
      <c r="BS153" s="38">
        <f>RawData!AH151</f>
        <v>0</v>
      </c>
      <c r="BT153" s="40">
        <f>RawData!AG151</f>
        <v>0</v>
      </c>
      <c r="BU153" s="39">
        <f>RawData!AF151</f>
        <v>0</v>
      </c>
      <c r="BV153" s="39">
        <f>RawData!AE151</f>
        <v>0</v>
      </c>
      <c r="BW153" s="38">
        <f>RawData!AD151</f>
        <v>0</v>
      </c>
      <c r="BX153" s="38">
        <f>RawData!AC151</f>
        <v>0</v>
      </c>
      <c r="BY153" s="37">
        <f>RawData!AB151</f>
        <v>0</v>
      </c>
      <c r="BZ153" s="37">
        <f>RawData!AA151</f>
        <v>0</v>
      </c>
      <c r="CA153" s="36">
        <f>RawData!Z151</f>
        <v>0</v>
      </c>
      <c r="CB153" s="36">
        <f>RawData!Y151</f>
        <v>0</v>
      </c>
      <c r="CC153" s="36">
        <f>RawData!X151</f>
        <v>0</v>
      </c>
      <c r="CD153" s="36">
        <f>RawData!W151</f>
        <v>0</v>
      </c>
      <c r="CE153" s="40">
        <f>RawData!V151</f>
        <v>0</v>
      </c>
      <c r="CF153" s="40">
        <f>RawData!U151</f>
        <v>0</v>
      </c>
      <c r="CG153" s="40">
        <f>RawData!T151</f>
        <v>0</v>
      </c>
      <c r="CH153" s="44">
        <f>RawData!S151</f>
        <v>0</v>
      </c>
      <c r="CI153" s="44">
        <f>RawData!R151</f>
        <v>0</v>
      </c>
      <c r="CJ153" s="44">
        <f>RawData!Q151</f>
        <v>0</v>
      </c>
      <c r="CK153" s="44">
        <f>RawData!P151</f>
        <v>0</v>
      </c>
      <c r="CL153" s="44">
        <f>RawData!CJ151</f>
        <v>0</v>
      </c>
      <c r="CM153" s="43">
        <f>RawData!CI151</f>
        <v>0</v>
      </c>
      <c r="CN153" s="44">
        <f>RawData!CL151</f>
        <v>0</v>
      </c>
      <c r="CO153" s="43">
        <f>RawData!CK151</f>
        <v>0</v>
      </c>
      <c r="CP153" s="44">
        <f>RawData!CM151</f>
        <v>0</v>
      </c>
      <c r="CQ153" s="47">
        <f>RawData!CO151</f>
        <v>0</v>
      </c>
      <c r="CR153" s="44">
        <f>RawData!CP151</f>
        <v>0</v>
      </c>
      <c r="CS153" s="44">
        <f>RawData!DG151</f>
        <v>0</v>
      </c>
      <c r="CT153" s="43">
        <f>RawData!DJ151</f>
        <v>0</v>
      </c>
      <c r="CU153" s="43">
        <f>RawData!CQ151</f>
        <v>0</v>
      </c>
      <c r="CV153" s="47">
        <f>RawData!CR151</f>
        <v>0</v>
      </c>
      <c r="CW153" s="65">
        <f>RawData!DK151</f>
        <v>0</v>
      </c>
      <c r="CX153" s="65">
        <f>RawData!DL151</f>
        <v>0</v>
      </c>
      <c r="CY153" s="65">
        <f>RawData!DM151</f>
        <v>0</v>
      </c>
      <c r="CZ153" s="65">
        <f>RawData!DN151</f>
        <v>0</v>
      </c>
      <c r="DA153" s="65">
        <f>RawData!DO151</f>
        <v>0</v>
      </c>
      <c r="DB153" s="65">
        <f>RawData!DP151</f>
        <v>0</v>
      </c>
      <c r="DC153" s="65">
        <f>RawData!DQ151</f>
        <v>0</v>
      </c>
      <c r="DD153" s="65">
        <f>RawData!DR151</f>
        <v>0</v>
      </c>
      <c r="DE153" s="65">
        <f>RawData!DS151</f>
        <v>0</v>
      </c>
      <c r="DF153" s="65">
        <f>RawData!DT151</f>
        <v>0</v>
      </c>
      <c r="DG153" s="66">
        <f>RawData!DU151</f>
        <v>0</v>
      </c>
      <c r="DI153" s="21">
        <f t="shared" si="2"/>
        <v>0</v>
      </c>
    </row>
    <row r="154" spans="1:113" x14ac:dyDescent="0.2">
      <c r="A154" s="59">
        <f>RawData!CN152</f>
        <v>0</v>
      </c>
      <c r="B154" s="44">
        <f>RawData!CH152</f>
        <v>0</v>
      </c>
      <c r="C154" s="44">
        <f>RawData!CG152</f>
        <v>0</v>
      </c>
      <c r="D154" s="43">
        <f>RawData!CF152</f>
        <v>0</v>
      </c>
      <c r="E154" s="44">
        <f>RawData!CE152</f>
        <v>0</v>
      </c>
      <c r="F154" s="43">
        <f>RawData!CD152</f>
        <v>0</v>
      </c>
      <c r="G154" s="44">
        <f>RawData!CC152</f>
        <v>0</v>
      </c>
      <c r="H154" s="44">
        <f>RawData!CB152</f>
        <v>0</v>
      </c>
      <c r="I154" s="44">
        <f>RawData!CA152</f>
        <v>0</v>
      </c>
      <c r="J154" s="44">
        <f>RawData!BZ152</f>
        <v>0</v>
      </c>
      <c r="K154" s="40">
        <f>RawData!BY152</f>
        <v>0</v>
      </c>
      <c r="L154" s="40">
        <f>RawData!BX152</f>
        <v>0</v>
      </c>
      <c r="M154" s="40">
        <f>RawData!BW152</f>
        <v>0</v>
      </c>
      <c r="N154" s="40">
        <f>RawData!BV152</f>
        <v>0</v>
      </c>
      <c r="O154" s="36">
        <f>RawData!BU152</f>
        <v>0</v>
      </c>
      <c r="P154" s="36">
        <f>RawData!BT152</f>
        <v>0</v>
      </c>
      <c r="Q154" s="36">
        <f>RawData!BS152</f>
        <v>0</v>
      </c>
      <c r="R154" s="36">
        <f>RawData!BR152</f>
        <v>0</v>
      </c>
      <c r="S154" s="37">
        <f>RawData!BQ152</f>
        <v>0</v>
      </c>
      <c r="T154" s="37">
        <f>RawData!BP152</f>
        <v>0</v>
      </c>
      <c r="U154" s="38">
        <f>RawData!BO152</f>
        <v>0</v>
      </c>
      <c r="V154" s="38">
        <f>RawData!BN152</f>
        <v>0</v>
      </c>
      <c r="W154" s="39">
        <f>RawData!BM152</f>
        <v>0</v>
      </c>
      <c r="X154" s="39">
        <f>RawData!BL152</f>
        <v>0</v>
      </c>
      <c r="Y154" s="38">
        <f>RawData!BJ152</f>
        <v>0</v>
      </c>
      <c r="Z154" s="38">
        <f>RawData!BI152</f>
        <v>0</v>
      </c>
      <c r="AA154" s="40">
        <f>RawData!BH152</f>
        <v>0</v>
      </c>
      <c r="AB154" s="40">
        <f>RawData!BG152</f>
        <v>0</v>
      </c>
      <c r="AC154" s="40">
        <f>RawData!BF152</f>
        <v>0</v>
      </c>
      <c r="AD154" s="40">
        <f>RawData!BE152</f>
        <v>0</v>
      </c>
      <c r="AE154" s="40">
        <f>RawData!BD152</f>
        <v>0</v>
      </c>
      <c r="AF154" s="40">
        <f>RawData!BC152</f>
        <v>0</v>
      </c>
      <c r="AG154" s="41">
        <f>RawData!BB152</f>
        <v>0</v>
      </c>
      <c r="AH154" s="42">
        <f>RawData!DB152</f>
        <v>0</v>
      </c>
      <c r="AI154" s="41">
        <f>RawData!BA152</f>
        <v>0</v>
      </c>
      <c r="AJ154" s="43">
        <f>RawData!DA152</f>
        <v>0</v>
      </c>
      <c r="AK154" s="41">
        <f>RawData!AZ152</f>
        <v>0</v>
      </c>
      <c r="AL154" s="42">
        <f>RawData!DD152</f>
        <v>0</v>
      </c>
      <c r="AM154" s="44">
        <f>RawData!DC152</f>
        <v>0</v>
      </c>
      <c r="AN154" s="45">
        <f>RawData!BK152</f>
        <v>0</v>
      </c>
      <c r="AO154" s="44">
        <f>RawData!AY152</f>
        <v>0</v>
      </c>
      <c r="AP154" s="43">
        <f>RawData!DH152</f>
        <v>0</v>
      </c>
      <c r="AQ154" s="43">
        <f>RawData!DE152</f>
        <v>0</v>
      </c>
      <c r="AR154" s="42">
        <f>RawData!CZ152</f>
        <v>0</v>
      </c>
      <c r="AS154" s="44">
        <f>RawData!AX152</f>
        <v>0</v>
      </c>
      <c r="AT154" s="43">
        <f>RawData!CY152</f>
        <v>0</v>
      </c>
      <c r="AU154" s="44">
        <f>RawData!AW152</f>
        <v>0</v>
      </c>
      <c r="AV154" s="46">
        <f>RawData!O152</f>
        <v>0</v>
      </c>
      <c r="AW154" s="44">
        <f>RawData!AV152</f>
        <v>0</v>
      </c>
      <c r="AX154" s="44">
        <f>RawData!CW152</f>
        <v>0</v>
      </c>
      <c r="AY154" s="44">
        <f>RawData!AU152</f>
        <v>0</v>
      </c>
      <c r="AZ154" s="42">
        <f>RawData!CX152</f>
        <v>0</v>
      </c>
      <c r="BA154" s="44">
        <f>RawData!DF152</f>
        <v>0</v>
      </c>
      <c r="BB154" s="43">
        <f>RawData!DI152</f>
        <v>0</v>
      </c>
      <c r="BC154" s="44">
        <f>RawData!AT152</f>
        <v>0</v>
      </c>
      <c r="BD154" s="45">
        <f>RawData!AP152</f>
        <v>0</v>
      </c>
      <c r="BE154" s="44">
        <f>RawData!CS152</f>
        <v>0</v>
      </c>
      <c r="BF154" s="42">
        <f>RawData!CT152</f>
        <v>0</v>
      </c>
      <c r="BG154" s="41">
        <f>RawData!AS152</f>
        <v>0</v>
      </c>
      <c r="BH154" s="41">
        <f>RawData!CU152</f>
        <v>0</v>
      </c>
      <c r="BI154" s="41">
        <f>RawData!AR152</f>
        <v>0</v>
      </c>
      <c r="BJ154" s="42">
        <f>RawData!CV152</f>
        <v>0</v>
      </c>
      <c r="BK154" s="41">
        <f>RawData!AQ152</f>
        <v>0</v>
      </c>
      <c r="BL154" s="40">
        <f>RawData!AO152</f>
        <v>0</v>
      </c>
      <c r="BM154" s="40">
        <f>RawData!AN152</f>
        <v>0</v>
      </c>
      <c r="BN154" s="40">
        <f>RawData!AM152</f>
        <v>0</v>
      </c>
      <c r="BO154" s="40">
        <f>RawData!AL152</f>
        <v>0</v>
      </c>
      <c r="BP154" s="40">
        <f>RawData!AK152</f>
        <v>0</v>
      </c>
      <c r="BQ154" s="40">
        <f>RawData!AJ152</f>
        <v>0</v>
      </c>
      <c r="BR154" s="38">
        <f>RawData!AI152</f>
        <v>0</v>
      </c>
      <c r="BS154" s="38">
        <f>RawData!AH152</f>
        <v>0</v>
      </c>
      <c r="BT154" s="40">
        <f>RawData!AG152</f>
        <v>0</v>
      </c>
      <c r="BU154" s="39">
        <f>RawData!AF152</f>
        <v>0</v>
      </c>
      <c r="BV154" s="39">
        <f>RawData!AE152</f>
        <v>0</v>
      </c>
      <c r="BW154" s="38">
        <f>RawData!AD152</f>
        <v>0</v>
      </c>
      <c r="BX154" s="38">
        <f>RawData!AC152</f>
        <v>0</v>
      </c>
      <c r="BY154" s="37">
        <f>RawData!AB152</f>
        <v>0</v>
      </c>
      <c r="BZ154" s="37">
        <f>RawData!AA152</f>
        <v>0</v>
      </c>
      <c r="CA154" s="36">
        <f>RawData!Z152</f>
        <v>0</v>
      </c>
      <c r="CB154" s="36">
        <f>RawData!Y152</f>
        <v>0</v>
      </c>
      <c r="CC154" s="36">
        <f>RawData!X152</f>
        <v>0</v>
      </c>
      <c r="CD154" s="36">
        <f>RawData!W152</f>
        <v>0</v>
      </c>
      <c r="CE154" s="40">
        <f>RawData!V152</f>
        <v>0</v>
      </c>
      <c r="CF154" s="40">
        <f>RawData!U152</f>
        <v>0</v>
      </c>
      <c r="CG154" s="40">
        <f>RawData!T152</f>
        <v>0</v>
      </c>
      <c r="CH154" s="44">
        <f>RawData!S152</f>
        <v>0</v>
      </c>
      <c r="CI154" s="44">
        <f>RawData!R152</f>
        <v>0</v>
      </c>
      <c r="CJ154" s="44">
        <f>RawData!Q152</f>
        <v>0</v>
      </c>
      <c r="CK154" s="44">
        <f>RawData!P152</f>
        <v>0</v>
      </c>
      <c r="CL154" s="44">
        <f>RawData!CJ152</f>
        <v>0</v>
      </c>
      <c r="CM154" s="43">
        <f>RawData!CI152</f>
        <v>0</v>
      </c>
      <c r="CN154" s="44">
        <f>RawData!CL152</f>
        <v>0</v>
      </c>
      <c r="CO154" s="43">
        <f>RawData!CK152</f>
        <v>0</v>
      </c>
      <c r="CP154" s="44">
        <f>RawData!CM152</f>
        <v>0</v>
      </c>
      <c r="CQ154" s="47">
        <f>RawData!CO152</f>
        <v>0</v>
      </c>
      <c r="CR154" s="44">
        <f>RawData!CP152</f>
        <v>0</v>
      </c>
      <c r="CS154" s="44">
        <f>RawData!DG152</f>
        <v>0</v>
      </c>
      <c r="CT154" s="43">
        <f>RawData!DJ152</f>
        <v>0</v>
      </c>
      <c r="CU154" s="43">
        <f>RawData!CQ152</f>
        <v>0</v>
      </c>
      <c r="CV154" s="47">
        <f>RawData!CR152</f>
        <v>0</v>
      </c>
      <c r="CW154" s="65">
        <f>RawData!DK152</f>
        <v>0</v>
      </c>
      <c r="CX154" s="65">
        <f>RawData!DL152</f>
        <v>0</v>
      </c>
      <c r="CY154" s="65">
        <f>RawData!DM152</f>
        <v>0</v>
      </c>
      <c r="CZ154" s="65">
        <f>RawData!DN152</f>
        <v>0</v>
      </c>
      <c r="DA154" s="65">
        <f>RawData!DO152</f>
        <v>0</v>
      </c>
      <c r="DB154" s="65">
        <f>RawData!DP152</f>
        <v>0</v>
      </c>
      <c r="DC154" s="65">
        <f>RawData!DQ152</f>
        <v>0</v>
      </c>
      <c r="DD154" s="65">
        <f>RawData!DR152</f>
        <v>0</v>
      </c>
      <c r="DE154" s="65">
        <f>RawData!DS152</f>
        <v>0</v>
      </c>
      <c r="DF154" s="65">
        <f>RawData!DT152</f>
        <v>0</v>
      </c>
      <c r="DG154" s="66">
        <f>RawData!DU152</f>
        <v>0</v>
      </c>
      <c r="DI154" s="21">
        <f t="shared" si="2"/>
        <v>0</v>
      </c>
    </row>
    <row r="155" spans="1:113" x14ac:dyDescent="0.2">
      <c r="A155" s="59">
        <f>RawData!CN153</f>
        <v>0</v>
      </c>
      <c r="B155" s="44">
        <f>RawData!CH153</f>
        <v>0</v>
      </c>
      <c r="C155" s="44">
        <f>RawData!CG153</f>
        <v>0</v>
      </c>
      <c r="D155" s="43">
        <f>RawData!CF153</f>
        <v>0</v>
      </c>
      <c r="E155" s="44">
        <f>RawData!CE153</f>
        <v>0</v>
      </c>
      <c r="F155" s="43">
        <f>RawData!CD153</f>
        <v>0</v>
      </c>
      <c r="G155" s="44">
        <f>RawData!CC153</f>
        <v>0</v>
      </c>
      <c r="H155" s="44">
        <f>RawData!CB153</f>
        <v>0</v>
      </c>
      <c r="I155" s="44">
        <f>RawData!CA153</f>
        <v>0</v>
      </c>
      <c r="J155" s="44">
        <f>RawData!BZ153</f>
        <v>0</v>
      </c>
      <c r="K155" s="40">
        <f>RawData!BY153</f>
        <v>0</v>
      </c>
      <c r="L155" s="40">
        <f>RawData!BX153</f>
        <v>0</v>
      </c>
      <c r="M155" s="40">
        <f>RawData!BW153</f>
        <v>0</v>
      </c>
      <c r="N155" s="40">
        <f>RawData!BV153</f>
        <v>0</v>
      </c>
      <c r="O155" s="36">
        <f>RawData!BU153</f>
        <v>0</v>
      </c>
      <c r="P155" s="36">
        <f>RawData!BT153</f>
        <v>0</v>
      </c>
      <c r="Q155" s="36">
        <f>RawData!BS153</f>
        <v>0</v>
      </c>
      <c r="R155" s="36">
        <f>RawData!BR153</f>
        <v>0</v>
      </c>
      <c r="S155" s="37">
        <f>RawData!BQ153</f>
        <v>0</v>
      </c>
      <c r="T155" s="37">
        <f>RawData!BP153</f>
        <v>0</v>
      </c>
      <c r="U155" s="38">
        <f>RawData!BO153</f>
        <v>0</v>
      </c>
      <c r="V155" s="38">
        <f>RawData!BN153</f>
        <v>0</v>
      </c>
      <c r="W155" s="39">
        <f>RawData!BM153</f>
        <v>0</v>
      </c>
      <c r="X155" s="39">
        <f>RawData!BL153</f>
        <v>0</v>
      </c>
      <c r="Y155" s="38">
        <f>RawData!BJ153</f>
        <v>0</v>
      </c>
      <c r="Z155" s="38">
        <f>RawData!BI153</f>
        <v>0</v>
      </c>
      <c r="AA155" s="40">
        <f>RawData!BH153</f>
        <v>0</v>
      </c>
      <c r="AB155" s="40">
        <f>RawData!BG153</f>
        <v>0</v>
      </c>
      <c r="AC155" s="40">
        <f>RawData!BF153</f>
        <v>0</v>
      </c>
      <c r="AD155" s="40">
        <f>RawData!BE153</f>
        <v>0</v>
      </c>
      <c r="AE155" s="40">
        <f>RawData!BD153</f>
        <v>0</v>
      </c>
      <c r="AF155" s="40">
        <f>RawData!BC153</f>
        <v>0</v>
      </c>
      <c r="AG155" s="41">
        <f>RawData!BB153</f>
        <v>0</v>
      </c>
      <c r="AH155" s="42">
        <f>RawData!DB153</f>
        <v>0</v>
      </c>
      <c r="AI155" s="41">
        <f>RawData!BA153</f>
        <v>0</v>
      </c>
      <c r="AJ155" s="43">
        <f>RawData!DA153</f>
        <v>0</v>
      </c>
      <c r="AK155" s="41">
        <f>RawData!AZ153</f>
        <v>0</v>
      </c>
      <c r="AL155" s="42">
        <f>RawData!DD153</f>
        <v>0</v>
      </c>
      <c r="AM155" s="44">
        <f>RawData!DC153</f>
        <v>0</v>
      </c>
      <c r="AN155" s="45">
        <f>RawData!BK153</f>
        <v>0</v>
      </c>
      <c r="AO155" s="44">
        <f>RawData!AY153</f>
        <v>0</v>
      </c>
      <c r="AP155" s="43">
        <f>RawData!DH153</f>
        <v>0</v>
      </c>
      <c r="AQ155" s="43">
        <f>RawData!DE153</f>
        <v>0</v>
      </c>
      <c r="AR155" s="42">
        <f>RawData!CZ153</f>
        <v>0</v>
      </c>
      <c r="AS155" s="44">
        <f>RawData!AX153</f>
        <v>0</v>
      </c>
      <c r="AT155" s="43">
        <f>RawData!CY153</f>
        <v>0</v>
      </c>
      <c r="AU155" s="44">
        <f>RawData!AW153</f>
        <v>0</v>
      </c>
      <c r="AV155" s="46">
        <f>RawData!O153</f>
        <v>0</v>
      </c>
      <c r="AW155" s="44">
        <f>RawData!AV153</f>
        <v>0</v>
      </c>
      <c r="AX155" s="44">
        <f>RawData!CW153</f>
        <v>0</v>
      </c>
      <c r="AY155" s="44">
        <f>RawData!AU153</f>
        <v>0</v>
      </c>
      <c r="AZ155" s="42">
        <f>RawData!CX153</f>
        <v>0</v>
      </c>
      <c r="BA155" s="44">
        <f>RawData!DF153</f>
        <v>0</v>
      </c>
      <c r="BB155" s="43">
        <f>RawData!DI153</f>
        <v>0</v>
      </c>
      <c r="BC155" s="44">
        <f>RawData!AT153</f>
        <v>0</v>
      </c>
      <c r="BD155" s="45">
        <f>RawData!AP153</f>
        <v>0</v>
      </c>
      <c r="BE155" s="44">
        <f>RawData!CS153</f>
        <v>0</v>
      </c>
      <c r="BF155" s="42">
        <f>RawData!CT153</f>
        <v>0</v>
      </c>
      <c r="BG155" s="41">
        <f>RawData!AS153</f>
        <v>0</v>
      </c>
      <c r="BH155" s="41">
        <f>RawData!CU153</f>
        <v>0</v>
      </c>
      <c r="BI155" s="41">
        <f>RawData!AR153</f>
        <v>0</v>
      </c>
      <c r="BJ155" s="42">
        <f>RawData!CV153</f>
        <v>0</v>
      </c>
      <c r="BK155" s="41">
        <f>RawData!AQ153</f>
        <v>0</v>
      </c>
      <c r="BL155" s="40">
        <f>RawData!AO153</f>
        <v>0</v>
      </c>
      <c r="BM155" s="40">
        <f>RawData!AN153</f>
        <v>0</v>
      </c>
      <c r="BN155" s="40">
        <f>RawData!AM153</f>
        <v>0</v>
      </c>
      <c r="BO155" s="40">
        <f>RawData!AL153</f>
        <v>0</v>
      </c>
      <c r="BP155" s="40">
        <f>RawData!AK153</f>
        <v>0</v>
      </c>
      <c r="BQ155" s="40">
        <f>RawData!AJ153</f>
        <v>0</v>
      </c>
      <c r="BR155" s="38">
        <f>RawData!AI153</f>
        <v>0</v>
      </c>
      <c r="BS155" s="38">
        <f>RawData!AH153</f>
        <v>0</v>
      </c>
      <c r="BT155" s="40">
        <f>RawData!AG153</f>
        <v>0</v>
      </c>
      <c r="BU155" s="39">
        <f>RawData!AF153</f>
        <v>0</v>
      </c>
      <c r="BV155" s="39">
        <f>RawData!AE153</f>
        <v>0</v>
      </c>
      <c r="BW155" s="38">
        <f>RawData!AD153</f>
        <v>0</v>
      </c>
      <c r="BX155" s="38">
        <f>RawData!AC153</f>
        <v>0</v>
      </c>
      <c r="BY155" s="37">
        <f>RawData!AB153</f>
        <v>0</v>
      </c>
      <c r="BZ155" s="37">
        <f>RawData!AA153</f>
        <v>0</v>
      </c>
      <c r="CA155" s="36">
        <f>RawData!Z153</f>
        <v>0</v>
      </c>
      <c r="CB155" s="36">
        <f>RawData!Y153</f>
        <v>0</v>
      </c>
      <c r="CC155" s="36">
        <f>RawData!X153</f>
        <v>0</v>
      </c>
      <c r="CD155" s="36">
        <f>RawData!W153</f>
        <v>0</v>
      </c>
      <c r="CE155" s="40">
        <f>RawData!V153</f>
        <v>0</v>
      </c>
      <c r="CF155" s="40">
        <f>RawData!U153</f>
        <v>0</v>
      </c>
      <c r="CG155" s="40">
        <f>RawData!T153</f>
        <v>0</v>
      </c>
      <c r="CH155" s="44">
        <f>RawData!S153</f>
        <v>0</v>
      </c>
      <c r="CI155" s="44">
        <f>RawData!R153</f>
        <v>0</v>
      </c>
      <c r="CJ155" s="44">
        <f>RawData!Q153</f>
        <v>0</v>
      </c>
      <c r="CK155" s="44">
        <f>RawData!P153</f>
        <v>0</v>
      </c>
      <c r="CL155" s="44">
        <f>RawData!CJ153</f>
        <v>0</v>
      </c>
      <c r="CM155" s="43">
        <f>RawData!CI153</f>
        <v>0</v>
      </c>
      <c r="CN155" s="44">
        <f>RawData!CL153</f>
        <v>0</v>
      </c>
      <c r="CO155" s="43">
        <f>RawData!CK153</f>
        <v>0</v>
      </c>
      <c r="CP155" s="44">
        <f>RawData!CM153</f>
        <v>0</v>
      </c>
      <c r="CQ155" s="47">
        <f>RawData!CO153</f>
        <v>0</v>
      </c>
      <c r="CR155" s="44">
        <f>RawData!CP153</f>
        <v>0</v>
      </c>
      <c r="CS155" s="44">
        <f>RawData!DG153</f>
        <v>0</v>
      </c>
      <c r="CT155" s="43">
        <f>RawData!DJ153</f>
        <v>0</v>
      </c>
      <c r="CU155" s="43">
        <f>RawData!CQ153</f>
        <v>0</v>
      </c>
      <c r="CV155" s="47">
        <f>RawData!CR153</f>
        <v>0</v>
      </c>
      <c r="CW155" s="65">
        <f>RawData!DK153</f>
        <v>0</v>
      </c>
      <c r="CX155" s="65">
        <f>RawData!DL153</f>
        <v>0</v>
      </c>
      <c r="CY155" s="65">
        <f>RawData!DM153</f>
        <v>0</v>
      </c>
      <c r="CZ155" s="65">
        <f>RawData!DN153</f>
        <v>0</v>
      </c>
      <c r="DA155" s="65">
        <f>RawData!DO153</f>
        <v>0</v>
      </c>
      <c r="DB155" s="65">
        <f>RawData!DP153</f>
        <v>0</v>
      </c>
      <c r="DC155" s="65">
        <f>RawData!DQ153</f>
        <v>0</v>
      </c>
      <c r="DD155" s="65">
        <f>RawData!DR153</f>
        <v>0</v>
      </c>
      <c r="DE155" s="65">
        <f>RawData!DS153</f>
        <v>0</v>
      </c>
      <c r="DF155" s="65">
        <f>RawData!DT153</f>
        <v>0</v>
      </c>
      <c r="DG155" s="66">
        <f>RawData!DU153</f>
        <v>0</v>
      </c>
      <c r="DI155" s="21">
        <f t="shared" si="2"/>
        <v>0</v>
      </c>
    </row>
    <row r="156" spans="1:113" x14ac:dyDescent="0.2">
      <c r="A156" s="59">
        <f>RawData!CN154</f>
        <v>0</v>
      </c>
      <c r="B156" s="44">
        <f>RawData!CH154</f>
        <v>0</v>
      </c>
      <c r="C156" s="44">
        <f>RawData!CG154</f>
        <v>0</v>
      </c>
      <c r="D156" s="43">
        <f>RawData!CF154</f>
        <v>0</v>
      </c>
      <c r="E156" s="44">
        <f>RawData!CE154</f>
        <v>0</v>
      </c>
      <c r="F156" s="43">
        <f>RawData!CD154</f>
        <v>0</v>
      </c>
      <c r="G156" s="44">
        <f>RawData!CC154</f>
        <v>0</v>
      </c>
      <c r="H156" s="44">
        <f>RawData!CB154</f>
        <v>0</v>
      </c>
      <c r="I156" s="44">
        <f>RawData!CA154</f>
        <v>0</v>
      </c>
      <c r="J156" s="44">
        <f>RawData!BZ154</f>
        <v>0</v>
      </c>
      <c r="K156" s="40">
        <f>RawData!BY154</f>
        <v>0</v>
      </c>
      <c r="L156" s="40">
        <f>RawData!BX154</f>
        <v>0</v>
      </c>
      <c r="M156" s="40">
        <f>RawData!BW154</f>
        <v>0</v>
      </c>
      <c r="N156" s="40">
        <f>RawData!BV154</f>
        <v>0</v>
      </c>
      <c r="O156" s="36">
        <f>RawData!BU154</f>
        <v>0</v>
      </c>
      <c r="P156" s="36">
        <f>RawData!BT154</f>
        <v>0</v>
      </c>
      <c r="Q156" s="36">
        <f>RawData!BS154</f>
        <v>0</v>
      </c>
      <c r="R156" s="36">
        <f>RawData!BR154</f>
        <v>0</v>
      </c>
      <c r="S156" s="37">
        <f>RawData!BQ154</f>
        <v>0</v>
      </c>
      <c r="T156" s="37">
        <f>RawData!BP154</f>
        <v>0</v>
      </c>
      <c r="U156" s="38">
        <f>RawData!BO154</f>
        <v>0</v>
      </c>
      <c r="V156" s="38">
        <f>RawData!BN154</f>
        <v>0</v>
      </c>
      <c r="W156" s="39">
        <f>RawData!BM154</f>
        <v>0</v>
      </c>
      <c r="X156" s="39">
        <f>RawData!BL154</f>
        <v>0</v>
      </c>
      <c r="Y156" s="38">
        <f>RawData!BJ154</f>
        <v>0</v>
      </c>
      <c r="Z156" s="38">
        <f>RawData!BI154</f>
        <v>0</v>
      </c>
      <c r="AA156" s="40">
        <f>RawData!BH154</f>
        <v>0</v>
      </c>
      <c r="AB156" s="40">
        <f>RawData!BG154</f>
        <v>0</v>
      </c>
      <c r="AC156" s="40">
        <f>RawData!BF154</f>
        <v>0</v>
      </c>
      <c r="AD156" s="40">
        <f>RawData!BE154</f>
        <v>0</v>
      </c>
      <c r="AE156" s="40">
        <f>RawData!BD154</f>
        <v>0</v>
      </c>
      <c r="AF156" s="40">
        <f>RawData!BC154</f>
        <v>0</v>
      </c>
      <c r="AG156" s="41">
        <f>RawData!BB154</f>
        <v>0</v>
      </c>
      <c r="AH156" s="42">
        <f>RawData!DB154</f>
        <v>0</v>
      </c>
      <c r="AI156" s="41">
        <f>RawData!BA154</f>
        <v>0</v>
      </c>
      <c r="AJ156" s="43">
        <f>RawData!DA154</f>
        <v>0</v>
      </c>
      <c r="AK156" s="41">
        <f>RawData!AZ154</f>
        <v>0</v>
      </c>
      <c r="AL156" s="42">
        <f>RawData!DD154</f>
        <v>0</v>
      </c>
      <c r="AM156" s="44">
        <f>RawData!DC154</f>
        <v>0</v>
      </c>
      <c r="AN156" s="45">
        <f>RawData!BK154</f>
        <v>0</v>
      </c>
      <c r="AO156" s="44">
        <f>RawData!AY154</f>
        <v>0</v>
      </c>
      <c r="AP156" s="43">
        <f>RawData!DH154</f>
        <v>0</v>
      </c>
      <c r="AQ156" s="43">
        <f>RawData!DE154</f>
        <v>0</v>
      </c>
      <c r="AR156" s="42">
        <f>RawData!CZ154</f>
        <v>0</v>
      </c>
      <c r="AS156" s="44">
        <f>RawData!AX154</f>
        <v>0</v>
      </c>
      <c r="AT156" s="43">
        <f>RawData!CY154</f>
        <v>0</v>
      </c>
      <c r="AU156" s="44">
        <f>RawData!AW154</f>
        <v>0</v>
      </c>
      <c r="AV156" s="46">
        <f>RawData!O154</f>
        <v>0</v>
      </c>
      <c r="AW156" s="44">
        <f>RawData!AV154</f>
        <v>0</v>
      </c>
      <c r="AX156" s="44">
        <f>RawData!CW154</f>
        <v>0</v>
      </c>
      <c r="AY156" s="44">
        <f>RawData!AU154</f>
        <v>0</v>
      </c>
      <c r="AZ156" s="42">
        <f>RawData!CX154</f>
        <v>0</v>
      </c>
      <c r="BA156" s="44">
        <f>RawData!DF154</f>
        <v>0</v>
      </c>
      <c r="BB156" s="43">
        <f>RawData!DI154</f>
        <v>0</v>
      </c>
      <c r="BC156" s="44">
        <f>RawData!AT154</f>
        <v>0</v>
      </c>
      <c r="BD156" s="45">
        <f>RawData!AP154</f>
        <v>0</v>
      </c>
      <c r="BE156" s="44">
        <f>RawData!CS154</f>
        <v>0</v>
      </c>
      <c r="BF156" s="42">
        <f>RawData!CT154</f>
        <v>0</v>
      </c>
      <c r="BG156" s="41">
        <f>RawData!AS154</f>
        <v>0</v>
      </c>
      <c r="BH156" s="41">
        <f>RawData!CU154</f>
        <v>0</v>
      </c>
      <c r="BI156" s="41">
        <f>RawData!AR154</f>
        <v>0</v>
      </c>
      <c r="BJ156" s="42">
        <f>RawData!CV154</f>
        <v>0</v>
      </c>
      <c r="BK156" s="41">
        <f>RawData!AQ154</f>
        <v>0</v>
      </c>
      <c r="BL156" s="40">
        <f>RawData!AO154</f>
        <v>0</v>
      </c>
      <c r="BM156" s="40">
        <f>RawData!AN154</f>
        <v>0</v>
      </c>
      <c r="BN156" s="40">
        <f>RawData!AM154</f>
        <v>0</v>
      </c>
      <c r="BO156" s="40">
        <f>RawData!AL154</f>
        <v>0</v>
      </c>
      <c r="BP156" s="40">
        <f>RawData!AK154</f>
        <v>0</v>
      </c>
      <c r="BQ156" s="40">
        <f>RawData!AJ154</f>
        <v>0</v>
      </c>
      <c r="BR156" s="38">
        <f>RawData!AI154</f>
        <v>0</v>
      </c>
      <c r="BS156" s="38">
        <f>RawData!AH154</f>
        <v>0</v>
      </c>
      <c r="BT156" s="40">
        <f>RawData!AG154</f>
        <v>0</v>
      </c>
      <c r="BU156" s="39">
        <f>RawData!AF154</f>
        <v>0</v>
      </c>
      <c r="BV156" s="39">
        <f>RawData!AE154</f>
        <v>0</v>
      </c>
      <c r="BW156" s="38">
        <f>RawData!AD154</f>
        <v>0</v>
      </c>
      <c r="BX156" s="38">
        <f>RawData!AC154</f>
        <v>0</v>
      </c>
      <c r="BY156" s="37">
        <f>RawData!AB154</f>
        <v>0</v>
      </c>
      <c r="BZ156" s="37">
        <f>RawData!AA154</f>
        <v>0</v>
      </c>
      <c r="CA156" s="36">
        <f>RawData!Z154</f>
        <v>0</v>
      </c>
      <c r="CB156" s="36">
        <f>RawData!Y154</f>
        <v>0</v>
      </c>
      <c r="CC156" s="36">
        <f>RawData!X154</f>
        <v>0</v>
      </c>
      <c r="CD156" s="36">
        <f>RawData!W154</f>
        <v>0</v>
      </c>
      <c r="CE156" s="40">
        <f>RawData!V154</f>
        <v>0</v>
      </c>
      <c r="CF156" s="40">
        <f>RawData!U154</f>
        <v>0</v>
      </c>
      <c r="CG156" s="40">
        <f>RawData!T154</f>
        <v>0</v>
      </c>
      <c r="CH156" s="44">
        <f>RawData!S154</f>
        <v>0</v>
      </c>
      <c r="CI156" s="44">
        <f>RawData!R154</f>
        <v>0</v>
      </c>
      <c r="CJ156" s="44">
        <f>RawData!Q154</f>
        <v>0</v>
      </c>
      <c r="CK156" s="44">
        <f>RawData!P154</f>
        <v>0</v>
      </c>
      <c r="CL156" s="44">
        <f>RawData!CJ154</f>
        <v>0</v>
      </c>
      <c r="CM156" s="43">
        <f>RawData!CI154</f>
        <v>0</v>
      </c>
      <c r="CN156" s="44">
        <f>RawData!CL154</f>
        <v>0</v>
      </c>
      <c r="CO156" s="43">
        <f>RawData!CK154</f>
        <v>0</v>
      </c>
      <c r="CP156" s="44">
        <f>RawData!CM154</f>
        <v>0</v>
      </c>
      <c r="CQ156" s="47">
        <f>RawData!CO154</f>
        <v>0</v>
      </c>
      <c r="CR156" s="44">
        <f>RawData!CP154</f>
        <v>0</v>
      </c>
      <c r="CS156" s="44">
        <f>RawData!DG154</f>
        <v>0</v>
      </c>
      <c r="CT156" s="43">
        <f>RawData!DJ154</f>
        <v>0</v>
      </c>
      <c r="CU156" s="43">
        <f>RawData!CQ154</f>
        <v>0</v>
      </c>
      <c r="CV156" s="47">
        <f>RawData!CR154</f>
        <v>0</v>
      </c>
      <c r="CW156" s="65">
        <f>RawData!DK154</f>
        <v>0</v>
      </c>
      <c r="CX156" s="65">
        <f>RawData!DL154</f>
        <v>0</v>
      </c>
      <c r="CY156" s="65">
        <f>RawData!DM154</f>
        <v>0</v>
      </c>
      <c r="CZ156" s="65">
        <f>RawData!DN154</f>
        <v>0</v>
      </c>
      <c r="DA156" s="65">
        <f>RawData!DO154</f>
        <v>0</v>
      </c>
      <c r="DB156" s="65">
        <f>RawData!DP154</f>
        <v>0</v>
      </c>
      <c r="DC156" s="65">
        <f>RawData!DQ154</f>
        <v>0</v>
      </c>
      <c r="DD156" s="65">
        <f>RawData!DR154</f>
        <v>0</v>
      </c>
      <c r="DE156" s="65">
        <f>RawData!DS154</f>
        <v>0</v>
      </c>
      <c r="DF156" s="65">
        <f>RawData!DT154</f>
        <v>0</v>
      </c>
      <c r="DG156" s="66">
        <f>RawData!DU154</f>
        <v>0</v>
      </c>
      <c r="DI156" s="21">
        <f t="shared" si="2"/>
        <v>0</v>
      </c>
    </row>
    <row r="157" spans="1:113" x14ac:dyDescent="0.2">
      <c r="A157" s="59">
        <f>RawData!CN155</f>
        <v>0</v>
      </c>
      <c r="B157" s="44">
        <f>RawData!CH155</f>
        <v>0</v>
      </c>
      <c r="C157" s="44">
        <f>RawData!CG155</f>
        <v>0</v>
      </c>
      <c r="D157" s="43">
        <f>RawData!CF155</f>
        <v>0</v>
      </c>
      <c r="E157" s="44">
        <f>RawData!CE155</f>
        <v>0</v>
      </c>
      <c r="F157" s="43">
        <f>RawData!CD155</f>
        <v>0</v>
      </c>
      <c r="G157" s="44">
        <f>RawData!CC155</f>
        <v>0</v>
      </c>
      <c r="H157" s="44">
        <f>RawData!CB155</f>
        <v>0</v>
      </c>
      <c r="I157" s="44">
        <f>RawData!CA155</f>
        <v>0</v>
      </c>
      <c r="J157" s="44">
        <f>RawData!BZ155</f>
        <v>0</v>
      </c>
      <c r="K157" s="40">
        <f>RawData!BY155</f>
        <v>0</v>
      </c>
      <c r="L157" s="40">
        <f>RawData!BX155</f>
        <v>0</v>
      </c>
      <c r="M157" s="40">
        <f>RawData!BW155</f>
        <v>0</v>
      </c>
      <c r="N157" s="40">
        <f>RawData!BV155</f>
        <v>0</v>
      </c>
      <c r="O157" s="36">
        <f>RawData!BU155</f>
        <v>0</v>
      </c>
      <c r="P157" s="36">
        <f>RawData!BT155</f>
        <v>0</v>
      </c>
      <c r="Q157" s="36">
        <f>RawData!BS155</f>
        <v>0</v>
      </c>
      <c r="R157" s="36">
        <f>RawData!BR155</f>
        <v>0</v>
      </c>
      <c r="S157" s="37">
        <f>RawData!BQ155</f>
        <v>0</v>
      </c>
      <c r="T157" s="37">
        <f>RawData!BP155</f>
        <v>0</v>
      </c>
      <c r="U157" s="38">
        <f>RawData!BO155</f>
        <v>0</v>
      </c>
      <c r="V157" s="38">
        <f>RawData!BN155</f>
        <v>0</v>
      </c>
      <c r="W157" s="39">
        <f>RawData!BM155</f>
        <v>0</v>
      </c>
      <c r="X157" s="39">
        <f>RawData!BL155</f>
        <v>0</v>
      </c>
      <c r="Y157" s="38">
        <f>RawData!BJ155</f>
        <v>0</v>
      </c>
      <c r="Z157" s="38">
        <f>RawData!BI155</f>
        <v>0</v>
      </c>
      <c r="AA157" s="40">
        <f>RawData!BH155</f>
        <v>0</v>
      </c>
      <c r="AB157" s="40">
        <f>RawData!BG155</f>
        <v>0</v>
      </c>
      <c r="AC157" s="40">
        <f>RawData!BF155</f>
        <v>0</v>
      </c>
      <c r="AD157" s="40">
        <f>RawData!BE155</f>
        <v>0</v>
      </c>
      <c r="AE157" s="40">
        <f>RawData!BD155</f>
        <v>0</v>
      </c>
      <c r="AF157" s="40">
        <f>RawData!BC155</f>
        <v>0</v>
      </c>
      <c r="AG157" s="41">
        <f>RawData!BB155</f>
        <v>0</v>
      </c>
      <c r="AH157" s="42">
        <f>RawData!DB155</f>
        <v>0</v>
      </c>
      <c r="AI157" s="41">
        <f>RawData!BA155</f>
        <v>0</v>
      </c>
      <c r="AJ157" s="43">
        <f>RawData!DA155</f>
        <v>0</v>
      </c>
      <c r="AK157" s="41">
        <f>RawData!AZ155</f>
        <v>0</v>
      </c>
      <c r="AL157" s="42">
        <f>RawData!DD155</f>
        <v>0</v>
      </c>
      <c r="AM157" s="44">
        <f>RawData!DC155</f>
        <v>0</v>
      </c>
      <c r="AN157" s="45">
        <f>RawData!BK155</f>
        <v>0</v>
      </c>
      <c r="AO157" s="44">
        <f>RawData!AY155</f>
        <v>0</v>
      </c>
      <c r="AP157" s="43">
        <f>RawData!DH155</f>
        <v>0</v>
      </c>
      <c r="AQ157" s="43">
        <f>RawData!DE155</f>
        <v>0</v>
      </c>
      <c r="AR157" s="42">
        <f>RawData!CZ155</f>
        <v>0</v>
      </c>
      <c r="AS157" s="44">
        <f>RawData!AX155</f>
        <v>0</v>
      </c>
      <c r="AT157" s="43">
        <f>RawData!CY155</f>
        <v>0</v>
      </c>
      <c r="AU157" s="44">
        <f>RawData!AW155</f>
        <v>0</v>
      </c>
      <c r="AV157" s="46">
        <f>RawData!O155</f>
        <v>0</v>
      </c>
      <c r="AW157" s="44">
        <f>RawData!AV155</f>
        <v>0</v>
      </c>
      <c r="AX157" s="44">
        <f>RawData!CW155</f>
        <v>0</v>
      </c>
      <c r="AY157" s="44">
        <f>RawData!AU155</f>
        <v>0</v>
      </c>
      <c r="AZ157" s="42">
        <f>RawData!CX155</f>
        <v>0</v>
      </c>
      <c r="BA157" s="44">
        <f>RawData!DF155</f>
        <v>0</v>
      </c>
      <c r="BB157" s="43">
        <f>RawData!DI155</f>
        <v>0</v>
      </c>
      <c r="BC157" s="44">
        <f>RawData!AT155</f>
        <v>0</v>
      </c>
      <c r="BD157" s="45">
        <f>RawData!AP155</f>
        <v>0</v>
      </c>
      <c r="BE157" s="44">
        <f>RawData!CS155</f>
        <v>0</v>
      </c>
      <c r="BF157" s="42">
        <f>RawData!CT155</f>
        <v>0</v>
      </c>
      <c r="BG157" s="41">
        <f>RawData!AS155</f>
        <v>0</v>
      </c>
      <c r="BH157" s="41">
        <f>RawData!CU155</f>
        <v>0</v>
      </c>
      <c r="BI157" s="41">
        <f>RawData!AR155</f>
        <v>0</v>
      </c>
      <c r="BJ157" s="42">
        <f>RawData!CV155</f>
        <v>0</v>
      </c>
      <c r="BK157" s="41">
        <f>RawData!AQ155</f>
        <v>0</v>
      </c>
      <c r="BL157" s="40">
        <f>RawData!AO155</f>
        <v>0</v>
      </c>
      <c r="BM157" s="40">
        <f>RawData!AN155</f>
        <v>0</v>
      </c>
      <c r="BN157" s="40">
        <f>RawData!AM155</f>
        <v>0</v>
      </c>
      <c r="BO157" s="40">
        <f>RawData!AL155</f>
        <v>0</v>
      </c>
      <c r="BP157" s="40">
        <f>RawData!AK155</f>
        <v>0</v>
      </c>
      <c r="BQ157" s="40">
        <f>RawData!AJ155</f>
        <v>0</v>
      </c>
      <c r="BR157" s="38">
        <f>RawData!AI155</f>
        <v>0</v>
      </c>
      <c r="BS157" s="38">
        <f>RawData!AH155</f>
        <v>0</v>
      </c>
      <c r="BT157" s="40">
        <f>RawData!AG155</f>
        <v>0</v>
      </c>
      <c r="BU157" s="39">
        <f>RawData!AF155</f>
        <v>0</v>
      </c>
      <c r="BV157" s="39">
        <f>RawData!AE155</f>
        <v>0</v>
      </c>
      <c r="BW157" s="38">
        <f>RawData!AD155</f>
        <v>0</v>
      </c>
      <c r="BX157" s="38">
        <f>RawData!AC155</f>
        <v>0</v>
      </c>
      <c r="BY157" s="37">
        <f>RawData!AB155</f>
        <v>0</v>
      </c>
      <c r="BZ157" s="37">
        <f>RawData!AA155</f>
        <v>0</v>
      </c>
      <c r="CA157" s="36">
        <f>RawData!Z155</f>
        <v>0</v>
      </c>
      <c r="CB157" s="36">
        <f>RawData!Y155</f>
        <v>0</v>
      </c>
      <c r="CC157" s="36">
        <f>RawData!X155</f>
        <v>0</v>
      </c>
      <c r="CD157" s="36">
        <f>RawData!W155</f>
        <v>0</v>
      </c>
      <c r="CE157" s="40">
        <f>RawData!V155</f>
        <v>0</v>
      </c>
      <c r="CF157" s="40">
        <f>RawData!U155</f>
        <v>0</v>
      </c>
      <c r="CG157" s="40">
        <f>RawData!T155</f>
        <v>0</v>
      </c>
      <c r="CH157" s="44">
        <f>RawData!S155</f>
        <v>0</v>
      </c>
      <c r="CI157" s="44">
        <f>RawData!R155</f>
        <v>0</v>
      </c>
      <c r="CJ157" s="44">
        <f>RawData!Q155</f>
        <v>0</v>
      </c>
      <c r="CK157" s="44">
        <f>RawData!P155</f>
        <v>0</v>
      </c>
      <c r="CL157" s="44">
        <f>RawData!CJ155</f>
        <v>0</v>
      </c>
      <c r="CM157" s="43">
        <f>RawData!CI155</f>
        <v>0</v>
      </c>
      <c r="CN157" s="44">
        <f>RawData!CL155</f>
        <v>0</v>
      </c>
      <c r="CO157" s="43">
        <f>RawData!CK155</f>
        <v>0</v>
      </c>
      <c r="CP157" s="44">
        <f>RawData!CM155</f>
        <v>0</v>
      </c>
      <c r="CQ157" s="47">
        <f>RawData!CO155</f>
        <v>0</v>
      </c>
      <c r="CR157" s="44">
        <f>RawData!CP155</f>
        <v>0</v>
      </c>
      <c r="CS157" s="44">
        <f>RawData!DG155</f>
        <v>0</v>
      </c>
      <c r="CT157" s="43">
        <f>RawData!DJ155</f>
        <v>0</v>
      </c>
      <c r="CU157" s="43">
        <f>RawData!CQ155</f>
        <v>0</v>
      </c>
      <c r="CV157" s="47">
        <f>RawData!CR155</f>
        <v>0</v>
      </c>
      <c r="CW157" s="65">
        <f>RawData!DK155</f>
        <v>0</v>
      </c>
      <c r="CX157" s="65">
        <f>RawData!DL155</f>
        <v>0</v>
      </c>
      <c r="CY157" s="65">
        <f>RawData!DM155</f>
        <v>0</v>
      </c>
      <c r="CZ157" s="65">
        <f>RawData!DN155</f>
        <v>0</v>
      </c>
      <c r="DA157" s="65">
        <f>RawData!DO155</f>
        <v>0</v>
      </c>
      <c r="DB157" s="65">
        <f>RawData!DP155</f>
        <v>0</v>
      </c>
      <c r="DC157" s="65">
        <f>RawData!DQ155</f>
        <v>0</v>
      </c>
      <c r="DD157" s="65">
        <f>RawData!DR155</f>
        <v>0</v>
      </c>
      <c r="DE157" s="65">
        <f>RawData!DS155</f>
        <v>0</v>
      </c>
      <c r="DF157" s="65">
        <f>RawData!DT155</f>
        <v>0</v>
      </c>
      <c r="DG157" s="66">
        <f>RawData!DU155</f>
        <v>0</v>
      </c>
      <c r="DI157" s="21">
        <f t="shared" si="2"/>
        <v>0</v>
      </c>
    </row>
    <row r="158" spans="1:113" x14ac:dyDescent="0.2">
      <c r="A158" s="59">
        <f>RawData!CN156</f>
        <v>0</v>
      </c>
      <c r="B158" s="44">
        <f>RawData!CH156</f>
        <v>0</v>
      </c>
      <c r="C158" s="44">
        <f>RawData!CG156</f>
        <v>0</v>
      </c>
      <c r="D158" s="43">
        <f>RawData!CF156</f>
        <v>0</v>
      </c>
      <c r="E158" s="44">
        <f>RawData!CE156</f>
        <v>0</v>
      </c>
      <c r="F158" s="43">
        <f>RawData!CD156</f>
        <v>0</v>
      </c>
      <c r="G158" s="44">
        <f>RawData!CC156</f>
        <v>0</v>
      </c>
      <c r="H158" s="44">
        <f>RawData!CB156</f>
        <v>0</v>
      </c>
      <c r="I158" s="44">
        <f>RawData!CA156</f>
        <v>0</v>
      </c>
      <c r="J158" s="44">
        <f>RawData!BZ156</f>
        <v>0</v>
      </c>
      <c r="K158" s="40">
        <f>RawData!BY156</f>
        <v>0</v>
      </c>
      <c r="L158" s="40">
        <f>RawData!BX156</f>
        <v>0</v>
      </c>
      <c r="M158" s="40">
        <f>RawData!BW156</f>
        <v>0</v>
      </c>
      <c r="N158" s="40">
        <f>RawData!BV156</f>
        <v>0</v>
      </c>
      <c r="O158" s="36">
        <f>RawData!BU156</f>
        <v>0</v>
      </c>
      <c r="P158" s="36">
        <f>RawData!BT156</f>
        <v>0</v>
      </c>
      <c r="Q158" s="36">
        <f>RawData!BS156</f>
        <v>0</v>
      </c>
      <c r="R158" s="36">
        <f>RawData!BR156</f>
        <v>0</v>
      </c>
      <c r="S158" s="37">
        <f>RawData!BQ156</f>
        <v>0</v>
      </c>
      <c r="T158" s="37">
        <f>RawData!BP156</f>
        <v>0</v>
      </c>
      <c r="U158" s="38">
        <f>RawData!BO156</f>
        <v>0</v>
      </c>
      <c r="V158" s="38">
        <f>RawData!BN156</f>
        <v>0</v>
      </c>
      <c r="W158" s="39">
        <f>RawData!BM156</f>
        <v>0</v>
      </c>
      <c r="X158" s="39">
        <f>RawData!BL156</f>
        <v>0</v>
      </c>
      <c r="Y158" s="38">
        <f>RawData!BJ156</f>
        <v>0</v>
      </c>
      <c r="Z158" s="38">
        <f>RawData!BI156</f>
        <v>0</v>
      </c>
      <c r="AA158" s="40">
        <f>RawData!BH156</f>
        <v>0</v>
      </c>
      <c r="AB158" s="40">
        <f>RawData!BG156</f>
        <v>0</v>
      </c>
      <c r="AC158" s="40">
        <f>RawData!BF156</f>
        <v>0</v>
      </c>
      <c r="AD158" s="40">
        <f>RawData!BE156</f>
        <v>0</v>
      </c>
      <c r="AE158" s="40">
        <f>RawData!BD156</f>
        <v>0</v>
      </c>
      <c r="AF158" s="40">
        <f>RawData!BC156</f>
        <v>0</v>
      </c>
      <c r="AG158" s="41">
        <f>RawData!BB156</f>
        <v>0</v>
      </c>
      <c r="AH158" s="42">
        <f>RawData!DB156</f>
        <v>0</v>
      </c>
      <c r="AI158" s="41">
        <f>RawData!BA156</f>
        <v>0</v>
      </c>
      <c r="AJ158" s="43">
        <f>RawData!DA156</f>
        <v>0</v>
      </c>
      <c r="AK158" s="41">
        <f>RawData!AZ156</f>
        <v>0</v>
      </c>
      <c r="AL158" s="42">
        <f>RawData!DD156</f>
        <v>0</v>
      </c>
      <c r="AM158" s="44">
        <f>RawData!DC156</f>
        <v>0</v>
      </c>
      <c r="AN158" s="45">
        <f>RawData!BK156</f>
        <v>0</v>
      </c>
      <c r="AO158" s="44">
        <f>RawData!AY156</f>
        <v>0</v>
      </c>
      <c r="AP158" s="43">
        <f>RawData!DH156</f>
        <v>0</v>
      </c>
      <c r="AQ158" s="43">
        <f>RawData!DE156</f>
        <v>0</v>
      </c>
      <c r="AR158" s="42">
        <f>RawData!CZ156</f>
        <v>0</v>
      </c>
      <c r="AS158" s="44">
        <f>RawData!AX156</f>
        <v>0</v>
      </c>
      <c r="AT158" s="43">
        <f>RawData!CY156</f>
        <v>0</v>
      </c>
      <c r="AU158" s="44">
        <f>RawData!AW156</f>
        <v>0</v>
      </c>
      <c r="AV158" s="46">
        <f>RawData!O156</f>
        <v>0</v>
      </c>
      <c r="AW158" s="44">
        <f>RawData!AV156</f>
        <v>0</v>
      </c>
      <c r="AX158" s="44">
        <f>RawData!CW156</f>
        <v>0</v>
      </c>
      <c r="AY158" s="44">
        <f>RawData!AU156</f>
        <v>0</v>
      </c>
      <c r="AZ158" s="42">
        <f>RawData!CX156</f>
        <v>0</v>
      </c>
      <c r="BA158" s="44">
        <f>RawData!DF156</f>
        <v>0</v>
      </c>
      <c r="BB158" s="43">
        <f>RawData!DI156</f>
        <v>0</v>
      </c>
      <c r="BC158" s="44">
        <f>RawData!AT156</f>
        <v>0</v>
      </c>
      <c r="BD158" s="45">
        <f>RawData!AP156</f>
        <v>0</v>
      </c>
      <c r="BE158" s="44">
        <f>RawData!CS156</f>
        <v>0</v>
      </c>
      <c r="BF158" s="42">
        <f>RawData!CT156</f>
        <v>0</v>
      </c>
      <c r="BG158" s="41">
        <f>RawData!AS156</f>
        <v>0</v>
      </c>
      <c r="BH158" s="41">
        <f>RawData!CU156</f>
        <v>0</v>
      </c>
      <c r="BI158" s="41">
        <f>RawData!AR156</f>
        <v>0</v>
      </c>
      <c r="BJ158" s="42">
        <f>RawData!CV156</f>
        <v>0</v>
      </c>
      <c r="BK158" s="41">
        <f>RawData!AQ156</f>
        <v>0</v>
      </c>
      <c r="BL158" s="40">
        <f>RawData!AO156</f>
        <v>0</v>
      </c>
      <c r="BM158" s="40">
        <f>RawData!AN156</f>
        <v>0</v>
      </c>
      <c r="BN158" s="40">
        <f>RawData!AM156</f>
        <v>0</v>
      </c>
      <c r="BO158" s="40">
        <f>RawData!AL156</f>
        <v>0</v>
      </c>
      <c r="BP158" s="40">
        <f>RawData!AK156</f>
        <v>0</v>
      </c>
      <c r="BQ158" s="40">
        <f>RawData!AJ156</f>
        <v>0</v>
      </c>
      <c r="BR158" s="38">
        <f>RawData!AI156</f>
        <v>0</v>
      </c>
      <c r="BS158" s="38">
        <f>RawData!AH156</f>
        <v>0</v>
      </c>
      <c r="BT158" s="40">
        <f>RawData!AG156</f>
        <v>0</v>
      </c>
      <c r="BU158" s="39">
        <f>RawData!AF156</f>
        <v>0</v>
      </c>
      <c r="BV158" s="39">
        <f>RawData!AE156</f>
        <v>0</v>
      </c>
      <c r="BW158" s="38">
        <f>RawData!AD156</f>
        <v>0</v>
      </c>
      <c r="BX158" s="38">
        <f>RawData!AC156</f>
        <v>0</v>
      </c>
      <c r="BY158" s="37">
        <f>RawData!AB156</f>
        <v>0</v>
      </c>
      <c r="BZ158" s="37">
        <f>RawData!AA156</f>
        <v>0</v>
      </c>
      <c r="CA158" s="36">
        <f>RawData!Z156</f>
        <v>0</v>
      </c>
      <c r="CB158" s="36">
        <f>RawData!Y156</f>
        <v>0</v>
      </c>
      <c r="CC158" s="36">
        <f>RawData!X156</f>
        <v>0</v>
      </c>
      <c r="CD158" s="36">
        <f>RawData!W156</f>
        <v>0</v>
      </c>
      <c r="CE158" s="40">
        <f>RawData!V156</f>
        <v>0</v>
      </c>
      <c r="CF158" s="40">
        <f>RawData!U156</f>
        <v>0</v>
      </c>
      <c r="CG158" s="40">
        <f>RawData!T156</f>
        <v>0</v>
      </c>
      <c r="CH158" s="44">
        <f>RawData!S156</f>
        <v>0</v>
      </c>
      <c r="CI158" s="44">
        <f>RawData!R156</f>
        <v>0</v>
      </c>
      <c r="CJ158" s="44">
        <f>RawData!Q156</f>
        <v>0</v>
      </c>
      <c r="CK158" s="44">
        <f>RawData!P156</f>
        <v>0</v>
      </c>
      <c r="CL158" s="44">
        <f>RawData!CJ156</f>
        <v>0</v>
      </c>
      <c r="CM158" s="43">
        <f>RawData!CI156</f>
        <v>0</v>
      </c>
      <c r="CN158" s="44">
        <f>RawData!CL156</f>
        <v>0</v>
      </c>
      <c r="CO158" s="43">
        <f>RawData!CK156</f>
        <v>0</v>
      </c>
      <c r="CP158" s="44">
        <f>RawData!CM156</f>
        <v>0</v>
      </c>
      <c r="CQ158" s="47">
        <f>RawData!CO156</f>
        <v>0</v>
      </c>
      <c r="CR158" s="44">
        <f>RawData!CP156</f>
        <v>0</v>
      </c>
      <c r="CS158" s="44">
        <f>RawData!DG156</f>
        <v>0</v>
      </c>
      <c r="CT158" s="43">
        <f>RawData!DJ156</f>
        <v>0</v>
      </c>
      <c r="CU158" s="43">
        <f>RawData!CQ156</f>
        <v>0</v>
      </c>
      <c r="CV158" s="47">
        <f>RawData!CR156</f>
        <v>0</v>
      </c>
      <c r="CW158" s="65">
        <f>RawData!DK156</f>
        <v>0</v>
      </c>
      <c r="CX158" s="65">
        <f>RawData!DL156</f>
        <v>0</v>
      </c>
      <c r="CY158" s="65">
        <f>RawData!DM156</f>
        <v>0</v>
      </c>
      <c r="CZ158" s="65">
        <f>RawData!DN156</f>
        <v>0</v>
      </c>
      <c r="DA158" s="65">
        <f>RawData!DO156</f>
        <v>0</v>
      </c>
      <c r="DB158" s="65">
        <f>RawData!DP156</f>
        <v>0</v>
      </c>
      <c r="DC158" s="65">
        <f>RawData!DQ156</f>
        <v>0</v>
      </c>
      <c r="DD158" s="65">
        <f>RawData!DR156</f>
        <v>0</v>
      </c>
      <c r="DE158" s="65">
        <f>RawData!DS156</f>
        <v>0</v>
      </c>
      <c r="DF158" s="65">
        <f>RawData!DT156</f>
        <v>0</v>
      </c>
      <c r="DG158" s="66">
        <f>RawData!DU156</f>
        <v>0</v>
      </c>
      <c r="DI158" s="21">
        <f t="shared" si="2"/>
        <v>0</v>
      </c>
    </row>
    <row r="159" spans="1:113" x14ac:dyDescent="0.2">
      <c r="A159" s="59">
        <f>RawData!CN157</f>
        <v>0</v>
      </c>
      <c r="B159" s="44">
        <f>RawData!CH157</f>
        <v>0</v>
      </c>
      <c r="C159" s="44">
        <f>RawData!CG157</f>
        <v>0</v>
      </c>
      <c r="D159" s="43">
        <f>RawData!CF157</f>
        <v>0</v>
      </c>
      <c r="E159" s="44">
        <f>RawData!CE157</f>
        <v>0</v>
      </c>
      <c r="F159" s="43">
        <f>RawData!CD157</f>
        <v>0</v>
      </c>
      <c r="G159" s="44">
        <f>RawData!CC157</f>
        <v>0</v>
      </c>
      <c r="H159" s="44">
        <f>RawData!CB157</f>
        <v>0</v>
      </c>
      <c r="I159" s="44">
        <f>RawData!CA157</f>
        <v>0</v>
      </c>
      <c r="J159" s="44">
        <f>RawData!BZ157</f>
        <v>0</v>
      </c>
      <c r="K159" s="40">
        <f>RawData!BY157</f>
        <v>0</v>
      </c>
      <c r="L159" s="40">
        <f>RawData!BX157</f>
        <v>0</v>
      </c>
      <c r="M159" s="40">
        <f>RawData!BW157</f>
        <v>0</v>
      </c>
      <c r="N159" s="40">
        <f>RawData!BV157</f>
        <v>0</v>
      </c>
      <c r="O159" s="36">
        <f>RawData!BU157</f>
        <v>0</v>
      </c>
      <c r="P159" s="36">
        <f>RawData!BT157</f>
        <v>0</v>
      </c>
      <c r="Q159" s="36">
        <f>RawData!BS157</f>
        <v>0</v>
      </c>
      <c r="R159" s="36">
        <f>RawData!BR157</f>
        <v>0</v>
      </c>
      <c r="S159" s="37">
        <f>RawData!BQ157</f>
        <v>0</v>
      </c>
      <c r="T159" s="37">
        <f>RawData!BP157</f>
        <v>0</v>
      </c>
      <c r="U159" s="38">
        <f>RawData!BO157</f>
        <v>0</v>
      </c>
      <c r="V159" s="38">
        <f>RawData!BN157</f>
        <v>0</v>
      </c>
      <c r="W159" s="39">
        <f>RawData!BM157</f>
        <v>0</v>
      </c>
      <c r="X159" s="39">
        <f>RawData!BL157</f>
        <v>0</v>
      </c>
      <c r="Y159" s="38">
        <f>RawData!BJ157</f>
        <v>0</v>
      </c>
      <c r="Z159" s="38">
        <f>RawData!BI157</f>
        <v>0</v>
      </c>
      <c r="AA159" s="40">
        <f>RawData!BH157</f>
        <v>0</v>
      </c>
      <c r="AB159" s="40">
        <f>RawData!BG157</f>
        <v>0</v>
      </c>
      <c r="AC159" s="40">
        <f>RawData!BF157</f>
        <v>0</v>
      </c>
      <c r="AD159" s="40">
        <f>RawData!BE157</f>
        <v>0</v>
      </c>
      <c r="AE159" s="40">
        <f>RawData!BD157</f>
        <v>0</v>
      </c>
      <c r="AF159" s="40">
        <f>RawData!BC157</f>
        <v>0</v>
      </c>
      <c r="AG159" s="41">
        <f>RawData!BB157</f>
        <v>0</v>
      </c>
      <c r="AH159" s="42">
        <f>RawData!DB157</f>
        <v>0</v>
      </c>
      <c r="AI159" s="41">
        <f>RawData!BA157</f>
        <v>0</v>
      </c>
      <c r="AJ159" s="43">
        <f>RawData!DA157</f>
        <v>0</v>
      </c>
      <c r="AK159" s="41">
        <f>RawData!AZ157</f>
        <v>0</v>
      </c>
      <c r="AL159" s="42">
        <f>RawData!DD157</f>
        <v>0</v>
      </c>
      <c r="AM159" s="44">
        <f>RawData!DC157</f>
        <v>0</v>
      </c>
      <c r="AN159" s="45">
        <f>RawData!BK157</f>
        <v>0</v>
      </c>
      <c r="AO159" s="44">
        <f>RawData!AY157</f>
        <v>0</v>
      </c>
      <c r="AP159" s="43">
        <f>RawData!DH157</f>
        <v>0</v>
      </c>
      <c r="AQ159" s="43">
        <f>RawData!DE157</f>
        <v>0</v>
      </c>
      <c r="AR159" s="42">
        <f>RawData!CZ157</f>
        <v>0</v>
      </c>
      <c r="AS159" s="44">
        <f>RawData!AX157</f>
        <v>0</v>
      </c>
      <c r="AT159" s="43">
        <f>RawData!CY157</f>
        <v>0</v>
      </c>
      <c r="AU159" s="44">
        <f>RawData!AW157</f>
        <v>0</v>
      </c>
      <c r="AV159" s="46">
        <f>RawData!O157</f>
        <v>0</v>
      </c>
      <c r="AW159" s="44">
        <f>RawData!AV157</f>
        <v>0</v>
      </c>
      <c r="AX159" s="44">
        <f>RawData!CW157</f>
        <v>0</v>
      </c>
      <c r="AY159" s="44">
        <f>RawData!AU157</f>
        <v>0</v>
      </c>
      <c r="AZ159" s="42">
        <f>RawData!CX157</f>
        <v>0</v>
      </c>
      <c r="BA159" s="44">
        <f>RawData!DF157</f>
        <v>0</v>
      </c>
      <c r="BB159" s="43">
        <f>RawData!DI157</f>
        <v>0</v>
      </c>
      <c r="BC159" s="44">
        <f>RawData!AT157</f>
        <v>0</v>
      </c>
      <c r="BD159" s="45">
        <f>RawData!AP157</f>
        <v>0</v>
      </c>
      <c r="BE159" s="44">
        <f>RawData!CS157</f>
        <v>0</v>
      </c>
      <c r="BF159" s="42">
        <f>RawData!CT157</f>
        <v>0</v>
      </c>
      <c r="BG159" s="41">
        <f>RawData!AS157</f>
        <v>0</v>
      </c>
      <c r="BH159" s="41">
        <f>RawData!CU157</f>
        <v>0</v>
      </c>
      <c r="BI159" s="41">
        <f>RawData!AR157</f>
        <v>0</v>
      </c>
      <c r="BJ159" s="42">
        <f>RawData!CV157</f>
        <v>0</v>
      </c>
      <c r="BK159" s="41">
        <f>RawData!AQ157</f>
        <v>0</v>
      </c>
      <c r="BL159" s="40">
        <f>RawData!AO157</f>
        <v>0</v>
      </c>
      <c r="BM159" s="40">
        <f>RawData!AN157</f>
        <v>0</v>
      </c>
      <c r="BN159" s="40">
        <f>RawData!AM157</f>
        <v>0</v>
      </c>
      <c r="BO159" s="40">
        <f>RawData!AL157</f>
        <v>0</v>
      </c>
      <c r="BP159" s="40">
        <f>RawData!AK157</f>
        <v>0</v>
      </c>
      <c r="BQ159" s="40">
        <f>RawData!AJ157</f>
        <v>0</v>
      </c>
      <c r="BR159" s="38">
        <f>RawData!AI157</f>
        <v>0</v>
      </c>
      <c r="BS159" s="38">
        <f>RawData!AH157</f>
        <v>0</v>
      </c>
      <c r="BT159" s="40">
        <f>RawData!AG157</f>
        <v>0</v>
      </c>
      <c r="BU159" s="39">
        <f>RawData!AF157</f>
        <v>0</v>
      </c>
      <c r="BV159" s="39">
        <f>RawData!AE157</f>
        <v>0</v>
      </c>
      <c r="BW159" s="38">
        <f>RawData!AD157</f>
        <v>0</v>
      </c>
      <c r="BX159" s="38">
        <f>RawData!AC157</f>
        <v>0</v>
      </c>
      <c r="BY159" s="37">
        <f>RawData!AB157</f>
        <v>0</v>
      </c>
      <c r="BZ159" s="37">
        <f>RawData!AA157</f>
        <v>0</v>
      </c>
      <c r="CA159" s="36">
        <f>RawData!Z157</f>
        <v>0</v>
      </c>
      <c r="CB159" s="36">
        <f>RawData!Y157</f>
        <v>0</v>
      </c>
      <c r="CC159" s="36">
        <f>RawData!X157</f>
        <v>0</v>
      </c>
      <c r="CD159" s="36">
        <f>RawData!W157</f>
        <v>0</v>
      </c>
      <c r="CE159" s="40">
        <f>RawData!V157</f>
        <v>0</v>
      </c>
      <c r="CF159" s="40">
        <f>RawData!U157</f>
        <v>0</v>
      </c>
      <c r="CG159" s="40">
        <f>RawData!T157</f>
        <v>0</v>
      </c>
      <c r="CH159" s="44">
        <f>RawData!S157</f>
        <v>0</v>
      </c>
      <c r="CI159" s="44">
        <f>RawData!R157</f>
        <v>0</v>
      </c>
      <c r="CJ159" s="44">
        <f>RawData!Q157</f>
        <v>0</v>
      </c>
      <c r="CK159" s="44">
        <f>RawData!P157</f>
        <v>0</v>
      </c>
      <c r="CL159" s="44">
        <f>RawData!CJ157</f>
        <v>0</v>
      </c>
      <c r="CM159" s="43">
        <f>RawData!CI157</f>
        <v>0</v>
      </c>
      <c r="CN159" s="44">
        <f>RawData!CL157</f>
        <v>0</v>
      </c>
      <c r="CO159" s="43">
        <f>RawData!CK157</f>
        <v>0</v>
      </c>
      <c r="CP159" s="44">
        <f>RawData!CM157</f>
        <v>0</v>
      </c>
      <c r="CQ159" s="47">
        <f>RawData!CO157</f>
        <v>0</v>
      </c>
      <c r="CR159" s="44">
        <f>RawData!CP157</f>
        <v>0</v>
      </c>
      <c r="CS159" s="44">
        <f>RawData!DG157</f>
        <v>0</v>
      </c>
      <c r="CT159" s="43">
        <f>RawData!DJ157</f>
        <v>0</v>
      </c>
      <c r="CU159" s="43">
        <f>RawData!CQ157</f>
        <v>0</v>
      </c>
      <c r="CV159" s="47">
        <f>RawData!CR157</f>
        <v>0</v>
      </c>
      <c r="CW159" s="65">
        <f>RawData!DK157</f>
        <v>0</v>
      </c>
      <c r="CX159" s="65">
        <f>RawData!DL157</f>
        <v>0</v>
      </c>
      <c r="CY159" s="65">
        <f>RawData!DM157</f>
        <v>0</v>
      </c>
      <c r="CZ159" s="65">
        <f>RawData!DN157</f>
        <v>0</v>
      </c>
      <c r="DA159" s="65">
        <f>RawData!DO157</f>
        <v>0</v>
      </c>
      <c r="DB159" s="65">
        <f>RawData!DP157</f>
        <v>0</v>
      </c>
      <c r="DC159" s="65">
        <f>RawData!DQ157</f>
        <v>0</v>
      </c>
      <c r="DD159" s="65">
        <f>RawData!DR157</f>
        <v>0</v>
      </c>
      <c r="DE159" s="65">
        <f>RawData!DS157</f>
        <v>0</v>
      </c>
      <c r="DF159" s="65">
        <f>RawData!DT157</f>
        <v>0</v>
      </c>
      <c r="DG159" s="66">
        <f>RawData!DU157</f>
        <v>0</v>
      </c>
      <c r="DI159" s="21">
        <f t="shared" si="2"/>
        <v>0</v>
      </c>
    </row>
    <row r="160" spans="1:113" x14ac:dyDescent="0.2">
      <c r="A160" s="59">
        <f>RawData!CN158</f>
        <v>0</v>
      </c>
      <c r="B160" s="44">
        <f>RawData!CH158</f>
        <v>0</v>
      </c>
      <c r="C160" s="44">
        <f>RawData!CG158</f>
        <v>0</v>
      </c>
      <c r="D160" s="43">
        <f>RawData!CF158</f>
        <v>0</v>
      </c>
      <c r="E160" s="44">
        <f>RawData!CE158</f>
        <v>0</v>
      </c>
      <c r="F160" s="43">
        <f>RawData!CD158</f>
        <v>0</v>
      </c>
      <c r="G160" s="44">
        <f>RawData!CC158</f>
        <v>0</v>
      </c>
      <c r="H160" s="44">
        <f>RawData!CB158</f>
        <v>0</v>
      </c>
      <c r="I160" s="44">
        <f>RawData!CA158</f>
        <v>0</v>
      </c>
      <c r="J160" s="44">
        <f>RawData!BZ158</f>
        <v>0</v>
      </c>
      <c r="K160" s="40">
        <f>RawData!BY158</f>
        <v>0</v>
      </c>
      <c r="L160" s="40">
        <f>RawData!BX158</f>
        <v>0</v>
      </c>
      <c r="M160" s="40">
        <f>RawData!BW158</f>
        <v>0</v>
      </c>
      <c r="N160" s="40">
        <f>RawData!BV158</f>
        <v>0</v>
      </c>
      <c r="O160" s="36">
        <f>RawData!BU158</f>
        <v>0</v>
      </c>
      <c r="P160" s="36">
        <f>RawData!BT158</f>
        <v>0</v>
      </c>
      <c r="Q160" s="36">
        <f>RawData!BS158</f>
        <v>0</v>
      </c>
      <c r="R160" s="36">
        <f>RawData!BR158</f>
        <v>0</v>
      </c>
      <c r="S160" s="37">
        <f>RawData!BQ158</f>
        <v>0</v>
      </c>
      <c r="T160" s="37">
        <f>RawData!BP158</f>
        <v>0</v>
      </c>
      <c r="U160" s="38">
        <f>RawData!BO158</f>
        <v>0</v>
      </c>
      <c r="V160" s="38">
        <f>RawData!BN158</f>
        <v>0</v>
      </c>
      <c r="W160" s="39">
        <f>RawData!BM158</f>
        <v>0</v>
      </c>
      <c r="X160" s="39">
        <f>RawData!BL158</f>
        <v>0</v>
      </c>
      <c r="Y160" s="38">
        <f>RawData!BJ158</f>
        <v>0</v>
      </c>
      <c r="Z160" s="38">
        <f>RawData!BI158</f>
        <v>0</v>
      </c>
      <c r="AA160" s="40">
        <f>RawData!BH158</f>
        <v>0</v>
      </c>
      <c r="AB160" s="40">
        <f>RawData!BG158</f>
        <v>0</v>
      </c>
      <c r="AC160" s="40">
        <f>RawData!BF158</f>
        <v>0</v>
      </c>
      <c r="AD160" s="40">
        <f>RawData!BE158</f>
        <v>0</v>
      </c>
      <c r="AE160" s="40">
        <f>RawData!BD158</f>
        <v>0</v>
      </c>
      <c r="AF160" s="40">
        <f>RawData!BC158</f>
        <v>0</v>
      </c>
      <c r="AG160" s="41">
        <f>RawData!BB158</f>
        <v>0</v>
      </c>
      <c r="AH160" s="42">
        <f>RawData!DB158</f>
        <v>0</v>
      </c>
      <c r="AI160" s="41">
        <f>RawData!BA158</f>
        <v>0</v>
      </c>
      <c r="AJ160" s="43">
        <f>RawData!DA158</f>
        <v>0</v>
      </c>
      <c r="AK160" s="41">
        <f>RawData!AZ158</f>
        <v>0</v>
      </c>
      <c r="AL160" s="42">
        <f>RawData!DD158</f>
        <v>0</v>
      </c>
      <c r="AM160" s="44">
        <f>RawData!DC158</f>
        <v>0</v>
      </c>
      <c r="AN160" s="45">
        <f>RawData!BK158</f>
        <v>0</v>
      </c>
      <c r="AO160" s="44">
        <f>RawData!AY158</f>
        <v>0</v>
      </c>
      <c r="AP160" s="43">
        <f>RawData!DH158</f>
        <v>0</v>
      </c>
      <c r="AQ160" s="43">
        <f>RawData!DE158</f>
        <v>0</v>
      </c>
      <c r="AR160" s="42">
        <f>RawData!CZ158</f>
        <v>0</v>
      </c>
      <c r="AS160" s="44">
        <f>RawData!AX158</f>
        <v>0</v>
      </c>
      <c r="AT160" s="43">
        <f>RawData!CY158</f>
        <v>0</v>
      </c>
      <c r="AU160" s="44">
        <f>RawData!AW158</f>
        <v>0</v>
      </c>
      <c r="AV160" s="46">
        <f>RawData!O158</f>
        <v>0</v>
      </c>
      <c r="AW160" s="44">
        <f>RawData!AV158</f>
        <v>0</v>
      </c>
      <c r="AX160" s="44">
        <f>RawData!CW158</f>
        <v>0</v>
      </c>
      <c r="AY160" s="44">
        <f>RawData!AU158</f>
        <v>0</v>
      </c>
      <c r="AZ160" s="42">
        <f>RawData!CX158</f>
        <v>0</v>
      </c>
      <c r="BA160" s="44">
        <f>RawData!DF158</f>
        <v>0</v>
      </c>
      <c r="BB160" s="43">
        <f>RawData!DI158</f>
        <v>0</v>
      </c>
      <c r="BC160" s="44">
        <f>RawData!AT158</f>
        <v>0</v>
      </c>
      <c r="BD160" s="45">
        <f>RawData!AP158</f>
        <v>0</v>
      </c>
      <c r="BE160" s="44">
        <f>RawData!CS158</f>
        <v>0</v>
      </c>
      <c r="BF160" s="42">
        <f>RawData!CT158</f>
        <v>0</v>
      </c>
      <c r="BG160" s="41">
        <f>RawData!AS158</f>
        <v>0</v>
      </c>
      <c r="BH160" s="41">
        <f>RawData!CU158</f>
        <v>0</v>
      </c>
      <c r="BI160" s="41">
        <f>RawData!AR158</f>
        <v>0</v>
      </c>
      <c r="BJ160" s="42">
        <f>RawData!CV158</f>
        <v>0</v>
      </c>
      <c r="BK160" s="41">
        <f>RawData!AQ158</f>
        <v>0</v>
      </c>
      <c r="BL160" s="40">
        <f>RawData!AO158</f>
        <v>0</v>
      </c>
      <c r="BM160" s="40">
        <f>RawData!AN158</f>
        <v>0</v>
      </c>
      <c r="BN160" s="40">
        <f>RawData!AM158</f>
        <v>0</v>
      </c>
      <c r="BO160" s="40">
        <f>RawData!AL158</f>
        <v>0</v>
      </c>
      <c r="BP160" s="40">
        <f>RawData!AK158</f>
        <v>0</v>
      </c>
      <c r="BQ160" s="40">
        <f>RawData!AJ158</f>
        <v>0</v>
      </c>
      <c r="BR160" s="38">
        <f>RawData!AI158</f>
        <v>0</v>
      </c>
      <c r="BS160" s="38">
        <f>RawData!AH158</f>
        <v>0</v>
      </c>
      <c r="BT160" s="40">
        <f>RawData!AG158</f>
        <v>0</v>
      </c>
      <c r="BU160" s="39">
        <f>RawData!AF158</f>
        <v>0</v>
      </c>
      <c r="BV160" s="39">
        <f>RawData!AE158</f>
        <v>0</v>
      </c>
      <c r="BW160" s="38">
        <f>RawData!AD158</f>
        <v>0</v>
      </c>
      <c r="BX160" s="38">
        <f>RawData!AC158</f>
        <v>0</v>
      </c>
      <c r="BY160" s="37">
        <f>RawData!AB158</f>
        <v>0</v>
      </c>
      <c r="BZ160" s="37">
        <f>RawData!AA158</f>
        <v>0</v>
      </c>
      <c r="CA160" s="36">
        <f>RawData!Z158</f>
        <v>0</v>
      </c>
      <c r="CB160" s="36">
        <f>RawData!Y158</f>
        <v>0</v>
      </c>
      <c r="CC160" s="36">
        <f>RawData!X158</f>
        <v>0</v>
      </c>
      <c r="CD160" s="36">
        <f>RawData!W158</f>
        <v>0</v>
      </c>
      <c r="CE160" s="40">
        <f>RawData!V158</f>
        <v>0</v>
      </c>
      <c r="CF160" s="40">
        <f>RawData!U158</f>
        <v>0</v>
      </c>
      <c r="CG160" s="40">
        <f>RawData!T158</f>
        <v>0</v>
      </c>
      <c r="CH160" s="44">
        <f>RawData!S158</f>
        <v>0</v>
      </c>
      <c r="CI160" s="44">
        <f>RawData!R158</f>
        <v>0</v>
      </c>
      <c r="CJ160" s="44">
        <f>RawData!Q158</f>
        <v>0</v>
      </c>
      <c r="CK160" s="44">
        <f>RawData!P158</f>
        <v>0</v>
      </c>
      <c r="CL160" s="44">
        <f>RawData!CJ158</f>
        <v>0</v>
      </c>
      <c r="CM160" s="43">
        <f>RawData!CI158</f>
        <v>0</v>
      </c>
      <c r="CN160" s="44">
        <f>RawData!CL158</f>
        <v>0</v>
      </c>
      <c r="CO160" s="43">
        <f>RawData!CK158</f>
        <v>0</v>
      </c>
      <c r="CP160" s="44">
        <f>RawData!CM158</f>
        <v>0</v>
      </c>
      <c r="CQ160" s="47">
        <f>RawData!CO158</f>
        <v>0</v>
      </c>
      <c r="CR160" s="44">
        <f>RawData!CP158</f>
        <v>0</v>
      </c>
      <c r="CS160" s="44">
        <f>RawData!DG158</f>
        <v>0</v>
      </c>
      <c r="CT160" s="43">
        <f>RawData!DJ158</f>
        <v>0</v>
      </c>
      <c r="CU160" s="43">
        <f>RawData!CQ158</f>
        <v>0</v>
      </c>
      <c r="CV160" s="47">
        <f>RawData!CR158</f>
        <v>0</v>
      </c>
      <c r="CW160" s="65">
        <f>RawData!DK158</f>
        <v>0</v>
      </c>
      <c r="CX160" s="65">
        <f>RawData!DL158</f>
        <v>0</v>
      </c>
      <c r="CY160" s="65">
        <f>RawData!DM158</f>
        <v>0</v>
      </c>
      <c r="CZ160" s="65">
        <f>RawData!DN158</f>
        <v>0</v>
      </c>
      <c r="DA160" s="65">
        <f>RawData!DO158</f>
        <v>0</v>
      </c>
      <c r="DB160" s="65">
        <f>RawData!DP158</f>
        <v>0</v>
      </c>
      <c r="DC160" s="65">
        <f>RawData!DQ158</f>
        <v>0</v>
      </c>
      <c r="DD160" s="65">
        <f>RawData!DR158</f>
        <v>0</v>
      </c>
      <c r="DE160" s="65">
        <f>RawData!DS158</f>
        <v>0</v>
      </c>
      <c r="DF160" s="65">
        <f>RawData!DT158</f>
        <v>0</v>
      </c>
      <c r="DG160" s="66">
        <f>RawData!DU158</f>
        <v>0</v>
      </c>
      <c r="DI160" s="21">
        <f t="shared" si="2"/>
        <v>0</v>
      </c>
    </row>
    <row r="161" spans="1:113" x14ac:dyDescent="0.2">
      <c r="A161" s="59">
        <f>RawData!CN159</f>
        <v>0</v>
      </c>
      <c r="B161" s="44">
        <f>RawData!CH159</f>
        <v>0</v>
      </c>
      <c r="C161" s="44">
        <f>RawData!CG159</f>
        <v>0</v>
      </c>
      <c r="D161" s="43">
        <f>RawData!CF159</f>
        <v>0</v>
      </c>
      <c r="E161" s="44">
        <f>RawData!CE159</f>
        <v>0</v>
      </c>
      <c r="F161" s="43">
        <f>RawData!CD159</f>
        <v>0</v>
      </c>
      <c r="G161" s="44">
        <f>RawData!CC159</f>
        <v>0</v>
      </c>
      <c r="H161" s="44">
        <f>RawData!CB159</f>
        <v>0</v>
      </c>
      <c r="I161" s="44">
        <f>RawData!CA159</f>
        <v>0</v>
      </c>
      <c r="J161" s="44">
        <f>RawData!BZ159</f>
        <v>0</v>
      </c>
      <c r="K161" s="40">
        <f>RawData!BY159</f>
        <v>0</v>
      </c>
      <c r="L161" s="40">
        <f>RawData!BX159</f>
        <v>0</v>
      </c>
      <c r="M161" s="40">
        <f>RawData!BW159</f>
        <v>0</v>
      </c>
      <c r="N161" s="40">
        <f>RawData!BV159</f>
        <v>0</v>
      </c>
      <c r="O161" s="36">
        <f>RawData!BU159</f>
        <v>0</v>
      </c>
      <c r="P161" s="36">
        <f>RawData!BT159</f>
        <v>0</v>
      </c>
      <c r="Q161" s="36">
        <f>RawData!BS159</f>
        <v>0</v>
      </c>
      <c r="R161" s="36">
        <f>RawData!BR159</f>
        <v>0</v>
      </c>
      <c r="S161" s="37">
        <f>RawData!BQ159</f>
        <v>0</v>
      </c>
      <c r="T161" s="37">
        <f>RawData!BP159</f>
        <v>0</v>
      </c>
      <c r="U161" s="38">
        <f>RawData!BO159</f>
        <v>0</v>
      </c>
      <c r="V161" s="38">
        <f>RawData!BN159</f>
        <v>0</v>
      </c>
      <c r="W161" s="39">
        <f>RawData!BM159</f>
        <v>0</v>
      </c>
      <c r="X161" s="39">
        <f>RawData!BL159</f>
        <v>0</v>
      </c>
      <c r="Y161" s="38">
        <f>RawData!BJ159</f>
        <v>0</v>
      </c>
      <c r="Z161" s="38">
        <f>RawData!BI159</f>
        <v>0</v>
      </c>
      <c r="AA161" s="40">
        <f>RawData!BH159</f>
        <v>0</v>
      </c>
      <c r="AB161" s="40">
        <f>RawData!BG159</f>
        <v>0</v>
      </c>
      <c r="AC161" s="40">
        <f>RawData!BF159</f>
        <v>0</v>
      </c>
      <c r="AD161" s="40">
        <f>RawData!BE159</f>
        <v>0</v>
      </c>
      <c r="AE161" s="40">
        <f>RawData!BD159</f>
        <v>0</v>
      </c>
      <c r="AF161" s="40">
        <f>RawData!BC159</f>
        <v>0</v>
      </c>
      <c r="AG161" s="41">
        <f>RawData!BB159</f>
        <v>0</v>
      </c>
      <c r="AH161" s="42">
        <f>RawData!DB159</f>
        <v>0</v>
      </c>
      <c r="AI161" s="41">
        <f>RawData!BA159</f>
        <v>0</v>
      </c>
      <c r="AJ161" s="43">
        <f>RawData!DA159</f>
        <v>0</v>
      </c>
      <c r="AK161" s="41">
        <f>RawData!AZ159</f>
        <v>0</v>
      </c>
      <c r="AL161" s="42">
        <f>RawData!DD159</f>
        <v>0</v>
      </c>
      <c r="AM161" s="44">
        <f>RawData!DC159</f>
        <v>0</v>
      </c>
      <c r="AN161" s="45">
        <f>RawData!BK159</f>
        <v>0</v>
      </c>
      <c r="AO161" s="44">
        <f>RawData!AY159</f>
        <v>0</v>
      </c>
      <c r="AP161" s="43">
        <f>RawData!DH159</f>
        <v>0</v>
      </c>
      <c r="AQ161" s="43">
        <f>RawData!DE159</f>
        <v>0</v>
      </c>
      <c r="AR161" s="42">
        <f>RawData!CZ159</f>
        <v>0</v>
      </c>
      <c r="AS161" s="44">
        <f>RawData!AX159</f>
        <v>0</v>
      </c>
      <c r="AT161" s="43">
        <f>RawData!CY159</f>
        <v>0</v>
      </c>
      <c r="AU161" s="44">
        <f>RawData!AW159</f>
        <v>0</v>
      </c>
      <c r="AV161" s="46">
        <f>RawData!O159</f>
        <v>0</v>
      </c>
      <c r="AW161" s="44">
        <f>RawData!AV159</f>
        <v>0</v>
      </c>
      <c r="AX161" s="44">
        <f>RawData!CW159</f>
        <v>0</v>
      </c>
      <c r="AY161" s="44">
        <f>RawData!AU159</f>
        <v>0</v>
      </c>
      <c r="AZ161" s="42">
        <f>RawData!CX159</f>
        <v>0</v>
      </c>
      <c r="BA161" s="44">
        <f>RawData!DF159</f>
        <v>0</v>
      </c>
      <c r="BB161" s="43">
        <f>RawData!DI159</f>
        <v>0</v>
      </c>
      <c r="BC161" s="44">
        <f>RawData!AT159</f>
        <v>0</v>
      </c>
      <c r="BD161" s="45">
        <f>RawData!AP159</f>
        <v>0</v>
      </c>
      <c r="BE161" s="44">
        <f>RawData!CS159</f>
        <v>0</v>
      </c>
      <c r="BF161" s="42">
        <f>RawData!CT159</f>
        <v>0</v>
      </c>
      <c r="BG161" s="41">
        <f>RawData!AS159</f>
        <v>0</v>
      </c>
      <c r="BH161" s="41">
        <f>RawData!CU159</f>
        <v>0</v>
      </c>
      <c r="BI161" s="41">
        <f>RawData!AR159</f>
        <v>0</v>
      </c>
      <c r="BJ161" s="42">
        <f>RawData!CV159</f>
        <v>0</v>
      </c>
      <c r="BK161" s="41">
        <f>RawData!AQ159</f>
        <v>0</v>
      </c>
      <c r="BL161" s="40">
        <f>RawData!AO159</f>
        <v>0</v>
      </c>
      <c r="BM161" s="40">
        <f>RawData!AN159</f>
        <v>0</v>
      </c>
      <c r="BN161" s="40">
        <f>RawData!AM159</f>
        <v>0</v>
      </c>
      <c r="BO161" s="40">
        <f>RawData!AL159</f>
        <v>0</v>
      </c>
      <c r="BP161" s="40">
        <f>RawData!AK159</f>
        <v>0</v>
      </c>
      <c r="BQ161" s="40">
        <f>RawData!AJ159</f>
        <v>0</v>
      </c>
      <c r="BR161" s="38">
        <f>RawData!AI159</f>
        <v>0</v>
      </c>
      <c r="BS161" s="38">
        <f>RawData!AH159</f>
        <v>0</v>
      </c>
      <c r="BT161" s="40">
        <f>RawData!AG159</f>
        <v>0</v>
      </c>
      <c r="BU161" s="39">
        <f>RawData!AF159</f>
        <v>0</v>
      </c>
      <c r="BV161" s="39">
        <f>RawData!AE159</f>
        <v>0</v>
      </c>
      <c r="BW161" s="38">
        <f>RawData!AD159</f>
        <v>0</v>
      </c>
      <c r="BX161" s="38">
        <f>RawData!AC159</f>
        <v>0</v>
      </c>
      <c r="BY161" s="37">
        <f>RawData!AB159</f>
        <v>0</v>
      </c>
      <c r="BZ161" s="37">
        <f>RawData!AA159</f>
        <v>0</v>
      </c>
      <c r="CA161" s="36">
        <f>RawData!Z159</f>
        <v>0</v>
      </c>
      <c r="CB161" s="36">
        <f>RawData!Y159</f>
        <v>0</v>
      </c>
      <c r="CC161" s="36">
        <f>RawData!X159</f>
        <v>0</v>
      </c>
      <c r="CD161" s="36">
        <f>RawData!W159</f>
        <v>0</v>
      </c>
      <c r="CE161" s="40">
        <f>RawData!V159</f>
        <v>0</v>
      </c>
      <c r="CF161" s="40">
        <f>RawData!U159</f>
        <v>0</v>
      </c>
      <c r="CG161" s="40">
        <f>RawData!T159</f>
        <v>0</v>
      </c>
      <c r="CH161" s="44">
        <f>RawData!S159</f>
        <v>0</v>
      </c>
      <c r="CI161" s="44">
        <f>RawData!R159</f>
        <v>0</v>
      </c>
      <c r="CJ161" s="44">
        <f>RawData!Q159</f>
        <v>0</v>
      </c>
      <c r="CK161" s="44">
        <f>RawData!P159</f>
        <v>0</v>
      </c>
      <c r="CL161" s="44">
        <f>RawData!CJ159</f>
        <v>0</v>
      </c>
      <c r="CM161" s="43">
        <f>RawData!CI159</f>
        <v>0</v>
      </c>
      <c r="CN161" s="44">
        <f>RawData!CL159</f>
        <v>0</v>
      </c>
      <c r="CO161" s="43">
        <f>RawData!CK159</f>
        <v>0</v>
      </c>
      <c r="CP161" s="44">
        <f>RawData!CM159</f>
        <v>0</v>
      </c>
      <c r="CQ161" s="47">
        <f>RawData!CO159</f>
        <v>0</v>
      </c>
      <c r="CR161" s="44">
        <f>RawData!CP159</f>
        <v>0</v>
      </c>
      <c r="CS161" s="44">
        <f>RawData!DG159</f>
        <v>0</v>
      </c>
      <c r="CT161" s="43">
        <f>RawData!DJ159</f>
        <v>0</v>
      </c>
      <c r="CU161" s="43">
        <f>RawData!CQ159</f>
        <v>0</v>
      </c>
      <c r="CV161" s="47">
        <f>RawData!CR159</f>
        <v>0</v>
      </c>
      <c r="CW161" s="65">
        <f>RawData!DK159</f>
        <v>0</v>
      </c>
      <c r="CX161" s="65">
        <f>RawData!DL159</f>
        <v>0</v>
      </c>
      <c r="CY161" s="65">
        <f>RawData!DM159</f>
        <v>0</v>
      </c>
      <c r="CZ161" s="65">
        <f>RawData!DN159</f>
        <v>0</v>
      </c>
      <c r="DA161" s="65">
        <f>RawData!DO159</f>
        <v>0</v>
      </c>
      <c r="DB161" s="65">
        <f>RawData!DP159</f>
        <v>0</v>
      </c>
      <c r="DC161" s="65">
        <f>RawData!DQ159</f>
        <v>0</v>
      </c>
      <c r="DD161" s="65">
        <f>RawData!DR159</f>
        <v>0</v>
      </c>
      <c r="DE161" s="65">
        <f>RawData!DS159</f>
        <v>0</v>
      </c>
      <c r="DF161" s="65">
        <f>RawData!DT159</f>
        <v>0</v>
      </c>
      <c r="DG161" s="66">
        <f>RawData!DU159</f>
        <v>0</v>
      </c>
      <c r="DI161" s="21">
        <f t="shared" si="2"/>
        <v>0</v>
      </c>
    </row>
    <row r="162" spans="1:113" x14ac:dyDescent="0.2">
      <c r="A162" s="59">
        <f>RawData!CN160</f>
        <v>0</v>
      </c>
      <c r="B162" s="44">
        <f>RawData!CH160</f>
        <v>0</v>
      </c>
      <c r="C162" s="44">
        <f>RawData!CG160</f>
        <v>0</v>
      </c>
      <c r="D162" s="43">
        <f>RawData!CF160</f>
        <v>0</v>
      </c>
      <c r="E162" s="44">
        <f>RawData!CE160</f>
        <v>0</v>
      </c>
      <c r="F162" s="43">
        <f>RawData!CD160</f>
        <v>0</v>
      </c>
      <c r="G162" s="44">
        <f>RawData!CC160</f>
        <v>0</v>
      </c>
      <c r="H162" s="44">
        <f>RawData!CB160</f>
        <v>0</v>
      </c>
      <c r="I162" s="44">
        <f>RawData!CA160</f>
        <v>0</v>
      </c>
      <c r="J162" s="44">
        <f>RawData!BZ160</f>
        <v>0</v>
      </c>
      <c r="K162" s="40">
        <f>RawData!BY160</f>
        <v>0</v>
      </c>
      <c r="L162" s="40">
        <f>RawData!BX160</f>
        <v>0</v>
      </c>
      <c r="M162" s="40">
        <f>RawData!BW160</f>
        <v>0</v>
      </c>
      <c r="N162" s="40">
        <f>RawData!BV160</f>
        <v>0</v>
      </c>
      <c r="O162" s="36">
        <f>RawData!BU160</f>
        <v>0</v>
      </c>
      <c r="P162" s="36">
        <f>RawData!BT160</f>
        <v>0</v>
      </c>
      <c r="Q162" s="36">
        <f>RawData!BS160</f>
        <v>0</v>
      </c>
      <c r="R162" s="36">
        <f>RawData!BR160</f>
        <v>0</v>
      </c>
      <c r="S162" s="37">
        <f>RawData!BQ160</f>
        <v>0</v>
      </c>
      <c r="T162" s="37">
        <f>RawData!BP160</f>
        <v>0</v>
      </c>
      <c r="U162" s="38">
        <f>RawData!BO160</f>
        <v>0</v>
      </c>
      <c r="V162" s="38">
        <f>RawData!BN160</f>
        <v>0</v>
      </c>
      <c r="W162" s="39">
        <f>RawData!BM160</f>
        <v>0</v>
      </c>
      <c r="X162" s="39">
        <f>RawData!BL160</f>
        <v>0</v>
      </c>
      <c r="Y162" s="38">
        <f>RawData!BJ160</f>
        <v>0</v>
      </c>
      <c r="Z162" s="38">
        <f>RawData!BI160</f>
        <v>0</v>
      </c>
      <c r="AA162" s="40">
        <f>RawData!BH160</f>
        <v>0</v>
      </c>
      <c r="AB162" s="40">
        <f>RawData!BG160</f>
        <v>0</v>
      </c>
      <c r="AC162" s="40">
        <f>RawData!BF160</f>
        <v>0</v>
      </c>
      <c r="AD162" s="40">
        <f>RawData!BE160</f>
        <v>0</v>
      </c>
      <c r="AE162" s="40">
        <f>RawData!BD160</f>
        <v>0</v>
      </c>
      <c r="AF162" s="40">
        <f>RawData!BC160</f>
        <v>0</v>
      </c>
      <c r="AG162" s="41">
        <f>RawData!BB160</f>
        <v>0</v>
      </c>
      <c r="AH162" s="42">
        <f>RawData!DB160</f>
        <v>0</v>
      </c>
      <c r="AI162" s="41">
        <f>RawData!BA160</f>
        <v>0</v>
      </c>
      <c r="AJ162" s="43">
        <f>RawData!DA160</f>
        <v>0</v>
      </c>
      <c r="AK162" s="41">
        <f>RawData!AZ160</f>
        <v>0</v>
      </c>
      <c r="AL162" s="42">
        <f>RawData!DD160</f>
        <v>0</v>
      </c>
      <c r="AM162" s="44">
        <f>RawData!DC160</f>
        <v>0</v>
      </c>
      <c r="AN162" s="45">
        <f>RawData!BK160</f>
        <v>0</v>
      </c>
      <c r="AO162" s="44">
        <f>RawData!AY160</f>
        <v>0</v>
      </c>
      <c r="AP162" s="43">
        <f>RawData!DH160</f>
        <v>0</v>
      </c>
      <c r="AQ162" s="43">
        <f>RawData!DE160</f>
        <v>0</v>
      </c>
      <c r="AR162" s="42">
        <f>RawData!CZ160</f>
        <v>0</v>
      </c>
      <c r="AS162" s="44">
        <f>RawData!AX160</f>
        <v>0</v>
      </c>
      <c r="AT162" s="43">
        <f>RawData!CY160</f>
        <v>0</v>
      </c>
      <c r="AU162" s="44">
        <f>RawData!AW160</f>
        <v>0</v>
      </c>
      <c r="AV162" s="46">
        <f>RawData!O160</f>
        <v>0</v>
      </c>
      <c r="AW162" s="44">
        <f>RawData!AV160</f>
        <v>0</v>
      </c>
      <c r="AX162" s="44">
        <f>RawData!CW160</f>
        <v>0</v>
      </c>
      <c r="AY162" s="44">
        <f>RawData!AU160</f>
        <v>0</v>
      </c>
      <c r="AZ162" s="42">
        <f>RawData!CX160</f>
        <v>0</v>
      </c>
      <c r="BA162" s="44">
        <f>RawData!DF160</f>
        <v>0</v>
      </c>
      <c r="BB162" s="43">
        <f>RawData!DI160</f>
        <v>0</v>
      </c>
      <c r="BC162" s="44">
        <f>RawData!AT160</f>
        <v>0</v>
      </c>
      <c r="BD162" s="45">
        <f>RawData!AP160</f>
        <v>0</v>
      </c>
      <c r="BE162" s="44">
        <f>RawData!CS160</f>
        <v>0</v>
      </c>
      <c r="BF162" s="42">
        <f>RawData!CT160</f>
        <v>0</v>
      </c>
      <c r="BG162" s="41">
        <f>RawData!AS160</f>
        <v>0</v>
      </c>
      <c r="BH162" s="41">
        <f>RawData!CU160</f>
        <v>0</v>
      </c>
      <c r="BI162" s="41">
        <f>RawData!AR160</f>
        <v>0</v>
      </c>
      <c r="BJ162" s="42">
        <f>RawData!CV160</f>
        <v>0</v>
      </c>
      <c r="BK162" s="41">
        <f>RawData!AQ160</f>
        <v>0</v>
      </c>
      <c r="BL162" s="40">
        <f>RawData!AO160</f>
        <v>0</v>
      </c>
      <c r="BM162" s="40">
        <f>RawData!AN160</f>
        <v>0</v>
      </c>
      <c r="BN162" s="40">
        <f>RawData!AM160</f>
        <v>0</v>
      </c>
      <c r="BO162" s="40">
        <f>RawData!AL160</f>
        <v>0</v>
      </c>
      <c r="BP162" s="40">
        <f>RawData!AK160</f>
        <v>0</v>
      </c>
      <c r="BQ162" s="40">
        <f>RawData!AJ160</f>
        <v>0</v>
      </c>
      <c r="BR162" s="38">
        <f>RawData!AI160</f>
        <v>0</v>
      </c>
      <c r="BS162" s="38">
        <f>RawData!AH160</f>
        <v>0</v>
      </c>
      <c r="BT162" s="40">
        <f>RawData!AG160</f>
        <v>0</v>
      </c>
      <c r="BU162" s="39">
        <f>RawData!AF160</f>
        <v>0</v>
      </c>
      <c r="BV162" s="39">
        <f>RawData!AE160</f>
        <v>0</v>
      </c>
      <c r="BW162" s="38">
        <f>RawData!AD160</f>
        <v>0</v>
      </c>
      <c r="BX162" s="38">
        <f>RawData!AC160</f>
        <v>0</v>
      </c>
      <c r="BY162" s="37">
        <f>RawData!AB160</f>
        <v>0</v>
      </c>
      <c r="BZ162" s="37">
        <f>RawData!AA160</f>
        <v>0</v>
      </c>
      <c r="CA162" s="36">
        <f>RawData!Z160</f>
        <v>0</v>
      </c>
      <c r="CB162" s="36">
        <f>RawData!Y160</f>
        <v>0</v>
      </c>
      <c r="CC162" s="36">
        <f>RawData!X160</f>
        <v>0</v>
      </c>
      <c r="CD162" s="36">
        <f>RawData!W160</f>
        <v>0</v>
      </c>
      <c r="CE162" s="40">
        <f>RawData!V160</f>
        <v>0</v>
      </c>
      <c r="CF162" s="40">
        <f>RawData!U160</f>
        <v>0</v>
      </c>
      <c r="CG162" s="40">
        <f>RawData!T160</f>
        <v>0</v>
      </c>
      <c r="CH162" s="44">
        <f>RawData!S160</f>
        <v>0</v>
      </c>
      <c r="CI162" s="44">
        <f>RawData!R160</f>
        <v>0</v>
      </c>
      <c r="CJ162" s="44">
        <f>RawData!Q160</f>
        <v>0</v>
      </c>
      <c r="CK162" s="44">
        <f>RawData!P160</f>
        <v>0</v>
      </c>
      <c r="CL162" s="44">
        <f>RawData!CJ160</f>
        <v>0</v>
      </c>
      <c r="CM162" s="43">
        <f>RawData!CI160</f>
        <v>0</v>
      </c>
      <c r="CN162" s="44">
        <f>RawData!CL160</f>
        <v>0</v>
      </c>
      <c r="CO162" s="43">
        <f>RawData!CK160</f>
        <v>0</v>
      </c>
      <c r="CP162" s="44">
        <f>RawData!CM160</f>
        <v>0</v>
      </c>
      <c r="CQ162" s="47">
        <f>RawData!CO160</f>
        <v>0</v>
      </c>
      <c r="CR162" s="44">
        <f>RawData!CP160</f>
        <v>0</v>
      </c>
      <c r="CS162" s="44">
        <f>RawData!DG160</f>
        <v>0</v>
      </c>
      <c r="CT162" s="43">
        <f>RawData!DJ160</f>
        <v>0</v>
      </c>
      <c r="CU162" s="43">
        <f>RawData!CQ160</f>
        <v>0</v>
      </c>
      <c r="CV162" s="47">
        <f>RawData!CR160</f>
        <v>0</v>
      </c>
      <c r="CW162" s="65">
        <f>RawData!DK160</f>
        <v>0</v>
      </c>
      <c r="CX162" s="65">
        <f>RawData!DL160</f>
        <v>0</v>
      </c>
      <c r="CY162" s="65">
        <f>RawData!DM160</f>
        <v>0</v>
      </c>
      <c r="CZ162" s="65">
        <f>RawData!DN160</f>
        <v>0</v>
      </c>
      <c r="DA162" s="65">
        <f>RawData!DO160</f>
        <v>0</v>
      </c>
      <c r="DB162" s="65">
        <f>RawData!DP160</f>
        <v>0</v>
      </c>
      <c r="DC162" s="65">
        <f>RawData!DQ160</f>
        <v>0</v>
      </c>
      <c r="DD162" s="65">
        <f>RawData!DR160</f>
        <v>0</v>
      </c>
      <c r="DE162" s="65">
        <f>RawData!DS160</f>
        <v>0</v>
      </c>
      <c r="DF162" s="65">
        <f>RawData!DT160</f>
        <v>0</v>
      </c>
      <c r="DG162" s="66">
        <f>RawData!DU160</f>
        <v>0</v>
      </c>
      <c r="DI162" s="21">
        <f t="shared" si="2"/>
        <v>0</v>
      </c>
    </row>
    <row r="163" spans="1:113" x14ac:dyDescent="0.2">
      <c r="A163" s="59">
        <f>RawData!CN161</f>
        <v>0</v>
      </c>
      <c r="B163" s="44">
        <f>RawData!CH161</f>
        <v>0</v>
      </c>
      <c r="C163" s="44">
        <f>RawData!CG161</f>
        <v>0</v>
      </c>
      <c r="D163" s="43">
        <f>RawData!CF161</f>
        <v>0</v>
      </c>
      <c r="E163" s="44">
        <f>RawData!CE161</f>
        <v>0</v>
      </c>
      <c r="F163" s="43">
        <f>RawData!CD161</f>
        <v>0</v>
      </c>
      <c r="G163" s="44">
        <f>RawData!CC161</f>
        <v>0</v>
      </c>
      <c r="H163" s="44">
        <f>RawData!CB161</f>
        <v>0</v>
      </c>
      <c r="I163" s="44">
        <f>RawData!CA161</f>
        <v>0</v>
      </c>
      <c r="J163" s="44">
        <f>RawData!BZ161</f>
        <v>0</v>
      </c>
      <c r="K163" s="40">
        <f>RawData!BY161</f>
        <v>0</v>
      </c>
      <c r="L163" s="40">
        <f>RawData!BX161</f>
        <v>0</v>
      </c>
      <c r="M163" s="40">
        <f>RawData!BW161</f>
        <v>0</v>
      </c>
      <c r="N163" s="40">
        <f>RawData!BV161</f>
        <v>0</v>
      </c>
      <c r="O163" s="36">
        <f>RawData!BU161</f>
        <v>0</v>
      </c>
      <c r="P163" s="36">
        <f>RawData!BT161</f>
        <v>0</v>
      </c>
      <c r="Q163" s="36">
        <f>RawData!BS161</f>
        <v>0</v>
      </c>
      <c r="R163" s="36">
        <f>RawData!BR161</f>
        <v>0</v>
      </c>
      <c r="S163" s="37">
        <f>RawData!BQ161</f>
        <v>0</v>
      </c>
      <c r="T163" s="37">
        <f>RawData!BP161</f>
        <v>0</v>
      </c>
      <c r="U163" s="38">
        <f>RawData!BO161</f>
        <v>0</v>
      </c>
      <c r="V163" s="38">
        <f>RawData!BN161</f>
        <v>0</v>
      </c>
      <c r="W163" s="39">
        <f>RawData!BM161</f>
        <v>0</v>
      </c>
      <c r="X163" s="39">
        <f>RawData!BL161</f>
        <v>0</v>
      </c>
      <c r="Y163" s="38">
        <f>RawData!BJ161</f>
        <v>0</v>
      </c>
      <c r="Z163" s="38">
        <f>RawData!BI161</f>
        <v>0</v>
      </c>
      <c r="AA163" s="40">
        <f>RawData!BH161</f>
        <v>0</v>
      </c>
      <c r="AB163" s="40">
        <f>RawData!BG161</f>
        <v>0</v>
      </c>
      <c r="AC163" s="40">
        <f>RawData!BF161</f>
        <v>0</v>
      </c>
      <c r="AD163" s="40">
        <f>RawData!BE161</f>
        <v>0</v>
      </c>
      <c r="AE163" s="40">
        <f>RawData!BD161</f>
        <v>0</v>
      </c>
      <c r="AF163" s="40">
        <f>RawData!BC161</f>
        <v>0</v>
      </c>
      <c r="AG163" s="41">
        <f>RawData!BB161</f>
        <v>0</v>
      </c>
      <c r="AH163" s="42">
        <f>RawData!DB161</f>
        <v>0</v>
      </c>
      <c r="AI163" s="41">
        <f>RawData!BA161</f>
        <v>0</v>
      </c>
      <c r="AJ163" s="43">
        <f>RawData!DA161</f>
        <v>0</v>
      </c>
      <c r="AK163" s="41">
        <f>RawData!AZ161</f>
        <v>0</v>
      </c>
      <c r="AL163" s="42">
        <f>RawData!DD161</f>
        <v>0</v>
      </c>
      <c r="AM163" s="44">
        <f>RawData!DC161</f>
        <v>0</v>
      </c>
      <c r="AN163" s="45">
        <f>RawData!BK161</f>
        <v>0</v>
      </c>
      <c r="AO163" s="44">
        <f>RawData!AY161</f>
        <v>0</v>
      </c>
      <c r="AP163" s="43">
        <f>RawData!DH161</f>
        <v>0</v>
      </c>
      <c r="AQ163" s="43">
        <f>RawData!DE161</f>
        <v>0</v>
      </c>
      <c r="AR163" s="42">
        <f>RawData!CZ161</f>
        <v>0</v>
      </c>
      <c r="AS163" s="44">
        <f>RawData!AX161</f>
        <v>0</v>
      </c>
      <c r="AT163" s="43">
        <f>RawData!CY161</f>
        <v>0</v>
      </c>
      <c r="AU163" s="44">
        <f>RawData!AW161</f>
        <v>0</v>
      </c>
      <c r="AV163" s="46">
        <f>RawData!O161</f>
        <v>0</v>
      </c>
      <c r="AW163" s="44">
        <f>RawData!AV161</f>
        <v>0</v>
      </c>
      <c r="AX163" s="44">
        <f>RawData!CW161</f>
        <v>0</v>
      </c>
      <c r="AY163" s="44">
        <f>RawData!AU161</f>
        <v>0</v>
      </c>
      <c r="AZ163" s="42">
        <f>RawData!CX161</f>
        <v>0</v>
      </c>
      <c r="BA163" s="44">
        <f>RawData!DF161</f>
        <v>0</v>
      </c>
      <c r="BB163" s="43">
        <f>RawData!DI161</f>
        <v>0</v>
      </c>
      <c r="BC163" s="44">
        <f>RawData!AT161</f>
        <v>0</v>
      </c>
      <c r="BD163" s="45">
        <f>RawData!AP161</f>
        <v>0</v>
      </c>
      <c r="BE163" s="44">
        <f>RawData!CS161</f>
        <v>0</v>
      </c>
      <c r="BF163" s="42">
        <f>RawData!CT161</f>
        <v>0</v>
      </c>
      <c r="BG163" s="41">
        <f>RawData!AS161</f>
        <v>0</v>
      </c>
      <c r="BH163" s="41">
        <f>RawData!CU161</f>
        <v>0</v>
      </c>
      <c r="BI163" s="41">
        <f>RawData!AR161</f>
        <v>0</v>
      </c>
      <c r="BJ163" s="42">
        <f>RawData!CV161</f>
        <v>0</v>
      </c>
      <c r="BK163" s="41">
        <f>RawData!AQ161</f>
        <v>0</v>
      </c>
      <c r="BL163" s="40">
        <f>RawData!AO161</f>
        <v>0</v>
      </c>
      <c r="BM163" s="40">
        <f>RawData!AN161</f>
        <v>0</v>
      </c>
      <c r="BN163" s="40">
        <f>RawData!AM161</f>
        <v>0</v>
      </c>
      <c r="BO163" s="40">
        <f>RawData!AL161</f>
        <v>0</v>
      </c>
      <c r="BP163" s="40">
        <f>RawData!AK161</f>
        <v>0</v>
      </c>
      <c r="BQ163" s="40">
        <f>RawData!AJ161</f>
        <v>0</v>
      </c>
      <c r="BR163" s="38">
        <f>RawData!AI161</f>
        <v>0</v>
      </c>
      <c r="BS163" s="38">
        <f>RawData!AH161</f>
        <v>0</v>
      </c>
      <c r="BT163" s="40">
        <f>RawData!AG161</f>
        <v>0</v>
      </c>
      <c r="BU163" s="39">
        <f>RawData!AF161</f>
        <v>0</v>
      </c>
      <c r="BV163" s="39">
        <f>RawData!AE161</f>
        <v>0</v>
      </c>
      <c r="BW163" s="38">
        <f>RawData!AD161</f>
        <v>0</v>
      </c>
      <c r="BX163" s="38">
        <f>RawData!AC161</f>
        <v>0</v>
      </c>
      <c r="BY163" s="37">
        <f>RawData!AB161</f>
        <v>0</v>
      </c>
      <c r="BZ163" s="37">
        <f>RawData!AA161</f>
        <v>0</v>
      </c>
      <c r="CA163" s="36">
        <f>RawData!Z161</f>
        <v>0</v>
      </c>
      <c r="CB163" s="36">
        <f>RawData!Y161</f>
        <v>0</v>
      </c>
      <c r="CC163" s="36">
        <f>RawData!X161</f>
        <v>0</v>
      </c>
      <c r="CD163" s="36">
        <f>RawData!W161</f>
        <v>0</v>
      </c>
      <c r="CE163" s="40">
        <f>RawData!V161</f>
        <v>0</v>
      </c>
      <c r="CF163" s="40">
        <f>RawData!U161</f>
        <v>0</v>
      </c>
      <c r="CG163" s="40">
        <f>RawData!T161</f>
        <v>0</v>
      </c>
      <c r="CH163" s="44">
        <f>RawData!S161</f>
        <v>0</v>
      </c>
      <c r="CI163" s="44">
        <f>RawData!R161</f>
        <v>0</v>
      </c>
      <c r="CJ163" s="44">
        <f>RawData!Q161</f>
        <v>0</v>
      </c>
      <c r="CK163" s="44">
        <f>RawData!P161</f>
        <v>0</v>
      </c>
      <c r="CL163" s="44">
        <f>RawData!CJ161</f>
        <v>0</v>
      </c>
      <c r="CM163" s="43">
        <f>RawData!CI161</f>
        <v>0</v>
      </c>
      <c r="CN163" s="44">
        <f>RawData!CL161</f>
        <v>0</v>
      </c>
      <c r="CO163" s="43">
        <f>RawData!CK161</f>
        <v>0</v>
      </c>
      <c r="CP163" s="44">
        <f>RawData!CM161</f>
        <v>0</v>
      </c>
      <c r="CQ163" s="47">
        <f>RawData!CO161</f>
        <v>0</v>
      </c>
      <c r="CR163" s="44">
        <f>RawData!CP161</f>
        <v>0</v>
      </c>
      <c r="CS163" s="44">
        <f>RawData!DG161</f>
        <v>0</v>
      </c>
      <c r="CT163" s="43">
        <f>RawData!DJ161</f>
        <v>0</v>
      </c>
      <c r="CU163" s="43">
        <f>RawData!CQ161</f>
        <v>0</v>
      </c>
      <c r="CV163" s="47">
        <f>RawData!CR161</f>
        <v>0</v>
      </c>
      <c r="CW163" s="65">
        <f>RawData!DK161</f>
        <v>0</v>
      </c>
      <c r="CX163" s="65">
        <f>RawData!DL161</f>
        <v>0</v>
      </c>
      <c r="CY163" s="65">
        <f>RawData!DM161</f>
        <v>0</v>
      </c>
      <c r="CZ163" s="65">
        <f>RawData!DN161</f>
        <v>0</v>
      </c>
      <c r="DA163" s="65">
        <f>RawData!DO161</f>
        <v>0</v>
      </c>
      <c r="DB163" s="65">
        <f>RawData!DP161</f>
        <v>0</v>
      </c>
      <c r="DC163" s="65">
        <f>RawData!DQ161</f>
        <v>0</v>
      </c>
      <c r="DD163" s="65">
        <f>RawData!DR161</f>
        <v>0</v>
      </c>
      <c r="DE163" s="65">
        <f>RawData!DS161</f>
        <v>0</v>
      </c>
      <c r="DF163" s="65">
        <f>RawData!DT161</f>
        <v>0</v>
      </c>
      <c r="DG163" s="66">
        <f>RawData!DU161</f>
        <v>0</v>
      </c>
      <c r="DI163" s="21">
        <f t="shared" si="2"/>
        <v>0</v>
      </c>
    </row>
    <row r="164" spans="1:113" x14ac:dyDescent="0.2">
      <c r="A164" s="59">
        <f>RawData!CN162</f>
        <v>0</v>
      </c>
      <c r="B164" s="44">
        <f>RawData!CH162</f>
        <v>0</v>
      </c>
      <c r="C164" s="44">
        <f>RawData!CG162</f>
        <v>0</v>
      </c>
      <c r="D164" s="43">
        <f>RawData!CF162</f>
        <v>0</v>
      </c>
      <c r="E164" s="44">
        <f>RawData!CE162</f>
        <v>0</v>
      </c>
      <c r="F164" s="43">
        <f>RawData!CD162</f>
        <v>0</v>
      </c>
      <c r="G164" s="44">
        <f>RawData!CC162</f>
        <v>0</v>
      </c>
      <c r="H164" s="44">
        <f>RawData!CB162</f>
        <v>0</v>
      </c>
      <c r="I164" s="44">
        <f>RawData!CA162</f>
        <v>0</v>
      </c>
      <c r="J164" s="44">
        <f>RawData!BZ162</f>
        <v>0</v>
      </c>
      <c r="K164" s="40">
        <f>RawData!BY162</f>
        <v>0</v>
      </c>
      <c r="L164" s="40">
        <f>RawData!BX162</f>
        <v>0</v>
      </c>
      <c r="M164" s="40">
        <f>RawData!BW162</f>
        <v>0</v>
      </c>
      <c r="N164" s="40">
        <f>RawData!BV162</f>
        <v>0</v>
      </c>
      <c r="O164" s="36">
        <f>RawData!BU162</f>
        <v>0</v>
      </c>
      <c r="P164" s="36">
        <f>RawData!BT162</f>
        <v>0</v>
      </c>
      <c r="Q164" s="36">
        <f>RawData!BS162</f>
        <v>0</v>
      </c>
      <c r="R164" s="36">
        <f>RawData!BR162</f>
        <v>0</v>
      </c>
      <c r="S164" s="37">
        <f>RawData!BQ162</f>
        <v>0</v>
      </c>
      <c r="T164" s="37">
        <f>RawData!BP162</f>
        <v>0</v>
      </c>
      <c r="U164" s="38">
        <f>RawData!BO162</f>
        <v>0</v>
      </c>
      <c r="V164" s="38">
        <f>RawData!BN162</f>
        <v>0</v>
      </c>
      <c r="W164" s="39">
        <f>RawData!BM162</f>
        <v>0</v>
      </c>
      <c r="X164" s="39">
        <f>RawData!BL162</f>
        <v>0</v>
      </c>
      <c r="Y164" s="38">
        <f>RawData!BJ162</f>
        <v>0</v>
      </c>
      <c r="Z164" s="38">
        <f>RawData!BI162</f>
        <v>0</v>
      </c>
      <c r="AA164" s="40">
        <f>RawData!BH162</f>
        <v>0</v>
      </c>
      <c r="AB164" s="40">
        <f>RawData!BG162</f>
        <v>0</v>
      </c>
      <c r="AC164" s="40">
        <f>RawData!BF162</f>
        <v>0</v>
      </c>
      <c r="AD164" s="40">
        <f>RawData!BE162</f>
        <v>0</v>
      </c>
      <c r="AE164" s="40">
        <f>RawData!BD162</f>
        <v>0</v>
      </c>
      <c r="AF164" s="40">
        <f>RawData!BC162</f>
        <v>0</v>
      </c>
      <c r="AG164" s="41">
        <f>RawData!BB162</f>
        <v>0</v>
      </c>
      <c r="AH164" s="42">
        <f>RawData!DB162</f>
        <v>0</v>
      </c>
      <c r="AI164" s="41">
        <f>RawData!BA162</f>
        <v>0</v>
      </c>
      <c r="AJ164" s="43">
        <f>RawData!DA162</f>
        <v>0</v>
      </c>
      <c r="AK164" s="41">
        <f>RawData!AZ162</f>
        <v>0</v>
      </c>
      <c r="AL164" s="42">
        <f>RawData!DD162</f>
        <v>0</v>
      </c>
      <c r="AM164" s="44">
        <f>RawData!DC162</f>
        <v>0</v>
      </c>
      <c r="AN164" s="45">
        <f>RawData!BK162</f>
        <v>0</v>
      </c>
      <c r="AO164" s="44">
        <f>RawData!AY162</f>
        <v>0</v>
      </c>
      <c r="AP164" s="43">
        <f>RawData!DH162</f>
        <v>0</v>
      </c>
      <c r="AQ164" s="43">
        <f>RawData!DE162</f>
        <v>0</v>
      </c>
      <c r="AR164" s="42">
        <f>RawData!CZ162</f>
        <v>0</v>
      </c>
      <c r="AS164" s="44">
        <f>RawData!AX162</f>
        <v>0</v>
      </c>
      <c r="AT164" s="43">
        <f>RawData!CY162</f>
        <v>0</v>
      </c>
      <c r="AU164" s="44">
        <f>RawData!AW162</f>
        <v>0</v>
      </c>
      <c r="AV164" s="46">
        <f>RawData!O162</f>
        <v>0</v>
      </c>
      <c r="AW164" s="44">
        <f>RawData!AV162</f>
        <v>0</v>
      </c>
      <c r="AX164" s="44">
        <f>RawData!CW162</f>
        <v>0</v>
      </c>
      <c r="AY164" s="44">
        <f>RawData!AU162</f>
        <v>0</v>
      </c>
      <c r="AZ164" s="42">
        <f>RawData!CX162</f>
        <v>0</v>
      </c>
      <c r="BA164" s="44">
        <f>RawData!DF162</f>
        <v>0</v>
      </c>
      <c r="BB164" s="43">
        <f>RawData!DI162</f>
        <v>0</v>
      </c>
      <c r="BC164" s="44">
        <f>RawData!AT162</f>
        <v>0</v>
      </c>
      <c r="BD164" s="45">
        <f>RawData!AP162</f>
        <v>0</v>
      </c>
      <c r="BE164" s="44">
        <f>RawData!CS162</f>
        <v>0</v>
      </c>
      <c r="BF164" s="42">
        <f>RawData!CT162</f>
        <v>0</v>
      </c>
      <c r="BG164" s="41">
        <f>RawData!AS162</f>
        <v>0</v>
      </c>
      <c r="BH164" s="41">
        <f>RawData!CU162</f>
        <v>0</v>
      </c>
      <c r="BI164" s="41">
        <f>RawData!AR162</f>
        <v>0</v>
      </c>
      <c r="BJ164" s="42">
        <f>RawData!CV162</f>
        <v>0</v>
      </c>
      <c r="BK164" s="41">
        <f>RawData!AQ162</f>
        <v>0</v>
      </c>
      <c r="BL164" s="40">
        <f>RawData!AO162</f>
        <v>0</v>
      </c>
      <c r="BM164" s="40">
        <f>RawData!AN162</f>
        <v>0</v>
      </c>
      <c r="BN164" s="40">
        <f>RawData!AM162</f>
        <v>0</v>
      </c>
      <c r="BO164" s="40">
        <f>RawData!AL162</f>
        <v>0</v>
      </c>
      <c r="BP164" s="40">
        <f>RawData!AK162</f>
        <v>0</v>
      </c>
      <c r="BQ164" s="40">
        <f>RawData!AJ162</f>
        <v>0</v>
      </c>
      <c r="BR164" s="38">
        <f>RawData!AI162</f>
        <v>0</v>
      </c>
      <c r="BS164" s="38">
        <f>RawData!AH162</f>
        <v>0</v>
      </c>
      <c r="BT164" s="40">
        <f>RawData!AG162</f>
        <v>0</v>
      </c>
      <c r="BU164" s="39">
        <f>RawData!AF162</f>
        <v>0</v>
      </c>
      <c r="BV164" s="39">
        <f>RawData!AE162</f>
        <v>0</v>
      </c>
      <c r="BW164" s="38">
        <f>RawData!AD162</f>
        <v>0</v>
      </c>
      <c r="BX164" s="38">
        <f>RawData!AC162</f>
        <v>0</v>
      </c>
      <c r="BY164" s="37">
        <f>RawData!AB162</f>
        <v>0</v>
      </c>
      <c r="BZ164" s="37">
        <f>RawData!AA162</f>
        <v>0</v>
      </c>
      <c r="CA164" s="36">
        <f>RawData!Z162</f>
        <v>0</v>
      </c>
      <c r="CB164" s="36">
        <f>RawData!Y162</f>
        <v>0</v>
      </c>
      <c r="CC164" s="36">
        <f>RawData!X162</f>
        <v>0</v>
      </c>
      <c r="CD164" s="36">
        <f>RawData!W162</f>
        <v>0</v>
      </c>
      <c r="CE164" s="40">
        <f>RawData!V162</f>
        <v>0</v>
      </c>
      <c r="CF164" s="40">
        <f>RawData!U162</f>
        <v>0</v>
      </c>
      <c r="CG164" s="40">
        <f>RawData!T162</f>
        <v>0</v>
      </c>
      <c r="CH164" s="44">
        <f>RawData!S162</f>
        <v>0</v>
      </c>
      <c r="CI164" s="44">
        <f>RawData!R162</f>
        <v>0</v>
      </c>
      <c r="CJ164" s="44">
        <f>RawData!Q162</f>
        <v>0</v>
      </c>
      <c r="CK164" s="44">
        <f>RawData!P162</f>
        <v>0</v>
      </c>
      <c r="CL164" s="44">
        <f>RawData!CJ162</f>
        <v>0</v>
      </c>
      <c r="CM164" s="43">
        <f>RawData!CI162</f>
        <v>0</v>
      </c>
      <c r="CN164" s="44">
        <f>RawData!CL162</f>
        <v>0</v>
      </c>
      <c r="CO164" s="43">
        <f>RawData!CK162</f>
        <v>0</v>
      </c>
      <c r="CP164" s="44">
        <f>RawData!CM162</f>
        <v>0</v>
      </c>
      <c r="CQ164" s="47">
        <f>RawData!CO162</f>
        <v>0</v>
      </c>
      <c r="CR164" s="44">
        <f>RawData!CP162</f>
        <v>0</v>
      </c>
      <c r="CS164" s="44">
        <f>RawData!DG162</f>
        <v>0</v>
      </c>
      <c r="CT164" s="43">
        <f>RawData!DJ162</f>
        <v>0</v>
      </c>
      <c r="CU164" s="43">
        <f>RawData!CQ162</f>
        <v>0</v>
      </c>
      <c r="CV164" s="47">
        <f>RawData!CR162</f>
        <v>0</v>
      </c>
      <c r="CW164" s="65">
        <f>RawData!DK162</f>
        <v>0</v>
      </c>
      <c r="CX164" s="65">
        <f>RawData!DL162</f>
        <v>0</v>
      </c>
      <c r="CY164" s="65">
        <f>RawData!DM162</f>
        <v>0</v>
      </c>
      <c r="CZ164" s="65">
        <f>RawData!DN162</f>
        <v>0</v>
      </c>
      <c r="DA164" s="65">
        <f>RawData!DO162</f>
        <v>0</v>
      </c>
      <c r="DB164" s="65">
        <f>RawData!DP162</f>
        <v>0</v>
      </c>
      <c r="DC164" s="65">
        <f>RawData!DQ162</f>
        <v>0</v>
      </c>
      <c r="DD164" s="65">
        <f>RawData!DR162</f>
        <v>0</v>
      </c>
      <c r="DE164" s="65">
        <f>RawData!DS162</f>
        <v>0</v>
      </c>
      <c r="DF164" s="65">
        <f>RawData!DT162</f>
        <v>0</v>
      </c>
      <c r="DG164" s="66">
        <f>RawData!DU162</f>
        <v>0</v>
      </c>
      <c r="DI164" s="21">
        <f t="shared" si="2"/>
        <v>0</v>
      </c>
    </row>
    <row r="165" spans="1:113" x14ac:dyDescent="0.2">
      <c r="A165" s="59">
        <f>RawData!CN163</f>
        <v>0</v>
      </c>
      <c r="B165" s="44">
        <f>RawData!CH163</f>
        <v>0</v>
      </c>
      <c r="C165" s="44">
        <f>RawData!CG163</f>
        <v>0</v>
      </c>
      <c r="D165" s="43">
        <f>RawData!CF163</f>
        <v>0</v>
      </c>
      <c r="E165" s="44">
        <f>RawData!CE163</f>
        <v>0</v>
      </c>
      <c r="F165" s="43">
        <f>RawData!CD163</f>
        <v>0</v>
      </c>
      <c r="G165" s="44">
        <f>RawData!CC163</f>
        <v>0</v>
      </c>
      <c r="H165" s="44">
        <f>RawData!CB163</f>
        <v>0</v>
      </c>
      <c r="I165" s="44">
        <f>RawData!CA163</f>
        <v>0</v>
      </c>
      <c r="J165" s="44">
        <f>RawData!BZ163</f>
        <v>0</v>
      </c>
      <c r="K165" s="40">
        <f>RawData!BY163</f>
        <v>0</v>
      </c>
      <c r="L165" s="40">
        <f>RawData!BX163</f>
        <v>0</v>
      </c>
      <c r="M165" s="40">
        <f>RawData!BW163</f>
        <v>0</v>
      </c>
      <c r="N165" s="40">
        <f>RawData!BV163</f>
        <v>0</v>
      </c>
      <c r="O165" s="36">
        <f>RawData!BU163</f>
        <v>0</v>
      </c>
      <c r="P165" s="36">
        <f>RawData!BT163</f>
        <v>0</v>
      </c>
      <c r="Q165" s="36">
        <f>RawData!BS163</f>
        <v>0</v>
      </c>
      <c r="R165" s="36">
        <f>RawData!BR163</f>
        <v>0</v>
      </c>
      <c r="S165" s="37">
        <f>RawData!BQ163</f>
        <v>0</v>
      </c>
      <c r="T165" s="37">
        <f>RawData!BP163</f>
        <v>0</v>
      </c>
      <c r="U165" s="38">
        <f>RawData!BO163</f>
        <v>0</v>
      </c>
      <c r="V165" s="38">
        <f>RawData!BN163</f>
        <v>0</v>
      </c>
      <c r="W165" s="39">
        <f>RawData!BM163</f>
        <v>0</v>
      </c>
      <c r="X165" s="39">
        <f>RawData!BL163</f>
        <v>0</v>
      </c>
      <c r="Y165" s="38">
        <f>RawData!BJ163</f>
        <v>0</v>
      </c>
      <c r="Z165" s="38">
        <f>RawData!BI163</f>
        <v>0</v>
      </c>
      <c r="AA165" s="40">
        <f>RawData!BH163</f>
        <v>0</v>
      </c>
      <c r="AB165" s="40">
        <f>RawData!BG163</f>
        <v>0</v>
      </c>
      <c r="AC165" s="40">
        <f>RawData!BF163</f>
        <v>0</v>
      </c>
      <c r="AD165" s="40">
        <f>RawData!BE163</f>
        <v>0</v>
      </c>
      <c r="AE165" s="40">
        <f>RawData!BD163</f>
        <v>0</v>
      </c>
      <c r="AF165" s="40">
        <f>RawData!BC163</f>
        <v>0</v>
      </c>
      <c r="AG165" s="41">
        <f>RawData!BB163</f>
        <v>0</v>
      </c>
      <c r="AH165" s="42">
        <f>RawData!DB163</f>
        <v>0</v>
      </c>
      <c r="AI165" s="41">
        <f>RawData!BA163</f>
        <v>0</v>
      </c>
      <c r="AJ165" s="43">
        <f>RawData!DA163</f>
        <v>0</v>
      </c>
      <c r="AK165" s="41">
        <f>RawData!AZ163</f>
        <v>0</v>
      </c>
      <c r="AL165" s="42">
        <f>RawData!DD163</f>
        <v>0</v>
      </c>
      <c r="AM165" s="44">
        <f>RawData!DC163</f>
        <v>0</v>
      </c>
      <c r="AN165" s="45">
        <f>RawData!BK163</f>
        <v>0</v>
      </c>
      <c r="AO165" s="44">
        <f>RawData!AY163</f>
        <v>0</v>
      </c>
      <c r="AP165" s="43">
        <f>RawData!DH163</f>
        <v>0</v>
      </c>
      <c r="AQ165" s="43">
        <f>RawData!DE163</f>
        <v>0</v>
      </c>
      <c r="AR165" s="42">
        <f>RawData!CZ163</f>
        <v>0</v>
      </c>
      <c r="AS165" s="44">
        <f>RawData!AX163</f>
        <v>0</v>
      </c>
      <c r="AT165" s="43">
        <f>RawData!CY163</f>
        <v>0</v>
      </c>
      <c r="AU165" s="44">
        <f>RawData!AW163</f>
        <v>0</v>
      </c>
      <c r="AV165" s="46">
        <f>RawData!O163</f>
        <v>0</v>
      </c>
      <c r="AW165" s="44">
        <f>RawData!AV163</f>
        <v>0</v>
      </c>
      <c r="AX165" s="44">
        <f>RawData!CW163</f>
        <v>0</v>
      </c>
      <c r="AY165" s="44">
        <f>RawData!AU163</f>
        <v>0</v>
      </c>
      <c r="AZ165" s="42">
        <f>RawData!CX163</f>
        <v>0</v>
      </c>
      <c r="BA165" s="44">
        <f>RawData!DF163</f>
        <v>0</v>
      </c>
      <c r="BB165" s="43">
        <f>RawData!DI163</f>
        <v>0</v>
      </c>
      <c r="BC165" s="44">
        <f>RawData!AT163</f>
        <v>0</v>
      </c>
      <c r="BD165" s="45">
        <f>RawData!AP163</f>
        <v>0</v>
      </c>
      <c r="BE165" s="44">
        <f>RawData!CS163</f>
        <v>0</v>
      </c>
      <c r="BF165" s="42">
        <f>RawData!CT163</f>
        <v>0</v>
      </c>
      <c r="BG165" s="41">
        <f>RawData!AS163</f>
        <v>0</v>
      </c>
      <c r="BH165" s="41">
        <f>RawData!CU163</f>
        <v>0</v>
      </c>
      <c r="BI165" s="41">
        <f>RawData!AR163</f>
        <v>0</v>
      </c>
      <c r="BJ165" s="42">
        <f>RawData!CV163</f>
        <v>0</v>
      </c>
      <c r="BK165" s="41">
        <f>RawData!AQ163</f>
        <v>0</v>
      </c>
      <c r="BL165" s="40">
        <f>RawData!AO163</f>
        <v>0</v>
      </c>
      <c r="BM165" s="40">
        <f>RawData!AN163</f>
        <v>0</v>
      </c>
      <c r="BN165" s="40">
        <f>RawData!AM163</f>
        <v>0</v>
      </c>
      <c r="BO165" s="40">
        <f>RawData!AL163</f>
        <v>0</v>
      </c>
      <c r="BP165" s="40">
        <f>RawData!AK163</f>
        <v>0</v>
      </c>
      <c r="BQ165" s="40">
        <f>RawData!AJ163</f>
        <v>0</v>
      </c>
      <c r="BR165" s="38">
        <f>RawData!AI163</f>
        <v>0</v>
      </c>
      <c r="BS165" s="38">
        <f>RawData!AH163</f>
        <v>0</v>
      </c>
      <c r="BT165" s="40">
        <f>RawData!AG163</f>
        <v>0</v>
      </c>
      <c r="BU165" s="39">
        <f>RawData!AF163</f>
        <v>0</v>
      </c>
      <c r="BV165" s="39">
        <f>RawData!AE163</f>
        <v>0</v>
      </c>
      <c r="BW165" s="38">
        <f>RawData!AD163</f>
        <v>0</v>
      </c>
      <c r="BX165" s="38">
        <f>RawData!AC163</f>
        <v>0</v>
      </c>
      <c r="BY165" s="37">
        <f>RawData!AB163</f>
        <v>0</v>
      </c>
      <c r="BZ165" s="37">
        <f>RawData!AA163</f>
        <v>0</v>
      </c>
      <c r="CA165" s="36">
        <f>RawData!Z163</f>
        <v>0</v>
      </c>
      <c r="CB165" s="36">
        <f>RawData!Y163</f>
        <v>0</v>
      </c>
      <c r="CC165" s="36">
        <f>RawData!X163</f>
        <v>0</v>
      </c>
      <c r="CD165" s="36">
        <f>RawData!W163</f>
        <v>0</v>
      </c>
      <c r="CE165" s="40">
        <f>RawData!V163</f>
        <v>0</v>
      </c>
      <c r="CF165" s="40">
        <f>RawData!U163</f>
        <v>0</v>
      </c>
      <c r="CG165" s="40">
        <f>RawData!T163</f>
        <v>0</v>
      </c>
      <c r="CH165" s="44">
        <f>RawData!S163</f>
        <v>0</v>
      </c>
      <c r="CI165" s="44">
        <f>RawData!R163</f>
        <v>0</v>
      </c>
      <c r="CJ165" s="44">
        <f>RawData!Q163</f>
        <v>0</v>
      </c>
      <c r="CK165" s="44">
        <f>RawData!P163</f>
        <v>0</v>
      </c>
      <c r="CL165" s="44">
        <f>RawData!CJ163</f>
        <v>0</v>
      </c>
      <c r="CM165" s="43">
        <f>RawData!CI163</f>
        <v>0</v>
      </c>
      <c r="CN165" s="44">
        <f>RawData!CL163</f>
        <v>0</v>
      </c>
      <c r="CO165" s="43">
        <f>RawData!CK163</f>
        <v>0</v>
      </c>
      <c r="CP165" s="44">
        <f>RawData!CM163</f>
        <v>0</v>
      </c>
      <c r="CQ165" s="47">
        <f>RawData!CO163</f>
        <v>0</v>
      </c>
      <c r="CR165" s="44">
        <f>RawData!CP163</f>
        <v>0</v>
      </c>
      <c r="CS165" s="44">
        <f>RawData!DG163</f>
        <v>0</v>
      </c>
      <c r="CT165" s="43">
        <f>RawData!DJ163</f>
        <v>0</v>
      </c>
      <c r="CU165" s="43">
        <f>RawData!CQ163</f>
        <v>0</v>
      </c>
      <c r="CV165" s="47">
        <f>RawData!CR163</f>
        <v>0</v>
      </c>
      <c r="CW165" s="65">
        <f>RawData!DK163</f>
        <v>0</v>
      </c>
      <c r="CX165" s="65">
        <f>RawData!DL163</f>
        <v>0</v>
      </c>
      <c r="CY165" s="65">
        <f>RawData!DM163</f>
        <v>0</v>
      </c>
      <c r="CZ165" s="65">
        <f>RawData!DN163</f>
        <v>0</v>
      </c>
      <c r="DA165" s="65">
        <f>RawData!DO163</f>
        <v>0</v>
      </c>
      <c r="DB165" s="65">
        <f>RawData!DP163</f>
        <v>0</v>
      </c>
      <c r="DC165" s="65">
        <f>RawData!DQ163</f>
        <v>0</v>
      </c>
      <c r="DD165" s="65">
        <f>RawData!DR163</f>
        <v>0</v>
      </c>
      <c r="DE165" s="65">
        <f>RawData!DS163</f>
        <v>0</v>
      </c>
      <c r="DF165" s="65">
        <f>RawData!DT163</f>
        <v>0</v>
      </c>
      <c r="DG165" s="66">
        <f>RawData!DU163</f>
        <v>0</v>
      </c>
      <c r="DI165" s="21">
        <f t="shared" si="2"/>
        <v>0</v>
      </c>
    </row>
    <row r="166" spans="1:113" x14ac:dyDescent="0.2">
      <c r="A166" s="59">
        <f>RawData!CN164</f>
        <v>0</v>
      </c>
      <c r="B166" s="44">
        <f>RawData!CH164</f>
        <v>0</v>
      </c>
      <c r="C166" s="44">
        <f>RawData!CG164</f>
        <v>0</v>
      </c>
      <c r="D166" s="43">
        <f>RawData!CF164</f>
        <v>0</v>
      </c>
      <c r="E166" s="44">
        <f>RawData!CE164</f>
        <v>0</v>
      </c>
      <c r="F166" s="43">
        <f>RawData!CD164</f>
        <v>0</v>
      </c>
      <c r="G166" s="44">
        <f>RawData!CC164</f>
        <v>0</v>
      </c>
      <c r="H166" s="44">
        <f>RawData!CB164</f>
        <v>0</v>
      </c>
      <c r="I166" s="44">
        <f>RawData!CA164</f>
        <v>0</v>
      </c>
      <c r="J166" s="44">
        <f>RawData!BZ164</f>
        <v>0</v>
      </c>
      <c r="K166" s="40">
        <f>RawData!BY164</f>
        <v>0</v>
      </c>
      <c r="L166" s="40">
        <f>RawData!BX164</f>
        <v>0</v>
      </c>
      <c r="M166" s="40">
        <f>RawData!BW164</f>
        <v>0</v>
      </c>
      <c r="N166" s="40">
        <f>RawData!BV164</f>
        <v>0</v>
      </c>
      <c r="O166" s="36">
        <f>RawData!BU164</f>
        <v>0</v>
      </c>
      <c r="P166" s="36">
        <f>RawData!BT164</f>
        <v>0</v>
      </c>
      <c r="Q166" s="36">
        <f>RawData!BS164</f>
        <v>0</v>
      </c>
      <c r="R166" s="36">
        <f>RawData!BR164</f>
        <v>0</v>
      </c>
      <c r="S166" s="37">
        <f>RawData!BQ164</f>
        <v>0</v>
      </c>
      <c r="T166" s="37">
        <f>RawData!BP164</f>
        <v>0</v>
      </c>
      <c r="U166" s="38">
        <f>RawData!BO164</f>
        <v>0</v>
      </c>
      <c r="V166" s="38">
        <f>RawData!BN164</f>
        <v>0</v>
      </c>
      <c r="W166" s="39">
        <f>RawData!BM164</f>
        <v>0</v>
      </c>
      <c r="X166" s="39">
        <f>RawData!BL164</f>
        <v>0</v>
      </c>
      <c r="Y166" s="38">
        <f>RawData!BJ164</f>
        <v>0</v>
      </c>
      <c r="Z166" s="38">
        <f>RawData!BI164</f>
        <v>0</v>
      </c>
      <c r="AA166" s="40">
        <f>RawData!BH164</f>
        <v>0</v>
      </c>
      <c r="AB166" s="40">
        <f>RawData!BG164</f>
        <v>0</v>
      </c>
      <c r="AC166" s="40">
        <f>RawData!BF164</f>
        <v>0</v>
      </c>
      <c r="AD166" s="40">
        <f>RawData!BE164</f>
        <v>0</v>
      </c>
      <c r="AE166" s="40">
        <f>RawData!BD164</f>
        <v>0</v>
      </c>
      <c r="AF166" s="40">
        <f>RawData!BC164</f>
        <v>0</v>
      </c>
      <c r="AG166" s="41">
        <f>RawData!BB164</f>
        <v>0</v>
      </c>
      <c r="AH166" s="42">
        <f>RawData!DB164</f>
        <v>0</v>
      </c>
      <c r="AI166" s="41">
        <f>RawData!BA164</f>
        <v>0</v>
      </c>
      <c r="AJ166" s="43">
        <f>RawData!DA164</f>
        <v>0</v>
      </c>
      <c r="AK166" s="41">
        <f>RawData!AZ164</f>
        <v>0</v>
      </c>
      <c r="AL166" s="42">
        <f>RawData!DD164</f>
        <v>0</v>
      </c>
      <c r="AM166" s="44">
        <f>RawData!DC164</f>
        <v>0</v>
      </c>
      <c r="AN166" s="45">
        <f>RawData!BK164</f>
        <v>0</v>
      </c>
      <c r="AO166" s="44">
        <f>RawData!AY164</f>
        <v>0</v>
      </c>
      <c r="AP166" s="43">
        <f>RawData!DH164</f>
        <v>0</v>
      </c>
      <c r="AQ166" s="43">
        <f>RawData!DE164</f>
        <v>0</v>
      </c>
      <c r="AR166" s="42">
        <f>RawData!CZ164</f>
        <v>0</v>
      </c>
      <c r="AS166" s="44">
        <f>RawData!AX164</f>
        <v>0</v>
      </c>
      <c r="AT166" s="43">
        <f>RawData!CY164</f>
        <v>0</v>
      </c>
      <c r="AU166" s="44">
        <f>RawData!AW164</f>
        <v>0</v>
      </c>
      <c r="AV166" s="46">
        <f>RawData!O164</f>
        <v>0</v>
      </c>
      <c r="AW166" s="44">
        <f>RawData!AV164</f>
        <v>0</v>
      </c>
      <c r="AX166" s="44">
        <f>RawData!CW164</f>
        <v>0</v>
      </c>
      <c r="AY166" s="44">
        <f>RawData!AU164</f>
        <v>0</v>
      </c>
      <c r="AZ166" s="42">
        <f>RawData!CX164</f>
        <v>0</v>
      </c>
      <c r="BA166" s="44">
        <f>RawData!DF164</f>
        <v>0</v>
      </c>
      <c r="BB166" s="43">
        <f>RawData!DI164</f>
        <v>0</v>
      </c>
      <c r="BC166" s="44">
        <f>RawData!AT164</f>
        <v>0</v>
      </c>
      <c r="BD166" s="45">
        <f>RawData!AP164</f>
        <v>0</v>
      </c>
      <c r="BE166" s="44">
        <f>RawData!CS164</f>
        <v>0</v>
      </c>
      <c r="BF166" s="42">
        <f>RawData!CT164</f>
        <v>0</v>
      </c>
      <c r="BG166" s="41">
        <f>RawData!AS164</f>
        <v>0</v>
      </c>
      <c r="BH166" s="41">
        <f>RawData!CU164</f>
        <v>0</v>
      </c>
      <c r="BI166" s="41">
        <f>RawData!AR164</f>
        <v>0</v>
      </c>
      <c r="BJ166" s="42">
        <f>RawData!CV164</f>
        <v>0</v>
      </c>
      <c r="BK166" s="41">
        <f>RawData!AQ164</f>
        <v>0</v>
      </c>
      <c r="BL166" s="40">
        <f>RawData!AO164</f>
        <v>0</v>
      </c>
      <c r="BM166" s="40">
        <f>RawData!AN164</f>
        <v>0</v>
      </c>
      <c r="BN166" s="40">
        <f>RawData!AM164</f>
        <v>0</v>
      </c>
      <c r="BO166" s="40">
        <f>RawData!AL164</f>
        <v>0</v>
      </c>
      <c r="BP166" s="40">
        <f>RawData!AK164</f>
        <v>0</v>
      </c>
      <c r="BQ166" s="40">
        <f>RawData!AJ164</f>
        <v>0</v>
      </c>
      <c r="BR166" s="38">
        <f>RawData!AI164</f>
        <v>0</v>
      </c>
      <c r="BS166" s="38">
        <f>RawData!AH164</f>
        <v>0</v>
      </c>
      <c r="BT166" s="40">
        <f>RawData!AG164</f>
        <v>0</v>
      </c>
      <c r="BU166" s="39">
        <f>RawData!AF164</f>
        <v>0</v>
      </c>
      <c r="BV166" s="39">
        <f>RawData!AE164</f>
        <v>0</v>
      </c>
      <c r="BW166" s="38">
        <f>RawData!AD164</f>
        <v>0</v>
      </c>
      <c r="BX166" s="38">
        <f>RawData!AC164</f>
        <v>0</v>
      </c>
      <c r="BY166" s="37">
        <f>RawData!AB164</f>
        <v>0</v>
      </c>
      <c r="BZ166" s="37">
        <f>RawData!AA164</f>
        <v>0</v>
      </c>
      <c r="CA166" s="36">
        <f>RawData!Z164</f>
        <v>0</v>
      </c>
      <c r="CB166" s="36">
        <f>RawData!Y164</f>
        <v>0</v>
      </c>
      <c r="CC166" s="36">
        <f>RawData!X164</f>
        <v>0</v>
      </c>
      <c r="CD166" s="36">
        <f>RawData!W164</f>
        <v>0</v>
      </c>
      <c r="CE166" s="40">
        <f>RawData!V164</f>
        <v>0</v>
      </c>
      <c r="CF166" s="40">
        <f>RawData!U164</f>
        <v>0</v>
      </c>
      <c r="CG166" s="40">
        <f>RawData!T164</f>
        <v>0</v>
      </c>
      <c r="CH166" s="44">
        <f>RawData!S164</f>
        <v>0</v>
      </c>
      <c r="CI166" s="44">
        <f>RawData!R164</f>
        <v>0</v>
      </c>
      <c r="CJ166" s="44">
        <f>RawData!Q164</f>
        <v>0</v>
      </c>
      <c r="CK166" s="44">
        <f>RawData!P164</f>
        <v>0</v>
      </c>
      <c r="CL166" s="44">
        <f>RawData!CJ164</f>
        <v>0</v>
      </c>
      <c r="CM166" s="43">
        <f>RawData!CI164</f>
        <v>0</v>
      </c>
      <c r="CN166" s="44">
        <f>RawData!CL164</f>
        <v>0</v>
      </c>
      <c r="CO166" s="43">
        <f>RawData!CK164</f>
        <v>0</v>
      </c>
      <c r="CP166" s="44">
        <f>RawData!CM164</f>
        <v>0</v>
      </c>
      <c r="CQ166" s="47">
        <f>RawData!CO164</f>
        <v>0</v>
      </c>
      <c r="CR166" s="44">
        <f>RawData!CP164</f>
        <v>0</v>
      </c>
      <c r="CS166" s="44">
        <f>RawData!DG164</f>
        <v>0</v>
      </c>
      <c r="CT166" s="43">
        <f>RawData!DJ164</f>
        <v>0</v>
      </c>
      <c r="CU166" s="43">
        <f>RawData!CQ164</f>
        <v>0</v>
      </c>
      <c r="CV166" s="47">
        <f>RawData!CR164</f>
        <v>0</v>
      </c>
      <c r="CW166" s="65">
        <f>RawData!DK164</f>
        <v>0</v>
      </c>
      <c r="CX166" s="65">
        <f>RawData!DL164</f>
        <v>0</v>
      </c>
      <c r="CY166" s="65">
        <f>RawData!DM164</f>
        <v>0</v>
      </c>
      <c r="CZ166" s="65">
        <f>RawData!DN164</f>
        <v>0</v>
      </c>
      <c r="DA166" s="65">
        <f>RawData!DO164</f>
        <v>0</v>
      </c>
      <c r="DB166" s="65">
        <f>RawData!DP164</f>
        <v>0</v>
      </c>
      <c r="DC166" s="65">
        <f>RawData!DQ164</f>
        <v>0</v>
      </c>
      <c r="DD166" s="65">
        <f>RawData!DR164</f>
        <v>0</v>
      </c>
      <c r="DE166" s="65">
        <f>RawData!DS164</f>
        <v>0</v>
      </c>
      <c r="DF166" s="65">
        <f>RawData!DT164</f>
        <v>0</v>
      </c>
      <c r="DG166" s="66">
        <f>RawData!DU164</f>
        <v>0</v>
      </c>
      <c r="DI166" s="21">
        <f t="shared" si="2"/>
        <v>0</v>
      </c>
    </row>
    <row r="167" spans="1:113" x14ac:dyDescent="0.2">
      <c r="A167" s="59">
        <f>RawData!CN165</f>
        <v>0</v>
      </c>
      <c r="B167" s="44">
        <f>RawData!CH165</f>
        <v>0</v>
      </c>
      <c r="C167" s="44">
        <f>RawData!CG165</f>
        <v>0</v>
      </c>
      <c r="D167" s="43">
        <f>RawData!CF165</f>
        <v>0</v>
      </c>
      <c r="E167" s="44">
        <f>RawData!CE165</f>
        <v>0</v>
      </c>
      <c r="F167" s="43">
        <f>RawData!CD165</f>
        <v>0</v>
      </c>
      <c r="G167" s="44">
        <f>RawData!CC165</f>
        <v>0</v>
      </c>
      <c r="H167" s="44">
        <f>RawData!CB165</f>
        <v>0</v>
      </c>
      <c r="I167" s="44">
        <f>RawData!CA165</f>
        <v>0</v>
      </c>
      <c r="J167" s="44">
        <f>RawData!BZ165</f>
        <v>0</v>
      </c>
      <c r="K167" s="40">
        <f>RawData!BY165</f>
        <v>0</v>
      </c>
      <c r="L167" s="40">
        <f>RawData!BX165</f>
        <v>0</v>
      </c>
      <c r="M167" s="40">
        <f>RawData!BW165</f>
        <v>0</v>
      </c>
      <c r="N167" s="40">
        <f>RawData!BV165</f>
        <v>0</v>
      </c>
      <c r="O167" s="36">
        <f>RawData!BU165</f>
        <v>0</v>
      </c>
      <c r="P167" s="36">
        <f>RawData!BT165</f>
        <v>0</v>
      </c>
      <c r="Q167" s="36">
        <f>RawData!BS165</f>
        <v>0</v>
      </c>
      <c r="R167" s="36">
        <f>RawData!BR165</f>
        <v>0</v>
      </c>
      <c r="S167" s="37">
        <f>RawData!BQ165</f>
        <v>0</v>
      </c>
      <c r="T167" s="37">
        <f>RawData!BP165</f>
        <v>0</v>
      </c>
      <c r="U167" s="38">
        <f>RawData!BO165</f>
        <v>0</v>
      </c>
      <c r="V167" s="38">
        <f>RawData!BN165</f>
        <v>0</v>
      </c>
      <c r="W167" s="39">
        <f>RawData!BM165</f>
        <v>0</v>
      </c>
      <c r="X167" s="39">
        <f>RawData!BL165</f>
        <v>0</v>
      </c>
      <c r="Y167" s="38">
        <f>RawData!BJ165</f>
        <v>0</v>
      </c>
      <c r="Z167" s="38">
        <f>RawData!BI165</f>
        <v>0</v>
      </c>
      <c r="AA167" s="40">
        <f>RawData!BH165</f>
        <v>0</v>
      </c>
      <c r="AB167" s="40">
        <f>RawData!BG165</f>
        <v>0</v>
      </c>
      <c r="AC167" s="40">
        <f>RawData!BF165</f>
        <v>0</v>
      </c>
      <c r="AD167" s="40">
        <f>RawData!BE165</f>
        <v>0</v>
      </c>
      <c r="AE167" s="40">
        <f>RawData!BD165</f>
        <v>0</v>
      </c>
      <c r="AF167" s="40">
        <f>RawData!BC165</f>
        <v>0</v>
      </c>
      <c r="AG167" s="41">
        <f>RawData!BB165</f>
        <v>0</v>
      </c>
      <c r="AH167" s="42">
        <f>RawData!DB165</f>
        <v>0</v>
      </c>
      <c r="AI167" s="41">
        <f>RawData!BA165</f>
        <v>0</v>
      </c>
      <c r="AJ167" s="43">
        <f>RawData!DA165</f>
        <v>0</v>
      </c>
      <c r="AK167" s="41">
        <f>RawData!AZ165</f>
        <v>0</v>
      </c>
      <c r="AL167" s="42">
        <f>RawData!DD165</f>
        <v>0</v>
      </c>
      <c r="AM167" s="44">
        <f>RawData!DC165</f>
        <v>0</v>
      </c>
      <c r="AN167" s="45">
        <f>RawData!BK165</f>
        <v>0</v>
      </c>
      <c r="AO167" s="44">
        <f>RawData!AY165</f>
        <v>0</v>
      </c>
      <c r="AP167" s="43">
        <f>RawData!DH165</f>
        <v>0</v>
      </c>
      <c r="AQ167" s="43">
        <f>RawData!DE165</f>
        <v>0</v>
      </c>
      <c r="AR167" s="42">
        <f>RawData!CZ165</f>
        <v>0</v>
      </c>
      <c r="AS167" s="44">
        <f>RawData!AX165</f>
        <v>0</v>
      </c>
      <c r="AT167" s="43">
        <f>RawData!CY165</f>
        <v>0</v>
      </c>
      <c r="AU167" s="44">
        <f>RawData!AW165</f>
        <v>0</v>
      </c>
      <c r="AV167" s="46">
        <f>RawData!O165</f>
        <v>0</v>
      </c>
      <c r="AW167" s="44">
        <f>RawData!AV165</f>
        <v>0</v>
      </c>
      <c r="AX167" s="44">
        <f>RawData!CW165</f>
        <v>0</v>
      </c>
      <c r="AY167" s="44">
        <f>RawData!AU165</f>
        <v>0</v>
      </c>
      <c r="AZ167" s="42">
        <f>RawData!CX165</f>
        <v>0</v>
      </c>
      <c r="BA167" s="44">
        <f>RawData!DF165</f>
        <v>0</v>
      </c>
      <c r="BB167" s="43">
        <f>RawData!DI165</f>
        <v>0</v>
      </c>
      <c r="BC167" s="44">
        <f>RawData!AT165</f>
        <v>0</v>
      </c>
      <c r="BD167" s="45">
        <f>RawData!AP165</f>
        <v>0</v>
      </c>
      <c r="BE167" s="44">
        <f>RawData!CS165</f>
        <v>0</v>
      </c>
      <c r="BF167" s="42">
        <f>RawData!CT165</f>
        <v>0</v>
      </c>
      <c r="BG167" s="41">
        <f>RawData!AS165</f>
        <v>0</v>
      </c>
      <c r="BH167" s="41">
        <f>RawData!CU165</f>
        <v>0</v>
      </c>
      <c r="BI167" s="41">
        <f>RawData!AR165</f>
        <v>0</v>
      </c>
      <c r="BJ167" s="42">
        <f>RawData!CV165</f>
        <v>0</v>
      </c>
      <c r="BK167" s="41">
        <f>RawData!AQ165</f>
        <v>0</v>
      </c>
      <c r="BL167" s="40">
        <f>RawData!AO165</f>
        <v>0</v>
      </c>
      <c r="BM167" s="40">
        <f>RawData!AN165</f>
        <v>0</v>
      </c>
      <c r="BN167" s="40">
        <f>RawData!AM165</f>
        <v>0</v>
      </c>
      <c r="BO167" s="40">
        <f>RawData!AL165</f>
        <v>0</v>
      </c>
      <c r="BP167" s="40">
        <f>RawData!AK165</f>
        <v>0</v>
      </c>
      <c r="BQ167" s="40">
        <f>RawData!AJ165</f>
        <v>0</v>
      </c>
      <c r="BR167" s="38">
        <f>RawData!AI165</f>
        <v>0</v>
      </c>
      <c r="BS167" s="38">
        <f>RawData!AH165</f>
        <v>0</v>
      </c>
      <c r="BT167" s="40">
        <f>RawData!AG165</f>
        <v>0</v>
      </c>
      <c r="BU167" s="39">
        <f>RawData!AF165</f>
        <v>0</v>
      </c>
      <c r="BV167" s="39">
        <f>RawData!AE165</f>
        <v>0</v>
      </c>
      <c r="BW167" s="38">
        <f>RawData!AD165</f>
        <v>0</v>
      </c>
      <c r="BX167" s="38">
        <f>RawData!AC165</f>
        <v>0</v>
      </c>
      <c r="BY167" s="37">
        <f>RawData!AB165</f>
        <v>0</v>
      </c>
      <c r="BZ167" s="37">
        <f>RawData!AA165</f>
        <v>0</v>
      </c>
      <c r="CA167" s="36">
        <f>RawData!Z165</f>
        <v>0</v>
      </c>
      <c r="CB167" s="36">
        <f>RawData!Y165</f>
        <v>0</v>
      </c>
      <c r="CC167" s="36">
        <f>RawData!X165</f>
        <v>0</v>
      </c>
      <c r="CD167" s="36">
        <f>RawData!W165</f>
        <v>0</v>
      </c>
      <c r="CE167" s="40">
        <f>RawData!V165</f>
        <v>0</v>
      </c>
      <c r="CF167" s="40">
        <f>RawData!U165</f>
        <v>0</v>
      </c>
      <c r="CG167" s="40">
        <f>RawData!T165</f>
        <v>0</v>
      </c>
      <c r="CH167" s="44">
        <f>RawData!S165</f>
        <v>0</v>
      </c>
      <c r="CI167" s="44">
        <f>RawData!R165</f>
        <v>0</v>
      </c>
      <c r="CJ167" s="44">
        <f>RawData!Q165</f>
        <v>0</v>
      </c>
      <c r="CK167" s="44">
        <f>RawData!P165</f>
        <v>0</v>
      </c>
      <c r="CL167" s="44">
        <f>RawData!CJ165</f>
        <v>0</v>
      </c>
      <c r="CM167" s="43">
        <f>RawData!CI165</f>
        <v>0</v>
      </c>
      <c r="CN167" s="44">
        <f>RawData!CL165</f>
        <v>0</v>
      </c>
      <c r="CO167" s="43">
        <f>RawData!CK165</f>
        <v>0</v>
      </c>
      <c r="CP167" s="44">
        <f>RawData!CM165</f>
        <v>0</v>
      </c>
      <c r="CQ167" s="47">
        <f>RawData!CO165</f>
        <v>0</v>
      </c>
      <c r="CR167" s="44">
        <f>RawData!CP165</f>
        <v>0</v>
      </c>
      <c r="CS167" s="44">
        <f>RawData!DG165</f>
        <v>0</v>
      </c>
      <c r="CT167" s="43">
        <f>RawData!DJ165</f>
        <v>0</v>
      </c>
      <c r="CU167" s="43">
        <f>RawData!CQ165</f>
        <v>0</v>
      </c>
      <c r="CV167" s="47">
        <f>RawData!CR165</f>
        <v>0</v>
      </c>
      <c r="CW167" s="65">
        <f>RawData!DK165</f>
        <v>0</v>
      </c>
      <c r="CX167" s="65">
        <f>RawData!DL165</f>
        <v>0</v>
      </c>
      <c r="CY167" s="65">
        <f>RawData!DM165</f>
        <v>0</v>
      </c>
      <c r="CZ167" s="65">
        <f>RawData!DN165</f>
        <v>0</v>
      </c>
      <c r="DA167" s="65">
        <f>RawData!DO165</f>
        <v>0</v>
      </c>
      <c r="DB167" s="65">
        <f>RawData!DP165</f>
        <v>0</v>
      </c>
      <c r="DC167" s="65">
        <f>RawData!DQ165</f>
        <v>0</v>
      </c>
      <c r="DD167" s="65">
        <f>RawData!DR165</f>
        <v>0</v>
      </c>
      <c r="DE167" s="65">
        <f>RawData!DS165</f>
        <v>0</v>
      </c>
      <c r="DF167" s="65">
        <f>RawData!DT165</f>
        <v>0</v>
      </c>
      <c r="DG167" s="66">
        <f>RawData!DU165</f>
        <v>0</v>
      </c>
      <c r="DI167" s="21">
        <f t="shared" si="2"/>
        <v>0</v>
      </c>
    </row>
    <row r="168" spans="1:113" x14ac:dyDescent="0.2">
      <c r="A168" s="59">
        <f>RawData!CN166</f>
        <v>0</v>
      </c>
      <c r="B168" s="44">
        <f>RawData!CH166</f>
        <v>0</v>
      </c>
      <c r="C168" s="44">
        <f>RawData!CG166</f>
        <v>0</v>
      </c>
      <c r="D168" s="43">
        <f>RawData!CF166</f>
        <v>0</v>
      </c>
      <c r="E168" s="44">
        <f>RawData!CE166</f>
        <v>0</v>
      </c>
      <c r="F168" s="43">
        <f>RawData!CD166</f>
        <v>0</v>
      </c>
      <c r="G168" s="44">
        <f>RawData!CC166</f>
        <v>0</v>
      </c>
      <c r="H168" s="44">
        <f>RawData!CB166</f>
        <v>0</v>
      </c>
      <c r="I168" s="44">
        <f>RawData!CA166</f>
        <v>0</v>
      </c>
      <c r="J168" s="44">
        <f>RawData!BZ166</f>
        <v>0</v>
      </c>
      <c r="K168" s="40">
        <f>RawData!BY166</f>
        <v>0</v>
      </c>
      <c r="L168" s="40">
        <f>RawData!BX166</f>
        <v>0</v>
      </c>
      <c r="M168" s="40">
        <f>RawData!BW166</f>
        <v>0</v>
      </c>
      <c r="N168" s="40">
        <f>RawData!BV166</f>
        <v>0</v>
      </c>
      <c r="O168" s="36">
        <f>RawData!BU166</f>
        <v>0</v>
      </c>
      <c r="P168" s="36">
        <f>RawData!BT166</f>
        <v>0</v>
      </c>
      <c r="Q168" s="36">
        <f>RawData!BS166</f>
        <v>0</v>
      </c>
      <c r="R168" s="36">
        <f>RawData!BR166</f>
        <v>0</v>
      </c>
      <c r="S168" s="37">
        <f>RawData!BQ166</f>
        <v>0</v>
      </c>
      <c r="T168" s="37">
        <f>RawData!BP166</f>
        <v>0</v>
      </c>
      <c r="U168" s="38">
        <f>RawData!BO166</f>
        <v>0</v>
      </c>
      <c r="V168" s="38">
        <f>RawData!BN166</f>
        <v>0</v>
      </c>
      <c r="W168" s="39">
        <f>RawData!BM166</f>
        <v>0</v>
      </c>
      <c r="X168" s="39">
        <f>RawData!BL166</f>
        <v>0</v>
      </c>
      <c r="Y168" s="38">
        <f>RawData!BJ166</f>
        <v>0</v>
      </c>
      <c r="Z168" s="38">
        <f>RawData!BI166</f>
        <v>0</v>
      </c>
      <c r="AA168" s="40">
        <f>RawData!BH166</f>
        <v>0</v>
      </c>
      <c r="AB168" s="40">
        <f>RawData!BG166</f>
        <v>0</v>
      </c>
      <c r="AC168" s="40">
        <f>RawData!BF166</f>
        <v>0</v>
      </c>
      <c r="AD168" s="40">
        <f>RawData!BE166</f>
        <v>0</v>
      </c>
      <c r="AE168" s="40">
        <f>RawData!BD166</f>
        <v>0</v>
      </c>
      <c r="AF168" s="40">
        <f>RawData!BC166</f>
        <v>0</v>
      </c>
      <c r="AG168" s="41">
        <f>RawData!BB166</f>
        <v>0</v>
      </c>
      <c r="AH168" s="42">
        <f>RawData!DB166</f>
        <v>0</v>
      </c>
      <c r="AI168" s="41">
        <f>RawData!BA166</f>
        <v>0</v>
      </c>
      <c r="AJ168" s="43">
        <f>RawData!DA166</f>
        <v>0</v>
      </c>
      <c r="AK168" s="41">
        <f>RawData!AZ166</f>
        <v>0</v>
      </c>
      <c r="AL168" s="42">
        <f>RawData!DD166</f>
        <v>0</v>
      </c>
      <c r="AM168" s="44">
        <f>RawData!DC166</f>
        <v>0</v>
      </c>
      <c r="AN168" s="45">
        <f>RawData!BK166</f>
        <v>0</v>
      </c>
      <c r="AO168" s="44">
        <f>RawData!AY166</f>
        <v>0</v>
      </c>
      <c r="AP168" s="43">
        <f>RawData!DH166</f>
        <v>0</v>
      </c>
      <c r="AQ168" s="43">
        <f>RawData!DE166</f>
        <v>0</v>
      </c>
      <c r="AR168" s="42">
        <f>RawData!CZ166</f>
        <v>0</v>
      </c>
      <c r="AS168" s="44">
        <f>RawData!AX166</f>
        <v>0</v>
      </c>
      <c r="AT168" s="43">
        <f>RawData!CY166</f>
        <v>0</v>
      </c>
      <c r="AU168" s="44">
        <f>RawData!AW166</f>
        <v>0</v>
      </c>
      <c r="AV168" s="46">
        <f>RawData!O166</f>
        <v>0</v>
      </c>
      <c r="AW168" s="44">
        <f>RawData!AV166</f>
        <v>0</v>
      </c>
      <c r="AX168" s="44">
        <f>RawData!CW166</f>
        <v>0</v>
      </c>
      <c r="AY168" s="44">
        <f>RawData!AU166</f>
        <v>0</v>
      </c>
      <c r="AZ168" s="42">
        <f>RawData!CX166</f>
        <v>0</v>
      </c>
      <c r="BA168" s="44">
        <f>RawData!DF166</f>
        <v>0</v>
      </c>
      <c r="BB168" s="43">
        <f>RawData!DI166</f>
        <v>0</v>
      </c>
      <c r="BC168" s="44">
        <f>RawData!AT166</f>
        <v>0</v>
      </c>
      <c r="BD168" s="45">
        <f>RawData!AP166</f>
        <v>0</v>
      </c>
      <c r="BE168" s="44">
        <f>RawData!CS166</f>
        <v>0</v>
      </c>
      <c r="BF168" s="42">
        <f>RawData!CT166</f>
        <v>0</v>
      </c>
      <c r="BG168" s="41">
        <f>RawData!AS166</f>
        <v>0</v>
      </c>
      <c r="BH168" s="41">
        <f>RawData!CU166</f>
        <v>0</v>
      </c>
      <c r="BI168" s="41">
        <f>RawData!AR166</f>
        <v>0</v>
      </c>
      <c r="BJ168" s="42">
        <f>RawData!CV166</f>
        <v>0</v>
      </c>
      <c r="BK168" s="41">
        <f>RawData!AQ166</f>
        <v>0</v>
      </c>
      <c r="BL168" s="40">
        <f>RawData!AO166</f>
        <v>0</v>
      </c>
      <c r="BM168" s="40">
        <f>RawData!AN166</f>
        <v>0</v>
      </c>
      <c r="BN168" s="40">
        <f>RawData!AM166</f>
        <v>0</v>
      </c>
      <c r="BO168" s="40">
        <f>RawData!AL166</f>
        <v>0</v>
      </c>
      <c r="BP168" s="40">
        <f>RawData!AK166</f>
        <v>0</v>
      </c>
      <c r="BQ168" s="40">
        <f>RawData!AJ166</f>
        <v>0</v>
      </c>
      <c r="BR168" s="38">
        <f>RawData!AI166</f>
        <v>0</v>
      </c>
      <c r="BS168" s="38">
        <f>RawData!AH166</f>
        <v>0</v>
      </c>
      <c r="BT168" s="40">
        <f>RawData!AG166</f>
        <v>0</v>
      </c>
      <c r="BU168" s="39">
        <f>RawData!AF166</f>
        <v>0</v>
      </c>
      <c r="BV168" s="39">
        <f>RawData!AE166</f>
        <v>0</v>
      </c>
      <c r="BW168" s="38">
        <f>RawData!AD166</f>
        <v>0</v>
      </c>
      <c r="BX168" s="38">
        <f>RawData!AC166</f>
        <v>0</v>
      </c>
      <c r="BY168" s="37">
        <f>RawData!AB166</f>
        <v>0</v>
      </c>
      <c r="BZ168" s="37">
        <f>RawData!AA166</f>
        <v>0</v>
      </c>
      <c r="CA168" s="36">
        <f>RawData!Z166</f>
        <v>0</v>
      </c>
      <c r="CB168" s="36">
        <f>RawData!Y166</f>
        <v>0</v>
      </c>
      <c r="CC168" s="36">
        <f>RawData!X166</f>
        <v>0</v>
      </c>
      <c r="CD168" s="36">
        <f>RawData!W166</f>
        <v>0</v>
      </c>
      <c r="CE168" s="40">
        <f>RawData!V166</f>
        <v>0</v>
      </c>
      <c r="CF168" s="40">
        <f>RawData!U166</f>
        <v>0</v>
      </c>
      <c r="CG168" s="40">
        <f>RawData!T166</f>
        <v>0</v>
      </c>
      <c r="CH168" s="44">
        <f>RawData!S166</f>
        <v>0</v>
      </c>
      <c r="CI168" s="44">
        <f>RawData!R166</f>
        <v>0</v>
      </c>
      <c r="CJ168" s="44">
        <f>RawData!Q166</f>
        <v>0</v>
      </c>
      <c r="CK168" s="44">
        <f>RawData!P166</f>
        <v>0</v>
      </c>
      <c r="CL168" s="44">
        <f>RawData!CJ166</f>
        <v>0</v>
      </c>
      <c r="CM168" s="43">
        <f>RawData!CI166</f>
        <v>0</v>
      </c>
      <c r="CN168" s="44">
        <f>RawData!CL166</f>
        <v>0</v>
      </c>
      <c r="CO168" s="43">
        <f>RawData!CK166</f>
        <v>0</v>
      </c>
      <c r="CP168" s="44">
        <f>RawData!CM166</f>
        <v>0</v>
      </c>
      <c r="CQ168" s="47">
        <f>RawData!CO166</f>
        <v>0</v>
      </c>
      <c r="CR168" s="44">
        <f>RawData!CP166</f>
        <v>0</v>
      </c>
      <c r="CS168" s="44">
        <f>RawData!DG166</f>
        <v>0</v>
      </c>
      <c r="CT168" s="43">
        <f>RawData!DJ166</f>
        <v>0</v>
      </c>
      <c r="CU168" s="43">
        <f>RawData!CQ166</f>
        <v>0</v>
      </c>
      <c r="CV168" s="47">
        <f>RawData!CR166</f>
        <v>0</v>
      </c>
      <c r="CW168" s="65">
        <f>RawData!DK166</f>
        <v>0</v>
      </c>
      <c r="CX168" s="65">
        <f>RawData!DL166</f>
        <v>0</v>
      </c>
      <c r="CY168" s="65">
        <f>RawData!DM166</f>
        <v>0</v>
      </c>
      <c r="CZ168" s="65">
        <f>RawData!DN166</f>
        <v>0</v>
      </c>
      <c r="DA168" s="65">
        <f>RawData!DO166</f>
        <v>0</v>
      </c>
      <c r="DB168" s="65">
        <f>RawData!DP166</f>
        <v>0</v>
      </c>
      <c r="DC168" s="65">
        <f>RawData!DQ166</f>
        <v>0</v>
      </c>
      <c r="DD168" s="65">
        <f>RawData!DR166</f>
        <v>0</v>
      </c>
      <c r="DE168" s="65">
        <f>RawData!DS166</f>
        <v>0</v>
      </c>
      <c r="DF168" s="65">
        <f>RawData!DT166</f>
        <v>0</v>
      </c>
      <c r="DG168" s="66">
        <f>RawData!DU166</f>
        <v>0</v>
      </c>
      <c r="DI168" s="21">
        <f t="shared" si="2"/>
        <v>0</v>
      </c>
    </row>
    <row r="169" spans="1:113" x14ac:dyDescent="0.2">
      <c r="A169" s="59">
        <f>RawData!CN167</f>
        <v>0</v>
      </c>
      <c r="B169" s="44">
        <f>RawData!CH167</f>
        <v>0</v>
      </c>
      <c r="C169" s="44">
        <f>RawData!CG167</f>
        <v>0</v>
      </c>
      <c r="D169" s="43">
        <f>RawData!CF167</f>
        <v>0</v>
      </c>
      <c r="E169" s="44">
        <f>RawData!CE167</f>
        <v>0</v>
      </c>
      <c r="F169" s="43">
        <f>RawData!CD167</f>
        <v>0</v>
      </c>
      <c r="G169" s="44">
        <f>RawData!CC167</f>
        <v>0</v>
      </c>
      <c r="H169" s="44">
        <f>RawData!CB167</f>
        <v>0</v>
      </c>
      <c r="I169" s="44">
        <f>RawData!CA167</f>
        <v>0</v>
      </c>
      <c r="J169" s="44">
        <f>RawData!BZ167</f>
        <v>0</v>
      </c>
      <c r="K169" s="40">
        <f>RawData!BY167</f>
        <v>0</v>
      </c>
      <c r="L169" s="40">
        <f>RawData!BX167</f>
        <v>0</v>
      </c>
      <c r="M169" s="40">
        <f>RawData!BW167</f>
        <v>0</v>
      </c>
      <c r="N169" s="40">
        <f>RawData!BV167</f>
        <v>0</v>
      </c>
      <c r="O169" s="36">
        <f>RawData!BU167</f>
        <v>0</v>
      </c>
      <c r="P169" s="36">
        <f>RawData!BT167</f>
        <v>0</v>
      </c>
      <c r="Q169" s="36">
        <f>RawData!BS167</f>
        <v>0</v>
      </c>
      <c r="R169" s="36">
        <f>RawData!BR167</f>
        <v>0</v>
      </c>
      <c r="S169" s="37">
        <f>RawData!BQ167</f>
        <v>0</v>
      </c>
      <c r="T169" s="37">
        <f>RawData!BP167</f>
        <v>0</v>
      </c>
      <c r="U169" s="38">
        <f>RawData!BO167</f>
        <v>0</v>
      </c>
      <c r="V169" s="38">
        <f>RawData!BN167</f>
        <v>0</v>
      </c>
      <c r="W169" s="39">
        <f>RawData!BM167</f>
        <v>0</v>
      </c>
      <c r="X169" s="39">
        <f>RawData!BL167</f>
        <v>0</v>
      </c>
      <c r="Y169" s="38">
        <f>RawData!BJ167</f>
        <v>0</v>
      </c>
      <c r="Z169" s="38">
        <f>RawData!BI167</f>
        <v>0</v>
      </c>
      <c r="AA169" s="40">
        <f>RawData!BH167</f>
        <v>0</v>
      </c>
      <c r="AB169" s="40">
        <f>RawData!BG167</f>
        <v>0</v>
      </c>
      <c r="AC169" s="40">
        <f>RawData!BF167</f>
        <v>0</v>
      </c>
      <c r="AD169" s="40">
        <f>RawData!BE167</f>
        <v>0</v>
      </c>
      <c r="AE169" s="40">
        <f>RawData!BD167</f>
        <v>0</v>
      </c>
      <c r="AF169" s="40">
        <f>RawData!BC167</f>
        <v>0</v>
      </c>
      <c r="AG169" s="41">
        <f>RawData!BB167</f>
        <v>0</v>
      </c>
      <c r="AH169" s="42">
        <f>RawData!DB167</f>
        <v>0</v>
      </c>
      <c r="AI169" s="41">
        <f>RawData!BA167</f>
        <v>0</v>
      </c>
      <c r="AJ169" s="43">
        <f>RawData!DA167</f>
        <v>0</v>
      </c>
      <c r="AK169" s="41">
        <f>RawData!AZ167</f>
        <v>0</v>
      </c>
      <c r="AL169" s="42">
        <f>RawData!DD167</f>
        <v>0</v>
      </c>
      <c r="AM169" s="44">
        <f>RawData!DC167</f>
        <v>0</v>
      </c>
      <c r="AN169" s="45">
        <f>RawData!BK167</f>
        <v>0</v>
      </c>
      <c r="AO169" s="44">
        <f>RawData!AY167</f>
        <v>0</v>
      </c>
      <c r="AP169" s="43">
        <f>RawData!DH167</f>
        <v>0</v>
      </c>
      <c r="AQ169" s="43">
        <f>RawData!DE167</f>
        <v>0</v>
      </c>
      <c r="AR169" s="42">
        <f>RawData!CZ167</f>
        <v>0</v>
      </c>
      <c r="AS169" s="44">
        <f>RawData!AX167</f>
        <v>0</v>
      </c>
      <c r="AT169" s="43">
        <f>RawData!CY167</f>
        <v>0</v>
      </c>
      <c r="AU169" s="44">
        <f>RawData!AW167</f>
        <v>0</v>
      </c>
      <c r="AV169" s="46">
        <f>RawData!O167</f>
        <v>0</v>
      </c>
      <c r="AW169" s="44">
        <f>RawData!AV167</f>
        <v>0</v>
      </c>
      <c r="AX169" s="44">
        <f>RawData!CW167</f>
        <v>0</v>
      </c>
      <c r="AY169" s="44">
        <f>RawData!AU167</f>
        <v>0</v>
      </c>
      <c r="AZ169" s="42">
        <f>RawData!CX167</f>
        <v>0</v>
      </c>
      <c r="BA169" s="44">
        <f>RawData!DF167</f>
        <v>0</v>
      </c>
      <c r="BB169" s="43">
        <f>RawData!DI167</f>
        <v>0</v>
      </c>
      <c r="BC169" s="44">
        <f>RawData!AT167</f>
        <v>0</v>
      </c>
      <c r="BD169" s="45">
        <f>RawData!AP167</f>
        <v>0</v>
      </c>
      <c r="BE169" s="44">
        <f>RawData!CS167</f>
        <v>0</v>
      </c>
      <c r="BF169" s="42">
        <f>RawData!CT167</f>
        <v>0</v>
      </c>
      <c r="BG169" s="41">
        <f>RawData!AS167</f>
        <v>0</v>
      </c>
      <c r="BH169" s="41">
        <f>RawData!CU167</f>
        <v>0</v>
      </c>
      <c r="BI169" s="41">
        <f>RawData!AR167</f>
        <v>0</v>
      </c>
      <c r="BJ169" s="42">
        <f>RawData!CV167</f>
        <v>0</v>
      </c>
      <c r="BK169" s="41">
        <f>RawData!AQ167</f>
        <v>0</v>
      </c>
      <c r="BL169" s="40">
        <f>RawData!AO167</f>
        <v>0</v>
      </c>
      <c r="BM169" s="40">
        <f>RawData!AN167</f>
        <v>0</v>
      </c>
      <c r="BN169" s="40">
        <f>RawData!AM167</f>
        <v>0</v>
      </c>
      <c r="BO169" s="40">
        <f>RawData!AL167</f>
        <v>0</v>
      </c>
      <c r="BP169" s="40">
        <f>RawData!AK167</f>
        <v>0</v>
      </c>
      <c r="BQ169" s="40">
        <f>RawData!AJ167</f>
        <v>0</v>
      </c>
      <c r="BR169" s="38">
        <f>RawData!AI167</f>
        <v>0</v>
      </c>
      <c r="BS169" s="38">
        <f>RawData!AH167</f>
        <v>0</v>
      </c>
      <c r="BT169" s="40">
        <f>RawData!AG167</f>
        <v>0</v>
      </c>
      <c r="BU169" s="39">
        <f>RawData!AF167</f>
        <v>0</v>
      </c>
      <c r="BV169" s="39">
        <f>RawData!AE167</f>
        <v>0</v>
      </c>
      <c r="BW169" s="38">
        <f>RawData!AD167</f>
        <v>0</v>
      </c>
      <c r="BX169" s="38">
        <f>RawData!AC167</f>
        <v>0</v>
      </c>
      <c r="BY169" s="37">
        <f>RawData!AB167</f>
        <v>0</v>
      </c>
      <c r="BZ169" s="37">
        <f>RawData!AA167</f>
        <v>0</v>
      </c>
      <c r="CA169" s="36">
        <f>RawData!Z167</f>
        <v>0</v>
      </c>
      <c r="CB169" s="36">
        <f>RawData!Y167</f>
        <v>0</v>
      </c>
      <c r="CC169" s="36">
        <f>RawData!X167</f>
        <v>0</v>
      </c>
      <c r="CD169" s="36">
        <f>RawData!W167</f>
        <v>0</v>
      </c>
      <c r="CE169" s="40">
        <f>RawData!V167</f>
        <v>0</v>
      </c>
      <c r="CF169" s="40">
        <f>RawData!U167</f>
        <v>0</v>
      </c>
      <c r="CG169" s="40">
        <f>RawData!T167</f>
        <v>0</v>
      </c>
      <c r="CH169" s="44">
        <f>RawData!S167</f>
        <v>0</v>
      </c>
      <c r="CI169" s="44">
        <f>RawData!R167</f>
        <v>0</v>
      </c>
      <c r="CJ169" s="44">
        <f>RawData!Q167</f>
        <v>0</v>
      </c>
      <c r="CK169" s="44">
        <f>RawData!P167</f>
        <v>0</v>
      </c>
      <c r="CL169" s="44">
        <f>RawData!CJ167</f>
        <v>0</v>
      </c>
      <c r="CM169" s="43">
        <f>RawData!CI167</f>
        <v>0</v>
      </c>
      <c r="CN169" s="44">
        <f>RawData!CL167</f>
        <v>0</v>
      </c>
      <c r="CO169" s="43">
        <f>RawData!CK167</f>
        <v>0</v>
      </c>
      <c r="CP169" s="44">
        <f>RawData!CM167</f>
        <v>0</v>
      </c>
      <c r="CQ169" s="47">
        <f>RawData!CO167</f>
        <v>0</v>
      </c>
      <c r="CR169" s="44">
        <f>RawData!CP167</f>
        <v>0</v>
      </c>
      <c r="CS169" s="44">
        <f>RawData!DG167</f>
        <v>0</v>
      </c>
      <c r="CT169" s="43">
        <f>RawData!DJ167</f>
        <v>0</v>
      </c>
      <c r="CU169" s="43">
        <f>RawData!CQ167</f>
        <v>0</v>
      </c>
      <c r="CV169" s="47">
        <f>RawData!CR167</f>
        <v>0</v>
      </c>
      <c r="CW169" s="65">
        <f>RawData!DK167</f>
        <v>0</v>
      </c>
      <c r="CX169" s="65">
        <f>RawData!DL167</f>
        <v>0</v>
      </c>
      <c r="CY169" s="65">
        <f>RawData!DM167</f>
        <v>0</v>
      </c>
      <c r="CZ169" s="65">
        <f>RawData!DN167</f>
        <v>0</v>
      </c>
      <c r="DA169" s="65">
        <f>RawData!DO167</f>
        <v>0</v>
      </c>
      <c r="DB169" s="65">
        <f>RawData!DP167</f>
        <v>0</v>
      </c>
      <c r="DC169" s="65">
        <f>RawData!DQ167</f>
        <v>0</v>
      </c>
      <c r="DD169" s="65">
        <f>RawData!DR167</f>
        <v>0</v>
      </c>
      <c r="DE169" s="65">
        <f>RawData!DS167</f>
        <v>0</v>
      </c>
      <c r="DF169" s="65">
        <f>RawData!DT167</f>
        <v>0</v>
      </c>
      <c r="DG169" s="66">
        <f>RawData!DU167</f>
        <v>0</v>
      </c>
      <c r="DI169" s="21">
        <f t="shared" si="2"/>
        <v>0</v>
      </c>
    </row>
    <row r="170" spans="1:113" x14ac:dyDescent="0.2">
      <c r="A170" s="59">
        <f>RawData!CN168</f>
        <v>0</v>
      </c>
      <c r="B170" s="44">
        <f>RawData!CH168</f>
        <v>0</v>
      </c>
      <c r="C170" s="44">
        <f>RawData!CG168</f>
        <v>0</v>
      </c>
      <c r="D170" s="43">
        <f>RawData!CF168</f>
        <v>0</v>
      </c>
      <c r="E170" s="44">
        <f>RawData!CE168</f>
        <v>0</v>
      </c>
      <c r="F170" s="43">
        <f>RawData!CD168</f>
        <v>0</v>
      </c>
      <c r="G170" s="44">
        <f>RawData!CC168</f>
        <v>0</v>
      </c>
      <c r="H170" s="44">
        <f>RawData!CB168</f>
        <v>0</v>
      </c>
      <c r="I170" s="44">
        <f>RawData!CA168</f>
        <v>0</v>
      </c>
      <c r="J170" s="44">
        <f>RawData!BZ168</f>
        <v>0</v>
      </c>
      <c r="K170" s="40">
        <f>RawData!BY168</f>
        <v>0</v>
      </c>
      <c r="L170" s="40">
        <f>RawData!BX168</f>
        <v>0</v>
      </c>
      <c r="M170" s="40">
        <f>RawData!BW168</f>
        <v>0</v>
      </c>
      <c r="N170" s="40">
        <f>RawData!BV168</f>
        <v>0</v>
      </c>
      <c r="O170" s="36">
        <f>RawData!BU168</f>
        <v>0</v>
      </c>
      <c r="P170" s="36">
        <f>RawData!BT168</f>
        <v>0</v>
      </c>
      <c r="Q170" s="36">
        <f>RawData!BS168</f>
        <v>0</v>
      </c>
      <c r="R170" s="36">
        <f>RawData!BR168</f>
        <v>0</v>
      </c>
      <c r="S170" s="37">
        <f>RawData!BQ168</f>
        <v>0</v>
      </c>
      <c r="T170" s="37">
        <f>RawData!BP168</f>
        <v>0</v>
      </c>
      <c r="U170" s="38">
        <f>RawData!BO168</f>
        <v>0</v>
      </c>
      <c r="V170" s="38">
        <f>RawData!BN168</f>
        <v>0</v>
      </c>
      <c r="W170" s="39">
        <f>RawData!BM168</f>
        <v>0</v>
      </c>
      <c r="X170" s="39">
        <f>RawData!BL168</f>
        <v>0</v>
      </c>
      <c r="Y170" s="38">
        <f>RawData!BJ168</f>
        <v>0</v>
      </c>
      <c r="Z170" s="38">
        <f>RawData!BI168</f>
        <v>0</v>
      </c>
      <c r="AA170" s="40">
        <f>RawData!BH168</f>
        <v>0</v>
      </c>
      <c r="AB170" s="40">
        <f>RawData!BG168</f>
        <v>0</v>
      </c>
      <c r="AC170" s="40">
        <f>RawData!BF168</f>
        <v>0</v>
      </c>
      <c r="AD170" s="40">
        <f>RawData!BE168</f>
        <v>0</v>
      </c>
      <c r="AE170" s="40">
        <f>RawData!BD168</f>
        <v>0</v>
      </c>
      <c r="AF170" s="40">
        <f>RawData!BC168</f>
        <v>0</v>
      </c>
      <c r="AG170" s="41">
        <f>RawData!BB168</f>
        <v>0</v>
      </c>
      <c r="AH170" s="42">
        <f>RawData!DB168</f>
        <v>0</v>
      </c>
      <c r="AI170" s="41">
        <f>RawData!BA168</f>
        <v>0</v>
      </c>
      <c r="AJ170" s="43">
        <f>RawData!DA168</f>
        <v>0</v>
      </c>
      <c r="AK170" s="41">
        <f>RawData!AZ168</f>
        <v>0</v>
      </c>
      <c r="AL170" s="42">
        <f>RawData!DD168</f>
        <v>0</v>
      </c>
      <c r="AM170" s="44">
        <f>RawData!DC168</f>
        <v>0</v>
      </c>
      <c r="AN170" s="45">
        <f>RawData!BK168</f>
        <v>0</v>
      </c>
      <c r="AO170" s="44">
        <f>RawData!AY168</f>
        <v>0</v>
      </c>
      <c r="AP170" s="43">
        <f>RawData!DH168</f>
        <v>0</v>
      </c>
      <c r="AQ170" s="43">
        <f>RawData!DE168</f>
        <v>0</v>
      </c>
      <c r="AR170" s="42">
        <f>RawData!CZ168</f>
        <v>0</v>
      </c>
      <c r="AS170" s="44">
        <f>RawData!AX168</f>
        <v>0</v>
      </c>
      <c r="AT170" s="43">
        <f>RawData!CY168</f>
        <v>0</v>
      </c>
      <c r="AU170" s="44">
        <f>RawData!AW168</f>
        <v>0</v>
      </c>
      <c r="AV170" s="46">
        <f>RawData!O168</f>
        <v>0</v>
      </c>
      <c r="AW170" s="44">
        <f>RawData!AV168</f>
        <v>0</v>
      </c>
      <c r="AX170" s="44">
        <f>RawData!CW168</f>
        <v>0</v>
      </c>
      <c r="AY170" s="44">
        <f>RawData!AU168</f>
        <v>0</v>
      </c>
      <c r="AZ170" s="42">
        <f>RawData!CX168</f>
        <v>0</v>
      </c>
      <c r="BA170" s="44">
        <f>RawData!DF168</f>
        <v>0</v>
      </c>
      <c r="BB170" s="43">
        <f>RawData!DI168</f>
        <v>0</v>
      </c>
      <c r="BC170" s="44">
        <f>RawData!AT168</f>
        <v>0</v>
      </c>
      <c r="BD170" s="45">
        <f>RawData!AP168</f>
        <v>0</v>
      </c>
      <c r="BE170" s="44">
        <f>RawData!CS168</f>
        <v>0</v>
      </c>
      <c r="BF170" s="42">
        <f>RawData!CT168</f>
        <v>0</v>
      </c>
      <c r="BG170" s="41">
        <f>RawData!AS168</f>
        <v>0</v>
      </c>
      <c r="BH170" s="41">
        <f>RawData!CU168</f>
        <v>0</v>
      </c>
      <c r="BI170" s="41">
        <f>RawData!AR168</f>
        <v>0</v>
      </c>
      <c r="BJ170" s="42">
        <f>RawData!CV168</f>
        <v>0</v>
      </c>
      <c r="BK170" s="41">
        <f>RawData!AQ168</f>
        <v>0</v>
      </c>
      <c r="BL170" s="40">
        <f>RawData!AO168</f>
        <v>0</v>
      </c>
      <c r="BM170" s="40">
        <f>RawData!AN168</f>
        <v>0</v>
      </c>
      <c r="BN170" s="40">
        <f>RawData!AM168</f>
        <v>0</v>
      </c>
      <c r="BO170" s="40">
        <f>RawData!AL168</f>
        <v>0</v>
      </c>
      <c r="BP170" s="40">
        <f>RawData!AK168</f>
        <v>0</v>
      </c>
      <c r="BQ170" s="40">
        <f>RawData!AJ168</f>
        <v>0</v>
      </c>
      <c r="BR170" s="38">
        <f>RawData!AI168</f>
        <v>0</v>
      </c>
      <c r="BS170" s="38">
        <f>RawData!AH168</f>
        <v>0</v>
      </c>
      <c r="BT170" s="40">
        <f>RawData!AG168</f>
        <v>0</v>
      </c>
      <c r="BU170" s="39">
        <f>RawData!AF168</f>
        <v>0</v>
      </c>
      <c r="BV170" s="39">
        <f>RawData!AE168</f>
        <v>0</v>
      </c>
      <c r="BW170" s="38">
        <f>RawData!AD168</f>
        <v>0</v>
      </c>
      <c r="BX170" s="38">
        <f>RawData!AC168</f>
        <v>0</v>
      </c>
      <c r="BY170" s="37">
        <f>RawData!AB168</f>
        <v>0</v>
      </c>
      <c r="BZ170" s="37">
        <f>RawData!AA168</f>
        <v>0</v>
      </c>
      <c r="CA170" s="36">
        <f>RawData!Z168</f>
        <v>0</v>
      </c>
      <c r="CB170" s="36">
        <f>RawData!Y168</f>
        <v>0</v>
      </c>
      <c r="CC170" s="36">
        <f>RawData!X168</f>
        <v>0</v>
      </c>
      <c r="CD170" s="36">
        <f>RawData!W168</f>
        <v>0</v>
      </c>
      <c r="CE170" s="40">
        <f>RawData!V168</f>
        <v>0</v>
      </c>
      <c r="CF170" s="40">
        <f>RawData!U168</f>
        <v>0</v>
      </c>
      <c r="CG170" s="40">
        <f>RawData!T168</f>
        <v>0</v>
      </c>
      <c r="CH170" s="44">
        <f>RawData!S168</f>
        <v>0</v>
      </c>
      <c r="CI170" s="44">
        <f>RawData!R168</f>
        <v>0</v>
      </c>
      <c r="CJ170" s="44">
        <f>RawData!Q168</f>
        <v>0</v>
      </c>
      <c r="CK170" s="44">
        <f>RawData!P168</f>
        <v>0</v>
      </c>
      <c r="CL170" s="44">
        <f>RawData!CJ168</f>
        <v>0</v>
      </c>
      <c r="CM170" s="43">
        <f>RawData!CI168</f>
        <v>0</v>
      </c>
      <c r="CN170" s="44">
        <f>RawData!CL168</f>
        <v>0</v>
      </c>
      <c r="CO170" s="43">
        <f>RawData!CK168</f>
        <v>0</v>
      </c>
      <c r="CP170" s="44">
        <f>RawData!CM168</f>
        <v>0</v>
      </c>
      <c r="CQ170" s="47">
        <f>RawData!CO168</f>
        <v>0</v>
      </c>
      <c r="CR170" s="44">
        <f>RawData!CP168</f>
        <v>0</v>
      </c>
      <c r="CS170" s="44">
        <f>RawData!DG168</f>
        <v>0</v>
      </c>
      <c r="CT170" s="43">
        <f>RawData!DJ168</f>
        <v>0</v>
      </c>
      <c r="CU170" s="43">
        <f>RawData!CQ168</f>
        <v>0</v>
      </c>
      <c r="CV170" s="47">
        <f>RawData!CR168</f>
        <v>0</v>
      </c>
      <c r="CW170" s="65">
        <f>RawData!DK168</f>
        <v>0</v>
      </c>
      <c r="CX170" s="65">
        <f>RawData!DL168</f>
        <v>0</v>
      </c>
      <c r="CY170" s="65">
        <f>RawData!DM168</f>
        <v>0</v>
      </c>
      <c r="CZ170" s="65">
        <f>RawData!DN168</f>
        <v>0</v>
      </c>
      <c r="DA170" s="65">
        <f>RawData!DO168</f>
        <v>0</v>
      </c>
      <c r="DB170" s="65">
        <f>RawData!DP168</f>
        <v>0</v>
      </c>
      <c r="DC170" s="65">
        <f>RawData!DQ168</f>
        <v>0</v>
      </c>
      <c r="DD170" s="65">
        <f>RawData!DR168</f>
        <v>0</v>
      </c>
      <c r="DE170" s="65">
        <f>RawData!DS168</f>
        <v>0</v>
      </c>
      <c r="DF170" s="65">
        <f>RawData!DT168</f>
        <v>0</v>
      </c>
      <c r="DG170" s="66">
        <f>RawData!DU168</f>
        <v>0</v>
      </c>
      <c r="DI170" s="21">
        <f t="shared" si="2"/>
        <v>0</v>
      </c>
    </row>
    <row r="171" spans="1:113" x14ac:dyDescent="0.2">
      <c r="A171" s="59">
        <f>RawData!CN169</f>
        <v>0</v>
      </c>
      <c r="B171" s="44">
        <f>RawData!CH169</f>
        <v>0</v>
      </c>
      <c r="C171" s="44">
        <f>RawData!CG169</f>
        <v>0</v>
      </c>
      <c r="D171" s="43">
        <f>RawData!CF169</f>
        <v>0</v>
      </c>
      <c r="E171" s="44">
        <f>RawData!CE169</f>
        <v>0</v>
      </c>
      <c r="F171" s="43">
        <f>RawData!CD169</f>
        <v>0</v>
      </c>
      <c r="G171" s="44">
        <f>RawData!CC169</f>
        <v>0</v>
      </c>
      <c r="H171" s="44">
        <f>RawData!CB169</f>
        <v>0</v>
      </c>
      <c r="I171" s="44">
        <f>RawData!CA169</f>
        <v>0</v>
      </c>
      <c r="J171" s="44">
        <f>RawData!BZ169</f>
        <v>0</v>
      </c>
      <c r="K171" s="40">
        <f>RawData!BY169</f>
        <v>0</v>
      </c>
      <c r="L171" s="40">
        <f>RawData!BX169</f>
        <v>0</v>
      </c>
      <c r="M171" s="40">
        <f>RawData!BW169</f>
        <v>0</v>
      </c>
      <c r="N171" s="40">
        <f>RawData!BV169</f>
        <v>0</v>
      </c>
      <c r="O171" s="36">
        <f>RawData!BU169</f>
        <v>0</v>
      </c>
      <c r="P171" s="36">
        <f>RawData!BT169</f>
        <v>0</v>
      </c>
      <c r="Q171" s="36">
        <f>RawData!BS169</f>
        <v>0</v>
      </c>
      <c r="R171" s="36">
        <f>RawData!BR169</f>
        <v>0</v>
      </c>
      <c r="S171" s="37">
        <f>RawData!BQ169</f>
        <v>0</v>
      </c>
      <c r="T171" s="37">
        <f>RawData!BP169</f>
        <v>0</v>
      </c>
      <c r="U171" s="38">
        <f>RawData!BO169</f>
        <v>0</v>
      </c>
      <c r="V171" s="38">
        <f>RawData!BN169</f>
        <v>0</v>
      </c>
      <c r="W171" s="39">
        <f>RawData!BM169</f>
        <v>0</v>
      </c>
      <c r="X171" s="39">
        <f>RawData!BL169</f>
        <v>0</v>
      </c>
      <c r="Y171" s="38">
        <f>RawData!BJ169</f>
        <v>0</v>
      </c>
      <c r="Z171" s="38">
        <f>RawData!BI169</f>
        <v>0</v>
      </c>
      <c r="AA171" s="40">
        <f>RawData!BH169</f>
        <v>0</v>
      </c>
      <c r="AB171" s="40">
        <f>RawData!BG169</f>
        <v>0</v>
      </c>
      <c r="AC171" s="40">
        <f>RawData!BF169</f>
        <v>0</v>
      </c>
      <c r="AD171" s="40">
        <f>RawData!BE169</f>
        <v>0</v>
      </c>
      <c r="AE171" s="40">
        <f>RawData!BD169</f>
        <v>0</v>
      </c>
      <c r="AF171" s="40">
        <f>RawData!BC169</f>
        <v>0</v>
      </c>
      <c r="AG171" s="41">
        <f>RawData!BB169</f>
        <v>0</v>
      </c>
      <c r="AH171" s="42">
        <f>RawData!DB169</f>
        <v>0</v>
      </c>
      <c r="AI171" s="41">
        <f>RawData!BA169</f>
        <v>0</v>
      </c>
      <c r="AJ171" s="43">
        <f>RawData!DA169</f>
        <v>0</v>
      </c>
      <c r="AK171" s="41">
        <f>RawData!AZ169</f>
        <v>0</v>
      </c>
      <c r="AL171" s="42">
        <f>RawData!DD169</f>
        <v>0</v>
      </c>
      <c r="AM171" s="44">
        <f>RawData!DC169</f>
        <v>0</v>
      </c>
      <c r="AN171" s="45">
        <f>RawData!BK169</f>
        <v>0</v>
      </c>
      <c r="AO171" s="44">
        <f>RawData!AY169</f>
        <v>0</v>
      </c>
      <c r="AP171" s="43">
        <f>RawData!DH169</f>
        <v>0</v>
      </c>
      <c r="AQ171" s="43">
        <f>RawData!DE169</f>
        <v>0</v>
      </c>
      <c r="AR171" s="42">
        <f>RawData!CZ169</f>
        <v>0</v>
      </c>
      <c r="AS171" s="44">
        <f>RawData!AX169</f>
        <v>0</v>
      </c>
      <c r="AT171" s="43">
        <f>RawData!CY169</f>
        <v>0</v>
      </c>
      <c r="AU171" s="44">
        <f>RawData!AW169</f>
        <v>0</v>
      </c>
      <c r="AV171" s="46">
        <f>RawData!O169</f>
        <v>0</v>
      </c>
      <c r="AW171" s="44">
        <f>RawData!AV169</f>
        <v>0</v>
      </c>
      <c r="AX171" s="44">
        <f>RawData!CW169</f>
        <v>0</v>
      </c>
      <c r="AY171" s="44">
        <f>RawData!AU169</f>
        <v>0</v>
      </c>
      <c r="AZ171" s="42">
        <f>RawData!CX169</f>
        <v>0</v>
      </c>
      <c r="BA171" s="44">
        <f>RawData!DF169</f>
        <v>0</v>
      </c>
      <c r="BB171" s="43">
        <f>RawData!DI169</f>
        <v>0</v>
      </c>
      <c r="BC171" s="44">
        <f>RawData!AT169</f>
        <v>0</v>
      </c>
      <c r="BD171" s="45">
        <f>RawData!AP169</f>
        <v>0</v>
      </c>
      <c r="BE171" s="44">
        <f>RawData!CS169</f>
        <v>0</v>
      </c>
      <c r="BF171" s="42">
        <f>RawData!CT169</f>
        <v>0</v>
      </c>
      <c r="BG171" s="41">
        <f>RawData!AS169</f>
        <v>0</v>
      </c>
      <c r="BH171" s="41">
        <f>RawData!CU169</f>
        <v>0</v>
      </c>
      <c r="BI171" s="41">
        <f>RawData!AR169</f>
        <v>0</v>
      </c>
      <c r="BJ171" s="42">
        <f>RawData!CV169</f>
        <v>0</v>
      </c>
      <c r="BK171" s="41">
        <f>RawData!AQ169</f>
        <v>0</v>
      </c>
      <c r="BL171" s="40">
        <f>RawData!AO169</f>
        <v>0</v>
      </c>
      <c r="BM171" s="40">
        <f>RawData!AN169</f>
        <v>0</v>
      </c>
      <c r="BN171" s="40">
        <f>RawData!AM169</f>
        <v>0</v>
      </c>
      <c r="BO171" s="40">
        <f>RawData!AL169</f>
        <v>0</v>
      </c>
      <c r="BP171" s="40">
        <f>RawData!AK169</f>
        <v>0</v>
      </c>
      <c r="BQ171" s="40">
        <f>RawData!AJ169</f>
        <v>0</v>
      </c>
      <c r="BR171" s="38">
        <f>RawData!AI169</f>
        <v>0</v>
      </c>
      <c r="BS171" s="38">
        <f>RawData!AH169</f>
        <v>0</v>
      </c>
      <c r="BT171" s="40">
        <f>RawData!AG169</f>
        <v>0</v>
      </c>
      <c r="BU171" s="39">
        <f>RawData!AF169</f>
        <v>0</v>
      </c>
      <c r="BV171" s="39">
        <f>RawData!AE169</f>
        <v>0</v>
      </c>
      <c r="BW171" s="38">
        <f>RawData!AD169</f>
        <v>0</v>
      </c>
      <c r="BX171" s="38">
        <f>RawData!AC169</f>
        <v>0</v>
      </c>
      <c r="BY171" s="37">
        <f>RawData!AB169</f>
        <v>0</v>
      </c>
      <c r="BZ171" s="37">
        <f>RawData!AA169</f>
        <v>0</v>
      </c>
      <c r="CA171" s="36">
        <f>RawData!Z169</f>
        <v>0</v>
      </c>
      <c r="CB171" s="36">
        <f>RawData!Y169</f>
        <v>0</v>
      </c>
      <c r="CC171" s="36">
        <f>RawData!X169</f>
        <v>0</v>
      </c>
      <c r="CD171" s="36">
        <f>RawData!W169</f>
        <v>0</v>
      </c>
      <c r="CE171" s="40">
        <f>RawData!V169</f>
        <v>0</v>
      </c>
      <c r="CF171" s="40">
        <f>RawData!U169</f>
        <v>0</v>
      </c>
      <c r="CG171" s="40">
        <f>RawData!T169</f>
        <v>0</v>
      </c>
      <c r="CH171" s="44">
        <f>RawData!S169</f>
        <v>0</v>
      </c>
      <c r="CI171" s="44">
        <f>RawData!R169</f>
        <v>0</v>
      </c>
      <c r="CJ171" s="44">
        <f>RawData!Q169</f>
        <v>0</v>
      </c>
      <c r="CK171" s="44">
        <f>RawData!P169</f>
        <v>0</v>
      </c>
      <c r="CL171" s="44">
        <f>RawData!CJ169</f>
        <v>0</v>
      </c>
      <c r="CM171" s="43">
        <f>RawData!CI169</f>
        <v>0</v>
      </c>
      <c r="CN171" s="44">
        <f>RawData!CL169</f>
        <v>0</v>
      </c>
      <c r="CO171" s="43">
        <f>RawData!CK169</f>
        <v>0</v>
      </c>
      <c r="CP171" s="44">
        <f>RawData!CM169</f>
        <v>0</v>
      </c>
      <c r="CQ171" s="47">
        <f>RawData!CO169</f>
        <v>0</v>
      </c>
      <c r="CR171" s="44">
        <f>RawData!CP169</f>
        <v>0</v>
      </c>
      <c r="CS171" s="44">
        <f>RawData!DG169</f>
        <v>0</v>
      </c>
      <c r="CT171" s="43">
        <f>RawData!DJ169</f>
        <v>0</v>
      </c>
      <c r="CU171" s="43">
        <f>RawData!CQ169</f>
        <v>0</v>
      </c>
      <c r="CV171" s="47">
        <f>RawData!CR169</f>
        <v>0</v>
      </c>
      <c r="CW171" s="65">
        <f>RawData!DK169</f>
        <v>0</v>
      </c>
      <c r="CX171" s="65">
        <f>RawData!DL169</f>
        <v>0</v>
      </c>
      <c r="CY171" s="65">
        <f>RawData!DM169</f>
        <v>0</v>
      </c>
      <c r="CZ171" s="65">
        <f>RawData!DN169</f>
        <v>0</v>
      </c>
      <c r="DA171" s="65">
        <f>RawData!DO169</f>
        <v>0</v>
      </c>
      <c r="DB171" s="65">
        <f>RawData!DP169</f>
        <v>0</v>
      </c>
      <c r="DC171" s="65">
        <f>RawData!DQ169</f>
        <v>0</v>
      </c>
      <c r="DD171" s="65">
        <f>RawData!DR169</f>
        <v>0</v>
      </c>
      <c r="DE171" s="65">
        <f>RawData!DS169</f>
        <v>0</v>
      </c>
      <c r="DF171" s="65">
        <f>RawData!DT169</f>
        <v>0</v>
      </c>
      <c r="DG171" s="66">
        <f>RawData!DU169</f>
        <v>0</v>
      </c>
      <c r="DI171" s="21">
        <f t="shared" si="2"/>
        <v>0</v>
      </c>
    </row>
    <row r="172" spans="1:113" x14ac:dyDescent="0.2">
      <c r="A172" s="59">
        <f>RawData!CN170</f>
        <v>0</v>
      </c>
      <c r="B172" s="44">
        <f>RawData!CH170</f>
        <v>0</v>
      </c>
      <c r="C172" s="44">
        <f>RawData!CG170</f>
        <v>0</v>
      </c>
      <c r="D172" s="43">
        <f>RawData!CF170</f>
        <v>0</v>
      </c>
      <c r="E172" s="44">
        <f>RawData!CE170</f>
        <v>0</v>
      </c>
      <c r="F172" s="43">
        <f>RawData!CD170</f>
        <v>0</v>
      </c>
      <c r="G172" s="44">
        <f>RawData!CC170</f>
        <v>0</v>
      </c>
      <c r="H172" s="44">
        <f>RawData!CB170</f>
        <v>0</v>
      </c>
      <c r="I172" s="44">
        <f>RawData!CA170</f>
        <v>0</v>
      </c>
      <c r="J172" s="44">
        <f>RawData!BZ170</f>
        <v>0</v>
      </c>
      <c r="K172" s="40">
        <f>RawData!BY170</f>
        <v>0</v>
      </c>
      <c r="L172" s="40">
        <f>RawData!BX170</f>
        <v>0</v>
      </c>
      <c r="M172" s="40">
        <f>RawData!BW170</f>
        <v>0</v>
      </c>
      <c r="N172" s="40">
        <f>RawData!BV170</f>
        <v>0</v>
      </c>
      <c r="O172" s="36">
        <f>RawData!BU170</f>
        <v>0</v>
      </c>
      <c r="P172" s="36">
        <f>RawData!BT170</f>
        <v>0</v>
      </c>
      <c r="Q172" s="36">
        <f>RawData!BS170</f>
        <v>0</v>
      </c>
      <c r="R172" s="36">
        <f>RawData!BR170</f>
        <v>0</v>
      </c>
      <c r="S172" s="37">
        <f>RawData!BQ170</f>
        <v>0</v>
      </c>
      <c r="T172" s="37">
        <f>RawData!BP170</f>
        <v>0</v>
      </c>
      <c r="U172" s="38">
        <f>RawData!BO170</f>
        <v>0</v>
      </c>
      <c r="V172" s="38">
        <f>RawData!BN170</f>
        <v>0</v>
      </c>
      <c r="W172" s="39">
        <f>RawData!BM170</f>
        <v>0</v>
      </c>
      <c r="X172" s="39">
        <f>RawData!BL170</f>
        <v>0</v>
      </c>
      <c r="Y172" s="38">
        <f>RawData!BJ170</f>
        <v>0</v>
      </c>
      <c r="Z172" s="38">
        <f>RawData!BI170</f>
        <v>0</v>
      </c>
      <c r="AA172" s="40">
        <f>RawData!BH170</f>
        <v>0</v>
      </c>
      <c r="AB172" s="40">
        <f>RawData!BG170</f>
        <v>0</v>
      </c>
      <c r="AC172" s="40">
        <f>RawData!BF170</f>
        <v>0</v>
      </c>
      <c r="AD172" s="40">
        <f>RawData!BE170</f>
        <v>0</v>
      </c>
      <c r="AE172" s="40">
        <f>RawData!BD170</f>
        <v>0</v>
      </c>
      <c r="AF172" s="40">
        <f>RawData!BC170</f>
        <v>0</v>
      </c>
      <c r="AG172" s="41">
        <f>RawData!BB170</f>
        <v>0</v>
      </c>
      <c r="AH172" s="42">
        <f>RawData!DB170</f>
        <v>0</v>
      </c>
      <c r="AI172" s="41">
        <f>RawData!BA170</f>
        <v>0</v>
      </c>
      <c r="AJ172" s="43">
        <f>RawData!DA170</f>
        <v>0</v>
      </c>
      <c r="AK172" s="41">
        <f>RawData!AZ170</f>
        <v>0</v>
      </c>
      <c r="AL172" s="42">
        <f>RawData!DD170</f>
        <v>0</v>
      </c>
      <c r="AM172" s="44">
        <f>RawData!DC170</f>
        <v>0</v>
      </c>
      <c r="AN172" s="45">
        <f>RawData!BK170</f>
        <v>0</v>
      </c>
      <c r="AO172" s="44">
        <f>RawData!AY170</f>
        <v>0</v>
      </c>
      <c r="AP172" s="43">
        <f>RawData!DH170</f>
        <v>0</v>
      </c>
      <c r="AQ172" s="43">
        <f>RawData!DE170</f>
        <v>0</v>
      </c>
      <c r="AR172" s="42">
        <f>RawData!CZ170</f>
        <v>0</v>
      </c>
      <c r="AS172" s="44">
        <f>RawData!AX170</f>
        <v>0</v>
      </c>
      <c r="AT172" s="43">
        <f>RawData!CY170</f>
        <v>0</v>
      </c>
      <c r="AU172" s="44">
        <f>RawData!AW170</f>
        <v>0</v>
      </c>
      <c r="AV172" s="46">
        <f>RawData!O170</f>
        <v>0</v>
      </c>
      <c r="AW172" s="44">
        <f>RawData!AV170</f>
        <v>0</v>
      </c>
      <c r="AX172" s="44">
        <f>RawData!CW170</f>
        <v>0</v>
      </c>
      <c r="AY172" s="44">
        <f>RawData!AU170</f>
        <v>0</v>
      </c>
      <c r="AZ172" s="42">
        <f>RawData!CX170</f>
        <v>0</v>
      </c>
      <c r="BA172" s="44">
        <f>RawData!DF170</f>
        <v>0</v>
      </c>
      <c r="BB172" s="43">
        <f>RawData!DI170</f>
        <v>0</v>
      </c>
      <c r="BC172" s="44">
        <f>RawData!AT170</f>
        <v>0</v>
      </c>
      <c r="BD172" s="45">
        <f>RawData!AP170</f>
        <v>0</v>
      </c>
      <c r="BE172" s="44">
        <f>RawData!CS170</f>
        <v>0</v>
      </c>
      <c r="BF172" s="42">
        <f>RawData!CT170</f>
        <v>0</v>
      </c>
      <c r="BG172" s="41">
        <f>RawData!AS170</f>
        <v>0</v>
      </c>
      <c r="BH172" s="41">
        <f>RawData!CU170</f>
        <v>0</v>
      </c>
      <c r="BI172" s="41">
        <f>RawData!AR170</f>
        <v>0</v>
      </c>
      <c r="BJ172" s="42">
        <f>RawData!CV170</f>
        <v>0</v>
      </c>
      <c r="BK172" s="41">
        <f>RawData!AQ170</f>
        <v>0</v>
      </c>
      <c r="BL172" s="40">
        <f>RawData!AO170</f>
        <v>0</v>
      </c>
      <c r="BM172" s="40">
        <f>RawData!AN170</f>
        <v>0</v>
      </c>
      <c r="BN172" s="40">
        <f>RawData!AM170</f>
        <v>0</v>
      </c>
      <c r="BO172" s="40">
        <f>RawData!AL170</f>
        <v>0</v>
      </c>
      <c r="BP172" s="40">
        <f>RawData!AK170</f>
        <v>0</v>
      </c>
      <c r="BQ172" s="40">
        <f>RawData!AJ170</f>
        <v>0</v>
      </c>
      <c r="BR172" s="38">
        <f>RawData!AI170</f>
        <v>0</v>
      </c>
      <c r="BS172" s="38">
        <f>RawData!AH170</f>
        <v>0</v>
      </c>
      <c r="BT172" s="40">
        <f>RawData!AG170</f>
        <v>0</v>
      </c>
      <c r="BU172" s="39">
        <f>RawData!AF170</f>
        <v>0</v>
      </c>
      <c r="BV172" s="39">
        <f>RawData!AE170</f>
        <v>0</v>
      </c>
      <c r="BW172" s="38">
        <f>RawData!AD170</f>
        <v>0</v>
      </c>
      <c r="BX172" s="38">
        <f>RawData!AC170</f>
        <v>0</v>
      </c>
      <c r="BY172" s="37">
        <f>RawData!AB170</f>
        <v>0</v>
      </c>
      <c r="BZ172" s="37">
        <f>RawData!AA170</f>
        <v>0</v>
      </c>
      <c r="CA172" s="36">
        <f>RawData!Z170</f>
        <v>0</v>
      </c>
      <c r="CB172" s="36">
        <f>RawData!Y170</f>
        <v>0</v>
      </c>
      <c r="CC172" s="36">
        <f>RawData!X170</f>
        <v>0</v>
      </c>
      <c r="CD172" s="36">
        <f>RawData!W170</f>
        <v>0</v>
      </c>
      <c r="CE172" s="40">
        <f>RawData!V170</f>
        <v>0</v>
      </c>
      <c r="CF172" s="40">
        <f>RawData!U170</f>
        <v>0</v>
      </c>
      <c r="CG172" s="40">
        <f>RawData!T170</f>
        <v>0</v>
      </c>
      <c r="CH172" s="44">
        <f>RawData!S170</f>
        <v>0</v>
      </c>
      <c r="CI172" s="44">
        <f>RawData!R170</f>
        <v>0</v>
      </c>
      <c r="CJ172" s="44">
        <f>RawData!Q170</f>
        <v>0</v>
      </c>
      <c r="CK172" s="44">
        <f>RawData!P170</f>
        <v>0</v>
      </c>
      <c r="CL172" s="44">
        <f>RawData!CJ170</f>
        <v>0</v>
      </c>
      <c r="CM172" s="43">
        <f>RawData!CI170</f>
        <v>0</v>
      </c>
      <c r="CN172" s="44">
        <f>RawData!CL170</f>
        <v>0</v>
      </c>
      <c r="CO172" s="43">
        <f>RawData!CK170</f>
        <v>0</v>
      </c>
      <c r="CP172" s="44">
        <f>RawData!CM170</f>
        <v>0</v>
      </c>
      <c r="CQ172" s="47">
        <f>RawData!CO170</f>
        <v>0</v>
      </c>
      <c r="CR172" s="44">
        <f>RawData!CP170</f>
        <v>0</v>
      </c>
      <c r="CS172" s="44">
        <f>RawData!DG170</f>
        <v>0</v>
      </c>
      <c r="CT172" s="43">
        <f>RawData!DJ170</f>
        <v>0</v>
      </c>
      <c r="CU172" s="43">
        <f>RawData!CQ170</f>
        <v>0</v>
      </c>
      <c r="CV172" s="47">
        <f>RawData!CR170</f>
        <v>0</v>
      </c>
      <c r="CW172" s="65">
        <f>RawData!DK170</f>
        <v>0</v>
      </c>
      <c r="CX172" s="65">
        <f>RawData!DL170</f>
        <v>0</v>
      </c>
      <c r="CY172" s="65">
        <f>RawData!DM170</f>
        <v>0</v>
      </c>
      <c r="CZ172" s="65">
        <f>RawData!DN170</f>
        <v>0</v>
      </c>
      <c r="DA172" s="65">
        <f>RawData!DO170</f>
        <v>0</v>
      </c>
      <c r="DB172" s="65">
        <f>RawData!DP170</f>
        <v>0</v>
      </c>
      <c r="DC172" s="65">
        <f>RawData!DQ170</f>
        <v>0</v>
      </c>
      <c r="DD172" s="65">
        <f>RawData!DR170</f>
        <v>0</v>
      </c>
      <c r="DE172" s="65">
        <f>RawData!DS170</f>
        <v>0</v>
      </c>
      <c r="DF172" s="65">
        <f>RawData!DT170</f>
        <v>0</v>
      </c>
      <c r="DG172" s="66">
        <f>RawData!DU170</f>
        <v>0</v>
      </c>
      <c r="DI172" s="21">
        <f t="shared" si="2"/>
        <v>0</v>
      </c>
    </row>
    <row r="173" spans="1:113" x14ac:dyDescent="0.2">
      <c r="A173" s="59">
        <f>RawData!CN171</f>
        <v>0</v>
      </c>
      <c r="B173" s="44">
        <f>RawData!CH171</f>
        <v>0</v>
      </c>
      <c r="C173" s="44">
        <f>RawData!CG171</f>
        <v>0</v>
      </c>
      <c r="D173" s="43">
        <f>RawData!CF171</f>
        <v>0</v>
      </c>
      <c r="E173" s="44">
        <f>RawData!CE171</f>
        <v>0</v>
      </c>
      <c r="F173" s="43">
        <f>RawData!CD171</f>
        <v>0</v>
      </c>
      <c r="G173" s="44">
        <f>RawData!CC171</f>
        <v>0</v>
      </c>
      <c r="H173" s="44">
        <f>RawData!CB171</f>
        <v>0</v>
      </c>
      <c r="I173" s="44">
        <f>RawData!CA171</f>
        <v>0</v>
      </c>
      <c r="J173" s="44">
        <f>RawData!BZ171</f>
        <v>0</v>
      </c>
      <c r="K173" s="40">
        <f>RawData!BY171</f>
        <v>0</v>
      </c>
      <c r="L173" s="40">
        <f>RawData!BX171</f>
        <v>0</v>
      </c>
      <c r="M173" s="40">
        <f>RawData!BW171</f>
        <v>0</v>
      </c>
      <c r="N173" s="40">
        <f>RawData!BV171</f>
        <v>0</v>
      </c>
      <c r="O173" s="36">
        <f>RawData!BU171</f>
        <v>0</v>
      </c>
      <c r="P173" s="36">
        <f>RawData!BT171</f>
        <v>0</v>
      </c>
      <c r="Q173" s="36">
        <f>RawData!BS171</f>
        <v>0</v>
      </c>
      <c r="R173" s="36">
        <f>RawData!BR171</f>
        <v>0</v>
      </c>
      <c r="S173" s="37">
        <f>RawData!BQ171</f>
        <v>0</v>
      </c>
      <c r="T173" s="37">
        <f>RawData!BP171</f>
        <v>0</v>
      </c>
      <c r="U173" s="38">
        <f>RawData!BO171</f>
        <v>0</v>
      </c>
      <c r="V173" s="38">
        <f>RawData!BN171</f>
        <v>0</v>
      </c>
      <c r="W173" s="39">
        <f>RawData!BM171</f>
        <v>0</v>
      </c>
      <c r="X173" s="39">
        <f>RawData!BL171</f>
        <v>0</v>
      </c>
      <c r="Y173" s="38">
        <f>RawData!BJ171</f>
        <v>0</v>
      </c>
      <c r="Z173" s="38">
        <f>RawData!BI171</f>
        <v>0</v>
      </c>
      <c r="AA173" s="40">
        <f>RawData!BH171</f>
        <v>0</v>
      </c>
      <c r="AB173" s="40">
        <f>RawData!BG171</f>
        <v>0</v>
      </c>
      <c r="AC173" s="40">
        <f>RawData!BF171</f>
        <v>0</v>
      </c>
      <c r="AD173" s="40">
        <f>RawData!BE171</f>
        <v>0</v>
      </c>
      <c r="AE173" s="40">
        <f>RawData!BD171</f>
        <v>0</v>
      </c>
      <c r="AF173" s="40">
        <f>RawData!BC171</f>
        <v>0</v>
      </c>
      <c r="AG173" s="41">
        <f>RawData!BB171</f>
        <v>0</v>
      </c>
      <c r="AH173" s="42">
        <f>RawData!DB171</f>
        <v>0</v>
      </c>
      <c r="AI173" s="41">
        <f>RawData!BA171</f>
        <v>0</v>
      </c>
      <c r="AJ173" s="43">
        <f>RawData!DA171</f>
        <v>0</v>
      </c>
      <c r="AK173" s="41">
        <f>RawData!AZ171</f>
        <v>0</v>
      </c>
      <c r="AL173" s="42">
        <f>RawData!DD171</f>
        <v>0</v>
      </c>
      <c r="AM173" s="44">
        <f>RawData!DC171</f>
        <v>0</v>
      </c>
      <c r="AN173" s="45">
        <f>RawData!BK171</f>
        <v>0</v>
      </c>
      <c r="AO173" s="44">
        <f>RawData!AY171</f>
        <v>0</v>
      </c>
      <c r="AP173" s="43">
        <f>RawData!DH171</f>
        <v>0</v>
      </c>
      <c r="AQ173" s="43">
        <f>RawData!DE171</f>
        <v>0</v>
      </c>
      <c r="AR173" s="42">
        <f>RawData!CZ171</f>
        <v>0</v>
      </c>
      <c r="AS173" s="44">
        <f>RawData!AX171</f>
        <v>0</v>
      </c>
      <c r="AT173" s="43">
        <f>RawData!CY171</f>
        <v>0</v>
      </c>
      <c r="AU173" s="44">
        <f>RawData!AW171</f>
        <v>0</v>
      </c>
      <c r="AV173" s="46">
        <f>RawData!O171</f>
        <v>0</v>
      </c>
      <c r="AW173" s="44">
        <f>RawData!AV171</f>
        <v>0</v>
      </c>
      <c r="AX173" s="44">
        <f>RawData!CW171</f>
        <v>0</v>
      </c>
      <c r="AY173" s="44">
        <f>RawData!AU171</f>
        <v>0</v>
      </c>
      <c r="AZ173" s="42">
        <f>RawData!CX171</f>
        <v>0</v>
      </c>
      <c r="BA173" s="44">
        <f>RawData!DF171</f>
        <v>0</v>
      </c>
      <c r="BB173" s="43">
        <f>RawData!DI171</f>
        <v>0</v>
      </c>
      <c r="BC173" s="44">
        <f>RawData!AT171</f>
        <v>0</v>
      </c>
      <c r="BD173" s="45">
        <f>RawData!AP171</f>
        <v>0</v>
      </c>
      <c r="BE173" s="44">
        <f>RawData!CS171</f>
        <v>0</v>
      </c>
      <c r="BF173" s="42">
        <f>RawData!CT171</f>
        <v>0</v>
      </c>
      <c r="BG173" s="41">
        <f>RawData!AS171</f>
        <v>0</v>
      </c>
      <c r="BH173" s="41">
        <f>RawData!CU171</f>
        <v>0</v>
      </c>
      <c r="BI173" s="41">
        <f>RawData!AR171</f>
        <v>0</v>
      </c>
      <c r="BJ173" s="42">
        <f>RawData!CV171</f>
        <v>0</v>
      </c>
      <c r="BK173" s="41">
        <f>RawData!AQ171</f>
        <v>0</v>
      </c>
      <c r="BL173" s="40">
        <f>RawData!AO171</f>
        <v>0</v>
      </c>
      <c r="BM173" s="40">
        <f>RawData!AN171</f>
        <v>0</v>
      </c>
      <c r="BN173" s="40">
        <f>RawData!AM171</f>
        <v>0</v>
      </c>
      <c r="BO173" s="40">
        <f>RawData!AL171</f>
        <v>0</v>
      </c>
      <c r="BP173" s="40">
        <f>RawData!AK171</f>
        <v>0</v>
      </c>
      <c r="BQ173" s="40">
        <f>RawData!AJ171</f>
        <v>0</v>
      </c>
      <c r="BR173" s="38">
        <f>RawData!AI171</f>
        <v>0</v>
      </c>
      <c r="BS173" s="38">
        <f>RawData!AH171</f>
        <v>0</v>
      </c>
      <c r="BT173" s="40">
        <f>RawData!AG171</f>
        <v>0</v>
      </c>
      <c r="BU173" s="39">
        <f>RawData!AF171</f>
        <v>0</v>
      </c>
      <c r="BV173" s="39">
        <f>RawData!AE171</f>
        <v>0</v>
      </c>
      <c r="BW173" s="38">
        <f>RawData!AD171</f>
        <v>0</v>
      </c>
      <c r="BX173" s="38">
        <f>RawData!AC171</f>
        <v>0</v>
      </c>
      <c r="BY173" s="37">
        <f>RawData!AB171</f>
        <v>0</v>
      </c>
      <c r="BZ173" s="37">
        <f>RawData!AA171</f>
        <v>0</v>
      </c>
      <c r="CA173" s="36">
        <f>RawData!Z171</f>
        <v>0</v>
      </c>
      <c r="CB173" s="36">
        <f>RawData!Y171</f>
        <v>0</v>
      </c>
      <c r="CC173" s="36">
        <f>RawData!X171</f>
        <v>0</v>
      </c>
      <c r="CD173" s="36">
        <f>RawData!W171</f>
        <v>0</v>
      </c>
      <c r="CE173" s="40">
        <f>RawData!V171</f>
        <v>0</v>
      </c>
      <c r="CF173" s="40">
        <f>RawData!U171</f>
        <v>0</v>
      </c>
      <c r="CG173" s="40">
        <f>RawData!T171</f>
        <v>0</v>
      </c>
      <c r="CH173" s="44">
        <f>RawData!S171</f>
        <v>0</v>
      </c>
      <c r="CI173" s="44">
        <f>RawData!R171</f>
        <v>0</v>
      </c>
      <c r="CJ173" s="44">
        <f>RawData!Q171</f>
        <v>0</v>
      </c>
      <c r="CK173" s="44">
        <f>RawData!P171</f>
        <v>0</v>
      </c>
      <c r="CL173" s="44">
        <f>RawData!CJ171</f>
        <v>0</v>
      </c>
      <c r="CM173" s="43">
        <f>RawData!CI171</f>
        <v>0</v>
      </c>
      <c r="CN173" s="44">
        <f>RawData!CL171</f>
        <v>0</v>
      </c>
      <c r="CO173" s="43">
        <f>RawData!CK171</f>
        <v>0</v>
      </c>
      <c r="CP173" s="44">
        <f>RawData!CM171</f>
        <v>0</v>
      </c>
      <c r="CQ173" s="47">
        <f>RawData!CO171</f>
        <v>0</v>
      </c>
      <c r="CR173" s="44">
        <f>RawData!CP171</f>
        <v>0</v>
      </c>
      <c r="CS173" s="44">
        <f>RawData!DG171</f>
        <v>0</v>
      </c>
      <c r="CT173" s="43">
        <f>RawData!DJ171</f>
        <v>0</v>
      </c>
      <c r="CU173" s="43">
        <f>RawData!CQ171</f>
        <v>0</v>
      </c>
      <c r="CV173" s="47">
        <f>RawData!CR171</f>
        <v>0</v>
      </c>
      <c r="CW173" s="65">
        <f>RawData!DK171</f>
        <v>0</v>
      </c>
      <c r="CX173" s="65">
        <f>RawData!DL171</f>
        <v>0</v>
      </c>
      <c r="CY173" s="65">
        <f>RawData!DM171</f>
        <v>0</v>
      </c>
      <c r="CZ173" s="65">
        <f>RawData!DN171</f>
        <v>0</v>
      </c>
      <c r="DA173" s="65">
        <f>RawData!DO171</f>
        <v>0</v>
      </c>
      <c r="DB173" s="65">
        <f>RawData!DP171</f>
        <v>0</v>
      </c>
      <c r="DC173" s="65">
        <f>RawData!DQ171</f>
        <v>0</v>
      </c>
      <c r="DD173" s="65">
        <f>RawData!DR171</f>
        <v>0</v>
      </c>
      <c r="DE173" s="65">
        <f>RawData!DS171</f>
        <v>0</v>
      </c>
      <c r="DF173" s="65">
        <f>RawData!DT171</f>
        <v>0</v>
      </c>
      <c r="DG173" s="66">
        <f>RawData!DU171</f>
        <v>0</v>
      </c>
      <c r="DI173" s="21">
        <f t="shared" si="2"/>
        <v>0</v>
      </c>
    </row>
    <row r="174" spans="1:113" x14ac:dyDescent="0.2">
      <c r="A174" s="59">
        <f>RawData!CN172</f>
        <v>0</v>
      </c>
      <c r="B174" s="44">
        <f>RawData!CH172</f>
        <v>0</v>
      </c>
      <c r="C174" s="44">
        <f>RawData!CG172</f>
        <v>0</v>
      </c>
      <c r="D174" s="43">
        <f>RawData!CF172</f>
        <v>0</v>
      </c>
      <c r="E174" s="44">
        <f>RawData!CE172</f>
        <v>0</v>
      </c>
      <c r="F174" s="43">
        <f>RawData!CD172</f>
        <v>0</v>
      </c>
      <c r="G174" s="44">
        <f>RawData!CC172</f>
        <v>0</v>
      </c>
      <c r="H174" s="44">
        <f>RawData!CB172</f>
        <v>0</v>
      </c>
      <c r="I174" s="44">
        <f>RawData!CA172</f>
        <v>0</v>
      </c>
      <c r="J174" s="44">
        <f>RawData!BZ172</f>
        <v>0</v>
      </c>
      <c r="K174" s="40">
        <f>RawData!BY172</f>
        <v>0</v>
      </c>
      <c r="L174" s="40">
        <f>RawData!BX172</f>
        <v>0</v>
      </c>
      <c r="M174" s="40">
        <f>RawData!BW172</f>
        <v>0</v>
      </c>
      <c r="N174" s="40">
        <f>RawData!BV172</f>
        <v>0</v>
      </c>
      <c r="O174" s="36">
        <f>RawData!BU172</f>
        <v>0</v>
      </c>
      <c r="P174" s="36">
        <f>RawData!BT172</f>
        <v>0</v>
      </c>
      <c r="Q174" s="36">
        <f>RawData!BS172</f>
        <v>0</v>
      </c>
      <c r="R174" s="36">
        <f>RawData!BR172</f>
        <v>0</v>
      </c>
      <c r="S174" s="37">
        <f>RawData!BQ172</f>
        <v>0</v>
      </c>
      <c r="T174" s="37">
        <f>RawData!BP172</f>
        <v>0</v>
      </c>
      <c r="U174" s="38">
        <f>RawData!BO172</f>
        <v>0</v>
      </c>
      <c r="V174" s="38">
        <f>RawData!BN172</f>
        <v>0</v>
      </c>
      <c r="W174" s="39">
        <f>RawData!BM172</f>
        <v>0</v>
      </c>
      <c r="X174" s="39">
        <f>RawData!BL172</f>
        <v>0</v>
      </c>
      <c r="Y174" s="38">
        <f>RawData!BJ172</f>
        <v>0</v>
      </c>
      <c r="Z174" s="38">
        <f>RawData!BI172</f>
        <v>0</v>
      </c>
      <c r="AA174" s="40">
        <f>RawData!BH172</f>
        <v>0</v>
      </c>
      <c r="AB174" s="40">
        <f>RawData!BG172</f>
        <v>0</v>
      </c>
      <c r="AC174" s="40">
        <f>RawData!BF172</f>
        <v>0</v>
      </c>
      <c r="AD174" s="40">
        <f>RawData!BE172</f>
        <v>0</v>
      </c>
      <c r="AE174" s="40">
        <f>RawData!BD172</f>
        <v>0</v>
      </c>
      <c r="AF174" s="40">
        <f>RawData!BC172</f>
        <v>0</v>
      </c>
      <c r="AG174" s="41">
        <f>RawData!BB172</f>
        <v>0</v>
      </c>
      <c r="AH174" s="42">
        <f>RawData!DB172</f>
        <v>0</v>
      </c>
      <c r="AI174" s="41">
        <f>RawData!BA172</f>
        <v>0</v>
      </c>
      <c r="AJ174" s="43">
        <f>RawData!DA172</f>
        <v>0</v>
      </c>
      <c r="AK174" s="41">
        <f>RawData!AZ172</f>
        <v>0</v>
      </c>
      <c r="AL174" s="42">
        <f>RawData!DD172</f>
        <v>0</v>
      </c>
      <c r="AM174" s="44">
        <f>RawData!DC172</f>
        <v>0</v>
      </c>
      <c r="AN174" s="45">
        <f>RawData!BK172</f>
        <v>0</v>
      </c>
      <c r="AO174" s="44">
        <f>RawData!AY172</f>
        <v>0</v>
      </c>
      <c r="AP174" s="43">
        <f>RawData!DH172</f>
        <v>0</v>
      </c>
      <c r="AQ174" s="43">
        <f>RawData!DE172</f>
        <v>0</v>
      </c>
      <c r="AR174" s="42">
        <f>RawData!CZ172</f>
        <v>0</v>
      </c>
      <c r="AS174" s="44">
        <f>RawData!AX172</f>
        <v>0</v>
      </c>
      <c r="AT174" s="43">
        <f>RawData!CY172</f>
        <v>0</v>
      </c>
      <c r="AU174" s="44">
        <f>RawData!AW172</f>
        <v>0</v>
      </c>
      <c r="AV174" s="46">
        <f>RawData!O172</f>
        <v>0</v>
      </c>
      <c r="AW174" s="44">
        <f>RawData!AV172</f>
        <v>0</v>
      </c>
      <c r="AX174" s="44">
        <f>RawData!CW172</f>
        <v>0</v>
      </c>
      <c r="AY174" s="44">
        <f>RawData!AU172</f>
        <v>0</v>
      </c>
      <c r="AZ174" s="42">
        <f>RawData!CX172</f>
        <v>0</v>
      </c>
      <c r="BA174" s="44">
        <f>RawData!DF172</f>
        <v>0</v>
      </c>
      <c r="BB174" s="43">
        <f>RawData!DI172</f>
        <v>0</v>
      </c>
      <c r="BC174" s="44">
        <f>RawData!AT172</f>
        <v>0</v>
      </c>
      <c r="BD174" s="45">
        <f>RawData!AP172</f>
        <v>0</v>
      </c>
      <c r="BE174" s="44">
        <f>RawData!CS172</f>
        <v>0</v>
      </c>
      <c r="BF174" s="42">
        <f>RawData!CT172</f>
        <v>0</v>
      </c>
      <c r="BG174" s="41">
        <f>RawData!AS172</f>
        <v>0</v>
      </c>
      <c r="BH174" s="41">
        <f>RawData!CU172</f>
        <v>0</v>
      </c>
      <c r="BI174" s="41">
        <f>RawData!AR172</f>
        <v>0</v>
      </c>
      <c r="BJ174" s="42">
        <f>RawData!CV172</f>
        <v>0</v>
      </c>
      <c r="BK174" s="41">
        <f>RawData!AQ172</f>
        <v>0</v>
      </c>
      <c r="BL174" s="40">
        <f>RawData!AO172</f>
        <v>0</v>
      </c>
      <c r="BM174" s="40">
        <f>RawData!AN172</f>
        <v>0</v>
      </c>
      <c r="BN174" s="40">
        <f>RawData!AM172</f>
        <v>0</v>
      </c>
      <c r="BO174" s="40">
        <f>RawData!AL172</f>
        <v>0</v>
      </c>
      <c r="BP174" s="40">
        <f>RawData!AK172</f>
        <v>0</v>
      </c>
      <c r="BQ174" s="40">
        <f>RawData!AJ172</f>
        <v>0</v>
      </c>
      <c r="BR174" s="38">
        <f>RawData!AI172</f>
        <v>0</v>
      </c>
      <c r="BS174" s="38">
        <f>RawData!AH172</f>
        <v>0</v>
      </c>
      <c r="BT174" s="40">
        <f>RawData!AG172</f>
        <v>0</v>
      </c>
      <c r="BU174" s="39">
        <f>RawData!AF172</f>
        <v>0</v>
      </c>
      <c r="BV174" s="39">
        <f>RawData!AE172</f>
        <v>0</v>
      </c>
      <c r="BW174" s="38">
        <f>RawData!AD172</f>
        <v>0</v>
      </c>
      <c r="BX174" s="38">
        <f>RawData!AC172</f>
        <v>0</v>
      </c>
      <c r="BY174" s="37">
        <f>RawData!AB172</f>
        <v>0</v>
      </c>
      <c r="BZ174" s="37">
        <f>RawData!AA172</f>
        <v>0</v>
      </c>
      <c r="CA174" s="36">
        <f>RawData!Z172</f>
        <v>0</v>
      </c>
      <c r="CB174" s="36">
        <f>RawData!Y172</f>
        <v>0</v>
      </c>
      <c r="CC174" s="36">
        <f>RawData!X172</f>
        <v>0</v>
      </c>
      <c r="CD174" s="36">
        <f>RawData!W172</f>
        <v>0</v>
      </c>
      <c r="CE174" s="40">
        <f>RawData!V172</f>
        <v>0</v>
      </c>
      <c r="CF174" s="40">
        <f>RawData!U172</f>
        <v>0</v>
      </c>
      <c r="CG174" s="40">
        <f>RawData!T172</f>
        <v>0</v>
      </c>
      <c r="CH174" s="44">
        <f>RawData!S172</f>
        <v>0</v>
      </c>
      <c r="CI174" s="44">
        <f>RawData!R172</f>
        <v>0</v>
      </c>
      <c r="CJ174" s="44">
        <f>RawData!Q172</f>
        <v>0</v>
      </c>
      <c r="CK174" s="44">
        <f>RawData!P172</f>
        <v>0</v>
      </c>
      <c r="CL174" s="44">
        <f>RawData!CJ172</f>
        <v>0</v>
      </c>
      <c r="CM174" s="43">
        <f>RawData!CI172</f>
        <v>0</v>
      </c>
      <c r="CN174" s="44">
        <f>RawData!CL172</f>
        <v>0</v>
      </c>
      <c r="CO174" s="43">
        <f>RawData!CK172</f>
        <v>0</v>
      </c>
      <c r="CP174" s="44">
        <f>RawData!CM172</f>
        <v>0</v>
      </c>
      <c r="CQ174" s="47">
        <f>RawData!CO172</f>
        <v>0</v>
      </c>
      <c r="CR174" s="44">
        <f>RawData!CP172</f>
        <v>0</v>
      </c>
      <c r="CS174" s="44">
        <f>RawData!DG172</f>
        <v>0</v>
      </c>
      <c r="CT174" s="43">
        <f>RawData!DJ172</f>
        <v>0</v>
      </c>
      <c r="CU174" s="43">
        <f>RawData!CQ172</f>
        <v>0</v>
      </c>
      <c r="CV174" s="47">
        <f>RawData!CR172</f>
        <v>0</v>
      </c>
      <c r="CW174" s="65">
        <f>RawData!DK172</f>
        <v>0</v>
      </c>
      <c r="CX174" s="65">
        <f>RawData!DL172</f>
        <v>0</v>
      </c>
      <c r="CY174" s="65">
        <f>RawData!DM172</f>
        <v>0</v>
      </c>
      <c r="CZ174" s="65">
        <f>RawData!DN172</f>
        <v>0</v>
      </c>
      <c r="DA174" s="65">
        <f>RawData!DO172</f>
        <v>0</v>
      </c>
      <c r="DB174" s="65">
        <f>RawData!DP172</f>
        <v>0</v>
      </c>
      <c r="DC174" s="65">
        <f>RawData!DQ172</f>
        <v>0</v>
      </c>
      <c r="DD174" s="65">
        <f>RawData!DR172</f>
        <v>0</v>
      </c>
      <c r="DE174" s="65">
        <f>RawData!DS172</f>
        <v>0</v>
      </c>
      <c r="DF174" s="65">
        <f>RawData!DT172</f>
        <v>0</v>
      </c>
      <c r="DG174" s="66">
        <f>RawData!DU172</f>
        <v>0</v>
      </c>
      <c r="DI174" s="21">
        <f t="shared" si="2"/>
        <v>0</v>
      </c>
    </row>
    <row r="175" spans="1:113" x14ac:dyDescent="0.2">
      <c r="A175" s="59">
        <f>RawData!CN173</f>
        <v>0</v>
      </c>
      <c r="B175" s="44">
        <f>RawData!CH173</f>
        <v>0</v>
      </c>
      <c r="C175" s="44">
        <f>RawData!CG173</f>
        <v>0</v>
      </c>
      <c r="D175" s="43">
        <f>RawData!CF173</f>
        <v>0</v>
      </c>
      <c r="E175" s="44">
        <f>RawData!CE173</f>
        <v>0</v>
      </c>
      <c r="F175" s="43">
        <f>RawData!CD173</f>
        <v>0</v>
      </c>
      <c r="G175" s="44">
        <f>RawData!CC173</f>
        <v>0</v>
      </c>
      <c r="H175" s="44">
        <f>RawData!CB173</f>
        <v>0</v>
      </c>
      <c r="I175" s="44">
        <f>RawData!CA173</f>
        <v>0</v>
      </c>
      <c r="J175" s="44">
        <f>RawData!BZ173</f>
        <v>0</v>
      </c>
      <c r="K175" s="40">
        <f>RawData!BY173</f>
        <v>0</v>
      </c>
      <c r="L175" s="40">
        <f>RawData!BX173</f>
        <v>0</v>
      </c>
      <c r="M175" s="40">
        <f>RawData!BW173</f>
        <v>0</v>
      </c>
      <c r="N175" s="40">
        <f>RawData!BV173</f>
        <v>0</v>
      </c>
      <c r="O175" s="36">
        <f>RawData!BU173</f>
        <v>0</v>
      </c>
      <c r="P175" s="36">
        <f>RawData!BT173</f>
        <v>0</v>
      </c>
      <c r="Q175" s="36">
        <f>RawData!BS173</f>
        <v>0</v>
      </c>
      <c r="R175" s="36">
        <f>RawData!BR173</f>
        <v>0</v>
      </c>
      <c r="S175" s="37">
        <f>RawData!BQ173</f>
        <v>0</v>
      </c>
      <c r="T175" s="37">
        <f>RawData!BP173</f>
        <v>0</v>
      </c>
      <c r="U175" s="38">
        <f>RawData!BO173</f>
        <v>0</v>
      </c>
      <c r="V175" s="38">
        <f>RawData!BN173</f>
        <v>0</v>
      </c>
      <c r="W175" s="39">
        <f>RawData!BM173</f>
        <v>0</v>
      </c>
      <c r="X175" s="39">
        <f>RawData!BL173</f>
        <v>0</v>
      </c>
      <c r="Y175" s="38">
        <f>RawData!BJ173</f>
        <v>0</v>
      </c>
      <c r="Z175" s="38">
        <f>RawData!BI173</f>
        <v>0</v>
      </c>
      <c r="AA175" s="40">
        <f>RawData!BH173</f>
        <v>0</v>
      </c>
      <c r="AB175" s="40">
        <f>RawData!BG173</f>
        <v>0</v>
      </c>
      <c r="AC175" s="40">
        <f>RawData!BF173</f>
        <v>0</v>
      </c>
      <c r="AD175" s="40">
        <f>RawData!BE173</f>
        <v>0</v>
      </c>
      <c r="AE175" s="40">
        <f>RawData!BD173</f>
        <v>0</v>
      </c>
      <c r="AF175" s="40">
        <f>RawData!BC173</f>
        <v>0</v>
      </c>
      <c r="AG175" s="41">
        <f>RawData!BB173</f>
        <v>0</v>
      </c>
      <c r="AH175" s="42">
        <f>RawData!DB173</f>
        <v>0</v>
      </c>
      <c r="AI175" s="41">
        <f>RawData!BA173</f>
        <v>0</v>
      </c>
      <c r="AJ175" s="43">
        <f>RawData!DA173</f>
        <v>0</v>
      </c>
      <c r="AK175" s="41">
        <f>RawData!AZ173</f>
        <v>0</v>
      </c>
      <c r="AL175" s="42">
        <f>RawData!DD173</f>
        <v>0</v>
      </c>
      <c r="AM175" s="44">
        <f>RawData!DC173</f>
        <v>0</v>
      </c>
      <c r="AN175" s="45">
        <f>RawData!BK173</f>
        <v>0</v>
      </c>
      <c r="AO175" s="44">
        <f>RawData!AY173</f>
        <v>0</v>
      </c>
      <c r="AP175" s="43">
        <f>RawData!DH173</f>
        <v>0</v>
      </c>
      <c r="AQ175" s="43">
        <f>RawData!DE173</f>
        <v>0</v>
      </c>
      <c r="AR175" s="42">
        <f>RawData!CZ173</f>
        <v>0</v>
      </c>
      <c r="AS175" s="44">
        <f>RawData!AX173</f>
        <v>0</v>
      </c>
      <c r="AT175" s="43">
        <f>RawData!CY173</f>
        <v>0</v>
      </c>
      <c r="AU175" s="44">
        <f>RawData!AW173</f>
        <v>0</v>
      </c>
      <c r="AV175" s="46">
        <f>RawData!O173</f>
        <v>0</v>
      </c>
      <c r="AW175" s="44">
        <f>RawData!AV173</f>
        <v>0</v>
      </c>
      <c r="AX175" s="44">
        <f>RawData!CW173</f>
        <v>0</v>
      </c>
      <c r="AY175" s="44">
        <f>RawData!AU173</f>
        <v>0</v>
      </c>
      <c r="AZ175" s="42">
        <f>RawData!CX173</f>
        <v>0</v>
      </c>
      <c r="BA175" s="44">
        <f>RawData!DF173</f>
        <v>0</v>
      </c>
      <c r="BB175" s="43">
        <f>RawData!DI173</f>
        <v>0</v>
      </c>
      <c r="BC175" s="44">
        <f>RawData!AT173</f>
        <v>0</v>
      </c>
      <c r="BD175" s="45">
        <f>RawData!AP173</f>
        <v>0</v>
      </c>
      <c r="BE175" s="44">
        <f>RawData!CS173</f>
        <v>0</v>
      </c>
      <c r="BF175" s="42">
        <f>RawData!CT173</f>
        <v>0</v>
      </c>
      <c r="BG175" s="41">
        <f>RawData!AS173</f>
        <v>0</v>
      </c>
      <c r="BH175" s="41">
        <f>RawData!CU173</f>
        <v>0</v>
      </c>
      <c r="BI175" s="41">
        <f>RawData!AR173</f>
        <v>0</v>
      </c>
      <c r="BJ175" s="42">
        <f>RawData!CV173</f>
        <v>0</v>
      </c>
      <c r="BK175" s="41">
        <f>RawData!AQ173</f>
        <v>0</v>
      </c>
      <c r="BL175" s="40">
        <f>RawData!AO173</f>
        <v>0</v>
      </c>
      <c r="BM175" s="40">
        <f>RawData!AN173</f>
        <v>0</v>
      </c>
      <c r="BN175" s="40">
        <f>RawData!AM173</f>
        <v>0</v>
      </c>
      <c r="BO175" s="40">
        <f>RawData!AL173</f>
        <v>0</v>
      </c>
      <c r="BP175" s="40">
        <f>RawData!AK173</f>
        <v>0</v>
      </c>
      <c r="BQ175" s="40">
        <f>RawData!AJ173</f>
        <v>0</v>
      </c>
      <c r="BR175" s="38">
        <f>RawData!AI173</f>
        <v>0</v>
      </c>
      <c r="BS175" s="38">
        <f>RawData!AH173</f>
        <v>0</v>
      </c>
      <c r="BT175" s="40">
        <f>RawData!AG173</f>
        <v>0</v>
      </c>
      <c r="BU175" s="39">
        <f>RawData!AF173</f>
        <v>0</v>
      </c>
      <c r="BV175" s="39">
        <f>RawData!AE173</f>
        <v>0</v>
      </c>
      <c r="BW175" s="38">
        <f>RawData!AD173</f>
        <v>0</v>
      </c>
      <c r="BX175" s="38">
        <f>RawData!AC173</f>
        <v>0</v>
      </c>
      <c r="BY175" s="37">
        <f>RawData!AB173</f>
        <v>0</v>
      </c>
      <c r="BZ175" s="37">
        <f>RawData!AA173</f>
        <v>0</v>
      </c>
      <c r="CA175" s="36">
        <f>RawData!Z173</f>
        <v>0</v>
      </c>
      <c r="CB175" s="36">
        <f>RawData!Y173</f>
        <v>0</v>
      </c>
      <c r="CC175" s="36">
        <f>RawData!X173</f>
        <v>0</v>
      </c>
      <c r="CD175" s="36">
        <f>RawData!W173</f>
        <v>0</v>
      </c>
      <c r="CE175" s="40">
        <f>RawData!V173</f>
        <v>0</v>
      </c>
      <c r="CF175" s="40">
        <f>RawData!U173</f>
        <v>0</v>
      </c>
      <c r="CG175" s="40">
        <f>RawData!T173</f>
        <v>0</v>
      </c>
      <c r="CH175" s="44">
        <f>RawData!S173</f>
        <v>0</v>
      </c>
      <c r="CI175" s="44">
        <f>RawData!R173</f>
        <v>0</v>
      </c>
      <c r="CJ175" s="44">
        <f>RawData!Q173</f>
        <v>0</v>
      </c>
      <c r="CK175" s="44">
        <f>RawData!P173</f>
        <v>0</v>
      </c>
      <c r="CL175" s="44">
        <f>RawData!CJ173</f>
        <v>0</v>
      </c>
      <c r="CM175" s="43">
        <f>RawData!CI173</f>
        <v>0</v>
      </c>
      <c r="CN175" s="44">
        <f>RawData!CL173</f>
        <v>0</v>
      </c>
      <c r="CO175" s="43">
        <f>RawData!CK173</f>
        <v>0</v>
      </c>
      <c r="CP175" s="44">
        <f>RawData!CM173</f>
        <v>0</v>
      </c>
      <c r="CQ175" s="47">
        <f>RawData!CO173</f>
        <v>0</v>
      </c>
      <c r="CR175" s="44">
        <f>RawData!CP173</f>
        <v>0</v>
      </c>
      <c r="CS175" s="44">
        <f>RawData!DG173</f>
        <v>0</v>
      </c>
      <c r="CT175" s="43">
        <f>RawData!DJ173</f>
        <v>0</v>
      </c>
      <c r="CU175" s="43">
        <f>RawData!CQ173</f>
        <v>0</v>
      </c>
      <c r="CV175" s="47">
        <f>RawData!CR173</f>
        <v>0</v>
      </c>
      <c r="CW175" s="65">
        <f>RawData!DK173</f>
        <v>0</v>
      </c>
      <c r="CX175" s="65">
        <f>RawData!DL173</f>
        <v>0</v>
      </c>
      <c r="CY175" s="65">
        <f>RawData!DM173</f>
        <v>0</v>
      </c>
      <c r="CZ175" s="65">
        <f>RawData!DN173</f>
        <v>0</v>
      </c>
      <c r="DA175" s="65">
        <f>RawData!DO173</f>
        <v>0</v>
      </c>
      <c r="DB175" s="65">
        <f>RawData!DP173</f>
        <v>0</v>
      </c>
      <c r="DC175" s="65">
        <f>RawData!DQ173</f>
        <v>0</v>
      </c>
      <c r="DD175" s="65">
        <f>RawData!DR173</f>
        <v>0</v>
      </c>
      <c r="DE175" s="65">
        <f>RawData!DS173</f>
        <v>0</v>
      </c>
      <c r="DF175" s="65">
        <f>RawData!DT173</f>
        <v>0</v>
      </c>
      <c r="DG175" s="66">
        <f>RawData!DU173</f>
        <v>0</v>
      </c>
      <c r="DI175" s="21">
        <f t="shared" si="2"/>
        <v>0</v>
      </c>
    </row>
    <row r="176" spans="1:113" x14ac:dyDescent="0.2">
      <c r="A176" s="59">
        <f>RawData!CN174</f>
        <v>0</v>
      </c>
      <c r="B176" s="44">
        <f>RawData!CH174</f>
        <v>0</v>
      </c>
      <c r="C176" s="44">
        <f>RawData!CG174</f>
        <v>0</v>
      </c>
      <c r="D176" s="43">
        <f>RawData!CF174</f>
        <v>0</v>
      </c>
      <c r="E176" s="44">
        <f>RawData!CE174</f>
        <v>0</v>
      </c>
      <c r="F176" s="43">
        <f>RawData!CD174</f>
        <v>0</v>
      </c>
      <c r="G176" s="44">
        <f>RawData!CC174</f>
        <v>0</v>
      </c>
      <c r="H176" s="44">
        <f>RawData!CB174</f>
        <v>0</v>
      </c>
      <c r="I176" s="44">
        <f>RawData!CA174</f>
        <v>0</v>
      </c>
      <c r="J176" s="44">
        <f>RawData!BZ174</f>
        <v>0</v>
      </c>
      <c r="K176" s="40">
        <f>RawData!BY174</f>
        <v>0</v>
      </c>
      <c r="L176" s="40">
        <f>RawData!BX174</f>
        <v>0</v>
      </c>
      <c r="M176" s="40">
        <f>RawData!BW174</f>
        <v>0</v>
      </c>
      <c r="N176" s="40">
        <f>RawData!BV174</f>
        <v>0</v>
      </c>
      <c r="O176" s="36">
        <f>RawData!BU174</f>
        <v>0</v>
      </c>
      <c r="P176" s="36">
        <f>RawData!BT174</f>
        <v>0</v>
      </c>
      <c r="Q176" s="36">
        <f>RawData!BS174</f>
        <v>0</v>
      </c>
      <c r="R176" s="36">
        <f>RawData!BR174</f>
        <v>0</v>
      </c>
      <c r="S176" s="37">
        <f>RawData!BQ174</f>
        <v>0</v>
      </c>
      <c r="T176" s="37">
        <f>RawData!BP174</f>
        <v>0</v>
      </c>
      <c r="U176" s="38">
        <f>RawData!BO174</f>
        <v>0</v>
      </c>
      <c r="V176" s="38">
        <f>RawData!BN174</f>
        <v>0</v>
      </c>
      <c r="W176" s="39">
        <f>RawData!BM174</f>
        <v>0</v>
      </c>
      <c r="X176" s="39">
        <f>RawData!BL174</f>
        <v>0</v>
      </c>
      <c r="Y176" s="38">
        <f>RawData!BJ174</f>
        <v>0</v>
      </c>
      <c r="Z176" s="38">
        <f>RawData!BI174</f>
        <v>0</v>
      </c>
      <c r="AA176" s="40">
        <f>RawData!BH174</f>
        <v>0</v>
      </c>
      <c r="AB176" s="40">
        <f>RawData!BG174</f>
        <v>0</v>
      </c>
      <c r="AC176" s="40">
        <f>RawData!BF174</f>
        <v>0</v>
      </c>
      <c r="AD176" s="40">
        <f>RawData!BE174</f>
        <v>0</v>
      </c>
      <c r="AE176" s="40">
        <f>RawData!BD174</f>
        <v>0</v>
      </c>
      <c r="AF176" s="40">
        <f>RawData!BC174</f>
        <v>0</v>
      </c>
      <c r="AG176" s="41">
        <f>RawData!BB174</f>
        <v>0</v>
      </c>
      <c r="AH176" s="42">
        <f>RawData!DB174</f>
        <v>0</v>
      </c>
      <c r="AI176" s="41">
        <f>RawData!BA174</f>
        <v>0</v>
      </c>
      <c r="AJ176" s="43">
        <f>RawData!DA174</f>
        <v>0</v>
      </c>
      <c r="AK176" s="41">
        <f>RawData!AZ174</f>
        <v>0</v>
      </c>
      <c r="AL176" s="42">
        <f>RawData!DD174</f>
        <v>0</v>
      </c>
      <c r="AM176" s="44">
        <f>RawData!DC174</f>
        <v>0</v>
      </c>
      <c r="AN176" s="45">
        <f>RawData!BK174</f>
        <v>0</v>
      </c>
      <c r="AO176" s="44">
        <f>RawData!AY174</f>
        <v>0</v>
      </c>
      <c r="AP176" s="43">
        <f>RawData!DH174</f>
        <v>0</v>
      </c>
      <c r="AQ176" s="43">
        <f>RawData!DE174</f>
        <v>0</v>
      </c>
      <c r="AR176" s="42">
        <f>RawData!CZ174</f>
        <v>0</v>
      </c>
      <c r="AS176" s="44">
        <f>RawData!AX174</f>
        <v>0</v>
      </c>
      <c r="AT176" s="43">
        <f>RawData!CY174</f>
        <v>0</v>
      </c>
      <c r="AU176" s="44">
        <f>RawData!AW174</f>
        <v>0</v>
      </c>
      <c r="AV176" s="46">
        <f>RawData!O174</f>
        <v>0</v>
      </c>
      <c r="AW176" s="44">
        <f>RawData!AV174</f>
        <v>0</v>
      </c>
      <c r="AX176" s="44">
        <f>RawData!CW174</f>
        <v>0</v>
      </c>
      <c r="AY176" s="44">
        <f>RawData!AU174</f>
        <v>0</v>
      </c>
      <c r="AZ176" s="42">
        <f>RawData!CX174</f>
        <v>0</v>
      </c>
      <c r="BA176" s="44">
        <f>RawData!DF174</f>
        <v>0</v>
      </c>
      <c r="BB176" s="43">
        <f>RawData!DI174</f>
        <v>0</v>
      </c>
      <c r="BC176" s="44">
        <f>RawData!AT174</f>
        <v>0</v>
      </c>
      <c r="BD176" s="45">
        <f>RawData!AP174</f>
        <v>0</v>
      </c>
      <c r="BE176" s="44">
        <f>RawData!CS174</f>
        <v>0</v>
      </c>
      <c r="BF176" s="42">
        <f>RawData!CT174</f>
        <v>0</v>
      </c>
      <c r="BG176" s="41">
        <f>RawData!AS174</f>
        <v>0</v>
      </c>
      <c r="BH176" s="41">
        <f>RawData!CU174</f>
        <v>0</v>
      </c>
      <c r="BI176" s="41">
        <f>RawData!AR174</f>
        <v>0</v>
      </c>
      <c r="BJ176" s="42">
        <f>RawData!CV174</f>
        <v>0</v>
      </c>
      <c r="BK176" s="41">
        <f>RawData!AQ174</f>
        <v>0</v>
      </c>
      <c r="BL176" s="40">
        <f>RawData!AO174</f>
        <v>0</v>
      </c>
      <c r="BM176" s="40">
        <f>RawData!AN174</f>
        <v>0</v>
      </c>
      <c r="BN176" s="40">
        <f>RawData!AM174</f>
        <v>0</v>
      </c>
      <c r="BO176" s="40">
        <f>RawData!AL174</f>
        <v>0</v>
      </c>
      <c r="BP176" s="40">
        <f>RawData!AK174</f>
        <v>0</v>
      </c>
      <c r="BQ176" s="40">
        <f>RawData!AJ174</f>
        <v>0</v>
      </c>
      <c r="BR176" s="38">
        <f>RawData!AI174</f>
        <v>0</v>
      </c>
      <c r="BS176" s="38">
        <f>RawData!AH174</f>
        <v>0</v>
      </c>
      <c r="BT176" s="40">
        <f>RawData!AG174</f>
        <v>0</v>
      </c>
      <c r="BU176" s="39">
        <f>RawData!AF174</f>
        <v>0</v>
      </c>
      <c r="BV176" s="39">
        <f>RawData!AE174</f>
        <v>0</v>
      </c>
      <c r="BW176" s="38">
        <f>RawData!AD174</f>
        <v>0</v>
      </c>
      <c r="BX176" s="38">
        <f>RawData!AC174</f>
        <v>0</v>
      </c>
      <c r="BY176" s="37">
        <f>RawData!AB174</f>
        <v>0</v>
      </c>
      <c r="BZ176" s="37">
        <f>RawData!AA174</f>
        <v>0</v>
      </c>
      <c r="CA176" s="36">
        <f>RawData!Z174</f>
        <v>0</v>
      </c>
      <c r="CB176" s="36">
        <f>RawData!Y174</f>
        <v>0</v>
      </c>
      <c r="CC176" s="36">
        <f>RawData!X174</f>
        <v>0</v>
      </c>
      <c r="CD176" s="36">
        <f>RawData!W174</f>
        <v>0</v>
      </c>
      <c r="CE176" s="40">
        <f>RawData!V174</f>
        <v>0</v>
      </c>
      <c r="CF176" s="40">
        <f>RawData!U174</f>
        <v>0</v>
      </c>
      <c r="CG176" s="40">
        <f>RawData!T174</f>
        <v>0</v>
      </c>
      <c r="CH176" s="44">
        <f>RawData!S174</f>
        <v>0</v>
      </c>
      <c r="CI176" s="44">
        <f>RawData!R174</f>
        <v>0</v>
      </c>
      <c r="CJ176" s="44">
        <f>RawData!Q174</f>
        <v>0</v>
      </c>
      <c r="CK176" s="44">
        <f>RawData!P174</f>
        <v>0</v>
      </c>
      <c r="CL176" s="44">
        <f>RawData!CJ174</f>
        <v>0</v>
      </c>
      <c r="CM176" s="43">
        <f>RawData!CI174</f>
        <v>0</v>
      </c>
      <c r="CN176" s="44">
        <f>RawData!CL174</f>
        <v>0</v>
      </c>
      <c r="CO176" s="43">
        <f>RawData!CK174</f>
        <v>0</v>
      </c>
      <c r="CP176" s="44">
        <f>RawData!CM174</f>
        <v>0</v>
      </c>
      <c r="CQ176" s="47">
        <f>RawData!CO174</f>
        <v>0</v>
      </c>
      <c r="CR176" s="44">
        <f>RawData!CP174</f>
        <v>0</v>
      </c>
      <c r="CS176" s="44">
        <f>RawData!DG174</f>
        <v>0</v>
      </c>
      <c r="CT176" s="43">
        <f>RawData!DJ174</f>
        <v>0</v>
      </c>
      <c r="CU176" s="43">
        <f>RawData!CQ174</f>
        <v>0</v>
      </c>
      <c r="CV176" s="47">
        <f>RawData!CR174</f>
        <v>0</v>
      </c>
      <c r="CW176" s="65">
        <f>RawData!DK174</f>
        <v>0</v>
      </c>
      <c r="CX176" s="65">
        <f>RawData!DL174</f>
        <v>0</v>
      </c>
      <c r="CY176" s="65">
        <f>RawData!DM174</f>
        <v>0</v>
      </c>
      <c r="CZ176" s="65">
        <f>RawData!DN174</f>
        <v>0</v>
      </c>
      <c r="DA176" s="65">
        <f>RawData!DO174</f>
        <v>0</v>
      </c>
      <c r="DB176" s="65">
        <f>RawData!DP174</f>
        <v>0</v>
      </c>
      <c r="DC176" s="65">
        <f>RawData!DQ174</f>
        <v>0</v>
      </c>
      <c r="DD176" s="65">
        <f>RawData!DR174</f>
        <v>0</v>
      </c>
      <c r="DE176" s="65">
        <f>RawData!DS174</f>
        <v>0</v>
      </c>
      <c r="DF176" s="65">
        <f>RawData!DT174</f>
        <v>0</v>
      </c>
      <c r="DG176" s="66">
        <f>RawData!DU174</f>
        <v>0</v>
      </c>
      <c r="DI176" s="21">
        <f t="shared" si="2"/>
        <v>0</v>
      </c>
    </row>
    <row r="177" spans="1:113" x14ac:dyDescent="0.2">
      <c r="A177" s="59">
        <f>RawData!CN175</f>
        <v>0</v>
      </c>
      <c r="B177" s="44">
        <f>RawData!CH175</f>
        <v>0</v>
      </c>
      <c r="C177" s="44">
        <f>RawData!CG175</f>
        <v>0</v>
      </c>
      <c r="D177" s="43">
        <f>RawData!CF175</f>
        <v>0</v>
      </c>
      <c r="E177" s="44">
        <f>RawData!CE175</f>
        <v>0</v>
      </c>
      <c r="F177" s="43">
        <f>RawData!CD175</f>
        <v>0</v>
      </c>
      <c r="G177" s="44">
        <f>RawData!CC175</f>
        <v>0</v>
      </c>
      <c r="H177" s="44">
        <f>RawData!CB175</f>
        <v>0</v>
      </c>
      <c r="I177" s="44">
        <f>RawData!CA175</f>
        <v>0</v>
      </c>
      <c r="J177" s="44">
        <f>RawData!BZ175</f>
        <v>0</v>
      </c>
      <c r="K177" s="40">
        <f>RawData!BY175</f>
        <v>0</v>
      </c>
      <c r="L177" s="40">
        <f>RawData!BX175</f>
        <v>0</v>
      </c>
      <c r="M177" s="40">
        <f>RawData!BW175</f>
        <v>0</v>
      </c>
      <c r="N177" s="40">
        <f>RawData!BV175</f>
        <v>0</v>
      </c>
      <c r="O177" s="36">
        <f>RawData!BU175</f>
        <v>0</v>
      </c>
      <c r="P177" s="36">
        <f>RawData!BT175</f>
        <v>0</v>
      </c>
      <c r="Q177" s="36">
        <f>RawData!BS175</f>
        <v>0</v>
      </c>
      <c r="R177" s="36">
        <f>RawData!BR175</f>
        <v>0</v>
      </c>
      <c r="S177" s="37">
        <f>RawData!BQ175</f>
        <v>0</v>
      </c>
      <c r="T177" s="37">
        <f>RawData!BP175</f>
        <v>0</v>
      </c>
      <c r="U177" s="38">
        <f>RawData!BO175</f>
        <v>0</v>
      </c>
      <c r="V177" s="38">
        <f>RawData!BN175</f>
        <v>0</v>
      </c>
      <c r="W177" s="39">
        <f>RawData!BM175</f>
        <v>0</v>
      </c>
      <c r="X177" s="39">
        <f>RawData!BL175</f>
        <v>0</v>
      </c>
      <c r="Y177" s="38">
        <f>RawData!BJ175</f>
        <v>0</v>
      </c>
      <c r="Z177" s="38">
        <f>RawData!BI175</f>
        <v>0</v>
      </c>
      <c r="AA177" s="40">
        <f>RawData!BH175</f>
        <v>0</v>
      </c>
      <c r="AB177" s="40">
        <f>RawData!BG175</f>
        <v>0</v>
      </c>
      <c r="AC177" s="40">
        <f>RawData!BF175</f>
        <v>0</v>
      </c>
      <c r="AD177" s="40">
        <f>RawData!BE175</f>
        <v>0</v>
      </c>
      <c r="AE177" s="40">
        <f>RawData!BD175</f>
        <v>0</v>
      </c>
      <c r="AF177" s="40">
        <f>RawData!BC175</f>
        <v>0</v>
      </c>
      <c r="AG177" s="41">
        <f>RawData!BB175</f>
        <v>0</v>
      </c>
      <c r="AH177" s="42">
        <f>RawData!DB175</f>
        <v>0</v>
      </c>
      <c r="AI177" s="41">
        <f>RawData!BA175</f>
        <v>0</v>
      </c>
      <c r="AJ177" s="43">
        <f>RawData!DA175</f>
        <v>0</v>
      </c>
      <c r="AK177" s="41">
        <f>RawData!AZ175</f>
        <v>0</v>
      </c>
      <c r="AL177" s="42">
        <f>RawData!DD175</f>
        <v>0</v>
      </c>
      <c r="AM177" s="44">
        <f>RawData!DC175</f>
        <v>0</v>
      </c>
      <c r="AN177" s="45">
        <f>RawData!BK175</f>
        <v>0</v>
      </c>
      <c r="AO177" s="44">
        <f>RawData!AY175</f>
        <v>0</v>
      </c>
      <c r="AP177" s="43">
        <f>RawData!DH175</f>
        <v>0</v>
      </c>
      <c r="AQ177" s="43">
        <f>RawData!DE175</f>
        <v>0</v>
      </c>
      <c r="AR177" s="42">
        <f>RawData!CZ175</f>
        <v>0</v>
      </c>
      <c r="AS177" s="44">
        <f>RawData!AX175</f>
        <v>0</v>
      </c>
      <c r="AT177" s="43">
        <f>RawData!CY175</f>
        <v>0</v>
      </c>
      <c r="AU177" s="44">
        <f>RawData!AW175</f>
        <v>0</v>
      </c>
      <c r="AV177" s="46">
        <f>RawData!O175</f>
        <v>0</v>
      </c>
      <c r="AW177" s="44">
        <f>RawData!AV175</f>
        <v>0</v>
      </c>
      <c r="AX177" s="44">
        <f>RawData!CW175</f>
        <v>0</v>
      </c>
      <c r="AY177" s="44">
        <f>RawData!AU175</f>
        <v>0</v>
      </c>
      <c r="AZ177" s="42">
        <f>RawData!CX175</f>
        <v>0</v>
      </c>
      <c r="BA177" s="44">
        <f>RawData!DF175</f>
        <v>0</v>
      </c>
      <c r="BB177" s="43">
        <f>RawData!DI175</f>
        <v>0</v>
      </c>
      <c r="BC177" s="44">
        <f>RawData!AT175</f>
        <v>0</v>
      </c>
      <c r="BD177" s="45">
        <f>RawData!AP175</f>
        <v>0</v>
      </c>
      <c r="BE177" s="44">
        <f>RawData!CS175</f>
        <v>0</v>
      </c>
      <c r="BF177" s="42">
        <f>RawData!CT175</f>
        <v>0</v>
      </c>
      <c r="BG177" s="41">
        <f>RawData!AS175</f>
        <v>0</v>
      </c>
      <c r="BH177" s="41">
        <f>RawData!CU175</f>
        <v>0</v>
      </c>
      <c r="BI177" s="41">
        <f>RawData!AR175</f>
        <v>0</v>
      </c>
      <c r="BJ177" s="42">
        <f>RawData!CV175</f>
        <v>0</v>
      </c>
      <c r="BK177" s="41">
        <f>RawData!AQ175</f>
        <v>0</v>
      </c>
      <c r="BL177" s="40">
        <f>RawData!AO175</f>
        <v>0</v>
      </c>
      <c r="BM177" s="40">
        <f>RawData!AN175</f>
        <v>0</v>
      </c>
      <c r="BN177" s="40">
        <f>RawData!AM175</f>
        <v>0</v>
      </c>
      <c r="BO177" s="40">
        <f>RawData!AL175</f>
        <v>0</v>
      </c>
      <c r="BP177" s="40">
        <f>RawData!AK175</f>
        <v>0</v>
      </c>
      <c r="BQ177" s="40">
        <f>RawData!AJ175</f>
        <v>0</v>
      </c>
      <c r="BR177" s="38">
        <f>RawData!AI175</f>
        <v>0</v>
      </c>
      <c r="BS177" s="38">
        <f>RawData!AH175</f>
        <v>0</v>
      </c>
      <c r="BT177" s="40">
        <f>RawData!AG175</f>
        <v>0</v>
      </c>
      <c r="BU177" s="39">
        <f>RawData!AF175</f>
        <v>0</v>
      </c>
      <c r="BV177" s="39">
        <f>RawData!AE175</f>
        <v>0</v>
      </c>
      <c r="BW177" s="38">
        <f>RawData!AD175</f>
        <v>0</v>
      </c>
      <c r="BX177" s="38">
        <f>RawData!AC175</f>
        <v>0</v>
      </c>
      <c r="BY177" s="37">
        <f>RawData!AB175</f>
        <v>0</v>
      </c>
      <c r="BZ177" s="37">
        <f>RawData!AA175</f>
        <v>0</v>
      </c>
      <c r="CA177" s="36">
        <f>RawData!Z175</f>
        <v>0</v>
      </c>
      <c r="CB177" s="36">
        <f>RawData!Y175</f>
        <v>0</v>
      </c>
      <c r="CC177" s="36">
        <f>RawData!X175</f>
        <v>0</v>
      </c>
      <c r="CD177" s="36">
        <f>RawData!W175</f>
        <v>0</v>
      </c>
      <c r="CE177" s="40">
        <f>RawData!V175</f>
        <v>0</v>
      </c>
      <c r="CF177" s="40">
        <f>RawData!U175</f>
        <v>0</v>
      </c>
      <c r="CG177" s="40">
        <f>RawData!T175</f>
        <v>0</v>
      </c>
      <c r="CH177" s="44">
        <f>RawData!S175</f>
        <v>0</v>
      </c>
      <c r="CI177" s="44">
        <f>RawData!R175</f>
        <v>0</v>
      </c>
      <c r="CJ177" s="44">
        <f>RawData!Q175</f>
        <v>0</v>
      </c>
      <c r="CK177" s="44">
        <f>RawData!P175</f>
        <v>0</v>
      </c>
      <c r="CL177" s="44">
        <f>RawData!CJ175</f>
        <v>0</v>
      </c>
      <c r="CM177" s="43">
        <f>RawData!CI175</f>
        <v>0</v>
      </c>
      <c r="CN177" s="44">
        <f>RawData!CL175</f>
        <v>0</v>
      </c>
      <c r="CO177" s="43">
        <f>RawData!CK175</f>
        <v>0</v>
      </c>
      <c r="CP177" s="44">
        <f>RawData!CM175</f>
        <v>0</v>
      </c>
      <c r="CQ177" s="47">
        <f>RawData!CO175</f>
        <v>0</v>
      </c>
      <c r="CR177" s="44">
        <f>RawData!CP175</f>
        <v>0</v>
      </c>
      <c r="CS177" s="44">
        <f>RawData!DG175</f>
        <v>0</v>
      </c>
      <c r="CT177" s="43">
        <f>RawData!DJ175</f>
        <v>0</v>
      </c>
      <c r="CU177" s="43">
        <f>RawData!CQ175</f>
        <v>0</v>
      </c>
      <c r="CV177" s="47">
        <f>RawData!CR175</f>
        <v>0</v>
      </c>
      <c r="CW177" s="65">
        <f>RawData!DK175</f>
        <v>0</v>
      </c>
      <c r="CX177" s="65">
        <f>RawData!DL175</f>
        <v>0</v>
      </c>
      <c r="CY177" s="65">
        <f>RawData!DM175</f>
        <v>0</v>
      </c>
      <c r="CZ177" s="65">
        <f>RawData!DN175</f>
        <v>0</v>
      </c>
      <c r="DA177" s="65">
        <f>RawData!DO175</f>
        <v>0</v>
      </c>
      <c r="DB177" s="65">
        <f>RawData!DP175</f>
        <v>0</v>
      </c>
      <c r="DC177" s="65">
        <f>RawData!DQ175</f>
        <v>0</v>
      </c>
      <c r="DD177" s="65">
        <f>RawData!DR175</f>
        <v>0</v>
      </c>
      <c r="DE177" s="65">
        <f>RawData!DS175</f>
        <v>0</v>
      </c>
      <c r="DF177" s="65">
        <f>RawData!DT175</f>
        <v>0</v>
      </c>
      <c r="DG177" s="66">
        <f>RawData!DU175</f>
        <v>0</v>
      </c>
      <c r="DI177" s="21">
        <f t="shared" si="2"/>
        <v>0</v>
      </c>
    </row>
    <row r="178" spans="1:113" x14ac:dyDescent="0.2">
      <c r="A178" s="59">
        <f>RawData!CN176</f>
        <v>0</v>
      </c>
      <c r="B178" s="44">
        <f>RawData!CH176</f>
        <v>0</v>
      </c>
      <c r="C178" s="44">
        <f>RawData!CG176</f>
        <v>0</v>
      </c>
      <c r="D178" s="43">
        <f>RawData!CF176</f>
        <v>0</v>
      </c>
      <c r="E178" s="44">
        <f>RawData!CE176</f>
        <v>0</v>
      </c>
      <c r="F178" s="43">
        <f>RawData!CD176</f>
        <v>0</v>
      </c>
      <c r="G178" s="44">
        <f>RawData!CC176</f>
        <v>0</v>
      </c>
      <c r="H178" s="44">
        <f>RawData!CB176</f>
        <v>0</v>
      </c>
      <c r="I178" s="44">
        <f>RawData!CA176</f>
        <v>0</v>
      </c>
      <c r="J178" s="44">
        <f>RawData!BZ176</f>
        <v>0</v>
      </c>
      <c r="K178" s="40">
        <f>RawData!BY176</f>
        <v>0</v>
      </c>
      <c r="L178" s="40">
        <f>RawData!BX176</f>
        <v>0</v>
      </c>
      <c r="M178" s="40">
        <f>RawData!BW176</f>
        <v>0</v>
      </c>
      <c r="N178" s="40">
        <f>RawData!BV176</f>
        <v>0</v>
      </c>
      <c r="O178" s="36">
        <f>RawData!BU176</f>
        <v>0</v>
      </c>
      <c r="P178" s="36">
        <f>RawData!BT176</f>
        <v>0</v>
      </c>
      <c r="Q178" s="36">
        <f>RawData!BS176</f>
        <v>0</v>
      </c>
      <c r="R178" s="36">
        <f>RawData!BR176</f>
        <v>0</v>
      </c>
      <c r="S178" s="37">
        <f>RawData!BQ176</f>
        <v>0</v>
      </c>
      <c r="T178" s="37">
        <f>RawData!BP176</f>
        <v>0</v>
      </c>
      <c r="U178" s="38">
        <f>RawData!BO176</f>
        <v>0</v>
      </c>
      <c r="V178" s="38">
        <f>RawData!BN176</f>
        <v>0</v>
      </c>
      <c r="W178" s="39">
        <f>RawData!BM176</f>
        <v>0</v>
      </c>
      <c r="X178" s="39">
        <f>RawData!BL176</f>
        <v>0</v>
      </c>
      <c r="Y178" s="38">
        <f>RawData!BJ176</f>
        <v>0</v>
      </c>
      <c r="Z178" s="38">
        <f>RawData!BI176</f>
        <v>0</v>
      </c>
      <c r="AA178" s="40">
        <f>RawData!BH176</f>
        <v>0</v>
      </c>
      <c r="AB178" s="40">
        <f>RawData!BG176</f>
        <v>0</v>
      </c>
      <c r="AC178" s="40">
        <f>RawData!BF176</f>
        <v>0</v>
      </c>
      <c r="AD178" s="40">
        <f>RawData!BE176</f>
        <v>0</v>
      </c>
      <c r="AE178" s="40">
        <f>RawData!BD176</f>
        <v>0</v>
      </c>
      <c r="AF178" s="40">
        <f>RawData!BC176</f>
        <v>0</v>
      </c>
      <c r="AG178" s="41">
        <f>RawData!BB176</f>
        <v>0</v>
      </c>
      <c r="AH178" s="42">
        <f>RawData!DB176</f>
        <v>0</v>
      </c>
      <c r="AI178" s="41">
        <f>RawData!BA176</f>
        <v>0</v>
      </c>
      <c r="AJ178" s="43">
        <f>RawData!DA176</f>
        <v>0</v>
      </c>
      <c r="AK178" s="41">
        <f>RawData!AZ176</f>
        <v>0</v>
      </c>
      <c r="AL178" s="42">
        <f>RawData!DD176</f>
        <v>0</v>
      </c>
      <c r="AM178" s="44">
        <f>RawData!DC176</f>
        <v>0</v>
      </c>
      <c r="AN178" s="45">
        <f>RawData!BK176</f>
        <v>0</v>
      </c>
      <c r="AO178" s="44">
        <f>RawData!AY176</f>
        <v>0</v>
      </c>
      <c r="AP178" s="43">
        <f>RawData!DH176</f>
        <v>0</v>
      </c>
      <c r="AQ178" s="43">
        <f>RawData!DE176</f>
        <v>0</v>
      </c>
      <c r="AR178" s="42">
        <f>RawData!CZ176</f>
        <v>0</v>
      </c>
      <c r="AS178" s="44">
        <f>RawData!AX176</f>
        <v>0</v>
      </c>
      <c r="AT178" s="43">
        <f>RawData!CY176</f>
        <v>0</v>
      </c>
      <c r="AU178" s="44">
        <f>RawData!AW176</f>
        <v>0</v>
      </c>
      <c r="AV178" s="46">
        <f>RawData!O176</f>
        <v>0</v>
      </c>
      <c r="AW178" s="44">
        <f>RawData!AV176</f>
        <v>0</v>
      </c>
      <c r="AX178" s="44">
        <f>RawData!CW176</f>
        <v>0</v>
      </c>
      <c r="AY178" s="44">
        <f>RawData!AU176</f>
        <v>0</v>
      </c>
      <c r="AZ178" s="42">
        <f>RawData!CX176</f>
        <v>0</v>
      </c>
      <c r="BA178" s="44">
        <f>RawData!DF176</f>
        <v>0</v>
      </c>
      <c r="BB178" s="43">
        <f>RawData!DI176</f>
        <v>0</v>
      </c>
      <c r="BC178" s="44">
        <f>RawData!AT176</f>
        <v>0</v>
      </c>
      <c r="BD178" s="45">
        <f>RawData!AP176</f>
        <v>0</v>
      </c>
      <c r="BE178" s="44">
        <f>RawData!CS176</f>
        <v>0</v>
      </c>
      <c r="BF178" s="42">
        <f>RawData!CT176</f>
        <v>0</v>
      </c>
      <c r="BG178" s="41">
        <f>RawData!AS176</f>
        <v>0</v>
      </c>
      <c r="BH178" s="41">
        <f>RawData!CU176</f>
        <v>0</v>
      </c>
      <c r="BI178" s="41">
        <f>RawData!AR176</f>
        <v>0</v>
      </c>
      <c r="BJ178" s="42">
        <f>RawData!CV176</f>
        <v>0</v>
      </c>
      <c r="BK178" s="41">
        <f>RawData!AQ176</f>
        <v>0</v>
      </c>
      <c r="BL178" s="40">
        <f>RawData!AO176</f>
        <v>0</v>
      </c>
      <c r="BM178" s="40">
        <f>RawData!AN176</f>
        <v>0</v>
      </c>
      <c r="BN178" s="40">
        <f>RawData!AM176</f>
        <v>0</v>
      </c>
      <c r="BO178" s="40">
        <f>RawData!AL176</f>
        <v>0</v>
      </c>
      <c r="BP178" s="40">
        <f>RawData!AK176</f>
        <v>0</v>
      </c>
      <c r="BQ178" s="40">
        <f>RawData!AJ176</f>
        <v>0</v>
      </c>
      <c r="BR178" s="38">
        <f>RawData!AI176</f>
        <v>0</v>
      </c>
      <c r="BS178" s="38">
        <f>RawData!AH176</f>
        <v>0</v>
      </c>
      <c r="BT178" s="40">
        <f>RawData!AG176</f>
        <v>0</v>
      </c>
      <c r="BU178" s="39">
        <f>RawData!AF176</f>
        <v>0</v>
      </c>
      <c r="BV178" s="39">
        <f>RawData!AE176</f>
        <v>0</v>
      </c>
      <c r="BW178" s="38">
        <f>RawData!AD176</f>
        <v>0</v>
      </c>
      <c r="BX178" s="38">
        <f>RawData!AC176</f>
        <v>0</v>
      </c>
      <c r="BY178" s="37">
        <f>RawData!AB176</f>
        <v>0</v>
      </c>
      <c r="BZ178" s="37">
        <f>RawData!AA176</f>
        <v>0</v>
      </c>
      <c r="CA178" s="36">
        <f>RawData!Z176</f>
        <v>0</v>
      </c>
      <c r="CB178" s="36">
        <f>RawData!Y176</f>
        <v>0</v>
      </c>
      <c r="CC178" s="36">
        <f>RawData!X176</f>
        <v>0</v>
      </c>
      <c r="CD178" s="36">
        <f>RawData!W176</f>
        <v>0</v>
      </c>
      <c r="CE178" s="40">
        <f>RawData!V176</f>
        <v>0</v>
      </c>
      <c r="CF178" s="40">
        <f>RawData!U176</f>
        <v>0</v>
      </c>
      <c r="CG178" s="40">
        <f>RawData!T176</f>
        <v>0</v>
      </c>
      <c r="CH178" s="44">
        <f>RawData!S176</f>
        <v>0</v>
      </c>
      <c r="CI178" s="44">
        <f>RawData!R176</f>
        <v>0</v>
      </c>
      <c r="CJ178" s="44">
        <f>RawData!Q176</f>
        <v>0</v>
      </c>
      <c r="CK178" s="44">
        <f>RawData!P176</f>
        <v>0</v>
      </c>
      <c r="CL178" s="44">
        <f>RawData!CJ176</f>
        <v>0</v>
      </c>
      <c r="CM178" s="43">
        <f>RawData!CI176</f>
        <v>0</v>
      </c>
      <c r="CN178" s="44">
        <f>RawData!CL176</f>
        <v>0</v>
      </c>
      <c r="CO178" s="43">
        <f>RawData!CK176</f>
        <v>0</v>
      </c>
      <c r="CP178" s="44">
        <f>RawData!CM176</f>
        <v>0</v>
      </c>
      <c r="CQ178" s="47">
        <f>RawData!CO176</f>
        <v>0</v>
      </c>
      <c r="CR178" s="44">
        <f>RawData!CP176</f>
        <v>0</v>
      </c>
      <c r="CS178" s="44">
        <f>RawData!DG176</f>
        <v>0</v>
      </c>
      <c r="CT178" s="43">
        <f>RawData!DJ176</f>
        <v>0</v>
      </c>
      <c r="CU178" s="43">
        <f>RawData!CQ176</f>
        <v>0</v>
      </c>
      <c r="CV178" s="47">
        <f>RawData!CR176</f>
        <v>0</v>
      </c>
      <c r="CW178" s="65">
        <f>RawData!DK176</f>
        <v>0</v>
      </c>
      <c r="CX178" s="65">
        <f>RawData!DL176</f>
        <v>0</v>
      </c>
      <c r="CY178" s="65">
        <f>RawData!DM176</f>
        <v>0</v>
      </c>
      <c r="CZ178" s="65">
        <f>RawData!DN176</f>
        <v>0</v>
      </c>
      <c r="DA178" s="65">
        <f>RawData!DO176</f>
        <v>0</v>
      </c>
      <c r="DB178" s="65">
        <f>RawData!DP176</f>
        <v>0</v>
      </c>
      <c r="DC178" s="65">
        <f>RawData!DQ176</f>
        <v>0</v>
      </c>
      <c r="DD178" s="65">
        <f>RawData!DR176</f>
        <v>0</v>
      </c>
      <c r="DE178" s="65">
        <f>RawData!DS176</f>
        <v>0</v>
      </c>
      <c r="DF178" s="65">
        <f>RawData!DT176</f>
        <v>0</v>
      </c>
      <c r="DG178" s="66">
        <f>RawData!DU176</f>
        <v>0</v>
      </c>
      <c r="DI178" s="21">
        <f t="shared" si="2"/>
        <v>0</v>
      </c>
    </row>
    <row r="179" spans="1:113" x14ac:dyDescent="0.2">
      <c r="A179" s="59">
        <f>RawData!CN177</f>
        <v>0</v>
      </c>
      <c r="B179" s="44">
        <f>RawData!CH177</f>
        <v>0</v>
      </c>
      <c r="C179" s="44">
        <f>RawData!CG177</f>
        <v>0</v>
      </c>
      <c r="D179" s="43">
        <f>RawData!CF177</f>
        <v>0</v>
      </c>
      <c r="E179" s="44">
        <f>RawData!CE177</f>
        <v>0</v>
      </c>
      <c r="F179" s="43">
        <f>RawData!CD177</f>
        <v>0</v>
      </c>
      <c r="G179" s="44">
        <f>RawData!CC177</f>
        <v>0</v>
      </c>
      <c r="H179" s="44">
        <f>RawData!CB177</f>
        <v>0</v>
      </c>
      <c r="I179" s="44">
        <f>RawData!CA177</f>
        <v>0</v>
      </c>
      <c r="J179" s="44">
        <f>RawData!BZ177</f>
        <v>0</v>
      </c>
      <c r="K179" s="40">
        <f>RawData!BY177</f>
        <v>0</v>
      </c>
      <c r="L179" s="40">
        <f>RawData!BX177</f>
        <v>0</v>
      </c>
      <c r="M179" s="40">
        <f>RawData!BW177</f>
        <v>0</v>
      </c>
      <c r="N179" s="40">
        <f>RawData!BV177</f>
        <v>0</v>
      </c>
      <c r="O179" s="36">
        <f>RawData!BU177</f>
        <v>0</v>
      </c>
      <c r="P179" s="36">
        <f>RawData!BT177</f>
        <v>0</v>
      </c>
      <c r="Q179" s="36">
        <f>RawData!BS177</f>
        <v>0</v>
      </c>
      <c r="R179" s="36">
        <f>RawData!BR177</f>
        <v>0</v>
      </c>
      <c r="S179" s="37">
        <f>RawData!BQ177</f>
        <v>0</v>
      </c>
      <c r="T179" s="37">
        <f>RawData!BP177</f>
        <v>0</v>
      </c>
      <c r="U179" s="38">
        <f>RawData!BO177</f>
        <v>0</v>
      </c>
      <c r="V179" s="38">
        <f>RawData!BN177</f>
        <v>0</v>
      </c>
      <c r="W179" s="39">
        <f>RawData!BM177</f>
        <v>0</v>
      </c>
      <c r="X179" s="39">
        <f>RawData!BL177</f>
        <v>0</v>
      </c>
      <c r="Y179" s="38">
        <f>RawData!BJ177</f>
        <v>0</v>
      </c>
      <c r="Z179" s="38">
        <f>RawData!BI177</f>
        <v>0</v>
      </c>
      <c r="AA179" s="40">
        <f>RawData!BH177</f>
        <v>0</v>
      </c>
      <c r="AB179" s="40">
        <f>RawData!BG177</f>
        <v>0</v>
      </c>
      <c r="AC179" s="40">
        <f>RawData!BF177</f>
        <v>0</v>
      </c>
      <c r="AD179" s="40">
        <f>RawData!BE177</f>
        <v>0</v>
      </c>
      <c r="AE179" s="40">
        <f>RawData!BD177</f>
        <v>0</v>
      </c>
      <c r="AF179" s="40">
        <f>RawData!BC177</f>
        <v>0</v>
      </c>
      <c r="AG179" s="41">
        <f>RawData!BB177</f>
        <v>0</v>
      </c>
      <c r="AH179" s="42">
        <f>RawData!DB177</f>
        <v>0</v>
      </c>
      <c r="AI179" s="41">
        <f>RawData!BA177</f>
        <v>0</v>
      </c>
      <c r="AJ179" s="43">
        <f>RawData!DA177</f>
        <v>0</v>
      </c>
      <c r="AK179" s="41">
        <f>RawData!AZ177</f>
        <v>0</v>
      </c>
      <c r="AL179" s="42">
        <f>RawData!DD177</f>
        <v>0</v>
      </c>
      <c r="AM179" s="44">
        <f>RawData!DC177</f>
        <v>0</v>
      </c>
      <c r="AN179" s="45">
        <f>RawData!BK177</f>
        <v>0</v>
      </c>
      <c r="AO179" s="44">
        <f>RawData!AY177</f>
        <v>0</v>
      </c>
      <c r="AP179" s="43">
        <f>RawData!DH177</f>
        <v>0</v>
      </c>
      <c r="AQ179" s="43">
        <f>RawData!DE177</f>
        <v>0</v>
      </c>
      <c r="AR179" s="42">
        <f>RawData!CZ177</f>
        <v>0</v>
      </c>
      <c r="AS179" s="44">
        <f>RawData!AX177</f>
        <v>0</v>
      </c>
      <c r="AT179" s="43">
        <f>RawData!CY177</f>
        <v>0</v>
      </c>
      <c r="AU179" s="44">
        <f>RawData!AW177</f>
        <v>0</v>
      </c>
      <c r="AV179" s="46">
        <f>RawData!O177</f>
        <v>0</v>
      </c>
      <c r="AW179" s="44">
        <f>RawData!AV177</f>
        <v>0</v>
      </c>
      <c r="AX179" s="44">
        <f>RawData!CW177</f>
        <v>0</v>
      </c>
      <c r="AY179" s="44">
        <f>RawData!AU177</f>
        <v>0</v>
      </c>
      <c r="AZ179" s="42">
        <f>RawData!CX177</f>
        <v>0</v>
      </c>
      <c r="BA179" s="44">
        <f>RawData!DF177</f>
        <v>0</v>
      </c>
      <c r="BB179" s="43">
        <f>RawData!DI177</f>
        <v>0</v>
      </c>
      <c r="BC179" s="44">
        <f>RawData!AT177</f>
        <v>0</v>
      </c>
      <c r="BD179" s="45">
        <f>RawData!AP177</f>
        <v>0</v>
      </c>
      <c r="BE179" s="44">
        <f>RawData!CS177</f>
        <v>0</v>
      </c>
      <c r="BF179" s="42">
        <f>RawData!CT177</f>
        <v>0</v>
      </c>
      <c r="BG179" s="41">
        <f>RawData!AS177</f>
        <v>0</v>
      </c>
      <c r="BH179" s="41">
        <f>RawData!CU177</f>
        <v>0</v>
      </c>
      <c r="BI179" s="41">
        <f>RawData!AR177</f>
        <v>0</v>
      </c>
      <c r="BJ179" s="42">
        <f>RawData!CV177</f>
        <v>0</v>
      </c>
      <c r="BK179" s="41">
        <f>RawData!AQ177</f>
        <v>0</v>
      </c>
      <c r="BL179" s="40">
        <f>RawData!AO177</f>
        <v>0</v>
      </c>
      <c r="BM179" s="40">
        <f>RawData!AN177</f>
        <v>0</v>
      </c>
      <c r="BN179" s="40">
        <f>RawData!AM177</f>
        <v>0</v>
      </c>
      <c r="BO179" s="40">
        <f>RawData!AL177</f>
        <v>0</v>
      </c>
      <c r="BP179" s="40">
        <f>RawData!AK177</f>
        <v>0</v>
      </c>
      <c r="BQ179" s="40">
        <f>RawData!AJ177</f>
        <v>0</v>
      </c>
      <c r="BR179" s="38">
        <f>RawData!AI177</f>
        <v>0</v>
      </c>
      <c r="BS179" s="38">
        <f>RawData!AH177</f>
        <v>0</v>
      </c>
      <c r="BT179" s="40">
        <f>RawData!AG177</f>
        <v>0</v>
      </c>
      <c r="BU179" s="39">
        <f>RawData!AF177</f>
        <v>0</v>
      </c>
      <c r="BV179" s="39">
        <f>RawData!AE177</f>
        <v>0</v>
      </c>
      <c r="BW179" s="38">
        <f>RawData!AD177</f>
        <v>0</v>
      </c>
      <c r="BX179" s="38">
        <f>RawData!AC177</f>
        <v>0</v>
      </c>
      <c r="BY179" s="37">
        <f>RawData!AB177</f>
        <v>0</v>
      </c>
      <c r="BZ179" s="37">
        <f>RawData!AA177</f>
        <v>0</v>
      </c>
      <c r="CA179" s="36">
        <f>RawData!Z177</f>
        <v>0</v>
      </c>
      <c r="CB179" s="36">
        <f>RawData!Y177</f>
        <v>0</v>
      </c>
      <c r="CC179" s="36">
        <f>RawData!X177</f>
        <v>0</v>
      </c>
      <c r="CD179" s="36">
        <f>RawData!W177</f>
        <v>0</v>
      </c>
      <c r="CE179" s="40">
        <f>RawData!V177</f>
        <v>0</v>
      </c>
      <c r="CF179" s="40">
        <f>RawData!U177</f>
        <v>0</v>
      </c>
      <c r="CG179" s="40">
        <f>RawData!T177</f>
        <v>0</v>
      </c>
      <c r="CH179" s="44">
        <f>RawData!S177</f>
        <v>0</v>
      </c>
      <c r="CI179" s="44">
        <f>RawData!R177</f>
        <v>0</v>
      </c>
      <c r="CJ179" s="44">
        <f>RawData!Q177</f>
        <v>0</v>
      </c>
      <c r="CK179" s="44">
        <f>RawData!P177</f>
        <v>0</v>
      </c>
      <c r="CL179" s="44">
        <f>RawData!CJ177</f>
        <v>0</v>
      </c>
      <c r="CM179" s="43">
        <f>RawData!CI177</f>
        <v>0</v>
      </c>
      <c r="CN179" s="44">
        <f>RawData!CL177</f>
        <v>0</v>
      </c>
      <c r="CO179" s="43">
        <f>RawData!CK177</f>
        <v>0</v>
      </c>
      <c r="CP179" s="44">
        <f>RawData!CM177</f>
        <v>0</v>
      </c>
      <c r="CQ179" s="47">
        <f>RawData!CO177</f>
        <v>0</v>
      </c>
      <c r="CR179" s="44">
        <f>RawData!CP177</f>
        <v>0</v>
      </c>
      <c r="CS179" s="44">
        <f>RawData!DG177</f>
        <v>0</v>
      </c>
      <c r="CT179" s="43">
        <f>RawData!DJ177</f>
        <v>0</v>
      </c>
      <c r="CU179" s="43">
        <f>RawData!CQ177</f>
        <v>0</v>
      </c>
      <c r="CV179" s="47">
        <f>RawData!CR177</f>
        <v>0</v>
      </c>
      <c r="CW179" s="65">
        <f>RawData!DK177</f>
        <v>0</v>
      </c>
      <c r="CX179" s="65">
        <f>RawData!DL177</f>
        <v>0</v>
      </c>
      <c r="CY179" s="65">
        <f>RawData!DM177</f>
        <v>0</v>
      </c>
      <c r="CZ179" s="65">
        <f>RawData!DN177</f>
        <v>0</v>
      </c>
      <c r="DA179" s="65">
        <f>RawData!DO177</f>
        <v>0</v>
      </c>
      <c r="DB179" s="65">
        <f>RawData!DP177</f>
        <v>0</v>
      </c>
      <c r="DC179" s="65">
        <f>RawData!DQ177</f>
        <v>0</v>
      </c>
      <c r="DD179" s="65">
        <f>RawData!DR177</f>
        <v>0</v>
      </c>
      <c r="DE179" s="65">
        <f>RawData!DS177</f>
        <v>0</v>
      </c>
      <c r="DF179" s="65">
        <f>RawData!DT177</f>
        <v>0</v>
      </c>
      <c r="DG179" s="66">
        <f>RawData!DU177</f>
        <v>0</v>
      </c>
      <c r="DI179" s="21">
        <f t="shared" si="2"/>
        <v>0</v>
      </c>
    </row>
    <row r="180" spans="1:113" x14ac:dyDescent="0.2">
      <c r="A180" s="59">
        <f>RawData!CN178</f>
        <v>0</v>
      </c>
      <c r="B180" s="44">
        <f>RawData!CH178</f>
        <v>0</v>
      </c>
      <c r="C180" s="44">
        <f>RawData!CG178</f>
        <v>0</v>
      </c>
      <c r="D180" s="43">
        <f>RawData!CF178</f>
        <v>0</v>
      </c>
      <c r="E180" s="44">
        <f>RawData!CE178</f>
        <v>0</v>
      </c>
      <c r="F180" s="43">
        <f>RawData!CD178</f>
        <v>0</v>
      </c>
      <c r="G180" s="44">
        <f>RawData!CC178</f>
        <v>0</v>
      </c>
      <c r="H180" s="44">
        <f>RawData!CB178</f>
        <v>0</v>
      </c>
      <c r="I180" s="44">
        <f>RawData!CA178</f>
        <v>0</v>
      </c>
      <c r="J180" s="44">
        <f>RawData!BZ178</f>
        <v>0</v>
      </c>
      <c r="K180" s="40">
        <f>RawData!BY178</f>
        <v>0</v>
      </c>
      <c r="L180" s="40">
        <f>RawData!BX178</f>
        <v>0</v>
      </c>
      <c r="M180" s="40">
        <f>RawData!BW178</f>
        <v>0</v>
      </c>
      <c r="N180" s="40">
        <f>RawData!BV178</f>
        <v>0</v>
      </c>
      <c r="O180" s="36">
        <f>RawData!BU178</f>
        <v>0</v>
      </c>
      <c r="P180" s="36">
        <f>RawData!BT178</f>
        <v>0</v>
      </c>
      <c r="Q180" s="36">
        <f>RawData!BS178</f>
        <v>0</v>
      </c>
      <c r="R180" s="36">
        <f>RawData!BR178</f>
        <v>0</v>
      </c>
      <c r="S180" s="37">
        <f>RawData!BQ178</f>
        <v>0</v>
      </c>
      <c r="T180" s="37">
        <f>RawData!BP178</f>
        <v>0</v>
      </c>
      <c r="U180" s="38">
        <f>RawData!BO178</f>
        <v>0</v>
      </c>
      <c r="V180" s="38">
        <f>RawData!BN178</f>
        <v>0</v>
      </c>
      <c r="W180" s="39">
        <f>RawData!BM178</f>
        <v>0</v>
      </c>
      <c r="X180" s="39">
        <f>RawData!BL178</f>
        <v>0</v>
      </c>
      <c r="Y180" s="38">
        <f>RawData!BJ178</f>
        <v>0</v>
      </c>
      <c r="Z180" s="38">
        <f>RawData!BI178</f>
        <v>0</v>
      </c>
      <c r="AA180" s="40">
        <f>RawData!BH178</f>
        <v>0</v>
      </c>
      <c r="AB180" s="40">
        <f>RawData!BG178</f>
        <v>0</v>
      </c>
      <c r="AC180" s="40">
        <f>RawData!BF178</f>
        <v>0</v>
      </c>
      <c r="AD180" s="40">
        <f>RawData!BE178</f>
        <v>0</v>
      </c>
      <c r="AE180" s="40">
        <f>RawData!BD178</f>
        <v>0</v>
      </c>
      <c r="AF180" s="40">
        <f>RawData!BC178</f>
        <v>0</v>
      </c>
      <c r="AG180" s="41">
        <f>RawData!BB178</f>
        <v>0</v>
      </c>
      <c r="AH180" s="42">
        <f>RawData!DB178</f>
        <v>0</v>
      </c>
      <c r="AI180" s="41">
        <f>RawData!BA178</f>
        <v>0</v>
      </c>
      <c r="AJ180" s="43">
        <f>RawData!DA178</f>
        <v>0</v>
      </c>
      <c r="AK180" s="41">
        <f>RawData!AZ178</f>
        <v>0</v>
      </c>
      <c r="AL180" s="42">
        <f>RawData!DD178</f>
        <v>0</v>
      </c>
      <c r="AM180" s="44">
        <f>RawData!DC178</f>
        <v>0</v>
      </c>
      <c r="AN180" s="45">
        <f>RawData!BK178</f>
        <v>0</v>
      </c>
      <c r="AO180" s="44">
        <f>RawData!AY178</f>
        <v>0</v>
      </c>
      <c r="AP180" s="43">
        <f>RawData!DH178</f>
        <v>0</v>
      </c>
      <c r="AQ180" s="43">
        <f>RawData!DE178</f>
        <v>0</v>
      </c>
      <c r="AR180" s="42">
        <f>RawData!CZ178</f>
        <v>0</v>
      </c>
      <c r="AS180" s="44">
        <f>RawData!AX178</f>
        <v>0</v>
      </c>
      <c r="AT180" s="43">
        <f>RawData!CY178</f>
        <v>0</v>
      </c>
      <c r="AU180" s="44">
        <f>RawData!AW178</f>
        <v>0</v>
      </c>
      <c r="AV180" s="46">
        <f>RawData!O178</f>
        <v>0</v>
      </c>
      <c r="AW180" s="44">
        <f>RawData!AV178</f>
        <v>0</v>
      </c>
      <c r="AX180" s="44">
        <f>RawData!CW178</f>
        <v>0</v>
      </c>
      <c r="AY180" s="44">
        <f>RawData!AU178</f>
        <v>0</v>
      </c>
      <c r="AZ180" s="42">
        <f>RawData!CX178</f>
        <v>0</v>
      </c>
      <c r="BA180" s="44">
        <f>RawData!DF178</f>
        <v>0</v>
      </c>
      <c r="BB180" s="43">
        <f>RawData!DI178</f>
        <v>0</v>
      </c>
      <c r="BC180" s="44">
        <f>RawData!AT178</f>
        <v>0</v>
      </c>
      <c r="BD180" s="45">
        <f>RawData!AP178</f>
        <v>0</v>
      </c>
      <c r="BE180" s="44">
        <f>RawData!CS178</f>
        <v>0</v>
      </c>
      <c r="BF180" s="42">
        <f>RawData!CT178</f>
        <v>0</v>
      </c>
      <c r="BG180" s="41">
        <f>RawData!AS178</f>
        <v>0</v>
      </c>
      <c r="BH180" s="41">
        <f>RawData!CU178</f>
        <v>0</v>
      </c>
      <c r="BI180" s="41">
        <f>RawData!AR178</f>
        <v>0</v>
      </c>
      <c r="BJ180" s="42">
        <f>RawData!CV178</f>
        <v>0</v>
      </c>
      <c r="BK180" s="41">
        <f>RawData!AQ178</f>
        <v>0</v>
      </c>
      <c r="BL180" s="40">
        <f>RawData!AO178</f>
        <v>0</v>
      </c>
      <c r="BM180" s="40">
        <f>RawData!AN178</f>
        <v>0</v>
      </c>
      <c r="BN180" s="40">
        <f>RawData!AM178</f>
        <v>0</v>
      </c>
      <c r="BO180" s="40">
        <f>RawData!AL178</f>
        <v>0</v>
      </c>
      <c r="BP180" s="40">
        <f>RawData!AK178</f>
        <v>0</v>
      </c>
      <c r="BQ180" s="40">
        <f>RawData!AJ178</f>
        <v>0</v>
      </c>
      <c r="BR180" s="38">
        <f>RawData!AI178</f>
        <v>0</v>
      </c>
      <c r="BS180" s="38">
        <f>RawData!AH178</f>
        <v>0</v>
      </c>
      <c r="BT180" s="40">
        <f>RawData!AG178</f>
        <v>0</v>
      </c>
      <c r="BU180" s="39">
        <f>RawData!AF178</f>
        <v>0</v>
      </c>
      <c r="BV180" s="39">
        <f>RawData!AE178</f>
        <v>0</v>
      </c>
      <c r="BW180" s="38">
        <f>RawData!AD178</f>
        <v>0</v>
      </c>
      <c r="BX180" s="38">
        <f>RawData!AC178</f>
        <v>0</v>
      </c>
      <c r="BY180" s="37">
        <f>RawData!AB178</f>
        <v>0</v>
      </c>
      <c r="BZ180" s="37">
        <f>RawData!AA178</f>
        <v>0</v>
      </c>
      <c r="CA180" s="36">
        <f>RawData!Z178</f>
        <v>0</v>
      </c>
      <c r="CB180" s="36">
        <f>RawData!Y178</f>
        <v>0</v>
      </c>
      <c r="CC180" s="36">
        <f>RawData!X178</f>
        <v>0</v>
      </c>
      <c r="CD180" s="36">
        <f>RawData!W178</f>
        <v>0</v>
      </c>
      <c r="CE180" s="40">
        <f>RawData!V178</f>
        <v>0</v>
      </c>
      <c r="CF180" s="40">
        <f>RawData!U178</f>
        <v>0</v>
      </c>
      <c r="CG180" s="40">
        <f>RawData!T178</f>
        <v>0</v>
      </c>
      <c r="CH180" s="44">
        <f>RawData!S178</f>
        <v>0</v>
      </c>
      <c r="CI180" s="44">
        <f>RawData!R178</f>
        <v>0</v>
      </c>
      <c r="CJ180" s="44">
        <f>RawData!Q178</f>
        <v>0</v>
      </c>
      <c r="CK180" s="44">
        <f>RawData!P178</f>
        <v>0</v>
      </c>
      <c r="CL180" s="44">
        <f>RawData!CJ178</f>
        <v>0</v>
      </c>
      <c r="CM180" s="43">
        <f>RawData!CI178</f>
        <v>0</v>
      </c>
      <c r="CN180" s="44">
        <f>RawData!CL178</f>
        <v>0</v>
      </c>
      <c r="CO180" s="43">
        <f>RawData!CK178</f>
        <v>0</v>
      </c>
      <c r="CP180" s="44">
        <f>RawData!CM178</f>
        <v>0</v>
      </c>
      <c r="CQ180" s="47">
        <f>RawData!CO178</f>
        <v>0</v>
      </c>
      <c r="CR180" s="44">
        <f>RawData!CP178</f>
        <v>0</v>
      </c>
      <c r="CS180" s="44">
        <f>RawData!DG178</f>
        <v>0</v>
      </c>
      <c r="CT180" s="43">
        <f>RawData!DJ178</f>
        <v>0</v>
      </c>
      <c r="CU180" s="43">
        <f>RawData!CQ178</f>
        <v>0</v>
      </c>
      <c r="CV180" s="47">
        <f>RawData!CR178</f>
        <v>0</v>
      </c>
      <c r="CW180" s="65">
        <f>RawData!DK178</f>
        <v>0</v>
      </c>
      <c r="CX180" s="65">
        <f>RawData!DL178</f>
        <v>0</v>
      </c>
      <c r="CY180" s="65">
        <f>RawData!DM178</f>
        <v>0</v>
      </c>
      <c r="CZ180" s="65">
        <f>RawData!DN178</f>
        <v>0</v>
      </c>
      <c r="DA180" s="65">
        <f>RawData!DO178</f>
        <v>0</v>
      </c>
      <c r="DB180" s="65">
        <f>RawData!DP178</f>
        <v>0</v>
      </c>
      <c r="DC180" s="65">
        <f>RawData!DQ178</f>
        <v>0</v>
      </c>
      <c r="DD180" s="65">
        <f>RawData!DR178</f>
        <v>0</v>
      </c>
      <c r="DE180" s="65">
        <f>RawData!DS178</f>
        <v>0</v>
      </c>
      <c r="DF180" s="65">
        <f>RawData!DT178</f>
        <v>0</v>
      </c>
      <c r="DG180" s="66">
        <f>RawData!DU178</f>
        <v>0</v>
      </c>
      <c r="DI180" s="21">
        <f t="shared" si="2"/>
        <v>0</v>
      </c>
    </row>
    <row r="181" spans="1:113" x14ac:dyDescent="0.2">
      <c r="A181" s="59">
        <f>RawData!CN179</f>
        <v>0</v>
      </c>
      <c r="B181" s="44">
        <f>RawData!CH179</f>
        <v>0</v>
      </c>
      <c r="C181" s="44">
        <f>RawData!CG179</f>
        <v>0</v>
      </c>
      <c r="D181" s="43">
        <f>RawData!CF179</f>
        <v>0</v>
      </c>
      <c r="E181" s="44">
        <f>RawData!CE179</f>
        <v>0</v>
      </c>
      <c r="F181" s="43">
        <f>RawData!CD179</f>
        <v>0</v>
      </c>
      <c r="G181" s="44">
        <f>RawData!CC179</f>
        <v>0</v>
      </c>
      <c r="H181" s="44">
        <f>RawData!CB179</f>
        <v>0</v>
      </c>
      <c r="I181" s="44">
        <f>RawData!CA179</f>
        <v>0</v>
      </c>
      <c r="J181" s="44">
        <f>RawData!BZ179</f>
        <v>0</v>
      </c>
      <c r="K181" s="40">
        <f>RawData!BY179</f>
        <v>0</v>
      </c>
      <c r="L181" s="40">
        <f>RawData!BX179</f>
        <v>0</v>
      </c>
      <c r="M181" s="40">
        <f>RawData!BW179</f>
        <v>0</v>
      </c>
      <c r="N181" s="40">
        <f>RawData!BV179</f>
        <v>0</v>
      </c>
      <c r="O181" s="36">
        <f>RawData!BU179</f>
        <v>0</v>
      </c>
      <c r="P181" s="36">
        <f>RawData!BT179</f>
        <v>0</v>
      </c>
      <c r="Q181" s="36">
        <f>RawData!BS179</f>
        <v>0</v>
      </c>
      <c r="R181" s="36">
        <f>RawData!BR179</f>
        <v>0</v>
      </c>
      <c r="S181" s="37">
        <f>RawData!BQ179</f>
        <v>0</v>
      </c>
      <c r="T181" s="37">
        <f>RawData!BP179</f>
        <v>0</v>
      </c>
      <c r="U181" s="38">
        <f>RawData!BO179</f>
        <v>0</v>
      </c>
      <c r="V181" s="38">
        <f>RawData!BN179</f>
        <v>0</v>
      </c>
      <c r="W181" s="39">
        <f>RawData!BM179</f>
        <v>0</v>
      </c>
      <c r="X181" s="39">
        <f>RawData!BL179</f>
        <v>0</v>
      </c>
      <c r="Y181" s="38">
        <f>RawData!BJ179</f>
        <v>0</v>
      </c>
      <c r="Z181" s="38">
        <f>RawData!BI179</f>
        <v>0</v>
      </c>
      <c r="AA181" s="40">
        <f>RawData!BH179</f>
        <v>0</v>
      </c>
      <c r="AB181" s="40">
        <f>RawData!BG179</f>
        <v>0</v>
      </c>
      <c r="AC181" s="40">
        <f>RawData!BF179</f>
        <v>0</v>
      </c>
      <c r="AD181" s="40">
        <f>RawData!BE179</f>
        <v>0</v>
      </c>
      <c r="AE181" s="40">
        <f>RawData!BD179</f>
        <v>0</v>
      </c>
      <c r="AF181" s="40">
        <f>RawData!BC179</f>
        <v>0</v>
      </c>
      <c r="AG181" s="41">
        <f>RawData!BB179</f>
        <v>0</v>
      </c>
      <c r="AH181" s="42">
        <f>RawData!DB179</f>
        <v>0</v>
      </c>
      <c r="AI181" s="41">
        <f>RawData!BA179</f>
        <v>0</v>
      </c>
      <c r="AJ181" s="43">
        <f>RawData!DA179</f>
        <v>0</v>
      </c>
      <c r="AK181" s="41">
        <f>RawData!AZ179</f>
        <v>0</v>
      </c>
      <c r="AL181" s="42">
        <f>RawData!DD179</f>
        <v>0</v>
      </c>
      <c r="AM181" s="44">
        <f>RawData!DC179</f>
        <v>0</v>
      </c>
      <c r="AN181" s="45">
        <f>RawData!BK179</f>
        <v>0</v>
      </c>
      <c r="AO181" s="44">
        <f>RawData!AY179</f>
        <v>0</v>
      </c>
      <c r="AP181" s="43">
        <f>RawData!DH179</f>
        <v>0</v>
      </c>
      <c r="AQ181" s="43">
        <f>RawData!DE179</f>
        <v>0</v>
      </c>
      <c r="AR181" s="42">
        <f>RawData!CZ179</f>
        <v>0</v>
      </c>
      <c r="AS181" s="44">
        <f>RawData!AX179</f>
        <v>0</v>
      </c>
      <c r="AT181" s="43">
        <f>RawData!CY179</f>
        <v>0</v>
      </c>
      <c r="AU181" s="44">
        <f>RawData!AW179</f>
        <v>0</v>
      </c>
      <c r="AV181" s="46">
        <f>RawData!O179</f>
        <v>0</v>
      </c>
      <c r="AW181" s="44">
        <f>RawData!AV179</f>
        <v>0</v>
      </c>
      <c r="AX181" s="44">
        <f>RawData!CW179</f>
        <v>0</v>
      </c>
      <c r="AY181" s="44">
        <f>RawData!AU179</f>
        <v>0</v>
      </c>
      <c r="AZ181" s="42">
        <f>RawData!CX179</f>
        <v>0</v>
      </c>
      <c r="BA181" s="44">
        <f>RawData!DF179</f>
        <v>0</v>
      </c>
      <c r="BB181" s="43">
        <f>RawData!DI179</f>
        <v>0</v>
      </c>
      <c r="BC181" s="44">
        <f>RawData!AT179</f>
        <v>0</v>
      </c>
      <c r="BD181" s="45">
        <f>RawData!AP179</f>
        <v>0</v>
      </c>
      <c r="BE181" s="44">
        <f>RawData!CS179</f>
        <v>0</v>
      </c>
      <c r="BF181" s="42">
        <f>RawData!CT179</f>
        <v>0</v>
      </c>
      <c r="BG181" s="41">
        <f>RawData!AS179</f>
        <v>0</v>
      </c>
      <c r="BH181" s="41">
        <f>RawData!CU179</f>
        <v>0</v>
      </c>
      <c r="BI181" s="41">
        <f>RawData!AR179</f>
        <v>0</v>
      </c>
      <c r="BJ181" s="42">
        <f>RawData!CV179</f>
        <v>0</v>
      </c>
      <c r="BK181" s="41">
        <f>RawData!AQ179</f>
        <v>0</v>
      </c>
      <c r="BL181" s="40">
        <f>RawData!AO179</f>
        <v>0</v>
      </c>
      <c r="BM181" s="40">
        <f>RawData!AN179</f>
        <v>0</v>
      </c>
      <c r="BN181" s="40">
        <f>RawData!AM179</f>
        <v>0</v>
      </c>
      <c r="BO181" s="40">
        <f>RawData!AL179</f>
        <v>0</v>
      </c>
      <c r="BP181" s="40">
        <f>RawData!AK179</f>
        <v>0</v>
      </c>
      <c r="BQ181" s="40">
        <f>RawData!AJ179</f>
        <v>0</v>
      </c>
      <c r="BR181" s="38">
        <f>RawData!AI179</f>
        <v>0</v>
      </c>
      <c r="BS181" s="38">
        <f>RawData!AH179</f>
        <v>0</v>
      </c>
      <c r="BT181" s="40">
        <f>RawData!AG179</f>
        <v>0</v>
      </c>
      <c r="BU181" s="39">
        <f>RawData!AF179</f>
        <v>0</v>
      </c>
      <c r="BV181" s="39">
        <f>RawData!AE179</f>
        <v>0</v>
      </c>
      <c r="BW181" s="38">
        <f>RawData!AD179</f>
        <v>0</v>
      </c>
      <c r="BX181" s="38">
        <f>RawData!AC179</f>
        <v>0</v>
      </c>
      <c r="BY181" s="37">
        <f>RawData!AB179</f>
        <v>0</v>
      </c>
      <c r="BZ181" s="37">
        <f>RawData!AA179</f>
        <v>0</v>
      </c>
      <c r="CA181" s="36">
        <f>RawData!Z179</f>
        <v>0</v>
      </c>
      <c r="CB181" s="36">
        <f>RawData!Y179</f>
        <v>0</v>
      </c>
      <c r="CC181" s="36">
        <f>RawData!X179</f>
        <v>0</v>
      </c>
      <c r="CD181" s="36">
        <f>RawData!W179</f>
        <v>0</v>
      </c>
      <c r="CE181" s="40">
        <f>RawData!V179</f>
        <v>0</v>
      </c>
      <c r="CF181" s="40">
        <f>RawData!U179</f>
        <v>0</v>
      </c>
      <c r="CG181" s="40">
        <f>RawData!T179</f>
        <v>0</v>
      </c>
      <c r="CH181" s="44">
        <f>RawData!S179</f>
        <v>0</v>
      </c>
      <c r="CI181" s="44">
        <f>RawData!R179</f>
        <v>0</v>
      </c>
      <c r="CJ181" s="44">
        <f>RawData!Q179</f>
        <v>0</v>
      </c>
      <c r="CK181" s="44">
        <f>RawData!P179</f>
        <v>0</v>
      </c>
      <c r="CL181" s="44">
        <f>RawData!CJ179</f>
        <v>0</v>
      </c>
      <c r="CM181" s="43">
        <f>RawData!CI179</f>
        <v>0</v>
      </c>
      <c r="CN181" s="44">
        <f>RawData!CL179</f>
        <v>0</v>
      </c>
      <c r="CO181" s="43">
        <f>RawData!CK179</f>
        <v>0</v>
      </c>
      <c r="CP181" s="44">
        <f>RawData!CM179</f>
        <v>0</v>
      </c>
      <c r="CQ181" s="47">
        <f>RawData!CO179</f>
        <v>0</v>
      </c>
      <c r="CR181" s="44">
        <f>RawData!CP179</f>
        <v>0</v>
      </c>
      <c r="CS181" s="44">
        <f>RawData!DG179</f>
        <v>0</v>
      </c>
      <c r="CT181" s="43">
        <f>RawData!DJ179</f>
        <v>0</v>
      </c>
      <c r="CU181" s="43">
        <f>RawData!CQ179</f>
        <v>0</v>
      </c>
      <c r="CV181" s="47">
        <f>RawData!CR179</f>
        <v>0</v>
      </c>
      <c r="CW181" s="65">
        <f>RawData!DK179</f>
        <v>0</v>
      </c>
      <c r="CX181" s="65">
        <f>RawData!DL179</f>
        <v>0</v>
      </c>
      <c r="CY181" s="65">
        <f>RawData!DM179</f>
        <v>0</v>
      </c>
      <c r="CZ181" s="65">
        <f>RawData!DN179</f>
        <v>0</v>
      </c>
      <c r="DA181" s="65">
        <f>RawData!DO179</f>
        <v>0</v>
      </c>
      <c r="DB181" s="65">
        <f>RawData!DP179</f>
        <v>0</v>
      </c>
      <c r="DC181" s="65">
        <f>RawData!DQ179</f>
        <v>0</v>
      </c>
      <c r="DD181" s="65">
        <f>RawData!DR179</f>
        <v>0</v>
      </c>
      <c r="DE181" s="65">
        <f>RawData!DS179</f>
        <v>0</v>
      </c>
      <c r="DF181" s="65">
        <f>RawData!DT179</f>
        <v>0</v>
      </c>
      <c r="DG181" s="66">
        <f>RawData!DU179</f>
        <v>0</v>
      </c>
      <c r="DI181" s="21">
        <f t="shared" si="2"/>
        <v>0</v>
      </c>
    </row>
    <row r="182" spans="1:113" x14ac:dyDescent="0.2">
      <c r="A182" s="59">
        <f>RawData!CN180</f>
        <v>0</v>
      </c>
      <c r="B182" s="44">
        <f>RawData!CH180</f>
        <v>0</v>
      </c>
      <c r="C182" s="44">
        <f>RawData!CG180</f>
        <v>0</v>
      </c>
      <c r="D182" s="43">
        <f>RawData!CF180</f>
        <v>0</v>
      </c>
      <c r="E182" s="44">
        <f>RawData!CE180</f>
        <v>0</v>
      </c>
      <c r="F182" s="43">
        <f>RawData!CD180</f>
        <v>0</v>
      </c>
      <c r="G182" s="44">
        <f>RawData!CC180</f>
        <v>0</v>
      </c>
      <c r="H182" s="44">
        <f>RawData!CB180</f>
        <v>0</v>
      </c>
      <c r="I182" s="44">
        <f>RawData!CA180</f>
        <v>0</v>
      </c>
      <c r="J182" s="44">
        <f>RawData!BZ180</f>
        <v>0</v>
      </c>
      <c r="K182" s="40">
        <f>RawData!BY180</f>
        <v>0</v>
      </c>
      <c r="L182" s="40">
        <f>RawData!BX180</f>
        <v>0</v>
      </c>
      <c r="M182" s="40">
        <f>RawData!BW180</f>
        <v>0</v>
      </c>
      <c r="N182" s="40">
        <f>RawData!BV180</f>
        <v>0</v>
      </c>
      <c r="O182" s="36">
        <f>RawData!BU180</f>
        <v>0</v>
      </c>
      <c r="P182" s="36">
        <f>RawData!BT180</f>
        <v>0</v>
      </c>
      <c r="Q182" s="36">
        <f>RawData!BS180</f>
        <v>0</v>
      </c>
      <c r="R182" s="36">
        <f>RawData!BR180</f>
        <v>0</v>
      </c>
      <c r="S182" s="37">
        <f>RawData!BQ180</f>
        <v>0</v>
      </c>
      <c r="T182" s="37">
        <f>RawData!BP180</f>
        <v>0</v>
      </c>
      <c r="U182" s="38">
        <f>RawData!BO180</f>
        <v>0</v>
      </c>
      <c r="V182" s="38">
        <f>RawData!BN180</f>
        <v>0</v>
      </c>
      <c r="W182" s="39">
        <f>RawData!BM180</f>
        <v>0</v>
      </c>
      <c r="X182" s="39">
        <f>RawData!BL180</f>
        <v>0</v>
      </c>
      <c r="Y182" s="38">
        <f>RawData!BJ180</f>
        <v>0</v>
      </c>
      <c r="Z182" s="38">
        <f>RawData!BI180</f>
        <v>0</v>
      </c>
      <c r="AA182" s="40">
        <f>RawData!BH180</f>
        <v>0</v>
      </c>
      <c r="AB182" s="40">
        <f>RawData!BG180</f>
        <v>0</v>
      </c>
      <c r="AC182" s="40">
        <f>RawData!BF180</f>
        <v>0</v>
      </c>
      <c r="AD182" s="40">
        <f>RawData!BE180</f>
        <v>0</v>
      </c>
      <c r="AE182" s="40">
        <f>RawData!BD180</f>
        <v>0</v>
      </c>
      <c r="AF182" s="40">
        <f>RawData!BC180</f>
        <v>0</v>
      </c>
      <c r="AG182" s="41">
        <f>RawData!BB180</f>
        <v>0</v>
      </c>
      <c r="AH182" s="42">
        <f>RawData!DB180</f>
        <v>0</v>
      </c>
      <c r="AI182" s="41">
        <f>RawData!BA180</f>
        <v>0</v>
      </c>
      <c r="AJ182" s="43">
        <f>RawData!DA180</f>
        <v>0</v>
      </c>
      <c r="AK182" s="41">
        <f>RawData!AZ180</f>
        <v>0</v>
      </c>
      <c r="AL182" s="42">
        <f>RawData!DD180</f>
        <v>0</v>
      </c>
      <c r="AM182" s="44">
        <f>RawData!DC180</f>
        <v>0</v>
      </c>
      <c r="AN182" s="45">
        <f>RawData!BK180</f>
        <v>0</v>
      </c>
      <c r="AO182" s="44">
        <f>RawData!AY180</f>
        <v>0</v>
      </c>
      <c r="AP182" s="43">
        <f>RawData!DH180</f>
        <v>0</v>
      </c>
      <c r="AQ182" s="43">
        <f>RawData!DE180</f>
        <v>0</v>
      </c>
      <c r="AR182" s="42">
        <f>RawData!CZ180</f>
        <v>0</v>
      </c>
      <c r="AS182" s="44">
        <f>RawData!AX180</f>
        <v>0</v>
      </c>
      <c r="AT182" s="43">
        <f>RawData!CY180</f>
        <v>0</v>
      </c>
      <c r="AU182" s="44">
        <f>RawData!AW180</f>
        <v>0</v>
      </c>
      <c r="AV182" s="46">
        <f>RawData!O180</f>
        <v>0</v>
      </c>
      <c r="AW182" s="44">
        <f>RawData!AV180</f>
        <v>0</v>
      </c>
      <c r="AX182" s="44">
        <f>RawData!CW180</f>
        <v>0</v>
      </c>
      <c r="AY182" s="44">
        <f>RawData!AU180</f>
        <v>0</v>
      </c>
      <c r="AZ182" s="42">
        <f>RawData!CX180</f>
        <v>0</v>
      </c>
      <c r="BA182" s="44">
        <f>RawData!DF180</f>
        <v>0</v>
      </c>
      <c r="BB182" s="43">
        <f>RawData!DI180</f>
        <v>0</v>
      </c>
      <c r="BC182" s="44">
        <f>RawData!AT180</f>
        <v>0</v>
      </c>
      <c r="BD182" s="45">
        <f>RawData!AP180</f>
        <v>0</v>
      </c>
      <c r="BE182" s="44">
        <f>RawData!CS180</f>
        <v>0</v>
      </c>
      <c r="BF182" s="42">
        <f>RawData!CT180</f>
        <v>0</v>
      </c>
      <c r="BG182" s="41">
        <f>RawData!AS180</f>
        <v>0</v>
      </c>
      <c r="BH182" s="41">
        <f>RawData!CU180</f>
        <v>0</v>
      </c>
      <c r="BI182" s="41">
        <f>RawData!AR180</f>
        <v>0</v>
      </c>
      <c r="BJ182" s="42">
        <f>RawData!CV180</f>
        <v>0</v>
      </c>
      <c r="BK182" s="41">
        <f>RawData!AQ180</f>
        <v>0</v>
      </c>
      <c r="BL182" s="40">
        <f>RawData!AO180</f>
        <v>0</v>
      </c>
      <c r="BM182" s="40">
        <f>RawData!AN180</f>
        <v>0</v>
      </c>
      <c r="BN182" s="40">
        <f>RawData!AM180</f>
        <v>0</v>
      </c>
      <c r="BO182" s="40">
        <f>RawData!AL180</f>
        <v>0</v>
      </c>
      <c r="BP182" s="40">
        <f>RawData!AK180</f>
        <v>0</v>
      </c>
      <c r="BQ182" s="40">
        <f>RawData!AJ180</f>
        <v>0</v>
      </c>
      <c r="BR182" s="38">
        <f>RawData!AI180</f>
        <v>0</v>
      </c>
      <c r="BS182" s="38">
        <f>RawData!AH180</f>
        <v>0</v>
      </c>
      <c r="BT182" s="40">
        <f>RawData!AG180</f>
        <v>0</v>
      </c>
      <c r="BU182" s="39">
        <f>RawData!AF180</f>
        <v>0</v>
      </c>
      <c r="BV182" s="39">
        <f>RawData!AE180</f>
        <v>0</v>
      </c>
      <c r="BW182" s="38">
        <f>RawData!AD180</f>
        <v>0</v>
      </c>
      <c r="BX182" s="38">
        <f>RawData!AC180</f>
        <v>0</v>
      </c>
      <c r="BY182" s="37">
        <f>RawData!AB180</f>
        <v>0</v>
      </c>
      <c r="BZ182" s="37">
        <f>RawData!AA180</f>
        <v>0</v>
      </c>
      <c r="CA182" s="36">
        <f>RawData!Z180</f>
        <v>0</v>
      </c>
      <c r="CB182" s="36">
        <f>RawData!Y180</f>
        <v>0</v>
      </c>
      <c r="CC182" s="36">
        <f>RawData!X180</f>
        <v>0</v>
      </c>
      <c r="CD182" s="36">
        <f>RawData!W180</f>
        <v>0</v>
      </c>
      <c r="CE182" s="40">
        <f>RawData!V180</f>
        <v>0</v>
      </c>
      <c r="CF182" s="40">
        <f>RawData!U180</f>
        <v>0</v>
      </c>
      <c r="CG182" s="40">
        <f>RawData!T180</f>
        <v>0</v>
      </c>
      <c r="CH182" s="44">
        <f>RawData!S180</f>
        <v>0</v>
      </c>
      <c r="CI182" s="44">
        <f>RawData!R180</f>
        <v>0</v>
      </c>
      <c r="CJ182" s="44">
        <f>RawData!Q180</f>
        <v>0</v>
      </c>
      <c r="CK182" s="44">
        <f>RawData!P180</f>
        <v>0</v>
      </c>
      <c r="CL182" s="44">
        <f>RawData!CJ180</f>
        <v>0</v>
      </c>
      <c r="CM182" s="43">
        <f>RawData!CI180</f>
        <v>0</v>
      </c>
      <c r="CN182" s="44">
        <f>RawData!CL180</f>
        <v>0</v>
      </c>
      <c r="CO182" s="43">
        <f>RawData!CK180</f>
        <v>0</v>
      </c>
      <c r="CP182" s="44">
        <f>RawData!CM180</f>
        <v>0</v>
      </c>
      <c r="CQ182" s="47">
        <f>RawData!CO180</f>
        <v>0</v>
      </c>
      <c r="CR182" s="44">
        <f>RawData!CP180</f>
        <v>0</v>
      </c>
      <c r="CS182" s="44">
        <f>RawData!DG180</f>
        <v>0</v>
      </c>
      <c r="CT182" s="43">
        <f>RawData!DJ180</f>
        <v>0</v>
      </c>
      <c r="CU182" s="43">
        <f>RawData!CQ180</f>
        <v>0</v>
      </c>
      <c r="CV182" s="47">
        <f>RawData!CR180</f>
        <v>0</v>
      </c>
      <c r="CW182" s="65">
        <f>RawData!DK180</f>
        <v>0</v>
      </c>
      <c r="CX182" s="65">
        <f>RawData!DL180</f>
        <v>0</v>
      </c>
      <c r="CY182" s="65">
        <f>RawData!DM180</f>
        <v>0</v>
      </c>
      <c r="CZ182" s="65">
        <f>RawData!DN180</f>
        <v>0</v>
      </c>
      <c r="DA182" s="65">
        <f>RawData!DO180</f>
        <v>0</v>
      </c>
      <c r="DB182" s="65">
        <f>RawData!DP180</f>
        <v>0</v>
      </c>
      <c r="DC182" s="65">
        <f>RawData!DQ180</f>
        <v>0</v>
      </c>
      <c r="DD182" s="65">
        <f>RawData!DR180</f>
        <v>0</v>
      </c>
      <c r="DE182" s="65">
        <f>RawData!DS180</f>
        <v>0</v>
      </c>
      <c r="DF182" s="65">
        <f>RawData!DT180</f>
        <v>0</v>
      </c>
      <c r="DG182" s="66">
        <f>RawData!DU180</f>
        <v>0</v>
      </c>
      <c r="DI182" s="21">
        <f t="shared" si="2"/>
        <v>0</v>
      </c>
    </row>
    <row r="183" spans="1:113" x14ac:dyDescent="0.2">
      <c r="A183" s="59">
        <f>RawData!CN181</f>
        <v>0</v>
      </c>
      <c r="B183" s="44">
        <f>RawData!CH181</f>
        <v>0</v>
      </c>
      <c r="C183" s="44">
        <f>RawData!CG181</f>
        <v>0</v>
      </c>
      <c r="D183" s="43">
        <f>RawData!CF181</f>
        <v>0</v>
      </c>
      <c r="E183" s="44">
        <f>RawData!CE181</f>
        <v>0</v>
      </c>
      <c r="F183" s="43">
        <f>RawData!CD181</f>
        <v>0</v>
      </c>
      <c r="G183" s="44">
        <f>RawData!CC181</f>
        <v>0</v>
      </c>
      <c r="H183" s="44">
        <f>RawData!CB181</f>
        <v>0</v>
      </c>
      <c r="I183" s="44">
        <f>RawData!CA181</f>
        <v>0</v>
      </c>
      <c r="J183" s="44">
        <f>RawData!BZ181</f>
        <v>0</v>
      </c>
      <c r="K183" s="40">
        <f>RawData!BY181</f>
        <v>0</v>
      </c>
      <c r="L183" s="40">
        <f>RawData!BX181</f>
        <v>0</v>
      </c>
      <c r="M183" s="40">
        <f>RawData!BW181</f>
        <v>0</v>
      </c>
      <c r="N183" s="40">
        <f>RawData!BV181</f>
        <v>0</v>
      </c>
      <c r="O183" s="36">
        <f>RawData!BU181</f>
        <v>0</v>
      </c>
      <c r="P183" s="36">
        <f>RawData!BT181</f>
        <v>0</v>
      </c>
      <c r="Q183" s="36">
        <f>RawData!BS181</f>
        <v>0</v>
      </c>
      <c r="R183" s="36">
        <f>RawData!BR181</f>
        <v>0</v>
      </c>
      <c r="S183" s="37">
        <f>RawData!BQ181</f>
        <v>0</v>
      </c>
      <c r="T183" s="37">
        <f>RawData!BP181</f>
        <v>0</v>
      </c>
      <c r="U183" s="38">
        <f>RawData!BO181</f>
        <v>0</v>
      </c>
      <c r="V183" s="38">
        <f>RawData!BN181</f>
        <v>0</v>
      </c>
      <c r="W183" s="39">
        <f>RawData!BM181</f>
        <v>0</v>
      </c>
      <c r="X183" s="39">
        <f>RawData!BL181</f>
        <v>0</v>
      </c>
      <c r="Y183" s="38">
        <f>RawData!BJ181</f>
        <v>0</v>
      </c>
      <c r="Z183" s="38">
        <f>RawData!BI181</f>
        <v>0</v>
      </c>
      <c r="AA183" s="40">
        <f>RawData!BH181</f>
        <v>0</v>
      </c>
      <c r="AB183" s="40">
        <f>RawData!BG181</f>
        <v>0</v>
      </c>
      <c r="AC183" s="40">
        <f>RawData!BF181</f>
        <v>0</v>
      </c>
      <c r="AD183" s="40">
        <f>RawData!BE181</f>
        <v>0</v>
      </c>
      <c r="AE183" s="40">
        <f>RawData!BD181</f>
        <v>0</v>
      </c>
      <c r="AF183" s="40">
        <f>RawData!BC181</f>
        <v>0</v>
      </c>
      <c r="AG183" s="41">
        <f>RawData!BB181</f>
        <v>0</v>
      </c>
      <c r="AH183" s="42">
        <f>RawData!DB181</f>
        <v>0</v>
      </c>
      <c r="AI183" s="41">
        <f>RawData!BA181</f>
        <v>0</v>
      </c>
      <c r="AJ183" s="43">
        <f>RawData!DA181</f>
        <v>0</v>
      </c>
      <c r="AK183" s="41">
        <f>RawData!AZ181</f>
        <v>0</v>
      </c>
      <c r="AL183" s="42">
        <f>RawData!DD181</f>
        <v>0</v>
      </c>
      <c r="AM183" s="44">
        <f>RawData!DC181</f>
        <v>0</v>
      </c>
      <c r="AN183" s="45">
        <f>RawData!BK181</f>
        <v>0</v>
      </c>
      <c r="AO183" s="44">
        <f>RawData!AY181</f>
        <v>0</v>
      </c>
      <c r="AP183" s="43">
        <f>RawData!DH181</f>
        <v>0</v>
      </c>
      <c r="AQ183" s="43">
        <f>RawData!DE181</f>
        <v>0</v>
      </c>
      <c r="AR183" s="42">
        <f>RawData!CZ181</f>
        <v>0</v>
      </c>
      <c r="AS183" s="44">
        <f>RawData!AX181</f>
        <v>0</v>
      </c>
      <c r="AT183" s="43">
        <f>RawData!CY181</f>
        <v>0</v>
      </c>
      <c r="AU183" s="44">
        <f>RawData!AW181</f>
        <v>0</v>
      </c>
      <c r="AV183" s="46">
        <f>RawData!O181</f>
        <v>0</v>
      </c>
      <c r="AW183" s="44">
        <f>RawData!AV181</f>
        <v>0</v>
      </c>
      <c r="AX183" s="44">
        <f>RawData!CW181</f>
        <v>0</v>
      </c>
      <c r="AY183" s="44">
        <f>RawData!AU181</f>
        <v>0</v>
      </c>
      <c r="AZ183" s="42">
        <f>RawData!CX181</f>
        <v>0</v>
      </c>
      <c r="BA183" s="44">
        <f>RawData!DF181</f>
        <v>0</v>
      </c>
      <c r="BB183" s="43">
        <f>RawData!DI181</f>
        <v>0</v>
      </c>
      <c r="BC183" s="44">
        <f>RawData!AT181</f>
        <v>0</v>
      </c>
      <c r="BD183" s="45">
        <f>RawData!AP181</f>
        <v>0</v>
      </c>
      <c r="BE183" s="44">
        <f>RawData!CS181</f>
        <v>0</v>
      </c>
      <c r="BF183" s="42">
        <f>RawData!CT181</f>
        <v>0</v>
      </c>
      <c r="BG183" s="41">
        <f>RawData!AS181</f>
        <v>0</v>
      </c>
      <c r="BH183" s="41">
        <f>RawData!CU181</f>
        <v>0</v>
      </c>
      <c r="BI183" s="41">
        <f>RawData!AR181</f>
        <v>0</v>
      </c>
      <c r="BJ183" s="42">
        <f>RawData!CV181</f>
        <v>0</v>
      </c>
      <c r="BK183" s="41">
        <f>RawData!AQ181</f>
        <v>0</v>
      </c>
      <c r="BL183" s="40">
        <f>RawData!AO181</f>
        <v>0</v>
      </c>
      <c r="BM183" s="40">
        <f>RawData!AN181</f>
        <v>0</v>
      </c>
      <c r="BN183" s="40">
        <f>RawData!AM181</f>
        <v>0</v>
      </c>
      <c r="BO183" s="40">
        <f>RawData!AL181</f>
        <v>0</v>
      </c>
      <c r="BP183" s="40">
        <f>RawData!AK181</f>
        <v>0</v>
      </c>
      <c r="BQ183" s="40">
        <f>RawData!AJ181</f>
        <v>0</v>
      </c>
      <c r="BR183" s="38">
        <f>RawData!AI181</f>
        <v>0</v>
      </c>
      <c r="BS183" s="38">
        <f>RawData!AH181</f>
        <v>0</v>
      </c>
      <c r="BT183" s="40">
        <f>RawData!AG181</f>
        <v>0</v>
      </c>
      <c r="BU183" s="39">
        <f>RawData!AF181</f>
        <v>0</v>
      </c>
      <c r="BV183" s="39">
        <f>RawData!AE181</f>
        <v>0</v>
      </c>
      <c r="BW183" s="38">
        <f>RawData!AD181</f>
        <v>0</v>
      </c>
      <c r="BX183" s="38">
        <f>RawData!AC181</f>
        <v>0</v>
      </c>
      <c r="BY183" s="37">
        <f>RawData!AB181</f>
        <v>0</v>
      </c>
      <c r="BZ183" s="37">
        <f>RawData!AA181</f>
        <v>0</v>
      </c>
      <c r="CA183" s="36">
        <f>RawData!Z181</f>
        <v>0</v>
      </c>
      <c r="CB183" s="36">
        <f>RawData!Y181</f>
        <v>0</v>
      </c>
      <c r="CC183" s="36">
        <f>RawData!X181</f>
        <v>0</v>
      </c>
      <c r="CD183" s="36">
        <f>RawData!W181</f>
        <v>0</v>
      </c>
      <c r="CE183" s="40">
        <f>RawData!V181</f>
        <v>0</v>
      </c>
      <c r="CF183" s="40">
        <f>RawData!U181</f>
        <v>0</v>
      </c>
      <c r="CG183" s="40">
        <f>RawData!T181</f>
        <v>0</v>
      </c>
      <c r="CH183" s="44">
        <f>RawData!S181</f>
        <v>0</v>
      </c>
      <c r="CI183" s="44">
        <f>RawData!R181</f>
        <v>0</v>
      </c>
      <c r="CJ183" s="44">
        <f>RawData!Q181</f>
        <v>0</v>
      </c>
      <c r="CK183" s="44">
        <f>RawData!P181</f>
        <v>0</v>
      </c>
      <c r="CL183" s="44">
        <f>RawData!CJ181</f>
        <v>0</v>
      </c>
      <c r="CM183" s="43">
        <f>RawData!CI181</f>
        <v>0</v>
      </c>
      <c r="CN183" s="44">
        <f>RawData!CL181</f>
        <v>0</v>
      </c>
      <c r="CO183" s="43">
        <f>RawData!CK181</f>
        <v>0</v>
      </c>
      <c r="CP183" s="44">
        <f>RawData!CM181</f>
        <v>0</v>
      </c>
      <c r="CQ183" s="47">
        <f>RawData!CO181</f>
        <v>0</v>
      </c>
      <c r="CR183" s="44">
        <f>RawData!CP181</f>
        <v>0</v>
      </c>
      <c r="CS183" s="44">
        <f>RawData!DG181</f>
        <v>0</v>
      </c>
      <c r="CT183" s="43">
        <f>RawData!DJ181</f>
        <v>0</v>
      </c>
      <c r="CU183" s="43">
        <f>RawData!CQ181</f>
        <v>0</v>
      </c>
      <c r="CV183" s="47">
        <f>RawData!CR181</f>
        <v>0</v>
      </c>
      <c r="CW183" s="65">
        <f>RawData!DK181</f>
        <v>0</v>
      </c>
      <c r="CX183" s="65">
        <f>RawData!DL181</f>
        <v>0</v>
      </c>
      <c r="CY183" s="65">
        <f>RawData!DM181</f>
        <v>0</v>
      </c>
      <c r="CZ183" s="65">
        <f>RawData!DN181</f>
        <v>0</v>
      </c>
      <c r="DA183" s="65">
        <f>RawData!DO181</f>
        <v>0</v>
      </c>
      <c r="DB183" s="65">
        <f>RawData!DP181</f>
        <v>0</v>
      </c>
      <c r="DC183" s="65">
        <f>RawData!DQ181</f>
        <v>0</v>
      </c>
      <c r="DD183" s="65">
        <f>RawData!DR181</f>
        <v>0</v>
      </c>
      <c r="DE183" s="65">
        <f>RawData!DS181</f>
        <v>0</v>
      </c>
      <c r="DF183" s="65">
        <f>RawData!DT181</f>
        <v>0</v>
      </c>
      <c r="DG183" s="66">
        <f>RawData!DU181</f>
        <v>0</v>
      </c>
      <c r="DI183" s="21">
        <f t="shared" si="2"/>
        <v>0</v>
      </c>
    </row>
    <row r="184" spans="1:113" x14ac:dyDescent="0.2">
      <c r="A184" s="59">
        <f>RawData!CN182</f>
        <v>0</v>
      </c>
      <c r="B184" s="44">
        <f>RawData!CH182</f>
        <v>0</v>
      </c>
      <c r="C184" s="44">
        <f>RawData!CG182</f>
        <v>0</v>
      </c>
      <c r="D184" s="43">
        <f>RawData!CF182</f>
        <v>0</v>
      </c>
      <c r="E184" s="44">
        <f>RawData!CE182</f>
        <v>0</v>
      </c>
      <c r="F184" s="43">
        <f>RawData!CD182</f>
        <v>0</v>
      </c>
      <c r="G184" s="44">
        <f>RawData!CC182</f>
        <v>0</v>
      </c>
      <c r="H184" s="44">
        <f>RawData!CB182</f>
        <v>0</v>
      </c>
      <c r="I184" s="44">
        <f>RawData!CA182</f>
        <v>0</v>
      </c>
      <c r="J184" s="44">
        <f>RawData!BZ182</f>
        <v>0</v>
      </c>
      <c r="K184" s="40">
        <f>RawData!BY182</f>
        <v>0</v>
      </c>
      <c r="L184" s="40">
        <f>RawData!BX182</f>
        <v>0</v>
      </c>
      <c r="M184" s="40">
        <f>RawData!BW182</f>
        <v>0</v>
      </c>
      <c r="N184" s="40">
        <f>RawData!BV182</f>
        <v>0</v>
      </c>
      <c r="O184" s="36">
        <f>RawData!BU182</f>
        <v>0</v>
      </c>
      <c r="P184" s="36">
        <f>RawData!BT182</f>
        <v>0</v>
      </c>
      <c r="Q184" s="36">
        <f>RawData!BS182</f>
        <v>0</v>
      </c>
      <c r="R184" s="36">
        <f>RawData!BR182</f>
        <v>0</v>
      </c>
      <c r="S184" s="37">
        <f>RawData!BQ182</f>
        <v>0</v>
      </c>
      <c r="T184" s="37">
        <f>RawData!BP182</f>
        <v>0</v>
      </c>
      <c r="U184" s="38">
        <f>RawData!BO182</f>
        <v>0</v>
      </c>
      <c r="V184" s="38">
        <f>RawData!BN182</f>
        <v>0</v>
      </c>
      <c r="W184" s="39">
        <f>RawData!BM182</f>
        <v>0</v>
      </c>
      <c r="X184" s="39">
        <f>RawData!BL182</f>
        <v>0</v>
      </c>
      <c r="Y184" s="38">
        <f>RawData!BJ182</f>
        <v>0</v>
      </c>
      <c r="Z184" s="38">
        <f>RawData!BI182</f>
        <v>0</v>
      </c>
      <c r="AA184" s="40">
        <f>RawData!BH182</f>
        <v>0</v>
      </c>
      <c r="AB184" s="40">
        <f>RawData!BG182</f>
        <v>0</v>
      </c>
      <c r="AC184" s="40">
        <f>RawData!BF182</f>
        <v>0</v>
      </c>
      <c r="AD184" s="40">
        <f>RawData!BE182</f>
        <v>0</v>
      </c>
      <c r="AE184" s="40">
        <f>RawData!BD182</f>
        <v>0</v>
      </c>
      <c r="AF184" s="40">
        <f>RawData!BC182</f>
        <v>0</v>
      </c>
      <c r="AG184" s="41">
        <f>RawData!BB182</f>
        <v>0</v>
      </c>
      <c r="AH184" s="42">
        <f>RawData!DB182</f>
        <v>0</v>
      </c>
      <c r="AI184" s="41">
        <f>RawData!BA182</f>
        <v>0</v>
      </c>
      <c r="AJ184" s="43">
        <f>RawData!DA182</f>
        <v>0</v>
      </c>
      <c r="AK184" s="41">
        <f>RawData!AZ182</f>
        <v>0</v>
      </c>
      <c r="AL184" s="42">
        <f>RawData!DD182</f>
        <v>0</v>
      </c>
      <c r="AM184" s="44">
        <f>RawData!DC182</f>
        <v>0</v>
      </c>
      <c r="AN184" s="45">
        <f>RawData!BK182</f>
        <v>0</v>
      </c>
      <c r="AO184" s="44">
        <f>RawData!AY182</f>
        <v>0</v>
      </c>
      <c r="AP184" s="43">
        <f>RawData!DH182</f>
        <v>0</v>
      </c>
      <c r="AQ184" s="43">
        <f>RawData!DE182</f>
        <v>0</v>
      </c>
      <c r="AR184" s="42">
        <f>RawData!CZ182</f>
        <v>0</v>
      </c>
      <c r="AS184" s="44">
        <f>RawData!AX182</f>
        <v>0</v>
      </c>
      <c r="AT184" s="43">
        <f>RawData!CY182</f>
        <v>0</v>
      </c>
      <c r="AU184" s="44">
        <f>RawData!AW182</f>
        <v>0</v>
      </c>
      <c r="AV184" s="46">
        <f>RawData!O182</f>
        <v>0</v>
      </c>
      <c r="AW184" s="44">
        <f>RawData!AV182</f>
        <v>0</v>
      </c>
      <c r="AX184" s="44">
        <f>RawData!CW182</f>
        <v>0</v>
      </c>
      <c r="AY184" s="44">
        <f>RawData!AU182</f>
        <v>0</v>
      </c>
      <c r="AZ184" s="42">
        <f>RawData!CX182</f>
        <v>0</v>
      </c>
      <c r="BA184" s="44">
        <f>RawData!DF182</f>
        <v>0</v>
      </c>
      <c r="BB184" s="43">
        <f>RawData!DI182</f>
        <v>0</v>
      </c>
      <c r="BC184" s="44">
        <f>RawData!AT182</f>
        <v>0</v>
      </c>
      <c r="BD184" s="45">
        <f>RawData!AP182</f>
        <v>0</v>
      </c>
      <c r="BE184" s="44">
        <f>RawData!CS182</f>
        <v>0</v>
      </c>
      <c r="BF184" s="42">
        <f>RawData!CT182</f>
        <v>0</v>
      </c>
      <c r="BG184" s="41">
        <f>RawData!AS182</f>
        <v>0</v>
      </c>
      <c r="BH184" s="41">
        <f>RawData!CU182</f>
        <v>0</v>
      </c>
      <c r="BI184" s="41">
        <f>RawData!AR182</f>
        <v>0</v>
      </c>
      <c r="BJ184" s="42">
        <f>RawData!CV182</f>
        <v>0</v>
      </c>
      <c r="BK184" s="41">
        <f>RawData!AQ182</f>
        <v>0</v>
      </c>
      <c r="BL184" s="40">
        <f>RawData!AO182</f>
        <v>0</v>
      </c>
      <c r="BM184" s="40">
        <f>RawData!AN182</f>
        <v>0</v>
      </c>
      <c r="BN184" s="40">
        <f>RawData!AM182</f>
        <v>0</v>
      </c>
      <c r="BO184" s="40">
        <f>RawData!AL182</f>
        <v>0</v>
      </c>
      <c r="BP184" s="40">
        <f>RawData!AK182</f>
        <v>0</v>
      </c>
      <c r="BQ184" s="40">
        <f>RawData!AJ182</f>
        <v>0</v>
      </c>
      <c r="BR184" s="38">
        <f>RawData!AI182</f>
        <v>0</v>
      </c>
      <c r="BS184" s="38">
        <f>RawData!AH182</f>
        <v>0</v>
      </c>
      <c r="BT184" s="40">
        <f>RawData!AG182</f>
        <v>0</v>
      </c>
      <c r="BU184" s="39">
        <f>RawData!AF182</f>
        <v>0</v>
      </c>
      <c r="BV184" s="39">
        <f>RawData!AE182</f>
        <v>0</v>
      </c>
      <c r="BW184" s="38">
        <f>RawData!AD182</f>
        <v>0</v>
      </c>
      <c r="BX184" s="38">
        <f>RawData!AC182</f>
        <v>0</v>
      </c>
      <c r="BY184" s="37">
        <f>RawData!AB182</f>
        <v>0</v>
      </c>
      <c r="BZ184" s="37">
        <f>RawData!AA182</f>
        <v>0</v>
      </c>
      <c r="CA184" s="36">
        <f>RawData!Z182</f>
        <v>0</v>
      </c>
      <c r="CB184" s="36">
        <f>RawData!Y182</f>
        <v>0</v>
      </c>
      <c r="CC184" s="36">
        <f>RawData!X182</f>
        <v>0</v>
      </c>
      <c r="CD184" s="36">
        <f>RawData!W182</f>
        <v>0</v>
      </c>
      <c r="CE184" s="40">
        <f>RawData!V182</f>
        <v>0</v>
      </c>
      <c r="CF184" s="40">
        <f>RawData!U182</f>
        <v>0</v>
      </c>
      <c r="CG184" s="40">
        <f>RawData!T182</f>
        <v>0</v>
      </c>
      <c r="CH184" s="44">
        <f>RawData!S182</f>
        <v>0</v>
      </c>
      <c r="CI184" s="44">
        <f>RawData!R182</f>
        <v>0</v>
      </c>
      <c r="CJ184" s="44">
        <f>RawData!Q182</f>
        <v>0</v>
      </c>
      <c r="CK184" s="44">
        <f>RawData!P182</f>
        <v>0</v>
      </c>
      <c r="CL184" s="44">
        <f>RawData!CJ182</f>
        <v>0</v>
      </c>
      <c r="CM184" s="43">
        <f>RawData!CI182</f>
        <v>0</v>
      </c>
      <c r="CN184" s="44">
        <f>RawData!CL182</f>
        <v>0</v>
      </c>
      <c r="CO184" s="43">
        <f>RawData!CK182</f>
        <v>0</v>
      </c>
      <c r="CP184" s="44">
        <f>RawData!CM182</f>
        <v>0</v>
      </c>
      <c r="CQ184" s="47">
        <f>RawData!CO182</f>
        <v>0</v>
      </c>
      <c r="CR184" s="44">
        <f>RawData!CP182</f>
        <v>0</v>
      </c>
      <c r="CS184" s="44">
        <f>RawData!DG182</f>
        <v>0</v>
      </c>
      <c r="CT184" s="43">
        <f>RawData!DJ182</f>
        <v>0</v>
      </c>
      <c r="CU184" s="43">
        <f>RawData!CQ182</f>
        <v>0</v>
      </c>
      <c r="CV184" s="47">
        <f>RawData!CR182</f>
        <v>0</v>
      </c>
      <c r="CW184" s="65">
        <f>RawData!DK182</f>
        <v>0</v>
      </c>
      <c r="CX184" s="65">
        <f>RawData!DL182</f>
        <v>0</v>
      </c>
      <c r="CY184" s="65">
        <f>RawData!DM182</f>
        <v>0</v>
      </c>
      <c r="CZ184" s="65">
        <f>RawData!DN182</f>
        <v>0</v>
      </c>
      <c r="DA184" s="65">
        <f>RawData!DO182</f>
        <v>0</v>
      </c>
      <c r="DB184" s="65">
        <f>RawData!DP182</f>
        <v>0</v>
      </c>
      <c r="DC184" s="65">
        <f>RawData!DQ182</f>
        <v>0</v>
      </c>
      <c r="DD184" s="65">
        <f>RawData!DR182</f>
        <v>0</v>
      </c>
      <c r="DE184" s="65">
        <f>RawData!DS182</f>
        <v>0</v>
      </c>
      <c r="DF184" s="65">
        <f>RawData!DT182</f>
        <v>0</v>
      </c>
      <c r="DG184" s="66">
        <f>RawData!DU182</f>
        <v>0</v>
      </c>
      <c r="DI184" s="21">
        <f t="shared" si="2"/>
        <v>0</v>
      </c>
    </row>
    <row r="185" spans="1:113" x14ac:dyDescent="0.2">
      <c r="A185" s="59">
        <f>RawData!CN183</f>
        <v>0</v>
      </c>
      <c r="B185" s="44">
        <f>RawData!CH183</f>
        <v>0</v>
      </c>
      <c r="C185" s="44">
        <f>RawData!CG183</f>
        <v>0</v>
      </c>
      <c r="D185" s="43">
        <f>RawData!CF183</f>
        <v>0</v>
      </c>
      <c r="E185" s="44">
        <f>RawData!CE183</f>
        <v>0</v>
      </c>
      <c r="F185" s="43">
        <f>RawData!CD183</f>
        <v>0</v>
      </c>
      <c r="G185" s="44">
        <f>RawData!CC183</f>
        <v>0</v>
      </c>
      <c r="H185" s="44">
        <f>RawData!CB183</f>
        <v>0</v>
      </c>
      <c r="I185" s="44">
        <f>RawData!CA183</f>
        <v>0</v>
      </c>
      <c r="J185" s="44">
        <f>RawData!BZ183</f>
        <v>0</v>
      </c>
      <c r="K185" s="40">
        <f>RawData!BY183</f>
        <v>0</v>
      </c>
      <c r="L185" s="40">
        <f>RawData!BX183</f>
        <v>0</v>
      </c>
      <c r="M185" s="40">
        <f>RawData!BW183</f>
        <v>0</v>
      </c>
      <c r="N185" s="40">
        <f>RawData!BV183</f>
        <v>0</v>
      </c>
      <c r="O185" s="36">
        <f>RawData!BU183</f>
        <v>0</v>
      </c>
      <c r="P185" s="36">
        <f>RawData!BT183</f>
        <v>0</v>
      </c>
      <c r="Q185" s="36">
        <f>RawData!BS183</f>
        <v>0</v>
      </c>
      <c r="R185" s="36">
        <f>RawData!BR183</f>
        <v>0</v>
      </c>
      <c r="S185" s="37">
        <f>RawData!BQ183</f>
        <v>0</v>
      </c>
      <c r="T185" s="37">
        <f>RawData!BP183</f>
        <v>0</v>
      </c>
      <c r="U185" s="38">
        <f>RawData!BO183</f>
        <v>0</v>
      </c>
      <c r="V185" s="38">
        <f>RawData!BN183</f>
        <v>0</v>
      </c>
      <c r="W185" s="39">
        <f>RawData!BM183</f>
        <v>0</v>
      </c>
      <c r="X185" s="39">
        <f>RawData!BL183</f>
        <v>0</v>
      </c>
      <c r="Y185" s="38">
        <f>RawData!BJ183</f>
        <v>0</v>
      </c>
      <c r="Z185" s="38">
        <f>RawData!BI183</f>
        <v>0</v>
      </c>
      <c r="AA185" s="40">
        <f>RawData!BH183</f>
        <v>0</v>
      </c>
      <c r="AB185" s="40">
        <f>RawData!BG183</f>
        <v>0</v>
      </c>
      <c r="AC185" s="40">
        <f>RawData!BF183</f>
        <v>0</v>
      </c>
      <c r="AD185" s="40">
        <f>RawData!BE183</f>
        <v>0</v>
      </c>
      <c r="AE185" s="40">
        <f>RawData!BD183</f>
        <v>0</v>
      </c>
      <c r="AF185" s="40">
        <f>RawData!BC183</f>
        <v>0</v>
      </c>
      <c r="AG185" s="41">
        <f>RawData!BB183</f>
        <v>0</v>
      </c>
      <c r="AH185" s="42">
        <f>RawData!DB183</f>
        <v>0</v>
      </c>
      <c r="AI185" s="41">
        <f>RawData!BA183</f>
        <v>0</v>
      </c>
      <c r="AJ185" s="43">
        <f>RawData!DA183</f>
        <v>0</v>
      </c>
      <c r="AK185" s="41">
        <f>RawData!AZ183</f>
        <v>0</v>
      </c>
      <c r="AL185" s="42">
        <f>RawData!DD183</f>
        <v>0</v>
      </c>
      <c r="AM185" s="44">
        <f>RawData!DC183</f>
        <v>0</v>
      </c>
      <c r="AN185" s="45">
        <f>RawData!BK183</f>
        <v>0</v>
      </c>
      <c r="AO185" s="44">
        <f>RawData!AY183</f>
        <v>0</v>
      </c>
      <c r="AP185" s="43">
        <f>RawData!DH183</f>
        <v>0</v>
      </c>
      <c r="AQ185" s="43">
        <f>RawData!DE183</f>
        <v>0</v>
      </c>
      <c r="AR185" s="42">
        <f>RawData!CZ183</f>
        <v>0</v>
      </c>
      <c r="AS185" s="44">
        <f>RawData!AX183</f>
        <v>0</v>
      </c>
      <c r="AT185" s="43">
        <f>RawData!CY183</f>
        <v>0</v>
      </c>
      <c r="AU185" s="44">
        <f>RawData!AW183</f>
        <v>0</v>
      </c>
      <c r="AV185" s="46">
        <f>RawData!O183</f>
        <v>0</v>
      </c>
      <c r="AW185" s="44">
        <f>RawData!AV183</f>
        <v>0</v>
      </c>
      <c r="AX185" s="44">
        <f>RawData!CW183</f>
        <v>0</v>
      </c>
      <c r="AY185" s="44">
        <f>RawData!AU183</f>
        <v>0</v>
      </c>
      <c r="AZ185" s="42">
        <f>RawData!CX183</f>
        <v>0</v>
      </c>
      <c r="BA185" s="44">
        <f>RawData!DF183</f>
        <v>0</v>
      </c>
      <c r="BB185" s="43">
        <f>RawData!DI183</f>
        <v>0</v>
      </c>
      <c r="BC185" s="44">
        <f>RawData!AT183</f>
        <v>0</v>
      </c>
      <c r="BD185" s="45">
        <f>RawData!AP183</f>
        <v>0</v>
      </c>
      <c r="BE185" s="44">
        <f>RawData!CS183</f>
        <v>0</v>
      </c>
      <c r="BF185" s="42">
        <f>RawData!CT183</f>
        <v>0</v>
      </c>
      <c r="BG185" s="41">
        <f>RawData!AS183</f>
        <v>0</v>
      </c>
      <c r="BH185" s="41">
        <f>RawData!CU183</f>
        <v>0</v>
      </c>
      <c r="BI185" s="41">
        <f>RawData!AR183</f>
        <v>0</v>
      </c>
      <c r="BJ185" s="42">
        <f>RawData!CV183</f>
        <v>0</v>
      </c>
      <c r="BK185" s="41">
        <f>RawData!AQ183</f>
        <v>0</v>
      </c>
      <c r="BL185" s="40">
        <f>RawData!AO183</f>
        <v>0</v>
      </c>
      <c r="BM185" s="40">
        <f>RawData!AN183</f>
        <v>0</v>
      </c>
      <c r="BN185" s="40">
        <f>RawData!AM183</f>
        <v>0</v>
      </c>
      <c r="BO185" s="40">
        <f>RawData!AL183</f>
        <v>0</v>
      </c>
      <c r="BP185" s="40">
        <f>RawData!AK183</f>
        <v>0</v>
      </c>
      <c r="BQ185" s="40">
        <f>RawData!AJ183</f>
        <v>0</v>
      </c>
      <c r="BR185" s="38">
        <f>RawData!AI183</f>
        <v>0</v>
      </c>
      <c r="BS185" s="38">
        <f>RawData!AH183</f>
        <v>0</v>
      </c>
      <c r="BT185" s="40">
        <f>RawData!AG183</f>
        <v>0</v>
      </c>
      <c r="BU185" s="39">
        <f>RawData!AF183</f>
        <v>0</v>
      </c>
      <c r="BV185" s="39">
        <f>RawData!AE183</f>
        <v>0</v>
      </c>
      <c r="BW185" s="38">
        <f>RawData!AD183</f>
        <v>0</v>
      </c>
      <c r="BX185" s="38">
        <f>RawData!AC183</f>
        <v>0</v>
      </c>
      <c r="BY185" s="37">
        <f>RawData!AB183</f>
        <v>0</v>
      </c>
      <c r="BZ185" s="37">
        <f>RawData!AA183</f>
        <v>0</v>
      </c>
      <c r="CA185" s="36">
        <f>RawData!Z183</f>
        <v>0</v>
      </c>
      <c r="CB185" s="36">
        <f>RawData!Y183</f>
        <v>0</v>
      </c>
      <c r="CC185" s="36">
        <f>RawData!X183</f>
        <v>0</v>
      </c>
      <c r="CD185" s="36">
        <f>RawData!W183</f>
        <v>0</v>
      </c>
      <c r="CE185" s="40">
        <f>RawData!V183</f>
        <v>0</v>
      </c>
      <c r="CF185" s="40">
        <f>RawData!U183</f>
        <v>0</v>
      </c>
      <c r="CG185" s="40">
        <f>RawData!T183</f>
        <v>0</v>
      </c>
      <c r="CH185" s="44">
        <f>RawData!S183</f>
        <v>0</v>
      </c>
      <c r="CI185" s="44">
        <f>RawData!R183</f>
        <v>0</v>
      </c>
      <c r="CJ185" s="44">
        <f>RawData!Q183</f>
        <v>0</v>
      </c>
      <c r="CK185" s="44">
        <f>RawData!P183</f>
        <v>0</v>
      </c>
      <c r="CL185" s="44">
        <f>RawData!CJ183</f>
        <v>0</v>
      </c>
      <c r="CM185" s="43">
        <f>RawData!CI183</f>
        <v>0</v>
      </c>
      <c r="CN185" s="44">
        <f>RawData!CL183</f>
        <v>0</v>
      </c>
      <c r="CO185" s="43">
        <f>RawData!CK183</f>
        <v>0</v>
      </c>
      <c r="CP185" s="44">
        <f>RawData!CM183</f>
        <v>0</v>
      </c>
      <c r="CQ185" s="47">
        <f>RawData!CO183</f>
        <v>0</v>
      </c>
      <c r="CR185" s="44">
        <f>RawData!CP183</f>
        <v>0</v>
      </c>
      <c r="CS185" s="44">
        <f>RawData!DG183</f>
        <v>0</v>
      </c>
      <c r="CT185" s="43">
        <f>RawData!DJ183</f>
        <v>0</v>
      </c>
      <c r="CU185" s="43">
        <f>RawData!CQ183</f>
        <v>0</v>
      </c>
      <c r="CV185" s="47">
        <f>RawData!CR183</f>
        <v>0</v>
      </c>
      <c r="CW185" s="65">
        <f>RawData!DK183</f>
        <v>0</v>
      </c>
      <c r="CX185" s="65">
        <f>RawData!DL183</f>
        <v>0</v>
      </c>
      <c r="CY185" s="65">
        <f>RawData!DM183</f>
        <v>0</v>
      </c>
      <c r="CZ185" s="65">
        <f>RawData!DN183</f>
        <v>0</v>
      </c>
      <c r="DA185" s="65">
        <f>RawData!DO183</f>
        <v>0</v>
      </c>
      <c r="DB185" s="65">
        <f>RawData!DP183</f>
        <v>0</v>
      </c>
      <c r="DC185" s="65">
        <f>RawData!DQ183</f>
        <v>0</v>
      </c>
      <c r="DD185" s="65">
        <f>RawData!DR183</f>
        <v>0</v>
      </c>
      <c r="DE185" s="65">
        <f>RawData!DS183</f>
        <v>0</v>
      </c>
      <c r="DF185" s="65">
        <f>RawData!DT183</f>
        <v>0</v>
      </c>
      <c r="DG185" s="66">
        <f>RawData!DU183</f>
        <v>0</v>
      </c>
      <c r="DI185" s="21">
        <f t="shared" si="2"/>
        <v>0</v>
      </c>
    </row>
    <row r="186" spans="1:113" x14ac:dyDescent="0.2">
      <c r="A186" s="59">
        <f>RawData!CN184</f>
        <v>0</v>
      </c>
      <c r="B186" s="44">
        <f>RawData!CH184</f>
        <v>0</v>
      </c>
      <c r="C186" s="44">
        <f>RawData!CG184</f>
        <v>0</v>
      </c>
      <c r="D186" s="43">
        <f>RawData!CF184</f>
        <v>0</v>
      </c>
      <c r="E186" s="44">
        <f>RawData!CE184</f>
        <v>0</v>
      </c>
      <c r="F186" s="43">
        <f>RawData!CD184</f>
        <v>0</v>
      </c>
      <c r="G186" s="44">
        <f>RawData!CC184</f>
        <v>0</v>
      </c>
      <c r="H186" s="44">
        <f>RawData!CB184</f>
        <v>0</v>
      </c>
      <c r="I186" s="44">
        <f>RawData!CA184</f>
        <v>0</v>
      </c>
      <c r="J186" s="44">
        <f>RawData!BZ184</f>
        <v>0</v>
      </c>
      <c r="K186" s="40">
        <f>RawData!BY184</f>
        <v>0</v>
      </c>
      <c r="L186" s="40">
        <f>RawData!BX184</f>
        <v>0</v>
      </c>
      <c r="M186" s="40">
        <f>RawData!BW184</f>
        <v>0</v>
      </c>
      <c r="N186" s="40">
        <f>RawData!BV184</f>
        <v>0</v>
      </c>
      <c r="O186" s="36">
        <f>RawData!BU184</f>
        <v>0</v>
      </c>
      <c r="P186" s="36">
        <f>RawData!BT184</f>
        <v>0</v>
      </c>
      <c r="Q186" s="36">
        <f>RawData!BS184</f>
        <v>0</v>
      </c>
      <c r="R186" s="36">
        <f>RawData!BR184</f>
        <v>0</v>
      </c>
      <c r="S186" s="37">
        <f>RawData!BQ184</f>
        <v>0</v>
      </c>
      <c r="T186" s="37">
        <f>RawData!BP184</f>
        <v>0</v>
      </c>
      <c r="U186" s="38">
        <f>RawData!BO184</f>
        <v>0</v>
      </c>
      <c r="V186" s="38">
        <f>RawData!BN184</f>
        <v>0</v>
      </c>
      <c r="W186" s="39">
        <f>RawData!BM184</f>
        <v>0</v>
      </c>
      <c r="X186" s="39">
        <f>RawData!BL184</f>
        <v>0</v>
      </c>
      <c r="Y186" s="38">
        <f>RawData!BJ184</f>
        <v>0</v>
      </c>
      <c r="Z186" s="38">
        <f>RawData!BI184</f>
        <v>0</v>
      </c>
      <c r="AA186" s="40">
        <f>RawData!BH184</f>
        <v>0</v>
      </c>
      <c r="AB186" s="40">
        <f>RawData!BG184</f>
        <v>0</v>
      </c>
      <c r="AC186" s="40">
        <f>RawData!BF184</f>
        <v>0</v>
      </c>
      <c r="AD186" s="40">
        <f>RawData!BE184</f>
        <v>0</v>
      </c>
      <c r="AE186" s="40">
        <f>RawData!BD184</f>
        <v>0</v>
      </c>
      <c r="AF186" s="40">
        <f>RawData!BC184</f>
        <v>0</v>
      </c>
      <c r="AG186" s="41">
        <f>RawData!BB184</f>
        <v>0</v>
      </c>
      <c r="AH186" s="42">
        <f>RawData!DB184</f>
        <v>0</v>
      </c>
      <c r="AI186" s="41">
        <f>RawData!BA184</f>
        <v>0</v>
      </c>
      <c r="AJ186" s="43">
        <f>RawData!DA184</f>
        <v>0</v>
      </c>
      <c r="AK186" s="41">
        <f>RawData!AZ184</f>
        <v>0</v>
      </c>
      <c r="AL186" s="42">
        <f>RawData!DD184</f>
        <v>0</v>
      </c>
      <c r="AM186" s="44">
        <f>RawData!DC184</f>
        <v>0</v>
      </c>
      <c r="AN186" s="45">
        <f>RawData!BK184</f>
        <v>0</v>
      </c>
      <c r="AO186" s="44">
        <f>RawData!AY184</f>
        <v>0</v>
      </c>
      <c r="AP186" s="43">
        <f>RawData!DH184</f>
        <v>0</v>
      </c>
      <c r="AQ186" s="43">
        <f>RawData!DE184</f>
        <v>0</v>
      </c>
      <c r="AR186" s="42">
        <f>RawData!CZ184</f>
        <v>0</v>
      </c>
      <c r="AS186" s="44">
        <f>RawData!AX184</f>
        <v>0</v>
      </c>
      <c r="AT186" s="43">
        <f>RawData!CY184</f>
        <v>0</v>
      </c>
      <c r="AU186" s="44">
        <f>RawData!AW184</f>
        <v>0</v>
      </c>
      <c r="AV186" s="46">
        <f>RawData!O184</f>
        <v>0</v>
      </c>
      <c r="AW186" s="44">
        <f>RawData!AV184</f>
        <v>0</v>
      </c>
      <c r="AX186" s="44">
        <f>RawData!CW184</f>
        <v>0</v>
      </c>
      <c r="AY186" s="44">
        <f>RawData!AU184</f>
        <v>0</v>
      </c>
      <c r="AZ186" s="42">
        <f>RawData!CX184</f>
        <v>0</v>
      </c>
      <c r="BA186" s="44">
        <f>RawData!DF184</f>
        <v>0</v>
      </c>
      <c r="BB186" s="43">
        <f>RawData!DI184</f>
        <v>0</v>
      </c>
      <c r="BC186" s="44">
        <f>RawData!AT184</f>
        <v>0</v>
      </c>
      <c r="BD186" s="45">
        <f>RawData!AP184</f>
        <v>0</v>
      </c>
      <c r="BE186" s="44">
        <f>RawData!CS184</f>
        <v>0</v>
      </c>
      <c r="BF186" s="42">
        <f>RawData!CT184</f>
        <v>0</v>
      </c>
      <c r="BG186" s="41">
        <f>RawData!AS184</f>
        <v>0</v>
      </c>
      <c r="BH186" s="41">
        <f>RawData!CU184</f>
        <v>0</v>
      </c>
      <c r="BI186" s="41">
        <f>RawData!AR184</f>
        <v>0</v>
      </c>
      <c r="BJ186" s="42">
        <f>RawData!CV184</f>
        <v>0</v>
      </c>
      <c r="BK186" s="41">
        <f>RawData!AQ184</f>
        <v>0</v>
      </c>
      <c r="BL186" s="40">
        <f>RawData!AO184</f>
        <v>0</v>
      </c>
      <c r="BM186" s="40">
        <f>RawData!AN184</f>
        <v>0</v>
      </c>
      <c r="BN186" s="40">
        <f>RawData!AM184</f>
        <v>0</v>
      </c>
      <c r="BO186" s="40">
        <f>RawData!AL184</f>
        <v>0</v>
      </c>
      <c r="BP186" s="40">
        <f>RawData!AK184</f>
        <v>0</v>
      </c>
      <c r="BQ186" s="40">
        <f>RawData!AJ184</f>
        <v>0</v>
      </c>
      <c r="BR186" s="38">
        <f>RawData!AI184</f>
        <v>0</v>
      </c>
      <c r="BS186" s="38">
        <f>RawData!AH184</f>
        <v>0</v>
      </c>
      <c r="BT186" s="40">
        <f>RawData!AG184</f>
        <v>0</v>
      </c>
      <c r="BU186" s="39">
        <f>RawData!AF184</f>
        <v>0</v>
      </c>
      <c r="BV186" s="39">
        <f>RawData!AE184</f>
        <v>0</v>
      </c>
      <c r="BW186" s="38">
        <f>RawData!AD184</f>
        <v>0</v>
      </c>
      <c r="BX186" s="38">
        <f>RawData!AC184</f>
        <v>0</v>
      </c>
      <c r="BY186" s="37">
        <f>RawData!AB184</f>
        <v>0</v>
      </c>
      <c r="BZ186" s="37">
        <f>RawData!AA184</f>
        <v>0</v>
      </c>
      <c r="CA186" s="36">
        <f>RawData!Z184</f>
        <v>0</v>
      </c>
      <c r="CB186" s="36">
        <f>RawData!Y184</f>
        <v>0</v>
      </c>
      <c r="CC186" s="36">
        <f>RawData!X184</f>
        <v>0</v>
      </c>
      <c r="CD186" s="36">
        <f>RawData!W184</f>
        <v>0</v>
      </c>
      <c r="CE186" s="40">
        <f>RawData!V184</f>
        <v>0</v>
      </c>
      <c r="CF186" s="40">
        <f>RawData!U184</f>
        <v>0</v>
      </c>
      <c r="CG186" s="40">
        <f>RawData!T184</f>
        <v>0</v>
      </c>
      <c r="CH186" s="44">
        <f>RawData!S184</f>
        <v>0</v>
      </c>
      <c r="CI186" s="44">
        <f>RawData!R184</f>
        <v>0</v>
      </c>
      <c r="CJ186" s="44">
        <f>RawData!Q184</f>
        <v>0</v>
      </c>
      <c r="CK186" s="44">
        <f>RawData!P184</f>
        <v>0</v>
      </c>
      <c r="CL186" s="44">
        <f>RawData!CJ184</f>
        <v>0</v>
      </c>
      <c r="CM186" s="43">
        <f>RawData!CI184</f>
        <v>0</v>
      </c>
      <c r="CN186" s="44">
        <f>RawData!CL184</f>
        <v>0</v>
      </c>
      <c r="CO186" s="43">
        <f>RawData!CK184</f>
        <v>0</v>
      </c>
      <c r="CP186" s="44">
        <f>RawData!CM184</f>
        <v>0</v>
      </c>
      <c r="CQ186" s="47">
        <f>RawData!CO184</f>
        <v>0</v>
      </c>
      <c r="CR186" s="44">
        <f>RawData!CP184</f>
        <v>0</v>
      </c>
      <c r="CS186" s="44">
        <f>RawData!DG184</f>
        <v>0</v>
      </c>
      <c r="CT186" s="43">
        <f>RawData!DJ184</f>
        <v>0</v>
      </c>
      <c r="CU186" s="43">
        <f>RawData!CQ184</f>
        <v>0</v>
      </c>
      <c r="CV186" s="47">
        <f>RawData!CR184</f>
        <v>0</v>
      </c>
      <c r="CW186" s="65">
        <f>RawData!DK184</f>
        <v>0</v>
      </c>
      <c r="CX186" s="65">
        <f>RawData!DL184</f>
        <v>0</v>
      </c>
      <c r="CY186" s="65">
        <f>RawData!DM184</f>
        <v>0</v>
      </c>
      <c r="CZ186" s="65">
        <f>RawData!DN184</f>
        <v>0</v>
      </c>
      <c r="DA186" s="65">
        <f>RawData!DO184</f>
        <v>0</v>
      </c>
      <c r="DB186" s="65">
        <f>RawData!DP184</f>
        <v>0</v>
      </c>
      <c r="DC186" s="65">
        <f>RawData!DQ184</f>
        <v>0</v>
      </c>
      <c r="DD186" s="65">
        <f>RawData!DR184</f>
        <v>0</v>
      </c>
      <c r="DE186" s="65">
        <f>RawData!DS184</f>
        <v>0</v>
      </c>
      <c r="DF186" s="65">
        <f>RawData!DT184</f>
        <v>0</v>
      </c>
      <c r="DG186" s="66">
        <f>RawData!DU184</f>
        <v>0</v>
      </c>
      <c r="DI186" s="21">
        <f t="shared" si="2"/>
        <v>0</v>
      </c>
    </row>
    <row r="187" spans="1:113" x14ac:dyDescent="0.2">
      <c r="A187" s="59">
        <f>RawData!CN185</f>
        <v>0</v>
      </c>
      <c r="B187" s="44">
        <f>RawData!CH185</f>
        <v>0</v>
      </c>
      <c r="C187" s="44">
        <f>RawData!CG185</f>
        <v>0</v>
      </c>
      <c r="D187" s="43">
        <f>RawData!CF185</f>
        <v>0</v>
      </c>
      <c r="E187" s="44">
        <f>RawData!CE185</f>
        <v>0</v>
      </c>
      <c r="F187" s="43">
        <f>RawData!CD185</f>
        <v>0</v>
      </c>
      <c r="G187" s="44">
        <f>RawData!CC185</f>
        <v>0</v>
      </c>
      <c r="H187" s="44">
        <f>RawData!CB185</f>
        <v>0</v>
      </c>
      <c r="I187" s="44">
        <f>RawData!CA185</f>
        <v>0</v>
      </c>
      <c r="J187" s="44">
        <f>RawData!BZ185</f>
        <v>0</v>
      </c>
      <c r="K187" s="40">
        <f>RawData!BY185</f>
        <v>0</v>
      </c>
      <c r="L187" s="40">
        <f>RawData!BX185</f>
        <v>0</v>
      </c>
      <c r="M187" s="40">
        <f>RawData!BW185</f>
        <v>0</v>
      </c>
      <c r="N187" s="40">
        <f>RawData!BV185</f>
        <v>0</v>
      </c>
      <c r="O187" s="36">
        <f>RawData!BU185</f>
        <v>0</v>
      </c>
      <c r="P187" s="36">
        <f>RawData!BT185</f>
        <v>0</v>
      </c>
      <c r="Q187" s="36">
        <f>RawData!BS185</f>
        <v>0</v>
      </c>
      <c r="R187" s="36">
        <f>RawData!BR185</f>
        <v>0</v>
      </c>
      <c r="S187" s="37">
        <f>RawData!BQ185</f>
        <v>0</v>
      </c>
      <c r="T187" s="37">
        <f>RawData!BP185</f>
        <v>0</v>
      </c>
      <c r="U187" s="38">
        <f>RawData!BO185</f>
        <v>0</v>
      </c>
      <c r="V187" s="38">
        <f>RawData!BN185</f>
        <v>0</v>
      </c>
      <c r="W187" s="39">
        <f>RawData!BM185</f>
        <v>0</v>
      </c>
      <c r="X187" s="39">
        <f>RawData!BL185</f>
        <v>0</v>
      </c>
      <c r="Y187" s="38">
        <f>RawData!BJ185</f>
        <v>0</v>
      </c>
      <c r="Z187" s="38">
        <f>RawData!BI185</f>
        <v>0</v>
      </c>
      <c r="AA187" s="40">
        <f>RawData!BH185</f>
        <v>0</v>
      </c>
      <c r="AB187" s="40">
        <f>RawData!BG185</f>
        <v>0</v>
      </c>
      <c r="AC187" s="40">
        <f>RawData!BF185</f>
        <v>0</v>
      </c>
      <c r="AD187" s="40">
        <f>RawData!BE185</f>
        <v>0</v>
      </c>
      <c r="AE187" s="40">
        <f>RawData!BD185</f>
        <v>0</v>
      </c>
      <c r="AF187" s="40">
        <f>RawData!BC185</f>
        <v>0</v>
      </c>
      <c r="AG187" s="41">
        <f>RawData!BB185</f>
        <v>0</v>
      </c>
      <c r="AH187" s="42">
        <f>RawData!DB185</f>
        <v>0</v>
      </c>
      <c r="AI187" s="41">
        <f>RawData!BA185</f>
        <v>0</v>
      </c>
      <c r="AJ187" s="43">
        <f>RawData!DA185</f>
        <v>0</v>
      </c>
      <c r="AK187" s="41">
        <f>RawData!AZ185</f>
        <v>0</v>
      </c>
      <c r="AL187" s="42">
        <f>RawData!DD185</f>
        <v>0</v>
      </c>
      <c r="AM187" s="44">
        <f>RawData!DC185</f>
        <v>0</v>
      </c>
      <c r="AN187" s="45">
        <f>RawData!BK185</f>
        <v>0</v>
      </c>
      <c r="AO187" s="44">
        <f>RawData!AY185</f>
        <v>0</v>
      </c>
      <c r="AP187" s="43">
        <f>RawData!DH185</f>
        <v>0</v>
      </c>
      <c r="AQ187" s="43">
        <f>RawData!DE185</f>
        <v>0</v>
      </c>
      <c r="AR187" s="42">
        <f>RawData!CZ185</f>
        <v>0</v>
      </c>
      <c r="AS187" s="44">
        <f>RawData!AX185</f>
        <v>0</v>
      </c>
      <c r="AT187" s="43">
        <f>RawData!CY185</f>
        <v>0</v>
      </c>
      <c r="AU187" s="44">
        <f>RawData!AW185</f>
        <v>0</v>
      </c>
      <c r="AV187" s="46">
        <f>RawData!O185</f>
        <v>0</v>
      </c>
      <c r="AW187" s="44">
        <f>RawData!AV185</f>
        <v>0</v>
      </c>
      <c r="AX187" s="44">
        <f>RawData!CW185</f>
        <v>0</v>
      </c>
      <c r="AY187" s="44">
        <f>RawData!AU185</f>
        <v>0</v>
      </c>
      <c r="AZ187" s="42">
        <f>RawData!CX185</f>
        <v>0</v>
      </c>
      <c r="BA187" s="44">
        <f>RawData!DF185</f>
        <v>0</v>
      </c>
      <c r="BB187" s="43">
        <f>RawData!DI185</f>
        <v>0</v>
      </c>
      <c r="BC187" s="44">
        <f>RawData!AT185</f>
        <v>0</v>
      </c>
      <c r="BD187" s="45">
        <f>RawData!AP185</f>
        <v>0</v>
      </c>
      <c r="BE187" s="44">
        <f>RawData!CS185</f>
        <v>0</v>
      </c>
      <c r="BF187" s="42">
        <f>RawData!CT185</f>
        <v>0</v>
      </c>
      <c r="BG187" s="41">
        <f>RawData!AS185</f>
        <v>0</v>
      </c>
      <c r="BH187" s="41">
        <f>RawData!CU185</f>
        <v>0</v>
      </c>
      <c r="BI187" s="41">
        <f>RawData!AR185</f>
        <v>0</v>
      </c>
      <c r="BJ187" s="42">
        <f>RawData!CV185</f>
        <v>0</v>
      </c>
      <c r="BK187" s="41">
        <f>RawData!AQ185</f>
        <v>0</v>
      </c>
      <c r="BL187" s="40">
        <f>RawData!AO185</f>
        <v>0</v>
      </c>
      <c r="BM187" s="40">
        <f>RawData!AN185</f>
        <v>0</v>
      </c>
      <c r="BN187" s="40">
        <f>RawData!AM185</f>
        <v>0</v>
      </c>
      <c r="BO187" s="40">
        <f>RawData!AL185</f>
        <v>0</v>
      </c>
      <c r="BP187" s="40">
        <f>RawData!AK185</f>
        <v>0</v>
      </c>
      <c r="BQ187" s="40">
        <f>RawData!AJ185</f>
        <v>0</v>
      </c>
      <c r="BR187" s="38">
        <f>RawData!AI185</f>
        <v>0</v>
      </c>
      <c r="BS187" s="38">
        <f>RawData!AH185</f>
        <v>0</v>
      </c>
      <c r="BT187" s="40">
        <f>RawData!AG185</f>
        <v>0</v>
      </c>
      <c r="BU187" s="39">
        <f>RawData!AF185</f>
        <v>0</v>
      </c>
      <c r="BV187" s="39">
        <f>RawData!AE185</f>
        <v>0</v>
      </c>
      <c r="BW187" s="38">
        <f>RawData!AD185</f>
        <v>0</v>
      </c>
      <c r="BX187" s="38">
        <f>RawData!AC185</f>
        <v>0</v>
      </c>
      <c r="BY187" s="37">
        <f>RawData!AB185</f>
        <v>0</v>
      </c>
      <c r="BZ187" s="37">
        <f>RawData!AA185</f>
        <v>0</v>
      </c>
      <c r="CA187" s="36">
        <f>RawData!Z185</f>
        <v>0</v>
      </c>
      <c r="CB187" s="36">
        <f>RawData!Y185</f>
        <v>0</v>
      </c>
      <c r="CC187" s="36">
        <f>RawData!X185</f>
        <v>0</v>
      </c>
      <c r="CD187" s="36">
        <f>RawData!W185</f>
        <v>0</v>
      </c>
      <c r="CE187" s="40">
        <f>RawData!V185</f>
        <v>0</v>
      </c>
      <c r="CF187" s="40">
        <f>RawData!U185</f>
        <v>0</v>
      </c>
      <c r="CG187" s="40">
        <f>RawData!T185</f>
        <v>0</v>
      </c>
      <c r="CH187" s="44">
        <f>RawData!S185</f>
        <v>0</v>
      </c>
      <c r="CI187" s="44">
        <f>RawData!R185</f>
        <v>0</v>
      </c>
      <c r="CJ187" s="44">
        <f>RawData!Q185</f>
        <v>0</v>
      </c>
      <c r="CK187" s="44">
        <f>RawData!P185</f>
        <v>0</v>
      </c>
      <c r="CL187" s="44">
        <f>RawData!CJ185</f>
        <v>0</v>
      </c>
      <c r="CM187" s="43">
        <f>RawData!CI185</f>
        <v>0</v>
      </c>
      <c r="CN187" s="44">
        <f>RawData!CL185</f>
        <v>0</v>
      </c>
      <c r="CO187" s="43">
        <f>RawData!CK185</f>
        <v>0</v>
      </c>
      <c r="CP187" s="44">
        <f>RawData!CM185</f>
        <v>0</v>
      </c>
      <c r="CQ187" s="47">
        <f>RawData!CO185</f>
        <v>0</v>
      </c>
      <c r="CR187" s="44">
        <f>RawData!CP185</f>
        <v>0</v>
      </c>
      <c r="CS187" s="44">
        <f>RawData!DG185</f>
        <v>0</v>
      </c>
      <c r="CT187" s="43">
        <f>RawData!DJ185</f>
        <v>0</v>
      </c>
      <c r="CU187" s="43">
        <f>RawData!CQ185</f>
        <v>0</v>
      </c>
      <c r="CV187" s="47">
        <f>RawData!CR185</f>
        <v>0</v>
      </c>
      <c r="CW187" s="65">
        <f>RawData!DK185</f>
        <v>0</v>
      </c>
      <c r="CX187" s="65">
        <f>RawData!DL185</f>
        <v>0</v>
      </c>
      <c r="CY187" s="65">
        <f>RawData!DM185</f>
        <v>0</v>
      </c>
      <c r="CZ187" s="65">
        <f>RawData!DN185</f>
        <v>0</v>
      </c>
      <c r="DA187" s="65">
        <f>RawData!DO185</f>
        <v>0</v>
      </c>
      <c r="DB187" s="65">
        <f>RawData!DP185</f>
        <v>0</v>
      </c>
      <c r="DC187" s="65">
        <f>RawData!DQ185</f>
        <v>0</v>
      </c>
      <c r="DD187" s="65">
        <f>RawData!DR185</f>
        <v>0</v>
      </c>
      <c r="DE187" s="65">
        <f>RawData!DS185</f>
        <v>0</v>
      </c>
      <c r="DF187" s="65">
        <f>RawData!DT185</f>
        <v>0</v>
      </c>
      <c r="DG187" s="66">
        <f>RawData!DU185</f>
        <v>0</v>
      </c>
      <c r="DI187" s="21">
        <f t="shared" si="2"/>
        <v>0</v>
      </c>
    </row>
    <row r="188" spans="1:113" x14ac:dyDescent="0.2">
      <c r="A188" s="59">
        <f>RawData!CN186</f>
        <v>0</v>
      </c>
      <c r="B188" s="44">
        <f>RawData!CH186</f>
        <v>0</v>
      </c>
      <c r="C188" s="44">
        <f>RawData!CG186</f>
        <v>0</v>
      </c>
      <c r="D188" s="43">
        <f>RawData!CF186</f>
        <v>0</v>
      </c>
      <c r="E188" s="44">
        <f>RawData!CE186</f>
        <v>0</v>
      </c>
      <c r="F188" s="43">
        <f>RawData!CD186</f>
        <v>0</v>
      </c>
      <c r="G188" s="44">
        <f>RawData!CC186</f>
        <v>0</v>
      </c>
      <c r="H188" s="44">
        <f>RawData!CB186</f>
        <v>0</v>
      </c>
      <c r="I188" s="44">
        <f>RawData!CA186</f>
        <v>0</v>
      </c>
      <c r="J188" s="44">
        <f>RawData!BZ186</f>
        <v>0</v>
      </c>
      <c r="K188" s="40">
        <f>RawData!BY186</f>
        <v>0</v>
      </c>
      <c r="L188" s="40">
        <f>RawData!BX186</f>
        <v>0</v>
      </c>
      <c r="M188" s="40">
        <f>RawData!BW186</f>
        <v>0</v>
      </c>
      <c r="N188" s="40">
        <f>RawData!BV186</f>
        <v>0</v>
      </c>
      <c r="O188" s="36">
        <f>RawData!BU186</f>
        <v>0</v>
      </c>
      <c r="P188" s="36">
        <f>RawData!BT186</f>
        <v>0</v>
      </c>
      <c r="Q188" s="36">
        <f>RawData!BS186</f>
        <v>0</v>
      </c>
      <c r="R188" s="36">
        <f>RawData!BR186</f>
        <v>0</v>
      </c>
      <c r="S188" s="37">
        <f>RawData!BQ186</f>
        <v>0</v>
      </c>
      <c r="T188" s="37">
        <f>RawData!BP186</f>
        <v>0</v>
      </c>
      <c r="U188" s="38">
        <f>RawData!BO186</f>
        <v>0</v>
      </c>
      <c r="V188" s="38">
        <f>RawData!BN186</f>
        <v>0</v>
      </c>
      <c r="W188" s="39">
        <f>RawData!BM186</f>
        <v>0</v>
      </c>
      <c r="X188" s="39">
        <f>RawData!BL186</f>
        <v>0</v>
      </c>
      <c r="Y188" s="38">
        <f>RawData!BJ186</f>
        <v>0</v>
      </c>
      <c r="Z188" s="38">
        <f>RawData!BI186</f>
        <v>0</v>
      </c>
      <c r="AA188" s="40">
        <f>RawData!BH186</f>
        <v>0</v>
      </c>
      <c r="AB188" s="40">
        <f>RawData!BG186</f>
        <v>0</v>
      </c>
      <c r="AC188" s="40">
        <f>RawData!BF186</f>
        <v>0</v>
      </c>
      <c r="AD188" s="40">
        <f>RawData!BE186</f>
        <v>0</v>
      </c>
      <c r="AE188" s="40">
        <f>RawData!BD186</f>
        <v>0</v>
      </c>
      <c r="AF188" s="40">
        <f>RawData!BC186</f>
        <v>0</v>
      </c>
      <c r="AG188" s="41">
        <f>RawData!BB186</f>
        <v>0</v>
      </c>
      <c r="AH188" s="42">
        <f>RawData!DB186</f>
        <v>0</v>
      </c>
      <c r="AI188" s="41">
        <f>RawData!BA186</f>
        <v>0</v>
      </c>
      <c r="AJ188" s="43">
        <f>RawData!DA186</f>
        <v>0</v>
      </c>
      <c r="AK188" s="41">
        <f>RawData!AZ186</f>
        <v>0</v>
      </c>
      <c r="AL188" s="42">
        <f>RawData!DD186</f>
        <v>0</v>
      </c>
      <c r="AM188" s="44">
        <f>RawData!DC186</f>
        <v>0</v>
      </c>
      <c r="AN188" s="45">
        <f>RawData!BK186</f>
        <v>0</v>
      </c>
      <c r="AO188" s="44">
        <f>RawData!AY186</f>
        <v>0</v>
      </c>
      <c r="AP188" s="43">
        <f>RawData!DH186</f>
        <v>0</v>
      </c>
      <c r="AQ188" s="43">
        <f>RawData!DE186</f>
        <v>0</v>
      </c>
      <c r="AR188" s="42">
        <f>RawData!CZ186</f>
        <v>0</v>
      </c>
      <c r="AS188" s="44">
        <f>RawData!AX186</f>
        <v>0</v>
      </c>
      <c r="AT188" s="43">
        <f>RawData!CY186</f>
        <v>0</v>
      </c>
      <c r="AU188" s="44">
        <f>RawData!AW186</f>
        <v>0</v>
      </c>
      <c r="AV188" s="46">
        <f>RawData!O186</f>
        <v>0</v>
      </c>
      <c r="AW188" s="44">
        <f>RawData!AV186</f>
        <v>0</v>
      </c>
      <c r="AX188" s="44">
        <f>RawData!CW186</f>
        <v>0</v>
      </c>
      <c r="AY188" s="44">
        <f>RawData!AU186</f>
        <v>0</v>
      </c>
      <c r="AZ188" s="42">
        <f>RawData!CX186</f>
        <v>0</v>
      </c>
      <c r="BA188" s="44">
        <f>RawData!DF186</f>
        <v>0</v>
      </c>
      <c r="BB188" s="43">
        <f>RawData!DI186</f>
        <v>0</v>
      </c>
      <c r="BC188" s="44">
        <f>RawData!AT186</f>
        <v>0</v>
      </c>
      <c r="BD188" s="45">
        <f>RawData!AP186</f>
        <v>0</v>
      </c>
      <c r="BE188" s="44">
        <f>RawData!CS186</f>
        <v>0</v>
      </c>
      <c r="BF188" s="42">
        <f>RawData!CT186</f>
        <v>0</v>
      </c>
      <c r="BG188" s="41">
        <f>RawData!AS186</f>
        <v>0</v>
      </c>
      <c r="BH188" s="41">
        <f>RawData!CU186</f>
        <v>0</v>
      </c>
      <c r="BI188" s="41">
        <f>RawData!AR186</f>
        <v>0</v>
      </c>
      <c r="BJ188" s="42">
        <f>RawData!CV186</f>
        <v>0</v>
      </c>
      <c r="BK188" s="41">
        <f>RawData!AQ186</f>
        <v>0</v>
      </c>
      <c r="BL188" s="40">
        <f>RawData!AO186</f>
        <v>0</v>
      </c>
      <c r="BM188" s="40">
        <f>RawData!AN186</f>
        <v>0</v>
      </c>
      <c r="BN188" s="40">
        <f>RawData!AM186</f>
        <v>0</v>
      </c>
      <c r="BO188" s="40">
        <f>RawData!AL186</f>
        <v>0</v>
      </c>
      <c r="BP188" s="40">
        <f>RawData!AK186</f>
        <v>0</v>
      </c>
      <c r="BQ188" s="40">
        <f>RawData!AJ186</f>
        <v>0</v>
      </c>
      <c r="BR188" s="38">
        <f>RawData!AI186</f>
        <v>0</v>
      </c>
      <c r="BS188" s="38">
        <f>RawData!AH186</f>
        <v>0</v>
      </c>
      <c r="BT188" s="40">
        <f>RawData!AG186</f>
        <v>0</v>
      </c>
      <c r="BU188" s="39">
        <f>RawData!AF186</f>
        <v>0</v>
      </c>
      <c r="BV188" s="39">
        <f>RawData!AE186</f>
        <v>0</v>
      </c>
      <c r="BW188" s="38">
        <f>RawData!AD186</f>
        <v>0</v>
      </c>
      <c r="BX188" s="38">
        <f>RawData!AC186</f>
        <v>0</v>
      </c>
      <c r="BY188" s="37">
        <f>RawData!AB186</f>
        <v>0</v>
      </c>
      <c r="BZ188" s="37">
        <f>RawData!AA186</f>
        <v>0</v>
      </c>
      <c r="CA188" s="36">
        <f>RawData!Z186</f>
        <v>0</v>
      </c>
      <c r="CB188" s="36">
        <f>RawData!Y186</f>
        <v>0</v>
      </c>
      <c r="CC188" s="36">
        <f>RawData!X186</f>
        <v>0</v>
      </c>
      <c r="CD188" s="36">
        <f>RawData!W186</f>
        <v>0</v>
      </c>
      <c r="CE188" s="40">
        <f>RawData!V186</f>
        <v>0</v>
      </c>
      <c r="CF188" s="40">
        <f>RawData!U186</f>
        <v>0</v>
      </c>
      <c r="CG188" s="40">
        <f>RawData!T186</f>
        <v>0</v>
      </c>
      <c r="CH188" s="44">
        <f>RawData!S186</f>
        <v>0</v>
      </c>
      <c r="CI188" s="44">
        <f>RawData!R186</f>
        <v>0</v>
      </c>
      <c r="CJ188" s="44">
        <f>RawData!Q186</f>
        <v>0</v>
      </c>
      <c r="CK188" s="44">
        <f>RawData!P186</f>
        <v>0</v>
      </c>
      <c r="CL188" s="44">
        <f>RawData!CJ186</f>
        <v>0</v>
      </c>
      <c r="CM188" s="43">
        <f>RawData!CI186</f>
        <v>0</v>
      </c>
      <c r="CN188" s="44">
        <f>RawData!CL186</f>
        <v>0</v>
      </c>
      <c r="CO188" s="43">
        <f>RawData!CK186</f>
        <v>0</v>
      </c>
      <c r="CP188" s="44">
        <f>RawData!CM186</f>
        <v>0</v>
      </c>
      <c r="CQ188" s="47">
        <f>RawData!CO186</f>
        <v>0</v>
      </c>
      <c r="CR188" s="44">
        <f>RawData!CP186</f>
        <v>0</v>
      </c>
      <c r="CS188" s="44">
        <f>RawData!DG186</f>
        <v>0</v>
      </c>
      <c r="CT188" s="43">
        <f>RawData!DJ186</f>
        <v>0</v>
      </c>
      <c r="CU188" s="43">
        <f>RawData!CQ186</f>
        <v>0</v>
      </c>
      <c r="CV188" s="47">
        <f>RawData!CR186</f>
        <v>0</v>
      </c>
      <c r="CW188" s="65">
        <f>RawData!DK186</f>
        <v>0</v>
      </c>
      <c r="CX188" s="65">
        <f>RawData!DL186</f>
        <v>0</v>
      </c>
      <c r="CY188" s="65">
        <f>RawData!DM186</f>
        <v>0</v>
      </c>
      <c r="CZ188" s="65">
        <f>RawData!DN186</f>
        <v>0</v>
      </c>
      <c r="DA188" s="65">
        <f>RawData!DO186</f>
        <v>0</v>
      </c>
      <c r="DB188" s="65">
        <f>RawData!DP186</f>
        <v>0</v>
      </c>
      <c r="DC188" s="65">
        <f>RawData!DQ186</f>
        <v>0</v>
      </c>
      <c r="DD188" s="65">
        <f>RawData!DR186</f>
        <v>0</v>
      </c>
      <c r="DE188" s="65">
        <f>RawData!DS186</f>
        <v>0</v>
      </c>
      <c r="DF188" s="65">
        <f>RawData!DT186</f>
        <v>0</v>
      </c>
      <c r="DG188" s="66">
        <f>RawData!DU186</f>
        <v>0</v>
      </c>
      <c r="DI188" s="21">
        <f t="shared" si="2"/>
        <v>0</v>
      </c>
    </row>
    <row r="189" spans="1:113" x14ac:dyDescent="0.2">
      <c r="A189" s="59">
        <f>RawData!CN187</f>
        <v>0</v>
      </c>
      <c r="B189" s="44">
        <f>RawData!CH187</f>
        <v>0</v>
      </c>
      <c r="C189" s="44">
        <f>RawData!CG187</f>
        <v>0</v>
      </c>
      <c r="D189" s="43">
        <f>RawData!CF187</f>
        <v>0</v>
      </c>
      <c r="E189" s="44">
        <f>RawData!CE187</f>
        <v>0</v>
      </c>
      <c r="F189" s="43">
        <f>RawData!CD187</f>
        <v>0</v>
      </c>
      <c r="G189" s="44">
        <f>RawData!CC187</f>
        <v>0</v>
      </c>
      <c r="H189" s="44">
        <f>RawData!CB187</f>
        <v>0</v>
      </c>
      <c r="I189" s="44">
        <f>RawData!CA187</f>
        <v>0</v>
      </c>
      <c r="J189" s="44">
        <f>RawData!BZ187</f>
        <v>0</v>
      </c>
      <c r="K189" s="40">
        <f>RawData!BY187</f>
        <v>0</v>
      </c>
      <c r="L189" s="40">
        <f>RawData!BX187</f>
        <v>0</v>
      </c>
      <c r="M189" s="40">
        <f>RawData!BW187</f>
        <v>0</v>
      </c>
      <c r="N189" s="40">
        <f>RawData!BV187</f>
        <v>0</v>
      </c>
      <c r="O189" s="36">
        <f>RawData!BU187</f>
        <v>0</v>
      </c>
      <c r="P189" s="36">
        <f>RawData!BT187</f>
        <v>0</v>
      </c>
      <c r="Q189" s="36">
        <f>RawData!BS187</f>
        <v>0</v>
      </c>
      <c r="R189" s="36">
        <f>RawData!BR187</f>
        <v>0</v>
      </c>
      <c r="S189" s="37">
        <f>RawData!BQ187</f>
        <v>0</v>
      </c>
      <c r="T189" s="37">
        <f>RawData!BP187</f>
        <v>0</v>
      </c>
      <c r="U189" s="38">
        <f>RawData!BO187</f>
        <v>0</v>
      </c>
      <c r="V189" s="38">
        <f>RawData!BN187</f>
        <v>0</v>
      </c>
      <c r="W189" s="39">
        <f>RawData!BM187</f>
        <v>0</v>
      </c>
      <c r="X189" s="39">
        <f>RawData!BL187</f>
        <v>0</v>
      </c>
      <c r="Y189" s="38">
        <f>RawData!BJ187</f>
        <v>0</v>
      </c>
      <c r="Z189" s="38">
        <f>RawData!BI187</f>
        <v>0</v>
      </c>
      <c r="AA189" s="40">
        <f>RawData!BH187</f>
        <v>0</v>
      </c>
      <c r="AB189" s="40">
        <f>RawData!BG187</f>
        <v>0</v>
      </c>
      <c r="AC189" s="40">
        <f>RawData!BF187</f>
        <v>0</v>
      </c>
      <c r="AD189" s="40">
        <f>RawData!BE187</f>
        <v>0</v>
      </c>
      <c r="AE189" s="40">
        <f>RawData!BD187</f>
        <v>0</v>
      </c>
      <c r="AF189" s="40">
        <f>RawData!BC187</f>
        <v>0</v>
      </c>
      <c r="AG189" s="41">
        <f>RawData!BB187</f>
        <v>0</v>
      </c>
      <c r="AH189" s="42">
        <f>RawData!DB187</f>
        <v>0</v>
      </c>
      <c r="AI189" s="41">
        <f>RawData!BA187</f>
        <v>0</v>
      </c>
      <c r="AJ189" s="43">
        <f>RawData!DA187</f>
        <v>0</v>
      </c>
      <c r="AK189" s="41">
        <f>RawData!AZ187</f>
        <v>0</v>
      </c>
      <c r="AL189" s="42">
        <f>RawData!DD187</f>
        <v>0</v>
      </c>
      <c r="AM189" s="44">
        <f>RawData!DC187</f>
        <v>0</v>
      </c>
      <c r="AN189" s="45">
        <f>RawData!BK187</f>
        <v>0</v>
      </c>
      <c r="AO189" s="44">
        <f>RawData!AY187</f>
        <v>0</v>
      </c>
      <c r="AP189" s="43">
        <f>RawData!DH187</f>
        <v>0</v>
      </c>
      <c r="AQ189" s="43">
        <f>RawData!DE187</f>
        <v>0</v>
      </c>
      <c r="AR189" s="42">
        <f>RawData!CZ187</f>
        <v>0</v>
      </c>
      <c r="AS189" s="44">
        <f>RawData!AX187</f>
        <v>0</v>
      </c>
      <c r="AT189" s="43">
        <f>RawData!CY187</f>
        <v>0</v>
      </c>
      <c r="AU189" s="44">
        <f>RawData!AW187</f>
        <v>0</v>
      </c>
      <c r="AV189" s="46">
        <f>RawData!O187</f>
        <v>0</v>
      </c>
      <c r="AW189" s="44">
        <f>RawData!AV187</f>
        <v>0</v>
      </c>
      <c r="AX189" s="44">
        <f>RawData!CW187</f>
        <v>0</v>
      </c>
      <c r="AY189" s="44">
        <f>RawData!AU187</f>
        <v>0</v>
      </c>
      <c r="AZ189" s="42">
        <f>RawData!CX187</f>
        <v>0</v>
      </c>
      <c r="BA189" s="44">
        <f>RawData!DF187</f>
        <v>0</v>
      </c>
      <c r="BB189" s="43">
        <f>RawData!DI187</f>
        <v>0</v>
      </c>
      <c r="BC189" s="44">
        <f>RawData!AT187</f>
        <v>0</v>
      </c>
      <c r="BD189" s="45">
        <f>RawData!AP187</f>
        <v>0</v>
      </c>
      <c r="BE189" s="44">
        <f>RawData!CS187</f>
        <v>0</v>
      </c>
      <c r="BF189" s="42">
        <f>RawData!CT187</f>
        <v>0</v>
      </c>
      <c r="BG189" s="41">
        <f>RawData!AS187</f>
        <v>0</v>
      </c>
      <c r="BH189" s="41">
        <f>RawData!CU187</f>
        <v>0</v>
      </c>
      <c r="BI189" s="41">
        <f>RawData!AR187</f>
        <v>0</v>
      </c>
      <c r="BJ189" s="42">
        <f>RawData!CV187</f>
        <v>0</v>
      </c>
      <c r="BK189" s="41">
        <f>RawData!AQ187</f>
        <v>0</v>
      </c>
      <c r="BL189" s="40">
        <f>RawData!AO187</f>
        <v>0</v>
      </c>
      <c r="BM189" s="40">
        <f>RawData!AN187</f>
        <v>0</v>
      </c>
      <c r="BN189" s="40">
        <f>RawData!AM187</f>
        <v>0</v>
      </c>
      <c r="BO189" s="40">
        <f>RawData!AL187</f>
        <v>0</v>
      </c>
      <c r="BP189" s="40">
        <f>RawData!AK187</f>
        <v>0</v>
      </c>
      <c r="BQ189" s="40">
        <f>RawData!AJ187</f>
        <v>0</v>
      </c>
      <c r="BR189" s="38">
        <f>RawData!AI187</f>
        <v>0</v>
      </c>
      <c r="BS189" s="38">
        <f>RawData!AH187</f>
        <v>0</v>
      </c>
      <c r="BT189" s="40">
        <f>RawData!AG187</f>
        <v>0</v>
      </c>
      <c r="BU189" s="39">
        <f>RawData!AF187</f>
        <v>0</v>
      </c>
      <c r="BV189" s="39">
        <f>RawData!AE187</f>
        <v>0</v>
      </c>
      <c r="BW189" s="38">
        <f>RawData!AD187</f>
        <v>0</v>
      </c>
      <c r="BX189" s="38">
        <f>RawData!AC187</f>
        <v>0</v>
      </c>
      <c r="BY189" s="37">
        <f>RawData!AB187</f>
        <v>0</v>
      </c>
      <c r="BZ189" s="37">
        <f>RawData!AA187</f>
        <v>0</v>
      </c>
      <c r="CA189" s="36">
        <f>RawData!Z187</f>
        <v>0</v>
      </c>
      <c r="CB189" s="36">
        <f>RawData!Y187</f>
        <v>0</v>
      </c>
      <c r="CC189" s="36">
        <f>RawData!X187</f>
        <v>0</v>
      </c>
      <c r="CD189" s="36">
        <f>RawData!W187</f>
        <v>0</v>
      </c>
      <c r="CE189" s="40">
        <f>RawData!V187</f>
        <v>0</v>
      </c>
      <c r="CF189" s="40">
        <f>RawData!U187</f>
        <v>0</v>
      </c>
      <c r="CG189" s="40">
        <f>RawData!T187</f>
        <v>0</v>
      </c>
      <c r="CH189" s="44">
        <f>RawData!S187</f>
        <v>0</v>
      </c>
      <c r="CI189" s="44">
        <f>RawData!R187</f>
        <v>0</v>
      </c>
      <c r="CJ189" s="44">
        <f>RawData!Q187</f>
        <v>0</v>
      </c>
      <c r="CK189" s="44">
        <f>RawData!P187</f>
        <v>0</v>
      </c>
      <c r="CL189" s="44">
        <f>RawData!CJ187</f>
        <v>0</v>
      </c>
      <c r="CM189" s="43">
        <f>RawData!CI187</f>
        <v>0</v>
      </c>
      <c r="CN189" s="44">
        <f>RawData!CL187</f>
        <v>0</v>
      </c>
      <c r="CO189" s="43">
        <f>RawData!CK187</f>
        <v>0</v>
      </c>
      <c r="CP189" s="44">
        <f>RawData!CM187</f>
        <v>0</v>
      </c>
      <c r="CQ189" s="47">
        <f>RawData!CO187</f>
        <v>0</v>
      </c>
      <c r="CR189" s="44">
        <f>RawData!CP187</f>
        <v>0</v>
      </c>
      <c r="CS189" s="44">
        <f>RawData!DG187</f>
        <v>0</v>
      </c>
      <c r="CT189" s="43">
        <f>RawData!DJ187</f>
        <v>0</v>
      </c>
      <c r="CU189" s="43">
        <f>RawData!CQ187</f>
        <v>0</v>
      </c>
      <c r="CV189" s="47">
        <f>RawData!CR187</f>
        <v>0</v>
      </c>
      <c r="CW189" s="65">
        <f>RawData!DK187</f>
        <v>0</v>
      </c>
      <c r="CX189" s="65">
        <f>RawData!DL187</f>
        <v>0</v>
      </c>
      <c r="CY189" s="65">
        <f>RawData!DM187</f>
        <v>0</v>
      </c>
      <c r="CZ189" s="65">
        <f>RawData!DN187</f>
        <v>0</v>
      </c>
      <c r="DA189" s="65">
        <f>RawData!DO187</f>
        <v>0</v>
      </c>
      <c r="DB189" s="65">
        <f>RawData!DP187</f>
        <v>0</v>
      </c>
      <c r="DC189" s="65">
        <f>RawData!DQ187</f>
        <v>0</v>
      </c>
      <c r="DD189" s="65">
        <f>RawData!DR187</f>
        <v>0</v>
      </c>
      <c r="DE189" s="65">
        <f>RawData!DS187</f>
        <v>0</v>
      </c>
      <c r="DF189" s="65">
        <f>RawData!DT187</f>
        <v>0</v>
      </c>
      <c r="DG189" s="66">
        <f>RawData!DU187</f>
        <v>0</v>
      </c>
      <c r="DI189" s="21">
        <f t="shared" si="2"/>
        <v>0</v>
      </c>
    </row>
    <row r="190" spans="1:113" x14ac:dyDescent="0.2">
      <c r="A190" s="59">
        <f>RawData!CN188</f>
        <v>0</v>
      </c>
      <c r="B190" s="44">
        <f>RawData!CH188</f>
        <v>0</v>
      </c>
      <c r="C190" s="44">
        <f>RawData!CG188</f>
        <v>0</v>
      </c>
      <c r="D190" s="43">
        <f>RawData!CF188</f>
        <v>0</v>
      </c>
      <c r="E190" s="44">
        <f>RawData!CE188</f>
        <v>0</v>
      </c>
      <c r="F190" s="43">
        <f>RawData!CD188</f>
        <v>0</v>
      </c>
      <c r="G190" s="44">
        <f>RawData!CC188</f>
        <v>0</v>
      </c>
      <c r="H190" s="44">
        <f>RawData!CB188</f>
        <v>0</v>
      </c>
      <c r="I190" s="44">
        <f>RawData!CA188</f>
        <v>0</v>
      </c>
      <c r="J190" s="44">
        <f>RawData!BZ188</f>
        <v>0</v>
      </c>
      <c r="K190" s="40">
        <f>RawData!BY188</f>
        <v>0</v>
      </c>
      <c r="L190" s="40">
        <f>RawData!BX188</f>
        <v>0</v>
      </c>
      <c r="M190" s="40">
        <f>RawData!BW188</f>
        <v>0</v>
      </c>
      <c r="N190" s="40">
        <f>RawData!BV188</f>
        <v>0</v>
      </c>
      <c r="O190" s="36">
        <f>RawData!BU188</f>
        <v>0</v>
      </c>
      <c r="P190" s="36">
        <f>RawData!BT188</f>
        <v>0</v>
      </c>
      <c r="Q190" s="36">
        <f>RawData!BS188</f>
        <v>0</v>
      </c>
      <c r="R190" s="36">
        <f>RawData!BR188</f>
        <v>0</v>
      </c>
      <c r="S190" s="37">
        <f>RawData!BQ188</f>
        <v>0</v>
      </c>
      <c r="T190" s="37">
        <f>RawData!BP188</f>
        <v>0</v>
      </c>
      <c r="U190" s="38">
        <f>RawData!BO188</f>
        <v>0</v>
      </c>
      <c r="V190" s="38">
        <f>RawData!BN188</f>
        <v>0</v>
      </c>
      <c r="W190" s="39">
        <f>RawData!BM188</f>
        <v>0</v>
      </c>
      <c r="X190" s="39">
        <f>RawData!BL188</f>
        <v>0</v>
      </c>
      <c r="Y190" s="38">
        <f>RawData!BJ188</f>
        <v>0</v>
      </c>
      <c r="Z190" s="38">
        <f>RawData!BI188</f>
        <v>0</v>
      </c>
      <c r="AA190" s="40">
        <f>RawData!BH188</f>
        <v>0</v>
      </c>
      <c r="AB190" s="40">
        <f>RawData!BG188</f>
        <v>0</v>
      </c>
      <c r="AC190" s="40">
        <f>RawData!BF188</f>
        <v>0</v>
      </c>
      <c r="AD190" s="40">
        <f>RawData!BE188</f>
        <v>0</v>
      </c>
      <c r="AE190" s="40">
        <f>RawData!BD188</f>
        <v>0</v>
      </c>
      <c r="AF190" s="40">
        <f>RawData!BC188</f>
        <v>0</v>
      </c>
      <c r="AG190" s="41">
        <f>RawData!BB188</f>
        <v>0</v>
      </c>
      <c r="AH190" s="42">
        <f>RawData!DB188</f>
        <v>0</v>
      </c>
      <c r="AI190" s="41">
        <f>RawData!BA188</f>
        <v>0</v>
      </c>
      <c r="AJ190" s="43">
        <f>RawData!DA188</f>
        <v>0</v>
      </c>
      <c r="AK190" s="41">
        <f>RawData!AZ188</f>
        <v>0</v>
      </c>
      <c r="AL190" s="42">
        <f>RawData!DD188</f>
        <v>0</v>
      </c>
      <c r="AM190" s="44">
        <f>RawData!DC188</f>
        <v>0</v>
      </c>
      <c r="AN190" s="45">
        <f>RawData!BK188</f>
        <v>0</v>
      </c>
      <c r="AO190" s="44">
        <f>RawData!AY188</f>
        <v>0</v>
      </c>
      <c r="AP190" s="43">
        <f>RawData!DH188</f>
        <v>0</v>
      </c>
      <c r="AQ190" s="43">
        <f>RawData!DE188</f>
        <v>0</v>
      </c>
      <c r="AR190" s="42">
        <f>RawData!CZ188</f>
        <v>0</v>
      </c>
      <c r="AS190" s="44">
        <f>RawData!AX188</f>
        <v>0</v>
      </c>
      <c r="AT190" s="43">
        <f>RawData!CY188</f>
        <v>0</v>
      </c>
      <c r="AU190" s="44">
        <f>RawData!AW188</f>
        <v>0</v>
      </c>
      <c r="AV190" s="46">
        <f>RawData!O188</f>
        <v>0</v>
      </c>
      <c r="AW190" s="44">
        <f>RawData!AV188</f>
        <v>0</v>
      </c>
      <c r="AX190" s="44">
        <f>RawData!CW188</f>
        <v>0</v>
      </c>
      <c r="AY190" s="44">
        <f>RawData!AU188</f>
        <v>0</v>
      </c>
      <c r="AZ190" s="42">
        <f>RawData!CX188</f>
        <v>0</v>
      </c>
      <c r="BA190" s="44">
        <f>RawData!DF188</f>
        <v>0</v>
      </c>
      <c r="BB190" s="43">
        <f>RawData!DI188</f>
        <v>0</v>
      </c>
      <c r="BC190" s="44">
        <f>RawData!AT188</f>
        <v>0</v>
      </c>
      <c r="BD190" s="45">
        <f>RawData!AP188</f>
        <v>0</v>
      </c>
      <c r="BE190" s="44">
        <f>RawData!CS188</f>
        <v>0</v>
      </c>
      <c r="BF190" s="42">
        <f>RawData!CT188</f>
        <v>0</v>
      </c>
      <c r="BG190" s="41">
        <f>RawData!AS188</f>
        <v>0</v>
      </c>
      <c r="BH190" s="41">
        <f>RawData!CU188</f>
        <v>0</v>
      </c>
      <c r="BI190" s="41">
        <f>RawData!AR188</f>
        <v>0</v>
      </c>
      <c r="BJ190" s="42">
        <f>RawData!CV188</f>
        <v>0</v>
      </c>
      <c r="BK190" s="41">
        <f>RawData!AQ188</f>
        <v>0</v>
      </c>
      <c r="BL190" s="40">
        <f>RawData!AO188</f>
        <v>0</v>
      </c>
      <c r="BM190" s="40">
        <f>RawData!AN188</f>
        <v>0</v>
      </c>
      <c r="BN190" s="40">
        <f>RawData!AM188</f>
        <v>0</v>
      </c>
      <c r="BO190" s="40">
        <f>RawData!AL188</f>
        <v>0</v>
      </c>
      <c r="BP190" s="40">
        <f>RawData!AK188</f>
        <v>0</v>
      </c>
      <c r="BQ190" s="40">
        <f>RawData!AJ188</f>
        <v>0</v>
      </c>
      <c r="BR190" s="38">
        <f>RawData!AI188</f>
        <v>0</v>
      </c>
      <c r="BS190" s="38">
        <f>RawData!AH188</f>
        <v>0</v>
      </c>
      <c r="BT190" s="40">
        <f>RawData!AG188</f>
        <v>0</v>
      </c>
      <c r="BU190" s="39">
        <f>RawData!AF188</f>
        <v>0</v>
      </c>
      <c r="BV190" s="39">
        <f>RawData!AE188</f>
        <v>0</v>
      </c>
      <c r="BW190" s="38">
        <f>RawData!AD188</f>
        <v>0</v>
      </c>
      <c r="BX190" s="38">
        <f>RawData!AC188</f>
        <v>0</v>
      </c>
      <c r="BY190" s="37">
        <f>RawData!AB188</f>
        <v>0</v>
      </c>
      <c r="BZ190" s="37">
        <f>RawData!AA188</f>
        <v>0</v>
      </c>
      <c r="CA190" s="36">
        <f>RawData!Z188</f>
        <v>0</v>
      </c>
      <c r="CB190" s="36">
        <f>RawData!Y188</f>
        <v>0</v>
      </c>
      <c r="CC190" s="36">
        <f>RawData!X188</f>
        <v>0</v>
      </c>
      <c r="CD190" s="36">
        <f>RawData!W188</f>
        <v>0</v>
      </c>
      <c r="CE190" s="40">
        <f>RawData!V188</f>
        <v>0</v>
      </c>
      <c r="CF190" s="40">
        <f>RawData!U188</f>
        <v>0</v>
      </c>
      <c r="CG190" s="40">
        <f>RawData!T188</f>
        <v>0</v>
      </c>
      <c r="CH190" s="44">
        <f>RawData!S188</f>
        <v>0</v>
      </c>
      <c r="CI190" s="44">
        <f>RawData!R188</f>
        <v>0</v>
      </c>
      <c r="CJ190" s="44">
        <f>RawData!Q188</f>
        <v>0</v>
      </c>
      <c r="CK190" s="44">
        <f>RawData!P188</f>
        <v>0</v>
      </c>
      <c r="CL190" s="44">
        <f>RawData!CJ188</f>
        <v>0</v>
      </c>
      <c r="CM190" s="43">
        <f>RawData!CI188</f>
        <v>0</v>
      </c>
      <c r="CN190" s="44">
        <f>RawData!CL188</f>
        <v>0</v>
      </c>
      <c r="CO190" s="43">
        <f>RawData!CK188</f>
        <v>0</v>
      </c>
      <c r="CP190" s="44">
        <f>RawData!CM188</f>
        <v>0</v>
      </c>
      <c r="CQ190" s="47">
        <f>RawData!CO188</f>
        <v>0</v>
      </c>
      <c r="CR190" s="44">
        <f>RawData!CP188</f>
        <v>0</v>
      </c>
      <c r="CS190" s="44">
        <f>RawData!DG188</f>
        <v>0</v>
      </c>
      <c r="CT190" s="43">
        <f>RawData!DJ188</f>
        <v>0</v>
      </c>
      <c r="CU190" s="43">
        <f>RawData!CQ188</f>
        <v>0</v>
      </c>
      <c r="CV190" s="47">
        <f>RawData!CR188</f>
        <v>0</v>
      </c>
      <c r="CW190" s="65">
        <f>RawData!DK188</f>
        <v>0</v>
      </c>
      <c r="CX190" s="65">
        <f>RawData!DL188</f>
        <v>0</v>
      </c>
      <c r="CY190" s="65">
        <f>RawData!DM188</f>
        <v>0</v>
      </c>
      <c r="CZ190" s="65">
        <f>RawData!DN188</f>
        <v>0</v>
      </c>
      <c r="DA190" s="65">
        <f>RawData!DO188</f>
        <v>0</v>
      </c>
      <c r="DB190" s="65">
        <f>RawData!DP188</f>
        <v>0</v>
      </c>
      <c r="DC190" s="65">
        <f>RawData!DQ188</f>
        <v>0</v>
      </c>
      <c r="DD190" s="65">
        <f>RawData!DR188</f>
        <v>0</v>
      </c>
      <c r="DE190" s="65">
        <f>RawData!DS188</f>
        <v>0</v>
      </c>
      <c r="DF190" s="65">
        <f>RawData!DT188</f>
        <v>0</v>
      </c>
      <c r="DG190" s="66">
        <f>RawData!DU188</f>
        <v>0</v>
      </c>
      <c r="DI190" s="21">
        <f t="shared" si="2"/>
        <v>0</v>
      </c>
    </row>
    <row r="191" spans="1:113" x14ac:dyDescent="0.2">
      <c r="A191" s="59">
        <f>RawData!CN189</f>
        <v>0</v>
      </c>
      <c r="B191" s="44">
        <f>RawData!CH189</f>
        <v>0</v>
      </c>
      <c r="C191" s="44">
        <f>RawData!CG189</f>
        <v>0</v>
      </c>
      <c r="D191" s="43">
        <f>RawData!CF189</f>
        <v>0</v>
      </c>
      <c r="E191" s="44">
        <f>RawData!CE189</f>
        <v>0</v>
      </c>
      <c r="F191" s="43">
        <f>RawData!CD189</f>
        <v>0</v>
      </c>
      <c r="G191" s="44">
        <f>RawData!CC189</f>
        <v>0</v>
      </c>
      <c r="H191" s="44">
        <f>RawData!CB189</f>
        <v>0</v>
      </c>
      <c r="I191" s="44">
        <f>RawData!CA189</f>
        <v>0</v>
      </c>
      <c r="J191" s="44">
        <f>RawData!BZ189</f>
        <v>0</v>
      </c>
      <c r="K191" s="40">
        <f>RawData!BY189</f>
        <v>0</v>
      </c>
      <c r="L191" s="40">
        <f>RawData!BX189</f>
        <v>0</v>
      </c>
      <c r="M191" s="40">
        <f>RawData!BW189</f>
        <v>0</v>
      </c>
      <c r="N191" s="40">
        <f>RawData!BV189</f>
        <v>0</v>
      </c>
      <c r="O191" s="36">
        <f>RawData!BU189</f>
        <v>0</v>
      </c>
      <c r="P191" s="36">
        <f>RawData!BT189</f>
        <v>0</v>
      </c>
      <c r="Q191" s="36">
        <f>RawData!BS189</f>
        <v>0</v>
      </c>
      <c r="R191" s="36">
        <f>RawData!BR189</f>
        <v>0</v>
      </c>
      <c r="S191" s="37">
        <f>RawData!BQ189</f>
        <v>0</v>
      </c>
      <c r="T191" s="37">
        <f>RawData!BP189</f>
        <v>0</v>
      </c>
      <c r="U191" s="38">
        <f>RawData!BO189</f>
        <v>0</v>
      </c>
      <c r="V191" s="38">
        <f>RawData!BN189</f>
        <v>0</v>
      </c>
      <c r="W191" s="39">
        <f>RawData!BM189</f>
        <v>0</v>
      </c>
      <c r="X191" s="39">
        <f>RawData!BL189</f>
        <v>0</v>
      </c>
      <c r="Y191" s="38">
        <f>RawData!BJ189</f>
        <v>0</v>
      </c>
      <c r="Z191" s="38">
        <f>RawData!BI189</f>
        <v>0</v>
      </c>
      <c r="AA191" s="40">
        <f>RawData!BH189</f>
        <v>0</v>
      </c>
      <c r="AB191" s="40">
        <f>RawData!BG189</f>
        <v>0</v>
      </c>
      <c r="AC191" s="40">
        <f>RawData!BF189</f>
        <v>0</v>
      </c>
      <c r="AD191" s="40">
        <f>RawData!BE189</f>
        <v>0</v>
      </c>
      <c r="AE191" s="40">
        <f>RawData!BD189</f>
        <v>0</v>
      </c>
      <c r="AF191" s="40">
        <f>RawData!BC189</f>
        <v>0</v>
      </c>
      <c r="AG191" s="41">
        <f>RawData!BB189</f>
        <v>0</v>
      </c>
      <c r="AH191" s="42">
        <f>RawData!DB189</f>
        <v>0</v>
      </c>
      <c r="AI191" s="41">
        <f>RawData!BA189</f>
        <v>0</v>
      </c>
      <c r="AJ191" s="43">
        <f>RawData!DA189</f>
        <v>0</v>
      </c>
      <c r="AK191" s="41">
        <f>RawData!AZ189</f>
        <v>0</v>
      </c>
      <c r="AL191" s="42">
        <f>RawData!DD189</f>
        <v>0</v>
      </c>
      <c r="AM191" s="44">
        <f>RawData!DC189</f>
        <v>0</v>
      </c>
      <c r="AN191" s="45">
        <f>RawData!BK189</f>
        <v>0</v>
      </c>
      <c r="AO191" s="44">
        <f>RawData!AY189</f>
        <v>0</v>
      </c>
      <c r="AP191" s="43">
        <f>RawData!DH189</f>
        <v>0</v>
      </c>
      <c r="AQ191" s="43">
        <f>RawData!DE189</f>
        <v>0</v>
      </c>
      <c r="AR191" s="42">
        <f>RawData!CZ189</f>
        <v>0</v>
      </c>
      <c r="AS191" s="44">
        <f>RawData!AX189</f>
        <v>0</v>
      </c>
      <c r="AT191" s="43">
        <f>RawData!CY189</f>
        <v>0</v>
      </c>
      <c r="AU191" s="44">
        <f>RawData!AW189</f>
        <v>0</v>
      </c>
      <c r="AV191" s="46">
        <f>RawData!O189</f>
        <v>0</v>
      </c>
      <c r="AW191" s="44">
        <f>RawData!AV189</f>
        <v>0</v>
      </c>
      <c r="AX191" s="44">
        <f>RawData!CW189</f>
        <v>0</v>
      </c>
      <c r="AY191" s="44">
        <f>RawData!AU189</f>
        <v>0</v>
      </c>
      <c r="AZ191" s="42">
        <f>RawData!CX189</f>
        <v>0</v>
      </c>
      <c r="BA191" s="44">
        <f>RawData!DF189</f>
        <v>0</v>
      </c>
      <c r="BB191" s="43">
        <f>RawData!DI189</f>
        <v>0</v>
      </c>
      <c r="BC191" s="44">
        <f>RawData!AT189</f>
        <v>0</v>
      </c>
      <c r="BD191" s="45">
        <f>RawData!AP189</f>
        <v>0</v>
      </c>
      <c r="BE191" s="44">
        <f>RawData!CS189</f>
        <v>0</v>
      </c>
      <c r="BF191" s="42">
        <f>RawData!CT189</f>
        <v>0</v>
      </c>
      <c r="BG191" s="41">
        <f>RawData!AS189</f>
        <v>0</v>
      </c>
      <c r="BH191" s="41">
        <f>RawData!CU189</f>
        <v>0</v>
      </c>
      <c r="BI191" s="41">
        <f>RawData!AR189</f>
        <v>0</v>
      </c>
      <c r="BJ191" s="42">
        <f>RawData!CV189</f>
        <v>0</v>
      </c>
      <c r="BK191" s="41">
        <f>RawData!AQ189</f>
        <v>0</v>
      </c>
      <c r="BL191" s="40">
        <f>RawData!AO189</f>
        <v>0</v>
      </c>
      <c r="BM191" s="40">
        <f>RawData!AN189</f>
        <v>0</v>
      </c>
      <c r="BN191" s="40">
        <f>RawData!AM189</f>
        <v>0</v>
      </c>
      <c r="BO191" s="40">
        <f>RawData!AL189</f>
        <v>0</v>
      </c>
      <c r="BP191" s="40">
        <f>RawData!AK189</f>
        <v>0</v>
      </c>
      <c r="BQ191" s="40">
        <f>RawData!AJ189</f>
        <v>0</v>
      </c>
      <c r="BR191" s="38">
        <f>RawData!AI189</f>
        <v>0</v>
      </c>
      <c r="BS191" s="38">
        <f>RawData!AH189</f>
        <v>0</v>
      </c>
      <c r="BT191" s="40">
        <f>RawData!AG189</f>
        <v>0</v>
      </c>
      <c r="BU191" s="39">
        <f>RawData!AF189</f>
        <v>0</v>
      </c>
      <c r="BV191" s="39">
        <f>RawData!AE189</f>
        <v>0</v>
      </c>
      <c r="BW191" s="38">
        <f>RawData!AD189</f>
        <v>0</v>
      </c>
      <c r="BX191" s="38">
        <f>RawData!AC189</f>
        <v>0</v>
      </c>
      <c r="BY191" s="37">
        <f>RawData!AB189</f>
        <v>0</v>
      </c>
      <c r="BZ191" s="37">
        <f>RawData!AA189</f>
        <v>0</v>
      </c>
      <c r="CA191" s="36">
        <f>RawData!Z189</f>
        <v>0</v>
      </c>
      <c r="CB191" s="36">
        <f>RawData!Y189</f>
        <v>0</v>
      </c>
      <c r="CC191" s="36">
        <f>RawData!X189</f>
        <v>0</v>
      </c>
      <c r="CD191" s="36">
        <f>RawData!W189</f>
        <v>0</v>
      </c>
      <c r="CE191" s="40">
        <f>RawData!V189</f>
        <v>0</v>
      </c>
      <c r="CF191" s="40">
        <f>RawData!U189</f>
        <v>0</v>
      </c>
      <c r="CG191" s="40">
        <f>RawData!T189</f>
        <v>0</v>
      </c>
      <c r="CH191" s="44">
        <f>RawData!S189</f>
        <v>0</v>
      </c>
      <c r="CI191" s="44">
        <f>RawData!R189</f>
        <v>0</v>
      </c>
      <c r="CJ191" s="44">
        <f>RawData!Q189</f>
        <v>0</v>
      </c>
      <c r="CK191" s="44">
        <f>RawData!P189</f>
        <v>0</v>
      </c>
      <c r="CL191" s="44">
        <f>RawData!CJ189</f>
        <v>0</v>
      </c>
      <c r="CM191" s="43">
        <f>RawData!CI189</f>
        <v>0</v>
      </c>
      <c r="CN191" s="44">
        <f>RawData!CL189</f>
        <v>0</v>
      </c>
      <c r="CO191" s="43">
        <f>RawData!CK189</f>
        <v>0</v>
      </c>
      <c r="CP191" s="44">
        <f>RawData!CM189</f>
        <v>0</v>
      </c>
      <c r="CQ191" s="47">
        <f>RawData!CO189</f>
        <v>0</v>
      </c>
      <c r="CR191" s="44">
        <f>RawData!CP189</f>
        <v>0</v>
      </c>
      <c r="CS191" s="44">
        <f>RawData!DG189</f>
        <v>0</v>
      </c>
      <c r="CT191" s="43">
        <f>RawData!DJ189</f>
        <v>0</v>
      </c>
      <c r="CU191" s="43">
        <f>RawData!CQ189</f>
        <v>0</v>
      </c>
      <c r="CV191" s="47">
        <f>RawData!CR189</f>
        <v>0</v>
      </c>
      <c r="CW191" s="65">
        <f>RawData!DK189</f>
        <v>0</v>
      </c>
      <c r="CX191" s="65">
        <f>RawData!DL189</f>
        <v>0</v>
      </c>
      <c r="CY191" s="65">
        <f>RawData!DM189</f>
        <v>0</v>
      </c>
      <c r="CZ191" s="65">
        <f>RawData!DN189</f>
        <v>0</v>
      </c>
      <c r="DA191" s="65">
        <f>RawData!DO189</f>
        <v>0</v>
      </c>
      <c r="DB191" s="65">
        <f>RawData!DP189</f>
        <v>0</v>
      </c>
      <c r="DC191" s="65">
        <f>RawData!DQ189</f>
        <v>0</v>
      </c>
      <c r="DD191" s="65">
        <f>RawData!DR189</f>
        <v>0</v>
      </c>
      <c r="DE191" s="65">
        <f>RawData!DS189</f>
        <v>0</v>
      </c>
      <c r="DF191" s="65">
        <f>RawData!DT189</f>
        <v>0</v>
      </c>
      <c r="DG191" s="66">
        <f>RawData!DU189</f>
        <v>0</v>
      </c>
      <c r="DI191" s="21">
        <f t="shared" si="2"/>
        <v>0</v>
      </c>
    </row>
    <row r="192" spans="1:113" x14ac:dyDescent="0.2">
      <c r="A192" s="59">
        <f>RawData!CN190</f>
        <v>0</v>
      </c>
      <c r="B192" s="44">
        <f>RawData!CH190</f>
        <v>0</v>
      </c>
      <c r="C192" s="44">
        <f>RawData!CG190</f>
        <v>0</v>
      </c>
      <c r="D192" s="43">
        <f>RawData!CF190</f>
        <v>0</v>
      </c>
      <c r="E192" s="44">
        <f>RawData!CE190</f>
        <v>0</v>
      </c>
      <c r="F192" s="43">
        <f>RawData!CD190</f>
        <v>0</v>
      </c>
      <c r="G192" s="44">
        <f>RawData!CC190</f>
        <v>0</v>
      </c>
      <c r="H192" s="44">
        <f>RawData!CB190</f>
        <v>0</v>
      </c>
      <c r="I192" s="44">
        <f>RawData!CA190</f>
        <v>0</v>
      </c>
      <c r="J192" s="44">
        <f>RawData!BZ190</f>
        <v>0</v>
      </c>
      <c r="K192" s="40">
        <f>RawData!BY190</f>
        <v>0</v>
      </c>
      <c r="L192" s="40">
        <f>RawData!BX190</f>
        <v>0</v>
      </c>
      <c r="M192" s="40">
        <f>RawData!BW190</f>
        <v>0</v>
      </c>
      <c r="N192" s="40">
        <f>RawData!BV190</f>
        <v>0</v>
      </c>
      <c r="O192" s="36">
        <f>RawData!BU190</f>
        <v>0</v>
      </c>
      <c r="P192" s="36">
        <f>RawData!BT190</f>
        <v>0</v>
      </c>
      <c r="Q192" s="36">
        <f>RawData!BS190</f>
        <v>0</v>
      </c>
      <c r="R192" s="36">
        <f>RawData!BR190</f>
        <v>0</v>
      </c>
      <c r="S192" s="37">
        <f>RawData!BQ190</f>
        <v>0</v>
      </c>
      <c r="T192" s="37">
        <f>RawData!BP190</f>
        <v>0</v>
      </c>
      <c r="U192" s="38">
        <f>RawData!BO190</f>
        <v>0</v>
      </c>
      <c r="V192" s="38">
        <f>RawData!BN190</f>
        <v>0</v>
      </c>
      <c r="W192" s="39">
        <f>RawData!BM190</f>
        <v>0</v>
      </c>
      <c r="X192" s="39">
        <f>RawData!BL190</f>
        <v>0</v>
      </c>
      <c r="Y192" s="38">
        <f>RawData!BJ190</f>
        <v>0</v>
      </c>
      <c r="Z192" s="38">
        <f>RawData!BI190</f>
        <v>0</v>
      </c>
      <c r="AA192" s="40">
        <f>RawData!BH190</f>
        <v>0</v>
      </c>
      <c r="AB192" s="40">
        <f>RawData!BG190</f>
        <v>0</v>
      </c>
      <c r="AC192" s="40">
        <f>RawData!BF190</f>
        <v>0</v>
      </c>
      <c r="AD192" s="40">
        <f>RawData!BE190</f>
        <v>0</v>
      </c>
      <c r="AE192" s="40">
        <f>RawData!BD190</f>
        <v>0</v>
      </c>
      <c r="AF192" s="40">
        <f>RawData!BC190</f>
        <v>0</v>
      </c>
      <c r="AG192" s="41">
        <f>RawData!BB190</f>
        <v>0</v>
      </c>
      <c r="AH192" s="42">
        <f>RawData!DB190</f>
        <v>0</v>
      </c>
      <c r="AI192" s="41">
        <f>RawData!BA190</f>
        <v>0</v>
      </c>
      <c r="AJ192" s="43">
        <f>RawData!DA190</f>
        <v>0</v>
      </c>
      <c r="AK192" s="41">
        <f>RawData!AZ190</f>
        <v>0</v>
      </c>
      <c r="AL192" s="42">
        <f>RawData!DD190</f>
        <v>0</v>
      </c>
      <c r="AM192" s="44">
        <f>RawData!DC190</f>
        <v>0</v>
      </c>
      <c r="AN192" s="45">
        <f>RawData!BK190</f>
        <v>0</v>
      </c>
      <c r="AO192" s="44">
        <f>RawData!AY190</f>
        <v>0</v>
      </c>
      <c r="AP192" s="43">
        <f>RawData!DH190</f>
        <v>0</v>
      </c>
      <c r="AQ192" s="43">
        <f>RawData!DE190</f>
        <v>0</v>
      </c>
      <c r="AR192" s="42">
        <f>RawData!CZ190</f>
        <v>0</v>
      </c>
      <c r="AS192" s="44">
        <f>RawData!AX190</f>
        <v>0</v>
      </c>
      <c r="AT192" s="43">
        <f>RawData!CY190</f>
        <v>0</v>
      </c>
      <c r="AU192" s="44">
        <f>RawData!AW190</f>
        <v>0</v>
      </c>
      <c r="AV192" s="46">
        <f>RawData!O190</f>
        <v>0</v>
      </c>
      <c r="AW192" s="44">
        <f>RawData!AV190</f>
        <v>0</v>
      </c>
      <c r="AX192" s="44">
        <f>RawData!CW190</f>
        <v>0</v>
      </c>
      <c r="AY192" s="44">
        <f>RawData!AU190</f>
        <v>0</v>
      </c>
      <c r="AZ192" s="42">
        <f>RawData!CX190</f>
        <v>0</v>
      </c>
      <c r="BA192" s="44">
        <f>RawData!DF190</f>
        <v>0</v>
      </c>
      <c r="BB192" s="43">
        <f>RawData!DI190</f>
        <v>0</v>
      </c>
      <c r="BC192" s="44">
        <f>RawData!AT190</f>
        <v>0</v>
      </c>
      <c r="BD192" s="45">
        <f>RawData!AP190</f>
        <v>0</v>
      </c>
      <c r="BE192" s="44">
        <f>RawData!CS190</f>
        <v>0</v>
      </c>
      <c r="BF192" s="42">
        <f>RawData!CT190</f>
        <v>0</v>
      </c>
      <c r="BG192" s="41">
        <f>RawData!AS190</f>
        <v>0</v>
      </c>
      <c r="BH192" s="41">
        <f>RawData!CU190</f>
        <v>0</v>
      </c>
      <c r="BI192" s="41">
        <f>RawData!AR190</f>
        <v>0</v>
      </c>
      <c r="BJ192" s="42">
        <f>RawData!CV190</f>
        <v>0</v>
      </c>
      <c r="BK192" s="41">
        <f>RawData!AQ190</f>
        <v>0</v>
      </c>
      <c r="BL192" s="40">
        <f>RawData!AO190</f>
        <v>0</v>
      </c>
      <c r="BM192" s="40">
        <f>RawData!AN190</f>
        <v>0</v>
      </c>
      <c r="BN192" s="40">
        <f>RawData!AM190</f>
        <v>0</v>
      </c>
      <c r="BO192" s="40">
        <f>RawData!AL190</f>
        <v>0</v>
      </c>
      <c r="BP192" s="40">
        <f>RawData!AK190</f>
        <v>0</v>
      </c>
      <c r="BQ192" s="40">
        <f>RawData!AJ190</f>
        <v>0</v>
      </c>
      <c r="BR192" s="38">
        <f>RawData!AI190</f>
        <v>0</v>
      </c>
      <c r="BS192" s="38">
        <f>RawData!AH190</f>
        <v>0</v>
      </c>
      <c r="BT192" s="40">
        <f>RawData!AG190</f>
        <v>0</v>
      </c>
      <c r="BU192" s="39">
        <f>RawData!AF190</f>
        <v>0</v>
      </c>
      <c r="BV192" s="39">
        <f>RawData!AE190</f>
        <v>0</v>
      </c>
      <c r="BW192" s="38">
        <f>RawData!AD190</f>
        <v>0</v>
      </c>
      <c r="BX192" s="38">
        <f>RawData!AC190</f>
        <v>0</v>
      </c>
      <c r="BY192" s="37">
        <f>RawData!AB190</f>
        <v>0</v>
      </c>
      <c r="BZ192" s="37">
        <f>RawData!AA190</f>
        <v>0</v>
      </c>
      <c r="CA192" s="36">
        <f>RawData!Z190</f>
        <v>0</v>
      </c>
      <c r="CB192" s="36">
        <f>RawData!Y190</f>
        <v>0</v>
      </c>
      <c r="CC192" s="36">
        <f>RawData!X190</f>
        <v>0</v>
      </c>
      <c r="CD192" s="36">
        <f>RawData!W190</f>
        <v>0</v>
      </c>
      <c r="CE192" s="40">
        <f>RawData!V190</f>
        <v>0</v>
      </c>
      <c r="CF192" s="40">
        <f>RawData!U190</f>
        <v>0</v>
      </c>
      <c r="CG192" s="40">
        <f>RawData!T190</f>
        <v>0</v>
      </c>
      <c r="CH192" s="44">
        <f>RawData!S190</f>
        <v>0</v>
      </c>
      <c r="CI192" s="44">
        <f>RawData!R190</f>
        <v>0</v>
      </c>
      <c r="CJ192" s="44">
        <f>RawData!Q190</f>
        <v>0</v>
      </c>
      <c r="CK192" s="44">
        <f>RawData!P190</f>
        <v>0</v>
      </c>
      <c r="CL192" s="44">
        <f>RawData!CJ190</f>
        <v>0</v>
      </c>
      <c r="CM192" s="43">
        <f>RawData!CI190</f>
        <v>0</v>
      </c>
      <c r="CN192" s="44">
        <f>RawData!CL190</f>
        <v>0</v>
      </c>
      <c r="CO192" s="43">
        <f>RawData!CK190</f>
        <v>0</v>
      </c>
      <c r="CP192" s="44">
        <f>RawData!CM190</f>
        <v>0</v>
      </c>
      <c r="CQ192" s="47">
        <f>RawData!CO190</f>
        <v>0</v>
      </c>
      <c r="CR192" s="44">
        <f>RawData!CP190</f>
        <v>0</v>
      </c>
      <c r="CS192" s="44">
        <f>RawData!DG190</f>
        <v>0</v>
      </c>
      <c r="CT192" s="43">
        <f>RawData!DJ190</f>
        <v>0</v>
      </c>
      <c r="CU192" s="43">
        <f>RawData!CQ190</f>
        <v>0</v>
      </c>
      <c r="CV192" s="47">
        <f>RawData!CR190</f>
        <v>0</v>
      </c>
      <c r="CW192" s="65">
        <f>RawData!DK190</f>
        <v>0</v>
      </c>
      <c r="CX192" s="65">
        <f>RawData!DL190</f>
        <v>0</v>
      </c>
      <c r="CY192" s="65">
        <f>RawData!DM190</f>
        <v>0</v>
      </c>
      <c r="CZ192" s="65">
        <f>RawData!DN190</f>
        <v>0</v>
      </c>
      <c r="DA192" s="65">
        <f>RawData!DO190</f>
        <v>0</v>
      </c>
      <c r="DB192" s="65">
        <f>RawData!DP190</f>
        <v>0</v>
      </c>
      <c r="DC192" s="65">
        <f>RawData!DQ190</f>
        <v>0</v>
      </c>
      <c r="DD192" s="65">
        <f>RawData!DR190</f>
        <v>0</v>
      </c>
      <c r="DE192" s="65">
        <f>RawData!DS190</f>
        <v>0</v>
      </c>
      <c r="DF192" s="65">
        <f>RawData!DT190</f>
        <v>0</v>
      </c>
      <c r="DG192" s="66">
        <f>RawData!DU190</f>
        <v>0</v>
      </c>
      <c r="DI192" s="21">
        <f t="shared" si="2"/>
        <v>0</v>
      </c>
    </row>
    <row r="193" spans="1:113" x14ac:dyDescent="0.2">
      <c r="A193" s="59">
        <f>RawData!CN191</f>
        <v>0</v>
      </c>
      <c r="B193" s="44">
        <f>RawData!CH191</f>
        <v>0</v>
      </c>
      <c r="C193" s="44">
        <f>RawData!CG191</f>
        <v>0</v>
      </c>
      <c r="D193" s="43">
        <f>RawData!CF191</f>
        <v>0</v>
      </c>
      <c r="E193" s="44">
        <f>RawData!CE191</f>
        <v>0</v>
      </c>
      <c r="F193" s="43">
        <f>RawData!CD191</f>
        <v>0</v>
      </c>
      <c r="G193" s="44">
        <f>RawData!CC191</f>
        <v>0</v>
      </c>
      <c r="H193" s="44">
        <f>RawData!CB191</f>
        <v>0</v>
      </c>
      <c r="I193" s="44">
        <f>RawData!CA191</f>
        <v>0</v>
      </c>
      <c r="J193" s="44">
        <f>RawData!BZ191</f>
        <v>0</v>
      </c>
      <c r="K193" s="40">
        <f>RawData!BY191</f>
        <v>0</v>
      </c>
      <c r="L193" s="40">
        <f>RawData!BX191</f>
        <v>0</v>
      </c>
      <c r="M193" s="40">
        <f>RawData!BW191</f>
        <v>0</v>
      </c>
      <c r="N193" s="40">
        <f>RawData!BV191</f>
        <v>0</v>
      </c>
      <c r="O193" s="36">
        <f>RawData!BU191</f>
        <v>0</v>
      </c>
      <c r="P193" s="36">
        <f>RawData!BT191</f>
        <v>0</v>
      </c>
      <c r="Q193" s="36">
        <f>RawData!BS191</f>
        <v>0</v>
      </c>
      <c r="R193" s="36">
        <f>RawData!BR191</f>
        <v>0</v>
      </c>
      <c r="S193" s="37">
        <f>RawData!BQ191</f>
        <v>0</v>
      </c>
      <c r="T193" s="37">
        <f>RawData!BP191</f>
        <v>0</v>
      </c>
      <c r="U193" s="38">
        <f>RawData!BO191</f>
        <v>0</v>
      </c>
      <c r="V193" s="38">
        <f>RawData!BN191</f>
        <v>0</v>
      </c>
      <c r="W193" s="39">
        <f>RawData!BM191</f>
        <v>0</v>
      </c>
      <c r="X193" s="39">
        <f>RawData!BL191</f>
        <v>0</v>
      </c>
      <c r="Y193" s="38">
        <f>RawData!BJ191</f>
        <v>0</v>
      </c>
      <c r="Z193" s="38">
        <f>RawData!BI191</f>
        <v>0</v>
      </c>
      <c r="AA193" s="40">
        <f>RawData!BH191</f>
        <v>0</v>
      </c>
      <c r="AB193" s="40">
        <f>RawData!BG191</f>
        <v>0</v>
      </c>
      <c r="AC193" s="40">
        <f>RawData!BF191</f>
        <v>0</v>
      </c>
      <c r="AD193" s="40">
        <f>RawData!BE191</f>
        <v>0</v>
      </c>
      <c r="AE193" s="40">
        <f>RawData!BD191</f>
        <v>0</v>
      </c>
      <c r="AF193" s="40">
        <f>RawData!BC191</f>
        <v>0</v>
      </c>
      <c r="AG193" s="41">
        <f>RawData!BB191</f>
        <v>0</v>
      </c>
      <c r="AH193" s="42">
        <f>RawData!DB191</f>
        <v>0</v>
      </c>
      <c r="AI193" s="41">
        <f>RawData!BA191</f>
        <v>0</v>
      </c>
      <c r="AJ193" s="43">
        <f>RawData!DA191</f>
        <v>0</v>
      </c>
      <c r="AK193" s="41">
        <f>RawData!AZ191</f>
        <v>0</v>
      </c>
      <c r="AL193" s="42">
        <f>RawData!DD191</f>
        <v>0</v>
      </c>
      <c r="AM193" s="44">
        <f>RawData!DC191</f>
        <v>0</v>
      </c>
      <c r="AN193" s="45">
        <f>RawData!BK191</f>
        <v>0</v>
      </c>
      <c r="AO193" s="44">
        <f>RawData!AY191</f>
        <v>0</v>
      </c>
      <c r="AP193" s="43">
        <f>RawData!DH191</f>
        <v>0</v>
      </c>
      <c r="AQ193" s="43">
        <f>RawData!DE191</f>
        <v>0</v>
      </c>
      <c r="AR193" s="42">
        <f>RawData!CZ191</f>
        <v>0</v>
      </c>
      <c r="AS193" s="44">
        <f>RawData!AX191</f>
        <v>0</v>
      </c>
      <c r="AT193" s="43">
        <f>RawData!CY191</f>
        <v>0</v>
      </c>
      <c r="AU193" s="44">
        <f>RawData!AW191</f>
        <v>0</v>
      </c>
      <c r="AV193" s="46">
        <f>RawData!O191</f>
        <v>0</v>
      </c>
      <c r="AW193" s="44">
        <f>RawData!AV191</f>
        <v>0</v>
      </c>
      <c r="AX193" s="44">
        <f>RawData!CW191</f>
        <v>0</v>
      </c>
      <c r="AY193" s="44">
        <f>RawData!AU191</f>
        <v>0</v>
      </c>
      <c r="AZ193" s="42">
        <f>RawData!CX191</f>
        <v>0</v>
      </c>
      <c r="BA193" s="44">
        <f>RawData!DF191</f>
        <v>0</v>
      </c>
      <c r="BB193" s="43">
        <f>RawData!DI191</f>
        <v>0</v>
      </c>
      <c r="BC193" s="44">
        <f>RawData!AT191</f>
        <v>0</v>
      </c>
      <c r="BD193" s="45">
        <f>RawData!AP191</f>
        <v>0</v>
      </c>
      <c r="BE193" s="44">
        <f>RawData!CS191</f>
        <v>0</v>
      </c>
      <c r="BF193" s="42">
        <f>RawData!CT191</f>
        <v>0</v>
      </c>
      <c r="BG193" s="41">
        <f>RawData!AS191</f>
        <v>0</v>
      </c>
      <c r="BH193" s="41">
        <f>RawData!CU191</f>
        <v>0</v>
      </c>
      <c r="BI193" s="41">
        <f>RawData!AR191</f>
        <v>0</v>
      </c>
      <c r="BJ193" s="42">
        <f>RawData!CV191</f>
        <v>0</v>
      </c>
      <c r="BK193" s="41">
        <f>RawData!AQ191</f>
        <v>0</v>
      </c>
      <c r="BL193" s="40">
        <f>RawData!AO191</f>
        <v>0</v>
      </c>
      <c r="BM193" s="40">
        <f>RawData!AN191</f>
        <v>0</v>
      </c>
      <c r="BN193" s="40">
        <f>RawData!AM191</f>
        <v>0</v>
      </c>
      <c r="BO193" s="40">
        <f>RawData!AL191</f>
        <v>0</v>
      </c>
      <c r="BP193" s="40">
        <f>RawData!AK191</f>
        <v>0</v>
      </c>
      <c r="BQ193" s="40">
        <f>RawData!AJ191</f>
        <v>0</v>
      </c>
      <c r="BR193" s="38">
        <f>RawData!AI191</f>
        <v>0</v>
      </c>
      <c r="BS193" s="38">
        <f>RawData!AH191</f>
        <v>0</v>
      </c>
      <c r="BT193" s="40">
        <f>RawData!AG191</f>
        <v>0</v>
      </c>
      <c r="BU193" s="39">
        <f>RawData!AF191</f>
        <v>0</v>
      </c>
      <c r="BV193" s="39">
        <f>RawData!AE191</f>
        <v>0</v>
      </c>
      <c r="BW193" s="38">
        <f>RawData!AD191</f>
        <v>0</v>
      </c>
      <c r="BX193" s="38">
        <f>RawData!AC191</f>
        <v>0</v>
      </c>
      <c r="BY193" s="37">
        <f>RawData!AB191</f>
        <v>0</v>
      </c>
      <c r="BZ193" s="37">
        <f>RawData!AA191</f>
        <v>0</v>
      </c>
      <c r="CA193" s="36">
        <f>RawData!Z191</f>
        <v>0</v>
      </c>
      <c r="CB193" s="36">
        <f>RawData!Y191</f>
        <v>0</v>
      </c>
      <c r="CC193" s="36">
        <f>RawData!X191</f>
        <v>0</v>
      </c>
      <c r="CD193" s="36">
        <f>RawData!W191</f>
        <v>0</v>
      </c>
      <c r="CE193" s="40">
        <f>RawData!V191</f>
        <v>0</v>
      </c>
      <c r="CF193" s="40">
        <f>RawData!U191</f>
        <v>0</v>
      </c>
      <c r="CG193" s="40">
        <f>RawData!T191</f>
        <v>0</v>
      </c>
      <c r="CH193" s="44">
        <f>RawData!S191</f>
        <v>0</v>
      </c>
      <c r="CI193" s="44">
        <f>RawData!R191</f>
        <v>0</v>
      </c>
      <c r="CJ193" s="44">
        <f>RawData!Q191</f>
        <v>0</v>
      </c>
      <c r="CK193" s="44">
        <f>RawData!P191</f>
        <v>0</v>
      </c>
      <c r="CL193" s="44">
        <f>RawData!CJ191</f>
        <v>0</v>
      </c>
      <c r="CM193" s="43">
        <f>RawData!CI191</f>
        <v>0</v>
      </c>
      <c r="CN193" s="44">
        <f>RawData!CL191</f>
        <v>0</v>
      </c>
      <c r="CO193" s="43">
        <f>RawData!CK191</f>
        <v>0</v>
      </c>
      <c r="CP193" s="44">
        <f>RawData!CM191</f>
        <v>0</v>
      </c>
      <c r="CQ193" s="47">
        <f>RawData!CO191</f>
        <v>0</v>
      </c>
      <c r="CR193" s="44">
        <f>RawData!CP191</f>
        <v>0</v>
      </c>
      <c r="CS193" s="44">
        <f>RawData!DG191</f>
        <v>0</v>
      </c>
      <c r="CT193" s="43">
        <f>RawData!DJ191</f>
        <v>0</v>
      </c>
      <c r="CU193" s="43">
        <f>RawData!CQ191</f>
        <v>0</v>
      </c>
      <c r="CV193" s="47">
        <f>RawData!CR191</f>
        <v>0</v>
      </c>
      <c r="CW193" s="65">
        <f>RawData!DK191</f>
        <v>0</v>
      </c>
      <c r="CX193" s="65">
        <f>RawData!DL191</f>
        <v>0</v>
      </c>
      <c r="CY193" s="65">
        <f>RawData!DM191</f>
        <v>0</v>
      </c>
      <c r="CZ193" s="65">
        <f>RawData!DN191</f>
        <v>0</v>
      </c>
      <c r="DA193" s="65">
        <f>RawData!DO191</f>
        <v>0</v>
      </c>
      <c r="DB193" s="65">
        <f>RawData!DP191</f>
        <v>0</v>
      </c>
      <c r="DC193" s="65">
        <f>RawData!DQ191</f>
        <v>0</v>
      </c>
      <c r="DD193" s="65">
        <f>RawData!DR191</f>
        <v>0</v>
      </c>
      <c r="DE193" s="65">
        <f>RawData!DS191</f>
        <v>0</v>
      </c>
      <c r="DF193" s="65">
        <f>RawData!DT191</f>
        <v>0</v>
      </c>
      <c r="DG193" s="66">
        <f>RawData!DU191</f>
        <v>0</v>
      </c>
      <c r="DI193" s="21">
        <f t="shared" si="2"/>
        <v>0</v>
      </c>
    </row>
    <row r="194" spans="1:113" x14ac:dyDescent="0.2">
      <c r="A194" s="59">
        <f>RawData!CN192</f>
        <v>0</v>
      </c>
      <c r="B194" s="44">
        <f>RawData!CH192</f>
        <v>0</v>
      </c>
      <c r="C194" s="44">
        <f>RawData!CG192</f>
        <v>0</v>
      </c>
      <c r="D194" s="43">
        <f>RawData!CF192</f>
        <v>0</v>
      </c>
      <c r="E194" s="44">
        <f>RawData!CE192</f>
        <v>0</v>
      </c>
      <c r="F194" s="43">
        <f>RawData!CD192</f>
        <v>0</v>
      </c>
      <c r="G194" s="44">
        <f>RawData!CC192</f>
        <v>0</v>
      </c>
      <c r="H194" s="44">
        <f>RawData!CB192</f>
        <v>0</v>
      </c>
      <c r="I194" s="44">
        <f>RawData!CA192</f>
        <v>0</v>
      </c>
      <c r="J194" s="44">
        <f>RawData!BZ192</f>
        <v>0</v>
      </c>
      <c r="K194" s="40">
        <f>RawData!BY192</f>
        <v>0</v>
      </c>
      <c r="L194" s="40">
        <f>RawData!BX192</f>
        <v>0</v>
      </c>
      <c r="M194" s="40">
        <f>RawData!BW192</f>
        <v>0</v>
      </c>
      <c r="N194" s="40">
        <f>RawData!BV192</f>
        <v>0</v>
      </c>
      <c r="O194" s="36">
        <f>RawData!BU192</f>
        <v>0</v>
      </c>
      <c r="P194" s="36">
        <f>RawData!BT192</f>
        <v>0</v>
      </c>
      <c r="Q194" s="36">
        <f>RawData!BS192</f>
        <v>0</v>
      </c>
      <c r="R194" s="36">
        <f>RawData!BR192</f>
        <v>0</v>
      </c>
      <c r="S194" s="37">
        <f>RawData!BQ192</f>
        <v>0</v>
      </c>
      <c r="T194" s="37">
        <f>RawData!BP192</f>
        <v>0</v>
      </c>
      <c r="U194" s="38">
        <f>RawData!BO192</f>
        <v>0</v>
      </c>
      <c r="V194" s="38">
        <f>RawData!BN192</f>
        <v>0</v>
      </c>
      <c r="W194" s="39">
        <f>RawData!BM192</f>
        <v>0</v>
      </c>
      <c r="X194" s="39">
        <f>RawData!BL192</f>
        <v>0</v>
      </c>
      <c r="Y194" s="38">
        <f>RawData!BJ192</f>
        <v>0</v>
      </c>
      <c r="Z194" s="38">
        <f>RawData!BI192</f>
        <v>0</v>
      </c>
      <c r="AA194" s="40">
        <f>RawData!BH192</f>
        <v>0</v>
      </c>
      <c r="AB194" s="40">
        <f>RawData!BG192</f>
        <v>0</v>
      </c>
      <c r="AC194" s="40">
        <f>RawData!BF192</f>
        <v>0</v>
      </c>
      <c r="AD194" s="40">
        <f>RawData!BE192</f>
        <v>0</v>
      </c>
      <c r="AE194" s="40">
        <f>RawData!BD192</f>
        <v>0</v>
      </c>
      <c r="AF194" s="40">
        <f>RawData!BC192</f>
        <v>0</v>
      </c>
      <c r="AG194" s="41">
        <f>RawData!BB192</f>
        <v>0</v>
      </c>
      <c r="AH194" s="42">
        <f>RawData!DB192</f>
        <v>0</v>
      </c>
      <c r="AI194" s="41">
        <f>RawData!BA192</f>
        <v>0</v>
      </c>
      <c r="AJ194" s="43">
        <f>RawData!DA192</f>
        <v>0</v>
      </c>
      <c r="AK194" s="41">
        <f>RawData!AZ192</f>
        <v>0</v>
      </c>
      <c r="AL194" s="42">
        <f>RawData!DD192</f>
        <v>0</v>
      </c>
      <c r="AM194" s="44">
        <f>RawData!DC192</f>
        <v>0</v>
      </c>
      <c r="AN194" s="45">
        <f>RawData!BK192</f>
        <v>0</v>
      </c>
      <c r="AO194" s="44">
        <f>RawData!AY192</f>
        <v>0</v>
      </c>
      <c r="AP194" s="43">
        <f>RawData!DH192</f>
        <v>0</v>
      </c>
      <c r="AQ194" s="43">
        <f>RawData!DE192</f>
        <v>0</v>
      </c>
      <c r="AR194" s="42">
        <f>RawData!CZ192</f>
        <v>0</v>
      </c>
      <c r="AS194" s="44">
        <f>RawData!AX192</f>
        <v>0</v>
      </c>
      <c r="AT194" s="43">
        <f>RawData!CY192</f>
        <v>0</v>
      </c>
      <c r="AU194" s="44">
        <f>RawData!AW192</f>
        <v>0</v>
      </c>
      <c r="AV194" s="46">
        <f>RawData!O192</f>
        <v>0</v>
      </c>
      <c r="AW194" s="44">
        <f>RawData!AV192</f>
        <v>0</v>
      </c>
      <c r="AX194" s="44">
        <f>RawData!CW192</f>
        <v>0</v>
      </c>
      <c r="AY194" s="44">
        <f>RawData!AU192</f>
        <v>0</v>
      </c>
      <c r="AZ194" s="42">
        <f>RawData!CX192</f>
        <v>0</v>
      </c>
      <c r="BA194" s="44">
        <f>RawData!DF192</f>
        <v>0</v>
      </c>
      <c r="BB194" s="43">
        <f>RawData!DI192</f>
        <v>0</v>
      </c>
      <c r="BC194" s="44">
        <f>RawData!AT192</f>
        <v>0</v>
      </c>
      <c r="BD194" s="45">
        <f>RawData!AP192</f>
        <v>0</v>
      </c>
      <c r="BE194" s="44">
        <f>RawData!CS192</f>
        <v>0</v>
      </c>
      <c r="BF194" s="42">
        <f>RawData!CT192</f>
        <v>0</v>
      </c>
      <c r="BG194" s="41">
        <f>RawData!AS192</f>
        <v>0</v>
      </c>
      <c r="BH194" s="41">
        <f>RawData!CU192</f>
        <v>0</v>
      </c>
      <c r="BI194" s="41">
        <f>RawData!AR192</f>
        <v>0</v>
      </c>
      <c r="BJ194" s="42">
        <f>RawData!CV192</f>
        <v>0</v>
      </c>
      <c r="BK194" s="41">
        <f>RawData!AQ192</f>
        <v>0</v>
      </c>
      <c r="BL194" s="40">
        <f>RawData!AO192</f>
        <v>0</v>
      </c>
      <c r="BM194" s="40">
        <f>RawData!AN192</f>
        <v>0</v>
      </c>
      <c r="BN194" s="40">
        <f>RawData!AM192</f>
        <v>0</v>
      </c>
      <c r="BO194" s="40">
        <f>RawData!AL192</f>
        <v>0</v>
      </c>
      <c r="BP194" s="40">
        <f>RawData!AK192</f>
        <v>0</v>
      </c>
      <c r="BQ194" s="40">
        <f>RawData!AJ192</f>
        <v>0</v>
      </c>
      <c r="BR194" s="38">
        <f>RawData!AI192</f>
        <v>0</v>
      </c>
      <c r="BS194" s="38">
        <f>RawData!AH192</f>
        <v>0</v>
      </c>
      <c r="BT194" s="40">
        <f>RawData!AG192</f>
        <v>0</v>
      </c>
      <c r="BU194" s="39">
        <f>RawData!AF192</f>
        <v>0</v>
      </c>
      <c r="BV194" s="39">
        <f>RawData!AE192</f>
        <v>0</v>
      </c>
      <c r="BW194" s="38">
        <f>RawData!AD192</f>
        <v>0</v>
      </c>
      <c r="BX194" s="38">
        <f>RawData!AC192</f>
        <v>0</v>
      </c>
      <c r="BY194" s="37">
        <f>RawData!AB192</f>
        <v>0</v>
      </c>
      <c r="BZ194" s="37">
        <f>RawData!AA192</f>
        <v>0</v>
      </c>
      <c r="CA194" s="36">
        <f>RawData!Z192</f>
        <v>0</v>
      </c>
      <c r="CB194" s="36">
        <f>RawData!Y192</f>
        <v>0</v>
      </c>
      <c r="CC194" s="36">
        <f>RawData!X192</f>
        <v>0</v>
      </c>
      <c r="CD194" s="36">
        <f>RawData!W192</f>
        <v>0</v>
      </c>
      <c r="CE194" s="40">
        <f>RawData!V192</f>
        <v>0</v>
      </c>
      <c r="CF194" s="40">
        <f>RawData!U192</f>
        <v>0</v>
      </c>
      <c r="CG194" s="40">
        <f>RawData!T192</f>
        <v>0</v>
      </c>
      <c r="CH194" s="44">
        <f>RawData!S192</f>
        <v>0</v>
      </c>
      <c r="CI194" s="44">
        <f>RawData!R192</f>
        <v>0</v>
      </c>
      <c r="CJ194" s="44">
        <f>RawData!Q192</f>
        <v>0</v>
      </c>
      <c r="CK194" s="44">
        <f>RawData!P192</f>
        <v>0</v>
      </c>
      <c r="CL194" s="44">
        <f>RawData!CJ192</f>
        <v>0</v>
      </c>
      <c r="CM194" s="43">
        <f>RawData!CI192</f>
        <v>0</v>
      </c>
      <c r="CN194" s="44">
        <f>RawData!CL192</f>
        <v>0</v>
      </c>
      <c r="CO194" s="43">
        <f>RawData!CK192</f>
        <v>0</v>
      </c>
      <c r="CP194" s="44">
        <f>RawData!CM192</f>
        <v>0</v>
      </c>
      <c r="CQ194" s="47">
        <f>RawData!CO192</f>
        <v>0</v>
      </c>
      <c r="CR194" s="44">
        <f>RawData!CP192</f>
        <v>0</v>
      </c>
      <c r="CS194" s="44">
        <f>RawData!DG192</f>
        <v>0</v>
      </c>
      <c r="CT194" s="43">
        <f>RawData!DJ192</f>
        <v>0</v>
      </c>
      <c r="CU194" s="43">
        <f>RawData!CQ192</f>
        <v>0</v>
      </c>
      <c r="CV194" s="47">
        <f>RawData!CR192</f>
        <v>0</v>
      </c>
      <c r="CW194" s="65">
        <f>RawData!DK192</f>
        <v>0</v>
      </c>
      <c r="CX194" s="65">
        <f>RawData!DL192</f>
        <v>0</v>
      </c>
      <c r="CY194" s="65">
        <f>RawData!DM192</f>
        <v>0</v>
      </c>
      <c r="CZ194" s="65">
        <f>RawData!DN192</f>
        <v>0</v>
      </c>
      <c r="DA194" s="65">
        <f>RawData!DO192</f>
        <v>0</v>
      </c>
      <c r="DB194" s="65">
        <f>RawData!DP192</f>
        <v>0</v>
      </c>
      <c r="DC194" s="65">
        <f>RawData!DQ192</f>
        <v>0</v>
      </c>
      <c r="DD194" s="65">
        <f>RawData!DR192</f>
        <v>0</v>
      </c>
      <c r="DE194" s="65">
        <f>RawData!DS192</f>
        <v>0</v>
      </c>
      <c r="DF194" s="65">
        <f>RawData!DT192</f>
        <v>0</v>
      </c>
      <c r="DG194" s="66">
        <f>RawData!DU192</f>
        <v>0</v>
      </c>
      <c r="DI194" s="21">
        <f t="shared" si="2"/>
        <v>0</v>
      </c>
    </row>
    <row r="195" spans="1:113" x14ac:dyDescent="0.2">
      <c r="A195" s="59">
        <f>RawData!CN193</f>
        <v>0</v>
      </c>
      <c r="B195" s="44">
        <f>RawData!CH193</f>
        <v>0</v>
      </c>
      <c r="C195" s="44">
        <f>RawData!CG193</f>
        <v>0</v>
      </c>
      <c r="D195" s="43">
        <f>RawData!CF193</f>
        <v>0</v>
      </c>
      <c r="E195" s="44">
        <f>RawData!CE193</f>
        <v>0</v>
      </c>
      <c r="F195" s="43">
        <f>RawData!CD193</f>
        <v>0</v>
      </c>
      <c r="G195" s="44">
        <f>RawData!CC193</f>
        <v>0</v>
      </c>
      <c r="H195" s="44">
        <f>RawData!CB193</f>
        <v>0</v>
      </c>
      <c r="I195" s="44">
        <f>RawData!CA193</f>
        <v>0</v>
      </c>
      <c r="J195" s="44">
        <f>RawData!BZ193</f>
        <v>0</v>
      </c>
      <c r="K195" s="40">
        <f>RawData!BY193</f>
        <v>0</v>
      </c>
      <c r="L195" s="40">
        <f>RawData!BX193</f>
        <v>0</v>
      </c>
      <c r="M195" s="40">
        <f>RawData!BW193</f>
        <v>0</v>
      </c>
      <c r="N195" s="40">
        <f>RawData!BV193</f>
        <v>0</v>
      </c>
      <c r="O195" s="36">
        <f>RawData!BU193</f>
        <v>0</v>
      </c>
      <c r="P195" s="36">
        <f>RawData!BT193</f>
        <v>0</v>
      </c>
      <c r="Q195" s="36">
        <f>RawData!BS193</f>
        <v>0</v>
      </c>
      <c r="R195" s="36">
        <f>RawData!BR193</f>
        <v>0</v>
      </c>
      <c r="S195" s="37">
        <f>RawData!BQ193</f>
        <v>0</v>
      </c>
      <c r="T195" s="37">
        <f>RawData!BP193</f>
        <v>0</v>
      </c>
      <c r="U195" s="38">
        <f>RawData!BO193</f>
        <v>0</v>
      </c>
      <c r="V195" s="38">
        <f>RawData!BN193</f>
        <v>0</v>
      </c>
      <c r="W195" s="39">
        <f>RawData!BM193</f>
        <v>0</v>
      </c>
      <c r="X195" s="39">
        <f>RawData!BL193</f>
        <v>0</v>
      </c>
      <c r="Y195" s="38">
        <f>RawData!BJ193</f>
        <v>0</v>
      </c>
      <c r="Z195" s="38">
        <f>RawData!BI193</f>
        <v>0</v>
      </c>
      <c r="AA195" s="40">
        <f>RawData!BH193</f>
        <v>0</v>
      </c>
      <c r="AB195" s="40">
        <f>RawData!BG193</f>
        <v>0</v>
      </c>
      <c r="AC195" s="40">
        <f>RawData!BF193</f>
        <v>0</v>
      </c>
      <c r="AD195" s="40">
        <f>RawData!BE193</f>
        <v>0</v>
      </c>
      <c r="AE195" s="40">
        <f>RawData!BD193</f>
        <v>0</v>
      </c>
      <c r="AF195" s="40">
        <f>RawData!BC193</f>
        <v>0</v>
      </c>
      <c r="AG195" s="41">
        <f>RawData!BB193</f>
        <v>0</v>
      </c>
      <c r="AH195" s="42">
        <f>RawData!DB193</f>
        <v>0</v>
      </c>
      <c r="AI195" s="41">
        <f>RawData!BA193</f>
        <v>0</v>
      </c>
      <c r="AJ195" s="43">
        <f>RawData!DA193</f>
        <v>0</v>
      </c>
      <c r="AK195" s="41">
        <f>RawData!AZ193</f>
        <v>0</v>
      </c>
      <c r="AL195" s="42">
        <f>RawData!DD193</f>
        <v>0</v>
      </c>
      <c r="AM195" s="44">
        <f>RawData!DC193</f>
        <v>0</v>
      </c>
      <c r="AN195" s="45">
        <f>RawData!BK193</f>
        <v>0</v>
      </c>
      <c r="AO195" s="44">
        <f>RawData!AY193</f>
        <v>0</v>
      </c>
      <c r="AP195" s="43">
        <f>RawData!DH193</f>
        <v>0</v>
      </c>
      <c r="AQ195" s="43">
        <f>RawData!DE193</f>
        <v>0</v>
      </c>
      <c r="AR195" s="42">
        <f>RawData!CZ193</f>
        <v>0</v>
      </c>
      <c r="AS195" s="44">
        <f>RawData!AX193</f>
        <v>0</v>
      </c>
      <c r="AT195" s="43">
        <f>RawData!CY193</f>
        <v>0</v>
      </c>
      <c r="AU195" s="44">
        <f>RawData!AW193</f>
        <v>0</v>
      </c>
      <c r="AV195" s="46">
        <f>RawData!O193</f>
        <v>0</v>
      </c>
      <c r="AW195" s="44">
        <f>RawData!AV193</f>
        <v>0</v>
      </c>
      <c r="AX195" s="44">
        <f>RawData!CW193</f>
        <v>0</v>
      </c>
      <c r="AY195" s="44">
        <f>RawData!AU193</f>
        <v>0</v>
      </c>
      <c r="AZ195" s="42">
        <f>RawData!CX193</f>
        <v>0</v>
      </c>
      <c r="BA195" s="44">
        <f>RawData!DF193</f>
        <v>0</v>
      </c>
      <c r="BB195" s="43">
        <f>RawData!DI193</f>
        <v>0</v>
      </c>
      <c r="BC195" s="44">
        <f>RawData!AT193</f>
        <v>0</v>
      </c>
      <c r="BD195" s="45">
        <f>RawData!AP193</f>
        <v>0</v>
      </c>
      <c r="BE195" s="44">
        <f>RawData!CS193</f>
        <v>0</v>
      </c>
      <c r="BF195" s="42">
        <f>RawData!CT193</f>
        <v>0</v>
      </c>
      <c r="BG195" s="41">
        <f>RawData!AS193</f>
        <v>0</v>
      </c>
      <c r="BH195" s="41">
        <f>RawData!CU193</f>
        <v>0</v>
      </c>
      <c r="BI195" s="41">
        <f>RawData!AR193</f>
        <v>0</v>
      </c>
      <c r="BJ195" s="42">
        <f>RawData!CV193</f>
        <v>0</v>
      </c>
      <c r="BK195" s="41">
        <f>RawData!AQ193</f>
        <v>0</v>
      </c>
      <c r="BL195" s="40">
        <f>RawData!AO193</f>
        <v>0</v>
      </c>
      <c r="BM195" s="40">
        <f>RawData!AN193</f>
        <v>0</v>
      </c>
      <c r="BN195" s="40">
        <f>RawData!AM193</f>
        <v>0</v>
      </c>
      <c r="BO195" s="40">
        <f>RawData!AL193</f>
        <v>0</v>
      </c>
      <c r="BP195" s="40">
        <f>RawData!AK193</f>
        <v>0</v>
      </c>
      <c r="BQ195" s="40">
        <f>RawData!AJ193</f>
        <v>0</v>
      </c>
      <c r="BR195" s="38">
        <f>RawData!AI193</f>
        <v>0</v>
      </c>
      <c r="BS195" s="38">
        <f>RawData!AH193</f>
        <v>0</v>
      </c>
      <c r="BT195" s="40">
        <f>RawData!AG193</f>
        <v>0</v>
      </c>
      <c r="BU195" s="39">
        <f>RawData!AF193</f>
        <v>0</v>
      </c>
      <c r="BV195" s="39">
        <f>RawData!AE193</f>
        <v>0</v>
      </c>
      <c r="BW195" s="38">
        <f>RawData!AD193</f>
        <v>0</v>
      </c>
      <c r="BX195" s="38">
        <f>RawData!AC193</f>
        <v>0</v>
      </c>
      <c r="BY195" s="37">
        <f>RawData!AB193</f>
        <v>0</v>
      </c>
      <c r="BZ195" s="37">
        <f>RawData!AA193</f>
        <v>0</v>
      </c>
      <c r="CA195" s="36">
        <f>RawData!Z193</f>
        <v>0</v>
      </c>
      <c r="CB195" s="36">
        <f>RawData!Y193</f>
        <v>0</v>
      </c>
      <c r="CC195" s="36">
        <f>RawData!X193</f>
        <v>0</v>
      </c>
      <c r="CD195" s="36">
        <f>RawData!W193</f>
        <v>0</v>
      </c>
      <c r="CE195" s="40">
        <f>RawData!V193</f>
        <v>0</v>
      </c>
      <c r="CF195" s="40">
        <f>RawData!U193</f>
        <v>0</v>
      </c>
      <c r="CG195" s="40">
        <f>RawData!T193</f>
        <v>0</v>
      </c>
      <c r="CH195" s="44">
        <f>RawData!S193</f>
        <v>0</v>
      </c>
      <c r="CI195" s="44">
        <f>RawData!R193</f>
        <v>0</v>
      </c>
      <c r="CJ195" s="44">
        <f>RawData!Q193</f>
        <v>0</v>
      </c>
      <c r="CK195" s="44">
        <f>RawData!P193</f>
        <v>0</v>
      </c>
      <c r="CL195" s="44">
        <f>RawData!CJ193</f>
        <v>0</v>
      </c>
      <c r="CM195" s="43">
        <f>RawData!CI193</f>
        <v>0</v>
      </c>
      <c r="CN195" s="44">
        <f>RawData!CL193</f>
        <v>0</v>
      </c>
      <c r="CO195" s="43">
        <f>RawData!CK193</f>
        <v>0</v>
      </c>
      <c r="CP195" s="44">
        <f>RawData!CM193</f>
        <v>0</v>
      </c>
      <c r="CQ195" s="47">
        <f>RawData!CO193</f>
        <v>0</v>
      </c>
      <c r="CR195" s="44">
        <f>RawData!CP193</f>
        <v>0</v>
      </c>
      <c r="CS195" s="44">
        <f>RawData!DG193</f>
        <v>0</v>
      </c>
      <c r="CT195" s="43">
        <f>RawData!DJ193</f>
        <v>0</v>
      </c>
      <c r="CU195" s="43">
        <f>RawData!CQ193</f>
        <v>0</v>
      </c>
      <c r="CV195" s="47">
        <f>RawData!CR193</f>
        <v>0</v>
      </c>
      <c r="CW195" s="65">
        <f>RawData!DK193</f>
        <v>0</v>
      </c>
      <c r="CX195" s="65">
        <f>RawData!DL193</f>
        <v>0</v>
      </c>
      <c r="CY195" s="65">
        <f>RawData!DM193</f>
        <v>0</v>
      </c>
      <c r="CZ195" s="65">
        <f>RawData!DN193</f>
        <v>0</v>
      </c>
      <c r="DA195" s="65">
        <f>RawData!DO193</f>
        <v>0</v>
      </c>
      <c r="DB195" s="65">
        <f>RawData!DP193</f>
        <v>0</v>
      </c>
      <c r="DC195" s="65">
        <f>RawData!DQ193</f>
        <v>0</v>
      </c>
      <c r="DD195" s="65">
        <f>RawData!DR193</f>
        <v>0</v>
      </c>
      <c r="DE195" s="65">
        <f>RawData!DS193</f>
        <v>0</v>
      </c>
      <c r="DF195" s="65">
        <f>RawData!DT193</f>
        <v>0</v>
      </c>
      <c r="DG195" s="66">
        <f>RawData!DU193</f>
        <v>0</v>
      </c>
      <c r="DI195" s="21">
        <f t="shared" si="2"/>
        <v>0</v>
      </c>
    </row>
    <row r="196" spans="1:113" x14ac:dyDescent="0.2">
      <c r="A196" s="59">
        <f>RawData!CN194</f>
        <v>0</v>
      </c>
      <c r="B196" s="44">
        <f>RawData!CH194</f>
        <v>0</v>
      </c>
      <c r="C196" s="44">
        <f>RawData!CG194</f>
        <v>0</v>
      </c>
      <c r="D196" s="43">
        <f>RawData!CF194</f>
        <v>0</v>
      </c>
      <c r="E196" s="44">
        <f>RawData!CE194</f>
        <v>0</v>
      </c>
      <c r="F196" s="43">
        <f>RawData!CD194</f>
        <v>0</v>
      </c>
      <c r="G196" s="44">
        <f>RawData!CC194</f>
        <v>0</v>
      </c>
      <c r="H196" s="44">
        <f>RawData!CB194</f>
        <v>0</v>
      </c>
      <c r="I196" s="44">
        <f>RawData!CA194</f>
        <v>0</v>
      </c>
      <c r="J196" s="44">
        <f>RawData!BZ194</f>
        <v>0</v>
      </c>
      <c r="K196" s="40">
        <f>RawData!BY194</f>
        <v>0</v>
      </c>
      <c r="L196" s="40">
        <f>RawData!BX194</f>
        <v>0</v>
      </c>
      <c r="M196" s="40">
        <f>RawData!BW194</f>
        <v>0</v>
      </c>
      <c r="N196" s="40">
        <f>RawData!BV194</f>
        <v>0</v>
      </c>
      <c r="O196" s="36">
        <f>RawData!BU194</f>
        <v>0</v>
      </c>
      <c r="P196" s="36">
        <f>RawData!BT194</f>
        <v>0</v>
      </c>
      <c r="Q196" s="36">
        <f>RawData!BS194</f>
        <v>0</v>
      </c>
      <c r="R196" s="36">
        <f>RawData!BR194</f>
        <v>0</v>
      </c>
      <c r="S196" s="37">
        <f>RawData!BQ194</f>
        <v>0</v>
      </c>
      <c r="T196" s="37">
        <f>RawData!BP194</f>
        <v>0</v>
      </c>
      <c r="U196" s="38">
        <f>RawData!BO194</f>
        <v>0</v>
      </c>
      <c r="V196" s="38">
        <f>RawData!BN194</f>
        <v>0</v>
      </c>
      <c r="W196" s="39">
        <f>RawData!BM194</f>
        <v>0</v>
      </c>
      <c r="X196" s="39">
        <f>RawData!BL194</f>
        <v>0</v>
      </c>
      <c r="Y196" s="38">
        <f>RawData!BJ194</f>
        <v>0</v>
      </c>
      <c r="Z196" s="38">
        <f>RawData!BI194</f>
        <v>0</v>
      </c>
      <c r="AA196" s="40">
        <f>RawData!BH194</f>
        <v>0</v>
      </c>
      <c r="AB196" s="40">
        <f>RawData!BG194</f>
        <v>0</v>
      </c>
      <c r="AC196" s="40">
        <f>RawData!BF194</f>
        <v>0</v>
      </c>
      <c r="AD196" s="40">
        <f>RawData!BE194</f>
        <v>0</v>
      </c>
      <c r="AE196" s="40">
        <f>RawData!BD194</f>
        <v>0</v>
      </c>
      <c r="AF196" s="40">
        <f>RawData!BC194</f>
        <v>0</v>
      </c>
      <c r="AG196" s="41">
        <f>RawData!BB194</f>
        <v>0</v>
      </c>
      <c r="AH196" s="42">
        <f>RawData!DB194</f>
        <v>0</v>
      </c>
      <c r="AI196" s="41">
        <f>RawData!BA194</f>
        <v>0</v>
      </c>
      <c r="AJ196" s="43">
        <f>RawData!DA194</f>
        <v>0</v>
      </c>
      <c r="AK196" s="41">
        <f>RawData!AZ194</f>
        <v>0</v>
      </c>
      <c r="AL196" s="42">
        <f>RawData!DD194</f>
        <v>0</v>
      </c>
      <c r="AM196" s="44">
        <f>RawData!DC194</f>
        <v>0</v>
      </c>
      <c r="AN196" s="45">
        <f>RawData!BK194</f>
        <v>0</v>
      </c>
      <c r="AO196" s="44">
        <f>RawData!AY194</f>
        <v>0</v>
      </c>
      <c r="AP196" s="43">
        <f>RawData!DH194</f>
        <v>0</v>
      </c>
      <c r="AQ196" s="43">
        <f>RawData!DE194</f>
        <v>0</v>
      </c>
      <c r="AR196" s="42">
        <f>RawData!CZ194</f>
        <v>0</v>
      </c>
      <c r="AS196" s="44">
        <f>RawData!AX194</f>
        <v>0</v>
      </c>
      <c r="AT196" s="43">
        <f>RawData!CY194</f>
        <v>0</v>
      </c>
      <c r="AU196" s="44">
        <f>RawData!AW194</f>
        <v>0</v>
      </c>
      <c r="AV196" s="46">
        <f>RawData!O194</f>
        <v>0</v>
      </c>
      <c r="AW196" s="44">
        <f>RawData!AV194</f>
        <v>0</v>
      </c>
      <c r="AX196" s="44">
        <f>RawData!CW194</f>
        <v>0</v>
      </c>
      <c r="AY196" s="44">
        <f>RawData!AU194</f>
        <v>0</v>
      </c>
      <c r="AZ196" s="42">
        <f>RawData!CX194</f>
        <v>0</v>
      </c>
      <c r="BA196" s="44">
        <f>RawData!DF194</f>
        <v>0</v>
      </c>
      <c r="BB196" s="43">
        <f>RawData!DI194</f>
        <v>0</v>
      </c>
      <c r="BC196" s="44">
        <f>RawData!AT194</f>
        <v>0</v>
      </c>
      <c r="BD196" s="45">
        <f>RawData!AP194</f>
        <v>0</v>
      </c>
      <c r="BE196" s="44">
        <f>RawData!CS194</f>
        <v>0</v>
      </c>
      <c r="BF196" s="42">
        <f>RawData!CT194</f>
        <v>0</v>
      </c>
      <c r="BG196" s="41">
        <f>RawData!AS194</f>
        <v>0</v>
      </c>
      <c r="BH196" s="41">
        <f>RawData!CU194</f>
        <v>0</v>
      </c>
      <c r="BI196" s="41">
        <f>RawData!AR194</f>
        <v>0</v>
      </c>
      <c r="BJ196" s="42">
        <f>RawData!CV194</f>
        <v>0</v>
      </c>
      <c r="BK196" s="41">
        <f>RawData!AQ194</f>
        <v>0</v>
      </c>
      <c r="BL196" s="40">
        <f>RawData!AO194</f>
        <v>0</v>
      </c>
      <c r="BM196" s="40">
        <f>RawData!AN194</f>
        <v>0</v>
      </c>
      <c r="BN196" s="40">
        <f>RawData!AM194</f>
        <v>0</v>
      </c>
      <c r="BO196" s="40">
        <f>RawData!AL194</f>
        <v>0</v>
      </c>
      <c r="BP196" s="40">
        <f>RawData!AK194</f>
        <v>0</v>
      </c>
      <c r="BQ196" s="40">
        <f>RawData!AJ194</f>
        <v>0</v>
      </c>
      <c r="BR196" s="38">
        <f>RawData!AI194</f>
        <v>0</v>
      </c>
      <c r="BS196" s="38">
        <f>RawData!AH194</f>
        <v>0</v>
      </c>
      <c r="BT196" s="40">
        <f>RawData!AG194</f>
        <v>0</v>
      </c>
      <c r="BU196" s="39">
        <f>RawData!AF194</f>
        <v>0</v>
      </c>
      <c r="BV196" s="39">
        <f>RawData!AE194</f>
        <v>0</v>
      </c>
      <c r="BW196" s="38">
        <f>RawData!AD194</f>
        <v>0</v>
      </c>
      <c r="BX196" s="38">
        <f>RawData!AC194</f>
        <v>0</v>
      </c>
      <c r="BY196" s="37">
        <f>RawData!AB194</f>
        <v>0</v>
      </c>
      <c r="BZ196" s="37">
        <f>RawData!AA194</f>
        <v>0</v>
      </c>
      <c r="CA196" s="36">
        <f>RawData!Z194</f>
        <v>0</v>
      </c>
      <c r="CB196" s="36">
        <f>RawData!Y194</f>
        <v>0</v>
      </c>
      <c r="CC196" s="36">
        <f>RawData!X194</f>
        <v>0</v>
      </c>
      <c r="CD196" s="36">
        <f>RawData!W194</f>
        <v>0</v>
      </c>
      <c r="CE196" s="40">
        <f>RawData!V194</f>
        <v>0</v>
      </c>
      <c r="CF196" s="40">
        <f>RawData!U194</f>
        <v>0</v>
      </c>
      <c r="CG196" s="40">
        <f>RawData!T194</f>
        <v>0</v>
      </c>
      <c r="CH196" s="44">
        <f>RawData!S194</f>
        <v>0</v>
      </c>
      <c r="CI196" s="44">
        <f>RawData!R194</f>
        <v>0</v>
      </c>
      <c r="CJ196" s="44">
        <f>RawData!Q194</f>
        <v>0</v>
      </c>
      <c r="CK196" s="44">
        <f>RawData!P194</f>
        <v>0</v>
      </c>
      <c r="CL196" s="44">
        <f>RawData!CJ194</f>
        <v>0</v>
      </c>
      <c r="CM196" s="43">
        <f>RawData!CI194</f>
        <v>0</v>
      </c>
      <c r="CN196" s="44">
        <f>RawData!CL194</f>
        <v>0</v>
      </c>
      <c r="CO196" s="43">
        <f>RawData!CK194</f>
        <v>0</v>
      </c>
      <c r="CP196" s="44">
        <f>RawData!CM194</f>
        <v>0</v>
      </c>
      <c r="CQ196" s="47">
        <f>RawData!CO194</f>
        <v>0</v>
      </c>
      <c r="CR196" s="44">
        <f>RawData!CP194</f>
        <v>0</v>
      </c>
      <c r="CS196" s="44">
        <f>RawData!DG194</f>
        <v>0</v>
      </c>
      <c r="CT196" s="43">
        <f>RawData!DJ194</f>
        <v>0</v>
      </c>
      <c r="CU196" s="43">
        <f>RawData!CQ194</f>
        <v>0</v>
      </c>
      <c r="CV196" s="47">
        <f>RawData!CR194</f>
        <v>0</v>
      </c>
      <c r="CW196" s="65">
        <f>RawData!DK194</f>
        <v>0</v>
      </c>
      <c r="CX196" s="65">
        <f>RawData!DL194</f>
        <v>0</v>
      </c>
      <c r="CY196" s="65">
        <f>RawData!DM194</f>
        <v>0</v>
      </c>
      <c r="CZ196" s="65">
        <f>RawData!DN194</f>
        <v>0</v>
      </c>
      <c r="DA196" s="65">
        <f>RawData!DO194</f>
        <v>0</v>
      </c>
      <c r="DB196" s="65">
        <f>RawData!DP194</f>
        <v>0</v>
      </c>
      <c r="DC196" s="65">
        <f>RawData!DQ194</f>
        <v>0</v>
      </c>
      <c r="DD196" s="65">
        <f>RawData!DR194</f>
        <v>0</v>
      </c>
      <c r="DE196" s="65">
        <f>RawData!DS194</f>
        <v>0</v>
      </c>
      <c r="DF196" s="65">
        <f>RawData!DT194</f>
        <v>0</v>
      </c>
      <c r="DG196" s="66">
        <f>RawData!DU194</f>
        <v>0</v>
      </c>
      <c r="DI196" s="21">
        <f t="shared" si="2"/>
        <v>0</v>
      </c>
    </row>
    <row r="197" spans="1:113" x14ac:dyDescent="0.2">
      <c r="A197" s="59">
        <f>RawData!CN195</f>
        <v>0</v>
      </c>
      <c r="B197" s="44">
        <f>RawData!CH195</f>
        <v>0</v>
      </c>
      <c r="C197" s="44">
        <f>RawData!CG195</f>
        <v>0</v>
      </c>
      <c r="D197" s="43">
        <f>RawData!CF195</f>
        <v>0</v>
      </c>
      <c r="E197" s="44">
        <f>RawData!CE195</f>
        <v>0</v>
      </c>
      <c r="F197" s="43">
        <f>RawData!CD195</f>
        <v>0</v>
      </c>
      <c r="G197" s="44">
        <f>RawData!CC195</f>
        <v>0</v>
      </c>
      <c r="H197" s="44">
        <f>RawData!CB195</f>
        <v>0</v>
      </c>
      <c r="I197" s="44">
        <f>RawData!CA195</f>
        <v>0</v>
      </c>
      <c r="J197" s="44">
        <f>RawData!BZ195</f>
        <v>0</v>
      </c>
      <c r="K197" s="40">
        <f>RawData!BY195</f>
        <v>0</v>
      </c>
      <c r="L197" s="40">
        <f>RawData!BX195</f>
        <v>0</v>
      </c>
      <c r="M197" s="40">
        <f>RawData!BW195</f>
        <v>0</v>
      </c>
      <c r="N197" s="40">
        <f>RawData!BV195</f>
        <v>0</v>
      </c>
      <c r="O197" s="36">
        <f>RawData!BU195</f>
        <v>0</v>
      </c>
      <c r="P197" s="36">
        <f>RawData!BT195</f>
        <v>0</v>
      </c>
      <c r="Q197" s="36">
        <f>RawData!BS195</f>
        <v>0</v>
      </c>
      <c r="R197" s="36">
        <f>RawData!BR195</f>
        <v>0</v>
      </c>
      <c r="S197" s="37">
        <f>RawData!BQ195</f>
        <v>0</v>
      </c>
      <c r="T197" s="37">
        <f>RawData!BP195</f>
        <v>0</v>
      </c>
      <c r="U197" s="38">
        <f>RawData!BO195</f>
        <v>0</v>
      </c>
      <c r="V197" s="38">
        <f>RawData!BN195</f>
        <v>0</v>
      </c>
      <c r="W197" s="39">
        <f>RawData!BM195</f>
        <v>0</v>
      </c>
      <c r="X197" s="39">
        <f>RawData!BL195</f>
        <v>0</v>
      </c>
      <c r="Y197" s="38">
        <f>RawData!BJ195</f>
        <v>0</v>
      </c>
      <c r="Z197" s="38">
        <f>RawData!BI195</f>
        <v>0</v>
      </c>
      <c r="AA197" s="40">
        <f>RawData!BH195</f>
        <v>0</v>
      </c>
      <c r="AB197" s="40">
        <f>RawData!BG195</f>
        <v>0</v>
      </c>
      <c r="AC197" s="40">
        <f>RawData!BF195</f>
        <v>0</v>
      </c>
      <c r="AD197" s="40">
        <f>RawData!BE195</f>
        <v>0</v>
      </c>
      <c r="AE197" s="40">
        <f>RawData!BD195</f>
        <v>0</v>
      </c>
      <c r="AF197" s="40">
        <f>RawData!BC195</f>
        <v>0</v>
      </c>
      <c r="AG197" s="41">
        <f>RawData!BB195</f>
        <v>0</v>
      </c>
      <c r="AH197" s="42">
        <f>RawData!DB195</f>
        <v>0</v>
      </c>
      <c r="AI197" s="41">
        <f>RawData!BA195</f>
        <v>0</v>
      </c>
      <c r="AJ197" s="43">
        <f>RawData!DA195</f>
        <v>0</v>
      </c>
      <c r="AK197" s="41">
        <f>RawData!AZ195</f>
        <v>0</v>
      </c>
      <c r="AL197" s="42">
        <f>RawData!DD195</f>
        <v>0</v>
      </c>
      <c r="AM197" s="44">
        <f>RawData!DC195</f>
        <v>0</v>
      </c>
      <c r="AN197" s="45">
        <f>RawData!BK195</f>
        <v>0</v>
      </c>
      <c r="AO197" s="44">
        <f>RawData!AY195</f>
        <v>0</v>
      </c>
      <c r="AP197" s="43">
        <f>RawData!DH195</f>
        <v>0</v>
      </c>
      <c r="AQ197" s="43">
        <f>RawData!DE195</f>
        <v>0</v>
      </c>
      <c r="AR197" s="42">
        <f>RawData!CZ195</f>
        <v>0</v>
      </c>
      <c r="AS197" s="44">
        <f>RawData!AX195</f>
        <v>0</v>
      </c>
      <c r="AT197" s="43">
        <f>RawData!CY195</f>
        <v>0</v>
      </c>
      <c r="AU197" s="44">
        <f>RawData!AW195</f>
        <v>0</v>
      </c>
      <c r="AV197" s="46">
        <f>RawData!O195</f>
        <v>0</v>
      </c>
      <c r="AW197" s="44">
        <f>RawData!AV195</f>
        <v>0</v>
      </c>
      <c r="AX197" s="44">
        <f>RawData!CW195</f>
        <v>0</v>
      </c>
      <c r="AY197" s="44">
        <f>RawData!AU195</f>
        <v>0</v>
      </c>
      <c r="AZ197" s="42">
        <f>RawData!CX195</f>
        <v>0</v>
      </c>
      <c r="BA197" s="44">
        <f>RawData!DF195</f>
        <v>0</v>
      </c>
      <c r="BB197" s="43">
        <f>RawData!DI195</f>
        <v>0</v>
      </c>
      <c r="BC197" s="44">
        <f>RawData!AT195</f>
        <v>0</v>
      </c>
      <c r="BD197" s="45">
        <f>RawData!AP195</f>
        <v>0</v>
      </c>
      <c r="BE197" s="44">
        <f>RawData!CS195</f>
        <v>0</v>
      </c>
      <c r="BF197" s="42">
        <f>RawData!CT195</f>
        <v>0</v>
      </c>
      <c r="BG197" s="41">
        <f>RawData!AS195</f>
        <v>0</v>
      </c>
      <c r="BH197" s="41">
        <f>RawData!CU195</f>
        <v>0</v>
      </c>
      <c r="BI197" s="41">
        <f>RawData!AR195</f>
        <v>0</v>
      </c>
      <c r="BJ197" s="42">
        <f>RawData!CV195</f>
        <v>0</v>
      </c>
      <c r="BK197" s="41">
        <f>RawData!AQ195</f>
        <v>0</v>
      </c>
      <c r="BL197" s="40">
        <f>RawData!AO195</f>
        <v>0</v>
      </c>
      <c r="BM197" s="40">
        <f>RawData!AN195</f>
        <v>0</v>
      </c>
      <c r="BN197" s="40">
        <f>RawData!AM195</f>
        <v>0</v>
      </c>
      <c r="BO197" s="40">
        <f>RawData!AL195</f>
        <v>0</v>
      </c>
      <c r="BP197" s="40">
        <f>RawData!AK195</f>
        <v>0</v>
      </c>
      <c r="BQ197" s="40">
        <f>RawData!AJ195</f>
        <v>0</v>
      </c>
      <c r="BR197" s="38">
        <f>RawData!AI195</f>
        <v>0</v>
      </c>
      <c r="BS197" s="38">
        <f>RawData!AH195</f>
        <v>0</v>
      </c>
      <c r="BT197" s="40">
        <f>RawData!AG195</f>
        <v>0</v>
      </c>
      <c r="BU197" s="39">
        <f>RawData!AF195</f>
        <v>0</v>
      </c>
      <c r="BV197" s="39">
        <f>RawData!AE195</f>
        <v>0</v>
      </c>
      <c r="BW197" s="38">
        <f>RawData!AD195</f>
        <v>0</v>
      </c>
      <c r="BX197" s="38">
        <f>RawData!AC195</f>
        <v>0</v>
      </c>
      <c r="BY197" s="37">
        <f>RawData!AB195</f>
        <v>0</v>
      </c>
      <c r="BZ197" s="37">
        <f>RawData!AA195</f>
        <v>0</v>
      </c>
      <c r="CA197" s="36">
        <f>RawData!Z195</f>
        <v>0</v>
      </c>
      <c r="CB197" s="36">
        <f>RawData!Y195</f>
        <v>0</v>
      </c>
      <c r="CC197" s="36">
        <f>RawData!X195</f>
        <v>0</v>
      </c>
      <c r="CD197" s="36">
        <f>RawData!W195</f>
        <v>0</v>
      </c>
      <c r="CE197" s="40">
        <f>RawData!V195</f>
        <v>0</v>
      </c>
      <c r="CF197" s="40">
        <f>RawData!U195</f>
        <v>0</v>
      </c>
      <c r="CG197" s="40">
        <f>RawData!T195</f>
        <v>0</v>
      </c>
      <c r="CH197" s="44">
        <f>RawData!S195</f>
        <v>0</v>
      </c>
      <c r="CI197" s="44">
        <f>RawData!R195</f>
        <v>0</v>
      </c>
      <c r="CJ197" s="44">
        <f>RawData!Q195</f>
        <v>0</v>
      </c>
      <c r="CK197" s="44">
        <f>RawData!P195</f>
        <v>0</v>
      </c>
      <c r="CL197" s="44">
        <f>RawData!CJ195</f>
        <v>0</v>
      </c>
      <c r="CM197" s="43">
        <f>RawData!CI195</f>
        <v>0</v>
      </c>
      <c r="CN197" s="44">
        <f>RawData!CL195</f>
        <v>0</v>
      </c>
      <c r="CO197" s="43">
        <f>RawData!CK195</f>
        <v>0</v>
      </c>
      <c r="CP197" s="44">
        <f>RawData!CM195</f>
        <v>0</v>
      </c>
      <c r="CQ197" s="47">
        <f>RawData!CO195</f>
        <v>0</v>
      </c>
      <c r="CR197" s="44">
        <f>RawData!CP195</f>
        <v>0</v>
      </c>
      <c r="CS197" s="44">
        <f>RawData!DG195</f>
        <v>0</v>
      </c>
      <c r="CT197" s="43">
        <f>RawData!DJ195</f>
        <v>0</v>
      </c>
      <c r="CU197" s="43">
        <f>RawData!CQ195</f>
        <v>0</v>
      </c>
      <c r="CV197" s="47">
        <f>RawData!CR195</f>
        <v>0</v>
      </c>
      <c r="CW197" s="65">
        <f>RawData!DK195</f>
        <v>0</v>
      </c>
      <c r="CX197" s="65">
        <f>RawData!DL195</f>
        <v>0</v>
      </c>
      <c r="CY197" s="65">
        <f>RawData!DM195</f>
        <v>0</v>
      </c>
      <c r="CZ197" s="65">
        <f>RawData!DN195</f>
        <v>0</v>
      </c>
      <c r="DA197" s="65">
        <f>RawData!DO195</f>
        <v>0</v>
      </c>
      <c r="DB197" s="65">
        <f>RawData!DP195</f>
        <v>0</v>
      </c>
      <c r="DC197" s="65">
        <f>RawData!DQ195</f>
        <v>0</v>
      </c>
      <c r="DD197" s="65">
        <f>RawData!DR195</f>
        <v>0</v>
      </c>
      <c r="DE197" s="65">
        <f>RawData!DS195</f>
        <v>0</v>
      </c>
      <c r="DF197" s="65">
        <f>RawData!DT195</f>
        <v>0</v>
      </c>
      <c r="DG197" s="66">
        <f>RawData!DU195</f>
        <v>0</v>
      </c>
      <c r="DI197" s="21">
        <f t="shared" ref="DI197:DI250" si="3">IFERROR(IF($AV197&gt;0, ABS($AV197-$CR$4),0),0)</f>
        <v>0</v>
      </c>
    </row>
    <row r="198" spans="1:113" x14ac:dyDescent="0.2">
      <c r="A198" s="59">
        <f>RawData!CN196</f>
        <v>0</v>
      </c>
      <c r="B198" s="44">
        <f>RawData!CH196</f>
        <v>0</v>
      </c>
      <c r="C198" s="44">
        <f>RawData!CG196</f>
        <v>0</v>
      </c>
      <c r="D198" s="43">
        <f>RawData!CF196</f>
        <v>0</v>
      </c>
      <c r="E198" s="44">
        <f>RawData!CE196</f>
        <v>0</v>
      </c>
      <c r="F198" s="43">
        <f>RawData!CD196</f>
        <v>0</v>
      </c>
      <c r="G198" s="44">
        <f>RawData!CC196</f>
        <v>0</v>
      </c>
      <c r="H198" s="44">
        <f>RawData!CB196</f>
        <v>0</v>
      </c>
      <c r="I198" s="44">
        <f>RawData!CA196</f>
        <v>0</v>
      </c>
      <c r="J198" s="44">
        <f>RawData!BZ196</f>
        <v>0</v>
      </c>
      <c r="K198" s="40">
        <f>RawData!BY196</f>
        <v>0</v>
      </c>
      <c r="L198" s="40">
        <f>RawData!BX196</f>
        <v>0</v>
      </c>
      <c r="M198" s="40">
        <f>RawData!BW196</f>
        <v>0</v>
      </c>
      <c r="N198" s="40">
        <f>RawData!BV196</f>
        <v>0</v>
      </c>
      <c r="O198" s="36">
        <f>RawData!BU196</f>
        <v>0</v>
      </c>
      <c r="P198" s="36">
        <f>RawData!BT196</f>
        <v>0</v>
      </c>
      <c r="Q198" s="36">
        <f>RawData!BS196</f>
        <v>0</v>
      </c>
      <c r="R198" s="36">
        <f>RawData!BR196</f>
        <v>0</v>
      </c>
      <c r="S198" s="37">
        <f>RawData!BQ196</f>
        <v>0</v>
      </c>
      <c r="T198" s="37">
        <f>RawData!BP196</f>
        <v>0</v>
      </c>
      <c r="U198" s="38">
        <f>RawData!BO196</f>
        <v>0</v>
      </c>
      <c r="V198" s="38">
        <f>RawData!BN196</f>
        <v>0</v>
      </c>
      <c r="W198" s="39">
        <f>RawData!BM196</f>
        <v>0</v>
      </c>
      <c r="X198" s="39">
        <f>RawData!BL196</f>
        <v>0</v>
      </c>
      <c r="Y198" s="38">
        <f>RawData!BJ196</f>
        <v>0</v>
      </c>
      <c r="Z198" s="38">
        <f>RawData!BI196</f>
        <v>0</v>
      </c>
      <c r="AA198" s="40">
        <f>RawData!BH196</f>
        <v>0</v>
      </c>
      <c r="AB198" s="40">
        <f>RawData!BG196</f>
        <v>0</v>
      </c>
      <c r="AC198" s="40">
        <f>RawData!BF196</f>
        <v>0</v>
      </c>
      <c r="AD198" s="40">
        <f>RawData!BE196</f>
        <v>0</v>
      </c>
      <c r="AE198" s="40">
        <f>RawData!BD196</f>
        <v>0</v>
      </c>
      <c r="AF198" s="40">
        <f>RawData!BC196</f>
        <v>0</v>
      </c>
      <c r="AG198" s="41">
        <f>RawData!BB196</f>
        <v>0</v>
      </c>
      <c r="AH198" s="42">
        <f>RawData!DB196</f>
        <v>0</v>
      </c>
      <c r="AI198" s="41">
        <f>RawData!BA196</f>
        <v>0</v>
      </c>
      <c r="AJ198" s="43">
        <f>RawData!DA196</f>
        <v>0</v>
      </c>
      <c r="AK198" s="41">
        <f>RawData!AZ196</f>
        <v>0</v>
      </c>
      <c r="AL198" s="42">
        <f>RawData!DD196</f>
        <v>0</v>
      </c>
      <c r="AM198" s="44">
        <f>RawData!DC196</f>
        <v>0</v>
      </c>
      <c r="AN198" s="45">
        <f>RawData!BK196</f>
        <v>0</v>
      </c>
      <c r="AO198" s="44">
        <f>RawData!AY196</f>
        <v>0</v>
      </c>
      <c r="AP198" s="43">
        <f>RawData!DH196</f>
        <v>0</v>
      </c>
      <c r="AQ198" s="43">
        <f>RawData!DE196</f>
        <v>0</v>
      </c>
      <c r="AR198" s="42">
        <f>RawData!CZ196</f>
        <v>0</v>
      </c>
      <c r="AS198" s="44">
        <f>RawData!AX196</f>
        <v>0</v>
      </c>
      <c r="AT198" s="43">
        <f>RawData!CY196</f>
        <v>0</v>
      </c>
      <c r="AU198" s="44">
        <f>RawData!AW196</f>
        <v>0</v>
      </c>
      <c r="AV198" s="46">
        <f>RawData!O196</f>
        <v>0</v>
      </c>
      <c r="AW198" s="44">
        <f>RawData!AV196</f>
        <v>0</v>
      </c>
      <c r="AX198" s="44">
        <f>RawData!CW196</f>
        <v>0</v>
      </c>
      <c r="AY198" s="44">
        <f>RawData!AU196</f>
        <v>0</v>
      </c>
      <c r="AZ198" s="42">
        <f>RawData!CX196</f>
        <v>0</v>
      </c>
      <c r="BA198" s="44">
        <f>RawData!DF196</f>
        <v>0</v>
      </c>
      <c r="BB198" s="43">
        <f>RawData!DI196</f>
        <v>0</v>
      </c>
      <c r="BC198" s="44">
        <f>RawData!AT196</f>
        <v>0</v>
      </c>
      <c r="BD198" s="45">
        <f>RawData!AP196</f>
        <v>0</v>
      </c>
      <c r="BE198" s="44">
        <f>RawData!CS196</f>
        <v>0</v>
      </c>
      <c r="BF198" s="42">
        <f>RawData!CT196</f>
        <v>0</v>
      </c>
      <c r="BG198" s="41">
        <f>RawData!AS196</f>
        <v>0</v>
      </c>
      <c r="BH198" s="41">
        <f>RawData!CU196</f>
        <v>0</v>
      </c>
      <c r="BI198" s="41">
        <f>RawData!AR196</f>
        <v>0</v>
      </c>
      <c r="BJ198" s="42">
        <f>RawData!CV196</f>
        <v>0</v>
      </c>
      <c r="BK198" s="41">
        <f>RawData!AQ196</f>
        <v>0</v>
      </c>
      <c r="BL198" s="40">
        <f>RawData!AO196</f>
        <v>0</v>
      </c>
      <c r="BM198" s="40">
        <f>RawData!AN196</f>
        <v>0</v>
      </c>
      <c r="BN198" s="40">
        <f>RawData!AM196</f>
        <v>0</v>
      </c>
      <c r="BO198" s="40">
        <f>RawData!AL196</f>
        <v>0</v>
      </c>
      <c r="BP198" s="40">
        <f>RawData!AK196</f>
        <v>0</v>
      </c>
      <c r="BQ198" s="40">
        <f>RawData!AJ196</f>
        <v>0</v>
      </c>
      <c r="BR198" s="38">
        <f>RawData!AI196</f>
        <v>0</v>
      </c>
      <c r="BS198" s="38">
        <f>RawData!AH196</f>
        <v>0</v>
      </c>
      <c r="BT198" s="40">
        <f>RawData!AG196</f>
        <v>0</v>
      </c>
      <c r="BU198" s="39">
        <f>RawData!AF196</f>
        <v>0</v>
      </c>
      <c r="BV198" s="39">
        <f>RawData!AE196</f>
        <v>0</v>
      </c>
      <c r="BW198" s="38">
        <f>RawData!AD196</f>
        <v>0</v>
      </c>
      <c r="BX198" s="38">
        <f>RawData!AC196</f>
        <v>0</v>
      </c>
      <c r="BY198" s="37">
        <f>RawData!AB196</f>
        <v>0</v>
      </c>
      <c r="BZ198" s="37">
        <f>RawData!AA196</f>
        <v>0</v>
      </c>
      <c r="CA198" s="36">
        <f>RawData!Z196</f>
        <v>0</v>
      </c>
      <c r="CB198" s="36">
        <f>RawData!Y196</f>
        <v>0</v>
      </c>
      <c r="CC198" s="36">
        <f>RawData!X196</f>
        <v>0</v>
      </c>
      <c r="CD198" s="36">
        <f>RawData!W196</f>
        <v>0</v>
      </c>
      <c r="CE198" s="40">
        <f>RawData!V196</f>
        <v>0</v>
      </c>
      <c r="CF198" s="40">
        <f>RawData!U196</f>
        <v>0</v>
      </c>
      <c r="CG198" s="40">
        <f>RawData!T196</f>
        <v>0</v>
      </c>
      <c r="CH198" s="44">
        <f>RawData!S196</f>
        <v>0</v>
      </c>
      <c r="CI198" s="44">
        <f>RawData!R196</f>
        <v>0</v>
      </c>
      <c r="CJ198" s="44">
        <f>RawData!Q196</f>
        <v>0</v>
      </c>
      <c r="CK198" s="44">
        <f>RawData!P196</f>
        <v>0</v>
      </c>
      <c r="CL198" s="44">
        <f>RawData!CJ196</f>
        <v>0</v>
      </c>
      <c r="CM198" s="43">
        <f>RawData!CI196</f>
        <v>0</v>
      </c>
      <c r="CN198" s="44">
        <f>RawData!CL196</f>
        <v>0</v>
      </c>
      <c r="CO198" s="43">
        <f>RawData!CK196</f>
        <v>0</v>
      </c>
      <c r="CP198" s="44">
        <f>RawData!CM196</f>
        <v>0</v>
      </c>
      <c r="CQ198" s="47">
        <f>RawData!CO196</f>
        <v>0</v>
      </c>
      <c r="CR198" s="44">
        <f>RawData!CP196</f>
        <v>0</v>
      </c>
      <c r="CS198" s="44">
        <f>RawData!DG196</f>
        <v>0</v>
      </c>
      <c r="CT198" s="43">
        <f>RawData!DJ196</f>
        <v>0</v>
      </c>
      <c r="CU198" s="43">
        <f>RawData!CQ196</f>
        <v>0</v>
      </c>
      <c r="CV198" s="47">
        <f>RawData!CR196</f>
        <v>0</v>
      </c>
      <c r="CW198" s="65">
        <f>RawData!DK196</f>
        <v>0</v>
      </c>
      <c r="CX198" s="65">
        <f>RawData!DL196</f>
        <v>0</v>
      </c>
      <c r="CY198" s="65">
        <f>RawData!DM196</f>
        <v>0</v>
      </c>
      <c r="CZ198" s="65">
        <f>RawData!DN196</f>
        <v>0</v>
      </c>
      <c r="DA198" s="65">
        <f>RawData!DO196</f>
        <v>0</v>
      </c>
      <c r="DB198" s="65">
        <f>RawData!DP196</f>
        <v>0</v>
      </c>
      <c r="DC198" s="65">
        <f>RawData!DQ196</f>
        <v>0</v>
      </c>
      <c r="DD198" s="65">
        <f>RawData!DR196</f>
        <v>0</v>
      </c>
      <c r="DE198" s="65">
        <f>RawData!DS196</f>
        <v>0</v>
      </c>
      <c r="DF198" s="65">
        <f>RawData!DT196</f>
        <v>0</v>
      </c>
      <c r="DG198" s="66">
        <f>RawData!DU196</f>
        <v>0</v>
      </c>
      <c r="DI198" s="21">
        <f t="shared" si="3"/>
        <v>0</v>
      </c>
    </row>
    <row r="199" spans="1:113" x14ac:dyDescent="0.2">
      <c r="A199" s="59">
        <f>RawData!CN197</f>
        <v>0</v>
      </c>
      <c r="B199" s="44">
        <f>RawData!CH197</f>
        <v>0</v>
      </c>
      <c r="C199" s="44">
        <f>RawData!CG197</f>
        <v>0</v>
      </c>
      <c r="D199" s="43">
        <f>RawData!CF197</f>
        <v>0</v>
      </c>
      <c r="E199" s="44">
        <f>RawData!CE197</f>
        <v>0</v>
      </c>
      <c r="F199" s="43">
        <f>RawData!CD197</f>
        <v>0</v>
      </c>
      <c r="G199" s="44">
        <f>RawData!CC197</f>
        <v>0</v>
      </c>
      <c r="H199" s="44">
        <f>RawData!CB197</f>
        <v>0</v>
      </c>
      <c r="I199" s="44">
        <f>RawData!CA197</f>
        <v>0</v>
      </c>
      <c r="J199" s="44">
        <f>RawData!BZ197</f>
        <v>0</v>
      </c>
      <c r="K199" s="40">
        <f>RawData!BY197</f>
        <v>0</v>
      </c>
      <c r="L199" s="40">
        <f>RawData!BX197</f>
        <v>0</v>
      </c>
      <c r="M199" s="40">
        <f>RawData!BW197</f>
        <v>0</v>
      </c>
      <c r="N199" s="40">
        <f>RawData!BV197</f>
        <v>0</v>
      </c>
      <c r="O199" s="36">
        <f>RawData!BU197</f>
        <v>0</v>
      </c>
      <c r="P199" s="36">
        <f>RawData!BT197</f>
        <v>0</v>
      </c>
      <c r="Q199" s="36">
        <f>RawData!BS197</f>
        <v>0</v>
      </c>
      <c r="R199" s="36">
        <f>RawData!BR197</f>
        <v>0</v>
      </c>
      <c r="S199" s="37">
        <f>RawData!BQ197</f>
        <v>0</v>
      </c>
      <c r="T199" s="37">
        <f>RawData!BP197</f>
        <v>0</v>
      </c>
      <c r="U199" s="38">
        <f>RawData!BO197</f>
        <v>0</v>
      </c>
      <c r="V199" s="38">
        <f>RawData!BN197</f>
        <v>0</v>
      </c>
      <c r="W199" s="39">
        <f>RawData!BM197</f>
        <v>0</v>
      </c>
      <c r="X199" s="39">
        <f>RawData!BL197</f>
        <v>0</v>
      </c>
      <c r="Y199" s="38">
        <f>RawData!BJ197</f>
        <v>0</v>
      </c>
      <c r="Z199" s="38">
        <f>RawData!BI197</f>
        <v>0</v>
      </c>
      <c r="AA199" s="40">
        <f>RawData!BH197</f>
        <v>0</v>
      </c>
      <c r="AB199" s="40">
        <f>RawData!BG197</f>
        <v>0</v>
      </c>
      <c r="AC199" s="40">
        <f>RawData!BF197</f>
        <v>0</v>
      </c>
      <c r="AD199" s="40">
        <f>RawData!BE197</f>
        <v>0</v>
      </c>
      <c r="AE199" s="40">
        <f>RawData!BD197</f>
        <v>0</v>
      </c>
      <c r="AF199" s="40">
        <f>RawData!BC197</f>
        <v>0</v>
      </c>
      <c r="AG199" s="41">
        <f>RawData!BB197</f>
        <v>0</v>
      </c>
      <c r="AH199" s="42">
        <f>RawData!DB197</f>
        <v>0</v>
      </c>
      <c r="AI199" s="41">
        <f>RawData!BA197</f>
        <v>0</v>
      </c>
      <c r="AJ199" s="43">
        <f>RawData!DA197</f>
        <v>0</v>
      </c>
      <c r="AK199" s="41">
        <f>RawData!AZ197</f>
        <v>0</v>
      </c>
      <c r="AL199" s="42">
        <f>RawData!DD197</f>
        <v>0</v>
      </c>
      <c r="AM199" s="44">
        <f>RawData!DC197</f>
        <v>0</v>
      </c>
      <c r="AN199" s="45">
        <f>RawData!BK197</f>
        <v>0</v>
      </c>
      <c r="AO199" s="44">
        <f>RawData!AY197</f>
        <v>0</v>
      </c>
      <c r="AP199" s="43">
        <f>RawData!DH197</f>
        <v>0</v>
      </c>
      <c r="AQ199" s="43">
        <f>RawData!DE197</f>
        <v>0</v>
      </c>
      <c r="AR199" s="42">
        <f>RawData!CZ197</f>
        <v>0</v>
      </c>
      <c r="AS199" s="44">
        <f>RawData!AX197</f>
        <v>0</v>
      </c>
      <c r="AT199" s="43">
        <f>RawData!CY197</f>
        <v>0</v>
      </c>
      <c r="AU199" s="44">
        <f>RawData!AW197</f>
        <v>0</v>
      </c>
      <c r="AV199" s="46">
        <f>RawData!O197</f>
        <v>0</v>
      </c>
      <c r="AW199" s="44">
        <f>RawData!AV197</f>
        <v>0</v>
      </c>
      <c r="AX199" s="44">
        <f>RawData!CW197</f>
        <v>0</v>
      </c>
      <c r="AY199" s="44">
        <f>RawData!AU197</f>
        <v>0</v>
      </c>
      <c r="AZ199" s="42">
        <f>RawData!CX197</f>
        <v>0</v>
      </c>
      <c r="BA199" s="44">
        <f>RawData!DF197</f>
        <v>0</v>
      </c>
      <c r="BB199" s="43">
        <f>RawData!DI197</f>
        <v>0</v>
      </c>
      <c r="BC199" s="44">
        <f>RawData!AT197</f>
        <v>0</v>
      </c>
      <c r="BD199" s="45">
        <f>RawData!AP197</f>
        <v>0</v>
      </c>
      <c r="BE199" s="44">
        <f>RawData!CS197</f>
        <v>0</v>
      </c>
      <c r="BF199" s="42">
        <f>RawData!CT197</f>
        <v>0</v>
      </c>
      <c r="BG199" s="41">
        <f>RawData!AS197</f>
        <v>0</v>
      </c>
      <c r="BH199" s="41">
        <f>RawData!CU197</f>
        <v>0</v>
      </c>
      <c r="BI199" s="41">
        <f>RawData!AR197</f>
        <v>0</v>
      </c>
      <c r="BJ199" s="42">
        <f>RawData!CV197</f>
        <v>0</v>
      </c>
      <c r="BK199" s="41">
        <f>RawData!AQ197</f>
        <v>0</v>
      </c>
      <c r="BL199" s="40">
        <f>RawData!AO197</f>
        <v>0</v>
      </c>
      <c r="BM199" s="40">
        <f>RawData!AN197</f>
        <v>0</v>
      </c>
      <c r="BN199" s="40">
        <f>RawData!AM197</f>
        <v>0</v>
      </c>
      <c r="BO199" s="40">
        <f>RawData!AL197</f>
        <v>0</v>
      </c>
      <c r="BP199" s="40">
        <f>RawData!AK197</f>
        <v>0</v>
      </c>
      <c r="BQ199" s="40">
        <f>RawData!AJ197</f>
        <v>0</v>
      </c>
      <c r="BR199" s="38">
        <f>RawData!AI197</f>
        <v>0</v>
      </c>
      <c r="BS199" s="38">
        <f>RawData!AH197</f>
        <v>0</v>
      </c>
      <c r="BT199" s="40">
        <f>RawData!AG197</f>
        <v>0</v>
      </c>
      <c r="BU199" s="39">
        <f>RawData!AF197</f>
        <v>0</v>
      </c>
      <c r="BV199" s="39">
        <f>RawData!AE197</f>
        <v>0</v>
      </c>
      <c r="BW199" s="38">
        <f>RawData!AD197</f>
        <v>0</v>
      </c>
      <c r="BX199" s="38">
        <f>RawData!AC197</f>
        <v>0</v>
      </c>
      <c r="BY199" s="37">
        <f>RawData!AB197</f>
        <v>0</v>
      </c>
      <c r="BZ199" s="37">
        <f>RawData!AA197</f>
        <v>0</v>
      </c>
      <c r="CA199" s="36">
        <f>RawData!Z197</f>
        <v>0</v>
      </c>
      <c r="CB199" s="36">
        <f>RawData!Y197</f>
        <v>0</v>
      </c>
      <c r="CC199" s="36">
        <f>RawData!X197</f>
        <v>0</v>
      </c>
      <c r="CD199" s="36">
        <f>RawData!W197</f>
        <v>0</v>
      </c>
      <c r="CE199" s="40">
        <f>RawData!V197</f>
        <v>0</v>
      </c>
      <c r="CF199" s="40">
        <f>RawData!U197</f>
        <v>0</v>
      </c>
      <c r="CG199" s="40">
        <f>RawData!T197</f>
        <v>0</v>
      </c>
      <c r="CH199" s="44">
        <f>RawData!S197</f>
        <v>0</v>
      </c>
      <c r="CI199" s="44">
        <f>RawData!R197</f>
        <v>0</v>
      </c>
      <c r="CJ199" s="44">
        <f>RawData!Q197</f>
        <v>0</v>
      </c>
      <c r="CK199" s="44">
        <f>RawData!P197</f>
        <v>0</v>
      </c>
      <c r="CL199" s="44">
        <f>RawData!CJ197</f>
        <v>0</v>
      </c>
      <c r="CM199" s="43">
        <f>RawData!CI197</f>
        <v>0</v>
      </c>
      <c r="CN199" s="44">
        <f>RawData!CL197</f>
        <v>0</v>
      </c>
      <c r="CO199" s="43">
        <f>RawData!CK197</f>
        <v>0</v>
      </c>
      <c r="CP199" s="44">
        <f>RawData!CM197</f>
        <v>0</v>
      </c>
      <c r="CQ199" s="47">
        <f>RawData!CO197</f>
        <v>0</v>
      </c>
      <c r="CR199" s="44">
        <f>RawData!CP197</f>
        <v>0</v>
      </c>
      <c r="CS199" s="44">
        <f>RawData!DG197</f>
        <v>0</v>
      </c>
      <c r="CT199" s="43">
        <f>RawData!DJ197</f>
        <v>0</v>
      </c>
      <c r="CU199" s="43">
        <f>RawData!CQ197</f>
        <v>0</v>
      </c>
      <c r="CV199" s="47">
        <f>RawData!CR197</f>
        <v>0</v>
      </c>
      <c r="CW199" s="65">
        <f>RawData!DK197</f>
        <v>0</v>
      </c>
      <c r="CX199" s="65">
        <f>RawData!DL197</f>
        <v>0</v>
      </c>
      <c r="CY199" s="65">
        <f>RawData!DM197</f>
        <v>0</v>
      </c>
      <c r="CZ199" s="65">
        <f>RawData!DN197</f>
        <v>0</v>
      </c>
      <c r="DA199" s="65">
        <f>RawData!DO197</f>
        <v>0</v>
      </c>
      <c r="DB199" s="65">
        <f>RawData!DP197</f>
        <v>0</v>
      </c>
      <c r="DC199" s="65">
        <f>RawData!DQ197</f>
        <v>0</v>
      </c>
      <c r="DD199" s="65">
        <f>RawData!DR197</f>
        <v>0</v>
      </c>
      <c r="DE199" s="65">
        <f>RawData!DS197</f>
        <v>0</v>
      </c>
      <c r="DF199" s="65">
        <f>RawData!DT197</f>
        <v>0</v>
      </c>
      <c r="DG199" s="66">
        <f>RawData!DU197</f>
        <v>0</v>
      </c>
      <c r="DI199" s="21">
        <f t="shared" si="3"/>
        <v>0</v>
      </c>
    </row>
    <row r="200" spans="1:113" x14ac:dyDescent="0.2">
      <c r="A200" s="59">
        <f>RawData!CN198</f>
        <v>0</v>
      </c>
      <c r="B200" s="44">
        <f>RawData!CH198</f>
        <v>0</v>
      </c>
      <c r="C200" s="44">
        <f>RawData!CG198</f>
        <v>0</v>
      </c>
      <c r="D200" s="43">
        <f>RawData!CF198</f>
        <v>0</v>
      </c>
      <c r="E200" s="44">
        <f>RawData!CE198</f>
        <v>0</v>
      </c>
      <c r="F200" s="43">
        <f>RawData!CD198</f>
        <v>0</v>
      </c>
      <c r="G200" s="44">
        <f>RawData!CC198</f>
        <v>0</v>
      </c>
      <c r="H200" s="44">
        <f>RawData!CB198</f>
        <v>0</v>
      </c>
      <c r="I200" s="44">
        <f>RawData!CA198</f>
        <v>0</v>
      </c>
      <c r="J200" s="44">
        <f>RawData!BZ198</f>
        <v>0</v>
      </c>
      <c r="K200" s="40">
        <f>RawData!BY198</f>
        <v>0</v>
      </c>
      <c r="L200" s="40">
        <f>RawData!BX198</f>
        <v>0</v>
      </c>
      <c r="M200" s="40">
        <f>RawData!BW198</f>
        <v>0</v>
      </c>
      <c r="N200" s="40">
        <f>RawData!BV198</f>
        <v>0</v>
      </c>
      <c r="O200" s="36">
        <f>RawData!BU198</f>
        <v>0</v>
      </c>
      <c r="P200" s="36">
        <f>RawData!BT198</f>
        <v>0</v>
      </c>
      <c r="Q200" s="36">
        <f>RawData!BS198</f>
        <v>0</v>
      </c>
      <c r="R200" s="36">
        <f>RawData!BR198</f>
        <v>0</v>
      </c>
      <c r="S200" s="37">
        <f>RawData!BQ198</f>
        <v>0</v>
      </c>
      <c r="T200" s="37">
        <f>RawData!BP198</f>
        <v>0</v>
      </c>
      <c r="U200" s="38">
        <f>RawData!BO198</f>
        <v>0</v>
      </c>
      <c r="V200" s="38">
        <f>RawData!BN198</f>
        <v>0</v>
      </c>
      <c r="W200" s="39">
        <f>RawData!BM198</f>
        <v>0</v>
      </c>
      <c r="X200" s="39">
        <f>RawData!BL198</f>
        <v>0</v>
      </c>
      <c r="Y200" s="38">
        <f>RawData!BJ198</f>
        <v>0</v>
      </c>
      <c r="Z200" s="38">
        <f>RawData!BI198</f>
        <v>0</v>
      </c>
      <c r="AA200" s="40">
        <f>RawData!BH198</f>
        <v>0</v>
      </c>
      <c r="AB200" s="40">
        <f>RawData!BG198</f>
        <v>0</v>
      </c>
      <c r="AC200" s="40">
        <f>RawData!BF198</f>
        <v>0</v>
      </c>
      <c r="AD200" s="40">
        <f>RawData!BE198</f>
        <v>0</v>
      </c>
      <c r="AE200" s="40">
        <f>RawData!BD198</f>
        <v>0</v>
      </c>
      <c r="AF200" s="40">
        <f>RawData!BC198</f>
        <v>0</v>
      </c>
      <c r="AG200" s="41">
        <f>RawData!BB198</f>
        <v>0</v>
      </c>
      <c r="AH200" s="42">
        <f>RawData!DB198</f>
        <v>0</v>
      </c>
      <c r="AI200" s="41">
        <f>RawData!BA198</f>
        <v>0</v>
      </c>
      <c r="AJ200" s="43">
        <f>RawData!DA198</f>
        <v>0</v>
      </c>
      <c r="AK200" s="41">
        <f>RawData!AZ198</f>
        <v>0</v>
      </c>
      <c r="AL200" s="42">
        <f>RawData!DD198</f>
        <v>0</v>
      </c>
      <c r="AM200" s="44">
        <f>RawData!DC198</f>
        <v>0</v>
      </c>
      <c r="AN200" s="45">
        <f>RawData!BK198</f>
        <v>0</v>
      </c>
      <c r="AO200" s="44">
        <f>RawData!AY198</f>
        <v>0</v>
      </c>
      <c r="AP200" s="43">
        <f>RawData!DH198</f>
        <v>0</v>
      </c>
      <c r="AQ200" s="43">
        <f>RawData!DE198</f>
        <v>0</v>
      </c>
      <c r="AR200" s="42">
        <f>RawData!CZ198</f>
        <v>0</v>
      </c>
      <c r="AS200" s="44">
        <f>RawData!AX198</f>
        <v>0</v>
      </c>
      <c r="AT200" s="43">
        <f>RawData!CY198</f>
        <v>0</v>
      </c>
      <c r="AU200" s="44">
        <f>RawData!AW198</f>
        <v>0</v>
      </c>
      <c r="AV200" s="46">
        <f>RawData!O198</f>
        <v>0</v>
      </c>
      <c r="AW200" s="44">
        <f>RawData!AV198</f>
        <v>0</v>
      </c>
      <c r="AX200" s="44">
        <f>RawData!CW198</f>
        <v>0</v>
      </c>
      <c r="AY200" s="44">
        <f>RawData!AU198</f>
        <v>0</v>
      </c>
      <c r="AZ200" s="42">
        <f>RawData!CX198</f>
        <v>0</v>
      </c>
      <c r="BA200" s="44">
        <f>RawData!DF198</f>
        <v>0</v>
      </c>
      <c r="BB200" s="43">
        <f>RawData!DI198</f>
        <v>0</v>
      </c>
      <c r="BC200" s="44">
        <f>RawData!AT198</f>
        <v>0</v>
      </c>
      <c r="BD200" s="45">
        <f>RawData!AP198</f>
        <v>0</v>
      </c>
      <c r="BE200" s="44">
        <f>RawData!CS198</f>
        <v>0</v>
      </c>
      <c r="BF200" s="42">
        <f>RawData!CT198</f>
        <v>0</v>
      </c>
      <c r="BG200" s="41">
        <f>RawData!AS198</f>
        <v>0</v>
      </c>
      <c r="BH200" s="41">
        <f>RawData!CU198</f>
        <v>0</v>
      </c>
      <c r="BI200" s="41">
        <f>RawData!AR198</f>
        <v>0</v>
      </c>
      <c r="BJ200" s="42">
        <f>RawData!CV198</f>
        <v>0</v>
      </c>
      <c r="BK200" s="41">
        <f>RawData!AQ198</f>
        <v>0</v>
      </c>
      <c r="BL200" s="40">
        <f>RawData!AO198</f>
        <v>0</v>
      </c>
      <c r="BM200" s="40">
        <f>RawData!AN198</f>
        <v>0</v>
      </c>
      <c r="BN200" s="40">
        <f>RawData!AM198</f>
        <v>0</v>
      </c>
      <c r="BO200" s="40">
        <f>RawData!AL198</f>
        <v>0</v>
      </c>
      <c r="BP200" s="40">
        <f>RawData!AK198</f>
        <v>0</v>
      </c>
      <c r="BQ200" s="40">
        <f>RawData!AJ198</f>
        <v>0</v>
      </c>
      <c r="BR200" s="38">
        <f>RawData!AI198</f>
        <v>0</v>
      </c>
      <c r="BS200" s="38">
        <f>RawData!AH198</f>
        <v>0</v>
      </c>
      <c r="BT200" s="40">
        <f>RawData!AG198</f>
        <v>0</v>
      </c>
      <c r="BU200" s="39">
        <f>RawData!AF198</f>
        <v>0</v>
      </c>
      <c r="BV200" s="39">
        <f>RawData!AE198</f>
        <v>0</v>
      </c>
      <c r="BW200" s="38">
        <f>RawData!AD198</f>
        <v>0</v>
      </c>
      <c r="BX200" s="38">
        <f>RawData!AC198</f>
        <v>0</v>
      </c>
      <c r="BY200" s="37">
        <f>RawData!AB198</f>
        <v>0</v>
      </c>
      <c r="BZ200" s="37">
        <f>RawData!AA198</f>
        <v>0</v>
      </c>
      <c r="CA200" s="36">
        <f>RawData!Z198</f>
        <v>0</v>
      </c>
      <c r="CB200" s="36">
        <f>RawData!Y198</f>
        <v>0</v>
      </c>
      <c r="CC200" s="36">
        <f>RawData!X198</f>
        <v>0</v>
      </c>
      <c r="CD200" s="36">
        <f>RawData!W198</f>
        <v>0</v>
      </c>
      <c r="CE200" s="40">
        <f>RawData!V198</f>
        <v>0</v>
      </c>
      <c r="CF200" s="40">
        <f>RawData!U198</f>
        <v>0</v>
      </c>
      <c r="CG200" s="40">
        <f>RawData!T198</f>
        <v>0</v>
      </c>
      <c r="CH200" s="44">
        <f>RawData!S198</f>
        <v>0</v>
      </c>
      <c r="CI200" s="44">
        <f>RawData!R198</f>
        <v>0</v>
      </c>
      <c r="CJ200" s="44">
        <f>RawData!Q198</f>
        <v>0</v>
      </c>
      <c r="CK200" s="44">
        <f>RawData!P198</f>
        <v>0</v>
      </c>
      <c r="CL200" s="44">
        <f>RawData!CJ198</f>
        <v>0</v>
      </c>
      <c r="CM200" s="43">
        <f>RawData!CI198</f>
        <v>0</v>
      </c>
      <c r="CN200" s="44">
        <f>RawData!CL198</f>
        <v>0</v>
      </c>
      <c r="CO200" s="43">
        <f>RawData!CK198</f>
        <v>0</v>
      </c>
      <c r="CP200" s="44">
        <f>RawData!CM198</f>
        <v>0</v>
      </c>
      <c r="CQ200" s="47">
        <f>RawData!CO198</f>
        <v>0</v>
      </c>
      <c r="CR200" s="44">
        <f>RawData!CP198</f>
        <v>0</v>
      </c>
      <c r="CS200" s="44">
        <f>RawData!DG198</f>
        <v>0</v>
      </c>
      <c r="CT200" s="43">
        <f>RawData!DJ198</f>
        <v>0</v>
      </c>
      <c r="CU200" s="43">
        <f>RawData!CQ198</f>
        <v>0</v>
      </c>
      <c r="CV200" s="47">
        <f>RawData!CR198</f>
        <v>0</v>
      </c>
      <c r="CW200" s="65">
        <f>RawData!DK198</f>
        <v>0</v>
      </c>
      <c r="CX200" s="65">
        <f>RawData!DL198</f>
        <v>0</v>
      </c>
      <c r="CY200" s="65">
        <f>RawData!DM198</f>
        <v>0</v>
      </c>
      <c r="CZ200" s="65">
        <f>RawData!DN198</f>
        <v>0</v>
      </c>
      <c r="DA200" s="65">
        <f>RawData!DO198</f>
        <v>0</v>
      </c>
      <c r="DB200" s="65">
        <f>RawData!DP198</f>
        <v>0</v>
      </c>
      <c r="DC200" s="65">
        <f>RawData!DQ198</f>
        <v>0</v>
      </c>
      <c r="DD200" s="65">
        <f>RawData!DR198</f>
        <v>0</v>
      </c>
      <c r="DE200" s="65">
        <f>RawData!DS198</f>
        <v>0</v>
      </c>
      <c r="DF200" s="65">
        <f>RawData!DT198</f>
        <v>0</v>
      </c>
      <c r="DG200" s="66">
        <f>RawData!DU198</f>
        <v>0</v>
      </c>
      <c r="DI200" s="21">
        <f t="shared" si="3"/>
        <v>0</v>
      </c>
    </row>
    <row r="201" spans="1:113" x14ac:dyDescent="0.2">
      <c r="A201" s="59">
        <f>RawData!CN199</f>
        <v>0</v>
      </c>
      <c r="B201" s="44">
        <f>RawData!CH199</f>
        <v>0</v>
      </c>
      <c r="C201" s="44">
        <f>RawData!CG199</f>
        <v>0</v>
      </c>
      <c r="D201" s="43">
        <f>RawData!CF199</f>
        <v>0</v>
      </c>
      <c r="E201" s="44">
        <f>RawData!CE199</f>
        <v>0</v>
      </c>
      <c r="F201" s="43">
        <f>RawData!CD199</f>
        <v>0</v>
      </c>
      <c r="G201" s="44">
        <f>RawData!CC199</f>
        <v>0</v>
      </c>
      <c r="H201" s="44">
        <f>RawData!CB199</f>
        <v>0</v>
      </c>
      <c r="I201" s="44">
        <f>RawData!CA199</f>
        <v>0</v>
      </c>
      <c r="J201" s="44">
        <f>RawData!BZ199</f>
        <v>0</v>
      </c>
      <c r="K201" s="40">
        <f>RawData!BY199</f>
        <v>0</v>
      </c>
      <c r="L201" s="40">
        <f>RawData!BX199</f>
        <v>0</v>
      </c>
      <c r="M201" s="40">
        <f>RawData!BW199</f>
        <v>0</v>
      </c>
      <c r="N201" s="40">
        <f>RawData!BV199</f>
        <v>0</v>
      </c>
      <c r="O201" s="36">
        <f>RawData!BU199</f>
        <v>0</v>
      </c>
      <c r="P201" s="36">
        <f>RawData!BT199</f>
        <v>0</v>
      </c>
      <c r="Q201" s="36">
        <f>RawData!BS199</f>
        <v>0</v>
      </c>
      <c r="R201" s="36">
        <f>RawData!BR199</f>
        <v>0</v>
      </c>
      <c r="S201" s="37">
        <f>RawData!BQ199</f>
        <v>0</v>
      </c>
      <c r="T201" s="37">
        <f>RawData!BP199</f>
        <v>0</v>
      </c>
      <c r="U201" s="38">
        <f>RawData!BO199</f>
        <v>0</v>
      </c>
      <c r="V201" s="38">
        <f>RawData!BN199</f>
        <v>0</v>
      </c>
      <c r="W201" s="39">
        <f>RawData!BM199</f>
        <v>0</v>
      </c>
      <c r="X201" s="39">
        <f>RawData!BL199</f>
        <v>0</v>
      </c>
      <c r="Y201" s="38">
        <f>RawData!BJ199</f>
        <v>0</v>
      </c>
      <c r="Z201" s="38">
        <f>RawData!BI199</f>
        <v>0</v>
      </c>
      <c r="AA201" s="40">
        <f>RawData!BH199</f>
        <v>0</v>
      </c>
      <c r="AB201" s="40">
        <f>RawData!BG199</f>
        <v>0</v>
      </c>
      <c r="AC201" s="40">
        <f>RawData!BF199</f>
        <v>0</v>
      </c>
      <c r="AD201" s="40">
        <f>RawData!BE199</f>
        <v>0</v>
      </c>
      <c r="AE201" s="40">
        <f>RawData!BD199</f>
        <v>0</v>
      </c>
      <c r="AF201" s="40">
        <f>RawData!BC199</f>
        <v>0</v>
      </c>
      <c r="AG201" s="41">
        <f>RawData!BB199</f>
        <v>0</v>
      </c>
      <c r="AH201" s="42">
        <f>RawData!DB199</f>
        <v>0</v>
      </c>
      <c r="AI201" s="41">
        <f>RawData!BA199</f>
        <v>0</v>
      </c>
      <c r="AJ201" s="43">
        <f>RawData!DA199</f>
        <v>0</v>
      </c>
      <c r="AK201" s="41">
        <f>RawData!AZ199</f>
        <v>0</v>
      </c>
      <c r="AL201" s="42">
        <f>RawData!DD199</f>
        <v>0</v>
      </c>
      <c r="AM201" s="44">
        <f>RawData!DC199</f>
        <v>0</v>
      </c>
      <c r="AN201" s="45">
        <f>RawData!BK199</f>
        <v>0</v>
      </c>
      <c r="AO201" s="44">
        <f>RawData!AY199</f>
        <v>0</v>
      </c>
      <c r="AP201" s="43">
        <f>RawData!DH199</f>
        <v>0</v>
      </c>
      <c r="AQ201" s="43">
        <f>RawData!DE199</f>
        <v>0</v>
      </c>
      <c r="AR201" s="42">
        <f>RawData!CZ199</f>
        <v>0</v>
      </c>
      <c r="AS201" s="44">
        <f>RawData!AX199</f>
        <v>0</v>
      </c>
      <c r="AT201" s="43">
        <f>RawData!CY199</f>
        <v>0</v>
      </c>
      <c r="AU201" s="44">
        <f>RawData!AW199</f>
        <v>0</v>
      </c>
      <c r="AV201" s="46">
        <f>RawData!O199</f>
        <v>0</v>
      </c>
      <c r="AW201" s="44">
        <f>RawData!AV199</f>
        <v>0</v>
      </c>
      <c r="AX201" s="44">
        <f>RawData!CW199</f>
        <v>0</v>
      </c>
      <c r="AY201" s="44">
        <f>RawData!AU199</f>
        <v>0</v>
      </c>
      <c r="AZ201" s="42">
        <f>RawData!CX199</f>
        <v>0</v>
      </c>
      <c r="BA201" s="44">
        <f>RawData!DF199</f>
        <v>0</v>
      </c>
      <c r="BB201" s="43">
        <f>RawData!DI199</f>
        <v>0</v>
      </c>
      <c r="BC201" s="44">
        <f>RawData!AT199</f>
        <v>0</v>
      </c>
      <c r="BD201" s="45">
        <f>RawData!AP199</f>
        <v>0</v>
      </c>
      <c r="BE201" s="44">
        <f>RawData!CS199</f>
        <v>0</v>
      </c>
      <c r="BF201" s="42">
        <f>RawData!CT199</f>
        <v>0</v>
      </c>
      <c r="BG201" s="41">
        <f>RawData!AS199</f>
        <v>0</v>
      </c>
      <c r="BH201" s="41">
        <f>RawData!CU199</f>
        <v>0</v>
      </c>
      <c r="BI201" s="41">
        <f>RawData!AR199</f>
        <v>0</v>
      </c>
      <c r="BJ201" s="42">
        <f>RawData!CV199</f>
        <v>0</v>
      </c>
      <c r="BK201" s="41">
        <f>RawData!AQ199</f>
        <v>0</v>
      </c>
      <c r="BL201" s="40">
        <f>RawData!AO199</f>
        <v>0</v>
      </c>
      <c r="BM201" s="40">
        <f>RawData!AN199</f>
        <v>0</v>
      </c>
      <c r="BN201" s="40">
        <f>RawData!AM199</f>
        <v>0</v>
      </c>
      <c r="BO201" s="40">
        <f>RawData!AL199</f>
        <v>0</v>
      </c>
      <c r="BP201" s="40">
        <f>RawData!AK199</f>
        <v>0</v>
      </c>
      <c r="BQ201" s="40">
        <f>RawData!AJ199</f>
        <v>0</v>
      </c>
      <c r="BR201" s="38">
        <f>RawData!AI199</f>
        <v>0</v>
      </c>
      <c r="BS201" s="38">
        <f>RawData!AH199</f>
        <v>0</v>
      </c>
      <c r="BT201" s="40">
        <f>RawData!AG199</f>
        <v>0</v>
      </c>
      <c r="BU201" s="39">
        <f>RawData!AF199</f>
        <v>0</v>
      </c>
      <c r="BV201" s="39">
        <f>RawData!AE199</f>
        <v>0</v>
      </c>
      <c r="BW201" s="38">
        <f>RawData!AD199</f>
        <v>0</v>
      </c>
      <c r="BX201" s="38">
        <f>RawData!AC199</f>
        <v>0</v>
      </c>
      <c r="BY201" s="37">
        <f>RawData!AB199</f>
        <v>0</v>
      </c>
      <c r="BZ201" s="37">
        <f>RawData!AA199</f>
        <v>0</v>
      </c>
      <c r="CA201" s="36">
        <f>RawData!Z199</f>
        <v>0</v>
      </c>
      <c r="CB201" s="36">
        <f>RawData!Y199</f>
        <v>0</v>
      </c>
      <c r="CC201" s="36">
        <f>RawData!X199</f>
        <v>0</v>
      </c>
      <c r="CD201" s="36">
        <f>RawData!W199</f>
        <v>0</v>
      </c>
      <c r="CE201" s="40">
        <f>RawData!V199</f>
        <v>0</v>
      </c>
      <c r="CF201" s="40">
        <f>RawData!U199</f>
        <v>0</v>
      </c>
      <c r="CG201" s="40">
        <f>RawData!T199</f>
        <v>0</v>
      </c>
      <c r="CH201" s="44">
        <f>RawData!S199</f>
        <v>0</v>
      </c>
      <c r="CI201" s="44">
        <f>RawData!R199</f>
        <v>0</v>
      </c>
      <c r="CJ201" s="44">
        <f>RawData!Q199</f>
        <v>0</v>
      </c>
      <c r="CK201" s="44">
        <f>RawData!P199</f>
        <v>0</v>
      </c>
      <c r="CL201" s="44">
        <f>RawData!CJ199</f>
        <v>0</v>
      </c>
      <c r="CM201" s="43">
        <f>RawData!CI199</f>
        <v>0</v>
      </c>
      <c r="CN201" s="44">
        <f>RawData!CL199</f>
        <v>0</v>
      </c>
      <c r="CO201" s="43">
        <f>RawData!CK199</f>
        <v>0</v>
      </c>
      <c r="CP201" s="44">
        <f>RawData!CM199</f>
        <v>0</v>
      </c>
      <c r="CQ201" s="47">
        <f>RawData!CO199</f>
        <v>0</v>
      </c>
      <c r="CR201" s="44">
        <f>RawData!CP199</f>
        <v>0</v>
      </c>
      <c r="CS201" s="44">
        <f>RawData!DG199</f>
        <v>0</v>
      </c>
      <c r="CT201" s="43">
        <f>RawData!DJ199</f>
        <v>0</v>
      </c>
      <c r="CU201" s="43">
        <f>RawData!CQ199</f>
        <v>0</v>
      </c>
      <c r="CV201" s="47">
        <f>RawData!CR199</f>
        <v>0</v>
      </c>
      <c r="CW201" s="65">
        <f>RawData!DK199</f>
        <v>0</v>
      </c>
      <c r="CX201" s="65">
        <f>RawData!DL199</f>
        <v>0</v>
      </c>
      <c r="CY201" s="65">
        <f>RawData!DM199</f>
        <v>0</v>
      </c>
      <c r="CZ201" s="65">
        <f>RawData!DN199</f>
        <v>0</v>
      </c>
      <c r="DA201" s="65">
        <f>RawData!DO199</f>
        <v>0</v>
      </c>
      <c r="DB201" s="65">
        <f>RawData!DP199</f>
        <v>0</v>
      </c>
      <c r="DC201" s="65">
        <f>RawData!DQ199</f>
        <v>0</v>
      </c>
      <c r="DD201" s="65">
        <f>RawData!DR199</f>
        <v>0</v>
      </c>
      <c r="DE201" s="65">
        <f>RawData!DS199</f>
        <v>0</v>
      </c>
      <c r="DF201" s="65">
        <f>RawData!DT199</f>
        <v>0</v>
      </c>
      <c r="DG201" s="66">
        <f>RawData!DU199</f>
        <v>0</v>
      </c>
      <c r="DI201" s="21">
        <f t="shared" si="3"/>
        <v>0</v>
      </c>
    </row>
    <row r="202" spans="1:113" x14ac:dyDescent="0.2">
      <c r="A202" s="59">
        <f>RawData!CN200</f>
        <v>0</v>
      </c>
      <c r="B202" s="44">
        <f>RawData!CH200</f>
        <v>0</v>
      </c>
      <c r="C202" s="44">
        <f>RawData!CG200</f>
        <v>0</v>
      </c>
      <c r="D202" s="43">
        <f>RawData!CF200</f>
        <v>0</v>
      </c>
      <c r="E202" s="44">
        <f>RawData!CE200</f>
        <v>0</v>
      </c>
      <c r="F202" s="43">
        <f>RawData!CD200</f>
        <v>0</v>
      </c>
      <c r="G202" s="44">
        <f>RawData!CC200</f>
        <v>0</v>
      </c>
      <c r="H202" s="44">
        <f>RawData!CB200</f>
        <v>0</v>
      </c>
      <c r="I202" s="44">
        <f>RawData!CA200</f>
        <v>0</v>
      </c>
      <c r="J202" s="44">
        <f>RawData!BZ200</f>
        <v>0</v>
      </c>
      <c r="K202" s="40">
        <f>RawData!BY200</f>
        <v>0</v>
      </c>
      <c r="L202" s="40">
        <f>RawData!BX200</f>
        <v>0</v>
      </c>
      <c r="M202" s="40">
        <f>RawData!BW200</f>
        <v>0</v>
      </c>
      <c r="N202" s="40">
        <f>RawData!BV200</f>
        <v>0</v>
      </c>
      <c r="O202" s="36">
        <f>RawData!BU200</f>
        <v>0</v>
      </c>
      <c r="P202" s="36">
        <f>RawData!BT200</f>
        <v>0</v>
      </c>
      <c r="Q202" s="36">
        <f>RawData!BS200</f>
        <v>0</v>
      </c>
      <c r="R202" s="36">
        <f>RawData!BR200</f>
        <v>0</v>
      </c>
      <c r="S202" s="37">
        <f>RawData!BQ200</f>
        <v>0</v>
      </c>
      <c r="T202" s="37">
        <f>RawData!BP200</f>
        <v>0</v>
      </c>
      <c r="U202" s="38">
        <f>RawData!BO200</f>
        <v>0</v>
      </c>
      <c r="V202" s="38">
        <f>RawData!BN200</f>
        <v>0</v>
      </c>
      <c r="W202" s="39">
        <f>RawData!BM200</f>
        <v>0</v>
      </c>
      <c r="X202" s="39">
        <f>RawData!BL200</f>
        <v>0</v>
      </c>
      <c r="Y202" s="38">
        <f>RawData!BJ200</f>
        <v>0</v>
      </c>
      <c r="Z202" s="38">
        <f>RawData!BI200</f>
        <v>0</v>
      </c>
      <c r="AA202" s="40">
        <f>RawData!BH200</f>
        <v>0</v>
      </c>
      <c r="AB202" s="40">
        <f>RawData!BG200</f>
        <v>0</v>
      </c>
      <c r="AC202" s="40">
        <f>RawData!BF200</f>
        <v>0</v>
      </c>
      <c r="AD202" s="40">
        <f>RawData!BE200</f>
        <v>0</v>
      </c>
      <c r="AE202" s="40">
        <f>RawData!BD200</f>
        <v>0</v>
      </c>
      <c r="AF202" s="40">
        <f>RawData!BC200</f>
        <v>0</v>
      </c>
      <c r="AG202" s="41">
        <f>RawData!BB200</f>
        <v>0</v>
      </c>
      <c r="AH202" s="42">
        <f>RawData!DB200</f>
        <v>0</v>
      </c>
      <c r="AI202" s="41">
        <f>RawData!BA200</f>
        <v>0</v>
      </c>
      <c r="AJ202" s="43">
        <f>RawData!DA200</f>
        <v>0</v>
      </c>
      <c r="AK202" s="41">
        <f>RawData!AZ200</f>
        <v>0</v>
      </c>
      <c r="AL202" s="42">
        <f>RawData!DD200</f>
        <v>0</v>
      </c>
      <c r="AM202" s="44">
        <f>RawData!DC200</f>
        <v>0</v>
      </c>
      <c r="AN202" s="45">
        <f>RawData!BK200</f>
        <v>0</v>
      </c>
      <c r="AO202" s="44">
        <f>RawData!AY200</f>
        <v>0</v>
      </c>
      <c r="AP202" s="43">
        <f>RawData!DH200</f>
        <v>0</v>
      </c>
      <c r="AQ202" s="43">
        <f>RawData!DE200</f>
        <v>0</v>
      </c>
      <c r="AR202" s="42">
        <f>RawData!CZ200</f>
        <v>0</v>
      </c>
      <c r="AS202" s="44">
        <f>RawData!AX200</f>
        <v>0</v>
      </c>
      <c r="AT202" s="43">
        <f>RawData!CY200</f>
        <v>0</v>
      </c>
      <c r="AU202" s="44">
        <f>RawData!AW200</f>
        <v>0</v>
      </c>
      <c r="AV202" s="46">
        <f>RawData!O200</f>
        <v>0</v>
      </c>
      <c r="AW202" s="44">
        <f>RawData!AV200</f>
        <v>0</v>
      </c>
      <c r="AX202" s="44">
        <f>RawData!CW200</f>
        <v>0</v>
      </c>
      <c r="AY202" s="44">
        <f>RawData!AU200</f>
        <v>0</v>
      </c>
      <c r="AZ202" s="42">
        <f>RawData!CX200</f>
        <v>0</v>
      </c>
      <c r="BA202" s="44">
        <f>RawData!DF200</f>
        <v>0</v>
      </c>
      <c r="BB202" s="43">
        <f>RawData!DI200</f>
        <v>0</v>
      </c>
      <c r="BC202" s="44">
        <f>RawData!AT200</f>
        <v>0</v>
      </c>
      <c r="BD202" s="45">
        <f>RawData!AP200</f>
        <v>0</v>
      </c>
      <c r="BE202" s="44">
        <f>RawData!CS200</f>
        <v>0</v>
      </c>
      <c r="BF202" s="42">
        <f>RawData!CT200</f>
        <v>0</v>
      </c>
      <c r="BG202" s="41">
        <f>RawData!AS200</f>
        <v>0</v>
      </c>
      <c r="BH202" s="41">
        <f>RawData!CU200</f>
        <v>0</v>
      </c>
      <c r="BI202" s="41">
        <f>RawData!AR200</f>
        <v>0</v>
      </c>
      <c r="BJ202" s="42">
        <f>RawData!CV200</f>
        <v>0</v>
      </c>
      <c r="BK202" s="41">
        <f>RawData!AQ200</f>
        <v>0</v>
      </c>
      <c r="BL202" s="40">
        <f>RawData!AO200</f>
        <v>0</v>
      </c>
      <c r="BM202" s="40">
        <f>RawData!AN200</f>
        <v>0</v>
      </c>
      <c r="BN202" s="40">
        <f>RawData!AM200</f>
        <v>0</v>
      </c>
      <c r="BO202" s="40">
        <f>RawData!AL200</f>
        <v>0</v>
      </c>
      <c r="BP202" s="40">
        <f>RawData!AK200</f>
        <v>0</v>
      </c>
      <c r="BQ202" s="40">
        <f>RawData!AJ200</f>
        <v>0</v>
      </c>
      <c r="BR202" s="38">
        <f>RawData!AI200</f>
        <v>0</v>
      </c>
      <c r="BS202" s="38">
        <f>RawData!AH200</f>
        <v>0</v>
      </c>
      <c r="BT202" s="40">
        <f>RawData!AG200</f>
        <v>0</v>
      </c>
      <c r="BU202" s="39">
        <f>RawData!AF200</f>
        <v>0</v>
      </c>
      <c r="BV202" s="39">
        <f>RawData!AE200</f>
        <v>0</v>
      </c>
      <c r="BW202" s="38">
        <f>RawData!AD200</f>
        <v>0</v>
      </c>
      <c r="BX202" s="38">
        <f>RawData!AC200</f>
        <v>0</v>
      </c>
      <c r="BY202" s="37">
        <f>RawData!AB200</f>
        <v>0</v>
      </c>
      <c r="BZ202" s="37">
        <f>RawData!AA200</f>
        <v>0</v>
      </c>
      <c r="CA202" s="36">
        <f>RawData!Z200</f>
        <v>0</v>
      </c>
      <c r="CB202" s="36">
        <f>RawData!Y200</f>
        <v>0</v>
      </c>
      <c r="CC202" s="36">
        <f>RawData!X200</f>
        <v>0</v>
      </c>
      <c r="CD202" s="36">
        <f>RawData!W200</f>
        <v>0</v>
      </c>
      <c r="CE202" s="40">
        <f>RawData!V200</f>
        <v>0</v>
      </c>
      <c r="CF202" s="40">
        <f>RawData!U200</f>
        <v>0</v>
      </c>
      <c r="CG202" s="40">
        <f>RawData!T200</f>
        <v>0</v>
      </c>
      <c r="CH202" s="44">
        <f>RawData!S200</f>
        <v>0</v>
      </c>
      <c r="CI202" s="44">
        <f>RawData!R200</f>
        <v>0</v>
      </c>
      <c r="CJ202" s="44">
        <f>RawData!Q200</f>
        <v>0</v>
      </c>
      <c r="CK202" s="44">
        <f>RawData!P200</f>
        <v>0</v>
      </c>
      <c r="CL202" s="44">
        <f>RawData!CJ200</f>
        <v>0</v>
      </c>
      <c r="CM202" s="43">
        <f>RawData!CI200</f>
        <v>0</v>
      </c>
      <c r="CN202" s="44">
        <f>RawData!CL200</f>
        <v>0</v>
      </c>
      <c r="CO202" s="43">
        <f>RawData!CK200</f>
        <v>0</v>
      </c>
      <c r="CP202" s="44">
        <f>RawData!CM200</f>
        <v>0</v>
      </c>
      <c r="CQ202" s="47">
        <f>RawData!CO200</f>
        <v>0</v>
      </c>
      <c r="CR202" s="44">
        <f>RawData!CP200</f>
        <v>0</v>
      </c>
      <c r="CS202" s="44">
        <f>RawData!DG200</f>
        <v>0</v>
      </c>
      <c r="CT202" s="43">
        <f>RawData!DJ200</f>
        <v>0</v>
      </c>
      <c r="CU202" s="43">
        <f>RawData!CQ200</f>
        <v>0</v>
      </c>
      <c r="CV202" s="47">
        <f>RawData!CR200</f>
        <v>0</v>
      </c>
      <c r="CW202" s="65">
        <f>RawData!DK200</f>
        <v>0</v>
      </c>
      <c r="CX202" s="65">
        <f>RawData!DL200</f>
        <v>0</v>
      </c>
      <c r="CY202" s="65">
        <f>RawData!DM200</f>
        <v>0</v>
      </c>
      <c r="CZ202" s="65">
        <f>RawData!DN200</f>
        <v>0</v>
      </c>
      <c r="DA202" s="65">
        <f>RawData!DO200</f>
        <v>0</v>
      </c>
      <c r="DB202" s="65">
        <f>RawData!DP200</f>
        <v>0</v>
      </c>
      <c r="DC202" s="65">
        <f>RawData!DQ200</f>
        <v>0</v>
      </c>
      <c r="DD202" s="65">
        <f>RawData!DR200</f>
        <v>0</v>
      </c>
      <c r="DE202" s="65">
        <f>RawData!DS200</f>
        <v>0</v>
      </c>
      <c r="DF202" s="65">
        <f>RawData!DT200</f>
        <v>0</v>
      </c>
      <c r="DG202" s="66">
        <f>RawData!DU200</f>
        <v>0</v>
      </c>
      <c r="DI202" s="21">
        <f t="shared" si="3"/>
        <v>0</v>
      </c>
    </row>
    <row r="203" spans="1:113" x14ac:dyDescent="0.2">
      <c r="A203" s="59">
        <f>RawData!CN201</f>
        <v>0</v>
      </c>
      <c r="B203" s="44">
        <f>RawData!CH201</f>
        <v>0</v>
      </c>
      <c r="C203" s="44">
        <f>RawData!CG201</f>
        <v>0</v>
      </c>
      <c r="D203" s="43">
        <f>RawData!CF201</f>
        <v>0</v>
      </c>
      <c r="E203" s="44">
        <f>RawData!CE201</f>
        <v>0</v>
      </c>
      <c r="F203" s="43">
        <f>RawData!CD201</f>
        <v>0</v>
      </c>
      <c r="G203" s="44">
        <f>RawData!CC201</f>
        <v>0</v>
      </c>
      <c r="H203" s="44">
        <f>RawData!CB201</f>
        <v>0</v>
      </c>
      <c r="I203" s="44">
        <f>RawData!CA201</f>
        <v>0</v>
      </c>
      <c r="J203" s="44">
        <f>RawData!BZ201</f>
        <v>0</v>
      </c>
      <c r="K203" s="40">
        <f>RawData!BY201</f>
        <v>0</v>
      </c>
      <c r="L203" s="40">
        <f>RawData!BX201</f>
        <v>0</v>
      </c>
      <c r="M203" s="40">
        <f>RawData!BW201</f>
        <v>0</v>
      </c>
      <c r="N203" s="40">
        <f>RawData!BV201</f>
        <v>0</v>
      </c>
      <c r="O203" s="36">
        <f>RawData!BU201</f>
        <v>0</v>
      </c>
      <c r="P203" s="36">
        <f>RawData!BT201</f>
        <v>0</v>
      </c>
      <c r="Q203" s="36">
        <f>RawData!BS201</f>
        <v>0</v>
      </c>
      <c r="R203" s="36">
        <f>RawData!BR201</f>
        <v>0</v>
      </c>
      <c r="S203" s="37">
        <f>RawData!BQ201</f>
        <v>0</v>
      </c>
      <c r="T203" s="37">
        <f>RawData!BP201</f>
        <v>0</v>
      </c>
      <c r="U203" s="38">
        <f>RawData!BO201</f>
        <v>0</v>
      </c>
      <c r="V203" s="38">
        <f>RawData!BN201</f>
        <v>0</v>
      </c>
      <c r="W203" s="39">
        <f>RawData!BM201</f>
        <v>0</v>
      </c>
      <c r="X203" s="39">
        <f>RawData!BL201</f>
        <v>0</v>
      </c>
      <c r="Y203" s="38">
        <f>RawData!BJ201</f>
        <v>0</v>
      </c>
      <c r="Z203" s="38">
        <f>RawData!BI201</f>
        <v>0</v>
      </c>
      <c r="AA203" s="40">
        <f>RawData!BH201</f>
        <v>0</v>
      </c>
      <c r="AB203" s="40">
        <f>RawData!BG201</f>
        <v>0</v>
      </c>
      <c r="AC203" s="40">
        <f>RawData!BF201</f>
        <v>0</v>
      </c>
      <c r="AD203" s="40">
        <f>RawData!BE201</f>
        <v>0</v>
      </c>
      <c r="AE203" s="40">
        <f>RawData!BD201</f>
        <v>0</v>
      </c>
      <c r="AF203" s="40">
        <f>RawData!BC201</f>
        <v>0</v>
      </c>
      <c r="AG203" s="41">
        <f>RawData!BB201</f>
        <v>0</v>
      </c>
      <c r="AH203" s="42">
        <f>RawData!DB201</f>
        <v>0</v>
      </c>
      <c r="AI203" s="41">
        <f>RawData!BA201</f>
        <v>0</v>
      </c>
      <c r="AJ203" s="43">
        <f>RawData!DA201</f>
        <v>0</v>
      </c>
      <c r="AK203" s="41">
        <f>RawData!AZ201</f>
        <v>0</v>
      </c>
      <c r="AL203" s="42">
        <f>RawData!DD201</f>
        <v>0</v>
      </c>
      <c r="AM203" s="44">
        <f>RawData!DC201</f>
        <v>0</v>
      </c>
      <c r="AN203" s="45">
        <f>RawData!BK201</f>
        <v>0</v>
      </c>
      <c r="AO203" s="44">
        <f>RawData!AY201</f>
        <v>0</v>
      </c>
      <c r="AP203" s="43">
        <f>RawData!DH201</f>
        <v>0</v>
      </c>
      <c r="AQ203" s="43">
        <f>RawData!DE201</f>
        <v>0</v>
      </c>
      <c r="AR203" s="42">
        <f>RawData!CZ201</f>
        <v>0</v>
      </c>
      <c r="AS203" s="44">
        <f>RawData!AX201</f>
        <v>0</v>
      </c>
      <c r="AT203" s="43">
        <f>RawData!CY201</f>
        <v>0</v>
      </c>
      <c r="AU203" s="44">
        <f>RawData!AW201</f>
        <v>0</v>
      </c>
      <c r="AV203" s="46">
        <f>RawData!O201</f>
        <v>0</v>
      </c>
      <c r="AW203" s="44">
        <f>RawData!AV201</f>
        <v>0</v>
      </c>
      <c r="AX203" s="44">
        <f>RawData!CW201</f>
        <v>0</v>
      </c>
      <c r="AY203" s="44">
        <f>RawData!AU201</f>
        <v>0</v>
      </c>
      <c r="AZ203" s="42">
        <f>RawData!CX201</f>
        <v>0</v>
      </c>
      <c r="BA203" s="44">
        <f>RawData!DF201</f>
        <v>0</v>
      </c>
      <c r="BB203" s="43">
        <f>RawData!DI201</f>
        <v>0</v>
      </c>
      <c r="BC203" s="44">
        <f>RawData!AT201</f>
        <v>0</v>
      </c>
      <c r="BD203" s="45">
        <f>RawData!AP201</f>
        <v>0</v>
      </c>
      <c r="BE203" s="44">
        <f>RawData!CS201</f>
        <v>0</v>
      </c>
      <c r="BF203" s="42">
        <f>RawData!CT201</f>
        <v>0</v>
      </c>
      <c r="BG203" s="41">
        <f>RawData!AS201</f>
        <v>0</v>
      </c>
      <c r="BH203" s="41">
        <f>RawData!CU201</f>
        <v>0</v>
      </c>
      <c r="BI203" s="41">
        <f>RawData!AR201</f>
        <v>0</v>
      </c>
      <c r="BJ203" s="42">
        <f>RawData!CV201</f>
        <v>0</v>
      </c>
      <c r="BK203" s="41">
        <f>RawData!AQ201</f>
        <v>0</v>
      </c>
      <c r="BL203" s="40">
        <f>RawData!AO201</f>
        <v>0</v>
      </c>
      <c r="BM203" s="40">
        <f>RawData!AN201</f>
        <v>0</v>
      </c>
      <c r="BN203" s="40">
        <f>RawData!AM201</f>
        <v>0</v>
      </c>
      <c r="BO203" s="40">
        <f>RawData!AL201</f>
        <v>0</v>
      </c>
      <c r="BP203" s="40">
        <f>RawData!AK201</f>
        <v>0</v>
      </c>
      <c r="BQ203" s="40">
        <f>RawData!AJ201</f>
        <v>0</v>
      </c>
      <c r="BR203" s="38">
        <f>RawData!AI201</f>
        <v>0</v>
      </c>
      <c r="BS203" s="38">
        <f>RawData!AH201</f>
        <v>0</v>
      </c>
      <c r="BT203" s="40">
        <f>RawData!AG201</f>
        <v>0</v>
      </c>
      <c r="BU203" s="39">
        <f>RawData!AF201</f>
        <v>0</v>
      </c>
      <c r="BV203" s="39">
        <f>RawData!AE201</f>
        <v>0</v>
      </c>
      <c r="BW203" s="38">
        <f>RawData!AD201</f>
        <v>0</v>
      </c>
      <c r="BX203" s="38">
        <f>RawData!AC201</f>
        <v>0</v>
      </c>
      <c r="BY203" s="37">
        <f>RawData!AB201</f>
        <v>0</v>
      </c>
      <c r="BZ203" s="37">
        <f>RawData!AA201</f>
        <v>0</v>
      </c>
      <c r="CA203" s="36">
        <f>RawData!Z201</f>
        <v>0</v>
      </c>
      <c r="CB203" s="36">
        <f>RawData!Y201</f>
        <v>0</v>
      </c>
      <c r="CC203" s="36">
        <f>RawData!X201</f>
        <v>0</v>
      </c>
      <c r="CD203" s="36">
        <f>RawData!W201</f>
        <v>0</v>
      </c>
      <c r="CE203" s="40">
        <f>RawData!V201</f>
        <v>0</v>
      </c>
      <c r="CF203" s="40">
        <f>RawData!U201</f>
        <v>0</v>
      </c>
      <c r="CG203" s="40">
        <f>RawData!T201</f>
        <v>0</v>
      </c>
      <c r="CH203" s="44">
        <f>RawData!S201</f>
        <v>0</v>
      </c>
      <c r="CI203" s="44">
        <f>RawData!R201</f>
        <v>0</v>
      </c>
      <c r="CJ203" s="44">
        <f>RawData!Q201</f>
        <v>0</v>
      </c>
      <c r="CK203" s="44">
        <f>RawData!P201</f>
        <v>0</v>
      </c>
      <c r="CL203" s="44">
        <f>RawData!CJ201</f>
        <v>0</v>
      </c>
      <c r="CM203" s="43">
        <f>RawData!CI201</f>
        <v>0</v>
      </c>
      <c r="CN203" s="44">
        <f>RawData!CL201</f>
        <v>0</v>
      </c>
      <c r="CO203" s="43">
        <f>RawData!CK201</f>
        <v>0</v>
      </c>
      <c r="CP203" s="44">
        <f>RawData!CM201</f>
        <v>0</v>
      </c>
      <c r="CQ203" s="47">
        <f>RawData!CO201</f>
        <v>0</v>
      </c>
      <c r="CR203" s="44">
        <f>RawData!CP201</f>
        <v>0</v>
      </c>
      <c r="CS203" s="44">
        <f>RawData!DG201</f>
        <v>0</v>
      </c>
      <c r="CT203" s="43">
        <f>RawData!DJ201</f>
        <v>0</v>
      </c>
      <c r="CU203" s="43">
        <f>RawData!CQ201</f>
        <v>0</v>
      </c>
      <c r="CV203" s="47">
        <f>RawData!CR201</f>
        <v>0</v>
      </c>
      <c r="CW203" s="65">
        <f>RawData!DK201</f>
        <v>0</v>
      </c>
      <c r="CX203" s="65">
        <f>RawData!DL201</f>
        <v>0</v>
      </c>
      <c r="CY203" s="65">
        <f>RawData!DM201</f>
        <v>0</v>
      </c>
      <c r="CZ203" s="65">
        <f>RawData!DN201</f>
        <v>0</v>
      </c>
      <c r="DA203" s="65">
        <f>RawData!DO201</f>
        <v>0</v>
      </c>
      <c r="DB203" s="65">
        <f>RawData!DP201</f>
        <v>0</v>
      </c>
      <c r="DC203" s="65">
        <f>RawData!DQ201</f>
        <v>0</v>
      </c>
      <c r="DD203" s="65">
        <f>RawData!DR201</f>
        <v>0</v>
      </c>
      <c r="DE203" s="65">
        <f>RawData!DS201</f>
        <v>0</v>
      </c>
      <c r="DF203" s="65">
        <f>RawData!DT201</f>
        <v>0</v>
      </c>
      <c r="DG203" s="66">
        <f>RawData!DU201</f>
        <v>0</v>
      </c>
      <c r="DI203" s="21">
        <f t="shared" si="3"/>
        <v>0</v>
      </c>
    </row>
    <row r="204" spans="1:113" x14ac:dyDescent="0.2">
      <c r="A204" s="59">
        <f>RawData!CN202</f>
        <v>0</v>
      </c>
      <c r="B204" s="44">
        <f>RawData!CH202</f>
        <v>0</v>
      </c>
      <c r="C204" s="44">
        <f>RawData!CG202</f>
        <v>0</v>
      </c>
      <c r="D204" s="43">
        <f>RawData!CF202</f>
        <v>0</v>
      </c>
      <c r="E204" s="44">
        <f>RawData!CE202</f>
        <v>0</v>
      </c>
      <c r="F204" s="43">
        <f>RawData!CD202</f>
        <v>0</v>
      </c>
      <c r="G204" s="44">
        <f>RawData!CC202</f>
        <v>0</v>
      </c>
      <c r="H204" s="44">
        <f>RawData!CB202</f>
        <v>0</v>
      </c>
      <c r="I204" s="44">
        <f>RawData!CA202</f>
        <v>0</v>
      </c>
      <c r="J204" s="44">
        <f>RawData!BZ202</f>
        <v>0</v>
      </c>
      <c r="K204" s="40">
        <f>RawData!BY202</f>
        <v>0</v>
      </c>
      <c r="L204" s="40">
        <f>RawData!BX202</f>
        <v>0</v>
      </c>
      <c r="M204" s="40">
        <f>RawData!BW202</f>
        <v>0</v>
      </c>
      <c r="N204" s="40">
        <f>RawData!BV202</f>
        <v>0</v>
      </c>
      <c r="O204" s="36">
        <f>RawData!BU202</f>
        <v>0</v>
      </c>
      <c r="P204" s="36">
        <f>RawData!BT202</f>
        <v>0</v>
      </c>
      <c r="Q204" s="36">
        <f>RawData!BS202</f>
        <v>0</v>
      </c>
      <c r="R204" s="36">
        <f>RawData!BR202</f>
        <v>0</v>
      </c>
      <c r="S204" s="37">
        <f>RawData!BQ202</f>
        <v>0</v>
      </c>
      <c r="T204" s="37">
        <f>RawData!BP202</f>
        <v>0</v>
      </c>
      <c r="U204" s="38">
        <f>RawData!BO202</f>
        <v>0</v>
      </c>
      <c r="V204" s="38">
        <f>RawData!BN202</f>
        <v>0</v>
      </c>
      <c r="W204" s="39">
        <f>RawData!BM202</f>
        <v>0</v>
      </c>
      <c r="X204" s="39">
        <f>RawData!BL202</f>
        <v>0</v>
      </c>
      <c r="Y204" s="38">
        <f>RawData!BJ202</f>
        <v>0</v>
      </c>
      <c r="Z204" s="38">
        <f>RawData!BI202</f>
        <v>0</v>
      </c>
      <c r="AA204" s="40">
        <f>RawData!BH202</f>
        <v>0</v>
      </c>
      <c r="AB204" s="40">
        <f>RawData!BG202</f>
        <v>0</v>
      </c>
      <c r="AC204" s="40">
        <f>RawData!BF202</f>
        <v>0</v>
      </c>
      <c r="AD204" s="40">
        <f>RawData!BE202</f>
        <v>0</v>
      </c>
      <c r="AE204" s="40">
        <f>RawData!BD202</f>
        <v>0</v>
      </c>
      <c r="AF204" s="40">
        <f>RawData!BC202</f>
        <v>0</v>
      </c>
      <c r="AG204" s="41">
        <f>RawData!BB202</f>
        <v>0</v>
      </c>
      <c r="AH204" s="42">
        <f>RawData!DB202</f>
        <v>0</v>
      </c>
      <c r="AI204" s="41">
        <f>RawData!BA202</f>
        <v>0</v>
      </c>
      <c r="AJ204" s="43">
        <f>RawData!DA202</f>
        <v>0</v>
      </c>
      <c r="AK204" s="41">
        <f>RawData!AZ202</f>
        <v>0</v>
      </c>
      <c r="AL204" s="42">
        <f>RawData!DD202</f>
        <v>0</v>
      </c>
      <c r="AM204" s="44">
        <f>RawData!DC202</f>
        <v>0</v>
      </c>
      <c r="AN204" s="45">
        <f>RawData!BK202</f>
        <v>0</v>
      </c>
      <c r="AO204" s="44">
        <f>RawData!AY202</f>
        <v>0</v>
      </c>
      <c r="AP204" s="43">
        <f>RawData!DH202</f>
        <v>0</v>
      </c>
      <c r="AQ204" s="43">
        <f>RawData!DE202</f>
        <v>0</v>
      </c>
      <c r="AR204" s="42">
        <f>RawData!CZ202</f>
        <v>0</v>
      </c>
      <c r="AS204" s="44">
        <f>RawData!AX202</f>
        <v>0</v>
      </c>
      <c r="AT204" s="43">
        <f>RawData!CY202</f>
        <v>0</v>
      </c>
      <c r="AU204" s="44">
        <f>RawData!AW202</f>
        <v>0</v>
      </c>
      <c r="AV204" s="46">
        <f>RawData!O202</f>
        <v>0</v>
      </c>
      <c r="AW204" s="44">
        <f>RawData!AV202</f>
        <v>0</v>
      </c>
      <c r="AX204" s="44">
        <f>RawData!CW202</f>
        <v>0</v>
      </c>
      <c r="AY204" s="44">
        <f>RawData!AU202</f>
        <v>0</v>
      </c>
      <c r="AZ204" s="42">
        <f>RawData!CX202</f>
        <v>0</v>
      </c>
      <c r="BA204" s="44">
        <f>RawData!DF202</f>
        <v>0</v>
      </c>
      <c r="BB204" s="43">
        <f>RawData!DI202</f>
        <v>0</v>
      </c>
      <c r="BC204" s="44">
        <f>RawData!AT202</f>
        <v>0</v>
      </c>
      <c r="BD204" s="45">
        <f>RawData!AP202</f>
        <v>0</v>
      </c>
      <c r="BE204" s="44">
        <f>RawData!CS202</f>
        <v>0</v>
      </c>
      <c r="BF204" s="42">
        <f>RawData!CT202</f>
        <v>0</v>
      </c>
      <c r="BG204" s="41">
        <f>RawData!AS202</f>
        <v>0</v>
      </c>
      <c r="BH204" s="41">
        <f>RawData!CU202</f>
        <v>0</v>
      </c>
      <c r="BI204" s="41">
        <f>RawData!AR202</f>
        <v>0</v>
      </c>
      <c r="BJ204" s="42">
        <f>RawData!CV202</f>
        <v>0</v>
      </c>
      <c r="BK204" s="41">
        <f>RawData!AQ202</f>
        <v>0</v>
      </c>
      <c r="BL204" s="40">
        <f>RawData!AO202</f>
        <v>0</v>
      </c>
      <c r="BM204" s="40">
        <f>RawData!AN202</f>
        <v>0</v>
      </c>
      <c r="BN204" s="40">
        <f>RawData!AM202</f>
        <v>0</v>
      </c>
      <c r="BO204" s="40">
        <f>RawData!AL202</f>
        <v>0</v>
      </c>
      <c r="BP204" s="40">
        <f>RawData!AK202</f>
        <v>0</v>
      </c>
      <c r="BQ204" s="40">
        <f>RawData!AJ202</f>
        <v>0</v>
      </c>
      <c r="BR204" s="38">
        <f>RawData!AI202</f>
        <v>0</v>
      </c>
      <c r="BS204" s="38">
        <f>RawData!AH202</f>
        <v>0</v>
      </c>
      <c r="BT204" s="40">
        <f>RawData!AG202</f>
        <v>0</v>
      </c>
      <c r="BU204" s="39">
        <f>RawData!AF202</f>
        <v>0</v>
      </c>
      <c r="BV204" s="39">
        <f>RawData!AE202</f>
        <v>0</v>
      </c>
      <c r="BW204" s="38">
        <f>RawData!AD202</f>
        <v>0</v>
      </c>
      <c r="BX204" s="38">
        <f>RawData!AC202</f>
        <v>0</v>
      </c>
      <c r="BY204" s="37">
        <f>RawData!AB202</f>
        <v>0</v>
      </c>
      <c r="BZ204" s="37">
        <f>RawData!AA202</f>
        <v>0</v>
      </c>
      <c r="CA204" s="36">
        <f>RawData!Z202</f>
        <v>0</v>
      </c>
      <c r="CB204" s="36">
        <f>RawData!Y202</f>
        <v>0</v>
      </c>
      <c r="CC204" s="36">
        <f>RawData!X202</f>
        <v>0</v>
      </c>
      <c r="CD204" s="36">
        <f>RawData!W202</f>
        <v>0</v>
      </c>
      <c r="CE204" s="40">
        <f>RawData!V202</f>
        <v>0</v>
      </c>
      <c r="CF204" s="40">
        <f>RawData!U202</f>
        <v>0</v>
      </c>
      <c r="CG204" s="40">
        <f>RawData!T202</f>
        <v>0</v>
      </c>
      <c r="CH204" s="44">
        <f>RawData!S202</f>
        <v>0</v>
      </c>
      <c r="CI204" s="44">
        <f>RawData!R202</f>
        <v>0</v>
      </c>
      <c r="CJ204" s="44">
        <f>RawData!Q202</f>
        <v>0</v>
      </c>
      <c r="CK204" s="44">
        <f>RawData!P202</f>
        <v>0</v>
      </c>
      <c r="CL204" s="44">
        <f>RawData!CJ202</f>
        <v>0</v>
      </c>
      <c r="CM204" s="43">
        <f>RawData!CI202</f>
        <v>0</v>
      </c>
      <c r="CN204" s="44">
        <f>RawData!CL202</f>
        <v>0</v>
      </c>
      <c r="CO204" s="43">
        <f>RawData!CK202</f>
        <v>0</v>
      </c>
      <c r="CP204" s="44">
        <f>RawData!CM202</f>
        <v>0</v>
      </c>
      <c r="CQ204" s="47">
        <f>RawData!CO202</f>
        <v>0</v>
      </c>
      <c r="CR204" s="44">
        <f>RawData!CP202</f>
        <v>0</v>
      </c>
      <c r="CS204" s="44">
        <f>RawData!DG202</f>
        <v>0</v>
      </c>
      <c r="CT204" s="43">
        <f>RawData!DJ202</f>
        <v>0</v>
      </c>
      <c r="CU204" s="43">
        <f>RawData!CQ202</f>
        <v>0</v>
      </c>
      <c r="CV204" s="47">
        <f>RawData!CR202</f>
        <v>0</v>
      </c>
      <c r="CW204" s="65">
        <f>RawData!DK202</f>
        <v>0</v>
      </c>
      <c r="CX204" s="65">
        <f>RawData!DL202</f>
        <v>0</v>
      </c>
      <c r="CY204" s="65">
        <f>RawData!DM202</f>
        <v>0</v>
      </c>
      <c r="CZ204" s="65">
        <f>RawData!DN202</f>
        <v>0</v>
      </c>
      <c r="DA204" s="65">
        <f>RawData!DO202</f>
        <v>0</v>
      </c>
      <c r="DB204" s="65">
        <f>RawData!DP202</f>
        <v>0</v>
      </c>
      <c r="DC204" s="65">
        <f>RawData!DQ202</f>
        <v>0</v>
      </c>
      <c r="DD204" s="65">
        <f>RawData!DR202</f>
        <v>0</v>
      </c>
      <c r="DE204" s="65">
        <f>RawData!DS202</f>
        <v>0</v>
      </c>
      <c r="DF204" s="65">
        <f>RawData!DT202</f>
        <v>0</v>
      </c>
      <c r="DG204" s="66">
        <f>RawData!DU202</f>
        <v>0</v>
      </c>
      <c r="DI204" s="21">
        <f t="shared" si="3"/>
        <v>0</v>
      </c>
    </row>
    <row r="205" spans="1:113" x14ac:dyDescent="0.2">
      <c r="A205" s="59">
        <f>RawData!CN203</f>
        <v>0</v>
      </c>
      <c r="B205" s="44">
        <f>RawData!CH203</f>
        <v>0</v>
      </c>
      <c r="C205" s="44">
        <f>RawData!CG203</f>
        <v>0</v>
      </c>
      <c r="D205" s="43">
        <f>RawData!CF203</f>
        <v>0</v>
      </c>
      <c r="E205" s="44">
        <f>RawData!CE203</f>
        <v>0</v>
      </c>
      <c r="F205" s="43">
        <f>RawData!CD203</f>
        <v>0</v>
      </c>
      <c r="G205" s="44">
        <f>RawData!CC203</f>
        <v>0</v>
      </c>
      <c r="H205" s="44">
        <f>RawData!CB203</f>
        <v>0</v>
      </c>
      <c r="I205" s="44">
        <f>RawData!CA203</f>
        <v>0</v>
      </c>
      <c r="J205" s="44">
        <f>RawData!BZ203</f>
        <v>0</v>
      </c>
      <c r="K205" s="40">
        <f>RawData!BY203</f>
        <v>0</v>
      </c>
      <c r="L205" s="40">
        <f>RawData!BX203</f>
        <v>0</v>
      </c>
      <c r="M205" s="40">
        <f>RawData!BW203</f>
        <v>0</v>
      </c>
      <c r="N205" s="40">
        <f>RawData!BV203</f>
        <v>0</v>
      </c>
      <c r="O205" s="36">
        <f>RawData!BU203</f>
        <v>0</v>
      </c>
      <c r="P205" s="36">
        <f>RawData!BT203</f>
        <v>0</v>
      </c>
      <c r="Q205" s="36">
        <f>RawData!BS203</f>
        <v>0</v>
      </c>
      <c r="R205" s="36">
        <f>RawData!BR203</f>
        <v>0</v>
      </c>
      <c r="S205" s="37">
        <f>RawData!BQ203</f>
        <v>0</v>
      </c>
      <c r="T205" s="37">
        <f>RawData!BP203</f>
        <v>0</v>
      </c>
      <c r="U205" s="38">
        <f>RawData!BO203</f>
        <v>0</v>
      </c>
      <c r="V205" s="38">
        <f>RawData!BN203</f>
        <v>0</v>
      </c>
      <c r="W205" s="39">
        <f>RawData!BM203</f>
        <v>0</v>
      </c>
      <c r="X205" s="39">
        <f>RawData!BL203</f>
        <v>0</v>
      </c>
      <c r="Y205" s="38">
        <f>RawData!BJ203</f>
        <v>0</v>
      </c>
      <c r="Z205" s="38">
        <f>RawData!BI203</f>
        <v>0</v>
      </c>
      <c r="AA205" s="40">
        <f>RawData!BH203</f>
        <v>0</v>
      </c>
      <c r="AB205" s="40">
        <f>RawData!BG203</f>
        <v>0</v>
      </c>
      <c r="AC205" s="40">
        <f>RawData!BF203</f>
        <v>0</v>
      </c>
      <c r="AD205" s="40">
        <f>RawData!BE203</f>
        <v>0</v>
      </c>
      <c r="AE205" s="40">
        <f>RawData!BD203</f>
        <v>0</v>
      </c>
      <c r="AF205" s="40">
        <f>RawData!BC203</f>
        <v>0</v>
      </c>
      <c r="AG205" s="41">
        <f>RawData!BB203</f>
        <v>0</v>
      </c>
      <c r="AH205" s="42">
        <f>RawData!DB203</f>
        <v>0</v>
      </c>
      <c r="AI205" s="41">
        <f>RawData!BA203</f>
        <v>0</v>
      </c>
      <c r="AJ205" s="43">
        <f>RawData!DA203</f>
        <v>0</v>
      </c>
      <c r="AK205" s="41">
        <f>RawData!AZ203</f>
        <v>0</v>
      </c>
      <c r="AL205" s="42">
        <f>RawData!DD203</f>
        <v>0</v>
      </c>
      <c r="AM205" s="44">
        <f>RawData!DC203</f>
        <v>0</v>
      </c>
      <c r="AN205" s="45">
        <f>RawData!BK203</f>
        <v>0</v>
      </c>
      <c r="AO205" s="44">
        <f>RawData!AY203</f>
        <v>0</v>
      </c>
      <c r="AP205" s="43">
        <f>RawData!DH203</f>
        <v>0</v>
      </c>
      <c r="AQ205" s="43">
        <f>RawData!DE203</f>
        <v>0</v>
      </c>
      <c r="AR205" s="42">
        <f>RawData!CZ203</f>
        <v>0</v>
      </c>
      <c r="AS205" s="44">
        <f>RawData!AX203</f>
        <v>0</v>
      </c>
      <c r="AT205" s="43">
        <f>RawData!CY203</f>
        <v>0</v>
      </c>
      <c r="AU205" s="44">
        <f>RawData!AW203</f>
        <v>0</v>
      </c>
      <c r="AV205" s="46">
        <f>RawData!O203</f>
        <v>0</v>
      </c>
      <c r="AW205" s="44">
        <f>RawData!AV203</f>
        <v>0</v>
      </c>
      <c r="AX205" s="44">
        <f>RawData!CW203</f>
        <v>0</v>
      </c>
      <c r="AY205" s="44">
        <f>RawData!AU203</f>
        <v>0</v>
      </c>
      <c r="AZ205" s="42">
        <f>RawData!CX203</f>
        <v>0</v>
      </c>
      <c r="BA205" s="44">
        <f>RawData!DF203</f>
        <v>0</v>
      </c>
      <c r="BB205" s="43">
        <f>RawData!DI203</f>
        <v>0</v>
      </c>
      <c r="BC205" s="44">
        <f>RawData!AT203</f>
        <v>0</v>
      </c>
      <c r="BD205" s="45">
        <f>RawData!AP203</f>
        <v>0</v>
      </c>
      <c r="BE205" s="44">
        <f>RawData!CS203</f>
        <v>0</v>
      </c>
      <c r="BF205" s="42">
        <f>RawData!CT203</f>
        <v>0</v>
      </c>
      <c r="BG205" s="41">
        <f>RawData!AS203</f>
        <v>0</v>
      </c>
      <c r="BH205" s="41">
        <f>RawData!CU203</f>
        <v>0</v>
      </c>
      <c r="BI205" s="41">
        <f>RawData!AR203</f>
        <v>0</v>
      </c>
      <c r="BJ205" s="42">
        <f>RawData!CV203</f>
        <v>0</v>
      </c>
      <c r="BK205" s="41">
        <f>RawData!AQ203</f>
        <v>0</v>
      </c>
      <c r="BL205" s="40">
        <f>RawData!AO203</f>
        <v>0</v>
      </c>
      <c r="BM205" s="40">
        <f>RawData!AN203</f>
        <v>0</v>
      </c>
      <c r="BN205" s="40">
        <f>RawData!AM203</f>
        <v>0</v>
      </c>
      <c r="BO205" s="40">
        <f>RawData!AL203</f>
        <v>0</v>
      </c>
      <c r="BP205" s="40">
        <f>RawData!AK203</f>
        <v>0</v>
      </c>
      <c r="BQ205" s="40">
        <f>RawData!AJ203</f>
        <v>0</v>
      </c>
      <c r="BR205" s="38">
        <f>RawData!AI203</f>
        <v>0</v>
      </c>
      <c r="BS205" s="38">
        <f>RawData!AH203</f>
        <v>0</v>
      </c>
      <c r="BT205" s="40">
        <f>RawData!AG203</f>
        <v>0</v>
      </c>
      <c r="BU205" s="39">
        <f>RawData!AF203</f>
        <v>0</v>
      </c>
      <c r="BV205" s="39">
        <f>RawData!AE203</f>
        <v>0</v>
      </c>
      <c r="BW205" s="38">
        <f>RawData!AD203</f>
        <v>0</v>
      </c>
      <c r="BX205" s="38">
        <f>RawData!AC203</f>
        <v>0</v>
      </c>
      <c r="BY205" s="37">
        <f>RawData!AB203</f>
        <v>0</v>
      </c>
      <c r="BZ205" s="37">
        <f>RawData!AA203</f>
        <v>0</v>
      </c>
      <c r="CA205" s="36">
        <f>RawData!Z203</f>
        <v>0</v>
      </c>
      <c r="CB205" s="36">
        <f>RawData!Y203</f>
        <v>0</v>
      </c>
      <c r="CC205" s="36">
        <f>RawData!X203</f>
        <v>0</v>
      </c>
      <c r="CD205" s="36">
        <f>RawData!W203</f>
        <v>0</v>
      </c>
      <c r="CE205" s="40">
        <f>RawData!V203</f>
        <v>0</v>
      </c>
      <c r="CF205" s="40">
        <f>RawData!U203</f>
        <v>0</v>
      </c>
      <c r="CG205" s="40">
        <f>RawData!T203</f>
        <v>0</v>
      </c>
      <c r="CH205" s="44">
        <f>RawData!S203</f>
        <v>0</v>
      </c>
      <c r="CI205" s="44">
        <f>RawData!R203</f>
        <v>0</v>
      </c>
      <c r="CJ205" s="44">
        <f>RawData!Q203</f>
        <v>0</v>
      </c>
      <c r="CK205" s="44">
        <f>RawData!P203</f>
        <v>0</v>
      </c>
      <c r="CL205" s="44">
        <f>RawData!CJ203</f>
        <v>0</v>
      </c>
      <c r="CM205" s="43">
        <f>RawData!CI203</f>
        <v>0</v>
      </c>
      <c r="CN205" s="44">
        <f>RawData!CL203</f>
        <v>0</v>
      </c>
      <c r="CO205" s="43">
        <f>RawData!CK203</f>
        <v>0</v>
      </c>
      <c r="CP205" s="44">
        <f>RawData!CM203</f>
        <v>0</v>
      </c>
      <c r="CQ205" s="47">
        <f>RawData!CO203</f>
        <v>0</v>
      </c>
      <c r="CR205" s="44">
        <f>RawData!CP203</f>
        <v>0</v>
      </c>
      <c r="CS205" s="44">
        <f>RawData!DG203</f>
        <v>0</v>
      </c>
      <c r="CT205" s="43">
        <f>RawData!DJ203</f>
        <v>0</v>
      </c>
      <c r="CU205" s="43">
        <f>RawData!CQ203</f>
        <v>0</v>
      </c>
      <c r="CV205" s="47">
        <f>RawData!CR203</f>
        <v>0</v>
      </c>
      <c r="CW205" s="65">
        <f>RawData!DK203</f>
        <v>0</v>
      </c>
      <c r="CX205" s="65">
        <f>RawData!DL203</f>
        <v>0</v>
      </c>
      <c r="CY205" s="65">
        <f>RawData!DM203</f>
        <v>0</v>
      </c>
      <c r="CZ205" s="65">
        <f>RawData!DN203</f>
        <v>0</v>
      </c>
      <c r="DA205" s="65">
        <f>RawData!DO203</f>
        <v>0</v>
      </c>
      <c r="DB205" s="65">
        <f>RawData!DP203</f>
        <v>0</v>
      </c>
      <c r="DC205" s="65">
        <f>RawData!DQ203</f>
        <v>0</v>
      </c>
      <c r="DD205" s="65">
        <f>RawData!DR203</f>
        <v>0</v>
      </c>
      <c r="DE205" s="65">
        <f>RawData!DS203</f>
        <v>0</v>
      </c>
      <c r="DF205" s="65">
        <f>RawData!DT203</f>
        <v>0</v>
      </c>
      <c r="DG205" s="66">
        <f>RawData!DU203</f>
        <v>0</v>
      </c>
      <c r="DI205" s="21">
        <f t="shared" si="3"/>
        <v>0</v>
      </c>
    </row>
    <row r="206" spans="1:113" x14ac:dyDescent="0.2">
      <c r="A206" s="59">
        <f>RawData!CN204</f>
        <v>0</v>
      </c>
      <c r="B206" s="44">
        <f>RawData!CH204</f>
        <v>0</v>
      </c>
      <c r="C206" s="44">
        <f>RawData!CG204</f>
        <v>0</v>
      </c>
      <c r="D206" s="43">
        <f>RawData!CF204</f>
        <v>0</v>
      </c>
      <c r="E206" s="44">
        <f>RawData!CE204</f>
        <v>0</v>
      </c>
      <c r="F206" s="43">
        <f>RawData!CD204</f>
        <v>0</v>
      </c>
      <c r="G206" s="44">
        <f>RawData!CC204</f>
        <v>0</v>
      </c>
      <c r="H206" s="44">
        <f>RawData!CB204</f>
        <v>0</v>
      </c>
      <c r="I206" s="44">
        <f>RawData!CA204</f>
        <v>0</v>
      </c>
      <c r="J206" s="44">
        <f>RawData!BZ204</f>
        <v>0</v>
      </c>
      <c r="K206" s="40">
        <f>RawData!BY204</f>
        <v>0</v>
      </c>
      <c r="L206" s="40">
        <f>RawData!BX204</f>
        <v>0</v>
      </c>
      <c r="M206" s="40">
        <f>RawData!BW204</f>
        <v>0</v>
      </c>
      <c r="N206" s="40">
        <f>RawData!BV204</f>
        <v>0</v>
      </c>
      <c r="O206" s="36">
        <f>RawData!BU204</f>
        <v>0</v>
      </c>
      <c r="P206" s="36">
        <f>RawData!BT204</f>
        <v>0</v>
      </c>
      <c r="Q206" s="36">
        <f>RawData!BS204</f>
        <v>0</v>
      </c>
      <c r="R206" s="36">
        <f>RawData!BR204</f>
        <v>0</v>
      </c>
      <c r="S206" s="37">
        <f>RawData!BQ204</f>
        <v>0</v>
      </c>
      <c r="T206" s="37">
        <f>RawData!BP204</f>
        <v>0</v>
      </c>
      <c r="U206" s="38">
        <f>RawData!BO204</f>
        <v>0</v>
      </c>
      <c r="V206" s="38">
        <f>RawData!BN204</f>
        <v>0</v>
      </c>
      <c r="W206" s="39">
        <f>RawData!BM204</f>
        <v>0</v>
      </c>
      <c r="X206" s="39">
        <f>RawData!BL204</f>
        <v>0</v>
      </c>
      <c r="Y206" s="38">
        <f>RawData!BJ204</f>
        <v>0</v>
      </c>
      <c r="Z206" s="38">
        <f>RawData!BI204</f>
        <v>0</v>
      </c>
      <c r="AA206" s="40">
        <f>RawData!BH204</f>
        <v>0</v>
      </c>
      <c r="AB206" s="40">
        <f>RawData!BG204</f>
        <v>0</v>
      </c>
      <c r="AC206" s="40">
        <f>RawData!BF204</f>
        <v>0</v>
      </c>
      <c r="AD206" s="40">
        <f>RawData!BE204</f>
        <v>0</v>
      </c>
      <c r="AE206" s="40">
        <f>RawData!BD204</f>
        <v>0</v>
      </c>
      <c r="AF206" s="40">
        <f>RawData!BC204</f>
        <v>0</v>
      </c>
      <c r="AG206" s="41">
        <f>RawData!BB204</f>
        <v>0</v>
      </c>
      <c r="AH206" s="42">
        <f>RawData!DB204</f>
        <v>0</v>
      </c>
      <c r="AI206" s="41">
        <f>RawData!BA204</f>
        <v>0</v>
      </c>
      <c r="AJ206" s="43">
        <f>RawData!DA204</f>
        <v>0</v>
      </c>
      <c r="AK206" s="41">
        <f>RawData!AZ204</f>
        <v>0</v>
      </c>
      <c r="AL206" s="42">
        <f>RawData!DD204</f>
        <v>0</v>
      </c>
      <c r="AM206" s="44">
        <f>RawData!DC204</f>
        <v>0</v>
      </c>
      <c r="AN206" s="45">
        <f>RawData!BK204</f>
        <v>0</v>
      </c>
      <c r="AO206" s="44">
        <f>RawData!AY204</f>
        <v>0</v>
      </c>
      <c r="AP206" s="43">
        <f>RawData!DH204</f>
        <v>0</v>
      </c>
      <c r="AQ206" s="43">
        <f>RawData!DE204</f>
        <v>0</v>
      </c>
      <c r="AR206" s="42">
        <f>RawData!CZ204</f>
        <v>0</v>
      </c>
      <c r="AS206" s="44">
        <f>RawData!AX204</f>
        <v>0</v>
      </c>
      <c r="AT206" s="43">
        <f>RawData!CY204</f>
        <v>0</v>
      </c>
      <c r="AU206" s="44">
        <f>RawData!AW204</f>
        <v>0</v>
      </c>
      <c r="AV206" s="46">
        <f>RawData!O204</f>
        <v>0</v>
      </c>
      <c r="AW206" s="44">
        <f>RawData!AV204</f>
        <v>0</v>
      </c>
      <c r="AX206" s="44">
        <f>RawData!CW204</f>
        <v>0</v>
      </c>
      <c r="AY206" s="44">
        <f>RawData!AU204</f>
        <v>0</v>
      </c>
      <c r="AZ206" s="42">
        <f>RawData!CX204</f>
        <v>0</v>
      </c>
      <c r="BA206" s="44">
        <f>RawData!DF204</f>
        <v>0</v>
      </c>
      <c r="BB206" s="43">
        <f>RawData!DI204</f>
        <v>0</v>
      </c>
      <c r="BC206" s="44">
        <f>RawData!AT204</f>
        <v>0</v>
      </c>
      <c r="BD206" s="45">
        <f>RawData!AP204</f>
        <v>0</v>
      </c>
      <c r="BE206" s="44">
        <f>RawData!CS204</f>
        <v>0</v>
      </c>
      <c r="BF206" s="42">
        <f>RawData!CT204</f>
        <v>0</v>
      </c>
      <c r="BG206" s="41">
        <f>RawData!AS204</f>
        <v>0</v>
      </c>
      <c r="BH206" s="41">
        <f>RawData!CU204</f>
        <v>0</v>
      </c>
      <c r="BI206" s="41">
        <f>RawData!AR204</f>
        <v>0</v>
      </c>
      <c r="BJ206" s="42">
        <f>RawData!CV204</f>
        <v>0</v>
      </c>
      <c r="BK206" s="41">
        <f>RawData!AQ204</f>
        <v>0</v>
      </c>
      <c r="BL206" s="40">
        <f>RawData!AO204</f>
        <v>0</v>
      </c>
      <c r="BM206" s="40">
        <f>RawData!AN204</f>
        <v>0</v>
      </c>
      <c r="BN206" s="40">
        <f>RawData!AM204</f>
        <v>0</v>
      </c>
      <c r="BO206" s="40">
        <f>RawData!AL204</f>
        <v>0</v>
      </c>
      <c r="BP206" s="40">
        <f>RawData!AK204</f>
        <v>0</v>
      </c>
      <c r="BQ206" s="40">
        <f>RawData!AJ204</f>
        <v>0</v>
      </c>
      <c r="BR206" s="38">
        <f>RawData!AI204</f>
        <v>0</v>
      </c>
      <c r="BS206" s="38">
        <f>RawData!AH204</f>
        <v>0</v>
      </c>
      <c r="BT206" s="40">
        <f>RawData!AG204</f>
        <v>0</v>
      </c>
      <c r="BU206" s="39">
        <f>RawData!AF204</f>
        <v>0</v>
      </c>
      <c r="BV206" s="39">
        <f>RawData!AE204</f>
        <v>0</v>
      </c>
      <c r="BW206" s="38">
        <f>RawData!AD204</f>
        <v>0</v>
      </c>
      <c r="BX206" s="38">
        <f>RawData!AC204</f>
        <v>0</v>
      </c>
      <c r="BY206" s="37">
        <f>RawData!AB204</f>
        <v>0</v>
      </c>
      <c r="BZ206" s="37">
        <f>RawData!AA204</f>
        <v>0</v>
      </c>
      <c r="CA206" s="36">
        <f>RawData!Z204</f>
        <v>0</v>
      </c>
      <c r="CB206" s="36">
        <f>RawData!Y204</f>
        <v>0</v>
      </c>
      <c r="CC206" s="36">
        <f>RawData!X204</f>
        <v>0</v>
      </c>
      <c r="CD206" s="36">
        <f>RawData!W204</f>
        <v>0</v>
      </c>
      <c r="CE206" s="40">
        <f>RawData!V204</f>
        <v>0</v>
      </c>
      <c r="CF206" s="40">
        <f>RawData!U204</f>
        <v>0</v>
      </c>
      <c r="CG206" s="40">
        <f>RawData!T204</f>
        <v>0</v>
      </c>
      <c r="CH206" s="44">
        <f>RawData!S204</f>
        <v>0</v>
      </c>
      <c r="CI206" s="44">
        <f>RawData!R204</f>
        <v>0</v>
      </c>
      <c r="CJ206" s="44">
        <f>RawData!Q204</f>
        <v>0</v>
      </c>
      <c r="CK206" s="44">
        <f>RawData!P204</f>
        <v>0</v>
      </c>
      <c r="CL206" s="44">
        <f>RawData!CJ204</f>
        <v>0</v>
      </c>
      <c r="CM206" s="43">
        <f>RawData!CI204</f>
        <v>0</v>
      </c>
      <c r="CN206" s="44">
        <f>RawData!CL204</f>
        <v>0</v>
      </c>
      <c r="CO206" s="43">
        <f>RawData!CK204</f>
        <v>0</v>
      </c>
      <c r="CP206" s="44">
        <f>RawData!CM204</f>
        <v>0</v>
      </c>
      <c r="CQ206" s="47">
        <f>RawData!CO204</f>
        <v>0</v>
      </c>
      <c r="CR206" s="44">
        <f>RawData!CP204</f>
        <v>0</v>
      </c>
      <c r="CS206" s="44">
        <f>RawData!DG204</f>
        <v>0</v>
      </c>
      <c r="CT206" s="43">
        <f>RawData!DJ204</f>
        <v>0</v>
      </c>
      <c r="CU206" s="43">
        <f>RawData!CQ204</f>
        <v>0</v>
      </c>
      <c r="CV206" s="47">
        <f>RawData!CR204</f>
        <v>0</v>
      </c>
      <c r="CW206" s="65">
        <f>RawData!DK204</f>
        <v>0</v>
      </c>
      <c r="CX206" s="65">
        <f>RawData!DL204</f>
        <v>0</v>
      </c>
      <c r="CY206" s="65">
        <f>RawData!DM204</f>
        <v>0</v>
      </c>
      <c r="CZ206" s="65">
        <f>RawData!DN204</f>
        <v>0</v>
      </c>
      <c r="DA206" s="65">
        <f>RawData!DO204</f>
        <v>0</v>
      </c>
      <c r="DB206" s="65">
        <f>RawData!DP204</f>
        <v>0</v>
      </c>
      <c r="DC206" s="65">
        <f>RawData!DQ204</f>
        <v>0</v>
      </c>
      <c r="DD206" s="65">
        <f>RawData!DR204</f>
        <v>0</v>
      </c>
      <c r="DE206" s="65">
        <f>RawData!DS204</f>
        <v>0</v>
      </c>
      <c r="DF206" s="65">
        <f>RawData!DT204</f>
        <v>0</v>
      </c>
      <c r="DG206" s="66">
        <f>RawData!DU204</f>
        <v>0</v>
      </c>
      <c r="DI206" s="21">
        <f t="shared" si="3"/>
        <v>0</v>
      </c>
    </row>
    <row r="207" spans="1:113" x14ac:dyDescent="0.2">
      <c r="A207" s="59">
        <f>RawData!CN205</f>
        <v>0</v>
      </c>
      <c r="B207" s="44">
        <f>RawData!CH205</f>
        <v>0</v>
      </c>
      <c r="C207" s="44">
        <f>RawData!CG205</f>
        <v>0</v>
      </c>
      <c r="D207" s="43">
        <f>RawData!CF205</f>
        <v>0</v>
      </c>
      <c r="E207" s="44">
        <f>RawData!CE205</f>
        <v>0</v>
      </c>
      <c r="F207" s="43">
        <f>RawData!CD205</f>
        <v>0</v>
      </c>
      <c r="G207" s="44">
        <f>RawData!CC205</f>
        <v>0</v>
      </c>
      <c r="H207" s="44">
        <f>RawData!CB205</f>
        <v>0</v>
      </c>
      <c r="I207" s="44">
        <f>RawData!CA205</f>
        <v>0</v>
      </c>
      <c r="J207" s="44">
        <f>RawData!BZ205</f>
        <v>0</v>
      </c>
      <c r="K207" s="40">
        <f>RawData!BY205</f>
        <v>0</v>
      </c>
      <c r="L207" s="40">
        <f>RawData!BX205</f>
        <v>0</v>
      </c>
      <c r="M207" s="40">
        <f>RawData!BW205</f>
        <v>0</v>
      </c>
      <c r="N207" s="40">
        <f>RawData!BV205</f>
        <v>0</v>
      </c>
      <c r="O207" s="36">
        <f>RawData!BU205</f>
        <v>0</v>
      </c>
      <c r="P207" s="36">
        <f>RawData!BT205</f>
        <v>0</v>
      </c>
      <c r="Q207" s="36">
        <f>RawData!BS205</f>
        <v>0</v>
      </c>
      <c r="R207" s="36">
        <f>RawData!BR205</f>
        <v>0</v>
      </c>
      <c r="S207" s="37">
        <f>RawData!BQ205</f>
        <v>0</v>
      </c>
      <c r="T207" s="37">
        <f>RawData!BP205</f>
        <v>0</v>
      </c>
      <c r="U207" s="38">
        <f>RawData!BO205</f>
        <v>0</v>
      </c>
      <c r="V207" s="38">
        <f>RawData!BN205</f>
        <v>0</v>
      </c>
      <c r="W207" s="39">
        <f>RawData!BM205</f>
        <v>0</v>
      </c>
      <c r="X207" s="39">
        <f>RawData!BL205</f>
        <v>0</v>
      </c>
      <c r="Y207" s="38">
        <f>RawData!BJ205</f>
        <v>0</v>
      </c>
      <c r="Z207" s="38">
        <f>RawData!BI205</f>
        <v>0</v>
      </c>
      <c r="AA207" s="40">
        <f>RawData!BH205</f>
        <v>0</v>
      </c>
      <c r="AB207" s="40">
        <f>RawData!BG205</f>
        <v>0</v>
      </c>
      <c r="AC207" s="40">
        <f>RawData!BF205</f>
        <v>0</v>
      </c>
      <c r="AD207" s="40">
        <f>RawData!BE205</f>
        <v>0</v>
      </c>
      <c r="AE207" s="40">
        <f>RawData!BD205</f>
        <v>0</v>
      </c>
      <c r="AF207" s="40">
        <f>RawData!BC205</f>
        <v>0</v>
      </c>
      <c r="AG207" s="41">
        <f>RawData!BB205</f>
        <v>0</v>
      </c>
      <c r="AH207" s="42">
        <f>RawData!DB205</f>
        <v>0</v>
      </c>
      <c r="AI207" s="41">
        <f>RawData!BA205</f>
        <v>0</v>
      </c>
      <c r="AJ207" s="43">
        <f>RawData!DA205</f>
        <v>0</v>
      </c>
      <c r="AK207" s="41">
        <f>RawData!AZ205</f>
        <v>0</v>
      </c>
      <c r="AL207" s="42">
        <f>RawData!DD205</f>
        <v>0</v>
      </c>
      <c r="AM207" s="44">
        <f>RawData!DC205</f>
        <v>0</v>
      </c>
      <c r="AN207" s="45">
        <f>RawData!BK205</f>
        <v>0</v>
      </c>
      <c r="AO207" s="44">
        <f>RawData!AY205</f>
        <v>0</v>
      </c>
      <c r="AP207" s="43">
        <f>RawData!DH205</f>
        <v>0</v>
      </c>
      <c r="AQ207" s="43">
        <f>RawData!DE205</f>
        <v>0</v>
      </c>
      <c r="AR207" s="42">
        <f>RawData!CZ205</f>
        <v>0</v>
      </c>
      <c r="AS207" s="44">
        <f>RawData!AX205</f>
        <v>0</v>
      </c>
      <c r="AT207" s="43">
        <f>RawData!CY205</f>
        <v>0</v>
      </c>
      <c r="AU207" s="44">
        <f>RawData!AW205</f>
        <v>0</v>
      </c>
      <c r="AV207" s="46">
        <f>RawData!O205</f>
        <v>0</v>
      </c>
      <c r="AW207" s="44">
        <f>RawData!AV205</f>
        <v>0</v>
      </c>
      <c r="AX207" s="44">
        <f>RawData!CW205</f>
        <v>0</v>
      </c>
      <c r="AY207" s="44">
        <f>RawData!AU205</f>
        <v>0</v>
      </c>
      <c r="AZ207" s="42">
        <f>RawData!CX205</f>
        <v>0</v>
      </c>
      <c r="BA207" s="44">
        <f>RawData!DF205</f>
        <v>0</v>
      </c>
      <c r="BB207" s="43">
        <f>RawData!DI205</f>
        <v>0</v>
      </c>
      <c r="BC207" s="44">
        <f>RawData!AT205</f>
        <v>0</v>
      </c>
      <c r="BD207" s="45">
        <f>RawData!AP205</f>
        <v>0</v>
      </c>
      <c r="BE207" s="44">
        <f>RawData!CS205</f>
        <v>0</v>
      </c>
      <c r="BF207" s="42">
        <f>RawData!CT205</f>
        <v>0</v>
      </c>
      <c r="BG207" s="41">
        <f>RawData!AS205</f>
        <v>0</v>
      </c>
      <c r="BH207" s="41">
        <f>RawData!CU205</f>
        <v>0</v>
      </c>
      <c r="BI207" s="41">
        <f>RawData!AR205</f>
        <v>0</v>
      </c>
      <c r="BJ207" s="42">
        <f>RawData!CV205</f>
        <v>0</v>
      </c>
      <c r="BK207" s="41">
        <f>RawData!AQ205</f>
        <v>0</v>
      </c>
      <c r="BL207" s="40">
        <f>RawData!AO205</f>
        <v>0</v>
      </c>
      <c r="BM207" s="40">
        <f>RawData!AN205</f>
        <v>0</v>
      </c>
      <c r="BN207" s="40">
        <f>RawData!AM205</f>
        <v>0</v>
      </c>
      <c r="BO207" s="40">
        <f>RawData!AL205</f>
        <v>0</v>
      </c>
      <c r="BP207" s="40">
        <f>RawData!AK205</f>
        <v>0</v>
      </c>
      <c r="BQ207" s="40">
        <f>RawData!AJ205</f>
        <v>0</v>
      </c>
      <c r="BR207" s="38">
        <f>RawData!AI205</f>
        <v>0</v>
      </c>
      <c r="BS207" s="38">
        <f>RawData!AH205</f>
        <v>0</v>
      </c>
      <c r="BT207" s="40">
        <f>RawData!AG205</f>
        <v>0</v>
      </c>
      <c r="BU207" s="39">
        <f>RawData!AF205</f>
        <v>0</v>
      </c>
      <c r="BV207" s="39">
        <f>RawData!AE205</f>
        <v>0</v>
      </c>
      <c r="BW207" s="38">
        <f>RawData!AD205</f>
        <v>0</v>
      </c>
      <c r="BX207" s="38">
        <f>RawData!AC205</f>
        <v>0</v>
      </c>
      <c r="BY207" s="37">
        <f>RawData!AB205</f>
        <v>0</v>
      </c>
      <c r="BZ207" s="37">
        <f>RawData!AA205</f>
        <v>0</v>
      </c>
      <c r="CA207" s="36">
        <f>RawData!Z205</f>
        <v>0</v>
      </c>
      <c r="CB207" s="36">
        <f>RawData!Y205</f>
        <v>0</v>
      </c>
      <c r="CC207" s="36">
        <f>RawData!X205</f>
        <v>0</v>
      </c>
      <c r="CD207" s="36">
        <f>RawData!W205</f>
        <v>0</v>
      </c>
      <c r="CE207" s="40">
        <f>RawData!V205</f>
        <v>0</v>
      </c>
      <c r="CF207" s="40">
        <f>RawData!U205</f>
        <v>0</v>
      </c>
      <c r="CG207" s="40">
        <f>RawData!T205</f>
        <v>0</v>
      </c>
      <c r="CH207" s="44">
        <f>RawData!S205</f>
        <v>0</v>
      </c>
      <c r="CI207" s="44">
        <f>RawData!R205</f>
        <v>0</v>
      </c>
      <c r="CJ207" s="44">
        <f>RawData!Q205</f>
        <v>0</v>
      </c>
      <c r="CK207" s="44">
        <f>RawData!P205</f>
        <v>0</v>
      </c>
      <c r="CL207" s="44">
        <f>RawData!CJ205</f>
        <v>0</v>
      </c>
      <c r="CM207" s="43">
        <f>RawData!CI205</f>
        <v>0</v>
      </c>
      <c r="CN207" s="44">
        <f>RawData!CL205</f>
        <v>0</v>
      </c>
      <c r="CO207" s="43">
        <f>RawData!CK205</f>
        <v>0</v>
      </c>
      <c r="CP207" s="44">
        <f>RawData!CM205</f>
        <v>0</v>
      </c>
      <c r="CQ207" s="47">
        <f>RawData!CO205</f>
        <v>0</v>
      </c>
      <c r="CR207" s="44">
        <f>RawData!CP205</f>
        <v>0</v>
      </c>
      <c r="CS207" s="44">
        <f>RawData!DG205</f>
        <v>0</v>
      </c>
      <c r="CT207" s="43">
        <f>RawData!DJ205</f>
        <v>0</v>
      </c>
      <c r="CU207" s="43">
        <f>RawData!CQ205</f>
        <v>0</v>
      </c>
      <c r="CV207" s="47">
        <f>RawData!CR205</f>
        <v>0</v>
      </c>
      <c r="CW207" s="65">
        <f>RawData!DK205</f>
        <v>0</v>
      </c>
      <c r="CX207" s="65">
        <f>RawData!DL205</f>
        <v>0</v>
      </c>
      <c r="CY207" s="65">
        <f>RawData!DM205</f>
        <v>0</v>
      </c>
      <c r="CZ207" s="65">
        <f>RawData!DN205</f>
        <v>0</v>
      </c>
      <c r="DA207" s="65">
        <f>RawData!DO205</f>
        <v>0</v>
      </c>
      <c r="DB207" s="65">
        <f>RawData!DP205</f>
        <v>0</v>
      </c>
      <c r="DC207" s="65">
        <f>RawData!DQ205</f>
        <v>0</v>
      </c>
      <c r="DD207" s="65">
        <f>RawData!DR205</f>
        <v>0</v>
      </c>
      <c r="DE207" s="65">
        <f>RawData!DS205</f>
        <v>0</v>
      </c>
      <c r="DF207" s="65">
        <f>RawData!DT205</f>
        <v>0</v>
      </c>
      <c r="DG207" s="66">
        <f>RawData!DU205</f>
        <v>0</v>
      </c>
      <c r="DI207" s="21">
        <f t="shared" si="3"/>
        <v>0</v>
      </c>
    </row>
    <row r="208" spans="1:113" x14ac:dyDescent="0.2">
      <c r="A208" s="59">
        <f>RawData!CN206</f>
        <v>0</v>
      </c>
      <c r="B208" s="44">
        <f>RawData!CH206</f>
        <v>0</v>
      </c>
      <c r="C208" s="44">
        <f>RawData!CG206</f>
        <v>0</v>
      </c>
      <c r="D208" s="43">
        <f>RawData!CF206</f>
        <v>0</v>
      </c>
      <c r="E208" s="44">
        <f>RawData!CE206</f>
        <v>0</v>
      </c>
      <c r="F208" s="43">
        <f>RawData!CD206</f>
        <v>0</v>
      </c>
      <c r="G208" s="44">
        <f>RawData!CC206</f>
        <v>0</v>
      </c>
      <c r="H208" s="44">
        <f>RawData!CB206</f>
        <v>0</v>
      </c>
      <c r="I208" s="44">
        <f>RawData!CA206</f>
        <v>0</v>
      </c>
      <c r="J208" s="44">
        <f>RawData!BZ206</f>
        <v>0</v>
      </c>
      <c r="K208" s="40">
        <f>RawData!BY206</f>
        <v>0</v>
      </c>
      <c r="L208" s="40">
        <f>RawData!BX206</f>
        <v>0</v>
      </c>
      <c r="M208" s="40">
        <f>RawData!BW206</f>
        <v>0</v>
      </c>
      <c r="N208" s="40">
        <f>RawData!BV206</f>
        <v>0</v>
      </c>
      <c r="O208" s="36">
        <f>RawData!BU206</f>
        <v>0</v>
      </c>
      <c r="P208" s="36">
        <f>RawData!BT206</f>
        <v>0</v>
      </c>
      <c r="Q208" s="36">
        <f>RawData!BS206</f>
        <v>0</v>
      </c>
      <c r="R208" s="36">
        <f>RawData!BR206</f>
        <v>0</v>
      </c>
      <c r="S208" s="37">
        <f>RawData!BQ206</f>
        <v>0</v>
      </c>
      <c r="T208" s="37">
        <f>RawData!BP206</f>
        <v>0</v>
      </c>
      <c r="U208" s="38">
        <f>RawData!BO206</f>
        <v>0</v>
      </c>
      <c r="V208" s="38">
        <f>RawData!BN206</f>
        <v>0</v>
      </c>
      <c r="W208" s="39">
        <f>RawData!BM206</f>
        <v>0</v>
      </c>
      <c r="X208" s="39">
        <f>RawData!BL206</f>
        <v>0</v>
      </c>
      <c r="Y208" s="38">
        <f>RawData!BJ206</f>
        <v>0</v>
      </c>
      <c r="Z208" s="38">
        <f>RawData!BI206</f>
        <v>0</v>
      </c>
      <c r="AA208" s="40">
        <f>RawData!BH206</f>
        <v>0</v>
      </c>
      <c r="AB208" s="40">
        <f>RawData!BG206</f>
        <v>0</v>
      </c>
      <c r="AC208" s="40">
        <f>RawData!BF206</f>
        <v>0</v>
      </c>
      <c r="AD208" s="40">
        <f>RawData!BE206</f>
        <v>0</v>
      </c>
      <c r="AE208" s="40">
        <f>RawData!BD206</f>
        <v>0</v>
      </c>
      <c r="AF208" s="40">
        <f>RawData!BC206</f>
        <v>0</v>
      </c>
      <c r="AG208" s="41">
        <f>RawData!BB206</f>
        <v>0</v>
      </c>
      <c r="AH208" s="42">
        <f>RawData!DB206</f>
        <v>0</v>
      </c>
      <c r="AI208" s="41">
        <f>RawData!BA206</f>
        <v>0</v>
      </c>
      <c r="AJ208" s="43">
        <f>RawData!DA206</f>
        <v>0</v>
      </c>
      <c r="AK208" s="41">
        <f>RawData!AZ206</f>
        <v>0</v>
      </c>
      <c r="AL208" s="42">
        <f>RawData!DD206</f>
        <v>0</v>
      </c>
      <c r="AM208" s="44">
        <f>RawData!DC206</f>
        <v>0</v>
      </c>
      <c r="AN208" s="45">
        <f>RawData!BK206</f>
        <v>0</v>
      </c>
      <c r="AO208" s="44">
        <f>RawData!AY206</f>
        <v>0</v>
      </c>
      <c r="AP208" s="43">
        <f>RawData!DH206</f>
        <v>0</v>
      </c>
      <c r="AQ208" s="43">
        <f>RawData!DE206</f>
        <v>0</v>
      </c>
      <c r="AR208" s="42">
        <f>RawData!CZ206</f>
        <v>0</v>
      </c>
      <c r="AS208" s="44">
        <f>RawData!AX206</f>
        <v>0</v>
      </c>
      <c r="AT208" s="43">
        <f>RawData!CY206</f>
        <v>0</v>
      </c>
      <c r="AU208" s="44">
        <f>RawData!AW206</f>
        <v>0</v>
      </c>
      <c r="AV208" s="46">
        <f>RawData!O206</f>
        <v>0</v>
      </c>
      <c r="AW208" s="44">
        <f>RawData!AV206</f>
        <v>0</v>
      </c>
      <c r="AX208" s="44">
        <f>RawData!CW206</f>
        <v>0</v>
      </c>
      <c r="AY208" s="44">
        <f>RawData!AU206</f>
        <v>0</v>
      </c>
      <c r="AZ208" s="42">
        <f>RawData!CX206</f>
        <v>0</v>
      </c>
      <c r="BA208" s="44">
        <f>RawData!DF206</f>
        <v>0</v>
      </c>
      <c r="BB208" s="43">
        <f>RawData!DI206</f>
        <v>0</v>
      </c>
      <c r="BC208" s="44">
        <f>RawData!AT206</f>
        <v>0</v>
      </c>
      <c r="BD208" s="45">
        <f>RawData!AP206</f>
        <v>0</v>
      </c>
      <c r="BE208" s="44">
        <f>RawData!CS206</f>
        <v>0</v>
      </c>
      <c r="BF208" s="42">
        <f>RawData!CT206</f>
        <v>0</v>
      </c>
      <c r="BG208" s="41">
        <f>RawData!AS206</f>
        <v>0</v>
      </c>
      <c r="BH208" s="41">
        <f>RawData!CU206</f>
        <v>0</v>
      </c>
      <c r="BI208" s="41">
        <f>RawData!AR206</f>
        <v>0</v>
      </c>
      <c r="BJ208" s="42">
        <f>RawData!CV206</f>
        <v>0</v>
      </c>
      <c r="BK208" s="41">
        <f>RawData!AQ206</f>
        <v>0</v>
      </c>
      <c r="BL208" s="40">
        <f>RawData!AO206</f>
        <v>0</v>
      </c>
      <c r="BM208" s="40">
        <f>RawData!AN206</f>
        <v>0</v>
      </c>
      <c r="BN208" s="40">
        <f>RawData!AM206</f>
        <v>0</v>
      </c>
      <c r="BO208" s="40">
        <f>RawData!AL206</f>
        <v>0</v>
      </c>
      <c r="BP208" s="40">
        <f>RawData!AK206</f>
        <v>0</v>
      </c>
      <c r="BQ208" s="40">
        <f>RawData!AJ206</f>
        <v>0</v>
      </c>
      <c r="BR208" s="38">
        <f>RawData!AI206</f>
        <v>0</v>
      </c>
      <c r="BS208" s="38">
        <f>RawData!AH206</f>
        <v>0</v>
      </c>
      <c r="BT208" s="40">
        <f>RawData!AG206</f>
        <v>0</v>
      </c>
      <c r="BU208" s="39">
        <f>RawData!AF206</f>
        <v>0</v>
      </c>
      <c r="BV208" s="39">
        <f>RawData!AE206</f>
        <v>0</v>
      </c>
      <c r="BW208" s="38">
        <f>RawData!AD206</f>
        <v>0</v>
      </c>
      <c r="BX208" s="38">
        <f>RawData!AC206</f>
        <v>0</v>
      </c>
      <c r="BY208" s="37">
        <f>RawData!AB206</f>
        <v>0</v>
      </c>
      <c r="BZ208" s="37">
        <f>RawData!AA206</f>
        <v>0</v>
      </c>
      <c r="CA208" s="36">
        <f>RawData!Z206</f>
        <v>0</v>
      </c>
      <c r="CB208" s="36">
        <f>RawData!Y206</f>
        <v>0</v>
      </c>
      <c r="CC208" s="36">
        <f>RawData!X206</f>
        <v>0</v>
      </c>
      <c r="CD208" s="36">
        <f>RawData!W206</f>
        <v>0</v>
      </c>
      <c r="CE208" s="40">
        <f>RawData!V206</f>
        <v>0</v>
      </c>
      <c r="CF208" s="40">
        <f>RawData!U206</f>
        <v>0</v>
      </c>
      <c r="CG208" s="40">
        <f>RawData!T206</f>
        <v>0</v>
      </c>
      <c r="CH208" s="44">
        <f>RawData!S206</f>
        <v>0</v>
      </c>
      <c r="CI208" s="44">
        <f>RawData!R206</f>
        <v>0</v>
      </c>
      <c r="CJ208" s="44">
        <f>RawData!Q206</f>
        <v>0</v>
      </c>
      <c r="CK208" s="44">
        <f>RawData!P206</f>
        <v>0</v>
      </c>
      <c r="CL208" s="44">
        <f>RawData!CJ206</f>
        <v>0</v>
      </c>
      <c r="CM208" s="43">
        <f>RawData!CI206</f>
        <v>0</v>
      </c>
      <c r="CN208" s="44">
        <f>RawData!CL206</f>
        <v>0</v>
      </c>
      <c r="CO208" s="43">
        <f>RawData!CK206</f>
        <v>0</v>
      </c>
      <c r="CP208" s="44">
        <f>RawData!CM206</f>
        <v>0</v>
      </c>
      <c r="CQ208" s="47">
        <f>RawData!CO206</f>
        <v>0</v>
      </c>
      <c r="CR208" s="44">
        <f>RawData!CP206</f>
        <v>0</v>
      </c>
      <c r="CS208" s="44">
        <f>RawData!DG206</f>
        <v>0</v>
      </c>
      <c r="CT208" s="43">
        <f>RawData!DJ206</f>
        <v>0</v>
      </c>
      <c r="CU208" s="43">
        <f>RawData!CQ206</f>
        <v>0</v>
      </c>
      <c r="CV208" s="47">
        <f>RawData!CR206</f>
        <v>0</v>
      </c>
      <c r="CW208" s="65">
        <f>RawData!DK206</f>
        <v>0</v>
      </c>
      <c r="CX208" s="65">
        <f>RawData!DL206</f>
        <v>0</v>
      </c>
      <c r="CY208" s="65">
        <f>RawData!DM206</f>
        <v>0</v>
      </c>
      <c r="CZ208" s="65">
        <f>RawData!DN206</f>
        <v>0</v>
      </c>
      <c r="DA208" s="65">
        <f>RawData!DO206</f>
        <v>0</v>
      </c>
      <c r="DB208" s="65">
        <f>RawData!DP206</f>
        <v>0</v>
      </c>
      <c r="DC208" s="65">
        <f>RawData!DQ206</f>
        <v>0</v>
      </c>
      <c r="DD208" s="65">
        <f>RawData!DR206</f>
        <v>0</v>
      </c>
      <c r="DE208" s="65">
        <f>RawData!DS206</f>
        <v>0</v>
      </c>
      <c r="DF208" s="65">
        <f>RawData!DT206</f>
        <v>0</v>
      </c>
      <c r="DG208" s="66">
        <f>RawData!DU206</f>
        <v>0</v>
      </c>
      <c r="DI208" s="21">
        <f t="shared" si="3"/>
        <v>0</v>
      </c>
    </row>
    <row r="209" spans="1:113" x14ac:dyDescent="0.2">
      <c r="A209" s="59">
        <f>RawData!CN207</f>
        <v>0</v>
      </c>
      <c r="B209" s="44">
        <f>RawData!CH207</f>
        <v>0</v>
      </c>
      <c r="C209" s="44">
        <f>RawData!CG207</f>
        <v>0</v>
      </c>
      <c r="D209" s="43">
        <f>RawData!CF207</f>
        <v>0</v>
      </c>
      <c r="E209" s="44">
        <f>RawData!CE207</f>
        <v>0</v>
      </c>
      <c r="F209" s="43">
        <f>RawData!CD207</f>
        <v>0</v>
      </c>
      <c r="G209" s="44">
        <f>RawData!CC207</f>
        <v>0</v>
      </c>
      <c r="H209" s="44">
        <f>RawData!CB207</f>
        <v>0</v>
      </c>
      <c r="I209" s="44">
        <f>RawData!CA207</f>
        <v>0</v>
      </c>
      <c r="J209" s="44">
        <f>RawData!BZ207</f>
        <v>0</v>
      </c>
      <c r="K209" s="40">
        <f>RawData!BY207</f>
        <v>0</v>
      </c>
      <c r="L209" s="40">
        <f>RawData!BX207</f>
        <v>0</v>
      </c>
      <c r="M209" s="40">
        <f>RawData!BW207</f>
        <v>0</v>
      </c>
      <c r="N209" s="40">
        <f>RawData!BV207</f>
        <v>0</v>
      </c>
      <c r="O209" s="36">
        <f>RawData!BU207</f>
        <v>0</v>
      </c>
      <c r="P209" s="36">
        <f>RawData!BT207</f>
        <v>0</v>
      </c>
      <c r="Q209" s="36">
        <f>RawData!BS207</f>
        <v>0</v>
      </c>
      <c r="R209" s="36">
        <f>RawData!BR207</f>
        <v>0</v>
      </c>
      <c r="S209" s="37">
        <f>RawData!BQ207</f>
        <v>0</v>
      </c>
      <c r="T209" s="37">
        <f>RawData!BP207</f>
        <v>0</v>
      </c>
      <c r="U209" s="38">
        <f>RawData!BO207</f>
        <v>0</v>
      </c>
      <c r="V209" s="38">
        <f>RawData!BN207</f>
        <v>0</v>
      </c>
      <c r="W209" s="39">
        <f>RawData!BM207</f>
        <v>0</v>
      </c>
      <c r="X209" s="39">
        <f>RawData!BL207</f>
        <v>0</v>
      </c>
      <c r="Y209" s="38">
        <f>RawData!BJ207</f>
        <v>0</v>
      </c>
      <c r="Z209" s="38">
        <f>RawData!BI207</f>
        <v>0</v>
      </c>
      <c r="AA209" s="40">
        <f>RawData!BH207</f>
        <v>0</v>
      </c>
      <c r="AB209" s="40">
        <f>RawData!BG207</f>
        <v>0</v>
      </c>
      <c r="AC209" s="40">
        <f>RawData!BF207</f>
        <v>0</v>
      </c>
      <c r="AD209" s="40">
        <f>RawData!BE207</f>
        <v>0</v>
      </c>
      <c r="AE209" s="40">
        <f>RawData!BD207</f>
        <v>0</v>
      </c>
      <c r="AF209" s="40">
        <f>RawData!BC207</f>
        <v>0</v>
      </c>
      <c r="AG209" s="41">
        <f>RawData!BB207</f>
        <v>0</v>
      </c>
      <c r="AH209" s="42">
        <f>RawData!DB207</f>
        <v>0</v>
      </c>
      <c r="AI209" s="41">
        <f>RawData!BA207</f>
        <v>0</v>
      </c>
      <c r="AJ209" s="43">
        <f>RawData!DA207</f>
        <v>0</v>
      </c>
      <c r="AK209" s="41">
        <f>RawData!AZ207</f>
        <v>0</v>
      </c>
      <c r="AL209" s="42">
        <f>RawData!DD207</f>
        <v>0</v>
      </c>
      <c r="AM209" s="44">
        <f>RawData!DC207</f>
        <v>0</v>
      </c>
      <c r="AN209" s="45">
        <f>RawData!BK207</f>
        <v>0</v>
      </c>
      <c r="AO209" s="44">
        <f>RawData!AY207</f>
        <v>0</v>
      </c>
      <c r="AP209" s="43">
        <f>RawData!DH207</f>
        <v>0</v>
      </c>
      <c r="AQ209" s="43">
        <f>RawData!DE207</f>
        <v>0</v>
      </c>
      <c r="AR209" s="42">
        <f>RawData!CZ207</f>
        <v>0</v>
      </c>
      <c r="AS209" s="44">
        <f>RawData!AX207</f>
        <v>0</v>
      </c>
      <c r="AT209" s="43">
        <f>RawData!CY207</f>
        <v>0</v>
      </c>
      <c r="AU209" s="44">
        <f>RawData!AW207</f>
        <v>0</v>
      </c>
      <c r="AV209" s="46">
        <f>RawData!O207</f>
        <v>0</v>
      </c>
      <c r="AW209" s="44">
        <f>RawData!AV207</f>
        <v>0</v>
      </c>
      <c r="AX209" s="44">
        <f>RawData!CW207</f>
        <v>0</v>
      </c>
      <c r="AY209" s="44">
        <f>RawData!AU207</f>
        <v>0</v>
      </c>
      <c r="AZ209" s="42">
        <f>RawData!CX207</f>
        <v>0</v>
      </c>
      <c r="BA209" s="44">
        <f>RawData!DF207</f>
        <v>0</v>
      </c>
      <c r="BB209" s="43">
        <f>RawData!DI207</f>
        <v>0</v>
      </c>
      <c r="BC209" s="44">
        <f>RawData!AT207</f>
        <v>0</v>
      </c>
      <c r="BD209" s="45">
        <f>RawData!AP207</f>
        <v>0</v>
      </c>
      <c r="BE209" s="44">
        <f>RawData!CS207</f>
        <v>0</v>
      </c>
      <c r="BF209" s="42">
        <f>RawData!CT207</f>
        <v>0</v>
      </c>
      <c r="BG209" s="41">
        <f>RawData!AS207</f>
        <v>0</v>
      </c>
      <c r="BH209" s="41">
        <f>RawData!CU207</f>
        <v>0</v>
      </c>
      <c r="BI209" s="41">
        <f>RawData!AR207</f>
        <v>0</v>
      </c>
      <c r="BJ209" s="42">
        <f>RawData!CV207</f>
        <v>0</v>
      </c>
      <c r="BK209" s="41">
        <f>RawData!AQ207</f>
        <v>0</v>
      </c>
      <c r="BL209" s="40">
        <f>RawData!AO207</f>
        <v>0</v>
      </c>
      <c r="BM209" s="40">
        <f>RawData!AN207</f>
        <v>0</v>
      </c>
      <c r="BN209" s="40">
        <f>RawData!AM207</f>
        <v>0</v>
      </c>
      <c r="BO209" s="40">
        <f>RawData!AL207</f>
        <v>0</v>
      </c>
      <c r="BP209" s="40">
        <f>RawData!AK207</f>
        <v>0</v>
      </c>
      <c r="BQ209" s="40">
        <f>RawData!AJ207</f>
        <v>0</v>
      </c>
      <c r="BR209" s="38">
        <f>RawData!AI207</f>
        <v>0</v>
      </c>
      <c r="BS209" s="38">
        <f>RawData!AH207</f>
        <v>0</v>
      </c>
      <c r="BT209" s="40">
        <f>RawData!AG207</f>
        <v>0</v>
      </c>
      <c r="BU209" s="39">
        <f>RawData!AF207</f>
        <v>0</v>
      </c>
      <c r="BV209" s="39">
        <f>RawData!AE207</f>
        <v>0</v>
      </c>
      <c r="BW209" s="38">
        <f>RawData!AD207</f>
        <v>0</v>
      </c>
      <c r="BX209" s="38">
        <f>RawData!AC207</f>
        <v>0</v>
      </c>
      <c r="BY209" s="37">
        <f>RawData!AB207</f>
        <v>0</v>
      </c>
      <c r="BZ209" s="37">
        <f>RawData!AA207</f>
        <v>0</v>
      </c>
      <c r="CA209" s="36">
        <f>RawData!Z207</f>
        <v>0</v>
      </c>
      <c r="CB209" s="36">
        <f>RawData!Y207</f>
        <v>0</v>
      </c>
      <c r="CC209" s="36">
        <f>RawData!X207</f>
        <v>0</v>
      </c>
      <c r="CD209" s="36">
        <f>RawData!W207</f>
        <v>0</v>
      </c>
      <c r="CE209" s="40">
        <f>RawData!V207</f>
        <v>0</v>
      </c>
      <c r="CF209" s="40">
        <f>RawData!U207</f>
        <v>0</v>
      </c>
      <c r="CG209" s="40">
        <f>RawData!T207</f>
        <v>0</v>
      </c>
      <c r="CH209" s="44">
        <f>RawData!S207</f>
        <v>0</v>
      </c>
      <c r="CI209" s="44">
        <f>RawData!R207</f>
        <v>0</v>
      </c>
      <c r="CJ209" s="44">
        <f>RawData!Q207</f>
        <v>0</v>
      </c>
      <c r="CK209" s="44">
        <f>RawData!P207</f>
        <v>0</v>
      </c>
      <c r="CL209" s="44">
        <f>RawData!CJ207</f>
        <v>0</v>
      </c>
      <c r="CM209" s="43">
        <f>RawData!CI207</f>
        <v>0</v>
      </c>
      <c r="CN209" s="44">
        <f>RawData!CL207</f>
        <v>0</v>
      </c>
      <c r="CO209" s="43">
        <f>RawData!CK207</f>
        <v>0</v>
      </c>
      <c r="CP209" s="44">
        <f>RawData!CM207</f>
        <v>0</v>
      </c>
      <c r="CQ209" s="47">
        <f>RawData!CO207</f>
        <v>0</v>
      </c>
      <c r="CR209" s="44">
        <f>RawData!CP207</f>
        <v>0</v>
      </c>
      <c r="CS209" s="44">
        <f>RawData!DG207</f>
        <v>0</v>
      </c>
      <c r="CT209" s="43">
        <f>RawData!DJ207</f>
        <v>0</v>
      </c>
      <c r="CU209" s="43">
        <f>RawData!CQ207</f>
        <v>0</v>
      </c>
      <c r="CV209" s="47">
        <f>RawData!CR207</f>
        <v>0</v>
      </c>
      <c r="CW209" s="65">
        <f>RawData!DK207</f>
        <v>0</v>
      </c>
      <c r="CX209" s="65">
        <f>RawData!DL207</f>
        <v>0</v>
      </c>
      <c r="CY209" s="65">
        <f>RawData!DM207</f>
        <v>0</v>
      </c>
      <c r="CZ209" s="65">
        <f>RawData!DN207</f>
        <v>0</v>
      </c>
      <c r="DA209" s="65">
        <f>RawData!DO207</f>
        <v>0</v>
      </c>
      <c r="DB209" s="65">
        <f>RawData!DP207</f>
        <v>0</v>
      </c>
      <c r="DC209" s="65">
        <f>RawData!DQ207</f>
        <v>0</v>
      </c>
      <c r="DD209" s="65">
        <f>RawData!DR207</f>
        <v>0</v>
      </c>
      <c r="DE209" s="65">
        <f>RawData!DS207</f>
        <v>0</v>
      </c>
      <c r="DF209" s="65">
        <f>RawData!DT207</f>
        <v>0</v>
      </c>
      <c r="DG209" s="66">
        <f>RawData!DU207</f>
        <v>0</v>
      </c>
      <c r="DI209" s="21">
        <f t="shared" si="3"/>
        <v>0</v>
      </c>
    </row>
    <row r="210" spans="1:113" x14ac:dyDescent="0.2">
      <c r="A210" s="59">
        <f>RawData!CN208</f>
        <v>0</v>
      </c>
      <c r="B210" s="44">
        <f>RawData!CH208</f>
        <v>0</v>
      </c>
      <c r="C210" s="44">
        <f>RawData!CG208</f>
        <v>0</v>
      </c>
      <c r="D210" s="43">
        <f>RawData!CF208</f>
        <v>0</v>
      </c>
      <c r="E210" s="44">
        <f>RawData!CE208</f>
        <v>0</v>
      </c>
      <c r="F210" s="43">
        <f>RawData!CD208</f>
        <v>0</v>
      </c>
      <c r="G210" s="44">
        <f>RawData!CC208</f>
        <v>0</v>
      </c>
      <c r="H210" s="44">
        <f>RawData!CB208</f>
        <v>0</v>
      </c>
      <c r="I210" s="44">
        <f>RawData!CA208</f>
        <v>0</v>
      </c>
      <c r="J210" s="44">
        <f>RawData!BZ208</f>
        <v>0</v>
      </c>
      <c r="K210" s="40">
        <f>RawData!BY208</f>
        <v>0</v>
      </c>
      <c r="L210" s="40">
        <f>RawData!BX208</f>
        <v>0</v>
      </c>
      <c r="M210" s="40">
        <f>RawData!BW208</f>
        <v>0</v>
      </c>
      <c r="N210" s="40">
        <f>RawData!BV208</f>
        <v>0</v>
      </c>
      <c r="O210" s="36">
        <f>RawData!BU208</f>
        <v>0</v>
      </c>
      <c r="P210" s="36">
        <f>RawData!BT208</f>
        <v>0</v>
      </c>
      <c r="Q210" s="36">
        <f>RawData!BS208</f>
        <v>0</v>
      </c>
      <c r="R210" s="36">
        <f>RawData!BR208</f>
        <v>0</v>
      </c>
      <c r="S210" s="37">
        <f>RawData!BQ208</f>
        <v>0</v>
      </c>
      <c r="T210" s="37">
        <f>RawData!BP208</f>
        <v>0</v>
      </c>
      <c r="U210" s="38">
        <f>RawData!BO208</f>
        <v>0</v>
      </c>
      <c r="V210" s="38">
        <f>RawData!BN208</f>
        <v>0</v>
      </c>
      <c r="W210" s="39">
        <f>RawData!BM208</f>
        <v>0</v>
      </c>
      <c r="X210" s="39">
        <f>RawData!BL208</f>
        <v>0</v>
      </c>
      <c r="Y210" s="38">
        <f>RawData!BJ208</f>
        <v>0</v>
      </c>
      <c r="Z210" s="38">
        <f>RawData!BI208</f>
        <v>0</v>
      </c>
      <c r="AA210" s="40">
        <f>RawData!BH208</f>
        <v>0</v>
      </c>
      <c r="AB210" s="40">
        <f>RawData!BG208</f>
        <v>0</v>
      </c>
      <c r="AC210" s="40">
        <f>RawData!BF208</f>
        <v>0</v>
      </c>
      <c r="AD210" s="40">
        <f>RawData!BE208</f>
        <v>0</v>
      </c>
      <c r="AE210" s="40">
        <f>RawData!BD208</f>
        <v>0</v>
      </c>
      <c r="AF210" s="40">
        <f>RawData!BC208</f>
        <v>0</v>
      </c>
      <c r="AG210" s="41">
        <f>RawData!BB208</f>
        <v>0</v>
      </c>
      <c r="AH210" s="42">
        <f>RawData!DB208</f>
        <v>0</v>
      </c>
      <c r="AI210" s="41">
        <f>RawData!BA208</f>
        <v>0</v>
      </c>
      <c r="AJ210" s="43">
        <f>RawData!DA208</f>
        <v>0</v>
      </c>
      <c r="AK210" s="41">
        <f>RawData!AZ208</f>
        <v>0</v>
      </c>
      <c r="AL210" s="42">
        <f>RawData!DD208</f>
        <v>0</v>
      </c>
      <c r="AM210" s="44">
        <f>RawData!DC208</f>
        <v>0</v>
      </c>
      <c r="AN210" s="45">
        <f>RawData!BK208</f>
        <v>0</v>
      </c>
      <c r="AO210" s="44">
        <f>RawData!AY208</f>
        <v>0</v>
      </c>
      <c r="AP210" s="43">
        <f>RawData!DH208</f>
        <v>0</v>
      </c>
      <c r="AQ210" s="43">
        <f>RawData!DE208</f>
        <v>0</v>
      </c>
      <c r="AR210" s="42">
        <f>RawData!CZ208</f>
        <v>0</v>
      </c>
      <c r="AS210" s="44">
        <f>RawData!AX208</f>
        <v>0</v>
      </c>
      <c r="AT210" s="43">
        <f>RawData!CY208</f>
        <v>0</v>
      </c>
      <c r="AU210" s="44">
        <f>RawData!AW208</f>
        <v>0</v>
      </c>
      <c r="AV210" s="46">
        <f>RawData!O208</f>
        <v>0</v>
      </c>
      <c r="AW210" s="44">
        <f>RawData!AV208</f>
        <v>0</v>
      </c>
      <c r="AX210" s="44">
        <f>RawData!CW208</f>
        <v>0</v>
      </c>
      <c r="AY210" s="44">
        <f>RawData!AU208</f>
        <v>0</v>
      </c>
      <c r="AZ210" s="42">
        <f>RawData!CX208</f>
        <v>0</v>
      </c>
      <c r="BA210" s="44">
        <f>RawData!DF208</f>
        <v>0</v>
      </c>
      <c r="BB210" s="43">
        <f>RawData!DI208</f>
        <v>0</v>
      </c>
      <c r="BC210" s="44">
        <f>RawData!AT208</f>
        <v>0</v>
      </c>
      <c r="BD210" s="45">
        <f>RawData!AP208</f>
        <v>0</v>
      </c>
      <c r="BE210" s="44">
        <f>RawData!CS208</f>
        <v>0</v>
      </c>
      <c r="BF210" s="42">
        <f>RawData!CT208</f>
        <v>0</v>
      </c>
      <c r="BG210" s="41">
        <f>RawData!AS208</f>
        <v>0</v>
      </c>
      <c r="BH210" s="41">
        <f>RawData!CU208</f>
        <v>0</v>
      </c>
      <c r="BI210" s="41">
        <f>RawData!AR208</f>
        <v>0</v>
      </c>
      <c r="BJ210" s="42">
        <f>RawData!CV208</f>
        <v>0</v>
      </c>
      <c r="BK210" s="41">
        <f>RawData!AQ208</f>
        <v>0</v>
      </c>
      <c r="BL210" s="40">
        <f>RawData!AO208</f>
        <v>0</v>
      </c>
      <c r="BM210" s="40">
        <f>RawData!AN208</f>
        <v>0</v>
      </c>
      <c r="BN210" s="40">
        <f>RawData!AM208</f>
        <v>0</v>
      </c>
      <c r="BO210" s="40">
        <f>RawData!AL208</f>
        <v>0</v>
      </c>
      <c r="BP210" s="40">
        <f>RawData!AK208</f>
        <v>0</v>
      </c>
      <c r="BQ210" s="40">
        <f>RawData!AJ208</f>
        <v>0</v>
      </c>
      <c r="BR210" s="38">
        <f>RawData!AI208</f>
        <v>0</v>
      </c>
      <c r="BS210" s="38">
        <f>RawData!AH208</f>
        <v>0</v>
      </c>
      <c r="BT210" s="40">
        <f>RawData!AG208</f>
        <v>0</v>
      </c>
      <c r="BU210" s="39">
        <f>RawData!AF208</f>
        <v>0</v>
      </c>
      <c r="BV210" s="39">
        <f>RawData!AE208</f>
        <v>0</v>
      </c>
      <c r="BW210" s="38">
        <f>RawData!AD208</f>
        <v>0</v>
      </c>
      <c r="BX210" s="38">
        <f>RawData!AC208</f>
        <v>0</v>
      </c>
      <c r="BY210" s="37">
        <f>RawData!AB208</f>
        <v>0</v>
      </c>
      <c r="BZ210" s="37">
        <f>RawData!AA208</f>
        <v>0</v>
      </c>
      <c r="CA210" s="36">
        <f>RawData!Z208</f>
        <v>0</v>
      </c>
      <c r="CB210" s="36">
        <f>RawData!Y208</f>
        <v>0</v>
      </c>
      <c r="CC210" s="36">
        <f>RawData!X208</f>
        <v>0</v>
      </c>
      <c r="CD210" s="36">
        <f>RawData!W208</f>
        <v>0</v>
      </c>
      <c r="CE210" s="40">
        <f>RawData!V208</f>
        <v>0</v>
      </c>
      <c r="CF210" s="40">
        <f>RawData!U208</f>
        <v>0</v>
      </c>
      <c r="CG210" s="40">
        <f>RawData!T208</f>
        <v>0</v>
      </c>
      <c r="CH210" s="44">
        <f>RawData!S208</f>
        <v>0</v>
      </c>
      <c r="CI210" s="44">
        <f>RawData!R208</f>
        <v>0</v>
      </c>
      <c r="CJ210" s="44">
        <f>RawData!Q208</f>
        <v>0</v>
      </c>
      <c r="CK210" s="44">
        <f>RawData!P208</f>
        <v>0</v>
      </c>
      <c r="CL210" s="44">
        <f>RawData!CJ208</f>
        <v>0</v>
      </c>
      <c r="CM210" s="43">
        <f>RawData!CI208</f>
        <v>0</v>
      </c>
      <c r="CN210" s="44">
        <f>RawData!CL208</f>
        <v>0</v>
      </c>
      <c r="CO210" s="43">
        <f>RawData!CK208</f>
        <v>0</v>
      </c>
      <c r="CP210" s="44">
        <f>RawData!CM208</f>
        <v>0</v>
      </c>
      <c r="CQ210" s="47">
        <f>RawData!CO208</f>
        <v>0</v>
      </c>
      <c r="CR210" s="44">
        <f>RawData!CP208</f>
        <v>0</v>
      </c>
      <c r="CS210" s="44">
        <f>RawData!DG208</f>
        <v>0</v>
      </c>
      <c r="CT210" s="43">
        <f>RawData!DJ208</f>
        <v>0</v>
      </c>
      <c r="CU210" s="43">
        <f>RawData!CQ208</f>
        <v>0</v>
      </c>
      <c r="CV210" s="47">
        <f>RawData!CR208</f>
        <v>0</v>
      </c>
      <c r="CW210" s="65">
        <f>RawData!DK208</f>
        <v>0</v>
      </c>
      <c r="CX210" s="65">
        <f>RawData!DL208</f>
        <v>0</v>
      </c>
      <c r="CY210" s="65">
        <f>RawData!DM208</f>
        <v>0</v>
      </c>
      <c r="CZ210" s="65">
        <f>RawData!DN208</f>
        <v>0</v>
      </c>
      <c r="DA210" s="65">
        <f>RawData!DO208</f>
        <v>0</v>
      </c>
      <c r="DB210" s="65">
        <f>RawData!DP208</f>
        <v>0</v>
      </c>
      <c r="DC210" s="65">
        <f>RawData!DQ208</f>
        <v>0</v>
      </c>
      <c r="DD210" s="65">
        <f>RawData!DR208</f>
        <v>0</v>
      </c>
      <c r="DE210" s="65">
        <f>RawData!DS208</f>
        <v>0</v>
      </c>
      <c r="DF210" s="65">
        <f>RawData!DT208</f>
        <v>0</v>
      </c>
      <c r="DG210" s="66">
        <f>RawData!DU208</f>
        <v>0</v>
      </c>
      <c r="DI210" s="21">
        <f t="shared" si="3"/>
        <v>0</v>
      </c>
    </row>
    <row r="211" spans="1:113" x14ac:dyDescent="0.2">
      <c r="A211" s="59">
        <f>RawData!CN209</f>
        <v>0</v>
      </c>
      <c r="B211" s="44">
        <f>RawData!CH209</f>
        <v>0</v>
      </c>
      <c r="C211" s="44">
        <f>RawData!CG209</f>
        <v>0</v>
      </c>
      <c r="D211" s="43">
        <f>RawData!CF209</f>
        <v>0</v>
      </c>
      <c r="E211" s="44">
        <f>RawData!CE209</f>
        <v>0</v>
      </c>
      <c r="F211" s="43">
        <f>RawData!CD209</f>
        <v>0</v>
      </c>
      <c r="G211" s="44">
        <f>RawData!CC209</f>
        <v>0</v>
      </c>
      <c r="H211" s="44">
        <f>RawData!CB209</f>
        <v>0</v>
      </c>
      <c r="I211" s="44">
        <f>RawData!CA209</f>
        <v>0</v>
      </c>
      <c r="J211" s="44">
        <f>RawData!BZ209</f>
        <v>0</v>
      </c>
      <c r="K211" s="40">
        <f>RawData!BY209</f>
        <v>0</v>
      </c>
      <c r="L211" s="40">
        <f>RawData!BX209</f>
        <v>0</v>
      </c>
      <c r="M211" s="40">
        <f>RawData!BW209</f>
        <v>0</v>
      </c>
      <c r="N211" s="40">
        <f>RawData!BV209</f>
        <v>0</v>
      </c>
      <c r="O211" s="36">
        <f>RawData!BU209</f>
        <v>0</v>
      </c>
      <c r="P211" s="36">
        <f>RawData!BT209</f>
        <v>0</v>
      </c>
      <c r="Q211" s="36">
        <f>RawData!BS209</f>
        <v>0</v>
      </c>
      <c r="R211" s="36">
        <f>RawData!BR209</f>
        <v>0</v>
      </c>
      <c r="S211" s="37">
        <f>RawData!BQ209</f>
        <v>0</v>
      </c>
      <c r="T211" s="37">
        <f>RawData!BP209</f>
        <v>0</v>
      </c>
      <c r="U211" s="38">
        <f>RawData!BO209</f>
        <v>0</v>
      </c>
      <c r="V211" s="38">
        <f>RawData!BN209</f>
        <v>0</v>
      </c>
      <c r="W211" s="39">
        <f>RawData!BM209</f>
        <v>0</v>
      </c>
      <c r="X211" s="39">
        <f>RawData!BL209</f>
        <v>0</v>
      </c>
      <c r="Y211" s="38">
        <f>RawData!BJ209</f>
        <v>0</v>
      </c>
      <c r="Z211" s="38">
        <f>RawData!BI209</f>
        <v>0</v>
      </c>
      <c r="AA211" s="40">
        <f>RawData!BH209</f>
        <v>0</v>
      </c>
      <c r="AB211" s="40">
        <f>RawData!BG209</f>
        <v>0</v>
      </c>
      <c r="AC211" s="40">
        <f>RawData!BF209</f>
        <v>0</v>
      </c>
      <c r="AD211" s="40">
        <f>RawData!BE209</f>
        <v>0</v>
      </c>
      <c r="AE211" s="40">
        <f>RawData!BD209</f>
        <v>0</v>
      </c>
      <c r="AF211" s="40">
        <f>RawData!BC209</f>
        <v>0</v>
      </c>
      <c r="AG211" s="41">
        <f>RawData!BB209</f>
        <v>0</v>
      </c>
      <c r="AH211" s="42">
        <f>RawData!DB209</f>
        <v>0</v>
      </c>
      <c r="AI211" s="41">
        <f>RawData!BA209</f>
        <v>0</v>
      </c>
      <c r="AJ211" s="43">
        <f>RawData!DA209</f>
        <v>0</v>
      </c>
      <c r="AK211" s="41">
        <f>RawData!AZ209</f>
        <v>0</v>
      </c>
      <c r="AL211" s="42">
        <f>RawData!DD209</f>
        <v>0</v>
      </c>
      <c r="AM211" s="44">
        <f>RawData!DC209</f>
        <v>0</v>
      </c>
      <c r="AN211" s="45">
        <f>RawData!BK209</f>
        <v>0</v>
      </c>
      <c r="AO211" s="44">
        <f>RawData!AY209</f>
        <v>0</v>
      </c>
      <c r="AP211" s="43">
        <f>RawData!DH209</f>
        <v>0</v>
      </c>
      <c r="AQ211" s="43">
        <f>RawData!DE209</f>
        <v>0</v>
      </c>
      <c r="AR211" s="42">
        <f>RawData!CZ209</f>
        <v>0</v>
      </c>
      <c r="AS211" s="44">
        <f>RawData!AX209</f>
        <v>0</v>
      </c>
      <c r="AT211" s="43">
        <f>RawData!CY209</f>
        <v>0</v>
      </c>
      <c r="AU211" s="44">
        <f>RawData!AW209</f>
        <v>0</v>
      </c>
      <c r="AV211" s="46">
        <f>RawData!O209</f>
        <v>0</v>
      </c>
      <c r="AW211" s="44">
        <f>RawData!AV209</f>
        <v>0</v>
      </c>
      <c r="AX211" s="44">
        <f>RawData!CW209</f>
        <v>0</v>
      </c>
      <c r="AY211" s="44">
        <f>RawData!AU209</f>
        <v>0</v>
      </c>
      <c r="AZ211" s="42">
        <f>RawData!CX209</f>
        <v>0</v>
      </c>
      <c r="BA211" s="44">
        <f>RawData!DF209</f>
        <v>0</v>
      </c>
      <c r="BB211" s="43">
        <f>RawData!DI209</f>
        <v>0</v>
      </c>
      <c r="BC211" s="44">
        <f>RawData!AT209</f>
        <v>0</v>
      </c>
      <c r="BD211" s="45">
        <f>RawData!AP209</f>
        <v>0</v>
      </c>
      <c r="BE211" s="44">
        <f>RawData!CS209</f>
        <v>0</v>
      </c>
      <c r="BF211" s="42">
        <f>RawData!CT209</f>
        <v>0</v>
      </c>
      <c r="BG211" s="41">
        <f>RawData!AS209</f>
        <v>0</v>
      </c>
      <c r="BH211" s="41">
        <f>RawData!CU209</f>
        <v>0</v>
      </c>
      <c r="BI211" s="41">
        <f>RawData!AR209</f>
        <v>0</v>
      </c>
      <c r="BJ211" s="42">
        <f>RawData!CV209</f>
        <v>0</v>
      </c>
      <c r="BK211" s="41">
        <f>RawData!AQ209</f>
        <v>0</v>
      </c>
      <c r="BL211" s="40">
        <f>RawData!AO209</f>
        <v>0</v>
      </c>
      <c r="BM211" s="40">
        <f>RawData!AN209</f>
        <v>0</v>
      </c>
      <c r="BN211" s="40">
        <f>RawData!AM209</f>
        <v>0</v>
      </c>
      <c r="BO211" s="40">
        <f>RawData!AL209</f>
        <v>0</v>
      </c>
      <c r="BP211" s="40">
        <f>RawData!AK209</f>
        <v>0</v>
      </c>
      <c r="BQ211" s="40">
        <f>RawData!AJ209</f>
        <v>0</v>
      </c>
      <c r="BR211" s="38">
        <f>RawData!AI209</f>
        <v>0</v>
      </c>
      <c r="BS211" s="38">
        <f>RawData!AH209</f>
        <v>0</v>
      </c>
      <c r="BT211" s="40">
        <f>RawData!AG209</f>
        <v>0</v>
      </c>
      <c r="BU211" s="39">
        <f>RawData!AF209</f>
        <v>0</v>
      </c>
      <c r="BV211" s="39">
        <f>RawData!AE209</f>
        <v>0</v>
      </c>
      <c r="BW211" s="38">
        <f>RawData!AD209</f>
        <v>0</v>
      </c>
      <c r="BX211" s="38">
        <f>RawData!AC209</f>
        <v>0</v>
      </c>
      <c r="BY211" s="37">
        <f>RawData!AB209</f>
        <v>0</v>
      </c>
      <c r="BZ211" s="37">
        <f>RawData!AA209</f>
        <v>0</v>
      </c>
      <c r="CA211" s="36">
        <f>RawData!Z209</f>
        <v>0</v>
      </c>
      <c r="CB211" s="36">
        <f>RawData!Y209</f>
        <v>0</v>
      </c>
      <c r="CC211" s="36">
        <f>RawData!X209</f>
        <v>0</v>
      </c>
      <c r="CD211" s="36">
        <f>RawData!W209</f>
        <v>0</v>
      </c>
      <c r="CE211" s="40">
        <f>RawData!V209</f>
        <v>0</v>
      </c>
      <c r="CF211" s="40">
        <f>RawData!U209</f>
        <v>0</v>
      </c>
      <c r="CG211" s="40">
        <f>RawData!T209</f>
        <v>0</v>
      </c>
      <c r="CH211" s="44">
        <f>RawData!S209</f>
        <v>0</v>
      </c>
      <c r="CI211" s="44">
        <f>RawData!R209</f>
        <v>0</v>
      </c>
      <c r="CJ211" s="44">
        <f>RawData!Q209</f>
        <v>0</v>
      </c>
      <c r="CK211" s="44">
        <f>RawData!P209</f>
        <v>0</v>
      </c>
      <c r="CL211" s="44">
        <f>RawData!CJ209</f>
        <v>0</v>
      </c>
      <c r="CM211" s="43">
        <f>RawData!CI209</f>
        <v>0</v>
      </c>
      <c r="CN211" s="44">
        <f>RawData!CL209</f>
        <v>0</v>
      </c>
      <c r="CO211" s="43">
        <f>RawData!CK209</f>
        <v>0</v>
      </c>
      <c r="CP211" s="44">
        <f>RawData!CM209</f>
        <v>0</v>
      </c>
      <c r="CQ211" s="47">
        <f>RawData!CO209</f>
        <v>0</v>
      </c>
      <c r="CR211" s="44">
        <f>RawData!CP209</f>
        <v>0</v>
      </c>
      <c r="CS211" s="44">
        <f>RawData!DG209</f>
        <v>0</v>
      </c>
      <c r="CT211" s="43">
        <f>RawData!DJ209</f>
        <v>0</v>
      </c>
      <c r="CU211" s="43">
        <f>RawData!CQ209</f>
        <v>0</v>
      </c>
      <c r="CV211" s="47">
        <f>RawData!CR209</f>
        <v>0</v>
      </c>
      <c r="CW211" s="65">
        <f>RawData!DK209</f>
        <v>0</v>
      </c>
      <c r="CX211" s="65">
        <f>RawData!DL209</f>
        <v>0</v>
      </c>
      <c r="CY211" s="65">
        <f>RawData!DM209</f>
        <v>0</v>
      </c>
      <c r="CZ211" s="65">
        <f>RawData!DN209</f>
        <v>0</v>
      </c>
      <c r="DA211" s="65">
        <f>RawData!DO209</f>
        <v>0</v>
      </c>
      <c r="DB211" s="65">
        <f>RawData!DP209</f>
        <v>0</v>
      </c>
      <c r="DC211" s="65">
        <f>RawData!DQ209</f>
        <v>0</v>
      </c>
      <c r="DD211" s="65">
        <f>RawData!DR209</f>
        <v>0</v>
      </c>
      <c r="DE211" s="65">
        <f>RawData!DS209</f>
        <v>0</v>
      </c>
      <c r="DF211" s="65">
        <f>RawData!DT209</f>
        <v>0</v>
      </c>
      <c r="DG211" s="66">
        <f>RawData!DU209</f>
        <v>0</v>
      </c>
      <c r="DI211" s="21">
        <f t="shared" si="3"/>
        <v>0</v>
      </c>
    </row>
    <row r="212" spans="1:113" x14ac:dyDescent="0.2">
      <c r="A212" s="59">
        <f>RawData!CN210</f>
        <v>0</v>
      </c>
      <c r="B212" s="44">
        <f>RawData!CH210</f>
        <v>0</v>
      </c>
      <c r="C212" s="44">
        <f>RawData!CG210</f>
        <v>0</v>
      </c>
      <c r="D212" s="43">
        <f>RawData!CF210</f>
        <v>0</v>
      </c>
      <c r="E212" s="44">
        <f>RawData!CE210</f>
        <v>0</v>
      </c>
      <c r="F212" s="43">
        <f>RawData!CD210</f>
        <v>0</v>
      </c>
      <c r="G212" s="44">
        <f>RawData!CC210</f>
        <v>0</v>
      </c>
      <c r="H212" s="44">
        <f>RawData!CB210</f>
        <v>0</v>
      </c>
      <c r="I212" s="44">
        <f>RawData!CA210</f>
        <v>0</v>
      </c>
      <c r="J212" s="44">
        <f>RawData!BZ210</f>
        <v>0</v>
      </c>
      <c r="K212" s="40">
        <f>RawData!BY210</f>
        <v>0</v>
      </c>
      <c r="L212" s="40">
        <f>RawData!BX210</f>
        <v>0</v>
      </c>
      <c r="M212" s="40">
        <f>RawData!BW210</f>
        <v>0</v>
      </c>
      <c r="N212" s="40">
        <f>RawData!BV210</f>
        <v>0</v>
      </c>
      <c r="O212" s="36">
        <f>RawData!BU210</f>
        <v>0</v>
      </c>
      <c r="P212" s="36">
        <f>RawData!BT210</f>
        <v>0</v>
      </c>
      <c r="Q212" s="36">
        <f>RawData!BS210</f>
        <v>0</v>
      </c>
      <c r="R212" s="36">
        <f>RawData!BR210</f>
        <v>0</v>
      </c>
      <c r="S212" s="37">
        <f>RawData!BQ210</f>
        <v>0</v>
      </c>
      <c r="T212" s="37">
        <f>RawData!BP210</f>
        <v>0</v>
      </c>
      <c r="U212" s="38">
        <f>RawData!BO210</f>
        <v>0</v>
      </c>
      <c r="V212" s="38">
        <f>RawData!BN210</f>
        <v>0</v>
      </c>
      <c r="W212" s="39">
        <f>RawData!BM210</f>
        <v>0</v>
      </c>
      <c r="X212" s="39">
        <f>RawData!BL210</f>
        <v>0</v>
      </c>
      <c r="Y212" s="38">
        <f>RawData!BJ210</f>
        <v>0</v>
      </c>
      <c r="Z212" s="38">
        <f>RawData!BI210</f>
        <v>0</v>
      </c>
      <c r="AA212" s="40">
        <f>RawData!BH210</f>
        <v>0</v>
      </c>
      <c r="AB212" s="40">
        <f>RawData!BG210</f>
        <v>0</v>
      </c>
      <c r="AC212" s="40">
        <f>RawData!BF210</f>
        <v>0</v>
      </c>
      <c r="AD212" s="40">
        <f>RawData!BE210</f>
        <v>0</v>
      </c>
      <c r="AE212" s="40">
        <f>RawData!BD210</f>
        <v>0</v>
      </c>
      <c r="AF212" s="40">
        <f>RawData!BC210</f>
        <v>0</v>
      </c>
      <c r="AG212" s="41">
        <f>RawData!BB210</f>
        <v>0</v>
      </c>
      <c r="AH212" s="42">
        <f>RawData!DB210</f>
        <v>0</v>
      </c>
      <c r="AI212" s="41">
        <f>RawData!BA210</f>
        <v>0</v>
      </c>
      <c r="AJ212" s="43">
        <f>RawData!DA210</f>
        <v>0</v>
      </c>
      <c r="AK212" s="41">
        <f>RawData!AZ210</f>
        <v>0</v>
      </c>
      <c r="AL212" s="42">
        <f>RawData!DD210</f>
        <v>0</v>
      </c>
      <c r="AM212" s="44">
        <f>RawData!DC210</f>
        <v>0</v>
      </c>
      <c r="AN212" s="45">
        <f>RawData!BK210</f>
        <v>0</v>
      </c>
      <c r="AO212" s="44">
        <f>RawData!AY210</f>
        <v>0</v>
      </c>
      <c r="AP212" s="43">
        <f>RawData!DH210</f>
        <v>0</v>
      </c>
      <c r="AQ212" s="43">
        <f>RawData!DE210</f>
        <v>0</v>
      </c>
      <c r="AR212" s="42">
        <f>RawData!CZ210</f>
        <v>0</v>
      </c>
      <c r="AS212" s="44">
        <f>RawData!AX210</f>
        <v>0</v>
      </c>
      <c r="AT212" s="43">
        <f>RawData!CY210</f>
        <v>0</v>
      </c>
      <c r="AU212" s="44">
        <f>RawData!AW210</f>
        <v>0</v>
      </c>
      <c r="AV212" s="46">
        <f>RawData!O210</f>
        <v>0</v>
      </c>
      <c r="AW212" s="44">
        <f>RawData!AV210</f>
        <v>0</v>
      </c>
      <c r="AX212" s="44">
        <f>RawData!CW210</f>
        <v>0</v>
      </c>
      <c r="AY212" s="44">
        <f>RawData!AU210</f>
        <v>0</v>
      </c>
      <c r="AZ212" s="42">
        <f>RawData!CX210</f>
        <v>0</v>
      </c>
      <c r="BA212" s="44">
        <f>RawData!DF210</f>
        <v>0</v>
      </c>
      <c r="BB212" s="43">
        <f>RawData!DI210</f>
        <v>0</v>
      </c>
      <c r="BC212" s="44">
        <f>RawData!AT210</f>
        <v>0</v>
      </c>
      <c r="BD212" s="45">
        <f>RawData!AP210</f>
        <v>0</v>
      </c>
      <c r="BE212" s="44">
        <f>RawData!CS210</f>
        <v>0</v>
      </c>
      <c r="BF212" s="42">
        <f>RawData!CT210</f>
        <v>0</v>
      </c>
      <c r="BG212" s="41">
        <f>RawData!AS210</f>
        <v>0</v>
      </c>
      <c r="BH212" s="41">
        <f>RawData!CU210</f>
        <v>0</v>
      </c>
      <c r="BI212" s="41">
        <f>RawData!AR210</f>
        <v>0</v>
      </c>
      <c r="BJ212" s="42">
        <f>RawData!CV210</f>
        <v>0</v>
      </c>
      <c r="BK212" s="41">
        <f>RawData!AQ210</f>
        <v>0</v>
      </c>
      <c r="BL212" s="40">
        <f>RawData!AO210</f>
        <v>0</v>
      </c>
      <c r="BM212" s="40">
        <f>RawData!AN210</f>
        <v>0</v>
      </c>
      <c r="BN212" s="40">
        <f>RawData!AM210</f>
        <v>0</v>
      </c>
      <c r="BO212" s="40">
        <f>RawData!AL210</f>
        <v>0</v>
      </c>
      <c r="BP212" s="40">
        <f>RawData!AK210</f>
        <v>0</v>
      </c>
      <c r="BQ212" s="40">
        <f>RawData!AJ210</f>
        <v>0</v>
      </c>
      <c r="BR212" s="38">
        <f>RawData!AI210</f>
        <v>0</v>
      </c>
      <c r="BS212" s="38">
        <f>RawData!AH210</f>
        <v>0</v>
      </c>
      <c r="BT212" s="40">
        <f>RawData!AG210</f>
        <v>0</v>
      </c>
      <c r="BU212" s="39">
        <f>RawData!AF210</f>
        <v>0</v>
      </c>
      <c r="BV212" s="39">
        <f>RawData!AE210</f>
        <v>0</v>
      </c>
      <c r="BW212" s="38">
        <f>RawData!AD210</f>
        <v>0</v>
      </c>
      <c r="BX212" s="38">
        <f>RawData!AC210</f>
        <v>0</v>
      </c>
      <c r="BY212" s="37">
        <f>RawData!AB210</f>
        <v>0</v>
      </c>
      <c r="BZ212" s="37">
        <f>RawData!AA210</f>
        <v>0</v>
      </c>
      <c r="CA212" s="36">
        <f>RawData!Z210</f>
        <v>0</v>
      </c>
      <c r="CB212" s="36">
        <f>RawData!Y210</f>
        <v>0</v>
      </c>
      <c r="CC212" s="36">
        <f>RawData!X210</f>
        <v>0</v>
      </c>
      <c r="CD212" s="36">
        <f>RawData!W210</f>
        <v>0</v>
      </c>
      <c r="CE212" s="40">
        <f>RawData!V210</f>
        <v>0</v>
      </c>
      <c r="CF212" s="40">
        <f>RawData!U210</f>
        <v>0</v>
      </c>
      <c r="CG212" s="40">
        <f>RawData!T210</f>
        <v>0</v>
      </c>
      <c r="CH212" s="44">
        <f>RawData!S210</f>
        <v>0</v>
      </c>
      <c r="CI212" s="44">
        <f>RawData!R210</f>
        <v>0</v>
      </c>
      <c r="CJ212" s="44">
        <f>RawData!Q210</f>
        <v>0</v>
      </c>
      <c r="CK212" s="44">
        <f>RawData!P210</f>
        <v>0</v>
      </c>
      <c r="CL212" s="44">
        <f>RawData!CJ210</f>
        <v>0</v>
      </c>
      <c r="CM212" s="43">
        <f>RawData!CI210</f>
        <v>0</v>
      </c>
      <c r="CN212" s="44">
        <f>RawData!CL210</f>
        <v>0</v>
      </c>
      <c r="CO212" s="43">
        <f>RawData!CK210</f>
        <v>0</v>
      </c>
      <c r="CP212" s="44">
        <f>RawData!CM210</f>
        <v>0</v>
      </c>
      <c r="CQ212" s="47">
        <f>RawData!CO210</f>
        <v>0</v>
      </c>
      <c r="CR212" s="44">
        <f>RawData!CP210</f>
        <v>0</v>
      </c>
      <c r="CS212" s="44">
        <f>RawData!DG210</f>
        <v>0</v>
      </c>
      <c r="CT212" s="43">
        <f>RawData!DJ210</f>
        <v>0</v>
      </c>
      <c r="CU212" s="43">
        <f>RawData!CQ210</f>
        <v>0</v>
      </c>
      <c r="CV212" s="47">
        <f>RawData!CR210</f>
        <v>0</v>
      </c>
      <c r="CW212" s="65">
        <f>RawData!DK210</f>
        <v>0</v>
      </c>
      <c r="CX212" s="65">
        <f>RawData!DL210</f>
        <v>0</v>
      </c>
      <c r="CY212" s="65">
        <f>RawData!DM210</f>
        <v>0</v>
      </c>
      <c r="CZ212" s="65">
        <f>RawData!DN210</f>
        <v>0</v>
      </c>
      <c r="DA212" s="65">
        <f>RawData!DO210</f>
        <v>0</v>
      </c>
      <c r="DB212" s="65">
        <f>RawData!DP210</f>
        <v>0</v>
      </c>
      <c r="DC212" s="65">
        <f>RawData!DQ210</f>
        <v>0</v>
      </c>
      <c r="DD212" s="65">
        <f>RawData!DR210</f>
        <v>0</v>
      </c>
      <c r="DE212" s="65">
        <f>RawData!DS210</f>
        <v>0</v>
      </c>
      <c r="DF212" s="65">
        <f>RawData!DT210</f>
        <v>0</v>
      </c>
      <c r="DG212" s="66">
        <f>RawData!DU210</f>
        <v>0</v>
      </c>
      <c r="DI212" s="21">
        <f t="shared" si="3"/>
        <v>0</v>
      </c>
    </row>
    <row r="213" spans="1:113" x14ac:dyDescent="0.2">
      <c r="A213" s="59">
        <f>RawData!CN211</f>
        <v>0</v>
      </c>
      <c r="B213" s="44">
        <f>RawData!CH211</f>
        <v>0</v>
      </c>
      <c r="C213" s="44">
        <f>RawData!CG211</f>
        <v>0</v>
      </c>
      <c r="D213" s="43">
        <f>RawData!CF211</f>
        <v>0</v>
      </c>
      <c r="E213" s="44">
        <f>RawData!CE211</f>
        <v>0</v>
      </c>
      <c r="F213" s="43">
        <f>RawData!CD211</f>
        <v>0</v>
      </c>
      <c r="G213" s="44">
        <f>RawData!CC211</f>
        <v>0</v>
      </c>
      <c r="H213" s="44">
        <f>RawData!CB211</f>
        <v>0</v>
      </c>
      <c r="I213" s="44">
        <f>RawData!CA211</f>
        <v>0</v>
      </c>
      <c r="J213" s="44">
        <f>RawData!BZ211</f>
        <v>0</v>
      </c>
      <c r="K213" s="40">
        <f>RawData!BY211</f>
        <v>0</v>
      </c>
      <c r="L213" s="40">
        <f>RawData!BX211</f>
        <v>0</v>
      </c>
      <c r="M213" s="40">
        <f>RawData!BW211</f>
        <v>0</v>
      </c>
      <c r="N213" s="40">
        <f>RawData!BV211</f>
        <v>0</v>
      </c>
      <c r="O213" s="36">
        <f>RawData!BU211</f>
        <v>0</v>
      </c>
      <c r="P213" s="36">
        <f>RawData!BT211</f>
        <v>0</v>
      </c>
      <c r="Q213" s="36">
        <f>RawData!BS211</f>
        <v>0</v>
      </c>
      <c r="R213" s="36">
        <f>RawData!BR211</f>
        <v>0</v>
      </c>
      <c r="S213" s="37">
        <f>RawData!BQ211</f>
        <v>0</v>
      </c>
      <c r="T213" s="37">
        <f>RawData!BP211</f>
        <v>0</v>
      </c>
      <c r="U213" s="38">
        <f>RawData!BO211</f>
        <v>0</v>
      </c>
      <c r="V213" s="38">
        <f>RawData!BN211</f>
        <v>0</v>
      </c>
      <c r="W213" s="39">
        <f>RawData!BM211</f>
        <v>0</v>
      </c>
      <c r="X213" s="39">
        <f>RawData!BL211</f>
        <v>0</v>
      </c>
      <c r="Y213" s="38">
        <f>RawData!BJ211</f>
        <v>0</v>
      </c>
      <c r="Z213" s="38">
        <f>RawData!BI211</f>
        <v>0</v>
      </c>
      <c r="AA213" s="40">
        <f>RawData!BH211</f>
        <v>0</v>
      </c>
      <c r="AB213" s="40">
        <f>RawData!BG211</f>
        <v>0</v>
      </c>
      <c r="AC213" s="40">
        <f>RawData!BF211</f>
        <v>0</v>
      </c>
      <c r="AD213" s="40">
        <f>RawData!BE211</f>
        <v>0</v>
      </c>
      <c r="AE213" s="40">
        <f>RawData!BD211</f>
        <v>0</v>
      </c>
      <c r="AF213" s="40">
        <f>RawData!BC211</f>
        <v>0</v>
      </c>
      <c r="AG213" s="41">
        <f>RawData!BB211</f>
        <v>0</v>
      </c>
      <c r="AH213" s="42">
        <f>RawData!DB211</f>
        <v>0</v>
      </c>
      <c r="AI213" s="41">
        <f>RawData!BA211</f>
        <v>0</v>
      </c>
      <c r="AJ213" s="43">
        <f>RawData!DA211</f>
        <v>0</v>
      </c>
      <c r="AK213" s="41">
        <f>RawData!AZ211</f>
        <v>0</v>
      </c>
      <c r="AL213" s="42">
        <f>RawData!DD211</f>
        <v>0</v>
      </c>
      <c r="AM213" s="44">
        <f>RawData!DC211</f>
        <v>0</v>
      </c>
      <c r="AN213" s="45">
        <f>RawData!BK211</f>
        <v>0</v>
      </c>
      <c r="AO213" s="44">
        <f>RawData!AY211</f>
        <v>0</v>
      </c>
      <c r="AP213" s="43">
        <f>RawData!DH211</f>
        <v>0</v>
      </c>
      <c r="AQ213" s="43">
        <f>RawData!DE211</f>
        <v>0</v>
      </c>
      <c r="AR213" s="42">
        <f>RawData!CZ211</f>
        <v>0</v>
      </c>
      <c r="AS213" s="44">
        <f>RawData!AX211</f>
        <v>0</v>
      </c>
      <c r="AT213" s="43">
        <f>RawData!CY211</f>
        <v>0</v>
      </c>
      <c r="AU213" s="44">
        <f>RawData!AW211</f>
        <v>0</v>
      </c>
      <c r="AV213" s="46">
        <f>RawData!O211</f>
        <v>0</v>
      </c>
      <c r="AW213" s="44">
        <f>RawData!AV211</f>
        <v>0</v>
      </c>
      <c r="AX213" s="44">
        <f>RawData!CW211</f>
        <v>0</v>
      </c>
      <c r="AY213" s="44">
        <f>RawData!AU211</f>
        <v>0</v>
      </c>
      <c r="AZ213" s="42">
        <f>RawData!CX211</f>
        <v>0</v>
      </c>
      <c r="BA213" s="44">
        <f>RawData!DF211</f>
        <v>0</v>
      </c>
      <c r="BB213" s="43">
        <f>RawData!DI211</f>
        <v>0</v>
      </c>
      <c r="BC213" s="44">
        <f>RawData!AT211</f>
        <v>0</v>
      </c>
      <c r="BD213" s="45">
        <f>RawData!AP211</f>
        <v>0</v>
      </c>
      <c r="BE213" s="44">
        <f>RawData!CS211</f>
        <v>0</v>
      </c>
      <c r="BF213" s="42">
        <f>RawData!CT211</f>
        <v>0</v>
      </c>
      <c r="BG213" s="41">
        <f>RawData!AS211</f>
        <v>0</v>
      </c>
      <c r="BH213" s="41">
        <f>RawData!CU211</f>
        <v>0</v>
      </c>
      <c r="BI213" s="41">
        <f>RawData!AR211</f>
        <v>0</v>
      </c>
      <c r="BJ213" s="42">
        <f>RawData!CV211</f>
        <v>0</v>
      </c>
      <c r="BK213" s="41">
        <f>RawData!AQ211</f>
        <v>0</v>
      </c>
      <c r="BL213" s="40">
        <f>RawData!AO211</f>
        <v>0</v>
      </c>
      <c r="BM213" s="40">
        <f>RawData!AN211</f>
        <v>0</v>
      </c>
      <c r="BN213" s="40">
        <f>RawData!AM211</f>
        <v>0</v>
      </c>
      <c r="BO213" s="40">
        <f>RawData!AL211</f>
        <v>0</v>
      </c>
      <c r="BP213" s="40">
        <f>RawData!AK211</f>
        <v>0</v>
      </c>
      <c r="BQ213" s="40">
        <f>RawData!AJ211</f>
        <v>0</v>
      </c>
      <c r="BR213" s="38">
        <f>RawData!AI211</f>
        <v>0</v>
      </c>
      <c r="BS213" s="38">
        <f>RawData!AH211</f>
        <v>0</v>
      </c>
      <c r="BT213" s="40">
        <f>RawData!AG211</f>
        <v>0</v>
      </c>
      <c r="BU213" s="39">
        <f>RawData!AF211</f>
        <v>0</v>
      </c>
      <c r="BV213" s="39">
        <f>RawData!AE211</f>
        <v>0</v>
      </c>
      <c r="BW213" s="38">
        <f>RawData!AD211</f>
        <v>0</v>
      </c>
      <c r="BX213" s="38">
        <f>RawData!AC211</f>
        <v>0</v>
      </c>
      <c r="BY213" s="37">
        <f>RawData!AB211</f>
        <v>0</v>
      </c>
      <c r="BZ213" s="37">
        <f>RawData!AA211</f>
        <v>0</v>
      </c>
      <c r="CA213" s="36">
        <f>RawData!Z211</f>
        <v>0</v>
      </c>
      <c r="CB213" s="36">
        <f>RawData!Y211</f>
        <v>0</v>
      </c>
      <c r="CC213" s="36">
        <f>RawData!X211</f>
        <v>0</v>
      </c>
      <c r="CD213" s="36">
        <f>RawData!W211</f>
        <v>0</v>
      </c>
      <c r="CE213" s="40">
        <f>RawData!V211</f>
        <v>0</v>
      </c>
      <c r="CF213" s="40">
        <f>RawData!U211</f>
        <v>0</v>
      </c>
      <c r="CG213" s="40">
        <f>RawData!T211</f>
        <v>0</v>
      </c>
      <c r="CH213" s="44">
        <f>RawData!S211</f>
        <v>0</v>
      </c>
      <c r="CI213" s="44">
        <f>RawData!R211</f>
        <v>0</v>
      </c>
      <c r="CJ213" s="44">
        <f>RawData!Q211</f>
        <v>0</v>
      </c>
      <c r="CK213" s="44">
        <f>RawData!P211</f>
        <v>0</v>
      </c>
      <c r="CL213" s="44">
        <f>RawData!CJ211</f>
        <v>0</v>
      </c>
      <c r="CM213" s="43">
        <f>RawData!CI211</f>
        <v>0</v>
      </c>
      <c r="CN213" s="44">
        <f>RawData!CL211</f>
        <v>0</v>
      </c>
      <c r="CO213" s="43">
        <f>RawData!CK211</f>
        <v>0</v>
      </c>
      <c r="CP213" s="44">
        <f>RawData!CM211</f>
        <v>0</v>
      </c>
      <c r="CQ213" s="47">
        <f>RawData!CO211</f>
        <v>0</v>
      </c>
      <c r="CR213" s="44">
        <f>RawData!CP211</f>
        <v>0</v>
      </c>
      <c r="CS213" s="44">
        <f>RawData!DG211</f>
        <v>0</v>
      </c>
      <c r="CT213" s="43">
        <f>RawData!DJ211</f>
        <v>0</v>
      </c>
      <c r="CU213" s="43">
        <f>RawData!CQ211</f>
        <v>0</v>
      </c>
      <c r="CV213" s="47">
        <f>RawData!CR211</f>
        <v>0</v>
      </c>
      <c r="CW213" s="65">
        <f>RawData!DK211</f>
        <v>0</v>
      </c>
      <c r="CX213" s="65">
        <f>RawData!DL211</f>
        <v>0</v>
      </c>
      <c r="CY213" s="65">
        <f>RawData!DM211</f>
        <v>0</v>
      </c>
      <c r="CZ213" s="65">
        <f>RawData!DN211</f>
        <v>0</v>
      </c>
      <c r="DA213" s="65">
        <f>RawData!DO211</f>
        <v>0</v>
      </c>
      <c r="DB213" s="65">
        <f>RawData!DP211</f>
        <v>0</v>
      </c>
      <c r="DC213" s="65">
        <f>RawData!DQ211</f>
        <v>0</v>
      </c>
      <c r="DD213" s="65">
        <f>RawData!DR211</f>
        <v>0</v>
      </c>
      <c r="DE213" s="65">
        <f>RawData!DS211</f>
        <v>0</v>
      </c>
      <c r="DF213" s="65">
        <f>RawData!DT211</f>
        <v>0</v>
      </c>
      <c r="DG213" s="66">
        <f>RawData!DU211</f>
        <v>0</v>
      </c>
      <c r="DI213" s="21">
        <f t="shared" si="3"/>
        <v>0</v>
      </c>
    </row>
    <row r="214" spans="1:113" x14ac:dyDescent="0.2">
      <c r="A214" s="59">
        <f>RawData!CN212</f>
        <v>0</v>
      </c>
      <c r="B214" s="44">
        <f>RawData!CH212</f>
        <v>0</v>
      </c>
      <c r="C214" s="44">
        <f>RawData!CG212</f>
        <v>0</v>
      </c>
      <c r="D214" s="43">
        <f>RawData!CF212</f>
        <v>0</v>
      </c>
      <c r="E214" s="44">
        <f>RawData!CE212</f>
        <v>0</v>
      </c>
      <c r="F214" s="43">
        <f>RawData!CD212</f>
        <v>0</v>
      </c>
      <c r="G214" s="44">
        <f>RawData!CC212</f>
        <v>0</v>
      </c>
      <c r="H214" s="44">
        <f>RawData!CB212</f>
        <v>0</v>
      </c>
      <c r="I214" s="44">
        <f>RawData!CA212</f>
        <v>0</v>
      </c>
      <c r="J214" s="44">
        <f>RawData!BZ212</f>
        <v>0</v>
      </c>
      <c r="K214" s="40">
        <f>RawData!BY212</f>
        <v>0</v>
      </c>
      <c r="L214" s="40">
        <f>RawData!BX212</f>
        <v>0</v>
      </c>
      <c r="M214" s="40">
        <f>RawData!BW212</f>
        <v>0</v>
      </c>
      <c r="N214" s="40">
        <f>RawData!BV212</f>
        <v>0</v>
      </c>
      <c r="O214" s="36">
        <f>RawData!BU212</f>
        <v>0</v>
      </c>
      <c r="P214" s="36">
        <f>RawData!BT212</f>
        <v>0</v>
      </c>
      <c r="Q214" s="36">
        <f>RawData!BS212</f>
        <v>0</v>
      </c>
      <c r="R214" s="36">
        <f>RawData!BR212</f>
        <v>0</v>
      </c>
      <c r="S214" s="37">
        <f>RawData!BQ212</f>
        <v>0</v>
      </c>
      <c r="T214" s="37">
        <f>RawData!BP212</f>
        <v>0</v>
      </c>
      <c r="U214" s="38">
        <f>RawData!BO212</f>
        <v>0</v>
      </c>
      <c r="V214" s="38">
        <f>RawData!BN212</f>
        <v>0</v>
      </c>
      <c r="W214" s="39">
        <f>RawData!BM212</f>
        <v>0</v>
      </c>
      <c r="X214" s="39">
        <f>RawData!BL212</f>
        <v>0</v>
      </c>
      <c r="Y214" s="38">
        <f>RawData!BJ212</f>
        <v>0</v>
      </c>
      <c r="Z214" s="38">
        <f>RawData!BI212</f>
        <v>0</v>
      </c>
      <c r="AA214" s="40">
        <f>RawData!BH212</f>
        <v>0</v>
      </c>
      <c r="AB214" s="40">
        <f>RawData!BG212</f>
        <v>0</v>
      </c>
      <c r="AC214" s="40">
        <f>RawData!BF212</f>
        <v>0</v>
      </c>
      <c r="AD214" s="40">
        <f>RawData!BE212</f>
        <v>0</v>
      </c>
      <c r="AE214" s="40">
        <f>RawData!BD212</f>
        <v>0</v>
      </c>
      <c r="AF214" s="40">
        <f>RawData!BC212</f>
        <v>0</v>
      </c>
      <c r="AG214" s="41">
        <f>RawData!BB212</f>
        <v>0</v>
      </c>
      <c r="AH214" s="42">
        <f>RawData!DB212</f>
        <v>0</v>
      </c>
      <c r="AI214" s="41">
        <f>RawData!BA212</f>
        <v>0</v>
      </c>
      <c r="AJ214" s="43">
        <f>RawData!DA212</f>
        <v>0</v>
      </c>
      <c r="AK214" s="41">
        <f>RawData!AZ212</f>
        <v>0</v>
      </c>
      <c r="AL214" s="42">
        <f>RawData!DD212</f>
        <v>0</v>
      </c>
      <c r="AM214" s="44">
        <f>RawData!DC212</f>
        <v>0</v>
      </c>
      <c r="AN214" s="45">
        <f>RawData!BK212</f>
        <v>0</v>
      </c>
      <c r="AO214" s="44">
        <f>RawData!AY212</f>
        <v>0</v>
      </c>
      <c r="AP214" s="43">
        <f>RawData!DH212</f>
        <v>0</v>
      </c>
      <c r="AQ214" s="43">
        <f>RawData!DE212</f>
        <v>0</v>
      </c>
      <c r="AR214" s="42">
        <f>RawData!CZ212</f>
        <v>0</v>
      </c>
      <c r="AS214" s="44">
        <f>RawData!AX212</f>
        <v>0</v>
      </c>
      <c r="AT214" s="43">
        <f>RawData!CY212</f>
        <v>0</v>
      </c>
      <c r="AU214" s="44">
        <f>RawData!AW212</f>
        <v>0</v>
      </c>
      <c r="AV214" s="46">
        <f>RawData!O212</f>
        <v>0</v>
      </c>
      <c r="AW214" s="44">
        <f>RawData!AV212</f>
        <v>0</v>
      </c>
      <c r="AX214" s="44">
        <f>RawData!CW212</f>
        <v>0</v>
      </c>
      <c r="AY214" s="44">
        <f>RawData!AU212</f>
        <v>0</v>
      </c>
      <c r="AZ214" s="42">
        <f>RawData!CX212</f>
        <v>0</v>
      </c>
      <c r="BA214" s="44">
        <f>RawData!DF212</f>
        <v>0</v>
      </c>
      <c r="BB214" s="43">
        <f>RawData!DI212</f>
        <v>0</v>
      </c>
      <c r="BC214" s="44">
        <f>RawData!AT212</f>
        <v>0</v>
      </c>
      <c r="BD214" s="45">
        <f>RawData!AP212</f>
        <v>0</v>
      </c>
      <c r="BE214" s="44">
        <f>RawData!CS212</f>
        <v>0</v>
      </c>
      <c r="BF214" s="42">
        <f>RawData!CT212</f>
        <v>0</v>
      </c>
      <c r="BG214" s="41">
        <f>RawData!AS212</f>
        <v>0</v>
      </c>
      <c r="BH214" s="41">
        <f>RawData!CU212</f>
        <v>0</v>
      </c>
      <c r="BI214" s="41">
        <f>RawData!AR212</f>
        <v>0</v>
      </c>
      <c r="BJ214" s="42">
        <f>RawData!CV212</f>
        <v>0</v>
      </c>
      <c r="BK214" s="41">
        <f>RawData!AQ212</f>
        <v>0</v>
      </c>
      <c r="BL214" s="40">
        <f>RawData!AO212</f>
        <v>0</v>
      </c>
      <c r="BM214" s="40">
        <f>RawData!AN212</f>
        <v>0</v>
      </c>
      <c r="BN214" s="40">
        <f>RawData!AM212</f>
        <v>0</v>
      </c>
      <c r="BO214" s="40">
        <f>RawData!AL212</f>
        <v>0</v>
      </c>
      <c r="BP214" s="40">
        <f>RawData!AK212</f>
        <v>0</v>
      </c>
      <c r="BQ214" s="40">
        <f>RawData!AJ212</f>
        <v>0</v>
      </c>
      <c r="BR214" s="38">
        <f>RawData!AI212</f>
        <v>0</v>
      </c>
      <c r="BS214" s="38">
        <f>RawData!AH212</f>
        <v>0</v>
      </c>
      <c r="BT214" s="40">
        <f>RawData!AG212</f>
        <v>0</v>
      </c>
      <c r="BU214" s="39">
        <f>RawData!AF212</f>
        <v>0</v>
      </c>
      <c r="BV214" s="39">
        <f>RawData!AE212</f>
        <v>0</v>
      </c>
      <c r="BW214" s="38">
        <f>RawData!AD212</f>
        <v>0</v>
      </c>
      <c r="BX214" s="38">
        <f>RawData!AC212</f>
        <v>0</v>
      </c>
      <c r="BY214" s="37">
        <f>RawData!AB212</f>
        <v>0</v>
      </c>
      <c r="BZ214" s="37">
        <f>RawData!AA212</f>
        <v>0</v>
      </c>
      <c r="CA214" s="36">
        <f>RawData!Z212</f>
        <v>0</v>
      </c>
      <c r="CB214" s="36">
        <f>RawData!Y212</f>
        <v>0</v>
      </c>
      <c r="CC214" s="36">
        <f>RawData!X212</f>
        <v>0</v>
      </c>
      <c r="CD214" s="36">
        <f>RawData!W212</f>
        <v>0</v>
      </c>
      <c r="CE214" s="40">
        <f>RawData!V212</f>
        <v>0</v>
      </c>
      <c r="CF214" s="40">
        <f>RawData!U212</f>
        <v>0</v>
      </c>
      <c r="CG214" s="40">
        <f>RawData!T212</f>
        <v>0</v>
      </c>
      <c r="CH214" s="44">
        <f>RawData!S212</f>
        <v>0</v>
      </c>
      <c r="CI214" s="44">
        <f>RawData!R212</f>
        <v>0</v>
      </c>
      <c r="CJ214" s="44">
        <f>RawData!Q212</f>
        <v>0</v>
      </c>
      <c r="CK214" s="44">
        <f>RawData!P212</f>
        <v>0</v>
      </c>
      <c r="CL214" s="44">
        <f>RawData!CJ212</f>
        <v>0</v>
      </c>
      <c r="CM214" s="43">
        <f>RawData!CI212</f>
        <v>0</v>
      </c>
      <c r="CN214" s="44">
        <f>RawData!CL212</f>
        <v>0</v>
      </c>
      <c r="CO214" s="43">
        <f>RawData!CK212</f>
        <v>0</v>
      </c>
      <c r="CP214" s="44">
        <f>RawData!CM212</f>
        <v>0</v>
      </c>
      <c r="CQ214" s="47">
        <f>RawData!CO212</f>
        <v>0</v>
      </c>
      <c r="CR214" s="44">
        <f>RawData!CP212</f>
        <v>0</v>
      </c>
      <c r="CS214" s="44">
        <f>RawData!DG212</f>
        <v>0</v>
      </c>
      <c r="CT214" s="43">
        <f>RawData!DJ212</f>
        <v>0</v>
      </c>
      <c r="CU214" s="43">
        <f>RawData!CQ212</f>
        <v>0</v>
      </c>
      <c r="CV214" s="47">
        <f>RawData!CR212</f>
        <v>0</v>
      </c>
      <c r="CW214" s="65">
        <f>RawData!DK212</f>
        <v>0</v>
      </c>
      <c r="CX214" s="65">
        <f>RawData!DL212</f>
        <v>0</v>
      </c>
      <c r="CY214" s="65">
        <f>RawData!DM212</f>
        <v>0</v>
      </c>
      <c r="CZ214" s="65">
        <f>RawData!DN212</f>
        <v>0</v>
      </c>
      <c r="DA214" s="65">
        <f>RawData!DO212</f>
        <v>0</v>
      </c>
      <c r="DB214" s="65">
        <f>RawData!DP212</f>
        <v>0</v>
      </c>
      <c r="DC214" s="65">
        <f>RawData!DQ212</f>
        <v>0</v>
      </c>
      <c r="DD214" s="65">
        <f>RawData!DR212</f>
        <v>0</v>
      </c>
      <c r="DE214" s="65">
        <f>RawData!DS212</f>
        <v>0</v>
      </c>
      <c r="DF214" s="65">
        <f>RawData!DT212</f>
        <v>0</v>
      </c>
      <c r="DG214" s="66">
        <f>RawData!DU212</f>
        <v>0</v>
      </c>
      <c r="DI214" s="21">
        <f t="shared" si="3"/>
        <v>0</v>
      </c>
    </row>
    <row r="215" spans="1:113" x14ac:dyDescent="0.2">
      <c r="A215" s="59">
        <f>RawData!CN213</f>
        <v>0</v>
      </c>
      <c r="B215" s="44">
        <f>RawData!CH213</f>
        <v>0</v>
      </c>
      <c r="C215" s="44">
        <f>RawData!CG213</f>
        <v>0</v>
      </c>
      <c r="D215" s="43">
        <f>RawData!CF213</f>
        <v>0</v>
      </c>
      <c r="E215" s="44">
        <f>RawData!CE213</f>
        <v>0</v>
      </c>
      <c r="F215" s="43">
        <f>RawData!CD213</f>
        <v>0</v>
      </c>
      <c r="G215" s="44">
        <f>RawData!CC213</f>
        <v>0</v>
      </c>
      <c r="H215" s="44">
        <f>RawData!CB213</f>
        <v>0</v>
      </c>
      <c r="I215" s="44">
        <f>RawData!CA213</f>
        <v>0</v>
      </c>
      <c r="J215" s="44">
        <f>RawData!BZ213</f>
        <v>0</v>
      </c>
      <c r="K215" s="40">
        <f>RawData!BY213</f>
        <v>0</v>
      </c>
      <c r="L215" s="40">
        <f>RawData!BX213</f>
        <v>0</v>
      </c>
      <c r="M215" s="40">
        <f>RawData!BW213</f>
        <v>0</v>
      </c>
      <c r="N215" s="40">
        <f>RawData!BV213</f>
        <v>0</v>
      </c>
      <c r="O215" s="36">
        <f>RawData!BU213</f>
        <v>0</v>
      </c>
      <c r="P215" s="36">
        <f>RawData!BT213</f>
        <v>0</v>
      </c>
      <c r="Q215" s="36">
        <f>RawData!BS213</f>
        <v>0</v>
      </c>
      <c r="R215" s="36">
        <f>RawData!BR213</f>
        <v>0</v>
      </c>
      <c r="S215" s="37">
        <f>RawData!BQ213</f>
        <v>0</v>
      </c>
      <c r="T215" s="37">
        <f>RawData!BP213</f>
        <v>0</v>
      </c>
      <c r="U215" s="38">
        <f>RawData!BO213</f>
        <v>0</v>
      </c>
      <c r="V215" s="38">
        <f>RawData!BN213</f>
        <v>0</v>
      </c>
      <c r="W215" s="39">
        <f>RawData!BM213</f>
        <v>0</v>
      </c>
      <c r="X215" s="39">
        <f>RawData!BL213</f>
        <v>0</v>
      </c>
      <c r="Y215" s="38">
        <f>RawData!BJ213</f>
        <v>0</v>
      </c>
      <c r="Z215" s="38">
        <f>RawData!BI213</f>
        <v>0</v>
      </c>
      <c r="AA215" s="40">
        <f>RawData!BH213</f>
        <v>0</v>
      </c>
      <c r="AB215" s="40">
        <f>RawData!BG213</f>
        <v>0</v>
      </c>
      <c r="AC215" s="40">
        <f>RawData!BF213</f>
        <v>0</v>
      </c>
      <c r="AD215" s="40">
        <f>RawData!BE213</f>
        <v>0</v>
      </c>
      <c r="AE215" s="40">
        <f>RawData!BD213</f>
        <v>0</v>
      </c>
      <c r="AF215" s="40">
        <f>RawData!BC213</f>
        <v>0</v>
      </c>
      <c r="AG215" s="41">
        <f>RawData!BB213</f>
        <v>0</v>
      </c>
      <c r="AH215" s="42">
        <f>RawData!DB213</f>
        <v>0</v>
      </c>
      <c r="AI215" s="41">
        <f>RawData!BA213</f>
        <v>0</v>
      </c>
      <c r="AJ215" s="43">
        <f>RawData!DA213</f>
        <v>0</v>
      </c>
      <c r="AK215" s="41">
        <f>RawData!AZ213</f>
        <v>0</v>
      </c>
      <c r="AL215" s="42">
        <f>RawData!DD213</f>
        <v>0</v>
      </c>
      <c r="AM215" s="44">
        <f>RawData!DC213</f>
        <v>0</v>
      </c>
      <c r="AN215" s="45">
        <f>RawData!BK213</f>
        <v>0</v>
      </c>
      <c r="AO215" s="44">
        <f>RawData!AY213</f>
        <v>0</v>
      </c>
      <c r="AP215" s="43">
        <f>RawData!DH213</f>
        <v>0</v>
      </c>
      <c r="AQ215" s="43">
        <f>RawData!DE213</f>
        <v>0</v>
      </c>
      <c r="AR215" s="42">
        <f>RawData!CZ213</f>
        <v>0</v>
      </c>
      <c r="AS215" s="44">
        <f>RawData!AX213</f>
        <v>0</v>
      </c>
      <c r="AT215" s="43">
        <f>RawData!CY213</f>
        <v>0</v>
      </c>
      <c r="AU215" s="44">
        <f>RawData!AW213</f>
        <v>0</v>
      </c>
      <c r="AV215" s="46">
        <f>RawData!O213</f>
        <v>0</v>
      </c>
      <c r="AW215" s="44">
        <f>RawData!AV213</f>
        <v>0</v>
      </c>
      <c r="AX215" s="44">
        <f>RawData!CW213</f>
        <v>0</v>
      </c>
      <c r="AY215" s="44">
        <f>RawData!AU213</f>
        <v>0</v>
      </c>
      <c r="AZ215" s="42">
        <f>RawData!CX213</f>
        <v>0</v>
      </c>
      <c r="BA215" s="44">
        <f>RawData!DF213</f>
        <v>0</v>
      </c>
      <c r="BB215" s="43">
        <f>RawData!DI213</f>
        <v>0</v>
      </c>
      <c r="BC215" s="44">
        <f>RawData!AT213</f>
        <v>0</v>
      </c>
      <c r="BD215" s="45">
        <f>RawData!AP213</f>
        <v>0</v>
      </c>
      <c r="BE215" s="44">
        <f>RawData!CS213</f>
        <v>0</v>
      </c>
      <c r="BF215" s="42">
        <f>RawData!CT213</f>
        <v>0</v>
      </c>
      <c r="BG215" s="41">
        <f>RawData!AS213</f>
        <v>0</v>
      </c>
      <c r="BH215" s="41">
        <f>RawData!CU213</f>
        <v>0</v>
      </c>
      <c r="BI215" s="41">
        <f>RawData!AR213</f>
        <v>0</v>
      </c>
      <c r="BJ215" s="42">
        <f>RawData!CV213</f>
        <v>0</v>
      </c>
      <c r="BK215" s="41">
        <f>RawData!AQ213</f>
        <v>0</v>
      </c>
      <c r="BL215" s="40">
        <f>RawData!AO213</f>
        <v>0</v>
      </c>
      <c r="BM215" s="40">
        <f>RawData!AN213</f>
        <v>0</v>
      </c>
      <c r="BN215" s="40">
        <f>RawData!AM213</f>
        <v>0</v>
      </c>
      <c r="BO215" s="40">
        <f>RawData!AL213</f>
        <v>0</v>
      </c>
      <c r="BP215" s="40">
        <f>RawData!AK213</f>
        <v>0</v>
      </c>
      <c r="BQ215" s="40">
        <f>RawData!AJ213</f>
        <v>0</v>
      </c>
      <c r="BR215" s="38">
        <f>RawData!AI213</f>
        <v>0</v>
      </c>
      <c r="BS215" s="38">
        <f>RawData!AH213</f>
        <v>0</v>
      </c>
      <c r="BT215" s="40">
        <f>RawData!AG213</f>
        <v>0</v>
      </c>
      <c r="BU215" s="39">
        <f>RawData!AF213</f>
        <v>0</v>
      </c>
      <c r="BV215" s="39">
        <f>RawData!AE213</f>
        <v>0</v>
      </c>
      <c r="BW215" s="38">
        <f>RawData!AD213</f>
        <v>0</v>
      </c>
      <c r="BX215" s="38">
        <f>RawData!AC213</f>
        <v>0</v>
      </c>
      <c r="BY215" s="37">
        <f>RawData!AB213</f>
        <v>0</v>
      </c>
      <c r="BZ215" s="37">
        <f>RawData!AA213</f>
        <v>0</v>
      </c>
      <c r="CA215" s="36">
        <f>RawData!Z213</f>
        <v>0</v>
      </c>
      <c r="CB215" s="36">
        <f>RawData!Y213</f>
        <v>0</v>
      </c>
      <c r="CC215" s="36">
        <f>RawData!X213</f>
        <v>0</v>
      </c>
      <c r="CD215" s="36">
        <f>RawData!W213</f>
        <v>0</v>
      </c>
      <c r="CE215" s="40">
        <f>RawData!V213</f>
        <v>0</v>
      </c>
      <c r="CF215" s="40">
        <f>RawData!U213</f>
        <v>0</v>
      </c>
      <c r="CG215" s="40">
        <f>RawData!T213</f>
        <v>0</v>
      </c>
      <c r="CH215" s="44">
        <f>RawData!S213</f>
        <v>0</v>
      </c>
      <c r="CI215" s="44">
        <f>RawData!R213</f>
        <v>0</v>
      </c>
      <c r="CJ215" s="44">
        <f>RawData!Q213</f>
        <v>0</v>
      </c>
      <c r="CK215" s="44">
        <f>RawData!P213</f>
        <v>0</v>
      </c>
      <c r="CL215" s="44">
        <f>RawData!CJ213</f>
        <v>0</v>
      </c>
      <c r="CM215" s="43">
        <f>RawData!CI213</f>
        <v>0</v>
      </c>
      <c r="CN215" s="44">
        <f>RawData!CL213</f>
        <v>0</v>
      </c>
      <c r="CO215" s="43">
        <f>RawData!CK213</f>
        <v>0</v>
      </c>
      <c r="CP215" s="44">
        <f>RawData!CM213</f>
        <v>0</v>
      </c>
      <c r="CQ215" s="47">
        <f>RawData!CO213</f>
        <v>0</v>
      </c>
      <c r="CR215" s="44">
        <f>RawData!CP213</f>
        <v>0</v>
      </c>
      <c r="CS215" s="44">
        <f>RawData!DG213</f>
        <v>0</v>
      </c>
      <c r="CT215" s="43">
        <f>RawData!DJ213</f>
        <v>0</v>
      </c>
      <c r="CU215" s="43">
        <f>RawData!CQ213</f>
        <v>0</v>
      </c>
      <c r="CV215" s="47">
        <f>RawData!CR213</f>
        <v>0</v>
      </c>
      <c r="CW215" s="65">
        <f>RawData!DK213</f>
        <v>0</v>
      </c>
      <c r="CX215" s="65">
        <f>RawData!DL213</f>
        <v>0</v>
      </c>
      <c r="CY215" s="65">
        <f>RawData!DM213</f>
        <v>0</v>
      </c>
      <c r="CZ215" s="65">
        <f>RawData!DN213</f>
        <v>0</v>
      </c>
      <c r="DA215" s="65">
        <f>RawData!DO213</f>
        <v>0</v>
      </c>
      <c r="DB215" s="65">
        <f>RawData!DP213</f>
        <v>0</v>
      </c>
      <c r="DC215" s="65">
        <f>RawData!DQ213</f>
        <v>0</v>
      </c>
      <c r="DD215" s="65">
        <f>RawData!DR213</f>
        <v>0</v>
      </c>
      <c r="DE215" s="65">
        <f>RawData!DS213</f>
        <v>0</v>
      </c>
      <c r="DF215" s="65">
        <f>RawData!DT213</f>
        <v>0</v>
      </c>
      <c r="DG215" s="66">
        <f>RawData!DU213</f>
        <v>0</v>
      </c>
      <c r="DI215" s="21">
        <f t="shared" si="3"/>
        <v>0</v>
      </c>
    </row>
    <row r="216" spans="1:113" x14ac:dyDescent="0.2">
      <c r="A216" s="59">
        <f>RawData!CN214</f>
        <v>0</v>
      </c>
      <c r="B216" s="44">
        <f>RawData!CH214</f>
        <v>0</v>
      </c>
      <c r="C216" s="44">
        <f>RawData!CG214</f>
        <v>0</v>
      </c>
      <c r="D216" s="43">
        <f>RawData!CF214</f>
        <v>0</v>
      </c>
      <c r="E216" s="44">
        <f>RawData!CE214</f>
        <v>0</v>
      </c>
      <c r="F216" s="43">
        <f>RawData!CD214</f>
        <v>0</v>
      </c>
      <c r="G216" s="44">
        <f>RawData!CC214</f>
        <v>0</v>
      </c>
      <c r="H216" s="44">
        <f>RawData!CB214</f>
        <v>0</v>
      </c>
      <c r="I216" s="44">
        <f>RawData!CA214</f>
        <v>0</v>
      </c>
      <c r="J216" s="44">
        <f>RawData!BZ214</f>
        <v>0</v>
      </c>
      <c r="K216" s="40">
        <f>RawData!BY214</f>
        <v>0</v>
      </c>
      <c r="L216" s="40">
        <f>RawData!BX214</f>
        <v>0</v>
      </c>
      <c r="M216" s="40">
        <f>RawData!BW214</f>
        <v>0</v>
      </c>
      <c r="N216" s="40">
        <f>RawData!BV214</f>
        <v>0</v>
      </c>
      <c r="O216" s="36">
        <f>RawData!BU214</f>
        <v>0</v>
      </c>
      <c r="P216" s="36">
        <f>RawData!BT214</f>
        <v>0</v>
      </c>
      <c r="Q216" s="36">
        <f>RawData!BS214</f>
        <v>0</v>
      </c>
      <c r="R216" s="36">
        <f>RawData!BR214</f>
        <v>0</v>
      </c>
      <c r="S216" s="37">
        <f>RawData!BQ214</f>
        <v>0</v>
      </c>
      <c r="T216" s="37">
        <f>RawData!BP214</f>
        <v>0</v>
      </c>
      <c r="U216" s="38">
        <f>RawData!BO214</f>
        <v>0</v>
      </c>
      <c r="V216" s="38">
        <f>RawData!BN214</f>
        <v>0</v>
      </c>
      <c r="W216" s="39">
        <f>RawData!BM214</f>
        <v>0</v>
      </c>
      <c r="X216" s="39">
        <f>RawData!BL214</f>
        <v>0</v>
      </c>
      <c r="Y216" s="38">
        <f>RawData!BJ214</f>
        <v>0</v>
      </c>
      <c r="Z216" s="38">
        <f>RawData!BI214</f>
        <v>0</v>
      </c>
      <c r="AA216" s="40">
        <f>RawData!BH214</f>
        <v>0</v>
      </c>
      <c r="AB216" s="40">
        <f>RawData!BG214</f>
        <v>0</v>
      </c>
      <c r="AC216" s="40">
        <f>RawData!BF214</f>
        <v>0</v>
      </c>
      <c r="AD216" s="40">
        <f>RawData!BE214</f>
        <v>0</v>
      </c>
      <c r="AE216" s="40">
        <f>RawData!BD214</f>
        <v>0</v>
      </c>
      <c r="AF216" s="40">
        <f>RawData!BC214</f>
        <v>0</v>
      </c>
      <c r="AG216" s="41">
        <f>RawData!BB214</f>
        <v>0</v>
      </c>
      <c r="AH216" s="42">
        <f>RawData!DB214</f>
        <v>0</v>
      </c>
      <c r="AI216" s="41">
        <f>RawData!BA214</f>
        <v>0</v>
      </c>
      <c r="AJ216" s="43">
        <f>RawData!DA214</f>
        <v>0</v>
      </c>
      <c r="AK216" s="41">
        <f>RawData!AZ214</f>
        <v>0</v>
      </c>
      <c r="AL216" s="42">
        <f>RawData!DD214</f>
        <v>0</v>
      </c>
      <c r="AM216" s="44">
        <f>RawData!DC214</f>
        <v>0</v>
      </c>
      <c r="AN216" s="45">
        <f>RawData!BK214</f>
        <v>0</v>
      </c>
      <c r="AO216" s="44">
        <f>RawData!AY214</f>
        <v>0</v>
      </c>
      <c r="AP216" s="43">
        <f>RawData!DH214</f>
        <v>0</v>
      </c>
      <c r="AQ216" s="43">
        <f>RawData!DE214</f>
        <v>0</v>
      </c>
      <c r="AR216" s="42">
        <f>RawData!CZ214</f>
        <v>0</v>
      </c>
      <c r="AS216" s="44">
        <f>RawData!AX214</f>
        <v>0</v>
      </c>
      <c r="AT216" s="43">
        <f>RawData!CY214</f>
        <v>0</v>
      </c>
      <c r="AU216" s="44">
        <f>RawData!AW214</f>
        <v>0</v>
      </c>
      <c r="AV216" s="46">
        <f>RawData!O214</f>
        <v>0</v>
      </c>
      <c r="AW216" s="44">
        <f>RawData!AV214</f>
        <v>0</v>
      </c>
      <c r="AX216" s="44">
        <f>RawData!CW214</f>
        <v>0</v>
      </c>
      <c r="AY216" s="44">
        <f>RawData!AU214</f>
        <v>0</v>
      </c>
      <c r="AZ216" s="42">
        <f>RawData!CX214</f>
        <v>0</v>
      </c>
      <c r="BA216" s="44">
        <f>RawData!DF214</f>
        <v>0</v>
      </c>
      <c r="BB216" s="43">
        <f>RawData!DI214</f>
        <v>0</v>
      </c>
      <c r="BC216" s="44">
        <f>RawData!AT214</f>
        <v>0</v>
      </c>
      <c r="BD216" s="45">
        <f>RawData!AP214</f>
        <v>0</v>
      </c>
      <c r="BE216" s="44">
        <f>RawData!CS214</f>
        <v>0</v>
      </c>
      <c r="BF216" s="42">
        <f>RawData!CT214</f>
        <v>0</v>
      </c>
      <c r="BG216" s="41">
        <f>RawData!AS214</f>
        <v>0</v>
      </c>
      <c r="BH216" s="41">
        <f>RawData!CU214</f>
        <v>0</v>
      </c>
      <c r="BI216" s="41">
        <f>RawData!AR214</f>
        <v>0</v>
      </c>
      <c r="BJ216" s="42">
        <f>RawData!CV214</f>
        <v>0</v>
      </c>
      <c r="BK216" s="41">
        <f>RawData!AQ214</f>
        <v>0</v>
      </c>
      <c r="BL216" s="40">
        <f>RawData!AO214</f>
        <v>0</v>
      </c>
      <c r="BM216" s="40">
        <f>RawData!AN214</f>
        <v>0</v>
      </c>
      <c r="BN216" s="40">
        <f>RawData!AM214</f>
        <v>0</v>
      </c>
      <c r="BO216" s="40">
        <f>RawData!AL214</f>
        <v>0</v>
      </c>
      <c r="BP216" s="40">
        <f>RawData!AK214</f>
        <v>0</v>
      </c>
      <c r="BQ216" s="40">
        <f>RawData!AJ214</f>
        <v>0</v>
      </c>
      <c r="BR216" s="38">
        <f>RawData!AI214</f>
        <v>0</v>
      </c>
      <c r="BS216" s="38">
        <f>RawData!AH214</f>
        <v>0</v>
      </c>
      <c r="BT216" s="40">
        <f>RawData!AG214</f>
        <v>0</v>
      </c>
      <c r="BU216" s="39">
        <f>RawData!AF214</f>
        <v>0</v>
      </c>
      <c r="BV216" s="39">
        <f>RawData!AE214</f>
        <v>0</v>
      </c>
      <c r="BW216" s="38">
        <f>RawData!AD214</f>
        <v>0</v>
      </c>
      <c r="BX216" s="38">
        <f>RawData!AC214</f>
        <v>0</v>
      </c>
      <c r="BY216" s="37">
        <f>RawData!AB214</f>
        <v>0</v>
      </c>
      <c r="BZ216" s="37">
        <f>RawData!AA214</f>
        <v>0</v>
      </c>
      <c r="CA216" s="36">
        <f>RawData!Z214</f>
        <v>0</v>
      </c>
      <c r="CB216" s="36">
        <f>RawData!Y214</f>
        <v>0</v>
      </c>
      <c r="CC216" s="36">
        <f>RawData!X214</f>
        <v>0</v>
      </c>
      <c r="CD216" s="36">
        <f>RawData!W214</f>
        <v>0</v>
      </c>
      <c r="CE216" s="40">
        <f>RawData!V214</f>
        <v>0</v>
      </c>
      <c r="CF216" s="40">
        <f>RawData!U214</f>
        <v>0</v>
      </c>
      <c r="CG216" s="40">
        <f>RawData!T214</f>
        <v>0</v>
      </c>
      <c r="CH216" s="44">
        <f>RawData!S214</f>
        <v>0</v>
      </c>
      <c r="CI216" s="44">
        <f>RawData!R214</f>
        <v>0</v>
      </c>
      <c r="CJ216" s="44">
        <f>RawData!Q214</f>
        <v>0</v>
      </c>
      <c r="CK216" s="44">
        <f>RawData!P214</f>
        <v>0</v>
      </c>
      <c r="CL216" s="44">
        <f>RawData!CJ214</f>
        <v>0</v>
      </c>
      <c r="CM216" s="43">
        <f>RawData!CI214</f>
        <v>0</v>
      </c>
      <c r="CN216" s="44">
        <f>RawData!CL214</f>
        <v>0</v>
      </c>
      <c r="CO216" s="43">
        <f>RawData!CK214</f>
        <v>0</v>
      </c>
      <c r="CP216" s="44">
        <f>RawData!CM214</f>
        <v>0</v>
      </c>
      <c r="CQ216" s="47">
        <f>RawData!CO214</f>
        <v>0</v>
      </c>
      <c r="CR216" s="44">
        <f>RawData!CP214</f>
        <v>0</v>
      </c>
      <c r="CS216" s="44">
        <f>RawData!DG214</f>
        <v>0</v>
      </c>
      <c r="CT216" s="43">
        <f>RawData!DJ214</f>
        <v>0</v>
      </c>
      <c r="CU216" s="43">
        <f>RawData!CQ214</f>
        <v>0</v>
      </c>
      <c r="CV216" s="47">
        <f>RawData!CR214</f>
        <v>0</v>
      </c>
      <c r="CW216" s="65">
        <f>RawData!DK214</f>
        <v>0</v>
      </c>
      <c r="CX216" s="65">
        <f>RawData!DL214</f>
        <v>0</v>
      </c>
      <c r="CY216" s="65">
        <f>RawData!DM214</f>
        <v>0</v>
      </c>
      <c r="CZ216" s="65">
        <f>RawData!DN214</f>
        <v>0</v>
      </c>
      <c r="DA216" s="65">
        <f>RawData!DO214</f>
        <v>0</v>
      </c>
      <c r="DB216" s="65">
        <f>RawData!DP214</f>
        <v>0</v>
      </c>
      <c r="DC216" s="65">
        <f>RawData!DQ214</f>
        <v>0</v>
      </c>
      <c r="DD216" s="65">
        <f>RawData!DR214</f>
        <v>0</v>
      </c>
      <c r="DE216" s="65">
        <f>RawData!DS214</f>
        <v>0</v>
      </c>
      <c r="DF216" s="65">
        <f>RawData!DT214</f>
        <v>0</v>
      </c>
      <c r="DG216" s="66">
        <f>RawData!DU214</f>
        <v>0</v>
      </c>
      <c r="DI216" s="21">
        <f t="shared" si="3"/>
        <v>0</v>
      </c>
    </row>
    <row r="217" spans="1:113" x14ac:dyDescent="0.2">
      <c r="A217" s="59">
        <f>RawData!CN215</f>
        <v>0</v>
      </c>
      <c r="B217" s="44">
        <f>RawData!CH215</f>
        <v>0</v>
      </c>
      <c r="C217" s="44">
        <f>RawData!CG215</f>
        <v>0</v>
      </c>
      <c r="D217" s="43">
        <f>RawData!CF215</f>
        <v>0</v>
      </c>
      <c r="E217" s="44">
        <f>RawData!CE215</f>
        <v>0</v>
      </c>
      <c r="F217" s="43">
        <f>RawData!CD215</f>
        <v>0</v>
      </c>
      <c r="G217" s="44">
        <f>RawData!CC215</f>
        <v>0</v>
      </c>
      <c r="H217" s="44">
        <f>RawData!CB215</f>
        <v>0</v>
      </c>
      <c r="I217" s="44">
        <f>RawData!CA215</f>
        <v>0</v>
      </c>
      <c r="J217" s="44">
        <f>RawData!BZ215</f>
        <v>0</v>
      </c>
      <c r="K217" s="40">
        <f>RawData!BY215</f>
        <v>0</v>
      </c>
      <c r="L217" s="40">
        <f>RawData!BX215</f>
        <v>0</v>
      </c>
      <c r="M217" s="40">
        <f>RawData!BW215</f>
        <v>0</v>
      </c>
      <c r="N217" s="40">
        <f>RawData!BV215</f>
        <v>0</v>
      </c>
      <c r="O217" s="36">
        <f>RawData!BU215</f>
        <v>0</v>
      </c>
      <c r="P217" s="36">
        <f>RawData!BT215</f>
        <v>0</v>
      </c>
      <c r="Q217" s="36">
        <f>RawData!BS215</f>
        <v>0</v>
      </c>
      <c r="R217" s="36">
        <f>RawData!BR215</f>
        <v>0</v>
      </c>
      <c r="S217" s="37">
        <f>RawData!BQ215</f>
        <v>0</v>
      </c>
      <c r="T217" s="37">
        <f>RawData!BP215</f>
        <v>0</v>
      </c>
      <c r="U217" s="38">
        <f>RawData!BO215</f>
        <v>0</v>
      </c>
      <c r="V217" s="38">
        <f>RawData!BN215</f>
        <v>0</v>
      </c>
      <c r="W217" s="39">
        <f>RawData!BM215</f>
        <v>0</v>
      </c>
      <c r="X217" s="39">
        <f>RawData!BL215</f>
        <v>0</v>
      </c>
      <c r="Y217" s="38">
        <f>RawData!BJ215</f>
        <v>0</v>
      </c>
      <c r="Z217" s="38">
        <f>RawData!BI215</f>
        <v>0</v>
      </c>
      <c r="AA217" s="40">
        <f>RawData!BH215</f>
        <v>0</v>
      </c>
      <c r="AB217" s="40">
        <f>RawData!BG215</f>
        <v>0</v>
      </c>
      <c r="AC217" s="40">
        <f>RawData!BF215</f>
        <v>0</v>
      </c>
      <c r="AD217" s="40">
        <f>RawData!BE215</f>
        <v>0</v>
      </c>
      <c r="AE217" s="40">
        <f>RawData!BD215</f>
        <v>0</v>
      </c>
      <c r="AF217" s="40">
        <f>RawData!BC215</f>
        <v>0</v>
      </c>
      <c r="AG217" s="41">
        <f>RawData!BB215</f>
        <v>0</v>
      </c>
      <c r="AH217" s="42">
        <f>RawData!DB215</f>
        <v>0</v>
      </c>
      <c r="AI217" s="41">
        <f>RawData!BA215</f>
        <v>0</v>
      </c>
      <c r="AJ217" s="43">
        <f>RawData!DA215</f>
        <v>0</v>
      </c>
      <c r="AK217" s="41">
        <f>RawData!AZ215</f>
        <v>0</v>
      </c>
      <c r="AL217" s="42">
        <f>RawData!DD215</f>
        <v>0</v>
      </c>
      <c r="AM217" s="44">
        <f>RawData!DC215</f>
        <v>0</v>
      </c>
      <c r="AN217" s="45">
        <f>RawData!BK215</f>
        <v>0</v>
      </c>
      <c r="AO217" s="44">
        <f>RawData!AY215</f>
        <v>0</v>
      </c>
      <c r="AP217" s="43">
        <f>RawData!DH215</f>
        <v>0</v>
      </c>
      <c r="AQ217" s="43">
        <f>RawData!DE215</f>
        <v>0</v>
      </c>
      <c r="AR217" s="42">
        <f>RawData!CZ215</f>
        <v>0</v>
      </c>
      <c r="AS217" s="44">
        <f>RawData!AX215</f>
        <v>0</v>
      </c>
      <c r="AT217" s="43">
        <f>RawData!CY215</f>
        <v>0</v>
      </c>
      <c r="AU217" s="44">
        <f>RawData!AW215</f>
        <v>0</v>
      </c>
      <c r="AV217" s="46">
        <f>RawData!O215</f>
        <v>0</v>
      </c>
      <c r="AW217" s="44">
        <f>RawData!AV215</f>
        <v>0</v>
      </c>
      <c r="AX217" s="44">
        <f>RawData!CW215</f>
        <v>0</v>
      </c>
      <c r="AY217" s="44">
        <f>RawData!AU215</f>
        <v>0</v>
      </c>
      <c r="AZ217" s="42">
        <f>RawData!CX215</f>
        <v>0</v>
      </c>
      <c r="BA217" s="44">
        <f>RawData!DF215</f>
        <v>0</v>
      </c>
      <c r="BB217" s="43">
        <f>RawData!DI215</f>
        <v>0</v>
      </c>
      <c r="BC217" s="44">
        <f>RawData!AT215</f>
        <v>0</v>
      </c>
      <c r="BD217" s="45">
        <f>RawData!AP215</f>
        <v>0</v>
      </c>
      <c r="BE217" s="44">
        <f>RawData!CS215</f>
        <v>0</v>
      </c>
      <c r="BF217" s="42">
        <f>RawData!CT215</f>
        <v>0</v>
      </c>
      <c r="BG217" s="41">
        <f>RawData!AS215</f>
        <v>0</v>
      </c>
      <c r="BH217" s="41">
        <f>RawData!CU215</f>
        <v>0</v>
      </c>
      <c r="BI217" s="41">
        <f>RawData!AR215</f>
        <v>0</v>
      </c>
      <c r="BJ217" s="42">
        <f>RawData!CV215</f>
        <v>0</v>
      </c>
      <c r="BK217" s="41">
        <f>RawData!AQ215</f>
        <v>0</v>
      </c>
      <c r="BL217" s="40">
        <f>RawData!AO215</f>
        <v>0</v>
      </c>
      <c r="BM217" s="40">
        <f>RawData!AN215</f>
        <v>0</v>
      </c>
      <c r="BN217" s="40">
        <f>RawData!AM215</f>
        <v>0</v>
      </c>
      <c r="BO217" s="40">
        <f>RawData!AL215</f>
        <v>0</v>
      </c>
      <c r="BP217" s="40">
        <f>RawData!AK215</f>
        <v>0</v>
      </c>
      <c r="BQ217" s="40">
        <f>RawData!AJ215</f>
        <v>0</v>
      </c>
      <c r="BR217" s="38">
        <f>RawData!AI215</f>
        <v>0</v>
      </c>
      <c r="BS217" s="38">
        <f>RawData!AH215</f>
        <v>0</v>
      </c>
      <c r="BT217" s="40">
        <f>RawData!AG215</f>
        <v>0</v>
      </c>
      <c r="BU217" s="39">
        <f>RawData!AF215</f>
        <v>0</v>
      </c>
      <c r="BV217" s="39">
        <f>RawData!AE215</f>
        <v>0</v>
      </c>
      <c r="BW217" s="38">
        <f>RawData!AD215</f>
        <v>0</v>
      </c>
      <c r="BX217" s="38">
        <f>RawData!AC215</f>
        <v>0</v>
      </c>
      <c r="BY217" s="37">
        <f>RawData!AB215</f>
        <v>0</v>
      </c>
      <c r="BZ217" s="37">
        <f>RawData!AA215</f>
        <v>0</v>
      </c>
      <c r="CA217" s="36">
        <f>RawData!Z215</f>
        <v>0</v>
      </c>
      <c r="CB217" s="36">
        <f>RawData!Y215</f>
        <v>0</v>
      </c>
      <c r="CC217" s="36">
        <f>RawData!X215</f>
        <v>0</v>
      </c>
      <c r="CD217" s="36">
        <f>RawData!W215</f>
        <v>0</v>
      </c>
      <c r="CE217" s="40">
        <f>RawData!V215</f>
        <v>0</v>
      </c>
      <c r="CF217" s="40">
        <f>RawData!U215</f>
        <v>0</v>
      </c>
      <c r="CG217" s="40">
        <f>RawData!T215</f>
        <v>0</v>
      </c>
      <c r="CH217" s="44">
        <f>RawData!S215</f>
        <v>0</v>
      </c>
      <c r="CI217" s="44">
        <f>RawData!R215</f>
        <v>0</v>
      </c>
      <c r="CJ217" s="44">
        <f>RawData!Q215</f>
        <v>0</v>
      </c>
      <c r="CK217" s="44">
        <f>RawData!P215</f>
        <v>0</v>
      </c>
      <c r="CL217" s="44">
        <f>RawData!CJ215</f>
        <v>0</v>
      </c>
      <c r="CM217" s="43">
        <f>RawData!CI215</f>
        <v>0</v>
      </c>
      <c r="CN217" s="44">
        <f>RawData!CL215</f>
        <v>0</v>
      </c>
      <c r="CO217" s="43">
        <f>RawData!CK215</f>
        <v>0</v>
      </c>
      <c r="CP217" s="44">
        <f>RawData!CM215</f>
        <v>0</v>
      </c>
      <c r="CQ217" s="47">
        <f>RawData!CO215</f>
        <v>0</v>
      </c>
      <c r="CR217" s="44">
        <f>RawData!CP215</f>
        <v>0</v>
      </c>
      <c r="CS217" s="44">
        <f>RawData!DG215</f>
        <v>0</v>
      </c>
      <c r="CT217" s="43">
        <f>RawData!DJ215</f>
        <v>0</v>
      </c>
      <c r="CU217" s="43">
        <f>RawData!CQ215</f>
        <v>0</v>
      </c>
      <c r="CV217" s="47">
        <f>RawData!CR215</f>
        <v>0</v>
      </c>
      <c r="CW217" s="65">
        <f>RawData!DK215</f>
        <v>0</v>
      </c>
      <c r="CX217" s="65">
        <f>RawData!DL215</f>
        <v>0</v>
      </c>
      <c r="CY217" s="65">
        <f>RawData!DM215</f>
        <v>0</v>
      </c>
      <c r="CZ217" s="65">
        <f>RawData!DN215</f>
        <v>0</v>
      </c>
      <c r="DA217" s="65">
        <f>RawData!DO215</f>
        <v>0</v>
      </c>
      <c r="DB217" s="65">
        <f>RawData!DP215</f>
        <v>0</v>
      </c>
      <c r="DC217" s="65">
        <f>RawData!DQ215</f>
        <v>0</v>
      </c>
      <c r="DD217" s="65">
        <f>RawData!DR215</f>
        <v>0</v>
      </c>
      <c r="DE217" s="65">
        <f>RawData!DS215</f>
        <v>0</v>
      </c>
      <c r="DF217" s="65">
        <f>RawData!DT215</f>
        <v>0</v>
      </c>
      <c r="DG217" s="66">
        <f>RawData!DU215</f>
        <v>0</v>
      </c>
      <c r="DI217" s="21">
        <f t="shared" si="3"/>
        <v>0</v>
      </c>
    </row>
    <row r="218" spans="1:113" x14ac:dyDescent="0.2">
      <c r="A218" s="59">
        <f>RawData!CN216</f>
        <v>0</v>
      </c>
      <c r="B218" s="44">
        <f>RawData!CH216</f>
        <v>0</v>
      </c>
      <c r="C218" s="44">
        <f>RawData!CG216</f>
        <v>0</v>
      </c>
      <c r="D218" s="43">
        <f>RawData!CF216</f>
        <v>0</v>
      </c>
      <c r="E218" s="44">
        <f>RawData!CE216</f>
        <v>0</v>
      </c>
      <c r="F218" s="43">
        <f>RawData!CD216</f>
        <v>0</v>
      </c>
      <c r="G218" s="44">
        <f>RawData!CC216</f>
        <v>0</v>
      </c>
      <c r="H218" s="44">
        <f>RawData!CB216</f>
        <v>0</v>
      </c>
      <c r="I218" s="44">
        <f>RawData!CA216</f>
        <v>0</v>
      </c>
      <c r="J218" s="44">
        <f>RawData!BZ216</f>
        <v>0</v>
      </c>
      <c r="K218" s="40">
        <f>RawData!BY216</f>
        <v>0</v>
      </c>
      <c r="L218" s="40">
        <f>RawData!BX216</f>
        <v>0</v>
      </c>
      <c r="M218" s="40">
        <f>RawData!BW216</f>
        <v>0</v>
      </c>
      <c r="N218" s="40">
        <f>RawData!BV216</f>
        <v>0</v>
      </c>
      <c r="O218" s="36">
        <f>RawData!BU216</f>
        <v>0</v>
      </c>
      <c r="P218" s="36">
        <f>RawData!BT216</f>
        <v>0</v>
      </c>
      <c r="Q218" s="36">
        <f>RawData!BS216</f>
        <v>0</v>
      </c>
      <c r="R218" s="36">
        <f>RawData!BR216</f>
        <v>0</v>
      </c>
      <c r="S218" s="37">
        <f>RawData!BQ216</f>
        <v>0</v>
      </c>
      <c r="T218" s="37">
        <f>RawData!BP216</f>
        <v>0</v>
      </c>
      <c r="U218" s="38">
        <f>RawData!BO216</f>
        <v>0</v>
      </c>
      <c r="V218" s="38">
        <f>RawData!BN216</f>
        <v>0</v>
      </c>
      <c r="W218" s="39">
        <f>RawData!BM216</f>
        <v>0</v>
      </c>
      <c r="X218" s="39">
        <f>RawData!BL216</f>
        <v>0</v>
      </c>
      <c r="Y218" s="38">
        <f>RawData!BJ216</f>
        <v>0</v>
      </c>
      <c r="Z218" s="38">
        <f>RawData!BI216</f>
        <v>0</v>
      </c>
      <c r="AA218" s="40">
        <f>RawData!BH216</f>
        <v>0</v>
      </c>
      <c r="AB218" s="40">
        <f>RawData!BG216</f>
        <v>0</v>
      </c>
      <c r="AC218" s="40">
        <f>RawData!BF216</f>
        <v>0</v>
      </c>
      <c r="AD218" s="40">
        <f>RawData!BE216</f>
        <v>0</v>
      </c>
      <c r="AE218" s="40">
        <f>RawData!BD216</f>
        <v>0</v>
      </c>
      <c r="AF218" s="40">
        <f>RawData!BC216</f>
        <v>0</v>
      </c>
      <c r="AG218" s="41">
        <f>RawData!BB216</f>
        <v>0</v>
      </c>
      <c r="AH218" s="42">
        <f>RawData!DB216</f>
        <v>0</v>
      </c>
      <c r="AI218" s="41">
        <f>RawData!BA216</f>
        <v>0</v>
      </c>
      <c r="AJ218" s="43">
        <f>RawData!DA216</f>
        <v>0</v>
      </c>
      <c r="AK218" s="41">
        <f>RawData!AZ216</f>
        <v>0</v>
      </c>
      <c r="AL218" s="42">
        <f>RawData!DD216</f>
        <v>0</v>
      </c>
      <c r="AM218" s="44">
        <f>RawData!DC216</f>
        <v>0</v>
      </c>
      <c r="AN218" s="45">
        <f>RawData!BK216</f>
        <v>0</v>
      </c>
      <c r="AO218" s="44">
        <f>RawData!AY216</f>
        <v>0</v>
      </c>
      <c r="AP218" s="43">
        <f>RawData!DH216</f>
        <v>0</v>
      </c>
      <c r="AQ218" s="43">
        <f>RawData!DE216</f>
        <v>0</v>
      </c>
      <c r="AR218" s="42">
        <f>RawData!CZ216</f>
        <v>0</v>
      </c>
      <c r="AS218" s="44">
        <f>RawData!AX216</f>
        <v>0</v>
      </c>
      <c r="AT218" s="43">
        <f>RawData!CY216</f>
        <v>0</v>
      </c>
      <c r="AU218" s="44">
        <f>RawData!AW216</f>
        <v>0</v>
      </c>
      <c r="AV218" s="46">
        <f>RawData!O216</f>
        <v>0</v>
      </c>
      <c r="AW218" s="44">
        <f>RawData!AV216</f>
        <v>0</v>
      </c>
      <c r="AX218" s="44">
        <f>RawData!CW216</f>
        <v>0</v>
      </c>
      <c r="AY218" s="44">
        <f>RawData!AU216</f>
        <v>0</v>
      </c>
      <c r="AZ218" s="42">
        <f>RawData!CX216</f>
        <v>0</v>
      </c>
      <c r="BA218" s="44">
        <f>RawData!DF216</f>
        <v>0</v>
      </c>
      <c r="BB218" s="43">
        <f>RawData!DI216</f>
        <v>0</v>
      </c>
      <c r="BC218" s="44">
        <f>RawData!AT216</f>
        <v>0</v>
      </c>
      <c r="BD218" s="45">
        <f>RawData!AP216</f>
        <v>0</v>
      </c>
      <c r="BE218" s="44">
        <f>RawData!CS216</f>
        <v>0</v>
      </c>
      <c r="BF218" s="42">
        <f>RawData!CT216</f>
        <v>0</v>
      </c>
      <c r="BG218" s="41">
        <f>RawData!AS216</f>
        <v>0</v>
      </c>
      <c r="BH218" s="41">
        <f>RawData!CU216</f>
        <v>0</v>
      </c>
      <c r="BI218" s="41">
        <f>RawData!AR216</f>
        <v>0</v>
      </c>
      <c r="BJ218" s="42">
        <f>RawData!CV216</f>
        <v>0</v>
      </c>
      <c r="BK218" s="41">
        <f>RawData!AQ216</f>
        <v>0</v>
      </c>
      <c r="BL218" s="40">
        <f>RawData!AO216</f>
        <v>0</v>
      </c>
      <c r="BM218" s="40">
        <f>RawData!AN216</f>
        <v>0</v>
      </c>
      <c r="BN218" s="40">
        <f>RawData!AM216</f>
        <v>0</v>
      </c>
      <c r="BO218" s="40">
        <f>RawData!AL216</f>
        <v>0</v>
      </c>
      <c r="BP218" s="40">
        <f>RawData!AK216</f>
        <v>0</v>
      </c>
      <c r="BQ218" s="40">
        <f>RawData!AJ216</f>
        <v>0</v>
      </c>
      <c r="BR218" s="38">
        <f>RawData!AI216</f>
        <v>0</v>
      </c>
      <c r="BS218" s="38">
        <f>RawData!AH216</f>
        <v>0</v>
      </c>
      <c r="BT218" s="40">
        <f>RawData!AG216</f>
        <v>0</v>
      </c>
      <c r="BU218" s="39">
        <f>RawData!AF216</f>
        <v>0</v>
      </c>
      <c r="BV218" s="39">
        <f>RawData!AE216</f>
        <v>0</v>
      </c>
      <c r="BW218" s="38">
        <f>RawData!AD216</f>
        <v>0</v>
      </c>
      <c r="BX218" s="38">
        <f>RawData!AC216</f>
        <v>0</v>
      </c>
      <c r="BY218" s="37">
        <f>RawData!AB216</f>
        <v>0</v>
      </c>
      <c r="BZ218" s="37">
        <f>RawData!AA216</f>
        <v>0</v>
      </c>
      <c r="CA218" s="36">
        <f>RawData!Z216</f>
        <v>0</v>
      </c>
      <c r="CB218" s="36">
        <f>RawData!Y216</f>
        <v>0</v>
      </c>
      <c r="CC218" s="36">
        <f>RawData!X216</f>
        <v>0</v>
      </c>
      <c r="CD218" s="36">
        <f>RawData!W216</f>
        <v>0</v>
      </c>
      <c r="CE218" s="40">
        <f>RawData!V216</f>
        <v>0</v>
      </c>
      <c r="CF218" s="40">
        <f>RawData!U216</f>
        <v>0</v>
      </c>
      <c r="CG218" s="40">
        <f>RawData!T216</f>
        <v>0</v>
      </c>
      <c r="CH218" s="44">
        <f>RawData!S216</f>
        <v>0</v>
      </c>
      <c r="CI218" s="44">
        <f>RawData!R216</f>
        <v>0</v>
      </c>
      <c r="CJ218" s="44">
        <f>RawData!Q216</f>
        <v>0</v>
      </c>
      <c r="CK218" s="44">
        <f>RawData!P216</f>
        <v>0</v>
      </c>
      <c r="CL218" s="44">
        <f>RawData!CJ216</f>
        <v>0</v>
      </c>
      <c r="CM218" s="43">
        <f>RawData!CI216</f>
        <v>0</v>
      </c>
      <c r="CN218" s="44">
        <f>RawData!CL216</f>
        <v>0</v>
      </c>
      <c r="CO218" s="43">
        <f>RawData!CK216</f>
        <v>0</v>
      </c>
      <c r="CP218" s="44">
        <f>RawData!CM216</f>
        <v>0</v>
      </c>
      <c r="CQ218" s="47">
        <f>RawData!CO216</f>
        <v>0</v>
      </c>
      <c r="CR218" s="44">
        <f>RawData!CP216</f>
        <v>0</v>
      </c>
      <c r="CS218" s="44">
        <f>RawData!DG216</f>
        <v>0</v>
      </c>
      <c r="CT218" s="43">
        <f>RawData!DJ216</f>
        <v>0</v>
      </c>
      <c r="CU218" s="43">
        <f>RawData!CQ216</f>
        <v>0</v>
      </c>
      <c r="CV218" s="47">
        <f>RawData!CR216</f>
        <v>0</v>
      </c>
      <c r="CW218" s="65">
        <f>RawData!DK216</f>
        <v>0</v>
      </c>
      <c r="CX218" s="65">
        <f>RawData!DL216</f>
        <v>0</v>
      </c>
      <c r="CY218" s="65">
        <f>RawData!DM216</f>
        <v>0</v>
      </c>
      <c r="CZ218" s="65">
        <f>RawData!DN216</f>
        <v>0</v>
      </c>
      <c r="DA218" s="65">
        <f>RawData!DO216</f>
        <v>0</v>
      </c>
      <c r="DB218" s="65">
        <f>RawData!DP216</f>
        <v>0</v>
      </c>
      <c r="DC218" s="65">
        <f>RawData!DQ216</f>
        <v>0</v>
      </c>
      <c r="DD218" s="65">
        <f>RawData!DR216</f>
        <v>0</v>
      </c>
      <c r="DE218" s="65">
        <f>RawData!DS216</f>
        <v>0</v>
      </c>
      <c r="DF218" s="65">
        <f>RawData!DT216</f>
        <v>0</v>
      </c>
      <c r="DG218" s="66">
        <f>RawData!DU216</f>
        <v>0</v>
      </c>
      <c r="DI218" s="21">
        <f t="shared" si="3"/>
        <v>0</v>
      </c>
    </row>
    <row r="219" spans="1:113" x14ac:dyDescent="0.2">
      <c r="A219" s="59">
        <f>RawData!CN217</f>
        <v>0</v>
      </c>
      <c r="B219" s="44">
        <f>RawData!CH217</f>
        <v>0</v>
      </c>
      <c r="C219" s="44">
        <f>RawData!CG217</f>
        <v>0</v>
      </c>
      <c r="D219" s="43">
        <f>RawData!CF217</f>
        <v>0</v>
      </c>
      <c r="E219" s="44">
        <f>RawData!CE217</f>
        <v>0</v>
      </c>
      <c r="F219" s="43">
        <f>RawData!CD217</f>
        <v>0</v>
      </c>
      <c r="G219" s="44">
        <f>RawData!CC217</f>
        <v>0</v>
      </c>
      <c r="H219" s="44">
        <f>RawData!CB217</f>
        <v>0</v>
      </c>
      <c r="I219" s="44">
        <f>RawData!CA217</f>
        <v>0</v>
      </c>
      <c r="J219" s="44">
        <f>RawData!BZ217</f>
        <v>0</v>
      </c>
      <c r="K219" s="40">
        <f>RawData!BY217</f>
        <v>0</v>
      </c>
      <c r="L219" s="40">
        <f>RawData!BX217</f>
        <v>0</v>
      </c>
      <c r="M219" s="40">
        <f>RawData!BW217</f>
        <v>0</v>
      </c>
      <c r="N219" s="40">
        <f>RawData!BV217</f>
        <v>0</v>
      </c>
      <c r="O219" s="36">
        <f>RawData!BU217</f>
        <v>0</v>
      </c>
      <c r="P219" s="36">
        <f>RawData!BT217</f>
        <v>0</v>
      </c>
      <c r="Q219" s="36">
        <f>RawData!BS217</f>
        <v>0</v>
      </c>
      <c r="R219" s="36">
        <f>RawData!BR217</f>
        <v>0</v>
      </c>
      <c r="S219" s="37">
        <f>RawData!BQ217</f>
        <v>0</v>
      </c>
      <c r="T219" s="37">
        <f>RawData!BP217</f>
        <v>0</v>
      </c>
      <c r="U219" s="38">
        <f>RawData!BO217</f>
        <v>0</v>
      </c>
      <c r="V219" s="38">
        <f>RawData!BN217</f>
        <v>0</v>
      </c>
      <c r="W219" s="39">
        <f>RawData!BM217</f>
        <v>0</v>
      </c>
      <c r="X219" s="39">
        <f>RawData!BL217</f>
        <v>0</v>
      </c>
      <c r="Y219" s="38">
        <f>RawData!BJ217</f>
        <v>0</v>
      </c>
      <c r="Z219" s="38">
        <f>RawData!BI217</f>
        <v>0</v>
      </c>
      <c r="AA219" s="40">
        <f>RawData!BH217</f>
        <v>0</v>
      </c>
      <c r="AB219" s="40">
        <f>RawData!BG217</f>
        <v>0</v>
      </c>
      <c r="AC219" s="40">
        <f>RawData!BF217</f>
        <v>0</v>
      </c>
      <c r="AD219" s="40">
        <f>RawData!BE217</f>
        <v>0</v>
      </c>
      <c r="AE219" s="40">
        <f>RawData!BD217</f>
        <v>0</v>
      </c>
      <c r="AF219" s="40">
        <f>RawData!BC217</f>
        <v>0</v>
      </c>
      <c r="AG219" s="41">
        <f>RawData!BB217</f>
        <v>0</v>
      </c>
      <c r="AH219" s="42">
        <f>RawData!DB217</f>
        <v>0</v>
      </c>
      <c r="AI219" s="41">
        <f>RawData!BA217</f>
        <v>0</v>
      </c>
      <c r="AJ219" s="43">
        <f>RawData!DA217</f>
        <v>0</v>
      </c>
      <c r="AK219" s="41">
        <f>RawData!AZ217</f>
        <v>0</v>
      </c>
      <c r="AL219" s="42">
        <f>RawData!DD217</f>
        <v>0</v>
      </c>
      <c r="AM219" s="44">
        <f>RawData!DC217</f>
        <v>0</v>
      </c>
      <c r="AN219" s="45">
        <f>RawData!BK217</f>
        <v>0</v>
      </c>
      <c r="AO219" s="44">
        <f>RawData!AY217</f>
        <v>0</v>
      </c>
      <c r="AP219" s="43">
        <f>RawData!DH217</f>
        <v>0</v>
      </c>
      <c r="AQ219" s="43">
        <f>RawData!DE217</f>
        <v>0</v>
      </c>
      <c r="AR219" s="42">
        <f>RawData!CZ217</f>
        <v>0</v>
      </c>
      <c r="AS219" s="44">
        <f>RawData!AX217</f>
        <v>0</v>
      </c>
      <c r="AT219" s="43">
        <f>RawData!CY217</f>
        <v>0</v>
      </c>
      <c r="AU219" s="44">
        <f>RawData!AW217</f>
        <v>0</v>
      </c>
      <c r="AV219" s="46">
        <f>RawData!O217</f>
        <v>0</v>
      </c>
      <c r="AW219" s="44">
        <f>RawData!AV217</f>
        <v>0</v>
      </c>
      <c r="AX219" s="44">
        <f>RawData!CW217</f>
        <v>0</v>
      </c>
      <c r="AY219" s="44">
        <f>RawData!AU217</f>
        <v>0</v>
      </c>
      <c r="AZ219" s="42">
        <f>RawData!CX217</f>
        <v>0</v>
      </c>
      <c r="BA219" s="44">
        <f>RawData!DF217</f>
        <v>0</v>
      </c>
      <c r="BB219" s="43">
        <f>RawData!DI217</f>
        <v>0</v>
      </c>
      <c r="BC219" s="44">
        <f>RawData!AT217</f>
        <v>0</v>
      </c>
      <c r="BD219" s="45">
        <f>RawData!AP217</f>
        <v>0</v>
      </c>
      <c r="BE219" s="44">
        <f>RawData!CS217</f>
        <v>0</v>
      </c>
      <c r="BF219" s="42">
        <f>RawData!CT217</f>
        <v>0</v>
      </c>
      <c r="BG219" s="41">
        <f>RawData!AS217</f>
        <v>0</v>
      </c>
      <c r="BH219" s="41">
        <f>RawData!CU217</f>
        <v>0</v>
      </c>
      <c r="BI219" s="41">
        <f>RawData!AR217</f>
        <v>0</v>
      </c>
      <c r="BJ219" s="42">
        <f>RawData!CV217</f>
        <v>0</v>
      </c>
      <c r="BK219" s="41">
        <f>RawData!AQ217</f>
        <v>0</v>
      </c>
      <c r="BL219" s="40">
        <f>RawData!AO217</f>
        <v>0</v>
      </c>
      <c r="BM219" s="40">
        <f>RawData!AN217</f>
        <v>0</v>
      </c>
      <c r="BN219" s="40">
        <f>RawData!AM217</f>
        <v>0</v>
      </c>
      <c r="BO219" s="40">
        <f>RawData!AL217</f>
        <v>0</v>
      </c>
      <c r="BP219" s="40">
        <f>RawData!AK217</f>
        <v>0</v>
      </c>
      <c r="BQ219" s="40">
        <f>RawData!AJ217</f>
        <v>0</v>
      </c>
      <c r="BR219" s="38">
        <f>RawData!AI217</f>
        <v>0</v>
      </c>
      <c r="BS219" s="38">
        <f>RawData!AH217</f>
        <v>0</v>
      </c>
      <c r="BT219" s="40">
        <f>RawData!AG217</f>
        <v>0</v>
      </c>
      <c r="BU219" s="39">
        <f>RawData!AF217</f>
        <v>0</v>
      </c>
      <c r="BV219" s="39">
        <f>RawData!AE217</f>
        <v>0</v>
      </c>
      <c r="BW219" s="38">
        <f>RawData!AD217</f>
        <v>0</v>
      </c>
      <c r="BX219" s="38">
        <f>RawData!AC217</f>
        <v>0</v>
      </c>
      <c r="BY219" s="37">
        <f>RawData!AB217</f>
        <v>0</v>
      </c>
      <c r="BZ219" s="37">
        <f>RawData!AA217</f>
        <v>0</v>
      </c>
      <c r="CA219" s="36">
        <f>RawData!Z217</f>
        <v>0</v>
      </c>
      <c r="CB219" s="36">
        <f>RawData!Y217</f>
        <v>0</v>
      </c>
      <c r="CC219" s="36">
        <f>RawData!X217</f>
        <v>0</v>
      </c>
      <c r="CD219" s="36">
        <f>RawData!W217</f>
        <v>0</v>
      </c>
      <c r="CE219" s="40">
        <f>RawData!V217</f>
        <v>0</v>
      </c>
      <c r="CF219" s="40">
        <f>RawData!U217</f>
        <v>0</v>
      </c>
      <c r="CG219" s="40">
        <f>RawData!T217</f>
        <v>0</v>
      </c>
      <c r="CH219" s="44">
        <f>RawData!S217</f>
        <v>0</v>
      </c>
      <c r="CI219" s="44">
        <f>RawData!R217</f>
        <v>0</v>
      </c>
      <c r="CJ219" s="44">
        <f>RawData!Q217</f>
        <v>0</v>
      </c>
      <c r="CK219" s="44">
        <f>RawData!P217</f>
        <v>0</v>
      </c>
      <c r="CL219" s="44">
        <f>RawData!CJ217</f>
        <v>0</v>
      </c>
      <c r="CM219" s="43">
        <f>RawData!CI217</f>
        <v>0</v>
      </c>
      <c r="CN219" s="44">
        <f>RawData!CL217</f>
        <v>0</v>
      </c>
      <c r="CO219" s="43">
        <f>RawData!CK217</f>
        <v>0</v>
      </c>
      <c r="CP219" s="44">
        <f>RawData!CM217</f>
        <v>0</v>
      </c>
      <c r="CQ219" s="47">
        <f>RawData!CO217</f>
        <v>0</v>
      </c>
      <c r="CR219" s="44">
        <f>RawData!CP217</f>
        <v>0</v>
      </c>
      <c r="CS219" s="44">
        <f>RawData!DG217</f>
        <v>0</v>
      </c>
      <c r="CT219" s="43">
        <f>RawData!DJ217</f>
        <v>0</v>
      </c>
      <c r="CU219" s="43">
        <f>RawData!CQ217</f>
        <v>0</v>
      </c>
      <c r="CV219" s="47">
        <f>RawData!CR217</f>
        <v>0</v>
      </c>
      <c r="CW219" s="65">
        <f>RawData!DK217</f>
        <v>0</v>
      </c>
      <c r="CX219" s="65">
        <f>RawData!DL217</f>
        <v>0</v>
      </c>
      <c r="CY219" s="65">
        <f>RawData!DM217</f>
        <v>0</v>
      </c>
      <c r="CZ219" s="65">
        <f>RawData!DN217</f>
        <v>0</v>
      </c>
      <c r="DA219" s="65">
        <f>RawData!DO217</f>
        <v>0</v>
      </c>
      <c r="DB219" s="65">
        <f>RawData!DP217</f>
        <v>0</v>
      </c>
      <c r="DC219" s="65">
        <f>RawData!DQ217</f>
        <v>0</v>
      </c>
      <c r="DD219" s="65">
        <f>RawData!DR217</f>
        <v>0</v>
      </c>
      <c r="DE219" s="65">
        <f>RawData!DS217</f>
        <v>0</v>
      </c>
      <c r="DF219" s="65">
        <f>RawData!DT217</f>
        <v>0</v>
      </c>
      <c r="DG219" s="66">
        <f>RawData!DU217</f>
        <v>0</v>
      </c>
      <c r="DI219" s="21">
        <f t="shared" si="3"/>
        <v>0</v>
      </c>
    </row>
    <row r="220" spans="1:113" x14ac:dyDescent="0.2">
      <c r="A220" s="59">
        <f>RawData!CN218</f>
        <v>0</v>
      </c>
      <c r="B220" s="44">
        <f>RawData!CH218</f>
        <v>0</v>
      </c>
      <c r="C220" s="44">
        <f>RawData!CG218</f>
        <v>0</v>
      </c>
      <c r="D220" s="43">
        <f>RawData!CF218</f>
        <v>0</v>
      </c>
      <c r="E220" s="44">
        <f>RawData!CE218</f>
        <v>0</v>
      </c>
      <c r="F220" s="43">
        <f>RawData!CD218</f>
        <v>0</v>
      </c>
      <c r="G220" s="44">
        <f>RawData!CC218</f>
        <v>0</v>
      </c>
      <c r="H220" s="44">
        <f>RawData!CB218</f>
        <v>0</v>
      </c>
      <c r="I220" s="44">
        <f>RawData!CA218</f>
        <v>0</v>
      </c>
      <c r="J220" s="44">
        <f>RawData!BZ218</f>
        <v>0</v>
      </c>
      <c r="K220" s="40">
        <f>RawData!BY218</f>
        <v>0</v>
      </c>
      <c r="L220" s="40">
        <f>RawData!BX218</f>
        <v>0</v>
      </c>
      <c r="M220" s="40">
        <f>RawData!BW218</f>
        <v>0</v>
      </c>
      <c r="N220" s="40">
        <f>RawData!BV218</f>
        <v>0</v>
      </c>
      <c r="O220" s="36">
        <f>RawData!BU218</f>
        <v>0</v>
      </c>
      <c r="P220" s="36">
        <f>RawData!BT218</f>
        <v>0</v>
      </c>
      <c r="Q220" s="36">
        <f>RawData!BS218</f>
        <v>0</v>
      </c>
      <c r="R220" s="36">
        <f>RawData!BR218</f>
        <v>0</v>
      </c>
      <c r="S220" s="37">
        <f>RawData!BQ218</f>
        <v>0</v>
      </c>
      <c r="T220" s="37">
        <f>RawData!BP218</f>
        <v>0</v>
      </c>
      <c r="U220" s="38">
        <f>RawData!BO218</f>
        <v>0</v>
      </c>
      <c r="V220" s="38">
        <f>RawData!BN218</f>
        <v>0</v>
      </c>
      <c r="W220" s="39">
        <f>RawData!BM218</f>
        <v>0</v>
      </c>
      <c r="X220" s="39">
        <f>RawData!BL218</f>
        <v>0</v>
      </c>
      <c r="Y220" s="38">
        <f>RawData!BJ218</f>
        <v>0</v>
      </c>
      <c r="Z220" s="38">
        <f>RawData!BI218</f>
        <v>0</v>
      </c>
      <c r="AA220" s="40">
        <f>RawData!BH218</f>
        <v>0</v>
      </c>
      <c r="AB220" s="40">
        <f>RawData!BG218</f>
        <v>0</v>
      </c>
      <c r="AC220" s="40">
        <f>RawData!BF218</f>
        <v>0</v>
      </c>
      <c r="AD220" s="40">
        <f>RawData!BE218</f>
        <v>0</v>
      </c>
      <c r="AE220" s="40">
        <f>RawData!BD218</f>
        <v>0</v>
      </c>
      <c r="AF220" s="40">
        <f>RawData!BC218</f>
        <v>0</v>
      </c>
      <c r="AG220" s="41">
        <f>RawData!BB218</f>
        <v>0</v>
      </c>
      <c r="AH220" s="42">
        <f>RawData!DB218</f>
        <v>0</v>
      </c>
      <c r="AI220" s="41">
        <f>RawData!BA218</f>
        <v>0</v>
      </c>
      <c r="AJ220" s="43">
        <f>RawData!DA218</f>
        <v>0</v>
      </c>
      <c r="AK220" s="41">
        <f>RawData!AZ218</f>
        <v>0</v>
      </c>
      <c r="AL220" s="42">
        <f>RawData!DD218</f>
        <v>0</v>
      </c>
      <c r="AM220" s="44">
        <f>RawData!DC218</f>
        <v>0</v>
      </c>
      <c r="AN220" s="45">
        <f>RawData!BK218</f>
        <v>0</v>
      </c>
      <c r="AO220" s="44">
        <f>RawData!AY218</f>
        <v>0</v>
      </c>
      <c r="AP220" s="43">
        <f>RawData!DH218</f>
        <v>0</v>
      </c>
      <c r="AQ220" s="43">
        <f>RawData!DE218</f>
        <v>0</v>
      </c>
      <c r="AR220" s="42">
        <f>RawData!CZ218</f>
        <v>0</v>
      </c>
      <c r="AS220" s="44">
        <f>RawData!AX218</f>
        <v>0</v>
      </c>
      <c r="AT220" s="43">
        <f>RawData!CY218</f>
        <v>0</v>
      </c>
      <c r="AU220" s="44">
        <f>RawData!AW218</f>
        <v>0</v>
      </c>
      <c r="AV220" s="46">
        <f>RawData!O218</f>
        <v>0</v>
      </c>
      <c r="AW220" s="44">
        <f>RawData!AV218</f>
        <v>0</v>
      </c>
      <c r="AX220" s="44">
        <f>RawData!CW218</f>
        <v>0</v>
      </c>
      <c r="AY220" s="44">
        <f>RawData!AU218</f>
        <v>0</v>
      </c>
      <c r="AZ220" s="42">
        <f>RawData!CX218</f>
        <v>0</v>
      </c>
      <c r="BA220" s="44">
        <f>RawData!DF218</f>
        <v>0</v>
      </c>
      <c r="BB220" s="43">
        <f>RawData!DI218</f>
        <v>0</v>
      </c>
      <c r="BC220" s="44">
        <f>RawData!AT218</f>
        <v>0</v>
      </c>
      <c r="BD220" s="45">
        <f>RawData!AP218</f>
        <v>0</v>
      </c>
      <c r="BE220" s="44">
        <f>RawData!CS218</f>
        <v>0</v>
      </c>
      <c r="BF220" s="42">
        <f>RawData!CT218</f>
        <v>0</v>
      </c>
      <c r="BG220" s="41">
        <f>RawData!AS218</f>
        <v>0</v>
      </c>
      <c r="BH220" s="41">
        <f>RawData!CU218</f>
        <v>0</v>
      </c>
      <c r="BI220" s="41">
        <f>RawData!AR218</f>
        <v>0</v>
      </c>
      <c r="BJ220" s="42">
        <f>RawData!CV218</f>
        <v>0</v>
      </c>
      <c r="BK220" s="41">
        <f>RawData!AQ218</f>
        <v>0</v>
      </c>
      <c r="BL220" s="40">
        <f>RawData!AO218</f>
        <v>0</v>
      </c>
      <c r="BM220" s="40">
        <f>RawData!AN218</f>
        <v>0</v>
      </c>
      <c r="BN220" s="40">
        <f>RawData!AM218</f>
        <v>0</v>
      </c>
      <c r="BO220" s="40">
        <f>RawData!AL218</f>
        <v>0</v>
      </c>
      <c r="BP220" s="40">
        <f>RawData!AK218</f>
        <v>0</v>
      </c>
      <c r="BQ220" s="40">
        <f>RawData!AJ218</f>
        <v>0</v>
      </c>
      <c r="BR220" s="38">
        <f>RawData!AI218</f>
        <v>0</v>
      </c>
      <c r="BS220" s="38">
        <f>RawData!AH218</f>
        <v>0</v>
      </c>
      <c r="BT220" s="40">
        <f>RawData!AG218</f>
        <v>0</v>
      </c>
      <c r="BU220" s="39">
        <f>RawData!AF218</f>
        <v>0</v>
      </c>
      <c r="BV220" s="39">
        <f>RawData!AE218</f>
        <v>0</v>
      </c>
      <c r="BW220" s="38">
        <f>RawData!AD218</f>
        <v>0</v>
      </c>
      <c r="BX220" s="38">
        <f>RawData!AC218</f>
        <v>0</v>
      </c>
      <c r="BY220" s="37">
        <f>RawData!AB218</f>
        <v>0</v>
      </c>
      <c r="BZ220" s="37">
        <f>RawData!AA218</f>
        <v>0</v>
      </c>
      <c r="CA220" s="36">
        <f>RawData!Z218</f>
        <v>0</v>
      </c>
      <c r="CB220" s="36">
        <f>RawData!Y218</f>
        <v>0</v>
      </c>
      <c r="CC220" s="36">
        <f>RawData!X218</f>
        <v>0</v>
      </c>
      <c r="CD220" s="36">
        <f>RawData!W218</f>
        <v>0</v>
      </c>
      <c r="CE220" s="40">
        <f>RawData!V218</f>
        <v>0</v>
      </c>
      <c r="CF220" s="40">
        <f>RawData!U218</f>
        <v>0</v>
      </c>
      <c r="CG220" s="40">
        <f>RawData!T218</f>
        <v>0</v>
      </c>
      <c r="CH220" s="44">
        <f>RawData!S218</f>
        <v>0</v>
      </c>
      <c r="CI220" s="44">
        <f>RawData!R218</f>
        <v>0</v>
      </c>
      <c r="CJ220" s="44">
        <f>RawData!Q218</f>
        <v>0</v>
      </c>
      <c r="CK220" s="44">
        <f>RawData!P218</f>
        <v>0</v>
      </c>
      <c r="CL220" s="44">
        <f>RawData!CJ218</f>
        <v>0</v>
      </c>
      <c r="CM220" s="43">
        <f>RawData!CI218</f>
        <v>0</v>
      </c>
      <c r="CN220" s="44">
        <f>RawData!CL218</f>
        <v>0</v>
      </c>
      <c r="CO220" s="43">
        <f>RawData!CK218</f>
        <v>0</v>
      </c>
      <c r="CP220" s="44">
        <f>RawData!CM218</f>
        <v>0</v>
      </c>
      <c r="CQ220" s="47">
        <f>RawData!CO218</f>
        <v>0</v>
      </c>
      <c r="CR220" s="44">
        <f>RawData!CP218</f>
        <v>0</v>
      </c>
      <c r="CS220" s="44">
        <f>RawData!DG218</f>
        <v>0</v>
      </c>
      <c r="CT220" s="43">
        <f>RawData!DJ218</f>
        <v>0</v>
      </c>
      <c r="CU220" s="43">
        <f>RawData!CQ218</f>
        <v>0</v>
      </c>
      <c r="CV220" s="47">
        <f>RawData!CR218</f>
        <v>0</v>
      </c>
      <c r="CW220" s="65">
        <f>RawData!DK218</f>
        <v>0</v>
      </c>
      <c r="CX220" s="65">
        <f>RawData!DL218</f>
        <v>0</v>
      </c>
      <c r="CY220" s="65">
        <f>RawData!DM218</f>
        <v>0</v>
      </c>
      <c r="CZ220" s="65">
        <f>RawData!DN218</f>
        <v>0</v>
      </c>
      <c r="DA220" s="65">
        <f>RawData!DO218</f>
        <v>0</v>
      </c>
      <c r="DB220" s="65">
        <f>RawData!DP218</f>
        <v>0</v>
      </c>
      <c r="DC220" s="65">
        <f>RawData!DQ218</f>
        <v>0</v>
      </c>
      <c r="DD220" s="65">
        <f>RawData!DR218</f>
        <v>0</v>
      </c>
      <c r="DE220" s="65">
        <f>RawData!DS218</f>
        <v>0</v>
      </c>
      <c r="DF220" s="65">
        <f>RawData!DT218</f>
        <v>0</v>
      </c>
      <c r="DG220" s="66">
        <f>RawData!DU218</f>
        <v>0</v>
      </c>
      <c r="DI220" s="21">
        <f t="shared" si="3"/>
        <v>0</v>
      </c>
    </row>
    <row r="221" spans="1:113" x14ac:dyDescent="0.2">
      <c r="A221" s="59">
        <f>RawData!CN219</f>
        <v>0</v>
      </c>
      <c r="B221" s="44">
        <f>RawData!CH219</f>
        <v>0</v>
      </c>
      <c r="C221" s="44">
        <f>RawData!CG219</f>
        <v>0</v>
      </c>
      <c r="D221" s="43">
        <f>RawData!CF219</f>
        <v>0</v>
      </c>
      <c r="E221" s="44">
        <f>RawData!CE219</f>
        <v>0</v>
      </c>
      <c r="F221" s="43">
        <f>RawData!CD219</f>
        <v>0</v>
      </c>
      <c r="G221" s="44">
        <f>RawData!CC219</f>
        <v>0</v>
      </c>
      <c r="H221" s="44">
        <f>RawData!CB219</f>
        <v>0</v>
      </c>
      <c r="I221" s="44">
        <f>RawData!CA219</f>
        <v>0</v>
      </c>
      <c r="J221" s="44">
        <f>RawData!BZ219</f>
        <v>0</v>
      </c>
      <c r="K221" s="40">
        <f>RawData!BY219</f>
        <v>0</v>
      </c>
      <c r="L221" s="40">
        <f>RawData!BX219</f>
        <v>0</v>
      </c>
      <c r="M221" s="40">
        <f>RawData!BW219</f>
        <v>0</v>
      </c>
      <c r="N221" s="40">
        <f>RawData!BV219</f>
        <v>0</v>
      </c>
      <c r="O221" s="36">
        <f>RawData!BU219</f>
        <v>0</v>
      </c>
      <c r="P221" s="36">
        <f>RawData!BT219</f>
        <v>0</v>
      </c>
      <c r="Q221" s="36">
        <f>RawData!BS219</f>
        <v>0</v>
      </c>
      <c r="R221" s="36">
        <f>RawData!BR219</f>
        <v>0</v>
      </c>
      <c r="S221" s="37">
        <f>RawData!BQ219</f>
        <v>0</v>
      </c>
      <c r="T221" s="37">
        <f>RawData!BP219</f>
        <v>0</v>
      </c>
      <c r="U221" s="38">
        <f>RawData!BO219</f>
        <v>0</v>
      </c>
      <c r="V221" s="38">
        <f>RawData!BN219</f>
        <v>0</v>
      </c>
      <c r="W221" s="39">
        <f>RawData!BM219</f>
        <v>0</v>
      </c>
      <c r="X221" s="39">
        <f>RawData!BL219</f>
        <v>0</v>
      </c>
      <c r="Y221" s="38">
        <f>RawData!BJ219</f>
        <v>0</v>
      </c>
      <c r="Z221" s="38">
        <f>RawData!BI219</f>
        <v>0</v>
      </c>
      <c r="AA221" s="40">
        <f>RawData!BH219</f>
        <v>0</v>
      </c>
      <c r="AB221" s="40">
        <f>RawData!BG219</f>
        <v>0</v>
      </c>
      <c r="AC221" s="40">
        <f>RawData!BF219</f>
        <v>0</v>
      </c>
      <c r="AD221" s="40">
        <f>RawData!BE219</f>
        <v>0</v>
      </c>
      <c r="AE221" s="40">
        <f>RawData!BD219</f>
        <v>0</v>
      </c>
      <c r="AF221" s="40">
        <f>RawData!BC219</f>
        <v>0</v>
      </c>
      <c r="AG221" s="41">
        <f>RawData!BB219</f>
        <v>0</v>
      </c>
      <c r="AH221" s="42">
        <f>RawData!DB219</f>
        <v>0</v>
      </c>
      <c r="AI221" s="41">
        <f>RawData!BA219</f>
        <v>0</v>
      </c>
      <c r="AJ221" s="43">
        <f>RawData!DA219</f>
        <v>0</v>
      </c>
      <c r="AK221" s="41">
        <f>RawData!AZ219</f>
        <v>0</v>
      </c>
      <c r="AL221" s="42">
        <f>RawData!DD219</f>
        <v>0</v>
      </c>
      <c r="AM221" s="44">
        <f>RawData!DC219</f>
        <v>0</v>
      </c>
      <c r="AN221" s="45">
        <f>RawData!BK219</f>
        <v>0</v>
      </c>
      <c r="AO221" s="44">
        <f>RawData!AY219</f>
        <v>0</v>
      </c>
      <c r="AP221" s="43">
        <f>RawData!DH219</f>
        <v>0</v>
      </c>
      <c r="AQ221" s="43">
        <f>RawData!DE219</f>
        <v>0</v>
      </c>
      <c r="AR221" s="42">
        <f>RawData!CZ219</f>
        <v>0</v>
      </c>
      <c r="AS221" s="44">
        <f>RawData!AX219</f>
        <v>0</v>
      </c>
      <c r="AT221" s="43">
        <f>RawData!CY219</f>
        <v>0</v>
      </c>
      <c r="AU221" s="44">
        <f>RawData!AW219</f>
        <v>0</v>
      </c>
      <c r="AV221" s="46">
        <f>RawData!O219</f>
        <v>0</v>
      </c>
      <c r="AW221" s="44">
        <f>RawData!AV219</f>
        <v>0</v>
      </c>
      <c r="AX221" s="44">
        <f>RawData!CW219</f>
        <v>0</v>
      </c>
      <c r="AY221" s="44">
        <f>RawData!AU219</f>
        <v>0</v>
      </c>
      <c r="AZ221" s="42">
        <f>RawData!CX219</f>
        <v>0</v>
      </c>
      <c r="BA221" s="44">
        <f>RawData!DF219</f>
        <v>0</v>
      </c>
      <c r="BB221" s="43">
        <f>RawData!DI219</f>
        <v>0</v>
      </c>
      <c r="BC221" s="44">
        <f>RawData!AT219</f>
        <v>0</v>
      </c>
      <c r="BD221" s="45">
        <f>RawData!AP219</f>
        <v>0</v>
      </c>
      <c r="BE221" s="44">
        <f>RawData!CS219</f>
        <v>0</v>
      </c>
      <c r="BF221" s="42">
        <f>RawData!CT219</f>
        <v>0</v>
      </c>
      <c r="BG221" s="41">
        <f>RawData!AS219</f>
        <v>0</v>
      </c>
      <c r="BH221" s="41">
        <f>RawData!CU219</f>
        <v>0</v>
      </c>
      <c r="BI221" s="41">
        <f>RawData!AR219</f>
        <v>0</v>
      </c>
      <c r="BJ221" s="42">
        <f>RawData!CV219</f>
        <v>0</v>
      </c>
      <c r="BK221" s="41">
        <f>RawData!AQ219</f>
        <v>0</v>
      </c>
      <c r="BL221" s="40">
        <f>RawData!AO219</f>
        <v>0</v>
      </c>
      <c r="BM221" s="40">
        <f>RawData!AN219</f>
        <v>0</v>
      </c>
      <c r="BN221" s="40">
        <f>RawData!AM219</f>
        <v>0</v>
      </c>
      <c r="BO221" s="40">
        <f>RawData!AL219</f>
        <v>0</v>
      </c>
      <c r="BP221" s="40">
        <f>RawData!AK219</f>
        <v>0</v>
      </c>
      <c r="BQ221" s="40">
        <f>RawData!AJ219</f>
        <v>0</v>
      </c>
      <c r="BR221" s="38">
        <f>RawData!AI219</f>
        <v>0</v>
      </c>
      <c r="BS221" s="38">
        <f>RawData!AH219</f>
        <v>0</v>
      </c>
      <c r="BT221" s="40">
        <f>RawData!AG219</f>
        <v>0</v>
      </c>
      <c r="BU221" s="39">
        <f>RawData!AF219</f>
        <v>0</v>
      </c>
      <c r="BV221" s="39">
        <f>RawData!AE219</f>
        <v>0</v>
      </c>
      <c r="BW221" s="38">
        <f>RawData!AD219</f>
        <v>0</v>
      </c>
      <c r="BX221" s="38">
        <f>RawData!AC219</f>
        <v>0</v>
      </c>
      <c r="BY221" s="37">
        <f>RawData!AB219</f>
        <v>0</v>
      </c>
      <c r="BZ221" s="37">
        <f>RawData!AA219</f>
        <v>0</v>
      </c>
      <c r="CA221" s="36">
        <f>RawData!Z219</f>
        <v>0</v>
      </c>
      <c r="CB221" s="36">
        <f>RawData!Y219</f>
        <v>0</v>
      </c>
      <c r="CC221" s="36">
        <f>RawData!X219</f>
        <v>0</v>
      </c>
      <c r="CD221" s="36">
        <f>RawData!W219</f>
        <v>0</v>
      </c>
      <c r="CE221" s="40">
        <f>RawData!V219</f>
        <v>0</v>
      </c>
      <c r="CF221" s="40">
        <f>RawData!U219</f>
        <v>0</v>
      </c>
      <c r="CG221" s="40">
        <f>RawData!T219</f>
        <v>0</v>
      </c>
      <c r="CH221" s="44">
        <f>RawData!S219</f>
        <v>0</v>
      </c>
      <c r="CI221" s="44">
        <f>RawData!R219</f>
        <v>0</v>
      </c>
      <c r="CJ221" s="44">
        <f>RawData!Q219</f>
        <v>0</v>
      </c>
      <c r="CK221" s="44">
        <f>RawData!P219</f>
        <v>0</v>
      </c>
      <c r="CL221" s="44">
        <f>RawData!CJ219</f>
        <v>0</v>
      </c>
      <c r="CM221" s="43">
        <f>RawData!CI219</f>
        <v>0</v>
      </c>
      <c r="CN221" s="44">
        <f>RawData!CL219</f>
        <v>0</v>
      </c>
      <c r="CO221" s="43">
        <f>RawData!CK219</f>
        <v>0</v>
      </c>
      <c r="CP221" s="44">
        <f>RawData!CM219</f>
        <v>0</v>
      </c>
      <c r="CQ221" s="47">
        <f>RawData!CO219</f>
        <v>0</v>
      </c>
      <c r="CR221" s="44">
        <f>RawData!CP219</f>
        <v>0</v>
      </c>
      <c r="CS221" s="44">
        <f>RawData!DG219</f>
        <v>0</v>
      </c>
      <c r="CT221" s="43">
        <f>RawData!DJ219</f>
        <v>0</v>
      </c>
      <c r="CU221" s="43">
        <f>RawData!CQ219</f>
        <v>0</v>
      </c>
      <c r="CV221" s="47">
        <f>RawData!CR219</f>
        <v>0</v>
      </c>
      <c r="CW221" s="65">
        <f>RawData!DK219</f>
        <v>0</v>
      </c>
      <c r="CX221" s="65">
        <f>RawData!DL219</f>
        <v>0</v>
      </c>
      <c r="CY221" s="65">
        <f>RawData!DM219</f>
        <v>0</v>
      </c>
      <c r="CZ221" s="65">
        <f>RawData!DN219</f>
        <v>0</v>
      </c>
      <c r="DA221" s="65">
        <f>RawData!DO219</f>
        <v>0</v>
      </c>
      <c r="DB221" s="65">
        <f>RawData!DP219</f>
        <v>0</v>
      </c>
      <c r="DC221" s="65">
        <f>RawData!DQ219</f>
        <v>0</v>
      </c>
      <c r="DD221" s="65">
        <f>RawData!DR219</f>
        <v>0</v>
      </c>
      <c r="DE221" s="65">
        <f>RawData!DS219</f>
        <v>0</v>
      </c>
      <c r="DF221" s="65">
        <f>RawData!DT219</f>
        <v>0</v>
      </c>
      <c r="DG221" s="66">
        <f>RawData!DU219</f>
        <v>0</v>
      </c>
      <c r="DI221" s="21">
        <f t="shared" si="3"/>
        <v>0</v>
      </c>
    </row>
    <row r="222" spans="1:113" x14ac:dyDescent="0.2">
      <c r="A222" s="59">
        <f>RawData!CN220</f>
        <v>0</v>
      </c>
      <c r="B222" s="44">
        <f>RawData!CH220</f>
        <v>0</v>
      </c>
      <c r="C222" s="44">
        <f>RawData!CG220</f>
        <v>0</v>
      </c>
      <c r="D222" s="43">
        <f>RawData!CF220</f>
        <v>0</v>
      </c>
      <c r="E222" s="44">
        <f>RawData!CE220</f>
        <v>0</v>
      </c>
      <c r="F222" s="43">
        <f>RawData!CD220</f>
        <v>0</v>
      </c>
      <c r="G222" s="44">
        <f>RawData!CC220</f>
        <v>0</v>
      </c>
      <c r="H222" s="44">
        <f>RawData!CB220</f>
        <v>0</v>
      </c>
      <c r="I222" s="44">
        <f>RawData!CA220</f>
        <v>0</v>
      </c>
      <c r="J222" s="44">
        <f>RawData!BZ220</f>
        <v>0</v>
      </c>
      <c r="K222" s="40">
        <f>RawData!BY220</f>
        <v>0</v>
      </c>
      <c r="L222" s="40">
        <f>RawData!BX220</f>
        <v>0</v>
      </c>
      <c r="M222" s="40">
        <f>RawData!BW220</f>
        <v>0</v>
      </c>
      <c r="N222" s="40">
        <f>RawData!BV220</f>
        <v>0</v>
      </c>
      <c r="O222" s="36">
        <f>RawData!BU220</f>
        <v>0</v>
      </c>
      <c r="P222" s="36">
        <f>RawData!BT220</f>
        <v>0</v>
      </c>
      <c r="Q222" s="36">
        <f>RawData!BS220</f>
        <v>0</v>
      </c>
      <c r="R222" s="36">
        <f>RawData!BR220</f>
        <v>0</v>
      </c>
      <c r="S222" s="37">
        <f>RawData!BQ220</f>
        <v>0</v>
      </c>
      <c r="T222" s="37">
        <f>RawData!BP220</f>
        <v>0</v>
      </c>
      <c r="U222" s="38">
        <f>RawData!BO220</f>
        <v>0</v>
      </c>
      <c r="V222" s="38">
        <f>RawData!BN220</f>
        <v>0</v>
      </c>
      <c r="W222" s="39">
        <f>RawData!BM220</f>
        <v>0</v>
      </c>
      <c r="X222" s="39">
        <f>RawData!BL220</f>
        <v>0</v>
      </c>
      <c r="Y222" s="38">
        <f>RawData!BJ220</f>
        <v>0</v>
      </c>
      <c r="Z222" s="38">
        <f>RawData!BI220</f>
        <v>0</v>
      </c>
      <c r="AA222" s="40">
        <f>RawData!BH220</f>
        <v>0</v>
      </c>
      <c r="AB222" s="40">
        <f>RawData!BG220</f>
        <v>0</v>
      </c>
      <c r="AC222" s="40">
        <f>RawData!BF220</f>
        <v>0</v>
      </c>
      <c r="AD222" s="40">
        <f>RawData!BE220</f>
        <v>0</v>
      </c>
      <c r="AE222" s="40">
        <f>RawData!BD220</f>
        <v>0</v>
      </c>
      <c r="AF222" s="40">
        <f>RawData!BC220</f>
        <v>0</v>
      </c>
      <c r="AG222" s="41">
        <f>RawData!BB220</f>
        <v>0</v>
      </c>
      <c r="AH222" s="42">
        <f>RawData!DB220</f>
        <v>0</v>
      </c>
      <c r="AI222" s="41">
        <f>RawData!BA220</f>
        <v>0</v>
      </c>
      <c r="AJ222" s="43">
        <f>RawData!DA220</f>
        <v>0</v>
      </c>
      <c r="AK222" s="41">
        <f>RawData!AZ220</f>
        <v>0</v>
      </c>
      <c r="AL222" s="42">
        <f>RawData!DD220</f>
        <v>0</v>
      </c>
      <c r="AM222" s="44">
        <f>RawData!DC220</f>
        <v>0</v>
      </c>
      <c r="AN222" s="45">
        <f>RawData!BK220</f>
        <v>0</v>
      </c>
      <c r="AO222" s="44">
        <f>RawData!AY220</f>
        <v>0</v>
      </c>
      <c r="AP222" s="43">
        <f>RawData!DH220</f>
        <v>0</v>
      </c>
      <c r="AQ222" s="43">
        <f>RawData!DE220</f>
        <v>0</v>
      </c>
      <c r="AR222" s="42">
        <f>RawData!CZ220</f>
        <v>0</v>
      </c>
      <c r="AS222" s="44">
        <f>RawData!AX220</f>
        <v>0</v>
      </c>
      <c r="AT222" s="43">
        <f>RawData!CY220</f>
        <v>0</v>
      </c>
      <c r="AU222" s="44">
        <f>RawData!AW220</f>
        <v>0</v>
      </c>
      <c r="AV222" s="46">
        <f>RawData!O220</f>
        <v>0</v>
      </c>
      <c r="AW222" s="44">
        <f>RawData!AV220</f>
        <v>0</v>
      </c>
      <c r="AX222" s="44">
        <f>RawData!CW220</f>
        <v>0</v>
      </c>
      <c r="AY222" s="44">
        <f>RawData!AU220</f>
        <v>0</v>
      </c>
      <c r="AZ222" s="42">
        <f>RawData!CX220</f>
        <v>0</v>
      </c>
      <c r="BA222" s="44">
        <f>RawData!DF220</f>
        <v>0</v>
      </c>
      <c r="BB222" s="43">
        <f>RawData!DI220</f>
        <v>0</v>
      </c>
      <c r="BC222" s="44">
        <f>RawData!AT220</f>
        <v>0</v>
      </c>
      <c r="BD222" s="45">
        <f>RawData!AP220</f>
        <v>0</v>
      </c>
      <c r="BE222" s="44">
        <f>RawData!CS220</f>
        <v>0</v>
      </c>
      <c r="BF222" s="42">
        <f>RawData!CT220</f>
        <v>0</v>
      </c>
      <c r="BG222" s="41">
        <f>RawData!AS220</f>
        <v>0</v>
      </c>
      <c r="BH222" s="41">
        <f>RawData!CU220</f>
        <v>0</v>
      </c>
      <c r="BI222" s="41">
        <f>RawData!AR220</f>
        <v>0</v>
      </c>
      <c r="BJ222" s="42">
        <f>RawData!CV220</f>
        <v>0</v>
      </c>
      <c r="BK222" s="41">
        <f>RawData!AQ220</f>
        <v>0</v>
      </c>
      <c r="BL222" s="40">
        <f>RawData!AO220</f>
        <v>0</v>
      </c>
      <c r="BM222" s="40">
        <f>RawData!AN220</f>
        <v>0</v>
      </c>
      <c r="BN222" s="40">
        <f>RawData!AM220</f>
        <v>0</v>
      </c>
      <c r="BO222" s="40">
        <f>RawData!AL220</f>
        <v>0</v>
      </c>
      <c r="BP222" s="40">
        <f>RawData!AK220</f>
        <v>0</v>
      </c>
      <c r="BQ222" s="40">
        <f>RawData!AJ220</f>
        <v>0</v>
      </c>
      <c r="BR222" s="38">
        <f>RawData!AI220</f>
        <v>0</v>
      </c>
      <c r="BS222" s="38">
        <f>RawData!AH220</f>
        <v>0</v>
      </c>
      <c r="BT222" s="40">
        <f>RawData!AG220</f>
        <v>0</v>
      </c>
      <c r="BU222" s="39">
        <f>RawData!AF220</f>
        <v>0</v>
      </c>
      <c r="BV222" s="39">
        <f>RawData!AE220</f>
        <v>0</v>
      </c>
      <c r="BW222" s="38">
        <f>RawData!AD220</f>
        <v>0</v>
      </c>
      <c r="BX222" s="38">
        <f>RawData!AC220</f>
        <v>0</v>
      </c>
      <c r="BY222" s="37">
        <f>RawData!AB220</f>
        <v>0</v>
      </c>
      <c r="BZ222" s="37">
        <f>RawData!AA220</f>
        <v>0</v>
      </c>
      <c r="CA222" s="36">
        <f>RawData!Z220</f>
        <v>0</v>
      </c>
      <c r="CB222" s="36">
        <f>RawData!Y220</f>
        <v>0</v>
      </c>
      <c r="CC222" s="36">
        <f>RawData!X220</f>
        <v>0</v>
      </c>
      <c r="CD222" s="36">
        <f>RawData!W220</f>
        <v>0</v>
      </c>
      <c r="CE222" s="40">
        <f>RawData!V220</f>
        <v>0</v>
      </c>
      <c r="CF222" s="40">
        <f>RawData!U220</f>
        <v>0</v>
      </c>
      <c r="CG222" s="40">
        <f>RawData!T220</f>
        <v>0</v>
      </c>
      <c r="CH222" s="44">
        <f>RawData!S220</f>
        <v>0</v>
      </c>
      <c r="CI222" s="44">
        <f>RawData!R220</f>
        <v>0</v>
      </c>
      <c r="CJ222" s="44">
        <f>RawData!Q220</f>
        <v>0</v>
      </c>
      <c r="CK222" s="44">
        <f>RawData!P220</f>
        <v>0</v>
      </c>
      <c r="CL222" s="44">
        <f>RawData!CJ220</f>
        <v>0</v>
      </c>
      <c r="CM222" s="43">
        <f>RawData!CI220</f>
        <v>0</v>
      </c>
      <c r="CN222" s="44">
        <f>RawData!CL220</f>
        <v>0</v>
      </c>
      <c r="CO222" s="43">
        <f>RawData!CK220</f>
        <v>0</v>
      </c>
      <c r="CP222" s="44">
        <f>RawData!CM220</f>
        <v>0</v>
      </c>
      <c r="CQ222" s="47">
        <f>RawData!CO220</f>
        <v>0</v>
      </c>
      <c r="CR222" s="44">
        <f>RawData!CP220</f>
        <v>0</v>
      </c>
      <c r="CS222" s="44">
        <f>RawData!DG220</f>
        <v>0</v>
      </c>
      <c r="CT222" s="43">
        <f>RawData!DJ220</f>
        <v>0</v>
      </c>
      <c r="CU222" s="43">
        <f>RawData!CQ220</f>
        <v>0</v>
      </c>
      <c r="CV222" s="47">
        <f>RawData!CR220</f>
        <v>0</v>
      </c>
      <c r="CW222" s="65">
        <f>RawData!DK220</f>
        <v>0</v>
      </c>
      <c r="CX222" s="65">
        <f>RawData!DL220</f>
        <v>0</v>
      </c>
      <c r="CY222" s="65">
        <f>RawData!DM220</f>
        <v>0</v>
      </c>
      <c r="CZ222" s="65">
        <f>RawData!DN220</f>
        <v>0</v>
      </c>
      <c r="DA222" s="65">
        <f>RawData!DO220</f>
        <v>0</v>
      </c>
      <c r="DB222" s="65">
        <f>RawData!DP220</f>
        <v>0</v>
      </c>
      <c r="DC222" s="65">
        <f>RawData!DQ220</f>
        <v>0</v>
      </c>
      <c r="DD222" s="65">
        <f>RawData!DR220</f>
        <v>0</v>
      </c>
      <c r="DE222" s="65">
        <f>RawData!DS220</f>
        <v>0</v>
      </c>
      <c r="DF222" s="65">
        <f>RawData!DT220</f>
        <v>0</v>
      </c>
      <c r="DG222" s="66">
        <f>RawData!DU220</f>
        <v>0</v>
      </c>
      <c r="DI222" s="21">
        <f t="shared" si="3"/>
        <v>0</v>
      </c>
    </row>
    <row r="223" spans="1:113" x14ac:dyDescent="0.2">
      <c r="A223" s="59">
        <f>RawData!CN221</f>
        <v>0</v>
      </c>
      <c r="B223" s="44">
        <f>RawData!CH221</f>
        <v>0</v>
      </c>
      <c r="C223" s="44">
        <f>RawData!CG221</f>
        <v>0</v>
      </c>
      <c r="D223" s="43">
        <f>RawData!CF221</f>
        <v>0</v>
      </c>
      <c r="E223" s="44">
        <f>RawData!CE221</f>
        <v>0</v>
      </c>
      <c r="F223" s="43">
        <f>RawData!CD221</f>
        <v>0</v>
      </c>
      <c r="G223" s="44">
        <f>RawData!CC221</f>
        <v>0</v>
      </c>
      <c r="H223" s="44">
        <f>RawData!CB221</f>
        <v>0</v>
      </c>
      <c r="I223" s="44">
        <f>RawData!CA221</f>
        <v>0</v>
      </c>
      <c r="J223" s="44">
        <f>RawData!BZ221</f>
        <v>0</v>
      </c>
      <c r="K223" s="40">
        <f>RawData!BY221</f>
        <v>0</v>
      </c>
      <c r="L223" s="40">
        <f>RawData!BX221</f>
        <v>0</v>
      </c>
      <c r="M223" s="40">
        <f>RawData!BW221</f>
        <v>0</v>
      </c>
      <c r="N223" s="40">
        <f>RawData!BV221</f>
        <v>0</v>
      </c>
      <c r="O223" s="36">
        <f>RawData!BU221</f>
        <v>0</v>
      </c>
      <c r="P223" s="36">
        <f>RawData!BT221</f>
        <v>0</v>
      </c>
      <c r="Q223" s="36">
        <f>RawData!BS221</f>
        <v>0</v>
      </c>
      <c r="R223" s="36">
        <f>RawData!BR221</f>
        <v>0</v>
      </c>
      <c r="S223" s="37">
        <f>RawData!BQ221</f>
        <v>0</v>
      </c>
      <c r="T223" s="37">
        <f>RawData!BP221</f>
        <v>0</v>
      </c>
      <c r="U223" s="38">
        <f>RawData!BO221</f>
        <v>0</v>
      </c>
      <c r="V223" s="38">
        <f>RawData!BN221</f>
        <v>0</v>
      </c>
      <c r="W223" s="39">
        <f>RawData!BM221</f>
        <v>0</v>
      </c>
      <c r="X223" s="39">
        <f>RawData!BL221</f>
        <v>0</v>
      </c>
      <c r="Y223" s="38">
        <f>RawData!BJ221</f>
        <v>0</v>
      </c>
      <c r="Z223" s="38">
        <f>RawData!BI221</f>
        <v>0</v>
      </c>
      <c r="AA223" s="40">
        <f>RawData!BH221</f>
        <v>0</v>
      </c>
      <c r="AB223" s="40">
        <f>RawData!BG221</f>
        <v>0</v>
      </c>
      <c r="AC223" s="40">
        <f>RawData!BF221</f>
        <v>0</v>
      </c>
      <c r="AD223" s="40">
        <f>RawData!BE221</f>
        <v>0</v>
      </c>
      <c r="AE223" s="40">
        <f>RawData!BD221</f>
        <v>0</v>
      </c>
      <c r="AF223" s="40">
        <f>RawData!BC221</f>
        <v>0</v>
      </c>
      <c r="AG223" s="41">
        <f>RawData!BB221</f>
        <v>0</v>
      </c>
      <c r="AH223" s="42">
        <f>RawData!DB221</f>
        <v>0</v>
      </c>
      <c r="AI223" s="41">
        <f>RawData!BA221</f>
        <v>0</v>
      </c>
      <c r="AJ223" s="43">
        <f>RawData!DA221</f>
        <v>0</v>
      </c>
      <c r="AK223" s="41">
        <f>RawData!AZ221</f>
        <v>0</v>
      </c>
      <c r="AL223" s="42">
        <f>RawData!DD221</f>
        <v>0</v>
      </c>
      <c r="AM223" s="44">
        <f>RawData!DC221</f>
        <v>0</v>
      </c>
      <c r="AN223" s="45">
        <f>RawData!BK221</f>
        <v>0</v>
      </c>
      <c r="AO223" s="44">
        <f>RawData!AY221</f>
        <v>0</v>
      </c>
      <c r="AP223" s="43">
        <f>RawData!DH221</f>
        <v>0</v>
      </c>
      <c r="AQ223" s="43">
        <f>RawData!DE221</f>
        <v>0</v>
      </c>
      <c r="AR223" s="42">
        <f>RawData!CZ221</f>
        <v>0</v>
      </c>
      <c r="AS223" s="44">
        <f>RawData!AX221</f>
        <v>0</v>
      </c>
      <c r="AT223" s="43">
        <f>RawData!CY221</f>
        <v>0</v>
      </c>
      <c r="AU223" s="44">
        <f>RawData!AW221</f>
        <v>0</v>
      </c>
      <c r="AV223" s="46">
        <f>RawData!O221</f>
        <v>0</v>
      </c>
      <c r="AW223" s="44">
        <f>RawData!AV221</f>
        <v>0</v>
      </c>
      <c r="AX223" s="44">
        <f>RawData!CW221</f>
        <v>0</v>
      </c>
      <c r="AY223" s="44">
        <f>RawData!AU221</f>
        <v>0</v>
      </c>
      <c r="AZ223" s="42">
        <f>RawData!CX221</f>
        <v>0</v>
      </c>
      <c r="BA223" s="44">
        <f>RawData!DF221</f>
        <v>0</v>
      </c>
      <c r="BB223" s="43">
        <f>RawData!DI221</f>
        <v>0</v>
      </c>
      <c r="BC223" s="44">
        <f>RawData!AT221</f>
        <v>0</v>
      </c>
      <c r="BD223" s="45">
        <f>RawData!AP221</f>
        <v>0</v>
      </c>
      <c r="BE223" s="44">
        <f>RawData!CS221</f>
        <v>0</v>
      </c>
      <c r="BF223" s="42">
        <f>RawData!CT221</f>
        <v>0</v>
      </c>
      <c r="BG223" s="41">
        <f>RawData!AS221</f>
        <v>0</v>
      </c>
      <c r="BH223" s="41">
        <f>RawData!CU221</f>
        <v>0</v>
      </c>
      <c r="BI223" s="41">
        <f>RawData!AR221</f>
        <v>0</v>
      </c>
      <c r="BJ223" s="42">
        <f>RawData!CV221</f>
        <v>0</v>
      </c>
      <c r="BK223" s="41">
        <f>RawData!AQ221</f>
        <v>0</v>
      </c>
      <c r="BL223" s="40">
        <f>RawData!AO221</f>
        <v>0</v>
      </c>
      <c r="BM223" s="40">
        <f>RawData!AN221</f>
        <v>0</v>
      </c>
      <c r="BN223" s="40">
        <f>RawData!AM221</f>
        <v>0</v>
      </c>
      <c r="BO223" s="40">
        <f>RawData!AL221</f>
        <v>0</v>
      </c>
      <c r="BP223" s="40">
        <f>RawData!AK221</f>
        <v>0</v>
      </c>
      <c r="BQ223" s="40">
        <f>RawData!AJ221</f>
        <v>0</v>
      </c>
      <c r="BR223" s="38">
        <f>RawData!AI221</f>
        <v>0</v>
      </c>
      <c r="BS223" s="38">
        <f>RawData!AH221</f>
        <v>0</v>
      </c>
      <c r="BT223" s="40">
        <f>RawData!AG221</f>
        <v>0</v>
      </c>
      <c r="BU223" s="39">
        <f>RawData!AF221</f>
        <v>0</v>
      </c>
      <c r="BV223" s="39">
        <f>RawData!AE221</f>
        <v>0</v>
      </c>
      <c r="BW223" s="38">
        <f>RawData!AD221</f>
        <v>0</v>
      </c>
      <c r="BX223" s="38">
        <f>RawData!AC221</f>
        <v>0</v>
      </c>
      <c r="BY223" s="37">
        <f>RawData!AB221</f>
        <v>0</v>
      </c>
      <c r="BZ223" s="37">
        <f>RawData!AA221</f>
        <v>0</v>
      </c>
      <c r="CA223" s="36">
        <f>RawData!Z221</f>
        <v>0</v>
      </c>
      <c r="CB223" s="36">
        <f>RawData!Y221</f>
        <v>0</v>
      </c>
      <c r="CC223" s="36">
        <f>RawData!X221</f>
        <v>0</v>
      </c>
      <c r="CD223" s="36">
        <f>RawData!W221</f>
        <v>0</v>
      </c>
      <c r="CE223" s="40">
        <f>RawData!V221</f>
        <v>0</v>
      </c>
      <c r="CF223" s="40">
        <f>RawData!U221</f>
        <v>0</v>
      </c>
      <c r="CG223" s="40">
        <f>RawData!T221</f>
        <v>0</v>
      </c>
      <c r="CH223" s="44">
        <f>RawData!S221</f>
        <v>0</v>
      </c>
      <c r="CI223" s="44">
        <f>RawData!R221</f>
        <v>0</v>
      </c>
      <c r="CJ223" s="44">
        <f>RawData!Q221</f>
        <v>0</v>
      </c>
      <c r="CK223" s="44">
        <f>RawData!P221</f>
        <v>0</v>
      </c>
      <c r="CL223" s="44">
        <f>RawData!CJ221</f>
        <v>0</v>
      </c>
      <c r="CM223" s="43">
        <f>RawData!CI221</f>
        <v>0</v>
      </c>
      <c r="CN223" s="44">
        <f>RawData!CL221</f>
        <v>0</v>
      </c>
      <c r="CO223" s="43">
        <f>RawData!CK221</f>
        <v>0</v>
      </c>
      <c r="CP223" s="44">
        <f>RawData!CM221</f>
        <v>0</v>
      </c>
      <c r="CQ223" s="47">
        <f>RawData!CO221</f>
        <v>0</v>
      </c>
      <c r="CR223" s="44">
        <f>RawData!CP221</f>
        <v>0</v>
      </c>
      <c r="CS223" s="44">
        <f>RawData!DG221</f>
        <v>0</v>
      </c>
      <c r="CT223" s="43">
        <f>RawData!DJ221</f>
        <v>0</v>
      </c>
      <c r="CU223" s="43">
        <f>RawData!CQ221</f>
        <v>0</v>
      </c>
      <c r="CV223" s="47">
        <f>RawData!CR221</f>
        <v>0</v>
      </c>
      <c r="CW223" s="65">
        <f>RawData!DK221</f>
        <v>0</v>
      </c>
      <c r="CX223" s="65">
        <f>RawData!DL221</f>
        <v>0</v>
      </c>
      <c r="CY223" s="65">
        <f>RawData!DM221</f>
        <v>0</v>
      </c>
      <c r="CZ223" s="65">
        <f>RawData!DN221</f>
        <v>0</v>
      </c>
      <c r="DA223" s="65">
        <f>RawData!DO221</f>
        <v>0</v>
      </c>
      <c r="DB223" s="65">
        <f>RawData!DP221</f>
        <v>0</v>
      </c>
      <c r="DC223" s="65">
        <f>RawData!DQ221</f>
        <v>0</v>
      </c>
      <c r="DD223" s="65">
        <f>RawData!DR221</f>
        <v>0</v>
      </c>
      <c r="DE223" s="65">
        <f>RawData!DS221</f>
        <v>0</v>
      </c>
      <c r="DF223" s="65">
        <f>RawData!DT221</f>
        <v>0</v>
      </c>
      <c r="DG223" s="66">
        <f>RawData!DU221</f>
        <v>0</v>
      </c>
      <c r="DI223" s="21">
        <f t="shared" si="3"/>
        <v>0</v>
      </c>
    </row>
    <row r="224" spans="1:113" x14ac:dyDescent="0.2">
      <c r="A224" s="59">
        <f>RawData!CN222</f>
        <v>0</v>
      </c>
      <c r="B224" s="44">
        <f>RawData!CH222</f>
        <v>0</v>
      </c>
      <c r="C224" s="44">
        <f>RawData!CG222</f>
        <v>0</v>
      </c>
      <c r="D224" s="43">
        <f>RawData!CF222</f>
        <v>0</v>
      </c>
      <c r="E224" s="44">
        <f>RawData!CE222</f>
        <v>0</v>
      </c>
      <c r="F224" s="43">
        <f>RawData!CD222</f>
        <v>0</v>
      </c>
      <c r="G224" s="44">
        <f>RawData!CC222</f>
        <v>0</v>
      </c>
      <c r="H224" s="44">
        <f>RawData!CB222</f>
        <v>0</v>
      </c>
      <c r="I224" s="44">
        <f>RawData!CA222</f>
        <v>0</v>
      </c>
      <c r="J224" s="44">
        <f>RawData!BZ222</f>
        <v>0</v>
      </c>
      <c r="K224" s="40">
        <f>RawData!BY222</f>
        <v>0</v>
      </c>
      <c r="L224" s="40">
        <f>RawData!BX222</f>
        <v>0</v>
      </c>
      <c r="M224" s="40">
        <f>RawData!BW222</f>
        <v>0</v>
      </c>
      <c r="N224" s="40">
        <f>RawData!BV222</f>
        <v>0</v>
      </c>
      <c r="O224" s="36">
        <f>RawData!BU222</f>
        <v>0</v>
      </c>
      <c r="P224" s="36">
        <f>RawData!BT222</f>
        <v>0</v>
      </c>
      <c r="Q224" s="36">
        <f>RawData!BS222</f>
        <v>0</v>
      </c>
      <c r="R224" s="36">
        <f>RawData!BR222</f>
        <v>0</v>
      </c>
      <c r="S224" s="37">
        <f>RawData!BQ222</f>
        <v>0</v>
      </c>
      <c r="T224" s="37">
        <f>RawData!BP222</f>
        <v>0</v>
      </c>
      <c r="U224" s="38">
        <f>RawData!BO222</f>
        <v>0</v>
      </c>
      <c r="V224" s="38">
        <f>RawData!BN222</f>
        <v>0</v>
      </c>
      <c r="W224" s="39">
        <f>RawData!BM222</f>
        <v>0</v>
      </c>
      <c r="X224" s="39">
        <f>RawData!BL222</f>
        <v>0</v>
      </c>
      <c r="Y224" s="38">
        <f>RawData!BJ222</f>
        <v>0</v>
      </c>
      <c r="Z224" s="38">
        <f>RawData!BI222</f>
        <v>0</v>
      </c>
      <c r="AA224" s="40">
        <f>RawData!BH222</f>
        <v>0</v>
      </c>
      <c r="AB224" s="40">
        <f>RawData!BG222</f>
        <v>0</v>
      </c>
      <c r="AC224" s="40">
        <f>RawData!BF222</f>
        <v>0</v>
      </c>
      <c r="AD224" s="40">
        <f>RawData!BE222</f>
        <v>0</v>
      </c>
      <c r="AE224" s="40">
        <f>RawData!BD222</f>
        <v>0</v>
      </c>
      <c r="AF224" s="40">
        <f>RawData!BC222</f>
        <v>0</v>
      </c>
      <c r="AG224" s="41">
        <f>RawData!BB222</f>
        <v>0</v>
      </c>
      <c r="AH224" s="42">
        <f>RawData!DB222</f>
        <v>0</v>
      </c>
      <c r="AI224" s="41">
        <f>RawData!BA222</f>
        <v>0</v>
      </c>
      <c r="AJ224" s="43">
        <f>RawData!DA222</f>
        <v>0</v>
      </c>
      <c r="AK224" s="41">
        <f>RawData!AZ222</f>
        <v>0</v>
      </c>
      <c r="AL224" s="42">
        <f>RawData!DD222</f>
        <v>0</v>
      </c>
      <c r="AM224" s="44">
        <f>RawData!DC222</f>
        <v>0</v>
      </c>
      <c r="AN224" s="45">
        <f>RawData!BK222</f>
        <v>0</v>
      </c>
      <c r="AO224" s="44">
        <f>RawData!AY222</f>
        <v>0</v>
      </c>
      <c r="AP224" s="43">
        <f>RawData!DH222</f>
        <v>0</v>
      </c>
      <c r="AQ224" s="43">
        <f>RawData!DE222</f>
        <v>0</v>
      </c>
      <c r="AR224" s="42">
        <f>RawData!CZ222</f>
        <v>0</v>
      </c>
      <c r="AS224" s="44">
        <f>RawData!AX222</f>
        <v>0</v>
      </c>
      <c r="AT224" s="43">
        <f>RawData!CY222</f>
        <v>0</v>
      </c>
      <c r="AU224" s="44">
        <f>RawData!AW222</f>
        <v>0</v>
      </c>
      <c r="AV224" s="46">
        <f>RawData!O222</f>
        <v>0</v>
      </c>
      <c r="AW224" s="44">
        <f>RawData!AV222</f>
        <v>0</v>
      </c>
      <c r="AX224" s="44">
        <f>RawData!CW222</f>
        <v>0</v>
      </c>
      <c r="AY224" s="44">
        <f>RawData!AU222</f>
        <v>0</v>
      </c>
      <c r="AZ224" s="42">
        <f>RawData!CX222</f>
        <v>0</v>
      </c>
      <c r="BA224" s="44">
        <f>RawData!DF222</f>
        <v>0</v>
      </c>
      <c r="BB224" s="43">
        <f>RawData!DI222</f>
        <v>0</v>
      </c>
      <c r="BC224" s="44">
        <f>RawData!AT222</f>
        <v>0</v>
      </c>
      <c r="BD224" s="45">
        <f>RawData!AP222</f>
        <v>0</v>
      </c>
      <c r="BE224" s="44">
        <f>RawData!CS222</f>
        <v>0</v>
      </c>
      <c r="BF224" s="42">
        <f>RawData!CT222</f>
        <v>0</v>
      </c>
      <c r="BG224" s="41">
        <f>RawData!AS222</f>
        <v>0</v>
      </c>
      <c r="BH224" s="41">
        <f>RawData!CU222</f>
        <v>0</v>
      </c>
      <c r="BI224" s="41">
        <f>RawData!AR222</f>
        <v>0</v>
      </c>
      <c r="BJ224" s="42">
        <f>RawData!CV222</f>
        <v>0</v>
      </c>
      <c r="BK224" s="41">
        <f>RawData!AQ222</f>
        <v>0</v>
      </c>
      <c r="BL224" s="40">
        <f>RawData!AO222</f>
        <v>0</v>
      </c>
      <c r="BM224" s="40">
        <f>RawData!AN222</f>
        <v>0</v>
      </c>
      <c r="BN224" s="40">
        <f>RawData!AM222</f>
        <v>0</v>
      </c>
      <c r="BO224" s="40">
        <f>RawData!AL222</f>
        <v>0</v>
      </c>
      <c r="BP224" s="40">
        <f>RawData!AK222</f>
        <v>0</v>
      </c>
      <c r="BQ224" s="40">
        <f>RawData!AJ222</f>
        <v>0</v>
      </c>
      <c r="BR224" s="38">
        <f>RawData!AI222</f>
        <v>0</v>
      </c>
      <c r="BS224" s="38">
        <f>RawData!AH222</f>
        <v>0</v>
      </c>
      <c r="BT224" s="40">
        <f>RawData!AG222</f>
        <v>0</v>
      </c>
      <c r="BU224" s="39">
        <f>RawData!AF222</f>
        <v>0</v>
      </c>
      <c r="BV224" s="39">
        <f>RawData!AE222</f>
        <v>0</v>
      </c>
      <c r="BW224" s="38">
        <f>RawData!AD222</f>
        <v>0</v>
      </c>
      <c r="BX224" s="38">
        <f>RawData!AC222</f>
        <v>0</v>
      </c>
      <c r="BY224" s="37">
        <f>RawData!AB222</f>
        <v>0</v>
      </c>
      <c r="BZ224" s="37">
        <f>RawData!AA222</f>
        <v>0</v>
      </c>
      <c r="CA224" s="36">
        <f>RawData!Z222</f>
        <v>0</v>
      </c>
      <c r="CB224" s="36">
        <f>RawData!Y222</f>
        <v>0</v>
      </c>
      <c r="CC224" s="36">
        <f>RawData!X222</f>
        <v>0</v>
      </c>
      <c r="CD224" s="36">
        <f>RawData!W222</f>
        <v>0</v>
      </c>
      <c r="CE224" s="40">
        <f>RawData!V222</f>
        <v>0</v>
      </c>
      <c r="CF224" s="40">
        <f>RawData!U222</f>
        <v>0</v>
      </c>
      <c r="CG224" s="40">
        <f>RawData!T222</f>
        <v>0</v>
      </c>
      <c r="CH224" s="44">
        <f>RawData!S222</f>
        <v>0</v>
      </c>
      <c r="CI224" s="44">
        <f>RawData!R222</f>
        <v>0</v>
      </c>
      <c r="CJ224" s="44">
        <f>RawData!Q222</f>
        <v>0</v>
      </c>
      <c r="CK224" s="44">
        <f>RawData!P222</f>
        <v>0</v>
      </c>
      <c r="CL224" s="44">
        <f>RawData!CJ222</f>
        <v>0</v>
      </c>
      <c r="CM224" s="43">
        <f>RawData!CI222</f>
        <v>0</v>
      </c>
      <c r="CN224" s="44">
        <f>RawData!CL222</f>
        <v>0</v>
      </c>
      <c r="CO224" s="43">
        <f>RawData!CK222</f>
        <v>0</v>
      </c>
      <c r="CP224" s="44">
        <f>RawData!CM222</f>
        <v>0</v>
      </c>
      <c r="CQ224" s="47">
        <f>RawData!CO222</f>
        <v>0</v>
      </c>
      <c r="CR224" s="44">
        <f>RawData!CP222</f>
        <v>0</v>
      </c>
      <c r="CS224" s="44">
        <f>RawData!DG222</f>
        <v>0</v>
      </c>
      <c r="CT224" s="43">
        <f>RawData!DJ222</f>
        <v>0</v>
      </c>
      <c r="CU224" s="43">
        <f>RawData!CQ222</f>
        <v>0</v>
      </c>
      <c r="CV224" s="47">
        <f>RawData!CR222</f>
        <v>0</v>
      </c>
      <c r="CW224" s="65">
        <f>RawData!DK222</f>
        <v>0</v>
      </c>
      <c r="CX224" s="65">
        <f>RawData!DL222</f>
        <v>0</v>
      </c>
      <c r="CY224" s="65">
        <f>RawData!DM222</f>
        <v>0</v>
      </c>
      <c r="CZ224" s="65">
        <f>RawData!DN222</f>
        <v>0</v>
      </c>
      <c r="DA224" s="65">
        <f>RawData!DO222</f>
        <v>0</v>
      </c>
      <c r="DB224" s="65">
        <f>RawData!DP222</f>
        <v>0</v>
      </c>
      <c r="DC224" s="65">
        <f>RawData!DQ222</f>
        <v>0</v>
      </c>
      <c r="DD224" s="65">
        <f>RawData!DR222</f>
        <v>0</v>
      </c>
      <c r="DE224" s="65">
        <f>RawData!DS222</f>
        <v>0</v>
      </c>
      <c r="DF224" s="65">
        <f>RawData!DT222</f>
        <v>0</v>
      </c>
      <c r="DG224" s="66">
        <f>RawData!DU222</f>
        <v>0</v>
      </c>
      <c r="DI224" s="21">
        <f t="shared" si="3"/>
        <v>0</v>
      </c>
    </row>
    <row r="225" spans="1:113" x14ac:dyDescent="0.2">
      <c r="A225" s="59">
        <f>RawData!CN223</f>
        <v>0</v>
      </c>
      <c r="B225" s="44">
        <f>RawData!CH223</f>
        <v>0</v>
      </c>
      <c r="C225" s="44">
        <f>RawData!CG223</f>
        <v>0</v>
      </c>
      <c r="D225" s="43">
        <f>RawData!CF223</f>
        <v>0</v>
      </c>
      <c r="E225" s="44">
        <f>RawData!CE223</f>
        <v>0</v>
      </c>
      <c r="F225" s="43">
        <f>RawData!CD223</f>
        <v>0</v>
      </c>
      <c r="G225" s="44">
        <f>RawData!CC223</f>
        <v>0</v>
      </c>
      <c r="H225" s="44">
        <f>RawData!CB223</f>
        <v>0</v>
      </c>
      <c r="I225" s="44">
        <f>RawData!CA223</f>
        <v>0</v>
      </c>
      <c r="J225" s="44">
        <f>RawData!BZ223</f>
        <v>0</v>
      </c>
      <c r="K225" s="40">
        <f>RawData!BY223</f>
        <v>0</v>
      </c>
      <c r="L225" s="40">
        <f>RawData!BX223</f>
        <v>0</v>
      </c>
      <c r="M225" s="40">
        <f>RawData!BW223</f>
        <v>0</v>
      </c>
      <c r="N225" s="40">
        <f>RawData!BV223</f>
        <v>0</v>
      </c>
      <c r="O225" s="36">
        <f>RawData!BU223</f>
        <v>0</v>
      </c>
      <c r="P225" s="36">
        <f>RawData!BT223</f>
        <v>0</v>
      </c>
      <c r="Q225" s="36">
        <f>RawData!BS223</f>
        <v>0</v>
      </c>
      <c r="R225" s="36">
        <f>RawData!BR223</f>
        <v>0</v>
      </c>
      <c r="S225" s="37">
        <f>RawData!BQ223</f>
        <v>0</v>
      </c>
      <c r="T225" s="37">
        <f>RawData!BP223</f>
        <v>0</v>
      </c>
      <c r="U225" s="38">
        <f>RawData!BO223</f>
        <v>0</v>
      </c>
      <c r="V225" s="38">
        <f>RawData!BN223</f>
        <v>0</v>
      </c>
      <c r="W225" s="39">
        <f>RawData!BM223</f>
        <v>0</v>
      </c>
      <c r="X225" s="39">
        <f>RawData!BL223</f>
        <v>0</v>
      </c>
      <c r="Y225" s="38">
        <f>RawData!BJ223</f>
        <v>0</v>
      </c>
      <c r="Z225" s="38">
        <f>RawData!BI223</f>
        <v>0</v>
      </c>
      <c r="AA225" s="40">
        <f>RawData!BH223</f>
        <v>0</v>
      </c>
      <c r="AB225" s="40">
        <f>RawData!BG223</f>
        <v>0</v>
      </c>
      <c r="AC225" s="40">
        <f>RawData!BF223</f>
        <v>0</v>
      </c>
      <c r="AD225" s="40">
        <f>RawData!BE223</f>
        <v>0</v>
      </c>
      <c r="AE225" s="40">
        <f>RawData!BD223</f>
        <v>0</v>
      </c>
      <c r="AF225" s="40">
        <f>RawData!BC223</f>
        <v>0</v>
      </c>
      <c r="AG225" s="41">
        <f>RawData!BB223</f>
        <v>0</v>
      </c>
      <c r="AH225" s="42">
        <f>RawData!DB223</f>
        <v>0</v>
      </c>
      <c r="AI225" s="41">
        <f>RawData!BA223</f>
        <v>0</v>
      </c>
      <c r="AJ225" s="43">
        <f>RawData!DA223</f>
        <v>0</v>
      </c>
      <c r="AK225" s="41">
        <f>RawData!AZ223</f>
        <v>0</v>
      </c>
      <c r="AL225" s="42">
        <f>RawData!DD223</f>
        <v>0</v>
      </c>
      <c r="AM225" s="44">
        <f>RawData!DC223</f>
        <v>0</v>
      </c>
      <c r="AN225" s="45">
        <f>RawData!BK223</f>
        <v>0</v>
      </c>
      <c r="AO225" s="44">
        <f>RawData!AY223</f>
        <v>0</v>
      </c>
      <c r="AP225" s="43">
        <f>RawData!DH223</f>
        <v>0</v>
      </c>
      <c r="AQ225" s="43">
        <f>RawData!DE223</f>
        <v>0</v>
      </c>
      <c r="AR225" s="42">
        <f>RawData!CZ223</f>
        <v>0</v>
      </c>
      <c r="AS225" s="44">
        <f>RawData!AX223</f>
        <v>0</v>
      </c>
      <c r="AT225" s="43">
        <f>RawData!CY223</f>
        <v>0</v>
      </c>
      <c r="AU225" s="44">
        <f>RawData!AW223</f>
        <v>0</v>
      </c>
      <c r="AV225" s="46">
        <f>RawData!O223</f>
        <v>0</v>
      </c>
      <c r="AW225" s="44">
        <f>RawData!AV223</f>
        <v>0</v>
      </c>
      <c r="AX225" s="44">
        <f>RawData!CW223</f>
        <v>0</v>
      </c>
      <c r="AY225" s="44">
        <f>RawData!AU223</f>
        <v>0</v>
      </c>
      <c r="AZ225" s="42">
        <f>RawData!CX223</f>
        <v>0</v>
      </c>
      <c r="BA225" s="44">
        <f>RawData!DF223</f>
        <v>0</v>
      </c>
      <c r="BB225" s="43">
        <f>RawData!DI223</f>
        <v>0</v>
      </c>
      <c r="BC225" s="44">
        <f>RawData!AT223</f>
        <v>0</v>
      </c>
      <c r="BD225" s="45">
        <f>RawData!AP223</f>
        <v>0</v>
      </c>
      <c r="BE225" s="44">
        <f>RawData!CS223</f>
        <v>0</v>
      </c>
      <c r="BF225" s="42">
        <f>RawData!CT223</f>
        <v>0</v>
      </c>
      <c r="BG225" s="41">
        <f>RawData!AS223</f>
        <v>0</v>
      </c>
      <c r="BH225" s="41">
        <f>RawData!CU223</f>
        <v>0</v>
      </c>
      <c r="BI225" s="41">
        <f>RawData!AR223</f>
        <v>0</v>
      </c>
      <c r="BJ225" s="42">
        <f>RawData!CV223</f>
        <v>0</v>
      </c>
      <c r="BK225" s="41">
        <f>RawData!AQ223</f>
        <v>0</v>
      </c>
      <c r="BL225" s="40">
        <f>RawData!AO223</f>
        <v>0</v>
      </c>
      <c r="BM225" s="40">
        <f>RawData!AN223</f>
        <v>0</v>
      </c>
      <c r="BN225" s="40">
        <f>RawData!AM223</f>
        <v>0</v>
      </c>
      <c r="BO225" s="40">
        <f>RawData!AL223</f>
        <v>0</v>
      </c>
      <c r="BP225" s="40">
        <f>RawData!AK223</f>
        <v>0</v>
      </c>
      <c r="BQ225" s="40">
        <f>RawData!AJ223</f>
        <v>0</v>
      </c>
      <c r="BR225" s="38">
        <f>RawData!AI223</f>
        <v>0</v>
      </c>
      <c r="BS225" s="38">
        <f>RawData!AH223</f>
        <v>0</v>
      </c>
      <c r="BT225" s="40">
        <f>RawData!AG223</f>
        <v>0</v>
      </c>
      <c r="BU225" s="39">
        <f>RawData!AF223</f>
        <v>0</v>
      </c>
      <c r="BV225" s="39">
        <f>RawData!AE223</f>
        <v>0</v>
      </c>
      <c r="BW225" s="38">
        <f>RawData!AD223</f>
        <v>0</v>
      </c>
      <c r="BX225" s="38">
        <f>RawData!AC223</f>
        <v>0</v>
      </c>
      <c r="BY225" s="37">
        <f>RawData!AB223</f>
        <v>0</v>
      </c>
      <c r="BZ225" s="37">
        <f>RawData!AA223</f>
        <v>0</v>
      </c>
      <c r="CA225" s="36">
        <f>RawData!Z223</f>
        <v>0</v>
      </c>
      <c r="CB225" s="36">
        <f>RawData!Y223</f>
        <v>0</v>
      </c>
      <c r="CC225" s="36">
        <f>RawData!X223</f>
        <v>0</v>
      </c>
      <c r="CD225" s="36">
        <f>RawData!W223</f>
        <v>0</v>
      </c>
      <c r="CE225" s="40">
        <f>RawData!V223</f>
        <v>0</v>
      </c>
      <c r="CF225" s="40">
        <f>RawData!U223</f>
        <v>0</v>
      </c>
      <c r="CG225" s="40">
        <f>RawData!T223</f>
        <v>0</v>
      </c>
      <c r="CH225" s="44">
        <f>RawData!S223</f>
        <v>0</v>
      </c>
      <c r="CI225" s="44">
        <f>RawData!R223</f>
        <v>0</v>
      </c>
      <c r="CJ225" s="44">
        <f>RawData!Q223</f>
        <v>0</v>
      </c>
      <c r="CK225" s="44">
        <f>RawData!P223</f>
        <v>0</v>
      </c>
      <c r="CL225" s="44">
        <f>RawData!CJ223</f>
        <v>0</v>
      </c>
      <c r="CM225" s="43">
        <f>RawData!CI223</f>
        <v>0</v>
      </c>
      <c r="CN225" s="44">
        <f>RawData!CL223</f>
        <v>0</v>
      </c>
      <c r="CO225" s="43">
        <f>RawData!CK223</f>
        <v>0</v>
      </c>
      <c r="CP225" s="44">
        <f>RawData!CM223</f>
        <v>0</v>
      </c>
      <c r="CQ225" s="47">
        <f>RawData!CO223</f>
        <v>0</v>
      </c>
      <c r="CR225" s="44">
        <f>RawData!CP223</f>
        <v>0</v>
      </c>
      <c r="CS225" s="44">
        <f>RawData!DG223</f>
        <v>0</v>
      </c>
      <c r="CT225" s="43">
        <f>RawData!DJ223</f>
        <v>0</v>
      </c>
      <c r="CU225" s="43">
        <f>RawData!CQ223</f>
        <v>0</v>
      </c>
      <c r="CV225" s="47">
        <f>RawData!CR223</f>
        <v>0</v>
      </c>
      <c r="CW225" s="65">
        <f>RawData!DK223</f>
        <v>0</v>
      </c>
      <c r="CX225" s="65">
        <f>RawData!DL223</f>
        <v>0</v>
      </c>
      <c r="CY225" s="65">
        <f>RawData!DM223</f>
        <v>0</v>
      </c>
      <c r="CZ225" s="65">
        <f>RawData!DN223</f>
        <v>0</v>
      </c>
      <c r="DA225" s="65">
        <f>RawData!DO223</f>
        <v>0</v>
      </c>
      <c r="DB225" s="65">
        <f>RawData!DP223</f>
        <v>0</v>
      </c>
      <c r="DC225" s="65">
        <f>RawData!DQ223</f>
        <v>0</v>
      </c>
      <c r="DD225" s="65">
        <f>RawData!DR223</f>
        <v>0</v>
      </c>
      <c r="DE225" s="65">
        <f>RawData!DS223</f>
        <v>0</v>
      </c>
      <c r="DF225" s="65">
        <f>RawData!DT223</f>
        <v>0</v>
      </c>
      <c r="DG225" s="66">
        <f>RawData!DU223</f>
        <v>0</v>
      </c>
      <c r="DI225" s="21">
        <f t="shared" si="3"/>
        <v>0</v>
      </c>
    </row>
    <row r="226" spans="1:113" x14ac:dyDescent="0.2">
      <c r="A226" s="59">
        <f>RawData!CN224</f>
        <v>0</v>
      </c>
      <c r="B226" s="44">
        <f>RawData!CH224</f>
        <v>0</v>
      </c>
      <c r="C226" s="44">
        <f>RawData!CG224</f>
        <v>0</v>
      </c>
      <c r="D226" s="43">
        <f>RawData!CF224</f>
        <v>0</v>
      </c>
      <c r="E226" s="44">
        <f>RawData!CE224</f>
        <v>0</v>
      </c>
      <c r="F226" s="43">
        <f>RawData!CD224</f>
        <v>0</v>
      </c>
      <c r="G226" s="44">
        <f>RawData!CC224</f>
        <v>0</v>
      </c>
      <c r="H226" s="44">
        <f>RawData!CB224</f>
        <v>0</v>
      </c>
      <c r="I226" s="44">
        <f>RawData!CA224</f>
        <v>0</v>
      </c>
      <c r="J226" s="44">
        <f>RawData!BZ224</f>
        <v>0</v>
      </c>
      <c r="K226" s="40">
        <f>RawData!BY224</f>
        <v>0</v>
      </c>
      <c r="L226" s="40">
        <f>RawData!BX224</f>
        <v>0</v>
      </c>
      <c r="M226" s="40">
        <f>RawData!BW224</f>
        <v>0</v>
      </c>
      <c r="N226" s="40">
        <f>RawData!BV224</f>
        <v>0</v>
      </c>
      <c r="O226" s="36">
        <f>RawData!BU224</f>
        <v>0</v>
      </c>
      <c r="P226" s="36">
        <f>RawData!BT224</f>
        <v>0</v>
      </c>
      <c r="Q226" s="36">
        <f>RawData!BS224</f>
        <v>0</v>
      </c>
      <c r="R226" s="36">
        <f>RawData!BR224</f>
        <v>0</v>
      </c>
      <c r="S226" s="37">
        <f>RawData!BQ224</f>
        <v>0</v>
      </c>
      <c r="T226" s="37">
        <f>RawData!BP224</f>
        <v>0</v>
      </c>
      <c r="U226" s="38">
        <f>RawData!BO224</f>
        <v>0</v>
      </c>
      <c r="V226" s="38">
        <f>RawData!BN224</f>
        <v>0</v>
      </c>
      <c r="W226" s="39">
        <f>RawData!BM224</f>
        <v>0</v>
      </c>
      <c r="X226" s="39">
        <f>RawData!BL224</f>
        <v>0</v>
      </c>
      <c r="Y226" s="38">
        <f>RawData!BJ224</f>
        <v>0</v>
      </c>
      <c r="Z226" s="38">
        <f>RawData!BI224</f>
        <v>0</v>
      </c>
      <c r="AA226" s="40">
        <f>RawData!BH224</f>
        <v>0</v>
      </c>
      <c r="AB226" s="40">
        <f>RawData!BG224</f>
        <v>0</v>
      </c>
      <c r="AC226" s="40">
        <f>RawData!BF224</f>
        <v>0</v>
      </c>
      <c r="AD226" s="40">
        <f>RawData!BE224</f>
        <v>0</v>
      </c>
      <c r="AE226" s="40">
        <f>RawData!BD224</f>
        <v>0</v>
      </c>
      <c r="AF226" s="40">
        <f>RawData!BC224</f>
        <v>0</v>
      </c>
      <c r="AG226" s="41">
        <f>RawData!BB224</f>
        <v>0</v>
      </c>
      <c r="AH226" s="42">
        <f>RawData!DB224</f>
        <v>0</v>
      </c>
      <c r="AI226" s="41">
        <f>RawData!BA224</f>
        <v>0</v>
      </c>
      <c r="AJ226" s="43">
        <f>RawData!DA224</f>
        <v>0</v>
      </c>
      <c r="AK226" s="41">
        <f>RawData!AZ224</f>
        <v>0</v>
      </c>
      <c r="AL226" s="42">
        <f>RawData!DD224</f>
        <v>0</v>
      </c>
      <c r="AM226" s="44">
        <f>RawData!DC224</f>
        <v>0</v>
      </c>
      <c r="AN226" s="45">
        <f>RawData!BK224</f>
        <v>0</v>
      </c>
      <c r="AO226" s="44">
        <f>RawData!AY224</f>
        <v>0</v>
      </c>
      <c r="AP226" s="43">
        <f>RawData!DH224</f>
        <v>0</v>
      </c>
      <c r="AQ226" s="43">
        <f>RawData!DE224</f>
        <v>0</v>
      </c>
      <c r="AR226" s="42">
        <f>RawData!CZ224</f>
        <v>0</v>
      </c>
      <c r="AS226" s="44">
        <f>RawData!AX224</f>
        <v>0</v>
      </c>
      <c r="AT226" s="43">
        <f>RawData!CY224</f>
        <v>0</v>
      </c>
      <c r="AU226" s="44">
        <f>RawData!AW224</f>
        <v>0</v>
      </c>
      <c r="AV226" s="46">
        <f>RawData!O224</f>
        <v>0</v>
      </c>
      <c r="AW226" s="44">
        <f>RawData!AV224</f>
        <v>0</v>
      </c>
      <c r="AX226" s="44">
        <f>RawData!CW224</f>
        <v>0</v>
      </c>
      <c r="AY226" s="44">
        <f>RawData!AU224</f>
        <v>0</v>
      </c>
      <c r="AZ226" s="42">
        <f>RawData!CX224</f>
        <v>0</v>
      </c>
      <c r="BA226" s="44">
        <f>RawData!DF224</f>
        <v>0</v>
      </c>
      <c r="BB226" s="43">
        <f>RawData!DI224</f>
        <v>0</v>
      </c>
      <c r="BC226" s="44">
        <f>RawData!AT224</f>
        <v>0</v>
      </c>
      <c r="BD226" s="45">
        <f>RawData!AP224</f>
        <v>0</v>
      </c>
      <c r="BE226" s="44">
        <f>RawData!CS224</f>
        <v>0</v>
      </c>
      <c r="BF226" s="42">
        <f>RawData!CT224</f>
        <v>0</v>
      </c>
      <c r="BG226" s="41">
        <f>RawData!AS224</f>
        <v>0</v>
      </c>
      <c r="BH226" s="41">
        <f>RawData!CU224</f>
        <v>0</v>
      </c>
      <c r="BI226" s="41">
        <f>RawData!AR224</f>
        <v>0</v>
      </c>
      <c r="BJ226" s="42">
        <f>RawData!CV224</f>
        <v>0</v>
      </c>
      <c r="BK226" s="41">
        <f>RawData!AQ224</f>
        <v>0</v>
      </c>
      <c r="BL226" s="40">
        <f>RawData!AO224</f>
        <v>0</v>
      </c>
      <c r="BM226" s="40">
        <f>RawData!AN224</f>
        <v>0</v>
      </c>
      <c r="BN226" s="40">
        <f>RawData!AM224</f>
        <v>0</v>
      </c>
      <c r="BO226" s="40">
        <f>RawData!AL224</f>
        <v>0</v>
      </c>
      <c r="BP226" s="40">
        <f>RawData!AK224</f>
        <v>0</v>
      </c>
      <c r="BQ226" s="40">
        <f>RawData!AJ224</f>
        <v>0</v>
      </c>
      <c r="BR226" s="38">
        <f>RawData!AI224</f>
        <v>0</v>
      </c>
      <c r="BS226" s="38">
        <f>RawData!AH224</f>
        <v>0</v>
      </c>
      <c r="BT226" s="40">
        <f>RawData!AG224</f>
        <v>0</v>
      </c>
      <c r="BU226" s="39">
        <f>RawData!AF224</f>
        <v>0</v>
      </c>
      <c r="BV226" s="39">
        <f>RawData!AE224</f>
        <v>0</v>
      </c>
      <c r="BW226" s="38">
        <f>RawData!AD224</f>
        <v>0</v>
      </c>
      <c r="BX226" s="38">
        <f>RawData!AC224</f>
        <v>0</v>
      </c>
      <c r="BY226" s="37">
        <f>RawData!AB224</f>
        <v>0</v>
      </c>
      <c r="BZ226" s="37">
        <f>RawData!AA224</f>
        <v>0</v>
      </c>
      <c r="CA226" s="36">
        <f>RawData!Z224</f>
        <v>0</v>
      </c>
      <c r="CB226" s="36">
        <f>RawData!Y224</f>
        <v>0</v>
      </c>
      <c r="CC226" s="36">
        <f>RawData!X224</f>
        <v>0</v>
      </c>
      <c r="CD226" s="36">
        <f>RawData!W224</f>
        <v>0</v>
      </c>
      <c r="CE226" s="40">
        <f>RawData!V224</f>
        <v>0</v>
      </c>
      <c r="CF226" s="40">
        <f>RawData!U224</f>
        <v>0</v>
      </c>
      <c r="CG226" s="40">
        <f>RawData!T224</f>
        <v>0</v>
      </c>
      <c r="CH226" s="44">
        <f>RawData!S224</f>
        <v>0</v>
      </c>
      <c r="CI226" s="44">
        <f>RawData!R224</f>
        <v>0</v>
      </c>
      <c r="CJ226" s="44">
        <f>RawData!Q224</f>
        <v>0</v>
      </c>
      <c r="CK226" s="44">
        <f>RawData!P224</f>
        <v>0</v>
      </c>
      <c r="CL226" s="44">
        <f>RawData!CJ224</f>
        <v>0</v>
      </c>
      <c r="CM226" s="43">
        <f>RawData!CI224</f>
        <v>0</v>
      </c>
      <c r="CN226" s="44">
        <f>RawData!CL224</f>
        <v>0</v>
      </c>
      <c r="CO226" s="43">
        <f>RawData!CK224</f>
        <v>0</v>
      </c>
      <c r="CP226" s="44">
        <f>RawData!CM224</f>
        <v>0</v>
      </c>
      <c r="CQ226" s="47">
        <f>RawData!CO224</f>
        <v>0</v>
      </c>
      <c r="CR226" s="44">
        <f>RawData!CP224</f>
        <v>0</v>
      </c>
      <c r="CS226" s="44">
        <f>RawData!DG224</f>
        <v>0</v>
      </c>
      <c r="CT226" s="43">
        <f>RawData!DJ224</f>
        <v>0</v>
      </c>
      <c r="CU226" s="43">
        <f>RawData!CQ224</f>
        <v>0</v>
      </c>
      <c r="CV226" s="47">
        <f>RawData!CR224</f>
        <v>0</v>
      </c>
      <c r="CW226" s="65">
        <f>RawData!DK224</f>
        <v>0</v>
      </c>
      <c r="CX226" s="65">
        <f>RawData!DL224</f>
        <v>0</v>
      </c>
      <c r="CY226" s="65">
        <f>RawData!DM224</f>
        <v>0</v>
      </c>
      <c r="CZ226" s="65">
        <f>RawData!DN224</f>
        <v>0</v>
      </c>
      <c r="DA226" s="65">
        <f>RawData!DO224</f>
        <v>0</v>
      </c>
      <c r="DB226" s="65">
        <f>RawData!DP224</f>
        <v>0</v>
      </c>
      <c r="DC226" s="65">
        <f>RawData!DQ224</f>
        <v>0</v>
      </c>
      <c r="DD226" s="65">
        <f>RawData!DR224</f>
        <v>0</v>
      </c>
      <c r="DE226" s="65">
        <f>RawData!DS224</f>
        <v>0</v>
      </c>
      <c r="DF226" s="65">
        <f>RawData!DT224</f>
        <v>0</v>
      </c>
      <c r="DG226" s="66">
        <f>RawData!DU224</f>
        <v>0</v>
      </c>
      <c r="DI226" s="21">
        <f t="shared" si="3"/>
        <v>0</v>
      </c>
    </row>
    <row r="227" spans="1:113" x14ac:dyDescent="0.2">
      <c r="A227" s="59">
        <f>RawData!CN225</f>
        <v>0</v>
      </c>
      <c r="B227" s="44">
        <f>RawData!CH225</f>
        <v>0</v>
      </c>
      <c r="C227" s="44">
        <f>RawData!CG225</f>
        <v>0</v>
      </c>
      <c r="D227" s="43">
        <f>RawData!CF225</f>
        <v>0</v>
      </c>
      <c r="E227" s="44">
        <f>RawData!CE225</f>
        <v>0</v>
      </c>
      <c r="F227" s="43">
        <f>RawData!CD225</f>
        <v>0</v>
      </c>
      <c r="G227" s="44">
        <f>RawData!CC225</f>
        <v>0</v>
      </c>
      <c r="H227" s="44">
        <f>RawData!CB225</f>
        <v>0</v>
      </c>
      <c r="I227" s="44">
        <f>RawData!CA225</f>
        <v>0</v>
      </c>
      <c r="J227" s="44">
        <f>RawData!BZ225</f>
        <v>0</v>
      </c>
      <c r="K227" s="40">
        <f>RawData!BY225</f>
        <v>0</v>
      </c>
      <c r="L227" s="40">
        <f>RawData!BX225</f>
        <v>0</v>
      </c>
      <c r="M227" s="40">
        <f>RawData!BW225</f>
        <v>0</v>
      </c>
      <c r="N227" s="40">
        <f>RawData!BV225</f>
        <v>0</v>
      </c>
      <c r="O227" s="36">
        <f>RawData!BU225</f>
        <v>0</v>
      </c>
      <c r="P227" s="36">
        <f>RawData!BT225</f>
        <v>0</v>
      </c>
      <c r="Q227" s="36">
        <f>RawData!BS225</f>
        <v>0</v>
      </c>
      <c r="R227" s="36">
        <f>RawData!BR225</f>
        <v>0</v>
      </c>
      <c r="S227" s="37">
        <f>RawData!BQ225</f>
        <v>0</v>
      </c>
      <c r="T227" s="37">
        <f>RawData!BP225</f>
        <v>0</v>
      </c>
      <c r="U227" s="38">
        <f>RawData!BO225</f>
        <v>0</v>
      </c>
      <c r="V227" s="38">
        <f>RawData!BN225</f>
        <v>0</v>
      </c>
      <c r="W227" s="39">
        <f>RawData!BM225</f>
        <v>0</v>
      </c>
      <c r="X227" s="39">
        <f>RawData!BL225</f>
        <v>0</v>
      </c>
      <c r="Y227" s="38">
        <f>RawData!BJ225</f>
        <v>0</v>
      </c>
      <c r="Z227" s="38">
        <f>RawData!BI225</f>
        <v>0</v>
      </c>
      <c r="AA227" s="40">
        <f>RawData!BH225</f>
        <v>0</v>
      </c>
      <c r="AB227" s="40">
        <f>RawData!BG225</f>
        <v>0</v>
      </c>
      <c r="AC227" s="40">
        <f>RawData!BF225</f>
        <v>0</v>
      </c>
      <c r="AD227" s="40">
        <f>RawData!BE225</f>
        <v>0</v>
      </c>
      <c r="AE227" s="40">
        <f>RawData!BD225</f>
        <v>0</v>
      </c>
      <c r="AF227" s="40">
        <f>RawData!BC225</f>
        <v>0</v>
      </c>
      <c r="AG227" s="41">
        <f>RawData!BB225</f>
        <v>0</v>
      </c>
      <c r="AH227" s="42">
        <f>RawData!DB225</f>
        <v>0</v>
      </c>
      <c r="AI227" s="41">
        <f>RawData!BA225</f>
        <v>0</v>
      </c>
      <c r="AJ227" s="43">
        <f>RawData!DA225</f>
        <v>0</v>
      </c>
      <c r="AK227" s="41">
        <f>RawData!AZ225</f>
        <v>0</v>
      </c>
      <c r="AL227" s="42">
        <f>RawData!DD225</f>
        <v>0</v>
      </c>
      <c r="AM227" s="44">
        <f>RawData!DC225</f>
        <v>0</v>
      </c>
      <c r="AN227" s="45">
        <f>RawData!BK225</f>
        <v>0</v>
      </c>
      <c r="AO227" s="44">
        <f>RawData!AY225</f>
        <v>0</v>
      </c>
      <c r="AP227" s="43">
        <f>RawData!DH225</f>
        <v>0</v>
      </c>
      <c r="AQ227" s="43">
        <f>RawData!DE225</f>
        <v>0</v>
      </c>
      <c r="AR227" s="42">
        <f>RawData!CZ225</f>
        <v>0</v>
      </c>
      <c r="AS227" s="44">
        <f>RawData!AX225</f>
        <v>0</v>
      </c>
      <c r="AT227" s="43">
        <f>RawData!CY225</f>
        <v>0</v>
      </c>
      <c r="AU227" s="44">
        <f>RawData!AW225</f>
        <v>0</v>
      </c>
      <c r="AV227" s="46">
        <f>RawData!O225</f>
        <v>0</v>
      </c>
      <c r="AW227" s="44">
        <f>RawData!AV225</f>
        <v>0</v>
      </c>
      <c r="AX227" s="44">
        <f>RawData!CW225</f>
        <v>0</v>
      </c>
      <c r="AY227" s="44">
        <f>RawData!AU225</f>
        <v>0</v>
      </c>
      <c r="AZ227" s="42">
        <f>RawData!CX225</f>
        <v>0</v>
      </c>
      <c r="BA227" s="44">
        <f>RawData!DF225</f>
        <v>0</v>
      </c>
      <c r="BB227" s="43">
        <f>RawData!DI225</f>
        <v>0</v>
      </c>
      <c r="BC227" s="44">
        <f>RawData!AT225</f>
        <v>0</v>
      </c>
      <c r="BD227" s="45">
        <f>RawData!AP225</f>
        <v>0</v>
      </c>
      <c r="BE227" s="44">
        <f>RawData!CS225</f>
        <v>0</v>
      </c>
      <c r="BF227" s="42">
        <f>RawData!CT225</f>
        <v>0</v>
      </c>
      <c r="BG227" s="41">
        <f>RawData!AS225</f>
        <v>0</v>
      </c>
      <c r="BH227" s="41">
        <f>RawData!CU225</f>
        <v>0</v>
      </c>
      <c r="BI227" s="41">
        <f>RawData!AR225</f>
        <v>0</v>
      </c>
      <c r="BJ227" s="42">
        <f>RawData!CV225</f>
        <v>0</v>
      </c>
      <c r="BK227" s="41">
        <f>RawData!AQ225</f>
        <v>0</v>
      </c>
      <c r="BL227" s="40">
        <f>RawData!AO225</f>
        <v>0</v>
      </c>
      <c r="BM227" s="40">
        <f>RawData!AN225</f>
        <v>0</v>
      </c>
      <c r="BN227" s="40">
        <f>RawData!AM225</f>
        <v>0</v>
      </c>
      <c r="BO227" s="40">
        <f>RawData!AL225</f>
        <v>0</v>
      </c>
      <c r="BP227" s="40">
        <f>RawData!AK225</f>
        <v>0</v>
      </c>
      <c r="BQ227" s="40">
        <f>RawData!AJ225</f>
        <v>0</v>
      </c>
      <c r="BR227" s="38">
        <f>RawData!AI225</f>
        <v>0</v>
      </c>
      <c r="BS227" s="38">
        <f>RawData!AH225</f>
        <v>0</v>
      </c>
      <c r="BT227" s="40">
        <f>RawData!AG225</f>
        <v>0</v>
      </c>
      <c r="BU227" s="39">
        <f>RawData!AF225</f>
        <v>0</v>
      </c>
      <c r="BV227" s="39">
        <f>RawData!AE225</f>
        <v>0</v>
      </c>
      <c r="BW227" s="38">
        <f>RawData!AD225</f>
        <v>0</v>
      </c>
      <c r="BX227" s="38">
        <f>RawData!AC225</f>
        <v>0</v>
      </c>
      <c r="BY227" s="37">
        <f>RawData!AB225</f>
        <v>0</v>
      </c>
      <c r="BZ227" s="37">
        <f>RawData!AA225</f>
        <v>0</v>
      </c>
      <c r="CA227" s="36">
        <f>RawData!Z225</f>
        <v>0</v>
      </c>
      <c r="CB227" s="36">
        <f>RawData!Y225</f>
        <v>0</v>
      </c>
      <c r="CC227" s="36">
        <f>RawData!X225</f>
        <v>0</v>
      </c>
      <c r="CD227" s="36">
        <f>RawData!W225</f>
        <v>0</v>
      </c>
      <c r="CE227" s="40">
        <f>RawData!V225</f>
        <v>0</v>
      </c>
      <c r="CF227" s="40">
        <f>RawData!U225</f>
        <v>0</v>
      </c>
      <c r="CG227" s="40">
        <f>RawData!T225</f>
        <v>0</v>
      </c>
      <c r="CH227" s="44">
        <f>RawData!S225</f>
        <v>0</v>
      </c>
      <c r="CI227" s="44">
        <f>RawData!R225</f>
        <v>0</v>
      </c>
      <c r="CJ227" s="44">
        <f>RawData!Q225</f>
        <v>0</v>
      </c>
      <c r="CK227" s="44">
        <f>RawData!P225</f>
        <v>0</v>
      </c>
      <c r="CL227" s="44">
        <f>RawData!CJ225</f>
        <v>0</v>
      </c>
      <c r="CM227" s="43">
        <f>RawData!CI225</f>
        <v>0</v>
      </c>
      <c r="CN227" s="44">
        <f>RawData!CL225</f>
        <v>0</v>
      </c>
      <c r="CO227" s="43">
        <f>RawData!CK225</f>
        <v>0</v>
      </c>
      <c r="CP227" s="44">
        <f>RawData!CM225</f>
        <v>0</v>
      </c>
      <c r="CQ227" s="47">
        <f>RawData!CO225</f>
        <v>0</v>
      </c>
      <c r="CR227" s="44">
        <f>RawData!CP225</f>
        <v>0</v>
      </c>
      <c r="CS227" s="44">
        <f>RawData!DG225</f>
        <v>0</v>
      </c>
      <c r="CT227" s="43">
        <f>RawData!DJ225</f>
        <v>0</v>
      </c>
      <c r="CU227" s="43">
        <f>RawData!CQ225</f>
        <v>0</v>
      </c>
      <c r="CV227" s="47">
        <f>RawData!CR225</f>
        <v>0</v>
      </c>
      <c r="CW227" s="65">
        <f>RawData!DK225</f>
        <v>0</v>
      </c>
      <c r="CX227" s="65">
        <f>RawData!DL225</f>
        <v>0</v>
      </c>
      <c r="CY227" s="65">
        <f>RawData!DM225</f>
        <v>0</v>
      </c>
      <c r="CZ227" s="65">
        <f>RawData!DN225</f>
        <v>0</v>
      </c>
      <c r="DA227" s="65">
        <f>RawData!DO225</f>
        <v>0</v>
      </c>
      <c r="DB227" s="65">
        <f>RawData!DP225</f>
        <v>0</v>
      </c>
      <c r="DC227" s="65">
        <f>RawData!DQ225</f>
        <v>0</v>
      </c>
      <c r="DD227" s="65">
        <f>RawData!DR225</f>
        <v>0</v>
      </c>
      <c r="DE227" s="65">
        <f>RawData!DS225</f>
        <v>0</v>
      </c>
      <c r="DF227" s="65">
        <f>RawData!DT225</f>
        <v>0</v>
      </c>
      <c r="DG227" s="66">
        <f>RawData!DU225</f>
        <v>0</v>
      </c>
      <c r="DI227" s="21">
        <f t="shared" si="3"/>
        <v>0</v>
      </c>
    </row>
    <row r="228" spans="1:113" x14ac:dyDescent="0.2">
      <c r="A228" s="59">
        <f>RawData!CN226</f>
        <v>0</v>
      </c>
      <c r="B228" s="44">
        <f>RawData!CH226</f>
        <v>0</v>
      </c>
      <c r="C228" s="44">
        <f>RawData!CG226</f>
        <v>0</v>
      </c>
      <c r="D228" s="43">
        <f>RawData!CF226</f>
        <v>0</v>
      </c>
      <c r="E228" s="44">
        <f>RawData!CE226</f>
        <v>0</v>
      </c>
      <c r="F228" s="43">
        <f>RawData!CD226</f>
        <v>0</v>
      </c>
      <c r="G228" s="44">
        <f>RawData!CC226</f>
        <v>0</v>
      </c>
      <c r="H228" s="44">
        <f>RawData!CB226</f>
        <v>0</v>
      </c>
      <c r="I228" s="44">
        <f>RawData!CA226</f>
        <v>0</v>
      </c>
      <c r="J228" s="44">
        <f>RawData!BZ226</f>
        <v>0</v>
      </c>
      <c r="K228" s="40">
        <f>RawData!BY226</f>
        <v>0</v>
      </c>
      <c r="L228" s="40">
        <f>RawData!BX226</f>
        <v>0</v>
      </c>
      <c r="M228" s="40">
        <f>RawData!BW226</f>
        <v>0</v>
      </c>
      <c r="N228" s="40">
        <f>RawData!BV226</f>
        <v>0</v>
      </c>
      <c r="O228" s="36">
        <f>RawData!BU226</f>
        <v>0</v>
      </c>
      <c r="P228" s="36">
        <f>RawData!BT226</f>
        <v>0</v>
      </c>
      <c r="Q228" s="36">
        <f>RawData!BS226</f>
        <v>0</v>
      </c>
      <c r="R228" s="36">
        <f>RawData!BR226</f>
        <v>0</v>
      </c>
      <c r="S228" s="37">
        <f>RawData!BQ226</f>
        <v>0</v>
      </c>
      <c r="T228" s="37">
        <f>RawData!BP226</f>
        <v>0</v>
      </c>
      <c r="U228" s="38">
        <f>RawData!BO226</f>
        <v>0</v>
      </c>
      <c r="V228" s="38">
        <f>RawData!BN226</f>
        <v>0</v>
      </c>
      <c r="W228" s="39">
        <f>RawData!BM226</f>
        <v>0</v>
      </c>
      <c r="X228" s="39">
        <f>RawData!BL226</f>
        <v>0</v>
      </c>
      <c r="Y228" s="38">
        <f>RawData!BJ226</f>
        <v>0</v>
      </c>
      <c r="Z228" s="38">
        <f>RawData!BI226</f>
        <v>0</v>
      </c>
      <c r="AA228" s="40">
        <f>RawData!BH226</f>
        <v>0</v>
      </c>
      <c r="AB228" s="40">
        <f>RawData!BG226</f>
        <v>0</v>
      </c>
      <c r="AC228" s="40">
        <f>RawData!BF226</f>
        <v>0</v>
      </c>
      <c r="AD228" s="40">
        <f>RawData!BE226</f>
        <v>0</v>
      </c>
      <c r="AE228" s="40">
        <f>RawData!BD226</f>
        <v>0</v>
      </c>
      <c r="AF228" s="40">
        <f>RawData!BC226</f>
        <v>0</v>
      </c>
      <c r="AG228" s="41">
        <f>RawData!BB226</f>
        <v>0</v>
      </c>
      <c r="AH228" s="42">
        <f>RawData!DB226</f>
        <v>0</v>
      </c>
      <c r="AI228" s="41">
        <f>RawData!BA226</f>
        <v>0</v>
      </c>
      <c r="AJ228" s="43">
        <f>RawData!DA226</f>
        <v>0</v>
      </c>
      <c r="AK228" s="41">
        <f>RawData!AZ226</f>
        <v>0</v>
      </c>
      <c r="AL228" s="42">
        <f>RawData!DD226</f>
        <v>0</v>
      </c>
      <c r="AM228" s="44">
        <f>RawData!DC226</f>
        <v>0</v>
      </c>
      <c r="AN228" s="45">
        <f>RawData!BK226</f>
        <v>0</v>
      </c>
      <c r="AO228" s="44">
        <f>RawData!AY226</f>
        <v>0</v>
      </c>
      <c r="AP228" s="43">
        <f>RawData!DH226</f>
        <v>0</v>
      </c>
      <c r="AQ228" s="43">
        <f>RawData!DE226</f>
        <v>0</v>
      </c>
      <c r="AR228" s="42">
        <f>RawData!CZ226</f>
        <v>0</v>
      </c>
      <c r="AS228" s="44">
        <f>RawData!AX226</f>
        <v>0</v>
      </c>
      <c r="AT228" s="43">
        <f>RawData!CY226</f>
        <v>0</v>
      </c>
      <c r="AU228" s="44">
        <f>RawData!AW226</f>
        <v>0</v>
      </c>
      <c r="AV228" s="46">
        <f>RawData!O226</f>
        <v>0</v>
      </c>
      <c r="AW228" s="44">
        <f>RawData!AV226</f>
        <v>0</v>
      </c>
      <c r="AX228" s="44">
        <f>RawData!CW226</f>
        <v>0</v>
      </c>
      <c r="AY228" s="44">
        <f>RawData!AU226</f>
        <v>0</v>
      </c>
      <c r="AZ228" s="42">
        <f>RawData!CX226</f>
        <v>0</v>
      </c>
      <c r="BA228" s="44">
        <f>RawData!DF226</f>
        <v>0</v>
      </c>
      <c r="BB228" s="43">
        <f>RawData!DI226</f>
        <v>0</v>
      </c>
      <c r="BC228" s="44">
        <f>RawData!AT226</f>
        <v>0</v>
      </c>
      <c r="BD228" s="45">
        <f>RawData!AP226</f>
        <v>0</v>
      </c>
      <c r="BE228" s="44">
        <f>RawData!CS226</f>
        <v>0</v>
      </c>
      <c r="BF228" s="42">
        <f>RawData!CT226</f>
        <v>0</v>
      </c>
      <c r="BG228" s="41">
        <f>RawData!AS226</f>
        <v>0</v>
      </c>
      <c r="BH228" s="41">
        <f>RawData!CU226</f>
        <v>0</v>
      </c>
      <c r="BI228" s="41">
        <f>RawData!AR226</f>
        <v>0</v>
      </c>
      <c r="BJ228" s="42">
        <f>RawData!CV226</f>
        <v>0</v>
      </c>
      <c r="BK228" s="41">
        <f>RawData!AQ226</f>
        <v>0</v>
      </c>
      <c r="BL228" s="40">
        <f>RawData!AO226</f>
        <v>0</v>
      </c>
      <c r="BM228" s="40">
        <f>RawData!AN226</f>
        <v>0</v>
      </c>
      <c r="BN228" s="40">
        <f>RawData!AM226</f>
        <v>0</v>
      </c>
      <c r="BO228" s="40">
        <f>RawData!AL226</f>
        <v>0</v>
      </c>
      <c r="BP228" s="40">
        <f>RawData!AK226</f>
        <v>0</v>
      </c>
      <c r="BQ228" s="40">
        <f>RawData!AJ226</f>
        <v>0</v>
      </c>
      <c r="BR228" s="38">
        <f>RawData!AI226</f>
        <v>0</v>
      </c>
      <c r="BS228" s="38">
        <f>RawData!AH226</f>
        <v>0</v>
      </c>
      <c r="BT228" s="40">
        <f>RawData!AG226</f>
        <v>0</v>
      </c>
      <c r="BU228" s="39">
        <f>RawData!AF226</f>
        <v>0</v>
      </c>
      <c r="BV228" s="39">
        <f>RawData!AE226</f>
        <v>0</v>
      </c>
      <c r="BW228" s="38">
        <f>RawData!AD226</f>
        <v>0</v>
      </c>
      <c r="BX228" s="38">
        <f>RawData!AC226</f>
        <v>0</v>
      </c>
      <c r="BY228" s="37">
        <f>RawData!AB226</f>
        <v>0</v>
      </c>
      <c r="BZ228" s="37">
        <f>RawData!AA226</f>
        <v>0</v>
      </c>
      <c r="CA228" s="36">
        <f>RawData!Z226</f>
        <v>0</v>
      </c>
      <c r="CB228" s="36">
        <f>RawData!Y226</f>
        <v>0</v>
      </c>
      <c r="CC228" s="36">
        <f>RawData!X226</f>
        <v>0</v>
      </c>
      <c r="CD228" s="36">
        <f>RawData!W226</f>
        <v>0</v>
      </c>
      <c r="CE228" s="40">
        <f>RawData!V226</f>
        <v>0</v>
      </c>
      <c r="CF228" s="40">
        <f>RawData!U226</f>
        <v>0</v>
      </c>
      <c r="CG228" s="40">
        <f>RawData!T226</f>
        <v>0</v>
      </c>
      <c r="CH228" s="44">
        <f>RawData!S226</f>
        <v>0</v>
      </c>
      <c r="CI228" s="44">
        <f>RawData!R226</f>
        <v>0</v>
      </c>
      <c r="CJ228" s="44">
        <f>RawData!Q226</f>
        <v>0</v>
      </c>
      <c r="CK228" s="44">
        <f>RawData!P226</f>
        <v>0</v>
      </c>
      <c r="CL228" s="44">
        <f>RawData!CJ226</f>
        <v>0</v>
      </c>
      <c r="CM228" s="43">
        <f>RawData!CI226</f>
        <v>0</v>
      </c>
      <c r="CN228" s="44">
        <f>RawData!CL226</f>
        <v>0</v>
      </c>
      <c r="CO228" s="43">
        <f>RawData!CK226</f>
        <v>0</v>
      </c>
      <c r="CP228" s="44">
        <f>RawData!CM226</f>
        <v>0</v>
      </c>
      <c r="CQ228" s="47">
        <f>RawData!CO226</f>
        <v>0</v>
      </c>
      <c r="CR228" s="44">
        <f>RawData!CP226</f>
        <v>0</v>
      </c>
      <c r="CS228" s="44">
        <f>RawData!DG226</f>
        <v>0</v>
      </c>
      <c r="CT228" s="43">
        <f>RawData!DJ226</f>
        <v>0</v>
      </c>
      <c r="CU228" s="43">
        <f>RawData!CQ226</f>
        <v>0</v>
      </c>
      <c r="CV228" s="47">
        <f>RawData!CR226</f>
        <v>0</v>
      </c>
      <c r="CW228" s="65">
        <f>RawData!DK226</f>
        <v>0</v>
      </c>
      <c r="CX228" s="65">
        <f>RawData!DL226</f>
        <v>0</v>
      </c>
      <c r="CY228" s="65">
        <f>RawData!DM226</f>
        <v>0</v>
      </c>
      <c r="CZ228" s="65">
        <f>RawData!DN226</f>
        <v>0</v>
      </c>
      <c r="DA228" s="65">
        <f>RawData!DO226</f>
        <v>0</v>
      </c>
      <c r="DB228" s="65">
        <f>RawData!DP226</f>
        <v>0</v>
      </c>
      <c r="DC228" s="65">
        <f>RawData!DQ226</f>
        <v>0</v>
      </c>
      <c r="DD228" s="65">
        <f>RawData!DR226</f>
        <v>0</v>
      </c>
      <c r="DE228" s="65">
        <f>RawData!DS226</f>
        <v>0</v>
      </c>
      <c r="DF228" s="65">
        <f>RawData!DT226</f>
        <v>0</v>
      </c>
      <c r="DG228" s="66">
        <f>RawData!DU226</f>
        <v>0</v>
      </c>
      <c r="DI228" s="21">
        <f t="shared" si="3"/>
        <v>0</v>
      </c>
    </row>
    <row r="229" spans="1:113" x14ac:dyDescent="0.2">
      <c r="A229" s="59">
        <f>RawData!CN227</f>
        <v>0</v>
      </c>
      <c r="B229" s="44">
        <f>RawData!CH227</f>
        <v>0</v>
      </c>
      <c r="C229" s="44">
        <f>RawData!CG227</f>
        <v>0</v>
      </c>
      <c r="D229" s="43">
        <f>RawData!CF227</f>
        <v>0</v>
      </c>
      <c r="E229" s="44">
        <f>RawData!CE227</f>
        <v>0</v>
      </c>
      <c r="F229" s="43">
        <f>RawData!CD227</f>
        <v>0</v>
      </c>
      <c r="G229" s="44">
        <f>RawData!CC227</f>
        <v>0</v>
      </c>
      <c r="H229" s="44">
        <f>RawData!CB227</f>
        <v>0</v>
      </c>
      <c r="I229" s="44">
        <f>RawData!CA227</f>
        <v>0</v>
      </c>
      <c r="J229" s="44">
        <f>RawData!BZ227</f>
        <v>0</v>
      </c>
      <c r="K229" s="40">
        <f>RawData!BY227</f>
        <v>0</v>
      </c>
      <c r="L229" s="40">
        <f>RawData!BX227</f>
        <v>0</v>
      </c>
      <c r="M229" s="40">
        <f>RawData!BW227</f>
        <v>0</v>
      </c>
      <c r="N229" s="40">
        <f>RawData!BV227</f>
        <v>0</v>
      </c>
      <c r="O229" s="36">
        <f>RawData!BU227</f>
        <v>0</v>
      </c>
      <c r="P229" s="36">
        <f>RawData!BT227</f>
        <v>0</v>
      </c>
      <c r="Q229" s="36">
        <f>RawData!BS227</f>
        <v>0</v>
      </c>
      <c r="R229" s="36">
        <f>RawData!BR227</f>
        <v>0</v>
      </c>
      <c r="S229" s="37">
        <f>RawData!BQ227</f>
        <v>0</v>
      </c>
      <c r="T229" s="37">
        <f>RawData!BP227</f>
        <v>0</v>
      </c>
      <c r="U229" s="38">
        <f>RawData!BO227</f>
        <v>0</v>
      </c>
      <c r="V229" s="38">
        <f>RawData!BN227</f>
        <v>0</v>
      </c>
      <c r="W229" s="39">
        <f>RawData!BM227</f>
        <v>0</v>
      </c>
      <c r="X229" s="39">
        <f>RawData!BL227</f>
        <v>0</v>
      </c>
      <c r="Y229" s="38">
        <f>RawData!BJ227</f>
        <v>0</v>
      </c>
      <c r="Z229" s="38">
        <f>RawData!BI227</f>
        <v>0</v>
      </c>
      <c r="AA229" s="40">
        <f>RawData!BH227</f>
        <v>0</v>
      </c>
      <c r="AB229" s="40">
        <f>RawData!BG227</f>
        <v>0</v>
      </c>
      <c r="AC229" s="40">
        <f>RawData!BF227</f>
        <v>0</v>
      </c>
      <c r="AD229" s="40">
        <f>RawData!BE227</f>
        <v>0</v>
      </c>
      <c r="AE229" s="40">
        <f>RawData!BD227</f>
        <v>0</v>
      </c>
      <c r="AF229" s="40">
        <f>RawData!BC227</f>
        <v>0</v>
      </c>
      <c r="AG229" s="41">
        <f>RawData!BB227</f>
        <v>0</v>
      </c>
      <c r="AH229" s="42">
        <f>RawData!DB227</f>
        <v>0</v>
      </c>
      <c r="AI229" s="41">
        <f>RawData!BA227</f>
        <v>0</v>
      </c>
      <c r="AJ229" s="43">
        <f>RawData!DA227</f>
        <v>0</v>
      </c>
      <c r="AK229" s="41">
        <f>RawData!AZ227</f>
        <v>0</v>
      </c>
      <c r="AL229" s="42">
        <f>RawData!DD227</f>
        <v>0</v>
      </c>
      <c r="AM229" s="44">
        <f>RawData!DC227</f>
        <v>0</v>
      </c>
      <c r="AN229" s="45">
        <f>RawData!BK227</f>
        <v>0</v>
      </c>
      <c r="AO229" s="44">
        <f>RawData!AY227</f>
        <v>0</v>
      </c>
      <c r="AP229" s="43">
        <f>RawData!DH227</f>
        <v>0</v>
      </c>
      <c r="AQ229" s="43">
        <f>RawData!DE227</f>
        <v>0</v>
      </c>
      <c r="AR229" s="42">
        <f>RawData!CZ227</f>
        <v>0</v>
      </c>
      <c r="AS229" s="44">
        <f>RawData!AX227</f>
        <v>0</v>
      </c>
      <c r="AT229" s="43">
        <f>RawData!CY227</f>
        <v>0</v>
      </c>
      <c r="AU229" s="44">
        <f>RawData!AW227</f>
        <v>0</v>
      </c>
      <c r="AV229" s="46">
        <f>RawData!O227</f>
        <v>0</v>
      </c>
      <c r="AW229" s="44">
        <f>RawData!AV227</f>
        <v>0</v>
      </c>
      <c r="AX229" s="44">
        <f>RawData!CW227</f>
        <v>0</v>
      </c>
      <c r="AY229" s="44">
        <f>RawData!AU227</f>
        <v>0</v>
      </c>
      <c r="AZ229" s="42">
        <f>RawData!CX227</f>
        <v>0</v>
      </c>
      <c r="BA229" s="44">
        <f>RawData!DF227</f>
        <v>0</v>
      </c>
      <c r="BB229" s="43">
        <f>RawData!DI227</f>
        <v>0</v>
      </c>
      <c r="BC229" s="44">
        <f>RawData!AT227</f>
        <v>0</v>
      </c>
      <c r="BD229" s="45">
        <f>RawData!AP227</f>
        <v>0</v>
      </c>
      <c r="BE229" s="44">
        <f>RawData!CS227</f>
        <v>0</v>
      </c>
      <c r="BF229" s="42">
        <f>RawData!CT227</f>
        <v>0</v>
      </c>
      <c r="BG229" s="41">
        <f>RawData!AS227</f>
        <v>0</v>
      </c>
      <c r="BH229" s="41">
        <f>RawData!CU227</f>
        <v>0</v>
      </c>
      <c r="BI229" s="41">
        <f>RawData!AR227</f>
        <v>0</v>
      </c>
      <c r="BJ229" s="42">
        <f>RawData!CV227</f>
        <v>0</v>
      </c>
      <c r="BK229" s="41">
        <f>RawData!AQ227</f>
        <v>0</v>
      </c>
      <c r="BL229" s="40">
        <f>RawData!AO227</f>
        <v>0</v>
      </c>
      <c r="BM229" s="40">
        <f>RawData!AN227</f>
        <v>0</v>
      </c>
      <c r="BN229" s="40">
        <f>RawData!AM227</f>
        <v>0</v>
      </c>
      <c r="BO229" s="40">
        <f>RawData!AL227</f>
        <v>0</v>
      </c>
      <c r="BP229" s="40">
        <f>RawData!AK227</f>
        <v>0</v>
      </c>
      <c r="BQ229" s="40">
        <f>RawData!AJ227</f>
        <v>0</v>
      </c>
      <c r="BR229" s="38">
        <f>RawData!AI227</f>
        <v>0</v>
      </c>
      <c r="BS229" s="38">
        <f>RawData!AH227</f>
        <v>0</v>
      </c>
      <c r="BT229" s="40">
        <f>RawData!AG227</f>
        <v>0</v>
      </c>
      <c r="BU229" s="39">
        <f>RawData!AF227</f>
        <v>0</v>
      </c>
      <c r="BV229" s="39">
        <f>RawData!AE227</f>
        <v>0</v>
      </c>
      <c r="BW229" s="38">
        <f>RawData!AD227</f>
        <v>0</v>
      </c>
      <c r="BX229" s="38">
        <f>RawData!AC227</f>
        <v>0</v>
      </c>
      <c r="BY229" s="37">
        <f>RawData!AB227</f>
        <v>0</v>
      </c>
      <c r="BZ229" s="37">
        <f>RawData!AA227</f>
        <v>0</v>
      </c>
      <c r="CA229" s="36">
        <f>RawData!Z227</f>
        <v>0</v>
      </c>
      <c r="CB229" s="36">
        <f>RawData!Y227</f>
        <v>0</v>
      </c>
      <c r="CC229" s="36">
        <f>RawData!X227</f>
        <v>0</v>
      </c>
      <c r="CD229" s="36">
        <f>RawData!W227</f>
        <v>0</v>
      </c>
      <c r="CE229" s="40">
        <f>RawData!V227</f>
        <v>0</v>
      </c>
      <c r="CF229" s="40">
        <f>RawData!U227</f>
        <v>0</v>
      </c>
      <c r="CG229" s="40">
        <f>RawData!T227</f>
        <v>0</v>
      </c>
      <c r="CH229" s="44">
        <f>RawData!S227</f>
        <v>0</v>
      </c>
      <c r="CI229" s="44">
        <f>RawData!R227</f>
        <v>0</v>
      </c>
      <c r="CJ229" s="44">
        <f>RawData!Q227</f>
        <v>0</v>
      </c>
      <c r="CK229" s="44">
        <f>RawData!P227</f>
        <v>0</v>
      </c>
      <c r="CL229" s="44">
        <f>RawData!CJ227</f>
        <v>0</v>
      </c>
      <c r="CM229" s="43">
        <f>RawData!CI227</f>
        <v>0</v>
      </c>
      <c r="CN229" s="44">
        <f>RawData!CL227</f>
        <v>0</v>
      </c>
      <c r="CO229" s="43">
        <f>RawData!CK227</f>
        <v>0</v>
      </c>
      <c r="CP229" s="44">
        <f>RawData!CM227</f>
        <v>0</v>
      </c>
      <c r="CQ229" s="47">
        <f>RawData!CO227</f>
        <v>0</v>
      </c>
      <c r="CR229" s="44">
        <f>RawData!CP227</f>
        <v>0</v>
      </c>
      <c r="CS229" s="44">
        <f>RawData!DG227</f>
        <v>0</v>
      </c>
      <c r="CT229" s="43">
        <f>RawData!DJ227</f>
        <v>0</v>
      </c>
      <c r="CU229" s="43">
        <f>RawData!CQ227</f>
        <v>0</v>
      </c>
      <c r="CV229" s="47">
        <f>RawData!CR227</f>
        <v>0</v>
      </c>
      <c r="CW229" s="65">
        <f>RawData!DK227</f>
        <v>0</v>
      </c>
      <c r="CX229" s="65">
        <f>RawData!DL227</f>
        <v>0</v>
      </c>
      <c r="CY229" s="65">
        <f>RawData!DM227</f>
        <v>0</v>
      </c>
      <c r="CZ229" s="65">
        <f>RawData!DN227</f>
        <v>0</v>
      </c>
      <c r="DA229" s="65">
        <f>RawData!DO227</f>
        <v>0</v>
      </c>
      <c r="DB229" s="65">
        <f>RawData!DP227</f>
        <v>0</v>
      </c>
      <c r="DC229" s="65">
        <f>RawData!DQ227</f>
        <v>0</v>
      </c>
      <c r="DD229" s="65">
        <f>RawData!DR227</f>
        <v>0</v>
      </c>
      <c r="DE229" s="65">
        <f>RawData!DS227</f>
        <v>0</v>
      </c>
      <c r="DF229" s="65">
        <f>RawData!DT227</f>
        <v>0</v>
      </c>
      <c r="DG229" s="66">
        <f>RawData!DU227</f>
        <v>0</v>
      </c>
      <c r="DI229" s="21">
        <f t="shared" si="3"/>
        <v>0</v>
      </c>
    </row>
    <row r="230" spans="1:113" x14ac:dyDescent="0.2">
      <c r="A230" s="59">
        <f>RawData!CN228</f>
        <v>0</v>
      </c>
      <c r="B230" s="44">
        <f>RawData!CH228</f>
        <v>0</v>
      </c>
      <c r="C230" s="44">
        <f>RawData!CG228</f>
        <v>0</v>
      </c>
      <c r="D230" s="43">
        <f>RawData!CF228</f>
        <v>0</v>
      </c>
      <c r="E230" s="44">
        <f>RawData!CE228</f>
        <v>0</v>
      </c>
      <c r="F230" s="43">
        <f>RawData!CD228</f>
        <v>0</v>
      </c>
      <c r="G230" s="44">
        <f>RawData!CC228</f>
        <v>0</v>
      </c>
      <c r="H230" s="44">
        <f>RawData!CB228</f>
        <v>0</v>
      </c>
      <c r="I230" s="44">
        <f>RawData!CA228</f>
        <v>0</v>
      </c>
      <c r="J230" s="44">
        <f>RawData!BZ228</f>
        <v>0</v>
      </c>
      <c r="K230" s="40">
        <f>RawData!BY228</f>
        <v>0</v>
      </c>
      <c r="L230" s="40">
        <f>RawData!BX228</f>
        <v>0</v>
      </c>
      <c r="M230" s="40">
        <f>RawData!BW228</f>
        <v>0</v>
      </c>
      <c r="N230" s="40">
        <f>RawData!BV228</f>
        <v>0</v>
      </c>
      <c r="O230" s="36">
        <f>RawData!BU228</f>
        <v>0</v>
      </c>
      <c r="P230" s="36">
        <f>RawData!BT228</f>
        <v>0</v>
      </c>
      <c r="Q230" s="36">
        <f>RawData!BS228</f>
        <v>0</v>
      </c>
      <c r="R230" s="36">
        <f>RawData!BR228</f>
        <v>0</v>
      </c>
      <c r="S230" s="37">
        <f>RawData!BQ228</f>
        <v>0</v>
      </c>
      <c r="T230" s="37">
        <f>RawData!BP228</f>
        <v>0</v>
      </c>
      <c r="U230" s="38">
        <f>RawData!BO228</f>
        <v>0</v>
      </c>
      <c r="V230" s="38">
        <f>RawData!BN228</f>
        <v>0</v>
      </c>
      <c r="W230" s="39">
        <f>RawData!BM228</f>
        <v>0</v>
      </c>
      <c r="X230" s="39">
        <f>RawData!BL228</f>
        <v>0</v>
      </c>
      <c r="Y230" s="38">
        <f>RawData!BJ228</f>
        <v>0</v>
      </c>
      <c r="Z230" s="38">
        <f>RawData!BI228</f>
        <v>0</v>
      </c>
      <c r="AA230" s="40">
        <f>RawData!BH228</f>
        <v>0</v>
      </c>
      <c r="AB230" s="40">
        <f>RawData!BG228</f>
        <v>0</v>
      </c>
      <c r="AC230" s="40">
        <f>RawData!BF228</f>
        <v>0</v>
      </c>
      <c r="AD230" s="40">
        <f>RawData!BE228</f>
        <v>0</v>
      </c>
      <c r="AE230" s="40">
        <f>RawData!BD228</f>
        <v>0</v>
      </c>
      <c r="AF230" s="40">
        <f>RawData!BC228</f>
        <v>0</v>
      </c>
      <c r="AG230" s="41">
        <f>RawData!BB228</f>
        <v>0</v>
      </c>
      <c r="AH230" s="42">
        <f>RawData!DB228</f>
        <v>0</v>
      </c>
      <c r="AI230" s="41">
        <f>RawData!BA228</f>
        <v>0</v>
      </c>
      <c r="AJ230" s="43">
        <f>RawData!DA228</f>
        <v>0</v>
      </c>
      <c r="AK230" s="41">
        <f>RawData!AZ228</f>
        <v>0</v>
      </c>
      <c r="AL230" s="42">
        <f>RawData!DD228</f>
        <v>0</v>
      </c>
      <c r="AM230" s="44">
        <f>RawData!DC228</f>
        <v>0</v>
      </c>
      <c r="AN230" s="45">
        <f>RawData!BK228</f>
        <v>0</v>
      </c>
      <c r="AO230" s="44">
        <f>RawData!AY228</f>
        <v>0</v>
      </c>
      <c r="AP230" s="43">
        <f>RawData!DH228</f>
        <v>0</v>
      </c>
      <c r="AQ230" s="43">
        <f>RawData!DE228</f>
        <v>0</v>
      </c>
      <c r="AR230" s="42">
        <f>RawData!CZ228</f>
        <v>0</v>
      </c>
      <c r="AS230" s="44">
        <f>RawData!AX228</f>
        <v>0</v>
      </c>
      <c r="AT230" s="43">
        <f>RawData!CY228</f>
        <v>0</v>
      </c>
      <c r="AU230" s="44">
        <f>RawData!AW228</f>
        <v>0</v>
      </c>
      <c r="AV230" s="46">
        <f>RawData!O228</f>
        <v>0</v>
      </c>
      <c r="AW230" s="44">
        <f>RawData!AV228</f>
        <v>0</v>
      </c>
      <c r="AX230" s="44">
        <f>RawData!CW228</f>
        <v>0</v>
      </c>
      <c r="AY230" s="44">
        <f>RawData!AU228</f>
        <v>0</v>
      </c>
      <c r="AZ230" s="42">
        <f>RawData!CX228</f>
        <v>0</v>
      </c>
      <c r="BA230" s="44">
        <f>RawData!DF228</f>
        <v>0</v>
      </c>
      <c r="BB230" s="43">
        <f>RawData!DI228</f>
        <v>0</v>
      </c>
      <c r="BC230" s="44">
        <f>RawData!AT228</f>
        <v>0</v>
      </c>
      <c r="BD230" s="45">
        <f>RawData!AP228</f>
        <v>0</v>
      </c>
      <c r="BE230" s="44">
        <f>RawData!CS228</f>
        <v>0</v>
      </c>
      <c r="BF230" s="42">
        <f>RawData!CT228</f>
        <v>0</v>
      </c>
      <c r="BG230" s="41">
        <f>RawData!AS228</f>
        <v>0</v>
      </c>
      <c r="BH230" s="41">
        <f>RawData!CU228</f>
        <v>0</v>
      </c>
      <c r="BI230" s="41">
        <f>RawData!AR228</f>
        <v>0</v>
      </c>
      <c r="BJ230" s="42">
        <f>RawData!CV228</f>
        <v>0</v>
      </c>
      <c r="BK230" s="41">
        <f>RawData!AQ228</f>
        <v>0</v>
      </c>
      <c r="BL230" s="40">
        <f>RawData!AO228</f>
        <v>0</v>
      </c>
      <c r="BM230" s="40">
        <f>RawData!AN228</f>
        <v>0</v>
      </c>
      <c r="BN230" s="40">
        <f>RawData!AM228</f>
        <v>0</v>
      </c>
      <c r="BO230" s="40">
        <f>RawData!AL228</f>
        <v>0</v>
      </c>
      <c r="BP230" s="40">
        <f>RawData!AK228</f>
        <v>0</v>
      </c>
      <c r="BQ230" s="40">
        <f>RawData!AJ228</f>
        <v>0</v>
      </c>
      <c r="BR230" s="38">
        <f>RawData!AI228</f>
        <v>0</v>
      </c>
      <c r="BS230" s="38">
        <f>RawData!AH228</f>
        <v>0</v>
      </c>
      <c r="BT230" s="40">
        <f>RawData!AG228</f>
        <v>0</v>
      </c>
      <c r="BU230" s="39">
        <f>RawData!AF228</f>
        <v>0</v>
      </c>
      <c r="BV230" s="39">
        <f>RawData!AE228</f>
        <v>0</v>
      </c>
      <c r="BW230" s="38">
        <f>RawData!AD228</f>
        <v>0</v>
      </c>
      <c r="BX230" s="38">
        <f>RawData!AC228</f>
        <v>0</v>
      </c>
      <c r="BY230" s="37">
        <f>RawData!AB228</f>
        <v>0</v>
      </c>
      <c r="BZ230" s="37">
        <f>RawData!AA228</f>
        <v>0</v>
      </c>
      <c r="CA230" s="36">
        <f>RawData!Z228</f>
        <v>0</v>
      </c>
      <c r="CB230" s="36">
        <f>RawData!Y228</f>
        <v>0</v>
      </c>
      <c r="CC230" s="36">
        <f>RawData!X228</f>
        <v>0</v>
      </c>
      <c r="CD230" s="36">
        <f>RawData!W228</f>
        <v>0</v>
      </c>
      <c r="CE230" s="40">
        <f>RawData!V228</f>
        <v>0</v>
      </c>
      <c r="CF230" s="40">
        <f>RawData!U228</f>
        <v>0</v>
      </c>
      <c r="CG230" s="40">
        <f>RawData!T228</f>
        <v>0</v>
      </c>
      <c r="CH230" s="44">
        <f>RawData!S228</f>
        <v>0</v>
      </c>
      <c r="CI230" s="44">
        <f>RawData!R228</f>
        <v>0</v>
      </c>
      <c r="CJ230" s="44">
        <f>RawData!Q228</f>
        <v>0</v>
      </c>
      <c r="CK230" s="44">
        <f>RawData!P228</f>
        <v>0</v>
      </c>
      <c r="CL230" s="44">
        <f>RawData!CJ228</f>
        <v>0</v>
      </c>
      <c r="CM230" s="43">
        <f>RawData!CI228</f>
        <v>0</v>
      </c>
      <c r="CN230" s="44">
        <f>RawData!CL228</f>
        <v>0</v>
      </c>
      <c r="CO230" s="43">
        <f>RawData!CK228</f>
        <v>0</v>
      </c>
      <c r="CP230" s="44">
        <f>RawData!CM228</f>
        <v>0</v>
      </c>
      <c r="CQ230" s="47">
        <f>RawData!CO228</f>
        <v>0</v>
      </c>
      <c r="CR230" s="44">
        <f>RawData!CP228</f>
        <v>0</v>
      </c>
      <c r="CS230" s="44">
        <f>RawData!DG228</f>
        <v>0</v>
      </c>
      <c r="CT230" s="43">
        <f>RawData!DJ228</f>
        <v>0</v>
      </c>
      <c r="CU230" s="43">
        <f>RawData!CQ228</f>
        <v>0</v>
      </c>
      <c r="CV230" s="47">
        <f>RawData!CR228</f>
        <v>0</v>
      </c>
      <c r="CW230" s="65">
        <f>RawData!DK228</f>
        <v>0</v>
      </c>
      <c r="CX230" s="65">
        <f>RawData!DL228</f>
        <v>0</v>
      </c>
      <c r="CY230" s="65">
        <f>RawData!DM228</f>
        <v>0</v>
      </c>
      <c r="CZ230" s="65">
        <f>RawData!DN228</f>
        <v>0</v>
      </c>
      <c r="DA230" s="65">
        <f>RawData!DO228</f>
        <v>0</v>
      </c>
      <c r="DB230" s="65">
        <f>RawData!DP228</f>
        <v>0</v>
      </c>
      <c r="DC230" s="65">
        <f>RawData!DQ228</f>
        <v>0</v>
      </c>
      <c r="DD230" s="65">
        <f>RawData!DR228</f>
        <v>0</v>
      </c>
      <c r="DE230" s="65">
        <f>RawData!DS228</f>
        <v>0</v>
      </c>
      <c r="DF230" s="65">
        <f>RawData!DT228</f>
        <v>0</v>
      </c>
      <c r="DG230" s="66">
        <f>RawData!DU228</f>
        <v>0</v>
      </c>
      <c r="DI230" s="21">
        <f t="shared" si="3"/>
        <v>0</v>
      </c>
    </row>
    <row r="231" spans="1:113" x14ac:dyDescent="0.2">
      <c r="A231" s="59">
        <f>RawData!CN229</f>
        <v>0</v>
      </c>
      <c r="B231" s="44">
        <f>RawData!CH229</f>
        <v>0</v>
      </c>
      <c r="C231" s="44">
        <f>RawData!CG229</f>
        <v>0</v>
      </c>
      <c r="D231" s="43">
        <f>RawData!CF229</f>
        <v>0</v>
      </c>
      <c r="E231" s="44">
        <f>RawData!CE229</f>
        <v>0</v>
      </c>
      <c r="F231" s="43">
        <f>RawData!CD229</f>
        <v>0</v>
      </c>
      <c r="G231" s="44">
        <f>RawData!CC229</f>
        <v>0</v>
      </c>
      <c r="H231" s="44">
        <f>RawData!CB229</f>
        <v>0</v>
      </c>
      <c r="I231" s="44">
        <f>RawData!CA229</f>
        <v>0</v>
      </c>
      <c r="J231" s="44">
        <f>RawData!BZ229</f>
        <v>0</v>
      </c>
      <c r="K231" s="40">
        <f>RawData!BY229</f>
        <v>0</v>
      </c>
      <c r="L231" s="40">
        <f>RawData!BX229</f>
        <v>0</v>
      </c>
      <c r="M231" s="40">
        <f>RawData!BW229</f>
        <v>0</v>
      </c>
      <c r="N231" s="40">
        <f>RawData!BV229</f>
        <v>0</v>
      </c>
      <c r="O231" s="36">
        <f>RawData!BU229</f>
        <v>0</v>
      </c>
      <c r="P231" s="36">
        <f>RawData!BT229</f>
        <v>0</v>
      </c>
      <c r="Q231" s="36">
        <f>RawData!BS229</f>
        <v>0</v>
      </c>
      <c r="R231" s="36">
        <f>RawData!BR229</f>
        <v>0</v>
      </c>
      <c r="S231" s="37">
        <f>RawData!BQ229</f>
        <v>0</v>
      </c>
      <c r="T231" s="37">
        <f>RawData!BP229</f>
        <v>0</v>
      </c>
      <c r="U231" s="38">
        <f>RawData!BO229</f>
        <v>0</v>
      </c>
      <c r="V231" s="38">
        <f>RawData!BN229</f>
        <v>0</v>
      </c>
      <c r="W231" s="39">
        <f>RawData!BM229</f>
        <v>0</v>
      </c>
      <c r="X231" s="39">
        <f>RawData!BL229</f>
        <v>0</v>
      </c>
      <c r="Y231" s="38">
        <f>RawData!BJ229</f>
        <v>0</v>
      </c>
      <c r="Z231" s="38">
        <f>RawData!BI229</f>
        <v>0</v>
      </c>
      <c r="AA231" s="40">
        <f>RawData!BH229</f>
        <v>0</v>
      </c>
      <c r="AB231" s="40">
        <f>RawData!BG229</f>
        <v>0</v>
      </c>
      <c r="AC231" s="40">
        <f>RawData!BF229</f>
        <v>0</v>
      </c>
      <c r="AD231" s="40">
        <f>RawData!BE229</f>
        <v>0</v>
      </c>
      <c r="AE231" s="40">
        <f>RawData!BD229</f>
        <v>0</v>
      </c>
      <c r="AF231" s="40">
        <f>RawData!BC229</f>
        <v>0</v>
      </c>
      <c r="AG231" s="41">
        <f>RawData!BB229</f>
        <v>0</v>
      </c>
      <c r="AH231" s="42">
        <f>RawData!DB229</f>
        <v>0</v>
      </c>
      <c r="AI231" s="41">
        <f>RawData!BA229</f>
        <v>0</v>
      </c>
      <c r="AJ231" s="43">
        <f>RawData!DA229</f>
        <v>0</v>
      </c>
      <c r="AK231" s="41">
        <f>RawData!AZ229</f>
        <v>0</v>
      </c>
      <c r="AL231" s="42">
        <f>RawData!DD229</f>
        <v>0</v>
      </c>
      <c r="AM231" s="44">
        <f>RawData!DC229</f>
        <v>0</v>
      </c>
      <c r="AN231" s="45">
        <f>RawData!BK229</f>
        <v>0</v>
      </c>
      <c r="AO231" s="44">
        <f>RawData!AY229</f>
        <v>0</v>
      </c>
      <c r="AP231" s="43">
        <f>RawData!DH229</f>
        <v>0</v>
      </c>
      <c r="AQ231" s="43">
        <f>RawData!DE229</f>
        <v>0</v>
      </c>
      <c r="AR231" s="42">
        <f>RawData!CZ229</f>
        <v>0</v>
      </c>
      <c r="AS231" s="44">
        <f>RawData!AX229</f>
        <v>0</v>
      </c>
      <c r="AT231" s="43">
        <f>RawData!CY229</f>
        <v>0</v>
      </c>
      <c r="AU231" s="44">
        <f>RawData!AW229</f>
        <v>0</v>
      </c>
      <c r="AV231" s="46">
        <f>RawData!O229</f>
        <v>0</v>
      </c>
      <c r="AW231" s="44">
        <f>RawData!AV229</f>
        <v>0</v>
      </c>
      <c r="AX231" s="44">
        <f>RawData!CW229</f>
        <v>0</v>
      </c>
      <c r="AY231" s="44">
        <f>RawData!AU229</f>
        <v>0</v>
      </c>
      <c r="AZ231" s="42">
        <f>RawData!CX229</f>
        <v>0</v>
      </c>
      <c r="BA231" s="44">
        <f>RawData!DF229</f>
        <v>0</v>
      </c>
      <c r="BB231" s="43">
        <f>RawData!DI229</f>
        <v>0</v>
      </c>
      <c r="BC231" s="44">
        <f>RawData!AT229</f>
        <v>0</v>
      </c>
      <c r="BD231" s="45">
        <f>RawData!AP229</f>
        <v>0</v>
      </c>
      <c r="BE231" s="44">
        <f>RawData!CS229</f>
        <v>0</v>
      </c>
      <c r="BF231" s="42">
        <f>RawData!CT229</f>
        <v>0</v>
      </c>
      <c r="BG231" s="41">
        <f>RawData!AS229</f>
        <v>0</v>
      </c>
      <c r="BH231" s="41">
        <f>RawData!CU229</f>
        <v>0</v>
      </c>
      <c r="BI231" s="41">
        <f>RawData!AR229</f>
        <v>0</v>
      </c>
      <c r="BJ231" s="42">
        <f>RawData!CV229</f>
        <v>0</v>
      </c>
      <c r="BK231" s="41">
        <f>RawData!AQ229</f>
        <v>0</v>
      </c>
      <c r="BL231" s="40">
        <f>RawData!AO229</f>
        <v>0</v>
      </c>
      <c r="BM231" s="40">
        <f>RawData!AN229</f>
        <v>0</v>
      </c>
      <c r="BN231" s="40">
        <f>RawData!AM229</f>
        <v>0</v>
      </c>
      <c r="BO231" s="40">
        <f>RawData!AL229</f>
        <v>0</v>
      </c>
      <c r="BP231" s="40">
        <f>RawData!AK229</f>
        <v>0</v>
      </c>
      <c r="BQ231" s="40">
        <f>RawData!AJ229</f>
        <v>0</v>
      </c>
      <c r="BR231" s="38">
        <f>RawData!AI229</f>
        <v>0</v>
      </c>
      <c r="BS231" s="38">
        <f>RawData!AH229</f>
        <v>0</v>
      </c>
      <c r="BT231" s="40">
        <f>RawData!AG229</f>
        <v>0</v>
      </c>
      <c r="BU231" s="39">
        <f>RawData!AF229</f>
        <v>0</v>
      </c>
      <c r="BV231" s="39">
        <f>RawData!AE229</f>
        <v>0</v>
      </c>
      <c r="BW231" s="38">
        <f>RawData!AD229</f>
        <v>0</v>
      </c>
      <c r="BX231" s="38">
        <f>RawData!AC229</f>
        <v>0</v>
      </c>
      <c r="BY231" s="37">
        <f>RawData!AB229</f>
        <v>0</v>
      </c>
      <c r="BZ231" s="37">
        <f>RawData!AA229</f>
        <v>0</v>
      </c>
      <c r="CA231" s="36">
        <f>RawData!Z229</f>
        <v>0</v>
      </c>
      <c r="CB231" s="36">
        <f>RawData!Y229</f>
        <v>0</v>
      </c>
      <c r="CC231" s="36">
        <f>RawData!X229</f>
        <v>0</v>
      </c>
      <c r="CD231" s="36">
        <f>RawData!W229</f>
        <v>0</v>
      </c>
      <c r="CE231" s="40">
        <f>RawData!V229</f>
        <v>0</v>
      </c>
      <c r="CF231" s="40">
        <f>RawData!U229</f>
        <v>0</v>
      </c>
      <c r="CG231" s="40">
        <f>RawData!T229</f>
        <v>0</v>
      </c>
      <c r="CH231" s="44">
        <f>RawData!S229</f>
        <v>0</v>
      </c>
      <c r="CI231" s="44">
        <f>RawData!R229</f>
        <v>0</v>
      </c>
      <c r="CJ231" s="44">
        <f>RawData!Q229</f>
        <v>0</v>
      </c>
      <c r="CK231" s="44">
        <f>RawData!P229</f>
        <v>0</v>
      </c>
      <c r="CL231" s="44">
        <f>RawData!CJ229</f>
        <v>0</v>
      </c>
      <c r="CM231" s="43">
        <f>RawData!CI229</f>
        <v>0</v>
      </c>
      <c r="CN231" s="44">
        <f>RawData!CL229</f>
        <v>0</v>
      </c>
      <c r="CO231" s="43">
        <f>RawData!CK229</f>
        <v>0</v>
      </c>
      <c r="CP231" s="44">
        <f>RawData!CM229</f>
        <v>0</v>
      </c>
      <c r="CQ231" s="47">
        <f>RawData!CO229</f>
        <v>0</v>
      </c>
      <c r="CR231" s="44">
        <f>RawData!CP229</f>
        <v>0</v>
      </c>
      <c r="CS231" s="44">
        <f>RawData!DG229</f>
        <v>0</v>
      </c>
      <c r="CT231" s="43">
        <f>RawData!DJ229</f>
        <v>0</v>
      </c>
      <c r="CU231" s="43">
        <f>RawData!CQ229</f>
        <v>0</v>
      </c>
      <c r="CV231" s="47">
        <f>RawData!CR229</f>
        <v>0</v>
      </c>
      <c r="CW231" s="65">
        <f>RawData!DK229</f>
        <v>0</v>
      </c>
      <c r="CX231" s="65">
        <f>RawData!DL229</f>
        <v>0</v>
      </c>
      <c r="CY231" s="65">
        <f>RawData!DM229</f>
        <v>0</v>
      </c>
      <c r="CZ231" s="65">
        <f>RawData!DN229</f>
        <v>0</v>
      </c>
      <c r="DA231" s="65">
        <f>RawData!DO229</f>
        <v>0</v>
      </c>
      <c r="DB231" s="65">
        <f>RawData!DP229</f>
        <v>0</v>
      </c>
      <c r="DC231" s="65">
        <f>RawData!DQ229</f>
        <v>0</v>
      </c>
      <c r="DD231" s="65">
        <f>RawData!DR229</f>
        <v>0</v>
      </c>
      <c r="DE231" s="65">
        <f>RawData!DS229</f>
        <v>0</v>
      </c>
      <c r="DF231" s="65">
        <f>RawData!DT229</f>
        <v>0</v>
      </c>
      <c r="DG231" s="66">
        <f>RawData!DU229</f>
        <v>0</v>
      </c>
      <c r="DI231" s="21">
        <f t="shared" si="3"/>
        <v>0</v>
      </c>
    </row>
    <row r="232" spans="1:113" x14ac:dyDescent="0.2">
      <c r="A232" s="59">
        <f>RawData!CN230</f>
        <v>0</v>
      </c>
      <c r="B232" s="44">
        <f>RawData!CH230</f>
        <v>0</v>
      </c>
      <c r="C232" s="44">
        <f>RawData!CG230</f>
        <v>0</v>
      </c>
      <c r="D232" s="43">
        <f>RawData!CF230</f>
        <v>0</v>
      </c>
      <c r="E232" s="44">
        <f>RawData!CE230</f>
        <v>0</v>
      </c>
      <c r="F232" s="43">
        <f>RawData!CD230</f>
        <v>0</v>
      </c>
      <c r="G232" s="44">
        <f>RawData!CC230</f>
        <v>0</v>
      </c>
      <c r="H232" s="44">
        <f>RawData!CB230</f>
        <v>0</v>
      </c>
      <c r="I232" s="44">
        <f>RawData!CA230</f>
        <v>0</v>
      </c>
      <c r="J232" s="44">
        <f>RawData!BZ230</f>
        <v>0</v>
      </c>
      <c r="K232" s="40">
        <f>RawData!BY230</f>
        <v>0</v>
      </c>
      <c r="L232" s="40">
        <f>RawData!BX230</f>
        <v>0</v>
      </c>
      <c r="M232" s="40">
        <f>RawData!BW230</f>
        <v>0</v>
      </c>
      <c r="N232" s="40">
        <f>RawData!BV230</f>
        <v>0</v>
      </c>
      <c r="O232" s="36">
        <f>RawData!BU230</f>
        <v>0</v>
      </c>
      <c r="P232" s="36">
        <f>RawData!BT230</f>
        <v>0</v>
      </c>
      <c r="Q232" s="36">
        <f>RawData!BS230</f>
        <v>0</v>
      </c>
      <c r="R232" s="36">
        <f>RawData!BR230</f>
        <v>0</v>
      </c>
      <c r="S232" s="37">
        <f>RawData!BQ230</f>
        <v>0</v>
      </c>
      <c r="T232" s="37">
        <f>RawData!BP230</f>
        <v>0</v>
      </c>
      <c r="U232" s="38">
        <f>RawData!BO230</f>
        <v>0</v>
      </c>
      <c r="V232" s="38">
        <f>RawData!BN230</f>
        <v>0</v>
      </c>
      <c r="W232" s="39">
        <f>RawData!BM230</f>
        <v>0</v>
      </c>
      <c r="X232" s="39">
        <f>RawData!BL230</f>
        <v>0</v>
      </c>
      <c r="Y232" s="38">
        <f>RawData!BJ230</f>
        <v>0</v>
      </c>
      <c r="Z232" s="38">
        <f>RawData!BI230</f>
        <v>0</v>
      </c>
      <c r="AA232" s="40">
        <f>RawData!BH230</f>
        <v>0</v>
      </c>
      <c r="AB232" s="40">
        <f>RawData!BG230</f>
        <v>0</v>
      </c>
      <c r="AC232" s="40">
        <f>RawData!BF230</f>
        <v>0</v>
      </c>
      <c r="AD232" s="40">
        <f>RawData!BE230</f>
        <v>0</v>
      </c>
      <c r="AE232" s="40">
        <f>RawData!BD230</f>
        <v>0</v>
      </c>
      <c r="AF232" s="40">
        <f>RawData!BC230</f>
        <v>0</v>
      </c>
      <c r="AG232" s="41">
        <f>RawData!BB230</f>
        <v>0</v>
      </c>
      <c r="AH232" s="42">
        <f>RawData!DB230</f>
        <v>0</v>
      </c>
      <c r="AI232" s="41">
        <f>RawData!BA230</f>
        <v>0</v>
      </c>
      <c r="AJ232" s="43">
        <f>RawData!DA230</f>
        <v>0</v>
      </c>
      <c r="AK232" s="41">
        <f>RawData!AZ230</f>
        <v>0</v>
      </c>
      <c r="AL232" s="42">
        <f>RawData!DD230</f>
        <v>0</v>
      </c>
      <c r="AM232" s="44">
        <f>RawData!DC230</f>
        <v>0</v>
      </c>
      <c r="AN232" s="45">
        <f>RawData!BK230</f>
        <v>0</v>
      </c>
      <c r="AO232" s="44">
        <f>RawData!AY230</f>
        <v>0</v>
      </c>
      <c r="AP232" s="43">
        <f>RawData!DH230</f>
        <v>0</v>
      </c>
      <c r="AQ232" s="43">
        <f>RawData!DE230</f>
        <v>0</v>
      </c>
      <c r="AR232" s="42">
        <f>RawData!CZ230</f>
        <v>0</v>
      </c>
      <c r="AS232" s="44">
        <f>RawData!AX230</f>
        <v>0</v>
      </c>
      <c r="AT232" s="43">
        <f>RawData!CY230</f>
        <v>0</v>
      </c>
      <c r="AU232" s="44">
        <f>RawData!AW230</f>
        <v>0</v>
      </c>
      <c r="AV232" s="46">
        <f>RawData!O230</f>
        <v>0</v>
      </c>
      <c r="AW232" s="44">
        <f>RawData!AV230</f>
        <v>0</v>
      </c>
      <c r="AX232" s="44">
        <f>RawData!CW230</f>
        <v>0</v>
      </c>
      <c r="AY232" s="44">
        <f>RawData!AU230</f>
        <v>0</v>
      </c>
      <c r="AZ232" s="42">
        <f>RawData!CX230</f>
        <v>0</v>
      </c>
      <c r="BA232" s="44">
        <f>RawData!DF230</f>
        <v>0</v>
      </c>
      <c r="BB232" s="43">
        <f>RawData!DI230</f>
        <v>0</v>
      </c>
      <c r="BC232" s="44">
        <f>RawData!AT230</f>
        <v>0</v>
      </c>
      <c r="BD232" s="45">
        <f>RawData!AP230</f>
        <v>0</v>
      </c>
      <c r="BE232" s="44">
        <f>RawData!CS230</f>
        <v>0</v>
      </c>
      <c r="BF232" s="42">
        <f>RawData!CT230</f>
        <v>0</v>
      </c>
      <c r="BG232" s="41">
        <f>RawData!AS230</f>
        <v>0</v>
      </c>
      <c r="BH232" s="41">
        <f>RawData!CU230</f>
        <v>0</v>
      </c>
      <c r="BI232" s="41">
        <f>RawData!AR230</f>
        <v>0</v>
      </c>
      <c r="BJ232" s="42">
        <f>RawData!CV230</f>
        <v>0</v>
      </c>
      <c r="BK232" s="41">
        <f>RawData!AQ230</f>
        <v>0</v>
      </c>
      <c r="BL232" s="40">
        <f>RawData!AO230</f>
        <v>0</v>
      </c>
      <c r="BM232" s="40">
        <f>RawData!AN230</f>
        <v>0</v>
      </c>
      <c r="BN232" s="40">
        <f>RawData!AM230</f>
        <v>0</v>
      </c>
      <c r="BO232" s="40">
        <f>RawData!AL230</f>
        <v>0</v>
      </c>
      <c r="BP232" s="40">
        <f>RawData!AK230</f>
        <v>0</v>
      </c>
      <c r="BQ232" s="40">
        <f>RawData!AJ230</f>
        <v>0</v>
      </c>
      <c r="BR232" s="38">
        <f>RawData!AI230</f>
        <v>0</v>
      </c>
      <c r="BS232" s="38">
        <f>RawData!AH230</f>
        <v>0</v>
      </c>
      <c r="BT232" s="40">
        <f>RawData!AG230</f>
        <v>0</v>
      </c>
      <c r="BU232" s="39">
        <f>RawData!AF230</f>
        <v>0</v>
      </c>
      <c r="BV232" s="39">
        <f>RawData!AE230</f>
        <v>0</v>
      </c>
      <c r="BW232" s="38">
        <f>RawData!AD230</f>
        <v>0</v>
      </c>
      <c r="BX232" s="38">
        <f>RawData!AC230</f>
        <v>0</v>
      </c>
      <c r="BY232" s="37">
        <f>RawData!AB230</f>
        <v>0</v>
      </c>
      <c r="BZ232" s="37">
        <f>RawData!AA230</f>
        <v>0</v>
      </c>
      <c r="CA232" s="36">
        <f>RawData!Z230</f>
        <v>0</v>
      </c>
      <c r="CB232" s="36">
        <f>RawData!Y230</f>
        <v>0</v>
      </c>
      <c r="CC232" s="36">
        <f>RawData!X230</f>
        <v>0</v>
      </c>
      <c r="CD232" s="36">
        <f>RawData!W230</f>
        <v>0</v>
      </c>
      <c r="CE232" s="40">
        <f>RawData!V230</f>
        <v>0</v>
      </c>
      <c r="CF232" s="40">
        <f>RawData!U230</f>
        <v>0</v>
      </c>
      <c r="CG232" s="40">
        <f>RawData!T230</f>
        <v>0</v>
      </c>
      <c r="CH232" s="44">
        <f>RawData!S230</f>
        <v>0</v>
      </c>
      <c r="CI232" s="44">
        <f>RawData!R230</f>
        <v>0</v>
      </c>
      <c r="CJ232" s="44">
        <f>RawData!Q230</f>
        <v>0</v>
      </c>
      <c r="CK232" s="44">
        <f>RawData!P230</f>
        <v>0</v>
      </c>
      <c r="CL232" s="44">
        <f>RawData!CJ230</f>
        <v>0</v>
      </c>
      <c r="CM232" s="43">
        <f>RawData!CI230</f>
        <v>0</v>
      </c>
      <c r="CN232" s="44">
        <f>RawData!CL230</f>
        <v>0</v>
      </c>
      <c r="CO232" s="43">
        <f>RawData!CK230</f>
        <v>0</v>
      </c>
      <c r="CP232" s="44">
        <f>RawData!CM230</f>
        <v>0</v>
      </c>
      <c r="CQ232" s="47">
        <f>RawData!CO230</f>
        <v>0</v>
      </c>
      <c r="CR232" s="44">
        <f>RawData!CP230</f>
        <v>0</v>
      </c>
      <c r="CS232" s="44">
        <f>RawData!DG230</f>
        <v>0</v>
      </c>
      <c r="CT232" s="43">
        <f>RawData!DJ230</f>
        <v>0</v>
      </c>
      <c r="CU232" s="43">
        <f>RawData!CQ230</f>
        <v>0</v>
      </c>
      <c r="CV232" s="47">
        <f>RawData!CR230</f>
        <v>0</v>
      </c>
      <c r="CW232" s="65">
        <f>RawData!DK230</f>
        <v>0</v>
      </c>
      <c r="CX232" s="65">
        <f>RawData!DL230</f>
        <v>0</v>
      </c>
      <c r="CY232" s="65">
        <f>RawData!DM230</f>
        <v>0</v>
      </c>
      <c r="CZ232" s="65">
        <f>RawData!DN230</f>
        <v>0</v>
      </c>
      <c r="DA232" s="65">
        <f>RawData!DO230</f>
        <v>0</v>
      </c>
      <c r="DB232" s="65">
        <f>RawData!DP230</f>
        <v>0</v>
      </c>
      <c r="DC232" s="65">
        <f>RawData!DQ230</f>
        <v>0</v>
      </c>
      <c r="DD232" s="65">
        <f>RawData!DR230</f>
        <v>0</v>
      </c>
      <c r="DE232" s="65">
        <f>RawData!DS230</f>
        <v>0</v>
      </c>
      <c r="DF232" s="65">
        <f>RawData!DT230</f>
        <v>0</v>
      </c>
      <c r="DG232" s="66">
        <f>RawData!DU230</f>
        <v>0</v>
      </c>
      <c r="DI232" s="21">
        <f t="shared" si="3"/>
        <v>0</v>
      </c>
    </row>
    <row r="233" spans="1:113" x14ac:dyDescent="0.2">
      <c r="A233" s="59">
        <f>RawData!CN231</f>
        <v>0</v>
      </c>
      <c r="B233" s="44">
        <f>RawData!CH231</f>
        <v>0</v>
      </c>
      <c r="C233" s="44">
        <f>RawData!CG231</f>
        <v>0</v>
      </c>
      <c r="D233" s="43">
        <f>RawData!CF231</f>
        <v>0</v>
      </c>
      <c r="E233" s="44">
        <f>RawData!CE231</f>
        <v>0</v>
      </c>
      <c r="F233" s="43">
        <f>RawData!CD231</f>
        <v>0</v>
      </c>
      <c r="G233" s="44">
        <f>RawData!CC231</f>
        <v>0</v>
      </c>
      <c r="H233" s="44">
        <f>RawData!CB231</f>
        <v>0</v>
      </c>
      <c r="I233" s="44">
        <f>RawData!CA231</f>
        <v>0</v>
      </c>
      <c r="J233" s="44">
        <f>RawData!BZ231</f>
        <v>0</v>
      </c>
      <c r="K233" s="40">
        <f>RawData!BY231</f>
        <v>0</v>
      </c>
      <c r="L233" s="40">
        <f>RawData!BX231</f>
        <v>0</v>
      </c>
      <c r="M233" s="40">
        <f>RawData!BW231</f>
        <v>0</v>
      </c>
      <c r="N233" s="40">
        <f>RawData!BV231</f>
        <v>0</v>
      </c>
      <c r="O233" s="36">
        <f>RawData!BU231</f>
        <v>0</v>
      </c>
      <c r="P233" s="36">
        <f>RawData!BT231</f>
        <v>0</v>
      </c>
      <c r="Q233" s="36">
        <f>RawData!BS231</f>
        <v>0</v>
      </c>
      <c r="R233" s="36">
        <f>RawData!BR231</f>
        <v>0</v>
      </c>
      <c r="S233" s="37">
        <f>RawData!BQ231</f>
        <v>0</v>
      </c>
      <c r="T233" s="37">
        <f>RawData!BP231</f>
        <v>0</v>
      </c>
      <c r="U233" s="38">
        <f>RawData!BO231</f>
        <v>0</v>
      </c>
      <c r="V233" s="38">
        <f>RawData!BN231</f>
        <v>0</v>
      </c>
      <c r="W233" s="39">
        <f>RawData!BM231</f>
        <v>0</v>
      </c>
      <c r="X233" s="39">
        <f>RawData!BL231</f>
        <v>0</v>
      </c>
      <c r="Y233" s="38">
        <f>RawData!BJ231</f>
        <v>0</v>
      </c>
      <c r="Z233" s="38">
        <f>RawData!BI231</f>
        <v>0</v>
      </c>
      <c r="AA233" s="40">
        <f>RawData!BH231</f>
        <v>0</v>
      </c>
      <c r="AB233" s="40">
        <f>RawData!BG231</f>
        <v>0</v>
      </c>
      <c r="AC233" s="40">
        <f>RawData!BF231</f>
        <v>0</v>
      </c>
      <c r="AD233" s="40">
        <f>RawData!BE231</f>
        <v>0</v>
      </c>
      <c r="AE233" s="40">
        <f>RawData!BD231</f>
        <v>0</v>
      </c>
      <c r="AF233" s="40">
        <f>RawData!BC231</f>
        <v>0</v>
      </c>
      <c r="AG233" s="41">
        <f>RawData!BB231</f>
        <v>0</v>
      </c>
      <c r="AH233" s="42">
        <f>RawData!DB231</f>
        <v>0</v>
      </c>
      <c r="AI233" s="41">
        <f>RawData!BA231</f>
        <v>0</v>
      </c>
      <c r="AJ233" s="43">
        <f>RawData!DA231</f>
        <v>0</v>
      </c>
      <c r="AK233" s="41">
        <f>RawData!AZ231</f>
        <v>0</v>
      </c>
      <c r="AL233" s="42">
        <f>RawData!DD231</f>
        <v>0</v>
      </c>
      <c r="AM233" s="44">
        <f>RawData!DC231</f>
        <v>0</v>
      </c>
      <c r="AN233" s="45">
        <f>RawData!BK231</f>
        <v>0</v>
      </c>
      <c r="AO233" s="44">
        <f>RawData!AY231</f>
        <v>0</v>
      </c>
      <c r="AP233" s="43">
        <f>RawData!DH231</f>
        <v>0</v>
      </c>
      <c r="AQ233" s="43">
        <f>RawData!DE231</f>
        <v>0</v>
      </c>
      <c r="AR233" s="42">
        <f>RawData!CZ231</f>
        <v>0</v>
      </c>
      <c r="AS233" s="44">
        <f>RawData!AX231</f>
        <v>0</v>
      </c>
      <c r="AT233" s="43">
        <f>RawData!CY231</f>
        <v>0</v>
      </c>
      <c r="AU233" s="44">
        <f>RawData!AW231</f>
        <v>0</v>
      </c>
      <c r="AV233" s="46">
        <f>RawData!O231</f>
        <v>0</v>
      </c>
      <c r="AW233" s="44">
        <f>RawData!AV231</f>
        <v>0</v>
      </c>
      <c r="AX233" s="44">
        <f>RawData!CW231</f>
        <v>0</v>
      </c>
      <c r="AY233" s="44">
        <f>RawData!AU231</f>
        <v>0</v>
      </c>
      <c r="AZ233" s="42">
        <f>RawData!CX231</f>
        <v>0</v>
      </c>
      <c r="BA233" s="44">
        <f>RawData!DF231</f>
        <v>0</v>
      </c>
      <c r="BB233" s="43">
        <f>RawData!DI231</f>
        <v>0</v>
      </c>
      <c r="BC233" s="44">
        <f>RawData!AT231</f>
        <v>0</v>
      </c>
      <c r="BD233" s="45">
        <f>RawData!AP231</f>
        <v>0</v>
      </c>
      <c r="BE233" s="44">
        <f>RawData!CS231</f>
        <v>0</v>
      </c>
      <c r="BF233" s="42">
        <f>RawData!CT231</f>
        <v>0</v>
      </c>
      <c r="BG233" s="41">
        <f>RawData!AS231</f>
        <v>0</v>
      </c>
      <c r="BH233" s="41">
        <f>RawData!CU231</f>
        <v>0</v>
      </c>
      <c r="BI233" s="41">
        <f>RawData!AR231</f>
        <v>0</v>
      </c>
      <c r="BJ233" s="42">
        <f>RawData!CV231</f>
        <v>0</v>
      </c>
      <c r="BK233" s="41">
        <f>RawData!AQ231</f>
        <v>0</v>
      </c>
      <c r="BL233" s="40">
        <f>RawData!AO231</f>
        <v>0</v>
      </c>
      <c r="BM233" s="40">
        <f>RawData!AN231</f>
        <v>0</v>
      </c>
      <c r="BN233" s="40">
        <f>RawData!AM231</f>
        <v>0</v>
      </c>
      <c r="BO233" s="40">
        <f>RawData!AL231</f>
        <v>0</v>
      </c>
      <c r="BP233" s="40">
        <f>RawData!AK231</f>
        <v>0</v>
      </c>
      <c r="BQ233" s="40">
        <f>RawData!AJ231</f>
        <v>0</v>
      </c>
      <c r="BR233" s="38">
        <f>RawData!AI231</f>
        <v>0</v>
      </c>
      <c r="BS233" s="38">
        <f>RawData!AH231</f>
        <v>0</v>
      </c>
      <c r="BT233" s="40">
        <f>RawData!AG231</f>
        <v>0</v>
      </c>
      <c r="BU233" s="39">
        <f>RawData!AF231</f>
        <v>0</v>
      </c>
      <c r="BV233" s="39">
        <f>RawData!AE231</f>
        <v>0</v>
      </c>
      <c r="BW233" s="38">
        <f>RawData!AD231</f>
        <v>0</v>
      </c>
      <c r="BX233" s="38">
        <f>RawData!AC231</f>
        <v>0</v>
      </c>
      <c r="BY233" s="37">
        <f>RawData!AB231</f>
        <v>0</v>
      </c>
      <c r="BZ233" s="37">
        <f>RawData!AA231</f>
        <v>0</v>
      </c>
      <c r="CA233" s="36">
        <f>RawData!Z231</f>
        <v>0</v>
      </c>
      <c r="CB233" s="36">
        <f>RawData!Y231</f>
        <v>0</v>
      </c>
      <c r="CC233" s="36">
        <f>RawData!X231</f>
        <v>0</v>
      </c>
      <c r="CD233" s="36">
        <f>RawData!W231</f>
        <v>0</v>
      </c>
      <c r="CE233" s="40">
        <f>RawData!V231</f>
        <v>0</v>
      </c>
      <c r="CF233" s="40">
        <f>RawData!U231</f>
        <v>0</v>
      </c>
      <c r="CG233" s="40">
        <f>RawData!T231</f>
        <v>0</v>
      </c>
      <c r="CH233" s="44">
        <f>RawData!S231</f>
        <v>0</v>
      </c>
      <c r="CI233" s="44">
        <f>RawData!R231</f>
        <v>0</v>
      </c>
      <c r="CJ233" s="44">
        <f>RawData!Q231</f>
        <v>0</v>
      </c>
      <c r="CK233" s="44">
        <f>RawData!P231</f>
        <v>0</v>
      </c>
      <c r="CL233" s="44">
        <f>RawData!CJ231</f>
        <v>0</v>
      </c>
      <c r="CM233" s="43">
        <f>RawData!CI231</f>
        <v>0</v>
      </c>
      <c r="CN233" s="44">
        <f>RawData!CL231</f>
        <v>0</v>
      </c>
      <c r="CO233" s="43">
        <f>RawData!CK231</f>
        <v>0</v>
      </c>
      <c r="CP233" s="44">
        <f>RawData!CM231</f>
        <v>0</v>
      </c>
      <c r="CQ233" s="47">
        <f>RawData!CO231</f>
        <v>0</v>
      </c>
      <c r="CR233" s="44">
        <f>RawData!CP231</f>
        <v>0</v>
      </c>
      <c r="CS233" s="44">
        <f>RawData!DG231</f>
        <v>0</v>
      </c>
      <c r="CT233" s="43">
        <f>RawData!DJ231</f>
        <v>0</v>
      </c>
      <c r="CU233" s="43">
        <f>RawData!CQ231</f>
        <v>0</v>
      </c>
      <c r="CV233" s="47">
        <f>RawData!CR231</f>
        <v>0</v>
      </c>
      <c r="CW233" s="65">
        <f>RawData!DK231</f>
        <v>0</v>
      </c>
      <c r="CX233" s="65">
        <f>RawData!DL231</f>
        <v>0</v>
      </c>
      <c r="CY233" s="65">
        <f>RawData!DM231</f>
        <v>0</v>
      </c>
      <c r="CZ233" s="65">
        <f>RawData!DN231</f>
        <v>0</v>
      </c>
      <c r="DA233" s="65">
        <f>RawData!DO231</f>
        <v>0</v>
      </c>
      <c r="DB233" s="65">
        <f>RawData!DP231</f>
        <v>0</v>
      </c>
      <c r="DC233" s="65">
        <f>RawData!DQ231</f>
        <v>0</v>
      </c>
      <c r="DD233" s="65">
        <f>RawData!DR231</f>
        <v>0</v>
      </c>
      <c r="DE233" s="65">
        <f>RawData!DS231</f>
        <v>0</v>
      </c>
      <c r="DF233" s="65">
        <f>RawData!DT231</f>
        <v>0</v>
      </c>
      <c r="DG233" s="66">
        <f>RawData!DU231</f>
        <v>0</v>
      </c>
      <c r="DI233" s="21">
        <f t="shared" si="3"/>
        <v>0</v>
      </c>
    </row>
    <row r="234" spans="1:113" x14ac:dyDescent="0.2">
      <c r="A234" s="59">
        <f>RawData!CN232</f>
        <v>0</v>
      </c>
      <c r="B234" s="44">
        <f>RawData!CH232</f>
        <v>0</v>
      </c>
      <c r="C234" s="44">
        <f>RawData!CG232</f>
        <v>0</v>
      </c>
      <c r="D234" s="43">
        <f>RawData!CF232</f>
        <v>0</v>
      </c>
      <c r="E234" s="44">
        <f>RawData!CE232</f>
        <v>0</v>
      </c>
      <c r="F234" s="43">
        <f>RawData!CD232</f>
        <v>0</v>
      </c>
      <c r="G234" s="44">
        <f>RawData!CC232</f>
        <v>0</v>
      </c>
      <c r="H234" s="44">
        <f>RawData!CB232</f>
        <v>0</v>
      </c>
      <c r="I234" s="44">
        <f>RawData!CA232</f>
        <v>0</v>
      </c>
      <c r="J234" s="44">
        <f>RawData!BZ232</f>
        <v>0</v>
      </c>
      <c r="K234" s="40">
        <f>RawData!BY232</f>
        <v>0</v>
      </c>
      <c r="L234" s="40">
        <f>RawData!BX232</f>
        <v>0</v>
      </c>
      <c r="M234" s="40">
        <f>RawData!BW232</f>
        <v>0</v>
      </c>
      <c r="N234" s="40">
        <f>RawData!BV232</f>
        <v>0</v>
      </c>
      <c r="O234" s="36">
        <f>RawData!BU232</f>
        <v>0</v>
      </c>
      <c r="P234" s="36">
        <f>RawData!BT232</f>
        <v>0</v>
      </c>
      <c r="Q234" s="36">
        <f>RawData!BS232</f>
        <v>0</v>
      </c>
      <c r="R234" s="36">
        <f>RawData!BR232</f>
        <v>0</v>
      </c>
      <c r="S234" s="37">
        <f>RawData!BQ232</f>
        <v>0</v>
      </c>
      <c r="T234" s="37">
        <f>RawData!BP232</f>
        <v>0</v>
      </c>
      <c r="U234" s="38">
        <f>RawData!BO232</f>
        <v>0</v>
      </c>
      <c r="V234" s="38">
        <f>RawData!BN232</f>
        <v>0</v>
      </c>
      <c r="W234" s="39">
        <f>RawData!BM232</f>
        <v>0</v>
      </c>
      <c r="X234" s="39">
        <f>RawData!BL232</f>
        <v>0</v>
      </c>
      <c r="Y234" s="38">
        <f>RawData!BJ232</f>
        <v>0</v>
      </c>
      <c r="Z234" s="38">
        <f>RawData!BI232</f>
        <v>0</v>
      </c>
      <c r="AA234" s="40">
        <f>RawData!BH232</f>
        <v>0</v>
      </c>
      <c r="AB234" s="40">
        <f>RawData!BG232</f>
        <v>0</v>
      </c>
      <c r="AC234" s="40">
        <f>RawData!BF232</f>
        <v>0</v>
      </c>
      <c r="AD234" s="40">
        <f>RawData!BE232</f>
        <v>0</v>
      </c>
      <c r="AE234" s="40">
        <f>RawData!BD232</f>
        <v>0</v>
      </c>
      <c r="AF234" s="40">
        <f>RawData!BC232</f>
        <v>0</v>
      </c>
      <c r="AG234" s="41">
        <f>RawData!BB232</f>
        <v>0</v>
      </c>
      <c r="AH234" s="42">
        <f>RawData!DB232</f>
        <v>0</v>
      </c>
      <c r="AI234" s="41">
        <f>RawData!BA232</f>
        <v>0</v>
      </c>
      <c r="AJ234" s="43">
        <f>RawData!DA232</f>
        <v>0</v>
      </c>
      <c r="AK234" s="41">
        <f>RawData!AZ232</f>
        <v>0</v>
      </c>
      <c r="AL234" s="42">
        <f>RawData!DD232</f>
        <v>0</v>
      </c>
      <c r="AM234" s="44">
        <f>RawData!DC232</f>
        <v>0</v>
      </c>
      <c r="AN234" s="45">
        <f>RawData!BK232</f>
        <v>0</v>
      </c>
      <c r="AO234" s="44">
        <f>RawData!AY232</f>
        <v>0</v>
      </c>
      <c r="AP234" s="43">
        <f>RawData!DH232</f>
        <v>0</v>
      </c>
      <c r="AQ234" s="43">
        <f>RawData!DE232</f>
        <v>0</v>
      </c>
      <c r="AR234" s="42">
        <f>RawData!CZ232</f>
        <v>0</v>
      </c>
      <c r="AS234" s="44">
        <f>RawData!AX232</f>
        <v>0</v>
      </c>
      <c r="AT234" s="43">
        <f>RawData!CY232</f>
        <v>0</v>
      </c>
      <c r="AU234" s="44">
        <f>RawData!AW232</f>
        <v>0</v>
      </c>
      <c r="AV234" s="46">
        <f>RawData!O232</f>
        <v>0</v>
      </c>
      <c r="AW234" s="44">
        <f>RawData!AV232</f>
        <v>0</v>
      </c>
      <c r="AX234" s="44">
        <f>RawData!CW232</f>
        <v>0</v>
      </c>
      <c r="AY234" s="44">
        <f>RawData!AU232</f>
        <v>0</v>
      </c>
      <c r="AZ234" s="42">
        <f>RawData!CX232</f>
        <v>0</v>
      </c>
      <c r="BA234" s="44">
        <f>RawData!DF232</f>
        <v>0</v>
      </c>
      <c r="BB234" s="43">
        <f>RawData!DI232</f>
        <v>0</v>
      </c>
      <c r="BC234" s="44">
        <f>RawData!AT232</f>
        <v>0</v>
      </c>
      <c r="BD234" s="45">
        <f>RawData!AP232</f>
        <v>0</v>
      </c>
      <c r="BE234" s="44">
        <f>RawData!CS232</f>
        <v>0</v>
      </c>
      <c r="BF234" s="42">
        <f>RawData!CT232</f>
        <v>0</v>
      </c>
      <c r="BG234" s="41">
        <f>RawData!AS232</f>
        <v>0</v>
      </c>
      <c r="BH234" s="41">
        <f>RawData!CU232</f>
        <v>0</v>
      </c>
      <c r="BI234" s="41">
        <f>RawData!AR232</f>
        <v>0</v>
      </c>
      <c r="BJ234" s="42">
        <f>RawData!CV232</f>
        <v>0</v>
      </c>
      <c r="BK234" s="41">
        <f>RawData!AQ232</f>
        <v>0</v>
      </c>
      <c r="BL234" s="40">
        <f>RawData!AO232</f>
        <v>0</v>
      </c>
      <c r="BM234" s="40">
        <f>RawData!AN232</f>
        <v>0</v>
      </c>
      <c r="BN234" s="40">
        <f>RawData!AM232</f>
        <v>0</v>
      </c>
      <c r="BO234" s="40">
        <f>RawData!AL232</f>
        <v>0</v>
      </c>
      <c r="BP234" s="40">
        <f>RawData!AK232</f>
        <v>0</v>
      </c>
      <c r="BQ234" s="40">
        <f>RawData!AJ232</f>
        <v>0</v>
      </c>
      <c r="BR234" s="38">
        <f>RawData!AI232</f>
        <v>0</v>
      </c>
      <c r="BS234" s="38">
        <f>RawData!AH232</f>
        <v>0</v>
      </c>
      <c r="BT234" s="40">
        <f>RawData!AG232</f>
        <v>0</v>
      </c>
      <c r="BU234" s="39">
        <f>RawData!AF232</f>
        <v>0</v>
      </c>
      <c r="BV234" s="39">
        <f>RawData!AE232</f>
        <v>0</v>
      </c>
      <c r="BW234" s="38">
        <f>RawData!AD232</f>
        <v>0</v>
      </c>
      <c r="BX234" s="38">
        <f>RawData!AC232</f>
        <v>0</v>
      </c>
      <c r="BY234" s="37">
        <f>RawData!AB232</f>
        <v>0</v>
      </c>
      <c r="BZ234" s="37">
        <f>RawData!AA232</f>
        <v>0</v>
      </c>
      <c r="CA234" s="36">
        <f>RawData!Z232</f>
        <v>0</v>
      </c>
      <c r="CB234" s="36">
        <f>RawData!Y232</f>
        <v>0</v>
      </c>
      <c r="CC234" s="36">
        <f>RawData!X232</f>
        <v>0</v>
      </c>
      <c r="CD234" s="36">
        <f>RawData!W232</f>
        <v>0</v>
      </c>
      <c r="CE234" s="40">
        <f>RawData!V232</f>
        <v>0</v>
      </c>
      <c r="CF234" s="40">
        <f>RawData!U232</f>
        <v>0</v>
      </c>
      <c r="CG234" s="40">
        <f>RawData!T232</f>
        <v>0</v>
      </c>
      <c r="CH234" s="44">
        <f>RawData!S232</f>
        <v>0</v>
      </c>
      <c r="CI234" s="44">
        <f>RawData!R232</f>
        <v>0</v>
      </c>
      <c r="CJ234" s="44">
        <f>RawData!Q232</f>
        <v>0</v>
      </c>
      <c r="CK234" s="44">
        <f>RawData!P232</f>
        <v>0</v>
      </c>
      <c r="CL234" s="44">
        <f>RawData!CJ232</f>
        <v>0</v>
      </c>
      <c r="CM234" s="43">
        <f>RawData!CI232</f>
        <v>0</v>
      </c>
      <c r="CN234" s="44">
        <f>RawData!CL232</f>
        <v>0</v>
      </c>
      <c r="CO234" s="43">
        <f>RawData!CK232</f>
        <v>0</v>
      </c>
      <c r="CP234" s="44">
        <f>RawData!CM232</f>
        <v>0</v>
      </c>
      <c r="CQ234" s="47">
        <f>RawData!CO232</f>
        <v>0</v>
      </c>
      <c r="CR234" s="44">
        <f>RawData!CP232</f>
        <v>0</v>
      </c>
      <c r="CS234" s="44">
        <f>RawData!DG232</f>
        <v>0</v>
      </c>
      <c r="CT234" s="43">
        <f>RawData!DJ232</f>
        <v>0</v>
      </c>
      <c r="CU234" s="43">
        <f>RawData!CQ232</f>
        <v>0</v>
      </c>
      <c r="CV234" s="47">
        <f>RawData!CR232</f>
        <v>0</v>
      </c>
      <c r="CW234" s="65">
        <f>RawData!DK232</f>
        <v>0</v>
      </c>
      <c r="CX234" s="65">
        <f>RawData!DL232</f>
        <v>0</v>
      </c>
      <c r="CY234" s="65">
        <f>RawData!DM232</f>
        <v>0</v>
      </c>
      <c r="CZ234" s="65">
        <f>RawData!DN232</f>
        <v>0</v>
      </c>
      <c r="DA234" s="65">
        <f>RawData!DO232</f>
        <v>0</v>
      </c>
      <c r="DB234" s="65">
        <f>RawData!DP232</f>
        <v>0</v>
      </c>
      <c r="DC234" s="65">
        <f>RawData!DQ232</f>
        <v>0</v>
      </c>
      <c r="DD234" s="65">
        <f>RawData!DR232</f>
        <v>0</v>
      </c>
      <c r="DE234" s="65">
        <f>RawData!DS232</f>
        <v>0</v>
      </c>
      <c r="DF234" s="65">
        <f>RawData!DT232</f>
        <v>0</v>
      </c>
      <c r="DG234" s="66">
        <f>RawData!DU232</f>
        <v>0</v>
      </c>
      <c r="DI234" s="21">
        <f t="shared" si="3"/>
        <v>0</v>
      </c>
    </row>
    <row r="235" spans="1:113" x14ac:dyDescent="0.2">
      <c r="A235" s="59">
        <f>RawData!CN233</f>
        <v>0</v>
      </c>
      <c r="B235" s="44">
        <f>RawData!CH233</f>
        <v>0</v>
      </c>
      <c r="C235" s="44">
        <f>RawData!CG233</f>
        <v>0</v>
      </c>
      <c r="D235" s="43">
        <f>RawData!CF233</f>
        <v>0</v>
      </c>
      <c r="E235" s="44">
        <f>RawData!CE233</f>
        <v>0</v>
      </c>
      <c r="F235" s="43">
        <f>RawData!CD233</f>
        <v>0</v>
      </c>
      <c r="G235" s="44">
        <f>RawData!CC233</f>
        <v>0</v>
      </c>
      <c r="H235" s="44">
        <f>RawData!CB233</f>
        <v>0</v>
      </c>
      <c r="I235" s="44">
        <f>RawData!CA233</f>
        <v>0</v>
      </c>
      <c r="J235" s="44">
        <f>RawData!BZ233</f>
        <v>0</v>
      </c>
      <c r="K235" s="40">
        <f>RawData!BY233</f>
        <v>0</v>
      </c>
      <c r="L235" s="40">
        <f>RawData!BX233</f>
        <v>0</v>
      </c>
      <c r="M235" s="40">
        <f>RawData!BW233</f>
        <v>0</v>
      </c>
      <c r="N235" s="40">
        <f>RawData!BV233</f>
        <v>0</v>
      </c>
      <c r="O235" s="36">
        <f>RawData!BU233</f>
        <v>0</v>
      </c>
      <c r="P235" s="36">
        <f>RawData!BT233</f>
        <v>0</v>
      </c>
      <c r="Q235" s="36">
        <f>RawData!BS233</f>
        <v>0</v>
      </c>
      <c r="R235" s="36">
        <f>RawData!BR233</f>
        <v>0</v>
      </c>
      <c r="S235" s="37">
        <f>RawData!BQ233</f>
        <v>0</v>
      </c>
      <c r="T235" s="37">
        <f>RawData!BP233</f>
        <v>0</v>
      </c>
      <c r="U235" s="38">
        <f>RawData!BO233</f>
        <v>0</v>
      </c>
      <c r="V235" s="38">
        <f>RawData!BN233</f>
        <v>0</v>
      </c>
      <c r="W235" s="39">
        <f>RawData!BM233</f>
        <v>0</v>
      </c>
      <c r="X235" s="39">
        <f>RawData!BL233</f>
        <v>0</v>
      </c>
      <c r="Y235" s="38">
        <f>RawData!BJ233</f>
        <v>0</v>
      </c>
      <c r="Z235" s="38">
        <f>RawData!BI233</f>
        <v>0</v>
      </c>
      <c r="AA235" s="40">
        <f>RawData!BH233</f>
        <v>0</v>
      </c>
      <c r="AB235" s="40">
        <f>RawData!BG233</f>
        <v>0</v>
      </c>
      <c r="AC235" s="40">
        <f>RawData!BF233</f>
        <v>0</v>
      </c>
      <c r="AD235" s="40">
        <f>RawData!BE233</f>
        <v>0</v>
      </c>
      <c r="AE235" s="40">
        <f>RawData!BD233</f>
        <v>0</v>
      </c>
      <c r="AF235" s="40">
        <f>RawData!BC233</f>
        <v>0</v>
      </c>
      <c r="AG235" s="41">
        <f>RawData!BB233</f>
        <v>0</v>
      </c>
      <c r="AH235" s="42">
        <f>RawData!DB233</f>
        <v>0</v>
      </c>
      <c r="AI235" s="41">
        <f>RawData!BA233</f>
        <v>0</v>
      </c>
      <c r="AJ235" s="43">
        <f>RawData!DA233</f>
        <v>0</v>
      </c>
      <c r="AK235" s="41">
        <f>RawData!AZ233</f>
        <v>0</v>
      </c>
      <c r="AL235" s="42">
        <f>RawData!DD233</f>
        <v>0</v>
      </c>
      <c r="AM235" s="44">
        <f>RawData!DC233</f>
        <v>0</v>
      </c>
      <c r="AN235" s="45">
        <f>RawData!BK233</f>
        <v>0</v>
      </c>
      <c r="AO235" s="44">
        <f>RawData!AY233</f>
        <v>0</v>
      </c>
      <c r="AP235" s="43">
        <f>RawData!DH233</f>
        <v>0</v>
      </c>
      <c r="AQ235" s="43">
        <f>RawData!DE233</f>
        <v>0</v>
      </c>
      <c r="AR235" s="42">
        <f>RawData!CZ233</f>
        <v>0</v>
      </c>
      <c r="AS235" s="44">
        <f>RawData!AX233</f>
        <v>0</v>
      </c>
      <c r="AT235" s="43">
        <f>RawData!CY233</f>
        <v>0</v>
      </c>
      <c r="AU235" s="44">
        <f>RawData!AW233</f>
        <v>0</v>
      </c>
      <c r="AV235" s="46">
        <f>RawData!O233</f>
        <v>0</v>
      </c>
      <c r="AW235" s="44">
        <f>RawData!AV233</f>
        <v>0</v>
      </c>
      <c r="AX235" s="44">
        <f>RawData!CW233</f>
        <v>0</v>
      </c>
      <c r="AY235" s="44">
        <f>RawData!AU233</f>
        <v>0</v>
      </c>
      <c r="AZ235" s="42">
        <f>RawData!CX233</f>
        <v>0</v>
      </c>
      <c r="BA235" s="44">
        <f>RawData!DF233</f>
        <v>0</v>
      </c>
      <c r="BB235" s="43">
        <f>RawData!DI233</f>
        <v>0</v>
      </c>
      <c r="BC235" s="44">
        <f>RawData!AT233</f>
        <v>0</v>
      </c>
      <c r="BD235" s="45">
        <f>RawData!AP233</f>
        <v>0</v>
      </c>
      <c r="BE235" s="44">
        <f>RawData!CS233</f>
        <v>0</v>
      </c>
      <c r="BF235" s="42">
        <f>RawData!CT233</f>
        <v>0</v>
      </c>
      <c r="BG235" s="41">
        <f>RawData!AS233</f>
        <v>0</v>
      </c>
      <c r="BH235" s="41">
        <f>RawData!CU233</f>
        <v>0</v>
      </c>
      <c r="BI235" s="41">
        <f>RawData!AR233</f>
        <v>0</v>
      </c>
      <c r="BJ235" s="42">
        <f>RawData!CV233</f>
        <v>0</v>
      </c>
      <c r="BK235" s="41">
        <f>RawData!AQ233</f>
        <v>0</v>
      </c>
      <c r="BL235" s="40">
        <f>RawData!AO233</f>
        <v>0</v>
      </c>
      <c r="BM235" s="40">
        <f>RawData!AN233</f>
        <v>0</v>
      </c>
      <c r="BN235" s="40">
        <f>RawData!AM233</f>
        <v>0</v>
      </c>
      <c r="BO235" s="40">
        <f>RawData!AL233</f>
        <v>0</v>
      </c>
      <c r="BP235" s="40">
        <f>RawData!AK233</f>
        <v>0</v>
      </c>
      <c r="BQ235" s="40">
        <f>RawData!AJ233</f>
        <v>0</v>
      </c>
      <c r="BR235" s="38">
        <f>RawData!AI233</f>
        <v>0</v>
      </c>
      <c r="BS235" s="38">
        <f>RawData!AH233</f>
        <v>0</v>
      </c>
      <c r="BT235" s="40">
        <f>RawData!AG233</f>
        <v>0</v>
      </c>
      <c r="BU235" s="39">
        <f>RawData!AF233</f>
        <v>0</v>
      </c>
      <c r="BV235" s="39">
        <f>RawData!AE233</f>
        <v>0</v>
      </c>
      <c r="BW235" s="38">
        <f>RawData!AD233</f>
        <v>0</v>
      </c>
      <c r="BX235" s="38">
        <f>RawData!AC233</f>
        <v>0</v>
      </c>
      <c r="BY235" s="37">
        <f>RawData!AB233</f>
        <v>0</v>
      </c>
      <c r="BZ235" s="37">
        <f>RawData!AA233</f>
        <v>0</v>
      </c>
      <c r="CA235" s="36">
        <f>RawData!Z233</f>
        <v>0</v>
      </c>
      <c r="CB235" s="36">
        <f>RawData!Y233</f>
        <v>0</v>
      </c>
      <c r="CC235" s="36">
        <f>RawData!X233</f>
        <v>0</v>
      </c>
      <c r="CD235" s="36">
        <f>RawData!W233</f>
        <v>0</v>
      </c>
      <c r="CE235" s="40">
        <f>RawData!V233</f>
        <v>0</v>
      </c>
      <c r="CF235" s="40">
        <f>RawData!U233</f>
        <v>0</v>
      </c>
      <c r="CG235" s="40">
        <f>RawData!T233</f>
        <v>0</v>
      </c>
      <c r="CH235" s="44">
        <f>RawData!S233</f>
        <v>0</v>
      </c>
      <c r="CI235" s="44">
        <f>RawData!R233</f>
        <v>0</v>
      </c>
      <c r="CJ235" s="44">
        <f>RawData!Q233</f>
        <v>0</v>
      </c>
      <c r="CK235" s="44">
        <f>RawData!P233</f>
        <v>0</v>
      </c>
      <c r="CL235" s="44">
        <f>RawData!CJ233</f>
        <v>0</v>
      </c>
      <c r="CM235" s="43">
        <f>RawData!CI233</f>
        <v>0</v>
      </c>
      <c r="CN235" s="44">
        <f>RawData!CL233</f>
        <v>0</v>
      </c>
      <c r="CO235" s="43">
        <f>RawData!CK233</f>
        <v>0</v>
      </c>
      <c r="CP235" s="44">
        <f>RawData!CM233</f>
        <v>0</v>
      </c>
      <c r="CQ235" s="47">
        <f>RawData!CO233</f>
        <v>0</v>
      </c>
      <c r="CR235" s="44">
        <f>RawData!CP233</f>
        <v>0</v>
      </c>
      <c r="CS235" s="44">
        <f>RawData!DG233</f>
        <v>0</v>
      </c>
      <c r="CT235" s="43">
        <f>RawData!DJ233</f>
        <v>0</v>
      </c>
      <c r="CU235" s="43">
        <f>RawData!CQ233</f>
        <v>0</v>
      </c>
      <c r="CV235" s="47">
        <f>RawData!CR233</f>
        <v>0</v>
      </c>
      <c r="CW235" s="65">
        <f>RawData!DK233</f>
        <v>0</v>
      </c>
      <c r="CX235" s="65">
        <f>RawData!DL233</f>
        <v>0</v>
      </c>
      <c r="CY235" s="65">
        <f>RawData!DM233</f>
        <v>0</v>
      </c>
      <c r="CZ235" s="65">
        <f>RawData!DN233</f>
        <v>0</v>
      </c>
      <c r="DA235" s="65">
        <f>RawData!DO233</f>
        <v>0</v>
      </c>
      <c r="DB235" s="65">
        <f>RawData!DP233</f>
        <v>0</v>
      </c>
      <c r="DC235" s="65">
        <f>RawData!DQ233</f>
        <v>0</v>
      </c>
      <c r="DD235" s="65">
        <f>RawData!DR233</f>
        <v>0</v>
      </c>
      <c r="DE235" s="65">
        <f>RawData!DS233</f>
        <v>0</v>
      </c>
      <c r="DF235" s="65">
        <f>RawData!DT233</f>
        <v>0</v>
      </c>
      <c r="DG235" s="66">
        <f>RawData!DU233</f>
        <v>0</v>
      </c>
      <c r="DI235" s="21">
        <f t="shared" si="3"/>
        <v>0</v>
      </c>
    </row>
    <row r="236" spans="1:113" x14ac:dyDescent="0.2">
      <c r="A236" s="59">
        <f>RawData!CN234</f>
        <v>0</v>
      </c>
      <c r="B236" s="44">
        <f>RawData!CH234</f>
        <v>0</v>
      </c>
      <c r="C236" s="44">
        <f>RawData!CG234</f>
        <v>0</v>
      </c>
      <c r="D236" s="43">
        <f>RawData!CF234</f>
        <v>0</v>
      </c>
      <c r="E236" s="44">
        <f>RawData!CE234</f>
        <v>0</v>
      </c>
      <c r="F236" s="43">
        <f>RawData!CD234</f>
        <v>0</v>
      </c>
      <c r="G236" s="44">
        <f>RawData!CC234</f>
        <v>0</v>
      </c>
      <c r="H236" s="44">
        <f>RawData!CB234</f>
        <v>0</v>
      </c>
      <c r="I236" s="44">
        <f>RawData!CA234</f>
        <v>0</v>
      </c>
      <c r="J236" s="44">
        <f>RawData!BZ234</f>
        <v>0</v>
      </c>
      <c r="K236" s="40">
        <f>RawData!BY234</f>
        <v>0</v>
      </c>
      <c r="L236" s="40">
        <f>RawData!BX234</f>
        <v>0</v>
      </c>
      <c r="M236" s="40">
        <f>RawData!BW234</f>
        <v>0</v>
      </c>
      <c r="N236" s="40">
        <f>RawData!BV234</f>
        <v>0</v>
      </c>
      <c r="O236" s="36">
        <f>RawData!BU234</f>
        <v>0</v>
      </c>
      <c r="P236" s="36">
        <f>RawData!BT234</f>
        <v>0</v>
      </c>
      <c r="Q236" s="36">
        <f>RawData!BS234</f>
        <v>0</v>
      </c>
      <c r="R236" s="36">
        <f>RawData!BR234</f>
        <v>0</v>
      </c>
      <c r="S236" s="37">
        <f>RawData!BQ234</f>
        <v>0</v>
      </c>
      <c r="T236" s="37">
        <f>RawData!BP234</f>
        <v>0</v>
      </c>
      <c r="U236" s="38">
        <f>RawData!BO234</f>
        <v>0</v>
      </c>
      <c r="V236" s="38">
        <f>RawData!BN234</f>
        <v>0</v>
      </c>
      <c r="W236" s="39">
        <f>RawData!BM234</f>
        <v>0</v>
      </c>
      <c r="X236" s="39">
        <f>RawData!BL234</f>
        <v>0</v>
      </c>
      <c r="Y236" s="38">
        <f>RawData!BJ234</f>
        <v>0</v>
      </c>
      <c r="Z236" s="38">
        <f>RawData!BI234</f>
        <v>0</v>
      </c>
      <c r="AA236" s="40">
        <f>RawData!BH234</f>
        <v>0</v>
      </c>
      <c r="AB236" s="40">
        <f>RawData!BG234</f>
        <v>0</v>
      </c>
      <c r="AC236" s="40">
        <f>RawData!BF234</f>
        <v>0</v>
      </c>
      <c r="AD236" s="40">
        <f>RawData!BE234</f>
        <v>0</v>
      </c>
      <c r="AE236" s="40">
        <f>RawData!BD234</f>
        <v>0</v>
      </c>
      <c r="AF236" s="40">
        <f>RawData!BC234</f>
        <v>0</v>
      </c>
      <c r="AG236" s="41">
        <f>RawData!BB234</f>
        <v>0</v>
      </c>
      <c r="AH236" s="42">
        <f>RawData!DB234</f>
        <v>0</v>
      </c>
      <c r="AI236" s="41">
        <f>RawData!BA234</f>
        <v>0</v>
      </c>
      <c r="AJ236" s="43">
        <f>RawData!DA234</f>
        <v>0</v>
      </c>
      <c r="AK236" s="41">
        <f>RawData!AZ234</f>
        <v>0</v>
      </c>
      <c r="AL236" s="42">
        <f>RawData!DD234</f>
        <v>0</v>
      </c>
      <c r="AM236" s="44">
        <f>RawData!DC234</f>
        <v>0</v>
      </c>
      <c r="AN236" s="45">
        <f>RawData!BK234</f>
        <v>0</v>
      </c>
      <c r="AO236" s="44">
        <f>RawData!AY234</f>
        <v>0</v>
      </c>
      <c r="AP236" s="43">
        <f>RawData!DH234</f>
        <v>0</v>
      </c>
      <c r="AQ236" s="43">
        <f>RawData!DE234</f>
        <v>0</v>
      </c>
      <c r="AR236" s="42">
        <f>RawData!CZ234</f>
        <v>0</v>
      </c>
      <c r="AS236" s="44">
        <f>RawData!AX234</f>
        <v>0</v>
      </c>
      <c r="AT236" s="43">
        <f>RawData!CY234</f>
        <v>0</v>
      </c>
      <c r="AU236" s="44">
        <f>RawData!AW234</f>
        <v>0</v>
      </c>
      <c r="AV236" s="46">
        <f>RawData!O234</f>
        <v>0</v>
      </c>
      <c r="AW236" s="44">
        <f>RawData!AV234</f>
        <v>0</v>
      </c>
      <c r="AX236" s="44">
        <f>RawData!CW234</f>
        <v>0</v>
      </c>
      <c r="AY236" s="44">
        <f>RawData!AU234</f>
        <v>0</v>
      </c>
      <c r="AZ236" s="42">
        <f>RawData!CX234</f>
        <v>0</v>
      </c>
      <c r="BA236" s="44">
        <f>RawData!DF234</f>
        <v>0</v>
      </c>
      <c r="BB236" s="43">
        <f>RawData!DI234</f>
        <v>0</v>
      </c>
      <c r="BC236" s="44">
        <f>RawData!AT234</f>
        <v>0</v>
      </c>
      <c r="BD236" s="45">
        <f>RawData!AP234</f>
        <v>0</v>
      </c>
      <c r="BE236" s="44">
        <f>RawData!CS234</f>
        <v>0</v>
      </c>
      <c r="BF236" s="42">
        <f>RawData!CT234</f>
        <v>0</v>
      </c>
      <c r="BG236" s="41">
        <f>RawData!AS234</f>
        <v>0</v>
      </c>
      <c r="BH236" s="41">
        <f>RawData!CU234</f>
        <v>0</v>
      </c>
      <c r="BI236" s="41">
        <f>RawData!AR234</f>
        <v>0</v>
      </c>
      <c r="BJ236" s="42">
        <f>RawData!CV234</f>
        <v>0</v>
      </c>
      <c r="BK236" s="41">
        <f>RawData!AQ234</f>
        <v>0</v>
      </c>
      <c r="BL236" s="40">
        <f>RawData!AO234</f>
        <v>0</v>
      </c>
      <c r="BM236" s="40">
        <f>RawData!AN234</f>
        <v>0</v>
      </c>
      <c r="BN236" s="40">
        <f>RawData!AM234</f>
        <v>0</v>
      </c>
      <c r="BO236" s="40">
        <f>RawData!AL234</f>
        <v>0</v>
      </c>
      <c r="BP236" s="40">
        <f>RawData!AK234</f>
        <v>0</v>
      </c>
      <c r="BQ236" s="40">
        <f>RawData!AJ234</f>
        <v>0</v>
      </c>
      <c r="BR236" s="38">
        <f>RawData!AI234</f>
        <v>0</v>
      </c>
      <c r="BS236" s="38">
        <f>RawData!AH234</f>
        <v>0</v>
      </c>
      <c r="BT236" s="40">
        <f>RawData!AG234</f>
        <v>0</v>
      </c>
      <c r="BU236" s="39">
        <f>RawData!AF234</f>
        <v>0</v>
      </c>
      <c r="BV236" s="39">
        <f>RawData!AE234</f>
        <v>0</v>
      </c>
      <c r="BW236" s="38">
        <f>RawData!AD234</f>
        <v>0</v>
      </c>
      <c r="BX236" s="38">
        <f>RawData!AC234</f>
        <v>0</v>
      </c>
      <c r="BY236" s="37">
        <f>RawData!AB234</f>
        <v>0</v>
      </c>
      <c r="BZ236" s="37">
        <f>RawData!AA234</f>
        <v>0</v>
      </c>
      <c r="CA236" s="36">
        <f>RawData!Z234</f>
        <v>0</v>
      </c>
      <c r="CB236" s="36">
        <f>RawData!Y234</f>
        <v>0</v>
      </c>
      <c r="CC236" s="36">
        <f>RawData!X234</f>
        <v>0</v>
      </c>
      <c r="CD236" s="36">
        <f>RawData!W234</f>
        <v>0</v>
      </c>
      <c r="CE236" s="40">
        <f>RawData!V234</f>
        <v>0</v>
      </c>
      <c r="CF236" s="40">
        <f>RawData!U234</f>
        <v>0</v>
      </c>
      <c r="CG236" s="40">
        <f>RawData!T234</f>
        <v>0</v>
      </c>
      <c r="CH236" s="44">
        <f>RawData!S234</f>
        <v>0</v>
      </c>
      <c r="CI236" s="44">
        <f>RawData!R234</f>
        <v>0</v>
      </c>
      <c r="CJ236" s="44">
        <f>RawData!Q234</f>
        <v>0</v>
      </c>
      <c r="CK236" s="44">
        <f>RawData!P234</f>
        <v>0</v>
      </c>
      <c r="CL236" s="44">
        <f>RawData!CJ234</f>
        <v>0</v>
      </c>
      <c r="CM236" s="43">
        <f>RawData!CI234</f>
        <v>0</v>
      </c>
      <c r="CN236" s="44">
        <f>RawData!CL234</f>
        <v>0</v>
      </c>
      <c r="CO236" s="43">
        <f>RawData!CK234</f>
        <v>0</v>
      </c>
      <c r="CP236" s="44">
        <f>RawData!CM234</f>
        <v>0</v>
      </c>
      <c r="CQ236" s="47">
        <f>RawData!CO234</f>
        <v>0</v>
      </c>
      <c r="CR236" s="44">
        <f>RawData!CP234</f>
        <v>0</v>
      </c>
      <c r="CS236" s="44">
        <f>RawData!DG234</f>
        <v>0</v>
      </c>
      <c r="CT236" s="43">
        <f>RawData!DJ234</f>
        <v>0</v>
      </c>
      <c r="CU236" s="43">
        <f>RawData!CQ234</f>
        <v>0</v>
      </c>
      <c r="CV236" s="47">
        <f>RawData!CR234</f>
        <v>0</v>
      </c>
      <c r="CW236" s="65">
        <f>RawData!DK234</f>
        <v>0</v>
      </c>
      <c r="CX236" s="65">
        <f>RawData!DL234</f>
        <v>0</v>
      </c>
      <c r="CY236" s="65">
        <f>RawData!DM234</f>
        <v>0</v>
      </c>
      <c r="CZ236" s="65">
        <f>RawData!DN234</f>
        <v>0</v>
      </c>
      <c r="DA236" s="65">
        <f>RawData!DO234</f>
        <v>0</v>
      </c>
      <c r="DB236" s="65">
        <f>RawData!DP234</f>
        <v>0</v>
      </c>
      <c r="DC236" s="65">
        <f>RawData!DQ234</f>
        <v>0</v>
      </c>
      <c r="DD236" s="65">
        <f>RawData!DR234</f>
        <v>0</v>
      </c>
      <c r="DE236" s="65">
        <f>RawData!DS234</f>
        <v>0</v>
      </c>
      <c r="DF236" s="65">
        <f>RawData!DT234</f>
        <v>0</v>
      </c>
      <c r="DG236" s="66">
        <f>RawData!DU234</f>
        <v>0</v>
      </c>
      <c r="DI236" s="21">
        <f t="shared" si="3"/>
        <v>0</v>
      </c>
    </row>
    <row r="237" spans="1:113" x14ac:dyDescent="0.2">
      <c r="A237" s="59">
        <f>RawData!CN235</f>
        <v>0</v>
      </c>
      <c r="B237" s="44">
        <f>RawData!CH235</f>
        <v>0</v>
      </c>
      <c r="C237" s="44">
        <f>RawData!CG235</f>
        <v>0</v>
      </c>
      <c r="D237" s="43">
        <f>RawData!CF235</f>
        <v>0</v>
      </c>
      <c r="E237" s="44">
        <f>RawData!CE235</f>
        <v>0</v>
      </c>
      <c r="F237" s="43">
        <f>RawData!CD235</f>
        <v>0</v>
      </c>
      <c r="G237" s="44">
        <f>RawData!CC235</f>
        <v>0</v>
      </c>
      <c r="H237" s="44">
        <f>RawData!CB235</f>
        <v>0</v>
      </c>
      <c r="I237" s="44">
        <f>RawData!CA235</f>
        <v>0</v>
      </c>
      <c r="J237" s="44">
        <f>RawData!BZ235</f>
        <v>0</v>
      </c>
      <c r="K237" s="40">
        <f>RawData!BY235</f>
        <v>0</v>
      </c>
      <c r="L237" s="40">
        <f>RawData!BX235</f>
        <v>0</v>
      </c>
      <c r="M237" s="40">
        <f>RawData!BW235</f>
        <v>0</v>
      </c>
      <c r="N237" s="40">
        <f>RawData!BV235</f>
        <v>0</v>
      </c>
      <c r="O237" s="36">
        <f>RawData!BU235</f>
        <v>0</v>
      </c>
      <c r="P237" s="36">
        <f>RawData!BT235</f>
        <v>0</v>
      </c>
      <c r="Q237" s="36">
        <f>RawData!BS235</f>
        <v>0</v>
      </c>
      <c r="R237" s="36">
        <f>RawData!BR235</f>
        <v>0</v>
      </c>
      <c r="S237" s="37">
        <f>RawData!BQ235</f>
        <v>0</v>
      </c>
      <c r="T237" s="37">
        <f>RawData!BP235</f>
        <v>0</v>
      </c>
      <c r="U237" s="38">
        <f>RawData!BO235</f>
        <v>0</v>
      </c>
      <c r="V237" s="38">
        <f>RawData!BN235</f>
        <v>0</v>
      </c>
      <c r="W237" s="39">
        <f>RawData!BM235</f>
        <v>0</v>
      </c>
      <c r="X237" s="39">
        <f>RawData!BL235</f>
        <v>0</v>
      </c>
      <c r="Y237" s="38">
        <f>RawData!BJ235</f>
        <v>0</v>
      </c>
      <c r="Z237" s="38">
        <f>RawData!BI235</f>
        <v>0</v>
      </c>
      <c r="AA237" s="40">
        <f>RawData!BH235</f>
        <v>0</v>
      </c>
      <c r="AB237" s="40">
        <f>RawData!BG235</f>
        <v>0</v>
      </c>
      <c r="AC237" s="40">
        <f>RawData!BF235</f>
        <v>0</v>
      </c>
      <c r="AD237" s="40">
        <f>RawData!BE235</f>
        <v>0</v>
      </c>
      <c r="AE237" s="40">
        <f>RawData!BD235</f>
        <v>0</v>
      </c>
      <c r="AF237" s="40">
        <f>RawData!BC235</f>
        <v>0</v>
      </c>
      <c r="AG237" s="41">
        <f>RawData!BB235</f>
        <v>0</v>
      </c>
      <c r="AH237" s="42">
        <f>RawData!DB235</f>
        <v>0</v>
      </c>
      <c r="AI237" s="41">
        <f>RawData!BA235</f>
        <v>0</v>
      </c>
      <c r="AJ237" s="43">
        <f>RawData!DA235</f>
        <v>0</v>
      </c>
      <c r="AK237" s="41">
        <f>RawData!AZ235</f>
        <v>0</v>
      </c>
      <c r="AL237" s="42">
        <f>RawData!DD235</f>
        <v>0</v>
      </c>
      <c r="AM237" s="44">
        <f>RawData!DC235</f>
        <v>0</v>
      </c>
      <c r="AN237" s="45">
        <f>RawData!BK235</f>
        <v>0</v>
      </c>
      <c r="AO237" s="44">
        <f>RawData!AY235</f>
        <v>0</v>
      </c>
      <c r="AP237" s="43">
        <f>RawData!DH235</f>
        <v>0</v>
      </c>
      <c r="AQ237" s="43">
        <f>RawData!DE235</f>
        <v>0</v>
      </c>
      <c r="AR237" s="42">
        <f>RawData!CZ235</f>
        <v>0</v>
      </c>
      <c r="AS237" s="44">
        <f>RawData!AX235</f>
        <v>0</v>
      </c>
      <c r="AT237" s="43">
        <f>RawData!CY235</f>
        <v>0</v>
      </c>
      <c r="AU237" s="44">
        <f>RawData!AW235</f>
        <v>0</v>
      </c>
      <c r="AV237" s="46">
        <f>RawData!O235</f>
        <v>0</v>
      </c>
      <c r="AW237" s="44">
        <f>RawData!AV235</f>
        <v>0</v>
      </c>
      <c r="AX237" s="44">
        <f>RawData!CW235</f>
        <v>0</v>
      </c>
      <c r="AY237" s="44">
        <f>RawData!AU235</f>
        <v>0</v>
      </c>
      <c r="AZ237" s="42">
        <f>RawData!CX235</f>
        <v>0</v>
      </c>
      <c r="BA237" s="44">
        <f>RawData!DF235</f>
        <v>0</v>
      </c>
      <c r="BB237" s="43">
        <f>RawData!DI235</f>
        <v>0</v>
      </c>
      <c r="BC237" s="44">
        <f>RawData!AT235</f>
        <v>0</v>
      </c>
      <c r="BD237" s="45">
        <f>RawData!AP235</f>
        <v>0</v>
      </c>
      <c r="BE237" s="44">
        <f>RawData!CS235</f>
        <v>0</v>
      </c>
      <c r="BF237" s="42">
        <f>RawData!CT235</f>
        <v>0</v>
      </c>
      <c r="BG237" s="41">
        <f>RawData!AS235</f>
        <v>0</v>
      </c>
      <c r="BH237" s="41">
        <f>RawData!CU235</f>
        <v>0</v>
      </c>
      <c r="BI237" s="41">
        <f>RawData!AR235</f>
        <v>0</v>
      </c>
      <c r="BJ237" s="42">
        <f>RawData!CV235</f>
        <v>0</v>
      </c>
      <c r="BK237" s="41">
        <f>RawData!AQ235</f>
        <v>0</v>
      </c>
      <c r="BL237" s="40">
        <f>RawData!AO235</f>
        <v>0</v>
      </c>
      <c r="BM237" s="40">
        <f>RawData!AN235</f>
        <v>0</v>
      </c>
      <c r="BN237" s="40">
        <f>RawData!AM235</f>
        <v>0</v>
      </c>
      <c r="BO237" s="40">
        <f>RawData!AL235</f>
        <v>0</v>
      </c>
      <c r="BP237" s="40">
        <f>RawData!AK235</f>
        <v>0</v>
      </c>
      <c r="BQ237" s="40">
        <f>RawData!AJ235</f>
        <v>0</v>
      </c>
      <c r="BR237" s="38">
        <f>RawData!AI235</f>
        <v>0</v>
      </c>
      <c r="BS237" s="38">
        <f>RawData!AH235</f>
        <v>0</v>
      </c>
      <c r="BT237" s="40">
        <f>RawData!AG235</f>
        <v>0</v>
      </c>
      <c r="BU237" s="39">
        <f>RawData!AF235</f>
        <v>0</v>
      </c>
      <c r="BV237" s="39">
        <f>RawData!AE235</f>
        <v>0</v>
      </c>
      <c r="BW237" s="38">
        <f>RawData!AD235</f>
        <v>0</v>
      </c>
      <c r="BX237" s="38">
        <f>RawData!AC235</f>
        <v>0</v>
      </c>
      <c r="BY237" s="37">
        <f>RawData!AB235</f>
        <v>0</v>
      </c>
      <c r="BZ237" s="37">
        <f>RawData!AA235</f>
        <v>0</v>
      </c>
      <c r="CA237" s="36">
        <f>RawData!Z235</f>
        <v>0</v>
      </c>
      <c r="CB237" s="36">
        <f>RawData!Y235</f>
        <v>0</v>
      </c>
      <c r="CC237" s="36">
        <f>RawData!X235</f>
        <v>0</v>
      </c>
      <c r="CD237" s="36">
        <f>RawData!W235</f>
        <v>0</v>
      </c>
      <c r="CE237" s="40">
        <f>RawData!V235</f>
        <v>0</v>
      </c>
      <c r="CF237" s="40">
        <f>RawData!U235</f>
        <v>0</v>
      </c>
      <c r="CG237" s="40">
        <f>RawData!T235</f>
        <v>0</v>
      </c>
      <c r="CH237" s="44">
        <f>RawData!S235</f>
        <v>0</v>
      </c>
      <c r="CI237" s="44">
        <f>RawData!R235</f>
        <v>0</v>
      </c>
      <c r="CJ237" s="44">
        <f>RawData!Q235</f>
        <v>0</v>
      </c>
      <c r="CK237" s="44">
        <f>RawData!P235</f>
        <v>0</v>
      </c>
      <c r="CL237" s="44">
        <f>RawData!CJ235</f>
        <v>0</v>
      </c>
      <c r="CM237" s="43">
        <f>RawData!CI235</f>
        <v>0</v>
      </c>
      <c r="CN237" s="44">
        <f>RawData!CL235</f>
        <v>0</v>
      </c>
      <c r="CO237" s="43">
        <f>RawData!CK235</f>
        <v>0</v>
      </c>
      <c r="CP237" s="44">
        <f>RawData!CM235</f>
        <v>0</v>
      </c>
      <c r="CQ237" s="47">
        <f>RawData!CO235</f>
        <v>0</v>
      </c>
      <c r="CR237" s="44">
        <f>RawData!CP235</f>
        <v>0</v>
      </c>
      <c r="CS237" s="44">
        <f>RawData!DG235</f>
        <v>0</v>
      </c>
      <c r="CT237" s="43">
        <f>RawData!DJ235</f>
        <v>0</v>
      </c>
      <c r="CU237" s="43">
        <f>RawData!CQ235</f>
        <v>0</v>
      </c>
      <c r="CV237" s="47">
        <f>RawData!CR235</f>
        <v>0</v>
      </c>
      <c r="CW237" s="65">
        <f>RawData!DK235</f>
        <v>0</v>
      </c>
      <c r="CX237" s="65">
        <f>RawData!DL235</f>
        <v>0</v>
      </c>
      <c r="CY237" s="65">
        <f>RawData!DM235</f>
        <v>0</v>
      </c>
      <c r="CZ237" s="65">
        <f>RawData!DN235</f>
        <v>0</v>
      </c>
      <c r="DA237" s="65">
        <f>RawData!DO235</f>
        <v>0</v>
      </c>
      <c r="DB237" s="65">
        <f>RawData!DP235</f>
        <v>0</v>
      </c>
      <c r="DC237" s="65">
        <f>RawData!DQ235</f>
        <v>0</v>
      </c>
      <c r="DD237" s="65">
        <f>RawData!DR235</f>
        <v>0</v>
      </c>
      <c r="DE237" s="65">
        <f>RawData!DS235</f>
        <v>0</v>
      </c>
      <c r="DF237" s="65">
        <f>RawData!DT235</f>
        <v>0</v>
      </c>
      <c r="DG237" s="66">
        <f>RawData!DU235</f>
        <v>0</v>
      </c>
      <c r="DI237" s="21">
        <f t="shared" si="3"/>
        <v>0</v>
      </c>
    </row>
    <row r="238" spans="1:113" x14ac:dyDescent="0.2">
      <c r="A238" s="59">
        <f>RawData!CN236</f>
        <v>0</v>
      </c>
      <c r="B238" s="44">
        <f>RawData!CH236</f>
        <v>0</v>
      </c>
      <c r="C238" s="44">
        <f>RawData!CG236</f>
        <v>0</v>
      </c>
      <c r="D238" s="43">
        <f>RawData!CF236</f>
        <v>0</v>
      </c>
      <c r="E238" s="44">
        <f>RawData!CE236</f>
        <v>0</v>
      </c>
      <c r="F238" s="43">
        <f>RawData!CD236</f>
        <v>0</v>
      </c>
      <c r="G238" s="44">
        <f>RawData!CC236</f>
        <v>0</v>
      </c>
      <c r="H238" s="44">
        <f>RawData!CB236</f>
        <v>0</v>
      </c>
      <c r="I238" s="44">
        <f>RawData!CA236</f>
        <v>0</v>
      </c>
      <c r="J238" s="44">
        <f>RawData!BZ236</f>
        <v>0</v>
      </c>
      <c r="K238" s="40">
        <f>RawData!BY236</f>
        <v>0</v>
      </c>
      <c r="L238" s="40">
        <f>RawData!BX236</f>
        <v>0</v>
      </c>
      <c r="M238" s="40">
        <f>RawData!BW236</f>
        <v>0</v>
      </c>
      <c r="N238" s="40">
        <f>RawData!BV236</f>
        <v>0</v>
      </c>
      <c r="O238" s="36">
        <f>RawData!BU236</f>
        <v>0</v>
      </c>
      <c r="P238" s="36">
        <f>RawData!BT236</f>
        <v>0</v>
      </c>
      <c r="Q238" s="36">
        <f>RawData!BS236</f>
        <v>0</v>
      </c>
      <c r="R238" s="36">
        <f>RawData!BR236</f>
        <v>0</v>
      </c>
      <c r="S238" s="37">
        <f>RawData!BQ236</f>
        <v>0</v>
      </c>
      <c r="T238" s="37">
        <f>RawData!BP236</f>
        <v>0</v>
      </c>
      <c r="U238" s="38">
        <f>RawData!BO236</f>
        <v>0</v>
      </c>
      <c r="V238" s="38">
        <f>RawData!BN236</f>
        <v>0</v>
      </c>
      <c r="W238" s="39">
        <f>RawData!BM236</f>
        <v>0</v>
      </c>
      <c r="X238" s="39">
        <f>RawData!BL236</f>
        <v>0</v>
      </c>
      <c r="Y238" s="38">
        <f>RawData!BJ236</f>
        <v>0</v>
      </c>
      <c r="Z238" s="38">
        <f>RawData!BI236</f>
        <v>0</v>
      </c>
      <c r="AA238" s="40">
        <f>RawData!BH236</f>
        <v>0</v>
      </c>
      <c r="AB238" s="40">
        <f>RawData!BG236</f>
        <v>0</v>
      </c>
      <c r="AC238" s="40">
        <f>RawData!BF236</f>
        <v>0</v>
      </c>
      <c r="AD238" s="40">
        <f>RawData!BE236</f>
        <v>0</v>
      </c>
      <c r="AE238" s="40">
        <f>RawData!BD236</f>
        <v>0</v>
      </c>
      <c r="AF238" s="40">
        <f>RawData!BC236</f>
        <v>0</v>
      </c>
      <c r="AG238" s="41">
        <f>RawData!BB236</f>
        <v>0</v>
      </c>
      <c r="AH238" s="42">
        <f>RawData!DB236</f>
        <v>0</v>
      </c>
      <c r="AI238" s="41">
        <f>RawData!BA236</f>
        <v>0</v>
      </c>
      <c r="AJ238" s="43">
        <f>RawData!DA236</f>
        <v>0</v>
      </c>
      <c r="AK238" s="41">
        <f>RawData!AZ236</f>
        <v>0</v>
      </c>
      <c r="AL238" s="42">
        <f>RawData!DD236</f>
        <v>0</v>
      </c>
      <c r="AM238" s="44">
        <f>RawData!DC236</f>
        <v>0</v>
      </c>
      <c r="AN238" s="45">
        <f>RawData!BK236</f>
        <v>0</v>
      </c>
      <c r="AO238" s="44">
        <f>RawData!AY236</f>
        <v>0</v>
      </c>
      <c r="AP238" s="43">
        <f>RawData!DH236</f>
        <v>0</v>
      </c>
      <c r="AQ238" s="43">
        <f>RawData!DE236</f>
        <v>0</v>
      </c>
      <c r="AR238" s="42">
        <f>RawData!CZ236</f>
        <v>0</v>
      </c>
      <c r="AS238" s="44">
        <f>RawData!AX236</f>
        <v>0</v>
      </c>
      <c r="AT238" s="43">
        <f>RawData!CY236</f>
        <v>0</v>
      </c>
      <c r="AU238" s="44">
        <f>RawData!AW236</f>
        <v>0</v>
      </c>
      <c r="AV238" s="46">
        <f>RawData!O236</f>
        <v>0</v>
      </c>
      <c r="AW238" s="44">
        <f>RawData!AV236</f>
        <v>0</v>
      </c>
      <c r="AX238" s="44">
        <f>RawData!CW236</f>
        <v>0</v>
      </c>
      <c r="AY238" s="44">
        <f>RawData!AU236</f>
        <v>0</v>
      </c>
      <c r="AZ238" s="42">
        <f>RawData!CX236</f>
        <v>0</v>
      </c>
      <c r="BA238" s="44">
        <f>RawData!DF236</f>
        <v>0</v>
      </c>
      <c r="BB238" s="43">
        <f>RawData!DI236</f>
        <v>0</v>
      </c>
      <c r="BC238" s="44">
        <f>RawData!AT236</f>
        <v>0</v>
      </c>
      <c r="BD238" s="45">
        <f>RawData!AP236</f>
        <v>0</v>
      </c>
      <c r="BE238" s="44">
        <f>RawData!CS236</f>
        <v>0</v>
      </c>
      <c r="BF238" s="42">
        <f>RawData!CT236</f>
        <v>0</v>
      </c>
      <c r="BG238" s="41">
        <f>RawData!AS236</f>
        <v>0</v>
      </c>
      <c r="BH238" s="41">
        <f>RawData!CU236</f>
        <v>0</v>
      </c>
      <c r="BI238" s="41">
        <f>RawData!AR236</f>
        <v>0</v>
      </c>
      <c r="BJ238" s="42">
        <f>RawData!CV236</f>
        <v>0</v>
      </c>
      <c r="BK238" s="41">
        <f>RawData!AQ236</f>
        <v>0</v>
      </c>
      <c r="BL238" s="40">
        <f>RawData!AO236</f>
        <v>0</v>
      </c>
      <c r="BM238" s="40">
        <f>RawData!AN236</f>
        <v>0</v>
      </c>
      <c r="BN238" s="40">
        <f>RawData!AM236</f>
        <v>0</v>
      </c>
      <c r="BO238" s="40">
        <f>RawData!AL236</f>
        <v>0</v>
      </c>
      <c r="BP238" s="40">
        <f>RawData!AK236</f>
        <v>0</v>
      </c>
      <c r="BQ238" s="40">
        <f>RawData!AJ236</f>
        <v>0</v>
      </c>
      <c r="BR238" s="38">
        <f>RawData!AI236</f>
        <v>0</v>
      </c>
      <c r="BS238" s="38">
        <f>RawData!AH236</f>
        <v>0</v>
      </c>
      <c r="BT238" s="40">
        <f>RawData!AG236</f>
        <v>0</v>
      </c>
      <c r="BU238" s="39">
        <f>RawData!AF236</f>
        <v>0</v>
      </c>
      <c r="BV238" s="39">
        <f>RawData!AE236</f>
        <v>0</v>
      </c>
      <c r="BW238" s="38">
        <f>RawData!AD236</f>
        <v>0</v>
      </c>
      <c r="BX238" s="38">
        <f>RawData!AC236</f>
        <v>0</v>
      </c>
      <c r="BY238" s="37">
        <f>RawData!AB236</f>
        <v>0</v>
      </c>
      <c r="BZ238" s="37">
        <f>RawData!AA236</f>
        <v>0</v>
      </c>
      <c r="CA238" s="36">
        <f>RawData!Z236</f>
        <v>0</v>
      </c>
      <c r="CB238" s="36">
        <f>RawData!Y236</f>
        <v>0</v>
      </c>
      <c r="CC238" s="36">
        <f>RawData!X236</f>
        <v>0</v>
      </c>
      <c r="CD238" s="36">
        <f>RawData!W236</f>
        <v>0</v>
      </c>
      <c r="CE238" s="40">
        <f>RawData!V236</f>
        <v>0</v>
      </c>
      <c r="CF238" s="40">
        <f>RawData!U236</f>
        <v>0</v>
      </c>
      <c r="CG238" s="40">
        <f>RawData!T236</f>
        <v>0</v>
      </c>
      <c r="CH238" s="44">
        <f>RawData!S236</f>
        <v>0</v>
      </c>
      <c r="CI238" s="44">
        <f>RawData!R236</f>
        <v>0</v>
      </c>
      <c r="CJ238" s="44">
        <f>RawData!Q236</f>
        <v>0</v>
      </c>
      <c r="CK238" s="44">
        <f>RawData!P236</f>
        <v>0</v>
      </c>
      <c r="CL238" s="44">
        <f>RawData!CJ236</f>
        <v>0</v>
      </c>
      <c r="CM238" s="43">
        <f>RawData!CI236</f>
        <v>0</v>
      </c>
      <c r="CN238" s="44">
        <f>RawData!CL236</f>
        <v>0</v>
      </c>
      <c r="CO238" s="43">
        <f>RawData!CK236</f>
        <v>0</v>
      </c>
      <c r="CP238" s="44">
        <f>RawData!CM236</f>
        <v>0</v>
      </c>
      <c r="CQ238" s="47">
        <f>RawData!CO236</f>
        <v>0</v>
      </c>
      <c r="CR238" s="44">
        <f>RawData!CP236</f>
        <v>0</v>
      </c>
      <c r="CS238" s="44">
        <f>RawData!DG236</f>
        <v>0</v>
      </c>
      <c r="CT238" s="43">
        <f>RawData!DJ236</f>
        <v>0</v>
      </c>
      <c r="CU238" s="43">
        <f>RawData!CQ236</f>
        <v>0</v>
      </c>
      <c r="CV238" s="47">
        <f>RawData!CR236</f>
        <v>0</v>
      </c>
      <c r="CW238" s="65">
        <f>RawData!DK236</f>
        <v>0</v>
      </c>
      <c r="CX238" s="65">
        <f>RawData!DL236</f>
        <v>0</v>
      </c>
      <c r="CY238" s="65">
        <f>RawData!DM236</f>
        <v>0</v>
      </c>
      <c r="CZ238" s="65">
        <f>RawData!DN236</f>
        <v>0</v>
      </c>
      <c r="DA238" s="65">
        <f>RawData!DO236</f>
        <v>0</v>
      </c>
      <c r="DB238" s="65">
        <f>RawData!DP236</f>
        <v>0</v>
      </c>
      <c r="DC238" s="65">
        <f>RawData!DQ236</f>
        <v>0</v>
      </c>
      <c r="DD238" s="65">
        <f>RawData!DR236</f>
        <v>0</v>
      </c>
      <c r="DE238" s="65">
        <f>RawData!DS236</f>
        <v>0</v>
      </c>
      <c r="DF238" s="65">
        <f>RawData!DT236</f>
        <v>0</v>
      </c>
      <c r="DG238" s="66">
        <f>RawData!DU236</f>
        <v>0</v>
      </c>
      <c r="DI238" s="21">
        <f t="shared" si="3"/>
        <v>0</v>
      </c>
    </row>
    <row r="239" spans="1:113" x14ac:dyDescent="0.2">
      <c r="A239" s="59">
        <f>RawData!CN237</f>
        <v>0</v>
      </c>
      <c r="B239" s="44">
        <f>RawData!CH237</f>
        <v>0</v>
      </c>
      <c r="C239" s="44">
        <f>RawData!CG237</f>
        <v>0</v>
      </c>
      <c r="D239" s="43">
        <f>RawData!CF237</f>
        <v>0</v>
      </c>
      <c r="E239" s="44">
        <f>RawData!CE237</f>
        <v>0</v>
      </c>
      <c r="F239" s="43">
        <f>RawData!CD237</f>
        <v>0</v>
      </c>
      <c r="G239" s="44">
        <f>RawData!CC237</f>
        <v>0</v>
      </c>
      <c r="H239" s="44">
        <f>RawData!CB237</f>
        <v>0</v>
      </c>
      <c r="I239" s="44">
        <f>RawData!CA237</f>
        <v>0</v>
      </c>
      <c r="J239" s="44">
        <f>RawData!BZ237</f>
        <v>0</v>
      </c>
      <c r="K239" s="40">
        <f>RawData!BY237</f>
        <v>0</v>
      </c>
      <c r="L239" s="40">
        <f>RawData!BX237</f>
        <v>0</v>
      </c>
      <c r="M239" s="40">
        <f>RawData!BW237</f>
        <v>0</v>
      </c>
      <c r="N239" s="40">
        <f>RawData!BV237</f>
        <v>0</v>
      </c>
      <c r="O239" s="36">
        <f>RawData!BU237</f>
        <v>0</v>
      </c>
      <c r="P239" s="36">
        <f>RawData!BT237</f>
        <v>0</v>
      </c>
      <c r="Q239" s="36">
        <f>RawData!BS237</f>
        <v>0</v>
      </c>
      <c r="R239" s="36">
        <f>RawData!BR237</f>
        <v>0</v>
      </c>
      <c r="S239" s="37">
        <f>RawData!BQ237</f>
        <v>0</v>
      </c>
      <c r="T239" s="37">
        <f>RawData!BP237</f>
        <v>0</v>
      </c>
      <c r="U239" s="38">
        <f>RawData!BO237</f>
        <v>0</v>
      </c>
      <c r="V239" s="38">
        <f>RawData!BN237</f>
        <v>0</v>
      </c>
      <c r="W239" s="39">
        <f>RawData!BM237</f>
        <v>0</v>
      </c>
      <c r="X239" s="39">
        <f>RawData!BL237</f>
        <v>0</v>
      </c>
      <c r="Y239" s="38">
        <f>RawData!BJ237</f>
        <v>0</v>
      </c>
      <c r="Z239" s="38">
        <f>RawData!BI237</f>
        <v>0</v>
      </c>
      <c r="AA239" s="40">
        <f>RawData!BH237</f>
        <v>0</v>
      </c>
      <c r="AB239" s="40">
        <f>RawData!BG237</f>
        <v>0</v>
      </c>
      <c r="AC239" s="40">
        <f>RawData!BF237</f>
        <v>0</v>
      </c>
      <c r="AD239" s="40">
        <f>RawData!BE237</f>
        <v>0</v>
      </c>
      <c r="AE239" s="40">
        <f>RawData!BD237</f>
        <v>0</v>
      </c>
      <c r="AF239" s="40">
        <f>RawData!BC237</f>
        <v>0</v>
      </c>
      <c r="AG239" s="41">
        <f>RawData!BB237</f>
        <v>0</v>
      </c>
      <c r="AH239" s="42">
        <f>RawData!DB237</f>
        <v>0</v>
      </c>
      <c r="AI239" s="41">
        <f>RawData!BA237</f>
        <v>0</v>
      </c>
      <c r="AJ239" s="43">
        <f>RawData!DA237</f>
        <v>0</v>
      </c>
      <c r="AK239" s="41">
        <f>RawData!AZ237</f>
        <v>0</v>
      </c>
      <c r="AL239" s="42">
        <f>RawData!DD237</f>
        <v>0</v>
      </c>
      <c r="AM239" s="44">
        <f>RawData!DC237</f>
        <v>0</v>
      </c>
      <c r="AN239" s="45">
        <f>RawData!BK237</f>
        <v>0</v>
      </c>
      <c r="AO239" s="44">
        <f>RawData!AY237</f>
        <v>0</v>
      </c>
      <c r="AP239" s="43">
        <f>RawData!DH237</f>
        <v>0</v>
      </c>
      <c r="AQ239" s="43">
        <f>RawData!DE237</f>
        <v>0</v>
      </c>
      <c r="AR239" s="42">
        <f>RawData!CZ237</f>
        <v>0</v>
      </c>
      <c r="AS239" s="44">
        <f>RawData!AX237</f>
        <v>0</v>
      </c>
      <c r="AT239" s="43">
        <f>RawData!CY237</f>
        <v>0</v>
      </c>
      <c r="AU239" s="44">
        <f>RawData!AW237</f>
        <v>0</v>
      </c>
      <c r="AV239" s="46">
        <f>RawData!O237</f>
        <v>0</v>
      </c>
      <c r="AW239" s="44">
        <f>RawData!AV237</f>
        <v>0</v>
      </c>
      <c r="AX239" s="44">
        <f>RawData!CW237</f>
        <v>0</v>
      </c>
      <c r="AY239" s="44">
        <f>RawData!AU237</f>
        <v>0</v>
      </c>
      <c r="AZ239" s="42">
        <f>RawData!CX237</f>
        <v>0</v>
      </c>
      <c r="BA239" s="44">
        <f>RawData!DF237</f>
        <v>0</v>
      </c>
      <c r="BB239" s="43">
        <f>RawData!DI237</f>
        <v>0</v>
      </c>
      <c r="BC239" s="44">
        <f>RawData!AT237</f>
        <v>0</v>
      </c>
      <c r="BD239" s="45">
        <f>RawData!AP237</f>
        <v>0</v>
      </c>
      <c r="BE239" s="44">
        <f>RawData!CS237</f>
        <v>0</v>
      </c>
      <c r="BF239" s="42">
        <f>RawData!CT237</f>
        <v>0</v>
      </c>
      <c r="BG239" s="41">
        <f>RawData!AS237</f>
        <v>0</v>
      </c>
      <c r="BH239" s="41">
        <f>RawData!CU237</f>
        <v>0</v>
      </c>
      <c r="BI239" s="41">
        <f>RawData!AR237</f>
        <v>0</v>
      </c>
      <c r="BJ239" s="42">
        <f>RawData!CV237</f>
        <v>0</v>
      </c>
      <c r="BK239" s="41">
        <f>RawData!AQ237</f>
        <v>0</v>
      </c>
      <c r="BL239" s="40">
        <f>RawData!AO237</f>
        <v>0</v>
      </c>
      <c r="BM239" s="40">
        <f>RawData!AN237</f>
        <v>0</v>
      </c>
      <c r="BN239" s="40">
        <f>RawData!AM237</f>
        <v>0</v>
      </c>
      <c r="BO239" s="40">
        <f>RawData!AL237</f>
        <v>0</v>
      </c>
      <c r="BP239" s="40">
        <f>RawData!AK237</f>
        <v>0</v>
      </c>
      <c r="BQ239" s="40">
        <f>RawData!AJ237</f>
        <v>0</v>
      </c>
      <c r="BR239" s="38">
        <f>RawData!AI237</f>
        <v>0</v>
      </c>
      <c r="BS239" s="38">
        <f>RawData!AH237</f>
        <v>0</v>
      </c>
      <c r="BT239" s="40">
        <f>RawData!AG237</f>
        <v>0</v>
      </c>
      <c r="BU239" s="39">
        <f>RawData!AF237</f>
        <v>0</v>
      </c>
      <c r="BV239" s="39">
        <f>RawData!AE237</f>
        <v>0</v>
      </c>
      <c r="BW239" s="38">
        <f>RawData!AD237</f>
        <v>0</v>
      </c>
      <c r="BX239" s="38">
        <f>RawData!AC237</f>
        <v>0</v>
      </c>
      <c r="BY239" s="37">
        <f>RawData!AB237</f>
        <v>0</v>
      </c>
      <c r="BZ239" s="37">
        <f>RawData!AA237</f>
        <v>0</v>
      </c>
      <c r="CA239" s="36">
        <f>RawData!Z237</f>
        <v>0</v>
      </c>
      <c r="CB239" s="36">
        <f>RawData!Y237</f>
        <v>0</v>
      </c>
      <c r="CC239" s="36">
        <f>RawData!X237</f>
        <v>0</v>
      </c>
      <c r="CD239" s="36">
        <f>RawData!W237</f>
        <v>0</v>
      </c>
      <c r="CE239" s="40">
        <f>RawData!V237</f>
        <v>0</v>
      </c>
      <c r="CF239" s="40">
        <f>RawData!U237</f>
        <v>0</v>
      </c>
      <c r="CG239" s="40">
        <f>RawData!T237</f>
        <v>0</v>
      </c>
      <c r="CH239" s="44">
        <f>RawData!S237</f>
        <v>0</v>
      </c>
      <c r="CI239" s="44">
        <f>RawData!R237</f>
        <v>0</v>
      </c>
      <c r="CJ239" s="44">
        <f>RawData!Q237</f>
        <v>0</v>
      </c>
      <c r="CK239" s="44">
        <f>RawData!P237</f>
        <v>0</v>
      </c>
      <c r="CL239" s="44">
        <f>RawData!CJ237</f>
        <v>0</v>
      </c>
      <c r="CM239" s="43">
        <f>RawData!CI237</f>
        <v>0</v>
      </c>
      <c r="CN239" s="44">
        <f>RawData!CL237</f>
        <v>0</v>
      </c>
      <c r="CO239" s="43">
        <f>RawData!CK237</f>
        <v>0</v>
      </c>
      <c r="CP239" s="44">
        <f>RawData!CM237</f>
        <v>0</v>
      </c>
      <c r="CQ239" s="47">
        <f>RawData!CO237</f>
        <v>0</v>
      </c>
      <c r="CR239" s="44">
        <f>RawData!CP237</f>
        <v>0</v>
      </c>
      <c r="CS239" s="44">
        <f>RawData!DG237</f>
        <v>0</v>
      </c>
      <c r="CT239" s="43">
        <f>RawData!DJ237</f>
        <v>0</v>
      </c>
      <c r="CU239" s="43">
        <f>RawData!CQ237</f>
        <v>0</v>
      </c>
      <c r="CV239" s="47">
        <f>RawData!CR237</f>
        <v>0</v>
      </c>
      <c r="CW239" s="65">
        <f>RawData!DK237</f>
        <v>0</v>
      </c>
      <c r="CX239" s="65">
        <f>RawData!DL237</f>
        <v>0</v>
      </c>
      <c r="CY239" s="65">
        <f>RawData!DM237</f>
        <v>0</v>
      </c>
      <c r="CZ239" s="65">
        <f>RawData!DN237</f>
        <v>0</v>
      </c>
      <c r="DA239" s="65">
        <f>RawData!DO237</f>
        <v>0</v>
      </c>
      <c r="DB239" s="65">
        <f>RawData!DP237</f>
        <v>0</v>
      </c>
      <c r="DC239" s="65">
        <f>RawData!DQ237</f>
        <v>0</v>
      </c>
      <c r="DD239" s="65">
        <f>RawData!DR237</f>
        <v>0</v>
      </c>
      <c r="DE239" s="65">
        <f>RawData!DS237</f>
        <v>0</v>
      </c>
      <c r="DF239" s="65">
        <f>RawData!DT237</f>
        <v>0</v>
      </c>
      <c r="DG239" s="66">
        <f>RawData!DU237</f>
        <v>0</v>
      </c>
      <c r="DI239" s="21">
        <f t="shared" si="3"/>
        <v>0</v>
      </c>
    </row>
    <row r="240" spans="1:113" x14ac:dyDescent="0.2">
      <c r="A240" s="59">
        <f>RawData!CN238</f>
        <v>0</v>
      </c>
      <c r="B240" s="44">
        <f>RawData!CH238</f>
        <v>0</v>
      </c>
      <c r="C240" s="44">
        <f>RawData!CG238</f>
        <v>0</v>
      </c>
      <c r="D240" s="43">
        <f>RawData!CF238</f>
        <v>0</v>
      </c>
      <c r="E240" s="44">
        <f>RawData!CE238</f>
        <v>0</v>
      </c>
      <c r="F240" s="43">
        <f>RawData!CD238</f>
        <v>0</v>
      </c>
      <c r="G240" s="44">
        <f>RawData!CC238</f>
        <v>0</v>
      </c>
      <c r="H240" s="44">
        <f>RawData!CB238</f>
        <v>0</v>
      </c>
      <c r="I240" s="44">
        <f>RawData!CA238</f>
        <v>0</v>
      </c>
      <c r="J240" s="44">
        <f>RawData!BZ238</f>
        <v>0</v>
      </c>
      <c r="K240" s="40">
        <f>RawData!BY238</f>
        <v>0</v>
      </c>
      <c r="L240" s="40">
        <f>RawData!BX238</f>
        <v>0</v>
      </c>
      <c r="M240" s="40">
        <f>RawData!BW238</f>
        <v>0</v>
      </c>
      <c r="N240" s="40">
        <f>RawData!BV238</f>
        <v>0</v>
      </c>
      <c r="O240" s="36">
        <f>RawData!BU238</f>
        <v>0</v>
      </c>
      <c r="P240" s="36">
        <f>RawData!BT238</f>
        <v>0</v>
      </c>
      <c r="Q240" s="36">
        <f>RawData!BS238</f>
        <v>0</v>
      </c>
      <c r="R240" s="36">
        <f>RawData!BR238</f>
        <v>0</v>
      </c>
      <c r="S240" s="37">
        <f>RawData!BQ238</f>
        <v>0</v>
      </c>
      <c r="T240" s="37">
        <f>RawData!BP238</f>
        <v>0</v>
      </c>
      <c r="U240" s="38">
        <f>RawData!BO238</f>
        <v>0</v>
      </c>
      <c r="V240" s="38">
        <f>RawData!BN238</f>
        <v>0</v>
      </c>
      <c r="W240" s="39">
        <f>RawData!BM238</f>
        <v>0</v>
      </c>
      <c r="X240" s="39">
        <f>RawData!BL238</f>
        <v>0</v>
      </c>
      <c r="Y240" s="38">
        <f>RawData!BJ238</f>
        <v>0</v>
      </c>
      <c r="Z240" s="38">
        <f>RawData!BI238</f>
        <v>0</v>
      </c>
      <c r="AA240" s="40">
        <f>RawData!BH238</f>
        <v>0</v>
      </c>
      <c r="AB240" s="40">
        <f>RawData!BG238</f>
        <v>0</v>
      </c>
      <c r="AC240" s="40">
        <f>RawData!BF238</f>
        <v>0</v>
      </c>
      <c r="AD240" s="40">
        <f>RawData!BE238</f>
        <v>0</v>
      </c>
      <c r="AE240" s="40">
        <f>RawData!BD238</f>
        <v>0</v>
      </c>
      <c r="AF240" s="40">
        <f>RawData!BC238</f>
        <v>0</v>
      </c>
      <c r="AG240" s="41">
        <f>RawData!BB238</f>
        <v>0</v>
      </c>
      <c r="AH240" s="42">
        <f>RawData!DB238</f>
        <v>0</v>
      </c>
      <c r="AI240" s="41">
        <f>RawData!BA238</f>
        <v>0</v>
      </c>
      <c r="AJ240" s="43">
        <f>RawData!DA238</f>
        <v>0</v>
      </c>
      <c r="AK240" s="41">
        <f>RawData!AZ238</f>
        <v>0</v>
      </c>
      <c r="AL240" s="42">
        <f>RawData!DD238</f>
        <v>0</v>
      </c>
      <c r="AM240" s="44">
        <f>RawData!DC238</f>
        <v>0</v>
      </c>
      <c r="AN240" s="45">
        <f>RawData!BK238</f>
        <v>0</v>
      </c>
      <c r="AO240" s="44">
        <f>RawData!AY238</f>
        <v>0</v>
      </c>
      <c r="AP240" s="43">
        <f>RawData!DH238</f>
        <v>0</v>
      </c>
      <c r="AQ240" s="43">
        <f>RawData!DE238</f>
        <v>0</v>
      </c>
      <c r="AR240" s="42">
        <f>RawData!CZ238</f>
        <v>0</v>
      </c>
      <c r="AS240" s="44">
        <f>RawData!AX238</f>
        <v>0</v>
      </c>
      <c r="AT240" s="43">
        <f>RawData!CY238</f>
        <v>0</v>
      </c>
      <c r="AU240" s="44">
        <f>RawData!AW238</f>
        <v>0</v>
      </c>
      <c r="AV240" s="46">
        <f>RawData!O238</f>
        <v>0</v>
      </c>
      <c r="AW240" s="44">
        <f>RawData!AV238</f>
        <v>0</v>
      </c>
      <c r="AX240" s="44">
        <f>RawData!CW238</f>
        <v>0</v>
      </c>
      <c r="AY240" s="44">
        <f>RawData!AU238</f>
        <v>0</v>
      </c>
      <c r="AZ240" s="42">
        <f>RawData!CX238</f>
        <v>0</v>
      </c>
      <c r="BA240" s="44">
        <f>RawData!DF238</f>
        <v>0</v>
      </c>
      <c r="BB240" s="43">
        <f>RawData!DI238</f>
        <v>0</v>
      </c>
      <c r="BC240" s="44">
        <f>RawData!AT238</f>
        <v>0</v>
      </c>
      <c r="BD240" s="45">
        <f>RawData!AP238</f>
        <v>0</v>
      </c>
      <c r="BE240" s="44">
        <f>RawData!CS238</f>
        <v>0</v>
      </c>
      <c r="BF240" s="42">
        <f>RawData!CT238</f>
        <v>0</v>
      </c>
      <c r="BG240" s="41">
        <f>RawData!AS238</f>
        <v>0</v>
      </c>
      <c r="BH240" s="41">
        <f>RawData!CU238</f>
        <v>0</v>
      </c>
      <c r="BI240" s="41">
        <f>RawData!AR238</f>
        <v>0</v>
      </c>
      <c r="BJ240" s="42">
        <f>RawData!CV238</f>
        <v>0</v>
      </c>
      <c r="BK240" s="41">
        <f>RawData!AQ238</f>
        <v>0</v>
      </c>
      <c r="BL240" s="40">
        <f>RawData!AO238</f>
        <v>0</v>
      </c>
      <c r="BM240" s="40">
        <f>RawData!AN238</f>
        <v>0</v>
      </c>
      <c r="BN240" s="40">
        <f>RawData!AM238</f>
        <v>0</v>
      </c>
      <c r="BO240" s="40">
        <f>RawData!AL238</f>
        <v>0</v>
      </c>
      <c r="BP240" s="40">
        <f>RawData!AK238</f>
        <v>0</v>
      </c>
      <c r="BQ240" s="40">
        <f>RawData!AJ238</f>
        <v>0</v>
      </c>
      <c r="BR240" s="38">
        <f>RawData!AI238</f>
        <v>0</v>
      </c>
      <c r="BS240" s="38">
        <f>RawData!AH238</f>
        <v>0</v>
      </c>
      <c r="BT240" s="40">
        <f>RawData!AG238</f>
        <v>0</v>
      </c>
      <c r="BU240" s="39">
        <f>RawData!AF238</f>
        <v>0</v>
      </c>
      <c r="BV240" s="39">
        <f>RawData!AE238</f>
        <v>0</v>
      </c>
      <c r="BW240" s="38">
        <f>RawData!AD238</f>
        <v>0</v>
      </c>
      <c r="BX240" s="38">
        <f>RawData!AC238</f>
        <v>0</v>
      </c>
      <c r="BY240" s="37">
        <f>RawData!AB238</f>
        <v>0</v>
      </c>
      <c r="BZ240" s="37">
        <f>RawData!AA238</f>
        <v>0</v>
      </c>
      <c r="CA240" s="36">
        <f>RawData!Z238</f>
        <v>0</v>
      </c>
      <c r="CB240" s="36">
        <f>RawData!Y238</f>
        <v>0</v>
      </c>
      <c r="CC240" s="36">
        <f>RawData!X238</f>
        <v>0</v>
      </c>
      <c r="CD240" s="36">
        <f>RawData!W238</f>
        <v>0</v>
      </c>
      <c r="CE240" s="40">
        <f>RawData!V238</f>
        <v>0</v>
      </c>
      <c r="CF240" s="40">
        <f>RawData!U238</f>
        <v>0</v>
      </c>
      <c r="CG240" s="40">
        <f>RawData!T238</f>
        <v>0</v>
      </c>
      <c r="CH240" s="44">
        <f>RawData!S238</f>
        <v>0</v>
      </c>
      <c r="CI240" s="44">
        <f>RawData!R238</f>
        <v>0</v>
      </c>
      <c r="CJ240" s="44">
        <f>RawData!Q238</f>
        <v>0</v>
      </c>
      <c r="CK240" s="44">
        <f>RawData!P238</f>
        <v>0</v>
      </c>
      <c r="CL240" s="44">
        <f>RawData!CJ238</f>
        <v>0</v>
      </c>
      <c r="CM240" s="43">
        <f>RawData!CI238</f>
        <v>0</v>
      </c>
      <c r="CN240" s="44">
        <f>RawData!CL238</f>
        <v>0</v>
      </c>
      <c r="CO240" s="43">
        <f>RawData!CK238</f>
        <v>0</v>
      </c>
      <c r="CP240" s="44">
        <f>RawData!CM238</f>
        <v>0</v>
      </c>
      <c r="CQ240" s="47">
        <f>RawData!CO238</f>
        <v>0</v>
      </c>
      <c r="CR240" s="44">
        <f>RawData!CP238</f>
        <v>0</v>
      </c>
      <c r="CS240" s="44">
        <f>RawData!DG238</f>
        <v>0</v>
      </c>
      <c r="CT240" s="43">
        <f>RawData!DJ238</f>
        <v>0</v>
      </c>
      <c r="CU240" s="43">
        <f>RawData!CQ238</f>
        <v>0</v>
      </c>
      <c r="CV240" s="47">
        <f>RawData!CR238</f>
        <v>0</v>
      </c>
      <c r="CW240" s="65">
        <f>RawData!DK238</f>
        <v>0</v>
      </c>
      <c r="CX240" s="65">
        <f>RawData!DL238</f>
        <v>0</v>
      </c>
      <c r="CY240" s="65">
        <f>RawData!DM238</f>
        <v>0</v>
      </c>
      <c r="CZ240" s="65">
        <f>RawData!DN238</f>
        <v>0</v>
      </c>
      <c r="DA240" s="65">
        <f>RawData!DO238</f>
        <v>0</v>
      </c>
      <c r="DB240" s="65">
        <f>RawData!DP238</f>
        <v>0</v>
      </c>
      <c r="DC240" s="65">
        <f>RawData!DQ238</f>
        <v>0</v>
      </c>
      <c r="DD240" s="65">
        <f>RawData!DR238</f>
        <v>0</v>
      </c>
      <c r="DE240" s="65">
        <f>RawData!DS238</f>
        <v>0</v>
      </c>
      <c r="DF240" s="65">
        <f>RawData!DT238</f>
        <v>0</v>
      </c>
      <c r="DG240" s="66">
        <f>RawData!DU238</f>
        <v>0</v>
      </c>
      <c r="DI240" s="21">
        <f t="shared" si="3"/>
        <v>0</v>
      </c>
    </row>
    <row r="241" spans="1:113" x14ac:dyDescent="0.2">
      <c r="A241" s="59">
        <f>RawData!CN239</f>
        <v>0</v>
      </c>
      <c r="B241" s="44">
        <f>RawData!CH239</f>
        <v>0</v>
      </c>
      <c r="C241" s="44">
        <f>RawData!CG239</f>
        <v>0</v>
      </c>
      <c r="D241" s="43">
        <f>RawData!CF239</f>
        <v>0</v>
      </c>
      <c r="E241" s="44">
        <f>RawData!CE239</f>
        <v>0</v>
      </c>
      <c r="F241" s="43">
        <f>RawData!CD239</f>
        <v>0</v>
      </c>
      <c r="G241" s="44">
        <f>RawData!CC239</f>
        <v>0</v>
      </c>
      <c r="H241" s="44">
        <f>RawData!CB239</f>
        <v>0</v>
      </c>
      <c r="I241" s="44">
        <f>RawData!CA239</f>
        <v>0</v>
      </c>
      <c r="J241" s="44">
        <f>RawData!BZ239</f>
        <v>0</v>
      </c>
      <c r="K241" s="40">
        <f>RawData!BY239</f>
        <v>0</v>
      </c>
      <c r="L241" s="40">
        <f>RawData!BX239</f>
        <v>0</v>
      </c>
      <c r="M241" s="40">
        <f>RawData!BW239</f>
        <v>0</v>
      </c>
      <c r="N241" s="40">
        <f>RawData!BV239</f>
        <v>0</v>
      </c>
      <c r="O241" s="36">
        <f>RawData!BU239</f>
        <v>0</v>
      </c>
      <c r="P241" s="36">
        <f>RawData!BT239</f>
        <v>0</v>
      </c>
      <c r="Q241" s="36">
        <f>RawData!BS239</f>
        <v>0</v>
      </c>
      <c r="R241" s="36">
        <f>RawData!BR239</f>
        <v>0</v>
      </c>
      <c r="S241" s="37">
        <f>RawData!BQ239</f>
        <v>0</v>
      </c>
      <c r="T241" s="37">
        <f>RawData!BP239</f>
        <v>0</v>
      </c>
      <c r="U241" s="38">
        <f>RawData!BO239</f>
        <v>0</v>
      </c>
      <c r="V241" s="38">
        <f>RawData!BN239</f>
        <v>0</v>
      </c>
      <c r="W241" s="39">
        <f>RawData!BM239</f>
        <v>0</v>
      </c>
      <c r="X241" s="39">
        <f>RawData!BL239</f>
        <v>0</v>
      </c>
      <c r="Y241" s="38">
        <f>RawData!BJ239</f>
        <v>0</v>
      </c>
      <c r="Z241" s="38">
        <f>RawData!BI239</f>
        <v>0</v>
      </c>
      <c r="AA241" s="40">
        <f>RawData!BH239</f>
        <v>0</v>
      </c>
      <c r="AB241" s="40">
        <f>RawData!BG239</f>
        <v>0</v>
      </c>
      <c r="AC241" s="40">
        <f>RawData!BF239</f>
        <v>0</v>
      </c>
      <c r="AD241" s="40">
        <f>RawData!BE239</f>
        <v>0</v>
      </c>
      <c r="AE241" s="40">
        <f>RawData!BD239</f>
        <v>0</v>
      </c>
      <c r="AF241" s="40">
        <f>RawData!BC239</f>
        <v>0</v>
      </c>
      <c r="AG241" s="41">
        <f>RawData!BB239</f>
        <v>0</v>
      </c>
      <c r="AH241" s="42">
        <f>RawData!DB239</f>
        <v>0</v>
      </c>
      <c r="AI241" s="41">
        <f>RawData!BA239</f>
        <v>0</v>
      </c>
      <c r="AJ241" s="43">
        <f>RawData!DA239</f>
        <v>0</v>
      </c>
      <c r="AK241" s="41">
        <f>RawData!AZ239</f>
        <v>0</v>
      </c>
      <c r="AL241" s="42">
        <f>RawData!DD239</f>
        <v>0</v>
      </c>
      <c r="AM241" s="44">
        <f>RawData!DC239</f>
        <v>0</v>
      </c>
      <c r="AN241" s="45">
        <f>RawData!BK239</f>
        <v>0</v>
      </c>
      <c r="AO241" s="44">
        <f>RawData!AY239</f>
        <v>0</v>
      </c>
      <c r="AP241" s="43">
        <f>RawData!DH239</f>
        <v>0</v>
      </c>
      <c r="AQ241" s="43">
        <f>RawData!DE239</f>
        <v>0</v>
      </c>
      <c r="AR241" s="42">
        <f>RawData!CZ239</f>
        <v>0</v>
      </c>
      <c r="AS241" s="44">
        <f>RawData!AX239</f>
        <v>0</v>
      </c>
      <c r="AT241" s="43">
        <f>RawData!CY239</f>
        <v>0</v>
      </c>
      <c r="AU241" s="44">
        <f>RawData!AW239</f>
        <v>0</v>
      </c>
      <c r="AV241" s="46">
        <f>RawData!O239</f>
        <v>0</v>
      </c>
      <c r="AW241" s="44">
        <f>RawData!AV239</f>
        <v>0</v>
      </c>
      <c r="AX241" s="44">
        <f>RawData!CW239</f>
        <v>0</v>
      </c>
      <c r="AY241" s="44">
        <f>RawData!AU239</f>
        <v>0</v>
      </c>
      <c r="AZ241" s="42">
        <f>RawData!CX239</f>
        <v>0</v>
      </c>
      <c r="BA241" s="44">
        <f>RawData!DF239</f>
        <v>0</v>
      </c>
      <c r="BB241" s="43">
        <f>RawData!DI239</f>
        <v>0</v>
      </c>
      <c r="BC241" s="44">
        <f>RawData!AT239</f>
        <v>0</v>
      </c>
      <c r="BD241" s="45">
        <f>RawData!AP239</f>
        <v>0</v>
      </c>
      <c r="BE241" s="44">
        <f>RawData!CS239</f>
        <v>0</v>
      </c>
      <c r="BF241" s="42">
        <f>RawData!CT239</f>
        <v>0</v>
      </c>
      <c r="BG241" s="41">
        <f>RawData!AS239</f>
        <v>0</v>
      </c>
      <c r="BH241" s="41">
        <f>RawData!CU239</f>
        <v>0</v>
      </c>
      <c r="BI241" s="41">
        <f>RawData!AR239</f>
        <v>0</v>
      </c>
      <c r="BJ241" s="42">
        <f>RawData!CV239</f>
        <v>0</v>
      </c>
      <c r="BK241" s="41">
        <f>RawData!AQ239</f>
        <v>0</v>
      </c>
      <c r="BL241" s="40">
        <f>RawData!AO239</f>
        <v>0</v>
      </c>
      <c r="BM241" s="40">
        <f>RawData!AN239</f>
        <v>0</v>
      </c>
      <c r="BN241" s="40">
        <f>RawData!AM239</f>
        <v>0</v>
      </c>
      <c r="BO241" s="40">
        <f>RawData!AL239</f>
        <v>0</v>
      </c>
      <c r="BP241" s="40">
        <f>RawData!AK239</f>
        <v>0</v>
      </c>
      <c r="BQ241" s="40">
        <f>RawData!AJ239</f>
        <v>0</v>
      </c>
      <c r="BR241" s="38">
        <f>RawData!AI239</f>
        <v>0</v>
      </c>
      <c r="BS241" s="38">
        <f>RawData!AH239</f>
        <v>0</v>
      </c>
      <c r="BT241" s="40">
        <f>RawData!AG239</f>
        <v>0</v>
      </c>
      <c r="BU241" s="39">
        <f>RawData!AF239</f>
        <v>0</v>
      </c>
      <c r="BV241" s="39">
        <f>RawData!AE239</f>
        <v>0</v>
      </c>
      <c r="BW241" s="38">
        <f>RawData!AD239</f>
        <v>0</v>
      </c>
      <c r="BX241" s="38">
        <f>RawData!AC239</f>
        <v>0</v>
      </c>
      <c r="BY241" s="37">
        <f>RawData!AB239</f>
        <v>0</v>
      </c>
      <c r="BZ241" s="37">
        <f>RawData!AA239</f>
        <v>0</v>
      </c>
      <c r="CA241" s="36">
        <f>RawData!Z239</f>
        <v>0</v>
      </c>
      <c r="CB241" s="36">
        <f>RawData!Y239</f>
        <v>0</v>
      </c>
      <c r="CC241" s="36">
        <f>RawData!X239</f>
        <v>0</v>
      </c>
      <c r="CD241" s="36">
        <f>RawData!W239</f>
        <v>0</v>
      </c>
      <c r="CE241" s="40">
        <f>RawData!V239</f>
        <v>0</v>
      </c>
      <c r="CF241" s="40">
        <f>RawData!U239</f>
        <v>0</v>
      </c>
      <c r="CG241" s="40">
        <f>RawData!T239</f>
        <v>0</v>
      </c>
      <c r="CH241" s="44">
        <f>RawData!S239</f>
        <v>0</v>
      </c>
      <c r="CI241" s="44">
        <f>RawData!R239</f>
        <v>0</v>
      </c>
      <c r="CJ241" s="44">
        <f>RawData!Q239</f>
        <v>0</v>
      </c>
      <c r="CK241" s="44">
        <f>RawData!P239</f>
        <v>0</v>
      </c>
      <c r="CL241" s="44">
        <f>RawData!CJ239</f>
        <v>0</v>
      </c>
      <c r="CM241" s="43">
        <f>RawData!CI239</f>
        <v>0</v>
      </c>
      <c r="CN241" s="44">
        <f>RawData!CL239</f>
        <v>0</v>
      </c>
      <c r="CO241" s="43">
        <f>RawData!CK239</f>
        <v>0</v>
      </c>
      <c r="CP241" s="44">
        <f>RawData!CM239</f>
        <v>0</v>
      </c>
      <c r="CQ241" s="47">
        <f>RawData!CO239</f>
        <v>0</v>
      </c>
      <c r="CR241" s="44">
        <f>RawData!CP239</f>
        <v>0</v>
      </c>
      <c r="CS241" s="44">
        <f>RawData!DG239</f>
        <v>0</v>
      </c>
      <c r="CT241" s="43">
        <f>RawData!DJ239</f>
        <v>0</v>
      </c>
      <c r="CU241" s="43">
        <f>RawData!CQ239</f>
        <v>0</v>
      </c>
      <c r="CV241" s="47">
        <f>RawData!CR239</f>
        <v>0</v>
      </c>
      <c r="CW241" s="65">
        <f>RawData!DK239</f>
        <v>0</v>
      </c>
      <c r="CX241" s="65">
        <f>RawData!DL239</f>
        <v>0</v>
      </c>
      <c r="CY241" s="65">
        <f>RawData!DM239</f>
        <v>0</v>
      </c>
      <c r="CZ241" s="65">
        <f>RawData!DN239</f>
        <v>0</v>
      </c>
      <c r="DA241" s="65">
        <f>RawData!DO239</f>
        <v>0</v>
      </c>
      <c r="DB241" s="65">
        <f>RawData!DP239</f>
        <v>0</v>
      </c>
      <c r="DC241" s="65">
        <f>RawData!DQ239</f>
        <v>0</v>
      </c>
      <c r="DD241" s="65">
        <f>RawData!DR239</f>
        <v>0</v>
      </c>
      <c r="DE241" s="65">
        <f>RawData!DS239</f>
        <v>0</v>
      </c>
      <c r="DF241" s="65">
        <f>RawData!DT239</f>
        <v>0</v>
      </c>
      <c r="DG241" s="66">
        <f>RawData!DU239</f>
        <v>0</v>
      </c>
      <c r="DI241" s="21">
        <f t="shared" si="3"/>
        <v>0</v>
      </c>
    </row>
    <row r="242" spans="1:113" x14ac:dyDescent="0.2">
      <c r="A242" s="59">
        <f>RawData!CN240</f>
        <v>0</v>
      </c>
      <c r="B242" s="44">
        <f>RawData!CH240</f>
        <v>0</v>
      </c>
      <c r="C242" s="44">
        <f>RawData!CG240</f>
        <v>0</v>
      </c>
      <c r="D242" s="43">
        <f>RawData!CF240</f>
        <v>0</v>
      </c>
      <c r="E242" s="44">
        <f>RawData!CE240</f>
        <v>0</v>
      </c>
      <c r="F242" s="43">
        <f>RawData!CD240</f>
        <v>0</v>
      </c>
      <c r="G242" s="44">
        <f>RawData!CC240</f>
        <v>0</v>
      </c>
      <c r="H242" s="44">
        <f>RawData!CB240</f>
        <v>0</v>
      </c>
      <c r="I242" s="44">
        <f>RawData!CA240</f>
        <v>0</v>
      </c>
      <c r="J242" s="44">
        <f>RawData!BZ240</f>
        <v>0</v>
      </c>
      <c r="K242" s="40">
        <f>RawData!BY240</f>
        <v>0</v>
      </c>
      <c r="L242" s="40">
        <f>RawData!BX240</f>
        <v>0</v>
      </c>
      <c r="M242" s="40">
        <f>RawData!BW240</f>
        <v>0</v>
      </c>
      <c r="N242" s="40">
        <f>RawData!BV240</f>
        <v>0</v>
      </c>
      <c r="O242" s="36">
        <f>RawData!BU240</f>
        <v>0</v>
      </c>
      <c r="P242" s="36">
        <f>RawData!BT240</f>
        <v>0</v>
      </c>
      <c r="Q242" s="36">
        <f>RawData!BS240</f>
        <v>0</v>
      </c>
      <c r="R242" s="36">
        <f>RawData!BR240</f>
        <v>0</v>
      </c>
      <c r="S242" s="37">
        <f>RawData!BQ240</f>
        <v>0</v>
      </c>
      <c r="T242" s="37">
        <f>RawData!BP240</f>
        <v>0</v>
      </c>
      <c r="U242" s="38">
        <f>RawData!BO240</f>
        <v>0</v>
      </c>
      <c r="V242" s="38">
        <f>RawData!BN240</f>
        <v>0</v>
      </c>
      <c r="W242" s="39">
        <f>RawData!BM240</f>
        <v>0</v>
      </c>
      <c r="X242" s="39">
        <f>RawData!BL240</f>
        <v>0</v>
      </c>
      <c r="Y242" s="38">
        <f>RawData!BJ240</f>
        <v>0</v>
      </c>
      <c r="Z242" s="38">
        <f>RawData!BI240</f>
        <v>0</v>
      </c>
      <c r="AA242" s="40">
        <f>RawData!BH240</f>
        <v>0</v>
      </c>
      <c r="AB242" s="40">
        <f>RawData!BG240</f>
        <v>0</v>
      </c>
      <c r="AC242" s="40">
        <f>RawData!BF240</f>
        <v>0</v>
      </c>
      <c r="AD242" s="40">
        <f>RawData!BE240</f>
        <v>0</v>
      </c>
      <c r="AE242" s="40">
        <f>RawData!BD240</f>
        <v>0</v>
      </c>
      <c r="AF242" s="40">
        <f>RawData!BC240</f>
        <v>0</v>
      </c>
      <c r="AG242" s="41">
        <f>RawData!BB240</f>
        <v>0</v>
      </c>
      <c r="AH242" s="42">
        <f>RawData!DB240</f>
        <v>0</v>
      </c>
      <c r="AI242" s="41">
        <f>RawData!BA240</f>
        <v>0</v>
      </c>
      <c r="AJ242" s="43">
        <f>RawData!DA240</f>
        <v>0</v>
      </c>
      <c r="AK242" s="41">
        <f>RawData!AZ240</f>
        <v>0</v>
      </c>
      <c r="AL242" s="42">
        <f>RawData!DD240</f>
        <v>0</v>
      </c>
      <c r="AM242" s="44">
        <f>RawData!DC240</f>
        <v>0</v>
      </c>
      <c r="AN242" s="45">
        <f>RawData!BK240</f>
        <v>0</v>
      </c>
      <c r="AO242" s="44">
        <f>RawData!AY240</f>
        <v>0</v>
      </c>
      <c r="AP242" s="43">
        <f>RawData!DH240</f>
        <v>0</v>
      </c>
      <c r="AQ242" s="43">
        <f>RawData!DE240</f>
        <v>0</v>
      </c>
      <c r="AR242" s="42">
        <f>RawData!CZ240</f>
        <v>0</v>
      </c>
      <c r="AS242" s="44">
        <f>RawData!AX240</f>
        <v>0</v>
      </c>
      <c r="AT242" s="43">
        <f>RawData!CY240</f>
        <v>0</v>
      </c>
      <c r="AU242" s="44">
        <f>RawData!AW240</f>
        <v>0</v>
      </c>
      <c r="AV242" s="46">
        <f>RawData!O240</f>
        <v>0</v>
      </c>
      <c r="AW242" s="44">
        <f>RawData!AV240</f>
        <v>0</v>
      </c>
      <c r="AX242" s="44">
        <f>RawData!CW240</f>
        <v>0</v>
      </c>
      <c r="AY242" s="44">
        <f>RawData!AU240</f>
        <v>0</v>
      </c>
      <c r="AZ242" s="42">
        <f>RawData!CX240</f>
        <v>0</v>
      </c>
      <c r="BA242" s="44">
        <f>RawData!DF240</f>
        <v>0</v>
      </c>
      <c r="BB242" s="43">
        <f>RawData!DI240</f>
        <v>0</v>
      </c>
      <c r="BC242" s="44">
        <f>RawData!AT240</f>
        <v>0</v>
      </c>
      <c r="BD242" s="45">
        <f>RawData!AP240</f>
        <v>0</v>
      </c>
      <c r="BE242" s="44">
        <f>RawData!CS240</f>
        <v>0</v>
      </c>
      <c r="BF242" s="42">
        <f>RawData!CT240</f>
        <v>0</v>
      </c>
      <c r="BG242" s="41">
        <f>RawData!AS240</f>
        <v>0</v>
      </c>
      <c r="BH242" s="41">
        <f>RawData!CU240</f>
        <v>0</v>
      </c>
      <c r="BI242" s="41">
        <f>RawData!AR240</f>
        <v>0</v>
      </c>
      <c r="BJ242" s="42">
        <f>RawData!CV240</f>
        <v>0</v>
      </c>
      <c r="BK242" s="41">
        <f>RawData!AQ240</f>
        <v>0</v>
      </c>
      <c r="BL242" s="40">
        <f>RawData!AO240</f>
        <v>0</v>
      </c>
      <c r="BM242" s="40">
        <f>RawData!AN240</f>
        <v>0</v>
      </c>
      <c r="BN242" s="40">
        <f>RawData!AM240</f>
        <v>0</v>
      </c>
      <c r="BO242" s="40">
        <f>RawData!AL240</f>
        <v>0</v>
      </c>
      <c r="BP242" s="40">
        <f>RawData!AK240</f>
        <v>0</v>
      </c>
      <c r="BQ242" s="40">
        <f>RawData!AJ240</f>
        <v>0</v>
      </c>
      <c r="BR242" s="38">
        <f>RawData!AI240</f>
        <v>0</v>
      </c>
      <c r="BS242" s="38">
        <f>RawData!AH240</f>
        <v>0</v>
      </c>
      <c r="BT242" s="40">
        <f>RawData!AG240</f>
        <v>0</v>
      </c>
      <c r="BU242" s="39">
        <f>RawData!AF240</f>
        <v>0</v>
      </c>
      <c r="BV242" s="39">
        <f>RawData!AE240</f>
        <v>0</v>
      </c>
      <c r="BW242" s="38">
        <f>RawData!AD240</f>
        <v>0</v>
      </c>
      <c r="BX242" s="38">
        <f>RawData!AC240</f>
        <v>0</v>
      </c>
      <c r="BY242" s="37">
        <f>RawData!AB240</f>
        <v>0</v>
      </c>
      <c r="BZ242" s="37">
        <f>RawData!AA240</f>
        <v>0</v>
      </c>
      <c r="CA242" s="36">
        <f>RawData!Z240</f>
        <v>0</v>
      </c>
      <c r="CB242" s="36">
        <f>RawData!Y240</f>
        <v>0</v>
      </c>
      <c r="CC242" s="36">
        <f>RawData!X240</f>
        <v>0</v>
      </c>
      <c r="CD242" s="36">
        <f>RawData!W240</f>
        <v>0</v>
      </c>
      <c r="CE242" s="40">
        <f>RawData!V240</f>
        <v>0</v>
      </c>
      <c r="CF242" s="40">
        <f>RawData!U240</f>
        <v>0</v>
      </c>
      <c r="CG242" s="40">
        <f>RawData!T240</f>
        <v>0</v>
      </c>
      <c r="CH242" s="44">
        <f>RawData!S240</f>
        <v>0</v>
      </c>
      <c r="CI242" s="44">
        <f>RawData!R240</f>
        <v>0</v>
      </c>
      <c r="CJ242" s="44">
        <f>RawData!Q240</f>
        <v>0</v>
      </c>
      <c r="CK242" s="44">
        <f>RawData!P240</f>
        <v>0</v>
      </c>
      <c r="CL242" s="44">
        <f>RawData!CJ240</f>
        <v>0</v>
      </c>
      <c r="CM242" s="43">
        <f>RawData!CI240</f>
        <v>0</v>
      </c>
      <c r="CN242" s="44">
        <f>RawData!CL240</f>
        <v>0</v>
      </c>
      <c r="CO242" s="43">
        <f>RawData!CK240</f>
        <v>0</v>
      </c>
      <c r="CP242" s="44">
        <f>RawData!CM240</f>
        <v>0</v>
      </c>
      <c r="CQ242" s="47">
        <f>RawData!CO240</f>
        <v>0</v>
      </c>
      <c r="CR242" s="44">
        <f>RawData!CP240</f>
        <v>0</v>
      </c>
      <c r="CS242" s="44">
        <f>RawData!DG240</f>
        <v>0</v>
      </c>
      <c r="CT242" s="43">
        <f>RawData!DJ240</f>
        <v>0</v>
      </c>
      <c r="CU242" s="43">
        <f>RawData!CQ240</f>
        <v>0</v>
      </c>
      <c r="CV242" s="47">
        <f>RawData!CR240</f>
        <v>0</v>
      </c>
      <c r="CW242" s="65">
        <f>RawData!DK240</f>
        <v>0</v>
      </c>
      <c r="CX242" s="65">
        <f>RawData!DL240</f>
        <v>0</v>
      </c>
      <c r="CY242" s="65">
        <f>RawData!DM240</f>
        <v>0</v>
      </c>
      <c r="CZ242" s="65">
        <f>RawData!DN240</f>
        <v>0</v>
      </c>
      <c r="DA242" s="65">
        <f>RawData!DO240</f>
        <v>0</v>
      </c>
      <c r="DB242" s="65">
        <f>RawData!DP240</f>
        <v>0</v>
      </c>
      <c r="DC242" s="65">
        <f>RawData!DQ240</f>
        <v>0</v>
      </c>
      <c r="DD242" s="65">
        <f>RawData!DR240</f>
        <v>0</v>
      </c>
      <c r="DE242" s="65">
        <f>RawData!DS240</f>
        <v>0</v>
      </c>
      <c r="DF242" s="65">
        <f>RawData!DT240</f>
        <v>0</v>
      </c>
      <c r="DG242" s="66">
        <f>RawData!DU240</f>
        <v>0</v>
      </c>
      <c r="DI242" s="21">
        <f t="shared" si="3"/>
        <v>0</v>
      </c>
    </row>
    <row r="243" spans="1:113" x14ac:dyDescent="0.2">
      <c r="A243" s="59">
        <f>RawData!CN241</f>
        <v>0</v>
      </c>
      <c r="B243" s="44">
        <f>RawData!CH241</f>
        <v>0</v>
      </c>
      <c r="C243" s="44">
        <f>RawData!CG241</f>
        <v>0</v>
      </c>
      <c r="D243" s="43">
        <f>RawData!CF241</f>
        <v>0</v>
      </c>
      <c r="E243" s="44">
        <f>RawData!CE241</f>
        <v>0</v>
      </c>
      <c r="F243" s="43">
        <f>RawData!CD241</f>
        <v>0</v>
      </c>
      <c r="G243" s="44">
        <f>RawData!CC241</f>
        <v>0</v>
      </c>
      <c r="H243" s="44">
        <f>RawData!CB241</f>
        <v>0</v>
      </c>
      <c r="I243" s="44">
        <f>RawData!CA241</f>
        <v>0</v>
      </c>
      <c r="J243" s="44">
        <f>RawData!BZ241</f>
        <v>0</v>
      </c>
      <c r="K243" s="40">
        <f>RawData!BY241</f>
        <v>0</v>
      </c>
      <c r="L243" s="40">
        <f>RawData!BX241</f>
        <v>0</v>
      </c>
      <c r="M243" s="40">
        <f>RawData!BW241</f>
        <v>0</v>
      </c>
      <c r="N243" s="40">
        <f>RawData!BV241</f>
        <v>0</v>
      </c>
      <c r="O243" s="36">
        <f>RawData!BU241</f>
        <v>0</v>
      </c>
      <c r="P243" s="36">
        <f>RawData!BT241</f>
        <v>0</v>
      </c>
      <c r="Q243" s="36">
        <f>RawData!BS241</f>
        <v>0</v>
      </c>
      <c r="R243" s="36">
        <f>RawData!BR241</f>
        <v>0</v>
      </c>
      <c r="S243" s="37">
        <f>RawData!BQ241</f>
        <v>0</v>
      </c>
      <c r="T243" s="37">
        <f>RawData!BP241</f>
        <v>0</v>
      </c>
      <c r="U243" s="38">
        <f>RawData!BO241</f>
        <v>0</v>
      </c>
      <c r="V243" s="38">
        <f>RawData!BN241</f>
        <v>0</v>
      </c>
      <c r="W243" s="39">
        <f>RawData!BM241</f>
        <v>0</v>
      </c>
      <c r="X243" s="39">
        <f>RawData!BL241</f>
        <v>0</v>
      </c>
      <c r="Y243" s="38">
        <f>RawData!BJ241</f>
        <v>0</v>
      </c>
      <c r="Z243" s="38">
        <f>RawData!BI241</f>
        <v>0</v>
      </c>
      <c r="AA243" s="40">
        <f>RawData!BH241</f>
        <v>0</v>
      </c>
      <c r="AB243" s="40">
        <f>RawData!BG241</f>
        <v>0</v>
      </c>
      <c r="AC243" s="40">
        <f>RawData!BF241</f>
        <v>0</v>
      </c>
      <c r="AD243" s="40">
        <f>RawData!BE241</f>
        <v>0</v>
      </c>
      <c r="AE243" s="40">
        <f>RawData!BD241</f>
        <v>0</v>
      </c>
      <c r="AF243" s="40">
        <f>RawData!BC241</f>
        <v>0</v>
      </c>
      <c r="AG243" s="41">
        <f>RawData!BB241</f>
        <v>0</v>
      </c>
      <c r="AH243" s="42">
        <f>RawData!DB241</f>
        <v>0</v>
      </c>
      <c r="AI243" s="41">
        <f>RawData!BA241</f>
        <v>0</v>
      </c>
      <c r="AJ243" s="43">
        <f>RawData!DA241</f>
        <v>0</v>
      </c>
      <c r="AK243" s="41">
        <f>RawData!AZ241</f>
        <v>0</v>
      </c>
      <c r="AL243" s="42">
        <f>RawData!DD241</f>
        <v>0</v>
      </c>
      <c r="AM243" s="44">
        <f>RawData!DC241</f>
        <v>0</v>
      </c>
      <c r="AN243" s="45">
        <f>RawData!BK241</f>
        <v>0</v>
      </c>
      <c r="AO243" s="44">
        <f>RawData!AY241</f>
        <v>0</v>
      </c>
      <c r="AP243" s="43">
        <f>RawData!DH241</f>
        <v>0</v>
      </c>
      <c r="AQ243" s="43">
        <f>RawData!DE241</f>
        <v>0</v>
      </c>
      <c r="AR243" s="42">
        <f>RawData!CZ241</f>
        <v>0</v>
      </c>
      <c r="AS243" s="44">
        <f>RawData!AX241</f>
        <v>0</v>
      </c>
      <c r="AT243" s="43">
        <f>RawData!CY241</f>
        <v>0</v>
      </c>
      <c r="AU243" s="44">
        <f>RawData!AW241</f>
        <v>0</v>
      </c>
      <c r="AV243" s="46">
        <f>RawData!O241</f>
        <v>0</v>
      </c>
      <c r="AW243" s="44">
        <f>RawData!AV241</f>
        <v>0</v>
      </c>
      <c r="AX243" s="44">
        <f>RawData!CW241</f>
        <v>0</v>
      </c>
      <c r="AY243" s="44">
        <f>RawData!AU241</f>
        <v>0</v>
      </c>
      <c r="AZ243" s="42">
        <f>RawData!CX241</f>
        <v>0</v>
      </c>
      <c r="BA243" s="44">
        <f>RawData!DF241</f>
        <v>0</v>
      </c>
      <c r="BB243" s="43">
        <f>RawData!DI241</f>
        <v>0</v>
      </c>
      <c r="BC243" s="44">
        <f>RawData!AT241</f>
        <v>0</v>
      </c>
      <c r="BD243" s="45">
        <f>RawData!AP241</f>
        <v>0</v>
      </c>
      <c r="BE243" s="44">
        <f>RawData!CS241</f>
        <v>0</v>
      </c>
      <c r="BF243" s="42">
        <f>RawData!CT241</f>
        <v>0</v>
      </c>
      <c r="BG243" s="41">
        <f>RawData!AS241</f>
        <v>0</v>
      </c>
      <c r="BH243" s="41">
        <f>RawData!CU241</f>
        <v>0</v>
      </c>
      <c r="BI243" s="41">
        <f>RawData!AR241</f>
        <v>0</v>
      </c>
      <c r="BJ243" s="42">
        <f>RawData!CV241</f>
        <v>0</v>
      </c>
      <c r="BK243" s="41">
        <f>RawData!AQ241</f>
        <v>0</v>
      </c>
      <c r="BL243" s="40">
        <f>RawData!AO241</f>
        <v>0</v>
      </c>
      <c r="BM243" s="40">
        <f>RawData!AN241</f>
        <v>0</v>
      </c>
      <c r="BN243" s="40">
        <f>RawData!AM241</f>
        <v>0</v>
      </c>
      <c r="BO243" s="40">
        <f>RawData!AL241</f>
        <v>0</v>
      </c>
      <c r="BP243" s="40">
        <f>RawData!AK241</f>
        <v>0</v>
      </c>
      <c r="BQ243" s="40">
        <f>RawData!AJ241</f>
        <v>0</v>
      </c>
      <c r="BR243" s="38">
        <f>RawData!AI241</f>
        <v>0</v>
      </c>
      <c r="BS243" s="38">
        <f>RawData!AH241</f>
        <v>0</v>
      </c>
      <c r="BT243" s="40">
        <f>RawData!AG241</f>
        <v>0</v>
      </c>
      <c r="BU243" s="39">
        <f>RawData!AF241</f>
        <v>0</v>
      </c>
      <c r="BV243" s="39">
        <f>RawData!AE241</f>
        <v>0</v>
      </c>
      <c r="BW243" s="38">
        <f>RawData!AD241</f>
        <v>0</v>
      </c>
      <c r="BX243" s="38">
        <f>RawData!AC241</f>
        <v>0</v>
      </c>
      <c r="BY243" s="37">
        <f>RawData!AB241</f>
        <v>0</v>
      </c>
      <c r="BZ243" s="37">
        <f>RawData!AA241</f>
        <v>0</v>
      </c>
      <c r="CA243" s="36">
        <f>RawData!Z241</f>
        <v>0</v>
      </c>
      <c r="CB243" s="36">
        <f>RawData!Y241</f>
        <v>0</v>
      </c>
      <c r="CC243" s="36">
        <f>RawData!X241</f>
        <v>0</v>
      </c>
      <c r="CD243" s="36">
        <f>RawData!W241</f>
        <v>0</v>
      </c>
      <c r="CE243" s="40">
        <f>RawData!V241</f>
        <v>0</v>
      </c>
      <c r="CF243" s="40">
        <f>RawData!U241</f>
        <v>0</v>
      </c>
      <c r="CG243" s="40">
        <f>RawData!T241</f>
        <v>0</v>
      </c>
      <c r="CH243" s="44">
        <f>RawData!S241</f>
        <v>0</v>
      </c>
      <c r="CI243" s="44">
        <f>RawData!R241</f>
        <v>0</v>
      </c>
      <c r="CJ243" s="44">
        <f>RawData!Q241</f>
        <v>0</v>
      </c>
      <c r="CK243" s="44">
        <f>RawData!P241</f>
        <v>0</v>
      </c>
      <c r="CL243" s="44">
        <f>RawData!CJ241</f>
        <v>0</v>
      </c>
      <c r="CM243" s="43">
        <f>RawData!CI241</f>
        <v>0</v>
      </c>
      <c r="CN243" s="44">
        <f>RawData!CL241</f>
        <v>0</v>
      </c>
      <c r="CO243" s="43">
        <f>RawData!CK241</f>
        <v>0</v>
      </c>
      <c r="CP243" s="44">
        <f>RawData!CM241</f>
        <v>0</v>
      </c>
      <c r="CQ243" s="47">
        <f>RawData!CO241</f>
        <v>0</v>
      </c>
      <c r="CR243" s="44">
        <f>RawData!CP241</f>
        <v>0</v>
      </c>
      <c r="CS243" s="44">
        <f>RawData!DG241</f>
        <v>0</v>
      </c>
      <c r="CT243" s="43">
        <f>RawData!DJ241</f>
        <v>0</v>
      </c>
      <c r="CU243" s="43">
        <f>RawData!CQ241</f>
        <v>0</v>
      </c>
      <c r="CV243" s="47">
        <f>RawData!CR241</f>
        <v>0</v>
      </c>
      <c r="CW243" s="65">
        <f>RawData!DK241</f>
        <v>0</v>
      </c>
      <c r="CX243" s="65">
        <f>RawData!DL241</f>
        <v>0</v>
      </c>
      <c r="CY243" s="65">
        <f>RawData!DM241</f>
        <v>0</v>
      </c>
      <c r="CZ243" s="65">
        <f>RawData!DN241</f>
        <v>0</v>
      </c>
      <c r="DA243" s="65">
        <f>RawData!DO241</f>
        <v>0</v>
      </c>
      <c r="DB243" s="65">
        <f>RawData!DP241</f>
        <v>0</v>
      </c>
      <c r="DC243" s="65">
        <f>RawData!DQ241</f>
        <v>0</v>
      </c>
      <c r="DD243" s="65">
        <f>RawData!DR241</f>
        <v>0</v>
      </c>
      <c r="DE243" s="65">
        <f>RawData!DS241</f>
        <v>0</v>
      </c>
      <c r="DF243" s="65">
        <f>RawData!DT241</f>
        <v>0</v>
      </c>
      <c r="DG243" s="66">
        <f>RawData!DU241</f>
        <v>0</v>
      </c>
      <c r="DI243" s="21">
        <f t="shared" si="3"/>
        <v>0</v>
      </c>
    </row>
    <row r="244" spans="1:113" x14ac:dyDescent="0.2">
      <c r="A244" s="59">
        <f>RawData!CN242</f>
        <v>0</v>
      </c>
      <c r="B244" s="44">
        <f>RawData!CH242</f>
        <v>0</v>
      </c>
      <c r="C244" s="44">
        <f>RawData!CG242</f>
        <v>0</v>
      </c>
      <c r="D244" s="43">
        <f>RawData!CF242</f>
        <v>0</v>
      </c>
      <c r="E244" s="44">
        <f>RawData!CE242</f>
        <v>0</v>
      </c>
      <c r="F244" s="43">
        <f>RawData!CD242</f>
        <v>0</v>
      </c>
      <c r="G244" s="44">
        <f>RawData!CC242</f>
        <v>0</v>
      </c>
      <c r="H244" s="44">
        <f>RawData!CB242</f>
        <v>0</v>
      </c>
      <c r="I244" s="44">
        <f>RawData!CA242</f>
        <v>0</v>
      </c>
      <c r="J244" s="44">
        <f>RawData!BZ242</f>
        <v>0</v>
      </c>
      <c r="K244" s="40">
        <f>RawData!BY242</f>
        <v>0</v>
      </c>
      <c r="L244" s="40">
        <f>RawData!BX242</f>
        <v>0</v>
      </c>
      <c r="M244" s="40">
        <f>RawData!BW242</f>
        <v>0</v>
      </c>
      <c r="N244" s="40">
        <f>RawData!BV242</f>
        <v>0</v>
      </c>
      <c r="O244" s="36">
        <f>RawData!BU242</f>
        <v>0</v>
      </c>
      <c r="P244" s="36">
        <f>RawData!BT242</f>
        <v>0</v>
      </c>
      <c r="Q244" s="36">
        <f>RawData!BS242</f>
        <v>0</v>
      </c>
      <c r="R244" s="36">
        <f>RawData!BR242</f>
        <v>0</v>
      </c>
      <c r="S244" s="37">
        <f>RawData!BQ242</f>
        <v>0</v>
      </c>
      <c r="T244" s="37">
        <f>RawData!BP242</f>
        <v>0</v>
      </c>
      <c r="U244" s="38">
        <f>RawData!BO242</f>
        <v>0</v>
      </c>
      <c r="V244" s="38">
        <f>RawData!BN242</f>
        <v>0</v>
      </c>
      <c r="W244" s="39">
        <f>RawData!BM242</f>
        <v>0</v>
      </c>
      <c r="X244" s="39">
        <f>RawData!BL242</f>
        <v>0</v>
      </c>
      <c r="Y244" s="38">
        <f>RawData!BJ242</f>
        <v>0</v>
      </c>
      <c r="Z244" s="38">
        <f>RawData!BI242</f>
        <v>0</v>
      </c>
      <c r="AA244" s="40">
        <f>RawData!BH242</f>
        <v>0</v>
      </c>
      <c r="AB244" s="40">
        <f>RawData!BG242</f>
        <v>0</v>
      </c>
      <c r="AC244" s="40">
        <f>RawData!BF242</f>
        <v>0</v>
      </c>
      <c r="AD244" s="40">
        <f>RawData!BE242</f>
        <v>0</v>
      </c>
      <c r="AE244" s="40">
        <f>RawData!BD242</f>
        <v>0</v>
      </c>
      <c r="AF244" s="40">
        <f>RawData!BC242</f>
        <v>0</v>
      </c>
      <c r="AG244" s="41">
        <f>RawData!BB242</f>
        <v>0</v>
      </c>
      <c r="AH244" s="42">
        <f>RawData!DB242</f>
        <v>0</v>
      </c>
      <c r="AI244" s="41">
        <f>RawData!BA242</f>
        <v>0</v>
      </c>
      <c r="AJ244" s="43">
        <f>RawData!DA242</f>
        <v>0</v>
      </c>
      <c r="AK244" s="41">
        <f>RawData!AZ242</f>
        <v>0</v>
      </c>
      <c r="AL244" s="42">
        <f>RawData!DD242</f>
        <v>0</v>
      </c>
      <c r="AM244" s="44">
        <f>RawData!DC242</f>
        <v>0</v>
      </c>
      <c r="AN244" s="45">
        <f>RawData!BK242</f>
        <v>0</v>
      </c>
      <c r="AO244" s="44">
        <f>RawData!AY242</f>
        <v>0</v>
      </c>
      <c r="AP244" s="43">
        <f>RawData!DH242</f>
        <v>0</v>
      </c>
      <c r="AQ244" s="43">
        <f>RawData!DE242</f>
        <v>0</v>
      </c>
      <c r="AR244" s="42">
        <f>RawData!CZ242</f>
        <v>0</v>
      </c>
      <c r="AS244" s="44">
        <f>RawData!AX242</f>
        <v>0</v>
      </c>
      <c r="AT244" s="43">
        <f>RawData!CY242</f>
        <v>0</v>
      </c>
      <c r="AU244" s="44">
        <f>RawData!AW242</f>
        <v>0</v>
      </c>
      <c r="AV244" s="46">
        <f>RawData!O242</f>
        <v>0</v>
      </c>
      <c r="AW244" s="44">
        <f>RawData!AV242</f>
        <v>0</v>
      </c>
      <c r="AX244" s="44">
        <f>RawData!CW242</f>
        <v>0</v>
      </c>
      <c r="AY244" s="44">
        <f>RawData!AU242</f>
        <v>0</v>
      </c>
      <c r="AZ244" s="42">
        <f>RawData!CX242</f>
        <v>0</v>
      </c>
      <c r="BA244" s="44">
        <f>RawData!DF242</f>
        <v>0</v>
      </c>
      <c r="BB244" s="43">
        <f>RawData!DI242</f>
        <v>0</v>
      </c>
      <c r="BC244" s="44">
        <f>RawData!AT242</f>
        <v>0</v>
      </c>
      <c r="BD244" s="45">
        <f>RawData!AP242</f>
        <v>0</v>
      </c>
      <c r="BE244" s="44">
        <f>RawData!CS242</f>
        <v>0</v>
      </c>
      <c r="BF244" s="42">
        <f>RawData!CT242</f>
        <v>0</v>
      </c>
      <c r="BG244" s="41">
        <f>RawData!AS242</f>
        <v>0</v>
      </c>
      <c r="BH244" s="41">
        <f>RawData!CU242</f>
        <v>0</v>
      </c>
      <c r="BI244" s="41">
        <f>RawData!AR242</f>
        <v>0</v>
      </c>
      <c r="BJ244" s="42">
        <f>RawData!CV242</f>
        <v>0</v>
      </c>
      <c r="BK244" s="41">
        <f>RawData!AQ242</f>
        <v>0</v>
      </c>
      <c r="BL244" s="40">
        <f>RawData!AO242</f>
        <v>0</v>
      </c>
      <c r="BM244" s="40">
        <f>RawData!AN242</f>
        <v>0</v>
      </c>
      <c r="BN244" s="40">
        <f>RawData!AM242</f>
        <v>0</v>
      </c>
      <c r="BO244" s="40">
        <f>RawData!AL242</f>
        <v>0</v>
      </c>
      <c r="BP244" s="40">
        <f>RawData!AK242</f>
        <v>0</v>
      </c>
      <c r="BQ244" s="40">
        <f>RawData!AJ242</f>
        <v>0</v>
      </c>
      <c r="BR244" s="38">
        <f>RawData!AI242</f>
        <v>0</v>
      </c>
      <c r="BS244" s="38">
        <f>RawData!AH242</f>
        <v>0</v>
      </c>
      <c r="BT244" s="40">
        <f>RawData!AG242</f>
        <v>0</v>
      </c>
      <c r="BU244" s="39">
        <f>RawData!AF242</f>
        <v>0</v>
      </c>
      <c r="BV244" s="39">
        <f>RawData!AE242</f>
        <v>0</v>
      </c>
      <c r="BW244" s="38">
        <f>RawData!AD242</f>
        <v>0</v>
      </c>
      <c r="BX244" s="38">
        <f>RawData!AC242</f>
        <v>0</v>
      </c>
      <c r="BY244" s="37">
        <f>RawData!AB242</f>
        <v>0</v>
      </c>
      <c r="BZ244" s="37">
        <f>RawData!AA242</f>
        <v>0</v>
      </c>
      <c r="CA244" s="36">
        <f>RawData!Z242</f>
        <v>0</v>
      </c>
      <c r="CB244" s="36">
        <f>RawData!Y242</f>
        <v>0</v>
      </c>
      <c r="CC244" s="36">
        <f>RawData!X242</f>
        <v>0</v>
      </c>
      <c r="CD244" s="36">
        <f>RawData!W242</f>
        <v>0</v>
      </c>
      <c r="CE244" s="40">
        <f>RawData!V242</f>
        <v>0</v>
      </c>
      <c r="CF244" s="40">
        <f>RawData!U242</f>
        <v>0</v>
      </c>
      <c r="CG244" s="40">
        <f>RawData!T242</f>
        <v>0</v>
      </c>
      <c r="CH244" s="44">
        <f>RawData!S242</f>
        <v>0</v>
      </c>
      <c r="CI244" s="44">
        <f>RawData!R242</f>
        <v>0</v>
      </c>
      <c r="CJ244" s="44">
        <f>RawData!Q242</f>
        <v>0</v>
      </c>
      <c r="CK244" s="44">
        <f>RawData!P242</f>
        <v>0</v>
      </c>
      <c r="CL244" s="44">
        <f>RawData!CJ242</f>
        <v>0</v>
      </c>
      <c r="CM244" s="43">
        <f>RawData!CI242</f>
        <v>0</v>
      </c>
      <c r="CN244" s="44">
        <f>RawData!CL242</f>
        <v>0</v>
      </c>
      <c r="CO244" s="43">
        <f>RawData!CK242</f>
        <v>0</v>
      </c>
      <c r="CP244" s="44">
        <f>RawData!CM242</f>
        <v>0</v>
      </c>
      <c r="CQ244" s="47">
        <f>RawData!CO242</f>
        <v>0</v>
      </c>
      <c r="CR244" s="44">
        <f>RawData!CP242</f>
        <v>0</v>
      </c>
      <c r="CS244" s="44">
        <f>RawData!DG242</f>
        <v>0</v>
      </c>
      <c r="CT244" s="43">
        <f>RawData!DJ242</f>
        <v>0</v>
      </c>
      <c r="CU244" s="43">
        <f>RawData!CQ242</f>
        <v>0</v>
      </c>
      <c r="CV244" s="47">
        <f>RawData!CR242</f>
        <v>0</v>
      </c>
      <c r="CW244" s="65">
        <f>RawData!DK242</f>
        <v>0</v>
      </c>
      <c r="CX244" s="65">
        <f>RawData!DL242</f>
        <v>0</v>
      </c>
      <c r="CY244" s="65">
        <f>RawData!DM242</f>
        <v>0</v>
      </c>
      <c r="CZ244" s="65">
        <f>RawData!DN242</f>
        <v>0</v>
      </c>
      <c r="DA244" s="65">
        <f>RawData!DO242</f>
        <v>0</v>
      </c>
      <c r="DB244" s="65">
        <f>RawData!DP242</f>
        <v>0</v>
      </c>
      <c r="DC244" s="65">
        <f>RawData!DQ242</f>
        <v>0</v>
      </c>
      <c r="DD244" s="65">
        <f>RawData!DR242</f>
        <v>0</v>
      </c>
      <c r="DE244" s="65">
        <f>RawData!DS242</f>
        <v>0</v>
      </c>
      <c r="DF244" s="65">
        <f>RawData!DT242</f>
        <v>0</v>
      </c>
      <c r="DG244" s="66">
        <f>RawData!DU242</f>
        <v>0</v>
      </c>
      <c r="DI244" s="21">
        <f t="shared" si="3"/>
        <v>0</v>
      </c>
    </row>
    <row r="245" spans="1:113" x14ac:dyDescent="0.2">
      <c r="A245" s="59">
        <f>RawData!CN243</f>
        <v>0</v>
      </c>
      <c r="B245" s="44">
        <f>RawData!CH243</f>
        <v>0</v>
      </c>
      <c r="C245" s="44">
        <f>RawData!CG243</f>
        <v>0</v>
      </c>
      <c r="D245" s="43">
        <f>RawData!CF243</f>
        <v>0</v>
      </c>
      <c r="E245" s="44">
        <f>RawData!CE243</f>
        <v>0</v>
      </c>
      <c r="F245" s="43">
        <f>RawData!CD243</f>
        <v>0</v>
      </c>
      <c r="G245" s="44">
        <f>RawData!CC243</f>
        <v>0</v>
      </c>
      <c r="H245" s="44">
        <f>RawData!CB243</f>
        <v>0</v>
      </c>
      <c r="I245" s="44">
        <f>RawData!CA243</f>
        <v>0</v>
      </c>
      <c r="J245" s="44">
        <f>RawData!BZ243</f>
        <v>0</v>
      </c>
      <c r="K245" s="40">
        <f>RawData!BY243</f>
        <v>0</v>
      </c>
      <c r="L245" s="40">
        <f>RawData!BX243</f>
        <v>0</v>
      </c>
      <c r="M245" s="40">
        <f>RawData!BW243</f>
        <v>0</v>
      </c>
      <c r="N245" s="40">
        <f>RawData!BV243</f>
        <v>0</v>
      </c>
      <c r="O245" s="36">
        <f>RawData!BU243</f>
        <v>0</v>
      </c>
      <c r="P245" s="36">
        <f>RawData!BT243</f>
        <v>0</v>
      </c>
      <c r="Q245" s="36">
        <f>RawData!BS243</f>
        <v>0</v>
      </c>
      <c r="R245" s="36">
        <f>RawData!BR243</f>
        <v>0</v>
      </c>
      <c r="S245" s="37">
        <f>RawData!BQ243</f>
        <v>0</v>
      </c>
      <c r="T245" s="37">
        <f>RawData!BP243</f>
        <v>0</v>
      </c>
      <c r="U245" s="38">
        <f>RawData!BO243</f>
        <v>0</v>
      </c>
      <c r="V245" s="38">
        <f>RawData!BN243</f>
        <v>0</v>
      </c>
      <c r="W245" s="39">
        <f>RawData!BM243</f>
        <v>0</v>
      </c>
      <c r="X245" s="39">
        <f>RawData!BL243</f>
        <v>0</v>
      </c>
      <c r="Y245" s="38">
        <f>RawData!BJ243</f>
        <v>0</v>
      </c>
      <c r="Z245" s="38">
        <f>RawData!BI243</f>
        <v>0</v>
      </c>
      <c r="AA245" s="40">
        <f>RawData!BH243</f>
        <v>0</v>
      </c>
      <c r="AB245" s="40">
        <f>RawData!BG243</f>
        <v>0</v>
      </c>
      <c r="AC245" s="40">
        <f>RawData!BF243</f>
        <v>0</v>
      </c>
      <c r="AD245" s="40">
        <f>RawData!BE243</f>
        <v>0</v>
      </c>
      <c r="AE245" s="40">
        <f>RawData!BD243</f>
        <v>0</v>
      </c>
      <c r="AF245" s="40">
        <f>RawData!BC243</f>
        <v>0</v>
      </c>
      <c r="AG245" s="41">
        <f>RawData!BB243</f>
        <v>0</v>
      </c>
      <c r="AH245" s="42">
        <f>RawData!DB243</f>
        <v>0</v>
      </c>
      <c r="AI245" s="41">
        <f>RawData!BA243</f>
        <v>0</v>
      </c>
      <c r="AJ245" s="43">
        <f>RawData!DA243</f>
        <v>0</v>
      </c>
      <c r="AK245" s="41">
        <f>RawData!AZ243</f>
        <v>0</v>
      </c>
      <c r="AL245" s="42">
        <f>RawData!DD243</f>
        <v>0</v>
      </c>
      <c r="AM245" s="44">
        <f>RawData!DC243</f>
        <v>0</v>
      </c>
      <c r="AN245" s="45">
        <f>RawData!BK243</f>
        <v>0</v>
      </c>
      <c r="AO245" s="44">
        <f>RawData!AY243</f>
        <v>0</v>
      </c>
      <c r="AP245" s="43">
        <f>RawData!DH243</f>
        <v>0</v>
      </c>
      <c r="AQ245" s="43">
        <f>RawData!DE243</f>
        <v>0</v>
      </c>
      <c r="AR245" s="42">
        <f>RawData!CZ243</f>
        <v>0</v>
      </c>
      <c r="AS245" s="44">
        <f>RawData!AX243</f>
        <v>0</v>
      </c>
      <c r="AT245" s="43">
        <f>RawData!CY243</f>
        <v>0</v>
      </c>
      <c r="AU245" s="44">
        <f>RawData!AW243</f>
        <v>0</v>
      </c>
      <c r="AV245" s="46">
        <f>RawData!O243</f>
        <v>0</v>
      </c>
      <c r="AW245" s="44">
        <f>RawData!AV243</f>
        <v>0</v>
      </c>
      <c r="AX245" s="44">
        <f>RawData!CW243</f>
        <v>0</v>
      </c>
      <c r="AY245" s="44">
        <f>RawData!AU243</f>
        <v>0</v>
      </c>
      <c r="AZ245" s="42">
        <f>RawData!CX243</f>
        <v>0</v>
      </c>
      <c r="BA245" s="44">
        <f>RawData!DF243</f>
        <v>0</v>
      </c>
      <c r="BB245" s="43">
        <f>RawData!DI243</f>
        <v>0</v>
      </c>
      <c r="BC245" s="44">
        <f>RawData!AT243</f>
        <v>0</v>
      </c>
      <c r="BD245" s="45">
        <f>RawData!AP243</f>
        <v>0</v>
      </c>
      <c r="BE245" s="44">
        <f>RawData!CS243</f>
        <v>0</v>
      </c>
      <c r="BF245" s="42">
        <f>RawData!CT243</f>
        <v>0</v>
      </c>
      <c r="BG245" s="41">
        <f>RawData!AS243</f>
        <v>0</v>
      </c>
      <c r="BH245" s="41">
        <f>RawData!CU243</f>
        <v>0</v>
      </c>
      <c r="BI245" s="41">
        <f>RawData!AR243</f>
        <v>0</v>
      </c>
      <c r="BJ245" s="42">
        <f>RawData!CV243</f>
        <v>0</v>
      </c>
      <c r="BK245" s="41">
        <f>RawData!AQ243</f>
        <v>0</v>
      </c>
      <c r="BL245" s="40">
        <f>RawData!AO243</f>
        <v>0</v>
      </c>
      <c r="BM245" s="40">
        <f>RawData!AN243</f>
        <v>0</v>
      </c>
      <c r="BN245" s="40">
        <f>RawData!AM243</f>
        <v>0</v>
      </c>
      <c r="BO245" s="40">
        <f>RawData!AL243</f>
        <v>0</v>
      </c>
      <c r="BP245" s="40">
        <f>RawData!AK243</f>
        <v>0</v>
      </c>
      <c r="BQ245" s="40">
        <f>RawData!AJ243</f>
        <v>0</v>
      </c>
      <c r="BR245" s="38">
        <f>RawData!AI243</f>
        <v>0</v>
      </c>
      <c r="BS245" s="38">
        <f>RawData!AH243</f>
        <v>0</v>
      </c>
      <c r="BT245" s="40">
        <f>RawData!AG243</f>
        <v>0</v>
      </c>
      <c r="BU245" s="39">
        <f>RawData!AF243</f>
        <v>0</v>
      </c>
      <c r="BV245" s="39">
        <f>RawData!AE243</f>
        <v>0</v>
      </c>
      <c r="BW245" s="38">
        <f>RawData!AD243</f>
        <v>0</v>
      </c>
      <c r="BX245" s="38">
        <f>RawData!AC243</f>
        <v>0</v>
      </c>
      <c r="BY245" s="37">
        <f>RawData!AB243</f>
        <v>0</v>
      </c>
      <c r="BZ245" s="37">
        <f>RawData!AA243</f>
        <v>0</v>
      </c>
      <c r="CA245" s="36">
        <f>RawData!Z243</f>
        <v>0</v>
      </c>
      <c r="CB245" s="36">
        <f>RawData!Y243</f>
        <v>0</v>
      </c>
      <c r="CC245" s="36">
        <f>RawData!X243</f>
        <v>0</v>
      </c>
      <c r="CD245" s="36">
        <f>RawData!W243</f>
        <v>0</v>
      </c>
      <c r="CE245" s="40">
        <f>RawData!V243</f>
        <v>0</v>
      </c>
      <c r="CF245" s="40">
        <f>RawData!U243</f>
        <v>0</v>
      </c>
      <c r="CG245" s="40">
        <f>RawData!T243</f>
        <v>0</v>
      </c>
      <c r="CH245" s="44">
        <f>RawData!S243</f>
        <v>0</v>
      </c>
      <c r="CI245" s="44">
        <f>RawData!R243</f>
        <v>0</v>
      </c>
      <c r="CJ245" s="44">
        <f>RawData!Q243</f>
        <v>0</v>
      </c>
      <c r="CK245" s="44">
        <f>RawData!P243</f>
        <v>0</v>
      </c>
      <c r="CL245" s="44">
        <f>RawData!CJ243</f>
        <v>0</v>
      </c>
      <c r="CM245" s="43">
        <f>RawData!CI243</f>
        <v>0</v>
      </c>
      <c r="CN245" s="44">
        <f>RawData!CL243</f>
        <v>0</v>
      </c>
      <c r="CO245" s="43">
        <f>RawData!CK243</f>
        <v>0</v>
      </c>
      <c r="CP245" s="44">
        <f>RawData!CM243</f>
        <v>0</v>
      </c>
      <c r="CQ245" s="47">
        <f>RawData!CO243</f>
        <v>0</v>
      </c>
      <c r="CR245" s="44">
        <f>RawData!CP243</f>
        <v>0</v>
      </c>
      <c r="CS245" s="44">
        <f>RawData!DG243</f>
        <v>0</v>
      </c>
      <c r="CT245" s="43">
        <f>RawData!DJ243</f>
        <v>0</v>
      </c>
      <c r="CU245" s="43">
        <f>RawData!CQ243</f>
        <v>0</v>
      </c>
      <c r="CV245" s="47">
        <f>RawData!CR243</f>
        <v>0</v>
      </c>
      <c r="CW245" s="65">
        <f>RawData!DK243</f>
        <v>0</v>
      </c>
      <c r="CX245" s="65">
        <f>RawData!DL243</f>
        <v>0</v>
      </c>
      <c r="CY245" s="65">
        <f>RawData!DM243</f>
        <v>0</v>
      </c>
      <c r="CZ245" s="65">
        <f>RawData!DN243</f>
        <v>0</v>
      </c>
      <c r="DA245" s="65">
        <f>RawData!DO243</f>
        <v>0</v>
      </c>
      <c r="DB245" s="65">
        <f>RawData!DP243</f>
        <v>0</v>
      </c>
      <c r="DC245" s="65">
        <f>RawData!DQ243</f>
        <v>0</v>
      </c>
      <c r="DD245" s="65">
        <f>RawData!DR243</f>
        <v>0</v>
      </c>
      <c r="DE245" s="65">
        <f>RawData!DS243</f>
        <v>0</v>
      </c>
      <c r="DF245" s="65">
        <f>RawData!DT243</f>
        <v>0</v>
      </c>
      <c r="DG245" s="66">
        <f>RawData!DU243</f>
        <v>0</v>
      </c>
      <c r="DI245" s="21">
        <f t="shared" si="3"/>
        <v>0</v>
      </c>
    </row>
    <row r="246" spans="1:113" x14ac:dyDescent="0.2">
      <c r="A246" s="59">
        <f>RawData!CN244</f>
        <v>0</v>
      </c>
      <c r="B246" s="44">
        <f>RawData!CH244</f>
        <v>0</v>
      </c>
      <c r="C246" s="44">
        <f>RawData!CG244</f>
        <v>0</v>
      </c>
      <c r="D246" s="43">
        <f>RawData!CF244</f>
        <v>0</v>
      </c>
      <c r="E246" s="44">
        <f>RawData!CE244</f>
        <v>0</v>
      </c>
      <c r="F246" s="43">
        <f>RawData!CD244</f>
        <v>0</v>
      </c>
      <c r="G246" s="44">
        <f>RawData!CC244</f>
        <v>0</v>
      </c>
      <c r="H246" s="44">
        <f>RawData!CB244</f>
        <v>0</v>
      </c>
      <c r="I246" s="44">
        <f>RawData!CA244</f>
        <v>0</v>
      </c>
      <c r="J246" s="44">
        <f>RawData!BZ244</f>
        <v>0</v>
      </c>
      <c r="K246" s="40">
        <f>RawData!BY244</f>
        <v>0</v>
      </c>
      <c r="L246" s="40">
        <f>RawData!BX244</f>
        <v>0</v>
      </c>
      <c r="M246" s="40">
        <f>RawData!BW244</f>
        <v>0</v>
      </c>
      <c r="N246" s="40">
        <f>RawData!BV244</f>
        <v>0</v>
      </c>
      <c r="O246" s="36">
        <f>RawData!BU244</f>
        <v>0</v>
      </c>
      <c r="P246" s="36">
        <f>RawData!BT244</f>
        <v>0</v>
      </c>
      <c r="Q246" s="36">
        <f>RawData!BS244</f>
        <v>0</v>
      </c>
      <c r="R246" s="36">
        <f>RawData!BR244</f>
        <v>0</v>
      </c>
      <c r="S246" s="37">
        <f>RawData!BQ244</f>
        <v>0</v>
      </c>
      <c r="T246" s="37">
        <f>RawData!BP244</f>
        <v>0</v>
      </c>
      <c r="U246" s="38">
        <f>RawData!BO244</f>
        <v>0</v>
      </c>
      <c r="V246" s="38">
        <f>RawData!BN244</f>
        <v>0</v>
      </c>
      <c r="W246" s="39">
        <f>RawData!BM244</f>
        <v>0</v>
      </c>
      <c r="X246" s="39">
        <f>RawData!BL244</f>
        <v>0</v>
      </c>
      <c r="Y246" s="38">
        <f>RawData!BJ244</f>
        <v>0</v>
      </c>
      <c r="Z246" s="38">
        <f>RawData!BI244</f>
        <v>0</v>
      </c>
      <c r="AA246" s="40">
        <f>RawData!BH244</f>
        <v>0</v>
      </c>
      <c r="AB246" s="40">
        <f>RawData!BG244</f>
        <v>0</v>
      </c>
      <c r="AC246" s="40">
        <f>RawData!BF244</f>
        <v>0</v>
      </c>
      <c r="AD246" s="40">
        <f>RawData!BE244</f>
        <v>0</v>
      </c>
      <c r="AE246" s="40">
        <f>RawData!BD244</f>
        <v>0</v>
      </c>
      <c r="AF246" s="40">
        <f>RawData!BC244</f>
        <v>0</v>
      </c>
      <c r="AG246" s="41">
        <f>RawData!BB244</f>
        <v>0</v>
      </c>
      <c r="AH246" s="42">
        <f>RawData!DB244</f>
        <v>0</v>
      </c>
      <c r="AI246" s="41">
        <f>RawData!BA244</f>
        <v>0</v>
      </c>
      <c r="AJ246" s="43">
        <f>RawData!DA244</f>
        <v>0</v>
      </c>
      <c r="AK246" s="41">
        <f>RawData!AZ244</f>
        <v>0</v>
      </c>
      <c r="AL246" s="42">
        <f>RawData!DD244</f>
        <v>0</v>
      </c>
      <c r="AM246" s="44">
        <f>RawData!DC244</f>
        <v>0</v>
      </c>
      <c r="AN246" s="45">
        <f>RawData!BK244</f>
        <v>0</v>
      </c>
      <c r="AO246" s="44">
        <f>RawData!AY244</f>
        <v>0</v>
      </c>
      <c r="AP246" s="43">
        <f>RawData!DH244</f>
        <v>0</v>
      </c>
      <c r="AQ246" s="43">
        <f>RawData!DE244</f>
        <v>0</v>
      </c>
      <c r="AR246" s="42">
        <f>RawData!CZ244</f>
        <v>0</v>
      </c>
      <c r="AS246" s="44">
        <f>RawData!AX244</f>
        <v>0</v>
      </c>
      <c r="AT246" s="43">
        <f>RawData!CY244</f>
        <v>0</v>
      </c>
      <c r="AU246" s="44">
        <f>RawData!AW244</f>
        <v>0</v>
      </c>
      <c r="AV246" s="46">
        <f>RawData!O244</f>
        <v>0</v>
      </c>
      <c r="AW246" s="44">
        <f>RawData!AV244</f>
        <v>0</v>
      </c>
      <c r="AX246" s="44">
        <f>RawData!CW244</f>
        <v>0</v>
      </c>
      <c r="AY246" s="44">
        <f>RawData!AU244</f>
        <v>0</v>
      </c>
      <c r="AZ246" s="42">
        <f>RawData!CX244</f>
        <v>0</v>
      </c>
      <c r="BA246" s="44">
        <f>RawData!DF244</f>
        <v>0</v>
      </c>
      <c r="BB246" s="43">
        <f>RawData!DI244</f>
        <v>0</v>
      </c>
      <c r="BC246" s="44">
        <f>RawData!AT244</f>
        <v>0</v>
      </c>
      <c r="BD246" s="45">
        <f>RawData!AP244</f>
        <v>0</v>
      </c>
      <c r="BE246" s="44">
        <f>RawData!CS244</f>
        <v>0</v>
      </c>
      <c r="BF246" s="42">
        <f>RawData!CT244</f>
        <v>0</v>
      </c>
      <c r="BG246" s="41">
        <f>RawData!AS244</f>
        <v>0</v>
      </c>
      <c r="BH246" s="41">
        <f>RawData!CU244</f>
        <v>0</v>
      </c>
      <c r="BI246" s="41">
        <f>RawData!AR244</f>
        <v>0</v>
      </c>
      <c r="BJ246" s="42">
        <f>RawData!CV244</f>
        <v>0</v>
      </c>
      <c r="BK246" s="41">
        <f>RawData!AQ244</f>
        <v>0</v>
      </c>
      <c r="BL246" s="40">
        <f>RawData!AO244</f>
        <v>0</v>
      </c>
      <c r="BM246" s="40">
        <f>RawData!AN244</f>
        <v>0</v>
      </c>
      <c r="BN246" s="40">
        <f>RawData!AM244</f>
        <v>0</v>
      </c>
      <c r="BO246" s="40">
        <f>RawData!AL244</f>
        <v>0</v>
      </c>
      <c r="BP246" s="40">
        <f>RawData!AK244</f>
        <v>0</v>
      </c>
      <c r="BQ246" s="40">
        <f>RawData!AJ244</f>
        <v>0</v>
      </c>
      <c r="BR246" s="38">
        <f>RawData!AI244</f>
        <v>0</v>
      </c>
      <c r="BS246" s="38">
        <f>RawData!AH244</f>
        <v>0</v>
      </c>
      <c r="BT246" s="40">
        <f>RawData!AG244</f>
        <v>0</v>
      </c>
      <c r="BU246" s="39">
        <f>RawData!AF244</f>
        <v>0</v>
      </c>
      <c r="BV246" s="39">
        <f>RawData!AE244</f>
        <v>0</v>
      </c>
      <c r="BW246" s="38">
        <f>RawData!AD244</f>
        <v>0</v>
      </c>
      <c r="BX246" s="38">
        <f>RawData!AC244</f>
        <v>0</v>
      </c>
      <c r="BY246" s="37">
        <f>RawData!AB244</f>
        <v>0</v>
      </c>
      <c r="BZ246" s="37">
        <f>RawData!AA244</f>
        <v>0</v>
      </c>
      <c r="CA246" s="36">
        <f>RawData!Z244</f>
        <v>0</v>
      </c>
      <c r="CB246" s="36">
        <f>RawData!Y244</f>
        <v>0</v>
      </c>
      <c r="CC246" s="36">
        <f>RawData!X244</f>
        <v>0</v>
      </c>
      <c r="CD246" s="36">
        <f>RawData!W244</f>
        <v>0</v>
      </c>
      <c r="CE246" s="40">
        <f>RawData!V244</f>
        <v>0</v>
      </c>
      <c r="CF246" s="40">
        <f>RawData!U244</f>
        <v>0</v>
      </c>
      <c r="CG246" s="40">
        <f>RawData!T244</f>
        <v>0</v>
      </c>
      <c r="CH246" s="44">
        <f>RawData!S244</f>
        <v>0</v>
      </c>
      <c r="CI246" s="44">
        <f>RawData!R244</f>
        <v>0</v>
      </c>
      <c r="CJ246" s="44">
        <f>RawData!Q244</f>
        <v>0</v>
      </c>
      <c r="CK246" s="44">
        <f>RawData!P244</f>
        <v>0</v>
      </c>
      <c r="CL246" s="44">
        <f>RawData!CJ244</f>
        <v>0</v>
      </c>
      <c r="CM246" s="43">
        <f>RawData!CI244</f>
        <v>0</v>
      </c>
      <c r="CN246" s="44">
        <f>RawData!CL244</f>
        <v>0</v>
      </c>
      <c r="CO246" s="43">
        <f>RawData!CK244</f>
        <v>0</v>
      </c>
      <c r="CP246" s="44">
        <f>RawData!CM244</f>
        <v>0</v>
      </c>
      <c r="CQ246" s="47">
        <f>RawData!CO244</f>
        <v>0</v>
      </c>
      <c r="CR246" s="44">
        <f>RawData!CP244</f>
        <v>0</v>
      </c>
      <c r="CS246" s="44">
        <f>RawData!DG244</f>
        <v>0</v>
      </c>
      <c r="CT246" s="43">
        <f>RawData!DJ244</f>
        <v>0</v>
      </c>
      <c r="CU246" s="43">
        <f>RawData!CQ244</f>
        <v>0</v>
      </c>
      <c r="CV246" s="47">
        <f>RawData!CR244</f>
        <v>0</v>
      </c>
      <c r="CW246" s="65">
        <f>RawData!DK244</f>
        <v>0</v>
      </c>
      <c r="CX246" s="65">
        <f>RawData!DL244</f>
        <v>0</v>
      </c>
      <c r="CY246" s="65">
        <f>RawData!DM244</f>
        <v>0</v>
      </c>
      <c r="CZ246" s="65">
        <f>RawData!DN244</f>
        <v>0</v>
      </c>
      <c r="DA246" s="65">
        <f>RawData!DO244</f>
        <v>0</v>
      </c>
      <c r="DB246" s="65">
        <f>RawData!DP244</f>
        <v>0</v>
      </c>
      <c r="DC246" s="65">
        <f>RawData!DQ244</f>
        <v>0</v>
      </c>
      <c r="DD246" s="65">
        <f>RawData!DR244</f>
        <v>0</v>
      </c>
      <c r="DE246" s="65">
        <f>RawData!DS244</f>
        <v>0</v>
      </c>
      <c r="DF246" s="65">
        <f>RawData!DT244</f>
        <v>0</v>
      </c>
      <c r="DG246" s="66">
        <f>RawData!DU244</f>
        <v>0</v>
      </c>
      <c r="DI246" s="21">
        <f t="shared" si="3"/>
        <v>0</v>
      </c>
    </row>
    <row r="247" spans="1:113" x14ac:dyDescent="0.2">
      <c r="A247" s="59">
        <f>RawData!CN245</f>
        <v>0</v>
      </c>
      <c r="B247" s="44">
        <f>RawData!CH245</f>
        <v>0</v>
      </c>
      <c r="C247" s="44">
        <f>RawData!CG245</f>
        <v>0</v>
      </c>
      <c r="D247" s="43">
        <f>RawData!CF245</f>
        <v>0</v>
      </c>
      <c r="E247" s="44">
        <f>RawData!CE245</f>
        <v>0</v>
      </c>
      <c r="F247" s="43">
        <f>RawData!CD245</f>
        <v>0</v>
      </c>
      <c r="G247" s="44">
        <f>RawData!CC245</f>
        <v>0</v>
      </c>
      <c r="H247" s="44">
        <f>RawData!CB245</f>
        <v>0</v>
      </c>
      <c r="I247" s="44">
        <f>RawData!CA245</f>
        <v>0</v>
      </c>
      <c r="J247" s="44">
        <f>RawData!BZ245</f>
        <v>0</v>
      </c>
      <c r="K247" s="40">
        <f>RawData!BY245</f>
        <v>0</v>
      </c>
      <c r="L247" s="40">
        <f>RawData!BX245</f>
        <v>0</v>
      </c>
      <c r="M247" s="40">
        <f>RawData!BW245</f>
        <v>0</v>
      </c>
      <c r="N247" s="40">
        <f>RawData!BV245</f>
        <v>0</v>
      </c>
      <c r="O247" s="36">
        <f>RawData!BU245</f>
        <v>0</v>
      </c>
      <c r="P247" s="36">
        <f>RawData!BT245</f>
        <v>0</v>
      </c>
      <c r="Q247" s="36">
        <f>RawData!BS245</f>
        <v>0</v>
      </c>
      <c r="R247" s="36">
        <f>RawData!BR245</f>
        <v>0</v>
      </c>
      <c r="S247" s="37">
        <f>RawData!BQ245</f>
        <v>0</v>
      </c>
      <c r="T247" s="37">
        <f>RawData!BP245</f>
        <v>0</v>
      </c>
      <c r="U247" s="38">
        <f>RawData!BO245</f>
        <v>0</v>
      </c>
      <c r="V247" s="38">
        <f>RawData!BN245</f>
        <v>0</v>
      </c>
      <c r="W247" s="39">
        <f>RawData!BM245</f>
        <v>0</v>
      </c>
      <c r="X247" s="39">
        <f>RawData!BL245</f>
        <v>0</v>
      </c>
      <c r="Y247" s="38">
        <f>RawData!BJ245</f>
        <v>0</v>
      </c>
      <c r="Z247" s="38">
        <f>RawData!BI245</f>
        <v>0</v>
      </c>
      <c r="AA247" s="40">
        <f>RawData!BH245</f>
        <v>0</v>
      </c>
      <c r="AB247" s="40">
        <f>RawData!BG245</f>
        <v>0</v>
      </c>
      <c r="AC247" s="40">
        <f>RawData!BF245</f>
        <v>0</v>
      </c>
      <c r="AD247" s="40">
        <f>RawData!BE245</f>
        <v>0</v>
      </c>
      <c r="AE247" s="40">
        <f>RawData!BD245</f>
        <v>0</v>
      </c>
      <c r="AF247" s="40">
        <f>RawData!BC245</f>
        <v>0</v>
      </c>
      <c r="AG247" s="41">
        <f>RawData!BB245</f>
        <v>0</v>
      </c>
      <c r="AH247" s="42">
        <f>RawData!DB245</f>
        <v>0</v>
      </c>
      <c r="AI247" s="41">
        <f>RawData!BA245</f>
        <v>0</v>
      </c>
      <c r="AJ247" s="43">
        <f>RawData!DA245</f>
        <v>0</v>
      </c>
      <c r="AK247" s="41">
        <f>RawData!AZ245</f>
        <v>0</v>
      </c>
      <c r="AL247" s="42">
        <f>RawData!DD245</f>
        <v>0</v>
      </c>
      <c r="AM247" s="44">
        <f>RawData!DC245</f>
        <v>0</v>
      </c>
      <c r="AN247" s="45">
        <f>RawData!BK245</f>
        <v>0</v>
      </c>
      <c r="AO247" s="44">
        <f>RawData!AY245</f>
        <v>0</v>
      </c>
      <c r="AP247" s="43">
        <f>RawData!DH245</f>
        <v>0</v>
      </c>
      <c r="AQ247" s="43">
        <f>RawData!DE245</f>
        <v>0</v>
      </c>
      <c r="AR247" s="42">
        <f>RawData!CZ245</f>
        <v>0</v>
      </c>
      <c r="AS247" s="44">
        <f>RawData!AX245</f>
        <v>0</v>
      </c>
      <c r="AT247" s="43">
        <f>RawData!CY245</f>
        <v>0</v>
      </c>
      <c r="AU247" s="44">
        <f>RawData!AW245</f>
        <v>0</v>
      </c>
      <c r="AV247" s="46">
        <f>RawData!O245</f>
        <v>0</v>
      </c>
      <c r="AW247" s="44">
        <f>RawData!AV245</f>
        <v>0</v>
      </c>
      <c r="AX247" s="44">
        <f>RawData!CW245</f>
        <v>0</v>
      </c>
      <c r="AY247" s="44">
        <f>RawData!AU245</f>
        <v>0</v>
      </c>
      <c r="AZ247" s="42">
        <f>RawData!CX245</f>
        <v>0</v>
      </c>
      <c r="BA247" s="44">
        <f>RawData!DF245</f>
        <v>0</v>
      </c>
      <c r="BB247" s="43">
        <f>RawData!DI245</f>
        <v>0</v>
      </c>
      <c r="BC247" s="44">
        <f>RawData!AT245</f>
        <v>0</v>
      </c>
      <c r="BD247" s="45">
        <f>RawData!AP245</f>
        <v>0</v>
      </c>
      <c r="BE247" s="44">
        <f>RawData!CS245</f>
        <v>0</v>
      </c>
      <c r="BF247" s="42">
        <f>RawData!CT245</f>
        <v>0</v>
      </c>
      <c r="BG247" s="41">
        <f>RawData!AS245</f>
        <v>0</v>
      </c>
      <c r="BH247" s="41">
        <f>RawData!CU245</f>
        <v>0</v>
      </c>
      <c r="BI247" s="41">
        <f>RawData!AR245</f>
        <v>0</v>
      </c>
      <c r="BJ247" s="42">
        <f>RawData!CV245</f>
        <v>0</v>
      </c>
      <c r="BK247" s="41">
        <f>RawData!AQ245</f>
        <v>0</v>
      </c>
      <c r="BL247" s="40">
        <f>RawData!AO245</f>
        <v>0</v>
      </c>
      <c r="BM247" s="40">
        <f>RawData!AN245</f>
        <v>0</v>
      </c>
      <c r="BN247" s="40">
        <f>RawData!AM245</f>
        <v>0</v>
      </c>
      <c r="BO247" s="40">
        <f>RawData!AL245</f>
        <v>0</v>
      </c>
      <c r="BP247" s="40">
        <f>RawData!AK245</f>
        <v>0</v>
      </c>
      <c r="BQ247" s="40">
        <f>RawData!AJ245</f>
        <v>0</v>
      </c>
      <c r="BR247" s="38">
        <f>RawData!AI245</f>
        <v>0</v>
      </c>
      <c r="BS247" s="38">
        <f>RawData!AH245</f>
        <v>0</v>
      </c>
      <c r="BT247" s="40">
        <f>RawData!AG245</f>
        <v>0</v>
      </c>
      <c r="BU247" s="39">
        <f>RawData!AF245</f>
        <v>0</v>
      </c>
      <c r="BV247" s="39">
        <f>RawData!AE245</f>
        <v>0</v>
      </c>
      <c r="BW247" s="38">
        <f>RawData!AD245</f>
        <v>0</v>
      </c>
      <c r="BX247" s="38">
        <f>RawData!AC245</f>
        <v>0</v>
      </c>
      <c r="BY247" s="37">
        <f>RawData!AB245</f>
        <v>0</v>
      </c>
      <c r="BZ247" s="37">
        <f>RawData!AA245</f>
        <v>0</v>
      </c>
      <c r="CA247" s="36">
        <f>RawData!Z245</f>
        <v>0</v>
      </c>
      <c r="CB247" s="36">
        <f>RawData!Y245</f>
        <v>0</v>
      </c>
      <c r="CC247" s="36">
        <f>RawData!X245</f>
        <v>0</v>
      </c>
      <c r="CD247" s="36">
        <f>RawData!W245</f>
        <v>0</v>
      </c>
      <c r="CE247" s="40">
        <f>RawData!V245</f>
        <v>0</v>
      </c>
      <c r="CF247" s="40">
        <f>RawData!U245</f>
        <v>0</v>
      </c>
      <c r="CG247" s="40">
        <f>RawData!T245</f>
        <v>0</v>
      </c>
      <c r="CH247" s="44">
        <f>RawData!S245</f>
        <v>0</v>
      </c>
      <c r="CI247" s="44">
        <f>RawData!R245</f>
        <v>0</v>
      </c>
      <c r="CJ247" s="44">
        <f>RawData!Q245</f>
        <v>0</v>
      </c>
      <c r="CK247" s="44">
        <f>RawData!P245</f>
        <v>0</v>
      </c>
      <c r="CL247" s="44">
        <f>RawData!CJ245</f>
        <v>0</v>
      </c>
      <c r="CM247" s="43">
        <f>RawData!CI245</f>
        <v>0</v>
      </c>
      <c r="CN247" s="44">
        <f>RawData!CL245</f>
        <v>0</v>
      </c>
      <c r="CO247" s="43">
        <f>RawData!CK245</f>
        <v>0</v>
      </c>
      <c r="CP247" s="44">
        <f>RawData!CM245</f>
        <v>0</v>
      </c>
      <c r="CQ247" s="47">
        <f>RawData!CO245</f>
        <v>0</v>
      </c>
      <c r="CR247" s="44">
        <f>RawData!CP245</f>
        <v>0</v>
      </c>
      <c r="CS247" s="44">
        <f>RawData!DG245</f>
        <v>0</v>
      </c>
      <c r="CT247" s="43">
        <f>RawData!DJ245</f>
        <v>0</v>
      </c>
      <c r="CU247" s="43">
        <f>RawData!CQ245</f>
        <v>0</v>
      </c>
      <c r="CV247" s="47">
        <f>RawData!CR245</f>
        <v>0</v>
      </c>
      <c r="CW247" s="65">
        <f>RawData!DK245</f>
        <v>0</v>
      </c>
      <c r="CX247" s="65">
        <f>RawData!DL245</f>
        <v>0</v>
      </c>
      <c r="CY247" s="65">
        <f>RawData!DM245</f>
        <v>0</v>
      </c>
      <c r="CZ247" s="65">
        <f>RawData!DN245</f>
        <v>0</v>
      </c>
      <c r="DA247" s="65">
        <f>RawData!DO245</f>
        <v>0</v>
      </c>
      <c r="DB247" s="65">
        <f>RawData!DP245</f>
        <v>0</v>
      </c>
      <c r="DC247" s="65">
        <f>RawData!DQ245</f>
        <v>0</v>
      </c>
      <c r="DD247" s="65">
        <f>RawData!DR245</f>
        <v>0</v>
      </c>
      <c r="DE247" s="65">
        <f>RawData!DS245</f>
        <v>0</v>
      </c>
      <c r="DF247" s="65">
        <f>RawData!DT245</f>
        <v>0</v>
      </c>
      <c r="DG247" s="66">
        <f>RawData!DU245</f>
        <v>0</v>
      </c>
      <c r="DI247" s="21">
        <f t="shared" si="3"/>
        <v>0</v>
      </c>
    </row>
    <row r="248" spans="1:113" x14ac:dyDescent="0.2">
      <c r="A248" s="59">
        <f>RawData!CN246</f>
        <v>0</v>
      </c>
      <c r="B248" s="44">
        <f>RawData!CH246</f>
        <v>0</v>
      </c>
      <c r="C248" s="44">
        <f>RawData!CG246</f>
        <v>0</v>
      </c>
      <c r="D248" s="43">
        <f>RawData!CF246</f>
        <v>0</v>
      </c>
      <c r="E248" s="44">
        <f>RawData!CE246</f>
        <v>0</v>
      </c>
      <c r="F248" s="43">
        <f>RawData!CD246</f>
        <v>0</v>
      </c>
      <c r="G248" s="44">
        <f>RawData!CC246</f>
        <v>0</v>
      </c>
      <c r="H248" s="44">
        <f>RawData!CB246</f>
        <v>0</v>
      </c>
      <c r="I248" s="44">
        <f>RawData!CA246</f>
        <v>0</v>
      </c>
      <c r="J248" s="44">
        <f>RawData!BZ246</f>
        <v>0</v>
      </c>
      <c r="K248" s="40">
        <f>RawData!BY246</f>
        <v>0</v>
      </c>
      <c r="L248" s="40">
        <f>RawData!BX246</f>
        <v>0</v>
      </c>
      <c r="M248" s="40">
        <f>RawData!BW246</f>
        <v>0</v>
      </c>
      <c r="N248" s="40">
        <f>RawData!BV246</f>
        <v>0</v>
      </c>
      <c r="O248" s="36">
        <f>RawData!BU246</f>
        <v>0</v>
      </c>
      <c r="P248" s="36">
        <f>RawData!BT246</f>
        <v>0</v>
      </c>
      <c r="Q248" s="36">
        <f>RawData!BS246</f>
        <v>0</v>
      </c>
      <c r="R248" s="36">
        <f>RawData!BR246</f>
        <v>0</v>
      </c>
      <c r="S248" s="37">
        <f>RawData!BQ246</f>
        <v>0</v>
      </c>
      <c r="T248" s="37">
        <f>RawData!BP246</f>
        <v>0</v>
      </c>
      <c r="U248" s="38">
        <f>RawData!BO246</f>
        <v>0</v>
      </c>
      <c r="V248" s="38">
        <f>RawData!BN246</f>
        <v>0</v>
      </c>
      <c r="W248" s="39">
        <f>RawData!BM246</f>
        <v>0</v>
      </c>
      <c r="X248" s="39">
        <f>RawData!BL246</f>
        <v>0</v>
      </c>
      <c r="Y248" s="38">
        <f>RawData!BJ246</f>
        <v>0</v>
      </c>
      <c r="Z248" s="38">
        <f>RawData!BI246</f>
        <v>0</v>
      </c>
      <c r="AA248" s="40">
        <f>RawData!BH246</f>
        <v>0</v>
      </c>
      <c r="AB248" s="40">
        <f>RawData!BG246</f>
        <v>0</v>
      </c>
      <c r="AC248" s="40">
        <f>RawData!BF246</f>
        <v>0</v>
      </c>
      <c r="AD248" s="40">
        <f>RawData!BE246</f>
        <v>0</v>
      </c>
      <c r="AE248" s="40">
        <f>RawData!BD246</f>
        <v>0</v>
      </c>
      <c r="AF248" s="40">
        <f>RawData!BC246</f>
        <v>0</v>
      </c>
      <c r="AG248" s="41">
        <f>RawData!BB246</f>
        <v>0</v>
      </c>
      <c r="AH248" s="42">
        <f>RawData!DB246</f>
        <v>0</v>
      </c>
      <c r="AI248" s="41">
        <f>RawData!BA246</f>
        <v>0</v>
      </c>
      <c r="AJ248" s="43">
        <f>RawData!DA246</f>
        <v>0</v>
      </c>
      <c r="AK248" s="41">
        <f>RawData!AZ246</f>
        <v>0</v>
      </c>
      <c r="AL248" s="42">
        <f>RawData!DD246</f>
        <v>0</v>
      </c>
      <c r="AM248" s="44">
        <f>RawData!DC246</f>
        <v>0</v>
      </c>
      <c r="AN248" s="45">
        <f>RawData!BK246</f>
        <v>0</v>
      </c>
      <c r="AO248" s="44">
        <f>RawData!AY246</f>
        <v>0</v>
      </c>
      <c r="AP248" s="43">
        <f>RawData!DH246</f>
        <v>0</v>
      </c>
      <c r="AQ248" s="43">
        <f>RawData!DE246</f>
        <v>0</v>
      </c>
      <c r="AR248" s="42">
        <f>RawData!CZ246</f>
        <v>0</v>
      </c>
      <c r="AS248" s="44">
        <f>RawData!AX246</f>
        <v>0</v>
      </c>
      <c r="AT248" s="43">
        <f>RawData!CY246</f>
        <v>0</v>
      </c>
      <c r="AU248" s="44">
        <f>RawData!AW246</f>
        <v>0</v>
      </c>
      <c r="AV248" s="46">
        <f>RawData!O246</f>
        <v>0</v>
      </c>
      <c r="AW248" s="44">
        <f>RawData!AV246</f>
        <v>0</v>
      </c>
      <c r="AX248" s="44">
        <f>RawData!CW246</f>
        <v>0</v>
      </c>
      <c r="AY248" s="44">
        <f>RawData!AU246</f>
        <v>0</v>
      </c>
      <c r="AZ248" s="42">
        <f>RawData!CX246</f>
        <v>0</v>
      </c>
      <c r="BA248" s="44">
        <f>RawData!DF246</f>
        <v>0</v>
      </c>
      <c r="BB248" s="43">
        <f>RawData!DI246</f>
        <v>0</v>
      </c>
      <c r="BC248" s="44">
        <f>RawData!AT246</f>
        <v>0</v>
      </c>
      <c r="BD248" s="45">
        <f>RawData!AP246</f>
        <v>0</v>
      </c>
      <c r="BE248" s="44">
        <f>RawData!CS246</f>
        <v>0</v>
      </c>
      <c r="BF248" s="42">
        <f>RawData!CT246</f>
        <v>0</v>
      </c>
      <c r="BG248" s="41">
        <f>RawData!AS246</f>
        <v>0</v>
      </c>
      <c r="BH248" s="41">
        <f>RawData!CU246</f>
        <v>0</v>
      </c>
      <c r="BI248" s="41">
        <f>RawData!AR246</f>
        <v>0</v>
      </c>
      <c r="BJ248" s="42">
        <f>RawData!CV246</f>
        <v>0</v>
      </c>
      <c r="BK248" s="41">
        <f>RawData!AQ246</f>
        <v>0</v>
      </c>
      <c r="BL248" s="40">
        <f>RawData!AO246</f>
        <v>0</v>
      </c>
      <c r="BM248" s="40">
        <f>RawData!AN246</f>
        <v>0</v>
      </c>
      <c r="BN248" s="40">
        <f>RawData!AM246</f>
        <v>0</v>
      </c>
      <c r="BO248" s="40">
        <f>RawData!AL246</f>
        <v>0</v>
      </c>
      <c r="BP248" s="40">
        <f>RawData!AK246</f>
        <v>0</v>
      </c>
      <c r="BQ248" s="40">
        <f>RawData!AJ246</f>
        <v>0</v>
      </c>
      <c r="BR248" s="38">
        <f>RawData!AI246</f>
        <v>0</v>
      </c>
      <c r="BS248" s="38">
        <f>RawData!AH246</f>
        <v>0</v>
      </c>
      <c r="BT248" s="40">
        <f>RawData!AG246</f>
        <v>0</v>
      </c>
      <c r="BU248" s="39">
        <f>RawData!AF246</f>
        <v>0</v>
      </c>
      <c r="BV248" s="39">
        <f>RawData!AE246</f>
        <v>0</v>
      </c>
      <c r="BW248" s="38">
        <f>RawData!AD246</f>
        <v>0</v>
      </c>
      <c r="BX248" s="38">
        <f>RawData!AC246</f>
        <v>0</v>
      </c>
      <c r="BY248" s="37">
        <f>RawData!AB246</f>
        <v>0</v>
      </c>
      <c r="BZ248" s="37">
        <f>RawData!AA246</f>
        <v>0</v>
      </c>
      <c r="CA248" s="36">
        <f>RawData!Z246</f>
        <v>0</v>
      </c>
      <c r="CB248" s="36">
        <f>RawData!Y246</f>
        <v>0</v>
      </c>
      <c r="CC248" s="36">
        <f>RawData!X246</f>
        <v>0</v>
      </c>
      <c r="CD248" s="36">
        <f>RawData!W246</f>
        <v>0</v>
      </c>
      <c r="CE248" s="40">
        <f>RawData!V246</f>
        <v>0</v>
      </c>
      <c r="CF248" s="40">
        <f>RawData!U246</f>
        <v>0</v>
      </c>
      <c r="CG248" s="40">
        <f>RawData!T246</f>
        <v>0</v>
      </c>
      <c r="CH248" s="44">
        <f>RawData!S246</f>
        <v>0</v>
      </c>
      <c r="CI248" s="44">
        <f>RawData!R246</f>
        <v>0</v>
      </c>
      <c r="CJ248" s="44">
        <f>RawData!Q246</f>
        <v>0</v>
      </c>
      <c r="CK248" s="44">
        <f>RawData!P246</f>
        <v>0</v>
      </c>
      <c r="CL248" s="44">
        <f>RawData!CJ246</f>
        <v>0</v>
      </c>
      <c r="CM248" s="43">
        <f>RawData!CI246</f>
        <v>0</v>
      </c>
      <c r="CN248" s="44">
        <f>RawData!CL246</f>
        <v>0</v>
      </c>
      <c r="CO248" s="43">
        <f>RawData!CK246</f>
        <v>0</v>
      </c>
      <c r="CP248" s="44">
        <f>RawData!CM246</f>
        <v>0</v>
      </c>
      <c r="CQ248" s="47">
        <f>RawData!CO246</f>
        <v>0</v>
      </c>
      <c r="CR248" s="44">
        <f>RawData!CP246</f>
        <v>0</v>
      </c>
      <c r="CS248" s="44">
        <f>RawData!DG246</f>
        <v>0</v>
      </c>
      <c r="CT248" s="43">
        <f>RawData!DJ246</f>
        <v>0</v>
      </c>
      <c r="CU248" s="43">
        <f>RawData!CQ246</f>
        <v>0</v>
      </c>
      <c r="CV248" s="47">
        <f>RawData!CR246</f>
        <v>0</v>
      </c>
      <c r="CW248" s="65">
        <f>RawData!DK246</f>
        <v>0</v>
      </c>
      <c r="CX248" s="65">
        <f>RawData!DL246</f>
        <v>0</v>
      </c>
      <c r="CY248" s="65">
        <f>RawData!DM246</f>
        <v>0</v>
      </c>
      <c r="CZ248" s="65">
        <f>RawData!DN246</f>
        <v>0</v>
      </c>
      <c r="DA248" s="65">
        <f>RawData!DO246</f>
        <v>0</v>
      </c>
      <c r="DB248" s="65">
        <f>RawData!DP246</f>
        <v>0</v>
      </c>
      <c r="DC248" s="65">
        <f>RawData!DQ246</f>
        <v>0</v>
      </c>
      <c r="DD248" s="65">
        <f>RawData!DR246</f>
        <v>0</v>
      </c>
      <c r="DE248" s="65">
        <f>RawData!DS246</f>
        <v>0</v>
      </c>
      <c r="DF248" s="65">
        <f>RawData!DT246</f>
        <v>0</v>
      </c>
      <c r="DG248" s="66">
        <f>RawData!DU246</f>
        <v>0</v>
      </c>
      <c r="DI248" s="21">
        <f t="shared" si="3"/>
        <v>0</v>
      </c>
    </row>
    <row r="249" spans="1:113" x14ac:dyDescent="0.2">
      <c r="A249" s="59">
        <f>RawData!CN247</f>
        <v>0</v>
      </c>
      <c r="B249" s="44">
        <f>RawData!CH247</f>
        <v>0</v>
      </c>
      <c r="C249" s="44">
        <f>RawData!CG247</f>
        <v>0</v>
      </c>
      <c r="D249" s="43">
        <f>RawData!CF247</f>
        <v>0</v>
      </c>
      <c r="E249" s="44">
        <f>RawData!CE247</f>
        <v>0</v>
      </c>
      <c r="F249" s="43">
        <f>RawData!CD247</f>
        <v>0</v>
      </c>
      <c r="G249" s="44">
        <f>RawData!CC247</f>
        <v>0</v>
      </c>
      <c r="H249" s="44">
        <f>RawData!CB247</f>
        <v>0</v>
      </c>
      <c r="I249" s="44">
        <f>RawData!CA247</f>
        <v>0</v>
      </c>
      <c r="J249" s="44">
        <f>RawData!BZ247</f>
        <v>0</v>
      </c>
      <c r="K249" s="40">
        <f>RawData!BY247</f>
        <v>0</v>
      </c>
      <c r="L249" s="40">
        <f>RawData!BX247</f>
        <v>0</v>
      </c>
      <c r="M249" s="40">
        <f>RawData!BW247</f>
        <v>0</v>
      </c>
      <c r="N249" s="40">
        <f>RawData!BV247</f>
        <v>0</v>
      </c>
      <c r="O249" s="36">
        <f>RawData!BU247</f>
        <v>0</v>
      </c>
      <c r="P249" s="36">
        <f>RawData!BT247</f>
        <v>0</v>
      </c>
      <c r="Q249" s="36">
        <f>RawData!BS247</f>
        <v>0</v>
      </c>
      <c r="R249" s="36">
        <f>RawData!BR247</f>
        <v>0</v>
      </c>
      <c r="S249" s="37">
        <f>RawData!BQ247</f>
        <v>0</v>
      </c>
      <c r="T249" s="37">
        <f>RawData!BP247</f>
        <v>0</v>
      </c>
      <c r="U249" s="38">
        <f>RawData!BO247</f>
        <v>0</v>
      </c>
      <c r="V249" s="38">
        <f>RawData!BN247</f>
        <v>0</v>
      </c>
      <c r="W249" s="39">
        <f>RawData!BM247</f>
        <v>0</v>
      </c>
      <c r="X249" s="39">
        <f>RawData!BL247</f>
        <v>0</v>
      </c>
      <c r="Y249" s="38">
        <f>RawData!BJ247</f>
        <v>0</v>
      </c>
      <c r="Z249" s="38">
        <f>RawData!BI247</f>
        <v>0</v>
      </c>
      <c r="AA249" s="40">
        <f>RawData!BH247</f>
        <v>0</v>
      </c>
      <c r="AB249" s="40">
        <f>RawData!BG247</f>
        <v>0</v>
      </c>
      <c r="AC249" s="40">
        <f>RawData!BF247</f>
        <v>0</v>
      </c>
      <c r="AD249" s="40">
        <f>RawData!BE247</f>
        <v>0</v>
      </c>
      <c r="AE249" s="40">
        <f>RawData!BD247</f>
        <v>0</v>
      </c>
      <c r="AF249" s="40">
        <f>RawData!BC247</f>
        <v>0</v>
      </c>
      <c r="AG249" s="41">
        <f>RawData!BB247</f>
        <v>0</v>
      </c>
      <c r="AH249" s="42">
        <f>RawData!DB247</f>
        <v>0</v>
      </c>
      <c r="AI249" s="41">
        <f>RawData!BA247</f>
        <v>0</v>
      </c>
      <c r="AJ249" s="43">
        <f>RawData!DA247</f>
        <v>0</v>
      </c>
      <c r="AK249" s="41">
        <f>RawData!AZ247</f>
        <v>0</v>
      </c>
      <c r="AL249" s="42">
        <f>RawData!DD247</f>
        <v>0</v>
      </c>
      <c r="AM249" s="44">
        <f>RawData!DC247</f>
        <v>0</v>
      </c>
      <c r="AN249" s="45">
        <f>RawData!BK247</f>
        <v>0</v>
      </c>
      <c r="AO249" s="44">
        <f>RawData!AY247</f>
        <v>0</v>
      </c>
      <c r="AP249" s="43">
        <f>RawData!DH247</f>
        <v>0</v>
      </c>
      <c r="AQ249" s="43">
        <f>RawData!DE247</f>
        <v>0</v>
      </c>
      <c r="AR249" s="42">
        <f>RawData!CZ247</f>
        <v>0</v>
      </c>
      <c r="AS249" s="44">
        <f>RawData!AX247</f>
        <v>0</v>
      </c>
      <c r="AT249" s="43">
        <f>RawData!CY247</f>
        <v>0</v>
      </c>
      <c r="AU249" s="44">
        <f>RawData!AW247</f>
        <v>0</v>
      </c>
      <c r="AV249" s="46">
        <f>RawData!O247</f>
        <v>0</v>
      </c>
      <c r="AW249" s="44">
        <f>RawData!AV247</f>
        <v>0</v>
      </c>
      <c r="AX249" s="44">
        <f>RawData!CW247</f>
        <v>0</v>
      </c>
      <c r="AY249" s="44">
        <f>RawData!AU247</f>
        <v>0</v>
      </c>
      <c r="AZ249" s="42">
        <f>RawData!CX247</f>
        <v>0</v>
      </c>
      <c r="BA249" s="44">
        <f>RawData!DF247</f>
        <v>0</v>
      </c>
      <c r="BB249" s="43">
        <f>RawData!DI247</f>
        <v>0</v>
      </c>
      <c r="BC249" s="44">
        <f>RawData!AT247</f>
        <v>0</v>
      </c>
      <c r="BD249" s="45">
        <f>RawData!AP247</f>
        <v>0</v>
      </c>
      <c r="BE249" s="44">
        <f>RawData!CS247</f>
        <v>0</v>
      </c>
      <c r="BF249" s="42">
        <f>RawData!CT247</f>
        <v>0</v>
      </c>
      <c r="BG249" s="41">
        <f>RawData!AS247</f>
        <v>0</v>
      </c>
      <c r="BH249" s="41">
        <f>RawData!CU247</f>
        <v>0</v>
      </c>
      <c r="BI249" s="41">
        <f>RawData!AR247</f>
        <v>0</v>
      </c>
      <c r="BJ249" s="42">
        <f>RawData!CV247</f>
        <v>0</v>
      </c>
      <c r="BK249" s="41">
        <f>RawData!AQ247</f>
        <v>0</v>
      </c>
      <c r="BL249" s="40">
        <f>RawData!AO247</f>
        <v>0</v>
      </c>
      <c r="BM249" s="40">
        <f>RawData!AN247</f>
        <v>0</v>
      </c>
      <c r="BN249" s="40">
        <f>RawData!AM247</f>
        <v>0</v>
      </c>
      <c r="BO249" s="40">
        <f>RawData!AL247</f>
        <v>0</v>
      </c>
      <c r="BP249" s="40">
        <f>RawData!AK247</f>
        <v>0</v>
      </c>
      <c r="BQ249" s="40">
        <f>RawData!AJ247</f>
        <v>0</v>
      </c>
      <c r="BR249" s="38">
        <f>RawData!AI247</f>
        <v>0</v>
      </c>
      <c r="BS249" s="38">
        <f>RawData!AH247</f>
        <v>0</v>
      </c>
      <c r="BT249" s="40">
        <f>RawData!AG247</f>
        <v>0</v>
      </c>
      <c r="BU249" s="39">
        <f>RawData!AF247</f>
        <v>0</v>
      </c>
      <c r="BV249" s="39">
        <f>RawData!AE247</f>
        <v>0</v>
      </c>
      <c r="BW249" s="38">
        <f>RawData!AD247</f>
        <v>0</v>
      </c>
      <c r="BX249" s="38">
        <f>RawData!AC247</f>
        <v>0</v>
      </c>
      <c r="BY249" s="37">
        <f>RawData!AB247</f>
        <v>0</v>
      </c>
      <c r="BZ249" s="37">
        <f>RawData!AA247</f>
        <v>0</v>
      </c>
      <c r="CA249" s="36">
        <f>RawData!Z247</f>
        <v>0</v>
      </c>
      <c r="CB249" s="36">
        <f>RawData!Y247</f>
        <v>0</v>
      </c>
      <c r="CC249" s="36">
        <f>RawData!X247</f>
        <v>0</v>
      </c>
      <c r="CD249" s="36">
        <f>RawData!W247</f>
        <v>0</v>
      </c>
      <c r="CE249" s="40">
        <f>RawData!V247</f>
        <v>0</v>
      </c>
      <c r="CF249" s="40">
        <f>RawData!U247</f>
        <v>0</v>
      </c>
      <c r="CG249" s="40">
        <f>RawData!T247</f>
        <v>0</v>
      </c>
      <c r="CH249" s="44">
        <f>RawData!S247</f>
        <v>0</v>
      </c>
      <c r="CI249" s="44">
        <f>RawData!R247</f>
        <v>0</v>
      </c>
      <c r="CJ249" s="44">
        <f>RawData!Q247</f>
        <v>0</v>
      </c>
      <c r="CK249" s="44">
        <f>RawData!P247</f>
        <v>0</v>
      </c>
      <c r="CL249" s="44">
        <f>RawData!CJ247</f>
        <v>0</v>
      </c>
      <c r="CM249" s="43">
        <f>RawData!CI247</f>
        <v>0</v>
      </c>
      <c r="CN249" s="44">
        <f>RawData!CL247</f>
        <v>0</v>
      </c>
      <c r="CO249" s="43">
        <f>RawData!CK247</f>
        <v>0</v>
      </c>
      <c r="CP249" s="44">
        <f>RawData!CM247</f>
        <v>0</v>
      </c>
      <c r="CQ249" s="47">
        <f>RawData!CO247</f>
        <v>0</v>
      </c>
      <c r="CR249" s="44">
        <f>RawData!CP247</f>
        <v>0</v>
      </c>
      <c r="CS249" s="44">
        <f>RawData!DG247</f>
        <v>0</v>
      </c>
      <c r="CT249" s="43">
        <f>RawData!DJ247</f>
        <v>0</v>
      </c>
      <c r="CU249" s="43">
        <f>RawData!CQ247</f>
        <v>0</v>
      </c>
      <c r="CV249" s="47">
        <f>RawData!CR247</f>
        <v>0</v>
      </c>
      <c r="CW249" s="65">
        <f>RawData!DK247</f>
        <v>0</v>
      </c>
      <c r="CX249" s="65">
        <f>RawData!DL247</f>
        <v>0</v>
      </c>
      <c r="CY249" s="65">
        <f>RawData!DM247</f>
        <v>0</v>
      </c>
      <c r="CZ249" s="65">
        <f>RawData!DN247</f>
        <v>0</v>
      </c>
      <c r="DA249" s="65">
        <f>RawData!DO247</f>
        <v>0</v>
      </c>
      <c r="DB249" s="65">
        <f>RawData!DP247</f>
        <v>0</v>
      </c>
      <c r="DC249" s="65">
        <f>RawData!DQ247</f>
        <v>0</v>
      </c>
      <c r="DD249" s="65">
        <f>RawData!DR247</f>
        <v>0</v>
      </c>
      <c r="DE249" s="65">
        <f>RawData!DS247</f>
        <v>0</v>
      </c>
      <c r="DF249" s="65">
        <f>RawData!DT247</f>
        <v>0</v>
      </c>
      <c r="DG249" s="66">
        <f>RawData!DU247</f>
        <v>0</v>
      </c>
      <c r="DI249" s="21">
        <f t="shared" si="3"/>
        <v>0</v>
      </c>
    </row>
    <row r="250" spans="1:113" ht="12" thickBot="1" x14ac:dyDescent="0.25">
      <c r="A250" s="60">
        <f>RawData!CN248</f>
        <v>0</v>
      </c>
      <c r="B250" s="56">
        <f>RawData!CH248</f>
        <v>0</v>
      </c>
      <c r="C250" s="56">
        <f>RawData!CG248</f>
        <v>0</v>
      </c>
      <c r="D250" s="55">
        <f>RawData!CF248</f>
        <v>0</v>
      </c>
      <c r="E250" s="56">
        <f>RawData!CE248</f>
        <v>0</v>
      </c>
      <c r="F250" s="55">
        <f>RawData!CD248</f>
        <v>0</v>
      </c>
      <c r="G250" s="56">
        <f>RawData!CC248</f>
        <v>0</v>
      </c>
      <c r="H250" s="56">
        <f>RawData!CB248</f>
        <v>0</v>
      </c>
      <c r="I250" s="56">
        <f>RawData!CA248</f>
        <v>0</v>
      </c>
      <c r="J250" s="56">
        <f>RawData!BZ248</f>
        <v>0</v>
      </c>
      <c r="K250" s="52">
        <f>RawData!BY248</f>
        <v>0</v>
      </c>
      <c r="L250" s="52">
        <f>RawData!BX248</f>
        <v>0</v>
      </c>
      <c r="M250" s="52">
        <f>RawData!BW248</f>
        <v>0</v>
      </c>
      <c r="N250" s="52">
        <f>RawData!BV248</f>
        <v>0</v>
      </c>
      <c r="O250" s="48">
        <f>RawData!BU248</f>
        <v>0</v>
      </c>
      <c r="P250" s="48">
        <f>RawData!BT248</f>
        <v>0</v>
      </c>
      <c r="Q250" s="48">
        <f>RawData!BS248</f>
        <v>0</v>
      </c>
      <c r="R250" s="48">
        <f>RawData!BR248</f>
        <v>0</v>
      </c>
      <c r="S250" s="49">
        <f>RawData!BQ248</f>
        <v>0</v>
      </c>
      <c r="T250" s="49">
        <f>RawData!BP248</f>
        <v>0</v>
      </c>
      <c r="U250" s="50">
        <f>RawData!BO248</f>
        <v>0</v>
      </c>
      <c r="V250" s="50">
        <f>RawData!BN248</f>
        <v>0</v>
      </c>
      <c r="W250" s="51">
        <f>RawData!BM248</f>
        <v>0</v>
      </c>
      <c r="X250" s="51">
        <f>RawData!BL248</f>
        <v>0</v>
      </c>
      <c r="Y250" s="50">
        <f>RawData!BJ248</f>
        <v>0</v>
      </c>
      <c r="Z250" s="50">
        <f>RawData!BI248</f>
        <v>0</v>
      </c>
      <c r="AA250" s="52">
        <f>RawData!BH248</f>
        <v>0</v>
      </c>
      <c r="AB250" s="52">
        <f>RawData!BG248</f>
        <v>0</v>
      </c>
      <c r="AC250" s="52">
        <f>RawData!BF248</f>
        <v>0</v>
      </c>
      <c r="AD250" s="52">
        <f>RawData!BE248</f>
        <v>0</v>
      </c>
      <c r="AE250" s="52">
        <f>RawData!BD248</f>
        <v>0</v>
      </c>
      <c r="AF250" s="52">
        <f>RawData!BC248</f>
        <v>0</v>
      </c>
      <c r="AG250" s="53">
        <f>RawData!BB248</f>
        <v>0</v>
      </c>
      <c r="AH250" s="54">
        <f>RawData!DB248</f>
        <v>0</v>
      </c>
      <c r="AI250" s="53">
        <f>RawData!BA248</f>
        <v>0</v>
      </c>
      <c r="AJ250" s="55">
        <f>RawData!DA248</f>
        <v>0</v>
      </c>
      <c r="AK250" s="53">
        <f>RawData!AZ248</f>
        <v>0</v>
      </c>
      <c r="AL250" s="54">
        <f>RawData!DD248</f>
        <v>0</v>
      </c>
      <c r="AM250" s="56">
        <f>RawData!DC248</f>
        <v>0</v>
      </c>
      <c r="AN250" s="57">
        <f>RawData!BK248</f>
        <v>0</v>
      </c>
      <c r="AO250" s="56">
        <f>RawData!AY248</f>
        <v>0</v>
      </c>
      <c r="AP250" s="55">
        <f>RawData!DH248</f>
        <v>0</v>
      </c>
      <c r="AQ250" s="55">
        <f>RawData!DE248</f>
        <v>0</v>
      </c>
      <c r="AR250" s="54">
        <f>RawData!CZ248</f>
        <v>0</v>
      </c>
      <c r="AS250" s="56">
        <f>RawData!AX248</f>
        <v>0</v>
      </c>
      <c r="AT250" s="55">
        <f>RawData!CY248</f>
        <v>0</v>
      </c>
      <c r="AU250" s="56">
        <f>RawData!AW248</f>
        <v>0</v>
      </c>
      <c r="AV250" s="46">
        <f>RawData!O248</f>
        <v>0</v>
      </c>
      <c r="AW250" s="56">
        <f>RawData!AV248</f>
        <v>0</v>
      </c>
      <c r="AX250" s="56">
        <f>RawData!CW248</f>
        <v>0</v>
      </c>
      <c r="AY250" s="56">
        <f>RawData!AU248</f>
        <v>0</v>
      </c>
      <c r="AZ250" s="54">
        <f>RawData!CX248</f>
        <v>0</v>
      </c>
      <c r="BA250" s="56">
        <f>RawData!DF248</f>
        <v>0</v>
      </c>
      <c r="BB250" s="55">
        <f>RawData!DI248</f>
        <v>0</v>
      </c>
      <c r="BC250" s="56">
        <f>RawData!AT248</f>
        <v>0</v>
      </c>
      <c r="BD250" s="57">
        <f>RawData!AP248</f>
        <v>0</v>
      </c>
      <c r="BE250" s="56">
        <f>RawData!CS248</f>
        <v>0</v>
      </c>
      <c r="BF250" s="54">
        <f>RawData!CT248</f>
        <v>0</v>
      </c>
      <c r="BG250" s="53">
        <f>RawData!AS248</f>
        <v>0</v>
      </c>
      <c r="BH250" s="41">
        <f>RawData!CU248</f>
        <v>0</v>
      </c>
      <c r="BI250" s="53">
        <f>RawData!AR248</f>
        <v>0</v>
      </c>
      <c r="BJ250" s="54">
        <f>RawData!CV248</f>
        <v>0</v>
      </c>
      <c r="BK250" s="53">
        <f>RawData!AQ248</f>
        <v>0</v>
      </c>
      <c r="BL250" s="52">
        <f>RawData!AO248</f>
        <v>0</v>
      </c>
      <c r="BM250" s="52">
        <f>RawData!AN248</f>
        <v>0</v>
      </c>
      <c r="BN250" s="52">
        <f>RawData!AM248</f>
        <v>0</v>
      </c>
      <c r="BO250" s="52">
        <f>RawData!AL248</f>
        <v>0</v>
      </c>
      <c r="BP250" s="52">
        <f>RawData!AK248</f>
        <v>0</v>
      </c>
      <c r="BQ250" s="52">
        <f>RawData!AJ248</f>
        <v>0</v>
      </c>
      <c r="BR250" s="50">
        <f>RawData!AI248</f>
        <v>0</v>
      </c>
      <c r="BS250" s="50">
        <f>RawData!AH248</f>
        <v>0</v>
      </c>
      <c r="BT250" s="52">
        <f>RawData!AG248</f>
        <v>0</v>
      </c>
      <c r="BU250" s="51">
        <f>RawData!AF248</f>
        <v>0</v>
      </c>
      <c r="BV250" s="51">
        <f>RawData!AE248</f>
        <v>0</v>
      </c>
      <c r="BW250" s="50">
        <f>RawData!AD248</f>
        <v>0</v>
      </c>
      <c r="BX250" s="50">
        <f>RawData!AC248</f>
        <v>0</v>
      </c>
      <c r="BY250" s="49">
        <f>RawData!AB248</f>
        <v>0</v>
      </c>
      <c r="BZ250" s="49">
        <f>RawData!AA248</f>
        <v>0</v>
      </c>
      <c r="CA250" s="48">
        <f>RawData!Z248</f>
        <v>0</v>
      </c>
      <c r="CB250" s="48">
        <f>RawData!Y248</f>
        <v>0</v>
      </c>
      <c r="CC250" s="48">
        <f>RawData!X248</f>
        <v>0</v>
      </c>
      <c r="CD250" s="48">
        <f>RawData!W248</f>
        <v>0</v>
      </c>
      <c r="CE250" s="52">
        <f>RawData!V248</f>
        <v>0</v>
      </c>
      <c r="CF250" s="52">
        <f>RawData!U248</f>
        <v>0</v>
      </c>
      <c r="CG250" s="52">
        <f>RawData!T248</f>
        <v>0</v>
      </c>
      <c r="CH250" s="56">
        <f>RawData!S248</f>
        <v>0</v>
      </c>
      <c r="CI250" s="56">
        <f>RawData!R248</f>
        <v>0</v>
      </c>
      <c r="CJ250" s="56">
        <f>RawData!Q248</f>
        <v>0</v>
      </c>
      <c r="CK250" s="56">
        <f>RawData!P248</f>
        <v>0</v>
      </c>
      <c r="CL250" s="56">
        <f>RawData!CJ248</f>
        <v>0</v>
      </c>
      <c r="CM250" s="55">
        <f>RawData!CI248</f>
        <v>0</v>
      </c>
      <c r="CN250" s="56">
        <f>RawData!CL248</f>
        <v>0</v>
      </c>
      <c r="CO250" s="55">
        <f>RawData!CK248</f>
        <v>0</v>
      </c>
      <c r="CP250" s="56">
        <f>RawData!CM248</f>
        <v>0</v>
      </c>
      <c r="CQ250" s="58">
        <f>RawData!CO248</f>
        <v>0</v>
      </c>
      <c r="CR250" s="56">
        <f>RawData!CP248</f>
        <v>0</v>
      </c>
      <c r="CS250" s="56">
        <f>RawData!DG248</f>
        <v>0</v>
      </c>
      <c r="CT250" s="55">
        <f>RawData!DJ248</f>
        <v>0</v>
      </c>
      <c r="CU250" s="55">
        <f>RawData!CQ248</f>
        <v>0</v>
      </c>
      <c r="CV250" s="47">
        <f>RawData!CR248</f>
        <v>0</v>
      </c>
      <c r="CW250" s="65">
        <f>RawData!DK248</f>
        <v>0</v>
      </c>
      <c r="CX250" s="65">
        <f>RawData!DL248</f>
        <v>0</v>
      </c>
      <c r="CY250" s="65">
        <f>RawData!DM248</f>
        <v>0</v>
      </c>
      <c r="CZ250" s="65">
        <f>RawData!DN248</f>
        <v>0</v>
      </c>
      <c r="DA250" s="65">
        <f>RawData!DO248</f>
        <v>0</v>
      </c>
      <c r="DB250" s="65">
        <f>RawData!DP248</f>
        <v>0</v>
      </c>
      <c r="DC250" s="65">
        <f>RawData!DQ248</f>
        <v>0</v>
      </c>
      <c r="DD250" s="65">
        <f>RawData!DR248</f>
        <v>0</v>
      </c>
      <c r="DE250" s="65">
        <f>RawData!DS248</f>
        <v>0</v>
      </c>
      <c r="DF250" s="65">
        <f>RawData!DT248</f>
        <v>0</v>
      </c>
      <c r="DG250" s="66">
        <f>RawData!DU248</f>
        <v>0</v>
      </c>
      <c r="DI250" s="21">
        <f t="shared" si="3"/>
        <v>0</v>
      </c>
    </row>
    <row r="251" spans="1:113" x14ac:dyDescent="0.2">
      <c r="DI251" s="21"/>
    </row>
    <row r="252" spans="1:113" x14ac:dyDescent="0.2">
      <c r="DI252" s="21"/>
    </row>
    <row r="253" spans="1:113" x14ac:dyDescent="0.2">
      <c r="DI253" s="21"/>
    </row>
    <row r="254" spans="1:113" x14ac:dyDescent="0.2">
      <c r="DI254" s="21"/>
    </row>
    <row r="255" spans="1:113" x14ac:dyDescent="0.2">
      <c r="DI255" s="21"/>
    </row>
    <row r="256" spans="1:113" x14ac:dyDescent="0.2">
      <c r="DI256" s="21"/>
    </row>
    <row r="257" spans="113:113" x14ac:dyDescent="0.2">
      <c r="DI257" s="21"/>
    </row>
    <row r="258" spans="113:113" x14ac:dyDescent="0.2">
      <c r="DI258" s="21"/>
    </row>
    <row r="259" spans="113:113" x14ac:dyDescent="0.2">
      <c r="DI259" s="21"/>
    </row>
    <row r="260" spans="113:113" x14ac:dyDescent="0.2">
      <c r="DI260" s="21"/>
    </row>
    <row r="261" spans="113:113" x14ac:dyDescent="0.2">
      <c r="DI261" s="21"/>
    </row>
    <row r="262" spans="113:113" x14ac:dyDescent="0.2">
      <c r="DI262" s="21"/>
    </row>
    <row r="263" spans="113:113" x14ac:dyDescent="0.2">
      <c r="DI263" s="21"/>
    </row>
    <row r="264" spans="113:113" x14ac:dyDescent="0.2">
      <c r="DI264" s="21"/>
    </row>
    <row r="265" spans="113:113" x14ac:dyDescent="0.2">
      <c r="DI265" s="21"/>
    </row>
    <row r="266" spans="113:113" x14ac:dyDescent="0.2">
      <c r="DI266" s="21"/>
    </row>
    <row r="267" spans="113:113" x14ac:dyDescent="0.2">
      <c r="DI267" s="21"/>
    </row>
    <row r="268" spans="113:113" x14ac:dyDescent="0.2">
      <c r="DI268" s="21"/>
    </row>
    <row r="269" spans="113:113" x14ac:dyDescent="0.2">
      <c r="DI269" s="21"/>
    </row>
    <row r="270" spans="113:113" x14ac:dyDescent="0.2">
      <c r="DI270" s="21"/>
    </row>
    <row r="271" spans="113:113" x14ac:dyDescent="0.2">
      <c r="DI271" s="21"/>
    </row>
    <row r="272" spans="113:113" x14ac:dyDescent="0.2">
      <c r="DI272" s="21"/>
    </row>
    <row r="273" spans="113:113" x14ac:dyDescent="0.2">
      <c r="DI273" s="21"/>
    </row>
    <row r="274" spans="113:113" x14ac:dyDescent="0.2">
      <c r="DI274" s="21"/>
    </row>
    <row r="275" spans="113:113" x14ac:dyDescent="0.2">
      <c r="DI275" s="21"/>
    </row>
    <row r="276" spans="113:113" x14ac:dyDescent="0.2">
      <c r="DI276" s="21"/>
    </row>
    <row r="277" spans="113:113" x14ac:dyDescent="0.2">
      <c r="DI277" s="21"/>
    </row>
    <row r="278" spans="113:113" x14ac:dyDescent="0.2">
      <c r="DI278" s="21"/>
    </row>
    <row r="279" spans="113:113" x14ac:dyDescent="0.2">
      <c r="DI279" s="21"/>
    </row>
    <row r="280" spans="113:113" x14ac:dyDescent="0.2">
      <c r="DI280" s="21"/>
    </row>
    <row r="281" spans="113:113" x14ac:dyDescent="0.2">
      <c r="DI281" s="21"/>
    </row>
    <row r="282" spans="113:113" x14ac:dyDescent="0.2">
      <c r="DI282" s="21"/>
    </row>
    <row r="283" spans="113:113" x14ac:dyDescent="0.2">
      <c r="DI283" s="21"/>
    </row>
    <row r="284" spans="113:113" x14ac:dyDescent="0.2">
      <c r="DI284" s="21"/>
    </row>
    <row r="285" spans="113:113" x14ac:dyDescent="0.2">
      <c r="DI285" s="21"/>
    </row>
    <row r="286" spans="113:113" x14ac:dyDescent="0.2">
      <c r="DI286" s="21"/>
    </row>
    <row r="287" spans="113:113" x14ac:dyDescent="0.2">
      <c r="DI287" s="21"/>
    </row>
    <row r="288" spans="113:113" x14ac:dyDescent="0.2">
      <c r="DI288" s="21"/>
    </row>
    <row r="289" spans="113:113" x14ac:dyDescent="0.2">
      <c r="DI289" s="21"/>
    </row>
    <row r="290" spans="113:113" x14ac:dyDescent="0.2">
      <c r="DI290" s="21"/>
    </row>
    <row r="291" spans="113:113" x14ac:dyDescent="0.2">
      <c r="DI291" s="21"/>
    </row>
    <row r="292" spans="113:113" x14ac:dyDescent="0.2">
      <c r="DI292" s="21"/>
    </row>
    <row r="293" spans="113:113" x14ac:dyDescent="0.2">
      <c r="DI293" s="21"/>
    </row>
    <row r="294" spans="113:113" x14ac:dyDescent="0.2">
      <c r="DI294" s="21"/>
    </row>
    <row r="295" spans="113:113" x14ac:dyDescent="0.2">
      <c r="DI295" s="21"/>
    </row>
    <row r="296" spans="113:113" x14ac:dyDescent="0.2">
      <c r="DI296" s="21"/>
    </row>
    <row r="297" spans="113:113" x14ac:dyDescent="0.2">
      <c r="DI297" s="21"/>
    </row>
    <row r="298" spans="113:113" x14ac:dyDescent="0.2">
      <c r="DI298" s="21"/>
    </row>
    <row r="299" spans="113:113" x14ac:dyDescent="0.2">
      <c r="DI299" s="21"/>
    </row>
    <row r="300" spans="113:113" x14ac:dyDescent="0.2">
      <c r="DI300" s="21"/>
    </row>
    <row r="301" spans="113:113" x14ac:dyDescent="0.2">
      <c r="DI301" s="21"/>
    </row>
    <row r="302" spans="113:113" x14ac:dyDescent="0.2">
      <c r="DI302" s="21"/>
    </row>
    <row r="303" spans="113:113" x14ac:dyDescent="0.2">
      <c r="DI303" s="21"/>
    </row>
    <row r="304" spans="113:113" x14ac:dyDescent="0.2">
      <c r="DI304" s="21"/>
    </row>
    <row r="305" spans="113:113" x14ac:dyDescent="0.2">
      <c r="DI305" s="21"/>
    </row>
    <row r="306" spans="113:113" x14ac:dyDescent="0.2">
      <c r="DI306" s="21"/>
    </row>
    <row r="307" spans="113:113" x14ac:dyDescent="0.2">
      <c r="DI307" s="21"/>
    </row>
    <row r="308" spans="113:113" x14ac:dyDescent="0.2">
      <c r="DI308" s="21"/>
    </row>
    <row r="309" spans="113:113" x14ac:dyDescent="0.2">
      <c r="DI309" s="21"/>
    </row>
    <row r="310" spans="113:113" x14ac:dyDescent="0.2">
      <c r="DI310" s="21"/>
    </row>
    <row r="311" spans="113:113" x14ac:dyDescent="0.2">
      <c r="DI311" s="21"/>
    </row>
    <row r="312" spans="113:113" x14ac:dyDescent="0.2">
      <c r="DI312" s="21"/>
    </row>
    <row r="313" spans="113:113" x14ac:dyDescent="0.2">
      <c r="DI313" s="21"/>
    </row>
    <row r="314" spans="113:113" x14ac:dyDescent="0.2">
      <c r="DI314" s="21"/>
    </row>
    <row r="315" spans="113:113" x14ac:dyDescent="0.2">
      <c r="DI315" s="21"/>
    </row>
    <row r="316" spans="113:113" x14ac:dyDescent="0.2">
      <c r="DI316" s="21"/>
    </row>
    <row r="317" spans="113:113" x14ac:dyDescent="0.2">
      <c r="DI317" s="21"/>
    </row>
    <row r="318" spans="113:113" x14ac:dyDescent="0.2">
      <c r="DI318" s="21"/>
    </row>
    <row r="319" spans="113:113" x14ac:dyDescent="0.2">
      <c r="DI319" s="21"/>
    </row>
    <row r="320" spans="113:113" x14ac:dyDescent="0.2">
      <c r="DI320" s="21"/>
    </row>
    <row r="321" spans="113:113" x14ac:dyDescent="0.2">
      <c r="DI321" s="21"/>
    </row>
    <row r="322" spans="113:113" x14ac:dyDescent="0.2">
      <c r="DI322" s="21"/>
    </row>
    <row r="323" spans="113:113" x14ac:dyDescent="0.2">
      <c r="DI323" s="21"/>
    </row>
    <row r="324" spans="113:113" x14ac:dyDescent="0.2">
      <c r="DI324" s="21"/>
    </row>
    <row r="325" spans="113:113" x14ac:dyDescent="0.2">
      <c r="DI325" s="21"/>
    </row>
    <row r="326" spans="113:113" x14ac:dyDescent="0.2">
      <c r="DI326" s="21"/>
    </row>
    <row r="327" spans="113:113" x14ac:dyDescent="0.2">
      <c r="DI327" s="21"/>
    </row>
    <row r="328" spans="113:113" x14ac:dyDescent="0.2">
      <c r="DI328" s="21"/>
    </row>
    <row r="329" spans="113:113" x14ac:dyDescent="0.2">
      <c r="DI329" s="21"/>
    </row>
    <row r="330" spans="113:113" x14ac:dyDescent="0.2">
      <c r="DI330" s="21"/>
    </row>
    <row r="331" spans="113:113" x14ac:dyDescent="0.2">
      <c r="DI331" s="21"/>
    </row>
    <row r="332" spans="113:113" x14ac:dyDescent="0.2">
      <c r="DI332" s="21"/>
    </row>
    <row r="333" spans="113:113" x14ac:dyDescent="0.2">
      <c r="DI333" s="21"/>
    </row>
    <row r="334" spans="113:113" x14ac:dyDescent="0.2">
      <c r="DI334" s="21"/>
    </row>
    <row r="335" spans="113:113" x14ac:dyDescent="0.2">
      <c r="DI335" s="21"/>
    </row>
    <row r="336" spans="113:113" x14ac:dyDescent="0.2">
      <c r="DI336" s="21"/>
    </row>
    <row r="337" spans="48:113" x14ac:dyDescent="0.2">
      <c r="DI337" s="21"/>
    </row>
    <row r="338" spans="48:113" x14ac:dyDescent="0.2">
      <c r="DI338" s="21"/>
    </row>
    <row r="339" spans="48:113" x14ac:dyDescent="0.2">
      <c r="DI339" s="21"/>
    </row>
    <row r="340" spans="48:113" x14ac:dyDescent="0.2">
      <c r="DI340" s="21"/>
    </row>
    <row r="341" spans="48:113" x14ac:dyDescent="0.2">
      <c r="DI341" s="21"/>
    </row>
    <row r="342" spans="48:113" x14ac:dyDescent="0.2">
      <c r="DI342" s="21"/>
    </row>
    <row r="343" spans="48:113" x14ac:dyDescent="0.2">
      <c r="AV343" s="9" t="s">
        <v>320</v>
      </c>
      <c r="DI343" s="21"/>
    </row>
    <row r="344" spans="48:113" x14ac:dyDescent="0.2">
      <c r="DI344" s="21"/>
    </row>
    <row r="345" spans="48:113" x14ac:dyDescent="0.2">
      <c r="DI345" s="21"/>
    </row>
    <row r="346" spans="48:113" x14ac:dyDescent="0.2">
      <c r="DI346" s="21"/>
    </row>
    <row r="347" spans="48:113" x14ac:dyDescent="0.2">
      <c r="DI347" s="21"/>
    </row>
    <row r="348" spans="48:113" x14ac:dyDescent="0.2">
      <c r="DI348" s="21"/>
    </row>
    <row r="349" spans="48:113" x14ac:dyDescent="0.2">
      <c r="DI349" s="21"/>
    </row>
    <row r="350" spans="48:113" x14ac:dyDescent="0.2">
      <c r="DI350" s="21"/>
    </row>
    <row r="351" spans="48:113" x14ac:dyDescent="0.2">
      <c r="DI351" s="21"/>
    </row>
    <row r="352" spans="48:113" x14ac:dyDescent="0.2">
      <c r="DI352" s="21"/>
    </row>
    <row r="353" spans="113:113" x14ac:dyDescent="0.2">
      <c r="DI353" s="21"/>
    </row>
    <row r="354" spans="113:113" x14ac:dyDescent="0.2">
      <c r="DI354" s="21"/>
    </row>
    <row r="355" spans="113:113" x14ac:dyDescent="0.2">
      <c r="DI355" s="21"/>
    </row>
    <row r="356" spans="113:113" x14ac:dyDescent="0.2">
      <c r="DI356" s="21"/>
    </row>
    <row r="357" spans="113:113" x14ac:dyDescent="0.2">
      <c r="DI357" s="21"/>
    </row>
    <row r="358" spans="113:113" x14ac:dyDescent="0.2">
      <c r="DI358" s="21"/>
    </row>
    <row r="359" spans="113:113" x14ac:dyDescent="0.2">
      <c r="DI359" s="21"/>
    </row>
    <row r="360" spans="113:113" x14ac:dyDescent="0.2">
      <c r="DI360" s="21"/>
    </row>
    <row r="361" spans="113:113" x14ac:dyDescent="0.2">
      <c r="DI361" s="21"/>
    </row>
    <row r="362" spans="113:113" x14ac:dyDescent="0.2">
      <c r="DI362" s="21"/>
    </row>
    <row r="363" spans="113:113" x14ac:dyDescent="0.2">
      <c r="DI363" s="21"/>
    </row>
    <row r="364" spans="113:113" x14ac:dyDescent="0.2">
      <c r="DI364" s="21"/>
    </row>
    <row r="365" spans="113:113" x14ac:dyDescent="0.2">
      <c r="DI365" s="21"/>
    </row>
    <row r="366" spans="113:113" x14ac:dyDescent="0.2">
      <c r="DI366" s="21"/>
    </row>
    <row r="367" spans="113:113" x14ac:dyDescent="0.2">
      <c r="DI367" s="21"/>
    </row>
    <row r="368" spans="113:113" x14ac:dyDescent="0.2">
      <c r="DI368" s="21"/>
    </row>
    <row r="369" spans="113:113" x14ac:dyDescent="0.2">
      <c r="DI369" s="21"/>
    </row>
    <row r="370" spans="113:113" x14ac:dyDescent="0.2">
      <c r="DI370" s="21"/>
    </row>
    <row r="371" spans="113:113" x14ac:dyDescent="0.2">
      <c r="DI371" s="21"/>
    </row>
    <row r="372" spans="113:113" x14ac:dyDescent="0.2">
      <c r="DI372" s="21"/>
    </row>
    <row r="373" spans="113:113" x14ac:dyDescent="0.2">
      <c r="DI373" s="21"/>
    </row>
    <row r="374" spans="113:113" x14ac:dyDescent="0.2">
      <c r="DI374" s="21"/>
    </row>
    <row r="375" spans="113:113" x14ac:dyDescent="0.2">
      <c r="DI375" s="21"/>
    </row>
    <row r="376" spans="113:113" x14ac:dyDescent="0.2">
      <c r="DI376" s="21"/>
    </row>
    <row r="377" spans="113:113" x14ac:dyDescent="0.2">
      <c r="DI377" s="21"/>
    </row>
    <row r="378" spans="113:113" x14ac:dyDescent="0.2">
      <c r="DI378" s="21"/>
    </row>
    <row r="379" spans="113:113" x14ac:dyDescent="0.2">
      <c r="DI379" s="21"/>
    </row>
    <row r="380" spans="113:113" x14ac:dyDescent="0.2">
      <c r="DI380" s="21"/>
    </row>
    <row r="381" spans="113:113" x14ac:dyDescent="0.2">
      <c r="DI381" s="21"/>
    </row>
  </sheetData>
  <mergeCells count="4">
    <mergeCell ref="AU1:AW1"/>
    <mergeCell ref="AU2:AW2"/>
    <mergeCell ref="AH1:AT1"/>
    <mergeCell ref="AD2:AT2"/>
  </mergeCells>
  <conditionalFormatting sqref="AU4:AU250">
    <cfRule type="expression" dxfId="23" priority="46">
      <formula>$AP4="G"</formula>
    </cfRule>
    <cfRule type="expression" dxfId="22" priority="56">
      <formula>$AP4="R"</formula>
    </cfRule>
  </conditionalFormatting>
  <conditionalFormatting sqref="AW4:AW250">
    <cfRule type="expression" dxfId="21" priority="44">
      <formula>$BB4="R"</formula>
    </cfRule>
    <cfRule type="expression" dxfId="20" priority="45">
      <formula>$BB4="G"</formula>
    </cfRule>
  </conditionalFormatting>
  <conditionalFormatting sqref="BI4:BI250 AI4:AI250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{A4921790-D5B8-4418-A40B-7422739DB9F5}</x14:id>
        </ext>
      </extLst>
    </cfRule>
  </conditionalFormatting>
  <conditionalFormatting sqref="BJ4:BJ250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{517FF467-4EC5-40A6-8763-A0CB258D985B}</x14:id>
        </ext>
      </extLst>
    </cfRule>
  </conditionalFormatting>
  <conditionalFormatting sqref="BG4:BH250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{B85CB500-656C-414C-BF3D-97C8F17739EE}</x14:id>
        </ext>
      </extLst>
    </cfRule>
  </conditionalFormatting>
  <conditionalFormatting sqref="AX4:AX25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4:AY2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:AZ2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4:BC250">
    <cfRule type="colorScale" priority="33">
      <colorScale>
        <cfvo type="min"/>
        <cfvo type="max"/>
        <color rgb="FFFCFCFF"/>
        <color rgb="FF63BE7B"/>
      </colorScale>
    </cfRule>
  </conditionalFormatting>
  <conditionalFormatting sqref="BD4:BD250">
    <cfRule type="colorScale" priority="32">
      <colorScale>
        <cfvo type="min"/>
        <cfvo type="max"/>
        <color rgb="FF63BE7B"/>
        <color rgb="FFFCFCFF"/>
      </colorScale>
    </cfRule>
  </conditionalFormatting>
  <conditionalFormatting sqref="BE4:BE250">
    <cfRule type="colorScale" priority="31">
      <colorScale>
        <cfvo type="min"/>
        <cfvo type="max"/>
        <color rgb="FFFCFCFF"/>
        <color rgb="FF63BE7B"/>
      </colorScale>
    </cfRule>
  </conditionalFormatting>
  <conditionalFormatting sqref="BF4:BF250">
    <cfRule type="colorScale" priority="30">
      <colorScale>
        <cfvo type="min"/>
        <cfvo type="max"/>
        <color rgb="FFFCFCFF"/>
        <color rgb="FF63BE7B"/>
      </colorScale>
    </cfRule>
  </conditionalFormatting>
  <conditionalFormatting sqref="BK4:BK250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{E39BF8EE-C691-4129-A4DF-3BA7910900C7}</x14:id>
        </ext>
      </extLst>
    </cfRule>
  </conditionalFormatting>
  <conditionalFormatting sqref="BM4:BQ250 BS4:CG250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Y250 AE4:AE250 AA4:AC25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4:AG250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{E6527646-4CF1-4544-93D5-589276C6347D}</x14:id>
        </ext>
      </extLst>
    </cfRule>
  </conditionalFormatting>
  <conditionalFormatting sqref="AH4:AH250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{FEB76D2C-A878-4904-BAB9-6138D8B7EA06}</x14:id>
        </ext>
      </extLst>
    </cfRule>
  </conditionalFormatting>
  <conditionalFormatting sqref="AJ4:AJ250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{359E4B4E-F666-485B-B68C-52EAE6C7257D}</x14:id>
        </ext>
      </extLst>
    </cfRule>
  </conditionalFormatting>
  <conditionalFormatting sqref="AK4:AK250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{6E3390DF-73FD-4272-BF91-96A4E4AEC1E0}</x14:id>
        </ext>
      </extLst>
    </cfRule>
  </conditionalFormatting>
  <conditionalFormatting sqref="AL4:AL250">
    <cfRule type="colorScale" priority="22">
      <colorScale>
        <cfvo type="min"/>
        <cfvo type="max"/>
        <color rgb="FFFCFCFF"/>
        <color rgb="FF63BE7B"/>
      </colorScale>
    </cfRule>
  </conditionalFormatting>
  <conditionalFormatting sqref="AM4:AO250">
    <cfRule type="colorScale" priority="21">
      <colorScale>
        <cfvo type="min"/>
        <cfvo type="max"/>
        <color rgb="FFFCFCFF"/>
        <color rgb="FF63BE7B"/>
      </colorScale>
    </cfRule>
  </conditionalFormatting>
  <conditionalFormatting sqref="AT4:AT250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4:AS25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4:AR25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4:CP25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:J25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4:A250">
    <cfRule type="iconSet" priority="15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Q4:CQ250">
    <cfRule type="iconSet" priority="14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R4">
    <cfRule type="expression" dxfId="19" priority="12">
      <formula>$CT$4="R"</formula>
    </cfRule>
    <cfRule type="expression" dxfId="18" priority="13">
      <formula>$CT$4="G"</formula>
    </cfRule>
  </conditionalFormatting>
  <conditionalFormatting sqref="AH1:AT1">
    <cfRule type="expression" dxfId="17" priority="10">
      <formula>$CT$4="G"</formula>
    </cfRule>
    <cfRule type="expression" dxfId="16" priority="11">
      <formula>$CT$4="R"</formula>
    </cfRule>
  </conditionalFormatting>
  <conditionalFormatting sqref="AF4:AF250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4:BL250 BU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2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4:Z250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4:BR2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:CQ250">
    <cfRule type="expression" dxfId="15" priority="74">
      <formula>$AV4&gt;=$DI$3</formula>
    </cfRule>
  </conditionalFormatting>
  <conditionalFormatting sqref="A4:CQ250">
    <cfRule type="expression" dxfId="14" priority="75">
      <formula>$AV4=$DI$3</formula>
    </cfRule>
  </conditionalFormatting>
  <conditionalFormatting sqref="A4:AU250">
    <cfRule type="expression" dxfId="13" priority="76">
      <formula>$AV4&lt;=$DI$3</formula>
    </cfRule>
  </conditionalFormatting>
  <conditionalFormatting sqref="CV4:CV250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V4:CV250">
    <cfRule type="expression" dxfId="12" priority="2">
      <formula>$AV4&gt;=$DI$3</formula>
    </cfRule>
  </conditionalFormatting>
  <conditionalFormatting sqref="CV4:CV250">
    <cfRule type="expression" dxfId="11" priority="3">
      <formula>$AV4=$DI$3</formula>
    </cfRule>
  </conditionalFormatting>
  <pageMargins left="0.7" right="0.7" top="0.75" bottom="0.75" header="0.3" footer="0.3"/>
  <pageSetup orientation="portrait" r:id="rId1"/>
  <ignoredErrors>
    <ignoredError xmlns:x16r3="http://schemas.microsoft.com/office/spreadsheetml/2018/08/main" sqref="DG5:DG250" x16r3:misleadingFormat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921790-D5B8-4418-A40B-7422739DB9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BI4:BI250 AI4:AI250</xm:sqref>
        </x14:conditionalFormatting>
        <x14:conditionalFormatting xmlns:xm="http://schemas.microsoft.com/office/excel/2006/main">
          <x14:cfRule type="dataBar" id="{517FF467-4EC5-40A6-8763-A0CB258D98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BJ4:BJ250</xm:sqref>
        </x14:conditionalFormatting>
        <x14:conditionalFormatting xmlns:xm="http://schemas.microsoft.com/office/excel/2006/main">
          <x14:cfRule type="dataBar" id="{B85CB500-656C-414C-BF3D-97C8F17739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BG4:BH250</xm:sqref>
        </x14:conditionalFormatting>
        <x14:conditionalFormatting xmlns:xm="http://schemas.microsoft.com/office/excel/2006/main">
          <x14:cfRule type="dataBar" id="{E39BF8EE-C691-4129-A4DF-3BA7910900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BK4:BK250</xm:sqref>
        </x14:conditionalFormatting>
        <x14:conditionalFormatting xmlns:xm="http://schemas.microsoft.com/office/excel/2006/main">
          <x14:cfRule type="dataBar" id="{E6527646-4CF1-4544-93D5-589276C634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AG4:AG250</xm:sqref>
        </x14:conditionalFormatting>
        <x14:conditionalFormatting xmlns:xm="http://schemas.microsoft.com/office/excel/2006/main">
          <x14:cfRule type="dataBar" id="{FEB76D2C-A878-4904-BAB9-6138D8B7EA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AH4:AH250</xm:sqref>
        </x14:conditionalFormatting>
        <x14:conditionalFormatting xmlns:xm="http://schemas.microsoft.com/office/excel/2006/main">
          <x14:cfRule type="dataBar" id="{359E4B4E-F666-485B-B68C-52EAE6C725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AJ4:AJ250</xm:sqref>
        </x14:conditionalFormatting>
        <x14:conditionalFormatting xmlns:xm="http://schemas.microsoft.com/office/excel/2006/main">
          <x14:cfRule type="dataBar" id="{6E3390DF-73FD-4272-BF91-96A4E4AEC1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AK4:AK250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B15C25-7AFF-484E-9C34-45D13C125401}">
          <x14:formula1>
            <xm:f>RawData!$G$2:$G$210</xm:f>
          </x14:formula1>
          <xm:sqref>AU1:AW1</xm:sqref>
        </x14:dataValidation>
        <x14:dataValidation type="list" allowBlank="1" showInputMessage="1" showErrorMessage="1" xr:uid="{C5E8FFF6-0E85-471C-888A-4B7FF5DD1249}">
          <x14:formula1>
            <xm:f>RawData!$H$2:$H$30</xm:f>
          </x14:formula1>
          <xm:sqref>AU2:AW2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6DBDA-E0E4-42A8-9233-3D63A46138DA}">
  <sheetPr codeName="Sheet4"/>
  <dimension ref="A1:BQ381"/>
  <sheetViews>
    <sheetView topLeftCell="V1" zoomScaleNormal="100" workbookViewId="0">
      <pane xSplit="10035" ySplit="1050" topLeftCell="AF110" activePane="bottomRight"/>
      <selection activeCell="T2" sqref="T2:AD2"/>
      <selection pane="topRight" activeCell="AE1" sqref="AE1"/>
      <selection pane="bottomLeft" activeCell="AD130" sqref="AD130"/>
      <selection pane="bottomRight" activeCell="AF129" sqref="AF129"/>
    </sheetView>
  </sheetViews>
  <sheetFormatPr defaultColWidth="7.7109375" defaultRowHeight="11.25" x14ac:dyDescent="0.2"/>
  <cols>
    <col min="1" max="1" width="22" style="9" bestFit="1" customWidth="1"/>
    <col min="2" max="2" width="14.5703125" style="9" bestFit="1" customWidth="1"/>
    <col min="3" max="3" width="9.7109375" style="9" bestFit="1" customWidth="1"/>
    <col min="4" max="4" width="10.28515625" style="9" bestFit="1" customWidth="1"/>
    <col min="5" max="5" width="9.7109375" style="9" bestFit="1" customWidth="1"/>
    <col min="6" max="6" width="11" style="9" bestFit="1" customWidth="1"/>
    <col min="7" max="7" width="8.42578125" style="9" bestFit="1" customWidth="1"/>
    <col min="8" max="9" width="7.5703125" style="9" bestFit="1" customWidth="1"/>
    <col min="10" max="10" width="8" style="9" bestFit="1" customWidth="1"/>
    <col min="11" max="12" width="9.140625" style="9" bestFit="1" customWidth="1"/>
    <col min="13" max="13" width="8.140625" style="9" bestFit="1" customWidth="1"/>
    <col min="14" max="14" width="9.28515625" style="9" bestFit="1" customWidth="1"/>
    <col min="15" max="16" width="9.5703125" style="9" bestFit="1" customWidth="1"/>
    <col min="17" max="17" width="8.42578125" style="9" bestFit="1" customWidth="1"/>
    <col min="18" max="18" width="9.42578125" style="9" bestFit="1" customWidth="1"/>
    <col min="19" max="19" width="7.28515625" style="9" bestFit="1" customWidth="1"/>
    <col min="20" max="20" width="8" style="9" bestFit="1" customWidth="1"/>
    <col min="21" max="21" width="7.7109375" style="9"/>
    <col min="22" max="22" width="10.5703125" style="9" bestFit="1" customWidth="1"/>
    <col min="23" max="23" width="11" style="9" bestFit="1" customWidth="1"/>
    <col min="24" max="24" width="8.85546875" style="9" bestFit="1" customWidth="1"/>
    <col min="25" max="25" width="8.42578125" style="9" bestFit="1" customWidth="1"/>
    <col min="26" max="26" width="10.85546875" style="9" bestFit="1" customWidth="1"/>
    <col min="27" max="27" width="8.7109375" style="9" bestFit="1" customWidth="1"/>
    <col min="28" max="28" width="6.28515625" style="9" bestFit="1" customWidth="1"/>
    <col min="29" max="29" width="9.7109375" style="9" bestFit="1" customWidth="1"/>
    <col min="30" max="30" width="9.85546875" style="9" bestFit="1" customWidth="1"/>
    <col min="31" max="31" width="7.5703125" style="9" bestFit="1" customWidth="1"/>
    <col min="32" max="32" width="9.7109375" style="9" customWidth="1"/>
    <col min="33" max="33" width="7.5703125" style="9" bestFit="1" customWidth="1"/>
    <col min="34" max="34" width="9.85546875" style="9" bestFit="1" customWidth="1"/>
    <col min="35" max="35" width="9.7109375" style="9" bestFit="1" customWidth="1"/>
    <col min="36" max="36" width="6.28515625" style="9" bestFit="1" customWidth="1"/>
    <col min="37" max="37" width="8.7109375" style="9" bestFit="1" customWidth="1"/>
    <col min="38" max="38" width="10.85546875" style="9" bestFit="1" customWidth="1"/>
    <col min="39" max="39" width="8.42578125" style="9" bestFit="1" customWidth="1"/>
    <col min="40" max="40" width="8.85546875" style="9" bestFit="1" customWidth="1"/>
    <col min="41" max="41" width="11" style="9" bestFit="1" customWidth="1"/>
    <col min="42" max="42" width="10.5703125" style="9" bestFit="1" customWidth="1"/>
    <col min="43" max="43" width="7.7109375" style="9"/>
    <col min="44" max="44" width="8" style="9" bestFit="1" customWidth="1"/>
    <col min="45" max="45" width="7.28515625" style="9" bestFit="1" customWidth="1"/>
    <col min="46" max="46" width="9.42578125" style="9" bestFit="1" customWidth="1"/>
    <col min="47" max="47" width="8.42578125" style="9" bestFit="1" customWidth="1"/>
    <col min="48" max="48" width="8.7109375" style="9" bestFit="1" customWidth="1"/>
    <col min="49" max="49" width="8.28515625" style="9" bestFit="1" customWidth="1"/>
    <col min="50" max="50" width="9.28515625" style="9" bestFit="1" customWidth="1"/>
    <col min="51" max="51" width="7.85546875" style="9" bestFit="1" customWidth="1"/>
    <col min="52" max="52" width="12.5703125" style="9" bestFit="1" customWidth="1"/>
    <col min="53" max="53" width="9.140625" style="9" bestFit="1" customWidth="1"/>
    <col min="54" max="54" width="7.7109375" style="9"/>
    <col min="55" max="56" width="7.5703125" style="9" bestFit="1" customWidth="1"/>
    <col min="57" max="57" width="7.7109375" style="9"/>
    <col min="58" max="58" width="9" style="9" bestFit="1" customWidth="1"/>
    <col min="59" max="59" width="10.140625" style="9" bestFit="1" customWidth="1"/>
    <col min="60" max="60" width="8.85546875" style="9" bestFit="1" customWidth="1"/>
    <col min="61" max="61" width="10" style="9" bestFit="1" customWidth="1"/>
    <col min="62" max="62" width="13.7109375" style="9" bestFit="1" customWidth="1"/>
    <col min="63" max="63" width="21.7109375" style="9" bestFit="1" customWidth="1"/>
    <col min="64" max="64" width="10" style="9" bestFit="1" customWidth="1"/>
    <col min="65" max="65" width="24.140625" style="9" bestFit="1" customWidth="1"/>
    <col min="66" max="66" width="8.7109375" style="8" bestFit="1" customWidth="1"/>
    <col min="67" max="67" width="8.42578125" style="8" bestFit="1" customWidth="1"/>
    <col min="68" max="68" width="7.7109375" style="8"/>
    <col min="69" max="69" width="8.7109375" style="8" bestFit="1" customWidth="1"/>
    <col min="70" max="16384" width="7.7109375" style="8"/>
  </cols>
  <sheetData>
    <row r="1" spans="1:69" s="9" customFormat="1" ht="12.75" x14ac:dyDescent="0.2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4"/>
      <c r="W1" s="73"/>
      <c r="X1" s="73"/>
      <c r="Y1" s="73"/>
      <c r="Z1" s="73"/>
      <c r="AA1" s="73"/>
      <c r="AB1" s="73"/>
      <c r="AC1" s="73"/>
      <c r="AD1" s="73"/>
      <c r="AE1" s="70" t="str">
        <f>OptionChain!AU1</f>
        <v>BANKNIFTY</v>
      </c>
      <c r="AF1" s="70"/>
      <c r="AG1" s="70"/>
      <c r="AH1" s="23"/>
      <c r="AI1" s="23"/>
      <c r="AJ1" s="23"/>
      <c r="AK1" s="23"/>
      <c r="AL1" s="23"/>
      <c r="AM1" s="26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</row>
    <row r="2" spans="1:69" ht="13.5" thickBot="1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74" t="str">
        <f ca="1">"  Time Now  -  "&amp;TEXT(NOW(),"dd mmmm yyyy hh:mm:ss")</f>
        <v xml:space="preserve">  Time Now  -  10 August 2022 18:18:23</v>
      </c>
      <c r="U2" s="74"/>
      <c r="V2" s="74"/>
      <c r="W2" s="74"/>
      <c r="X2" s="74"/>
      <c r="Y2" s="74"/>
      <c r="Z2" s="74"/>
      <c r="AA2" s="74"/>
      <c r="AB2" s="74"/>
      <c r="AC2" s="74"/>
      <c r="AD2" s="74"/>
      <c r="AE2" s="71">
        <f>OptionChain!AU2</f>
        <v>44784</v>
      </c>
      <c r="AF2" s="71"/>
      <c r="AG2" s="71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67"/>
      <c r="BL2" s="25"/>
      <c r="BM2" s="25"/>
      <c r="BN2" s="25"/>
      <c r="BO2" s="25"/>
    </row>
    <row r="3" spans="1:69" ht="11.25" customHeight="1" thickBot="1" x14ac:dyDescent="0.25">
      <c r="A3" s="19" t="s">
        <v>285</v>
      </c>
      <c r="B3" s="20" t="s">
        <v>279</v>
      </c>
      <c r="C3" s="20" t="s">
        <v>278</v>
      </c>
      <c r="D3" s="20" t="s">
        <v>277</v>
      </c>
      <c r="E3" s="20" t="s">
        <v>276</v>
      </c>
      <c r="F3" s="20" t="s">
        <v>275</v>
      </c>
      <c r="G3" s="20" t="s">
        <v>274</v>
      </c>
      <c r="H3" s="20" t="s">
        <v>273</v>
      </c>
      <c r="I3" s="20" t="s">
        <v>272</v>
      </c>
      <c r="J3" s="20" t="s">
        <v>271</v>
      </c>
      <c r="K3" s="20" t="s">
        <v>269</v>
      </c>
      <c r="L3" s="20" t="s">
        <v>267</v>
      </c>
      <c r="M3" s="20" t="s">
        <v>265</v>
      </c>
      <c r="N3" s="33" t="s">
        <v>263</v>
      </c>
      <c r="O3" s="33" t="s">
        <v>261</v>
      </c>
      <c r="P3" s="33" t="s">
        <v>259</v>
      </c>
      <c r="Q3" s="33" t="s">
        <v>257</v>
      </c>
      <c r="R3" s="33" t="s">
        <v>254</v>
      </c>
      <c r="S3" s="33" t="s">
        <v>252</v>
      </c>
      <c r="T3" s="33" t="s">
        <v>250</v>
      </c>
      <c r="U3" s="33" t="s">
        <v>248</v>
      </c>
      <c r="V3" s="33" t="s">
        <v>247</v>
      </c>
      <c r="W3" s="33" t="s">
        <v>246</v>
      </c>
      <c r="X3" s="33" t="s">
        <v>298</v>
      </c>
      <c r="Y3" s="33" t="s">
        <v>245</v>
      </c>
      <c r="Z3" s="33" t="s">
        <v>300</v>
      </c>
      <c r="AA3" s="33" t="s">
        <v>256</v>
      </c>
      <c r="AB3" s="33" t="s">
        <v>244</v>
      </c>
      <c r="AC3" s="33" t="s">
        <v>311</v>
      </c>
      <c r="AD3" s="33" t="s">
        <v>296</v>
      </c>
      <c r="AE3" s="33" t="s">
        <v>1</v>
      </c>
      <c r="AF3" s="34" t="s">
        <v>242</v>
      </c>
      <c r="AG3" s="33" t="s">
        <v>0</v>
      </c>
      <c r="AH3" s="33" t="s">
        <v>294</v>
      </c>
      <c r="AI3" s="33" t="s">
        <v>310</v>
      </c>
      <c r="AJ3" s="33" t="s">
        <v>240</v>
      </c>
      <c r="AK3" s="33" t="s">
        <v>236</v>
      </c>
      <c r="AL3" s="33" t="s">
        <v>290</v>
      </c>
      <c r="AM3" s="33" t="s">
        <v>239</v>
      </c>
      <c r="AN3" s="33" t="s">
        <v>292</v>
      </c>
      <c r="AO3" s="33" t="s">
        <v>238</v>
      </c>
      <c r="AP3" s="33" t="s">
        <v>237</v>
      </c>
      <c r="AQ3" s="33" t="s">
        <v>235</v>
      </c>
      <c r="AR3" s="33" t="s">
        <v>233</v>
      </c>
      <c r="AS3" s="33" t="s">
        <v>231</v>
      </c>
      <c r="AT3" s="33" t="s">
        <v>229</v>
      </c>
      <c r="AU3" s="33" t="s">
        <v>227</v>
      </c>
      <c r="AV3" s="33" t="s">
        <v>225</v>
      </c>
      <c r="AW3" s="33" t="s">
        <v>223</v>
      </c>
      <c r="AX3" s="33" t="s">
        <v>221</v>
      </c>
      <c r="AY3" s="33" t="s">
        <v>219</v>
      </c>
      <c r="AZ3" s="33" t="s">
        <v>217</v>
      </c>
      <c r="BA3" s="33" t="s">
        <v>215</v>
      </c>
      <c r="BB3" s="33" t="s">
        <v>213</v>
      </c>
      <c r="BC3" s="33" t="s">
        <v>212</v>
      </c>
      <c r="BD3" s="33" t="s">
        <v>211</v>
      </c>
      <c r="BE3" s="33" t="s">
        <v>210</v>
      </c>
      <c r="BF3" s="33" t="s">
        <v>281</v>
      </c>
      <c r="BG3" s="33" t="s">
        <v>280</v>
      </c>
      <c r="BH3" s="33" t="s">
        <v>283</v>
      </c>
      <c r="BI3" s="33" t="s">
        <v>282</v>
      </c>
      <c r="BJ3" s="33" t="s">
        <v>284</v>
      </c>
      <c r="BK3" s="33" t="s">
        <v>286</v>
      </c>
      <c r="BL3" s="33" t="s">
        <v>287</v>
      </c>
      <c r="BM3" s="33" t="s">
        <v>289</v>
      </c>
      <c r="BN3" s="33" t="s">
        <v>309</v>
      </c>
      <c r="BO3" s="35" t="s">
        <v>308</v>
      </c>
      <c r="BQ3" s="22" t="e" cm="1">
        <f t="array" ref="BQ3">INDEX($AF$4:$AF$250,MATCH(SMALL(ABS($BQ$4:$BQ$250),COUNTIF($BQ$4:$BQ$250,0)+1),$BQ$4:$BQ$250,0))</f>
        <v>#NUM!</v>
      </c>
    </row>
    <row r="4" spans="1:69" x14ac:dyDescent="0.2">
      <c r="A4" s="59">
        <f>RawData!P736</f>
        <v>0</v>
      </c>
      <c r="B4" s="44">
        <f>RawData!Q736</f>
        <v>0</v>
      </c>
      <c r="C4" s="44">
        <f>RawData!R736</f>
        <v>0</v>
      </c>
      <c r="D4" s="63">
        <f>RawData!S736</f>
        <v>0</v>
      </c>
      <c r="E4" s="44">
        <f>RawData!T736</f>
        <v>0</v>
      </c>
      <c r="F4" s="63">
        <f>RawData!U736</f>
        <v>0</v>
      </c>
      <c r="G4" s="44">
        <f>RawData!V736</f>
        <v>0</v>
      </c>
      <c r="H4" s="44">
        <f>RawData!W736</f>
        <v>0</v>
      </c>
      <c r="I4" s="44">
        <f>RawData!X736</f>
        <v>0</v>
      </c>
      <c r="J4" s="44">
        <f>RawData!Y736</f>
        <v>0</v>
      </c>
      <c r="K4" s="40">
        <f>RawData!Z736</f>
        <v>0</v>
      </c>
      <c r="L4" s="40">
        <f>RawData!AA736</f>
        <v>0</v>
      </c>
      <c r="M4" s="36">
        <f>RawData!AB736</f>
        <v>0</v>
      </c>
      <c r="N4" s="36">
        <f>RawData!AC736</f>
        <v>0</v>
      </c>
      <c r="O4" s="37">
        <f>RawData!AD736</f>
        <v>0</v>
      </c>
      <c r="P4" s="38">
        <f>RawData!AE736</f>
        <v>0</v>
      </c>
      <c r="Q4" s="39">
        <f>RawData!AF736</f>
        <v>0</v>
      </c>
      <c r="R4" s="38">
        <f>RawData!AG736</f>
        <v>0</v>
      </c>
      <c r="S4" s="40">
        <f>RawData!AH736</f>
        <v>0</v>
      </c>
      <c r="T4" s="40">
        <f>RawData!AI736</f>
        <v>0</v>
      </c>
      <c r="U4" s="40">
        <f>RawData!AJ736</f>
        <v>0</v>
      </c>
      <c r="V4" s="41">
        <f>RawData!AK736</f>
        <v>0</v>
      </c>
      <c r="W4" s="41">
        <f>RawData!AL736</f>
        <v>0</v>
      </c>
      <c r="X4" s="43">
        <f>RawData!CA736</f>
        <v>0</v>
      </c>
      <c r="Y4" s="41">
        <f>RawData!AM736</f>
        <v>0</v>
      </c>
      <c r="Z4" s="44">
        <f>RawData!CB736</f>
        <v>0</v>
      </c>
      <c r="AA4" s="44">
        <f>RawData!AN736</f>
        <v>0</v>
      </c>
      <c r="AB4" s="44">
        <f>RawData!AO736</f>
        <v>0</v>
      </c>
      <c r="AC4" s="44">
        <f>RawData!AP736</f>
        <v>0</v>
      </c>
      <c r="AD4" s="63">
        <f>RawData!BZ736</f>
        <v>0</v>
      </c>
      <c r="AE4" s="44">
        <f>RawData!AQ736</f>
        <v>0</v>
      </c>
      <c r="AF4" s="46">
        <f>RawData!O736</f>
        <v>0</v>
      </c>
      <c r="AG4" s="44">
        <f>RawData!AR736</f>
        <v>0</v>
      </c>
      <c r="AH4" s="44">
        <f>RawData!BY736</f>
        <v>0</v>
      </c>
      <c r="AI4" s="44">
        <f>RawData!AS736</f>
        <v>0</v>
      </c>
      <c r="AJ4" s="44">
        <f>RawData!AT736</f>
        <v>0</v>
      </c>
      <c r="AK4" s="44">
        <f>RawData!AU736</f>
        <v>0</v>
      </c>
      <c r="AL4" s="44">
        <f>RawData!BW736</f>
        <v>0</v>
      </c>
      <c r="AM4" s="41">
        <f>RawData!AV736</f>
        <v>0</v>
      </c>
      <c r="AN4" s="41">
        <f>RawData!BX736</f>
        <v>0</v>
      </c>
      <c r="AO4" s="41">
        <f>RawData!AW736</f>
        <v>0</v>
      </c>
      <c r="AP4" s="41">
        <f>RawData!AX736</f>
        <v>0</v>
      </c>
      <c r="AQ4" s="40">
        <f>RawData!AY736</f>
        <v>0</v>
      </c>
      <c r="AR4" s="40">
        <f>RawData!AZ736</f>
        <v>0</v>
      </c>
      <c r="AS4" s="40">
        <f>RawData!BA736</f>
        <v>0</v>
      </c>
      <c r="AT4" s="38">
        <f>RawData!BB736</f>
        <v>0</v>
      </c>
      <c r="AU4" s="40">
        <f>RawData!BC736</f>
        <v>0</v>
      </c>
      <c r="AV4" s="40">
        <f>RawData!BD736</f>
        <v>0</v>
      </c>
      <c r="AW4" s="38">
        <f>RawData!BE736</f>
        <v>0</v>
      </c>
      <c r="AX4" s="37">
        <f>RawData!BF736</f>
        <v>0</v>
      </c>
      <c r="AY4" s="36">
        <f>RawData!BG736</f>
        <v>0</v>
      </c>
      <c r="AZ4" s="36">
        <f>RawData!BH736</f>
        <v>0</v>
      </c>
      <c r="BA4" s="40">
        <f>RawData!BI736</f>
        <v>0</v>
      </c>
      <c r="BB4" s="44">
        <f>RawData!BJ736</f>
        <v>0</v>
      </c>
      <c r="BC4" s="44">
        <f>RawData!BK736</f>
        <v>0</v>
      </c>
      <c r="BD4" s="44">
        <f>RawData!BL736</f>
        <v>0</v>
      </c>
      <c r="BE4" s="44">
        <f>RawData!BM736</f>
        <v>0</v>
      </c>
      <c r="BF4" s="44">
        <f>RawData!BN736</f>
        <v>0</v>
      </c>
      <c r="BG4" s="63">
        <f>RawData!BO736</f>
        <v>0</v>
      </c>
      <c r="BH4" s="44">
        <f>RawData!BP736</f>
        <v>0</v>
      </c>
      <c r="BI4" s="63">
        <f>RawData!BQ736</f>
        <v>0</v>
      </c>
      <c r="BJ4" s="44">
        <f>RawData!BR736</f>
        <v>0</v>
      </c>
      <c r="BK4" s="47">
        <f>RawData!BS736</f>
        <v>0</v>
      </c>
      <c r="BL4" s="44">
        <f>RawData!BT736</f>
        <v>0</v>
      </c>
      <c r="BM4" s="47">
        <f>RawData!BV736</f>
        <v>0</v>
      </c>
      <c r="BN4" s="65">
        <f>RawData!CC736</f>
        <v>0</v>
      </c>
      <c r="BO4" s="66">
        <f>RawData!CD736</f>
        <v>0</v>
      </c>
      <c r="BQ4" s="21">
        <f t="shared" ref="BQ4:BQ67" si="0">IFERROR(IF($AF4&gt;0, ABS($AF4-$BL$4),0),0)</f>
        <v>0</v>
      </c>
    </row>
    <row r="5" spans="1:69" x14ac:dyDescent="0.2">
      <c r="A5" s="59">
        <f>RawData!P737</f>
        <v>0</v>
      </c>
      <c r="B5" s="44">
        <f>RawData!Q737</f>
        <v>0</v>
      </c>
      <c r="C5" s="44">
        <f>RawData!R737</f>
        <v>0</v>
      </c>
      <c r="D5" s="63">
        <f>RawData!S737</f>
        <v>0</v>
      </c>
      <c r="E5" s="44">
        <f>RawData!T737</f>
        <v>0</v>
      </c>
      <c r="F5" s="63">
        <f>RawData!U737</f>
        <v>0</v>
      </c>
      <c r="G5" s="44">
        <f>RawData!V737</f>
        <v>0</v>
      </c>
      <c r="H5" s="44">
        <f>RawData!W737</f>
        <v>0</v>
      </c>
      <c r="I5" s="44">
        <f>RawData!X737</f>
        <v>0</v>
      </c>
      <c r="J5" s="44">
        <f>RawData!Y737</f>
        <v>0</v>
      </c>
      <c r="K5" s="40">
        <f>RawData!Z737</f>
        <v>0</v>
      </c>
      <c r="L5" s="40">
        <f>RawData!AA737</f>
        <v>0</v>
      </c>
      <c r="M5" s="36">
        <f>RawData!AB737</f>
        <v>0</v>
      </c>
      <c r="N5" s="36">
        <f>RawData!AC737</f>
        <v>0</v>
      </c>
      <c r="O5" s="37">
        <f>RawData!AD737</f>
        <v>0</v>
      </c>
      <c r="P5" s="38">
        <f>RawData!AE737</f>
        <v>0</v>
      </c>
      <c r="Q5" s="39">
        <f>RawData!AF737</f>
        <v>0</v>
      </c>
      <c r="R5" s="38">
        <f>RawData!AG737</f>
        <v>0</v>
      </c>
      <c r="S5" s="40">
        <f>RawData!AH737</f>
        <v>0</v>
      </c>
      <c r="T5" s="40">
        <f>RawData!AI737</f>
        <v>0</v>
      </c>
      <c r="U5" s="40">
        <f>RawData!AJ737</f>
        <v>0</v>
      </c>
      <c r="V5" s="41">
        <f>RawData!AK737</f>
        <v>0</v>
      </c>
      <c r="W5" s="41">
        <f>RawData!AL737</f>
        <v>0</v>
      </c>
      <c r="X5" s="43">
        <f>RawData!CA737</f>
        <v>0</v>
      </c>
      <c r="Y5" s="41">
        <f>RawData!AM737</f>
        <v>0</v>
      </c>
      <c r="Z5" s="44">
        <f>RawData!CB737</f>
        <v>0</v>
      </c>
      <c r="AA5" s="44">
        <f>RawData!AN737</f>
        <v>0</v>
      </c>
      <c r="AB5" s="44">
        <f>RawData!AO737</f>
        <v>0</v>
      </c>
      <c r="AC5" s="44">
        <f>RawData!AP737</f>
        <v>0</v>
      </c>
      <c r="AD5" s="63">
        <f>RawData!BZ737</f>
        <v>0</v>
      </c>
      <c r="AE5" s="44">
        <f>RawData!AQ737</f>
        <v>0</v>
      </c>
      <c r="AF5" s="46">
        <f>RawData!O737</f>
        <v>0</v>
      </c>
      <c r="AG5" s="44">
        <f>RawData!AR737</f>
        <v>0</v>
      </c>
      <c r="AH5" s="44">
        <f>RawData!BY737</f>
        <v>0</v>
      </c>
      <c r="AI5" s="44">
        <f>RawData!AS737</f>
        <v>0</v>
      </c>
      <c r="AJ5" s="44">
        <f>RawData!AT737</f>
        <v>0</v>
      </c>
      <c r="AK5" s="44">
        <f>RawData!AU737</f>
        <v>0</v>
      </c>
      <c r="AL5" s="44">
        <f>RawData!BW737</f>
        <v>0</v>
      </c>
      <c r="AM5" s="41">
        <f>RawData!AV737</f>
        <v>0</v>
      </c>
      <c r="AN5" s="41">
        <f>RawData!BX737</f>
        <v>0</v>
      </c>
      <c r="AO5" s="41">
        <f>RawData!AW737</f>
        <v>0</v>
      </c>
      <c r="AP5" s="41">
        <f>RawData!AX737</f>
        <v>0</v>
      </c>
      <c r="AQ5" s="40">
        <f>RawData!AY737</f>
        <v>0</v>
      </c>
      <c r="AR5" s="40">
        <f>RawData!AZ737</f>
        <v>0</v>
      </c>
      <c r="AS5" s="40">
        <f>RawData!BA737</f>
        <v>0</v>
      </c>
      <c r="AT5" s="38">
        <f>RawData!BB737</f>
        <v>0</v>
      </c>
      <c r="AU5" s="40">
        <f>RawData!BC737</f>
        <v>0</v>
      </c>
      <c r="AV5" s="40">
        <f>RawData!BD737</f>
        <v>0</v>
      </c>
      <c r="AW5" s="38">
        <f>RawData!BE737</f>
        <v>0</v>
      </c>
      <c r="AX5" s="37">
        <f>RawData!BF737</f>
        <v>0</v>
      </c>
      <c r="AY5" s="36">
        <f>RawData!BG737</f>
        <v>0</v>
      </c>
      <c r="AZ5" s="36">
        <f>RawData!BH737</f>
        <v>0</v>
      </c>
      <c r="BA5" s="40">
        <f>RawData!BI737</f>
        <v>0</v>
      </c>
      <c r="BB5" s="44">
        <f>RawData!BJ737</f>
        <v>0</v>
      </c>
      <c r="BC5" s="44">
        <f>RawData!BK737</f>
        <v>0</v>
      </c>
      <c r="BD5" s="44">
        <f>RawData!BL737</f>
        <v>0</v>
      </c>
      <c r="BE5" s="44">
        <f>RawData!BM737</f>
        <v>0</v>
      </c>
      <c r="BF5" s="44">
        <f>RawData!BN737</f>
        <v>0</v>
      </c>
      <c r="BG5" s="63">
        <f>RawData!BO737</f>
        <v>0</v>
      </c>
      <c r="BH5" s="44">
        <f>RawData!BP737</f>
        <v>0</v>
      </c>
      <c r="BI5" s="63">
        <f>RawData!BQ737</f>
        <v>0</v>
      </c>
      <c r="BJ5" s="44">
        <f>RawData!BR737</f>
        <v>0</v>
      </c>
      <c r="BK5" s="47">
        <f>RawData!BS737</f>
        <v>0</v>
      </c>
      <c r="BL5" s="44">
        <f>RawData!BT737</f>
        <v>0</v>
      </c>
      <c r="BM5" s="47">
        <f>RawData!BV737</f>
        <v>0</v>
      </c>
      <c r="BN5" s="65">
        <f>RawData!CC737</f>
        <v>0</v>
      </c>
      <c r="BO5" s="66">
        <f>RawData!CD737</f>
        <v>0</v>
      </c>
      <c r="BQ5" s="21">
        <f t="shared" si="0"/>
        <v>0</v>
      </c>
    </row>
    <row r="6" spans="1:69" x14ac:dyDescent="0.2">
      <c r="A6" s="59">
        <f>RawData!P738</f>
        <v>0</v>
      </c>
      <c r="B6" s="44">
        <f>RawData!Q738</f>
        <v>0</v>
      </c>
      <c r="C6" s="44">
        <f>RawData!R738</f>
        <v>0</v>
      </c>
      <c r="D6" s="63">
        <f>RawData!S738</f>
        <v>0</v>
      </c>
      <c r="E6" s="44">
        <f>RawData!T738</f>
        <v>0</v>
      </c>
      <c r="F6" s="63">
        <f>RawData!U738</f>
        <v>0</v>
      </c>
      <c r="G6" s="44">
        <f>RawData!V738</f>
        <v>0</v>
      </c>
      <c r="H6" s="44">
        <f>RawData!W738</f>
        <v>0</v>
      </c>
      <c r="I6" s="44">
        <f>RawData!X738</f>
        <v>0</v>
      </c>
      <c r="J6" s="44">
        <f>RawData!Y738</f>
        <v>0</v>
      </c>
      <c r="K6" s="40">
        <f>RawData!Z738</f>
        <v>0</v>
      </c>
      <c r="L6" s="40">
        <f>RawData!AA738</f>
        <v>0</v>
      </c>
      <c r="M6" s="36">
        <f>RawData!AB738</f>
        <v>0</v>
      </c>
      <c r="N6" s="36">
        <f>RawData!AC738</f>
        <v>0</v>
      </c>
      <c r="O6" s="37">
        <f>RawData!AD738</f>
        <v>0</v>
      </c>
      <c r="P6" s="38">
        <f>RawData!AE738</f>
        <v>0</v>
      </c>
      <c r="Q6" s="39">
        <f>RawData!AF738</f>
        <v>0</v>
      </c>
      <c r="R6" s="38">
        <f>RawData!AG738</f>
        <v>0</v>
      </c>
      <c r="S6" s="40">
        <f>RawData!AH738</f>
        <v>0</v>
      </c>
      <c r="T6" s="40">
        <f>RawData!AI738</f>
        <v>0</v>
      </c>
      <c r="U6" s="40">
        <f>RawData!AJ738</f>
        <v>0</v>
      </c>
      <c r="V6" s="41">
        <f>RawData!AK738</f>
        <v>0</v>
      </c>
      <c r="W6" s="41">
        <f>RawData!AL738</f>
        <v>0</v>
      </c>
      <c r="X6" s="43">
        <f>RawData!CA738</f>
        <v>0</v>
      </c>
      <c r="Y6" s="41">
        <f>RawData!AM738</f>
        <v>0</v>
      </c>
      <c r="Z6" s="44">
        <f>RawData!CB738</f>
        <v>0</v>
      </c>
      <c r="AA6" s="44">
        <f>RawData!AN738</f>
        <v>0</v>
      </c>
      <c r="AB6" s="44">
        <f>RawData!AO738</f>
        <v>0</v>
      </c>
      <c r="AC6" s="44">
        <f>RawData!AP738</f>
        <v>0</v>
      </c>
      <c r="AD6" s="63">
        <f>RawData!BZ738</f>
        <v>0</v>
      </c>
      <c r="AE6" s="44">
        <f>RawData!AQ738</f>
        <v>0</v>
      </c>
      <c r="AF6" s="46">
        <f>RawData!O738</f>
        <v>0</v>
      </c>
      <c r="AG6" s="44">
        <f>RawData!AR738</f>
        <v>0</v>
      </c>
      <c r="AH6" s="44">
        <f>RawData!BY738</f>
        <v>0</v>
      </c>
      <c r="AI6" s="44">
        <f>RawData!AS738</f>
        <v>0</v>
      </c>
      <c r="AJ6" s="44">
        <f>RawData!AT738</f>
        <v>0</v>
      </c>
      <c r="AK6" s="44">
        <f>RawData!AU738</f>
        <v>0</v>
      </c>
      <c r="AL6" s="44">
        <f>RawData!BW738</f>
        <v>0</v>
      </c>
      <c r="AM6" s="41">
        <f>RawData!AV738</f>
        <v>0</v>
      </c>
      <c r="AN6" s="41">
        <f>RawData!BX738</f>
        <v>0</v>
      </c>
      <c r="AO6" s="41">
        <f>RawData!AW738</f>
        <v>0</v>
      </c>
      <c r="AP6" s="41">
        <f>RawData!AX738</f>
        <v>0</v>
      </c>
      <c r="AQ6" s="40">
        <f>RawData!AY738</f>
        <v>0</v>
      </c>
      <c r="AR6" s="40">
        <f>RawData!AZ738</f>
        <v>0</v>
      </c>
      <c r="AS6" s="40">
        <f>RawData!BA738</f>
        <v>0</v>
      </c>
      <c r="AT6" s="38">
        <f>RawData!BB738</f>
        <v>0</v>
      </c>
      <c r="AU6" s="40">
        <f>RawData!BC738</f>
        <v>0</v>
      </c>
      <c r="AV6" s="40">
        <f>RawData!BD738</f>
        <v>0</v>
      </c>
      <c r="AW6" s="38">
        <f>RawData!BE738</f>
        <v>0</v>
      </c>
      <c r="AX6" s="37">
        <f>RawData!BF738</f>
        <v>0</v>
      </c>
      <c r="AY6" s="36">
        <f>RawData!BG738</f>
        <v>0</v>
      </c>
      <c r="AZ6" s="36">
        <f>RawData!BH738</f>
        <v>0</v>
      </c>
      <c r="BA6" s="40">
        <f>RawData!BI738</f>
        <v>0</v>
      </c>
      <c r="BB6" s="44">
        <f>RawData!BJ738</f>
        <v>0</v>
      </c>
      <c r="BC6" s="44">
        <f>RawData!BK738</f>
        <v>0</v>
      </c>
      <c r="BD6" s="44">
        <f>RawData!BL738</f>
        <v>0</v>
      </c>
      <c r="BE6" s="44">
        <f>RawData!BM738</f>
        <v>0</v>
      </c>
      <c r="BF6" s="44">
        <f>RawData!BN738</f>
        <v>0</v>
      </c>
      <c r="BG6" s="63">
        <f>RawData!BO738</f>
        <v>0</v>
      </c>
      <c r="BH6" s="44">
        <f>RawData!BP738</f>
        <v>0</v>
      </c>
      <c r="BI6" s="63">
        <f>RawData!BQ738</f>
        <v>0</v>
      </c>
      <c r="BJ6" s="44">
        <f>RawData!BR738</f>
        <v>0</v>
      </c>
      <c r="BK6" s="47">
        <f>RawData!BS738</f>
        <v>0</v>
      </c>
      <c r="BL6" s="44">
        <f>RawData!BT738</f>
        <v>0</v>
      </c>
      <c r="BM6" s="47">
        <f>RawData!BV738</f>
        <v>0</v>
      </c>
      <c r="BN6" s="65">
        <f>RawData!CC738</f>
        <v>0</v>
      </c>
      <c r="BO6" s="66">
        <f>RawData!CD738</f>
        <v>0</v>
      </c>
      <c r="BQ6" s="21">
        <f t="shared" si="0"/>
        <v>0</v>
      </c>
    </row>
    <row r="7" spans="1:69" x14ac:dyDescent="0.2">
      <c r="A7" s="59">
        <f>RawData!P739</f>
        <v>0</v>
      </c>
      <c r="B7" s="44">
        <f>RawData!Q739</f>
        <v>0</v>
      </c>
      <c r="C7" s="44">
        <f>RawData!R739</f>
        <v>0</v>
      </c>
      <c r="D7" s="63">
        <f>RawData!S739</f>
        <v>0</v>
      </c>
      <c r="E7" s="44">
        <f>RawData!T739</f>
        <v>0</v>
      </c>
      <c r="F7" s="63">
        <f>RawData!U739</f>
        <v>0</v>
      </c>
      <c r="G7" s="44">
        <f>RawData!V739</f>
        <v>0</v>
      </c>
      <c r="H7" s="44">
        <f>RawData!W739</f>
        <v>0</v>
      </c>
      <c r="I7" s="44">
        <f>RawData!X739</f>
        <v>0</v>
      </c>
      <c r="J7" s="44">
        <f>RawData!Y739</f>
        <v>0</v>
      </c>
      <c r="K7" s="40">
        <f>RawData!Z739</f>
        <v>0</v>
      </c>
      <c r="L7" s="40">
        <f>RawData!AA739</f>
        <v>0</v>
      </c>
      <c r="M7" s="36">
        <f>RawData!AB739</f>
        <v>0</v>
      </c>
      <c r="N7" s="36">
        <f>RawData!AC739</f>
        <v>0</v>
      </c>
      <c r="O7" s="37">
        <f>RawData!AD739</f>
        <v>0</v>
      </c>
      <c r="P7" s="38">
        <f>RawData!AE739</f>
        <v>0</v>
      </c>
      <c r="Q7" s="39">
        <f>RawData!AF739</f>
        <v>0</v>
      </c>
      <c r="R7" s="38">
        <f>RawData!AG739</f>
        <v>0</v>
      </c>
      <c r="S7" s="40">
        <f>RawData!AH739</f>
        <v>0</v>
      </c>
      <c r="T7" s="40">
        <f>RawData!AI739</f>
        <v>0</v>
      </c>
      <c r="U7" s="40">
        <f>RawData!AJ739</f>
        <v>0</v>
      </c>
      <c r="V7" s="41">
        <f>RawData!AK739</f>
        <v>0</v>
      </c>
      <c r="W7" s="41">
        <f>RawData!AL739</f>
        <v>0</v>
      </c>
      <c r="X7" s="43">
        <f>RawData!CA739</f>
        <v>0</v>
      </c>
      <c r="Y7" s="41">
        <f>RawData!AM739</f>
        <v>0</v>
      </c>
      <c r="Z7" s="44">
        <f>RawData!CB739</f>
        <v>0</v>
      </c>
      <c r="AA7" s="44">
        <f>RawData!AN739</f>
        <v>0</v>
      </c>
      <c r="AB7" s="44">
        <f>RawData!AO739</f>
        <v>0</v>
      </c>
      <c r="AC7" s="44">
        <f>RawData!AP739</f>
        <v>0</v>
      </c>
      <c r="AD7" s="63">
        <f>RawData!BZ739</f>
        <v>0</v>
      </c>
      <c r="AE7" s="44">
        <f>RawData!AQ739</f>
        <v>0</v>
      </c>
      <c r="AF7" s="46">
        <f>RawData!O739</f>
        <v>0</v>
      </c>
      <c r="AG7" s="44">
        <f>RawData!AR739</f>
        <v>0</v>
      </c>
      <c r="AH7" s="44">
        <f>RawData!BY739</f>
        <v>0</v>
      </c>
      <c r="AI7" s="44">
        <f>RawData!AS739</f>
        <v>0</v>
      </c>
      <c r="AJ7" s="44">
        <f>RawData!AT739</f>
        <v>0</v>
      </c>
      <c r="AK7" s="44">
        <f>RawData!AU739</f>
        <v>0</v>
      </c>
      <c r="AL7" s="44">
        <f>RawData!BW739</f>
        <v>0</v>
      </c>
      <c r="AM7" s="41">
        <f>RawData!AV739</f>
        <v>0</v>
      </c>
      <c r="AN7" s="41">
        <f>RawData!BX739</f>
        <v>0</v>
      </c>
      <c r="AO7" s="41">
        <f>RawData!AW739</f>
        <v>0</v>
      </c>
      <c r="AP7" s="41">
        <f>RawData!AX739</f>
        <v>0</v>
      </c>
      <c r="AQ7" s="40">
        <f>RawData!AY739</f>
        <v>0</v>
      </c>
      <c r="AR7" s="40">
        <f>RawData!AZ739</f>
        <v>0</v>
      </c>
      <c r="AS7" s="40">
        <f>RawData!BA739</f>
        <v>0</v>
      </c>
      <c r="AT7" s="38">
        <f>RawData!BB739</f>
        <v>0</v>
      </c>
      <c r="AU7" s="40">
        <f>RawData!BC739</f>
        <v>0</v>
      </c>
      <c r="AV7" s="40">
        <f>RawData!BD739</f>
        <v>0</v>
      </c>
      <c r="AW7" s="38">
        <f>RawData!BE739</f>
        <v>0</v>
      </c>
      <c r="AX7" s="37">
        <f>RawData!BF739</f>
        <v>0</v>
      </c>
      <c r="AY7" s="36">
        <f>RawData!BG739</f>
        <v>0</v>
      </c>
      <c r="AZ7" s="36">
        <f>RawData!BH739</f>
        <v>0</v>
      </c>
      <c r="BA7" s="40">
        <f>RawData!BI739</f>
        <v>0</v>
      </c>
      <c r="BB7" s="44">
        <f>RawData!BJ739</f>
        <v>0</v>
      </c>
      <c r="BC7" s="44">
        <f>RawData!BK739</f>
        <v>0</v>
      </c>
      <c r="BD7" s="44">
        <f>RawData!BL739</f>
        <v>0</v>
      </c>
      <c r="BE7" s="44">
        <f>RawData!BM739</f>
        <v>0</v>
      </c>
      <c r="BF7" s="44">
        <f>RawData!BN739</f>
        <v>0</v>
      </c>
      <c r="BG7" s="63">
        <f>RawData!BO739</f>
        <v>0</v>
      </c>
      <c r="BH7" s="44">
        <f>RawData!BP739</f>
        <v>0</v>
      </c>
      <c r="BI7" s="63">
        <f>RawData!BQ739</f>
        <v>0</v>
      </c>
      <c r="BJ7" s="44">
        <f>RawData!BR739</f>
        <v>0</v>
      </c>
      <c r="BK7" s="47">
        <f>RawData!BS739</f>
        <v>0</v>
      </c>
      <c r="BL7" s="44">
        <f>RawData!BT739</f>
        <v>0</v>
      </c>
      <c r="BM7" s="47">
        <f>RawData!BV739</f>
        <v>0</v>
      </c>
      <c r="BN7" s="65">
        <f>RawData!CC739</f>
        <v>0</v>
      </c>
      <c r="BO7" s="66">
        <f>RawData!CD739</f>
        <v>0</v>
      </c>
      <c r="BQ7" s="21">
        <f t="shared" si="0"/>
        <v>0</v>
      </c>
    </row>
    <row r="8" spans="1:69" x14ac:dyDescent="0.2">
      <c r="A8" s="59">
        <f>RawData!P740</f>
        <v>0</v>
      </c>
      <c r="B8" s="44">
        <f>RawData!Q740</f>
        <v>0</v>
      </c>
      <c r="C8" s="44">
        <f>RawData!R740</f>
        <v>0</v>
      </c>
      <c r="D8" s="63">
        <f>RawData!S740</f>
        <v>0</v>
      </c>
      <c r="E8" s="44">
        <f>RawData!T740</f>
        <v>0</v>
      </c>
      <c r="F8" s="63">
        <f>RawData!U740</f>
        <v>0</v>
      </c>
      <c r="G8" s="44">
        <f>RawData!V740</f>
        <v>0</v>
      </c>
      <c r="H8" s="44">
        <f>RawData!W740</f>
        <v>0</v>
      </c>
      <c r="I8" s="44">
        <f>RawData!X740</f>
        <v>0</v>
      </c>
      <c r="J8" s="44">
        <f>RawData!Y740</f>
        <v>0</v>
      </c>
      <c r="K8" s="40">
        <f>RawData!Z740</f>
        <v>0</v>
      </c>
      <c r="L8" s="40">
        <f>RawData!AA740</f>
        <v>0</v>
      </c>
      <c r="M8" s="36">
        <f>RawData!AB740</f>
        <v>0</v>
      </c>
      <c r="N8" s="36">
        <f>RawData!AC740</f>
        <v>0</v>
      </c>
      <c r="O8" s="37">
        <f>RawData!AD740</f>
        <v>0</v>
      </c>
      <c r="P8" s="38">
        <f>RawData!AE740</f>
        <v>0</v>
      </c>
      <c r="Q8" s="39">
        <f>RawData!AF740</f>
        <v>0</v>
      </c>
      <c r="R8" s="38">
        <f>RawData!AG740</f>
        <v>0</v>
      </c>
      <c r="S8" s="40">
        <f>RawData!AH740</f>
        <v>0</v>
      </c>
      <c r="T8" s="40">
        <f>RawData!AI740</f>
        <v>0</v>
      </c>
      <c r="U8" s="40">
        <f>RawData!AJ740</f>
        <v>0</v>
      </c>
      <c r="V8" s="41">
        <f>RawData!AK740</f>
        <v>0</v>
      </c>
      <c r="W8" s="41">
        <f>RawData!AL740</f>
        <v>0</v>
      </c>
      <c r="X8" s="43">
        <f>RawData!CA740</f>
        <v>0</v>
      </c>
      <c r="Y8" s="41">
        <f>RawData!AM740</f>
        <v>0</v>
      </c>
      <c r="Z8" s="44">
        <f>RawData!CB740</f>
        <v>0</v>
      </c>
      <c r="AA8" s="44">
        <f>RawData!AN740</f>
        <v>0</v>
      </c>
      <c r="AB8" s="44">
        <f>RawData!AO740</f>
        <v>0</v>
      </c>
      <c r="AC8" s="44">
        <f>RawData!AP740</f>
        <v>0</v>
      </c>
      <c r="AD8" s="63">
        <f>RawData!BZ740</f>
        <v>0</v>
      </c>
      <c r="AE8" s="44">
        <f>RawData!AQ740</f>
        <v>0</v>
      </c>
      <c r="AF8" s="46">
        <f>RawData!O740</f>
        <v>0</v>
      </c>
      <c r="AG8" s="44">
        <f>RawData!AR740</f>
        <v>0</v>
      </c>
      <c r="AH8" s="44">
        <f>RawData!BY740</f>
        <v>0</v>
      </c>
      <c r="AI8" s="44">
        <f>RawData!AS740</f>
        <v>0</v>
      </c>
      <c r="AJ8" s="44">
        <f>RawData!AT740</f>
        <v>0</v>
      </c>
      <c r="AK8" s="44">
        <f>RawData!AU740</f>
        <v>0</v>
      </c>
      <c r="AL8" s="44">
        <f>RawData!BW740</f>
        <v>0</v>
      </c>
      <c r="AM8" s="41">
        <f>RawData!AV740</f>
        <v>0</v>
      </c>
      <c r="AN8" s="41">
        <f>RawData!BX740</f>
        <v>0</v>
      </c>
      <c r="AO8" s="41">
        <f>RawData!AW740</f>
        <v>0</v>
      </c>
      <c r="AP8" s="41">
        <f>RawData!AX740</f>
        <v>0</v>
      </c>
      <c r="AQ8" s="40">
        <f>RawData!AY740</f>
        <v>0</v>
      </c>
      <c r="AR8" s="40">
        <f>RawData!AZ740</f>
        <v>0</v>
      </c>
      <c r="AS8" s="40">
        <f>RawData!BA740</f>
        <v>0</v>
      </c>
      <c r="AT8" s="38">
        <f>RawData!BB740</f>
        <v>0</v>
      </c>
      <c r="AU8" s="40">
        <f>RawData!BC740</f>
        <v>0</v>
      </c>
      <c r="AV8" s="40">
        <f>RawData!BD740</f>
        <v>0</v>
      </c>
      <c r="AW8" s="38">
        <f>RawData!BE740</f>
        <v>0</v>
      </c>
      <c r="AX8" s="37">
        <f>RawData!BF740</f>
        <v>0</v>
      </c>
      <c r="AY8" s="36">
        <f>RawData!BG740</f>
        <v>0</v>
      </c>
      <c r="AZ8" s="36">
        <f>RawData!BH740</f>
        <v>0</v>
      </c>
      <c r="BA8" s="40">
        <f>RawData!BI740</f>
        <v>0</v>
      </c>
      <c r="BB8" s="44">
        <f>RawData!BJ740</f>
        <v>0</v>
      </c>
      <c r="BC8" s="44">
        <f>RawData!BK740</f>
        <v>0</v>
      </c>
      <c r="BD8" s="44">
        <f>RawData!BL740</f>
        <v>0</v>
      </c>
      <c r="BE8" s="44">
        <f>RawData!BM740</f>
        <v>0</v>
      </c>
      <c r="BF8" s="44">
        <f>RawData!BN740</f>
        <v>0</v>
      </c>
      <c r="BG8" s="63">
        <f>RawData!BO740</f>
        <v>0</v>
      </c>
      <c r="BH8" s="44">
        <f>RawData!BP740</f>
        <v>0</v>
      </c>
      <c r="BI8" s="63">
        <f>RawData!BQ740</f>
        <v>0</v>
      </c>
      <c r="BJ8" s="44">
        <f>RawData!BR740</f>
        <v>0</v>
      </c>
      <c r="BK8" s="47">
        <f>RawData!BS740</f>
        <v>0</v>
      </c>
      <c r="BL8" s="44">
        <f>RawData!BT740</f>
        <v>0</v>
      </c>
      <c r="BM8" s="47">
        <f>RawData!BV740</f>
        <v>0</v>
      </c>
      <c r="BN8" s="65">
        <f>RawData!CC740</f>
        <v>0</v>
      </c>
      <c r="BO8" s="66">
        <f>RawData!CD740</f>
        <v>0</v>
      </c>
      <c r="BQ8" s="21">
        <f t="shared" si="0"/>
        <v>0</v>
      </c>
    </row>
    <row r="9" spans="1:69" x14ac:dyDescent="0.2">
      <c r="A9" s="59">
        <f>RawData!P741</f>
        <v>0</v>
      </c>
      <c r="B9" s="44">
        <f>RawData!Q741</f>
        <v>0</v>
      </c>
      <c r="C9" s="44">
        <f>RawData!R741</f>
        <v>0</v>
      </c>
      <c r="D9" s="63">
        <f>RawData!S741</f>
        <v>0</v>
      </c>
      <c r="E9" s="44">
        <f>RawData!T741</f>
        <v>0</v>
      </c>
      <c r="F9" s="63">
        <f>RawData!U741</f>
        <v>0</v>
      </c>
      <c r="G9" s="44">
        <f>RawData!V741</f>
        <v>0</v>
      </c>
      <c r="H9" s="44">
        <f>RawData!W741</f>
        <v>0</v>
      </c>
      <c r="I9" s="44">
        <f>RawData!X741</f>
        <v>0</v>
      </c>
      <c r="J9" s="44">
        <f>RawData!Y741</f>
        <v>0</v>
      </c>
      <c r="K9" s="40">
        <f>RawData!Z741</f>
        <v>0</v>
      </c>
      <c r="L9" s="40">
        <f>RawData!AA741</f>
        <v>0</v>
      </c>
      <c r="M9" s="36">
        <f>RawData!AB741</f>
        <v>0</v>
      </c>
      <c r="N9" s="36">
        <f>RawData!AC741</f>
        <v>0</v>
      </c>
      <c r="O9" s="37">
        <f>RawData!AD741</f>
        <v>0</v>
      </c>
      <c r="P9" s="38">
        <f>RawData!AE741</f>
        <v>0</v>
      </c>
      <c r="Q9" s="39">
        <f>RawData!AF741</f>
        <v>0</v>
      </c>
      <c r="R9" s="38">
        <f>RawData!AG741</f>
        <v>0</v>
      </c>
      <c r="S9" s="40">
        <f>RawData!AH741</f>
        <v>0</v>
      </c>
      <c r="T9" s="40">
        <f>RawData!AI741</f>
        <v>0</v>
      </c>
      <c r="U9" s="40">
        <f>RawData!AJ741</f>
        <v>0</v>
      </c>
      <c r="V9" s="41">
        <f>RawData!AK741</f>
        <v>0</v>
      </c>
      <c r="W9" s="41">
        <f>RawData!AL741</f>
        <v>0</v>
      </c>
      <c r="X9" s="43">
        <f>RawData!CA741</f>
        <v>0</v>
      </c>
      <c r="Y9" s="41">
        <f>RawData!AM741</f>
        <v>0</v>
      </c>
      <c r="Z9" s="44">
        <f>RawData!CB741</f>
        <v>0</v>
      </c>
      <c r="AA9" s="44">
        <f>RawData!AN741</f>
        <v>0</v>
      </c>
      <c r="AB9" s="44">
        <f>RawData!AO741</f>
        <v>0</v>
      </c>
      <c r="AC9" s="44">
        <f>RawData!AP741</f>
        <v>0</v>
      </c>
      <c r="AD9" s="63">
        <f>RawData!BZ741</f>
        <v>0</v>
      </c>
      <c r="AE9" s="44">
        <f>RawData!AQ741</f>
        <v>0</v>
      </c>
      <c r="AF9" s="46">
        <f>RawData!O741</f>
        <v>0</v>
      </c>
      <c r="AG9" s="44">
        <f>RawData!AR741</f>
        <v>0</v>
      </c>
      <c r="AH9" s="44">
        <f>RawData!BY741</f>
        <v>0</v>
      </c>
      <c r="AI9" s="44">
        <f>RawData!AS741</f>
        <v>0</v>
      </c>
      <c r="AJ9" s="44">
        <f>RawData!AT741</f>
        <v>0</v>
      </c>
      <c r="AK9" s="44">
        <f>RawData!AU741</f>
        <v>0</v>
      </c>
      <c r="AL9" s="44">
        <f>RawData!BW741</f>
        <v>0</v>
      </c>
      <c r="AM9" s="41">
        <f>RawData!AV741</f>
        <v>0</v>
      </c>
      <c r="AN9" s="41">
        <f>RawData!BX741</f>
        <v>0</v>
      </c>
      <c r="AO9" s="41">
        <f>RawData!AW741</f>
        <v>0</v>
      </c>
      <c r="AP9" s="41">
        <f>RawData!AX741</f>
        <v>0</v>
      </c>
      <c r="AQ9" s="40">
        <f>RawData!AY741</f>
        <v>0</v>
      </c>
      <c r="AR9" s="40">
        <f>RawData!AZ741</f>
        <v>0</v>
      </c>
      <c r="AS9" s="40">
        <f>RawData!BA741</f>
        <v>0</v>
      </c>
      <c r="AT9" s="38">
        <f>RawData!BB741</f>
        <v>0</v>
      </c>
      <c r="AU9" s="40">
        <f>RawData!BC741</f>
        <v>0</v>
      </c>
      <c r="AV9" s="40">
        <f>RawData!BD741</f>
        <v>0</v>
      </c>
      <c r="AW9" s="38">
        <f>RawData!BE741</f>
        <v>0</v>
      </c>
      <c r="AX9" s="37">
        <f>RawData!BF741</f>
        <v>0</v>
      </c>
      <c r="AY9" s="36">
        <f>RawData!BG741</f>
        <v>0</v>
      </c>
      <c r="AZ9" s="36">
        <f>RawData!BH741</f>
        <v>0</v>
      </c>
      <c r="BA9" s="40">
        <f>RawData!BI741</f>
        <v>0</v>
      </c>
      <c r="BB9" s="44">
        <f>RawData!BJ741</f>
        <v>0</v>
      </c>
      <c r="BC9" s="44">
        <f>RawData!BK741</f>
        <v>0</v>
      </c>
      <c r="BD9" s="44">
        <f>RawData!BL741</f>
        <v>0</v>
      </c>
      <c r="BE9" s="44">
        <f>RawData!BM741</f>
        <v>0</v>
      </c>
      <c r="BF9" s="44">
        <f>RawData!BN741</f>
        <v>0</v>
      </c>
      <c r="BG9" s="63">
        <f>RawData!BO741</f>
        <v>0</v>
      </c>
      <c r="BH9" s="44">
        <f>RawData!BP741</f>
        <v>0</v>
      </c>
      <c r="BI9" s="63">
        <f>RawData!BQ741</f>
        <v>0</v>
      </c>
      <c r="BJ9" s="44">
        <f>RawData!BR741</f>
        <v>0</v>
      </c>
      <c r="BK9" s="47">
        <f>RawData!BS741</f>
        <v>0</v>
      </c>
      <c r="BL9" s="44">
        <f>RawData!BT741</f>
        <v>0</v>
      </c>
      <c r="BM9" s="47">
        <f>RawData!BV741</f>
        <v>0</v>
      </c>
      <c r="BN9" s="65">
        <f>RawData!CC741</f>
        <v>0</v>
      </c>
      <c r="BO9" s="66">
        <f>RawData!CD741</f>
        <v>0</v>
      </c>
      <c r="BQ9" s="21">
        <f t="shared" si="0"/>
        <v>0</v>
      </c>
    </row>
    <row r="10" spans="1:69" x14ac:dyDescent="0.2">
      <c r="A10" s="59">
        <f>RawData!P742</f>
        <v>0</v>
      </c>
      <c r="B10" s="44">
        <f>RawData!Q742</f>
        <v>0</v>
      </c>
      <c r="C10" s="44">
        <f>RawData!R742</f>
        <v>0</v>
      </c>
      <c r="D10" s="63">
        <f>RawData!S742</f>
        <v>0</v>
      </c>
      <c r="E10" s="44">
        <f>RawData!T742</f>
        <v>0</v>
      </c>
      <c r="F10" s="63">
        <f>RawData!U742</f>
        <v>0</v>
      </c>
      <c r="G10" s="44">
        <f>RawData!V742</f>
        <v>0</v>
      </c>
      <c r="H10" s="44">
        <f>RawData!W742</f>
        <v>0</v>
      </c>
      <c r="I10" s="44">
        <f>RawData!X742</f>
        <v>0</v>
      </c>
      <c r="J10" s="44">
        <f>RawData!Y742</f>
        <v>0</v>
      </c>
      <c r="K10" s="40">
        <f>RawData!Z742</f>
        <v>0</v>
      </c>
      <c r="L10" s="40">
        <f>RawData!AA742</f>
        <v>0</v>
      </c>
      <c r="M10" s="36">
        <f>RawData!AB742</f>
        <v>0</v>
      </c>
      <c r="N10" s="36">
        <f>RawData!AC742</f>
        <v>0</v>
      </c>
      <c r="O10" s="37">
        <f>RawData!AD742</f>
        <v>0</v>
      </c>
      <c r="P10" s="38">
        <f>RawData!AE742</f>
        <v>0</v>
      </c>
      <c r="Q10" s="39">
        <f>RawData!AF742</f>
        <v>0</v>
      </c>
      <c r="R10" s="38">
        <f>RawData!AG742</f>
        <v>0</v>
      </c>
      <c r="S10" s="40">
        <f>RawData!AH742</f>
        <v>0</v>
      </c>
      <c r="T10" s="40">
        <f>RawData!AI742</f>
        <v>0</v>
      </c>
      <c r="U10" s="40">
        <f>RawData!AJ742</f>
        <v>0</v>
      </c>
      <c r="V10" s="41">
        <f>RawData!AK742</f>
        <v>0</v>
      </c>
      <c r="W10" s="41">
        <f>RawData!AL742</f>
        <v>0</v>
      </c>
      <c r="X10" s="43">
        <f>RawData!CA742</f>
        <v>0</v>
      </c>
      <c r="Y10" s="41">
        <f>RawData!AM742</f>
        <v>0</v>
      </c>
      <c r="Z10" s="44">
        <f>RawData!CB742</f>
        <v>0</v>
      </c>
      <c r="AA10" s="44">
        <f>RawData!AN742</f>
        <v>0</v>
      </c>
      <c r="AB10" s="44">
        <f>RawData!AO742</f>
        <v>0</v>
      </c>
      <c r="AC10" s="44">
        <f>RawData!AP742</f>
        <v>0</v>
      </c>
      <c r="AD10" s="63">
        <f>RawData!BZ742</f>
        <v>0</v>
      </c>
      <c r="AE10" s="44">
        <f>RawData!AQ742</f>
        <v>0</v>
      </c>
      <c r="AF10" s="46">
        <f>RawData!O742</f>
        <v>0</v>
      </c>
      <c r="AG10" s="44">
        <f>RawData!AR742</f>
        <v>0</v>
      </c>
      <c r="AH10" s="44">
        <f>RawData!BY742</f>
        <v>0</v>
      </c>
      <c r="AI10" s="44">
        <f>RawData!AS742</f>
        <v>0</v>
      </c>
      <c r="AJ10" s="44">
        <f>RawData!AT742</f>
        <v>0</v>
      </c>
      <c r="AK10" s="44">
        <f>RawData!AU742</f>
        <v>0</v>
      </c>
      <c r="AL10" s="44">
        <f>RawData!BW742</f>
        <v>0</v>
      </c>
      <c r="AM10" s="41">
        <f>RawData!AV742</f>
        <v>0</v>
      </c>
      <c r="AN10" s="41">
        <f>RawData!BX742</f>
        <v>0</v>
      </c>
      <c r="AO10" s="41">
        <f>RawData!AW742</f>
        <v>0</v>
      </c>
      <c r="AP10" s="41">
        <f>RawData!AX742</f>
        <v>0</v>
      </c>
      <c r="AQ10" s="40">
        <f>RawData!AY742</f>
        <v>0</v>
      </c>
      <c r="AR10" s="40">
        <f>RawData!AZ742</f>
        <v>0</v>
      </c>
      <c r="AS10" s="40">
        <f>RawData!BA742</f>
        <v>0</v>
      </c>
      <c r="AT10" s="38">
        <f>RawData!BB742</f>
        <v>0</v>
      </c>
      <c r="AU10" s="40">
        <f>RawData!BC742</f>
        <v>0</v>
      </c>
      <c r="AV10" s="40">
        <f>RawData!BD742</f>
        <v>0</v>
      </c>
      <c r="AW10" s="38">
        <f>RawData!BE742</f>
        <v>0</v>
      </c>
      <c r="AX10" s="37">
        <f>RawData!BF742</f>
        <v>0</v>
      </c>
      <c r="AY10" s="36">
        <f>RawData!BG742</f>
        <v>0</v>
      </c>
      <c r="AZ10" s="36">
        <f>RawData!BH742</f>
        <v>0</v>
      </c>
      <c r="BA10" s="40">
        <f>RawData!BI742</f>
        <v>0</v>
      </c>
      <c r="BB10" s="44">
        <f>RawData!BJ742</f>
        <v>0</v>
      </c>
      <c r="BC10" s="44">
        <f>RawData!BK742</f>
        <v>0</v>
      </c>
      <c r="BD10" s="44">
        <f>RawData!BL742</f>
        <v>0</v>
      </c>
      <c r="BE10" s="44">
        <f>RawData!BM742</f>
        <v>0</v>
      </c>
      <c r="BF10" s="44">
        <f>RawData!BN742</f>
        <v>0</v>
      </c>
      <c r="BG10" s="63">
        <f>RawData!BO742</f>
        <v>0</v>
      </c>
      <c r="BH10" s="44">
        <f>RawData!BP742</f>
        <v>0</v>
      </c>
      <c r="BI10" s="63">
        <f>RawData!BQ742</f>
        <v>0</v>
      </c>
      <c r="BJ10" s="44">
        <f>RawData!BR742</f>
        <v>0</v>
      </c>
      <c r="BK10" s="47">
        <f>RawData!BS742</f>
        <v>0</v>
      </c>
      <c r="BL10" s="44">
        <f>RawData!BT742</f>
        <v>0</v>
      </c>
      <c r="BM10" s="47">
        <f>RawData!BV742</f>
        <v>0</v>
      </c>
      <c r="BN10" s="65">
        <f>RawData!CC742</f>
        <v>0</v>
      </c>
      <c r="BO10" s="66">
        <f>RawData!CD742</f>
        <v>0</v>
      </c>
      <c r="BQ10" s="21">
        <f t="shared" si="0"/>
        <v>0</v>
      </c>
    </row>
    <row r="11" spans="1:69" x14ac:dyDescent="0.2">
      <c r="A11" s="59">
        <f>RawData!P743</f>
        <v>0</v>
      </c>
      <c r="B11" s="44">
        <f>RawData!Q743</f>
        <v>0</v>
      </c>
      <c r="C11" s="44">
        <f>RawData!R743</f>
        <v>0</v>
      </c>
      <c r="D11" s="63">
        <f>RawData!S743</f>
        <v>0</v>
      </c>
      <c r="E11" s="44">
        <f>RawData!T743</f>
        <v>0</v>
      </c>
      <c r="F11" s="63">
        <f>RawData!U743</f>
        <v>0</v>
      </c>
      <c r="G11" s="44">
        <f>RawData!V743</f>
        <v>0</v>
      </c>
      <c r="H11" s="44">
        <f>RawData!W743</f>
        <v>0</v>
      </c>
      <c r="I11" s="44">
        <f>RawData!X743</f>
        <v>0</v>
      </c>
      <c r="J11" s="44">
        <f>RawData!Y743</f>
        <v>0</v>
      </c>
      <c r="K11" s="40">
        <f>RawData!Z743</f>
        <v>0</v>
      </c>
      <c r="L11" s="40">
        <f>RawData!AA743</f>
        <v>0</v>
      </c>
      <c r="M11" s="36">
        <f>RawData!AB743</f>
        <v>0</v>
      </c>
      <c r="N11" s="36">
        <f>RawData!AC743</f>
        <v>0</v>
      </c>
      <c r="O11" s="37">
        <f>RawData!AD743</f>
        <v>0</v>
      </c>
      <c r="P11" s="38">
        <f>RawData!AE743</f>
        <v>0</v>
      </c>
      <c r="Q11" s="39">
        <f>RawData!AF743</f>
        <v>0</v>
      </c>
      <c r="R11" s="38">
        <f>RawData!AG743</f>
        <v>0</v>
      </c>
      <c r="S11" s="40">
        <f>RawData!AH743</f>
        <v>0</v>
      </c>
      <c r="T11" s="40">
        <f>RawData!AI743</f>
        <v>0</v>
      </c>
      <c r="U11" s="40">
        <f>RawData!AJ743</f>
        <v>0</v>
      </c>
      <c r="V11" s="41">
        <f>RawData!AK743</f>
        <v>0</v>
      </c>
      <c r="W11" s="41">
        <f>RawData!AL743</f>
        <v>0</v>
      </c>
      <c r="X11" s="43">
        <f>RawData!CA743</f>
        <v>0</v>
      </c>
      <c r="Y11" s="41">
        <f>RawData!AM743</f>
        <v>0</v>
      </c>
      <c r="Z11" s="44">
        <f>RawData!CB743</f>
        <v>0</v>
      </c>
      <c r="AA11" s="44">
        <f>RawData!AN743</f>
        <v>0</v>
      </c>
      <c r="AB11" s="44">
        <f>RawData!AO743</f>
        <v>0</v>
      </c>
      <c r="AC11" s="44">
        <f>RawData!AP743</f>
        <v>0</v>
      </c>
      <c r="AD11" s="63">
        <f>RawData!BZ743</f>
        <v>0</v>
      </c>
      <c r="AE11" s="44">
        <f>RawData!AQ743</f>
        <v>0</v>
      </c>
      <c r="AF11" s="46">
        <f>RawData!O743</f>
        <v>0</v>
      </c>
      <c r="AG11" s="44">
        <f>RawData!AR743</f>
        <v>0</v>
      </c>
      <c r="AH11" s="44">
        <f>RawData!BY743</f>
        <v>0</v>
      </c>
      <c r="AI11" s="44">
        <f>RawData!AS743</f>
        <v>0</v>
      </c>
      <c r="AJ11" s="44">
        <f>RawData!AT743</f>
        <v>0</v>
      </c>
      <c r="AK11" s="44">
        <f>RawData!AU743</f>
        <v>0</v>
      </c>
      <c r="AL11" s="44">
        <f>RawData!BW743</f>
        <v>0</v>
      </c>
      <c r="AM11" s="41">
        <f>RawData!AV743</f>
        <v>0</v>
      </c>
      <c r="AN11" s="41">
        <f>RawData!BX743</f>
        <v>0</v>
      </c>
      <c r="AO11" s="41">
        <f>RawData!AW743</f>
        <v>0</v>
      </c>
      <c r="AP11" s="41">
        <f>RawData!AX743</f>
        <v>0</v>
      </c>
      <c r="AQ11" s="40">
        <f>RawData!AY743</f>
        <v>0</v>
      </c>
      <c r="AR11" s="40">
        <f>RawData!AZ743</f>
        <v>0</v>
      </c>
      <c r="AS11" s="40">
        <f>RawData!BA743</f>
        <v>0</v>
      </c>
      <c r="AT11" s="38">
        <f>RawData!BB743</f>
        <v>0</v>
      </c>
      <c r="AU11" s="40">
        <f>RawData!BC743</f>
        <v>0</v>
      </c>
      <c r="AV11" s="40">
        <f>RawData!BD743</f>
        <v>0</v>
      </c>
      <c r="AW11" s="38">
        <f>RawData!BE743</f>
        <v>0</v>
      </c>
      <c r="AX11" s="37">
        <f>RawData!BF743</f>
        <v>0</v>
      </c>
      <c r="AY11" s="36">
        <f>RawData!BG743</f>
        <v>0</v>
      </c>
      <c r="AZ11" s="36">
        <f>RawData!BH743</f>
        <v>0</v>
      </c>
      <c r="BA11" s="40">
        <f>RawData!BI743</f>
        <v>0</v>
      </c>
      <c r="BB11" s="44">
        <f>RawData!BJ743</f>
        <v>0</v>
      </c>
      <c r="BC11" s="44">
        <f>RawData!BK743</f>
        <v>0</v>
      </c>
      <c r="BD11" s="44">
        <f>RawData!BL743</f>
        <v>0</v>
      </c>
      <c r="BE11" s="44">
        <f>RawData!BM743</f>
        <v>0</v>
      </c>
      <c r="BF11" s="44">
        <f>RawData!BN743</f>
        <v>0</v>
      </c>
      <c r="BG11" s="63">
        <f>RawData!BO743</f>
        <v>0</v>
      </c>
      <c r="BH11" s="44">
        <f>RawData!BP743</f>
        <v>0</v>
      </c>
      <c r="BI11" s="63">
        <f>RawData!BQ743</f>
        <v>0</v>
      </c>
      <c r="BJ11" s="44">
        <f>RawData!BR743</f>
        <v>0</v>
      </c>
      <c r="BK11" s="47">
        <f>RawData!BS743</f>
        <v>0</v>
      </c>
      <c r="BL11" s="44">
        <f>RawData!BT743</f>
        <v>0</v>
      </c>
      <c r="BM11" s="47">
        <f>RawData!BV743</f>
        <v>0</v>
      </c>
      <c r="BN11" s="65">
        <f>RawData!CC743</f>
        <v>0</v>
      </c>
      <c r="BO11" s="66">
        <f>RawData!CD743</f>
        <v>0</v>
      </c>
      <c r="BQ11" s="21">
        <f t="shared" si="0"/>
        <v>0</v>
      </c>
    </row>
    <row r="12" spans="1:69" x14ac:dyDescent="0.2">
      <c r="A12" s="59">
        <f>RawData!P744</f>
        <v>0</v>
      </c>
      <c r="B12" s="44">
        <f>RawData!Q744</f>
        <v>0</v>
      </c>
      <c r="C12" s="44">
        <f>RawData!R744</f>
        <v>0</v>
      </c>
      <c r="D12" s="63">
        <f>RawData!S744</f>
        <v>0</v>
      </c>
      <c r="E12" s="44">
        <f>RawData!T744</f>
        <v>0</v>
      </c>
      <c r="F12" s="63">
        <f>RawData!U744</f>
        <v>0</v>
      </c>
      <c r="G12" s="44">
        <f>RawData!V744</f>
        <v>0</v>
      </c>
      <c r="H12" s="44">
        <f>RawData!W744</f>
        <v>0</v>
      </c>
      <c r="I12" s="44">
        <f>RawData!X744</f>
        <v>0</v>
      </c>
      <c r="J12" s="44">
        <f>RawData!Y744</f>
        <v>0</v>
      </c>
      <c r="K12" s="40">
        <f>RawData!Z744</f>
        <v>0</v>
      </c>
      <c r="L12" s="40">
        <f>RawData!AA744</f>
        <v>0</v>
      </c>
      <c r="M12" s="36">
        <f>RawData!AB744</f>
        <v>0</v>
      </c>
      <c r="N12" s="36">
        <f>RawData!AC744</f>
        <v>0</v>
      </c>
      <c r="O12" s="37">
        <f>RawData!AD744</f>
        <v>0</v>
      </c>
      <c r="P12" s="38">
        <f>RawData!AE744</f>
        <v>0</v>
      </c>
      <c r="Q12" s="39">
        <f>RawData!AF744</f>
        <v>0</v>
      </c>
      <c r="R12" s="38">
        <f>RawData!AG744</f>
        <v>0</v>
      </c>
      <c r="S12" s="40">
        <f>RawData!AH744</f>
        <v>0</v>
      </c>
      <c r="T12" s="40">
        <f>RawData!AI744</f>
        <v>0</v>
      </c>
      <c r="U12" s="40">
        <f>RawData!AJ744</f>
        <v>0</v>
      </c>
      <c r="V12" s="41">
        <f>RawData!AK744</f>
        <v>0</v>
      </c>
      <c r="W12" s="41">
        <f>RawData!AL744</f>
        <v>0</v>
      </c>
      <c r="X12" s="43">
        <f>RawData!CA744</f>
        <v>0</v>
      </c>
      <c r="Y12" s="41">
        <f>RawData!AM744</f>
        <v>0</v>
      </c>
      <c r="Z12" s="44">
        <f>RawData!CB744</f>
        <v>0</v>
      </c>
      <c r="AA12" s="44">
        <f>RawData!AN744</f>
        <v>0</v>
      </c>
      <c r="AB12" s="44">
        <f>RawData!AO744</f>
        <v>0</v>
      </c>
      <c r="AC12" s="44">
        <f>RawData!AP744</f>
        <v>0</v>
      </c>
      <c r="AD12" s="63">
        <f>RawData!BZ744</f>
        <v>0</v>
      </c>
      <c r="AE12" s="44">
        <f>RawData!AQ744</f>
        <v>0</v>
      </c>
      <c r="AF12" s="46">
        <f>RawData!O744</f>
        <v>0</v>
      </c>
      <c r="AG12" s="44">
        <f>RawData!AR744</f>
        <v>0</v>
      </c>
      <c r="AH12" s="44">
        <f>RawData!BY744</f>
        <v>0</v>
      </c>
      <c r="AI12" s="44">
        <f>RawData!AS744</f>
        <v>0</v>
      </c>
      <c r="AJ12" s="44">
        <f>RawData!AT744</f>
        <v>0</v>
      </c>
      <c r="AK12" s="44">
        <f>RawData!AU744</f>
        <v>0</v>
      </c>
      <c r="AL12" s="44">
        <f>RawData!BW744</f>
        <v>0</v>
      </c>
      <c r="AM12" s="41">
        <f>RawData!AV744</f>
        <v>0</v>
      </c>
      <c r="AN12" s="41">
        <f>RawData!BX744</f>
        <v>0</v>
      </c>
      <c r="AO12" s="41">
        <f>RawData!AW744</f>
        <v>0</v>
      </c>
      <c r="AP12" s="41">
        <f>RawData!AX744</f>
        <v>0</v>
      </c>
      <c r="AQ12" s="40">
        <f>RawData!AY744</f>
        <v>0</v>
      </c>
      <c r="AR12" s="40">
        <f>RawData!AZ744</f>
        <v>0</v>
      </c>
      <c r="AS12" s="40">
        <f>RawData!BA744</f>
        <v>0</v>
      </c>
      <c r="AT12" s="38">
        <f>RawData!BB744</f>
        <v>0</v>
      </c>
      <c r="AU12" s="40">
        <f>RawData!BC744</f>
        <v>0</v>
      </c>
      <c r="AV12" s="40">
        <f>RawData!BD744</f>
        <v>0</v>
      </c>
      <c r="AW12" s="38">
        <f>RawData!BE744</f>
        <v>0</v>
      </c>
      <c r="AX12" s="37">
        <f>RawData!BF744</f>
        <v>0</v>
      </c>
      <c r="AY12" s="36">
        <f>RawData!BG744</f>
        <v>0</v>
      </c>
      <c r="AZ12" s="36">
        <f>RawData!BH744</f>
        <v>0</v>
      </c>
      <c r="BA12" s="40">
        <f>RawData!BI744</f>
        <v>0</v>
      </c>
      <c r="BB12" s="44">
        <f>RawData!BJ744</f>
        <v>0</v>
      </c>
      <c r="BC12" s="44">
        <f>RawData!BK744</f>
        <v>0</v>
      </c>
      <c r="BD12" s="44">
        <f>RawData!BL744</f>
        <v>0</v>
      </c>
      <c r="BE12" s="44">
        <f>RawData!BM744</f>
        <v>0</v>
      </c>
      <c r="BF12" s="44">
        <f>RawData!BN744</f>
        <v>0</v>
      </c>
      <c r="BG12" s="63">
        <f>RawData!BO744</f>
        <v>0</v>
      </c>
      <c r="BH12" s="44">
        <f>RawData!BP744</f>
        <v>0</v>
      </c>
      <c r="BI12" s="63">
        <f>RawData!BQ744</f>
        <v>0</v>
      </c>
      <c r="BJ12" s="44">
        <f>RawData!BR744</f>
        <v>0</v>
      </c>
      <c r="BK12" s="47">
        <f>RawData!BS744</f>
        <v>0</v>
      </c>
      <c r="BL12" s="44">
        <f>RawData!BT744</f>
        <v>0</v>
      </c>
      <c r="BM12" s="47">
        <f>RawData!BV744</f>
        <v>0</v>
      </c>
      <c r="BN12" s="65">
        <f>RawData!CC744</f>
        <v>0</v>
      </c>
      <c r="BO12" s="66">
        <f>RawData!CD744</f>
        <v>0</v>
      </c>
      <c r="BQ12" s="21">
        <f t="shared" si="0"/>
        <v>0</v>
      </c>
    </row>
    <row r="13" spans="1:69" x14ac:dyDescent="0.2">
      <c r="A13" s="59">
        <f>RawData!P745</f>
        <v>0</v>
      </c>
      <c r="B13" s="44">
        <f>RawData!Q745</f>
        <v>0</v>
      </c>
      <c r="C13" s="44">
        <f>RawData!R745</f>
        <v>0</v>
      </c>
      <c r="D13" s="63">
        <f>RawData!S745</f>
        <v>0</v>
      </c>
      <c r="E13" s="44">
        <f>RawData!T745</f>
        <v>0</v>
      </c>
      <c r="F13" s="63">
        <f>RawData!U745</f>
        <v>0</v>
      </c>
      <c r="G13" s="44">
        <f>RawData!V745</f>
        <v>0</v>
      </c>
      <c r="H13" s="44">
        <f>RawData!W745</f>
        <v>0</v>
      </c>
      <c r="I13" s="44">
        <f>RawData!X745</f>
        <v>0</v>
      </c>
      <c r="J13" s="44">
        <f>RawData!Y745</f>
        <v>0</v>
      </c>
      <c r="K13" s="40">
        <f>RawData!Z745</f>
        <v>0</v>
      </c>
      <c r="L13" s="40">
        <f>RawData!AA745</f>
        <v>0</v>
      </c>
      <c r="M13" s="36">
        <f>RawData!AB745</f>
        <v>0</v>
      </c>
      <c r="N13" s="36">
        <f>RawData!AC745</f>
        <v>0</v>
      </c>
      <c r="O13" s="37">
        <f>RawData!AD745</f>
        <v>0</v>
      </c>
      <c r="P13" s="38">
        <f>RawData!AE745</f>
        <v>0</v>
      </c>
      <c r="Q13" s="39">
        <f>RawData!AF745</f>
        <v>0</v>
      </c>
      <c r="R13" s="38">
        <f>RawData!AG745</f>
        <v>0</v>
      </c>
      <c r="S13" s="40">
        <f>RawData!AH745</f>
        <v>0</v>
      </c>
      <c r="T13" s="40">
        <f>RawData!AI745</f>
        <v>0</v>
      </c>
      <c r="U13" s="40">
        <f>RawData!AJ745</f>
        <v>0</v>
      </c>
      <c r="V13" s="41">
        <f>RawData!AK745</f>
        <v>0</v>
      </c>
      <c r="W13" s="41">
        <f>RawData!AL745</f>
        <v>0</v>
      </c>
      <c r="X13" s="43">
        <f>RawData!CA745</f>
        <v>0</v>
      </c>
      <c r="Y13" s="41">
        <f>RawData!AM745</f>
        <v>0</v>
      </c>
      <c r="Z13" s="44">
        <f>RawData!CB745</f>
        <v>0</v>
      </c>
      <c r="AA13" s="44">
        <f>RawData!AN745</f>
        <v>0</v>
      </c>
      <c r="AB13" s="44">
        <f>RawData!AO745</f>
        <v>0</v>
      </c>
      <c r="AC13" s="44">
        <f>RawData!AP745</f>
        <v>0</v>
      </c>
      <c r="AD13" s="63">
        <f>RawData!BZ745</f>
        <v>0</v>
      </c>
      <c r="AE13" s="44">
        <f>RawData!AQ745</f>
        <v>0</v>
      </c>
      <c r="AF13" s="46">
        <f>RawData!O745</f>
        <v>0</v>
      </c>
      <c r="AG13" s="44">
        <f>RawData!AR745</f>
        <v>0</v>
      </c>
      <c r="AH13" s="44">
        <f>RawData!BY745</f>
        <v>0</v>
      </c>
      <c r="AI13" s="44">
        <f>RawData!AS745</f>
        <v>0</v>
      </c>
      <c r="AJ13" s="44">
        <f>RawData!AT745</f>
        <v>0</v>
      </c>
      <c r="AK13" s="44">
        <f>RawData!AU745</f>
        <v>0</v>
      </c>
      <c r="AL13" s="44">
        <f>RawData!BW745</f>
        <v>0</v>
      </c>
      <c r="AM13" s="41">
        <f>RawData!AV745</f>
        <v>0</v>
      </c>
      <c r="AN13" s="41">
        <f>RawData!BX745</f>
        <v>0</v>
      </c>
      <c r="AO13" s="41">
        <f>RawData!AW745</f>
        <v>0</v>
      </c>
      <c r="AP13" s="41">
        <f>RawData!AX745</f>
        <v>0</v>
      </c>
      <c r="AQ13" s="40">
        <f>RawData!AY745</f>
        <v>0</v>
      </c>
      <c r="AR13" s="40">
        <f>RawData!AZ745</f>
        <v>0</v>
      </c>
      <c r="AS13" s="40">
        <f>RawData!BA745</f>
        <v>0</v>
      </c>
      <c r="AT13" s="38">
        <f>RawData!BB745</f>
        <v>0</v>
      </c>
      <c r="AU13" s="40">
        <f>RawData!BC745</f>
        <v>0</v>
      </c>
      <c r="AV13" s="40">
        <f>RawData!BD745</f>
        <v>0</v>
      </c>
      <c r="AW13" s="38">
        <f>RawData!BE745</f>
        <v>0</v>
      </c>
      <c r="AX13" s="37">
        <f>RawData!BF745</f>
        <v>0</v>
      </c>
      <c r="AY13" s="36">
        <f>RawData!BG745</f>
        <v>0</v>
      </c>
      <c r="AZ13" s="36">
        <f>RawData!BH745</f>
        <v>0</v>
      </c>
      <c r="BA13" s="40">
        <f>RawData!BI745</f>
        <v>0</v>
      </c>
      <c r="BB13" s="44">
        <f>RawData!BJ745</f>
        <v>0</v>
      </c>
      <c r="BC13" s="44">
        <f>RawData!BK745</f>
        <v>0</v>
      </c>
      <c r="BD13" s="44">
        <f>RawData!BL745</f>
        <v>0</v>
      </c>
      <c r="BE13" s="44">
        <f>RawData!BM745</f>
        <v>0</v>
      </c>
      <c r="BF13" s="44">
        <f>RawData!BN745</f>
        <v>0</v>
      </c>
      <c r="BG13" s="63">
        <f>RawData!BO745</f>
        <v>0</v>
      </c>
      <c r="BH13" s="44">
        <f>RawData!BP745</f>
        <v>0</v>
      </c>
      <c r="BI13" s="63">
        <f>RawData!BQ745</f>
        <v>0</v>
      </c>
      <c r="BJ13" s="44">
        <f>RawData!BR745</f>
        <v>0</v>
      </c>
      <c r="BK13" s="47">
        <f>RawData!BS745</f>
        <v>0</v>
      </c>
      <c r="BL13" s="44">
        <f>RawData!BT745</f>
        <v>0</v>
      </c>
      <c r="BM13" s="47">
        <f>RawData!BV745</f>
        <v>0</v>
      </c>
      <c r="BN13" s="65">
        <f>RawData!CC745</f>
        <v>0</v>
      </c>
      <c r="BO13" s="66">
        <f>RawData!CD745</f>
        <v>0</v>
      </c>
      <c r="BQ13" s="21">
        <f t="shared" si="0"/>
        <v>0</v>
      </c>
    </row>
    <row r="14" spans="1:69" x14ac:dyDescent="0.2">
      <c r="A14" s="59">
        <f>RawData!P746</f>
        <v>0</v>
      </c>
      <c r="B14" s="44">
        <f>RawData!Q746</f>
        <v>0</v>
      </c>
      <c r="C14" s="44">
        <f>RawData!R746</f>
        <v>0</v>
      </c>
      <c r="D14" s="63">
        <f>RawData!S746</f>
        <v>0</v>
      </c>
      <c r="E14" s="44">
        <f>RawData!T746</f>
        <v>0</v>
      </c>
      <c r="F14" s="63">
        <f>RawData!U746</f>
        <v>0</v>
      </c>
      <c r="G14" s="44">
        <f>RawData!V746</f>
        <v>0</v>
      </c>
      <c r="H14" s="44">
        <f>RawData!W746</f>
        <v>0</v>
      </c>
      <c r="I14" s="44">
        <f>RawData!X746</f>
        <v>0</v>
      </c>
      <c r="J14" s="44">
        <f>RawData!Y746</f>
        <v>0</v>
      </c>
      <c r="K14" s="40">
        <f>RawData!Z746</f>
        <v>0</v>
      </c>
      <c r="L14" s="40">
        <f>RawData!AA746</f>
        <v>0</v>
      </c>
      <c r="M14" s="36">
        <f>RawData!AB746</f>
        <v>0</v>
      </c>
      <c r="N14" s="36">
        <f>RawData!AC746</f>
        <v>0</v>
      </c>
      <c r="O14" s="37">
        <f>RawData!AD746</f>
        <v>0</v>
      </c>
      <c r="P14" s="38">
        <f>RawData!AE746</f>
        <v>0</v>
      </c>
      <c r="Q14" s="39">
        <f>RawData!AF746</f>
        <v>0</v>
      </c>
      <c r="R14" s="38">
        <f>RawData!AG746</f>
        <v>0</v>
      </c>
      <c r="S14" s="40">
        <f>RawData!AH746</f>
        <v>0</v>
      </c>
      <c r="T14" s="40">
        <f>RawData!AI746</f>
        <v>0</v>
      </c>
      <c r="U14" s="40">
        <f>RawData!AJ746</f>
        <v>0</v>
      </c>
      <c r="V14" s="41">
        <f>RawData!AK746</f>
        <v>0</v>
      </c>
      <c r="W14" s="41">
        <f>RawData!AL746</f>
        <v>0</v>
      </c>
      <c r="X14" s="43">
        <f>RawData!CA746</f>
        <v>0</v>
      </c>
      <c r="Y14" s="41">
        <f>RawData!AM746</f>
        <v>0</v>
      </c>
      <c r="Z14" s="44">
        <f>RawData!CB746</f>
        <v>0</v>
      </c>
      <c r="AA14" s="44">
        <f>RawData!AN746</f>
        <v>0</v>
      </c>
      <c r="AB14" s="44">
        <f>RawData!AO746</f>
        <v>0</v>
      </c>
      <c r="AC14" s="44">
        <f>RawData!AP746</f>
        <v>0</v>
      </c>
      <c r="AD14" s="63">
        <f>RawData!BZ746</f>
        <v>0</v>
      </c>
      <c r="AE14" s="44">
        <f>RawData!AQ746</f>
        <v>0</v>
      </c>
      <c r="AF14" s="46">
        <f>RawData!O746</f>
        <v>0</v>
      </c>
      <c r="AG14" s="44">
        <f>RawData!AR746</f>
        <v>0</v>
      </c>
      <c r="AH14" s="44">
        <f>RawData!BY746</f>
        <v>0</v>
      </c>
      <c r="AI14" s="44">
        <f>RawData!AS746</f>
        <v>0</v>
      </c>
      <c r="AJ14" s="44">
        <f>RawData!AT746</f>
        <v>0</v>
      </c>
      <c r="AK14" s="44">
        <f>RawData!AU746</f>
        <v>0</v>
      </c>
      <c r="AL14" s="44">
        <f>RawData!BW746</f>
        <v>0</v>
      </c>
      <c r="AM14" s="41">
        <f>RawData!AV746</f>
        <v>0</v>
      </c>
      <c r="AN14" s="41">
        <f>RawData!BX746</f>
        <v>0</v>
      </c>
      <c r="AO14" s="41">
        <f>RawData!AW746</f>
        <v>0</v>
      </c>
      <c r="AP14" s="41">
        <f>RawData!AX746</f>
        <v>0</v>
      </c>
      <c r="AQ14" s="40">
        <f>RawData!AY746</f>
        <v>0</v>
      </c>
      <c r="AR14" s="40">
        <f>RawData!AZ746</f>
        <v>0</v>
      </c>
      <c r="AS14" s="40">
        <f>RawData!BA746</f>
        <v>0</v>
      </c>
      <c r="AT14" s="38">
        <f>RawData!BB746</f>
        <v>0</v>
      </c>
      <c r="AU14" s="40">
        <f>RawData!BC746</f>
        <v>0</v>
      </c>
      <c r="AV14" s="40">
        <f>RawData!BD746</f>
        <v>0</v>
      </c>
      <c r="AW14" s="38">
        <f>RawData!BE746</f>
        <v>0</v>
      </c>
      <c r="AX14" s="37">
        <f>RawData!BF746</f>
        <v>0</v>
      </c>
      <c r="AY14" s="36">
        <f>RawData!BG746</f>
        <v>0</v>
      </c>
      <c r="AZ14" s="36">
        <f>RawData!BH746</f>
        <v>0</v>
      </c>
      <c r="BA14" s="40">
        <f>RawData!BI746</f>
        <v>0</v>
      </c>
      <c r="BB14" s="44">
        <f>RawData!BJ746</f>
        <v>0</v>
      </c>
      <c r="BC14" s="44">
        <f>RawData!BK746</f>
        <v>0</v>
      </c>
      <c r="BD14" s="44">
        <f>RawData!BL746</f>
        <v>0</v>
      </c>
      <c r="BE14" s="44">
        <f>RawData!BM746</f>
        <v>0</v>
      </c>
      <c r="BF14" s="44">
        <f>RawData!BN746</f>
        <v>0</v>
      </c>
      <c r="BG14" s="63">
        <f>RawData!BO746</f>
        <v>0</v>
      </c>
      <c r="BH14" s="44">
        <f>RawData!BP746</f>
        <v>0</v>
      </c>
      <c r="BI14" s="63">
        <f>RawData!BQ746</f>
        <v>0</v>
      </c>
      <c r="BJ14" s="44">
        <f>RawData!BR746</f>
        <v>0</v>
      </c>
      <c r="BK14" s="47">
        <f>RawData!BS746</f>
        <v>0</v>
      </c>
      <c r="BL14" s="44">
        <f>RawData!BT746</f>
        <v>0</v>
      </c>
      <c r="BM14" s="47">
        <f>RawData!BV746</f>
        <v>0</v>
      </c>
      <c r="BN14" s="65">
        <f>RawData!CC746</f>
        <v>0</v>
      </c>
      <c r="BO14" s="66">
        <f>RawData!CD746</f>
        <v>0</v>
      </c>
      <c r="BQ14" s="21">
        <f t="shared" si="0"/>
        <v>0</v>
      </c>
    </row>
    <row r="15" spans="1:69" x14ac:dyDescent="0.2">
      <c r="A15" s="59">
        <f>RawData!P747</f>
        <v>0</v>
      </c>
      <c r="B15" s="44">
        <f>RawData!Q747</f>
        <v>0</v>
      </c>
      <c r="C15" s="44">
        <f>RawData!R747</f>
        <v>0</v>
      </c>
      <c r="D15" s="63">
        <f>RawData!S747</f>
        <v>0</v>
      </c>
      <c r="E15" s="44">
        <f>RawData!T747</f>
        <v>0</v>
      </c>
      <c r="F15" s="63">
        <f>RawData!U747</f>
        <v>0</v>
      </c>
      <c r="G15" s="44">
        <f>RawData!V747</f>
        <v>0</v>
      </c>
      <c r="H15" s="44">
        <f>RawData!W747</f>
        <v>0</v>
      </c>
      <c r="I15" s="44">
        <f>RawData!X747</f>
        <v>0</v>
      </c>
      <c r="J15" s="44">
        <f>RawData!Y747</f>
        <v>0</v>
      </c>
      <c r="K15" s="40">
        <f>RawData!Z747</f>
        <v>0</v>
      </c>
      <c r="L15" s="40">
        <f>RawData!AA747</f>
        <v>0</v>
      </c>
      <c r="M15" s="36">
        <f>RawData!AB747</f>
        <v>0</v>
      </c>
      <c r="N15" s="36">
        <f>RawData!AC747</f>
        <v>0</v>
      </c>
      <c r="O15" s="37">
        <f>RawData!AD747</f>
        <v>0</v>
      </c>
      <c r="P15" s="38">
        <f>RawData!AE747</f>
        <v>0</v>
      </c>
      <c r="Q15" s="39">
        <f>RawData!AF747</f>
        <v>0</v>
      </c>
      <c r="R15" s="38">
        <f>RawData!AG747</f>
        <v>0</v>
      </c>
      <c r="S15" s="40">
        <f>RawData!AH747</f>
        <v>0</v>
      </c>
      <c r="T15" s="40">
        <f>RawData!AI747</f>
        <v>0</v>
      </c>
      <c r="U15" s="40">
        <f>RawData!AJ747</f>
        <v>0</v>
      </c>
      <c r="V15" s="41">
        <f>RawData!AK747</f>
        <v>0</v>
      </c>
      <c r="W15" s="41">
        <f>RawData!AL747</f>
        <v>0</v>
      </c>
      <c r="X15" s="43">
        <f>RawData!CA747</f>
        <v>0</v>
      </c>
      <c r="Y15" s="41">
        <f>RawData!AM747</f>
        <v>0</v>
      </c>
      <c r="Z15" s="44">
        <f>RawData!CB747</f>
        <v>0</v>
      </c>
      <c r="AA15" s="44">
        <f>RawData!AN747</f>
        <v>0</v>
      </c>
      <c r="AB15" s="44">
        <f>RawData!AO747</f>
        <v>0</v>
      </c>
      <c r="AC15" s="44">
        <f>RawData!AP747</f>
        <v>0</v>
      </c>
      <c r="AD15" s="63">
        <f>RawData!BZ747</f>
        <v>0</v>
      </c>
      <c r="AE15" s="44">
        <f>RawData!AQ747</f>
        <v>0</v>
      </c>
      <c r="AF15" s="46">
        <f>RawData!O747</f>
        <v>0</v>
      </c>
      <c r="AG15" s="44">
        <f>RawData!AR747</f>
        <v>0</v>
      </c>
      <c r="AH15" s="44">
        <f>RawData!BY747</f>
        <v>0</v>
      </c>
      <c r="AI15" s="44">
        <f>RawData!AS747</f>
        <v>0</v>
      </c>
      <c r="AJ15" s="44">
        <f>RawData!AT747</f>
        <v>0</v>
      </c>
      <c r="AK15" s="44">
        <f>RawData!AU747</f>
        <v>0</v>
      </c>
      <c r="AL15" s="44">
        <f>RawData!BW747</f>
        <v>0</v>
      </c>
      <c r="AM15" s="41">
        <f>RawData!AV747</f>
        <v>0</v>
      </c>
      <c r="AN15" s="41">
        <f>RawData!BX747</f>
        <v>0</v>
      </c>
      <c r="AO15" s="41">
        <f>RawData!AW747</f>
        <v>0</v>
      </c>
      <c r="AP15" s="41">
        <f>RawData!AX747</f>
        <v>0</v>
      </c>
      <c r="AQ15" s="40">
        <f>RawData!AY747</f>
        <v>0</v>
      </c>
      <c r="AR15" s="40">
        <f>RawData!AZ747</f>
        <v>0</v>
      </c>
      <c r="AS15" s="40">
        <f>RawData!BA747</f>
        <v>0</v>
      </c>
      <c r="AT15" s="38">
        <f>RawData!BB747</f>
        <v>0</v>
      </c>
      <c r="AU15" s="40">
        <f>RawData!BC747</f>
        <v>0</v>
      </c>
      <c r="AV15" s="40">
        <f>RawData!BD747</f>
        <v>0</v>
      </c>
      <c r="AW15" s="38">
        <f>RawData!BE747</f>
        <v>0</v>
      </c>
      <c r="AX15" s="37">
        <f>RawData!BF747</f>
        <v>0</v>
      </c>
      <c r="AY15" s="36">
        <f>RawData!BG747</f>
        <v>0</v>
      </c>
      <c r="AZ15" s="36">
        <f>RawData!BH747</f>
        <v>0</v>
      </c>
      <c r="BA15" s="40">
        <f>RawData!BI747</f>
        <v>0</v>
      </c>
      <c r="BB15" s="44">
        <f>RawData!BJ747</f>
        <v>0</v>
      </c>
      <c r="BC15" s="44">
        <f>RawData!BK747</f>
        <v>0</v>
      </c>
      <c r="BD15" s="44">
        <f>RawData!BL747</f>
        <v>0</v>
      </c>
      <c r="BE15" s="44">
        <f>RawData!BM747</f>
        <v>0</v>
      </c>
      <c r="BF15" s="44">
        <f>RawData!BN747</f>
        <v>0</v>
      </c>
      <c r="BG15" s="63">
        <f>RawData!BO747</f>
        <v>0</v>
      </c>
      <c r="BH15" s="44">
        <f>RawData!BP747</f>
        <v>0</v>
      </c>
      <c r="BI15" s="63">
        <f>RawData!BQ747</f>
        <v>0</v>
      </c>
      <c r="BJ15" s="44">
        <f>RawData!BR747</f>
        <v>0</v>
      </c>
      <c r="BK15" s="47">
        <f>RawData!BS747</f>
        <v>0</v>
      </c>
      <c r="BL15" s="44">
        <f>RawData!BT747</f>
        <v>0</v>
      </c>
      <c r="BM15" s="47">
        <f>RawData!BV747</f>
        <v>0</v>
      </c>
      <c r="BN15" s="65">
        <f>RawData!CC747</f>
        <v>0</v>
      </c>
      <c r="BO15" s="66">
        <f>RawData!CD747</f>
        <v>0</v>
      </c>
      <c r="BQ15" s="21">
        <f t="shared" si="0"/>
        <v>0</v>
      </c>
    </row>
    <row r="16" spans="1:69" x14ac:dyDescent="0.2">
      <c r="A16" s="59">
        <f>RawData!P748</f>
        <v>0</v>
      </c>
      <c r="B16" s="44">
        <f>RawData!Q748</f>
        <v>0</v>
      </c>
      <c r="C16" s="44">
        <f>RawData!R748</f>
        <v>0</v>
      </c>
      <c r="D16" s="63">
        <f>RawData!S748</f>
        <v>0</v>
      </c>
      <c r="E16" s="44">
        <f>RawData!T748</f>
        <v>0</v>
      </c>
      <c r="F16" s="63">
        <f>RawData!U748</f>
        <v>0</v>
      </c>
      <c r="G16" s="44">
        <f>RawData!V748</f>
        <v>0</v>
      </c>
      <c r="H16" s="44">
        <f>RawData!W748</f>
        <v>0</v>
      </c>
      <c r="I16" s="44">
        <f>RawData!X748</f>
        <v>0</v>
      </c>
      <c r="J16" s="44">
        <f>RawData!Y748</f>
        <v>0</v>
      </c>
      <c r="K16" s="40">
        <f>RawData!Z748</f>
        <v>0</v>
      </c>
      <c r="L16" s="40">
        <f>RawData!AA748</f>
        <v>0</v>
      </c>
      <c r="M16" s="36">
        <f>RawData!AB748</f>
        <v>0</v>
      </c>
      <c r="N16" s="36">
        <f>RawData!AC748</f>
        <v>0</v>
      </c>
      <c r="O16" s="37">
        <f>RawData!AD748</f>
        <v>0</v>
      </c>
      <c r="P16" s="38">
        <f>RawData!AE748</f>
        <v>0</v>
      </c>
      <c r="Q16" s="39">
        <f>RawData!AF748</f>
        <v>0</v>
      </c>
      <c r="R16" s="38">
        <f>RawData!AG748</f>
        <v>0</v>
      </c>
      <c r="S16" s="40">
        <f>RawData!AH748</f>
        <v>0</v>
      </c>
      <c r="T16" s="40">
        <f>RawData!AI748</f>
        <v>0</v>
      </c>
      <c r="U16" s="40">
        <f>RawData!AJ748</f>
        <v>0</v>
      </c>
      <c r="V16" s="41">
        <f>RawData!AK748</f>
        <v>0</v>
      </c>
      <c r="W16" s="41">
        <f>RawData!AL748</f>
        <v>0</v>
      </c>
      <c r="X16" s="43">
        <f>RawData!CA748</f>
        <v>0</v>
      </c>
      <c r="Y16" s="41">
        <f>RawData!AM748</f>
        <v>0</v>
      </c>
      <c r="Z16" s="44">
        <f>RawData!CB748</f>
        <v>0</v>
      </c>
      <c r="AA16" s="44">
        <f>RawData!AN748</f>
        <v>0</v>
      </c>
      <c r="AB16" s="44">
        <f>RawData!AO748</f>
        <v>0</v>
      </c>
      <c r="AC16" s="44">
        <f>RawData!AP748</f>
        <v>0</v>
      </c>
      <c r="AD16" s="63">
        <f>RawData!BZ748</f>
        <v>0</v>
      </c>
      <c r="AE16" s="44">
        <f>RawData!AQ748</f>
        <v>0</v>
      </c>
      <c r="AF16" s="46">
        <f>RawData!O748</f>
        <v>0</v>
      </c>
      <c r="AG16" s="44">
        <f>RawData!AR748</f>
        <v>0</v>
      </c>
      <c r="AH16" s="44">
        <f>RawData!BY748</f>
        <v>0</v>
      </c>
      <c r="AI16" s="44">
        <f>RawData!AS748</f>
        <v>0</v>
      </c>
      <c r="AJ16" s="44">
        <f>RawData!AT748</f>
        <v>0</v>
      </c>
      <c r="AK16" s="44">
        <f>RawData!AU748</f>
        <v>0</v>
      </c>
      <c r="AL16" s="44">
        <f>RawData!BW748</f>
        <v>0</v>
      </c>
      <c r="AM16" s="41">
        <f>RawData!AV748</f>
        <v>0</v>
      </c>
      <c r="AN16" s="41">
        <f>RawData!BX748</f>
        <v>0</v>
      </c>
      <c r="AO16" s="41">
        <f>RawData!AW748</f>
        <v>0</v>
      </c>
      <c r="AP16" s="41">
        <f>RawData!AX748</f>
        <v>0</v>
      </c>
      <c r="AQ16" s="40">
        <f>RawData!AY748</f>
        <v>0</v>
      </c>
      <c r="AR16" s="40">
        <f>RawData!AZ748</f>
        <v>0</v>
      </c>
      <c r="AS16" s="40">
        <f>RawData!BA748</f>
        <v>0</v>
      </c>
      <c r="AT16" s="38">
        <f>RawData!BB748</f>
        <v>0</v>
      </c>
      <c r="AU16" s="40">
        <f>RawData!BC748</f>
        <v>0</v>
      </c>
      <c r="AV16" s="40">
        <f>RawData!BD748</f>
        <v>0</v>
      </c>
      <c r="AW16" s="38">
        <f>RawData!BE748</f>
        <v>0</v>
      </c>
      <c r="AX16" s="37">
        <f>RawData!BF748</f>
        <v>0</v>
      </c>
      <c r="AY16" s="36">
        <f>RawData!BG748</f>
        <v>0</v>
      </c>
      <c r="AZ16" s="36">
        <f>RawData!BH748</f>
        <v>0</v>
      </c>
      <c r="BA16" s="40">
        <f>RawData!BI748</f>
        <v>0</v>
      </c>
      <c r="BB16" s="44">
        <f>RawData!BJ748</f>
        <v>0</v>
      </c>
      <c r="BC16" s="44">
        <f>RawData!BK748</f>
        <v>0</v>
      </c>
      <c r="BD16" s="44">
        <f>RawData!BL748</f>
        <v>0</v>
      </c>
      <c r="BE16" s="44">
        <f>RawData!BM748</f>
        <v>0</v>
      </c>
      <c r="BF16" s="44">
        <f>RawData!BN748</f>
        <v>0</v>
      </c>
      <c r="BG16" s="63">
        <f>RawData!BO748</f>
        <v>0</v>
      </c>
      <c r="BH16" s="44">
        <f>RawData!BP748</f>
        <v>0</v>
      </c>
      <c r="BI16" s="63">
        <f>RawData!BQ748</f>
        <v>0</v>
      </c>
      <c r="BJ16" s="44">
        <f>RawData!BR748</f>
        <v>0</v>
      </c>
      <c r="BK16" s="47">
        <f>RawData!BS748</f>
        <v>0</v>
      </c>
      <c r="BL16" s="44">
        <f>RawData!BT748</f>
        <v>0</v>
      </c>
      <c r="BM16" s="47">
        <f>RawData!BV748</f>
        <v>0</v>
      </c>
      <c r="BN16" s="65">
        <f>RawData!CC748</f>
        <v>0</v>
      </c>
      <c r="BO16" s="66">
        <f>RawData!CD748</f>
        <v>0</v>
      </c>
      <c r="BQ16" s="21">
        <f t="shared" si="0"/>
        <v>0</v>
      </c>
    </row>
    <row r="17" spans="1:69" x14ac:dyDescent="0.2">
      <c r="A17" s="59">
        <f>RawData!P749</f>
        <v>0</v>
      </c>
      <c r="B17" s="44">
        <f>RawData!Q749</f>
        <v>0</v>
      </c>
      <c r="C17" s="44">
        <f>RawData!R749</f>
        <v>0</v>
      </c>
      <c r="D17" s="63">
        <f>RawData!S749</f>
        <v>0</v>
      </c>
      <c r="E17" s="44">
        <f>RawData!T749</f>
        <v>0</v>
      </c>
      <c r="F17" s="63">
        <f>RawData!U749</f>
        <v>0</v>
      </c>
      <c r="G17" s="44">
        <f>RawData!V749</f>
        <v>0</v>
      </c>
      <c r="H17" s="44">
        <f>RawData!W749</f>
        <v>0</v>
      </c>
      <c r="I17" s="44">
        <f>RawData!X749</f>
        <v>0</v>
      </c>
      <c r="J17" s="44">
        <f>RawData!Y749</f>
        <v>0</v>
      </c>
      <c r="K17" s="40">
        <f>RawData!Z749</f>
        <v>0</v>
      </c>
      <c r="L17" s="40">
        <f>RawData!AA749</f>
        <v>0</v>
      </c>
      <c r="M17" s="36">
        <f>RawData!AB749</f>
        <v>0</v>
      </c>
      <c r="N17" s="36">
        <f>RawData!AC749</f>
        <v>0</v>
      </c>
      <c r="O17" s="37">
        <f>RawData!AD749</f>
        <v>0</v>
      </c>
      <c r="P17" s="38">
        <f>RawData!AE749</f>
        <v>0</v>
      </c>
      <c r="Q17" s="39">
        <f>RawData!AF749</f>
        <v>0</v>
      </c>
      <c r="R17" s="38">
        <f>RawData!AG749</f>
        <v>0</v>
      </c>
      <c r="S17" s="40">
        <f>RawData!AH749</f>
        <v>0</v>
      </c>
      <c r="T17" s="40">
        <f>RawData!AI749</f>
        <v>0</v>
      </c>
      <c r="U17" s="40">
        <f>RawData!AJ749</f>
        <v>0</v>
      </c>
      <c r="V17" s="41">
        <f>RawData!AK749</f>
        <v>0</v>
      </c>
      <c r="W17" s="41">
        <f>RawData!AL749</f>
        <v>0</v>
      </c>
      <c r="X17" s="43">
        <f>RawData!CA749</f>
        <v>0</v>
      </c>
      <c r="Y17" s="41">
        <f>RawData!AM749</f>
        <v>0</v>
      </c>
      <c r="Z17" s="44">
        <f>RawData!CB749</f>
        <v>0</v>
      </c>
      <c r="AA17" s="44">
        <f>RawData!AN749</f>
        <v>0</v>
      </c>
      <c r="AB17" s="44">
        <f>RawData!AO749</f>
        <v>0</v>
      </c>
      <c r="AC17" s="44">
        <f>RawData!AP749</f>
        <v>0</v>
      </c>
      <c r="AD17" s="63">
        <f>RawData!BZ749</f>
        <v>0</v>
      </c>
      <c r="AE17" s="44">
        <f>RawData!AQ749</f>
        <v>0</v>
      </c>
      <c r="AF17" s="46">
        <f>RawData!O749</f>
        <v>0</v>
      </c>
      <c r="AG17" s="44">
        <f>RawData!AR749</f>
        <v>0</v>
      </c>
      <c r="AH17" s="44">
        <f>RawData!BY749</f>
        <v>0</v>
      </c>
      <c r="AI17" s="44">
        <f>RawData!AS749</f>
        <v>0</v>
      </c>
      <c r="AJ17" s="44">
        <f>RawData!AT749</f>
        <v>0</v>
      </c>
      <c r="AK17" s="44">
        <f>RawData!AU749</f>
        <v>0</v>
      </c>
      <c r="AL17" s="44">
        <f>RawData!BW749</f>
        <v>0</v>
      </c>
      <c r="AM17" s="41">
        <f>RawData!AV749</f>
        <v>0</v>
      </c>
      <c r="AN17" s="41">
        <f>RawData!BX749</f>
        <v>0</v>
      </c>
      <c r="AO17" s="41">
        <f>RawData!AW749</f>
        <v>0</v>
      </c>
      <c r="AP17" s="41">
        <f>RawData!AX749</f>
        <v>0</v>
      </c>
      <c r="AQ17" s="40">
        <f>RawData!AY749</f>
        <v>0</v>
      </c>
      <c r="AR17" s="40">
        <f>RawData!AZ749</f>
        <v>0</v>
      </c>
      <c r="AS17" s="40">
        <f>RawData!BA749</f>
        <v>0</v>
      </c>
      <c r="AT17" s="38">
        <f>RawData!BB749</f>
        <v>0</v>
      </c>
      <c r="AU17" s="40">
        <f>RawData!BC749</f>
        <v>0</v>
      </c>
      <c r="AV17" s="40">
        <f>RawData!BD749</f>
        <v>0</v>
      </c>
      <c r="AW17" s="38">
        <f>RawData!BE749</f>
        <v>0</v>
      </c>
      <c r="AX17" s="37">
        <f>RawData!BF749</f>
        <v>0</v>
      </c>
      <c r="AY17" s="36">
        <f>RawData!BG749</f>
        <v>0</v>
      </c>
      <c r="AZ17" s="36">
        <f>RawData!BH749</f>
        <v>0</v>
      </c>
      <c r="BA17" s="40">
        <f>RawData!BI749</f>
        <v>0</v>
      </c>
      <c r="BB17" s="44">
        <f>RawData!BJ749</f>
        <v>0</v>
      </c>
      <c r="BC17" s="44">
        <f>RawData!BK749</f>
        <v>0</v>
      </c>
      <c r="BD17" s="44">
        <f>RawData!BL749</f>
        <v>0</v>
      </c>
      <c r="BE17" s="44">
        <f>RawData!BM749</f>
        <v>0</v>
      </c>
      <c r="BF17" s="44">
        <f>RawData!BN749</f>
        <v>0</v>
      </c>
      <c r="BG17" s="63">
        <f>RawData!BO749</f>
        <v>0</v>
      </c>
      <c r="BH17" s="44">
        <f>RawData!BP749</f>
        <v>0</v>
      </c>
      <c r="BI17" s="63">
        <f>RawData!BQ749</f>
        <v>0</v>
      </c>
      <c r="BJ17" s="44">
        <f>RawData!BR749</f>
        <v>0</v>
      </c>
      <c r="BK17" s="47">
        <f>RawData!BS749</f>
        <v>0</v>
      </c>
      <c r="BL17" s="44">
        <f>RawData!BT749</f>
        <v>0</v>
      </c>
      <c r="BM17" s="47">
        <f>RawData!BV749</f>
        <v>0</v>
      </c>
      <c r="BN17" s="65">
        <f>RawData!CC749</f>
        <v>0</v>
      </c>
      <c r="BO17" s="66">
        <f>RawData!CD749</f>
        <v>0</v>
      </c>
      <c r="BQ17" s="21">
        <f t="shared" si="0"/>
        <v>0</v>
      </c>
    </row>
    <row r="18" spans="1:69" x14ac:dyDescent="0.2">
      <c r="A18" s="59">
        <f>RawData!P750</f>
        <v>0</v>
      </c>
      <c r="B18" s="44">
        <f>RawData!Q750</f>
        <v>0</v>
      </c>
      <c r="C18" s="44">
        <f>RawData!R750</f>
        <v>0</v>
      </c>
      <c r="D18" s="63">
        <f>RawData!S750</f>
        <v>0</v>
      </c>
      <c r="E18" s="44">
        <f>RawData!T750</f>
        <v>0</v>
      </c>
      <c r="F18" s="63">
        <f>RawData!U750</f>
        <v>0</v>
      </c>
      <c r="G18" s="44">
        <f>RawData!V750</f>
        <v>0</v>
      </c>
      <c r="H18" s="44">
        <f>RawData!W750</f>
        <v>0</v>
      </c>
      <c r="I18" s="44">
        <f>RawData!X750</f>
        <v>0</v>
      </c>
      <c r="J18" s="44">
        <f>RawData!Y750</f>
        <v>0</v>
      </c>
      <c r="K18" s="40">
        <f>RawData!Z750</f>
        <v>0</v>
      </c>
      <c r="L18" s="40">
        <f>RawData!AA750</f>
        <v>0</v>
      </c>
      <c r="M18" s="36">
        <f>RawData!AB750</f>
        <v>0</v>
      </c>
      <c r="N18" s="36">
        <f>RawData!AC750</f>
        <v>0</v>
      </c>
      <c r="O18" s="37">
        <f>RawData!AD750</f>
        <v>0</v>
      </c>
      <c r="P18" s="38">
        <f>RawData!AE750</f>
        <v>0</v>
      </c>
      <c r="Q18" s="39">
        <f>RawData!AF750</f>
        <v>0</v>
      </c>
      <c r="R18" s="38">
        <f>RawData!AG750</f>
        <v>0</v>
      </c>
      <c r="S18" s="40">
        <f>RawData!AH750</f>
        <v>0</v>
      </c>
      <c r="T18" s="40">
        <f>RawData!AI750</f>
        <v>0</v>
      </c>
      <c r="U18" s="40">
        <f>RawData!AJ750</f>
        <v>0</v>
      </c>
      <c r="V18" s="41">
        <f>RawData!AK750</f>
        <v>0</v>
      </c>
      <c r="W18" s="41">
        <f>RawData!AL750</f>
        <v>0</v>
      </c>
      <c r="X18" s="43">
        <f>RawData!CA750</f>
        <v>0</v>
      </c>
      <c r="Y18" s="41">
        <f>RawData!AM750</f>
        <v>0</v>
      </c>
      <c r="Z18" s="44">
        <f>RawData!CB750</f>
        <v>0</v>
      </c>
      <c r="AA18" s="44">
        <f>RawData!AN750</f>
        <v>0</v>
      </c>
      <c r="AB18" s="44">
        <f>RawData!AO750</f>
        <v>0</v>
      </c>
      <c r="AC18" s="44">
        <f>RawData!AP750</f>
        <v>0</v>
      </c>
      <c r="AD18" s="63">
        <f>RawData!BZ750</f>
        <v>0</v>
      </c>
      <c r="AE18" s="44">
        <f>RawData!AQ750</f>
        <v>0</v>
      </c>
      <c r="AF18" s="46">
        <f>RawData!O750</f>
        <v>0</v>
      </c>
      <c r="AG18" s="44">
        <f>RawData!AR750</f>
        <v>0</v>
      </c>
      <c r="AH18" s="44">
        <f>RawData!BY750</f>
        <v>0</v>
      </c>
      <c r="AI18" s="44">
        <f>RawData!AS750</f>
        <v>0</v>
      </c>
      <c r="AJ18" s="44">
        <f>RawData!AT750</f>
        <v>0</v>
      </c>
      <c r="AK18" s="44">
        <f>RawData!AU750</f>
        <v>0</v>
      </c>
      <c r="AL18" s="44">
        <f>RawData!BW750</f>
        <v>0</v>
      </c>
      <c r="AM18" s="41">
        <f>RawData!AV750</f>
        <v>0</v>
      </c>
      <c r="AN18" s="41">
        <f>RawData!BX750</f>
        <v>0</v>
      </c>
      <c r="AO18" s="41">
        <f>RawData!AW750</f>
        <v>0</v>
      </c>
      <c r="AP18" s="41">
        <f>RawData!AX750</f>
        <v>0</v>
      </c>
      <c r="AQ18" s="40">
        <f>RawData!AY750</f>
        <v>0</v>
      </c>
      <c r="AR18" s="40">
        <f>RawData!AZ750</f>
        <v>0</v>
      </c>
      <c r="AS18" s="40">
        <f>RawData!BA750</f>
        <v>0</v>
      </c>
      <c r="AT18" s="38">
        <f>RawData!BB750</f>
        <v>0</v>
      </c>
      <c r="AU18" s="40">
        <f>RawData!BC750</f>
        <v>0</v>
      </c>
      <c r="AV18" s="40">
        <f>RawData!BD750</f>
        <v>0</v>
      </c>
      <c r="AW18" s="38">
        <f>RawData!BE750</f>
        <v>0</v>
      </c>
      <c r="AX18" s="37">
        <f>RawData!BF750</f>
        <v>0</v>
      </c>
      <c r="AY18" s="36">
        <f>RawData!BG750</f>
        <v>0</v>
      </c>
      <c r="AZ18" s="36">
        <f>RawData!BH750</f>
        <v>0</v>
      </c>
      <c r="BA18" s="40">
        <f>RawData!BI750</f>
        <v>0</v>
      </c>
      <c r="BB18" s="44">
        <f>RawData!BJ750</f>
        <v>0</v>
      </c>
      <c r="BC18" s="44">
        <f>RawData!BK750</f>
        <v>0</v>
      </c>
      <c r="BD18" s="44">
        <f>RawData!BL750</f>
        <v>0</v>
      </c>
      <c r="BE18" s="44">
        <f>RawData!BM750</f>
        <v>0</v>
      </c>
      <c r="BF18" s="44">
        <f>RawData!BN750</f>
        <v>0</v>
      </c>
      <c r="BG18" s="63">
        <f>RawData!BO750</f>
        <v>0</v>
      </c>
      <c r="BH18" s="44">
        <f>RawData!BP750</f>
        <v>0</v>
      </c>
      <c r="BI18" s="63">
        <f>RawData!BQ750</f>
        <v>0</v>
      </c>
      <c r="BJ18" s="44">
        <f>RawData!BR750</f>
        <v>0</v>
      </c>
      <c r="BK18" s="47">
        <f>RawData!BS750</f>
        <v>0</v>
      </c>
      <c r="BL18" s="44">
        <f>RawData!BT750</f>
        <v>0</v>
      </c>
      <c r="BM18" s="47">
        <f>RawData!BV750</f>
        <v>0</v>
      </c>
      <c r="BN18" s="65">
        <f>RawData!CC750</f>
        <v>0</v>
      </c>
      <c r="BO18" s="66">
        <f>RawData!CD750</f>
        <v>0</v>
      </c>
      <c r="BQ18" s="21">
        <f t="shared" si="0"/>
        <v>0</v>
      </c>
    </row>
    <row r="19" spans="1:69" x14ac:dyDescent="0.2">
      <c r="A19" s="59">
        <f>RawData!P751</f>
        <v>0</v>
      </c>
      <c r="B19" s="44">
        <f>RawData!Q751</f>
        <v>0</v>
      </c>
      <c r="C19" s="44">
        <f>RawData!R751</f>
        <v>0</v>
      </c>
      <c r="D19" s="63">
        <f>RawData!S751</f>
        <v>0</v>
      </c>
      <c r="E19" s="44">
        <f>RawData!T751</f>
        <v>0</v>
      </c>
      <c r="F19" s="63">
        <f>RawData!U751</f>
        <v>0</v>
      </c>
      <c r="G19" s="44">
        <f>RawData!V751</f>
        <v>0</v>
      </c>
      <c r="H19" s="44">
        <f>RawData!W751</f>
        <v>0</v>
      </c>
      <c r="I19" s="44">
        <f>RawData!X751</f>
        <v>0</v>
      </c>
      <c r="J19" s="44">
        <f>RawData!Y751</f>
        <v>0</v>
      </c>
      <c r="K19" s="40">
        <f>RawData!Z751</f>
        <v>0</v>
      </c>
      <c r="L19" s="40">
        <f>RawData!AA751</f>
        <v>0</v>
      </c>
      <c r="M19" s="36">
        <f>RawData!AB751</f>
        <v>0</v>
      </c>
      <c r="N19" s="36">
        <f>RawData!AC751</f>
        <v>0</v>
      </c>
      <c r="O19" s="37">
        <f>RawData!AD751</f>
        <v>0</v>
      </c>
      <c r="P19" s="38">
        <f>RawData!AE751</f>
        <v>0</v>
      </c>
      <c r="Q19" s="39">
        <f>RawData!AF751</f>
        <v>0</v>
      </c>
      <c r="R19" s="38">
        <f>RawData!AG751</f>
        <v>0</v>
      </c>
      <c r="S19" s="40">
        <f>RawData!AH751</f>
        <v>0</v>
      </c>
      <c r="T19" s="40">
        <f>RawData!AI751</f>
        <v>0</v>
      </c>
      <c r="U19" s="40">
        <f>RawData!AJ751</f>
        <v>0</v>
      </c>
      <c r="V19" s="41">
        <f>RawData!AK751</f>
        <v>0</v>
      </c>
      <c r="W19" s="41">
        <f>RawData!AL751</f>
        <v>0</v>
      </c>
      <c r="X19" s="43">
        <f>RawData!CA751</f>
        <v>0</v>
      </c>
      <c r="Y19" s="41">
        <f>RawData!AM751</f>
        <v>0</v>
      </c>
      <c r="Z19" s="44">
        <f>RawData!CB751</f>
        <v>0</v>
      </c>
      <c r="AA19" s="44">
        <f>RawData!AN751</f>
        <v>0</v>
      </c>
      <c r="AB19" s="44">
        <f>RawData!AO751</f>
        <v>0</v>
      </c>
      <c r="AC19" s="44">
        <f>RawData!AP751</f>
        <v>0</v>
      </c>
      <c r="AD19" s="63">
        <f>RawData!BZ751</f>
        <v>0</v>
      </c>
      <c r="AE19" s="44">
        <f>RawData!AQ751</f>
        <v>0</v>
      </c>
      <c r="AF19" s="46">
        <f>RawData!O751</f>
        <v>0</v>
      </c>
      <c r="AG19" s="44">
        <f>RawData!AR751</f>
        <v>0</v>
      </c>
      <c r="AH19" s="44">
        <f>RawData!BY751</f>
        <v>0</v>
      </c>
      <c r="AI19" s="44">
        <f>RawData!AS751</f>
        <v>0</v>
      </c>
      <c r="AJ19" s="44">
        <f>RawData!AT751</f>
        <v>0</v>
      </c>
      <c r="AK19" s="44">
        <f>RawData!AU751</f>
        <v>0</v>
      </c>
      <c r="AL19" s="44">
        <f>RawData!BW751</f>
        <v>0</v>
      </c>
      <c r="AM19" s="41">
        <f>RawData!AV751</f>
        <v>0</v>
      </c>
      <c r="AN19" s="41">
        <f>RawData!BX751</f>
        <v>0</v>
      </c>
      <c r="AO19" s="41">
        <f>RawData!AW751</f>
        <v>0</v>
      </c>
      <c r="AP19" s="41">
        <f>RawData!AX751</f>
        <v>0</v>
      </c>
      <c r="AQ19" s="40">
        <f>RawData!AY751</f>
        <v>0</v>
      </c>
      <c r="AR19" s="40">
        <f>RawData!AZ751</f>
        <v>0</v>
      </c>
      <c r="AS19" s="40">
        <f>RawData!BA751</f>
        <v>0</v>
      </c>
      <c r="AT19" s="38">
        <f>RawData!BB751</f>
        <v>0</v>
      </c>
      <c r="AU19" s="40">
        <f>RawData!BC751</f>
        <v>0</v>
      </c>
      <c r="AV19" s="40">
        <f>RawData!BD751</f>
        <v>0</v>
      </c>
      <c r="AW19" s="38">
        <f>RawData!BE751</f>
        <v>0</v>
      </c>
      <c r="AX19" s="37">
        <f>RawData!BF751</f>
        <v>0</v>
      </c>
      <c r="AY19" s="36">
        <f>RawData!BG751</f>
        <v>0</v>
      </c>
      <c r="AZ19" s="36">
        <f>RawData!BH751</f>
        <v>0</v>
      </c>
      <c r="BA19" s="40">
        <f>RawData!BI751</f>
        <v>0</v>
      </c>
      <c r="BB19" s="44">
        <f>RawData!BJ751</f>
        <v>0</v>
      </c>
      <c r="BC19" s="44">
        <f>RawData!BK751</f>
        <v>0</v>
      </c>
      <c r="BD19" s="44">
        <f>RawData!BL751</f>
        <v>0</v>
      </c>
      <c r="BE19" s="44">
        <f>RawData!BM751</f>
        <v>0</v>
      </c>
      <c r="BF19" s="44">
        <f>RawData!BN751</f>
        <v>0</v>
      </c>
      <c r="BG19" s="63">
        <f>RawData!BO751</f>
        <v>0</v>
      </c>
      <c r="BH19" s="44">
        <f>RawData!BP751</f>
        <v>0</v>
      </c>
      <c r="BI19" s="63">
        <f>RawData!BQ751</f>
        <v>0</v>
      </c>
      <c r="BJ19" s="44">
        <f>RawData!BR751</f>
        <v>0</v>
      </c>
      <c r="BK19" s="47">
        <f>RawData!BS751</f>
        <v>0</v>
      </c>
      <c r="BL19" s="44">
        <f>RawData!BT751</f>
        <v>0</v>
      </c>
      <c r="BM19" s="47">
        <f>RawData!BV751</f>
        <v>0</v>
      </c>
      <c r="BN19" s="65">
        <f>RawData!CC751</f>
        <v>0</v>
      </c>
      <c r="BO19" s="66">
        <f>RawData!CD751</f>
        <v>0</v>
      </c>
      <c r="BQ19" s="21">
        <f t="shared" si="0"/>
        <v>0</v>
      </c>
    </row>
    <row r="20" spans="1:69" x14ac:dyDescent="0.2">
      <c r="A20" s="59">
        <f>RawData!P752</f>
        <v>0</v>
      </c>
      <c r="B20" s="44">
        <f>RawData!Q752</f>
        <v>0</v>
      </c>
      <c r="C20" s="44">
        <f>RawData!R752</f>
        <v>0</v>
      </c>
      <c r="D20" s="63">
        <f>RawData!S752</f>
        <v>0</v>
      </c>
      <c r="E20" s="44">
        <f>RawData!T752</f>
        <v>0</v>
      </c>
      <c r="F20" s="63">
        <f>RawData!U752</f>
        <v>0</v>
      </c>
      <c r="G20" s="44">
        <f>RawData!V752</f>
        <v>0</v>
      </c>
      <c r="H20" s="44">
        <f>RawData!W752</f>
        <v>0</v>
      </c>
      <c r="I20" s="44">
        <f>RawData!X752</f>
        <v>0</v>
      </c>
      <c r="J20" s="44">
        <f>RawData!Y752</f>
        <v>0</v>
      </c>
      <c r="K20" s="40">
        <f>RawData!Z752</f>
        <v>0</v>
      </c>
      <c r="L20" s="40">
        <f>RawData!AA752</f>
        <v>0</v>
      </c>
      <c r="M20" s="36">
        <f>RawData!AB752</f>
        <v>0</v>
      </c>
      <c r="N20" s="36">
        <f>RawData!AC752</f>
        <v>0</v>
      </c>
      <c r="O20" s="37">
        <f>RawData!AD752</f>
        <v>0</v>
      </c>
      <c r="P20" s="38">
        <f>RawData!AE752</f>
        <v>0</v>
      </c>
      <c r="Q20" s="39">
        <f>RawData!AF752</f>
        <v>0</v>
      </c>
      <c r="R20" s="38">
        <f>RawData!AG752</f>
        <v>0</v>
      </c>
      <c r="S20" s="40">
        <f>RawData!AH752</f>
        <v>0</v>
      </c>
      <c r="T20" s="40">
        <f>RawData!AI752</f>
        <v>0</v>
      </c>
      <c r="U20" s="40">
        <f>RawData!AJ752</f>
        <v>0</v>
      </c>
      <c r="V20" s="41">
        <f>RawData!AK752</f>
        <v>0</v>
      </c>
      <c r="W20" s="41">
        <f>RawData!AL752</f>
        <v>0</v>
      </c>
      <c r="X20" s="43">
        <f>RawData!CA752</f>
        <v>0</v>
      </c>
      <c r="Y20" s="41">
        <f>RawData!AM752</f>
        <v>0</v>
      </c>
      <c r="Z20" s="44">
        <f>RawData!CB752</f>
        <v>0</v>
      </c>
      <c r="AA20" s="44">
        <f>RawData!AN752</f>
        <v>0</v>
      </c>
      <c r="AB20" s="44">
        <f>RawData!AO752</f>
        <v>0</v>
      </c>
      <c r="AC20" s="44">
        <f>RawData!AP752</f>
        <v>0</v>
      </c>
      <c r="AD20" s="63">
        <f>RawData!BZ752</f>
        <v>0</v>
      </c>
      <c r="AE20" s="44">
        <f>RawData!AQ752</f>
        <v>0</v>
      </c>
      <c r="AF20" s="46">
        <f>RawData!O752</f>
        <v>0</v>
      </c>
      <c r="AG20" s="44">
        <f>RawData!AR752</f>
        <v>0</v>
      </c>
      <c r="AH20" s="44">
        <f>RawData!BY752</f>
        <v>0</v>
      </c>
      <c r="AI20" s="44">
        <f>RawData!AS752</f>
        <v>0</v>
      </c>
      <c r="AJ20" s="44">
        <f>RawData!AT752</f>
        <v>0</v>
      </c>
      <c r="AK20" s="44">
        <f>RawData!AU752</f>
        <v>0</v>
      </c>
      <c r="AL20" s="44">
        <f>RawData!BW752</f>
        <v>0</v>
      </c>
      <c r="AM20" s="41">
        <f>RawData!AV752</f>
        <v>0</v>
      </c>
      <c r="AN20" s="41">
        <f>RawData!BX752</f>
        <v>0</v>
      </c>
      <c r="AO20" s="41">
        <f>RawData!AW752</f>
        <v>0</v>
      </c>
      <c r="AP20" s="41">
        <f>RawData!AX752</f>
        <v>0</v>
      </c>
      <c r="AQ20" s="40">
        <f>RawData!AY752</f>
        <v>0</v>
      </c>
      <c r="AR20" s="40">
        <f>RawData!AZ752</f>
        <v>0</v>
      </c>
      <c r="AS20" s="40">
        <f>RawData!BA752</f>
        <v>0</v>
      </c>
      <c r="AT20" s="38">
        <f>RawData!BB752</f>
        <v>0</v>
      </c>
      <c r="AU20" s="40">
        <f>RawData!BC752</f>
        <v>0</v>
      </c>
      <c r="AV20" s="40">
        <f>RawData!BD752</f>
        <v>0</v>
      </c>
      <c r="AW20" s="38">
        <f>RawData!BE752</f>
        <v>0</v>
      </c>
      <c r="AX20" s="37">
        <f>RawData!BF752</f>
        <v>0</v>
      </c>
      <c r="AY20" s="36">
        <f>RawData!BG752</f>
        <v>0</v>
      </c>
      <c r="AZ20" s="36">
        <f>RawData!BH752</f>
        <v>0</v>
      </c>
      <c r="BA20" s="40">
        <f>RawData!BI752</f>
        <v>0</v>
      </c>
      <c r="BB20" s="44">
        <f>RawData!BJ752</f>
        <v>0</v>
      </c>
      <c r="BC20" s="44">
        <f>RawData!BK752</f>
        <v>0</v>
      </c>
      <c r="BD20" s="44">
        <f>RawData!BL752</f>
        <v>0</v>
      </c>
      <c r="BE20" s="44">
        <f>RawData!BM752</f>
        <v>0</v>
      </c>
      <c r="BF20" s="44">
        <f>RawData!BN752</f>
        <v>0</v>
      </c>
      <c r="BG20" s="63">
        <f>RawData!BO752</f>
        <v>0</v>
      </c>
      <c r="BH20" s="44">
        <f>RawData!BP752</f>
        <v>0</v>
      </c>
      <c r="BI20" s="63">
        <f>RawData!BQ752</f>
        <v>0</v>
      </c>
      <c r="BJ20" s="44">
        <f>RawData!BR752</f>
        <v>0</v>
      </c>
      <c r="BK20" s="47">
        <f>RawData!BS752</f>
        <v>0</v>
      </c>
      <c r="BL20" s="44">
        <f>RawData!BT752</f>
        <v>0</v>
      </c>
      <c r="BM20" s="47">
        <f>RawData!BV752</f>
        <v>0</v>
      </c>
      <c r="BN20" s="65">
        <f>RawData!CC752</f>
        <v>0</v>
      </c>
      <c r="BO20" s="66">
        <f>RawData!CD752</f>
        <v>0</v>
      </c>
      <c r="BQ20" s="21">
        <f t="shared" si="0"/>
        <v>0</v>
      </c>
    </row>
    <row r="21" spans="1:69" x14ac:dyDescent="0.2">
      <c r="A21" s="59">
        <f>RawData!P753</f>
        <v>0</v>
      </c>
      <c r="B21" s="44">
        <f>RawData!Q753</f>
        <v>0</v>
      </c>
      <c r="C21" s="44">
        <f>RawData!R753</f>
        <v>0</v>
      </c>
      <c r="D21" s="63">
        <f>RawData!S753</f>
        <v>0</v>
      </c>
      <c r="E21" s="44">
        <f>RawData!T753</f>
        <v>0</v>
      </c>
      <c r="F21" s="63">
        <f>RawData!U753</f>
        <v>0</v>
      </c>
      <c r="G21" s="44">
        <f>RawData!V753</f>
        <v>0</v>
      </c>
      <c r="H21" s="44">
        <f>RawData!W753</f>
        <v>0</v>
      </c>
      <c r="I21" s="44">
        <f>RawData!X753</f>
        <v>0</v>
      </c>
      <c r="J21" s="44">
        <f>RawData!Y753</f>
        <v>0</v>
      </c>
      <c r="K21" s="40">
        <f>RawData!Z753</f>
        <v>0</v>
      </c>
      <c r="L21" s="40">
        <f>RawData!AA753</f>
        <v>0</v>
      </c>
      <c r="M21" s="36">
        <f>RawData!AB753</f>
        <v>0</v>
      </c>
      <c r="N21" s="36">
        <f>RawData!AC753</f>
        <v>0</v>
      </c>
      <c r="O21" s="37">
        <f>RawData!AD753</f>
        <v>0</v>
      </c>
      <c r="P21" s="38">
        <f>RawData!AE753</f>
        <v>0</v>
      </c>
      <c r="Q21" s="39">
        <f>RawData!AF753</f>
        <v>0</v>
      </c>
      <c r="R21" s="38">
        <f>RawData!AG753</f>
        <v>0</v>
      </c>
      <c r="S21" s="40">
        <f>RawData!AH753</f>
        <v>0</v>
      </c>
      <c r="T21" s="40">
        <f>RawData!AI753</f>
        <v>0</v>
      </c>
      <c r="U21" s="40">
        <f>RawData!AJ753</f>
        <v>0</v>
      </c>
      <c r="V21" s="41">
        <f>RawData!AK753</f>
        <v>0</v>
      </c>
      <c r="W21" s="41">
        <f>RawData!AL753</f>
        <v>0</v>
      </c>
      <c r="X21" s="43">
        <f>RawData!CA753</f>
        <v>0</v>
      </c>
      <c r="Y21" s="41">
        <f>RawData!AM753</f>
        <v>0</v>
      </c>
      <c r="Z21" s="44">
        <f>RawData!CB753</f>
        <v>0</v>
      </c>
      <c r="AA21" s="44">
        <f>RawData!AN753</f>
        <v>0</v>
      </c>
      <c r="AB21" s="44">
        <f>RawData!AO753</f>
        <v>0</v>
      </c>
      <c r="AC21" s="44">
        <f>RawData!AP753</f>
        <v>0</v>
      </c>
      <c r="AD21" s="63">
        <f>RawData!BZ753</f>
        <v>0</v>
      </c>
      <c r="AE21" s="44">
        <f>RawData!AQ753</f>
        <v>0</v>
      </c>
      <c r="AF21" s="46">
        <f>RawData!O753</f>
        <v>0</v>
      </c>
      <c r="AG21" s="44">
        <f>RawData!AR753</f>
        <v>0</v>
      </c>
      <c r="AH21" s="44">
        <f>RawData!BY753</f>
        <v>0</v>
      </c>
      <c r="AI21" s="44">
        <f>RawData!AS753</f>
        <v>0</v>
      </c>
      <c r="AJ21" s="44">
        <f>RawData!AT753</f>
        <v>0</v>
      </c>
      <c r="AK21" s="44">
        <f>RawData!AU753</f>
        <v>0</v>
      </c>
      <c r="AL21" s="44">
        <f>RawData!BW753</f>
        <v>0</v>
      </c>
      <c r="AM21" s="41">
        <f>RawData!AV753</f>
        <v>0</v>
      </c>
      <c r="AN21" s="41">
        <f>RawData!BX753</f>
        <v>0</v>
      </c>
      <c r="AO21" s="41">
        <f>RawData!AW753</f>
        <v>0</v>
      </c>
      <c r="AP21" s="41">
        <f>RawData!AX753</f>
        <v>0</v>
      </c>
      <c r="AQ21" s="40">
        <f>RawData!AY753</f>
        <v>0</v>
      </c>
      <c r="AR21" s="40">
        <f>RawData!AZ753</f>
        <v>0</v>
      </c>
      <c r="AS21" s="40">
        <f>RawData!BA753</f>
        <v>0</v>
      </c>
      <c r="AT21" s="38">
        <f>RawData!BB753</f>
        <v>0</v>
      </c>
      <c r="AU21" s="40">
        <f>RawData!BC753</f>
        <v>0</v>
      </c>
      <c r="AV21" s="40">
        <f>RawData!BD753</f>
        <v>0</v>
      </c>
      <c r="AW21" s="38">
        <f>RawData!BE753</f>
        <v>0</v>
      </c>
      <c r="AX21" s="37">
        <f>RawData!BF753</f>
        <v>0</v>
      </c>
      <c r="AY21" s="36">
        <f>RawData!BG753</f>
        <v>0</v>
      </c>
      <c r="AZ21" s="36">
        <f>RawData!BH753</f>
        <v>0</v>
      </c>
      <c r="BA21" s="40">
        <f>RawData!BI753</f>
        <v>0</v>
      </c>
      <c r="BB21" s="44">
        <f>RawData!BJ753</f>
        <v>0</v>
      </c>
      <c r="BC21" s="44">
        <f>RawData!BK753</f>
        <v>0</v>
      </c>
      <c r="BD21" s="44">
        <f>RawData!BL753</f>
        <v>0</v>
      </c>
      <c r="BE21" s="44">
        <f>RawData!BM753</f>
        <v>0</v>
      </c>
      <c r="BF21" s="44">
        <f>RawData!BN753</f>
        <v>0</v>
      </c>
      <c r="BG21" s="63">
        <f>RawData!BO753</f>
        <v>0</v>
      </c>
      <c r="BH21" s="44">
        <f>RawData!BP753</f>
        <v>0</v>
      </c>
      <c r="BI21" s="63">
        <f>RawData!BQ753</f>
        <v>0</v>
      </c>
      <c r="BJ21" s="44">
        <f>RawData!BR753</f>
        <v>0</v>
      </c>
      <c r="BK21" s="47">
        <f>RawData!BS753</f>
        <v>0</v>
      </c>
      <c r="BL21" s="44">
        <f>RawData!BT753</f>
        <v>0</v>
      </c>
      <c r="BM21" s="47">
        <f>RawData!BV753</f>
        <v>0</v>
      </c>
      <c r="BN21" s="65">
        <f>RawData!CC753</f>
        <v>0</v>
      </c>
      <c r="BO21" s="66">
        <f>RawData!CD753</f>
        <v>0</v>
      </c>
      <c r="BQ21" s="21">
        <f t="shared" si="0"/>
        <v>0</v>
      </c>
    </row>
    <row r="22" spans="1:69" x14ac:dyDescent="0.2">
      <c r="A22" s="59">
        <f>RawData!P754</f>
        <v>0</v>
      </c>
      <c r="B22" s="44">
        <f>RawData!Q754</f>
        <v>0</v>
      </c>
      <c r="C22" s="44">
        <f>RawData!R754</f>
        <v>0</v>
      </c>
      <c r="D22" s="63">
        <f>RawData!S754</f>
        <v>0</v>
      </c>
      <c r="E22" s="44">
        <f>RawData!T754</f>
        <v>0</v>
      </c>
      <c r="F22" s="63">
        <f>RawData!U754</f>
        <v>0</v>
      </c>
      <c r="G22" s="44">
        <f>RawData!V754</f>
        <v>0</v>
      </c>
      <c r="H22" s="44">
        <f>RawData!W754</f>
        <v>0</v>
      </c>
      <c r="I22" s="44">
        <f>RawData!X754</f>
        <v>0</v>
      </c>
      <c r="J22" s="44">
        <f>RawData!Y754</f>
        <v>0</v>
      </c>
      <c r="K22" s="40">
        <f>RawData!Z754</f>
        <v>0</v>
      </c>
      <c r="L22" s="40">
        <f>RawData!AA754</f>
        <v>0</v>
      </c>
      <c r="M22" s="36">
        <f>RawData!AB754</f>
        <v>0</v>
      </c>
      <c r="N22" s="36">
        <f>RawData!AC754</f>
        <v>0</v>
      </c>
      <c r="O22" s="37">
        <f>RawData!AD754</f>
        <v>0</v>
      </c>
      <c r="P22" s="38">
        <f>RawData!AE754</f>
        <v>0</v>
      </c>
      <c r="Q22" s="39">
        <f>RawData!AF754</f>
        <v>0</v>
      </c>
      <c r="R22" s="38">
        <f>RawData!AG754</f>
        <v>0</v>
      </c>
      <c r="S22" s="40">
        <f>RawData!AH754</f>
        <v>0</v>
      </c>
      <c r="T22" s="40">
        <f>RawData!AI754</f>
        <v>0</v>
      </c>
      <c r="U22" s="40">
        <f>RawData!AJ754</f>
        <v>0</v>
      </c>
      <c r="V22" s="41">
        <f>RawData!AK754</f>
        <v>0</v>
      </c>
      <c r="W22" s="41">
        <f>RawData!AL754</f>
        <v>0</v>
      </c>
      <c r="X22" s="43">
        <f>RawData!CA754</f>
        <v>0</v>
      </c>
      <c r="Y22" s="41">
        <f>RawData!AM754</f>
        <v>0</v>
      </c>
      <c r="Z22" s="44">
        <f>RawData!CB754</f>
        <v>0</v>
      </c>
      <c r="AA22" s="44">
        <f>RawData!AN754</f>
        <v>0</v>
      </c>
      <c r="AB22" s="44">
        <f>RawData!AO754</f>
        <v>0</v>
      </c>
      <c r="AC22" s="44">
        <f>RawData!AP754</f>
        <v>0</v>
      </c>
      <c r="AD22" s="63">
        <f>RawData!BZ754</f>
        <v>0</v>
      </c>
      <c r="AE22" s="44">
        <f>RawData!AQ754</f>
        <v>0</v>
      </c>
      <c r="AF22" s="46">
        <f>RawData!O754</f>
        <v>0</v>
      </c>
      <c r="AG22" s="44">
        <f>RawData!AR754</f>
        <v>0</v>
      </c>
      <c r="AH22" s="44">
        <f>RawData!BY754</f>
        <v>0</v>
      </c>
      <c r="AI22" s="44">
        <f>RawData!AS754</f>
        <v>0</v>
      </c>
      <c r="AJ22" s="44">
        <f>RawData!AT754</f>
        <v>0</v>
      </c>
      <c r="AK22" s="44">
        <f>RawData!AU754</f>
        <v>0</v>
      </c>
      <c r="AL22" s="44">
        <f>RawData!BW754</f>
        <v>0</v>
      </c>
      <c r="AM22" s="41">
        <f>RawData!AV754</f>
        <v>0</v>
      </c>
      <c r="AN22" s="41">
        <f>RawData!BX754</f>
        <v>0</v>
      </c>
      <c r="AO22" s="41">
        <f>RawData!AW754</f>
        <v>0</v>
      </c>
      <c r="AP22" s="41">
        <f>RawData!AX754</f>
        <v>0</v>
      </c>
      <c r="AQ22" s="40">
        <f>RawData!AY754</f>
        <v>0</v>
      </c>
      <c r="AR22" s="40">
        <f>RawData!AZ754</f>
        <v>0</v>
      </c>
      <c r="AS22" s="40">
        <f>RawData!BA754</f>
        <v>0</v>
      </c>
      <c r="AT22" s="38">
        <f>RawData!BB754</f>
        <v>0</v>
      </c>
      <c r="AU22" s="40">
        <f>RawData!BC754</f>
        <v>0</v>
      </c>
      <c r="AV22" s="40">
        <f>RawData!BD754</f>
        <v>0</v>
      </c>
      <c r="AW22" s="38">
        <f>RawData!BE754</f>
        <v>0</v>
      </c>
      <c r="AX22" s="37">
        <f>RawData!BF754</f>
        <v>0</v>
      </c>
      <c r="AY22" s="36">
        <f>RawData!BG754</f>
        <v>0</v>
      </c>
      <c r="AZ22" s="36">
        <f>RawData!BH754</f>
        <v>0</v>
      </c>
      <c r="BA22" s="40">
        <f>RawData!BI754</f>
        <v>0</v>
      </c>
      <c r="BB22" s="44">
        <f>RawData!BJ754</f>
        <v>0</v>
      </c>
      <c r="BC22" s="44">
        <f>RawData!BK754</f>
        <v>0</v>
      </c>
      <c r="BD22" s="44">
        <f>RawData!BL754</f>
        <v>0</v>
      </c>
      <c r="BE22" s="44">
        <f>RawData!BM754</f>
        <v>0</v>
      </c>
      <c r="BF22" s="44">
        <f>RawData!BN754</f>
        <v>0</v>
      </c>
      <c r="BG22" s="63">
        <f>RawData!BO754</f>
        <v>0</v>
      </c>
      <c r="BH22" s="44">
        <f>RawData!BP754</f>
        <v>0</v>
      </c>
      <c r="BI22" s="63">
        <f>RawData!BQ754</f>
        <v>0</v>
      </c>
      <c r="BJ22" s="44">
        <f>RawData!BR754</f>
        <v>0</v>
      </c>
      <c r="BK22" s="47">
        <f>RawData!BS754</f>
        <v>0</v>
      </c>
      <c r="BL22" s="44">
        <f>RawData!BT754</f>
        <v>0</v>
      </c>
      <c r="BM22" s="47">
        <f>RawData!BV754</f>
        <v>0</v>
      </c>
      <c r="BN22" s="65">
        <f>RawData!CC754</f>
        <v>0</v>
      </c>
      <c r="BO22" s="66">
        <f>RawData!CD754</f>
        <v>0</v>
      </c>
      <c r="BQ22" s="21">
        <f t="shared" si="0"/>
        <v>0</v>
      </c>
    </row>
    <row r="23" spans="1:69" x14ac:dyDescent="0.2">
      <c r="A23" s="59">
        <f>RawData!P755</f>
        <v>0</v>
      </c>
      <c r="B23" s="44">
        <f>RawData!Q755</f>
        <v>0</v>
      </c>
      <c r="C23" s="44">
        <f>RawData!R755</f>
        <v>0</v>
      </c>
      <c r="D23" s="63">
        <f>RawData!S755</f>
        <v>0</v>
      </c>
      <c r="E23" s="44">
        <f>RawData!T755</f>
        <v>0</v>
      </c>
      <c r="F23" s="63">
        <f>RawData!U755</f>
        <v>0</v>
      </c>
      <c r="G23" s="44">
        <f>RawData!V755</f>
        <v>0</v>
      </c>
      <c r="H23" s="44">
        <f>RawData!W755</f>
        <v>0</v>
      </c>
      <c r="I23" s="44">
        <f>RawData!X755</f>
        <v>0</v>
      </c>
      <c r="J23" s="44">
        <f>RawData!Y755</f>
        <v>0</v>
      </c>
      <c r="K23" s="40">
        <f>RawData!Z755</f>
        <v>0</v>
      </c>
      <c r="L23" s="40">
        <f>RawData!AA755</f>
        <v>0</v>
      </c>
      <c r="M23" s="36">
        <f>RawData!AB755</f>
        <v>0</v>
      </c>
      <c r="N23" s="36">
        <f>RawData!AC755</f>
        <v>0</v>
      </c>
      <c r="O23" s="37">
        <f>RawData!AD755</f>
        <v>0</v>
      </c>
      <c r="P23" s="38">
        <f>RawData!AE755</f>
        <v>0</v>
      </c>
      <c r="Q23" s="39">
        <f>RawData!AF755</f>
        <v>0</v>
      </c>
      <c r="R23" s="38">
        <f>RawData!AG755</f>
        <v>0</v>
      </c>
      <c r="S23" s="40">
        <f>RawData!AH755</f>
        <v>0</v>
      </c>
      <c r="T23" s="40">
        <f>RawData!AI755</f>
        <v>0</v>
      </c>
      <c r="U23" s="40">
        <f>RawData!AJ755</f>
        <v>0</v>
      </c>
      <c r="V23" s="41">
        <f>RawData!AK755</f>
        <v>0</v>
      </c>
      <c r="W23" s="41">
        <f>RawData!AL755</f>
        <v>0</v>
      </c>
      <c r="X23" s="43">
        <f>RawData!CA755</f>
        <v>0</v>
      </c>
      <c r="Y23" s="41">
        <f>RawData!AM755</f>
        <v>0</v>
      </c>
      <c r="Z23" s="44">
        <f>RawData!CB755</f>
        <v>0</v>
      </c>
      <c r="AA23" s="44">
        <f>RawData!AN755</f>
        <v>0</v>
      </c>
      <c r="AB23" s="44">
        <f>RawData!AO755</f>
        <v>0</v>
      </c>
      <c r="AC23" s="44">
        <f>RawData!AP755</f>
        <v>0</v>
      </c>
      <c r="AD23" s="63">
        <f>RawData!BZ755</f>
        <v>0</v>
      </c>
      <c r="AE23" s="44">
        <f>RawData!AQ755</f>
        <v>0</v>
      </c>
      <c r="AF23" s="46">
        <f>RawData!O755</f>
        <v>0</v>
      </c>
      <c r="AG23" s="44">
        <f>RawData!AR755</f>
        <v>0</v>
      </c>
      <c r="AH23" s="44">
        <f>RawData!BY755</f>
        <v>0</v>
      </c>
      <c r="AI23" s="44">
        <f>RawData!AS755</f>
        <v>0</v>
      </c>
      <c r="AJ23" s="44">
        <f>RawData!AT755</f>
        <v>0</v>
      </c>
      <c r="AK23" s="44">
        <f>RawData!AU755</f>
        <v>0</v>
      </c>
      <c r="AL23" s="44">
        <f>RawData!BW755</f>
        <v>0</v>
      </c>
      <c r="AM23" s="41">
        <f>RawData!AV755</f>
        <v>0</v>
      </c>
      <c r="AN23" s="41">
        <f>RawData!BX755</f>
        <v>0</v>
      </c>
      <c r="AO23" s="41">
        <f>RawData!AW755</f>
        <v>0</v>
      </c>
      <c r="AP23" s="41">
        <f>RawData!AX755</f>
        <v>0</v>
      </c>
      <c r="AQ23" s="40">
        <f>RawData!AY755</f>
        <v>0</v>
      </c>
      <c r="AR23" s="40">
        <f>RawData!AZ755</f>
        <v>0</v>
      </c>
      <c r="AS23" s="40">
        <f>RawData!BA755</f>
        <v>0</v>
      </c>
      <c r="AT23" s="38">
        <f>RawData!BB755</f>
        <v>0</v>
      </c>
      <c r="AU23" s="40">
        <f>RawData!BC755</f>
        <v>0</v>
      </c>
      <c r="AV23" s="40">
        <f>RawData!BD755</f>
        <v>0</v>
      </c>
      <c r="AW23" s="38">
        <f>RawData!BE755</f>
        <v>0</v>
      </c>
      <c r="AX23" s="37">
        <f>RawData!BF755</f>
        <v>0</v>
      </c>
      <c r="AY23" s="36">
        <f>RawData!BG755</f>
        <v>0</v>
      </c>
      <c r="AZ23" s="36">
        <f>RawData!BH755</f>
        <v>0</v>
      </c>
      <c r="BA23" s="40">
        <f>RawData!BI755</f>
        <v>0</v>
      </c>
      <c r="BB23" s="44">
        <f>RawData!BJ755</f>
        <v>0</v>
      </c>
      <c r="BC23" s="44">
        <f>RawData!BK755</f>
        <v>0</v>
      </c>
      <c r="BD23" s="44">
        <f>RawData!BL755</f>
        <v>0</v>
      </c>
      <c r="BE23" s="44">
        <f>RawData!BM755</f>
        <v>0</v>
      </c>
      <c r="BF23" s="44">
        <f>RawData!BN755</f>
        <v>0</v>
      </c>
      <c r="BG23" s="63">
        <f>RawData!BO755</f>
        <v>0</v>
      </c>
      <c r="BH23" s="44">
        <f>RawData!BP755</f>
        <v>0</v>
      </c>
      <c r="BI23" s="63">
        <f>RawData!BQ755</f>
        <v>0</v>
      </c>
      <c r="BJ23" s="44">
        <f>RawData!BR755</f>
        <v>0</v>
      </c>
      <c r="BK23" s="47">
        <f>RawData!BS755</f>
        <v>0</v>
      </c>
      <c r="BL23" s="44">
        <f>RawData!BT755</f>
        <v>0</v>
      </c>
      <c r="BM23" s="47">
        <f>RawData!BV755</f>
        <v>0</v>
      </c>
      <c r="BN23" s="65">
        <f>RawData!CC755</f>
        <v>0</v>
      </c>
      <c r="BO23" s="66">
        <f>RawData!CD755</f>
        <v>0</v>
      </c>
      <c r="BQ23" s="21">
        <f t="shared" si="0"/>
        <v>0</v>
      </c>
    </row>
    <row r="24" spans="1:69" x14ac:dyDescent="0.2">
      <c r="A24" s="59">
        <f>RawData!P756</f>
        <v>0</v>
      </c>
      <c r="B24" s="44">
        <f>RawData!Q756</f>
        <v>0</v>
      </c>
      <c r="C24" s="44">
        <f>RawData!R756</f>
        <v>0</v>
      </c>
      <c r="D24" s="63">
        <f>RawData!S756</f>
        <v>0</v>
      </c>
      <c r="E24" s="44">
        <f>RawData!T756</f>
        <v>0</v>
      </c>
      <c r="F24" s="63">
        <f>RawData!U756</f>
        <v>0</v>
      </c>
      <c r="G24" s="44">
        <f>RawData!V756</f>
        <v>0</v>
      </c>
      <c r="H24" s="44">
        <f>RawData!W756</f>
        <v>0</v>
      </c>
      <c r="I24" s="44">
        <f>RawData!X756</f>
        <v>0</v>
      </c>
      <c r="J24" s="44">
        <f>RawData!Y756</f>
        <v>0</v>
      </c>
      <c r="K24" s="40">
        <f>RawData!Z756</f>
        <v>0</v>
      </c>
      <c r="L24" s="40">
        <f>RawData!AA756</f>
        <v>0</v>
      </c>
      <c r="M24" s="36">
        <f>RawData!AB756</f>
        <v>0</v>
      </c>
      <c r="N24" s="36">
        <f>RawData!AC756</f>
        <v>0</v>
      </c>
      <c r="O24" s="37">
        <f>RawData!AD756</f>
        <v>0</v>
      </c>
      <c r="P24" s="38">
        <f>RawData!AE756</f>
        <v>0</v>
      </c>
      <c r="Q24" s="39">
        <f>RawData!AF756</f>
        <v>0</v>
      </c>
      <c r="R24" s="38">
        <f>RawData!AG756</f>
        <v>0</v>
      </c>
      <c r="S24" s="40">
        <f>RawData!AH756</f>
        <v>0</v>
      </c>
      <c r="T24" s="40">
        <f>RawData!AI756</f>
        <v>0</v>
      </c>
      <c r="U24" s="40">
        <f>RawData!AJ756</f>
        <v>0</v>
      </c>
      <c r="V24" s="41">
        <f>RawData!AK756</f>
        <v>0</v>
      </c>
      <c r="W24" s="41">
        <f>RawData!AL756</f>
        <v>0</v>
      </c>
      <c r="X24" s="43">
        <f>RawData!CA756</f>
        <v>0</v>
      </c>
      <c r="Y24" s="41">
        <f>RawData!AM756</f>
        <v>0</v>
      </c>
      <c r="Z24" s="44">
        <f>RawData!CB756</f>
        <v>0</v>
      </c>
      <c r="AA24" s="44">
        <f>RawData!AN756</f>
        <v>0</v>
      </c>
      <c r="AB24" s="44">
        <f>RawData!AO756</f>
        <v>0</v>
      </c>
      <c r="AC24" s="44">
        <f>RawData!AP756</f>
        <v>0</v>
      </c>
      <c r="AD24" s="63">
        <f>RawData!BZ756</f>
        <v>0</v>
      </c>
      <c r="AE24" s="44">
        <f>RawData!AQ756</f>
        <v>0</v>
      </c>
      <c r="AF24" s="46">
        <f>RawData!O756</f>
        <v>0</v>
      </c>
      <c r="AG24" s="44">
        <f>RawData!AR756</f>
        <v>0</v>
      </c>
      <c r="AH24" s="44">
        <f>RawData!BY756</f>
        <v>0</v>
      </c>
      <c r="AI24" s="44">
        <f>RawData!AS756</f>
        <v>0</v>
      </c>
      <c r="AJ24" s="44">
        <f>RawData!AT756</f>
        <v>0</v>
      </c>
      <c r="AK24" s="44">
        <f>RawData!AU756</f>
        <v>0</v>
      </c>
      <c r="AL24" s="44">
        <f>RawData!BW756</f>
        <v>0</v>
      </c>
      <c r="AM24" s="41">
        <f>RawData!AV756</f>
        <v>0</v>
      </c>
      <c r="AN24" s="41">
        <f>RawData!BX756</f>
        <v>0</v>
      </c>
      <c r="AO24" s="41">
        <f>RawData!AW756</f>
        <v>0</v>
      </c>
      <c r="AP24" s="41">
        <f>RawData!AX756</f>
        <v>0</v>
      </c>
      <c r="AQ24" s="40">
        <f>RawData!AY756</f>
        <v>0</v>
      </c>
      <c r="AR24" s="40">
        <f>RawData!AZ756</f>
        <v>0</v>
      </c>
      <c r="AS24" s="40">
        <f>RawData!BA756</f>
        <v>0</v>
      </c>
      <c r="AT24" s="38">
        <f>RawData!BB756</f>
        <v>0</v>
      </c>
      <c r="AU24" s="40">
        <f>RawData!BC756</f>
        <v>0</v>
      </c>
      <c r="AV24" s="40">
        <f>RawData!BD756</f>
        <v>0</v>
      </c>
      <c r="AW24" s="38">
        <f>RawData!BE756</f>
        <v>0</v>
      </c>
      <c r="AX24" s="37">
        <f>RawData!BF756</f>
        <v>0</v>
      </c>
      <c r="AY24" s="36">
        <f>RawData!BG756</f>
        <v>0</v>
      </c>
      <c r="AZ24" s="36">
        <f>RawData!BH756</f>
        <v>0</v>
      </c>
      <c r="BA24" s="40">
        <f>RawData!BI756</f>
        <v>0</v>
      </c>
      <c r="BB24" s="44">
        <f>RawData!BJ756</f>
        <v>0</v>
      </c>
      <c r="BC24" s="44">
        <f>RawData!BK756</f>
        <v>0</v>
      </c>
      <c r="BD24" s="44">
        <f>RawData!BL756</f>
        <v>0</v>
      </c>
      <c r="BE24" s="44">
        <f>RawData!BM756</f>
        <v>0</v>
      </c>
      <c r="BF24" s="44">
        <f>RawData!BN756</f>
        <v>0</v>
      </c>
      <c r="BG24" s="63">
        <f>RawData!BO756</f>
        <v>0</v>
      </c>
      <c r="BH24" s="44">
        <f>RawData!BP756</f>
        <v>0</v>
      </c>
      <c r="BI24" s="63">
        <f>RawData!BQ756</f>
        <v>0</v>
      </c>
      <c r="BJ24" s="44">
        <f>RawData!BR756</f>
        <v>0</v>
      </c>
      <c r="BK24" s="47">
        <f>RawData!BS756</f>
        <v>0</v>
      </c>
      <c r="BL24" s="44">
        <f>RawData!BT756</f>
        <v>0</v>
      </c>
      <c r="BM24" s="47">
        <f>RawData!BV756</f>
        <v>0</v>
      </c>
      <c r="BN24" s="65">
        <f>RawData!CC756</f>
        <v>0</v>
      </c>
      <c r="BO24" s="66">
        <f>RawData!CD756</f>
        <v>0</v>
      </c>
      <c r="BQ24" s="21">
        <f t="shared" si="0"/>
        <v>0</v>
      </c>
    </row>
    <row r="25" spans="1:69" x14ac:dyDescent="0.2">
      <c r="A25" s="59">
        <f>RawData!P757</f>
        <v>0</v>
      </c>
      <c r="B25" s="44">
        <f>RawData!Q757</f>
        <v>0</v>
      </c>
      <c r="C25" s="44">
        <f>RawData!R757</f>
        <v>0</v>
      </c>
      <c r="D25" s="63">
        <f>RawData!S757</f>
        <v>0</v>
      </c>
      <c r="E25" s="44">
        <f>RawData!T757</f>
        <v>0</v>
      </c>
      <c r="F25" s="63">
        <f>RawData!U757</f>
        <v>0</v>
      </c>
      <c r="G25" s="44">
        <f>RawData!V757</f>
        <v>0</v>
      </c>
      <c r="H25" s="44">
        <f>RawData!W757</f>
        <v>0</v>
      </c>
      <c r="I25" s="44">
        <f>RawData!X757</f>
        <v>0</v>
      </c>
      <c r="J25" s="44">
        <f>RawData!Y757</f>
        <v>0</v>
      </c>
      <c r="K25" s="40">
        <f>RawData!Z757</f>
        <v>0</v>
      </c>
      <c r="L25" s="40">
        <f>RawData!AA757</f>
        <v>0</v>
      </c>
      <c r="M25" s="36">
        <f>RawData!AB757</f>
        <v>0</v>
      </c>
      <c r="N25" s="36">
        <f>RawData!AC757</f>
        <v>0</v>
      </c>
      <c r="O25" s="37">
        <f>RawData!AD757</f>
        <v>0</v>
      </c>
      <c r="P25" s="38">
        <f>RawData!AE757</f>
        <v>0</v>
      </c>
      <c r="Q25" s="39">
        <f>RawData!AF757</f>
        <v>0</v>
      </c>
      <c r="R25" s="38">
        <f>RawData!AG757</f>
        <v>0</v>
      </c>
      <c r="S25" s="40">
        <f>RawData!AH757</f>
        <v>0</v>
      </c>
      <c r="T25" s="40">
        <f>RawData!AI757</f>
        <v>0</v>
      </c>
      <c r="U25" s="40">
        <f>RawData!AJ757</f>
        <v>0</v>
      </c>
      <c r="V25" s="41">
        <f>RawData!AK757</f>
        <v>0</v>
      </c>
      <c r="W25" s="41">
        <f>RawData!AL757</f>
        <v>0</v>
      </c>
      <c r="X25" s="43">
        <f>RawData!CA757</f>
        <v>0</v>
      </c>
      <c r="Y25" s="41">
        <f>RawData!AM757</f>
        <v>0</v>
      </c>
      <c r="Z25" s="44">
        <f>RawData!CB757</f>
        <v>0</v>
      </c>
      <c r="AA25" s="44">
        <f>RawData!AN757</f>
        <v>0</v>
      </c>
      <c r="AB25" s="44">
        <f>RawData!AO757</f>
        <v>0</v>
      </c>
      <c r="AC25" s="44">
        <f>RawData!AP757</f>
        <v>0</v>
      </c>
      <c r="AD25" s="63">
        <f>RawData!BZ757</f>
        <v>0</v>
      </c>
      <c r="AE25" s="44">
        <f>RawData!AQ757</f>
        <v>0</v>
      </c>
      <c r="AF25" s="46">
        <f>RawData!O757</f>
        <v>0</v>
      </c>
      <c r="AG25" s="44">
        <f>RawData!AR757</f>
        <v>0</v>
      </c>
      <c r="AH25" s="44">
        <f>RawData!BY757</f>
        <v>0</v>
      </c>
      <c r="AI25" s="44">
        <f>RawData!AS757</f>
        <v>0</v>
      </c>
      <c r="AJ25" s="44">
        <f>RawData!AT757</f>
        <v>0</v>
      </c>
      <c r="AK25" s="44">
        <f>RawData!AU757</f>
        <v>0</v>
      </c>
      <c r="AL25" s="44">
        <f>RawData!BW757</f>
        <v>0</v>
      </c>
      <c r="AM25" s="41">
        <f>RawData!AV757</f>
        <v>0</v>
      </c>
      <c r="AN25" s="41">
        <f>RawData!BX757</f>
        <v>0</v>
      </c>
      <c r="AO25" s="41">
        <f>RawData!AW757</f>
        <v>0</v>
      </c>
      <c r="AP25" s="41">
        <f>RawData!AX757</f>
        <v>0</v>
      </c>
      <c r="AQ25" s="40">
        <f>RawData!AY757</f>
        <v>0</v>
      </c>
      <c r="AR25" s="40">
        <f>RawData!AZ757</f>
        <v>0</v>
      </c>
      <c r="AS25" s="40">
        <f>RawData!BA757</f>
        <v>0</v>
      </c>
      <c r="AT25" s="38">
        <f>RawData!BB757</f>
        <v>0</v>
      </c>
      <c r="AU25" s="40">
        <f>RawData!BC757</f>
        <v>0</v>
      </c>
      <c r="AV25" s="40">
        <f>RawData!BD757</f>
        <v>0</v>
      </c>
      <c r="AW25" s="38">
        <f>RawData!BE757</f>
        <v>0</v>
      </c>
      <c r="AX25" s="37">
        <f>RawData!BF757</f>
        <v>0</v>
      </c>
      <c r="AY25" s="36">
        <f>RawData!BG757</f>
        <v>0</v>
      </c>
      <c r="AZ25" s="36">
        <f>RawData!BH757</f>
        <v>0</v>
      </c>
      <c r="BA25" s="40">
        <f>RawData!BI757</f>
        <v>0</v>
      </c>
      <c r="BB25" s="44">
        <f>RawData!BJ757</f>
        <v>0</v>
      </c>
      <c r="BC25" s="44">
        <f>RawData!BK757</f>
        <v>0</v>
      </c>
      <c r="BD25" s="44">
        <f>RawData!BL757</f>
        <v>0</v>
      </c>
      <c r="BE25" s="44">
        <f>RawData!BM757</f>
        <v>0</v>
      </c>
      <c r="BF25" s="44">
        <f>RawData!BN757</f>
        <v>0</v>
      </c>
      <c r="BG25" s="63">
        <f>RawData!BO757</f>
        <v>0</v>
      </c>
      <c r="BH25" s="44">
        <f>RawData!BP757</f>
        <v>0</v>
      </c>
      <c r="BI25" s="63">
        <f>RawData!BQ757</f>
        <v>0</v>
      </c>
      <c r="BJ25" s="44">
        <f>RawData!BR757</f>
        <v>0</v>
      </c>
      <c r="BK25" s="47">
        <f>RawData!BS757</f>
        <v>0</v>
      </c>
      <c r="BL25" s="44">
        <f>RawData!BT757</f>
        <v>0</v>
      </c>
      <c r="BM25" s="47">
        <f>RawData!BV757</f>
        <v>0</v>
      </c>
      <c r="BN25" s="65">
        <f>RawData!CC757</f>
        <v>0</v>
      </c>
      <c r="BO25" s="66">
        <f>RawData!CD757</f>
        <v>0</v>
      </c>
      <c r="BQ25" s="21">
        <f t="shared" si="0"/>
        <v>0</v>
      </c>
    </row>
    <row r="26" spans="1:69" x14ac:dyDescent="0.2">
      <c r="A26" s="59">
        <f>RawData!P758</f>
        <v>0</v>
      </c>
      <c r="B26" s="44">
        <f>RawData!Q758</f>
        <v>0</v>
      </c>
      <c r="C26" s="44">
        <f>RawData!R758</f>
        <v>0</v>
      </c>
      <c r="D26" s="63">
        <f>RawData!S758</f>
        <v>0</v>
      </c>
      <c r="E26" s="44">
        <f>RawData!T758</f>
        <v>0</v>
      </c>
      <c r="F26" s="63">
        <f>RawData!U758</f>
        <v>0</v>
      </c>
      <c r="G26" s="44">
        <f>RawData!V758</f>
        <v>0</v>
      </c>
      <c r="H26" s="44">
        <f>RawData!W758</f>
        <v>0</v>
      </c>
      <c r="I26" s="44">
        <f>RawData!X758</f>
        <v>0</v>
      </c>
      <c r="J26" s="44">
        <f>RawData!Y758</f>
        <v>0</v>
      </c>
      <c r="K26" s="40">
        <f>RawData!Z758</f>
        <v>0</v>
      </c>
      <c r="L26" s="40">
        <f>RawData!AA758</f>
        <v>0</v>
      </c>
      <c r="M26" s="36">
        <f>RawData!AB758</f>
        <v>0</v>
      </c>
      <c r="N26" s="36">
        <f>RawData!AC758</f>
        <v>0</v>
      </c>
      <c r="O26" s="37">
        <f>RawData!AD758</f>
        <v>0</v>
      </c>
      <c r="P26" s="38">
        <f>RawData!AE758</f>
        <v>0</v>
      </c>
      <c r="Q26" s="39">
        <f>RawData!AF758</f>
        <v>0</v>
      </c>
      <c r="R26" s="38">
        <f>RawData!AG758</f>
        <v>0</v>
      </c>
      <c r="S26" s="40">
        <f>RawData!AH758</f>
        <v>0</v>
      </c>
      <c r="T26" s="40">
        <f>RawData!AI758</f>
        <v>0</v>
      </c>
      <c r="U26" s="40">
        <f>RawData!AJ758</f>
        <v>0</v>
      </c>
      <c r="V26" s="41">
        <f>RawData!AK758</f>
        <v>0</v>
      </c>
      <c r="W26" s="41">
        <f>RawData!AL758</f>
        <v>0</v>
      </c>
      <c r="X26" s="43">
        <f>RawData!CA758</f>
        <v>0</v>
      </c>
      <c r="Y26" s="41">
        <f>RawData!AM758</f>
        <v>0</v>
      </c>
      <c r="Z26" s="44">
        <f>RawData!CB758</f>
        <v>0</v>
      </c>
      <c r="AA26" s="44">
        <f>RawData!AN758</f>
        <v>0</v>
      </c>
      <c r="AB26" s="44">
        <f>RawData!AO758</f>
        <v>0</v>
      </c>
      <c r="AC26" s="44">
        <f>RawData!AP758</f>
        <v>0</v>
      </c>
      <c r="AD26" s="63">
        <f>RawData!BZ758</f>
        <v>0</v>
      </c>
      <c r="AE26" s="44">
        <f>RawData!AQ758</f>
        <v>0</v>
      </c>
      <c r="AF26" s="46">
        <f>RawData!O758</f>
        <v>0</v>
      </c>
      <c r="AG26" s="44">
        <f>RawData!AR758</f>
        <v>0</v>
      </c>
      <c r="AH26" s="44">
        <f>RawData!BY758</f>
        <v>0</v>
      </c>
      <c r="AI26" s="44">
        <f>RawData!AS758</f>
        <v>0</v>
      </c>
      <c r="AJ26" s="44">
        <f>RawData!AT758</f>
        <v>0</v>
      </c>
      <c r="AK26" s="44">
        <f>RawData!AU758</f>
        <v>0</v>
      </c>
      <c r="AL26" s="44">
        <f>RawData!BW758</f>
        <v>0</v>
      </c>
      <c r="AM26" s="41">
        <f>RawData!AV758</f>
        <v>0</v>
      </c>
      <c r="AN26" s="41">
        <f>RawData!BX758</f>
        <v>0</v>
      </c>
      <c r="AO26" s="41">
        <f>RawData!AW758</f>
        <v>0</v>
      </c>
      <c r="AP26" s="41">
        <f>RawData!AX758</f>
        <v>0</v>
      </c>
      <c r="AQ26" s="40">
        <f>RawData!AY758</f>
        <v>0</v>
      </c>
      <c r="AR26" s="40">
        <f>RawData!AZ758</f>
        <v>0</v>
      </c>
      <c r="AS26" s="40">
        <f>RawData!BA758</f>
        <v>0</v>
      </c>
      <c r="AT26" s="38">
        <f>RawData!BB758</f>
        <v>0</v>
      </c>
      <c r="AU26" s="40">
        <f>RawData!BC758</f>
        <v>0</v>
      </c>
      <c r="AV26" s="40">
        <f>RawData!BD758</f>
        <v>0</v>
      </c>
      <c r="AW26" s="38">
        <f>RawData!BE758</f>
        <v>0</v>
      </c>
      <c r="AX26" s="37">
        <f>RawData!BF758</f>
        <v>0</v>
      </c>
      <c r="AY26" s="36">
        <f>RawData!BG758</f>
        <v>0</v>
      </c>
      <c r="AZ26" s="36">
        <f>RawData!BH758</f>
        <v>0</v>
      </c>
      <c r="BA26" s="40">
        <f>RawData!BI758</f>
        <v>0</v>
      </c>
      <c r="BB26" s="44">
        <f>RawData!BJ758</f>
        <v>0</v>
      </c>
      <c r="BC26" s="44">
        <f>RawData!BK758</f>
        <v>0</v>
      </c>
      <c r="BD26" s="44">
        <f>RawData!BL758</f>
        <v>0</v>
      </c>
      <c r="BE26" s="44">
        <f>RawData!BM758</f>
        <v>0</v>
      </c>
      <c r="BF26" s="44">
        <f>RawData!BN758</f>
        <v>0</v>
      </c>
      <c r="BG26" s="63">
        <f>RawData!BO758</f>
        <v>0</v>
      </c>
      <c r="BH26" s="44">
        <f>RawData!BP758</f>
        <v>0</v>
      </c>
      <c r="BI26" s="63">
        <f>RawData!BQ758</f>
        <v>0</v>
      </c>
      <c r="BJ26" s="44">
        <f>RawData!BR758</f>
        <v>0</v>
      </c>
      <c r="BK26" s="47">
        <f>RawData!BS758</f>
        <v>0</v>
      </c>
      <c r="BL26" s="44">
        <f>RawData!BT758</f>
        <v>0</v>
      </c>
      <c r="BM26" s="47">
        <f>RawData!BV758</f>
        <v>0</v>
      </c>
      <c r="BN26" s="65">
        <f>RawData!CC758</f>
        <v>0</v>
      </c>
      <c r="BO26" s="66">
        <f>RawData!CD758</f>
        <v>0</v>
      </c>
      <c r="BQ26" s="21">
        <f t="shared" si="0"/>
        <v>0</v>
      </c>
    </row>
    <row r="27" spans="1:69" x14ac:dyDescent="0.2">
      <c r="A27" s="59">
        <f>RawData!P759</f>
        <v>0</v>
      </c>
      <c r="B27" s="44">
        <f>RawData!Q759</f>
        <v>0</v>
      </c>
      <c r="C27" s="44">
        <f>RawData!R759</f>
        <v>0</v>
      </c>
      <c r="D27" s="63">
        <f>RawData!S759</f>
        <v>0</v>
      </c>
      <c r="E27" s="44">
        <f>RawData!T759</f>
        <v>0</v>
      </c>
      <c r="F27" s="63">
        <f>RawData!U759</f>
        <v>0</v>
      </c>
      <c r="G27" s="44">
        <f>RawData!V759</f>
        <v>0</v>
      </c>
      <c r="H27" s="44">
        <f>RawData!W759</f>
        <v>0</v>
      </c>
      <c r="I27" s="44">
        <f>RawData!X759</f>
        <v>0</v>
      </c>
      <c r="J27" s="44">
        <f>RawData!Y759</f>
        <v>0</v>
      </c>
      <c r="K27" s="40">
        <f>RawData!Z759</f>
        <v>0</v>
      </c>
      <c r="L27" s="40">
        <f>RawData!AA759</f>
        <v>0</v>
      </c>
      <c r="M27" s="36">
        <f>RawData!AB759</f>
        <v>0</v>
      </c>
      <c r="N27" s="36">
        <f>RawData!AC759</f>
        <v>0</v>
      </c>
      <c r="O27" s="37">
        <f>RawData!AD759</f>
        <v>0</v>
      </c>
      <c r="P27" s="38">
        <f>RawData!AE759</f>
        <v>0</v>
      </c>
      <c r="Q27" s="39">
        <f>RawData!AF759</f>
        <v>0</v>
      </c>
      <c r="R27" s="38">
        <f>RawData!AG759</f>
        <v>0</v>
      </c>
      <c r="S27" s="40">
        <f>RawData!AH759</f>
        <v>0</v>
      </c>
      <c r="T27" s="40">
        <f>RawData!AI759</f>
        <v>0</v>
      </c>
      <c r="U27" s="40">
        <f>RawData!AJ759</f>
        <v>0</v>
      </c>
      <c r="V27" s="41">
        <f>RawData!AK759</f>
        <v>0</v>
      </c>
      <c r="W27" s="41">
        <f>RawData!AL759</f>
        <v>0</v>
      </c>
      <c r="X27" s="43">
        <f>RawData!CA759</f>
        <v>0</v>
      </c>
      <c r="Y27" s="41">
        <f>RawData!AM759</f>
        <v>0</v>
      </c>
      <c r="Z27" s="44">
        <f>RawData!CB759</f>
        <v>0</v>
      </c>
      <c r="AA27" s="44">
        <f>RawData!AN759</f>
        <v>0</v>
      </c>
      <c r="AB27" s="44">
        <f>RawData!AO759</f>
        <v>0</v>
      </c>
      <c r="AC27" s="44">
        <f>RawData!AP759</f>
        <v>0</v>
      </c>
      <c r="AD27" s="63">
        <f>RawData!BZ759</f>
        <v>0</v>
      </c>
      <c r="AE27" s="44">
        <f>RawData!AQ759</f>
        <v>0</v>
      </c>
      <c r="AF27" s="46">
        <f>RawData!O759</f>
        <v>0</v>
      </c>
      <c r="AG27" s="44">
        <f>RawData!AR759</f>
        <v>0</v>
      </c>
      <c r="AH27" s="44">
        <f>RawData!BY759</f>
        <v>0</v>
      </c>
      <c r="AI27" s="44">
        <f>RawData!AS759</f>
        <v>0</v>
      </c>
      <c r="AJ27" s="44">
        <f>RawData!AT759</f>
        <v>0</v>
      </c>
      <c r="AK27" s="44">
        <f>RawData!AU759</f>
        <v>0</v>
      </c>
      <c r="AL27" s="44">
        <f>RawData!BW759</f>
        <v>0</v>
      </c>
      <c r="AM27" s="41">
        <f>RawData!AV759</f>
        <v>0</v>
      </c>
      <c r="AN27" s="41">
        <f>RawData!BX759</f>
        <v>0</v>
      </c>
      <c r="AO27" s="41">
        <f>RawData!AW759</f>
        <v>0</v>
      </c>
      <c r="AP27" s="41">
        <f>RawData!AX759</f>
        <v>0</v>
      </c>
      <c r="AQ27" s="40">
        <f>RawData!AY759</f>
        <v>0</v>
      </c>
      <c r="AR27" s="40">
        <f>RawData!AZ759</f>
        <v>0</v>
      </c>
      <c r="AS27" s="40">
        <f>RawData!BA759</f>
        <v>0</v>
      </c>
      <c r="AT27" s="38">
        <f>RawData!BB759</f>
        <v>0</v>
      </c>
      <c r="AU27" s="40">
        <f>RawData!BC759</f>
        <v>0</v>
      </c>
      <c r="AV27" s="40">
        <f>RawData!BD759</f>
        <v>0</v>
      </c>
      <c r="AW27" s="38">
        <f>RawData!BE759</f>
        <v>0</v>
      </c>
      <c r="AX27" s="37">
        <f>RawData!BF759</f>
        <v>0</v>
      </c>
      <c r="AY27" s="36">
        <f>RawData!BG759</f>
        <v>0</v>
      </c>
      <c r="AZ27" s="36">
        <f>RawData!BH759</f>
        <v>0</v>
      </c>
      <c r="BA27" s="40">
        <f>RawData!BI759</f>
        <v>0</v>
      </c>
      <c r="BB27" s="44">
        <f>RawData!BJ759</f>
        <v>0</v>
      </c>
      <c r="BC27" s="44">
        <f>RawData!BK759</f>
        <v>0</v>
      </c>
      <c r="BD27" s="44">
        <f>RawData!BL759</f>
        <v>0</v>
      </c>
      <c r="BE27" s="44">
        <f>RawData!BM759</f>
        <v>0</v>
      </c>
      <c r="BF27" s="44">
        <f>RawData!BN759</f>
        <v>0</v>
      </c>
      <c r="BG27" s="63">
        <f>RawData!BO759</f>
        <v>0</v>
      </c>
      <c r="BH27" s="44">
        <f>RawData!BP759</f>
        <v>0</v>
      </c>
      <c r="BI27" s="63">
        <f>RawData!BQ759</f>
        <v>0</v>
      </c>
      <c r="BJ27" s="44">
        <f>RawData!BR759</f>
        <v>0</v>
      </c>
      <c r="BK27" s="47">
        <f>RawData!BS759</f>
        <v>0</v>
      </c>
      <c r="BL27" s="44">
        <f>RawData!BT759</f>
        <v>0</v>
      </c>
      <c r="BM27" s="47">
        <f>RawData!BV759</f>
        <v>0</v>
      </c>
      <c r="BN27" s="65">
        <f>RawData!CC759</f>
        <v>0</v>
      </c>
      <c r="BO27" s="66">
        <f>RawData!CD759</f>
        <v>0</v>
      </c>
      <c r="BQ27" s="21">
        <f t="shared" si="0"/>
        <v>0</v>
      </c>
    </row>
    <row r="28" spans="1:69" x14ac:dyDescent="0.2">
      <c r="A28" s="59">
        <f>RawData!P760</f>
        <v>0</v>
      </c>
      <c r="B28" s="44">
        <f>RawData!Q760</f>
        <v>0</v>
      </c>
      <c r="C28" s="44">
        <f>RawData!R760</f>
        <v>0</v>
      </c>
      <c r="D28" s="63">
        <f>RawData!S760</f>
        <v>0</v>
      </c>
      <c r="E28" s="44">
        <f>RawData!T760</f>
        <v>0</v>
      </c>
      <c r="F28" s="63">
        <f>RawData!U760</f>
        <v>0</v>
      </c>
      <c r="G28" s="44">
        <f>RawData!V760</f>
        <v>0</v>
      </c>
      <c r="H28" s="44">
        <f>RawData!W760</f>
        <v>0</v>
      </c>
      <c r="I28" s="44">
        <f>RawData!X760</f>
        <v>0</v>
      </c>
      <c r="J28" s="44">
        <f>RawData!Y760</f>
        <v>0</v>
      </c>
      <c r="K28" s="40">
        <f>RawData!Z760</f>
        <v>0</v>
      </c>
      <c r="L28" s="40">
        <f>RawData!AA760</f>
        <v>0</v>
      </c>
      <c r="M28" s="36">
        <f>RawData!AB760</f>
        <v>0</v>
      </c>
      <c r="N28" s="36">
        <f>RawData!AC760</f>
        <v>0</v>
      </c>
      <c r="O28" s="37">
        <f>RawData!AD760</f>
        <v>0</v>
      </c>
      <c r="P28" s="38">
        <f>RawData!AE760</f>
        <v>0</v>
      </c>
      <c r="Q28" s="39">
        <f>RawData!AF760</f>
        <v>0</v>
      </c>
      <c r="R28" s="38">
        <f>RawData!AG760</f>
        <v>0</v>
      </c>
      <c r="S28" s="40">
        <f>RawData!AH760</f>
        <v>0</v>
      </c>
      <c r="T28" s="40">
        <f>RawData!AI760</f>
        <v>0</v>
      </c>
      <c r="U28" s="40">
        <f>RawData!AJ760</f>
        <v>0</v>
      </c>
      <c r="V28" s="41">
        <f>RawData!AK760</f>
        <v>0</v>
      </c>
      <c r="W28" s="41">
        <f>RawData!AL760</f>
        <v>0</v>
      </c>
      <c r="X28" s="43">
        <f>RawData!CA760</f>
        <v>0</v>
      </c>
      <c r="Y28" s="41">
        <f>RawData!AM760</f>
        <v>0</v>
      </c>
      <c r="Z28" s="44">
        <f>RawData!CB760</f>
        <v>0</v>
      </c>
      <c r="AA28" s="44">
        <f>RawData!AN760</f>
        <v>0</v>
      </c>
      <c r="AB28" s="44">
        <f>RawData!AO760</f>
        <v>0</v>
      </c>
      <c r="AC28" s="44">
        <f>RawData!AP760</f>
        <v>0</v>
      </c>
      <c r="AD28" s="63">
        <f>RawData!BZ760</f>
        <v>0</v>
      </c>
      <c r="AE28" s="44">
        <f>RawData!AQ760</f>
        <v>0</v>
      </c>
      <c r="AF28" s="46">
        <f>RawData!O760</f>
        <v>0</v>
      </c>
      <c r="AG28" s="44">
        <f>RawData!AR760</f>
        <v>0</v>
      </c>
      <c r="AH28" s="44">
        <f>RawData!BY760</f>
        <v>0</v>
      </c>
      <c r="AI28" s="44">
        <f>RawData!AS760</f>
        <v>0</v>
      </c>
      <c r="AJ28" s="44">
        <f>RawData!AT760</f>
        <v>0</v>
      </c>
      <c r="AK28" s="44">
        <f>RawData!AU760</f>
        <v>0</v>
      </c>
      <c r="AL28" s="44">
        <f>RawData!BW760</f>
        <v>0</v>
      </c>
      <c r="AM28" s="41">
        <f>RawData!AV760</f>
        <v>0</v>
      </c>
      <c r="AN28" s="41">
        <f>RawData!BX760</f>
        <v>0</v>
      </c>
      <c r="AO28" s="41">
        <f>RawData!AW760</f>
        <v>0</v>
      </c>
      <c r="AP28" s="41">
        <f>RawData!AX760</f>
        <v>0</v>
      </c>
      <c r="AQ28" s="40">
        <f>RawData!AY760</f>
        <v>0</v>
      </c>
      <c r="AR28" s="40">
        <f>RawData!AZ760</f>
        <v>0</v>
      </c>
      <c r="AS28" s="40">
        <f>RawData!BA760</f>
        <v>0</v>
      </c>
      <c r="AT28" s="38">
        <f>RawData!BB760</f>
        <v>0</v>
      </c>
      <c r="AU28" s="40">
        <f>RawData!BC760</f>
        <v>0</v>
      </c>
      <c r="AV28" s="40">
        <f>RawData!BD760</f>
        <v>0</v>
      </c>
      <c r="AW28" s="38">
        <f>RawData!BE760</f>
        <v>0</v>
      </c>
      <c r="AX28" s="37">
        <f>RawData!BF760</f>
        <v>0</v>
      </c>
      <c r="AY28" s="36">
        <f>RawData!BG760</f>
        <v>0</v>
      </c>
      <c r="AZ28" s="36">
        <f>RawData!BH760</f>
        <v>0</v>
      </c>
      <c r="BA28" s="40">
        <f>RawData!BI760</f>
        <v>0</v>
      </c>
      <c r="BB28" s="44">
        <f>RawData!BJ760</f>
        <v>0</v>
      </c>
      <c r="BC28" s="44">
        <f>RawData!BK760</f>
        <v>0</v>
      </c>
      <c r="BD28" s="44">
        <f>RawData!BL760</f>
        <v>0</v>
      </c>
      <c r="BE28" s="44">
        <f>RawData!BM760</f>
        <v>0</v>
      </c>
      <c r="BF28" s="44">
        <f>RawData!BN760</f>
        <v>0</v>
      </c>
      <c r="BG28" s="63">
        <f>RawData!BO760</f>
        <v>0</v>
      </c>
      <c r="BH28" s="44">
        <f>RawData!BP760</f>
        <v>0</v>
      </c>
      <c r="BI28" s="63">
        <f>RawData!BQ760</f>
        <v>0</v>
      </c>
      <c r="BJ28" s="44">
        <f>RawData!BR760</f>
        <v>0</v>
      </c>
      <c r="BK28" s="47">
        <f>RawData!BS760</f>
        <v>0</v>
      </c>
      <c r="BL28" s="44">
        <f>RawData!BT760</f>
        <v>0</v>
      </c>
      <c r="BM28" s="47">
        <f>RawData!BV760</f>
        <v>0</v>
      </c>
      <c r="BN28" s="65">
        <f>RawData!CC760</f>
        <v>0</v>
      </c>
      <c r="BO28" s="66">
        <f>RawData!CD760</f>
        <v>0</v>
      </c>
      <c r="BQ28" s="21">
        <f t="shared" si="0"/>
        <v>0</v>
      </c>
    </row>
    <row r="29" spans="1:69" x14ac:dyDescent="0.2">
      <c r="A29" s="59">
        <f>RawData!P761</f>
        <v>0</v>
      </c>
      <c r="B29" s="44">
        <f>RawData!Q761</f>
        <v>0</v>
      </c>
      <c r="C29" s="44">
        <f>RawData!R761</f>
        <v>0</v>
      </c>
      <c r="D29" s="63">
        <f>RawData!S761</f>
        <v>0</v>
      </c>
      <c r="E29" s="44">
        <f>RawData!T761</f>
        <v>0</v>
      </c>
      <c r="F29" s="63">
        <f>RawData!U761</f>
        <v>0</v>
      </c>
      <c r="G29" s="44">
        <f>RawData!V761</f>
        <v>0</v>
      </c>
      <c r="H29" s="44">
        <f>RawData!W761</f>
        <v>0</v>
      </c>
      <c r="I29" s="44">
        <f>RawData!X761</f>
        <v>0</v>
      </c>
      <c r="J29" s="44">
        <f>RawData!Y761</f>
        <v>0</v>
      </c>
      <c r="K29" s="40">
        <f>RawData!Z761</f>
        <v>0</v>
      </c>
      <c r="L29" s="40">
        <f>RawData!AA761</f>
        <v>0</v>
      </c>
      <c r="M29" s="36">
        <f>RawData!AB761</f>
        <v>0</v>
      </c>
      <c r="N29" s="36">
        <f>RawData!AC761</f>
        <v>0</v>
      </c>
      <c r="O29" s="37">
        <f>RawData!AD761</f>
        <v>0</v>
      </c>
      <c r="P29" s="38">
        <f>RawData!AE761</f>
        <v>0</v>
      </c>
      <c r="Q29" s="39">
        <f>RawData!AF761</f>
        <v>0</v>
      </c>
      <c r="R29" s="38">
        <f>RawData!AG761</f>
        <v>0</v>
      </c>
      <c r="S29" s="40">
        <f>RawData!AH761</f>
        <v>0</v>
      </c>
      <c r="T29" s="40">
        <f>RawData!AI761</f>
        <v>0</v>
      </c>
      <c r="U29" s="40">
        <f>RawData!AJ761</f>
        <v>0</v>
      </c>
      <c r="V29" s="41">
        <f>RawData!AK761</f>
        <v>0</v>
      </c>
      <c r="W29" s="41">
        <f>RawData!AL761</f>
        <v>0</v>
      </c>
      <c r="X29" s="43">
        <f>RawData!CA761</f>
        <v>0</v>
      </c>
      <c r="Y29" s="41">
        <f>RawData!AM761</f>
        <v>0</v>
      </c>
      <c r="Z29" s="44">
        <f>RawData!CB761</f>
        <v>0</v>
      </c>
      <c r="AA29" s="44">
        <f>RawData!AN761</f>
        <v>0</v>
      </c>
      <c r="AB29" s="44">
        <f>RawData!AO761</f>
        <v>0</v>
      </c>
      <c r="AC29" s="44">
        <f>RawData!AP761</f>
        <v>0</v>
      </c>
      <c r="AD29" s="63">
        <f>RawData!BZ761</f>
        <v>0</v>
      </c>
      <c r="AE29" s="44">
        <f>RawData!AQ761</f>
        <v>0</v>
      </c>
      <c r="AF29" s="46">
        <f>RawData!O761</f>
        <v>0</v>
      </c>
      <c r="AG29" s="44">
        <f>RawData!AR761</f>
        <v>0</v>
      </c>
      <c r="AH29" s="44">
        <f>RawData!BY761</f>
        <v>0</v>
      </c>
      <c r="AI29" s="44">
        <f>RawData!AS761</f>
        <v>0</v>
      </c>
      <c r="AJ29" s="44">
        <f>RawData!AT761</f>
        <v>0</v>
      </c>
      <c r="AK29" s="44">
        <f>RawData!AU761</f>
        <v>0</v>
      </c>
      <c r="AL29" s="44">
        <f>RawData!BW761</f>
        <v>0</v>
      </c>
      <c r="AM29" s="41">
        <f>RawData!AV761</f>
        <v>0</v>
      </c>
      <c r="AN29" s="41">
        <f>RawData!BX761</f>
        <v>0</v>
      </c>
      <c r="AO29" s="41">
        <f>RawData!AW761</f>
        <v>0</v>
      </c>
      <c r="AP29" s="41">
        <f>RawData!AX761</f>
        <v>0</v>
      </c>
      <c r="AQ29" s="40">
        <f>RawData!AY761</f>
        <v>0</v>
      </c>
      <c r="AR29" s="40">
        <f>RawData!AZ761</f>
        <v>0</v>
      </c>
      <c r="AS29" s="40">
        <f>RawData!BA761</f>
        <v>0</v>
      </c>
      <c r="AT29" s="38">
        <f>RawData!BB761</f>
        <v>0</v>
      </c>
      <c r="AU29" s="40">
        <f>RawData!BC761</f>
        <v>0</v>
      </c>
      <c r="AV29" s="40">
        <f>RawData!BD761</f>
        <v>0</v>
      </c>
      <c r="AW29" s="38">
        <f>RawData!BE761</f>
        <v>0</v>
      </c>
      <c r="AX29" s="37">
        <f>RawData!BF761</f>
        <v>0</v>
      </c>
      <c r="AY29" s="36">
        <f>RawData!BG761</f>
        <v>0</v>
      </c>
      <c r="AZ29" s="36">
        <f>RawData!BH761</f>
        <v>0</v>
      </c>
      <c r="BA29" s="40">
        <f>RawData!BI761</f>
        <v>0</v>
      </c>
      <c r="BB29" s="44">
        <f>RawData!BJ761</f>
        <v>0</v>
      </c>
      <c r="BC29" s="44">
        <f>RawData!BK761</f>
        <v>0</v>
      </c>
      <c r="BD29" s="44">
        <f>RawData!BL761</f>
        <v>0</v>
      </c>
      <c r="BE29" s="44">
        <f>RawData!BM761</f>
        <v>0</v>
      </c>
      <c r="BF29" s="44">
        <f>RawData!BN761</f>
        <v>0</v>
      </c>
      <c r="BG29" s="63">
        <f>RawData!BO761</f>
        <v>0</v>
      </c>
      <c r="BH29" s="44">
        <f>RawData!BP761</f>
        <v>0</v>
      </c>
      <c r="BI29" s="63">
        <f>RawData!BQ761</f>
        <v>0</v>
      </c>
      <c r="BJ29" s="44">
        <f>RawData!BR761</f>
        <v>0</v>
      </c>
      <c r="BK29" s="47">
        <f>RawData!BS761</f>
        <v>0</v>
      </c>
      <c r="BL29" s="44">
        <f>RawData!BT761</f>
        <v>0</v>
      </c>
      <c r="BM29" s="47">
        <f>RawData!BV761</f>
        <v>0</v>
      </c>
      <c r="BN29" s="65">
        <f>RawData!CC761</f>
        <v>0</v>
      </c>
      <c r="BO29" s="66">
        <f>RawData!CD761</f>
        <v>0</v>
      </c>
      <c r="BQ29" s="21">
        <f t="shared" si="0"/>
        <v>0</v>
      </c>
    </row>
    <row r="30" spans="1:69" x14ac:dyDescent="0.2">
      <c r="A30" s="59">
        <f>RawData!P762</f>
        <v>0</v>
      </c>
      <c r="B30" s="44">
        <f>RawData!Q762</f>
        <v>0</v>
      </c>
      <c r="C30" s="44">
        <f>RawData!R762</f>
        <v>0</v>
      </c>
      <c r="D30" s="63">
        <f>RawData!S762</f>
        <v>0</v>
      </c>
      <c r="E30" s="44">
        <f>RawData!T762</f>
        <v>0</v>
      </c>
      <c r="F30" s="63">
        <f>RawData!U762</f>
        <v>0</v>
      </c>
      <c r="G30" s="44">
        <f>RawData!V762</f>
        <v>0</v>
      </c>
      <c r="H30" s="44">
        <f>RawData!W762</f>
        <v>0</v>
      </c>
      <c r="I30" s="44">
        <f>RawData!X762</f>
        <v>0</v>
      </c>
      <c r="J30" s="44">
        <f>RawData!Y762</f>
        <v>0</v>
      </c>
      <c r="K30" s="40">
        <f>RawData!Z762</f>
        <v>0</v>
      </c>
      <c r="L30" s="40">
        <f>RawData!AA762</f>
        <v>0</v>
      </c>
      <c r="M30" s="36">
        <f>RawData!AB762</f>
        <v>0</v>
      </c>
      <c r="N30" s="36">
        <f>RawData!AC762</f>
        <v>0</v>
      </c>
      <c r="O30" s="37">
        <f>RawData!AD762</f>
        <v>0</v>
      </c>
      <c r="P30" s="38">
        <f>RawData!AE762</f>
        <v>0</v>
      </c>
      <c r="Q30" s="39">
        <f>RawData!AF762</f>
        <v>0</v>
      </c>
      <c r="R30" s="38">
        <f>RawData!AG762</f>
        <v>0</v>
      </c>
      <c r="S30" s="40">
        <f>RawData!AH762</f>
        <v>0</v>
      </c>
      <c r="T30" s="40">
        <f>RawData!AI762</f>
        <v>0</v>
      </c>
      <c r="U30" s="40">
        <f>RawData!AJ762</f>
        <v>0</v>
      </c>
      <c r="V30" s="41">
        <f>RawData!AK762</f>
        <v>0</v>
      </c>
      <c r="W30" s="41">
        <f>RawData!AL762</f>
        <v>0</v>
      </c>
      <c r="X30" s="43">
        <f>RawData!CA762</f>
        <v>0</v>
      </c>
      <c r="Y30" s="41">
        <f>RawData!AM762</f>
        <v>0</v>
      </c>
      <c r="Z30" s="44">
        <f>RawData!CB762</f>
        <v>0</v>
      </c>
      <c r="AA30" s="44">
        <f>RawData!AN762</f>
        <v>0</v>
      </c>
      <c r="AB30" s="44">
        <f>RawData!AO762</f>
        <v>0</v>
      </c>
      <c r="AC30" s="44">
        <f>RawData!AP762</f>
        <v>0</v>
      </c>
      <c r="AD30" s="63">
        <f>RawData!BZ762</f>
        <v>0</v>
      </c>
      <c r="AE30" s="44">
        <f>RawData!AQ762</f>
        <v>0</v>
      </c>
      <c r="AF30" s="46">
        <f>RawData!O762</f>
        <v>0</v>
      </c>
      <c r="AG30" s="44">
        <f>RawData!AR762</f>
        <v>0</v>
      </c>
      <c r="AH30" s="44">
        <f>RawData!BY762</f>
        <v>0</v>
      </c>
      <c r="AI30" s="44">
        <f>RawData!AS762</f>
        <v>0</v>
      </c>
      <c r="AJ30" s="44">
        <f>RawData!AT762</f>
        <v>0</v>
      </c>
      <c r="AK30" s="44">
        <f>RawData!AU762</f>
        <v>0</v>
      </c>
      <c r="AL30" s="44">
        <f>RawData!BW762</f>
        <v>0</v>
      </c>
      <c r="AM30" s="41">
        <f>RawData!AV762</f>
        <v>0</v>
      </c>
      <c r="AN30" s="41">
        <f>RawData!BX762</f>
        <v>0</v>
      </c>
      <c r="AO30" s="41">
        <f>RawData!AW762</f>
        <v>0</v>
      </c>
      <c r="AP30" s="41">
        <f>RawData!AX762</f>
        <v>0</v>
      </c>
      <c r="AQ30" s="40">
        <f>RawData!AY762</f>
        <v>0</v>
      </c>
      <c r="AR30" s="40">
        <f>RawData!AZ762</f>
        <v>0</v>
      </c>
      <c r="AS30" s="40">
        <f>RawData!BA762</f>
        <v>0</v>
      </c>
      <c r="AT30" s="38">
        <f>RawData!BB762</f>
        <v>0</v>
      </c>
      <c r="AU30" s="40">
        <f>RawData!BC762</f>
        <v>0</v>
      </c>
      <c r="AV30" s="40">
        <f>RawData!BD762</f>
        <v>0</v>
      </c>
      <c r="AW30" s="38">
        <f>RawData!BE762</f>
        <v>0</v>
      </c>
      <c r="AX30" s="37">
        <f>RawData!BF762</f>
        <v>0</v>
      </c>
      <c r="AY30" s="36">
        <f>RawData!BG762</f>
        <v>0</v>
      </c>
      <c r="AZ30" s="36">
        <f>RawData!BH762</f>
        <v>0</v>
      </c>
      <c r="BA30" s="40">
        <f>RawData!BI762</f>
        <v>0</v>
      </c>
      <c r="BB30" s="44">
        <f>RawData!BJ762</f>
        <v>0</v>
      </c>
      <c r="BC30" s="44">
        <f>RawData!BK762</f>
        <v>0</v>
      </c>
      <c r="BD30" s="44">
        <f>RawData!BL762</f>
        <v>0</v>
      </c>
      <c r="BE30" s="44">
        <f>RawData!BM762</f>
        <v>0</v>
      </c>
      <c r="BF30" s="44">
        <f>RawData!BN762</f>
        <v>0</v>
      </c>
      <c r="BG30" s="63">
        <f>RawData!BO762</f>
        <v>0</v>
      </c>
      <c r="BH30" s="44">
        <f>RawData!BP762</f>
        <v>0</v>
      </c>
      <c r="BI30" s="63">
        <f>RawData!BQ762</f>
        <v>0</v>
      </c>
      <c r="BJ30" s="44">
        <f>RawData!BR762</f>
        <v>0</v>
      </c>
      <c r="BK30" s="47">
        <f>RawData!BS762</f>
        <v>0</v>
      </c>
      <c r="BL30" s="44">
        <f>RawData!BT762</f>
        <v>0</v>
      </c>
      <c r="BM30" s="47">
        <f>RawData!BV762</f>
        <v>0</v>
      </c>
      <c r="BN30" s="65">
        <f>RawData!CC762</f>
        <v>0</v>
      </c>
      <c r="BO30" s="66">
        <f>RawData!CD762</f>
        <v>0</v>
      </c>
      <c r="BQ30" s="21">
        <f t="shared" si="0"/>
        <v>0</v>
      </c>
    </row>
    <row r="31" spans="1:69" x14ac:dyDescent="0.2">
      <c r="A31" s="59">
        <f>RawData!P763</f>
        <v>0</v>
      </c>
      <c r="B31" s="44">
        <f>RawData!Q763</f>
        <v>0</v>
      </c>
      <c r="C31" s="44">
        <f>RawData!R763</f>
        <v>0</v>
      </c>
      <c r="D31" s="63">
        <f>RawData!S763</f>
        <v>0</v>
      </c>
      <c r="E31" s="44">
        <f>RawData!T763</f>
        <v>0</v>
      </c>
      <c r="F31" s="63">
        <f>RawData!U763</f>
        <v>0</v>
      </c>
      <c r="G31" s="44">
        <f>RawData!V763</f>
        <v>0</v>
      </c>
      <c r="H31" s="44">
        <f>RawData!W763</f>
        <v>0</v>
      </c>
      <c r="I31" s="44">
        <f>RawData!X763</f>
        <v>0</v>
      </c>
      <c r="J31" s="44">
        <f>RawData!Y763</f>
        <v>0</v>
      </c>
      <c r="K31" s="40">
        <f>RawData!Z763</f>
        <v>0</v>
      </c>
      <c r="L31" s="40">
        <f>RawData!AA763</f>
        <v>0</v>
      </c>
      <c r="M31" s="36">
        <f>RawData!AB763</f>
        <v>0</v>
      </c>
      <c r="N31" s="36">
        <f>RawData!AC763</f>
        <v>0</v>
      </c>
      <c r="O31" s="37">
        <f>RawData!AD763</f>
        <v>0</v>
      </c>
      <c r="P31" s="38">
        <f>RawData!AE763</f>
        <v>0</v>
      </c>
      <c r="Q31" s="39">
        <f>RawData!AF763</f>
        <v>0</v>
      </c>
      <c r="R31" s="38">
        <f>RawData!AG763</f>
        <v>0</v>
      </c>
      <c r="S31" s="40">
        <f>RawData!AH763</f>
        <v>0</v>
      </c>
      <c r="T31" s="40">
        <f>RawData!AI763</f>
        <v>0</v>
      </c>
      <c r="U31" s="40">
        <f>RawData!AJ763</f>
        <v>0</v>
      </c>
      <c r="V31" s="41">
        <f>RawData!AK763</f>
        <v>0</v>
      </c>
      <c r="W31" s="41">
        <f>RawData!AL763</f>
        <v>0</v>
      </c>
      <c r="X31" s="43">
        <f>RawData!CA763</f>
        <v>0</v>
      </c>
      <c r="Y31" s="41">
        <f>RawData!AM763</f>
        <v>0</v>
      </c>
      <c r="Z31" s="44">
        <f>RawData!CB763</f>
        <v>0</v>
      </c>
      <c r="AA31" s="44">
        <f>RawData!AN763</f>
        <v>0</v>
      </c>
      <c r="AB31" s="44">
        <f>RawData!AO763</f>
        <v>0</v>
      </c>
      <c r="AC31" s="44">
        <f>RawData!AP763</f>
        <v>0</v>
      </c>
      <c r="AD31" s="63">
        <f>RawData!BZ763</f>
        <v>0</v>
      </c>
      <c r="AE31" s="44">
        <f>RawData!AQ763</f>
        <v>0</v>
      </c>
      <c r="AF31" s="46">
        <f>RawData!O763</f>
        <v>0</v>
      </c>
      <c r="AG31" s="44">
        <f>RawData!AR763</f>
        <v>0</v>
      </c>
      <c r="AH31" s="44">
        <f>RawData!BY763</f>
        <v>0</v>
      </c>
      <c r="AI31" s="44">
        <f>RawData!AS763</f>
        <v>0</v>
      </c>
      <c r="AJ31" s="44">
        <f>RawData!AT763</f>
        <v>0</v>
      </c>
      <c r="AK31" s="44">
        <f>RawData!AU763</f>
        <v>0</v>
      </c>
      <c r="AL31" s="44">
        <f>RawData!BW763</f>
        <v>0</v>
      </c>
      <c r="AM31" s="41">
        <f>RawData!AV763</f>
        <v>0</v>
      </c>
      <c r="AN31" s="41">
        <f>RawData!BX763</f>
        <v>0</v>
      </c>
      <c r="AO31" s="41">
        <f>RawData!AW763</f>
        <v>0</v>
      </c>
      <c r="AP31" s="41">
        <f>RawData!AX763</f>
        <v>0</v>
      </c>
      <c r="AQ31" s="40">
        <f>RawData!AY763</f>
        <v>0</v>
      </c>
      <c r="AR31" s="40">
        <f>RawData!AZ763</f>
        <v>0</v>
      </c>
      <c r="AS31" s="40">
        <f>RawData!BA763</f>
        <v>0</v>
      </c>
      <c r="AT31" s="38">
        <f>RawData!BB763</f>
        <v>0</v>
      </c>
      <c r="AU31" s="40">
        <f>RawData!BC763</f>
        <v>0</v>
      </c>
      <c r="AV31" s="40">
        <f>RawData!BD763</f>
        <v>0</v>
      </c>
      <c r="AW31" s="38">
        <f>RawData!BE763</f>
        <v>0</v>
      </c>
      <c r="AX31" s="37">
        <f>RawData!BF763</f>
        <v>0</v>
      </c>
      <c r="AY31" s="36">
        <f>RawData!BG763</f>
        <v>0</v>
      </c>
      <c r="AZ31" s="36">
        <f>RawData!BH763</f>
        <v>0</v>
      </c>
      <c r="BA31" s="40">
        <f>RawData!BI763</f>
        <v>0</v>
      </c>
      <c r="BB31" s="44">
        <f>RawData!BJ763</f>
        <v>0</v>
      </c>
      <c r="BC31" s="44">
        <f>RawData!BK763</f>
        <v>0</v>
      </c>
      <c r="BD31" s="44">
        <f>RawData!BL763</f>
        <v>0</v>
      </c>
      <c r="BE31" s="44">
        <f>RawData!BM763</f>
        <v>0</v>
      </c>
      <c r="BF31" s="44">
        <f>RawData!BN763</f>
        <v>0</v>
      </c>
      <c r="BG31" s="63">
        <f>RawData!BO763</f>
        <v>0</v>
      </c>
      <c r="BH31" s="44">
        <f>RawData!BP763</f>
        <v>0</v>
      </c>
      <c r="BI31" s="63">
        <f>RawData!BQ763</f>
        <v>0</v>
      </c>
      <c r="BJ31" s="44">
        <f>RawData!BR763</f>
        <v>0</v>
      </c>
      <c r="BK31" s="47">
        <f>RawData!BS763</f>
        <v>0</v>
      </c>
      <c r="BL31" s="44">
        <f>RawData!BT763</f>
        <v>0</v>
      </c>
      <c r="BM31" s="47">
        <f>RawData!BV763</f>
        <v>0</v>
      </c>
      <c r="BN31" s="65">
        <f>RawData!CC763</f>
        <v>0</v>
      </c>
      <c r="BO31" s="66">
        <f>RawData!CD763</f>
        <v>0</v>
      </c>
      <c r="BQ31" s="21">
        <f t="shared" si="0"/>
        <v>0</v>
      </c>
    </row>
    <row r="32" spans="1:69" x14ac:dyDescent="0.2">
      <c r="A32" s="59">
        <f>RawData!P764</f>
        <v>0</v>
      </c>
      <c r="B32" s="44">
        <f>RawData!Q764</f>
        <v>0</v>
      </c>
      <c r="C32" s="44">
        <f>RawData!R764</f>
        <v>0</v>
      </c>
      <c r="D32" s="63">
        <f>RawData!S764</f>
        <v>0</v>
      </c>
      <c r="E32" s="44">
        <f>RawData!T764</f>
        <v>0</v>
      </c>
      <c r="F32" s="63">
        <f>RawData!U764</f>
        <v>0</v>
      </c>
      <c r="G32" s="44">
        <f>RawData!V764</f>
        <v>0</v>
      </c>
      <c r="H32" s="44">
        <f>RawData!W764</f>
        <v>0</v>
      </c>
      <c r="I32" s="44">
        <f>RawData!X764</f>
        <v>0</v>
      </c>
      <c r="J32" s="44">
        <f>RawData!Y764</f>
        <v>0</v>
      </c>
      <c r="K32" s="40">
        <f>RawData!Z764</f>
        <v>0</v>
      </c>
      <c r="L32" s="40">
        <f>RawData!AA764</f>
        <v>0</v>
      </c>
      <c r="M32" s="36">
        <f>RawData!AB764</f>
        <v>0</v>
      </c>
      <c r="N32" s="36">
        <f>RawData!AC764</f>
        <v>0</v>
      </c>
      <c r="O32" s="37">
        <f>RawData!AD764</f>
        <v>0</v>
      </c>
      <c r="P32" s="38">
        <f>RawData!AE764</f>
        <v>0</v>
      </c>
      <c r="Q32" s="39">
        <f>RawData!AF764</f>
        <v>0</v>
      </c>
      <c r="R32" s="38">
        <f>RawData!AG764</f>
        <v>0</v>
      </c>
      <c r="S32" s="40">
        <f>RawData!AH764</f>
        <v>0</v>
      </c>
      <c r="T32" s="40">
        <f>RawData!AI764</f>
        <v>0</v>
      </c>
      <c r="U32" s="40">
        <f>RawData!AJ764</f>
        <v>0</v>
      </c>
      <c r="V32" s="41">
        <f>RawData!AK764</f>
        <v>0</v>
      </c>
      <c r="W32" s="41">
        <f>RawData!AL764</f>
        <v>0</v>
      </c>
      <c r="X32" s="43">
        <f>RawData!CA764</f>
        <v>0</v>
      </c>
      <c r="Y32" s="41">
        <f>RawData!AM764</f>
        <v>0</v>
      </c>
      <c r="Z32" s="44">
        <f>RawData!CB764</f>
        <v>0</v>
      </c>
      <c r="AA32" s="44">
        <f>RawData!AN764</f>
        <v>0</v>
      </c>
      <c r="AB32" s="44">
        <f>RawData!AO764</f>
        <v>0</v>
      </c>
      <c r="AC32" s="44">
        <f>RawData!AP764</f>
        <v>0</v>
      </c>
      <c r="AD32" s="63">
        <f>RawData!BZ764</f>
        <v>0</v>
      </c>
      <c r="AE32" s="44">
        <f>RawData!AQ764</f>
        <v>0</v>
      </c>
      <c r="AF32" s="46">
        <f>RawData!O764</f>
        <v>0</v>
      </c>
      <c r="AG32" s="44">
        <f>RawData!AR764</f>
        <v>0</v>
      </c>
      <c r="AH32" s="44">
        <f>RawData!BY764</f>
        <v>0</v>
      </c>
      <c r="AI32" s="44">
        <f>RawData!AS764</f>
        <v>0</v>
      </c>
      <c r="AJ32" s="44">
        <f>RawData!AT764</f>
        <v>0</v>
      </c>
      <c r="AK32" s="44">
        <f>RawData!AU764</f>
        <v>0</v>
      </c>
      <c r="AL32" s="44">
        <f>RawData!BW764</f>
        <v>0</v>
      </c>
      <c r="AM32" s="41">
        <f>RawData!AV764</f>
        <v>0</v>
      </c>
      <c r="AN32" s="41">
        <f>RawData!BX764</f>
        <v>0</v>
      </c>
      <c r="AO32" s="41">
        <f>RawData!AW764</f>
        <v>0</v>
      </c>
      <c r="AP32" s="41">
        <f>RawData!AX764</f>
        <v>0</v>
      </c>
      <c r="AQ32" s="40">
        <f>RawData!AY764</f>
        <v>0</v>
      </c>
      <c r="AR32" s="40">
        <f>RawData!AZ764</f>
        <v>0</v>
      </c>
      <c r="AS32" s="40">
        <f>RawData!BA764</f>
        <v>0</v>
      </c>
      <c r="AT32" s="38">
        <f>RawData!BB764</f>
        <v>0</v>
      </c>
      <c r="AU32" s="40">
        <f>RawData!BC764</f>
        <v>0</v>
      </c>
      <c r="AV32" s="40">
        <f>RawData!BD764</f>
        <v>0</v>
      </c>
      <c r="AW32" s="38">
        <f>RawData!BE764</f>
        <v>0</v>
      </c>
      <c r="AX32" s="37">
        <f>RawData!BF764</f>
        <v>0</v>
      </c>
      <c r="AY32" s="36">
        <f>RawData!BG764</f>
        <v>0</v>
      </c>
      <c r="AZ32" s="36">
        <f>RawData!BH764</f>
        <v>0</v>
      </c>
      <c r="BA32" s="40">
        <f>RawData!BI764</f>
        <v>0</v>
      </c>
      <c r="BB32" s="44">
        <f>RawData!BJ764</f>
        <v>0</v>
      </c>
      <c r="BC32" s="44">
        <f>RawData!BK764</f>
        <v>0</v>
      </c>
      <c r="BD32" s="44">
        <f>RawData!BL764</f>
        <v>0</v>
      </c>
      <c r="BE32" s="44">
        <f>RawData!BM764</f>
        <v>0</v>
      </c>
      <c r="BF32" s="44">
        <f>RawData!BN764</f>
        <v>0</v>
      </c>
      <c r="BG32" s="63">
        <f>RawData!BO764</f>
        <v>0</v>
      </c>
      <c r="BH32" s="44">
        <f>RawData!BP764</f>
        <v>0</v>
      </c>
      <c r="BI32" s="63">
        <f>RawData!BQ764</f>
        <v>0</v>
      </c>
      <c r="BJ32" s="44">
        <f>RawData!BR764</f>
        <v>0</v>
      </c>
      <c r="BK32" s="47">
        <f>RawData!BS764</f>
        <v>0</v>
      </c>
      <c r="BL32" s="44">
        <f>RawData!BT764</f>
        <v>0</v>
      </c>
      <c r="BM32" s="47">
        <f>RawData!BV764</f>
        <v>0</v>
      </c>
      <c r="BN32" s="65">
        <f>RawData!CC764</f>
        <v>0</v>
      </c>
      <c r="BO32" s="66">
        <f>RawData!CD764</f>
        <v>0</v>
      </c>
      <c r="BQ32" s="21">
        <f t="shared" si="0"/>
        <v>0</v>
      </c>
    </row>
    <row r="33" spans="1:69" x14ac:dyDescent="0.2">
      <c r="A33" s="59">
        <f>RawData!P765</f>
        <v>0</v>
      </c>
      <c r="B33" s="44">
        <f>RawData!Q765</f>
        <v>0</v>
      </c>
      <c r="C33" s="44">
        <f>RawData!R765</f>
        <v>0</v>
      </c>
      <c r="D33" s="63">
        <f>RawData!S765</f>
        <v>0</v>
      </c>
      <c r="E33" s="44">
        <f>RawData!T765</f>
        <v>0</v>
      </c>
      <c r="F33" s="63">
        <f>RawData!U765</f>
        <v>0</v>
      </c>
      <c r="G33" s="44">
        <f>RawData!V765</f>
        <v>0</v>
      </c>
      <c r="H33" s="44">
        <f>RawData!W765</f>
        <v>0</v>
      </c>
      <c r="I33" s="44">
        <f>RawData!X765</f>
        <v>0</v>
      </c>
      <c r="J33" s="44">
        <f>RawData!Y765</f>
        <v>0</v>
      </c>
      <c r="K33" s="40">
        <f>RawData!Z765</f>
        <v>0</v>
      </c>
      <c r="L33" s="40">
        <f>RawData!AA765</f>
        <v>0</v>
      </c>
      <c r="M33" s="36">
        <f>RawData!AB765</f>
        <v>0</v>
      </c>
      <c r="N33" s="36">
        <f>RawData!AC765</f>
        <v>0</v>
      </c>
      <c r="O33" s="37">
        <f>RawData!AD765</f>
        <v>0</v>
      </c>
      <c r="P33" s="38">
        <f>RawData!AE765</f>
        <v>0</v>
      </c>
      <c r="Q33" s="39">
        <f>RawData!AF765</f>
        <v>0</v>
      </c>
      <c r="R33" s="38">
        <f>RawData!AG765</f>
        <v>0</v>
      </c>
      <c r="S33" s="40">
        <f>RawData!AH765</f>
        <v>0</v>
      </c>
      <c r="T33" s="40">
        <f>RawData!AI765</f>
        <v>0</v>
      </c>
      <c r="U33" s="40">
        <f>RawData!AJ765</f>
        <v>0</v>
      </c>
      <c r="V33" s="41">
        <f>RawData!AK765</f>
        <v>0</v>
      </c>
      <c r="W33" s="41">
        <f>RawData!AL765</f>
        <v>0</v>
      </c>
      <c r="X33" s="43">
        <f>RawData!CA765</f>
        <v>0</v>
      </c>
      <c r="Y33" s="41">
        <f>RawData!AM765</f>
        <v>0</v>
      </c>
      <c r="Z33" s="44">
        <f>RawData!CB765</f>
        <v>0</v>
      </c>
      <c r="AA33" s="44">
        <f>RawData!AN765</f>
        <v>0</v>
      </c>
      <c r="AB33" s="44">
        <f>RawData!AO765</f>
        <v>0</v>
      </c>
      <c r="AC33" s="44">
        <f>RawData!AP765</f>
        <v>0</v>
      </c>
      <c r="AD33" s="63">
        <f>RawData!BZ765</f>
        <v>0</v>
      </c>
      <c r="AE33" s="44">
        <f>RawData!AQ765</f>
        <v>0</v>
      </c>
      <c r="AF33" s="46">
        <f>RawData!O765</f>
        <v>0</v>
      </c>
      <c r="AG33" s="44">
        <f>RawData!AR765</f>
        <v>0</v>
      </c>
      <c r="AH33" s="44">
        <f>RawData!BY765</f>
        <v>0</v>
      </c>
      <c r="AI33" s="44">
        <f>RawData!AS765</f>
        <v>0</v>
      </c>
      <c r="AJ33" s="44">
        <f>RawData!AT765</f>
        <v>0</v>
      </c>
      <c r="AK33" s="44">
        <f>RawData!AU765</f>
        <v>0</v>
      </c>
      <c r="AL33" s="44">
        <f>RawData!BW765</f>
        <v>0</v>
      </c>
      <c r="AM33" s="41">
        <f>RawData!AV765</f>
        <v>0</v>
      </c>
      <c r="AN33" s="41">
        <f>RawData!BX765</f>
        <v>0</v>
      </c>
      <c r="AO33" s="41">
        <f>RawData!AW765</f>
        <v>0</v>
      </c>
      <c r="AP33" s="41">
        <f>RawData!AX765</f>
        <v>0</v>
      </c>
      <c r="AQ33" s="40">
        <f>RawData!AY765</f>
        <v>0</v>
      </c>
      <c r="AR33" s="40">
        <f>RawData!AZ765</f>
        <v>0</v>
      </c>
      <c r="AS33" s="40">
        <f>RawData!BA765</f>
        <v>0</v>
      </c>
      <c r="AT33" s="38">
        <f>RawData!BB765</f>
        <v>0</v>
      </c>
      <c r="AU33" s="40">
        <f>RawData!BC765</f>
        <v>0</v>
      </c>
      <c r="AV33" s="40">
        <f>RawData!BD765</f>
        <v>0</v>
      </c>
      <c r="AW33" s="38">
        <f>RawData!BE765</f>
        <v>0</v>
      </c>
      <c r="AX33" s="37">
        <f>RawData!BF765</f>
        <v>0</v>
      </c>
      <c r="AY33" s="36">
        <f>RawData!BG765</f>
        <v>0</v>
      </c>
      <c r="AZ33" s="36">
        <f>RawData!BH765</f>
        <v>0</v>
      </c>
      <c r="BA33" s="40">
        <f>RawData!BI765</f>
        <v>0</v>
      </c>
      <c r="BB33" s="44">
        <f>RawData!BJ765</f>
        <v>0</v>
      </c>
      <c r="BC33" s="44">
        <f>RawData!BK765</f>
        <v>0</v>
      </c>
      <c r="BD33" s="44">
        <f>RawData!BL765</f>
        <v>0</v>
      </c>
      <c r="BE33" s="44">
        <f>RawData!BM765</f>
        <v>0</v>
      </c>
      <c r="BF33" s="44">
        <f>RawData!BN765</f>
        <v>0</v>
      </c>
      <c r="BG33" s="63">
        <f>RawData!BO765</f>
        <v>0</v>
      </c>
      <c r="BH33" s="44">
        <f>RawData!BP765</f>
        <v>0</v>
      </c>
      <c r="BI33" s="63">
        <f>RawData!BQ765</f>
        <v>0</v>
      </c>
      <c r="BJ33" s="44">
        <f>RawData!BR765</f>
        <v>0</v>
      </c>
      <c r="BK33" s="47">
        <f>RawData!BS765</f>
        <v>0</v>
      </c>
      <c r="BL33" s="44">
        <f>RawData!BT765</f>
        <v>0</v>
      </c>
      <c r="BM33" s="47">
        <f>RawData!BV765</f>
        <v>0</v>
      </c>
      <c r="BN33" s="65">
        <f>RawData!CC765</f>
        <v>0</v>
      </c>
      <c r="BO33" s="66">
        <f>RawData!CD765</f>
        <v>0</v>
      </c>
      <c r="BQ33" s="21">
        <f t="shared" si="0"/>
        <v>0</v>
      </c>
    </row>
    <row r="34" spans="1:69" x14ac:dyDescent="0.2">
      <c r="A34" s="59">
        <f>RawData!P766</f>
        <v>0</v>
      </c>
      <c r="B34" s="44">
        <f>RawData!Q766</f>
        <v>0</v>
      </c>
      <c r="C34" s="44">
        <f>RawData!R766</f>
        <v>0</v>
      </c>
      <c r="D34" s="63">
        <f>RawData!S766</f>
        <v>0</v>
      </c>
      <c r="E34" s="44">
        <f>RawData!T766</f>
        <v>0</v>
      </c>
      <c r="F34" s="63">
        <f>RawData!U766</f>
        <v>0</v>
      </c>
      <c r="G34" s="44">
        <f>RawData!V766</f>
        <v>0</v>
      </c>
      <c r="H34" s="44">
        <f>RawData!W766</f>
        <v>0</v>
      </c>
      <c r="I34" s="44">
        <f>RawData!X766</f>
        <v>0</v>
      </c>
      <c r="J34" s="44">
        <f>RawData!Y766</f>
        <v>0</v>
      </c>
      <c r="K34" s="40">
        <f>RawData!Z766</f>
        <v>0</v>
      </c>
      <c r="L34" s="40">
        <f>RawData!AA766</f>
        <v>0</v>
      </c>
      <c r="M34" s="36">
        <f>RawData!AB766</f>
        <v>0</v>
      </c>
      <c r="N34" s="36">
        <f>RawData!AC766</f>
        <v>0</v>
      </c>
      <c r="O34" s="37">
        <f>RawData!AD766</f>
        <v>0</v>
      </c>
      <c r="P34" s="38">
        <f>RawData!AE766</f>
        <v>0</v>
      </c>
      <c r="Q34" s="39">
        <f>RawData!AF766</f>
        <v>0</v>
      </c>
      <c r="R34" s="38">
        <f>RawData!AG766</f>
        <v>0</v>
      </c>
      <c r="S34" s="40">
        <f>RawData!AH766</f>
        <v>0</v>
      </c>
      <c r="T34" s="40">
        <f>RawData!AI766</f>
        <v>0</v>
      </c>
      <c r="U34" s="40">
        <f>RawData!AJ766</f>
        <v>0</v>
      </c>
      <c r="V34" s="41">
        <f>RawData!AK766</f>
        <v>0</v>
      </c>
      <c r="W34" s="41">
        <f>RawData!AL766</f>
        <v>0</v>
      </c>
      <c r="X34" s="43">
        <f>RawData!CA766</f>
        <v>0</v>
      </c>
      <c r="Y34" s="41">
        <f>RawData!AM766</f>
        <v>0</v>
      </c>
      <c r="Z34" s="44">
        <f>RawData!CB766</f>
        <v>0</v>
      </c>
      <c r="AA34" s="44">
        <f>RawData!AN766</f>
        <v>0</v>
      </c>
      <c r="AB34" s="44">
        <f>RawData!AO766</f>
        <v>0</v>
      </c>
      <c r="AC34" s="44">
        <f>RawData!AP766</f>
        <v>0</v>
      </c>
      <c r="AD34" s="63">
        <f>RawData!BZ766</f>
        <v>0</v>
      </c>
      <c r="AE34" s="44">
        <f>RawData!AQ766</f>
        <v>0</v>
      </c>
      <c r="AF34" s="46">
        <f>RawData!O766</f>
        <v>0</v>
      </c>
      <c r="AG34" s="44">
        <f>RawData!AR766</f>
        <v>0</v>
      </c>
      <c r="AH34" s="44">
        <f>RawData!BY766</f>
        <v>0</v>
      </c>
      <c r="AI34" s="44">
        <f>RawData!AS766</f>
        <v>0</v>
      </c>
      <c r="AJ34" s="44">
        <f>RawData!AT766</f>
        <v>0</v>
      </c>
      <c r="AK34" s="44">
        <f>RawData!AU766</f>
        <v>0</v>
      </c>
      <c r="AL34" s="44">
        <f>RawData!BW766</f>
        <v>0</v>
      </c>
      <c r="AM34" s="41">
        <f>RawData!AV766</f>
        <v>0</v>
      </c>
      <c r="AN34" s="41">
        <f>RawData!BX766</f>
        <v>0</v>
      </c>
      <c r="AO34" s="41">
        <f>RawData!AW766</f>
        <v>0</v>
      </c>
      <c r="AP34" s="41">
        <f>RawData!AX766</f>
        <v>0</v>
      </c>
      <c r="AQ34" s="40">
        <f>RawData!AY766</f>
        <v>0</v>
      </c>
      <c r="AR34" s="40">
        <f>RawData!AZ766</f>
        <v>0</v>
      </c>
      <c r="AS34" s="40">
        <f>RawData!BA766</f>
        <v>0</v>
      </c>
      <c r="AT34" s="38">
        <f>RawData!BB766</f>
        <v>0</v>
      </c>
      <c r="AU34" s="40">
        <f>RawData!BC766</f>
        <v>0</v>
      </c>
      <c r="AV34" s="40">
        <f>RawData!BD766</f>
        <v>0</v>
      </c>
      <c r="AW34" s="38">
        <f>RawData!BE766</f>
        <v>0</v>
      </c>
      <c r="AX34" s="37">
        <f>RawData!BF766</f>
        <v>0</v>
      </c>
      <c r="AY34" s="36">
        <f>RawData!BG766</f>
        <v>0</v>
      </c>
      <c r="AZ34" s="36">
        <f>RawData!BH766</f>
        <v>0</v>
      </c>
      <c r="BA34" s="40">
        <f>RawData!BI766</f>
        <v>0</v>
      </c>
      <c r="BB34" s="44">
        <f>RawData!BJ766</f>
        <v>0</v>
      </c>
      <c r="BC34" s="44">
        <f>RawData!BK766</f>
        <v>0</v>
      </c>
      <c r="BD34" s="44">
        <f>RawData!BL766</f>
        <v>0</v>
      </c>
      <c r="BE34" s="44">
        <f>RawData!BM766</f>
        <v>0</v>
      </c>
      <c r="BF34" s="44">
        <f>RawData!BN766</f>
        <v>0</v>
      </c>
      <c r="BG34" s="63">
        <f>RawData!BO766</f>
        <v>0</v>
      </c>
      <c r="BH34" s="44">
        <f>RawData!BP766</f>
        <v>0</v>
      </c>
      <c r="BI34" s="63">
        <f>RawData!BQ766</f>
        <v>0</v>
      </c>
      <c r="BJ34" s="44">
        <f>RawData!BR766</f>
        <v>0</v>
      </c>
      <c r="BK34" s="47">
        <f>RawData!BS766</f>
        <v>0</v>
      </c>
      <c r="BL34" s="44">
        <f>RawData!BT766</f>
        <v>0</v>
      </c>
      <c r="BM34" s="47">
        <f>RawData!BV766</f>
        <v>0</v>
      </c>
      <c r="BN34" s="65">
        <f>RawData!CC766</f>
        <v>0</v>
      </c>
      <c r="BO34" s="66">
        <f>RawData!CD766</f>
        <v>0</v>
      </c>
      <c r="BQ34" s="21">
        <f t="shared" si="0"/>
        <v>0</v>
      </c>
    </row>
    <row r="35" spans="1:69" x14ac:dyDescent="0.2">
      <c r="A35" s="59">
        <f>RawData!P767</f>
        <v>0</v>
      </c>
      <c r="B35" s="44">
        <f>RawData!Q767</f>
        <v>0</v>
      </c>
      <c r="C35" s="44">
        <f>RawData!R767</f>
        <v>0</v>
      </c>
      <c r="D35" s="63">
        <f>RawData!S767</f>
        <v>0</v>
      </c>
      <c r="E35" s="44">
        <f>RawData!T767</f>
        <v>0</v>
      </c>
      <c r="F35" s="63">
        <f>RawData!U767</f>
        <v>0</v>
      </c>
      <c r="G35" s="44">
        <f>RawData!V767</f>
        <v>0</v>
      </c>
      <c r="H35" s="44">
        <f>RawData!W767</f>
        <v>0</v>
      </c>
      <c r="I35" s="44">
        <f>RawData!X767</f>
        <v>0</v>
      </c>
      <c r="J35" s="44">
        <f>RawData!Y767</f>
        <v>0</v>
      </c>
      <c r="K35" s="40">
        <f>RawData!Z767</f>
        <v>0</v>
      </c>
      <c r="L35" s="40">
        <f>RawData!AA767</f>
        <v>0</v>
      </c>
      <c r="M35" s="36">
        <f>RawData!AB767</f>
        <v>0</v>
      </c>
      <c r="N35" s="36">
        <f>RawData!AC767</f>
        <v>0</v>
      </c>
      <c r="O35" s="37">
        <f>RawData!AD767</f>
        <v>0</v>
      </c>
      <c r="P35" s="38">
        <f>RawData!AE767</f>
        <v>0</v>
      </c>
      <c r="Q35" s="39">
        <f>RawData!AF767</f>
        <v>0</v>
      </c>
      <c r="R35" s="38">
        <f>RawData!AG767</f>
        <v>0</v>
      </c>
      <c r="S35" s="40">
        <f>RawData!AH767</f>
        <v>0</v>
      </c>
      <c r="T35" s="40">
        <f>RawData!AI767</f>
        <v>0</v>
      </c>
      <c r="U35" s="40">
        <f>RawData!AJ767</f>
        <v>0</v>
      </c>
      <c r="V35" s="41">
        <f>RawData!AK767</f>
        <v>0</v>
      </c>
      <c r="W35" s="41">
        <f>RawData!AL767</f>
        <v>0</v>
      </c>
      <c r="X35" s="43">
        <f>RawData!CA767</f>
        <v>0</v>
      </c>
      <c r="Y35" s="41">
        <f>RawData!AM767</f>
        <v>0</v>
      </c>
      <c r="Z35" s="44">
        <f>RawData!CB767</f>
        <v>0</v>
      </c>
      <c r="AA35" s="44">
        <f>RawData!AN767</f>
        <v>0</v>
      </c>
      <c r="AB35" s="44">
        <f>RawData!AO767</f>
        <v>0</v>
      </c>
      <c r="AC35" s="44">
        <f>RawData!AP767</f>
        <v>0</v>
      </c>
      <c r="AD35" s="63">
        <f>RawData!BZ767</f>
        <v>0</v>
      </c>
      <c r="AE35" s="44">
        <f>RawData!AQ767</f>
        <v>0</v>
      </c>
      <c r="AF35" s="46">
        <f>RawData!O767</f>
        <v>0</v>
      </c>
      <c r="AG35" s="44">
        <f>RawData!AR767</f>
        <v>0</v>
      </c>
      <c r="AH35" s="44">
        <f>RawData!BY767</f>
        <v>0</v>
      </c>
      <c r="AI35" s="44">
        <f>RawData!AS767</f>
        <v>0</v>
      </c>
      <c r="AJ35" s="44">
        <f>RawData!AT767</f>
        <v>0</v>
      </c>
      <c r="AK35" s="44">
        <f>RawData!AU767</f>
        <v>0</v>
      </c>
      <c r="AL35" s="44">
        <f>RawData!BW767</f>
        <v>0</v>
      </c>
      <c r="AM35" s="41">
        <f>RawData!AV767</f>
        <v>0</v>
      </c>
      <c r="AN35" s="41">
        <f>RawData!BX767</f>
        <v>0</v>
      </c>
      <c r="AO35" s="41">
        <f>RawData!AW767</f>
        <v>0</v>
      </c>
      <c r="AP35" s="41">
        <f>RawData!AX767</f>
        <v>0</v>
      </c>
      <c r="AQ35" s="40">
        <f>RawData!AY767</f>
        <v>0</v>
      </c>
      <c r="AR35" s="40">
        <f>RawData!AZ767</f>
        <v>0</v>
      </c>
      <c r="AS35" s="40">
        <f>RawData!BA767</f>
        <v>0</v>
      </c>
      <c r="AT35" s="38">
        <f>RawData!BB767</f>
        <v>0</v>
      </c>
      <c r="AU35" s="40">
        <f>RawData!BC767</f>
        <v>0</v>
      </c>
      <c r="AV35" s="40">
        <f>RawData!BD767</f>
        <v>0</v>
      </c>
      <c r="AW35" s="38">
        <f>RawData!BE767</f>
        <v>0</v>
      </c>
      <c r="AX35" s="37">
        <f>RawData!BF767</f>
        <v>0</v>
      </c>
      <c r="AY35" s="36">
        <f>RawData!BG767</f>
        <v>0</v>
      </c>
      <c r="AZ35" s="36">
        <f>RawData!BH767</f>
        <v>0</v>
      </c>
      <c r="BA35" s="40">
        <f>RawData!BI767</f>
        <v>0</v>
      </c>
      <c r="BB35" s="44">
        <f>RawData!BJ767</f>
        <v>0</v>
      </c>
      <c r="BC35" s="44">
        <f>RawData!BK767</f>
        <v>0</v>
      </c>
      <c r="BD35" s="44">
        <f>RawData!BL767</f>
        <v>0</v>
      </c>
      <c r="BE35" s="44">
        <f>RawData!BM767</f>
        <v>0</v>
      </c>
      <c r="BF35" s="44">
        <f>RawData!BN767</f>
        <v>0</v>
      </c>
      <c r="BG35" s="63">
        <f>RawData!BO767</f>
        <v>0</v>
      </c>
      <c r="BH35" s="44">
        <f>RawData!BP767</f>
        <v>0</v>
      </c>
      <c r="BI35" s="63">
        <f>RawData!BQ767</f>
        <v>0</v>
      </c>
      <c r="BJ35" s="44">
        <f>RawData!BR767</f>
        <v>0</v>
      </c>
      <c r="BK35" s="47">
        <f>RawData!BS767</f>
        <v>0</v>
      </c>
      <c r="BL35" s="44">
        <f>RawData!BT767</f>
        <v>0</v>
      </c>
      <c r="BM35" s="47">
        <f>RawData!BV767</f>
        <v>0</v>
      </c>
      <c r="BN35" s="65">
        <f>RawData!CC767</f>
        <v>0</v>
      </c>
      <c r="BO35" s="66">
        <f>RawData!CD767</f>
        <v>0</v>
      </c>
      <c r="BQ35" s="21">
        <f t="shared" si="0"/>
        <v>0</v>
      </c>
    </row>
    <row r="36" spans="1:69" x14ac:dyDescent="0.2">
      <c r="A36" s="59">
        <f>RawData!P768</f>
        <v>0</v>
      </c>
      <c r="B36" s="44">
        <f>RawData!Q768</f>
        <v>0</v>
      </c>
      <c r="C36" s="44">
        <f>RawData!R768</f>
        <v>0</v>
      </c>
      <c r="D36" s="63">
        <f>RawData!S768</f>
        <v>0</v>
      </c>
      <c r="E36" s="44">
        <f>RawData!T768</f>
        <v>0</v>
      </c>
      <c r="F36" s="63">
        <f>RawData!U768</f>
        <v>0</v>
      </c>
      <c r="G36" s="44">
        <f>RawData!V768</f>
        <v>0</v>
      </c>
      <c r="H36" s="44">
        <f>RawData!W768</f>
        <v>0</v>
      </c>
      <c r="I36" s="44">
        <f>RawData!X768</f>
        <v>0</v>
      </c>
      <c r="J36" s="44">
        <f>RawData!Y768</f>
        <v>0</v>
      </c>
      <c r="K36" s="40">
        <f>RawData!Z768</f>
        <v>0</v>
      </c>
      <c r="L36" s="40">
        <f>RawData!AA768</f>
        <v>0</v>
      </c>
      <c r="M36" s="36">
        <f>RawData!AB768</f>
        <v>0</v>
      </c>
      <c r="N36" s="36">
        <f>RawData!AC768</f>
        <v>0</v>
      </c>
      <c r="O36" s="37">
        <f>RawData!AD768</f>
        <v>0</v>
      </c>
      <c r="P36" s="38">
        <f>RawData!AE768</f>
        <v>0</v>
      </c>
      <c r="Q36" s="39">
        <f>RawData!AF768</f>
        <v>0</v>
      </c>
      <c r="R36" s="38">
        <f>RawData!AG768</f>
        <v>0</v>
      </c>
      <c r="S36" s="40">
        <f>RawData!AH768</f>
        <v>0</v>
      </c>
      <c r="T36" s="40">
        <f>RawData!AI768</f>
        <v>0</v>
      </c>
      <c r="U36" s="40">
        <f>RawData!AJ768</f>
        <v>0</v>
      </c>
      <c r="V36" s="41">
        <f>RawData!AK768</f>
        <v>0</v>
      </c>
      <c r="W36" s="41">
        <f>RawData!AL768</f>
        <v>0</v>
      </c>
      <c r="X36" s="43">
        <f>RawData!CA768</f>
        <v>0</v>
      </c>
      <c r="Y36" s="41">
        <f>RawData!AM768</f>
        <v>0</v>
      </c>
      <c r="Z36" s="44">
        <f>RawData!CB768</f>
        <v>0</v>
      </c>
      <c r="AA36" s="44">
        <f>RawData!AN768</f>
        <v>0</v>
      </c>
      <c r="AB36" s="44">
        <f>RawData!AO768</f>
        <v>0</v>
      </c>
      <c r="AC36" s="44">
        <f>RawData!AP768</f>
        <v>0</v>
      </c>
      <c r="AD36" s="63">
        <f>RawData!BZ768</f>
        <v>0</v>
      </c>
      <c r="AE36" s="44">
        <f>RawData!AQ768</f>
        <v>0</v>
      </c>
      <c r="AF36" s="46">
        <f>RawData!O768</f>
        <v>0</v>
      </c>
      <c r="AG36" s="44">
        <f>RawData!AR768</f>
        <v>0</v>
      </c>
      <c r="AH36" s="44">
        <f>RawData!BY768</f>
        <v>0</v>
      </c>
      <c r="AI36" s="44">
        <f>RawData!AS768</f>
        <v>0</v>
      </c>
      <c r="AJ36" s="44">
        <f>RawData!AT768</f>
        <v>0</v>
      </c>
      <c r="AK36" s="44">
        <f>RawData!AU768</f>
        <v>0</v>
      </c>
      <c r="AL36" s="44">
        <f>RawData!BW768</f>
        <v>0</v>
      </c>
      <c r="AM36" s="41">
        <f>RawData!AV768</f>
        <v>0</v>
      </c>
      <c r="AN36" s="41">
        <f>RawData!BX768</f>
        <v>0</v>
      </c>
      <c r="AO36" s="41">
        <f>RawData!AW768</f>
        <v>0</v>
      </c>
      <c r="AP36" s="41">
        <f>RawData!AX768</f>
        <v>0</v>
      </c>
      <c r="AQ36" s="40">
        <f>RawData!AY768</f>
        <v>0</v>
      </c>
      <c r="AR36" s="40">
        <f>RawData!AZ768</f>
        <v>0</v>
      </c>
      <c r="AS36" s="40">
        <f>RawData!BA768</f>
        <v>0</v>
      </c>
      <c r="AT36" s="38">
        <f>RawData!BB768</f>
        <v>0</v>
      </c>
      <c r="AU36" s="40">
        <f>RawData!BC768</f>
        <v>0</v>
      </c>
      <c r="AV36" s="40">
        <f>RawData!BD768</f>
        <v>0</v>
      </c>
      <c r="AW36" s="38">
        <f>RawData!BE768</f>
        <v>0</v>
      </c>
      <c r="AX36" s="37">
        <f>RawData!BF768</f>
        <v>0</v>
      </c>
      <c r="AY36" s="36">
        <f>RawData!BG768</f>
        <v>0</v>
      </c>
      <c r="AZ36" s="36">
        <f>RawData!BH768</f>
        <v>0</v>
      </c>
      <c r="BA36" s="40">
        <f>RawData!BI768</f>
        <v>0</v>
      </c>
      <c r="BB36" s="44">
        <f>RawData!BJ768</f>
        <v>0</v>
      </c>
      <c r="BC36" s="44">
        <f>RawData!BK768</f>
        <v>0</v>
      </c>
      <c r="BD36" s="44">
        <f>RawData!BL768</f>
        <v>0</v>
      </c>
      <c r="BE36" s="44">
        <f>RawData!BM768</f>
        <v>0</v>
      </c>
      <c r="BF36" s="44">
        <f>RawData!BN768</f>
        <v>0</v>
      </c>
      <c r="BG36" s="63">
        <f>RawData!BO768</f>
        <v>0</v>
      </c>
      <c r="BH36" s="44">
        <f>RawData!BP768</f>
        <v>0</v>
      </c>
      <c r="BI36" s="63">
        <f>RawData!BQ768</f>
        <v>0</v>
      </c>
      <c r="BJ36" s="44">
        <f>RawData!BR768</f>
        <v>0</v>
      </c>
      <c r="BK36" s="47">
        <f>RawData!BS768</f>
        <v>0</v>
      </c>
      <c r="BL36" s="44">
        <f>RawData!BT768</f>
        <v>0</v>
      </c>
      <c r="BM36" s="47">
        <f>RawData!BV768</f>
        <v>0</v>
      </c>
      <c r="BN36" s="65">
        <f>RawData!CC768</f>
        <v>0</v>
      </c>
      <c r="BO36" s="66">
        <f>RawData!CD768</f>
        <v>0</v>
      </c>
      <c r="BQ36" s="21">
        <f t="shared" si="0"/>
        <v>0</v>
      </c>
    </row>
    <row r="37" spans="1:69" x14ac:dyDescent="0.2">
      <c r="A37" s="59">
        <f>RawData!P769</f>
        <v>0</v>
      </c>
      <c r="B37" s="44">
        <f>RawData!Q769</f>
        <v>0</v>
      </c>
      <c r="C37" s="44">
        <f>RawData!R769</f>
        <v>0</v>
      </c>
      <c r="D37" s="63">
        <f>RawData!S769</f>
        <v>0</v>
      </c>
      <c r="E37" s="44">
        <f>RawData!T769</f>
        <v>0</v>
      </c>
      <c r="F37" s="63">
        <f>RawData!U769</f>
        <v>0</v>
      </c>
      <c r="G37" s="44">
        <f>RawData!V769</f>
        <v>0</v>
      </c>
      <c r="H37" s="44">
        <f>RawData!W769</f>
        <v>0</v>
      </c>
      <c r="I37" s="44">
        <f>RawData!X769</f>
        <v>0</v>
      </c>
      <c r="J37" s="44">
        <f>RawData!Y769</f>
        <v>0</v>
      </c>
      <c r="K37" s="40">
        <f>RawData!Z769</f>
        <v>0</v>
      </c>
      <c r="L37" s="40">
        <f>RawData!AA769</f>
        <v>0</v>
      </c>
      <c r="M37" s="36">
        <f>RawData!AB769</f>
        <v>0</v>
      </c>
      <c r="N37" s="36">
        <f>RawData!AC769</f>
        <v>0</v>
      </c>
      <c r="O37" s="37">
        <f>RawData!AD769</f>
        <v>0</v>
      </c>
      <c r="P37" s="38">
        <f>RawData!AE769</f>
        <v>0</v>
      </c>
      <c r="Q37" s="39">
        <f>RawData!AF769</f>
        <v>0</v>
      </c>
      <c r="R37" s="38">
        <f>RawData!AG769</f>
        <v>0</v>
      </c>
      <c r="S37" s="40">
        <f>RawData!AH769</f>
        <v>0</v>
      </c>
      <c r="T37" s="40">
        <f>RawData!AI769</f>
        <v>0</v>
      </c>
      <c r="U37" s="40">
        <f>RawData!AJ769</f>
        <v>0</v>
      </c>
      <c r="V37" s="41">
        <f>RawData!AK769</f>
        <v>0</v>
      </c>
      <c r="W37" s="41">
        <f>RawData!AL769</f>
        <v>0</v>
      </c>
      <c r="X37" s="43">
        <f>RawData!CA769</f>
        <v>0</v>
      </c>
      <c r="Y37" s="41">
        <f>RawData!AM769</f>
        <v>0</v>
      </c>
      <c r="Z37" s="44">
        <f>RawData!CB769</f>
        <v>0</v>
      </c>
      <c r="AA37" s="44">
        <f>RawData!AN769</f>
        <v>0</v>
      </c>
      <c r="AB37" s="44">
        <f>RawData!AO769</f>
        <v>0</v>
      </c>
      <c r="AC37" s="44">
        <f>RawData!AP769</f>
        <v>0</v>
      </c>
      <c r="AD37" s="63">
        <f>RawData!BZ769</f>
        <v>0</v>
      </c>
      <c r="AE37" s="44">
        <f>RawData!AQ769</f>
        <v>0</v>
      </c>
      <c r="AF37" s="46">
        <f>RawData!O769</f>
        <v>0</v>
      </c>
      <c r="AG37" s="44">
        <f>RawData!AR769</f>
        <v>0</v>
      </c>
      <c r="AH37" s="44">
        <f>RawData!BY769</f>
        <v>0</v>
      </c>
      <c r="AI37" s="44">
        <f>RawData!AS769</f>
        <v>0</v>
      </c>
      <c r="AJ37" s="44">
        <f>RawData!AT769</f>
        <v>0</v>
      </c>
      <c r="AK37" s="44">
        <f>RawData!AU769</f>
        <v>0</v>
      </c>
      <c r="AL37" s="44">
        <f>RawData!BW769</f>
        <v>0</v>
      </c>
      <c r="AM37" s="41">
        <f>RawData!AV769</f>
        <v>0</v>
      </c>
      <c r="AN37" s="41">
        <f>RawData!BX769</f>
        <v>0</v>
      </c>
      <c r="AO37" s="41">
        <f>RawData!AW769</f>
        <v>0</v>
      </c>
      <c r="AP37" s="41">
        <f>RawData!AX769</f>
        <v>0</v>
      </c>
      <c r="AQ37" s="40">
        <f>RawData!AY769</f>
        <v>0</v>
      </c>
      <c r="AR37" s="40">
        <f>RawData!AZ769</f>
        <v>0</v>
      </c>
      <c r="AS37" s="40">
        <f>RawData!BA769</f>
        <v>0</v>
      </c>
      <c r="AT37" s="38">
        <f>RawData!BB769</f>
        <v>0</v>
      </c>
      <c r="AU37" s="40">
        <f>RawData!BC769</f>
        <v>0</v>
      </c>
      <c r="AV37" s="40">
        <f>RawData!BD769</f>
        <v>0</v>
      </c>
      <c r="AW37" s="38">
        <f>RawData!BE769</f>
        <v>0</v>
      </c>
      <c r="AX37" s="37">
        <f>RawData!BF769</f>
        <v>0</v>
      </c>
      <c r="AY37" s="36">
        <f>RawData!BG769</f>
        <v>0</v>
      </c>
      <c r="AZ37" s="36">
        <f>RawData!BH769</f>
        <v>0</v>
      </c>
      <c r="BA37" s="40">
        <f>RawData!BI769</f>
        <v>0</v>
      </c>
      <c r="BB37" s="44">
        <f>RawData!BJ769</f>
        <v>0</v>
      </c>
      <c r="BC37" s="44">
        <f>RawData!BK769</f>
        <v>0</v>
      </c>
      <c r="BD37" s="44">
        <f>RawData!BL769</f>
        <v>0</v>
      </c>
      <c r="BE37" s="44">
        <f>RawData!BM769</f>
        <v>0</v>
      </c>
      <c r="BF37" s="44">
        <f>RawData!BN769</f>
        <v>0</v>
      </c>
      <c r="BG37" s="63">
        <f>RawData!BO769</f>
        <v>0</v>
      </c>
      <c r="BH37" s="44">
        <f>RawData!BP769</f>
        <v>0</v>
      </c>
      <c r="BI37" s="63">
        <f>RawData!BQ769</f>
        <v>0</v>
      </c>
      <c r="BJ37" s="44">
        <f>RawData!BR769</f>
        <v>0</v>
      </c>
      <c r="BK37" s="47">
        <f>RawData!BS769</f>
        <v>0</v>
      </c>
      <c r="BL37" s="44">
        <f>RawData!BT769</f>
        <v>0</v>
      </c>
      <c r="BM37" s="47">
        <f>RawData!BV769</f>
        <v>0</v>
      </c>
      <c r="BN37" s="65">
        <f>RawData!CC769</f>
        <v>0</v>
      </c>
      <c r="BO37" s="66">
        <f>RawData!CD769</f>
        <v>0</v>
      </c>
      <c r="BQ37" s="21">
        <f t="shared" si="0"/>
        <v>0</v>
      </c>
    </row>
    <row r="38" spans="1:69" x14ac:dyDescent="0.2">
      <c r="A38" s="59">
        <f>RawData!P770</f>
        <v>0</v>
      </c>
      <c r="B38" s="44">
        <f>RawData!Q770</f>
        <v>0</v>
      </c>
      <c r="C38" s="44">
        <f>RawData!R770</f>
        <v>0</v>
      </c>
      <c r="D38" s="63">
        <f>RawData!S770</f>
        <v>0</v>
      </c>
      <c r="E38" s="44">
        <f>RawData!T770</f>
        <v>0</v>
      </c>
      <c r="F38" s="63">
        <f>RawData!U770</f>
        <v>0</v>
      </c>
      <c r="G38" s="44">
        <f>RawData!V770</f>
        <v>0</v>
      </c>
      <c r="H38" s="44">
        <f>RawData!W770</f>
        <v>0</v>
      </c>
      <c r="I38" s="44">
        <f>RawData!X770</f>
        <v>0</v>
      </c>
      <c r="J38" s="44">
        <f>RawData!Y770</f>
        <v>0</v>
      </c>
      <c r="K38" s="40">
        <f>RawData!Z770</f>
        <v>0</v>
      </c>
      <c r="L38" s="40">
        <f>RawData!AA770</f>
        <v>0</v>
      </c>
      <c r="M38" s="36">
        <f>RawData!AB770</f>
        <v>0</v>
      </c>
      <c r="N38" s="36">
        <f>RawData!AC770</f>
        <v>0</v>
      </c>
      <c r="O38" s="37">
        <f>RawData!AD770</f>
        <v>0</v>
      </c>
      <c r="P38" s="38">
        <f>RawData!AE770</f>
        <v>0</v>
      </c>
      <c r="Q38" s="39">
        <f>RawData!AF770</f>
        <v>0</v>
      </c>
      <c r="R38" s="38">
        <f>RawData!AG770</f>
        <v>0</v>
      </c>
      <c r="S38" s="40">
        <f>RawData!AH770</f>
        <v>0</v>
      </c>
      <c r="T38" s="40">
        <f>RawData!AI770</f>
        <v>0</v>
      </c>
      <c r="U38" s="40">
        <f>RawData!AJ770</f>
        <v>0</v>
      </c>
      <c r="V38" s="41">
        <f>RawData!AK770</f>
        <v>0</v>
      </c>
      <c r="W38" s="41">
        <f>RawData!AL770</f>
        <v>0</v>
      </c>
      <c r="X38" s="43">
        <f>RawData!CA770</f>
        <v>0</v>
      </c>
      <c r="Y38" s="41">
        <f>RawData!AM770</f>
        <v>0</v>
      </c>
      <c r="Z38" s="44">
        <f>RawData!CB770</f>
        <v>0</v>
      </c>
      <c r="AA38" s="44">
        <f>RawData!AN770</f>
        <v>0</v>
      </c>
      <c r="AB38" s="44">
        <f>RawData!AO770</f>
        <v>0</v>
      </c>
      <c r="AC38" s="44">
        <f>RawData!AP770</f>
        <v>0</v>
      </c>
      <c r="AD38" s="63">
        <f>RawData!BZ770</f>
        <v>0</v>
      </c>
      <c r="AE38" s="44">
        <f>RawData!AQ770</f>
        <v>0</v>
      </c>
      <c r="AF38" s="46">
        <f>RawData!O770</f>
        <v>0</v>
      </c>
      <c r="AG38" s="44">
        <f>RawData!AR770</f>
        <v>0</v>
      </c>
      <c r="AH38" s="44">
        <f>RawData!BY770</f>
        <v>0</v>
      </c>
      <c r="AI38" s="44">
        <f>RawData!AS770</f>
        <v>0</v>
      </c>
      <c r="AJ38" s="44">
        <f>RawData!AT770</f>
        <v>0</v>
      </c>
      <c r="AK38" s="44">
        <f>RawData!AU770</f>
        <v>0</v>
      </c>
      <c r="AL38" s="44">
        <f>RawData!BW770</f>
        <v>0</v>
      </c>
      <c r="AM38" s="41">
        <f>RawData!AV770</f>
        <v>0</v>
      </c>
      <c r="AN38" s="41">
        <f>RawData!BX770</f>
        <v>0</v>
      </c>
      <c r="AO38" s="41">
        <f>RawData!AW770</f>
        <v>0</v>
      </c>
      <c r="AP38" s="41">
        <f>RawData!AX770</f>
        <v>0</v>
      </c>
      <c r="AQ38" s="40">
        <f>RawData!AY770</f>
        <v>0</v>
      </c>
      <c r="AR38" s="40">
        <f>RawData!AZ770</f>
        <v>0</v>
      </c>
      <c r="AS38" s="40">
        <f>RawData!BA770</f>
        <v>0</v>
      </c>
      <c r="AT38" s="38">
        <f>RawData!BB770</f>
        <v>0</v>
      </c>
      <c r="AU38" s="40">
        <f>RawData!BC770</f>
        <v>0</v>
      </c>
      <c r="AV38" s="40">
        <f>RawData!BD770</f>
        <v>0</v>
      </c>
      <c r="AW38" s="38">
        <f>RawData!BE770</f>
        <v>0</v>
      </c>
      <c r="AX38" s="37">
        <f>RawData!BF770</f>
        <v>0</v>
      </c>
      <c r="AY38" s="36">
        <f>RawData!BG770</f>
        <v>0</v>
      </c>
      <c r="AZ38" s="36">
        <f>RawData!BH770</f>
        <v>0</v>
      </c>
      <c r="BA38" s="40">
        <f>RawData!BI770</f>
        <v>0</v>
      </c>
      <c r="BB38" s="44">
        <f>RawData!BJ770</f>
        <v>0</v>
      </c>
      <c r="BC38" s="44">
        <f>RawData!BK770</f>
        <v>0</v>
      </c>
      <c r="BD38" s="44">
        <f>RawData!BL770</f>
        <v>0</v>
      </c>
      <c r="BE38" s="44">
        <f>RawData!BM770</f>
        <v>0</v>
      </c>
      <c r="BF38" s="44">
        <f>RawData!BN770</f>
        <v>0</v>
      </c>
      <c r="BG38" s="63">
        <f>RawData!BO770</f>
        <v>0</v>
      </c>
      <c r="BH38" s="44">
        <f>RawData!BP770</f>
        <v>0</v>
      </c>
      <c r="BI38" s="63">
        <f>RawData!BQ770</f>
        <v>0</v>
      </c>
      <c r="BJ38" s="44">
        <f>RawData!BR770</f>
        <v>0</v>
      </c>
      <c r="BK38" s="47">
        <f>RawData!BS770</f>
        <v>0</v>
      </c>
      <c r="BL38" s="44">
        <f>RawData!BT770</f>
        <v>0</v>
      </c>
      <c r="BM38" s="47">
        <f>RawData!BV770</f>
        <v>0</v>
      </c>
      <c r="BN38" s="65">
        <f>RawData!CC770</f>
        <v>0</v>
      </c>
      <c r="BO38" s="66">
        <f>RawData!CD770</f>
        <v>0</v>
      </c>
      <c r="BQ38" s="21">
        <f t="shared" si="0"/>
        <v>0</v>
      </c>
    </row>
    <row r="39" spans="1:69" x14ac:dyDescent="0.2">
      <c r="A39" s="59">
        <f>RawData!P771</f>
        <v>0</v>
      </c>
      <c r="B39" s="44">
        <f>RawData!Q771</f>
        <v>0</v>
      </c>
      <c r="C39" s="44">
        <f>RawData!R771</f>
        <v>0</v>
      </c>
      <c r="D39" s="63">
        <f>RawData!S771</f>
        <v>0</v>
      </c>
      <c r="E39" s="44">
        <f>RawData!T771</f>
        <v>0</v>
      </c>
      <c r="F39" s="63">
        <f>RawData!U771</f>
        <v>0</v>
      </c>
      <c r="G39" s="44">
        <f>RawData!V771</f>
        <v>0</v>
      </c>
      <c r="H39" s="44">
        <f>RawData!W771</f>
        <v>0</v>
      </c>
      <c r="I39" s="44">
        <f>RawData!X771</f>
        <v>0</v>
      </c>
      <c r="J39" s="44">
        <f>RawData!Y771</f>
        <v>0</v>
      </c>
      <c r="K39" s="40">
        <f>RawData!Z771</f>
        <v>0</v>
      </c>
      <c r="L39" s="40">
        <f>RawData!AA771</f>
        <v>0</v>
      </c>
      <c r="M39" s="36">
        <f>RawData!AB771</f>
        <v>0</v>
      </c>
      <c r="N39" s="36">
        <f>RawData!AC771</f>
        <v>0</v>
      </c>
      <c r="O39" s="37">
        <f>RawData!AD771</f>
        <v>0</v>
      </c>
      <c r="P39" s="38">
        <f>RawData!AE771</f>
        <v>0</v>
      </c>
      <c r="Q39" s="39">
        <f>RawData!AF771</f>
        <v>0</v>
      </c>
      <c r="R39" s="38">
        <f>RawData!AG771</f>
        <v>0</v>
      </c>
      <c r="S39" s="40">
        <f>RawData!AH771</f>
        <v>0</v>
      </c>
      <c r="T39" s="40">
        <f>RawData!AI771</f>
        <v>0</v>
      </c>
      <c r="U39" s="40">
        <f>RawData!AJ771</f>
        <v>0</v>
      </c>
      <c r="V39" s="41">
        <f>RawData!AK771</f>
        <v>0</v>
      </c>
      <c r="W39" s="41">
        <f>RawData!AL771</f>
        <v>0</v>
      </c>
      <c r="X39" s="43">
        <f>RawData!CA771</f>
        <v>0</v>
      </c>
      <c r="Y39" s="41">
        <f>RawData!AM771</f>
        <v>0</v>
      </c>
      <c r="Z39" s="44">
        <f>RawData!CB771</f>
        <v>0</v>
      </c>
      <c r="AA39" s="44">
        <f>RawData!AN771</f>
        <v>0</v>
      </c>
      <c r="AB39" s="44">
        <f>RawData!AO771</f>
        <v>0</v>
      </c>
      <c r="AC39" s="44">
        <f>RawData!AP771</f>
        <v>0</v>
      </c>
      <c r="AD39" s="63">
        <f>RawData!BZ771</f>
        <v>0</v>
      </c>
      <c r="AE39" s="44">
        <f>RawData!AQ771</f>
        <v>0</v>
      </c>
      <c r="AF39" s="46">
        <f>RawData!O771</f>
        <v>0</v>
      </c>
      <c r="AG39" s="44">
        <f>RawData!AR771</f>
        <v>0</v>
      </c>
      <c r="AH39" s="44">
        <f>RawData!BY771</f>
        <v>0</v>
      </c>
      <c r="AI39" s="44">
        <f>RawData!AS771</f>
        <v>0</v>
      </c>
      <c r="AJ39" s="44">
        <f>RawData!AT771</f>
        <v>0</v>
      </c>
      <c r="AK39" s="44">
        <f>RawData!AU771</f>
        <v>0</v>
      </c>
      <c r="AL39" s="44">
        <f>RawData!BW771</f>
        <v>0</v>
      </c>
      <c r="AM39" s="41">
        <f>RawData!AV771</f>
        <v>0</v>
      </c>
      <c r="AN39" s="41">
        <f>RawData!BX771</f>
        <v>0</v>
      </c>
      <c r="AO39" s="41">
        <f>RawData!AW771</f>
        <v>0</v>
      </c>
      <c r="AP39" s="41">
        <f>RawData!AX771</f>
        <v>0</v>
      </c>
      <c r="AQ39" s="40">
        <f>RawData!AY771</f>
        <v>0</v>
      </c>
      <c r="AR39" s="40">
        <f>RawData!AZ771</f>
        <v>0</v>
      </c>
      <c r="AS39" s="40">
        <f>RawData!BA771</f>
        <v>0</v>
      </c>
      <c r="AT39" s="38">
        <f>RawData!BB771</f>
        <v>0</v>
      </c>
      <c r="AU39" s="40">
        <f>RawData!BC771</f>
        <v>0</v>
      </c>
      <c r="AV39" s="40">
        <f>RawData!BD771</f>
        <v>0</v>
      </c>
      <c r="AW39" s="38">
        <f>RawData!BE771</f>
        <v>0</v>
      </c>
      <c r="AX39" s="37">
        <f>RawData!BF771</f>
        <v>0</v>
      </c>
      <c r="AY39" s="36">
        <f>RawData!BG771</f>
        <v>0</v>
      </c>
      <c r="AZ39" s="36">
        <f>RawData!BH771</f>
        <v>0</v>
      </c>
      <c r="BA39" s="40">
        <f>RawData!BI771</f>
        <v>0</v>
      </c>
      <c r="BB39" s="44">
        <f>RawData!BJ771</f>
        <v>0</v>
      </c>
      <c r="BC39" s="44">
        <f>RawData!BK771</f>
        <v>0</v>
      </c>
      <c r="BD39" s="44">
        <f>RawData!BL771</f>
        <v>0</v>
      </c>
      <c r="BE39" s="44">
        <f>RawData!BM771</f>
        <v>0</v>
      </c>
      <c r="BF39" s="44">
        <f>RawData!BN771</f>
        <v>0</v>
      </c>
      <c r="BG39" s="63">
        <f>RawData!BO771</f>
        <v>0</v>
      </c>
      <c r="BH39" s="44">
        <f>RawData!BP771</f>
        <v>0</v>
      </c>
      <c r="BI39" s="63">
        <f>RawData!BQ771</f>
        <v>0</v>
      </c>
      <c r="BJ39" s="44">
        <f>RawData!BR771</f>
        <v>0</v>
      </c>
      <c r="BK39" s="47">
        <f>RawData!BS771</f>
        <v>0</v>
      </c>
      <c r="BL39" s="44">
        <f>RawData!BT771</f>
        <v>0</v>
      </c>
      <c r="BM39" s="47">
        <f>RawData!BV771</f>
        <v>0</v>
      </c>
      <c r="BN39" s="65">
        <f>RawData!CC771</f>
        <v>0</v>
      </c>
      <c r="BO39" s="66">
        <f>RawData!CD771</f>
        <v>0</v>
      </c>
      <c r="BQ39" s="21">
        <f t="shared" si="0"/>
        <v>0</v>
      </c>
    </row>
    <row r="40" spans="1:69" x14ac:dyDescent="0.2">
      <c r="A40" s="59">
        <f>RawData!P772</f>
        <v>0</v>
      </c>
      <c r="B40" s="44">
        <f>RawData!Q772</f>
        <v>0</v>
      </c>
      <c r="C40" s="44">
        <f>RawData!R772</f>
        <v>0</v>
      </c>
      <c r="D40" s="63">
        <f>RawData!S772</f>
        <v>0</v>
      </c>
      <c r="E40" s="44">
        <f>RawData!T772</f>
        <v>0</v>
      </c>
      <c r="F40" s="63">
        <f>RawData!U772</f>
        <v>0</v>
      </c>
      <c r="G40" s="44">
        <f>RawData!V772</f>
        <v>0</v>
      </c>
      <c r="H40" s="44">
        <f>RawData!W772</f>
        <v>0</v>
      </c>
      <c r="I40" s="44">
        <f>RawData!X772</f>
        <v>0</v>
      </c>
      <c r="J40" s="44">
        <f>RawData!Y772</f>
        <v>0</v>
      </c>
      <c r="K40" s="40">
        <f>RawData!Z772</f>
        <v>0</v>
      </c>
      <c r="L40" s="40">
        <f>RawData!AA772</f>
        <v>0</v>
      </c>
      <c r="M40" s="36">
        <f>RawData!AB772</f>
        <v>0</v>
      </c>
      <c r="N40" s="36">
        <f>RawData!AC772</f>
        <v>0</v>
      </c>
      <c r="O40" s="37">
        <f>RawData!AD772</f>
        <v>0</v>
      </c>
      <c r="P40" s="38">
        <f>RawData!AE772</f>
        <v>0</v>
      </c>
      <c r="Q40" s="39">
        <f>RawData!AF772</f>
        <v>0</v>
      </c>
      <c r="R40" s="38">
        <f>RawData!AG772</f>
        <v>0</v>
      </c>
      <c r="S40" s="40">
        <f>RawData!AH772</f>
        <v>0</v>
      </c>
      <c r="T40" s="40">
        <f>RawData!AI772</f>
        <v>0</v>
      </c>
      <c r="U40" s="40">
        <f>RawData!AJ772</f>
        <v>0</v>
      </c>
      <c r="V40" s="41">
        <f>RawData!AK772</f>
        <v>0</v>
      </c>
      <c r="W40" s="41">
        <f>RawData!AL772</f>
        <v>0</v>
      </c>
      <c r="X40" s="43">
        <f>RawData!CA772</f>
        <v>0</v>
      </c>
      <c r="Y40" s="41">
        <f>RawData!AM772</f>
        <v>0</v>
      </c>
      <c r="Z40" s="44">
        <f>RawData!CB772</f>
        <v>0</v>
      </c>
      <c r="AA40" s="44">
        <f>RawData!AN772</f>
        <v>0</v>
      </c>
      <c r="AB40" s="44">
        <f>RawData!AO772</f>
        <v>0</v>
      </c>
      <c r="AC40" s="44">
        <f>RawData!AP772</f>
        <v>0</v>
      </c>
      <c r="AD40" s="63">
        <f>RawData!BZ772</f>
        <v>0</v>
      </c>
      <c r="AE40" s="44">
        <f>RawData!AQ772</f>
        <v>0</v>
      </c>
      <c r="AF40" s="46">
        <f>RawData!O772</f>
        <v>0</v>
      </c>
      <c r="AG40" s="44">
        <f>RawData!AR772</f>
        <v>0</v>
      </c>
      <c r="AH40" s="44">
        <f>RawData!BY772</f>
        <v>0</v>
      </c>
      <c r="AI40" s="44">
        <f>RawData!AS772</f>
        <v>0</v>
      </c>
      <c r="AJ40" s="44">
        <f>RawData!AT772</f>
        <v>0</v>
      </c>
      <c r="AK40" s="44">
        <f>RawData!AU772</f>
        <v>0</v>
      </c>
      <c r="AL40" s="44">
        <f>RawData!BW772</f>
        <v>0</v>
      </c>
      <c r="AM40" s="41">
        <f>RawData!AV772</f>
        <v>0</v>
      </c>
      <c r="AN40" s="41">
        <f>RawData!BX772</f>
        <v>0</v>
      </c>
      <c r="AO40" s="41">
        <f>RawData!AW772</f>
        <v>0</v>
      </c>
      <c r="AP40" s="41">
        <f>RawData!AX772</f>
        <v>0</v>
      </c>
      <c r="AQ40" s="40">
        <f>RawData!AY772</f>
        <v>0</v>
      </c>
      <c r="AR40" s="40">
        <f>RawData!AZ772</f>
        <v>0</v>
      </c>
      <c r="AS40" s="40">
        <f>RawData!BA772</f>
        <v>0</v>
      </c>
      <c r="AT40" s="38">
        <f>RawData!BB772</f>
        <v>0</v>
      </c>
      <c r="AU40" s="40">
        <f>RawData!BC772</f>
        <v>0</v>
      </c>
      <c r="AV40" s="40">
        <f>RawData!BD772</f>
        <v>0</v>
      </c>
      <c r="AW40" s="38">
        <f>RawData!BE772</f>
        <v>0</v>
      </c>
      <c r="AX40" s="37">
        <f>RawData!BF772</f>
        <v>0</v>
      </c>
      <c r="AY40" s="36">
        <f>RawData!BG772</f>
        <v>0</v>
      </c>
      <c r="AZ40" s="36">
        <f>RawData!BH772</f>
        <v>0</v>
      </c>
      <c r="BA40" s="40">
        <f>RawData!BI772</f>
        <v>0</v>
      </c>
      <c r="BB40" s="44">
        <f>RawData!BJ772</f>
        <v>0</v>
      </c>
      <c r="BC40" s="44">
        <f>RawData!BK772</f>
        <v>0</v>
      </c>
      <c r="BD40" s="44">
        <f>RawData!BL772</f>
        <v>0</v>
      </c>
      <c r="BE40" s="44">
        <f>RawData!BM772</f>
        <v>0</v>
      </c>
      <c r="BF40" s="44">
        <f>RawData!BN772</f>
        <v>0</v>
      </c>
      <c r="BG40" s="63">
        <f>RawData!BO772</f>
        <v>0</v>
      </c>
      <c r="BH40" s="44">
        <f>RawData!BP772</f>
        <v>0</v>
      </c>
      <c r="BI40" s="63">
        <f>RawData!BQ772</f>
        <v>0</v>
      </c>
      <c r="BJ40" s="44">
        <f>RawData!BR772</f>
        <v>0</v>
      </c>
      <c r="BK40" s="47">
        <f>RawData!BS772</f>
        <v>0</v>
      </c>
      <c r="BL40" s="44">
        <f>RawData!BT772</f>
        <v>0</v>
      </c>
      <c r="BM40" s="47">
        <f>RawData!BV772</f>
        <v>0</v>
      </c>
      <c r="BN40" s="65">
        <f>RawData!CC772</f>
        <v>0</v>
      </c>
      <c r="BO40" s="66">
        <f>RawData!CD772</f>
        <v>0</v>
      </c>
      <c r="BQ40" s="21">
        <f t="shared" si="0"/>
        <v>0</v>
      </c>
    </row>
    <row r="41" spans="1:69" x14ac:dyDescent="0.2">
      <c r="A41" s="59">
        <f>RawData!P773</f>
        <v>0</v>
      </c>
      <c r="B41" s="44">
        <f>RawData!Q773</f>
        <v>0</v>
      </c>
      <c r="C41" s="44">
        <f>RawData!R773</f>
        <v>0</v>
      </c>
      <c r="D41" s="63">
        <f>RawData!S773</f>
        <v>0</v>
      </c>
      <c r="E41" s="44">
        <f>RawData!T773</f>
        <v>0</v>
      </c>
      <c r="F41" s="63">
        <f>RawData!U773</f>
        <v>0</v>
      </c>
      <c r="G41" s="44">
        <f>RawData!V773</f>
        <v>0</v>
      </c>
      <c r="H41" s="44">
        <f>RawData!W773</f>
        <v>0</v>
      </c>
      <c r="I41" s="44">
        <f>RawData!X773</f>
        <v>0</v>
      </c>
      <c r="J41" s="44">
        <f>RawData!Y773</f>
        <v>0</v>
      </c>
      <c r="K41" s="40">
        <f>RawData!Z773</f>
        <v>0</v>
      </c>
      <c r="L41" s="40">
        <f>RawData!AA773</f>
        <v>0</v>
      </c>
      <c r="M41" s="36">
        <f>RawData!AB773</f>
        <v>0</v>
      </c>
      <c r="N41" s="36">
        <f>RawData!AC773</f>
        <v>0</v>
      </c>
      <c r="O41" s="37">
        <f>RawData!AD773</f>
        <v>0</v>
      </c>
      <c r="P41" s="38">
        <f>RawData!AE773</f>
        <v>0</v>
      </c>
      <c r="Q41" s="39">
        <f>RawData!AF773</f>
        <v>0</v>
      </c>
      <c r="R41" s="38">
        <f>RawData!AG773</f>
        <v>0</v>
      </c>
      <c r="S41" s="40">
        <f>RawData!AH773</f>
        <v>0</v>
      </c>
      <c r="T41" s="40">
        <f>RawData!AI773</f>
        <v>0</v>
      </c>
      <c r="U41" s="40">
        <f>RawData!AJ773</f>
        <v>0</v>
      </c>
      <c r="V41" s="41">
        <f>RawData!AK773</f>
        <v>0</v>
      </c>
      <c r="W41" s="41">
        <f>RawData!AL773</f>
        <v>0</v>
      </c>
      <c r="X41" s="43">
        <f>RawData!CA773</f>
        <v>0</v>
      </c>
      <c r="Y41" s="41">
        <f>RawData!AM773</f>
        <v>0</v>
      </c>
      <c r="Z41" s="44">
        <f>RawData!CB773</f>
        <v>0</v>
      </c>
      <c r="AA41" s="44">
        <f>RawData!AN773</f>
        <v>0</v>
      </c>
      <c r="AB41" s="44">
        <f>RawData!AO773</f>
        <v>0</v>
      </c>
      <c r="AC41" s="44">
        <f>RawData!AP773</f>
        <v>0</v>
      </c>
      <c r="AD41" s="63">
        <f>RawData!BZ773</f>
        <v>0</v>
      </c>
      <c r="AE41" s="44">
        <f>RawData!AQ773</f>
        <v>0</v>
      </c>
      <c r="AF41" s="46">
        <f>RawData!O773</f>
        <v>0</v>
      </c>
      <c r="AG41" s="44">
        <f>RawData!AR773</f>
        <v>0</v>
      </c>
      <c r="AH41" s="44">
        <f>RawData!BY773</f>
        <v>0</v>
      </c>
      <c r="AI41" s="44">
        <f>RawData!AS773</f>
        <v>0</v>
      </c>
      <c r="AJ41" s="44">
        <f>RawData!AT773</f>
        <v>0</v>
      </c>
      <c r="AK41" s="44">
        <f>RawData!AU773</f>
        <v>0</v>
      </c>
      <c r="AL41" s="44">
        <f>RawData!BW773</f>
        <v>0</v>
      </c>
      <c r="AM41" s="41">
        <f>RawData!AV773</f>
        <v>0</v>
      </c>
      <c r="AN41" s="41">
        <f>RawData!BX773</f>
        <v>0</v>
      </c>
      <c r="AO41" s="41">
        <f>RawData!AW773</f>
        <v>0</v>
      </c>
      <c r="AP41" s="41">
        <f>RawData!AX773</f>
        <v>0</v>
      </c>
      <c r="AQ41" s="40">
        <f>RawData!AY773</f>
        <v>0</v>
      </c>
      <c r="AR41" s="40">
        <f>RawData!AZ773</f>
        <v>0</v>
      </c>
      <c r="AS41" s="40">
        <f>RawData!BA773</f>
        <v>0</v>
      </c>
      <c r="AT41" s="38">
        <f>RawData!BB773</f>
        <v>0</v>
      </c>
      <c r="AU41" s="40">
        <f>RawData!BC773</f>
        <v>0</v>
      </c>
      <c r="AV41" s="40">
        <f>RawData!BD773</f>
        <v>0</v>
      </c>
      <c r="AW41" s="38">
        <f>RawData!BE773</f>
        <v>0</v>
      </c>
      <c r="AX41" s="37">
        <f>RawData!BF773</f>
        <v>0</v>
      </c>
      <c r="AY41" s="36">
        <f>RawData!BG773</f>
        <v>0</v>
      </c>
      <c r="AZ41" s="36">
        <f>RawData!BH773</f>
        <v>0</v>
      </c>
      <c r="BA41" s="40">
        <f>RawData!BI773</f>
        <v>0</v>
      </c>
      <c r="BB41" s="44">
        <f>RawData!BJ773</f>
        <v>0</v>
      </c>
      <c r="BC41" s="44">
        <f>RawData!BK773</f>
        <v>0</v>
      </c>
      <c r="BD41" s="44">
        <f>RawData!BL773</f>
        <v>0</v>
      </c>
      <c r="BE41" s="44">
        <f>RawData!BM773</f>
        <v>0</v>
      </c>
      <c r="BF41" s="44">
        <f>RawData!BN773</f>
        <v>0</v>
      </c>
      <c r="BG41" s="63">
        <f>RawData!BO773</f>
        <v>0</v>
      </c>
      <c r="BH41" s="44">
        <f>RawData!BP773</f>
        <v>0</v>
      </c>
      <c r="BI41" s="63">
        <f>RawData!BQ773</f>
        <v>0</v>
      </c>
      <c r="BJ41" s="44">
        <f>RawData!BR773</f>
        <v>0</v>
      </c>
      <c r="BK41" s="47">
        <f>RawData!BS773</f>
        <v>0</v>
      </c>
      <c r="BL41" s="44">
        <f>RawData!BT773</f>
        <v>0</v>
      </c>
      <c r="BM41" s="47">
        <f>RawData!BV773</f>
        <v>0</v>
      </c>
      <c r="BN41" s="65">
        <f>RawData!CC773</f>
        <v>0</v>
      </c>
      <c r="BO41" s="66">
        <f>RawData!CD773</f>
        <v>0</v>
      </c>
      <c r="BQ41" s="21">
        <f t="shared" si="0"/>
        <v>0</v>
      </c>
    </row>
    <row r="42" spans="1:69" x14ac:dyDescent="0.2">
      <c r="A42" s="59">
        <f>RawData!P774</f>
        <v>0</v>
      </c>
      <c r="B42" s="44">
        <f>RawData!Q774</f>
        <v>0</v>
      </c>
      <c r="C42" s="44">
        <f>RawData!R774</f>
        <v>0</v>
      </c>
      <c r="D42" s="63">
        <f>RawData!S774</f>
        <v>0</v>
      </c>
      <c r="E42" s="44">
        <f>RawData!T774</f>
        <v>0</v>
      </c>
      <c r="F42" s="63">
        <f>RawData!U774</f>
        <v>0</v>
      </c>
      <c r="G42" s="44">
        <f>RawData!V774</f>
        <v>0</v>
      </c>
      <c r="H42" s="44">
        <f>RawData!W774</f>
        <v>0</v>
      </c>
      <c r="I42" s="44">
        <f>RawData!X774</f>
        <v>0</v>
      </c>
      <c r="J42" s="44">
        <f>RawData!Y774</f>
        <v>0</v>
      </c>
      <c r="K42" s="40">
        <f>RawData!Z774</f>
        <v>0</v>
      </c>
      <c r="L42" s="40">
        <f>RawData!AA774</f>
        <v>0</v>
      </c>
      <c r="M42" s="36">
        <f>RawData!AB774</f>
        <v>0</v>
      </c>
      <c r="N42" s="36">
        <f>RawData!AC774</f>
        <v>0</v>
      </c>
      <c r="O42" s="37">
        <f>RawData!AD774</f>
        <v>0</v>
      </c>
      <c r="P42" s="38">
        <f>RawData!AE774</f>
        <v>0</v>
      </c>
      <c r="Q42" s="39">
        <f>RawData!AF774</f>
        <v>0</v>
      </c>
      <c r="R42" s="38">
        <f>RawData!AG774</f>
        <v>0</v>
      </c>
      <c r="S42" s="40">
        <f>RawData!AH774</f>
        <v>0</v>
      </c>
      <c r="T42" s="40">
        <f>RawData!AI774</f>
        <v>0</v>
      </c>
      <c r="U42" s="40">
        <f>RawData!AJ774</f>
        <v>0</v>
      </c>
      <c r="V42" s="41">
        <f>RawData!AK774</f>
        <v>0</v>
      </c>
      <c r="W42" s="41">
        <f>RawData!AL774</f>
        <v>0</v>
      </c>
      <c r="X42" s="43">
        <f>RawData!CA774</f>
        <v>0</v>
      </c>
      <c r="Y42" s="41">
        <f>RawData!AM774</f>
        <v>0</v>
      </c>
      <c r="Z42" s="44">
        <f>RawData!CB774</f>
        <v>0</v>
      </c>
      <c r="AA42" s="44">
        <f>RawData!AN774</f>
        <v>0</v>
      </c>
      <c r="AB42" s="44">
        <f>RawData!AO774</f>
        <v>0</v>
      </c>
      <c r="AC42" s="44">
        <f>RawData!AP774</f>
        <v>0</v>
      </c>
      <c r="AD42" s="63">
        <f>RawData!BZ774</f>
        <v>0</v>
      </c>
      <c r="AE42" s="44">
        <f>RawData!AQ774</f>
        <v>0</v>
      </c>
      <c r="AF42" s="46">
        <f>RawData!O774</f>
        <v>0</v>
      </c>
      <c r="AG42" s="44">
        <f>RawData!AR774</f>
        <v>0</v>
      </c>
      <c r="AH42" s="44">
        <f>RawData!BY774</f>
        <v>0</v>
      </c>
      <c r="AI42" s="44">
        <f>RawData!AS774</f>
        <v>0</v>
      </c>
      <c r="AJ42" s="44">
        <f>RawData!AT774</f>
        <v>0</v>
      </c>
      <c r="AK42" s="44">
        <f>RawData!AU774</f>
        <v>0</v>
      </c>
      <c r="AL42" s="44">
        <f>RawData!BW774</f>
        <v>0</v>
      </c>
      <c r="AM42" s="41">
        <f>RawData!AV774</f>
        <v>0</v>
      </c>
      <c r="AN42" s="41">
        <f>RawData!BX774</f>
        <v>0</v>
      </c>
      <c r="AO42" s="41">
        <f>RawData!AW774</f>
        <v>0</v>
      </c>
      <c r="AP42" s="41">
        <f>RawData!AX774</f>
        <v>0</v>
      </c>
      <c r="AQ42" s="40">
        <f>RawData!AY774</f>
        <v>0</v>
      </c>
      <c r="AR42" s="40">
        <f>RawData!AZ774</f>
        <v>0</v>
      </c>
      <c r="AS42" s="40">
        <f>RawData!BA774</f>
        <v>0</v>
      </c>
      <c r="AT42" s="38">
        <f>RawData!BB774</f>
        <v>0</v>
      </c>
      <c r="AU42" s="40">
        <f>RawData!BC774</f>
        <v>0</v>
      </c>
      <c r="AV42" s="40">
        <f>RawData!BD774</f>
        <v>0</v>
      </c>
      <c r="AW42" s="38">
        <f>RawData!BE774</f>
        <v>0</v>
      </c>
      <c r="AX42" s="37">
        <f>RawData!BF774</f>
        <v>0</v>
      </c>
      <c r="AY42" s="36">
        <f>RawData!BG774</f>
        <v>0</v>
      </c>
      <c r="AZ42" s="36">
        <f>RawData!BH774</f>
        <v>0</v>
      </c>
      <c r="BA42" s="40">
        <f>RawData!BI774</f>
        <v>0</v>
      </c>
      <c r="BB42" s="44">
        <f>RawData!BJ774</f>
        <v>0</v>
      </c>
      <c r="BC42" s="44">
        <f>RawData!BK774</f>
        <v>0</v>
      </c>
      <c r="BD42" s="44">
        <f>RawData!BL774</f>
        <v>0</v>
      </c>
      <c r="BE42" s="44">
        <f>RawData!BM774</f>
        <v>0</v>
      </c>
      <c r="BF42" s="44">
        <f>RawData!BN774</f>
        <v>0</v>
      </c>
      <c r="BG42" s="63">
        <f>RawData!BO774</f>
        <v>0</v>
      </c>
      <c r="BH42" s="44">
        <f>RawData!BP774</f>
        <v>0</v>
      </c>
      <c r="BI42" s="63">
        <f>RawData!BQ774</f>
        <v>0</v>
      </c>
      <c r="BJ42" s="44">
        <f>RawData!BR774</f>
        <v>0</v>
      </c>
      <c r="BK42" s="47">
        <f>RawData!BS774</f>
        <v>0</v>
      </c>
      <c r="BL42" s="44">
        <f>RawData!BT774</f>
        <v>0</v>
      </c>
      <c r="BM42" s="47">
        <f>RawData!BV774</f>
        <v>0</v>
      </c>
      <c r="BN42" s="65">
        <f>RawData!CC774</f>
        <v>0</v>
      </c>
      <c r="BO42" s="66">
        <f>RawData!CD774</f>
        <v>0</v>
      </c>
      <c r="BQ42" s="21">
        <f t="shared" si="0"/>
        <v>0</v>
      </c>
    </row>
    <row r="43" spans="1:69" x14ac:dyDescent="0.2">
      <c r="A43" s="59">
        <f>RawData!P775</f>
        <v>0</v>
      </c>
      <c r="B43" s="44">
        <f>RawData!Q775</f>
        <v>0</v>
      </c>
      <c r="C43" s="44">
        <f>RawData!R775</f>
        <v>0</v>
      </c>
      <c r="D43" s="63">
        <f>RawData!S775</f>
        <v>0</v>
      </c>
      <c r="E43" s="44">
        <f>RawData!T775</f>
        <v>0</v>
      </c>
      <c r="F43" s="63">
        <f>RawData!U775</f>
        <v>0</v>
      </c>
      <c r="G43" s="44">
        <f>RawData!V775</f>
        <v>0</v>
      </c>
      <c r="H43" s="44">
        <f>RawData!W775</f>
        <v>0</v>
      </c>
      <c r="I43" s="44">
        <f>RawData!X775</f>
        <v>0</v>
      </c>
      <c r="J43" s="44">
        <f>RawData!Y775</f>
        <v>0</v>
      </c>
      <c r="K43" s="40">
        <f>RawData!Z775</f>
        <v>0</v>
      </c>
      <c r="L43" s="40">
        <f>RawData!AA775</f>
        <v>0</v>
      </c>
      <c r="M43" s="36">
        <f>RawData!AB775</f>
        <v>0</v>
      </c>
      <c r="N43" s="36">
        <f>RawData!AC775</f>
        <v>0</v>
      </c>
      <c r="O43" s="37">
        <f>RawData!AD775</f>
        <v>0</v>
      </c>
      <c r="P43" s="38">
        <f>RawData!AE775</f>
        <v>0</v>
      </c>
      <c r="Q43" s="39">
        <f>RawData!AF775</f>
        <v>0</v>
      </c>
      <c r="R43" s="38">
        <f>RawData!AG775</f>
        <v>0</v>
      </c>
      <c r="S43" s="40">
        <f>RawData!AH775</f>
        <v>0</v>
      </c>
      <c r="T43" s="40">
        <f>RawData!AI775</f>
        <v>0</v>
      </c>
      <c r="U43" s="40">
        <f>RawData!AJ775</f>
        <v>0</v>
      </c>
      <c r="V43" s="41">
        <f>RawData!AK775</f>
        <v>0</v>
      </c>
      <c r="W43" s="41">
        <f>RawData!AL775</f>
        <v>0</v>
      </c>
      <c r="X43" s="43">
        <f>RawData!CA775</f>
        <v>0</v>
      </c>
      <c r="Y43" s="41">
        <f>RawData!AM775</f>
        <v>0</v>
      </c>
      <c r="Z43" s="44">
        <f>RawData!CB775</f>
        <v>0</v>
      </c>
      <c r="AA43" s="44">
        <f>RawData!AN775</f>
        <v>0</v>
      </c>
      <c r="AB43" s="44">
        <f>RawData!AO775</f>
        <v>0</v>
      </c>
      <c r="AC43" s="44">
        <f>RawData!AP775</f>
        <v>0</v>
      </c>
      <c r="AD43" s="63">
        <f>RawData!BZ775</f>
        <v>0</v>
      </c>
      <c r="AE43" s="44">
        <f>RawData!AQ775</f>
        <v>0</v>
      </c>
      <c r="AF43" s="46">
        <f>RawData!O775</f>
        <v>0</v>
      </c>
      <c r="AG43" s="44">
        <f>RawData!AR775</f>
        <v>0</v>
      </c>
      <c r="AH43" s="44">
        <f>RawData!BY775</f>
        <v>0</v>
      </c>
      <c r="AI43" s="44">
        <f>RawData!AS775</f>
        <v>0</v>
      </c>
      <c r="AJ43" s="44">
        <f>RawData!AT775</f>
        <v>0</v>
      </c>
      <c r="AK43" s="44">
        <f>RawData!AU775</f>
        <v>0</v>
      </c>
      <c r="AL43" s="44">
        <f>RawData!BW775</f>
        <v>0</v>
      </c>
      <c r="AM43" s="41">
        <f>RawData!AV775</f>
        <v>0</v>
      </c>
      <c r="AN43" s="41">
        <f>RawData!BX775</f>
        <v>0</v>
      </c>
      <c r="AO43" s="41">
        <f>RawData!AW775</f>
        <v>0</v>
      </c>
      <c r="AP43" s="41">
        <f>RawData!AX775</f>
        <v>0</v>
      </c>
      <c r="AQ43" s="40">
        <f>RawData!AY775</f>
        <v>0</v>
      </c>
      <c r="AR43" s="40">
        <f>RawData!AZ775</f>
        <v>0</v>
      </c>
      <c r="AS43" s="40">
        <f>RawData!BA775</f>
        <v>0</v>
      </c>
      <c r="AT43" s="38">
        <f>RawData!BB775</f>
        <v>0</v>
      </c>
      <c r="AU43" s="40">
        <f>RawData!BC775</f>
        <v>0</v>
      </c>
      <c r="AV43" s="40">
        <f>RawData!BD775</f>
        <v>0</v>
      </c>
      <c r="AW43" s="38">
        <f>RawData!BE775</f>
        <v>0</v>
      </c>
      <c r="AX43" s="37">
        <f>RawData!BF775</f>
        <v>0</v>
      </c>
      <c r="AY43" s="36">
        <f>RawData!BG775</f>
        <v>0</v>
      </c>
      <c r="AZ43" s="36">
        <f>RawData!BH775</f>
        <v>0</v>
      </c>
      <c r="BA43" s="40">
        <f>RawData!BI775</f>
        <v>0</v>
      </c>
      <c r="BB43" s="44">
        <f>RawData!BJ775</f>
        <v>0</v>
      </c>
      <c r="BC43" s="44">
        <f>RawData!BK775</f>
        <v>0</v>
      </c>
      <c r="BD43" s="44">
        <f>RawData!BL775</f>
        <v>0</v>
      </c>
      <c r="BE43" s="44">
        <f>RawData!BM775</f>
        <v>0</v>
      </c>
      <c r="BF43" s="44">
        <f>RawData!BN775</f>
        <v>0</v>
      </c>
      <c r="BG43" s="63">
        <f>RawData!BO775</f>
        <v>0</v>
      </c>
      <c r="BH43" s="44">
        <f>RawData!BP775</f>
        <v>0</v>
      </c>
      <c r="BI43" s="63">
        <f>RawData!BQ775</f>
        <v>0</v>
      </c>
      <c r="BJ43" s="44">
        <f>RawData!BR775</f>
        <v>0</v>
      </c>
      <c r="BK43" s="47">
        <f>RawData!BS775</f>
        <v>0</v>
      </c>
      <c r="BL43" s="44">
        <f>RawData!BT775</f>
        <v>0</v>
      </c>
      <c r="BM43" s="47">
        <f>RawData!BV775</f>
        <v>0</v>
      </c>
      <c r="BN43" s="65">
        <f>RawData!CC775</f>
        <v>0</v>
      </c>
      <c r="BO43" s="66">
        <f>RawData!CD775</f>
        <v>0</v>
      </c>
      <c r="BQ43" s="21">
        <f t="shared" si="0"/>
        <v>0</v>
      </c>
    </row>
    <row r="44" spans="1:69" x14ac:dyDescent="0.2">
      <c r="A44" s="59">
        <f>RawData!P776</f>
        <v>0</v>
      </c>
      <c r="B44" s="44">
        <f>RawData!Q776</f>
        <v>0</v>
      </c>
      <c r="C44" s="44">
        <f>RawData!R776</f>
        <v>0</v>
      </c>
      <c r="D44" s="63">
        <f>RawData!S776</f>
        <v>0</v>
      </c>
      <c r="E44" s="44">
        <f>RawData!T776</f>
        <v>0</v>
      </c>
      <c r="F44" s="63">
        <f>RawData!U776</f>
        <v>0</v>
      </c>
      <c r="G44" s="44">
        <f>RawData!V776</f>
        <v>0</v>
      </c>
      <c r="H44" s="44">
        <f>RawData!W776</f>
        <v>0</v>
      </c>
      <c r="I44" s="44">
        <f>RawData!X776</f>
        <v>0</v>
      </c>
      <c r="J44" s="44">
        <f>RawData!Y776</f>
        <v>0</v>
      </c>
      <c r="K44" s="40">
        <f>RawData!Z776</f>
        <v>0</v>
      </c>
      <c r="L44" s="40">
        <f>RawData!AA776</f>
        <v>0</v>
      </c>
      <c r="M44" s="36">
        <f>RawData!AB776</f>
        <v>0</v>
      </c>
      <c r="N44" s="36">
        <f>RawData!AC776</f>
        <v>0</v>
      </c>
      <c r="O44" s="37">
        <f>RawData!AD776</f>
        <v>0</v>
      </c>
      <c r="P44" s="38">
        <f>RawData!AE776</f>
        <v>0</v>
      </c>
      <c r="Q44" s="39">
        <f>RawData!AF776</f>
        <v>0</v>
      </c>
      <c r="R44" s="38">
        <f>RawData!AG776</f>
        <v>0</v>
      </c>
      <c r="S44" s="40">
        <f>RawData!AH776</f>
        <v>0</v>
      </c>
      <c r="T44" s="40">
        <f>RawData!AI776</f>
        <v>0</v>
      </c>
      <c r="U44" s="40">
        <f>RawData!AJ776</f>
        <v>0</v>
      </c>
      <c r="V44" s="41">
        <f>RawData!AK776</f>
        <v>0</v>
      </c>
      <c r="W44" s="41">
        <f>RawData!AL776</f>
        <v>0</v>
      </c>
      <c r="X44" s="43">
        <f>RawData!CA776</f>
        <v>0</v>
      </c>
      <c r="Y44" s="41">
        <f>RawData!AM776</f>
        <v>0</v>
      </c>
      <c r="Z44" s="44">
        <f>RawData!CB776</f>
        <v>0</v>
      </c>
      <c r="AA44" s="44">
        <f>RawData!AN776</f>
        <v>0</v>
      </c>
      <c r="AB44" s="44">
        <f>RawData!AO776</f>
        <v>0</v>
      </c>
      <c r="AC44" s="44">
        <f>RawData!AP776</f>
        <v>0</v>
      </c>
      <c r="AD44" s="63">
        <f>RawData!BZ776</f>
        <v>0</v>
      </c>
      <c r="AE44" s="44">
        <f>RawData!AQ776</f>
        <v>0</v>
      </c>
      <c r="AF44" s="46">
        <f>RawData!O776</f>
        <v>0</v>
      </c>
      <c r="AG44" s="44">
        <f>RawData!AR776</f>
        <v>0</v>
      </c>
      <c r="AH44" s="44">
        <f>RawData!BY776</f>
        <v>0</v>
      </c>
      <c r="AI44" s="44">
        <f>RawData!AS776</f>
        <v>0</v>
      </c>
      <c r="AJ44" s="44">
        <f>RawData!AT776</f>
        <v>0</v>
      </c>
      <c r="AK44" s="44">
        <f>RawData!AU776</f>
        <v>0</v>
      </c>
      <c r="AL44" s="44">
        <f>RawData!BW776</f>
        <v>0</v>
      </c>
      <c r="AM44" s="41">
        <f>RawData!AV776</f>
        <v>0</v>
      </c>
      <c r="AN44" s="41">
        <f>RawData!BX776</f>
        <v>0</v>
      </c>
      <c r="AO44" s="41">
        <f>RawData!AW776</f>
        <v>0</v>
      </c>
      <c r="AP44" s="41">
        <f>RawData!AX776</f>
        <v>0</v>
      </c>
      <c r="AQ44" s="40">
        <f>RawData!AY776</f>
        <v>0</v>
      </c>
      <c r="AR44" s="40">
        <f>RawData!AZ776</f>
        <v>0</v>
      </c>
      <c r="AS44" s="40">
        <f>RawData!BA776</f>
        <v>0</v>
      </c>
      <c r="AT44" s="38">
        <f>RawData!BB776</f>
        <v>0</v>
      </c>
      <c r="AU44" s="40">
        <f>RawData!BC776</f>
        <v>0</v>
      </c>
      <c r="AV44" s="40">
        <f>RawData!BD776</f>
        <v>0</v>
      </c>
      <c r="AW44" s="38">
        <f>RawData!BE776</f>
        <v>0</v>
      </c>
      <c r="AX44" s="37">
        <f>RawData!BF776</f>
        <v>0</v>
      </c>
      <c r="AY44" s="36">
        <f>RawData!BG776</f>
        <v>0</v>
      </c>
      <c r="AZ44" s="36">
        <f>RawData!BH776</f>
        <v>0</v>
      </c>
      <c r="BA44" s="40">
        <f>RawData!BI776</f>
        <v>0</v>
      </c>
      <c r="BB44" s="44">
        <f>RawData!BJ776</f>
        <v>0</v>
      </c>
      <c r="BC44" s="44">
        <f>RawData!BK776</f>
        <v>0</v>
      </c>
      <c r="BD44" s="44">
        <f>RawData!BL776</f>
        <v>0</v>
      </c>
      <c r="BE44" s="44">
        <f>RawData!BM776</f>
        <v>0</v>
      </c>
      <c r="BF44" s="44">
        <f>RawData!BN776</f>
        <v>0</v>
      </c>
      <c r="BG44" s="63">
        <f>RawData!BO776</f>
        <v>0</v>
      </c>
      <c r="BH44" s="44">
        <f>RawData!BP776</f>
        <v>0</v>
      </c>
      <c r="BI44" s="63">
        <f>RawData!BQ776</f>
        <v>0</v>
      </c>
      <c r="BJ44" s="44">
        <f>RawData!BR776</f>
        <v>0</v>
      </c>
      <c r="BK44" s="47">
        <f>RawData!BS776</f>
        <v>0</v>
      </c>
      <c r="BL44" s="44">
        <f>RawData!BT776</f>
        <v>0</v>
      </c>
      <c r="BM44" s="47">
        <f>RawData!BV776</f>
        <v>0</v>
      </c>
      <c r="BN44" s="65">
        <f>RawData!CC776</f>
        <v>0</v>
      </c>
      <c r="BO44" s="66">
        <f>RawData!CD776</f>
        <v>0</v>
      </c>
      <c r="BQ44" s="21">
        <f t="shared" si="0"/>
        <v>0</v>
      </c>
    </row>
    <row r="45" spans="1:69" x14ac:dyDescent="0.2">
      <c r="A45" s="59">
        <f>RawData!P777</f>
        <v>0</v>
      </c>
      <c r="B45" s="44">
        <f>RawData!Q777</f>
        <v>0</v>
      </c>
      <c r="C45" s="44">
        <f>RawData!R777</f>
        <v>0</v>
      </c>
      <c r="D45" s="63">
        <f>RawData!S777</f>
        <v>0</v>
      </c>
      <c r="E45" s="44">
        <f>RawData!T777</f>
        <v>0</v>
      </c>
      <c r="F45" s="63">
        <f>RawData!U777</f>
        <v>0</v>
      </c>
      <c r="G45" s="44">
        <f>RawData!V777</f>
        <v>0</v>
      </c>
      <c r="H45" s="44">
        <f>RawData!W777</f>
        <v>0</v>
      </c>
      <c r="I45" s="44">
        <f>RawData!X777</f>
        <v>0</v>
      </c>
      <c r="J45" s="44">
        <f>RawData!Y777</f>
        <v>0</v>
      </c>
      <c r="K45" s="40">
        <f>RawData!Z777</f>
        <v>0</v>
      </c>
      <c r="L45" s="40">
        <f>RawData!AA777</f>
        <v>0</v>
      </c>
      <c r="M45" s="36">
        <f>RawData!AB777</f>
        <v>0</v>
      </c>
      <c r="N45" s="36">
        <f>RawData!AC777</f>
        <v>0</v>
      </c>
      <c r="O45" s="37">
        <f>RawData!AD777</f>
        <v>0</v>
      </c>
      <c r="P45" s="38">
        <f>RawData!AE777</f>
        <v>0</v>
      </c>
      <c r="Q45" s="39">
        <f>RawData!AF777</f>
        <v>0</v>
      </c>
      <c r="R45" s="38">
        <f>RawData!AG777</f>
        <v>0</v>
      </c>
      <c r="S45" s="40">
        <f>RawData!AH777</f>
        <v>0</v>
      </c>
      <c r="T45" s="40">
        <f>RawData!AI777</f>
        <v>0</v>
      </c>
      <c r="U45" s="40">
        <f>RawData!AJ777</f>
        <v>0</v>
      </c>
      <c r="V45" s="41">
        <f>RawData!AK777</f>
        <v>0</v>
      </c>
      <c r="W45" s="41">
        <f>RawData!AL777</f>
        <v>0</v>
      </c>
      <c r="X45" s="43">
        <f>RawData!CA777</f>
        <v>0</v>
      </c>
      <c r="Y45" s="41">
        <f>RawData!AM777</f>
        <v>0</v>
      </c>
      <c r="Z45" s="44">
        <f>RawData!CB777</f>
        <v>0</v>
      </c>
      <c r="AA45" s="44">
        <f>RawData!AN777</f>
        <v>0</v>
      </c>
      <c r="AB45" s="44">
        <f>RawData!AO777</f>
        <v>0</v>
      </c>
      <c r="AC45" s="44">
        <f>RawData!AP777</f>
        <v>0</v>
      </c>
      <c r="AD45" s="63">
        <f>RawData!BZ777</f>
        <v>0</v>
      </c>
      <c r="AE45" s="44">
        <f>RawData!AQ777</f>
        <v>0</v>
      </c>
      <c r="AF45" s="46">
        <f>RawData!O777</f>
        <v>0</v>
      </c>
      <c r="AG45" s="44">
        <f>RawData!AR777</f>
        <v>0</v>
      </c>
      <c r="AH45" s="44">
        <f>RawData!BY777</f>
        <v>0</v>
      </c>
      <c r="AI45" s="44">
        <f>RawData!AS777</f>
        <v>0</v>
      </c>
      <c r="AJ45" s="44">
        <f>RawData!AT777</f>
        <v>0</v>
      </c>
      <c r="AK45" s="44">
        <f>RawData!AU777</f>
        <v>0</v>
      </c>
      <c r="AL45" s="44">
        <f>RawData!BW777</f>
        <v>0</v>
      </c>
      <c r="AM45" s="41">
        <f>RawData!AV777</f>
        <v>0</v>
      </c>
      <c r="AN45" s="41">
        <f>RawData!BX777</f>
        <v>0</v>
      </c>
      <c r="AO45" s="41">
        <f>RawData!AW777</f>
        <v>0</v>
      </c>
      <c r="AP45" s="41">
        <f>RawData!AX777</f>
        <v>0</v>
      </c>
      <c r="AQ45" s="40">
        <f>RawData!AY777</f>
        <v>0</v>
      </c>
      <c r="AR45" s="40">
        <f>RawData!AZ777</f>
        <v>0</v>
      </c>
      <c r="AS45" s="40">
        <f>RawData!BA777</f>
        <v>0</v>
      </c>
      <c r="AT45" s="38">
        <f>RawData!BB777</f>
        <v>0</v>
      </c>
      <c r="AU45" s="40">
        <f>RawData!BC777</f>
        <v>0</v>
      </c>
      <c r="AV45" s="40">
        <f>RawData!BD777</f>
        <v>0</v>
      </c>
      <c r="AW45" s="38">
        <f>RawData!BE777</f>
        <v>0</v>
      </c>
      <c r="AX45" s="37">
        <f>RawData!BF777</f>
        <v>0</v>
      </c>
      <c r="AY45" s="36">
        <f>RawData!BG777</f>
        <v>0</v>
      </c>
      <c r="AZ45" s="36">
        <f>RawData!BH777</f>
        <v>0</v>
      </c>
      <c r="BA45" s="40">
        <f>RawData!BI777</f>
        <v>0</v>
      </c>
      <c r="BB45" s="44">
        <f>RawData!BJ777</f>
        <v>0</v>
      </c>
      <c r="BC45" s="44">
        <f>RawData!BK777</f>
        <v>0</v>
      </c>
      <c r="BD45" s="44">
        <f>RawData!BL777</f>
        <v>0</v>
      </c>
      <c r="BE45" s="44">
        <f>RawData!BM777</f>
        <v>0</v>
      </c>
      <c r="BF45" s="44">
        <f>RawData!BN777</f>
        <v>0</v>
      </c>
      <c r="BG45" s="63">
        <f>RawData!BO777</f>
        <v>0</v>
      </c>
      <c r="BH45" s="44">
        <f>RawData!BP777</f>
        <v>0</v>
      </c>
      <c r="BI45" s="63">
        <f>RawData!BQ777</f>
        <v>0</v>
      </c>
      <c r="BJ45" s="44">
        <f>RawData!BR777</f>
        <v>0</v>
      </c>
      <c r="BK45" s="47">
        <f>RawData!BS777</f>
        <v>0</v>
      </c>
      <c r="BL45" s="44">
        <f>RawData!BT777</f>
        <v>0</v>
      </c>
      <c r="BM45" s="47">
        <f>RawData!BV777</f>
        <v>0</v>
      </c>
      <c r="BN45" s="65">
        <f>RawData!CC777</f>
        <v>0</v>
      </c>
      <c r="BO45" s="66">
        <f>RawData!CD777</f>
        <v>0</v>
      </c>
      <c r="BQ45" s="21">
        <f t="shared" si="0"/>
        <v>0</v>
      </c>
    </row>
    <row r="46" spans="1:69" x14ac:dyDescent="0.2">
      <c r="A46" s="59">
        <f>RawData!P778</f>
        <v>0</v>
      </c>
      <c r="B46" s="44">
        <f>RawData!Q778</f>
        <v>0</v>
      </c>
      <c r="C46" s="44">
        <f>RawData!R778</f>
        <v>0</v>
      </c>
      <c r="D46" s="63">
        <f>RawData!S778</f>
        <v>0</v>
      </c>
      <c r="E46" s="44">
        <f>RawData!T778</f>
        <v>0</v>
      </c>
      <c r="F46" s="63">
        <f>RawData!U778</f>
        <v>0</v>
      </c>
      <c r="G46" s="44">
        <f>RawData!V778</f>
        <v>0</v>
      </c>
      <c r="H46" s="44">
        <f>RawData!W778</f>
        <v>0</v>
      </c>
      <c r="I46" s="44">
        <f>RawData!X778</f>
        <v>0</v>
      </c>
      <c r="J46" s="44">
        <f>RawData!Y778</f>
        <v>0</v>
      </c>
      <c r="K46" s="40">
        <f>RawData!Z778</f>
        <v>0</v>
      </c>
      <c r="L46" s="40">
        <f>RawData!AA778</f>
        <v>0</v>
      </c>
      <c r="M46" s="36">
        <f>RawData!AB778</f>
        <v>0</v>
      </c>
      <c r="N46" s="36">
        <f>RawData!AC778</f>
        <v>0</v>
      </c>
      <c r="O46" s="37">
        <f>RawData!AD778</f>
        <v>0</v>
      </c>
      <c r="P46" s="38">
        <f>RawData!AE778</f>
        <v>0</v>
      </c>
      <c r="Q46" s="39">
        <f>RawData!AF778</f>
        <v>0</v>
      </c>
      <c r="R46" s="38">
        <f>RawData!AG778</f>
        <v>0</v>
      </c>
      <c r="S46" s="40">
        <f>RawData!AH778</f>
        <v>0</v>
      </c>
      <c r="T46" s="40">
        <f>RawData!AI778</f>
        <v>0</v>
      </c>
      <c r="U46" s="40">
        <f>RawData!AJ778</f>
        <v>0</v>
      </c>
      <c r="V46" s="41">
        <f>RawData!AK778</f>
        <v>0</v>
      </c>
      <c r="W46" s="41">
        <f>RawData!AL778</f>
        <v>0</v>
      </c>
      <c r="X46" s="43">
        <f>RawData!CA778</f>
        <v>0</v>
      </c>
      <c r="Y46" s="41">
        <f>RawData!AM778</f>
        <v>0</v>
      </c>
      <c r="Z46" s="44">
        <f>RawData!CB778</f>
        <v>0</v>
      </c>
      <c r="AA46" s="44">
        <f>RawData!AN778</f>
        <v>0</v>
      </c>
      <c r="AB46" s="44">
        <f>RawData!AO778</f>
        <v>0</v>
      </c>
      <c r="AC46" s="44">
        <f>RawData!AP778</f>
        <v>0</v>
      </c>
      <c r="AD46" s="63">
        <f>RawData!BZ778</f>
        <v>0</v>
      </c>
      <c r="AE46" s="44">
        <f>RawData!AQ778</f>
        <v>0</v>
      </c>
      <c r="AF46" s="46">
        <f>RawData!O778</f>
        <v>0</v>
      </c>
      <c r="AG46" s="44">
        <f>RawData!AR778</f>
        <v>0</v>
      </c>
      <c r="AH46" s="44">
        <f>RawData!BY778</f>
        <v>0</v>
      </c>
      <c r="AI46" s="44">
        <f>RawData!AS778</f>
        <v>0</v>
      </c>
      <c r="AJ46" s="44">
        <f>RawData!AT778</f>
        <v>0</v>
      </c>
      <c r="AK46" s="44">
        <f>RawData!AU778</f>
        <v>0</v>
      </c>
      <c r="AL46" s="44">
        <f>RawData!BW778</f>
        <v>0</v>
      </c>
      <c r="AM46" s="41">
        <f>RawData!AV778</f>
        <v>0</v>
      </c>
      <c r="AN46" s="41">
        <f>RawData!BX778</f>
        <v>0</v>
      </c>
      <c r="AO46" s="41">
        <f>RawData!AW778</f>
        <v>0</v>
      </c>
      <c r="AP46" s="41">
        <f>RawData!AX778</f>
        <v>0</v>
      </c>
      <c r="AQ46" s="40">
        <f>RawData!AY778</f>
        <v>0</v>
      </c>
      <c r="AR46" s="40">
        <f>RawData!AZ778</f>
        <v>0</v>
      </c>
      <c r="AS46" s="40">
        <f>RawData!BA778</f>
        <v>0</v>
      </c>
      <c r="AT46" s="38">
        <f>RawData!BB778</f>
        <v>0</v>
      </c>
      <c r="AU46" s="40">
        <f>RawData!BC778</f>
        <v>0</v>
      </c>
      <c r="AV46" s="40">
        <f>RawData!BD778</f>
        <v>0</v>
      </c>
      <c r="AW46" s="38">
        <f>RawData!BE778</f>
        <v>0</v>
      </c>
      <c r="AX46" s="37">
        <f>RawData!BF778</f>
        <v>0</v>
      </c>
      <c r="AY46" s="36">
        <f>RawData!BG778</f>
        <v>0</v>
      </c>
      <c r="AZ46" s="36">
        <f>RawData!BH778</f>
        <v>0</v>
      </c>
      <c r="BA46" s="40">
        <f>RawData!BI778</f>
        <v>0</v>
      </c>
      <c r="BB46" s="44">
        <f>RawData!BJ778</f>
        <v>0</v>
      </c>
      <c r="BC46" s="44">
        <f>RawData!BK778</f>
        <v>0</v>
      </c>
      <c r="BD46" s="44">
        <f>RawData!BL778</f>
        <v>0</v>
      </c>
      <c r="BE46" s="44">
        <f>RawData!BM778</f>
        <v>0</v>
      </c>
      <c r="BF46" s="44">
        <f>RawData!BN778</f>
        <v>0</v>
      </c>
      <c r="BG46" s="63">
        <f>RawData!BO778</f>
        <v>0</v>
      </c>
      <c r="BH46" s="44">
        <f>RawData!BP778</f>
        <v>0</v>
      </c>
      <c r="BI46" s="63">
        <f>RawData!BQ778</f>
        <v>0</v>
      </c>
      <c r="BJ46" s="44">
        <f>RawData!BR778</f>
        <v>0</v>
      </c>
      <c r="BK46" s="47">
        <f>RawData!BS778</f>
        <v>0</v>
      </c>
      <c r="BL46" s="44">
        <f>RawData!BT778</f>
        <v>0</v>
      </c>
      <c r="BM46" s="47">
        <f>RawData!BV778</f>
        <v>0</v>
      </c>
      <c r="BN46" s="65">
        <f>RawData!CC778</f>
        <v>0</v>
      </c>
      <c r="BO46" s="66">
        <f>RawData!CD778</f>
        <v>0</v>
      </c>
      <c r="BQ46" s="21">
        <f t="shared" si="0"/>
        <v>0</v>
      </c>
    </row>
    <row r="47" spans="1:69" x14ac:dyDescent="0.2">
      <c r="A47" s="59">
        <f>RawData!P779</f>
        <v>0</v>
      </c>
      <c r="B47" s="44">
        <f>RawData!Q779</f>
        <v>0</v>
      </c>
      <c r="C47" s="44">
        <f>RawData!R779</f>
        <v>0</v>
      </c>
      <c r="D47" s="63">
        <f>RawData!S779</f>
        <v>0</v>
      </c>
      <c r="E47" s="44">
        <f>RawData!T779</f>
        <v>0</v>
      </c>
      <c r="F47" s="63">
        <f>RawData!U779</f>
        <v>0</v>
      </c>
      <c r="G47" s="44">
        <f>RawData!V779</f>
        <v>0</v>
      </c>
      <c r="H47" s="44">
        <f>RawData!W779</f>
        <v>0</v>
      </c>
      <c r="I47" s="44">
        <f>RawData!X779</f>
        <v>0</v>
      </c>
      <c r="J47" s="44">
        <f>RawData!Y779</f>
        <v>0</v>
      </c>
      <c r="K47" s="40">
        <f>RawData!Z779</f>
        <v>0</v>
      </c>
      <c r="L47" s="40">
        <f>RawData!AA779</f>
        <v>0</v>
      </c>
      <c r="M47" s="36">
        <f>RawData!AB779</f>
        <v>0</v>
      </c>
      <c r="N47" s="36">
        <f>RawData!AC779</f>
        <v>0</v>
      </c>
      <c r="O47" s="37">
        <f>RawData!AD779</f>
        <v>0</v>
      </c>
      <c r="P47" s="38">
        <f>RawData!AE779</f>
        <v>0</v>
      </c>
      <c r="Q47" s="39">
        <f>RawData!AF779</f>
        <v>0</v>
      </c>
      <c r="R47" s="38">
        <f>RawData!AG779</f>
        <v>0</v>
      </c>
      <c r="S47" s="40">
        <f>RawData!AH779</f>
        <v>0</v>
      </c>
      <c r="T47" s="40">
        <f>RawData!AI779</f>
        <v>0</v>
      </c>
      <c r="U47" s="40">
        <f>RawData!AJ779</f>
        <v>0</v>
      </c>
      <c r="V47" s="41">
        <f>RawData!AK779</f>
        <v>0</v>
      </c>
      <c r="W47" s="41">
        <f>RawData!AL779</f>
        <v>0</v>
      </c>
      <c r="X47" s="43">
        <f>RawData!CA779</f>
        <v>0</v>
      </c>
      <c r="Y47" s="41">
        <f>RawData!AM779</f>
        <v>0</v>
      </c>
      <c r="Z47" s="44">
        <f>RawData!CB779</f>
        <v>0</v>
      </c>
      <c r="AA47" s="44">
        <f>RawData!AN779</f>
        <v>0</v>
      </c>
      <c r="AB47" s="44">
        <f>RawData!AO779</f>
        <v>0</v>
      </c>
      <c r="AC47" s="44">
        <f>RawData!AP779</f>
        <v>0</v>
      </c>
      <c r="AD47" s="63">
        <f>RawData!BZ779</f>
        <v>0</v>
      </c>
      <c r="AE47" s="44">
        <f>RawData!AQ779</f>
        <v>0</v>
      </c>
      <c r="AF47" s="46">
        <f>RawData!O779</f>
        <v>0</v>
      </c>
      <c r="AG47" s="44">
        <f>RawData!AR779</f>
        <v>0</v>
      </c>
      <c r="AH47" s="44">
        <f>RawData!BY779</f>
        <v>0</v>
      </c>
      <c r="AI47" s="44">
        <f>RawData!AS779</f>
        <v>0</v>
      </c>
      <c r="AJ47" s="44">
        <f>RawData!AT779</f>
        <v>0</v>
      </c>
      <c r="AK47" s="44">
        <f>RawData!AU779</f>
        <v>0</v>
      </c>
      <c r="AL47" s="44">
        <f>RawData!BW779</f>
        <v>0</v>
      </c>
      <c r="AM47" s="41">
        <f>RawData!AV779</f>
        <v>0</v>
      </c>
      <c r="AN47" s="41">
        <f>RawData!BX779</f>
        <v>0</v>
      </c>
      <c r="AO47" s="41">
        <f>RawData!AW779</f>
        <v>0</v>
      </c>
      <c r="AP47" s="41">
        <f>RawData!AX779</f>
        <v>0</v>
      </c>
      <c r="AQ47" s="40">
        <f>RawData!AY779</f>
        <v>0</v>
      </c>
      <c r="AR47" s="40">
        <f>RawData!AZ779</f>
        <v>0</v>
      </c>
      <c r="AS47" s="40">
        <f>RawData!BA779</f>
        <v>0</v>
      </c>
      <c r="AT47" s="38">
        <f>RawData!BB779</f>
        <v>0</v>
      </c>
      <c r="AU47" s="40">
        <f>RawData!BC779</f>
        <v>0</v>
      </c>
      <c r="AV47" s="40">
        <f>RawData!BD779</f>
        <v>0</v>
      </c>
      <c r="AW47" s="38">
        <f>RawData!BE779</f>
        <v>0</v>
      </c>
      <c r="AX47" s="37">
        <f>RawData!BF779</f>
        <v>0</v>
      </c>
      <c r="AY47" s="36">
        <f>RawData!BG779</f>
        <v>0</v>
      </c>
      <c r="AZ47" s="36">
        <f>RawData!BH779</f>
        <v>0</v>
      </c>
      <c r="BA47" s="40">
        <f>RawData!BI779</f>
        <v>0</v>
      </c>
      <c r="BB47" s="44">
        <f>RawData!BJ779</f>
        <v>0</v>
      </c>
      <c r="BC47" s="44">
        <f>RawData!BK779</f>
        <v>0</v>
      </c>
      <c r="BD47" s="44">
        <f>RawData!BL779</f>
        <v>0</v>
      </c>
      <c r="BE47" s="44">
        <f>RawData!BM779</f>
        <v>0</v>
      </c>
      <c r="BF47" s="44">
        <f>RawData!BN779</f>
        <v>0</v>
      </c>
      <c r="BG47" s="63">
        <f>RawData!BO779</f>
        <v>0</v>
      </c>
      <c r="BH47" s="44">
        <f>RawData!BP779</f>
        <v>0</v>
      </c>
      <c r="BI47" s="63">
        <f>RawData!BQ779</f>
        <v>0</v>
      </c>
      <c r="BJ47" s="44">
        <f>RawData!BR779</f>
        <v>0</v>
      </c>
      <c r="BK47" s="47">
        <f>RawData!BS779</f>
        <v>0</v>
      </c>
      <c r="BL47" s="44">
        <f>RawData!BT779</f>
        <v>0</v>
      </c>
      <c r="BM47" s="47">
        <f>RawData!BV779</f>
        <v>0</v>
      </c>
      <c r="BN47" s="65">
        <f>RawData!CC779</f>
        <v>0</v>
      </c>
      <c r="BO47" s="66">
        <f>RawData!CD779</f>
        <v>0</v>
      </c>
      <c r="BQ47" s="21">
        <f t="shared" si="0"/>
        <v>0</v>
      </c>
    </row>
    <row r="48" spans="1:69" x14ac:dyDescent="0.2">
      <c r="A48" s="59">
        <f>RawData!P780</f>
        <v>0</v>
      </c>
      <c r="B48" s="44">
        <f>RawData!Q780</f>
        <v>0</v>
      </c>
      <c r="C48" s="44">
        <f>RawData!R780</f>
        <v>0</v>
      </c>
      <c r="D48" s="63">
        <f>RawData!S780</f>
        <v>0</v>
      </c>
      <c r="E48" s="44">
        <f>RawData!T780</f>
        <v>0</v>
      </c>
      <c r="F48" s="63">
        <f>RawData!U780</f>
        <v>0</v>
      </c>
      <c r="G48" s="44">
        <f>RawData!V780</f>
        <v>0</v>
      </c>
      <c r="H48" s="44">
        <f>RawData!W780</f>
        <v>0</v>
      </c>
      <c r="I48" s="44">
        <f>RawData!X780</f>
        <v>0</v>
      </c>
      <c r="J48" s="44">
        <f>RawData!Y780</f>
        <v>0</v>
      </c>
      <c r="K48" s="40">
        <f>RawData!Z780</f>
        <v>0</v>
      </c>
      <c r="L48" s="40">
        <f>RawData!AA780</f>
        <v>0</v>
      </c>
      <c r="M48" s="36">
        <f>RawData!AB780</f>
        <v>0</v>
      </c>
      <c r="N48" s="36">
        <f>RawData!AC780</f>
        <v>0</v>
      </c>
      <c r="O48" s="37">
        <f>RawData!AD780</f>
        <v>0</v>
      </c>
      <c r="P48" s="38">
        <f>RawData!AE780</f>
        <v>0</v>
      </c>
      <c r="Q48" s="39">
        <f>RawData!AF780</f>
        <v>0</v>
      </c>
      <c r="R48" s="38">
        <f>RawData!AG780</f>
        <v>0</v>
      </c>
      <c r="S48" s="40">
        <f>RawData!AH780</f>
        <v>0</v>
      </c>
      <c r="T48" s="40">
        <f>RawData!AI780</f>
        <v>0</v>
      </c>
      <c r="U48" s="40">
        <f>RawData!AJ780</f>
        <v>0</v>
      </c>
      <c r="V48" s="41">
        <f>RawData!AK780</f>
        <v>0</v>
      </c>
      <c r="W48" s="41">
        <f>RawData!AL780</f>
        <v>0</v>
      </c>
      <c r="X48" s="43">
        <f>RawData!CA780</f>
        <v>0</v>
      </c>
      <c r="Y48" s="41">
        <f>RawData!AM780</f>
        <v>0</v>
      </c>
      <c r="Z48" s="44">
        <f>RawData!CB780</f>
        <v>0</v>
      </c>
      <c r="AA48" s="44">
        <f>RawData!AN780</f>
        <v>0</v>
      </c>
      <c r="AB48" s="44">
        <f>RawData!AO780</f>
        <v>0</v>
      </c>
      <c r="AC48" s="44">
        <f>RawData!AP780</f>
        <v>0</v>
      </c>
      <c r="AD48" s="63">
        <f>RawData!BZ780</f>
        <v>0</v>
      </c>
      <c r="AE48" s="44">
        <f>RawData!AQ780</f>
        <v>0</v>
      </c>
      <c r="AF48" s="46">
        <f>RawData!O780</f>
        <v>0</v>
      </c>
      <c r="AG48" s="44">
        <f>RawData!AR780</f>
        <v>0</v>
      </c>
      <c r="AH48" s="44">
        <f>RawData!BY780</f>
        <v>0</v>
      </c>
      <c r="AI48" s="44">
        <f>RawData!AS780</f>
        <v>0</v>
      </c>
      <c r="AJ48" s="44">
        <f>RawData!AT780</f>
        <v>0</v>
      </c>
      <c r="AK48" s="44">
        <f>RawData!AU780</f>
        <v>0</v>
      </c>
      <c r="AL48" s="44">
        <f>RawData!BW780</f>
        <v>0</v>
      </c>
      <c r="AM48" s="41">
        <f>RawData!AV780</f>
        <v>0</v>
      </c>
      <c r="AN48" s="41">
        <f>RawData!BX780</f>
        <v>0</v>
      </c>
      <c r="AO48" s="41">
        <f>RawData!AW780</f>
        <v>0</v>
      </c>
      <c r="AP48" s="41">
        <f>RawData!AX780</f>
        <v>0</v>
      </c>
      <c r="AQ48" s="40">
        <f>RawData!AY780</f>
        <v>0</v>
      </c>
      <c r="AR48" s="40">
        <f>RawData!AZ780</f>
        <v>0</v>
      </c>
      <c r="AS48" s="40">
        <f>RawData!BA780</f>
        <v>0</v>
      </c>
      <c r="AT48" s="38">
        <f>RawData!BB780</f>
        <v>0</v>
      </c>
      <c r="AU48" s="40">
        <f>RawData!BC780</f>
        <v>0</v>
      </c>
      <c r="AV48" s="40">
        <f>RawData!BD780</f>
        <v>0</v>
      </c>
      <c r="AW48" s="38">
        <f>RawData!BE780</f>
        <v>0</v>
      </c>
      <c r="AX48" s="37">
        <f>RawData!BF780</f>
        <v>0</v>
      </c>
      <c r="AY48" s="36">
        <f>RawData!BG780</f>
        <v>0</v>
      </c>
      <c r="AZ48" s="36">
        <f>RawData!BH780</f>
        <v>0</v>
      </c>
      <c r="BA48" s="40">
        <f>RawData!BI780</f>
        <v>0</v>
      </c>
      <c r="BB48" s="44">
        <f>RawData!BJ780</f>
        <v>0</v>
      </c>
      <c r="BC48" s="44">
        <f>RawData!BK780</f>
        <v>0</v>
      </c>
      <c r="BD48" s="44">
        <f>RawData!BL780</f>
        <v>0</v>
      </c>
      <c r="BE48" s="44">
        <f>RawData!BM780</f>
        <v>0</v>
      </c>
      <c r="BF48" s="44">
        <f>RawData!BN780</f>
        <v>0</v>
      </c>
      <c r="BG48" s="63">
        <f>RawData!BO780</f>
        <v>0</v>
      </c>
      <c r="BH48" s="44">
        <f>RawData!BP780</f>
        <v>0</v>
      </c>
      <c r="BI48" s="63">
        <f>RawData!BQ780</f>
        <v>0</v>
      </c>
      <c r="BJ48" s="44">
        <f>RawData!BR780</f>
        <v>0</v>
      </c>
      <c r="BK48" s="47">
        <f>RawData!BS780</f>
        <v>0</v>
      </c>
      <c r="BL48" s="44">
        <f>RawData!BT780</f>
        <v>0</v>
      </c>
      <c r="BM48" s="47">
        <f>RawData!BV780</f>
        <v>0</v>
      </c>
      <c r="BN48" s="65">
        <f>RawData!CC780</f>
        <v>0</v>
      </c>
      <c r="BO48" s="66">
        <f>RawData!CD780</f>
        <v>0</v>
      </c>
      <c r="BQ48" s="21">
        <f t="shared" si="0"/>
        <v>0</v>
      </c>
    </row>
    <row r="49" spans="1:69" x14ac:dyDescent="0.2">
      <c r="A49" s="59">
        <f>RawData!P781</f>
        <v>0</v>
      </c>
      <c r="B49" s="44">
        <f>RawData!Q781</f>
        <v>0</v>
      </c>
      <c r="C49" s="44">
        <f>RawData!R781</f>
        <v>0</v>
      </c>
      <c r="D49" s="63">
        <f>RawData!S781</f>
        <v>0</v>
      </c>
      <c r="E49" s="44">
        <f>RawData!T781</f>
        <v>0</v>
      </c>
      <c r="F49" s="63">
        <f>RawData!U781</f>
        <v>0</v>
      </c>
      <c r="G49" s="44">
        <f>RawData!V781</f>
        <v>0</v>
      </c>
      <c r="H49" s="44">
        <f>RawData!W781</f>
        <v>0</v>
      </c>
      <c r="I49" s="44">
        <f>RawData!X781</f>
        <v>0</v>
      </c>
      <c r="J49" s="44">
        <f>RawData!Y781</f>
        <v>0</v>
      </c>
      <c r="K49" s="40">
        <f>RawData!Z781</f>
        <v>0</v>
      </c>
      <c r="L49" s="40">
        <f>RawData!AA781</f>
        <v>0</v>
      </c>
      <c r="M49" s="36">
        <f>RawData!AB781</f>
        <v>0</v>
      </c>
      <c r="N49" s="36">
        <f>RawData!AC781</f>
        <v>0</v>
      </c>
      <c r="O49" s="37">
        <f>RawData!AD781</f>
        <v>0</v>
      </c>
      <c r="P49" s="38">
        <f>RawData!AE781</f>
        <v>0</v>
      </c>
      <c r="Q49" s="39">
        <f>RawData!AF781</f>
        <v>0</v>
      </c>
      <c r="R49" s="38">
        <f>RawData!AG781</f>
        <v>0</v>
      </c>
      <c r="S49" s="40">
        <f>RawData!AH781</f>
        <v>0</v>
      </c>
      <c r="T49" s="40">
        <f>RawData!AI781</f>
        <v>0</v>
      </c>
      <c r="U49" s="40">
        <f>RawData!AJ781</f>
        <v>0</v>
      </c>
      <c r="V49" s="41">
        <f>RawData!AK781</f>
        <v>0</v>
      </c>
      <c r="W49" s="41">
        <f>RawData!AL781</f>
        <v>0</v>
      </c>
      <c r="X49" s="43">
        <f>RawData!CA781</f>
        <v>0</v>
      </c>
      <c r="Y49" s="41">
        <f>RawData!AM781</f>
        <v>0</v>
      </c>
      <c r="Z49" s="44">
        <f>RawData!CB781</f>
        <v>0</v>
      </c>
      <c r="AA49" s="44">
        <f>RawData!AN781</f>
        <v>0</v>
      </c>
      <c r="AB49" s="44">
        <f>RawData!AO781</f>
        <v>0</v>
      </c>
      <c r="AC49" s="44">
        <f>RawData!AP781</f>
        <v>0</v>
      </c>
      <c r="AD49" s="63">
        <f>RawData!BZ781</f>
        <v>0</v>
      </c>
      <c r="AE49" s="44">
        <f>RawData!AQ781</f>
        <v>0</v>
      </c>
      <c r="AF49" s="46">
        <f>RawData!O781</f>
        <v>0</v>
      </c>
      <c r="AG49" s="44">
        <f>RawData!AR781</f>
        <v>0</v>
      </c>
      <c r="AH49" s="44">
        <f>RawData!BY781</f>
        <v>0</v>
      </c>
      <c r="AI49" s="44">
        <f>RawData!AS781</f>
        <v>0</v>
      </c>
      <c r="AJ49" s="44">
        <f>RawData!AT781</f>
        <v>0</v>
      </c>
      <c r="AK49" s="44">
        <f>RawData!AU781</f>
        <v>0</v>
      </c>
      <c r="AL49" s="44">
        <f>RawData!BW781</f>
        <v>0</v>
      </c>
      <c r="AM49" s="41">
        <f>RawData!AV781</f>
        <v>0</v>
      </c>
      <c r="AN49" s="41">
        <f>RawData!BX781</f>
        <v>0</v>
      </c>
      <c r="AO49" s="41">
        <f>RawData!AW781</f>
        <v>0</v>
      </c>
      <c r="AP49" s="41">
        <f>RawData!AX781</f>
        <v>0</v>
      </c>
      <c r="AQ49" s="40">
        <f>RawData!AY781</f>
        <v>0</v>
      </c>
      <c r="AR49" s="40">
        <f>RawData!AZ781</f>
        <v>0</v>
      </c>
      <c r="AS49" s="40">
        <f>RawData!BA781</f>
        <v>0</v>
      </c>
      <c r="AT49" s="38">
        <f>RawData!BB781</f>
        <v>0</v>
      </c>
      <c r="AU49" s="40">
        <f>RawData!BC781</f>
        <v>0</v>
      </c>
      <c r="AV49" s="40">
        <f>RawData!BD781</f>
        <v>0</v>
      </c>
      <c r="AW49" s="38">
        <f>RawData!BE781</f>
        <v>0</v>
      </c>
      <c r="AX49" s="37">
        <f>RawData!BF781</f>
        <v>0</v>
      </c>
      <c r="AY49" s="36">
        <f>RawData!BG781</f>
        <v>0</v>
      </c>
      <c r="AZ49" s="36">
        <f>RawData!BH781</f>
        <v>0</v>
      </c>
      <c r="BA49" s="40">
        <f>RawData!BI781</f>
        <v>0</v>
      </c>
      <c r="BB49" s="44">
        <f>RawData!BJ781</f>
        <v>0</v>
      </c>
      <c r="BC49" s="44">
        <f>RawData!BK781</f>
        <v>0</v>
      </c>
      <c r="BD49" s="44">
        <f>RawData!BL781</f>
        <v>0</v>
      </c>
      <c r="BE49" s="44">
        <f>RawData!BM781</f>
        <v>0</v>
      </c>
      <c r="BF49" s="44">
        <f>RawData!BN781</f>
        <v>0</v>
      </c>
      <c r="BG49" s="63">
        <f>RawData!BO781</f>
        <v>0</v>
      </c>
      <c r="BH49" s="44">
        <f>RawData!BP781</f>
        <v>0</v>
      </c>
      <c r="BI49" s="63">
        <f>RawData!BQ781</f>
        <v>0</v>
      </c>
      <c r="BJ49" s="44">
        <f>RawData!BR781</f>
        <v>0</v>
      </c>
      <c r="BK49" s="47">
        <f>RawData!BS781</f>
        <v>0</v>
      </c>
      <c r="BL49" s="44">
        <f>RawData!BT781</f>
        <v>0</v>
      </c>
      <c r="BM49" s="47">
        <f>RawData!BV781</f>
        <v>0</v>
      </c>
      <c r="BN49" s="65">
        <f>RawData!CC781</f>
        <v>0</v>
      </c>
      <c r="BO49" s="66">
        <f>RawData!CD781</f>
        <v>0</v>
      </c>
      <c r="BQ49" s="21">
        <f t="shared" si="0"/>
        <v>0</v>
      </c>
    </row>
    <row r="50" spans="1:69" x14ac:dyDescent="0.2">
      <c r="A50" s="59">
        <f>RawData!P782</f>
        <v>0</v>
      </c>
      <c r="B50" s="44">
        <f>RawData!Q782</f>
        <v>0</v>
      </c>
      <c r="C50" s="44">
        <f>RawData!R782</f>
        <v>0</v>
      </c>
      <c r="D50" s="63">
        <f>RawData!S782</f>
        <v>0</v>
      </c>
      <c r="E50" s="44">
        <f>RawData!T782</f>
        <v>0</v>
      </c>
      <c r="F50" s="63">
        <f>RawData!U782</f>
        <v>0</v>
      </c>
      <c r="G50" s="44">
        <f>RawData!V782</f>
        <v>0</v>
      </c>
      <c r="H50" s="44">
        <f>RawData!W782</f>
        <v>0</v>
      </c>
      <c r="I50" s="44">
        <f>RawData!X782</f>
        <v>0</v>
      </c>
      <c r="J50" s="44">
        <f>RawData!Y782</f>
        <v>0</v>
      </c>
      <c r="K50" s="40">
        <f>RawData!Z782</f>
        <v>0</v>
      </c>
      <c r="L50" s="40">
        <f>RawData!AA782</f>
        <v>0</v>
      </c>
      <c r="M50" s="36">
        <f>RawData!AB782</f>
        <v>0</v>
      </c>
      <c r="N50" s="36">
        <f>RawData!AC782</f>
        <v>0</v>
      </c>
      <c r="O50" s="37">
        <f>RawData!AD782</f>
        <v>0</v>
      </c>
      <c r="P50" s="38">
        <f>RawData!AE782</f>
        <v>0</v>
      </c>
      <c r="Q50" s="39">
        <f>RawData!AF782</f>
        <v>0</v>
      </c>
      <c r="R50" s="38">
        <f>RawData!AG782</f>
        <v>0</v>
      </c>
      <c r="S50" s="40">
        <f>RawData!AH782</f>
        <v>0</v>
      </c>
      <c r="T50" s="40">
        <f>RawData!AI782</f>
        <v>0</v>
      </c>
      <c r="U50" s="40">
        <f>RawData!AJ782</f>
        <v>0</v>
      </c>
      <c r="V50" s="41">
        <f>RawData!AK782</f>
        <v>0</v>
      </c>
      <c r="W50" s="41">
        <f>RawData!AL782</f>
        <v>0</v>
      </c>
      <c r="X50" s="43">
        <f>RawData!CA782</f>
        <v>0</v>
      </c>
      <c r="Y50" s="41">
        <f>RawData!AM782</f>
        <v>0</v>
      </c>
      <c r="Z50" s="44">
        <f>RawData!CB782</f>
        <v>0</v>
      </c>
      <c r="AA50" s="44">
        <f>RawData!AN782</f>
        <v>0</v>
      </c>
      <c r="AB50" s="44">
        <f>RawData!AO782</f>
        <v>0</v>
      </c>
      <c r="AC50" s="44">
        <f>RawData!AP782</f>
        <v>0</v>
      </c>
      <c r="AD50" s="63">
        <f>RawData!BZ782</f>
        <v>0</v>
      </c>
      <c r="AE50" s="44">
        <f>RawData!AQ782</f>
        <v>0</v>
      </c>
      <c r="AF50" s="46">
        <f>RawData!O782</f>
        <v>0</v>
      </c>
      <c r="AG50" s="44">
        <f>RawData!AR782</f>
        <v>0</v>
      </c>
      <c r="AH50" s="44">
        <f>RawData!BY782</f>
        <v>0</v>
      </c>
      <c r="AI50" s="44">
        <f>RawData!AS782</f>
        <v>0</v>
      </c>
      <c r="AJ50" s="44">
        <f>RawData!AT782</f>
        <v>0</v>
      </c>
      <c r="AK50" s="44">
        <f>RawData!AU782</f>
        <v>0</v>
      </c>
      <c r="AL50" s="44">
        <f>RawData!BW782</f>
        <v>0</v>
      </c>
      <c r="AM50" s="41">
        <f>RawData!AV782</f>
        <v>0</v>
      </c>
      <c r="AN50" s="41">
        <f>RawData!BX782</f>
        <v>0</v>
      </c>
      <c r="AO50" s="41">
        <f>RawData!AW782</f>
        <v>0</v>
      </c>
      <c r="AP50" s="41">
        <f>RawData!AX782</f>
        <v>0</v>
      </c>
      <c r="AQ50" s="40">
        <f>RawData!AY782</f>
        <v>0</v>
      </c>
      <c r="AR50" s="40">
        <f>RawData!AZ782</f>
        <v>0</v>
      </c>
      <c r="AS50" s="40">
        <f>RawData!BA782</f>
        <v>0</v>
      </c>
      <c r="AT50" s="38">
        <f>RawData!BB782</f>
        <v>0</v>
      </c>
      <c r="AU50" s="40">
        <f>RawData!BC782</f>
        <v>0</v>
      </c>
      <c r="AV50" s="40">
        <f>RawData!BD782</f>
        <v>0</v>
      </c>
      <c r="AW50" s="38">
        <f>RawData!BE782</f>
        <v>0</v>
      </c>
      <c r="AX50" s="37">
        <f>RawData!BF782</f>
        <v>0</v>
      </c>
      <c r="AY50" s="36">
        <f>RawData!BG782</f>
        <v>0</v>
      </c>
      <c r="AZ50" s="36">
        <f>RawData!BH782</f>
        <v>0</v>
      </c>
      <c r="BA50" s="40">
        <f>RawData!BI782</f>
        <v>0</v>
      </c>
      <c r="BB50" s="44">
        <f>RawData!BJ782</f>
        <v>0</v>
      </c>
      <c r="BC50" s="44">
        <f>RawData!BK782</f>
        <v>0</v>
      </c>
      <c r="BD50" s="44">
        <f>RawData!BL782</f>
        <v>0</v>
      </c>
      <c r="BE50" s="44">
        <f>RawData!BM782</f>
        <v>0</v>
      </c>
      <c r="BF50" s="44">
        <f>RawData!BN782</f>
        <v>0</v>
      </c>
      <c r="BG50" s="63">
        <f>RawData!BO782</f>
        <v>0</v>
      </c>
      <c r="BH50" s="44">
        <f>RawData!BP782</f>
        <v>0</v>
      </c>
      <c r="BI50" s="63">
        <f>RawData!BQ782</f>
        <v>0</v>
      </c>
      <c r="BJ50" s="44">
        <f>RawData!BR782</f>
        <v>0</v>
      </c>
      <c r="BK50" s="47">
        <f>RawData!BS782</f>
        <v>0</v>
      </c>
      <c r="BL50" s="44">
        <f>RawData!BT782</f>
        <v>0</v>
      </c>
      <c r="BM50" s="47">
        <f>RawData!BV782</f>
        <v>0</v>
      </c>
      <c r="BN50" s="65">
        <f>RawData!CC782</f>
        <v>0</v>
      </c>
      <c r="BO50" s="66">
        <f>RawData!CD782</f>
        <v>0</v>
      </c>
      <c r="BQ50" s="21">
        <f t="shared" si="0"/>
        <v>0</v>
      </c>
    </row>
    <row r="51" spans="1:69" x14ac:dyDescent="0.2">
      <c r="A51" s="59">
        <f>RawData!P783</f>
        <v>0</v>
      </c>
      <c r="B51" s="44">
        <f>RawData!Q783</f>
        <v>0</v>
      </c>
      <c r="C51" s="44">
        <f>RawData!R783</f>
        <v>0</v>
      </c>
      <c r="D51" s="63">
        <f>RawData!S783</f>
        <v>0</v>
      </c>
      <c r="E51" s="44">
        <f>RawData!T783</f>
        <v>0</v>
      </c>
      <c r="F51" s="63">
        <f>RawData!U783</f>
        <v>0</v>
      </c>
      <c r="G51" s="44">
        <f>RawData!V783</f>
        <v>0</v>
      </c>
      <c r="H51" s="44">
        <f>RawData!W783</f>
        <v>0</v>
      </c>
      <c r="I51" s="44">
        <f>RawData!X783</f>
        <v>0</v>
      </c>
      <c r="J51" s="44">
        <f>RawData!Y783</f>
        <v>0</v>
      </c>
      <c r="K51" s="40">
        <f>RawData!Z783</f>
        <v>0</v>
      </c>
      <c r="L51" s="40">
        <f>RawData!AA783</f>
        <v>0</v>
      </c>
      <c r="M51" s="36">
        <f>RawData!AB783</f>
        <v>0</v>
      </c>
      <c r="N51" s="36">
        <f>RawData!AC783</f>
        <v>0</v>
      </c>
      <c r="O51" s="37">
        <f>RawData!AD783</f>
        <v>0</v>
      </c>
      <c r="P51" s="38">
        <f>RawData!AE783</f>
        <v>0</v>
      </c>
      <c r="Q51" s="39">
        <f>RawData!AF783</f>
        <v>0</v>
      </c>
      <c r="R51" s="38">
        <f>RawData!AG783</f>
        <v>0</v>
      </c>
      <c r="S51" s="40">
        <f>RawData!AH783</f>
        <v>0</v>
      </c>
      <c r="T51" s="40">
        <f>RawData!AI783</f>
        <v>0</v>
      </c>
      <c r="U51" s="40">
        <f>RawData!AJ783</f>
        <v>0</v>
      </c>
      <c r="V51" s="41">
        <f>RawData!AK783</f>
        <v>0</v>
      </c>
      <c r="W51" s="41">
        <f>RawData!AL783</f>
        <v>0</v>
      </c>
      <c r="X51" s="43">
        <f>RawData!CA783</f>
        <v>0</v>
      </c>
      <c r="Y51" s="41">
        <f>RawData!AM783</f>
        <v>0</v>
      </c>
      <c r="Z51" s="44">
        <f>RawData!CB783</f>
        <v>0</v>
      </c>
      <c r="AA51" s="44">
        <f>RawData!AN783</f>
        <v>0</v>
      </c>
      <c r="AB51" s="44">
        <f>RawData!AO783</f>
        <v>0</v>
      </c>
      <c r="AC51" s="44">
        <f>RawData!AP783</f>
        <v>0</v>
      </c>
      <c r="AD51" s="63">
        <f>RawData!BZ783</f>
        <v>0</v>
      </c>
      <c r="AE51" s="44">
        <f>RawData!AQ783</f>
        <v>0</v>
      </c>
      <c r="AF51" s="46">
        <f>RawData!O783</f>
        <v>0</v>
      </c>
      <c r="AG51" s="44">
        <f>RawData!AR783</f>
        <v>0</v>
      </c>
      <c r="AH51" s="44">
        <f>RawData!BY783</f>
        <v>0</v>
      </c>
      <c r="AI51" s="44">
        <f>RawData!AS783</f>
        <v>0</v>
      </c>
      <c r="AJ51" s="44">
        <f>RawData!AT783</f>
        <v>0</v>
      </c>
      <c r="AK51" s="44">
        <f>RawData!AU783</f>
        <v>0</v>
      </c>
      <c r="AL51" s="44">
        <f>RawData!BW783</f>
        <v>0</v>
      </c>
      <c r="AM51" s="41">
        <f>RawData!AV783</f>
        <v>0</v>
      </c>
      <c r="AN51" s="41">
        <f>RawData!BX783</f>
        <v>0</v>
      </c>
      <c r="AO51" s="41">
        <f>RawData!AW783</f>
        <v>0</v>
      </c>
      <c r="AP51" s="41">
        <f>RawData!AX783</f>
        <v>0</v>
      </c>
      <c r="AQ51" s="40">
        <f>RawData!AY783</f>
        <v>0</v>
      </c>
      <c r="AR51" s="40">
        <f>RawData!AZ783</f>
        <v>0</v>
      </c>
      <c r="AS51" s="40">
        <f>RawData!BA783</f>
        <v>0</v>
      </c>
      <c r="AT51" s="38">
        <f>RawData!BB783</f>
        <v>0</v>
      </c>
      <c r="AU51" s="40">
        <f>RawData!BC783</f>
        <v>0</v>
      </c>
      <c r="AV51" s="40">
        <f>RawData!BD783</f>
        <v>0</v>
      </c>
      <c r="AW51" s="38">
        <f>RawData!BE783</f>
        <v>0</v>
      </c>
      <c r="AX51" s="37">
        <f>RawData!BF783</f>
        <v>0</v>
      </c>
      <c r="AY51" s="36">
        <f>RawData!BG783</f>
        <v>0</v>
      </c>
      <c r="AZ51" s="36">
        <f>RawData!BH783</f>
        <v>0</v>
      </c>
      <c r="BA51" s="40">
        <f>RawData!BI783</f>
        <v>0</v>
      </c>
      <c r="BB51" s="44">
        <f>RawData!BJ783</f>
        <v>0</v>
      </c>
      <c r="BC51" s="44">
        <f>RawData!BK783</f>
        <v>0</v>
      </c>
      <c r="BD51" s="44">
        <f>RawData!BL783</f>
        <v>0</v>
      </c>
      <c r="BE51" s="44">
        <f>RawData!BM783</f>
        <v>0</v>
      </c>
      <c r="BF51" s="44">
        <f>RawData!BN783</f>
        <v>0</v>
      </c>
      <c r="BG51" s="63">
        <f>RawData!BO783</f>
        <v>0</v>
      </c>
      <c r="BH51" s="44">
        <f>RawData!BP783</f>
        <v>0</v>
      </c>
      <c r="BI51" s="63">
        <f>RawData!BQ783</f>
        <v>0</v>
      </c>
      <c r="BJ51" s="44">
        <f>RawData!BR783</f>
        <v>0</v>
      </c>
      <c r="BK51" s="47">
        <f>RawData!BS783</f>
        <v>0</v>
      </c>
      <c r="BL51" s="44">
        <f>RawData!BT783</f>
        <v>0</v>
      </c>
      <c r="BM51" s="47">
        <f>RawData!BV783</f>
        <v>0</v>
      </c>
      <c r="BN51" s="65">
        <f>RawData!CC783</f>
        <v>0</v>
      </c>
      <c r="BO51" s="66">
        <f>RawData!CD783</f>
        <v>0</v>
      </c>
      <c r="BQ51" s="21">
        <f t="shared" si="0"/>
        <v>0</v>
      </c>
    </row>
    <row r="52" spans="1:69" x14ac:dyDescent="0.2">
      <c r="A52" s="59">
        <f>RawData!P784</f>
        <v>0</v>
      </c>
      <c r="B52" s="44">
        <f>RawData!Q784</f>
        <v>0</v>
      </c>
      <c r="C52" s="44">
        <f>RawData!R784</f>
        <v>0</v>
      </c>
      <c r="D52" s="63">
        <f>RawData!S784</f>
        <v>0</v>
      </c>
      <c r="E52" s="44">
        <f>RawData!T784</f>
        <v>0</v>
      </c>
      <c r="F52" s="63">
        <f>RawData!U784</f>
        <v>0</v>
      </c>
      <c r="G52" s="44">
        <f>RawData!V784</f>
        <v>0</v>
      </c>
      <c r="H52" s="44">
        <f>RawData!W784</f>
        <v>0</v>
      </c>
      <c r="I52" s="44">
        <f>RawData!X784</f>
        <v>0</v>
      </c>
      <c r="J52" s="44">
        <f>RawData!Y784</f>
        <v>0</v>
      </c>
      <c r="K52" s="40">
        <f>RawData!Z784</f>
        <v>0</v>
      </c>
      <c r="L52" s="40">
        <f>RawData!AA784</f>
        <v>0</v>
      </c>
      <c r="M52" s="36">
        <f>RawData!AB784</f>
        <v>0</v>
      </c>
      <c r="N52" s="36">
        <f>RawData!AC784</f>
        <v>0</v>
      </c>
      <c r="O52" s="37">
        <f>RawData!AD784</f>
        <v>0</v>
      </c>
      <c r="P52" s="38">
        <f>RawData!AE784</f>
        <v>0</v>
      </c>
      <c r="Q52" s="39">
        <f>RawData!AF784</f>
        <v>0</v>
      </c>
      <c r="R52" s="38">
        <f>RawData!AG784</f>
        <v>0</v>
      </c>
      <c r="S52" s="40">
        <f>RawData!AH784</f>
        <v>0</v>
      </c>
      <c r="T52" s="40">
        <f>RawData!AI784</f>
        <v>0</v>
      </c>
      <c r="U52" s="40">
        <f>RawData!AJ784</f>
        <v>0</v>
      </c>
      <c r="V52" s="41">
        <f>RawData!AK784</f>
        <v>0</v>
      </c>
      <c r="W52" s="41">
        <f>RawData!AL784</f>
        <v>0</v>
      </c>
      <c r="X52" s="43">
        <f>RawData!CA784</f>
        <v>0</v>
      </c>
      <c r="Y52" s="41">
        <f>RawData!AM784</f>
        <v>0</v>
      </c>
      <c r="Z52" s="44">
        <f>RawData!CB784</f>
        <v>0</v>
      </c>
      <c r="AA52" s="44">
        <f>RawData!AN784</f>
        <v>0</v>
      </c>
      <c r="AB52" s="44">
        <f>RawData!AO784</f>
        <v>0</v>
      </c>
      <c r="AC52" s="44">
        <f>RawData!AP784</f>
        <v>0</v>
      </c>
      <c r="AD52" s="63">
        <f>RawData!BZ784</f>
        <v>0</v>
      </c>
      <c r="AE52" s="44">
        <f>RawData!AQ784</f>
        <v>0</v>
      </c>
      <c r="AF52" s="46">
        <f>RawData!O784</f>
        <v>0</v>
      </c>
      <c r="AG52" s="44">
        <f>RawData!AR784</f>
        <v>0</v>
      </c>
      <c r="AH52" s="44">
        <f>RawData!BY784</f>
        <v>0</v>
      </c>
      <c r="AI52" s="44">
        <f>RawData!AS784</f>
        <v>0</v>
      </c>
      <c r="AJ52" s="44">
        <f>RawData!AT784</f>
        <v>0</v>
      </c>
      <c r="AK52" s="44">
        <f>RawData!AU784</f>
        <v>0</v>
      </c>
      <c r="AL52" s="44">
        <f>RawData!BW784</f>
        <v>0</v>
      </c>
      <c r="AM52" s="41">
        <f>RawData!AV784</f>
        <v>0</v>
      </c>
      <c r="AN52" s="41">
        <f>RawData!BX784</f>
        <v>0</v>
      </c>
      <c r="AO52" s="41">
        <f>RawData!AW784</f>
        <v>0</v>
      </c>
      <c r="AP52" s="41">
        <f>RawData!AX784</f>
        <v>0</v>
      </c>
      <c r="AQ52" s="40">
        <f>RawData!AY784</f>
        <v>0</v>
      </c>
      <c r="AR52" s="40">
        <f>RawData!AZ784</f>
        <v>0</v>
      </c>
      <c r="AS52" s="40">
        <f>RawData!BA784</f>
        <v>0</v>
      </c>
      <c r="AT52" s="38">
        <f>RawData!BB784</f>
        <v>0</v>
      </c>
      <c r="AU52" s="40">
        <f>RawData!BC784</f>
        <v>0</v>
      </c>
      <c r="AV52" s="40">
        <f>RawData!BD784</f>
        <v>0</v>
      </c>
      <c r="AW52" s="38">
        <f>RawData!BE784</f>
        <v>0</v>
      </c>
      <c r="AX52" s="37">
        <f>RawData!BF784</f>
        <v>0</v>
      </c>
      <c r="AY52" s="36">
        <f>RawData!BG784</f>
        <v>0</v>
      </c>
      <c r="AZ52" s="36">
        <f>RawData!BH784</f>
        <v>0</v>
      </c>
      <c r="BA52" s="40">
        <f>RawData!BI784</f>
        <v>0</v>
      </c>
      <c r="BB52" s="44">
        <f>RawData!BJ784</f>
        <v>0</v>
      </c>
      <c r="BC52" s="44">
        <f>RawData!BK784</f>
        <v>0</v>
      </c>
      <c r="BD52" s="44">
        <f>RawData!BL784</f>
        <v>0</v>
      </c>
      <c r="BE52" s="44">
        <f>RawData!BM784</f>
        <v>0</v>
      </c>
      <c r="BF52" s="44">
        <f>RawData!BN784</f>
        <v>0</v>
      </c>
      <c r="BG52" s="63">
        <f>RawData!BO784</f>
        <v>0</v>
      </c>
      <c r="BH52" s="44">
        <f>RawData!BP784</f>
        <v>0</v>
      </c>
      <c r="BI52" s="63">
        <f>RawData!BQ784</f>
        <v>0</v>
      </c>
      <c r="BJ52" s="44">
        <f>RawData!BR784</f>
        <v>0</v>
      </c>
      <c r="BK52" s="47">
        <f>RawData!BS784</f>
        <v>0</v>
      </c>
      <c r="BL52" s="44">
        <f>RawData!BT784</f>
        <v>0</v>
      </c>
      <c r="BM52" s="47">
        <f>RawData!BV784</f>
        <v>0</v>
      </c>
      <c r="BN52" s="65">
        <f>RawData!CC784</f>
        <v>0</v>
      </c>
      <c r="BO52" s="66">
        <f>RawData!CD784</f>
        <v>0</v>
      </c>
      <c r="BQ52" s="21">
        <f t="shared" si="0"/>
        <v>0</v>
      </c>
    </row>
    <row r="53" spans="1:69" x14ac:dyDescent="0.2">
      <c r="A53" s="59">
        <f>RawData!P785</f>
        <v>0</v>
      </c>
      <c r="B53" s="44">
        <f>RawData!Q785</f>
        <v>0</v>
      </c>
      <c r="C53" s="44">
        <f>RawData!R785</f>
        <v>0</v>
      </c>
      <c r="D53" s="63">
        <f>RawData!S785</f>
        <v>0</v>
      </c>
      <c r="E53" s="44">
        <f>RawData!T785</f>
        <v>0</v>
      </c>
      <c r="F53" s="63">
        <f>RawData!U785</f>
        <v>0</v>
      </c>
      <c r="G53" s="44">
        <f>RawData!V785</f>
        <v>0</v>
      </c>
      <c r="H53" s="44">
        <f>RawData!W785</f>
        <v>0</v>
      </c>
      <c r="I53" s="44">
        <f>RawData!X785</f>
        <v>0</v>
      </c>
      <c r="J53" s="44">
        <f>RawData!Y785</f>
        <v>0</v>
      </c>
      <c r="K53" s="40">
        <f>RawData!Z785</f>
        <v>0</v>
      </c>
      <c r="L53" s="40">
        <f>RawData!AA785</f>
        <v>0</v>
      </c>
      <c r="M53" s="36">
        <f>RawData!AB785</f>
        <v>0</v>
      </c>
      <c r="N53" s="36">
        <f>RawData!AC785</f>
        <v>0</v>
      </c>
      <c r="O53" s="37">
        <f>RawData!AD785</f>
        <v>0</v>
      </c>
      <c r="P53" s="38">
        <f>RawData!AE785</f>
        <v>0</v>
      </c>
      <c r="Q53" s="39">
        <f>RawData!AF785</f>
        <v>0</v>
      </c>
      <c r="R53" s="38">
        <f>RawData!AG785</f>
        <v>0</v>
      </c>
      <c r="S53" s="40">
        <f>RawData!AH785</f>
        <v>0</v>
      </c>
      <c r="T53" s="40">
        <f>RawData!AI785</f>
        <v>0</v>
      </c>
      <c r="U53" s="40">
        <f>RawData!AJ785</f>
        <v>0</v>
      </c>
      <c r="V53" s="41">
        <f>RawData!AK785</f>
        <v>0</v>
      </c>
      <c r="W53" s="41">
        <f>RawData!AL785</f>
        <v>0</v>
      </c>
      <c r="X53" s="43">
        <f>RawData!CA785</f>
        <v>0</v>
      </c>
      <c r="Y53" s="41">
        <f>RawData!AM785</f>
        <v>0</v>
      </c>
      <c r="Z53" s="44">
        <f>RawData!CB785</f>
        <v>0</v>
      </c>
      <c r="AA53" s="44">
        <f>RawData!AN785</f>
        <v>0</v>
      </c>
      <c r="AB53" s="44">
        <f>RawData!AO785</f>
        <v>0</v>
      </c>
      <c r="AC53" s="44">
        <f>RawData!AP785</f>
        <v>0</v>
      </c>
      <c r="AD53" s="63">
        <f>RawData!BZ785</f>
        <v>0</v>
      </c>
      <c r="AE53" s="44">
        <f>RawData!AQ785</f>
        <v>0</v>
      </c>
      <c r="AF53" s="46">
        <f>RawData!O785</f>
        <v>0</v>
      </c>
      <c r="AG53" s="44">
        <f>RawData!AR785</f>
        <v>0</v>
      </c>
      <c r="AH53" s="44">
        <f>RawData!BY785</f>
        <v>0</v>
      </c>
      <c r="AI53" s="44">
        <f>RawData!AS785</f>
        <v>0</v>
      </c>
      <c r="AJ53" s="44">
        <f>RawData!AT785</f>
        <v>0</v>
      </c>
      <c r="AK53" s="44">
        <f>RawData!AU785</f>
        <v>0</v>
      </c>
      <c r="AL53" s="44">
        <f>RawData!BW785</f>
        <v>0</v>
      </c>
      <c r="AM53" s="41">
        <f>RawData!AV785</f>
        <v>0</v>
      </c>
      <c r="AN53" s="41">
        <f>RawData!BX785</f>
        <v>0</v>
      </c>
      <c r="AO53" s="41">
        <f>RawData!AW785</f>
        <v>0</v>
      </c>
      <c r="AP53" s="41">
        <f>RawData!AX785</f>
        <v>0</v>
      </c>
      <c r="AQ53" s="40">
        <f>RawData!AY785</f>
        <v>0</v>
      </c>
      <c r="AR53" s="40">
        <f>RawData!AZ785</f>
        <v>0</v>
      </c>
      <c r="AS53" s="40">
        <f>RawData!BA785</f>
        <v>0</v>
      </c>
      <c r="AT53" s="38">
        <f>RawData!BB785</f>
        <v>0</v>
      </c>
      <c r="AU53" s="40">
        <f>RawData!BC785</f>
        <v>0</v>
      </c>
      <c r="AV53" s="40">
        <f>RawData!BD785</f>
        <v>0</v>
      </c>
      <c r="AW53" s="38">
        <f>RawData!BE785</f>
        <v>0</v>
      </c>
      <c r="AX53" s="37">
        <f>RawData!BF785</f>
        <v>0</v>
      </c>
      <c r="AY53" s="36">
        <f>RawData!BG785</f>
        <v>0</v>
      </c>
      <c r="AZ53" s="36">
        <f>RawData!BH785</f>
        <v>0</v>
      </c>
      <c r="BA53" s="40">
        <f>RawData!BI785</f>
        <v>0</v>
      </c>
      <c r="BB53" s="44">
        <f>RawData!BJ785</f>
        <v>0</v>
      </c>
      <c r="BC53" s="44">
        <f>RawData!BK785</f>
        <v>0</v>
      </c>
      <c r="BD53" s="44">
        <f>RawData!BL785</f>
        <v>0</v>
      </c>
      <c r="BE53" s="44">
        <f>RawData!BM785</f>
        <v>0</v>
      </c>
      <c r="BF53" s="44">
        <f>RawData!BN785</f>
        <v>0</v>
      </c>
      <c r="BG53" s="63">
        <f>RawData!BO785</f>
        <v>0</v>
      </c>
      <c r="BH53" s="44">
        <f>RawData!BP785</f>
        <v>0</v>
      </c>
      <c r="BI53" s="63">
        <f>RawData!BQ785</f>
        <v>0</v>
      </c>
      <c r="BJ53" s="44">
        <f>RawData!BR785</f>
        <v>0</v>
      </c>
      <c r="BK53" s="47">
        <f>RawData!BS785</f>
        <v>0</v>
      </c>
      <c r="BL53" s="44">
        <f>RawData!BT785</f>
        <v>0</v>
      </c>
      <c r="BM53" s="47">
        <f>RawData!BV785</f>
        <v>0</v>
      </c>
      <c r="BN53" s="65">
        <f>RawData!CC785</f>
        <v>0</v>
      </c>
      <c r="BO53" s="66">
        <f>RawData!CD785</f>
        <v>0</v>
      </c>
      <c r="BQ53" s="21">
        <f t="shared" si="0"/>
        <v>0</v>
      </c>
    </row>
    <row r="54" spans="1:69" x14ac:dyDescent="0.2">
      <c r="A54" s="59">
        <f>RawData!P786</f>
        <v>0</v>
      </c>
      <c r="B54" s="44">
        <f>RawData!Q786</f>
        <v>0</v>
      </c>
      <c r="C54" s="44">
        <f>RawData!R786</f>
        <v>0</v>
      </c>
      <c r="D54" s="63">
        <f>RawData!S786</f>
        <v>0</v>
      </c>
      <c r="E54" s="44">
        <f>RawData!T786</f>
        <v>0</v>
      </c>
      <c r="F54" s="63">
        <f>RawData!U786</f>
        <v>0</v>
      </c>
      <c r="G54" s="44">
        <f>RawData!V786</f>
        <v>0</v>
      </c>
      <c r="H54" s="44">
        <f>RawData!W786</f>
        <v>0</v>
      </c>
      <c r="I54" s="44">
        <f>RawData!X786</f>
        <v>0</v>
      </c>
      <c r="J54" s="44">
        <f>RawData!Y786</f>
        <v>0</v>
      </c>
      <c r="K54" s="40">
        <f>RawData!Z786</f>
        <v>0</v>
      </c>
      <c r="L54" s="40">
        <f>RawData!AA786</f>
        <v>0</v>
      </c>
      <c r="M54" s="36">
        <f>RawData!AB786</f>
        <v>0</v>
      </c>
      <c r="N54" s="36">
        <f>RawData!AC786</f>
        <v>0</v>
      </c>
      <c r="O54" s="37">
        <f>RawData!AD786</f>
        <v>0</v>
      </c>
      <c r="P54" s="38">
        <f>RawData!AE786</f>
        <v>0</v>
      </c>
      <c r="Q54" s="39">
        <f>RawData!AF786</f>
        <v>0</v>
      </c>
      <c r="R54" s="38">
        <f>RawData!AG786</f>
        <v>0</v>
      </c>
      <c r="S54" s="40">
        <f>RawData!AH786</f>
        <v>0</v>
      </c>
      <c r="T54" s="40">
        <f>RawData!AI786</f>
        <v>0</v>
      </c>
      <c r="U54" s="40">
        <f>RawData!AJ786</f>
        <v>0</v>
      </c>
      <c r="V54" s="41">
        <f>RawData!AK786</f>
        <v>0</v>
      </c>
      <c r="W54" s="41">
        <f>RawData!AL786</f>
        <v>0</v>
      </c>
      <c r="X54" s="43">
        <f>RawData!CA786</f>
        <v>0</v>
      </c>
      <c r="Y54" s="41">
        <f>RawData!AM786</f>
        <v>0</v>
      </c>
      <c r="Z54" s="44">
        <f>RawData!CB786</f>
        <v>0</v>
      </c>
      <c r="AA54" s="44">
        <f>RawData!AN786</f>
        <v>0</v>
      </c>
      <c r="AB54" s="44">
        <f>RawData!AO786</f>
        <v>0</v>
      </c>
      <c r="AC54" s="44">
        <f>RawData!AP786</f>
        <v>0</v>
      </c>
      <c r="AD54" s="63">
        <f>RawData!BZ786</f>
        <v>0</v>
      </c>
      <c r="AE54" s="44">
        <f>RawData!AQ786</f>
        <v>0</v>
      </c>
      <c r="AF54" s="46">
        <f>RawData!O786</f>
        <v>0</v>
      </c>
      <c r="AG54" s="44">
        <f>RawData!AR786</f>
        <v>0</v>
      </c>
      <c r="AH54" s="44">
        <f>RawData!BY786</f>
        <v>0</v>
      </c>
      <c r="AI54" s="44">
        <f>RawData!AS786</f>
        <v>0</v>
      </c>
      <c r="AJ54" s="44">
        <f>RawData!AT786</f>
        <v>0</v>
      </c>
      <c r="AK54" s="44">
        <f>RawData!AU786</f>
        <v>0</v>
      </c>
      <c r="AL54" s="44">
        <f>RawData!BW786</f>
        <v>0</v>
      </c>
      <c r="AM54" s="41">
        <f>RawData!AV786</f>
        <v>0</v>
      </c>
      <c r="AN54" s="41">
        <f>RawData!BX786</f>
        <v>0</v>
      </c>
      <c r="AO54" s="41">
        <f>RawData!AW786</f>
        <v>0</v>
      </c>
      <c r="AP54" s="41">
        <f>RawData!AX786</f>
        <v>0</v>
      </c>
      <c r="AQ54" s="40">
        <f>RawData!AY786</f>
        <v>0</v>
      </c>
      <c r="AR54" s="40">
        <f>RawData!AZ786</f>
        <v>0</v>
      </c>
      <c r="AS54" s="40">
        <f>RawData!BA786</f>
        <v>0</v>
      </c>
      <c r="AT54" s="38">
        <f>RawData!BB786</f>
        <v>0</v>
      </c>
      <c r="AU54" s="40">
        <f>RawData!BC786</f>
        <v>0</v>
      </c>
      <c r="AV54" s="40">
        <f>RawData!BD786</f>
        <v>0</v>
      </c>
      <c r="AW54" s="38">
        <f>RawData!BE786</f>
        <v>0</v>
      </c>
      <c r="AX54" s="37">
        <f>RawData!BF786</f>
        <v>0</v>
      </c>
      <c r="AY54" s="36">
        <f>RawData!BG786</f>
        <v>0</v>
      </c>
      <c r="AZ54" s="36">
        <f>RawData!BH786</f>
        <v>0</v>
      </c>
      <c r="BA54" s="40">
        <f>RawData!BI786</f>
        <v>0</v>
      </c>
      <c r="BB54" s="44">
        <f>RawData!BJ786</f>
        <v>0</v>
      </c>
      <c r="BC54" s="44">
        <f>RawData!BK786</f>
        <v>0</v>
      </c>
      <c r="BD54" s="44">
        <f>RawData!BL786</f>
        <v>0</v>
      </c>
      <c r="BE54" s="44">
        <f>RawData!BM786</f>
        <v>0</v>
      </c>
      <c r="BF54" s="44">
        <f>RawData!BN786</f>
        <v>0</v>
      </c>
      <c r="BG54" s="63">
        <f>RawData!BO786</f>
        <v>0</v>
      </c>
      <c r="BH54" s="44">
        <f>RawData!BP786</f>
        <v>0</v>
      </c>
      <c r="BI54" s="63">
        <f>RawData!BQ786</f>
        <v>0</v>
      </c>
      <c r="BJ54" s="44">
        <f>RawData!BR786</f>
        <v>0</v>
      </c>
      <c r="BK54" s="47">
        <f>RawData!BS786</f>
        <v>0</v>
      </c>
      <c r="BL54" s="44">
        <f>RawData!BT786</f>
        <v>0</v>
      </c>
      <c r="BM54" s="47">
        <f>RawData!BV786</f>
        <v>0</v>
      </c>
      <c r="BN54" s="65">
        <f>RawData!CC786</f>
        <v>0</v>
      </c>
      <c r="BO54" s="66">
        <f>RawData!CD786</f>
        <v>0</v>
      </c>
      <c r="BQ54" s="21">
        <f t="shared" si="0"/>
        <v>0</v>
      </c>
    </row>
    <row r="55" spans="1:69" x14ac:dyDescent="0.2">
      <c r="A55" s="59">
        <f>RawData!P787</f>
        <v>0</v>
      </c>
      <c r="B55" s="44">
        <f>RawData!Q787</f>
        <v>0</v>
      </c>
      <c r="C55" s="44">
        <f>RawData!R787</f>
        <v>0</v>
      </c>
      <c r="D55" s="63">
        <f>RawData!S787</f>
        <v>0</v>
      </c>
      <c r="E55" s="44">
        <f>RawData!T787</f>
        <v>0</v>
      </c>
      <c r="F55" s="63">
        <f>RawData!U787</f>
        <v>0</v>
      </c>
      <c r="G55" s="44">
        <f>RawData!V787</f>
        <v>0</v>
      </c>
      <c r="H55" s="44">
        <f>RawData!W787</f>
        <v>0</v>
      </c>
      <c r="I55" s="44">
        <f>RawData!X787</f>
        <v>0</v>
      </c>
      <c r="J55" s="44">
        <f>RawData!Y787</f>
        <v>0</v>
      </c>
      <c r="K55" s="40">
        <f>RawData!Z787</f>
        <v>0</v>
      </c>
      <c r="L55" s="40">
        <f>RawData!AA787</f>
        <v>0</v>
      </c>
      <c r="M55" s="36">
        <f>RawData!AB787</f>
        <v>0</v>
      </c>
      <c r="N55" s="36">
        <f>RawData!AC787</f>
        <v>0</v>
      </c>
      <c r="O55" s="37">
        <f>RawData!AD787</f>
        <v>0</v>
      </c>
      <c r="P55" s="38">
        <f>RawData!AE787</f>
        <v>0</v>
      </c>
      <c r="Q55" s="39">
        <f>RawData!AF787</f>
        <v>0</v>
      </c>
      <c r="R55" s="38">
        <f>RawData!AG787</f>
        <v>0</v>
      </c>
      <c r="S55" s="40">
        <f>RawData!AH787</f>
        <v>0</v>
      </c>
      <c r="T55" s="40">
        <f>RawData!AI787</f>
        <v>0</v>
      </c>
      <c r="U55" s="40">
        <f>RawData!AJ787</f>
        <v>0</v>
      </c>
      <c r="V55" s="41">
        <f>RawData!AK787</f>
        <v>0</v>
      </c>
      <c r="W55" s="41">
        <f>RawData!AL787</f>
        <v>0</v>
      </c>
      <c r="X55" s="43">
        <f>RawData!CA787</f>
        <v>0</v>
      </c>
      <c r="Y55" s="41">
        <f>RawData!AM787</f>
        <v>0</v>
      </c>
      <c r="Z55" s="44">
        <f>RawData!CB787</f>
        <v>0</v>
      </c>
      <c r="AA55" s="44">
        <f>RawData!AN787</f>
        <v>0</v>
      </c>
      <c r="AB55" s="44">
        <f>RawData!AO787</f>
        <v>0</v>
      </c>
      <c r="AC55" s="44">
        <f>RawData!AP787</f>
        <v>0</v>
      </c>
      <c r="AD55" s="63">
        <f>RawData!BZ787</f>
        <v>0</v>
      </c>
      <c r="AE55" s="44">
        <f>RawData!AQ787</f>
        <v>0</v>
      </c>
      <c r="AF55" s="46">
        <f>RawData!O787</f>
        <v>0</v>
      </c>
      <c r="AG55" s="44">
        <f>RawData!AR787</f>
        <v>0</v>
      </c>
      <c r="AH55" s="44">
        <f>RawData!BY787</f>
        <v>0</v>
      </c>
      <c r="AI55" s="44">
        <f>RawData!AS787</f>
        <v>0</v>
      </c>
      <c r="AJ55" s="44">
        <f>RawData!AT787</f>
        <v>0</v>
      </c>
      <c r="AK55" s="44">
        <f>RawData!AU787</f>
        <v>0</v>
      </c>
      <c r="AL55" s="44">
        <f>RawData!BW787</f>
        <v>0</v>
      </c>
      <c r="AM55" s="41">
        <f>RawData!AV787</f>
        <v>0</v>
      </c>
      <c r="AN55" s="41">
        <f>RawData!BX787</f>
        <v>0</v>
      </c>
      <c r="AO55" s="41">
        <f>RawData!AW787</f>
        <v>0</v>
      </c>
      <c r="AP55" s="41">
        <f>RawData!AX787</f>
        <v>0</v>
      </c>
      <c r="AQ55" s="40">
        <f>RawData!AY787</f>
        <v>0</v>
      </c>
      <c r="AR55" s="40">
        <f>RawData!AZ787</f>
        <v>0</v>
      </c>
      <c r="AS55" s="40">
        <f>RawData!BA787</f>
        <v>0</v>
      </c>
      <c r="AT55" s="38">
        <f>RawData!BB787</f>
        <v>0</v>
      </c>
      <c r="AU55" s="40">
        <f>RawData!BC787</f>
        <v>0</v>
      </c>
      <c r="AV55" s="40">
        <f>RawData!BD787</f>
        <v>0</v>
      </c>
      <c r="AW55" s="38">
        <f>RawData!BE787</f>
        <v>0</v>
      </c>
      <c r="AX55" s="37">
        <f>RawData!BF787</f>
        <v>0</v>
      </c>
      <c r="AY55" s="36">
        <f>RawData!BG787</f>
        <v>0</v>
      </c>
      <c r="AZ55" s="36">
        <f>RawData!BH787</f>
        <v>0</v>
      </c>
      <c r="BA55" s="40">
        <f>RawData!BI787</f>
        <v>0</v>
      </c>
      <c r="BB55" s="44">
        <f>RawData!BJ787</f>
        <v>0</v>
      </c>
      <c r="BC55" s="44">
        <f>RawData!BK787</f>
        <v>0</v>
      </c>
      <c r="BD55" s="44">
        <f>RawData!BL787</f>
        <v>0</v>
      </c>
      <c r="BE55" s="44">
        <f>RawData!BM787</f>
        <v>0</v>
      </c>
      <c r="BF55" s="44">
        <f>RawData!BN787</f>
        <v>0</v>
      </c>
      <c r="BG55" s="63">
        <f>RawData!BO787</f>
        <v>0</v>
      </c>
      <c r="BH55" s="44">
        <f>RawData!BP787</f>
        <v>0</v>
      </c>
      <c r="BI55" s="63">
        <f>RawData!BQ787</f>
        <v>0</v>
      </c>
      <c r="BJ55" s="44">
        <f>RawData!BR787</f>
        <v>0</v>
      </c>
      <c r="BK55" s="47">
        <f>RawData!BS787</f>
        <v>0</v>
      </c>
      <c r="BL55" s="44">
        <f>RawData!BT787</f>
        <v>0</v>
      </c>
      <c r="BM55" s="47">
        <f>RawData!BV787</f>
        <v>0</v>
      </c>
      <c r="BN55" s="65">
        <f>RawData!CC787</f>
        <v>0</v>
      </c>
      <c r="BO55" s="66">
        <f>RawData!CD787</f>
        <v>0</v>
      </c>
      <c r="BQ55" s="21">
        <f t="shared" si="0"/>
        <v>0</v>
      </c>
    </row>
    <row r="56" spans="1:69" x14ac:dyDescent="0.2">
      <c r="A56" s="59">
        <f>RawData!P788</f>
        <v>0</v>
      </c>
      <c r="B56" s="44">
        <f>RawData!Q788</f>
        <v>0</v>
      </c>
      <c r="C56" s="44">
        <f>RawData!R788</f>
        <v>0</v>
      </c>
      <c r="D56" s="63">
        <f>RawData!S788</f>
        <v>0</v>
      </c>
      <c r="E56" s="44">
        <f>RawData!T788</f>
        <v>0</v>
      </c>
      <c r="F56" s="63">
        <f>RawData!U788</f>
        <v>0</v>
      </c>
      <c r="G56" s="44">
        <f>RawData!V788</f>
        <v>0</v>
      </c>
      <c r="H56" s="44">
        <f>RawData!W788</f>
        <v>0</v>
      </c>
      <c r="I56" s="44">
        <f>RawData!X788</f>
        <v>0</v>
      </c>
      <c r="J56" s="44">
        <f>RawData!Y788</f>
        <v>0</v>
      </c>
      <c r="K56" s="40">
        <f>RawData!Z788</f>
        <v>0</v>
      </c>
      <c r="L56" s="40">
        <f>RawData!AA788</f>
        <v>0</v>
      </c>
      <c r="M56" s="36">
        <f>RawData!AB788</f>
        <v>0</v>
      </c>
      <c r="N56" s="36">
        <f>RawData!AC788</f>
        <v>0</v>
      </c>
      <c r="O56" s="37">
        <f>RawData!AD788</f>
        <v>0</v>
      </c>
      <c r="P56" s="38">
        <f>RawData!AE788</f>
        <v>0</v>
      </c>
      <c r="Q56" s="39">
        <f>RawData!AF788</f>
        <v>0</v>
      </c>
      <c r="R56" s="38">
        <f>RawData!AG788</f>
        <v>0</v>
      </c>
      <c r="S56" s="40">
        <f>RawData!AH788</f>
        <v>0</v>
      </c>
      <c r="T56" s="40">
        <f>RawData!AI788</f>
        <v>0</v>
      </c>
      <c r="U56" s="40">
        <f>RawData!AJ788</f>
        <v>0</v>
      </c>
      <c r="V56" s="41">
        <f>RawData!AK788</f>
        <v>0</v>
      </c>
      <c r="W56" s="41">
        <f>RawData!AL788</f>
        <v>0</v>
      </c>
      <c r="X56" s="43">
        <f>RawData!CA788</f>
        <v>0</v>
      </c>
      <c r="Y56" s="41">
        <f>RawData!AM788</f>
        <v>0</v>
      </c>
      <c r="Z56" s="44">
        <f>RawData!CB788</f>
        <v>0</v>
      </c>
      <c r="AA56" s="44">
        <f>RawData!AN788</f>
        <v>0</v>
      </c>
      <c r="AB56" s="44">
        <f>RawData!AO788</f>
        <v>0</v>
      </c>
      <c r="AC56" s="44">
        <f>RawData!AP788</f>
        <v>0</v>
      </c>
      <c r="AD56" s="63">
        <f>RawData!BZ788</f>
        <v>0</v>
      </c>
      <c r="AE56" s="44">
        <f>RawData!AQ788</f>
        <v>0</v>
      </c>
      <c r="AF56" s="46">
        <f>RawData!O788</f>
        <v>0</v>
      </c>
      <c r="AG56" s="44">
        <f>RawData!AR788</f>
        <v>0</v>
      </c>
      <c r="AH56" s="44">
        <f>RawData!BY788</f>
        <v>0</v>
      </c>
      <c r="AI56" s="44">
        <f>RawData!AS788</f>
        <v>0</v>
      </c>
      <c r="AJ56" s="44">
        <f>RawData!AT788</f>
        <v>0</v>
      </c>
      <c r="AK56" s="44">
        <f>RawData!AU788</f>
        <v>0</v>
      </c>
      <c r="AL56" s="44">
        <f>RawData!BW788</f>
        <v>0</v>
      </c>
      <c r="AM56" s="41">
        <f>RawData!AV788</f>
        <v>0</v>
      </c>
      <c r="AN56" s="41">
        <f>RawData!BX788</f>
        <v>0</v>
      </c>
      <c r="AO56" s="41">
        <f>RawData!AW788</f>
        <v>0</v>
      </c>
      <c r="AP56" s="41">
        <f>RawData!AX788</f>
        <v>0</v>
      </c>
      <c r="AQ56" s="40">
        <f>RawData!AY788</f>
        <v>0</v>
      </c>
      <c r="AR56" s="40">
        <f>RawData!AZ788</f>
        <v>0</v>
      </c>
      <c r="AS56" s="40">
        <f>RawData!BA788</f>
        <v>0</v>
      </c>
      <c r="AT56" s="38">
        <f>RawData!BB788</f>
        <v>0</v>
      </c>
      <c r="AU56" s="40">
        <f>RawData!BC788</f>
        <v>0</v>
      </c>
      <c r="AV56" s="40">
        <f>RawData!BD788</f>
        <v>0</v>
      </c>
      <c r="AW56" s="38">
        <f>RawData!BE788</f>
        <v>0</v>
      </c>
      <c r="AX56" s="37">
        <f>RawData!BF788</f>
        <v>0</v>
      </c>
      <c r="AY56" s="36">
        <f>RawData!BG788</f>
        <v>0</v>
      </c>
      <c r="AZ56" s="36">
        <f>RawData!BH788</f>
        <v>0</v>
      </c>
      <c r="BA56" s="40">
        <f>RawData!BI788</f>
        <v>0</v>
      </c>
      <c r="BB56" s="44">
        <f>RawData!BJ788</f>
        <v>0</v>
      </c>
      <c r="BC56" s="44">
        <f>RawData!BK788</f>
        <v>0</v>
      </c>
      <c r="BD56" s="44">
        <f>RawData!BL788</f>
        <v>0</v>
      </c>
      <c r="BE56" s="44">
        <f>RawData!BM788</f>
        <v>0</v>
      </c>
      <c r="BF56" s="44">
        <f>RawData!BN788</f>
        <v>0</v>
      </c>
      <c r="BG56" s="63">
        <f>RawData!BO788</f>
        <v>0</v>
      </c>
      <c r="BH56" s="44">
        <f>RawData!BP788</f>
        <v>0</v>
      </c>
      <c r="BI56" s="63">
        <f>RawData!BQ788</f>
        <v>0</v>
      </c>
      <c r="BJ56" s="44">
        <f>RawData!BR788</f>
        <v>0</v>
      </c>
      <c r="BK56" s="47">
        <f>RawData!BS788</f>
        <v>0</v>
      </c>
      <c r="BL56" s="44">
        <f>RawData!BT788</f>
        <v>0</v>
      </c>
      <c r="BM56" s="47">
        <f>RawData!BV788</f>
        <v>0</v>
      </c>
      <c r="BN56" s="65">
        <f>RawData!CC788</f>
        <v>0</v>
      </c>
      <c r="BO56" s="66">
        <f>RawData!CD788</f>
        <v>0</v>
      </c>
      <c r="BQ56" s="21">
        <f t="shared" si="0"/>
        <v>0</v>
      </c>
    </row>
    <row r="57" spans="1:69" x14ac:dyDescent="0.2">
      <c r="A57" s="59">
        <f>RawData!P789</f>
        <v>0</v>
      </c>
      <c r="B57" s="44">
        <f>RawData!Q789</f>
        <v>0</v>
      </c>
      <c r="C57" s="44">
        <f>RawData!R789</f>
        <v>0</v>
      </c>
      <c r="D57" s="63">
        <f>RawData!S789</f>
        <v>0</v>
      </c>
      <c r="E57" s="44">
        <f>RawData!T789</f>
        <v>0</v>
      </c>
      <c r="F57" s="63">
        <f>RawData!U789</f>
        <v>0</v>
      </c>
      <c r="G57" s="44">
        <f>RawData!V789</f>
        <v>0</v>
      </c>
      <c r="H57" s="44">
        <f>RawData!W789</f>
        <v>0</v>
      </c>
      <c r="I57" s="44">
        <f>RawData!X789</f>
        <v>0</v>
      </c>
      <c r="J57" s="44">
        <f>RawData!Y789</f>
        <v>0</v>
      </c>
      <c r="K57" s="40">
        <f>RawData!Z789</f>
        <v>0</v>
      </c>
      <c r="L57" s="40">
        <f>RawData!AA789</f>
        <v>0</v>
      </c>
      <c r="M57" s="36">
        <f>RawData!AB789</f>
        <v>0</v>
      </c>
      <c r="N57" s="36">
        <f>RawData!AC789</f>
        <v>0</v>
      </c>
      <c r="O57" s="37">
        <f>RawData!AD789</f>
        <v>0</v>
      </c>
      <c r="P57" s="38">
        <f>RawData!AE789</f>
        <v>0</v>
      </c>
      <c r="Q57" s="39">
        <f>RawData!AF789</f>
        <v>0</v>
      </c>
      <c r="R57" s="38">
        <f>RawData!AG789</f>
        <v>0</v>
      </c>
      <c r="S57" s="40">
        <f>RawData!AH789</f>
        <v>0</v>
      </c>
      <c r="T57" s="40">
        <f>RawData!AI789</f>
        <v>0</v>
      </c>
      <c r="U57" s="40">
        <f>RawData!AJ789</f>
        <v>0</v>
      </c>
      <c r="V57" s="41">
        <f>RawData!AK789</f>
        <v>0</v>
      </c>
      <c r="W57" s="41">
        <f>RawData!AL789</f>
        <v>0</v>
      </c>
      <c r="X57" s="43">
        <f>RawData!CA789</f>
        <v>0</v>
      </c>
      <c r="Y57" s="41">
        <f>RawData!AM789</f>
        <v>0</v>
      </c>
      <c r="Z57" s="44">
        <f>RawData!CB789</f>
        <v>0</v>
      </c>
      <c r="AA57" s="44">
        <f>RawData!AN789</f>
        <v>0</v>
      </c>
      <c r="AB57" s="44">
        <f>RawData!AO789</f>
        <v>0</v>
      </c>
      <c r="AC57" s="44">
        <f>RawData!AP789</f>
        <v>0</v>
      </c>
      <c r="AD57" s="63">
        <f>RawData!BZ789</f>
        <v>0</v>
      </c>
      <c r="AE57" s="44">
        <f>RawData!AQ789</f>
        <v>0</v>
      </c>
      <c r="AF57" s="46">
        <f>RawData!O789</f>
        <v>0</v>
      </c>
      <c r="AG57" s="44">
        <f>RawData!AR789</f>
        <v>0</v>
      </c>
      <c r="AH57" s="44">
        <f>RawData!BY789</f>
        <v>0</v>
      </c>
      <c r="AI57" s="44">
        <f>RawData!AS789</f>
        <v>0</v>
      </c>
      <c r="AJ57" s="44">
        <f>RawData!AT789</f>
        <v>0</v>
      </c>
      <c r="AK57" s="44">
        <f>RawData!AU789</f>
        <v>0</v>
      </c>
      <c r="AL57" s="44">
        <f>RawData!BW789</f>
        <v>0</v>
      </c>
      <c r="AM57" s="41">
        <f>RawData!AV789</f>
        <v>0</v>
      </c>
      <c r="AN57" s="41">
        <f>RawData!BX789</f>
        <v>0</v>
      </c>
      <c r="AO57" s="41">
        <f>RawData!AW789</f>
        <v>0</v>
      </c>
      <c r="AP57" s="41">
        <f>RawData!AX789</f>
        <v>0</v>
      </c>
      <c r="AQ57" s="40">
        <f>RawData!AY789</f>
        <v>0</v>
      </c>
      <c r="AR57" s="40">
        <f>RawData!AZ789</f>
        <v>0</v>
      </c>
      <c r="AS57" s="40">
        <f>RawData!BA789</f>
        <v>0</v>
      </c>
      <c r="AT57" s="38">
        <f>RawData!BB789</f>
        <v>0</v>
      </c>
      <c r="AU57" s="40">
        <f>RawData!BC789</f>
        <v>0</v>
      </c>
      <c r="AV57" s="40">
        <f>RawData!BD789</f>
        <v>0</v>
      </c>
      <c r="AW57" s="38">
        <f>RawData!BE789</f>
        <v>0</v>
      </c>
      <c r="AX57" s="37">
        <f>RawData!BF789</f>
        <v>0</v>
      </c>
      <c r="AY57" s="36">
        <f>RawData!BG789</f>
        <v>0</v>
      </c>
      <c r="AZ57" s="36">
        <f>RawData!BH789</f>
        <v>0</v>
      </c>
      <c r="BA57" s="40">
        <f>RawData!BI789</f>
        <v>0</v>
      </c>
      <c r="BB57" s="44">
        <f>RawData!BJ789</f>
        <v>0</v>
      </c>
      <c r="BC57" s="44">
        <f>RawData!BK789</f>
        <v>0</v>
      </c>
      <c r="BD57" s="44">
        <f>RawData!BL789</f>
        <v>0</v>
      </c>
      <c r="BE57" s="44">
        <f>RawData!BM789</f>
        <v>0</v>
      </c>
      <c r="BF57" s="44">
        <f>RawData!BN789</f>
        <v>0</v>
      </c>
      <c r="BG57" s="63">
        <f>RawData!BO789</f>
        <v>0</v>
      </c>
      <c r="BH57" s="44">
        <f>RawData!BP789</f>
        <v>0</v>
      </c>
      <c r="BI57" s="63">
        <f>RawData!BQ789</f>
        <v>0</v>
      </c>
      <c r="BJ57" s="44">
        <f>RawData!BR789</f>
        <v>0</v>
      </c>
      <c r="BK57" s="47">
        <f>RawData!BS789</f>
        <v>0</v>
      </c>
      <c r="BL57" s="44">
        <f>RawData!BT789</f>
        <v>0</v>
      </c>
      <c r="BM57" s="47">
        <f>RawData!BV789</f>
        <v>0</v>
      </c>
      <c r="BN57" s="65">
        <f>RawData!CC789</f>
        <v>0</v>
      </c>
      <c r="BO57" s="66">
        <f>RawData!CD789</f>
        <v>0</v>
      </c>
      <c r="BQ57" s="21">
        <f t="shared" si="0"/>
        <v>0</v>
      </c>
    </row>
    <row r="58" spans="1:69" x14ac:dyDescent="0.2">
      <c r="A58" s="59">
        <f>RawData!P790</f>
        <v>0</v>
      </c>
      <c r="B58" s="44">
        <f>RawData!Q790</f>
        <v>0</v>
      </c>
      <c r="C58" s="44">
        <f>RawData!R790</f>
        <v>0</v>
      </c>
      <c r="D58" s="63">
        <f>RawData!S790</f>
        <v>0</v>
      </c>
      <c r="E58" s="44">
        <f>RawData!T790</f>
        <v>0</v>
      </c>
      <c r="F58" s="63">
        <f>RawData!U790</f>
        <v>0</v>
      </c>
      <c r="G58" s="44">
        <f>RawData!V790</f>
        <v>0</v>
      </c>
      <c r="H58" s="44">
        <f>RawData!W790</f>
        <v>0</v>
      </c>
      <c r="I58" s="44">
        <f>RawData!X790</f>
        <v>0</v>
      </c>
      <c r="J58" s="44">
        <f>RawData!Y790</f>
        <v>0</v>
      </c>
      <c r="K58" s="40">
        <f>RawData!Z790</f>
        <v>0</v>
      </c>
      <c r="L58" s="40">
        <f>RawData!AA790</f>
        <v>0</v>
      </c>
      <c r="M58" s="36">
        <f>RawData!AB790</f>
        <v>0</v>
      </c>
      <c r="N58" s="36">
        <f>RawData!AC790</f>
        <v>0</v>
      </c>
      <c r="O58" s="37">
        <f>RawData!AD790</f>
        <v>0</v>
      </c>
      <c r="P58" s="38">
        <f>RawData!AE790</f>
        <v>0</v>
      </c>
      <c r="Q58" s="39">
        <f>RawData!AF790</f>
        <v>0</v>
      </c>
      <c r="R58" s="38">
        <f>RawData!AG790</f>
        <v>0</v>
      </c>
      <c r="S58" s="40">
        <f>RawData!AH790</f>
        <v>0</v>
      </c>
      <c r="T58" s="40">
        <f>RawData!AI790</f>
        <v>0</v>
      </c>
      <c r="U58" s="40">
        <f>RawData!AJ790</f>
        <v>0</v>
      </c>
      <c r="V58" s="41">
        <f>RawData!AK790</f>
        <v>0</v>
      </c>
      <c r="W58" s="41">
        <f>RawData!AL790</f>
        <v>0</v>
      </c>
      <c r="X58" s="43">
        <f>RawData!CA790</f>
        <v>0</v>
      </c>
      <c r="Y58" s="41">
        <f>RawData!AM790</f>
        <v>0</v>
      </c>
      <c r="Z58" s="44">
        <f>RawData!CB790</f>
        <v>0</v>
      </c>
      <c r="AA58" s="44">
        <f>RawData!AN790</f>
        <v>0</v>
      </c>
      <c r="AB58" s="44">
        <f>RawData!AO790</f>
        <v>0</v>
      </c>
      <c r="AC58" s="44">
        <f>RawData!AP790</f>
        <v>0</v>
      </c>
      <c r="AD58" s="63">
        <f>RawData!BZ790</f>
        <v>0</v>
      </c>
      <c r="AE58" s="44">
        <f>RawData!AQ790</f>
        <v>0</v>
      </c>
      <c r="AF58" s="46">
        <f>RawData!O790</f>
        <v>0</v>
      </c>
      <c r="AG58" s="44">
        <f>RawData!AR790</f>
        <v>0</v>
      </c>
      <c r="AH58" s="44">
        <f>RawData!BY790</f>
        <v>0</v>
      </c>
      <c r="AI58" s="44">
        <f>RawData!AS790</f>
        <v>0</v>
      </c>
      <c r="AJ58" s="44">
        <f>RawData!AT790</f>
        <v>0</v>
      </c>
      <c r="AK58" s="44">
        <f>RawData!AU790</f>
        <v>0</v>
      </c>
      <c r="AL58" s="44">
        <f>RawData!BW790</f>
        <v>0</v>
      </c>
      <c r="AM58" s="41">
        <f>RawData!AV790</f>
        <v>0</v>
      </c>
      <c r="AN58" s="41">
        <f>RawData!BX790</f>
        <v>0</v>
      </c>
      <c r="AO58" s="41">
        <f>RawData!AW790</f>
        <v>0</v>
      </c>
      <c r="AP58" s="41">
        <f>RawData!AX790</f>
        <v>0</v>
      </c>
      <c r="AQ58" s="40">
        <f>RawData!AY790</f>
        <v>0</v>
      </c>
      <c r="AR58" s="40">
        <f>RawData!AZ790</f>
        <v>0</v>
      </c>
      <c r="AS58" s="40">
        <f>RawData!BA790</f>
        <v>0</v>
      </c>
      <c r="AT58" s="38">
        <f>RawData!BB790</f>
        <v>0</v>
      </c>
      <c r="AU58" s="40">
        <f>RawData!BC790</f>
        <v>0</v>
      </c>
      <c r="AV58" s="40">
        <f>RawData!BD790</f>
        <v>0</v>
      </c>
      <c r="AW58" s="38">
        <f>RawData!BE790</f>
        <v>0</v>
      </c>
      <c r="AX58" s="37">
        <f>RawData!BF790</f>
        <v>0</v>
      </c>
      <c r="AY58" s="36">
        <f>RawData!BG790</f>
        <v>0</v>
      </c>
      <c r="AZ58" s="36">
        <f>RawData!BH790</f>
        <v>0</v>
      </c>
      <c r="BA58" s="40">
        <f>RawData!BI790</f>
        <v>0</v>
      </c>
      <c r="BB58" s="44">
        <f>RawData!BJ790</f>
        <v>0</v>
      </c>
      <c r="BC58" s="44">
        <f>RawData!BK790</f>
        <v>0</v>
      </c>
      <c r="BD58" s="44">
        <f>RawData!BL790</f>
        <v>0</v>
      </c>
      <c r="BE58" s="44">
        <f>RawData!BM790</f>
        <v>0</v>
      </c>
      <c r="BF58" s="44">
        <f>RawData!BN790</f>
        <v>0</v>
      </c>
      <c r="BG58" s="63">
        <f>RawData!BO790</f>
        <v>0</v>
      </c>
      <c r="BH58" s="44">
        <f>RawData!BP790</f>
        <v>0</v>
      </c>
      <c r="BI58" s="63">
        <f>RawData!BQ790</f>
        <v>0</v>
      </c>
      <c r="BJ58" s="44">
        <f>RawData!BR790</f>
        <v>0</v>
      </c>
      <c r="BK58" s="47">
        <f>RawData!BS790</f>
        <v>0</v>
      </c>
      <c r="BL58" s="44">
        <f>RawData!BT790</f>
        <v>0</v>
      </c>
      <c r="BM58" s="47">
        <f>RawData!BV790</f>
        <v>0</v>
      </c>
      <c r="BN58" s="65">
        <f>RawData!CC790</f>
        <v>0</v>
      </c>
      <c r="BO58" s="66">
        <f>RawData!CD790</f>
        <v>0</v>
      </c>
      <c r="BQ58" s="21">
        <f t="shared" si="0"/>
        <v>0</v>
      </c>
    </row>
    <row r="59" spans="1:69" x14ac:dyDescent="0.2">
      <c r="A59" s="59">
        <f>RawData!P791</f>
        <v>0</v>
      </c>
      <c r="B59" s="44">
        <f>RawData!Q791</f>
        <v>0</v>
      </c>
      <c r="C59" s="44">
        <f>RawData!R791</f>
        <v>0</v>
      </c>
      <c r="D59" s="63">
        <f>RawData!S791</f>
        <v>0</v>
      </c>
      <c r="E59" s="44">
        <f>RawData!T791</f>
        <v>0</v>
      </c>
      <c r="F59" s="63">
        <f>RawData!U791</f>
        <v>0</v>
      </c>
      <c r="G59" s="44">
        <f>RawData!V791</f>
        <v>0</v>
      </c>
      <c r="H59" s="44">
        <f>RawData!W791</f>
        <v>0</v>
      </c>
      <c r="I59" s="44">
        <f>RawData!X791</f>
        <v>0</v>
      </c>
      <c r="J59" s="44">
        <f>RawData!Y791</f>
        <v>0</v>
      </c>
      <c r="K59" s="40">
        <f>RawData!Z791</f>
        <v>0</v>
      </c>
      <c r="L59" s="40">
        <f>RawData!AA791</f>
        <v>0</v>
      </c>
      <c r="M59" s="36">
        <f>RawData!AB791</f>
        <v>0</v>
      </c>
      <c r="N59" s="36">
        <f>RawData!AC791</f>
        <v>0</v>
      </c>
      <c r="O59" s="37">
        <f>RawData!AD791</f>
        <v>0</v>
      </c>
      <c r="P59" s="38">
        <f>RawData!AE791</f>
        <v>0</v>
      </c>
      <c r="Q59" s="39">
        <f>RawData!AF791</f>
        <v>0</v>
      </c>
      <c r="R59" s="38">
        <f>RawData!AG791</f>
        <v>0</v>
      </c>
      <c r="S59" s="40">
        <f>RawData!AH791</f>
        <v>0</v>
      </c>
      <c r="T59" s="40">
        <f>RawData!AI791</f>
        <v>0</v>
      </c>
      <c r="U59" s="40">
        <f>RawData!AJ791</f>
        <v>0</v>
      </c>
      <c r="V59" s="41">
        <f>RawData!AK791</f>
        <v>0</v>
      </c>
      <c r="W59" s="41">
        <f>RawData!AL791</f>
        <v>0</v>
      </c>
      <c r="X59" s="43">
        <f>RawData!CA791</f>
        <v>0</v>
      </c>
      <c r="Y59" s="41">
        <f>RawData!AM791</f>
        <v>0</v>
      </c>
      <c r="Z59" s="44">
        <f>RawData!CB791</f>
        <v>0</v>
      </c>
      <c r="AA59" s="44">
        <f>RawData!AN791</f>
        <v>0</v>
      </c>
      <c r="AB59" s="44">
        <f>RawData!AO791</f>
        <v>0</v>
      </c>
      <c r="AC59" s="44">
        <f>RawData!AP791</f>
        <v>0</v>
      </c>
      <c r="AD59" s="63">
        <f>RawData!BZ791</f>
        <v>0</v>
      </c>
      <c r="AE59" s="44">
        <f>RawData!AQ791</f>
        <v>0</v>
      </c>
      <c r="AF59" s="46">
        <f>RawData!O791</f>
        <v>0</v>
      </c>
      <c r="AG59" s="44">
        <f>RawData!AR791</f>
        <v>0</v>
      </c>
      <c r="AH59" s="44">
        <f>RawData!BY791</f>
        <v>0</v>
      </c>
      <c r="AI59" s="44">
        <f>RawData!AS791</f>
        <v>0</v>
      </c>
      <c r="AJ59" s="44">
        <f>RawData!AT791</f>
        <v>0</v>
      </c>
      <c r="AK59" s="44">
        <f>RawData!AU791</f>
        <v>0</v>
      </c>
      <c r="AL59" s="44">
        <f>RawData!BW791</f>
        <v>0</v>
      </c>
      <c r="AM59" s="41">
        <f>RawData!AV791</f>
        <v>0</v>
      </c>
      <c r="AN59" s="41">
        <f>RawData!BX791</f>
        <v>0</v>
      </c>
      <c r="AO59" s="41">
        <f>RawData!AW791</f>
        <v>0</v>
      </c>
      <c r="AP59" s="41">
        <f>RawData!AX791</f>
        <v>0</v>
      </c>
      <c r="AQ59" s="40">
        <f>RawData!AY791</f>
        <v>0</v>
      </c>
      <c r="AR59" s="40">
        <f>RawData!AZ791</f>
        <v>0</v>
      </c>
      <c r="AS59" s="40">
        <f>RawData!BA791</f>
        <v>0</v>
      </c>
      <c r="AT59" s="38">
        <f>RawData!BB791</f>
        <v>0</v>
      </c>
      <c r="AU59" s="40">
        <f>RawData!BC791</f>
        <v>0</v>
      </c>
      <c r="AV59" s="40">
        <f>RawData!BD791</f>
        <v>0</v>
      </c>
      <c r="AW59" s="38">
        <f>RawData!BE791</f>
        <v>0</v>
      </c>
      <c r="AX59" s="37">
        <f>RawData!BF791</f>
        <v>0</v>
      </c>
      <c r="AY59" s="36">
        <f>RawData!BG791</f>
        <v>0</v>
      </c>
      <c r="AZ59" s="36">
        <f>RawData!BH791</f>
        <v>0</v>
      </c>
      <c r="BA59" s="40">
        <f>RawData!BI791</f>
        <v>0</v>
      </c>
      <c r="BB59" s="44">
        <f>RawData!BJ791</f>
        <v>0</v>
      </c>
      <c r="BC59" s="44">
        <f>RawData!BK791</f>
        <v>0</v>
      </c>
      <c r="BD59" s="44">
        <f>RawData!BL791</f>
        <v>0</v>
      </c>
      <c r="BE59" s="44">
        <f>RawData!BM791</f>
        <v>0</v>
      </c>
      <c r="BF59" s="44">
        <f>RawData!BN791</f>
        <v>0</v>
      </c>
      <c r="BG59" s="63">
        <f>RawData!BO791</f>
        <v>0</v>
      </c>
      <c r="BH59" s="44">
        <f>RawData!BP791</f>
        <v>0</v>
      </c>
      <c r="BI59" s="63">
        <f>RawData!BQ791</f>
        <v>0</v>
      </c>
      <c r="BJ59" s="44">
        <f>RawData!BR791</f>
        <v>0</v>
      </c>
      <c r="BK59" s="47">
        <f>RawData!BS791</f>
        <v>0</v>
      </c>
      <c r="BL59" s="44">
        <f>RawData!BT791</f>
        <v>0</v>
      </c>
      <c r="BM59" s="47">
        <f>RawData!BV791</f>
        <v>0</v>
      </c>
      <c r="BN59" s="65">
        <f>RawData!CC791</f>
        <v>0</v>
      </c>
      <c r="BO59" s="66">
        <f>RawData!CD791</f>
        <v>0</v>
      </c>
      <c r="BQ59" s="21">
        <f t="shared" si="0"/>
        <v>0</v>
      </c>
    </row>
    <row r="60" spans="1:69" x14ac:dyDescent="0.2">
      <c r="A60" s="59">
        <f>RawData!P792</f>
        <v>0</v>
      </c>
      <c r="B60" s="44">
        <f>RawData!Q792</f>
        <v>0</v>
      </c>
      <c r="C60" s="44">
        <f>RawData!R792</f>
        <v>0</v>
      </c>
      <c r="D60" s="63">
        <f>RawData!S792</f>
        <v>0</v>
      </c>
      <c r="E60" s="44">
        <f>RawData!T792</f>
        <v>0</v>
      </c>
      <c r="F60" s="63">
        <f>RawData!U792</f>
        <v>0</v>
      </c>
      <c r="G60" s="44">
        <f>RawData!V792</f>
        <v>0</v>
      </c>
      <c r="H60" s="44">
        <f>RawData!W792</f>
        <v>0</v>
      </c>
      <c r="I60" s="44">
        <f>RawData!X792</f>
        <v>0</v>
      </c>
      <c r="J60" s="44">
        <f>RawData!Y792</f>
        <v>0</v>
      </c>
      <c r="K60" s="40">
        <f>RawData!Z792</f>
        <v>0</v>
      </c>
      <c r="L60" s="40">
        <f>RawData!AA792</f>
        <v>0</v>
      </c>
      <c r="M60" s="36">
        <f>RawData!AB792</f>
        <v>0</v>
      </c>
      <c r="N60" s="36">
        <f>RawData!AC792</f>
        <v>0</v>
      </c>
      <c r="O60" s="37">
        <f>RawData!AD792</f>
        <v>0</v>
      </c>
      <c r="P60" s="38">
        <f>RawData!AE792</f>
        <v>0</v>
      </c>
      <c r="Q60" s="39">
        <f>RawData!AF792</f>
        <v>0</v>
      </c>
      <c r="R60" s="38">
        <f>RawData!AG792</f>
        <v>0</v>
      </c>
      <c r="S60" s="40">
        <f>RawData!AH792</f>
        <v>0</v>
      </c>
      <c r="T60" s="40">
        <f>RawData!AI792</f>
        <v>0</v>
      </c>
      <c r="U60" s="40">
        <f>RawData!AJ792</f>
        <v>0</v>
      </c>
      <c r="V60" s="41">
        <f>RawData!AK792</f>
        <v>0</v>
      </c>
      <c r="W60" s="41">
        <f>RawData!AL792</f>
        <v>0</v>
      </c>
      <c r="X60" s="43">
        <f>RawData!CA792</f>
        <v>0</v>
      </c>
      <c r="Y60" s="41">
        <f>RawData!AM792</f>
        <v>0</v>
      </c>
      <c r="Z60" s="44">
        <f>RawData!CB792</f>
        <v>0</v>
      </c>
      <c r="AA60" s="44">
        <f>RawData!AN792</f>
        <v>0</v>
      </c>
      <c r="AB60" s="44">
        <f>RawData!AO792</f>
        <v>0</v>
      </c>
      <c r="AC60" s="44">
        <f>RawData!AP792</f>
        <v>0</v>
      </c>
      <c r="AD60" s="63">
        <f>RawData!BZ792</f>
        <v>0</v>
      </c>
      <c r="AE60" s="44">
        <f>RawData!AQ792</f>
        <v>0</v>
      </c>
      <c r="AF60" s="46">
        <f>RawData!O792</f>
        <v>0</v>
      </c>
      <c r="AG60" s="44">
        <f>RawData!AR792</f>
        <v>0</v>
      </c>
      <c r="AH60" s="44">
        <f>RawData!BY792</f>
        <v>0</v>
      </c>
      <c r="AI60" s="44">
        <f>RawData!AS792</f>
        <v>0</v>
      </c>
      <c r="AJ60" s="44">
        <f>RawData!AT792</f>
        <v>0</v>
      </c>
      <c r="AK60" s="44">
        <f>RawData!AU792</f>
        <v>0</v>
      </c>
      <c r="AL60" s="44">
        <f>RawData!BW792</f>
        <v>0</v>
      </c>
      <c r="AM60" s="41">
        <f>RawData!AV792</f>
        <v>0</v>
      </c>
      <c r="AN60" s="41">
        <f>RawData!BX792</f>
        <v>0</v>
      </c>
      <c r="AO60" s="41">
        <f>RawData!AW792</f>
        <v>0</v>
      </c>
      <c r="AP60" s="41">
        <f>RawData!AX792</f>
        <v>0</v>
      </c>
      <c r="AQ60" s="40">
        <f>RawData!AY792</f>
        <v>0</v>
      </c>
      <c r="AR60" s="40">
        <f>RawData!AZ792</f>
        <v>0</v>
      </c>
      <c r="AS60" s="40">
        <f>RawData!BA792</f>
        <v>0</v>
      </c>
      <c r="AT60" s="38">
        <f>RawData!BB792</f>
        <v>0</v>
      </c>
      <c r="AU60" s="40">
        <f>RawData!BC792</f>
        <v>0</v>
      </c>
      <c r="AV60" s="40">
        <f>RawData!BD792</f>
        <v>0</v>
      </c>
      <c r="AW60" s="38">
        <f>RawData!BE792</f>
        <v>0</v>
      </c>
      <c r="AX60" s="37">
        <f>RawData!BF792</f>
        <v>0</v>
      </c>
      <c r="AY60" s="36">
        <f>RawData!BG792</f>
        <v>0</v>
      </c>
      <c r="AZ60" s="36">
        <f>RawData!BH792</f>
        <v>0</v>
      </c>
      <c r="BA60" s="40">
        <f>RawData!BI792</f>
        <v>0</v>
      </c>
      <c r="BB60" s="44">
        <f>RawData!BJ792</f>
        <v>0</v>
      </c>
      <c r="BC60" s="44">
        <f>RawData!BK792</f>
        <v>0</v>
      </c>
      <c r="BD60" s="44">
        <f>RawData!BL792</f>
        <v>0</v>
      </c>
      <c r="BE60" s="44">
        <f>RawData!BM792</f>
        <v>0</v>
      </c>
      <c r="BF60" s="44">
        <f>RawData!BN792</f>
        <v>0</v>
      </c>
      <c r="BG60" s="63">
        <f>RawData!BO792</f>
        <v>0</v>
      </c>
      <c r="BH60" s="44">
        <f>RawData!BP792</f>
        <v>0</v>
      </c>
      <c r="BI60" s="63">
        <f>RawData!BQ792</f>
        <v>0</v>
      </c>
      <c r="BJ60" s="44">
        <f>RawData!BR792</f>
        <v>0</v>
      </c>
      <c r="BK60" s="47">
        <f>RawData!BS792</f>
        <v>0</v>
      </c>
      <c r="BL60" s="44">
        <f>RawData!BT792</f>
        <v>0</v>
      </c>
      <c r="BM60" s="47">
        <f>RawData!BV792</f>
        <v>0</v>
      </c>
      <c r="BN60" s="65">
        <f>RawData!CC792</f>
        <v>0</v>
      </c>
      <c r="BO60" s="66">
        <f>RawData!CD792</f>
        <v>0</v>
      </c>
      <c r="BQ60" s="21">
        <f t="shared" si="0"/>
        <v>0</v>
      </c>
    </row>
    <row r="61" spans="1:69" x14ac:dyDescent="0.2">
      <c r="A61" s="59">
        <f>RawData!P793</f>
        <v>0</v>
      </c>
      <c r="B61" s="44">
        <f>RawData!Q793</f>
        <v>0</v>
      </c>
      <c r="C61" s="44">
        <f>RawData!R793</f>
        <v>0</v>
      </c>
      <c r="D61" s="63">
        <f>RawData!S793</f>
        <v>0</v>
      </c>
      <c r="E61" s="44">
        <f>RawData!T793</f>
        <v>0</v>
      </c>
      <c r="F61" s="63">
        <f>RawData!U793</f>
        <v>0</v>
      </c>
      <c r="G61" s="44">
        <f>RawData!V793</f>
        <v>0</v>
      </c>
      <c r="H61" s="44">
        <f>RawData!W793</f>
        <v>0</v>
      </c>
      <c r="I61" s="44">
        <f>RawData!X793</f>
        <v>0</v>
      </c>
      <c r="J61" s="44">
        <f>RawData!Y793</f>
        <v>0</v>
      </c>
      <c r="K61" s="40">
        <f>RawData!Z793</f>
        <v>0</v>
      </c>
      <c r="L61" s="40">
        <f>RawData!AA793</f>
        <v>0</v>
      </c>
      <c r="M61" s="36">
        <f>RawData!AB793</f>
        <v>0</v>
      </c>
      <c r="N61" s="36">
        <f>RawData!AC793</f>
        <v>0</v>
      </c>
      <c r="O61" s="37">
        <f>RawData!AD793</f>
        <v>0</v>
      </c>
      <c r="P61" s="38">
        <f>RawData!AE793</f>
        <v>0</v>
      </c>
      <c r="Q61" s="39">
        <f>RawData!AF793</f>
        <v>0</v>
      </c>
      <c r="R61" s="38">
        <f>RawData!AG793</f>
        <v>0</v>
      </c>
      <c r="S61" s="40">
        <f>RawData!AH793</f>
        <v>0</v>
      </c>
      <c r="T61" s="40">
        <f>RawData!AI793</f>
        <v>0</v>
      </c>
      <c r="U61" s="40">
        <f>RawData!AJ793</f>
        <v>0</v>
      </c>
      <c r="V61" s="41">
        <f>RawData!AK793</f>
        <v>0</v>
      </c>
      <c r="W61" s="41">
        <f>RawData!AL793</f>
        <v>0</v>
      </c>
      <c r="X61" s="43">
        <f>RawData!CA793</f>
        <v>0</v>
      </c>
      <c r="Y61" s="41">
        <f>RawData!AM793</f>
        <v>0</v>
      </c>
      <c r="Z61" s="44">
        <f>RawData!CB793</f>
        <v>0</v>
      </c>
      <c r="AA61" s="44">
        <f>RawData!AN793</f>
        <v>0</v>
      </c>
      <c r="AB61" s="44">
        <f>RawData!AO793</f>
        <v>0</v>
      </c>
      <c r="AC61" s="44">
        <f>RawData!AP793</f>
        <v>0</v>
      </c>
      <c r="AD61" s="63">
        <f>RawData!BZ793</f>
        <v>0</v>
      </c>
      <c r="AE61" s="44">
        <f>RawData!AQ793</f>
        <v>0</v>
      </c>
      <c r="AF61" s="46">
        <f>RawData!O793</f>
        <v>0</v>
      </c>
      <c r="AG61" s="44">
        <f>RawData!AR793</f>
        <v>0</v>
      </c>
      <c r="AH61" s="44">
        <f>RawData!BY793</f>
        <v>0</v>
      </c>
      <c r="AI61" s="44">
        <f>RawData!AS793</f>
        <v>0</v>
      </c>
      <c r="AJ61" s="44">
        <f>RawData!AT793</f>
        <v>0</v>
      </c>
      <c r="AK61" s="44">
        <f>RawData!AU793</f>
        <v>0</v>
      </c>
      <c r="AL61" s="44">
        <f>RawData!BW793</f>
        <v>0</v>
      </c>
      <c r="AM61" s="41">
        <f>RawData!AV793</f>
        <v>0</v>
      </c>
      <c r="AN61" s="41">
        <f>RawData!BX793</f>
        <v>0</v>
      </c>
      <c r="AO61" s="41">
        <f>RawData!AW793</f>
        <v>0</v>
      </c>
      <c r="AP61" s="41">
        <f>RawData!AX793</f>
        <v>0</v>
      </c>
      <c r="AQ61" s="40">
        <f>RawData!AY793</f>
        <v>0</v>
      </c>
      <c r="AR61" s="40">
        <f>RawData!AZ793</f>
        <v>0</v>
      </c>
      <c r="AS61" s="40">
        <f>RawData!BA793</f>
        <v>0</v>
      </c>
      <c r="AT61" s="38">
        <f>RawData!BB793</f>
        <v>0</v>
      </c>
      <c r="AU61" s="40">
        <f>RawData!BC793</f>
        <v>0</v>
      </c>
      <c r="AV61" s="40">
        <f>RawData!BD793</f>
        <v>0</v>
      </c>
      <c r="AW61" s="38">
        <f>RawData!BE793</f>
        <v>0</v>
      </c>
      <c r="AX61" s="37">
        <f>RawData!BF793</f>
        <v>0</v>
      </c>
      <c r="AY61" s="36">
        <f>RawData!BG793</f>
        <v>0</v>
      </c>
      <c r="AZ61" s="36">
        <f>RawData!BH793</f>
        <v>0</v>
      </c>
      <c r="BA61" s="40">
        <f>RawData!BI793</f>
        <v>0</v>
      </c>
      <c r="BB61" s="44">
        <f>RawData!BJ793</f>
        <v>0</v>
      </c>
      <c r="BC61" s="44">
        <f>RawData!BK793</f>
        <v>0</v>
      </c>
      <c r="BD61" s="44">
        <f>RawData!BL793</f>
        <v>0</v>
      </c>
      <c r="BE61" s="44">
        <f>RawData!BM793</f>
        <v>0</v>
      </c>
      <c r="BF61" s="44">
        <f>RawData!BN793</f>
        <v>0</v>
      </c>
      <c r="BG61" s="63">
        <f>RawData!BO793</f>
        <v>0</v>
      </c>
      <c r="BH61" s="44">
        <f>RawData!BP793</f>
        <v>0</v>
      </c>
      <c r="BI61" s="63">
        <f>RawData!BQ793</f>
        <v>0</v>
      </c>
      <c r="BJ61" s="44">
        <f>RawData!BR793</f>
        <v>0</v>
      </c>
      <c r="BK61" s="47">
        <f>RawData!BS793</f>
        <v>0</v>
      </c>
      <c r="BL61" s="44">
        <f>RawData!BT793</f>
        <v>0</v>
      </c>
      <c r="BM61" s="47">
        <f>RawData!BV793</f>
        <v>0</v>
      </c>
      <c r="BN61" s="65">
        <f>RawData!CC793</f>
        <v>0</v>
      </c>
      <c r="BO61" s="66">
        <f>RawData!CD793</f>
        <v>0</v>
      </c>
      <c r="BQ61" s="21">
        <f t="shared" si="0"/>
        <v>0</v>
      </c>
    </row>
    <row r="62" spans="1:69" x14ac:dyDescent="0.2">
      <c r="A62" s="59">
        <f>RawData!P794</f>
        <v>0</v>
      </c>
      <c r="B62" s="44">
        <f>RawData!Q794</f>
        <v>0</v>
      </c>
      <c r="C62" s="44">
        <f>RawData!R794</f>
        <v>0</v>
      </c>
      <c r="D62" s="63">
        <f>RawData!S794</f>
        <v>0</v>
      </c>
      <c r="E62" s="44">
        <f>RawData!T794</f>
        <v>0</v>
      </c>
      <c r="F62" s="63">
        <f>RawData!U794</f>
        <v>0</v>
      </c>
      <c r="G62" s="44">
        <f>RawData!V794</f>
        <v>0</v>
      </c>
      <c r="H62" s="44">
        <f>RawData!W794</f>
        <v>0</v>
      </c>
      <c r="I62" s="44">
        <f>RawData!X794</f>
        <v>0</v>
      </c>
      <c r="J62" s="44">
        <f>RawData!Y794</f>
        <v>0</v>
      </c>
      <c r="K62" s="40">
        <f>RawData!Z794</f>
        <v>0</v>
      </c>
      <c r="L62" s="40">
        <f>RawData!AA794</f>
        <v>0</v>
      </c>
      <c r="M62" s="36">
        <f>RawData!AB794</f>
        <v>0</v>
      </c>
      <c r="N62" s="36">
        <f>RawData!AC794</f>
        <v>0</v>
      </c>
      <c r="O62" s="37">
        <f>RawData!AD794</f>
        <v>0</v>
      </c>
      <c r="P62" s="38">
        <f>RawData!AE794</f>
        <v>0</v>
      </c>
      <c r="Q62" s="39">
        <f>RawData!AF794</f>
        <v>0</v>
      </c>
      <c r="R62" s="38">
        <f>RawData!AG794</f>
        <v>0</v>
      </c>
      <c r="S62" s="40">
        <f>RawData!AH794</f>
        <v>0</v>
      </c>
      <c r="T62" s="40">
        <f>RawData!AI794</f>
        <v>0</v>
      </c>
      <c r="U62" s="40">
        <f>RawData!AJ794</f>
        <v>0</v>
      </c>
      <c r="V62" s="41">
        <f>RawData!AK794</f>
        <v>0</v>
      </c>
      <c r="W62" s="41">
        <f>RawData!AL794</f>
        <v>0</v>
      </c>
      <c r="X62" s="43">
        <f>RawData!CA794</f>
        <v>0</v>
      </c>
      <c r="Y62" s="41">
        <f>RawData!AM794</f>
        <v>0</v>
      </c>
      <c r="Z62" s="44">
        <f>RawData!CB794</f>
        <v>0</v>
      </c>
      <c r="AA62" s="44">
        <f>RawData!AN794</f>
        <v>0</v>
      </c>
      <c r="AB62" s="44">
        <f>RawData!AO794</f>
        <v>0</v>
      </c>
      <c r="AC62" s="44">
        <f>RawData!AP794</f>
        <v>0</v>
      </c>
      <c r="AD62" s="63">
        <f>RawData!BZ794</f>
        <v>0</v>
      </c>
      <c r="AE62" s="44">
        <f>RawData!AQ794</f>
        <v>0</v>
      </c>
      <c r="AF62" s="46">
        <f>RawData!O794</f>
        <v>0</v>
      </c>
      <c r="AG62" s="44">
        <f>RawData!AR794</f>
        <v>0</v>
      </c>
      <c r="AH62" s="44">
        <f>RawData!BY794</f>
        <v>0</v>
      </c>
      <c r="AI62" s="44">
        <f>RawData!AS794</f>
        <v>0</v>
      </c>
      <c r="AJ62" s="44">
        <f>RawData!AT794</f>
        <v>0</v>
      </c>
      <c r="AK62" s="44">
        <f>RawData!AU794</f>
        <v>0</v>
      </c>
      <c r="AL62" s="44">
        <f>RawData!BW794</f>
        <v>0</v>
      </c>
      <c r="AM62" s="41">
        <f>RawData!AV794</f>
        <v>0</v>
      </c>
      <c r="AN62" s="41">
        <f>RawData!BX794</f>
        <v>0</v>
      </c>
      <c r="AO62" s="41">
        <f>RawData!AW794</f>
        <v>0</v>
      </c>
      <c r="AP62" s="41">
        <f>RawData!AX794</f>
        <v>0</v>
      </c>
      <c r="AQ62" s="40">
        <f>RawData!AY794</f>
        <v>0</v>
      </c>
      <c r="AR62" s="40">
        <f>RawData!AZ794</f>
        <v>0</v>
      </c>
      <c r="AS62" s="40">
        <f>RawData!BA794</f>
        <v>0</v>
      </c>
      <c r="AT62" s="38">
        <f>RawData!BB794</f>
        <v>0</v>
      </c>
      <c r="AU62" s="40">
        <f>RawData!BC794</f>
        <v>0</v>
      </c>
      <c r="AV62" s="40">
        <f>RawData!BD794</f>
        <v>0</v>
      </c>
      <c r="AW62" s="38">
        <f>RawData!BE794</f>
        <v>0</v>
      </c>
      <c r="AX62" s="37">
        <f>RawData!BF794</f>
        <v>0</v>
      </c>
      <c r="AY62" s="36">
        <f>RawData!BG794</f>
        <v>0</v>
      </c>
      <c r="AZ62" s="36">
        <f>RawData!BH794</f>
        <v>0</v>
      </c>
      <c r="BA62" s="40">
        <f>RawData!BI794</f>
        <v>0</v>
      </c>
      <c r="BB62" s="44">
        <f>RawData!BJ794</f>
        <v>0</v>
      </c>
      <c r="BC62" s="44">
        <f>RawData!BK794</f>
        <v>0</v>
      </c>
      <c r="BD62" s="44">
        <f>RawData!BL794</f>
        <v>0</v>
      </c>
      <c r="BE62" s="44">
        <f>RawData!BM794</f>
        <v>0</v>
      </c>
      <c r="BF62" s="44">
        <f>RawData!BN794</f>
        <v>0</v>
      </c>
      <c r="BG62" s="63">
        <f>RawData!BO794</f>
        <v>0</v>
      </c>
      <c r="BH62" s="44">
        <f>RawData!BP794</f>
        <v>0</v>
      </c>
      <c r="BI62" s="63">
        <f>RawData!BQ794</f>
        <v>0</v>
      </c>
      <c r="BJ62" s="44">
        <f>RawData!BR794</f>
        <v>0</v>
      </c>
      <c r="BK62" s="47">
        <f>RawData!BS794</f>
        <v>0</v>
      </c>
      <c r="BL62" s="44">
        <f>RawData!BT794</f>
        <v>0</v>
      </c>
      <c r="BM62" s="47">
        <f>RawData!BV794</f>
        <v>0</v>
      </c>
      <c r="BN62" s="65">
        <f>RawData!CC794</f>
        <v>0</v>
      </c>
      <c r="BO62" s="66">
        <f>RawData!CD794</f>
        <v>0</v>
      </c>
      <c r="BQ62" s="21">
        <f t="shared" si="0"/>
        <v>0</v>
      </c>
    </row>
    <row r="63" spans="1:69" x14ac:dyDescent="0.2">
      <c r="A63" s="59">
        <f>RawData!P795</f>
        <v>0</v>
      </c>
      <c r="B63" s="44">
        <f>RawData!Q795</f>
        <v>0</v>
      </c>
      <c r="C63" s="44">
        <f>RawData!R795</f>
        <v>0</v>
      </c>
      <c r="D63" s="63">
        <f>RawData!S795</f>
        <v>0</v>
      </c>
      <c r="E63" s="44">
        <f>RawData!T795</f>
        <v>0</v>
      </c>
      <c r="F63" s="63">
        <f>RawData!U795</f>
        <v>0</v>
      </c>
      <c r="G63" s="44">
        <f>RawData!V795</f>
        <v>0</v>
      </c>
      <c r="H63" s="44">
        <f>RawData!W795</f>
        <v>0</v>
      </c>
      <c r="I63" s="44">
        <f>RawData!X795</f>
        <v>0</v>
      </c>
      <c r="J63" s="44">
        <f>RawData!Y795</f>
        <v>0</v>
      </c>
      <c r="K63" s="40">
        <f>RawData!Z795</f>
        <v>0</v>
      </c>
      <c r="L63" s="40">
        <f>RawData!AA795</f>
        <v>0</v>
      </c>
      <c r="M63" s="36">
        <f>RawData!AB795</f>
        <v>0</v>
      </c>
      <c r="N63" s="36">
        <f>RawData!AC795</f>
        <v>0</v>
      </c>
      <c r="O63" s="37">
        <f>RawData!AD795</f>
        <v>0</v>
      </c>
      <c r="P63" s="38">
        <f>RawData!AE795</f>
        <v>0</v>
      </c>
      <c r="Q63" s="39">
        <f>RawData!AF795</f>
        <v>0</v>
      </c>
      <c r="R63" s="38">
        <f>RawData!AG795</f>
        <v>0</v>
      </c>
      <c r="S63" s="40">
        <f>RawData!AH795</f>
        <v>0</v>
      </c>
      <c r="T63" s="40">
        <f>RawData!AI795</f>
        <v>0</v>
      </c>
      <c r="U63" s="40">
        <f>RawData!AJ795</f>
        <v>0</v>
      </c>
      <c r="V63" s="41">
        <f>RawData!AK795</f>
        <v>0</v>
      </c>
      <c r="W63" s="41">
        <f>RawData!AL795</f>
        <v>0</v>
      </c>
      <c r="X63" s="43">
        <f>RawData!CA795</f>
        <v>0</v>
      </c>
      <c r="Y63" s="41">
        <f>RawData!AM795</f>
        <v>0</v>
      </c>
      <c r="Z63" s="44">
        <f>RawData!CB795</f>
        <v>0</v>
      </c>
      <c r="AA63" s="44">
        <f>RawData!AN795</f>
        <v>0</v>
      </c>
      <c r="AB63" s="44">
        <f>RawData!AO795</f>
        <v>0</v>
      </c>
      <c r="AC63" s="44">
        <f>RawData!AP795</f>
        <v>0</v>
      </c>
      <c r="AD63" s="63">
        <f>RawData!BZ795</f>
        <v>0</v>
      </c>
      <c r="AE63" s="44">
        <f>RawData!AQ795</f>
        <v>0</v>
      </c>
      <c r="AF63" s="46">
        <f>RawData!O795</f>
        <v>0</v>
      </c>
      <c r="AG63" s="44">
        <f>RawData!AR795</f>
        <v>0</v>
      </c>
      <c r="AH63" s="44">
        <f>RawData!BY795</f>
        <v>0</v>
      </c>
      <c r="AI63" s="44">
        <f>RawData!AS795</f>
        <v>0</v>
      </c>
      <c r="AJ63" s="44">
        <f>RawData!AT795</f>
        <v>0</v>
      </c>
      <c r="AK63" s="44">
        <f>RawData!AU795</f>
        <v>0</v>
      </c>
      <c r="AL63" s="44">
        <f>RawData!BW795</f>
        <v>0</v>
      </c>
      <c r="AM63" s="41">
        <f>RawData!AV795</f>
        <v>0</v>
      </c>
      <c r="AN63" s="41">
        <f>RawData!BX795</f>
        <v>0</v>
      </c>
      <c r="AO63" s="41">
        <f>RawData!AW795</f>
        <v>0</v>
      </c>
      <c r="AP63" s="41">
        <f>RawData!AX795</f>
        <v>0</v>
      </c>
      <c r="AQ63" s="40">
        <f>RawData!AY795</f>
        <v>0</v>
      </c>
      <c r="AR63" s="40">
        <f>RawData!AZ795</f>
        <v>0</v>
      </c>
      <c r="AS63" s="40">
        <f>RawData!BA795</f>
        <v>0</v>
      </c>
      <c r="AT63" s="38">
        <f>RawData!BB795</f>
        <v>0</v>
      </c>
      <c r="AU63" s="40">
        <f>RawData!BC795</f>
        <v>0</v>
      </c>
      <c r="AV63" s="40">
        <f>RawData!BD795</f>
        <v>0</v>
      </c>
      <c r="AW63" s="38">
        <f>RawData!BE795</f>
        <v>0</v>
      </c>
      <c r="AX63" s="37">
        <f>RawData!BF795</f>
        <v>0</v>
      </c>
      <c r="AY63" s="36">
        <f>RawData!BG795</f>
        <v>0</v>
      </c>
      <c r="AZ63" s="36">
        <f>RawData!BH795</f>
        <v>0</v>
      </c>
      <c r="BA63" s="40">
        <f>RawData!BI795</f>
        <v>0</v>
      </c>
      <c r="BB63" s="44">
        <f>RawData!BJ795</f>
        <v>0</v>
      </c>
      <c r="BC63" s="44">
        <f>RawData!BK795</f>
        <v>0</v>
      </c>
      <c r="BD63" s="44">
        <f>RawData!BL795</f>
        <v>0</v>
      </c>
      <c r="BE63" s="44">
        <f>RawData!BM795</f>
        <v>0</v>
      </c>
      <c r="BF63" s="44">
        <f>RawData!BN795</f>
        <v>0</v>
      </c>
      <c r="BG63" s="63">
        <f>RawData!BO795</f>
        <v>0</v>
      </c>
      <c r="BH63" s="44">
        <f>RawData!BP795</f>
        <v>0</v>
      </c>
      <c r="BI63" s="63">
        <f>RawData!BQ795</f>
        <v>0</v>
      </c>
      <c r="BJ63" s="44">
        <f>RawData!BR795</f>
        <v>0</v>
      </c>
      <c r="BK63" s="47">
        <f>RawData!BS795</f>
        <v>0</v>
      </c>
      <c r="BL63" s="44">
        <f>RawData!BT795</f>
        <v>0</v>
      </c>
      <c r="BM63" s="47">
        <f>RawData!BV795</f>
        <v>0</v>
      </c>
      <c r="BN63" s="65">
        <f>RawData!CC795</f>
        <v>0</v>
      </c>
      <c r="BO63" s="66">
        <f>RawData!CD795</f>
        <v>0</v>
      </c>
      <c r="BQ63" s="21">
        <f t="shared" si="0"/>
        <v>0</v>
      </c>
    </row>
    <row r="64" spans="1:69" x14ac:dyDescent="0.2">
      <c r="A64" s="59">
        <f>RawData!P796</f>
        <v>0</v>
      </c>
      <c r="B64" s="44">
        <f>RawData!Q796</f>
        <v>0</v>
      </c>
      <c r="C64" s="44">
        <f>RawData!R796</f>
        <v>0</v>
      </c>
      <c r="D64" s="63">
        <f>RawData!S796</f>
        <v>0</v>
      </c>
      <c r="E64" s="44">
        <f>RawData!T796</f>
        <v>0</v>
      </c>
      <c r="F64" s="63">
        <f>RawData!U796</f>
        <v>0</v>
      </c>
      <c r="G64" s="44">
        <f>RawData!V796</f>
        <v>0</v>
      </c>
      <c r="H64" s="44">
        <f>RawData!W796</f>
        <v>0</v>
      </c>
      <c r="I64" s="44">
        <f>RawData!X796</f>
        <v>0</v>
      </c>
      <c r="J64" s="44">
        <f>RawData!Y796</f>
        <v>0</v>
      </c>
      <c r="K64" s="40">
        <f>RawData!Z796</f>
        <v>0</v>
      </c>
      <c r="L64" s="40">
        <f>RawData!AA796</f>
        <v>0</v>
      </c>
      <c r="M64" s="36">
        <f>RawData!AB796</f>
        <v>0</v>
      </c>
      <c r="N64" s="36">
        <f>RawData!AC796</f>
        <v>0</v>
      </c>
      <c r="O64" s="37">
        <f>RawData!AD796</f>
        <v>0</v>
      </c>
      <c r="P64" s="38">
        <f>RawData!AE796</f>
        <v>0</v>
      </c>
      <c r="Q64" s="39">
        <f>RawData!AF796</f>
        <v>0</v>
      </c>
      <c r="R64" s="38">
        <f>RawData!AG796</f>
        <v>0</v>
      </c>
      <c r="S64" s="40">
        <f>RawData!AH796</f>
        <v>0</v>
      </c>
      <c r="T64" s="40">
        <f>RawData!AI796</f>
        <v>0</v>
      </c>
      <c r="U64" s="40">
        <f>RawData!AJ796</f>
        <v>0</v>
      </c>
      <c r="V64" s="41">
        <f>RawData!AK796</f>
        <v>0</v>
      </c>
      <c r="W64" s="41">
        <f>RawData!AL796</f>
        <v>0</v>
      </c>
      <c r="X64" s="43">
        <f>RawData!CA796</f>
        <v>0</v>
      </c>
      <c r="Y64" s="41">
        <f>RawData!AM796</f>
        <v>0</v>
      </c>
      <c r="Z64" s="44">
        <f>RawData!CB796</f>
        <v>0</v>
      </c>
      <c r="AA64" s="44">
        <f>RawData!AN796</f>
        <v>0</v>
      </c>
      <c r="AB64" s="44">
        <f>RawData!AO796</f>
        <v>0</v>
      </c>
      <c r="AC64" s="44">
        <f>RawData!AP796</f>
        <v>0</v>
      </c>
      <c r="AD64" s="63">
        <f>RawData!BZ796</f>
        <v>0</v>
      </c>
      <c r="AE64" s="44">
        <f>RawData!AQ796</f>
        <v>0</v>
      </c>
      <c r="AF64" s="46">
        <f>RawData!O796</f>
        <v>0</v>
      </c>
      <c r="AG64" s="44">
        <f>RawData!AR796</f>
        <v>0</v>
      </c>
      <c r="AH64" s="44">
        <f>RawData!BY796</f>
        <v>0</v>
      </c>
      <c r="AI64" s="44">
        <f>RawData!AS796</f>
        <v>0</v>
      </c>
      <c r="AJ64" s="44">
        <f>RawData!AT796</f>
        <v>0</v>
      </c>
      <c r="AK64" s="44">
        <f>RawData!AU796</f>
        <v>0</v>
      </c>
      <c r="AL64" s="44">
        <f>RawData!BW796</f>
        <v>0</v>
      </c>
      <c r="AM64" s="41">
        <f>RawData!AV796</f>
        <v>0</v>
      </c>
      <c r="AN64" s="41">
        <f>RawData!BX796</f>
        <v>0</v>
      </c>
      <c r="AO64" s="41">
        <f>RawData!AW796</f>
        <v>0</v>
      </c>
      <c r="AP64" s="41">
        <f>RawData!AX796</f>
        <v>0</v>
      </c>
      <c r="AQ64" s="40">
        <f>RawData!AY796</f>
        <v>0</v>
      </c>
      <c r="AR64" s="40">
        <f>RawData!AZ796</f>
        <v>0</v>
      </c>
      <c r="AS64" s="40">
        <f>RawData!BA796</f>
        <v>0</v>
      </c>
      <c r="AT64" s="38">
        <f>RawData!BB796</f>
        <v>0</v>
      </c>
      <c r="AU64" s="40">
        <f>RawData!BC796</f>
        <v>0</v>
      </c>
      <c r="AV64" s="40">
        <f>RawData!BD796</f>
        <v>0</v>
      </c>
      <c r="AW64" s="38">
        <f>RawData!BE796</f>
        <v>0</v>
      </c>
      <c r="AX64" s="37">
        <f>RawData!BF796</f>
        <v>0</v>
      </c>
      <c r="AY64" s="36">
        <f>RawData!BG796</f>
        <v>0</v>
      </c>
      <c r="AZ64" s="36">
        <f>RawData!BH796</f>
        <v>0</v>
      </c>
      <c r="BA64" s="40">
        <f>RawData!BI796</f>
        <v>0</v>
      </c>
      <c r="BB64" s="44">
        <f>RawData!BJ796</f>
        <v>0</v>
      </c>
      <c r="BC64" s="44">
        <f>RawData!BK796</f>
        <v>0</v>
      </c>
      <c r="BD64" s="44">
        <f>RawData!BL796</f>
        <v>0</v>
      </c>
      <c r="BE64" s="44">
        <f>RawData!BM796</f>
        <v>0</v>
      </c>
      <c r="BF64" s="44">
        <f>RawData!BN796</f>
        <v>0</v>
      </c>
      <c r="BG64" s="63">
        <f>RawData!BO796</f>
        <v>0</v>
      </c>
      <c r="BH64" s="44">
        <f>RawData!BP796</f>
        <v>0</v>
      </c>
      <c r="BI64" s="63">
        <f>RawData!BQ796</f>
        <v>0</v>
      </c>
      <c r="BJ64" s="44">
        <f>RawData!BR796</f>
        <v>0</v>
      </c>
      <c r="BK64" s="47">
        <f>RawData!BS796</f>
        <v>0</v>
      </c>
      <c r="BL64" s="44">
        <f>RawData!BT796</f>
        <v>0</v>
      </c>
      <c r="BM64" s="47">
        <f>RawData!BV796</f>
        <v>0</v>
      </c>
      <c r="BN64" s="65">
        <f>RawData!CC796</f>
        <v>0</v>
      </c>
      <c r="BO64" s="66">
        <f>RawData!CD796</f>
        <v>0</v>
      </c>
      <c r="BQ64" s="21">
        <f t="shared" si="0"/>
        <v>0</v>
      </c>
    </row>
    <row r="65" spans="1:69" x14ac:dyDescent="0.2">
      <c r="A65" s="59">
        <f>RawData!P797</f>
        <v>0</v>
      </c>
      <c r="B65" s="44">
        <f>RawData!Q797</f>
        <v>0</v>
      </c>
      <c r="C65" s="44">
        <f>RawData!R797</f>
        <v>0</v>
      </c>
      <c r="D65" s="63">
        <f>RawData!S797</f>
        <v>0</v>
      </c>
      <c r="E65" s="44">
        <f>RawData!T797</f>
        <v>0</v>
      </c>
      <c r="F65" s="63">
        <f>RawData!U797</f>
        <v>0</v>
      </c>
      <c r="G65" s="44">
        <f>RawData!V797</f>
        <v>0</v>
      </c>
      <c r="H65" s="44">
        <f>RawData!W797</f>
        <v>0</v>
      </c>
      <c r="I65" s="44">
        <f>RawData!X797</f>
        <v>0</v>
      </c>
      <c r="J65" s="44">
        <f>RawData!Y797</f>
        <v>0</v>
      </c>
      <c r="K65" s="40">
        <f>RawData!Z797</f>
        <v>0</v>
      </c>
      <c r="L65" s="40">
        <f>RawData!AA797</f>
        <v>0</v>
      </c>
      <c r="M65" s="36">
        <f>RawData!AB797</f>
        <v>0</v>
      </c>
      <c r="N65" s="36">
        <f>RawData!AC797</f>
        <v>0</v>
      </c>
      <c r="O65" s="37">
        <f>RawData!AD797</f>
        <v>0</v>
      </c>
      <c r="P65" s="38">
        <f>RawData!AE797</f>
        <v>0</v>
      </c>
      <c r="Q65" s="39">
        <f>RawData!AF797</f>
        <v>0</v>
      </c>
      <c r="R65" s="38">
        <f>RawData!AG797</f>
        <v>0</v>
      </c>
      <c r="S65" s="40">
        <f>RawData!AH797</f>
        <v>0</v>
      </c>
      <c r="T65" s="40">
        <f>RawData!AI797</f>
        <v>0</v>
      </c>
      <c r="U65" s="40">
        <f>RawData!AJ797</f>
        <v>0</v>
      </c>
      <c r="V65" s="41">
        <f>RawData!AK797</f>
        <v>0</v>
      </c>
      <c r="W65" s="41">
        <f>RawData!AL797</f>
        <v>0</v>
      </c>
      <c r="X65" s="43">
        <f>RawData!CA797</f>
        <v>0</v>
      </c>
      <c r="Y65" s="41">
        <f>RawData!AM797</f>
        <v>0</v>
      </c>
      <c r="Z65" s="44">
        <f>RawData!CB797</f>
        <v>0</v>
      </c>
      <c r="AA65" s="44">
        <f>RawData!AN797</f>
        <v>0</v>
      </c>
      <c r="AB65" s="44">
        <f>RawData!AO797</f>
        <v>0</v>
      </c>
      <c r="AC65" s="44">
        <f>RawData!AP797</f>
        <v>0</v>
      </c>
      <c r="AD65" s="63">
        <f>RawData!BZ797</f>
        <v>0</v>
      </c>
      <c r="AE65" s="44">
        <f>RawData!AQ797</f>
        <v>0</v>
      </c>
      <c r="AF65" s="46">
        <f>RawData!O797</f>
        <v>0</v>
      </c>
      <c r="AG65" s="44">
        <f>RawData!AR797</f>
        <v>0</v>
      </c>
      <c r="AH65" s="44">
        <f>RawData!BY797</f>
        <v>0</v>
      </c>
      <c r="AI65" s="44">
        <f>RawData!AS797</f>
        <v>0</v>
      </c>
      <c r="AJ65" s="44">
        <f>RawData!AT797</f>
        <v>0</v>
      </c>
      <c r="AK65" s="44">
        <f>RawData!AU797</f>
        <v>0</v>
      </c>
      <c r="AL65" s="44">
        <f>RawData!BW797</f>
        <v>0</v>
      </c>
      <c r="AM65" s="41">
        <f>RawData!AV797</f>
        <v>0</v>
      </c>
      <c r="AN65" s="41">
        <f>RawData!BX797</f>
        <v>0</v>
      </c>
      <c r="AO65" s="41">
        <f>RawData!AW797</f>
        <v>0</v>
      </c>
      <c r="AP65" s="41">
        <f>RawData!AX797</f>
        <v>0</v>
      </c>
      <c r="AQ65" s="40">
        <f>RawData!AY797</f>
        <v>0</v>
      </c>
      <c r="AR65" s="40">
        <f>RawData!AZ797</f>
        <v>0</v>
      </c>
      <c r="AS65" s="40">
        <f>RawData!BA797</f>
        <v>0</v>
      </c>
      <c r="AT65" s="38">
        <f>RawData!BB797</f>
        <v>0</v>
      </c>
      <c r="AU65" s="40">
        <f>RawData!BC797</f>
        <v>0</v>
      </c>
      <c r="AV65" s="40">
        <f>RawData!BD797</f>
        <v>0</v>
      </c>
      <c r="AW65" s="38">
        <f>RawData!BE797</f>
        <v>0</v>
      </c>
      <c r="AX65" s="37">
        <f>RawData!BF797</f>
        <v>0</v>
      </c>
      <c r="AY65" s="36">
        <f>RawData!BG797</f>
        <v>0</v>
      </c>
      <c r="AZ65" s="36">
        <f>RawData!BH797</f>
        <v>0</v>
      </c>
      <c r="BA65" s="40">
        <f>RawData!BI797</f>
        <v>0</v>
      </c>
      <c r="BB65" s="44">
        <f>RawData!BJ797</f>
        <v>0</v>
      </c>
      <c r="BC65" s="44">
        <f>RawData!BK797</f>
        <v>0</v>
      </c>
      <c r="BD65" s="44">
        <f>RawData!BL797</f>
        <v>0</v>
      </c>
      <c r="BE65" s="44">
        <f>RawData!BM797</f>
        <v>0</v>
      </c>
      <c r="BF65" s="44">
        <f>RawData!BN797</f>
        <v>0</v>
      </c>
      <c r="BG65" s="63">
        <f>RawData!BO797</f>
        <v>0</v>
      </c>
      <c r="BH65" s="44">
        <f>RawData!BP797</f>
        <v>0</v>
      </c>
      <c r="BI65" s="63">
        <f>RawData!BQ797</f>
        <v>0</v>
      </c>
      <c r="BJ65" s="44">
        <f>RawData!BR797</f>
        <v>0</v>
      </c>
      <c r="BK65" s="47">
        <f>RawData!BS797</f>
        <v>0</v>
      </c>
      <c r="BL65" s="44">
        <f>RawData!BT797</f>
        <v>0</v>
      </c>
      <c r="BM65" s="47">
        <f>RawData!BV797</f>
        <v>0</v>
      </c>
      <c r="BN65" s="65">
        <f>RawData!CC797</f>
        <v>0</v>
      </c>
      <c r="BO65" s="66">
        <f>RawData!CD797</f>
        <v>0</v>
      </c>
      <c r="BQ65" s="21">
        <f t="shared" si="0"/>
        <v>0</v>
      </c>
    </row>
    <row r="66" spans="1:69" x14ac:dyDescent="0.2">
      <c r="A66" s="59">
        <f>RawData!P798</f>
        <v>0</v>
      </c>
      <c r="B66" s="44">
        <f>RawData!Q798</f>
        <v>0</v>
      </c>
      <c r="C66" s="44">
        <f>RawData!R798</f>
        <v>0</v>
      </c>
      <c r="D66" s="63">
        <f>RawData!S798</f>
        <v>0</v>
      </c>
      <c r="E66" s="44">
        <f>RawData!T798</f>
        <v>0</v>
      </c>
      <c r="F66" s="63">
        <f>RawData!U798</f>
        <v>0</v>
      </c>
      <c r="G66" s="44">
        <f>RawData!V798</f>
        <v>0</v>
      </c>
      <c r="H66" s="44">
        <f>RawData!W798</f>
        <v>0</v>
      </c>
      <c r="I66" s="44">
        <f>RawData!X798</f>
        <v>0</v>
      </c>
      <c r="J66" s="44">
        <f>RawData!Y798</f>
        <v>0</v>
      </c>
      <c r="K66" s="40">
        <f>RawData!Z798</f>
        <v>0</v>
      </c>
      <c r="L66" s="40">
        <f>RawData!AA798</f>
        <v>0</v>
      </c>
      <c r="M66" s="36">
        <f>RawData!AB798</f>
        <v>0</v>
      </c>
      <c r="N66" s="36">
        <f>RawData!AC798</f>
        <v>0</v>
      </c>
      <c r="O66" s="37">
        <f>RawData!AD798</f>
        <v>0</v>
      </c>
      <c r="P66" s="38">
        <f>RawData!AE798</f>
        <v>0</v>
      </c>
      <c r="Q66" s="39">
        <f>RawData!AF798</f>
        <v>0</v>
      </c>
      <c r="R66" s="38">
        <f>RawData!AG798</f>
        <v>0</v>
      </c>
      <c r="S66" s="40">
        <f>RawData!AH798</f>
        <v>0</v>
      </c>
      <c r="T66" s="40">
        <f>RawData!AI798</f>
        <v>0</v>
      </c>
      <c r="U66" s="40">
        <f>RawData!AJ798</f>
        <v>0</v>
      </c>
      <c r="V66" s="41">
        <f>RawData!AK798</f>
        <v>0</v>
      </c>
      <c r="W66" s="41">
        <f>RawData!AL798</f>
        <v>0</v>
      </c>
      <c r="X66" s="43">
        <f>RawData!CA798</f>
        <v>0</v>
      </c>
      <c r="Y66" s="41">
        <f>RawData!AM798</f>
        <v>0</v>
      </c>
      <c r="Z66" s="44">
        <f>RawData!CB798</f>
        <v>0</v>
      </c>
      <c r="AA66" s="44">
        <f>RawData!AN798</f>
        <v>0</v>
      </c>
      <c r="AB66" s="44">
        <f>RawData!AO798</f>
        <v>0</v>
      </c>
      <c r="AC66" s="44">
        <f>RawData!AP798</f>
        <v>0</v>
      </c>
      <c r="AD66" s="63">
        <f>RawData!BZ798</f>
        <v>0</v>
      </c>
      <c r="AE66" s="44">
        <f>RawData!AQ798</f>
        <v>0</v>
      </c>
      <c r="AF66" s="46">
        <f>RawData!O798</f>
        <v>0</v>
      </c>
      <c r="AG66" s="44">
        <f>RawData!AR798</f>
        <v>0</v>
      </c>
      <c r="AH66" s="44">
        <f>RawData!BY798</f>
        <v>0</v>
      </c>
      <c r="AI66" s="44">
        <f>RawData!AS798</f>
        <v>0</v>
      </c>
      <c r="AJ66" s="44">
        <f>RawData!AT798</f>
        <v>0</v>
      </c>
      <c r="AK66" s="44">
        <f>RawData!AU798</f>
        <v>0</v>
      </c>
      <c r="AL66" s="44">
        <f>RawData!BW798</f>
        <v>0</v>
      </c>
      <c r="AM66" s="41">
        <f>RawData!AV798</f>
        <v>0</v>
      </c>
      <c r="AN66" s="41">
        <f>RawData!BX798</f>
        <v>0</v>
      </c>
      <c r="AO66" s="41">
        <f>RawData!AW798</f>
        <v>0</v>
      </c>
      <c r="AP66" s="41">
        <f>RawData!AX798</f>
        <v>0</v>
      </c>
      <c r="AQ66" s="40">
        <f>RawData!AY798</f>
        <v>0</v>
      </c>
      <c r="AR66" s="40">
        <f>RawData!AZ798</f>
        <v>0</v>
      </c>
      <c r="AS66" s="40">
        <f>RawData!BA798</f>
        <v>0</v>
      </c>
      <c r="AT66" s="38">
        <f>RawData!BB798</f>
        <v>0</v>
      </c>
      <c r="AU66" s="40">
        <f>RawData!BC798</f>
        <v>0</v>
      </c>
      <c r="AV66" s="40">
        <f>RawData!BD798</f>
        <v>0</v>
      </c>
      <c r="AW66" s="38">
        <f>RawData!BE798</f>
        <v>0</v>
      </c>
      <c r="AX66" s="37">
        <f>RawData!BF798</f>
        <v>0</v>
      </c>
      <c r="AY66" s="36">
        <f>RawData!BG798</f>
        <v>0</v>
      </c>
      <c r="AZ66" s="36">
        <f>RawData!BH798</f>
        <v>0</v>
      </c>
      <c r="BA66" s="40">
        <f>RawData!BI798</f>
        <v>0</v>
      </c>
      <c r="BB66" s="44">
        <f>RawData!BJ798</f>
        <v>0</v>
      </c>
      <c r="BC66" s="44">
        <f>RawData!BK798</f>
        <v>0</v>
      </c>
      <c r="BD66" s="44">
        <f>RawData!BL798</f>
        <v>0</v>
      </c>
      <c r="BE66" s="44">
        <f>RawData!BM798</f>
        <v>0</v>
      </c>
      <c r="BF66" s="44">
        <f>RawData!BN798</f>
        <v>0</v>
      </c>
      <c r="BG66" s="63">
        <f>RawData!BO798</f>
        <v>0</v>
      </c>
      <c r="BH66" s="44">
        <f>RawData!BP798</f>
        <v>0</v>
      </c>
      <c r="BI66" s="63">
        <f>RawData!BQ798</f>
        <v>0</v>
      </c>
      <c r="BJ66" s="44">
        <f>RawData!BR798</f>
        <v>0</v>
      </c>
      <c r="BK66" s="47">
        <f>RawData!BS798</f>
        <v>0</v>
      </c>
      <c r="BL66" s="44">
        <f>RawData!BT798</f>
        <v>0</v>
      </c>
      <c r="BM66" s="47">
        <f>RawData!BV798</f>
        <v>0</v>
      </c>
      <c r="BN66" s="65">
        <f>RawData!CC798</f>
        <v>0</v>
      </c>
      <c r="BO66" s="66">
        <f>RawData!CD798</f>
        <v>0</v>
      </c>
      <c r="BQ66" s="21">
        <f t="shared" si="0"/>
        <v>0</v>
      </c>
    </row>
    <row r="67" spans="1:69" x14ac:dyDescent="0.2">
      <c r="A67" s="59">
        <f>RawData!P799</f>
        <v>0</v>
      </c>
      <c r="B67" s="44">
        <f>RawData!Q799</f>
        <v>0</v>
      </c>
      <c r="C67" s="44">
        <f>RawData!R799</f>
        <v>0</v>
      </c>
      <c r="D67" s="63">
        <f>RawData!S799</f>
        <v>0</v>
      </c>
      <c r="E67" s="44">
        <f>RawData!T799</f>
        <v>0</v>
      </c>
      <c r="F67" s="63">
        <f>RawData!U799</f>
        <v>0</v>
      </c>
      <c r="G67" s="44">
        <f>RawData!V799</f>
        <v>0</v>
      </c>
      <c r="H67" s="44">
        <f>RawData!W799</f>
        <v>0</v>
      </c>
      <c r="I67" s="44">
        <f>RawData!X799</f>
        <v>0</v>
      </c>
      <c r="J67" s="44">
        <f>RawData!Y799</f>
        <v>0</v>
      </c>
      <c r="K67" s="40">
        <f>RawData!Z799</f>
        <v>0</v>
      </c>
      <c r="L67" s="40">
        <f>RawData!AA799</f>
        <v>0</v>
      </c>
      <c r="M67" s="36">
        <f>RawData!AB799</f>
        <v>0</v>
      </c>
      <c r="N67" s="36">
        <f>RawData!AC799</f>
        <v>0</v>
      </c>
      <c r="O67" s="37">
        <f>RawData!AD799</f>
        <v>0</v>
      </c>
      <c r="P67" s="38">
        <f>RawData!AE799</f>
        <v>0</v>
      </c>
      <c r="Q67" s="39">
        <f>RawData!AF799</f>
        <v>0</v>
      </c>
      <c r="R67" s="38">
        <f>RawData!AG799</f>
        <v>0</v>
      </c>
      <c r="S67" s="40">
        <f>RawData!AH799</f>
        <v>0</v>
      </c>
      <c r="T67" s="40">
        <f>RawData!AI799</f>
        <v>0</v>
      </c>
      <c r="U67" s="40">
        <f>RawData!AJ799</f>
        <v>0</v>
      </c>
      <c r="V67" s="41">
        <f>RawData!AK799</f>
        <v>0</v>
      </c>
      <c r="W67" s="41">
        <f>RawData!AL799</f>
        <v>0</v>
      </c>
      <c r="X67" s="43">
        <f>RawData!CA799</f>
        <v>0</v>
      </c>
      <c r="Y67" s="41">
        <f>RawData!AM799</f>
        <v>0</v>
      </c>
      <c r="Z67" s="44">
        <f>RawData!CB799</f>
        <v>0</v>
      </c>
      <c r="AA67" s="44">
        <f>RawData!AN799</f>
        <v>0</v>
      </c>
      <c r="AB67" s="44">
        <f>RawData!AO799</f>
        <v>0</v>
      </c>
      <c r="AC67" s="44">
        <f>RawData!AP799</f>
        <v>0</v>
      </c>
      <c r="AD67" s="63">
        <f>RawData!BZ799</f>
        <v>0</v>
      </c>
      <c r="AE67" s="44">
        <f>RawData!AQ799</f>
        <v>0</v>
      </c>
      <c r="AF67" s="46">
        <f>RawData!O799</f>
        <v>0</v>
      </c>
      <c r="AG67" s="44">
        <f>RawData!AR799</f>
        <v>0</v>
      </c>
      <c r="AH67" s="44">
        <f>RawData!BY799</f>
        <v>0</v>
      </c>
      <c r="AI67" s="44">
        <f>RawData!AS799</f>
        <v>0</v>
      </c>
      <c r="AJ67" s="44">
        <f>RawData!AT799</f>
        <v>0</v>
      </c>
      <c r="AK67" s="44">
        <f>RawData!AU799</f>
        <v>0</v>
      </c>
      <c r="AL67" s="44">
        <f>RawData!BW799</f>
        <v>0</v>
      </c>
      <c r="AM67" s="41">
        <f>RawData!AV799</f>
        <v>0</v>
      </c>
      <c r="AN67" s="41">
        <f>RawData!BX799</f>
        <v>0</v>
      </c>
      <c r="AO67" s="41">
        <f>RawData!AW799</f>
        <v>0</v>
      </c>
      <c r="AP67" s="41">
        <f>RawData!AX799</f>
        <v>0</v>
      </c>
      <c r="AQ67" s="40">
        <f>RawData!AY799</f>
        <v>0</v>
      </c>
      <c r="AR67" s="40">
        <f>RawData!AZ799</f>
        <v>0</v>
      </c>
      <c r="AS67" s="40">
        <f>RawData!BA799</f>
        <v>0</v>
      </c>
      <c r="AT67" s="38">
        <f>RawData!BB799</f>
        <v>0</v>
      </c>
      <c r="AU67" s="40">
        <f>RawData!BC799</f>
        <v>0</v>
      </c>
      <c r="AV67" s="40">
        <f>RawData!BD799</f>
        <v>0</v>
      </c>
      <c r="AW67" s="38">
        <f>RawData!BE799</f>
        <v>0</v>
      </c>
      <c r="AX67" s="37">
        <f>RawData!BF799</f>
        <v>0</v>
      </c>
      <c r="AY67" s="36">
        <f>RawData!BG799</f>
        <v>0</v>
      </c>
      <c r="AZ67" s="36">
        <f>RawData!BH799</f>
        <v>0</v>
      </c>
      <c r="BA67" s="40">
        <f>RawData!BI799</f>
        <v>0</v>
      </c>
      <c r="BB67" s="44">
        <f>RawData!BJ799</f>
        <v>0</v>
      </c>
      <c r="BC67" s="44">
        <f>RawData!BK799</f>
        <v>0</v>
      </c>
      <c r="BD67" s="44">
        <f>RawData!BL799</f>
        <v>0</v>
      </c>
      <c r="BE67" s="44">
        <f>RawData!BM799</f>
        <v>0</v>
      </c>
      <c r="BF67" s="44">
        <f>RawData!BN799</f>
        <v>0</v>
      </c>
      <c r="BG67" s="63">
        <f>RawData!BO799</f>
        <v>0</v>
      </c>
      <c r="BH67" s="44">
        <f>RawData!BP799</f>
        <v>0</v>
      </c>
      <c r="BI67" s="63">
        <f>RawData!BQ799</f>
        <v>0</v>
      </c>
      <c r="BJ67" s="44">
        <f>RawData!BR799</f>
        <v>0</v>
      </c>
      <c r="BK67" s="47">
        <f>RawData!BS799</f>
        <v>0</v>
      </c>
      <c r="BL67" s="44">
        <f>RawData!BT799</f>
        <v>0</v>
      </c>
      <c r="BM67" s="47">
        <f>RawData!BV799</f>
        <v>0</v>
      </c>
      <c r="BN67" s="65">
        <f>RawData!CC799</f>
        <v>0</v>
      </c>
      <c r="BO67" s="66">
        <f>RawData!CD799</f>
        <v>0</v>
      </c>
      <c r="BQ67" s="21">
        <f t="shared" si="0"/>
        <v>0</v>
      </c>
    </row>
    <row r="68" spans="1:69" x14ac:dyDescent="0.2">
      <c r="A68" s="59">
        <f>RawData!P800</f>
        <v>0</v>
      </c>
      <c r="B68" s="44">
        <f>RawData!Q800</f>
        <v>0</v>
      </c>
      <c r="C68" s="44">
        <f>RawData!R800</f>
        <v>0</v>
      </c>
      <c r="D68" s="63">
        <f>RawData!S800</f>
        <v>0</v>
      </c>
      <c r="E68" s="44">
        <f>RawData!T800</f>
        <v>0</v>
      </c>
      <c r="F68" s="63">
        <f>RawData!U800</f>
        <v>0</v>
      </c>
      <c r="G68" s="44">
        <f>RawData!V800</f>
        <v>0</v>
      </c>
      <c r="H68" s="44">
        <f>RawData!W800</f>
        <v>0</v>
      </c>
      <c r="I68" s="44">
        <f>RawData!X800</f>
        <v>0</v>
      </c>
      <c r="J68" s="44">
        <f>RawData!Y800</f>
        <v>0</v>
      </c>
      <c r="K68" s="40">
        <f>RawData!Z800</f>
        <v>0</v>
      </c>
      <c r="L68" s="40">
        <f>RawData!AA800</f>
        <v>0</v>
      </c>
      <c r="M68" s="36">
        <f>RawData!AB800</f>
        <v>0</v>
      </c>
      <c r="N68" s="36">
        <f>RawData!AC800</f>
        <v>0</v>
      </c>
      <c r="O68" s="37">
        <f>RawData!AD800</f>
        <v>0</v>
      </c>
      <c r="P68" s="38">
        <f>RawData!AE800</f>
        <v>0</v>
      </c>
      <c r="Q68" s="39">
        <f>RawData!AF800</f>
        <v>0</v>
      </c>
      <c r="R68" s="38">
        <f>RawData!AG800</f>
        <v>0</v>
      </c>
      <c r="S68" s="40">
        <f>RawData!AH800</f>
        <v>0</v>
      </c>
      <c r="T68" s="40">
        <f>RawData!AI800</f>
        <v>0</v>
      </c>
      <c r="U68" s="40">
        <f>RawData!AJ800</f>
        <v>0</v>
      </c>
      <c r="V68" s="41">
        <f>RawData!AK800</f>
        <v>0</v>
      </c>
      <c r="W68" s="41">
        <f>RawData!AL800</f>
        <v>0</v>
      </c>
      <c r="X68" s="43">
        <f>RawData!CA800</f>
        <v>0</v>
      </c>
      <c r="Y68" s="41">
        <f>RawData!AM800</f>
        <v>0</v>
      </c>
      <c r="Z68" s="44">
        <f>RawData!CB800</f>
        <v>0</v>
      </c>
      <c r="AA68" s="44">
        <f>RawData!AN800</f>
        <v>0</v>
      </c>
      <c r="AB68" s="44">
        <f>RawData!AO800</f>
        <v>0</v>
      </c>
      <c r="AC68" s="44">
        <f>RawData!AP800</f>
        <v>0</v>
      </c>
      <c r="AD68" s="63">
        <f>RawData!BZ800</f>
        <v>0</v>
      </c>
      <c r="AE68" s="44">
        <f>RawData!AQ800</f>
        <v>0</v>
      </c>
      <c r="AF68" s="46">
        <f>RawData!O800</f>
        <v>0</v>
      </c>
      <c r="AG68" s="44">
        <f>RawData!AR800</f>
        <v>0</v>
      </c>
      <c r="AH68" s="44">
        <f>RawData!BY800</f>
        <v>0</v>
      </c>
      <c r="AI68" s="44">
        <f>RawData!AS800</f>
        <v>0</v>
      </c>
      <c r="AJ68" s="44">
        <f>RawData!AT800</f>
        <v>0</v>
      </c>
      <c r="AK68" s="44">
        <f>RawData!AU800</f>
        <v>0</v>
      </c>
      <c r="AL68" s="44">
        <f>RawData!BW800</f>
        <v>0</v>
      </c>
      <c r="AM68" s="41">
        <f>RawData!AV800</f>
        <v>0</v>
      </c>
      <c r="AN68" s="41">
        <f>RawData!BX800</f>
        <v>0</v>
      </c>
      <c r="AO68" s="41">
        <f>RawData!AW800</f>
        <v>0</v>
      </c>
      <c r="AP68" s="41">
        <f>RawData!AX800</f>
        <v>0</v>
      </c>
      <c r="AQ68" s="40">
        <f>RawData!AY800</f>
        <v>0</v>
      </c>
      <c r="AR68" s="40">
        <f>RawData!AZ800</f>
        <v>0</v>
      </c>
      <c r="AS68" s="40">
        <f>RawData!BA800</f>
        <v>0</v>
      </c>
      <c r="AT68" s="38">
        <f>RawData!BB800</f>
        <v>0</v>
      </c>
      <c r="AU68" s="40">
        <f>RawData!BC800</f>
        <v>0</v>
      </c>
      <c r="AV68" s="40">
        <f>RawData!BD800</f>
        <v>0</v>
      </c>
      <c r="AW68" s="38">
        <f>RawData!BE800</f>
        <v>0</v>
      </c>
      <c r="AX68" s="37">
        <f>RawData!BF800</f>
        <v>0</v>
      </c>
      <c r="AY68" s="36">
        <f>RawData!BG800</f>
        <v>0</v>
      </c>
      <c r="AZ68" s="36">
        <f>RawData!BH800</f>
        <v>0</v>
      </c>
      <c r="BA68" s="40">
        <f>RawData!BI800</f>
        <v>0</v>
      </c>
      <c r="BB68" s="44">
        <f>RawData!BJ800</f>
        <v>0</v>
      </c>
      <c r="BC68" s="44">
        <f>RawData!BK800</f>
        <v>0</v>
      </c>
      <c r="BD68" s="44">
        <f>RawData!BL800</f>
        <v>0</v>
      </c>
      <c r="BE68" s="44">
        <f>RawData!BM800</f>
        <v>0</v>
      </c>
      <c r="BF68" s="44">
        <f>RawData!BN800</f>
        <v>0</v>
      </c>
      <c r="BG68" s="63">
        <f>RawData!BO800</f>
        <v>0</v>
      </c>
      <c r="BH68" s="44">
        <f>RawData!BP800</f>
        <v>0</v>
      </c>
      <c r="BI68" s="63">
        <f>RawData!BQ800</f>
        <v>0</v>
      </c>
      <c r="BJ68" s="44">
        <f>RawData!BR800</f>
        <v>0</v>
      </c>
      <c r="BK68" s="47">
        <f>RawData!BS800</f>
        <v>0</v>
      </c>
      <c r="BL68" s="44">
        <f>RawData!BT800</f>
        <v>0</v>
      </c>
      <c r="BM68" s="47">
        <f>RawData!BV800</f>
        <v>0</v>
      </c>
      <c r="BN68" s="65">
        <f>RawData!CC800</f>
        <v>0</v>
      </c>
      <c r="BO68" s="66">
        <f>RawData!CD800</f>
        <v>0</v>
      </c>
      <c r="BQ68" s="21">
        <f t="shared" ref="BQ68:BQ131" si="1">IFERROR(IF($AF68&gt;0, ABS($AF68-$BL$4),0),0)</f>
        <v>0</v>
      </c>
    </row>
    <row r="69" spans="1:69" x14ac:dyDescent="0.2">
      <c r="A69" s="59">
        <f>RawData!P801</f>
        <v>0</v>
      </c>
      <c r="B69" s="44">
        <f>RawData!Q801</f>
        <v>0</v>
      </c>
      <c r="C69" s="44">
        <f>RawData!R801</f>
        <v>0</v>
      </c>
      <c r="D69" s="63">
        <f>RawData!S801</f>
        <v>0</v>
      </c>
      <c r="E69" s="44">
        <f>RawData!T801</f>
        <v>0</v>
      </c>
      <c r="F69" s="63">
        <f>RawData!U801</f>
        <v>0</v>
      </c>
      <c r="G69" s="44">
        <f>RawData!V801</f>
        <v>0</v>
      </c>
      <c r="H69" s="44">
        <f>RawData!W801</f>
        <v>0</v>
      </c>
      <c r="I69" s="44">
        <f>RawData!X801</f>
        <v>0</v>
      </c>
      <c r="J69" s="44">
        <f>RawData!Y801</f>
        <v>0</v>
      </c>
      <c r="K69" s="40">
        <f>RawData!Z801</f>
        <v>0</v>
      </c>
      <c r="L69" s="40">
        <f>RawData!AA801</f>
        <v>0</v>
      </c>
      <c r="M69" s="36">
        <f>RawData!AB801</f>
        <v>0</v>
      </c>
      <c r="N69" s="36">
        <f>RawData!AC801</f>
        <v>0</v>
      </c>
      <c r="O69" s="37">
        <f>RawData!AD801</f>
        <v>0</v>
      </c>
      <c r="P69" s="38">
        <f>RawData!AE801</f>
        <v>0</v>
      </c>
      <c r="Q69" s="39">
        <f>RawData!AF801</f>
        <v>0</v>
      </c>
      <c r="R69" s="38">
        <f>RawData!AG801</f>
        <v>0</v>
      </c>
      <c r="S69" s="40">
        <f>RawData!AH801</f>
        <v>0</v>
      </c>
      <c r="T69" s="40">
        <f>RawData!AI801</f>
        <v>0</v>
      </c>
      <c r="U69" s="40">
        <f>RawData!AJ801</f>
        <v>0</v>
      </c>
      <c r="V69" s="41">
        <f>RawData!AK801</f>
        <v>0</v>
      </c>
      <c r="W69" s="41">
        <f>RawData!AL801</f>
        <v>0</v>
      </c>
      <c r="X69" s="43">
        <f>RawData!CA801</f>
        <v>0</v>
      </c>
      <c r="Y69" s="41">
        <f>RawData!AM801</f>
        <v>0</v>
      </c>
      <c r="Z69" s="44">
        <f>RawData!CB801</f>
        <v>0</v>
      </c>
      <c r="AA69" s="44">
        <f>RawData!AN801</f>
        <v>0</v>
      </c>
      <c r="AB69" s="44">
        <f>RawData!AO801</f>
        <v>0</v>
      </c>
      <c r="AC69" s="44">
        <f>RawData!AP801</f>
        <v>0</v>
      </c>
      <c r="AD69" s="63">
        <f>RawData!BZ801</f>
        <v>0</v>
      </c>
      <c r="AE69" s="44">
        <f>RawData!AQ801</f>
        <v>0</v>
      </c>
      <c r="AF69" s="46">
        <f>RawData!O801</f>
        <v>0</v>
      </c>
      <c r="AG69" s="44">
        <f>RawData!AR801</f>
        <v>0</v>
      </c>
      <c r="AH69" s="44">
        <f>RawData!BY801</f>
        <v>0</v>
      </c>
      <c r="AI69" s="44">
        <f>RawData!AS801</f>
        <v>0</v>
      </c>
      <c r="AJ69" s="44">
        <f>RawData!AT801</f>
        <v>0</v>
      </c>
      <c r="AK69" s="44">
        <f>RawData!AU801</f>
        <v>0</v>
      </c>
      <c r="AL69" s="44">
        <f>RawData!BW801</f>
        <v>0</v>
      </c>
      <c r="AM69" s="41">
        <f>RawData!AV801</f>
        <v>0</v>
      </c>
      <c r="AN69" s="41">
        <f>RawData!BX801</f>
        <v>0</v>
      </c>
      <c r="AO69" s="41">
        <f>RawData!AW801</f>
        <v>0</v>
      </c>
      <c r="AP69" s="41">
        <f>RawData!AX801</f>
        <v>0</v>
      </c>
      <c r="AQ69" s="40">
        <f>RawData!AY801</f>
        <v>0</v>
      </c>
      <c r="AR69" s="40">
        <f>RawData!AZ801</f>
        <v>0</v>
      </c>
      <c r="AS69" s="40">
        <f>RawData!BA801</f>
        <v>0</v>
      </c>
      <c r="AT69" s="38">
        <f>RawData!BB801</f>
        <v>0</v>
      </c>
      <c r="AU69" s="40">
        <f>RawData!BC801</f>
        <v>0</v>
      </c>
      <c r="AV69" s="40">
        <f>RawData!BD801</f>
        <v>0</v>
      </c>
      <c r="AW69" s="38">
        <f>RawData!BE801</f>
        <v>0</v>
      </c>
      <c r="AX69" s="37">
        <f>RawData!BF801</f>
        <v>0</v>
      </c>
      <c r="AY69" s="36">
        <f>RawData!BG801</f>
        <v>0</v>
      </c>
      <c r="AZ69" s="36">
        <f>RawData!BH801</f>
        <v>0</v>
      </c>
      <c r="BA69" s="40">
        <f>RawData!BI801</f>
        <v>0</v>
      </c>
      <c r="BB69" s="44">
        <f>RawData!BJ801</f>
        <v>0</v>
      </c>
      <c r="BC69" s="44">
        <f>RawData!BK801</f>
        <v>0</v>
      </c>
      <c r="BD69" s="44">
        <f>RawData!BL801</f>
        <v>0</v>
      </c>
      <c r="BE69" s="44">
        <f>RawData!BM801</f>
        <v>0</v>
      </c>
      <c r="BF69" s="44">
        <f>RawData!BN801</f>
        <v>0</v>
      </c>
      <c r="BG69" s="63">
        <f>RawData!BO801</f>
        <v>0</v>
      </c>
      <c r="BH69" s="44">
        <f>RawData!BP801</f>
        <v>0</v>
      </c>
      <c r="BI69" s="63">
        <f>RawData!BQ801</f>
        <v>0</v>
      </c>
      <c r="BJ69" s="44">
        <f>RawData!BR801</f>
        <v>0</v>
      </c>
      <c r="BK69" s="47">
        <f>RawData!BS801</f>
        <v>0</v>
      </c>
      <c r="BL69" s="44">
        <f>RawData!BT801</f>
        <v>0</v>
      </c>
      <c r="BM69" s="47">
        <f>RawData!BV801</f>
        <v>0</v>
      </c>
      <c r="BN69" s="65">
        <f>RawData!CC801</f>
        <v>0</v>
      </c>
      <c r="BO69" s="66">
        <f>RawData!CD801</f>
        <v>0</v>
      </c>
      <c r="BQ69" s="21">
        <f t="shared" si="1"/>
        <v>0</v>
      </c>
    </row>
    <row r="70" spans="1:69" x14ac:dyDescent="0.2">
      <c r="A70" s="59">
        <f>RawData!P802</f>
        <v>0</v>
      </c>
      <c r="B70" s="44">
        <f>RawData!Q802</f>
        <v>0</v>
      </c>
      <c r="C70" s="44">
        <f>RawData!R802</f>
        <v>0</v>
      </c>
      <c r="D70" s="63">
        <f>RawData!S802</f>
        <v>0</v>
      </c>
      <c r="E70" s="44">
        <f>RawData!T802</f>
        <v>0</v>
      </c>
      <c r="F70" s="63">
        <f>RawData!U802</f>
        <v>0</v>
      </c>
      <c r="G70" s="44">
        <f>RawData!V802</f>
        <v>0</v>
      </c>
      <c r="H70" s="44">
        <f>RawData!W802</f>
        <v>0</v>
      </c>
      <c r="I70" s="44">
        <f>RawData!X802</f>
        <v>0</v>
      </c>
      <c r="J70" s="44">
        <f>RawData!Y802</f>
        <v>0</v>
      </c>
      <c r="K70" s="40">
        <f>RawData!Z802</f>
        <v>0</v>
      </c>
      <c r="L70" s="40">
        <f>RawData!AA802</f>
        <v>0</v>
      </c>
      <c r="M70" s="36">
        <f>RawData!AB802</f>
        <v>0</v>
      </c>
      <c r="N70" s="36">
        <f>RawData!AC802</f>
        <v>0</v>
      </c>
      <c r="O70" s="37">
        <f>RawData!AD802</f>
        <v>0</v>
      </c>
      <c r="P70" s="38">
        <f>RawData!AE802</f>
        <v>0</v>
      </c>
      <c r="Q70" s="39">
        <f>RawData!AF802</f>
        <v>0</v>
      </c>
      <c r="R70" s="38">
        <f>RawData!AG802</f>
        <v>0</v>
      </c>
      <c r="S70" s="40">
        <f>RawData!AH802</f>
        <v>0</v>
      </c>
      <c r="T70" s="40">
        <f>RawData!AI802</f>
        <v>0</v>
      </c>
      <c r="U70" s="40">
        <f>RawData!AJ802</f>
        <v>0</v>
      </c>
      <c r="V70" s="41">
        <f>RawData!AK802</f>
        <v>0</v>
      </c>
      <c r="W70" s="41">
        <f>RawData!AL802</f>
        <v>0</v>
      </c>
      <c r="X70" s="43">
        <f>RawData!CA802</f>
        <v>0</v>
      </c>
      <c r="Y70" s="41">
        <f>RawData!AM802</f>
        <v>0</v>
      </c>
      <c r="Z70" s="44">
        <f>RawData!CB802</f>
        <v>0</v>
      </c>
      <c r="AA70" s="44">
        <f>RawData!AN802</f>
        <v>0</v>
      </c>
      <c r="AB70" s="44">
        <f>RawData!AO802</f>
        <v>0</v>
      </c>
      <c r="AC70" s="44">
        <f>RawData!AP802</f>
        <v>0</v>
      </c>
      <c r="AD70" s="63">
        <f>RawData!BZ802</f>
        <v>0</v>
      </c>
      <c r="AE70" s="44">
        <f>RawData!AQ802</f>
        <v>0</v>
      </c>
      <c r="AF70" s="46">
        <f>RawData!O802</f>
        <v>0</v>
      </c>
      <c r="AG70" s="44">
        <f>RawData!AR802</f>
        <v>0</v>
      </c>
      <c r="AH70" s="44">
        <f>RawData!BY802</f>
        <v>0</v>
      </c>
      <c r="AI70" s="44">
        <f>RawData!AS802</f>
        <v>0</v>
      </c>
      <c r="AJ70" s="44">
        <f>RawData!AT802</f>
        <v>0</v>
      </c>
      <c r="AK70" s="44">
        <f>RawData!AU802</f>
        <v>0</v>
      </c>
      <c r="AL70" s="44">
        <f>RawData!BW802</f>
        <v>0</v>
      </c>
      <c r="AM70" s="41">
        <f>RawData!AV802</f>
        <v>0</v>
      </c>
      <c r="AN70" s="41">
        <f>RawData!BX802</f>
        <v>0</v>
      </c>
      <c r="AO70" s="41">
        <f>RawData!AW802</f>
        <v>0</v>
      </c>
      <c r="AP70" s="41">
        <f>RawData!AX802</f>
        <v>0</v>
      </c>
      <c r="AQ70" s="40">
        <f>RawData!AY802</f>
        <v>0</v>
      </c>
      <c r="AR70" s="40">
        <f>RawData!AZ802</f>
        <v>0</v>
      </c>
      <c r="AS70" s="40">
        <f>RawData!BA802</f>
        <v>0</v>
      </c>
      <c r="AT70" s="38">
        <f>RawData!BB802</f>
        <v>0</v>
      </c>
      <c r="AU70" s="40">
        <f>RawData!BC802</f>
        <v>0</v>
      </c>
      <c r="AV70" s="40">
        <f>RawData!BD802</f>
        <v>0</v>
      </c>
      <c r="AW70" s="38">
        <f>RawData!BE802</f>
        <v>0</v>
      </c>
      <c r="AX70" s="37">
        <f>RawData!BF802</f>
        <v>0</v>
      </c>
      <c r="AY70" s="36">
        <f>RawData!BG802</f>
        <v>0</v>
      </c>
      <c r="AZ70" s="36">
        <f>RawData!BH802</f>
        <v>0</v>
      </c>
      <c r="BA70" s="40">
        <f>RawData!BI802</f>
        <v>0</v>
      </c>
      <c r="BB70" s="44">
        <f>RawData!BJ802</f>
        <v>0</v>
      </c>
      <c r="BC70" s="44">
        <f>RawData!BK802</f>
        <v>0</v>
      </c>
      <c r="BD70" s="44">
        <f>RawData!BL802</f>
        <v>0</v>
      </c>
      <c r="BE70" s="44">
        <f>RawData!BM802</f>
        <v>0</v>
      </c>
      <c r="BF70" s="44">
        <f>RawData!BN802</f>
        <v>0</v>
      </c>
      <c r="BG70" s="63">
        <f>RawData!BO802</f>
        <v>0</v>
      </c>
      <c r="BH70" s="44">
        <f>RawData!BP802</f>
        <v>0</v>
      </c>
      <c r="BI70" s="63">
        <f>RawData!BQ802</f>
        <v>0</v>
      </c>
      <c r="BJ70" s="44">
        <f>RawData!BR802</f>
        <v>0</v>
      </c>
      <c r="BK70" s="47">
        <f>RawData!BS802</f>
        <v>0</v>
      </c>
      <c r="BL70" s="44">
        <f>RawData!BT802</f>
        <v>0</v>
      </c>
      <c r="BM70" s="47">
        <f>RawData!BV802</f>
        <v>0</v>
      </c>
      <c r="BN70" s="65">
        <f>RawData!CC802</f>
        <v>0</v>
      </c>
      <c r="BO70" s="66">
        <f>RawData!CD802</f>
        <v>0</v>
      </c>
      <c r="BQ70" s="21">
        <f t="shared" si="1"/>
        <v>0</v>
      </c>
    </row>
    <row r="71" spans="1:69" x14ac:dyDescent="0.2">
      <c r="A71" s="59">
        <f>RawData!P803</f>
        <v>0</v>
      </c>
      <c r="B71" s="44">
        <f>RawData!Q803</f>
        <v>0</v>
      </c>
      <c r="C71" s="44">
        <f>RawData!R803</f>
        <v>0</v>
      </c>
      <c r="D71" s="63">
        <f>RawData!S803</f>
        <v>0</v>
      </c>
      <c r="E71" s="44">
        <f>RawData!T803</f>
        <v>0</v>
      </c>
      <c r="F71" s="63">
        <f>RawData!U803</f>
        <v>0</v>
      </c>
      <c r="G71" s="44">
        <f>RawData!V803</f>
        <v>0</v>
      </c>
      <c r="H71" s="44">
        <f>RawData!W803</f>
        <v>0</v>
      </c>
      <c r="I71" s="44">
        <f>RawData!X803</f>
        <v>0</v>
      </c>
      <c r="J71" s="44">
        <f>RawData!Y803</f>
        <v>0</v>
      </c>
      <c r="K71" s="40">
        <f>RawData!Z803</f>
        <v>0</v>
      </c>
      <c r="L71" s="40">
        <f>RawData!AA803</f>
        <v>0</v>
      </c>
      <c r="M71" s="36">
        <f>RawData!AB803</f>
        <v>0</v>
      </c>
      <c r="N71" s="36">
        <f>RawData!AC803</f>
        <v>0</v>
      </c>
      <c r="O71" s="37">
        <f>RawData!AD803</f>
        <v>0</v>
      </c>
      <c r="P71" s="38">
        <f>RawData!AE803</f>
        <v>0</v>
      </c>
      <c r="Q71" s="39">
        <f>RawData!AF803</f>
        <v>0</v>
      </c>
      <c r="R71" s="38">
        <f>RawData!AG803</f>
        <v>0</v>
      </c>
      <c r="S71" s="40">
        <f>RawData!AH803</f>
        <v>0</v>
      </c>
      <c r="T71" s="40">
        <f>RawData!AI803</f>
        <v>0</v>
      </c>
      <c r="U71" s="40">
        <f>RawData!AJ803</f>
        <v>0</v>
      </c>
      <c r="V71" s="41">
        <f>RawData!AK803</f>
        <v>0</v>
      </c>
      <c r="W71" s="41">
        <f>RawData!AL803</f>
        <v>0</v>
      </c>
      <c r="X71" s="43">
        <f>RawData!CA803</f>
        <v>0</v>
      </c>
      <c r="Y71" s="41">
        <f>RawData!AM803</f>
        <v>0</v>
      </c>
      <c r="Z71" s="44">
        <f>RawData!CB803</f>
        <v>0</v>
      </c>
      <c r="AA71" s="44">
        <f>RawData!AN803</f>
        <v>0</v>
      </c>
      <c r="AB71" s="44">
        <f>RawData!AO803</f>
        <v>0</v>
      </c>
      <c r="AC71" s="44">
        <f>RawData!AP803</f>
        <v>0</v>
      </c>
      <c r="AD71" s="63">
        <f>RawData!BZ803</f>
        <v>0</v>
      </c>
      <c r="AE71" s="44">
        <f>RawData!AQ803</f>
        <v>0</v>
      </c>
      <c r="AF71" s="46">
        <f>RawData!O803</f>
        <v>0</v>
      </c>
      <c r="AG71" s="44">
        <f>RawData!AR803</f>
        <v>0</v>
      </c>
      <c r="AH71" s="44">
        <f>RawData!BY803</f>
        <v>0</v>
      </c>
      <c r="AI71" s="44">
        <f>RawData!AS803</f>
        <v>0</v>
      </c>
      <c r="AJ71" s="44">
        <f>RawData!AT803</f>
        <v>0</v>
      </c>
      <c r="AK71" s="44">
        <f>RawData!AU803</f>
        <v>0</v>
      </c>
      <c r="AL71" s="44">
        <f>RawData!BW803</f>
        <v>0</v>
      </c>
      <c r="AM71" s="41">
        <f>RawData!AV803</f>
        <v>0</v>
      </c>
      <c r="AN71" s="41">
        <f>RawData!BX803</f>
        <v>0</v>
      </c>
      <c r="AO71" s="41">
        <f>RawData!AW803</f>
        <v>0</v>
      </c>
      <c r="AP71" s="41">
        <f>RawData!AX803</f>
        <v>0</v>
      </c>
      <c r="AQ71" s="40">
        <f>RawData!AY803</f>
        <v>0</v>
      </c>
      <c r="AR71" s="40">
        <f>RawData!AZ803</f>
        <v>0</v>
      </c>
      <c r="AS71" s="40">
        <f>RawData!BA803</f>
        <v>0</v>
      </c>
      <c r="AT71" s="38">
        <f>RawData!BB803</f>
        <v>0</v>
      </c>
      <c r="AU71" s="40">
        <f>RawData!BC803</f>
        <v>0</v>
      </c>
      <c r="AV71" s="40">
        <f>RawData!BD803</f>
        <v>0</v>
      </c>
      <c r="AW71" s="38">
        <f>RawData!BE803</f>
        <v>0</v>
      </c>
      <c r="AX71" s="37">
        <f>RawData!BF803</f>
        <v>0</v>
      </c>
      <c r="AY71" s="36">
        <f>RawData!BG803</f>
        <v>0</v>
      </c>
      <c r="AZ71" s="36">
        <f>RawData!BH803</f>
        <v>0</v>
      </c>
      <c r="BA71" s="40">
        <f>RawData!BI803</f>
        <v>0</v>
      </c>
      <c r="BB71" s="44">
        <f>RawData!BJ803</f>
        <v>0</v>
      </c>
      <c r="BC71" s="44">
        <f>RawData!BK803</f>
        <v>0</v>
      </c>
      <c r="BD71" s="44">
        <f>RawData!BL803</f>
        <v>0</v>
      </c>
      <c r="BE71" s="44">
        <f>RawData!BM803</f>
        <v>0</v>
      </c>
      <c r="BF71" s="44">
        <f>RawData!BN803</f>
        <v>0</v>
      </c>
      <c r="BG71" s="63">
        <f>RawData!BO803</f>
        <v>0</v>
      </c>
      <c r="BH71" s="44">
        <f>RawData!BP803</f>
        <v>0</v>
      </c>
      <c r="BI71" s="63">
        <f>RawData!BQ803</f>
        <v>0</v>
      </c>
      <c r="BJ71" s="44">
        <f>RawData!BR803</f>
        <v>0</v>
      </c>
      <c r="BK71" s="47">
        <f>RawData!BS803</f>
        <v>0</v>
      </c>
      <c r="BL71" s="44">
        <f>RawData!BT803</f>
        <v>0</v>
      </c>
      <c r="BM71" s="47">
        <f>RawData!BV803</f>
        <v>0</v>
      </c>
      <c r="BN71" s="65">
        <f>RawData!CC803</f>
        <v>0</v>
      </c>
      <c r="BO71" s="66">
        <f>RawData!CD803</f>
        <v>0</v>
      </c>
      <c r="BQ71" s="21">
        <f t="shared" si="1"/>
        <v>0</v>
      </c>
    </row>
    <row r="72" spans="1:69" x14ac:dyDescent="0.2">
      <c r="A72" s="59">
        <f>RawData!P804</f>
        <v>0</v>
      </c>
      <c r="B72" s="44">
        <f>RawData!Q804</f>
        <v>0</v>
      </c>
      <c r="C72" s="44">
        <f>RawData!R804</f>
        <v>0</v>
      </c>
      <c r="D72" s="63">
        <f>RawData!S804</f>
        <v>0</v>
      </c>
      <c r="E72" s="44">
        <f>RawData!T804</f>
        <v>0</v>
      </c>
      <c r="F72" s="63">
        <f>RawData!U804</f>
        <v>0</v>
      </c>
      <c r="G72" s="44">
        <f>RawData!V804</f>
        <v>0</v>
      </c>
      <c r="H72" s="44">
        <f>RawData!W804</f>
        <v>0</v>
      </c>
      <c r="I72" s="44">
        <f>RawData!X804</f>
        <v>0</v>
      </c>
      <c r="J72" s="44">
        <f>RawData!Y804</f>
        <v>0</v>
      </c>
      <c r="K72" s="40">
        <f>RawData!Z804</f>
        <v>0</v>
      </c>
      <c r="L72" s="40">
        <f>RawData!AA804</f>
        <v>0</v>
      </c>
      <c r="M72" s="36">
        <f>RawData!AB804</f>
        <v>0</v>
      </c>
      <c r="N72" s="36">
        <f>RawData!AC804</f>
        <v>0</v>
      </c>
      <c r="O72" s="37">
        <f>RawData!AD804</f>
        <v>0</v>
      </c>
      <c r="P72" s="38">
        <f>RawData!AE804</f>
        <v>0</v>
      </c>
      <c r="Q72" s="39">
        <f>RawData!AF804</f>
        <v>0</v>
      </c>
      <c r="R72" s="38">
        <f>RawData!AG804</f>
        <v>0</v>
      </c>
      <c r="S72" s="40">
        <f>RawData!AH804</f>
        <v>0</v>
      </c>
      <c r="T72" s="40">
        <f>RawData!AI804</f>
        <v>0</v>
      </c>
      <c r="U72" s="40">
        <f>RawData!AJ804</f>
        <v>0</v>
      </c>
      <c r="V72" s="41">
        <f>RawData!AK804</f>
        <v>0</v>
      </c>
      <c r="W72" s="41">
        <f>RawData!AL804</f>
        <v>0</v>
      </c>
      <c r="X72" s="43">
        <f>RawData!CA804</f>
        <v>0</v>
      </c>
      <c r="Y72" s="41">
        <f>RawData!AM804</f>
        <v>0</v>
      </c>
      <c r="Z72" s="44">
        <f>RawData!CB804</f>
        <v>0</v>
      </c>
      <c r="AA72" s="44">
        <f>RawData!AN804</f>
        <v>0</v>
      </c>
      <c r="AB72" s="44">
        <f>RawData!AO804</f>
        <v>0</v>
      </c>
      <c r="AC72" s="44">
        <f>RawData!AP804</f>
        <v>0</v>
      </c>
      <c r="AD72" s="63">
        <f>RawData!BZ804</f>
        <v>0</v>
      </c>
      <c r="AE72" s="44">
        <f>RawData!AQ804</f>
        <v>0</v>
      </c>
      <c r="AF72" s="46">
        <f>RawData!O804</f>
        <v>0</v>
      </c>
      <c r="AG72" s="44">
        <f>RawData!AR804</f>
        <v>0</v>
      </c>
      <c r="AH72" s="44">
        <f>RawData!BY804</f>
        <v>0</v>
      </c>
      <c r="AI72" s="44">
        <f>RawData!AS804</f>
        <v>0</v>
      </c>
      <c r="AJ72" s="44">
        <f>RawData!AT804</f>
        <v>0</v>
      </c>
      <c r="AK72" s="44">
        <f>RawData!AU804</f>
        <v>0</v>
      </c>
      <c r="AL72" s="44">
        <f>RawData!BW804</f>
        <v>0</v>
      </c>
      <c r="AM72" s="41">
        <f>RawData!AV804</f>
        <v>0</v>
      </c>
      <c r="AN72" s="41">
        <f>RawData!BX804</f>
        <v>0</v>
      </c>
      <c r="AO72" s="41">
        <f>RawData!AW804</f>
        <v>0</v>
      </c>
      <c r="AP72" s="41">
        <f>RawData!AX804</f>
        <v>0</v>
      </c>
      <c r="AQ72" s="40">
        <f>RawData!AY804</f>
        <v>0</v>
      </c>
      <c r="AR72" s="40">
        <f>RawData!AZ804</f>
        <v>0</v>
      </c>
      <c r="AS72" s="40">
        <f>RawData!BA804</f>
        <v>0</v>
      </c>
      <c r="AT72" s="38">
        <f>RawData!BB804</f>
        <v>0</v>
      </c>
      <c r="AU72" s="40">
        <f>RawData!BC804</f>
        <v>0</v>
      </c>
      <c r="AV72" s="40">
        <f>RawData!BD804</f>
        <v>0</v>
      </c>
      <c r="AW72" s="38">
        <f>RawData!BE804</f>
        <v>0</v>
      </c>
      <c r="AX72" s="37">
        <f>RawData!BF804</f>
        <v>0</v>
      </c>
      <c r="AY72" s="36">
        <f>RawData!BG804</f>
        <v>0</v>
      </c>
      <c r="AZ72" s="36">
        <f>RawData!BH804</f>
        <v>0</v>
      </c>
      <c r="BA72" s="40">
        <f>RawData!BI804</f>
        <v>0</v>
      </c>
      <c r="BB72" s="44">
        <f>RawData!BJ804</f>
        <v>0</v>
      </c>
      <c r="BC72" s="44">
        <f>RawData!BK804</f>
        <v>0</v>
      </c>
      <c r="BD72" s="44">
        <f>RawData!BL804</f>
        <v>0</v>
      </c>
      <c r="BE72" s="44">
        <f>RawData!BM804</f>
        <v>0</v>
      </c>
      <c r="BF72" s="44">
        <f>RawData!BN804</f>
        <v>0</v>
      </c>
      <c r="BG72" s="63">
        <f>RawData!BO804</f>
        <v>0</v>
      </c>
      <c r="BH72" s="44">
        <f>RawData!BP804</f>
        <v>0</v>
      </c>
      <c r="BI72" s="63">
        <f>RawData!BQ804</f>
        <v>0</v>
      </c>
      <c r="BJ72" s="44">
        <f>RawData!BR804</f>
        <v>0</v>
      </c>
      <c r="BK72" s="47">
        <f>RawData!BS804</f>
        <v>0</v>
      </c>
      <c r="BL72" s="44">
        <f>RawData!BT804</f>
        <v>0</v>
      </c>
      <c r="BM72" s="47">
        <f>RawData!BV804</f>
        <v>0</v>
      </c>
      <c r="BN72" s="65">
        <f>RawData!CC804</f>
        <v>0</v>
      </c>
      <c r="BO72" s="66">
        <f>RawData!CD804</f>
        <v>0</v>
      </c>
      <c r="BQ72" s="21">
        <f t="shared" si="1"/>
        <v>0</v>
      </c>
    </row>
    <row r="73" spans="1:69" x14ac:dyDescent="0.2">
      <c r="A73" s="59">
        <f>RawData!P805</f>
        <v>0</v>
      </c>
      <c r="B73" s="44">
        <f>RawData!Q805</f>
        <v>0</v>
      </c>
      <c r="C73" s="44">
        <f>RawData!R805</f>
        <v>0</v>
      </c>
      <c r="D73" s="63">
        <f>RawData!S805</f>
        <v>0</v>
      </c>
      <c r="E73" s="44">
        <f>RawData!T805</f>
        <v>0</v>
      </c>
      <c r="F73" s="63">
        <f>RawData!U805</f>
        <v>0</v>
      </c>
      <c r="G73" s="44">
        <f>RawData!V805</f>
        <v>0</v>
      </c>
      <c r="H73" s="44">
        <f>RawData!W805</f>
        <v>0</v>
      </c>
      <c r="I73" s="44">
        <f>RawData!X805</f>
        <v>0</v>
      </c>
      <c r="J73" s="44">
        <f>RawData!Y805</f>
        <v>0</v>
      </c>
      <c r="K73" s="40">
        <f>RawData!Z805</f>
        <v>0</v>
      </c>
      <c r="L73" s="40">
        <f>RawData!AA805</f>
        <v>0</v>
      </c>
      <c r="M73" s="36">
        <f>RawData!AB805</f>
        <v>0</v>
      </c>
      <c r="N73" s="36">
        <f>RawData!AC805</f>
        <v>0</v>
      </c>
      <c r="O73" s="37">
        <f>RawData!AD805</f>
        <v>0</v>
      </c>
      <c r="P73" s="38">
        <f>RawData!AE805</f>
        <v>0</v>
      </c>
      <c r="Q73" s="39">
        <f>RawData!AF805</f>
        <v>0</v>
      </c>
      <c r="R73" s="38">
        <f>RawData!AG805</f>
        <v>0</v>
      </c>
      <c r="S73" s="40">
        <f>RawData!AH805</f>
        <v>0</v>
      </c>
      <c r="T73" s="40">
        <f>RawData!AI805</f>
        <v>0</v>
      </c>
      <c r="U73" s="40">
        <f>RawData!AJ805</f>
        <v>0</v>
      </c>
      <c r="V73" s="41">
        <f>RawData!AK805</f>
        <v>0</v>
      </c>
      <c r="W73" s="41">
        <f>RawData!AL805</f>
        <v>0</v>
      </c>
      <c r="X73" s="43">
        <f>RawData!CA805</f>
        <v>0</v>
      </c>
      <c r="Y73" s="41">
        <f>RawData!AM805</f>
        <v>0</v>
      </c>
      <c r="Z73" s="44">
        <f>RawData!CB805</f>
        <v>0</v>
      </c>
      <c r="AA73" s="44">
        <f>RawData!AN805</f>
        <v>0</v>
      </c>
      <c r="AB73" s="44">
        <f>RawData!AO805</f>
        <v>0</v>
      </c>
      <c r="AC73" s="44">
        <f>RawData!AP805</f>
        <v>0</v>
      </c>
      <c r="AD73" s="63">
        <f>RawData!BZ805</f>
        <v>0</v>
      </c>
      <c r="AE73" s="44">
        <f>RawData!AQ805</f>
        <v>0</v>
      </c>
      <c r="AF73" s="46">
        <f>RawData!O805</f>
        <v>0</v>
      </c>
      <c r="AG73" s="44">
        <f>RawData!AR805</f>
        <v>0</v>
      </c>
      <c r="AH73" s="44">
        <f>RawData!BY805</f>
        <v>0</v>
      </c>
      <c r="AI73" s="44">
        <f>RawData!AS805</f>
        <v>0</v>
      </c>
      <c r="AJ73" s="44">
        <f>RawData!AT805</f>
        <v>0</v>
      </c>
      <c r="AK73" s="44">
        <f>RawData!AU805</f>
        <v>0</v>
      </c>
      <c r="AL73" s="44">
        <f>RawData!BW805</f>
        <v>0</v>
      </c>
      <c r="AM73" s="41">
        <f>RawData!AV805</f>
        <v>0</v>
      </c>
      <c r="AN73" s="41">
        <f>RawData!BX805</f>
        <v>0</v>
      </c>
      <c r="AO73" s="41">
        <f>RawData!AW805</f>
        <v>0</v>
      </c>
      <c r="AP73" s="41">
        <f>RawData!AX805</f>
        <v>0</v>
      </c>
      <c r="AQ73" s="40">
        <f>RawData!AY805</f>
        <v>0</v>
      </c>
      <c r="AR73" s="40">
        <f>RawData!AZ805</f>
        <v>0</v>
      </c>
      <c r="AS73" s="40">
        <f>RawData!BA805</f>
        <v>0</v>
      </c>
      <c r="AT73" s="38">
        <f>RawData!BB805</f>
        <v>0</v>
      </c>
      <c r="AU73" s="40">
        <f>RawData!BC805</f>
        <v>0</v>
      </c>
      <c r="AV73" s="40">
        <f>RawData!BD805</f>
        <v>0</v>
      </c>
      <c r="AW73" s="38">
        <f>RawData!BE805</f>
        <v>0</v>
      </c>
      <c r="AX73" s="37">
        <f>RawData!BF805</f>
        <v>0</v>
      </c>
      <c r="AY73" s="36">
        <f>RawData!BG805</f>
        <v>0</v>
      </c>
      <c r="AZ73" s="36">
        <f>RawData!BH805</f>
        <v>0</v>
      </c>
      <c r="BA73" s="40">
        <f>RawData!BI805</f>
        <v>0</v>
      </c>
      <c r="BB73" s="44">
        <f>RawData!BJ805</f>
        <v>0</v>
      </c>
      <c r="BC73" s="44">
        <f>RawData!BK805</f>
        <v>0</v>
      </c>
      <c r="BD73" s="44">
        <f>RawData!BL805</f>
        <v>0</v>
      </c>
      <c r="BE73" s="44">
        <f>RawData!BM805</f>
        <v>0</v>
      </c>
      <c r="BF73" s="44">
        <f>RawData!BN805</f>
        <v>0</v>
      </c>
      <c r="BG73" s="63">
        <f>RawData!BO805</f>
        <v>0</v>
      </c>
      <c r="BH73" s="44">
        <f>RawData!BP805</f>
        <v>0</v>
      </c>
      <c r="BI73" s="63">
        <f>RawData!BQ805</f>
        <v>0</v>
      </c>
      <c r="BJ73" s="44">
        <f>RawData!BR805</f>
        <v>0</v>
      </c>
      <c r="BK73" s="47">
        <f>RawData!BS805</f>
        <v>0</v>
      </c>
      <c r="BL73" s="44">
        <f>RawData!BT805</f>
        <v>0</v>
      </c>
      <c r="BM73" s="47">
        <f>RawData!BV805</f>
        <v>0</v>
      </c>
      <c r="BN73" s="65">
        <f>RawData!CC805</f>
        <v>0</v>
      </c>
      <c r="BO73" s="66">
        <f>RawData!CD805</f>
        <v>0</v>
      </c>
      <c r="BQ73" s="21">
        <f t="shared" si="1"/>
        <v>0</v>
      </c>
    </row>
    <row r="74" spans="1:69" x14ac:dyDescent="0.2">
      <c r="A74" s="59">
        <f>RawData!P806</f>
        <v>0</v>
      </c>
      <c r="B74" s="44">
        <f>RawData!Q806</f>
        <v>0</v>
      </c>
      <c r="C74" s="44">
        <f>RawData!R806</f>
        <v>0</v>
      </c>
      <c r="D74" s="63">
        <f>RawData!S806</f>
        <v>0</v>
      </c>
      <c r="E74" s="44">
        <f>RawData!T806</f>
        <v>0</v>
      </c>
      <c r="F74" s="63">
        <f>RawData!U806</f>
        <v>0</v>
      </c>
      <c r="G74" s="44">
        <f>RawData!V806</f>
        <v>0</v>
      </c>
      <c r="H74" s="44">
        <f>RawData!W806</f>
        <v>0</v>
      </c>
      <c r="I74" s="44">
        <f>RawData!X806</f>
        <v>0</v>
      </c>
      <c r="J74" s="44">
        <f>RawData!Y806</f>
        <v>0</v>
      </c>
      <c r="K74" s="40">
        <f>RawData!Z806</f>
        <v>0</v>
      </c>
      <c r="L74" s="40">
        <f>RawData!AA806</f>
        <v>0</v>
      </c>
      <c r="M74" s="36">
        <f>RawData!AB806</f>
        <v>0</v>
      </c>
      <c r="N74" s="36">
        <f>RawData!AC806</f>
        <v>0</v>
      </c>
      <c r="O74" s="37">
        <f>RawData!AD806</f>
        <v>0</v>
      </c>
      <c r="P74" s="38">
        <f>RawData!AE806</f>
        <v>0</v>
      </c>
      <c r="Q74" s="39">
        <f>RawData!AF806</f>
        <v>0</v>
      </c>
      <c r="R74" s="38">
        <f>RawData!AG806</f>
        <v>0</v>
      </c>
      <c r="S74" s="40">
        <f>RawData!AH806</f>
        <v>0</v>
      </c>
      <c r="T74" s="40">
        <f>RawData!AI806</f>
        <v>0</v>
      </c>
      <c r="U74" s="40">
        <f>RawData!AJ806</f>
        <v>0</v>
      </c>
      <c r="V74" s="41">
        <f>RawData!AK806</f>
        <v>0</v>
      </c>
      <c r="W74" s="41">
        <f>RawData!AL806</f>
        <v>0</v>
      </c>
      <c r="X74" s="43">
        <f>RawData!CA806</f>
        <v>0</v>
      </c>
      <c r="Y74" s="41">
        <f>RawData!AM806</f>
        <v>0</v>
      </c>
      <c r="Z74" s="44">
        <f>RawData!CB806</f>
        <v>0</v>
      </c>
      <c r="AA74" s="44">
        <f>RawData!AN806</f>
        <v>0</v>
      </c>
      <c r="AB74" s="44">
        <f>RawData!AO806</f>
        <v>0</v>
      </c>
      <c r="AC74" s="44">
        <f>RawData!AP806</f>
        <v>0</v>
      </c>
      <c r="AD74" s="63">
        <f>RawData!BZ806</f>
        <v>0</v>
      </c>
      <c r="AE74" s="44">
        <f>RawData!AQ806</f>
        <v>0</v>
      </c>
      <c r="AF74" s="46">
        <f>RawData!O806</f>
        <v>0</v>
      </c>
      <c r="AG74" s="44">
        <f>RawData!AR806</f>
        <v>0</v>
      </c>
      <c r="AH74" s="44">
        <f>RawData!BY806</f>
        <v>0</v>
      </c>
      <c r="AI74" s="44">
        <f>RawData!AS806</f>
        <v>0</v>
      </c>
      <c r="AJ74" s="44">
        <f>RawData!AT806</f>
        <v>0</v>
      </c>
      <c r="AK74" s="44">
        <f>RawData!AU806</f>
        <v>0</v>
      </c>
      <c r="AL74" s="44">
        <f>RawData!BW806</f>
        <v>0</v>
      </c>
      <c r="AM74" s="41">
        <f>RawData!AV806</f>
        <v>0</v>
      </c>
      <c r="AN74" s="41">
        <f>RawData!BX806</f>
        <v>0</v>
      </c>
      <c r="AO74" s="41">
        <f>RawData!AW806</f>
        <v>0</v>
      </c>
      <c r="AP74" s="41">
        <f>RawData!AX806</f>
        <v>0</v>
      </c>
      <c r="AQ74" s="40">
        <f>RawData!AY806</f>
        <v>0</v>
      </c>
      <c r="AR74" s="40">
        <f>RawData!AZ806</f>
        <v>0</v>
      </c>
      <c r="AS74" s="40">
        <f>RawData!BA806</f>
        <v>0</v>
      </c>
      <c r="AT74" s="38">
        <f>RawData!BB806</f>
        <v>0</v>
      </c>
      <c r="AU74" s="40">
        <f>RawData!BC806</f>
        <v>0</v>
      </c>
      <c r="AV74" s="40">
        <f>RawData!BD806</f>
        <v>0</v>
      </c>
      <c r="AW74" s="38">
        <f>RawData!BE806</f>
        <v>0</v>
      </c>
      <c r="AX74" s="37">
        <f>RawData!BF806</f>
        <v>0</v>
      </c>
      <c r="AY74" s="36">
        <f>RawData!BG806</f>
        <v>0</v>
      </c>
      <c r="AZ74" s="36">
        <f>RawData!BH806</f>
        <v>0</v>
      </c>
      <c r="BA74" s="40">
        <f>RawData!BI806</f>
        <v>0</v>
      </c>
      <c r="BB74" s="44">
        <f>RawData!BJ806</f>
        <v>0</v>
      </c>
      <c r="BC74" s="44">
        <f>RawData!BK806</f>
        <v>0</v>
      </c>
      <c r="BD74" s="44">
        <f>RawData!BL806</f>
        <v>0</v>
      </c>
      <c r="BE74" s="44">
        <f>RawData!BM806</f>
        <v>0</v>
      </c>
      <c r="BF74" s="44">
        <f>RawData!BN806</f>
        <v>0</v>
      </c>
      <c r="BG74" s="63">
        <f>RawData!BO806</f>
        <v>0</v>
      </c>
      <c r="BH74" s="44">
        <f>RawData!BP806</f>
        <v>0</v>
      </c>
      <c r="BI74" s="63">
        <f>RawData!BQ806</f>
        <v>0</v>
      </c>
      <c r="BJ74" s="44">
        <f>RawData!BR806</f>
        <v>0</v>
      </c>
      <c r="BK74" s="47">
        <f>RawData!BS806</f>
        <v>0</v>
      </c>
      <c r="BL74" s="44">
        <f>RawData!BT806</f>
        <v>0</v>
      </c>
      <c r="BM74" s="47">
        <f>RawData!BV806</f>
        <v>0</v>
      </c>
      <c r="BN74" s="65">
        <f>RawData!CC806</f>
        <v>0</v>
      </c>
      <c r="BO74" s="66">
        <f>RawData!CD806</f>
        <v>0</v>
      </c>
      <c r="BQ74" s="21">
        <f t="shared" si="1"/>
        <v>0</v>
      </c>
    </row>
    <row r="75" spans="1:69" x14ac:dyDescent="0.2">
      <c r="A75" s="59">
        <f>RawData!P807</f>
        <v>0</v>
      </c>
      <c r="B75" s="44">
        <f>RawData!Q807</f>
        <v>0</v>
      </c>
      <c r="C75" s="44">
        <f>RawData!R807</f>
        <v>0</v>
      </c>
      <c r="D75" s="63">
        <f>RawData!S807</f>
        <v>0</v>
      </c>
      <c r="E75" s="44">
        <f>RawData!T807</f>
        <v>0</v>
      </c>
      <c r="F75" s="63">
        <f>RawData!U807</f>
        <v>0</v>
      </c>
      <c r="G75" s="44">
        <f>RawData!V807</f>
        <v>0</v>
      </c>
      <c r="H75" s="44">
        <f>RawData!W807</f>
        <v>0</v>
      </c>
      <c r="I75" s="44">
        <f>RawData!X807</f>
        <v>0</v>
      </c>
      <c r="J75" s="44">
        <f>RawData!Y807</f>
        <v>0</v>
      </c>
      <c r="K75" s="40">
        <f>RawData!Z807</f>
        <v>0</v>
      </c>
      <c r="L75" s="40">
        <f>RawData!AA807</f>
        <v>0</v>
      </c>
      <c r="M75" s="36">
        <f>RawData!AB807</f>
        <v>0</v>
      </c>
      <c r="N75" s="36">
        <f>RawData!AC807</f>
        <v>0</v>
      </c>
      <c r="O75" s="37">
        <f>RawData!AD807</f>
        <v>0</v>
      </c>
      <c r="P75" s="38">
        <f>RawData!AE807</f>
        <v>0</v>
      </c>
      <c r="Q75" s="39">
        <f>RawData!AF807</f>
        <v>0</v>
      </c>
      <c r="R75" s="38">
        <f>RawData!AG807</f>
        <v>0</v>
      </c>
      <c r="S75" s="40">
        <f>RawData!AH807</f>
        <v>0</v>
      </c>
      <c r="T75" s="40">
        <f>RawData!AI807</f>
        <v>0</v>
      </c>
      <c r="U75" s="40">
        <f>RawData!AJ807</f>
        <v>0</v>
      </c>
      <c r="V75" s="41">
        <f>RawData!AK807</f>
        <v>0</v>
      </c>
      <c r="W75" s="41">
        <f>RawData!AL807</f>
        <v>0</v>
      </c>
      <c r="X75" s="43">
        <f>RawData!CA807</f>
        <v>0</v>
      </c>
      <c r="Y75" s="41">
        <f>RawData!AM807</f>
        <v>0</v>
      </c>
      <c r="Z75" s="44">
        <f>RawData!CB807</f>
        <v>0</v>
      </c>
      <c r="AA75" s="44">
        <f>RawData!AN807</f>
        <v>0</v>
      </c>
      <c r="AB75" s="44">
        <f>RawData!AO807</f>
        <v>0</v>
      </c>
      <c r="AC75" s="44">
        <f>RawData!AP807</f>
        <v>0</v>
      </c>
      <c r="AD75" s="63">
        <f>RawData!BZ807</f>
        <v>0</v>
      </c>
      <c r="AE75" s="44">
        <f>RawData!AQ807</f>
        <v>0</v>
      </c>
      <c r="AF75" s="46">
        <f>RawData!O807</f>
        <v>0</v>
      </c>
      <c r="AG75" s="44">
        <f>RawData!AR807</f>
        <v>0</v>
      </c>
      <c r="AH75" s="44">
        <f>RawData!BY807</f>
        <v>0</v>
      </c>
      <c r="AI75" s="44">
        <f>RawData!AS807</f>
        <v>0</v>
      </c>
      <c r="AJ75" s="44">
        <f>RawData!AT807</f>
        <v>0</v>
      </c>
      <c r="AK75" s="44">
        <f>RawData!AU807</f>
        <v>0</v>
      </c>
      <c r="AL75" s="44">
        <f>RawData!BW807</f>
        <v>0</v>
      </c>
      <c r="AM75" s="41">
        <f>RawData!AV807</f>
        <v>0</v>
      </c>
      <c r="AN75" s="41">
        <f>RawData!BX807</f>
        <v>0</v>
      </c>
      <c r="AO75" s="41">
        <f>RawData!AW807</f>
        <v>0</v>
      </c>
      <c r="AP75" s="41">
        <f>RawData!AX807</f>
        <v>0</v>
      </c>
      <c r="AQ75" s="40">
        <f>RawData!AY807</f>
        <v>0</v>
      </c>
      <c r="AR75" s="40">
        <f>RawData!AZ807</f>
        <v>0</v>
      </c>
      <c r="AS75" s="40">
        <f>RawData!BA807</f>
        <v>0</v>
      </c>
      <c r="AT75" s="38">
        <f>RawData!BB807</f>
        <v>0</v>
      </c>
      <c r="AU75" s="40">
        <f>RawData!BC807</f>
        <v>0</v>
      </c>
      <c r="AV75" s="40">
        <f>RawData!BD807</f>
        <v>0</v>
      </c>
      <c r="AW75" s="38">
        <f>RawData!BE807</f>
        <v>0</v>
      </c>
      <c r="AX75" s="37">
        <f>RawData!BF807</f>
        <v>0</v>
      </c>
      <c r="AY75" s="36">
        <f>RawData!BG807</f>
        <v>0</v>
      </c>
      <c r="AZ75" s="36">
        <f>RawData!BH807</f>
        <v>0</v>
      </c>
      <c r="BA75" s="40">
        <f>RawData!BI807</f>
        <v>0</v>
      </c>
      <c r="BB75" s="44">
        <f>RawData!BJ807</f>
        <v>0</v>
      </c>
      <c r="BC75" s="44">
        <f>RawData!BK807</f>
        <v>0</v>
      </c>
      <c r="BD75" s="44">
        <f>RawData!BL807</f>
        <v>0</v>
      </c>
      <c r="BE75" s="44">
        <f>RawData!BM807</f>
        <v>0</v>
      </c>
      <c r="BF75" s="44">
        <f>RawData!BN807</f>
        <v>0</v>
      </c>
      <c r="BG75" s="63">
        <f>RawData!BO807</f>
        <v>0</v>
      </c>
      <c r="BH75" s="44">
        <f>RawData!BP807</f>
        <v>0</v>
      </c>
      <c r="BI75" s="63">
        <f>RawData!BQ807</f>
        <v>0</v>
      </c>
      <c r="BJ75" s="44">
        <f>RawData!BR807</f>
        <v>0</v>
      </c>
      <c r="BK75" s="47">
        <f>RawData!BS807</f>
        <v>0</v>
      </c>
      <c r="BL75" s="44">
        <f>RawData!BT807</f>
        <v>0</v>
      </c>
      <c r="BM75" s="47">
        <f>RawData!BV807</f>
        <v>0</v>
      </c>
      <c r="BN75" s="65">
        <f>RawData!CC807</f>
        <v>0</v>
      </c>
      <c r="BO75" s="66">
        <f>RawData!CD807</f>
        <v>0</v>
      </c>
      <c r="BQ75" s="21">
        <f t="shared" si="1"/>
        <v>0</v>
      </c>
    </row>
    <row r="76" spans="1:69" x14ac:dyDescent="0.2">
      <c r="A76" s="59">
        <f>RawData!P808</f>
        <v>0</v>
      </c>
      <c r="B76" s="44">
        <f>RawData!Q808</f>
        <v>0</v>
      </c>
      <c r="C76" s="44">
        <f>RawData!R808</f>
        <v>0</v>
      </c>
      <c r="D76" s="63">
        <f>RawData!S808</f>
        <v>0</v>
      </c>
      <c r="E76" s="44">
        <f>RawData!T808</f>
        <v>0</v>
      </c>
      <c r="F76" s="63">
        <f>RawData!U808</f>
        <v>0</v>
      </c>
      <c r="G76" s="44">
        <f>RawData!V808</f>
        <v>0</v>
      </c>
      <c r="H76" s="44">
        <f>RawData!W808</f>
        <v>0</v>
      </c>
      <c r="I76" s="44">
        <f>RawData!X808</f>
        <v>0</v>
      </c>
      <c r="J76" s="44">
        <f>RawData!Y808</f>
        <v>0</v>
      </c>
      <c r="K76" s="40">
        <f>RawData!Z808</f>
        <v>0</v>
      </c>
      <c r="L76" s="40">
        <f>RawData!AA808</f>
        <v>0</v>
      </c>
      <c r="M76" s="36">
        <f>RawData!AB808</f>
        <v>0</v>
      </c>
      <c r="N76" s="36">
        <f>RawData!AC808</f>
        <v>0</v>
      </c>
      <c r="O76" s="37">
        <f>RawData!AD808</f>
        <v>0</v>
      </c>
      <c r="P76" s="38">
        <f>RawData!AE808</f>
        <v>0</v>
      </c>
      <c r="Q76" s="39">
        <f>RawData!AF808</f>
        <v>0</v>
      </c>
      <c r="R76" s="38">
        <f>RawData!AG808</f>
        <v>0</v>
      </c>
      <c r="S76" s="40">
        <f>RawData!AH808</f>
        <v>0</v>
      </c>
      <c r="T76" s="40">
        <f>RawData!AI808</f>
        <v>0</v>
      </c>
      <c r="U76" s="40">
        <f>RawData!AJ808</f>
        <v>0</v>
      </c>
      <c r="V76" s="41">
        <f>RawData!AK808</f>
        <v>0</v>
      </c>
      <c r="W76" s="41">
        <f>RawData!AL808</f>
        <v>0</v>
      </c>
      <c r="X76" s="43">
        <f>RawData!CA808</f>
        <v>0</v>
      </c>
      <c r="Y76" s="41">
        <f>RawData!AM808</f>
        <v>0</v>
      </c>
      <c r="Z76" s="44">
        <f>RawData!CB808</f>
        <v>0</v>
      </c>
      <c r="AA76" s="44">
        <f>RawData!AN808</f>
        <v>0</v>
      </c>
      <c r="AB76" s="44">
        <f>RawData!AO808</f>
        <v>0</v>
      </c>
      <c r="AC76" s="44">
        <f>RawData!AP808</f>
        <v>0</v>
      </c>
      <c r="AD76" s="63">
        <f>RawData!BZ808</f>
        <v>0</v>
      </c>
      <c r="AE76" s="44">
        <f>RawData!AQ808</f>
        <v>0</v>
      </c>
      <c r="AF76" s="46">
        <f>RawData!O808</f>
        <v>0</v>
      </c>
      <c r="AG76" s="44">
        <f>RawData!AR808</f>
        <v>0</v>
      </c>
      <c r="AH76" s="44">
        <f>RawData!BY808</f>
        <v>0</v>
      </c>
      <c r="AI76" s="44">
        <f>RawData!AS808</f>
        <v>0</v>
      </c>
      <c r="AJ76" s="44">
        <f>RawData!AT808</f>
        <v>0</v>
      </c>
      <c r="AK76" s="44">
        <f>RawData!AU808</f>
        <v>0</v>
      </c>
      <c r="AL76" s="44">
        <f>RawData!BW808</f>
        <v>0</v>
      </c>
      <c r="AM76" s="41">
        <f>RawData!AV808</f>
        <v>0</v>
      </c>
      <c r="AN76" s="41">
        <f>RawData!BX808</f>
        <v>0</v>
      </c>
      <c r="AO76" s="41">
        <f>RawData!AW808</f>
        <v>0</v>
      </c>
      <c r="AP76" s="41">
        <f>RawData!AX808</f>
        <v>0</v>
      </c>
      <c r="AQ76" s="40">
        <f>RawData!AY808</f>
        <v>0</v>
      </c>
      <c r="AR76" s="40">
        <f>RawData!AZ808</f>
        <v>0</v>
      </c>
      <c r="AS76" s="40">
        <f>RawData!BA808</f>
        <v>0</v>
      </c>
      <c r="AT76" s="38">
        <f>RawData!BB808</f>
        <v>0</v>
      </c>
      <c r="AU76" s="40">
        <f>RawData!BC808</f>
        <v>0</v>
      </c>
      <c r="AV76" s="40">
        <f>RawData!BD808</f>
        <v>0</v>
      </c>
      <c r="AW76" s="38">
        <f>RawData!BE808</f>
        <v>0</v>
      </c>
      <c r="AX76" s="37">
        <f>RawData!BF808</f>
        <v>0</v>
      </c>
      <c r="AY76" s="36">
        <f>RawData!BG808</f>
        <v>0</v>
      </c>
      <c r="AZ76" s="36">
        <f>RawData!BH808</f>
        <v>0</v>
      </c>
      <c r="BA76" s="40">
        <f>RawData!BI808</f>
        <v>0</v>
      </c>
      <c r="BB76" s="44">
        <f>RawData!BJ808</f>
        <v>0</v>
      </c>
      <c r="BC76" s="44">
        <f>RawData!BK808</f>
        <v>0</v>
      </c>
      <c r="BD76" s="44">
        <f>RawData!BL808</f>
        <v>0</v>
      </c>
      <c r="BE76" s="44">
        <f>RawData!BM808</f>
        <v>0</v>
      </c>
      <c r="BF76" s="44">
        <f>RawData!BN808</f>
        <v>0</v>
      </c>
      <c r="BG76" s="63">
        <f>RawData!BO808</f>
        <v>0</v>
      </c>
      <c r="BH76" s="44">
        <f>RawData!BP808</f>
        <v>0</v>
      </c>
      <c r="BI76" s="63">
        <f>RawData!BQ808</f>
        <v>0</v>
      </c>
      <c r="BJ76" s="44">
        <f>RawData!BR808</f>
        <v>0</v>
      </c>
      <c r="BK76" s="47">
        <f>RawData!BS808</f>
        <v>0</v>
      </c>
      <c r="BL76" s="44">
        <f>RawData!BT808</f>
        <v>0</v>
      </c>
      <c r="BM76" s="47">
        <f>RawData!BV808</f>
        <v>0</v>
      </c>
      <c r="BN76" s="65">
        <f>RawData!CC808</f>
        <v>0</v>
      </c>
      <c r="BO76" s="66">
        <f>RawData!CD808</f>
        <v>0</v>
      </c>
      <c r="BQ76" s="21">
        <f t="shared" si="1"/>
        <v>0</v>
      </c>
    </row>
    <row r="77" spans="1:69" x14ac:dyDescent="0.2">
      <c r="A77" s="59">
        <f>RawData!P809</f>
        <v>0</v>
      </c>
      <c r="B77" s="44">
        <f>RawData!Q809</f>
        <v>0</v>
      </c>
      <c r="C77" s="44">
        <f>RawData!R809</f>
        <v>0</v>
      </c>
      <c r="D77" s="63">
        <f>RawData!S809</f>
        <v>0</v>
      </c>
      <c r="E77" s="44">
        <f>RawData!T809</f>
        <v>0</v>
      </c>
      <c r="F77" s="63">
        <f>RawData!U809</f>
        <v>0</v>
      </c>
      <c r="G77" s="44">
        <f>RawData!V809</f>
        <v>0</v>
      </c>
      <c r="H77" s="44">
        <f>RawData!W809</f>
        <v>0</v>
      </c>
      <c r="I77" s="44">
        <f>RawData!X809</f>
        <v>0</v>
      </c>
      <c r="J77" s="44">
        <f>RawData!Y809</f>
        <v>0</v>
      </c>
      <c r="K77" s="40">
        <f>RawData!Z809</f>
        <v>0</v>
      </c>
      <c r="L77" s="40">
        <f>RawData!AA809</f>
        <v>0</v>
      </c>
      <c r="M77" s="36">
        <f>RawData!AB809</f>
        <v>0</v>
      </c>
      <c r="N77" s="36">
        <f>RawData!AC809</f>
        <v>0</v>
      </c>
      <c r="O77" s="37">
        <f>RawData!AD809</f>
        <v>0</v>
      </c>
      <c r="P77" s="38">
        <f>RawData!AE809</f>
        <v>0</v>
      </c>
      <c r="Q77" s="39">
        <f>RawData!AF809</f>
        <v>0</v>
      </c>
      <c r="R77" s="38">
        <f>RawData!AG809</f>
        <v>0</v>
      </c>
      <c r="S77" s="40">
        <f>RawData!AH809</f>
        <v>0</v>
      </c>
      <c r="T77" s="40">
        <f>RawData!AI809</f>
        <v>0</v>
      </c>
      <c r="U77" s="40">
        <f>RawData!AJ809</f>
        <v>0</v>
      </c>
      <c r="V77" s="41">
        <f>RawData!AK809</f>
        <v>0</v>
      </c>
      <c r="W77" s="41">
        <f>RawData!AL809</f>
        <v>0</v>
      </c>
      <c r="X77" s="43">
        <f>RawData!CA809</f>
        <v>0</v>
      </c>
      <c r="Y77" s="41">
        <f>RawData!AM809</f>
        <v>0</v>
      </c>
      <c r="Z77" s="44">
        <f>RawData!CB809</f>
        <v>0</v>
      </c>
      <c r="AA77" s="44">
        <f>RawData!AN809</f>
        <v>0</v>
      </c>
      <c r="AB77" s="44">
        <f>RawData!AO809</f>
        <v>0</v>
      </c>
      <c r="AC77" s="44">
        <f>RawData!AP809</f>
        <v>0</v>
      </c>
      <c r="AD77" s="63">
        <f>RawData!BZ809</f>
        <v>0</v>
      </c>
      <c r="AE77" s="44">
        <f>RawData!AQ809</f>
        <v>0</v>
      </c>
      <c r="AF77" s="46">
        <f>RawData!O809</f>
        <v>0</v>
      </c>
      <c r="AG77" s="44">
        <f>RawData!AR809</f>
        <v>0</v>
      </c>
      <c r="AH77" s="44">
        <f>RawData!BY809</f>
        <v>0</v>
      </c>
      <c r="AI77" s="44">
        <f>RawData!AS809</f>
        <v>0</v>
      </c>
      <c r="AJ77" s="44">
        <f>RawData!AT809</f>
        <v>0</v>
      </c>
      <c r="AK77" s="44">
        <f>RawData!AU809</f>
        <v>0</v>
      </c>
      <c r="AL77" s="44">
        <f>RawData!BW809</f>
        <v>0</v>
      </c>
      <c r="AM77" s="41">
        <f>RawData!AV809</f>
        <v>0</v>
      </c>
      <c r="AN77" s="41">
        <f>RawData!BX809</f>
        <v>0</v>
      </c>
      <c r="AO77" s="41">
        <f>RawData!AW809</f>
        <v>0</v>
      </c>
      <c r="AP77" s="41">
        <f>RawData!AX809</f>
        <v>0</v>
      </c>
      <c r="AQ77" s="40">
        <f>RawData!AY809</f>
        <v>0</v>
      </c>
      <c r="AR77" s="40">
        <f>RawData!AZ809</f>
        <v>0</v>
      </c>
      <c r="AS77" s="40">
        <f>RawData!BA809</f>
        <v>0</v>
      </c>
      <c r="AT77" s="38">
        <f>RawData!BB809</f>
        <v>0</v>
      </c>
      <c r="AU77" s="40">
        <f>RawData!BC809</f>
        <v>0</v>
      </c>
      <c r="AV77" s="40">
        <f>RawData!BD809</f>
        <v>0</v>
      </c>
      <c r="AW77" s="38">
        <f>RawData!BE809</f>
        <v>0</v>
      </c>
      <c r="AX77" s="37">
        <f>RawData!BF809</f>
        <v>0</v>
      </c>
      <c r="AY77" s="36">
        <f>RawData!BG809</f>
        <v>0</v>
      </c>
      <c r="AZ77" s="36">
        <f>RawData!BH809</f>
        <v>0</v>
      </c>
      <c r="BA77" s="40">
        <f>RawData!BI809</f>
        <v>0</v>
      </c>
      <c r="BB77" s="44">
        <f>RawData!BJ809</f>
        <v>0</v>
      </c>
      <c r="BC77" s="44">
        <f>RawData!BK809</f>
        <v>0</v>
      </c>
      <c r="BD77" s="44">
        <f>RawData!BL809</f>
        <v>0</v>
      </c>
      <c r="BE77" s="44">
        <f>RawData!BM809</f>
        <v>0</v>
      </c>
      <c r="BF77" s="44">
        <f>RawData!BN809</f>
        <v>0</v>
      </c>
      <c r="BG77" s="63">
        <f>RawData!BO809</f>
        <v>0</v>
      </c>
      <c r="BH77" s="44">
        <f>RawData!BP809</f>
        <v>0</v>
      </c>
      <c r="BI77" s="63">
        <f>RawData!BQ809</f>
        <v>0</v>
      </c>
      <c r="BJ77" s="44">
        <f>RawData!BR809</f>
        <v>0</v>
      </c>
      <c r="BK77" s="47">
        <f>RawData!BS809</f>
        <v>0</v>
      </c>
      <c r="BL77" s="44">
        <f>RawData!BT809</f>
        <v>0</v>
      </c>
      <c r="BM77" s="47">
        <f>RawData!BV809</f>
        <v>0</v>
      </c>
      <c r="BN77" s="65">
        <f>RawData!CC809</f>
        <v>0</v>
      </c>
      <c r="BO77" s="66">
        <f>RawData!CD809</f>
        <v>0</v>
      </c>
      <c r="BQ77" s="21">
        <f t="shared" si="1"/>
        <v>0</v>
      </c>
    </row>
    <row r="78" spans="1:69" x14ac:dyDescent="0.2">
      <c r="A78" s="59">
        <f>RawData!P810</f>
        <v>0</v>
      </c>
      <c r="B78" s="44">
        <f>RawData!Q810</f>
        <v>0</v>
      </c>
      <c r="C78" s="44">
        <f>RawData!R810</f>
        <v>0</v>
      </c>
      <c r="D78" s="63">
        <f>RawData!S810</f>
        <v>0</v>
      </c>
      <c r="E78" s="44">
        <f>RawData!T810</f>
        <v>0</v>
      </c>
      <c r="F78" s="63">
        <f>RawData!U810</f>
        <v>0</v>
      </c>
      <c r="G78" s="44">
        <f>RawData!V810</f>
        <v>0</v>
      </c>
      <c r="H78" s="44">
        <f>RawData!W810</f>
        <v>0</v>
      </c>
      <c r="I78" s="44">
        <f>RawData!X810</f>
        <v>0</v>
      </c>
      <c r="J78" s="44">
        <f>RawData!Y810</f>
        <v>0</v>
      </c>
      <c r="K78" s="40">
        <f>RawData!Z810</f>
        <v>0</v>
      </c>
      <c r="L78" s="40">
        <f>RawData!AA810</f>
        <v>0</v>
      </c>
      <c r="M78" s="36">
        <f>RawData!AB810</f>
        <v>0</v>
      </c>
      <c r="N78" s="36">
        <f>RawData!AC810</f>
        <v>0</v>
      </c>
      <c r="O78" s="37">
        <f>RawData!AD810</f>
        <v>0</v>
      </c>
      <c r="P78" s="38">
        <f>RawData!AE810</f>
        <v>0</v>
      </c>
      <c r="Q78" s="39">
        <f>RawData!AF810</f>
        <v>0</v>
      </c>
      <c r="R78" s="38">
        <f>RawData!AG810</f>
        <v>0</v>
      </c>
      <c r="S78" s="40">
        <f>RawData!AH810</f>
        <v>0</v>
      </c>
      <c r="T78" s="40">
        <f>RawData!AI810</f>
        <v>0</v>
      </c>
      <c r="U78" s="40">
        <f>RawData!AJ810</f>
        <v>0</v>
      </c>
      <c r="V78" s="41">
        <f>RawData!AK810</f>
        <v>0</v>
      </c>
      <c r="W78" s="41">
        <f>RawData!AL810</f>
        <v>0</v>
      </c>
      <c r="X78" s="43">
        <f>RawData!CA810</f>
        <v>0</v>
      </c>
      <c r="Y78" s="41">
        <f>RawData!AM810</f>
        <v>0</v>
      </c>
      <c r="Z78" s="44">
        <f>RawData!CB810</f>
        <v>0</v>
      </c>
      <c r="AA78" s="44">
        <f>RawData!AN810</f>
        <v>0</v>
      </c>
      <c r="AB78" s="44">
        <f>RawData!AO810</f>
        <v>0</v>
      </c>
      <c r="AC78" s="44">
        <f>RawData!AP810</f>
        <v>0</v>
      </c>
      <c r="AD78" s="63">
        <f>RawData!BZ810</f>
        <v>0</v>
      </c>
      <c r="AE78" s="44">
        <f>RawData!AQ810</f>
        <v>0</v>
      </c>
      <c r="AF78" s="46">
        <f>RawData!O810</f>
        <v>0</v>
      </c>
      <c r="AG78" s="44">
        <f>RawData!AR810</f>
        <v>0</v>
      </c>
      <c r="AH78" s="44">
        <f>RawData!BY810</f>
        <v>0</v>
      </c>
      <c r="AI78" s="44">
        <f>RawData!AS810</f>
        <v>0</v>
      </c>
      <c r="AJ78" s="44">
        <f>RawData!AT810</f>
        <v>0</v>
      </c>
      <c r="AK78" s="44">
        <f>RawData!AU810</f>
        <v>0</v>
      </c>
      <c r="AL78" s="44">
        <f>RawData!BW810</f>
        <v>0</v>
      </c>
      <c r="AM78" s="41">
        <f>RawData!AV810</f>
        <v>0</v>
      </c>
      <c r="AN78" s="41">
        <f>RawData!BX810</f>
        <v>0</v>
      </c>
      <c r="AO78" s="41">
        <f>RawData!AW810</f>
        <v>0</v>
      </c>
      <c r="AP78" s="41">
        <f>RawData!AX810</f>
        <v>0</v>
      </c>
      <c r="AQ78" s="40">
        <f>RawData!AY810</f>
        <v>0</v>
      </c>
      <c r="AR78" s="40">
        <f>RawData!AZ810</f>
        <v>0</v>
      </c>
      <c r="AS78" s="40">
        <f>RawData!BA810</f>
        <v>0</v>
      </c>
      <c r="AT78" s="38">
        <f>RawData!BB810</f>
        <v>0</v>
      </c>
      <c r="AU78" s="40">
        <f>RawData!BC810</f>
        <v>0</v>
      </c>
      <c r="AV78" s="40">
        <f>RawData!BD810</f>
        <v>0</v>
      </c>
      <c r="AW78" s="38">
        <f>RawData!BE810</f>
        <v>0</v>
      </c>
      <c r="AX78" s="37">
        <f>RawData!BF810</f>
        <v>0</v>
      </c>
      <c r="AY78" s="36">
        <f>RawData!BG810</f>
        <v>0</v>
      </c>
      <c r="AZ78" s="36">
        <f>RawData!BH810</f>
        <v>0</v>
      </c>
      <c r="BA78" s="40">
        <f>RawData!BI810</f>
        <v>0</v>
      </c>
      <c r="BB78" s="44">
        <f>RawData!BJ810</f>
        <v>0</v>
      </c>
      <c r="BC78" s="44">
        <f>RawData!BK810</f>
        <v>0</v>
      </c>
      <c r="BD78" s="44">
        <f>RawData!BL810</f>
        <v>0</v>
      </c>
      <c r="BE78" s="44">
        <f>RawData!BM810</f>
        <v>0</v>
      </c>
      <c r="BF78" s="44">
        <f>RawData!BN810</f>
        <v>0</v>
      </c>
      <c r="BG78" s="63">
        <f>RawData!BO810</f>
        <v>0</v>
      </c>
      <c r="BH78" s="44">
        <f>RawData!BP810</f>
        <v>0</v>
      </c>
      <c r="BI78" s="63">
        <f>RawData!BQ810</f>
        <v>0</v>
      </c>
      <c r="BJ78" s="44">
        <f>RawData!BR810</f>
        <v>0</v>
      </c>
      <c r="BK78" s="47">
        <f>RawData!BS810</f>
        <v>0</v>
      </c>
      <c r="BL78" s="44">
        <f>RawData!BT810</f>
        <v>0</v>
      </c>
      <c r="BM78" s="47">
        <f>RawData!BV810</f>
        <v>0</v>
      </c>
      <c r="BN78" s="65">
        <f>RawData!CC810</f>
        <v>0</v>
      </c>
      <c r="BO78" s="66">
        <f>RawData!CD810</f>
        <v>0</v>
      </c>
      <c r="BQ78" s="21">
        <f t="shared" si="1"/>
        <v>0</v>
      </c>
    </row>
    <row r="79" spans="1:69" x14ac:dyDescent="0.2">
      <c r="A79" s="59">
        <f>RawData!P811</f>
        <v>0</v>
      </c>
      <c r="B79" s="44">
        <f>RawData!Q811</f>
        <v>0</v>
      </c>
      <c r="C79" s="44">
        <f>RawData!R811</f>
        <v>0</v>
      </c>
      <c r="D79" s="63">
        <f>RawData!S811</f>
        <v>0</v>
      </c>
      <c r="E79" s="44">
        <f>RawData!T811</f>
        <v>0</v>
      </c>
      <c r="F79" s="63">
        <f>RawData!U811</f>
        <v>0</v>
      </c>
      <c r="G79" s="44">
        <f>RawData!V811</f>
        <v>0</v>
      </c>
      <c r="H79" s="44">
        <f>RawData!W811</f>
        <v>0</v>
      </c>
      <c r="I79" s="44">
        <f>RawData!X811</f>
        <v>0</v>
      </c>
      <c r="J79" s="44">
        <f>RawData!Y811</f>
        <v>0</v>
      </c>
      <c r="K79" s="40">
        <f>RawData!Z811</f>
        <v>0</v>
      </c>
      <c r="L79" s="40">
        <f>RawData!AA811</f>
        <v>0</v>
      </c>
      <c r="M79" s="36">
        <f>RawData!AB811</f>
        <v>0</v>
      </c>
      <c r="N79" s="36">
        <f>RawData!AC811</f>
        <v>0</v>
      </c>
      <c r="O79" s="37">
        <f>RawData!AD811</f>
        <v>0</v>
      </c>
      <c r="P79" s="38">
        <f>RawData!AE811</f>
        <v>0</v>
      </c>
      <c r="Q79" s="39">
        <f>RawData!AF811</f>
        <v>0</v>
      </c>
      <c r="R79" s="38">
        <f>RawData!AG811</f>
        <v>0</v>
      </c>
      <c r="S79" s="40">
        <f>RawData!AH811</f>
        <v>0</v>
      </c>
      <c r="T79" s="40">
        <f>RawData!AI811</f>
        <v>0</v>
      </c>
      <c r="U79" s="40">
        <f>RawData!AJ811</f>
        <v>0</v>
      </c>
      <c r="V79" s="41">
        <f>RawData!AK811</f>
        <v>0</v>
      </c>
      <c r="W79" s="41">
        <f>RawData!AL811</f>
        <v>0</v>
      </c>
      <c r="X79" s="43">
        <f>RawData!CA811</f>
        <v>0</v>
      </c>
      <c r="Y79" s="41">
        <f>RawData!AM811</f>
        <v>0</v>
      </c>
      <c r="Z79" s="44">
        <f>RawData!CB811</f>
        <v>0</v>
      </c>
      <c r="AA79" s="44">
        <f>RawData!AN811</f>
        <v>0</v>
      </c>
      <c r="AB79" s="44">
        <f>RawData!AO811</f>
        <v>0</v>
      </c>
      <c r="AC79" s="44">
        <f>RawData!AP811</f>
        <v>0</v>
      </c>
      <c r="AD79" s="63">
        <f>RawData!BZ811</f>
        <v>0</v>
      </c>
      <c r="AE79" s="44">
        <f>RawData!AQ811</f>
        <v>0</v>
      </c>
      <c r="AF79" s="46">
        <f>RawData!O811</f>
        <v>0</v>
      </c>
      <c r="AG79" s="44">
        <f>RawData!AR811</f>
        <v>0</v>
      </c>
      <c r="AH79" s="44">
        <f>RawData!BY811</f>
        <v>0</v>
      </c>
      <c r="AI79" s="44">
        <f>RawData!AS811</f>
        <v>0</v>
      </c>
      <c r="AJ79" s="44">
        <f>RawData!AT811</f>
        <v>0</v>
      </c>
      <c r="AK79" s="44">
        <f>RawData!AU811</f>
        <v>0</v>
      </c>
      <c r="AL79" s="44">
        <f>RawData!BW811</f>
        <v>0</v>
      </c>
      <c r="AM79" s="41">
        <f>RawData!AV811</f>
        <v>0</v>
      </c>
      <c r="AN79" s="41">
        <f>RawData!BX811</f>
        <v>0</v>
      </c>
      <c r="AO79" s="41">
        <f>RawData!AW811</f>
        <v>0</v>
      </c>
      <c r="AP79" s="41">
        <f>RawData!AX811</f>
        <v>0</v>
      </c>
      <c r="AQ79" s="40">
        <f>RawData!AY811</f>
        <v>0</v>
      </c>
      <c r="AR79" s="40">
        <f>RawData!AZ811</f>
        <v>0</v>
      </c>
      <c r="AS79" s="40">
        <f>RawData!BA811</f>
        <v>0</v>
      </c>
      <c r="AT79" s="38">
        <f>RawData!BB811</f>
        <v>0</v>
      </c>
      <c r="AU79" s="40">
        <f>RawData!BC811</f>
        <v>0</v>
      </c>
      <c r="AV79" s="40">
        <f>RawData!BD811</f>
        <v>0</v>
      </c>
      <c r="AW79" s="38">
        <f>RawData!BE811</f>
        <v>0</v>
      </c>
      <c r="AX79" s="37">
        <f>RawData!BF811</f>
        <v>0</v>
      </c>
      <c r="AY79" s="36">
        <f>RawData!BG811</f>
        <v>0</v>
      </c>
      <c r="AZ79" s="36">
        <f>RawData!BH811</f>
        <v>0</v>
      </c>
      <c r="BA79" s="40">
        <f>RawData!BI811</f>
        <v>0</v>
      </c>
      <c r="BB79" s="44">
        <f>RawData!BJ811</f>
        <v>0</v>
      </c>
      <c r="BC79" s="44">
        <f>RawData!BK811</f>
        <v>0</v>
      </c>
      <c r="BD79" s="44">
        <f>RawData!BL811</f>
        <v>0</v>
      </c>
      <c r="BE79" s="44">
        <f>RawData!BM811</f>
        <v>0</v>
      </c>
      <c r="BF79" s="44">
        <f>RawData!BN811</f>
        <v>0</v>
      </c>
      <c r="BG79" s="63">
        <f>RawData!BO811</f>
        <v>0</v>
      </c>
      <c r="BH79" s="44">
        <f>RawData!BP811</f>
        <v>0</v>
      </c>
      <c r="BI79" s="63">
        <f>RawData!BQ811</f>
        <v>0</v>
      </c>
      <c r="BJ79" s="44">
        <f>RawData!BR811</f>
        <v>0</v>
      </c>
      <c r="BK79" s="47">
        <f>RawData!BS811</f>
        <v>0</v>
      </c>
      <c r="BL79" s="44">
        <f>RawData!BT811</f>
        <v>0</v>
      </c>
      <c r="BM79" s="47">
        <f>RawData!BV811</f>
        <v>0</v>
      </c>
      <c r="BN79" s="65">
        <f>RawData!CC811</f>
        <v>0</v>
      </c>
      <c r="BO79" s="66">
        <f>RawData!CD811</f>
        <v>0</v>
      </c>
      <c r="BQ79" s="21">
        <f t="shared" si="1"/>
        <v>0</v>
      </c>
    </row>
    <row r="80" spans="1:69" x14ac:dyDescent="0.2">
      <c r="A80" s="59">
        <f>RawData!P812</f>
        <v>0</v>
      </c>
      <c r="B80" s="44">
        <f>RawData!Q812</f>
        <v>0</v>
      </c>
      <c r="C80" s="44">
        <f>RawData!R812</f>
        <v>0</v>
      </c>
      <c r="D80" s="63">
        <f>RawData!S812</f>
        <v>0</v>
      </c>
      <c r="E80" s="44">
        <f>RawData!T812</f>
        <v>0</v>
      </c>
      <c r="F80" s="63">
        <f>RawData!U812</f>
        <v>0</v>
      </c>
      <c r="G80" s="44">
        <f>RawData!V812</f>
        <v>0</v>
      </c>
      <c r="H80" s="44">
        <f>RawData!W812</f>
        <v>0</v>
      </c>
      <c r="I80" s="44">
        <f>RawData!X812</f>
        <v>0</v>
      </c>
      <c r="J80" s="44">
        <f>RawData!Y812</f>
        <v>0</v>
      </c>
      <c r="K80" s="40">
        <f>RawData!Z812</f>
        <v>0</v>
      </c>
      <c r="L80" s="40">
        <f>RawData!AA812</f>
        <v>0</v>
      </c>
      <c r="M80" s="36">
        <f>RawData!AB812</f>
        <v>0</v>
      </c>
      <c r="N80" s="36">
        <f>RawData!AC812</f>
        <v>0</v>
      </c>
      <c r="O80" s="37">
        <f>RawData!AD812</f>
        <v>0</v>
      </c>
      <c r="P80" s="38">
        <f>RawData!AE812</f>
        <v>0</v>
      </c>
      <c r="Q80" s="39">
        <f>RawData!AF812</f>
        <v>0</v>
      </c>
      <c r="R80" s="38">
        <f>RawData!AG812</f>
        <v>0</v>
      </c>
      <c r="S80" s="40">
        <f>RawData!AH812</f>
        <v>0</v>
      </c>
      <c r="T80" s="40">
        <f>RawData!AI812</f>
        <v>0</v>
      </c>
      <c r="U80" s="40">
        <f>RawData!AJ812</f>
        <v>0</v>
      </c>
      <c r="V80" s="41">
        <f>RawData!AK812</f>
        <v>0</v>
      </c>
      <c r="W80" s="41">
        <f>RawData!AL812</f>
        <v>0</v>
      </c>
      <c r="X80" s="43">
        <f>RawData!CA812</f>
        <v>0</v>
      </c>
      <c r="Y80" s="41">
        <f>RawData!AM812</f>
        <v>0</v>
      </c>
      <c r="Z80" s="44">
        <f>RawData!CB812</f>
        <v>0</v>
      </c>
      <c r="AA80" s="44">
        <f>RawData!AN812</f>
        <v>0</v>
      </c>
      <c r="AB80" s="44">
        <f>RawData!AO812</f>
        <v>0</v>
      </c>
      <c r="AC80" s="44">
        <f>RawData!AP812</f>
        <v>0</v>
      </c>
      <c r="AD80" s="63">
        <f>RawData!BZ812</f>
        <v>0</v>
      </c>
      <c r="AE80" s="44">
        <f>RawData!AQ812</f>
        <v>0</v>
      </c>
      <c r="AF80" s="46">
        <f>RawData!O812</f>
        <v>0</v>
      </c>
      <c r="AG80" s="44">
        <f>RawData!AR812</f>
        <v>0</v>
      </c>
      <c r="AH80" s="44">
        <f>RawData!BY812</f>
        <v>0</v>
      </c>
      <c r="AI80" s="44">
        <f>RawData!AS812</f>
        <v>0</v>
      </c>
      <c r="AJ80" s="44">
        <f>RawData!AT812</f>
        <v>0</v>
      </c>
      <c r="AK80" s="44">
        <f>RawData!AU812</f>
        <v>0</v>
      </c>
      <c r="AL80" s="44">
        <f>RawData!BW812</f>
        <v>0</v>
      </c>
      <c r="AM80" s="41">
        <f>RawData!AV812</f>
        <v>0</v>
      </c>
      <c r="AN80" s="41">
        <f>RawData!BX812</f>
        <v>0</v>
      </c>
      <c r="AO80" s="41">
        <f>RawData!AW812</f>
        <v>0</v>
      </c>
      <c r="AP80" s="41">
        <f>RawData!AX812</f>
        <v>0</v>
      </c>
      <c r="AQ80" s="40">
        <f>RawData!AY812</f>
        <v>0</v>
      </c>
      <c r="AR80" s="40">
        <f>RawData!AZ812</f>
        <v>0</v>
      </c>
      <c r="AS80" s="40">
        <f>RawData!BA812</f>
        <v>0</v>
      </c>
      <c r="AT80" s="38">
        <f>RawData!BB812</f>
        <v>0</v>
      </c>
      <c r="AU80" s="40">
        <f>RawData!BC812</f>
        <v>0</v>
      </c>
      <c r="AV80" s="40">
        <f>RawData!BD812</f>
        <v>0</v>
      </c>
      <c r="AW80" s="38">
        <f>RawData!BE812</f>
        <v>0</v>
      </c>
      <c r="AX80" s="37">
        <f>RawData!BF812</f>
        <v>0</v>
      </c>
      <c r="AY80" s="36">
        <f>RawData!BG812</f>
        <v>0</v>
      </c>
      <c r="AZ80" s="36">
        <f>RawData!BH812</f>
        <v>0</v>
      </c>
      <c r="BA80" s="40">
        <f>RawData!BI812</f>
        <v>0</v>
      </c>
      <c r="BB80" s="44">
        <f>RawData!BJ812</f>
        <v>0</v>
      </c>
      <c r="BC80" s="44">
        <f>RawData!BK812</f>
        <v>0</v>
      </c>
      <c r="BD80" s="44">
        <f>RawData!BL812</f>
        <v>0</v>
      </c>
      <c r="BE80" s="44">
        <f>RawData!BM812</f>
        <v>0</v>
      </c>
      <c r="BF80" s="44">
        <f>RawData!BN812</f>
        <v>0</v>
      </c>
      <c r="BG80" s="63">
        <f>RawData!BO812</f>
        <v>0</v>
      </c>
      <c r="BH80" s="44">
        <f>RawData!BP812</f>
        <v>0</v>
      </c>
      <c r="BI80" s="63">
        <f>RawData!BQ812</f>
        <v>0</v>
      </c>
      <c r="BJ80" s="44">
        <f>RawData!BR812</f>
        <v>0</v>
      </c>
      <c r="BK80" s="47">
        <f>RawData!BS812</f>
        <v>0</v>
      </c>
      <c r="BL80" s="44">
        <f>RawData!BT812</f>
        <v>0</v>
      </c>
      <c r="BM80" s="47">
        <f>RawData!BV812</f>
        <v>0</v>
      </c>
      <c r="BN80" s="65">
        <f>RawData!CC812</f>
        <v>0</v>
      </c>
      <c r="BO80" s="66">
        <f>RawData!CD812</f>
        <v>0</v>
      </c>
      <c r="BQ80" s="21">
        <f t="shared" si="1"/>
        <v>0</v>
      </c>
    </row>
    <row r="81" spans="1:69" x14ac:dyDescent="0.2">
      <c r="A81" s="59">
        <f>RawData!P813</f>
        <v>0</v>
      </c>
      <c r="B81" s="44">
        <f>RawData!Q813</f>
        <v>0</v>
      </c>
      <c r="C81" s="44">
        <f>RawData!R813</f>
        <v>0</v>
      </c>
      <c r="D81" s="63">
        <f>RawData!S813</f>
        <v>0</v>
      </c>
      <c r="E81" s="44">
        <f>RawData!T813</f>
        <v>0</v>
      </c>
      <c r="F81" s="63">
        <f>RawData!U813</f>
        <v>0</v>
      </c>
      <c r="G81" s="44">
        <f>RawData!V813</f>
        <v>0</v>
      </c>
      <c r="H81" s="44">
        <f>RawData!W813</f>
        <v>0</v>
      </c>
      <c r="I81" s="44">
        <f>RawData!X813</f>
        <v>0</v>
      </c>
      <c r="J81" s="44">
        <f>RawData!Y813</f>
        <v>0</v>
      </c>
      <c r="K81" s="40">
        <f>RawData!Z813</f>
        <v>0</v>
      </c>
      <c r="L81" s="40">
        <f>RawData!AA813</f>
        <v>0</v>
      </c>
      <c r="M81" s="36">
        <f>RawData!AB813</f>
        <v>0</v>
      </c>
      <c r="N81" s="36">
        <f>RawData!AC813</f>
        <v>0</v>
      </c>
      <c r="O81" s="37">
        <f>RawData!AD813</f>
        <v>0</v>
      </c>
      <c r="P81" s="38">
        <f>RawData!AE813</f>
        <v>0</v>
      </c>
      <c r="Q81" s="39">
        <f>RawData!AF813</f>
        <v>0</v>
      </c>
      <c r="R81" s="38">
        <f>RawData!AG813</f>
        <v>0</v>
      </c>
      <c r="S81" s="40">
        <f>RawData!AH813</f>
        <v>0</v>
      </c>
      <c r="T81" s="40">
        <f>RawData!AI813</f>
        <v>0</v>
      </c>
      <c r="U81" s="40">
        <f>RawData!AJ813</f>
        <v>0</v>
      </c>
      <c r="V81" s="41">
        <f>RawData!AK813</f>
        <v>0</v>
      </c>
      <c r="W81" s="41">
        <f>RawData!AL813</f>
        <v>0</v>
      </c>
      <c r="X81" s="43">
        <f>RawData!CA813</f>
        <v>0</v>
      </c>
      <c r="Y81" s="41">
        <f>RawData!AM813</f>
        <v>0</v>
      </c>
      <c r="Z81" s="44">
        <f>RawData!CB813</f>
        <v>0</v>
      </c>
      <c r="AA81" s="44">
        <f>RawData!AN813</f>
        <v>0</v>
      </c>
      <c r="AB81" s="44">
        <f>RawData!AO813</f>
        <v>0</v>
      </c>
      <c r="AC81" s="44">
        <f>RawData!AP813</f>
        <v>0</v>
      </c>
      <c r="AD81" s="63">
        <f>RawData!BZ813</f>
        <v>0</v>
      </c>
      <c r="AE81" s="44">
        <f>RawData!AQ813</f>
        <v>0</v>
      </c>
      <c r="AF81" s="46">
        <f>RawData!O813</f>
        <v>0</v>
      </c>
      <c r="AG81" s="44">
        <f>RawData!AR813</f>
        <v>0</v>
      </c>
      <c r="AH81" s="44">
        <f>RawData!BY813</f>
        <v>0</v>
      </c>
      <c r="AI81" s="44">
        <f>RawData!AS813</f>
        <v>0</v>
      </c>
      <c r="AJ81" s="44">
        <f>RawData!AT813</f>
        <v>0</v>
      </c>
      <c r="AK81" s="44">
        <f>RawData!AU813</f>
        <v>0</v>
      </c>
      <c r="AL81" s="44">
        <f>RawData!BW813</f>
        <v>0</v>
      </c>
      <c r="AM81" s="41">
        <f>RawData!AV813</f>
        <v>0</v>
      </c>
      <c r="AN81" s="41">
        <f>RawData!BX813</f>
        <v>0</v>
      </c>
      <c r="AO81" s="41">
        <f>RawData!AW813</f>
        <v>0</v>
      </c>
      <c r="AP81" s="41">
        <f>RawData!AX813</f>
        <v>0</v>
      </c>
      <c r="AQ81" s="40">
        <f>RawData!AY813</f>
        <v>0</v>
      </c>
      <c r="AR81" s="40">
        <f>RawData!AZ813</f>
        <v>0</v>
      </c>
      <c r="AS81" s="40">
        <f>RawData!BA813</f>
        <v>0</v>
      </c>
      <c r="AT81" s="38">
        <f>RawData!BB813</f>
        <v>0</v>
      </c>
      <c r="AU81" s="40">
        <f>RawData!BC813</f>
        <v>0</v>
      </c>
      <c r="AV81" s="40">
        <f>RawData!BD813</f>
        <v>0</v>
      </c>
      <c r="AW81" s="38">
        <f>RawData!BE813</f>
        <v>0</v>
      </c>
      <c r="AX81" s="37">
        <f>RawData!BF813</f>
        <v>0</v>
      </c>
      <c r="AY81" s="36">
        <f>RawData!BG813</f>
        <v>0</v>
      </c>
      <c r="AZ81" s="36">
        <f>RawData!BH813</f>
        <v>0</v>
      </c>
      <c r="BA81" s="40">
        <f>RawData!BI813</f>
        <v>0</v>
      </c>
      <c r="BB81" s="44">
        <f>RawData!BJ813</f>
        <v>0</v>
      </c>
      <c r="BC81" s="44">
        <f>RawData!BK813</f>
        <v>0</v>
      </c>
      <c r="BD81" s="44">
        <f>RawData!BL813</f>
        <v>0</v>
      </c>
      <c r="BE81" s="44">
        <f>RawData!BM813</f>
        <v>0</v>
      </c>
      <c r="BF81" s="44">
        <f>RawData!BN813</f>
        <v>0</v>
      </c>
      <c r="BG81" s="63">
        <f>RawData!BO813</f>
        <v>0</v>
      </c>
      <c r="BH81" s="44">
        <f>RawData!BP813</f>
        <v>0</v>
      </c>
      <c r="BI81" s="63">
        <f>RawData!BQ813</f>
        <v>0</v>
      </c>
      <c r="BJ81" s="44">
        <f>RawData!BR813</f>
        <v>0</v>
      </c>
      <c r="BK81" s="47">
        <f>RawData!BS813</f>
        <v>0</v>
      </c>
      <c r="BL81" s="44">
        <f>RawData!BT813</f>
        <v>0</v>
      </c>
      <c r="BM81" s="47">
        <f>RawData!BV813</f>
        <v>0</v>
      </c>
      <c r="BN81" s="65">
        <f>RawData!CC813</f>
        <v>0</v>
      </c>
      <c r="BO81" s="66">
        <f>RawData!CD813</f>
        <v>0</v>
      </c>
      <c r="BQ81" s="21">
        <f t="shared" si="1"/>
        <v>0</v>
      </c>
    </row>
    <row r="82" spans="1:69" x14ac:dyDescent="0.2">
      <c r="A82" s="59">
        <f>RawData!P814</f>
        <v>0</v>
      </c>
      <c r="B82" s="44">
        <f>RawData!Q814</f>
        <v>0</v>
      </c>
      <c r="C82" s="44">
        <f>RawData!R814</f>
        <v>0</v>
      </c>
      <c r="D82" s="63">
        <f>RawData!S814</f>
        <v>0</v>
      </c>
      <c r="E82" s="44">
        <f>RawData!T814</f>
        <v>0</v>
      </c>
      <c r="F82" s="63">
        <f>RawData!U814</f>
        <v>0</v>
      </c>
      <c r="G82" s="44">
        <f>RawData!V814</f>
        <v>0</v>
      </c>
      <c r="H82" s="44">
        <f>RawData!W814</f>
        <v>0</v>
      </c>
      <c r="I82" s="44">
        <f>RawData!X814</f>
        <v>0</v>
      </c>
      <c r="J82" s="44">
        <f>RawData!Y814</f>
        <v>0</v>
      </c>
      <c r="K82" s="40">
        <f>RawData!Z814</f>
        <v>0</v>
      </c>
      <c r="L82" s="40">
        <f>RawData!AA814</f>
        <v>0</v>
      </c>
      <c r="M82" s="36">
        <f>RawData!AB814</f>
        <v>0</v>
      </c>
      <c r="N82" s="36">
        <f>RawData!AC814</f>
        <v>0</v>
      </c>
      <c r="O82" s="37">
        <f>RawData!AD814</f>
        <v>0</v>
      </c>
      <c r="P82" s="38">
        <f>RawData!AE814</f>
        <v>0</v>
      </c>
      <c r="Q82" s="39">
        <f>RawData!AF814</f>
        <v>0</v>
      </c>
      <c r="R82" s="38">
        <f>RawData!AG814</f>
        <v>0</v>
      </c>
      <c r="S82" s="40">
        <f>RawData!AH814</f>
        <v>0</v>
      </c>
      <c r="T82" s="40">
        <f>RawData!AI814</f>
        <v>0</v>
      </c>
      <c r="U82" s="40">
        <f>RawData!AJ814</f>
        <v>0</v>
      </c>
      <c r="V82" s="41">
        <f>RawData!AK814</f>
        <v>0</v>
      </c>
      <c r="W82" s="41">
        <f>RawData!AL814</f>
        <v>0</v>
      </c>
      <c r="X82" s="43">
        <f>RawData!CA814</f>
        <v>0</v>
      </c>
      <c r="Y82" s="41">
        <f>RawData!AM814</f>
        <v>0</v>
      </c>
      <c r="Z82" s="44">
        <f>RawData!CB814</f>
        <v>0</v>
      </c>
      <c r="AA82" s="44">
        <f>RawData!AN814</f>
        <v>0</v>
      </c>
      <c r="AB82" s="44">
        <f>RawData!AO814</f>
        <v>0</v>
      </c>
      <c r="AC82" s="44">
        <f>RawData!AP814</f>
        <v>0</v>
      </c>
      <c r="AD82" s="63">
        <f>RawData!BZ814</f>
        <v>0</v>
      </c>
      <c r="AE82" s="44">
        <f>RawData!AQ814</f>
        <v>0</v>
      </c>
      <c r="AF82" s="46">
        <f>RawData!O814</f>
        <v>0</v>
      </c>
      <c r="AG82" s="44">
        <f>RawData!AR814</f>
        <v>0</v>
      </c>
      <c r="AH82" s="44">
        <f>RawData!BY814</f>
        <v>0</v>
      </c>
      <c r="AI82" s="44">
        <f>RawData!AS814</f>
        <v>0</v>
      </c>
      <c r="AJ82" s="44">
        <f>RawData!AT814</f>
        <v>0</v>
      </c>
      <c r="AK82" s="44">
        <f>RawData!AU814</f>
        <v>0</v>
      </c>
      <c r="AL82" s="44">
        <f>RawData!BW814</f>
        <v>0</v>
      </c>
      <c r="AM82" s="41">
        <f>RawData!AV814</f>
        <v>0</v>
      </c>
      <c r="AN82" s="41">
        <f>RawData!BX814</f>
        <v>0</v>
      </c>
      <c r="AO82" s="41">
        <f>RawData!AW814</f>
        <v>0</v>
      </c>
      <c r="AP82" s="41">
        <f>RawData!AX814</f>
        <v>0</v>
      </c>
      <c r="AQ82" s="40">
        <f>RawData!AY814</f>
        <v>0</v>
      </c>
      <c r="AR82" s="40">
        <f>RawData!AZ814</f>
        <v>0</v>
      </c>
      <c r="AS82" s="40">
        <f>RawData!BA814</f>
        <v>0</v>
      </c>
      <c r="AT82" s="38">
        <f>RawData!BB814</f>
        <v>0</v>
      </c>
      <c r="AU82" s="40">
        <f>RawData!BC814</f>
        <v>0</v>
      </c>
      <c r="AV82" s="40">
        <f>RawData!BD814</f>
        <v>0</v>
      </c>
      <c r="AW82" s="38">
        <f>RawData!BE814</f>
        <v>0</v>
      </c>
      <c r="AX82" s="37">
        <f>RawData!BF814</f>
        <v>0</v>
      </c>
      <c r="AY82" s="36">
        <f>RawData!BG814</f>
        <v>0</v>
      </c>
      <c r="AZ82" s="36">
        <f>RawData!BH814</f>
        <v>0</v>
      </c>
      <c r="BA82" s="40">
        <f>RawData!BI814</f>
        <v>0</v>
      </c>
      <c r="BB82" s="44">
        <f>RawData!BJ814</f>
        <v>0</v>
      </c>
      <c r="BC82" s="44">
        <f>RawData!BK814</f>
        <v>0</v>
      </c>
      <c r="BD82" s="44">
        <f>RawData!BL814</f>
        <v>0</v>
      </c>
      <c r="BE82" s="44">
        <f>RawData!BM814</f>
        <v>0</v>
      </c>
      <c r="BF82" s="44">
        <f>RawData!BN814</f>
        <v>0</v>
      </c>
      <c r="BG82" s="63">
        <f>RawData!BO814</f>
        <v>0</v>
      </c>
      <c r="BH82" s="44">
        <f>RawData!BP814</f>
        <v>0</v>
      </c>
      <c r="BI82" s="63">
        <f>RawData!BQ814</f>
        <v>0</v>
      </c>
      <c r="BJ82" s="44">
        <f>RawData!BR814</f>
        <v>0</v>
      </c>
      <c r="BK82" s="47">
        <f>RawData!BS814</f>
        <v>0</v>
      </c>
      <c r="BL82" s="44">
        <f>RawData!BT814</f>
        <v>0</v>
      </c>
      <c r="BM82" s="47">
        <f>RawData!BV814</f>
        <v>0</v>
      </c>
      <c r="BN82" s="65">
        <f>RawData!CC814</f>
        <v>0</v>
      </c>
      <c r="BO82" s="66">
        <f>RawData!CD814</f>
        <v>0</v>
      </c>
      <c r="BQ82" s="21">
        <f t="shared" si="1"/>
        <v>0</v>
      </c>
    </row>
    <row r="83" spans="1:69" x14ac:dyDescent="0.2">
      <c r="A83" s="59">
        <f>RawData!P815</f>
        <v>0</v>
      </c>
      <c r="B83" s="44">
        <f>RawData!Q815</f>
        <v>0</v>
      </c>
      <c r="C83" s="44">
        <f>RawData!R815</f>
        <v>0</v>
      </c>
      <c r="D83" s="63">
        <f>RawData!S815</f>
        <v>0</v>
      </c>
      <c r="E83" s="44">
        <f>RawData!T815</f>
        <v>0</v>
      </c>
      <c r="F83" s="63">
        <f>RawData!U815</f>
        <v>0</v>
      </c>
      <c r="G83" s="44">
        <f>RawData!V815</f>
        <v>0</v>
      </c>
      <c r="H83" s="44">
        <f>RawData!W815</f>
        <v>0</v>
      </c>
      <c r="I83" s="44">
        <f>RawData!X815</f>
        <v>0</v>
      </c>
      <c r="J83" s="44">
        <f>RawData!Y815</f>
        <v>0</v>
      </c>
      <c r="K83" s="40">
        <f>RawData!Z815</f>
        <v>0</v>
      </c>
      <c r="L83" s="40">
        <f>RawData!AA815</f>
        <v>0</v>
      </c>
      <c r="M83" s="36">
        <f>RawData!AB815</f>
        <v>0</v>
      </c>
      <c r="N83" s="36">
        <f>RawData!AC815</f>
        <v>0</v>
      </c>
      <c r="O83" s="37">
        <f>RawData!AD815</f>
        <v>0</v>
      </c>
      <c r="P83" s="38">
        <f>RawData!AE815</f>
        <v>0</v>
      </c>
      <c r="Q83" s="39">
        <f>RawData!AF815</f>
        <v>0</v>
      </c>
      <c r="R83" s="38">
        <f>RawData!AG815</f>
        <v>0</v>
      </c>
      <c r="S83" s="40">
        <f>RawData!AH815</f>
        <v>0</v>
      </c>
      <c r="T83" s="40">
        <f>RawData!AI815</f>
        <v>0</v>
      </c>
      <c r="U83" s="40">
        <f>RawData!AJ815</f>
        <v>0</v>
      </c>
      <c r="V83" s="41">
        <f>RawData!AK815</f>
        <v>0</v>
      </c>
      <c r="W83" s="41">
        <f>RawData!AL815</f>
        <v>0</v>
      </c>
      <c r="X83" s="43">
        <f>RawData!CA815</f>
        <v>0</v>
      </c>
      <c r="Y83" s="41">
        <f>RawData!AM815</f>
        <v>0</v>
      </c>
      <c r="Z83" s="44">
        <f>RawData!CB815</f>
        <v>0</v>
      </c>
      <c r="AA83" s="44">
        <f>RawData!AN815</f>
        <v>0</v>
      </c>
      <c r="AB83" s="44">
        <f>RawData!AO815</f>
        <v>0</v>
      </c>
      <c r="AC83" s="44">
        <f>RawData!AP815</f>
        <v>0</v>
      </c>
      <c r="AD83" s="63">
        <f>RawData!BZ815</f>
        <v>0</v>
      </c>
      <c r="AE83" s="44">
        <f>RawData!AQ815</f>
        <v>0</v>
      </c>
      <c r="AF83" s="46">
        <f>RawData!O815</f>
        <v>0</v>
      </c>
      <c r="AG83" s="44">
        <f>RawData!AR815</f>
        <v>0</v>
      </c>
      <c r="AH83" s="44">
        <f>RawData!BY815</f>
        <v>0</v>
      </c>
      <c r="AI83" s="44">
        <f>RawData!AS815</f>
        <v>0</v>
      </c>
      <c r="AJ83" s="44">
        <f>RawData!AT815</f>
        <v>0</v>
      </c>
      <c r="AK83" s="44">
        <f>RawData!AU815</f>
        <v>0</v>
      </c>
      <c r="AL83" s="44">
        <f>RawData!BW815</f>
        <v>0</v>
      </c>
      <c r="AM83" s="41">
        <f>RawData!AV815</f>
        <v>0</v>
      </c>
      <c r="AN83" s="41">
        <f>RawData!BX815</f>
        <v>0</v>
      </c>
      <c r="AO83" s="41">
        <f>RawData!AW815</f>
        <v>0</v>
      </c>
      <c r="AP83" s="41">
        <f>RawData!AX815</f>
        <v>0</v>
      </c>
      <c r="AQ83" s="40">
        <f>RawData!AY815</f>
        <v>0</v>
      </c>
      <c r="AR83" s="40">
        <f>RawData!AZ815</f>
        <v>0</v>
      </c>
      <c r="AS83" s="40">
        <f>RawData!BA815</f>
        <v>0</v>
      </c>
      <c r="AT83" s="38">
        <f>RawData!BB815</f>
        <v>0</v>
      </c>
      <c r="AU83" s="40">
        <f>RawData!BC815</f>
        <v>0</v>
      </c>
      <c r="AV83" s="40">
        <f>RawData!BD815</f>
        <v>0</v>
      </c>
      <c r="AW83" s="38">
        <f>RawData!BE815</f>
        <v>0</v>
      </c>
      <c r="AX83" s="37">
        <f>RawData!BF815</f>
        <v>0</v>
      </c>
      <c r="AY83" s="36">
        <f>RawData!BG815</f>
        <v>0</v>
      </c>
      <c r="AZ83" s="36">
        <f>RawData!BH815</f>
        <v>0</v>
      </c>
      <c r="BA83" s="40">
        <f>RawData!BI815</f>
        <v>0</v>
      </c>
      <c r="BB83" s="44">
        <f>RawData!BJ815</f>
        <v>0</v>
      </c>
      <c r="BC83" s="44">
        <f>RawData!BK815</f>
        <v>0</v>
      </c>
      <c r="BD83" s="44">
        <f>RawData!BL815</f>
        <v>0</v>
      </c>
      <c r="BE83" s="44">
        <f>RawData!BM815</f>
        <v>0</v>
      </c>
      <c r="BF83" s="44">
        <f>RawData!BN815</f>
        <v>0</v>
      </c>
      <c r="BG83" s="63">
        <f>RawData!BO815</f>
        <v>0</v>
      </c>
      <c r="BH83" s="44">
        <f>RawData!BP815</f>
        <v>0</v>
      </c>
      <c r="BI83" s="63">
        <f>RawData!BQ815</f>
        <v>0</v>
      </c>
      <c r="BJ83" s="44">
        <f>RawData!BR815</f>
        <v>0</v>
      </c>
      <c r="BK83" s="47">
        <f>RawData!BS815</f>
        <v>0</v>
      </c>
      <c r="BL83" s="44">
        <f>RawData!BT815</f>
        <v>0</v>
      </c>
      <c r="BM83" s="47">
        <f>RawData!BV815</f>
        <v>0</v>
      </c>
      <c r="BN83" s="65">
        <f>RawData!CC815</f>
        <v>0</v>
      </c>
      <c r="BO83" s="66">
        <f>RawData!CD815</f>
        <v>0</v>
      </c>
      <c r="BQ83" s="21">
        <f t="shared" si="1"/>
        <v>0</v>
      </c>
    </row>
    <row r="84" spans="1:69" x14ac:dyDescent="0.2">
      <c r="A84" s="59">
        <f>RawData!P816</f>
        <v>0</v>
      </c>
      <c r="B84" s="44">
        <f>RawData!Q816</f>
        <v>0</v>
      </c>
      <c r="C84" s="44">
        <f>RawData!R816</f>
        <v>0</v>
      </c>
      <c r="D84" s="63">
        <f>RawData!S816</f>
        <v>0</v>
      </c>
      <c r="E84" s="44">
        <f>RawData!T816</f>
        <v>0</v>
      </c>
      <c r="F84" s="63">
        <f>RawData!U816</f>
        <v>0</v>
      </c>
      <c r="G84" s="44">
        <f>RawData!V816</f>
        <v>0</v>
      </c>
      <c r="H84" s="44">
        <f>RawData!W816</f>
        <v>0</v>
      </c>
      <c r="I84" s="44">
        <f>RawData!X816</f>
        <v>0</v>
      </c>
      <c r="J84" s="44">
        <f>RawData!Y816</f>
        <v>0</v>
      </c>
      <c r="K84" s="40">
        <f>RawData!Z816</f>
        <v>0</v>
      </c>
      <c r="L84" s="40">
        <f>RawData!AA816</f>
        <v>0</v>
      </c>
      <c r="M84" s="36">
        <f>RawData!AB816</f>
        <v>0</v>
      </c>
      <c r="N84" s="36">
        <f>RawData!AC816</f>
        <v>0</v>
      </c>
      <c r="O84" s="37">
        <f>RawData!AD816</f>
        <v>0</v>
      </c>
      <c r="P84" s="38">
        <f>RawData!AE816</f>
        <v>0</v>
      </c>
      <c r="Q84" s="39">
        <f>RawData!AF816</f>
        <v>0</v>
      </c>
      <c r="R84" s="38">
        <f>RawData!AG816</f>
        <v>0</v>
      </c>
      <c r="S84" s="40">
        <f>RawData!AH816</f>
        <v>0</v>
      </c>
      <c r="T84" s="40">
        <f>RawData!AI816</f>
        <v>0</v>
      </c>
      <c r="U84" s="40">
        <f>RawData!AJ816</f>
        <v>0</v>
      </c>
      <c r="V84" s="41">
        <f>RawData!AK816</f>
        <v>0</v>
      </c>
      <c r="W84" s="41">
        <f>RawData!AL816</f>
        <v>0</v>
      </c>
      <c r="X84" s="43">
        <f>RawData!CA816</f>
        <v>0</v>
      </c>
      <c r="Y84" s="41">
        <f>RawData!AM816</f>
        <v>0</v>
      </c>
      <c r="Z84" s="44">
        <f>RawData!CB816</f>
        <v>0</v>
      </c>
      <c r="AA84" s="44">
        <f>RawData!AN816</f>
        <v>0</v>
      </c>
      <c r="AB84" s="44">
        <f>RawData!AO816</f>
        <v>0</v>
      </c>
      <c r="AC84" s="44">
        <f>RawData!AP816</f>
        <v>0</v>
      </c>
      <c r="AD84" s="63">
        <f>RawData!BZ816</f>
        <v>0</v>
      </c>
      <c r="AE84" s="44">
        <f>RawData!AQ816</f>
        <v>0</v>
      </c>
      <c r="AF84" s="46">
        <f>RawData!O816</f>
        <v>0</v>
      </c>
      <c r="AG84" s="44">
        <f>RawData!AR816</f>
        <v>0</v>
      </c>
      <c r="AH84" s="44">
        <f>RawData!BY816</f>
        <v>0</v>
      </c>
      <c r="AI84" s="44">
        <f>RawData!AS816</f>
        <v>0</v>
      </c>
      <c r="AJ84" s="44">
        <f>RawData!AT816</f>
        <v>0</v>
      </c>
      <c r="AK84" s="44">
        <f>RawData!AU816</f>
        <v>0</v>
      </c>
      <c r="AL84" s="44">
        <f>RawData!BW816</f>
        <v>0</v>
      </c>
      <c r="AM84" s="41">
        <f>RawData!AV816</f>
        <v>0</v>
      </c>
      <c r="AN84" s="41">
        <f>RawData!BX816</f>
        <v>0</v>
      </c>
      <c r="AO84" s="41">
        <f>RawData!AW816</f>
        <v>0</v>
      </c>
      <c r="AP84" s="41">
        <f>RawData!AX816</f>
        <v>0</v>
      </c>
      <c r="AQ84" s="40">
        <f>RawData!AY816</f>
        <v>0</v>
      </c>
      <c r="AR84" s="40">
        <f>RawData!AZ816</f>
        <v>0</v>
      </c>
      <c r="AS84" s="40">
        <f>RawData!BA816</f>
        <v>0</v>
      </c>
      <c r="AT84" s="38">
        <f>RawData!BB816</f>
        <v>0</v>
      </c>
      <c r="AU84" s="40">
        <f>RawData!BC816</f>
        <v>0</v>
      </c>
      <c r="AV84" s="40">
        <f>RawData!BD816</f>
        <v>0</v>
      </c>
      <c r="AW84" s="38">
        <f>RawData!BE816</f>
        <v>0</v>
      </c>
      <c r="AX84" s="37">
        <f>RawData!BF816</f>
        <v>0</v>
      </c>
      <c r="AY84" s="36">
        <f>RawData!BG816</f>
        <v>0</v>
      </c>
      <c r="AZ84" s="36">
        <f>RawData!BH816</f>
        <v>0</v>
      </c>
      <c r="BA84" s="40">
        <f>RawData!BI816</f>
        <v>0</v>
      </c>
      <c r="BB84" s="44">
        <f>RawData!BJ816</f>
        <v>0</v>
      </c>
      <c r="BC84" s="44">
        <f>RawData!BK816</f>
        <v>0</v>
      </c>
      <c r="BD84" s="44">
        <f>RawData!BL816</f>
        <v>0</v>
      </c>
      <c r="BE84" s="44">
        <f>RawData!BM816</f>
        <v>0</v>
      </c>
      <c r="BF84" s="44">
        <f>RawData!BN816</f>
        <v>0</v>
      </c>
      <c r="BG84" s="63">
        <f>RawData!BO816</f>
        <v>0</v>
      </c>
      <c r="BH84" s="44">
        <f>RawData!BP816</f>
        <v>0</v>
      </c>
      <c r="BI84" s="63">
        <f>RawData!BQ816</f>
        <v>0</v>
      </c>
      <c r="BJ84" s="44">
        <f>RawData!BR816</f>
        <v>0</v>
      </c>
      <c r="BK84" s="47">
        <f>RawData!BS816</f>
        <v>0</v>
      </c>
      <c r="BL84" s="44">
        <f>RawData!BT816</f>
        <v>0</v>
      </c>
      <c r="BM84" s="47">
        <f>RawData!BV816</f>
        <v>0</v>
      </c>
      <c r="BN84" s="65">
        <f>RawData!CC816</f>
        <v>0</v>
      </c>
      <c r="BO84" s="66">
        <f>RawData!CD816</f>
        <v>0</v>
      </c>
      <c r="BQ84" s="21">
        <f t="shared" si="1"/>
        <v>0</v>
      </c>
    </row>
    <row r="85" spans="1:69" x14ac:dyDescent="0.2">
      <c r="A85" s="59">
        <f>RawData!P817</f>
        <v>0</v>
      </c>
      <c r="B85" s="44">
        <f>RawData!Q817</f>
        <v>0</v>
      </c>
      <c r="C85" s="44">
        <f>RawData!R817</f>
        <v>0</v>
      </c>
      <c r="D85" s="63">
        <f>RawData!S817</f>
        <v>0</v>
      </c>
      <c r="E85" s="44">
        <f>RawData!T817</f>
        <v>0</v>
      </c>
      <c r="F85" s="63">
        <f>RawData!U817</f>
        <v>0</v>
      </c>
      <c r="G85" s="44">
        <f>RawData!V817</f>
        <v>0</v>
      </c>
      <c r="H85" s="44">
        <f>RawData!W817</f>
        <v>0</v>
      </c>
      <c r="I85" s="44">
        <f>RawData!X817</f>
        <v>0</v>
      </c>
      <c r="J85" s="44">
        <f>RawData!Y817</f>
        <v>0</v>
      </c>
      <c r="K85" s="40">
        <f>RawData!Z817</f>
        <v>0</v>
      </c>
      <c r="L85" s="40">
        <f>RawData!AA817</f>
        <v>0</v>
      </c>
      <c r="M85" s="36">
        <f>RawData!AB817</f>
        <v>0</v>
      </c>
      <c r="N85" s="36">
        <f>RawData!AC817</f>
        <v>0</v>
      </c>
      <c r="O85" s="37">
        <f>RawData!AD817</f>
        <v>0</v>
      </c>
      <c r="P85" s="38">
        <f>RawData!AE817</f>
        <v>0</v>
      </c>
      <c r="Q85" s="39">
        <f>RawData!AF817</f>
        <v>0</v>
      </c>
      <c r="R85" s="38">
        <f>RawData!AG817</f>
        <v>0</v>
      </c>
      <c r="S85" s="40">
        <f>RawData!AH817</f>
        <v>0</v>
      </c>
      <c r="T85" s="40">
        <f>RawData!AI817</f>
        <v>0</v>
      </c>
      <c r="U85" s="40">
        <f>RawData!AJ817</f>
        <v>0</v>
      </c>
      <c r="V85" s="41">
        <f>RawData!AK817</f>
        <v>0</v>
      </c>
      <c r="W85" s="41">
        <f>RawData!AL817</f>
        <v>0</v>
      </c>
      <c r="X85" s="43">
        <f>RawData!CA817</f>
        <v>0</v>
      </c>
      <c r="Y85" s="41">
        <f>RawData!AM817</f>
        <v>0</v>
      </c>
      <c r="Z85" s="44">
        <f>RawData!CB817</f>
        <v>0</v>
      </c>
      <c r="AA85" s="44">
        <f>RawData!AN817</f>
        <v>0</v>
      </c>
      <c r="AB85" s="44">
        <f>RawData!AO817</f>
        <v>0</v>
      </c>
      <c r="AC85" s="44">
        <f>RawData!AP817</f>
        <v>0</v>
      </c>
      <c r="AD85" s="63">
        <f>RawData!BZ817</f>
        <v>0</v>
      </c>
      <c r="AE85" s="44">
        <f>RawData!AQ817</f>
        <v>0</v>
      </c>
      <c r="AF85" s="46">
        <f>RawData!O817</f>
        <v>0</v>
      </c>
      <c r="AG85" s="44">
        <f>RawData!AR817</f>
        <v>0</v>
      </c>
      <c r="AH85" s="44">
        <f>RawData!BY817</f>
        <v>0</v>
      </c>
      <c r="AI85" s="44">
        <f>RawData!AS817</f>
        <v>0</v>
      </c>
      <c r="AJ85" s="44">
        <f>RawData!AT817</f>
        <v>0</v>
      </c>
      <c r="AK85" s="44">
        <f>RawData!AU817</f>
        <v>0</v>
      </c>
      <c r="AL85" s="44">
        <f>RawData!BW817</f>
        <v>0</v>
      </c>
      <c r="AM85" s="41">
        <f>RawData!AV817</f>
        <v>0</v>
      </c>
      <c r="AN85" s="41">
        <f>RawData!BX817</f>
        <v>0</v>
      </c>
      <c r="AO85" s="41">
        <f>RawData!AW817</f>
        <v>0</v>
      </c>
      <c r="AP85" s="41">
        <f>RawData!AX817</f>
        <v>0</v>
      </c>
      <c r="AQ85" s="40">
        <f>RawData!AY817</f>
        <v>0</v>
      </c>
      <c r="AR85" s="40">
        <f>RawData!AZ817</f>
        <v>0</v>
      </c>
      <c r="AS85" s="40">
        <f>RawData!BA817</f>
        <v>0</v>
      </c>
      <c r="AT85" s="38">
        <f>RawData!BB817</f>
        <v>0</v>
      </c>
      <c r="AU85" s="40">
        <f>RawData!BC817</f>
        <v>0</v>
      </c>
      <c r="AV85" s="40">
        <f>RawData!BD817</f>
        <v>0</v>
      </c>
      <c r="AW85" s="38">
        <f>RawData!BE817</f>
        <v>0</v>
      </c>
      <c r="AX85" s="37">
        <f>RawData!BF817</f>
        <v>0</v>
      </c>
      <c r="AY85" s="36">
        <f>RawData!BG817</f>
        <v>0</v>
      </c>
      <c r="AZ85" s="36">
        <f>RawData!BH817</f>
        <v>0</v>
      </c>
      <c r="BA85" s="40">
        <f>RawData!BI817</f>
        <v>0</v>
      </c>
      <c r="BB85" s="44">
        <f>RawData!BJ817</f>
        <v>0</v>
      </c>
      <c r="BC85" s="44">
        <f>RawData!BK817</f>
        <v>0</v>
      </c>
      <c r="BD85" s="44">
        <f>RawData!BL817</f>
        <v>0</v>
      </c>
      <c r="BE85" s="44">
        <f>RawData!BM817</f>
        <v>0</v>
      </c>
      <c r="BF85" s="44">
        <f>RawData!BN817</f>
        <v>0</v>
      </c>
      <c r="BG85" s="63">
        <f>RawData!BO817</f>
        <v>0</v>
      </c>
      <c r="BH85" s="44">
        <f>RawData!BP817</f>
        <v>0</v>
      </c>
      <c r="BI85" s="63">
        <f>RawData!BQ817</f>
        <v>0</v>
      </c>
      <c r="BJ85" s="44">
        <f>RawData!BR817</f>
        <v>0</v>
      </c>
      <c r="BK85" s="47">
        <f>RawData!BS817</f>
        <v>0</v>
      </c>
      <c r="BL85" s="44">
        <f>RawData!BT817</f>
        <v>0</v>
      </c>
      <c r="BM85" s="47">
        <f>RawData!BV817</f>
        <v>0</v>
      </c>
      <c r="BN85" s="65">
        <f>RawData!CC817</f>
        <v>0</v>
      </c>
      <c r="BO85" s="66">
        <f>RawData!CD817</f>
        <v>0</v>
      </c>
      <c r="BQ85" s="21">
        <f t="shared" si="1"/>
        <v>0</v>
      </c>
    </row>
    <row r="86" spans="1:69" x14ac:dyDescent="0.2">
      <c r="A86" s="59">
        <f>RawData!P818</f>
        <v>0</v>
      </c>
      <c r="B86" s="44">
        <f>RawData!Q818</f>
        <v>0</v>
      </c>
      <c r="C86" s="44">
        <f>RawData!R818</f>
        <v>0</v>
      </c>
      <c r="D86" s="63">
        <f>RawData!S818</f>
        <v>0</v>
      </c>
      <c r="E86" s="44">
        <f>RawData!T818</f>
        <v>0</v>
      </c>
      <c r="F86" s="63">
        <f>RawData!U818</f>
        <v>0</v>
      </c>
      <c r="G86" s="44">
        <f>RawData!V818</f>
        <v>0</v>
      </c>
      <c r="H86" s="44">
        <f>RawData!W818</f>
        <v>0</v>
      </c>
      <c r="I86" s="44">
        <f>RawData!X818</f>
        <v>0</v>
      </c>
      <c r="J86" s="44">
        <f>RawData!Y818</f>
        <v>0</v>
      </c>
      <c r="K86" s="40">
        <f>RawData!Z818</f>
        <v>0</v>
      </c>
      <c r="L86" s="40">
        <f>RawData!AA818</f>
        <v>0</v>
      </c>
      <c r="M86" s="36">
        <f>RawData!AB818</f>
        <v>0</v>
      </c>
      <c r="N86" s="36">
        <f>RawData!AC818</f>
        <v>0</v>
      </c>
      <c r="O86" s="37">
        <f>RawData!AD818</f>
        <v>0</v>
      </c>
      <c r="P86" s="38">
        <f>RawData!AE818</f>
        <v>0</v>
      </c>
      <c r="Q86" s="39">
        <f>RawData!AF818</f>
        <v>0</v>
      </c>
      <c r="R86" s="38">
        <f>RawData!AG818</f>
        <v>0</v>
      </c>
      <c r="S86" s="40">
        <f>RawData!AH818</f>
        <v>0</v>
      </c>
      <c r="T86" s="40">
        <f>RawData!AI818</f>
        <v>0</v>
      </c>
      <c r="U86" s="40">
        <f>RawData!AJ818</f>
        <v>0</v>
      </c>
      <c r="V86" s="41">
        <f>RawData!AK818</f>
        <v>0</v>
      </c>
      <c r="W86" s="41">
        <f>RawData!AL818</f>
        <v>0</v>
      </c>
      <c r="X86" s="43">
        <f>RawData!CA818</f>
        <v>0</v>
      </c>
      <c r="Y86" s="41">
        <f>RawData!AM818</f>
        <v>0</v>
      </c>
      <c r="Z86" s="44">
        <f>RawData!CB818</f>
        <v>0</v>
      </c>
      <c r="AA86" s="44">
        <f>RawData!AN818</f>
        <v>0</v>
      </c>
      <c r="AB86" s="44">
        <f>RawData!AO818</f>
        <v>0</v>
      </c>
      <c r="AC86" s="44">
        <f>RawData!AP818</f>
        <v>0</v>
      </c>
      <c r="AD86" s="63">
        <f>RawData!BZ818</f>
        <v>0</v>
      </c>
      <c r="AE86" s="44">
        <f>RawData!AQ818</f>
        <v>0</v>
      </c>
      <c r="AF86" s="46">
        <f>RawData!O818</f>
        <v>0</v>
      </c>
      <c r="AG86" s="44">
        <f>RawData!AR818</f>
        <v>0</v>
      </c>
      <c r="AH86" s="44">
        <f>RawData!BY818</f>
        <v>0</v>
      </c>
      <c r="AI86" s="44">
        <f>RawData!AS818</f>
        <v>0</v>
      </c>
      <c r="AJ86" s="44">
        <f>RawData!AT818</f>
        <v>0</v>
      </c>
      <c r="AK86" s="44">
        <f>RawData!AU818</f>
        <v>0</v>
      </c>
      <c r="AL86" s="44">
        <f>RawData!BW818</f>
        <v>0</v>
      </c>
      <c r="AM86" s="41">
        <f>RawData!AV818</f>
        <v>0</v>
      </c>
      <c r="AN86" s="41">
        <f>RawData!BX818</f>
        <v>0</v>
      </c>
      <c r="AO86" s="41">
        <f>RawData!AW818</f>
        <v>0</v>
      </c>
      <c r="AP86" s="41">
        <f>RawData!AX818</f>
        <v>0</v>
      </c>
      <c r="AQ86" s="40">
        <f>RawData!AY818</f>
        <v>0</v>
      </c>
      <c r="AR86" s="40">
        <f>RawData!AZ818</f>
        <v>0</v>
      </c>
      <c r="AS86" s="40">
        <f>RawData!BA818</f>
        <v>0</v>
      </c>
      <c r="AT86" s="38">
        <f>RawData!BB818</f>
        <v>0</v>
      </c>
      <c r="AU86" s="40">
        <f>RawData!BC818</f>
        <v>0</v>
      </c>
      <c r="AV86" s="40">
        <f>RawData!BD818</f>
        <v>0</v>
      </c>
      <c r="AW86" s="38">
        <f>RawData!BE818</f>
        <v>0</v>
      </c>
      <c r="AX86" s="37">
        <f>RawData!BF818</f>
        <v>0</v>
      </c>
      <c r="AY86" s="36">
        <f>RawData!BG818</f>
        <v>0</v>
      </c>
      <c r="AZ86" s="36">
        <f>RawData!BH818</f>
        <v>0</v>
      </c>
      <c r="BA86" s="40">
        <f>RawData!BI818</f>
        <v>0</v>
      </c>
      <c r="BB86" s="44">
        <f>RawData!BJ818</f>
        <v>0</v>
      </c>
      <c r="BC86" s="44">
        <f>RawData!BK818</f>
        <v>0</v>
      </c>
      <c r="BD86" s="44">
        <f>RawData!BL818</f>
        <v>0</v>
      </c>
      <c r="BE86" s="44">
        <f>RawData!BM818</f>
        <v>0</v>
      </c>
      <c r="BF86" s="44">
        <f>RawData!BN818</f>
        <v>0</v>
      </c>
      <c r="BG86" s="63">
        <f>RawData!BO818</f>
        <v>0</v>
      </c>
      <c r="BH86" s="44">
        <f>RawData!BP818</f>
        <v>0</v>
      </c>
      <c r="BI86" s="63">
        <f>RawData!BQ818</f>
        <v>0</v>
      </c>
      <c r="BJ86" s="44">
        <f>RawData!BR818</f>
        <v>0</v>
      </c>
      <c r="BK86" s="47">
        <f>RawData!BS818</f>
        <v>0</v>
      </c>
      <c r="BL86" s="44">
        <f>RawData!BT818</f>
        <v>0</v>
      </c>
      <c r="BM86" s="47">
        <f>RawData!BV818</f>
        <v>0</v>
      </c>
      <c r="BN86" s="65">
        <f>RawData!CC818</f>
        <v>0</v>
      </c>
      <c r="BO86" s="66">
        <f>RawData!CD818</f>
        <v>0</v>
      </c>
      <c r="BQ86" s="21">
        <f t="shared" si="1"/>
        <v>0</v>
      </c>
    </row>
    <row r="87" spans="1:69" x14ac:dyDescent="0.2">
      <c r="A87" s="59">
        <f>RawData!P819</f>
        <v>0</v>
      </c>
      <c r="B87" s="44">
        <f>RawData!Q819</f>
        <v>0</v>
      </c>
      <c r="C87" s="44">
        <f>RawData!R819</f>
        <v>0</v>
      </c>
      <c r="D87" s="63">
        <f>RawData!S819</f>
        <v>0</v>
      </c>
      <c r="E87" s="44">
        <f>RawData!T819</f>
        <v>0</v>
      </c>
      <c r="F87" s="63">
        <f>RawData!U819</f>
        <v>0</v>
      </c>
      <c r="G87" s="44">
        <f>RawData!V819</f>
        <v>0</v>
      </c>
      <c r="H87" s="44">
        <f>RawData!W819</f>
        <v>0</v>
      </c>
      <c r="I87" s="44">
        <f>RawData!X819</f>
        <v>0</v>
      </c>
      <c r="J87" s="44">
        <f>RawData!Y819</f>
        <v>0</v>
      </c>
      <c r="K87" s="40">
        <f>RawData!Z819</f>
        <v>0</v>
      </c>
      <c r="L87" s="40">
        <f>RawData!AA819</f>
        <v>0</v>
      </c>
      <c r="M87" s="36">
        <f>RawData!AB819</f>
        <v>0</v>
      </c>
      <c r="N87" s="36">
        <f>RawData!AC819</f>
        <v>0</v>
      </c>
      <c r="O87" s="37">
        <f>RawData!AD819</f>
        <v>0</v>
      </c>
      <c r="P87" s="38">
        <f>RawData!AE819</f>
        <v>0</v>
      </c>
      <c r="Q87" s="39">
        <f>RawData!AF819</f>
        <v>0</v>
      </c>
      <c r="R87" s="38">
        <f>RawData!AG819</f>
        <v>0</v>
      </c>
      <c r="S87" s="40">
        <f>RawData!AH819</f>
        <v>0</v>
      </c>
      <c r="T87" s="40">
        <f>RawData!AI819</f>
        <v>0</v>
      </c>
      <c r="U87" s="40">
        <f>RawData!AJ819</f>
        <v>0</v>
      </c>
      <c r="V87" s="41">
        <f>RawData!AK819</f>
        <v>0</v>
      </c>
      <c r="W87" s="41">
        <f>RawData!AL819</f>
        <v>0</v>
      </c>
      <c r="X87" s="43">
        <f>RawData!CA819</f>
        <v>0</v>
      </c>
      <c r="Y87" s="41">
        <f>RawData!AM819</f>
        <v>0</v>
      </c>
      <c r="Z87" s="44">
        <f>RawData!CB819</f>
        <v>0</v>
      </c>
      <c r="AA87" s="44">
        <f>RawData!AN819</f>
        <v>0</v>
      </c>
      <c r="AB87" s="44">
        <f>RawData!AO819</f>
        <v>0</v>
      </c>
      <c r="AC87" s="44">
        <f>RawData!AP819</f>
        <v>0</v>
      </c>
      <c r="AD87" s="63">
        <f>RawData!BZ819</f>
        <v>0</v>
      </c>
      <c r="AE87" s="44">
        <f>RawData!AQ819</f>
        <v>0</v>
      </c>
      <c r="AF87" s="46">
        <f>RawData!O819</f>
        <v>0</v>
      </c>
      <c r="AG87" s="44">
        <f>RawData!AR819</f>
        <v>0</v>
      </c>
      <c r="AH87" s="44">
        <f>RawData!BY819</f>
        <v>0</v>
      </c>
      <c r="AI87" s="44">
        <f>RawData!AS819</f>
        <v>0</v>
      </c>
      <c r="AJ87" s="44">
        <f>RawData!AT819</f>
        <v>0</v>
      </c>
      <c r="AK87" s="44">
        <f>RawData!AU819</f>
        <v>0</v>
      </c>
      <c r="AL87" s="44">
        <f>RawData!BW819</f>
        <v>0</v>
      </c>
      <c r="AM87" s="41">
        <f>RawData!AV819</f>
        <v>0</v>
      </c>
      <c r="AN87" s="41">
        <f>RawData!BX819</f>
        <v>0</v>
      </c>
      <c r="AO87" s="41">
        <f>RawData!AW819</f>
        <v>0</v>
      </c>
      <c r="AP87" s="41">
        <f>RawData!AX819</f>
        <v>0</v>
      </c>
      <c r="AQ87" s="40">
        <f>RawData!AY819</f>
        <v>0</v>
      </c>
      <c r="AR87" s="40">
        <f>RawData!AZ819</f>
        <v>0</v>
      </c>
      <c r="AS87" s="40">
        <f>RawData!BA819</f>
        <v>0</v>
      </c>
      <c r="AT87" s="38">
        <f>RawData!BB819</f>
        <v>0</v>
      </c>
      <c r="AU87" s="40">
        <f>RawData!BC819</f>
        <v>0</v>
      </c>
      <c r="AV87" s="40">
        <f>RawData!BD819</f>
        <v>0</v>
      </c>
      <c r="AW87" s="38">
        <f>RawData!BE819</f>
        <v>0</v>
      </c>
      <c r="AX87" s="37">
        <f>RawData!BF819</f>
        <v>0</v>
      </c>
      <c r="AY87" s="36">
        <f>RawData!BG819</f>
        <v>0</v>
      </c>
      <c r="AZ87" s="36">
        <f>RawData!BH819</f>
        <v>0</v>
      </c>
      <c r="BA87" s="40">
        <f>RawData!BI819</f>
        <v>0</v>
      </c>
      <c r="BB87" s="44">
        <f>RawData!BJ819</f>
        <v>0</v>
      </c>
      <c r="BC87" s="44">
        <f>RawData!BK819</f>
        <v>0</v>
      </c>
      <c r="BD87" s="44">
        <f>RawData!BL819</f>
        <v>0</v>
      </c>
      <c r="BE87" s="44">
        <f>RawData!BM819</f>
        <v>0</v>
      </c>
      <c r="BF87" s="44">
        <f>RawData!BN819</f>
        <v>0</v>
      </c>
      <c r="BG87" s="63">
        <f>RawData!BO819</f>
        <v>0</v>
      </c>
      <c r="BH87" s="44">
        <f>RawData!BP819</f>
        <v>0</v>
      </c>
      <c r="BI87" s="63">
        <f>RawData!BQ819</f>
        <v>0</v>
      </c>
      <c r="BJ87" s="44">
        <f>RawData!BR819</f>
        <v>0</v>
      </c>
      <c r="BK87" s="47">
        <f>RawData!BS819</f>
        <v>0</v>
      </c>
      <c r="BL87" s="44">
        <f>RawData!BT819</f>
        <v>0</v>
      </c>
      <c r="BM87" s="47">
        <f>RawData!BV819</f>
        <v>0</v>
      </c>
      <c r="BN87" s="65">
        <f>RawData!CC819</f>
        <v>0</v>
      </c>
      <c r="BO87" s="66">
        <f>RawData!CD819</f>
        <v>0</v>
      </c>
      <c r="BQ87" s="21">
        <f t="shared" si="1"/>
        <v>0</v>
      </c>
    </row>
    <row r="88" spans="1:69" x14ac:dyDescent="0.2">
      <c r="A88" s="59">
        <f>RawData!P820</f>
        <v>0</v>
      </c>
      <c r="B88" s="44">
        <f>RawData!Q820</f>
        <v>0</v>
      </c>
      <c r="C88" s="44">
        <f>RawData!R820</f>
        <v>0</v>
      </c>
      <c r="D88" s="63">
        <f>RawData!S820</f>
        <v>0</v>
      </c>
      <c r="E88" s="44">
        <f>RawData!T820</f>
        <v>0</v>
      </c>
      <c r="F88" s="63">
        <f>RawData!U820</f>
        <v>0</v>
      </c>
      <c r="G88" s="44">
        <f>RawData!V820</f>
        <v>0</v>
      </c>
      <c r="H88" s="44">
        <f>RawData!W820</f>
        <v>0</v>
      </c>
      <c r="I88" s="44">
        <f>RawData!X820</f>
        <v>0</v>
      </c>
      <c r="J88" s="44">
        <f>RawData!Y820</f>
        <v>0</v>
      </c>
      <c r="K88" s="40">
        <f>RawData!Z820</f>
        <v>0</v>
      </c>
      <c r="L88" s="40">
        <f>RawData!AA820</f>
        <v>0</v>
      </c>
      <c r="M88" s="36">
        <f>RawData!AB820</f>
        <v>0</v>
      </c>
      <c r="N88" s="36">
        <f>RawData!AC820</f>
        <v>0</v>
      </c>
      <c r="O88" s="37">
        <f>RawData!AD820</f>
        <v>0</v>
      </c>
      <c r="P88" s="38">
        <f>RawData!AE820</f>
        <v>0</v>
      </c>
      <c r="Q88" s="39">
        <f>RawData!AF820</f>
        <v>0</v>
      </c>
      <c r="R88" s="38">
        <f>RawData!AG820</f>
        <v>0</v>
      </c>
      <c r="S88" s="40">
        <f>RawData!AH820</f>
        <v>0</v>
      </c>
      <c r="T88" s="40">
        <f>RawData!AI820</f>
        <v>0</v>
      </c>
      <c r="U88" s="40">
        <f>RawData!AJ820</f>
        <v>0</v>
      </c>
      <c r="V88" s="41">
        <f>RawData!AK820</f>
        <v>0</v>
      </c>
      <c r="W88" s="41">
        <f>RawData!AL820</f>
        <v>0</v>
      </c>
      <c r="X88" s="43">
        <f>RawData!CA820</f>
        <v>0</v>
      </c>
      <c r="Y88" s="41">
        <f>RawData!AM820</f>
        <v>0</v>
      </c>
      <c r="Z88" s="44">
        <f>RawData!CB820</f>
        <v>0</v>
      </c>
      <c r="AA88" s="44">
        <f>RawData!AN820</f>
        <v>0</v>
      </c>
      <c r="AB88" s="44">
        <f>RawData!AO820</f>
        <v>0</v>
      </c>
      <c r="AC88" s="44">
        <f>RawData!AP820</f>
        <v>0</v>
      </c>
      <c r="AD88" s="63">
        <f>RawData!BZ820</f>
        <v>0</v>
      </c>
      <c r="AE88" s="44">
        <f>RawData!AQ820</f>
        <v>0</v>
      </c>
      <c r="AF88" s="46">
        <f>RawData!O820</f>
        <v>0</v>
      </c>
      <c r="AG88" s="44">
        <f>RawData!AR820</f>
        <v>0</v>
      </c>
      <c r="AH88" s="44">
        <f>RawData!BY820</f>
        <v>0</v>
      </c>
      <c r="AI88" s="44">
        <f>RawData!AS820</f>
        <v>0</v>
      </c>
      <c r="AJ88" s="44">
        <f>RawData!AT820</f>
        <v>0</v>
      </c>
      <c r="AK88" s="44">
        <f>RawData!AU820</f>
        <v>0</v>
      </c>
      <c r="AL88" s="44">
        <f>RawData!BW820</f>
        <v>0</v>
      </c>
      <c r="AM88" s="41">
        <f>RawData!AV820</f>
        <v>0</v>
      </c>
      <c r="AN88" s="41">
        <f>RawData!BX820</f>
        <v>0</v>
      </c>
      <c r="AO88" s="41">
        <f>RawData!AW820</f>
        <v>0</v>
      </c>
      <c r="AP88" s="41">
        <f>RawData!AX820</f>
        <v>0</v>
      </c>
      <c r="AQ88" s="40">
        <f>RawData!AY820</f>
        <v>0</v>
      </c>
      <c r="AR88" s="40">
        <f>RawData!AZ820</f>
        <v>0</v>
      </c>
      <c r="AS88" s="40">
        <f>RawData!BA820</f>
        <v>0</v>
      </c>
      <c r="AT88" s="38">
        <f>RawData!BB820</f>
        <v>0</v>
      </c>
      <c r="AU88" s="40">
        <f>RawData!BC820</f>
        <v>0</v>
      </c>
      <c r="AV88" s="40">
        <f>RawData!BD820</f>
        <v>0</v>
      </c>
      <c r="AW88" s="38">
        <f>RawData!BE820</f>
        <v>0</v>
      </c>
      <c r="AX88" s="37">
        <f>RawData!BF820</f>
        <v>0</v>
      </c>
      <c r="AY88" s="36">
        <f>RawData!BG820</f>
        <v>0</v>
      </c>
      <c r="AZ88" s="36">
        <f>RawData!BH820</f>
        <v>0</v>
      </c>
      <c r="BA88" s="40">
        <f>RawData!BI820</f>
        <v>0</v>
      </c>
      <c r="BB88" s="44">
        <f>RawData!BJ820</f>
        <v>0</v>
      </c>
      <c r="BC88" s="44">
        <f>RawData!BK820</f>
        <v>0</v>
      </c>
      <c r="BD88" s="44">
        <f>RawData!BL820</f>
        <v>0</v>
      </c>
      <c r="BE88" s="44">
        <f>RawData!BM820</f>
        <v>0</v>
      </c>
      <c r="BF88" s="44">
        <f>RawData!BN820</f>
        <v>0</v>
      </c>
      <c r="BG88" s="63">
        <f>RawData!BO820</f>
        <v>0</v>
      </c>
      <c r="BH88" s="44">
        <f>RawData!BP820</f>
        <v>0</v>
      </c>
      <c r="BI88" s="63">
        <f>RawData!BQ820</f>
        <v>0</v>
      </c>
      <c r="BJ88" s="44">
        <f>RawData!BR820</f>
        <v>0</v>
      </c>
      <c r="BK88" s="47">
        <f>RawData!BS820</f>
        <v>0</v>
      </c>
      <c r="BL88" s="44">
        <f>RawData!BT820</f>
        <v>0</v>
      </c>
      <c r="BM88" s="47">
        <f>RawData!BV820</f>
        <v>0</v>
      </c>
      <c r="BN88" s="65">
        <f>RawData!CC820</f>
        <v>0</v>
      </c>
      <c r="BO88" s="66">
        <f>RawData!CD820</f>
        <v>0</v>
      </c>
      <c r="BQ88" s="21">
        <f t="shared" si="1"/>
        <v>0</v>
      </c>
    </row>
    <row r="89" spans="1:69" x14ac:dyDescent="0.2">
      <c r="A89" s="59">
        <f>RawData!P821</f>
        <v>0</v>
      </c>
      <c r="B89" s="44">
        <f>RawData!Q821</f>
        <v>0</v>
      </c>
      <c r="C89" s="44">
        <f>RawData!R821</f>
        <v>0</v>
      </c>
      <c r="D89" s="63">
        <f>RawData!S821</f>
        <v>0</v>
      </c>
      <c r="E89" s="44">
        <f>RawData!T821</f>
        <v>0</v>
      </c>
      <c r="F89" s="63">
        <f>RawData!U821</f>
        <v>0</v>
      </c>
      <c r="G89" s="44">
        <f>RawData!V821</f>
        <v>0</v>
      </c>
      <c r="H89" s="44">
        <f>RawData!W821</f>
        <v>0</v>
      </c>
      <c r="I89" s="44">
        <f>RawData!X821</f>
        <v>0</v>
      </c>
      <c r="J89" s="44">
        <f>RawData!Y821</f>
        <v>0</v>
      </c>
      <c r="K89" s="40">
        <f>RawData!Z821</f>
        <v>0</v>
      </c>
      <c r="L89" s="40">
        <f>RawData!AA821</f>
        <v>0</v>
      </c>
      <c r="M89" s="36">
        <f>RawData!AB821</f>
        <v>0</v>
      </c>
      <c r="N89" s="36">
        <f>RawData!AC821</f>
        <v>0</v>
      </c>
      <c r="O89" s="37">
        <f>RawData!AD821</f>
        <v>0</v>
      </c>
      <c r="P89" s="38">
        <f>RawData!AE821</f>
        <v>0</v>
      </c>
      <c r="Q89" s="39">
        <f>RawData!AF821</f>
        <v>0</v>
      </c>
      <c r="R89" s="38">
        <f>RawData!AG821</f>
        <v>0</v>
      </c>
      <c r="S89" s="40">
        <f>RawData!AH821</f>
        <v>0</v>
      </c>
      <c r="T89" s="40">
        <f>RawData!AI821</f>
        <v>0</v>
      </c>
      <c r="U89" s="40">
        <f>RawData!AJ821</f>
        <v>0</v>
      </c>
      <c r="V89" s="41">
        <f>RawData!AK821</f>
        <v>0</v>
      </c>
      <c r="W89" s="41">
        <f>RawData!AL821</f>
        <v>0</v>
      </c>
      <c r="X89" s="43">
        <f>RawData!CA821</f>
        <v>0</v>
      </c>
      <c r="Y89" s="41">
        <f>RawData!AM821</f>
        <v>0</v>
      </c>
      <c r="Z89" s="44">
        <f>RawData!CB821</f>
        <v>0</v>
      </c>
      <c r="AA89" s="44">
        <f>RawData!AN821</f>
        <v>0</v>
      </c>
      <c r="AB89" s="44">
        <f>RawData!AO821</f>
        <v>0</v>
      </c>
      <c r="AC89" s="44">
        <f>RawData!AP821</f>
        <v>0</v>
      </c>
      <c r="AD89" s="63">
        <f>RawData!BZ821</f>
        <v>0</v>
      </c>
      <c r="AE89" s="44">
        <f>RawData!AQ821</f>
        <v>0</v>
      </c>
      <c r="AF89" s="46">
        <f>RawData!O821</f>
        <v>0</v>
      </c>
      <c r="AG89" s="44">
        <f>RawData!AR821</f>
        <v>0</v>
      </c>
      <c r="AH89" s="44">
        <f>RawData!BY821</f>
        <v>0</v>
      </c>
      <c r="AI89" s="44">
        <f>RawData!AS821</f>
        <v>0</v>
      </c>
      <c r="AJ89" s="44">
        <f>RawData!AT821</f>
        <v>0</v>
      </c>
      <c r="AK89" s="44">
        <f>RawData!AU821</f>
        <v>0</v>
      </c>
      <c r="AL89" s="44">
        <f>RawData!BW821</f>
        <v>0</v>
      </c>
      <c r="AM89" s="41">
        <f>RawData!AV821</f>
        <v>0</v>
      </c>
      <c r="AN89" s="41">
        <f>RawData!BX821</f>
        <v>0</v>
      </c>
      <c r="AO89" s="41">
        <f>RawData!AW821</f>
        <v>0</v>
      </c>
      <c r="AP89" s="41">
        <f>RawData!AX821</f>
        <v>0</v>
      </c>
      <c r="AQ89" s="40">
        <f>RawData!AY821</f>
        <v>0</v>
      </c>
      <c r="AR89" s="40">
        <f>RawData!AZ821</f>
        <v>0</v>
      </c>
      <c r="AS89" s="40">
        <f>RawData!BA821</f>
        <v>0</v>
      </c>
      <c r="AT89" s="38">
        <f>RawData!BB821</f>
        <v>0</v>
      </c>
      <c r="AU89" s="40">
        <f>RawData!BC821</f>
        <v>0</v>
      </c>
      <c r="AV89" s="40">
        <f>RawData!BD821</f>
        <v>0</v>
      </c>
      <c r="AW89" s="38">
        <f>RawData!BE821</f>
        <v>0</v>
      </c>
      <c r="AX89" s="37">
        <f>RawData!BF821</f>
        <v>0</v>
      </c>
      <c r="AY89" s="36">
        <f>RawData!BG821</f>
        <v>0</v>
      </c>
      <c r="AZ89" s="36">
        <f>RawData!BH821</f>
        <v>0</v>
      </c>
      <c r="BA89" s="40">
        <f>RawData!BI821</f>
        <v>0</v>
      </c>
      <c r="BB89" s="44">
        <f>RawData!BJ821</f>
        <v>0</v>
      </c>
      <c r="BC89" s="44">
        <f>RawData!BK821</f>
        <v>0</v>
      </c>
      <c r="BD89" s="44">
        <f>RawData!BL821</f>
        <v>0</v>
      </c>
      <c r="BE89" s="44">
        <f>RawData!BM821</f>
        <v>0</v>
      </c>
      <c r="BF89" s="44">
        <f>RawData!BN821</f>
        <v>0</v>
      </c>
      <c r="BG89" s="63">
        <f>RawData!BO821</f>
        <v>0</v>
      </c>
      <c r="BH89" s="44">
        <f>RawData!BP821</f>
        <v>0</v>
      </c>
      <c r="BI89" s="63">
        <f>RawData!BQ821</f>
        <v>0</v>
      </c>
      <c r="BJ89" s="44">
        <f>RawData!BR821</f>
        <v>0</v>
      </c>
      <c r="BK89" s="47">
        <f>RawData!BS821</f>
        <v>0</v>
      </c>
      <c r="BL89" s="44">
        <f>RawData!BT821</f>
        <v>0</v>
      </c>
      <c r="BM89" s="47">
        <f>RawData!BV821</f>
        <v>0</v>
      </c>
      <c r="BN89" s="65">
        <f>RawData!CC821</f>
        <v>0</v>
      </c>
      <c r="BO89" s="66">
        <f>RawData!CD821</f>
        <v>0</v>
      </c>
      <c r="BQ89" s="21">
        <f t="shared" si="1"/>
        <v>0</v>
      </c>
    </row>
    <row r="90" spans="1:69" x14ac:dyDescent="0.2">
      <c r="A90" s="59">
        <f>RawData!P822</f>
        <v>0</v>
      </c>
      <c r="B90" s="44">
        <f>RawData!Q822</f>
        <v>0</v>
      </c>
      <c r="C90" s="44">
        <f>RawData!R822</f>
        <v>0</v>
      </c>
      <c r="D90" s="63">
        <f>RawData!S822</f>
        <v>0</v>
      </c>
      <c r="E90" s="44">
        <f>RawData!T822</f>
        <v>0</v>
      </c>
      <c r="F90" s="63">
        <f>RawData!U822</f>
        <v>0</v>
      </c>
      <c r="G90" s="44">
        <f>RawData!V822</f>
        <v>0</v>
      </c>
      <c r="H90" s="44">
        <f>RawData!W822</f>
        <v>0</v>
      </c>
      <c r="I90" s="44">
        <f>RawData!X822</f>
        <v>0</v>
      </c>
      <c r="J90" s="44">
        <f>RawData!Y822</f>
        <v>0</v>
      </c>
      <c r="K90" s="40">
        <f>RawData!Z822</f>
        <v>0</v>
      </c>
      <c r="L90" s="40">
        <f>RawData!AA822</f>
        <v>0</v>
      </c>
      <c r="M90" s="36">
        <f>RawData!AB822</f>
        <v>0</v>
      </c>
      <c r="N90" s="36">
        <f>RawData!AC822</f>
        <v>0</v>
      </c>
      <c r="O90" s="37">
        <f>RawData!AD822</f>
        <v>0</v>
      </c>
      <c r="P90" s="38">
        <f>RawData!AE822</f>
        <v>0</v>
      </c>
      <c r="Q90" s="39">
        <f>RawData!AF822</f>
        <v>0</v>
      </c>
      <c r="R90" s="38">
        <f>RawData!AG822</f>
        <v>0</v>
      </c>
      <c r="S90" s="40">
        <f>RawData!AH822</f>
        <v>0</v>
      </c>
      <c r="T90" s="40">
        <f>RawData!AI822</f>
        <v>0</v>
      </c>
      <c r="U90" s="40">
        <f>RawData!AJ822</f>
        <v>0</v>
      </c>
      <c r="V90" s="41">
        <f>RawData!AK822</f>
        <v>0</v>
      </c>
      <c r="W90" s="41">
        <f>RawData!AL822</f>
        <v>0</v>
      </c>
      <c r="X90" s="43">
        <f>RawData!CA822</f>
        <v>0</v>
      </c>
      <c r="Y90" s="41">
        <f>RawData!AM822</f>
        <v>0</v>
      </c>
      <c r="Z90" s="44">
        <f>RawData!CB822</f>
        <v>0</v>
      </c>
      <c r="AA90" s="44">
        <f>RawData!AN822</f>
        <v>0</v>
      </c>
      <c r="AB90" s="44">
        <f>RawData!AO822</f>
        <v>0</v>
      </c>
      <c r="AC90" s="44">
        <f>RawData!AP822</f>
        <v>0</v>
      </c>
      <c r="AD90" s="63">
        <f>RawData!BZ822</f>
        <v>0</v>
      </c>
      <c r="AE90" s="44">
        <f>RawData!AQ822</f>
        <v>0</v>
      </c>
      <c r="AF90" s="46">
        <f>RawData!O822</f>
        <v>0</v>
      </c>
      <c r="AG90" s="44">
        <f>RawData!AR822</f>
        <v>0</v>
      </c>
      <c r="AH90" s="44">
        <f>RawData!BY822</f>
        <v>0</v>
      </c>
      <c r="AI90" s="44">
        <f>RawData!AS822</f>
        <v>0</v>
      </c>
      <c r="AJ90" s="44">
        <f>RawData!AT822</f>
        <v>0</v>
      </c>
      <c r="AK90" s="44">
        <f>RawData!AU822</f>
        <v>0</v>
      </c>
      <c r="AL90" s="44">
        <f>RawData!BW822</f>
        <v>0</v>
      </c>
      <c r="AM90" s="41">
        <f>RawData!AV822</f>
        <v>0</v>
      </c>
      <c r="AN90" s="41">
        <f>RawData!BX822</f>
        <v>0</v>
      </c>
      <c r="AO90" s="41">
        <f>RawData!AW822</f>
        <v>0</v>
      </c>
      <c r="AP90" s="41">
        <f>RawData!AX822</f>
        <v>0</v>
      </c>
      <c r="AQ90" s="40">
        <f>RawData!AY822</f>
        <v>0</v>
      </c>
      <c r="AR90" s="40">
        <f>RawData!AZ822</f>
        <v>0</v>
      </c>
      <c r="AS90" s="40">
        <f>RawData!BA822</f>
        <v>0</v>
      </c>
      <c r="AT90" s="38">
        <f>RawData!BB822</f>
        <v>0</v>
      </c>
      <c r="AU90" s="40">
        <f>RawData!BC822</f>
        <v>0</v>
      </c>
      <c r="AV90" s="40">
        <f>RawData!BD822</f>
        <v>0</v>
      </c>
      <c r="AW90" s="38">
        <f>RawData!BE822</f>
        <v>0</v>
      </c>
      <c r="AX90" s="37">
        <f>RawData!BF822</f>
        <v>0</v>
      </c>
      <c r="AY90" s="36">
        <f>RawData!BG822</f>
        <v>0</v>
      </c>
      <c r="AZ90" s="36">
        <f>RawData!BH822</f>
        <v>0</v>
      </c>
      <c r="BA90" s="40">
        <f>RawData!BI822</f>
        <v>0</v>
      </c>
      <c r="BB90" s="44">
        <f>RawData!BJ822</f>
        <v>0</v>
      </c>
      <c r="BC90" s="44">
        <f>RawData!BK822</f>
        <v>0</v>
      </c>
      <c r="BD90" s="44">
        <f>RawData!BL822</f>
        <v>0</v>
      </c>
      <c r="BE90" s="44">
        <f>RawData!BM822</f>
        <v>0</v>
      </c>
      <c r="BF90" s="44">
        <f>RawData!BN822</f>
        <v>0</v>
      </c>
      <c r="BG90" s="63">
        <f>RawData!BO822</f>
        <v>0</v>
      </c>
      <c r="BH90" s="44">
        <f>RawData!BP822</f>
        <v>0</v>
      </c>
      <c r="BI90" s="63">
        <f>RawData!BQ822</f>
        <v>0</v>
      </c>
      <c r="BJ90" s="44">
        <f>RawData!BR822</f>
        <v>0</v>
      </c>
      <c r="BK90" s="47">
        <f>RawData!BS822</f>
        <v>0</v>
      </c>
      <c r="BL90" s="44">
        <f>RawData!BT822</f>
        <v>0</v>
      </c>
      <c r="BM90" s="47">
        <f>RawData!BV822</f>
        <v>0</v>
      </c>
      <c r="BN90" s="65">
        <f>RawData!CC822</f>
        <v>0</v>
      </c>
      <c r="BO90" s="66">
        <f>RawData!CD822</f>
        <v>0</v>
      </c>
      <c r="BQ90" s="21">
        <f t="shared" si="1"/>
        <v>0</v>
      </c>
    </row>
    <row r="91" spans="1:69" x14ac:dyDescent="0.2">
      <c r="A91" s="59">
        <f>RawData!P823</f>
        <v>0</v>
      </c>
      <c r="B91" s="44">
        <f>RawData!Q823</f>
        <v>0</v>
      </c>
      <c r="C91" s="44">
        <f>RawData!R823</f>
        <v>0</v>
      </c>
      <c r="D91" s="63">
        <f>RawData!S823</f>
        <v>0</v>
      </c>
      <c r="E91" s="44">
        <f>RawData!T823</f>
        <v>0</v>
      </c>
      <c r="F91" s="63">
        <f>RawData!U823</f>
        <v>0</v>
      </c>
      <c r="G91" s="44">
        <f>RawData!V823</f>
        <v>0</v>
      </c>
      <c r="H91" s="44">
        <f>RawData!W823</f>
        <v>0</v>
      </c>
      <c r="I91" s="44">
        <f>RawData!X823</f>
        <v>0</v>
      </c>
      <c r="J91" s="44">
        <f>RawData!Y823</f>
        <v>0</v>
      </c>
      <c r="K91" s="40">
        <f>RawData!Z823</f>
        <v>0</v>
      </c>
      <c r="L91" s="40">
        <f>RawData!AA823</f>
        <v>0</v>
      </c>
      <c r="M91" s="36">
        <f>RawData!AB823</f>
        <v>0</v>
      </c>
      <c r="N91" s="36">
        <f>RawData!AC823</f>
        <v>0</v>
      </c>
      <c r="O91" s="37">
        <f>RawData!AD823</f>
        <v>0</v>
      </c>
      <c r="P91" s="38">
        <f>RawData!AE823</f>
        <v>0</v>
      </c>
      <c r="Q91" s="39">
        <f>RawData!AF823</f>
        <v>0</v>
      </c>
      <c r="R91" s="38">
        <f>RawData!AG823</f>
        <v>0</v>
      </c>
      <c r="S91" s="40">
        <f>RawData!AH823</f>
        <v>0</v>
      </c>
      <c r="T91" s="40">
        <f>RawData!AI823</f>
        <v>0</v>
      </c>
      <c r="U91" s="40">
        <f>RawData!AJ823</f>
        <v>0</v>
      </c>
      <c r="V91" s="41">
        <f>RawData!AK823</f>
        <v>0</v>
      </c>
      <c r="W91" s="41">
        <f>RawData!AL823</f>
        <v>0</v>
      </c>
      <c r="X91" s="43">
        <f>RawData!CA823</f>
        <v>0</v>
      </c>
      <c r="Y91" s="41">
        <f>RawData!AM823</f>
        <v>0</v>
      </c>
      <c r="Z91" s="44">
        <f>RawData!CB823</f>
        <v>0</v>
      </c>
      <c r="AA91" s="44">
        <f>RawData!AN823</f>
        <v>0</v>
      </c>
      <c r="AB91" s="44">
        <f>RawData!AO823</f>
        <v>0</v>
      </c>
      <c r="AC91" s="44">
        <f>RawData!AP823</f>
        <v>0</v>
      </c>
      <c r="AD91" s="63">
        <f>RawData!BZ823</f>
        <v>0</v>
      </c>
      <c r="AE91" s="44">
        <f>RawData!AQ823</f>
        <v>0</v>
      </c>
      <c r="AF91" s="46">
        <f>RawData!O823</f>
        <v>0</v>
      </c>
      <c r="AG91" s="44">
        <f>RawData!AR823</f>
        <v>0</v>
      </c>
      <c r="AH91" s="44">
        <f>RawData!BY823</f>
        <v>0</v>
      </c>
      <c r="AI91" s="44">
        <f>RawData!AS823</f>
        <v>0</v>
      </c>
      <c r="AJ91" s="44">
        <f>RawData!AT823</f>
        <v>0</v>
      </c>
      <c r="AK91" s="44">
        <f>RawData!AU823</f>
        <v>0</v>
      </c>
      <c r="AL91" s="44">
        <f>RawData!BW823</f>
        <v>0</v>
      </c>
      <c r="AM91" s="41">
        <f>RawData!AV823</f>
        <v>0</v>
      </c>
      <c r="AN91" s="41">
        <f>RawData!BX823</f>
        <v>0</v>
      </c>
      <c r="AO91" s="41">
        <f>RawData!AW823</f>
        <v>0</v>
      </c>
      <c r="AP91" s="41">
        <f>RawData!AX823</f>
        <v>0</v>
      </c>
      <c r="AQ91" s="40">
        <f>RawData!AY823</f>
        <v>0</v>
      </c>
      <c r="AR91" s="40">
        <f>RawData!AZ823</f>
        <v>0</v>
      </c>
      <c r="AS91" s="40">
        <f>RawData!BA823</f>
        <v>0</v>
      </c>
      <c r="AT91" s="38">
        <f>RawData!BB823</f>
        <v>0</v>
      </c>
      <c r="AU91" s="40">
        <f>RawData!BC823</f>
        <v>0</v>
      </c>
      <c r="AV91" s="40">
        <f>RawData!BD823</f>
        <v>0</v>
      </c>
      <c r="AW91" s="38">
        <f>RawData!BE823</f>
        <v>0</v>
      </c>
      <c r="AX91" s="37">
        <f>RawData!BF823</f>
        <v>0</v>
      </c>
      <c r="AY91" s="36">
        <f>RawData!BG823</f>
        <v>0</v>
      </c>
      <c r="AZ91" s="36">
        <f>RawData!BH823</f>
        <v>0</v>
      </c>
      <c r="BA91" s="40">
        <f>RawData!BI823</f>
        <v>0</v>
      </c>
      <c r="BB91" s="44">
        <f>RawData!BJ823</f>
        <v>0</v>
      </c>
      <c r="BC91" s="44">
        <f>RawData!BK823</f>
        <v>0</v>
      </c>
      <c r="BD91" s="44">
        <f>RawData!BL823</f>
        <v>0</v>
      </c>
      <c r="BE91" s="44">
        <f>RawData!BM823</f>
        <v>0</v>
      </c>
      <c r="BF91" s="44">
        <f>RawData!BN823</f>
        <v>0</v>
      </c>
      <c r="BG91" s="63">
        <f>RawData!BO823</f>
        <v>0</v>
      </c>
      <c r="BH91" s="44">
        <f>RawData!BP823</f>
        <v>0</v>
      </c>
      <c r="BI91" s="63">
        <f>RawData!BQ823</f>
        <v>0</v>
      </c>
      <c r="BJ91" s="44">
        <f>RawData!BR823</f>
        <v>0</v>
      </c>
      <c r="BK91" s="47">
        <f>RawData!BS823</f>
        <v>0</v>
      </c>
      <c r="BL91" s="44">
        <f>RawData!BT823</f>
        <v>0</v>
      </c>
      <c r="BM91" s="47">
        <f>RawData!BV823</f>
        <v>0</v>
      </c>
      <c r="BN91" s="65">
        <f>RawData!CC823</f>
        <v>0</v>
      </c>
      <c r="BO91" s="66">
        <f>RawData!CD823</f>
        <v>0</v>
      </c>
      <c r="BQ91" s="21">
        <f t="shared" si="1"/>
        <v>0</v>
      </c>
    </row>
    <row r="92" spans="1:69" x14ac:dyDescent="0.2">
      <c r="A92" s="59">
        <f>RawData!P824</f>
        <v>0</v>
      </c>
      <c r="B92" s="44">
        <f>RawData!Q824</f>
        <v>0</v>
      </c>
      <c r="C92" s="44">
        <f>RawData!R824</f>
        <v>0</v>
      </c>
      <c r="D92" s="63">
        <f>RawData!S824</f>
        <v>0</v>
      </c>
      <c r="E92" s="44">
        <f>RawData!T824</f>
        <v>0</v>
      </c>
      <c r="F92" s="63">
        <f>RawData!U824</f>
        <v>0</v>
      </c>
      <c r="G92" s="44">
        <f>RawData!V824</f>
        <v>0</v>
      </c>
      <c r="H92" s="44">
        <f>RawData!W824</f>
        <v>0</v>
      </c>
      <c r="I92" s="44">
        <f>RawData!X824</f>
        <v>0</v>
      </c>
      <c r="J92" s="44">
        <f>RawData!Y824</f>
        <v>0</v>
      </c>
      <c r="K92" s="40">
        <f>RawData!Z824</f>
        <v>0</v>
      </c>
      <c r="L92" s="40">
        <f>RawData!AA824</f>
        <v>0</v>
      </c>
      <c r="M92" s="36">
        <f>RawData!AB824</f>
        <v>0</v>
      </c>
      <c r="N92" s="36">
        <f>RawData!AC824</f>
        <v>0</v>
      </c>
      <c r="O92" s="37">
        <f>RawData!AD824</f>
        <v>0</v>
      </c>
      <c r="P92" s="38">
        <f>RawData!AE824</f>
        <v>0</v>
      </c>
      <c r="Q92" s="39">
        <f>RawData!AF824</f>
        <v>0</v>
      </c>
      <c r="R92" s="38">
        <f>RawData!AG824</f>
        <v>0</v>
      </c>
      <c r="S92" s="40">
        <f>RawData!AH824</f>
        <v>0</v>
      </c>
      <c r="T92" s="40">
        <f>RawData!AI824</f>
        <v>0</v>
      </c>
      <c r="U92" s="40">
        <f>RawData!AJ824</f>
        <v>0</v>
      </c>
      <c r="V92" s="41">
        <f>RawData!AK824</f>
        <v>0</v>
      </c>
      <c r="W92" s="41">
        <f>RawData!AL824</f>
        <v>0</v>
      </c>
      <c r="X92" s="43">
        <f>RawData!CA824</f>
        <v>0</v>
      </c>
      <c r="Y92" s="41">
        <f>RawData!AM824</f>
        <v>0</v>
      </c>
      <c r="Z92" s="44">
        <f>RawData!CB824</f>
        <v>0</v>
      </c>
      <c r="AA92" s="44">
        <f>RawData!AN824</f>
        <v>0</v>
      </c>
      <c r="AB92" s="44">
        <f>RawData!AO824</f>
        <v>0</v>
      </c>
      <c r="AC92" s="44">
        <f>RawData!AP824</f>
        <v>0</v>
      </c>
      <c r="AD92" s="63">
        <f>RawData!BZ824</f>
        <v>0</v>
      </c>
      <c r="AE92" s="44">
        <f>RawData!AQ824</f>
        <v>0</v>
      </c>
      <c r="AF92" s="46">
        <f>RawData!O824</f>
        <v>0</v>
      </c>
      <c r="AG92" s="44">
        <f>RawData!AR824</f>
        <v>0</v>
      </c>
      <c r="AH92" s="44">
        <f>RawData!BY824</f>
        <v>0</v>
      </c>
      <c r="AI92" s="44">
        <f>RawData!AS824</f>
        <v>0</v>
      </c>
      <c r="AJ92" s="44">
        <f>RawData!AT824</f>
        <v>0</v>
      </c>
      <c r="AK92" s="44">
        <f>RawData!AU824</f>
        <v>0</v>
      </c>
      <c r="AL92" s="44">
        <f>RawData!BW824</f>
        <v>0</v>
      </c>
      <c r="AM92" s="41">
        <f>RawData!AV824</f>
        <v>0</v>
      </c>
      <c r="AN92" s="41">
        <f>RawData!BX824</f>
        <v>0</v>
      </c>
      <c r="AO92" s="41">
        <f>RawData!AW824</f>
        <v>0</v>
      </c>
      <c r="AP92" s="41">
        <f>RawData!AX824</f>
        <v>0</v>
      </c>
      <c r="AQ92" s="40">
        <f>RawData!AY824</f>
        <v>0</v>
      </c>
      <c r="AR92" s="40">
        <f>RawData!AZ824</f>
        <v>0</v>
      </c>
      <c r="AS92" s="40">
        <f>RawData!BA824</f>
        <v>0</v>
      </c>
      <c r="AT92" s="38">
        <f>RawData!BB824</f>
        <v>0</v>
      </c>
      <c r="AU92" s="40">
        <f>RawData!BC824</f>
        <v>0</v>
      </c>
      <c r="AV92" s="40">
        <f>RawData!BD824</f>
        <v>0</v>
      </c>
      <c r="AW92" s="38">
        <f>RawData!BE824</f>
        <v>0</v>
      </c>
      <c r="AX92" s="37">
        <f>RawData!BF824</f>
        <v>0</v>
      </c>
      <c r="AY92" s="36">
        <f>RawData!BG824</f>
        <v>0</v>
      </c>
      <c r="AZ92" s="36">
        <f>RawData!BH824</f>
        <v>0</v>
      </c>
      <c r="BA92" s="40">
        <f>RawData!BI824</f>
        <v>0</v>
      </c>
      <c r="BB92" s="44">
        <f>RawData!BJ824</f>
        <v>0</v>
      </c>
      <c r="BC92" s="44">
        <f>RawData!BK824</f>
        <v>0</v>
      </c>
      <c r="BD92" s="44">
        <f>RawData!BL824</f>
        <v>0</v>
      </c>
      <c r="BE92" s="44">
        <f>RawData!BM824</f>
        <v>0</v>
      </c>
      <c r="BF92" s="44">
        <f>RawData!BN824</f>
        <v>0</v>
      </c>
      <c r="BG92" s="63">
        <f>RawData!BO824</f>
        <v>0</v>
      </c>
      <c r="BH92" s="44">
        <f>RawData!BP824</f>
        <v>0</v>
      </c>
      <c r="BI92" s="63">
        <f>RawData!BQ824</f>
        <v>0</v>
      </c>
      <c r="BJ92" s="44">
        <f>RawData!BR824</f>
        <v>0</v>
      </c>
      <c r="BK92" s="47">
        <f>RawData!BS824</f>
        <v>0</v>
      </c>
      <c r="BL92" s="44">
        <f>RawData!BT824</f>
        <v>0</v>
      </c>
      <c r="BM92" s="47">
        <f>RawData!BV824</f>
        <v>0</v>
      </c>
      <c r="BN92" s="65">
        <f>RawData!CC824</f>
        <v>0</v>
      </c>
      <c r="BO92" s="66">
        <f>RawData!CD824</f>
        <v>0</v>
      </c>
      <c r="BQ92" s="21">
        <f t="shared" si="1"/>
        <v>0</v>
      </c>
    </row>
    <row r="93" spans="1:69" x14ac:dyDescent="0.2">
      <c r="A93" s="59">
        <f>RawData!P825</f>
        <v>0</v>
      </c>
      <c r="B93" s="44">
        <f>RawData!Q825</f>
        <v>0</v>
      </c>
      <c r="C93" s="44">
        <f>RawData!R825</f>
        <v>0</v>
      </c>
      <c r="D93" s="63">
        <f>RawData!S825</f>
        <v>0</v>
      </c>
      <c r="E93" s="44">
        <f>RawData!T825</f>
        <v>0</v>
      </c>
      <c r="F93" s="63">
        <f>RawData!U825</f>
        <v>0</v>
      </c>
      <c r="G93" s="44">
        <f>RawData!V825</f>
        <v>0</v>
      </c>
      <c r="H93" s="44">
        <f>RawData!W825</f>
        <v>0</v>
      </c>
      <c r="I93" s="44">
        <f>RawData!X825</f>
        <v>0</v>
      </c>
      <c r="J93" s="44">
        <f>RawData!Y825</f>
        <v>0</v>
      </c>
      <c r="K93" s="40">
        <f>RawData!Z825</f>
        <v>0</v>
      </c>
      <c r="L93" s="40">
        <f>RawData!AA825</f>
        <v>0</v>
      </c>
      <c r="M93" s="36">
        <f>RawData!AB825</f>
        <v>0</v>
      </c>
      <c r="N93" s="36">
        <f>RawData!AC825</f>
        <v>0</v>
      </c>
      <c r="O93" s="37">
        <f>RawData!AD825</f>
        <v>0</v>
      </c>
      <c r="P93" s="38">
        <f>RawData!AE825</f>
        <v>0</v>
      </c>
      <c r="Q93" s="39">
        <f>RawData!AF825</f>
        <v>0</v>
      </c>
      <c r="R93" s="38">
        <f>RawData!AG825</f>
        <v>0</v>
      </c>
      <c r="S93" s="40">
        <f>RawData!AH825</f>
        <v>0</v>
      </c>
      <c r="T93" s="40">
        <f>RawData!AI825</f>
        <v>0</v>
      </c>
      <c r="U93" s="40">
        <f>RawData!AJ825</f>
        <v>0</v>
      </c>
      <c r="V93" s="41">
        <f>RawData!AK825</f>
        <v>0</v>
      </c>
      <c r="W93" s="41">
        <f>RawData!AL825</f>
        <v>0</v>
      </c>
      <c r="X93" s="43">
        <f>RawData!CA825</f>
        <v>0</v>
      </c>
      <c r="Y93" s="41">
        <f>RawData!AM825</f>
        <v>0</v>
      </c>
      <c r="Z93" s="44">
        <f>RawData!CB825</f>
        <v>0</v>
      </c>
      <c r="AA93" s="44">
        <f>RawData!AN825</f>
        <v>0</v>
      </c>
      <c r="AB93" s="44">
        <f>RawData!AO825</f>
        <v>0</v>
      </c>
      <c r="AC93" s="44">
        <f>RawData!AP825</f>
        <v>0</v>
      </c>
      <c r="AD93" s="63">
        <f>RawData!BZ825</f>
        <v>0</v>
      </c>
      <c r="AE93" s="44">
        <f>RawData!AQ825</f>
        <v>0</v>
      </c>
      <c r="AF93" s="46">
        <f>RawData!O825</f>
        <v>0</v>
      </c>
      <c r="AG93" s="44">
        <f>RawData!AR825</f>
        <v>0</v>
      </c>
      <c r="AH93" s="44">
        <f>RawData!BY825</f>
        <v>0</v>
      </c>
      <c r="AI93" s="44">
        <f>RawData!AS825</f>
        <v>0</v>
      </c>
      <c r="AJ93" s="44">
        <f>RawData!AT825</f>
        <v>0</v>
      </c>
      <c r="AK93" s="44">
        <f>RawData!AU825</f>
        <v>0</v>
      </c>
      <c r="AL93" s="44">
        <f>RawData!BW825</f>
        <v>0</v>
      </c>
      <c r="AM93" s="41">
        <f>RawData!AV825</f>
        <v>0</v>
      </c>
      <c r="AN93" s="41">
        <f>RawData!BX825</f>
        <v>0</v>
      </c>
      <c r="AO93" s="41">
        <f>RawData!AW825</f>
        <v>0</v>
      </c>
      <c r="AP93" s="41">
        <f>RawData!AX825</f>
        <v>0</v>
      </c>
      <c r="AQ93" s="40">
        <f>RawData!AY825</f>
        <v>0</v>
      </c>
      <c r="AR93" s="40">
        <f>RawData!AZ825</f>
        <v>0</v>
      </c>
      <c r="AS93" s="40">
        <f>RawData!BA825</f>
        <v>0</v>
      </c>
      <c r="AT93" s="38">
        <f>RawData!BB825</f>
        <v>0</v>
      </c>
      <c r="AU93" s="40">
        <f>RawData!BC825</f>
        <v>0</v>
      </c>
      <c r="AV93" s="40">
        <f>RawData!BD825</f>
        <v>0</v>
      </c>
      <c r="AW93" s="38">
        <f>RawData!BE825</f>
        <v>0</v>
      </c>
      <c r="AX93" s="37">
        <f>RawData!BF825</f>
        <v>0</v>
      </c>
      <c r="AY93" s="36">
        <f>RawData!BG825</f>
        <v>0</v>
      </c>
      <c r="AZ93" s="36">
        <f>RawData!BH825</f>
        <v>0</v>
      </c>
      <c r="BA93" s="40">
        <f>RawData!BI825</f>
        <v>0</v>
      </c>
      <c r="BB93" s="44">
        <f>RawData!BJ825</f>
        <v>0</v>
      </c>
      <c r="BC93" s="44">
        <f>RawData!BK825</f>
        <v>0</v>
      </c>
      <c r="BD93" s="44">
        <f>RawData!BL825</f>
        <v>0</v>
      </c>
      <c r="BE93" s="44">
        <f>RawData!BM825</f>
        <v>0</v>
      </c>
      <c r="BF93" s="44">
        <f>RawData!BN825</f>
        <v>0</v>
      </c>
      <c r="BG93" s="63">
        <f>RawData!BO825</f>
        <v>0</v>
      </c>
      <c r="BH93" s="44">
        <f>RawData!BP825</f>
        <v>0</v>
      </c>
      <c r="BI93" s="63">
        <f>RawData!BQ825</f>
        <v>0</v>
      </c>
      <c r="BJ93" s="44">
        <f>RawData!BR825</f>
        <v>0</v>
      </c>
      <c r="BK93" s="47">
        <f>RawData!BS825</f>
        <v>0</v>
      </c>
      <c r="BL93" s="44">
        <f>RawData!BT825</f>
        <v>0</v>
      </c>
      <c r="BM93" s="47">
        <f>RawData!BV825</f>
        <v>0</v>
      </c>
      <c r="BN93" s="65">
        <f>RawData!CC825</f>
        <v>0</v>
      </c>
      <c r="BO93" s="66">
        <f>RawData!CD825</f>
        <v>0</v>
      </c>
      <c r="BQ93" s="21">
        <f t="shared" si="1"/>
        <v>0</v>
      </c>
    </row>
    <row r="94" spans="1:69" x14ac:dyDescent="0.2">
      <c r="A94" s="59">
        <f>RawData!P826</f>
        <v>0</v>
      </c>
      <c r="B94" s="44">
        <f>RawData!Q826</f>
        <v>0</v>
      </c>
      <c r="C94" s="44">
        <f>RawData!R826</f>
        <v>0</v>
      </c>
      <c r="D94" s="63">
        <f>RawData!S826</f>
        <v>0</v>
      </c>
      <c r="E94" s="44">
        <f>RawData!T826</f>
        <v>0</v>
      </c>
      <c r="F94" s="63">
        <f>RawData!U826</f>
        <v>0</v>
      </c>
      <c r="G94" s="44">
        <f>RawData!V826</f>
        <v>0</v>
      </c>
      <c r="H94" s="44">
        <f>RawData!W826</f>
        <v>0</v>
      </c>
      <c r="I94" s="44">
        <f>RawData!X826</f>
        <v>0</v>
      </c>
      <c r="J94" s="44">
        <f>RawData!Y826</f>
        <v>0</v>
      </c>
      <c r="K94" s="40">
        <f>RawData!Z826</f>
        <v>0</v>
      </c>
      <c r="L94" s="40">
        <f>RawData!AA826</f>
        <v>0</v>
      </c>
      <c r="M94" s="36">
        <f>RawData!AB826</f>
        <v>0</v>
      </c>
      <c r="N94" s="36">
        <f>RawData!AC826</f>
        <v>0</v>
      </c>
      <c r="O94" s="37">
        <f>RawData!AD826</f>
        <v>0</v>
      </c>
      <c r="P94" s="38">
        <f>RawData!AE826</f>
        <v>0</v>
      </c>
      <c r="Q94" s="39">
        <f>RawData!AF826</f>
        <v>0</v>
      </c>
      <c r="R94" s="38">
        <f>RawData!AG826</f>
        <v>0</v>
      </c>
      <c r="S94" s="40">
        <f>RawData!AH826</f>
        <v>0</v>
      </c>
      <c r="T94" s="40">
        <f>RawData!AI826</f>
        <v>0</v>
      </c>
      <c r="U94" s="40">
        <f>RawData!AJ826</f>
        <v>0</v>
      </c>
      <c r="V94" s="41">
        <f>RawData!AK826</f>
        <v>0</v>
      </c>
      <c r="W94" s="41">
        <f>RawData!AL826</f>
        <v>0</v>
      </c>
      <c r="X94" s="43">
        <f>RawData!CA826</f>
        <v>0</v>
      </c>
      <c r="Y94" s="41">
        <f>RawData!AM826</f>
        <v>0</v>
      </c>
      <c r="Z94" s="44">
        <f>RawData!CB826</f>
        <v>0</v>
      </c>
      <c r="AA94" s="44">
        <f>RawData!AN826</f>
        <v>0</v>
      </c>
      <c r="AB94" s="44">
        <f>RawData!AO826</f>
        <v>0</v>
      </c>
      <c r="AC94" s="44">
        <f>RawData!AP826</f>
        <v>0</v>
      </c>
      <c r="AD94" s="63">
        <f>RawData!BZ826</f>
        <v>0</v>
      </c>
      <c r="AE94" s="44">
        <f>RawData!AQ826</f>
        <v>0</v>
      </c>
      <c r="AF94" s="46">
        <f>RawData!O826</f>
        <v>0</v>
      </c>
      <c r="AG94" s="44">
        <f>RawData!AR826</f>
        <v>0</v>
      </c>
      <c r="AH94" s="44">
        <f>RawData!BY826</f>
        <v>0</v>
      </c>
      <c r="AI94" s="44">
        <f>RawData!AS826</f>
        <v>0</v>
      </c>
      <c r="AJ94" s="44">
        <f>RawData!AT826</f>
        <v>0</v>
      </c>
      <c r="AK94" s="44">
        <f>RawData!AU826</f>
        <v>0</v>
      </c>
      <c r="AL94" s="44">
        <f>RawData!BW826</f>
        <v>0</v>
      </c>
      <c r="AM94" s="41">
        <f>RawData!AV826</f>
        <v>0</v>
      </c>
      <c r="AN94" s="41">
        <f>RawData!BX826</f>
        <v>0</v>
      </c>
      <c r="AO94" s="41">
        <f>RawData!AW826</f>
        <v>0</v>
      </c>
      <c r="AP94" s="41">
        <f>RawData!AX826</f>
        <v>0</v>
      </c>
      <c r="AQ94" s="40">
        <f>RawData!AY826</f>
        <v>0</v>
      </c>
      <c r="AR94" s="40">
        <f>RawData!AZ826</f>
        <v>0</v>
      </c>
      <c r="AS94" s="40">
        <f>RawData!BA826</f>
        <v>0</v>
      </c>
      <c r="AT94" s="38">
        <f>RawData!BB826</f>
        <v>0</v>
      </c>
      <c r="AU94" s="40">
        <f>RawData!BC826</f>
        <v>0</v>
      </c>
      <c r="AV94" s="40">
        <f>RawData!BD826</f>
        <v>0</v>
      </c>
      <c r="AW94" s="38">
        <f>RawData!BE826</f>
        <v>0</v>
      </c>
      <c r="AX94" s="37">
        <f>RawData!BF826</f>
        <v>0</v>
      </c>
      <c r="AY94" s="36">
        <f>RawData!BG826</f>
        <v>0</v>
      </c>
      <c r="AZ94" s="36">
        <f>RawData!BH826</f>
        <v>0</v>
      </c>
      <c r="BA94" s="40">
        <f>RawData!BI826</f>
        <v>0</v>
      </c>
      <c r="BB94" s="44">
        <f>RawData!BJ826</f>
        <v>0</v>
      </c>
      <c r="BC94" s="44">
        <f>RawData!BK826</f>
        <v>0</v>
      </c>
      <c r="BD94" s="44">
        <f>RawData!BL826</f>
        <v>0</v>
      </c>
      <c r="BE94" s="44">
        <f>RawData!BM826</f>
        <v>0</v>
      </c>
      <c r="BF94" s="44">
        <f>RawData!BN826</f>
        <v>0</v>
      </c>
      <c r="BG94" s="63">
        <f>RawData!BO826</f>
        <v>0</v>
      </c>
      <c r="BH94" s="44">
        <f>RawData!BP826</f>
        <v>0</v>
      </c>
      <c r="BI94" s="63">
        <f>RawData!BQ826</f>
        <v>0</v>
      </c>
      <c r="BJ94" s="44">
        <f>RawData!BR826</f>
        <v>0</v>
      </c>
      <c r="BK94" s="47">
        <f>RawData!BS826</f>
        <v>0</v>
      </c>
      <c r="BL94" s="44">
        <f>RawData!BT826</f>
        <v>0</v>
      </c>
      <c r="BM94" s="47">
        <f>RawData!BV826</f>
        <v>0</v>
      </c>
      <c r="BN94" s="65">
        <f>RawData!CC826</f>
        <v>0</v>
      </c>
      <c r="BO94" s="66">
        <f>RawData!CD826</f>
        <v>0</v>
      </c>
      <c r="BQ94" s="21">
        <f t="shared" si="1"/>
        <v>0</v>
      </c>
    </row>
    <row r="95" spans="1:69" x14ac:dyDescent="0.2">
      <c r="A95" s="59">
        <f>RawData!P827</f>
        <v>0</v>
      </c>
      <c r="B95" s="44">
        <f>RawData!Q827</f>
        <v>0</v>
      </c>
      <c r="C95" s="44">
        <f>RawData!R827</f>
        <v>0</v>
      </c>
      <c r="D95" s="63">
        <f>RawData!S827</f>
        <v>0</v>
      </c>
      <c r="E95" s="44">
        <f>RawData!T827</f>
        <v>0</v>
      </c>
      <c r="F95" s="63">
        <f>RawData!U827</f>
        <v>0</v>
      </c>
      <c r="G95" s="44">
        <f>RawData!V827</f>
        <v>0</v>
      </c>
      <c r="H95" s="44">
        <f>RawData!W827</f>
        <v>0</v>
      </c>
      <c r="I95" s="44">
        <f>RawData!X827</f>
        <v>0</v>
      </c>
      <c r="J95" s="44">
        <f>RawData!Y827</f>
        <v>0</v>
      </c>
      <c r="K95" s="40">
        <f>RawData!Z827</f>
        <v>0</v>
      </c>
      <c r="L95" s="40">
        <f>RawData!AA827</f>
        <v>0</v>
      </c>
      <c r="M95" s="36">
        <f>RawData!AB827</f>
        <v>0</v>
      </c>
      <c r="N95" s="36">
        <f>RawData!AC827</f>
        <v>0</v>
      </c>
      <c r="O95" s="37">
        <f>RawData!AD827</f>
        <v>0</v>
      </c>
      <c r="P95" s="38">
        <f>RawData!AE827</f>
        <v>0</v>
      </c>
      <c r="Q95" s="39">
        <f>RawData!AF827</f>
        <v>0</v>
      </c>
      <c r="R95" s="38">
        <f>RawData!AG827</f>
        <v>0</v>
      </c>
      <c r="S95" s="40">
        <f>RawData!AH827</f>
        <v>0</v>
      </c>
      <c r="T95" s="40">
        <f>RawData!AI827</f>
        <v>0</v>
      </c>
      <c r="U95" s="40">
        <f>RawData!AJ827</f>
        <v>0</v>
      </c>
      <c r="V95" s="41">
        <f>RawData!AK827</f>
        <v>0</v>
      </c>
      <c r="W95" s="41">
        <f>RawData!AL827</f>
        <v>0</v>
      </c>
      <c r="X95" s="43">
        <f>RawData!CA827</f>
        <v>0</v>
      </c>
      <c r="Y95" s="41">
        <f>RawData!AM827</f>
        <v>0</v>
      </c>
      <c r="Z95" s="44">
        <f>RawData!CB827</f>
        <v>0</v>
      </c>
      <c r="AA95" s="44">
        <f>RawData!AN827</f>
        <v>0</v>
      </c>
      <c r="AB95" s="44">
        <f>RawData!AO827</f>
        <v>0</v>
      </c>
      <c r="AC95" s="44">
        <f>RawData!AP827</f>
        <v>0</v>
      </c>
      <c r="AD95" s="63">
        <f>RawData!BZ827</f>
        <v>0</v>
      </c>
      <c r="AE95" s="44">
        <f>RawData!AQ827</f>
        <v>0</v>
      </c>
      <c r="AF95" s="46">
        <f>RawData!O827</f>
        <v>0</v>
      </c>
      <c r="AG95" s="44">
        <f>RawData!AR827</f>
        <v>0</v>
      </c>
      <c r="AH95" s="44">
        <f>RawData!BY827</f>
        <v>0</v>
      </c>
      <c r="AI95" s="44">
        <f>RawData!AS827</f>
        <v>0</v>
      </c>
      <c r="AJ95" s="44">
        <f>RawData!AT827</f>
        <v>0</v>
      </c>
      <c r="AK95" s="44">
        <f>RawData!AU827</f>
        <v>0</v>
      </c>
      <c r="AL95" s="44">
        <f>RawData!BW827</f>
        <v>0</v>
      </c>
      <c r="AM95" s="41">
        <f>RawData!AV827</f>
        <v>0</v>
      </c>
      <c r="AN95" s="41">
        <f>RawData!BX827</f>
        <v>0</v>
      </c>
      <c r="AO95" s="41">
        <f>RawData!AW827</f>
        <v>0</v>
      </c>
      <c r="AP95" s="41">
        <f>RawData!AX827</f>
        <v>0</v>
      </c>
      <c r="AQ95" s="40">
        <f>RawData!AY827</f>
        <v>0</v>
      </c>
      <c r="AR95" s="40">
        <f>RawData!AZ827</f>
        <v>0</v>
      </c>
      <c r="AS95" s="40">
        <f>RawData!BA827</f>
        <v>0</v>
      </c>
      <c r="AT95" s="38">
        <f>RawData!BB827</f>
        <v>0</v>
      </c>
      <c r="AU95" s="40">
        <f>RawData!BC827</f>
        <v>0</v>
      </c>
      <c r="AV95" s="40">
        <f>RawData!BD827</f>
        <v>0</v>
      </c>
      <c r="AW95" s="38">
        <f>RawData!BE827</f>
        <v>0</v>
      </c>
      <c r="AX95" s="37">
        <f>RawData!BF827</f>
        <v>0</v>
      </c>
      <c r="AY95" s="36">
        <f>RawData!BG827</f>
        <v>0</v>
      </c>
      <c r="AZ95" s="36">
        <f>RawData!BH827</f>
        <v>0</v>
      </c>
      <c r="BA95" s="40">
        <f>RawData!BI827</f>
        <v>0</v>
      </c>
      <c r="BB95" s="44">
        <f>RawData!BJ827</f>
        <v>0</v>
      </c>
      <c r="BC95" s="44">
        <f>RawData!BK827</f>
        <v>0</v>
      </c>
      <c r="BD95" s="44">
        <f>RawData!BL827</f>
        <v>0</v>
      </c>
      <c r="BE95" s="44">
        <f>RawData!BM827</f>
        <v>0</v>
      </c>
      <c r="BF95" s="44">
        <f>RawData!BN827</f>
        <v>0</v>
      </c>
      <c r="BG95" s="63">
        <f>RawData!BO827</f>
        <v>0</v>
      </c>
      <c r="BH95" s="44">
        <f>RawData!BP827</f>
        <v>0</v>
      </c>
      <c r="BI95" s="63">
        <f>RawData!BQ827</f>
        <v>0</v>
      </c>
      <c r="BJ95" s="44">
        <f>RawData!BR827</f>
        <v>0</v>
      </c>
      <c r="BK95" s="47">
        <f>RawData!BS827</f>
        <v>0</v>
      </c>
      <c r="BL95" s="44">
        <f>RawData!BT827</f>
        <v>0</v>
      </c>
      <c r="BM95" s="47">
        <f>RawData!BV827</f>
        <v>0</v>
      </c>
      <c r="BN95" s="65">
        <f>RawData!CC827</f>
        <v>0</v>
      </c>
      <c r="BO95" s="66">
        <f>RawData!CD827</f>
        <v>0</v>
      </c>
      <c r="BQ95" s="21">
        <f t="shared" si="1"/>
        <v>0</v>
      </c>
    </row>
    <row r="96" spans="1:69" x14ac:dyDescent="0.2">
      <c r="A96" s="59">
        <f>RawData!P828</f>
        <v>0</v>
      </c>
      <c r="B96" s="44">
        <f>RawData!Q828</f>
        <v>0</v>
      </c>
      <c r="C96" s="44">
        <f>RawData!R828</f>
        <v>0</v>
      </c>
      <c r="D96" s="63">
        <f>RawData!S828</f>
        <v>0</v>
      </c>
      <c r="E96" s="44">
        <f>RawData!T828</f>
        <v>0</v>
      </c>
      <c r="F96" s="63">
        <f>RawData!U828</f>
        <v>0</v>
      </c>
      <c r="G96" s="44">
        <f>RawData!V828</f>
        <v>0</v>
      </c>
      <c r="H96" s="44">
        <f>RawData!W828</f>
        <v>0</v>
      </c>
      <c r="I96" s="44">
        <f>RawData!X828</f>
        <v>0</v>
      </c>
      <c r="J96" s="44">
        <f>RawData!Y828</f>
        <v>0</v>
      </c>
      <c r="K96" s="40">
        <f>RawData!Z828</f>
        <v>0</v>
      </c>
      <c r="L96" s="40">
        <f>RawData!AA828</f>
        <v>0</v>
      </c>
      <c r="M96" s="36">
        <f>RawData!AB828</f>
        <v>0</v>
      </c>
      <c r="N96" s="36">
        <f>RawData!AC828</f>
        <v>0</v>
      </c>
      <c r="O96" s="37">
        <f>RawData!AD828</f>
        <v>0</v>
      </c>
      <c r="P96" s="38">
        <f>RawData!AE828</f>
        <v>0</v>
      </c>
      <c r="Q96" s="39">
        <f>RawData!AF828</f>
        <v>0</v>
      </c>
      <c r="R96" s="38">
        <f>RawData!AG828</f>
        <v>0</v>
      </c>
      <c r="S96" s="40">
        <f>RawData!AH828</f>
        <v>0</v>
      </c>
      <c r="T96" s="40">
        <f>RawData!AI828</f>
        <v>0</v>
      </c>
      <c r="U96" s="40">
        <f>RawData!AJ828</f>
        <v>0</v>
      </c>
      <c r="V96" s="41">
        <f>RawData!AK828</f>
        <v>0</v>
      </c>
      <c r="W96" s="41">
        <f>RawData!AL828</f>
        <v>0</v>
      </c>
      <c r="X96" s="43">
        <f>RawData!CA828</f>
        <v>0</v>
      </c>
      <c r="Y96" s="41">
        <f>RawData!AM828</f>
        <v>0</v>
      </c>
      <c r="Z96" s="44">
        <f>RawData!CB828</f>
        <v>0</v>
      </c>
      <c r="AA96" s="44">
        <f>RawData!AN828</f>
        <v>0</v>
      </c>
      <c r="AB96" s="44">
        <f>RawData!AO828</f>
        <v>0</v>
      </c>
      <c r="AC96" s="44">
        <f>RawData!AP828</f>
        <v>0</v>
      </c>
      <c r="AD96" s="63">
        <f>RawData!BZ828</f>
        <v>0</v>
      </c>
      <c r="AE96" s="44">
        <f>RawData!AQ828</f>
        <v>0</v>
      </c>
      <c r="AF96" s="46">
        <f>RawData!O828</f>
        <v>0</v>
      </c>
      <c r="AG96" s="44">
        <f>RawData!AR828</f>
        <v>0</v>
      </c>
      <c r="AH96" s="44">
        <f>RawData!BY828</f>
        <v>0</v>
      </c>
      <c r="AI96" s="44">
        <f>RawData!AS828</f>
        <v>0</v>
      </c>
      <c r="AJ96" s="44">
        <f>RawData!AT828</f>
        <v>0</v>
      </c>
      <c r="AK96" s="44">
        <f>RawData!AU828</f>
        <v>0</v>
      </c>
      <c r="AL96" s="44">
        <f>RawData!BW828</f>
        <v>0</v>
      </c>
      <c r="AM96" s="41">
        <f>RawData!AV828</f>
        <v>0</v>
      </c>
      <c r="AN96" s="41">
        <f>RawData!BX828</f>
        <v>0</v>
      </c>
      <c r="AO96" s="41">
        <f>RawData!AW828</f>
        <v>0</v>
      </c>
      <c r="AP96" s="41">
        <f>RawData!AX828</f>
        <v>0</v>
      </c>
      <c r="AQ96" s="40">
        <f>RawData!AY828</f>
        <v>0</v>
      </c>
      <c r="AR96" s="40">
        <f>RawData!AZ828</f>
        <v>0</v>
      </c>
      <c r="AS96" s="40">
        <f>RawData!BA828</f>
        <v>0</v>
      </c>
      <c r="AT96" s="38">
        <f>RawData!BB828</f>
        <v>0</v>
      </c>
      <c r="AU96" s="40">
        <f>RawData!BC828</f>
        <v>0</v>
      </c>
      <c r="AV96" s="40">
        <f>RawData!BD828</f>
        <v>0</v>
      </c>
      <c r="AW96" s="38">
        <f>RawData!BE828</f>
        <v>0</v>
      </c>
      <c r="AX96" s="37">
        <f>RawData!BF828</f>
        <v>0</v>
      </c>
      <c r="AY96" s="36">
        <f>RawData!BG828</f>
        <v>0</v>
      </c>
      <c r="AZ96" s="36">
        <f>RawData!BH828</f>
        <v>0</v>
      </c>
      <c r="BA96" s="40">
        <f>RawData!BI828</f>
        <v>0</v>
      </c>
      <c r="BB96" s="44">
        <f>RawData!BJ828</f>
        <v>0</v>
      </c>
      <c r="BC96" s="44">
        <f>RawData!BK828</f>
        <v>0</v>
      </c>
      <c r="BD96" s="44">
        <f>RawData!BL828</f>
        <v>0</v>
      </c>
      <c r="BE96" s="44">
        <f>RawData!BM828</f>
        <v>0</v>
      </c>
      <c r="BF96" s="44">
        <f>RawData!BN828</f>
        <v>0</v>
      </c>
      <c r="BG96" s="63">
        <f>RawData!BO828</f>
        <v>0</v>
      </c>
      <c r="BH96" s="44">
        <f>RawData!BP828</f>
        <v>0</v>
      </c>
      <c r="BI96" s="63">
        <f>RawData!BQ828</f>
        <v>0</v>
      </c>
      <c r="BJ96" s="44">
        <f>RawData!BR828</f>
        <v>0</v>
      </c>
      <c r="BK96" s="47">
        <f>RawData!BS828</f>
        <v>0</v>
      </c>
      <c r="BL96" s="44">
        <f>RawData!BT828</f>
        <v>0</v>
      </c>
      <c r="BM96" s="47">
        <f>RawData!BV828</f>
        <v>0</v>
      </c>
      <c r="BN96" s="65">
        <f>RawData!CC828</f>
        <v>0</v>
      </c>
      <c r="BO96" s="66">
        <f>RawData!CD828</f>
        <v>0</v>
      </c>
      <c r="BQ96" s="21">
        <f t="shared" si="1"/>
        <v>0</v>
      </c>
    </row>
    <row r="97" spans="1:69" x14ac:dyDescent="0.2">
      <c r="A97" s="59">
        <f>RawData!P829</f>
        <v>0</v>
      </c>
      <c r="B97" s="44">
        <f>RawData!Q829</f>
        <v>0</v>
      </c>
      <c r="C97" s="44">
        <f>RawData!R829</f>
        <v>0</v>
      </c>
      <c r="D97" s="63">
        <f>RawData!S829</f>
        <v>0</v>
      </c>
      <c r="E97" s="44">
        <f>RawData!T829</f>
        <v>0</v>
      </c>
      <c r="F97" s="63">
        <f>RawData!U829</f>
        <v>0</v>
      </c>
      <c r="G97" s="44">
        <f>RawData!V829</f>
        <v>0</v>
      </c>
      <c r="H97" s="44">
        <f>RawData!W829</f>
        <v>0</v>
      </c>
      <c r="I97" s="44">
        <f>RawData!X829</f>
        <v>0</v>
      </c>
      <c r="J97" s="44">
        <f>RawData!Y829</f>
        <v>0</v>
      </c>
      <c r="K97" s="40">
        <f>RawData!Z829</f>
        <v>0</v>
      </c>
      <c r="L97" s="40">
        <f>RawData!AA829</f>
        <v>0</v>
      </c>
      <c r="M97" s="36">
        <f>RawData!AB829</f>
        <v>0</v>
      </c>
      <c r="N97" s="36">
        <f>RawData!AC829</f>
        <v>0</v>
      </c>
      <c r="O97" s="37">
        <f>RawData!AD829</f>
        <v>0</v>
      </c>
      <c r="P97" s="38">
        <f>RawData!AE829</f>
        <v>0</v>
      </c>
      <c r="Q97" s="39">
        <f>RawData!AF829</f>
        <v>0</v>
      </c>
      <c r="R97" s="38">
        <f>RawData!AG829</f>
        <v>0</v>
      </c>
      <c r="S97" s="40">
        <f>RawData!AH829</f>
        <v>0</v>
      </c>
      <c r="T97" s="40">
        <f>RawData!AI829</f>
        <v>0</v>
      </c>
      <c r="U97" s="40">
        <f>RawData!AJ829</f>
        <v>0</v>
      </c>
      <c r="V97" s="41">
        <f>RawData!AK829</f>
        <v>0</v>
      </c>
      <c r="W97" s="41">
        <f>RawData!AL829</f>
        <v>0</v>
      </c>
      <c r="X97" s="43">
        <f>RawData!CA829</f>
        <v>0</v>
      </c>
      <c r="Y97" s="41">
        <f>RawData!AM829</f>
        <v>0</v>
      </c>
      <c r="Z97" s="44">
        <f>RawData!CB829</f>
        <v>0</v>
      </c>
      <c r="AA97" s="44">
        <f>RawData!AN829</f>
        <v>0</v>
      </c>
      <c r="AB97" s="44">
        <f>RawData!AO829</f>
        <v>0</v>
      </c>
      <c r="AC97" s="44">
        <f>RawData!AP829</f>
        <v>0</v>
      </c>
      <c r="AD97" s="63">
        <f>RawData!BZ829</f>
        <v>0</v>
      </c>
      <c r="AE97" s="44">
        <f>RawData!AQ829</f>
        <v>0</v>
      </c>
      <c r="AF97" s="46">
        <f>RawData!O829</f>
        <v>0</v>
      </c>
      <c r="AG97" s="44">
        <f>RawData!AR829</f>
        <v>0</v>
      </c>
      <c r="AH97" s="44">
        <f>RawData!BY829</f>
        <v>0</v>
      </c>
      <c r="AI97" s="44">
        <f>RawData!AS829</f>
        <v>0</v>
      </c>
      <c r="AJ97" s="44">
        <f>RawData!AT829</f>
        <v>0</v>
      </c>
      <c r="AK97" s="44">
        <f>RawData!AU829</f>
        <v>0</v>
      </c>
      <c r="AL97" s="44">
        <f>RawData!BW829</f>
        <v>0</v>
      </c>
      <c r="AM97" s="41">
        <f>RawData!AV829</f>
        <v>0</v>
      </c>
      <c r="AN97" s="41">
        <f>RawData!BX829</f>
        <v>0</v>
      </c>
      <c r="AO97" s="41">
        <f>RawData!AW829</f>
        <v>0</v>
      </c>
      <c r="AP97" s="41">
        <f>RawData!AX829</f>
        <v>0</v>
      </c>
      <c r="AQ97" s="40">
        <f>RawData!AY829</f>
        <v>0</v>
      </c>
      <c r="AR97" s="40">
        <f>RawData!AZ829</f>
        <v>0</v>
      </c>
      <c r="AS97" s="40">
        <f>RawData!BA829</f>
        <v>0</v>
      </c>
      <c r="AT97" s="38">
        <f>RawData!BB829</f>
        <v>0</v>
      </c>
      <c r="AU97" s="40">
        <f>RawData!BC829</f>
        <v>0</v>
      </c>
      <c r="AV97" s="40">
        <f>RawData!BD829</f>
        <v>0</v>
      </c>
      <c r="AW97" s="38">
        <f>RawData!BE829</f>
        <v>0</v>
      </c>
      <c r="AX97" s="37">
        <f>RawData!BF829</f>
        <v>0</v>
      </c>
      <c r="AY97" s="36">
        <f>RawData!BG829</f>
        <v>0</v>
      </c>
      <c r="AZ97" s="36">
        <f>RawData!BH829</f>
        <v>0</v>
      </c>
      <c r="BA97" s="40">
        <f>RawData!BI829</f>
        <v>0</v>
      </c>
      <c r="BB97" s="44">
        <f>RawData!BJ829</f>
        <v>0</v>
      </c>
      <c r="BC97" s="44">
        <f>RawData!BK829</f>
        <v>0</v>
      </c>
      <c r="BD97" s="44">
        <f>RawData!BL829</f>
        <v>0</v>
      </c>
      <c r="BE97" s="44">
        <f>RawData!BM829</f>
        <v>0</v>
      </c>
      <c r="BF97" s="44">
        <f>RawData!BN829</f>
        <v>0</v>
      </c>
      <c r="BG97" s="63">
        <f>RawData!BO829</f>
        <v>0</v>
      </c>
      <c r="BH97" s="44">
        <f>RawData!BP829</f>
        <v>0</v>
      </c>
      <c r="BI97" s="63">
        <f>RawData!BQ829</f>
        <v>0</v>
      </c>
      <c r="BJ97" s="44">
        <f>RawData!BR829</f>
        <v>0</v>
      </c>
      <c r="BK97" s="47">
        <f>RawData!BS829</f>
        <v>0</v>
      </c>
      <c r="BL97" s="44">
        <f>RawData!BT829</f>
        <v>0</v>
      </c>
      <c r="BM97" s="47">
        <f>RawData!BV829</f>
        <v>0</v>
      </c>
      <c r="BN97" s="65">
        <f>RawData!CC829</f>
        <v>0</v>
      </c>
      <c r="BO97" s="66">
        <f>RawData!CD829</f>
        <v>0</v>
      </c>
      <c r="BQ97" s="21">
        <f t="shared" si="1"/>
        <v>0</v>
      </c>
    </row>
    <row r="98" spans="1:69" x14ac:dyDescent="0.2">
      <c r="A98" s="59">
        <f>RawData!P830</f>
        <v>0</v>
      </c>
      <c r="B98" s="44">
        <f>RawData!Q830</f>
        <v>0</v>
      </c>
      <c r="C98" s="44">
        <f>RawData!R830</f>
        <v>0</v>
      </c>
      <c r="D98" s="63">
        <f>RawData!S830</f>
        <v>0</v>
      </c>
      <c r="E98" s="44">
        <f>RawData!T830</f>
        <v>0</v>
      </c>
      <c r="F98" s="63">
        <f>RawData!U830</f>
        <v>0</v>
      </c>
      <c r="G98" s="44">
        <f>RawData!V830</f>
        <v>0</v>
      </c>
      <c r="H98" s="44">
        <f>RawData!W830</f>
        <v>0</v>
      </c>
      <c r="I98" s="44">
        <f>RawData!X830</f>
        <v>0</v>
      </c>
      <c r="J98" s="44">
        <f>RawData!Y830</f>
        <v>0</v>
      </c>
      <c r="K98" s="40">
        <f>RawData!Z830</f>
        <v>0</v>
      </c>
      <c r="L98" s="40">
        <f>RawData!AA830</f>
        <v>0</v>
      </c>
      <c r="M98" s="36">
        <f>RawData!AB830</f>
        <v>0</v>
      </c>
      <c r="N98" s="36">
        <f>RawData!AC830</f>
        <v>0</v>
      </c>
      <c r="O98" s="37">
        <f>RawData!AD830</f>
        <v>0</v>
      </c>
      <c r="P98" s="38">
        <f>RawData!AE830</f>
        <v>0</v>
      </c>
      <c r="Q98" s="39">
        <f>RawData!AF830</f>
        <v>0</v>
      </c>
      <c r="R98" s="38">
        <f>RawData!AG830</f>
        <v>0</v>
      </c>
      <c r="S98" s="40">
        <f>RawData!AH830</f>
        <v>0</v>
      </c>
      <c r="T98" s="40">
        <f>RawData!AI830</f>
        <v>0</v>
      </c>
      <c r="U98" s="40">
        <f>RawData!AJ830</f>
        <v>0</v>
      </c>
      <c r="V98" s="41">
        <f>RawData!AK830</f>
        <v>0</v>
      </c>
      <c r="W98" s="41">
        <f>RawData!AL830</f>
        <v>0</v>
      </c>
      <c r="X98" s="43">
        <f>RawData!CA830</f>
        <v>0</v>
      </c>
      <c r="Y98" s="41">
        <f>RawData!AM830</f>
        <v>0</v>
      </c>
      <c r="Z98" s="44">
        <f>RawData!CB830</f>
        <v>0</v>
      </c>
      <c r="AA98" s="44">
        <f>RawData!AN830</f>
        <v>0</v>
      </c>
      <c r="AB98" s="44">
        <f>RawData!AO830</f>
        <v>0</v>
      </c>
      <c r="AC98" s="44">
        <f>RawData!AP830</f>
        <v>0</v>
      </c>
      <c r="AD98" s="63">
        <f>RawData!BZ830</f>
        <v>0</v>
      </c>
      <c r="AE98" s="44">
        <f>RawData!AQ830</f>
        <v>0</v>
      </c>
      <c r="AF98" s="46">
        <f>RawData!O830</f>
        <v>0</v>
      </c>
      <c r="AG98" s="44">
        <f>RawData!AR830</f>
        <v>0</v>
      </c>
      <c r="AH98" s="44">
        <f>RawData!BY830</f>
        <v>0</v>
      </c>
      <c r="AI98" s="44">
        <f>RawData!AS830</f>
        <v>0</v>
      </c>
      <c r="AJ98" s="44">
        <f>RawData!AT830</f>
        <v>0</v>
      </c>
      <c r="AK98" s="44">
        <f>RawData!AU830</f>
        <v>0</v>
      </c>
      <c r="AL98" s="44">
        <f>RawData!BW830</f>
        <v>0</v>
      </c>
      <c r="AM98" s="41">
        <f>RawData!AV830</f>
        <v>0</v>
      </c>
      <c r="AN98" s="41">
        <f>RawData!BX830</f>
        <v>0</v>
      </c>
      <c r="AO98" s="41">
        <f>RawData!AW830</f>
        <v>0</v>
      </c>
      <c r="AP98" s="41">
        <f>RawData!AX830</f>
        <v>0</v>
      </c>
      <c r="AQ98" s="40">
        <f>RawData!AY830</f>
        <v>0</v>
      </c>
      <c r="AR98" s="40">
        <f>RawData!AZ830</f>
        <v>0</v>
      </c>
      <c r="AS98" s="40">
        <f>RawData!BA830</f>
        <v>0</v>
      </c>
      <c r="AT98" s="38">
        <f>RawData!BB830</f>
        <v>0</v>
      </c>
      <c r="AU98" s="40">
        <f>RawData!BC830</f>
        <v>0</v>
      </c>
      <c r="AV98" s="40">
        <f>RawData!BD830</f>
        <v>0</v>
      </c>
      <c r="AW98" s="38">
        <f>RawData!BE830</f>
        <v>0</v>
      </c>
      <c r="AX98" s="37">
        <f>RawData!BF830</f>
        <v>0</v>
      </c>
      <c r="AY98" s="36">
        <f>RawData!BG830</f>
        <v>0</v>
      </c>
      <c r="AZ98" s="36">
        <f>RawData!BH830</f>
        <v>0</v>
      </c>
      <c r="BA98" s="40">
        <f>RawData!BI830</f>
        <v>0</v>
      </c>
      <c r="BB98" s="44">
        <f>RawData!BJ830</f>
        <v>0</v>
      </c>
      <c r="BC98" s="44">
        <f>RawData!BK830</f>
        <v>0</v>
      </c>
      <c r="BD98" s="44">
        <f>RawData!BL830</f>
        <v>0</v>
      </c>
      <c r="BE98" s="44">
        <f>RawData!BM830</f>
        <v>0</v>
      </c>
      <c r="BF98" s="44">
        <f>RawData!BN830</f>
        <v>0</v>
      </c>
      <c r="BG98" s="63">
        <f>RawData!BO830</f>
        <v>0</v>
      </c>
      <c r="BH98" s="44">
        <f>RawData!BP830</f>
        <v>0</v>
      </c>
      <c r="BI98" s="63">
        <f>RawData!BQ830</f>
        <v>0</v>
      </c>
      <c r="BJ98" s="44">
        <f>RawData!BR830</f>
        <v>0</v>
      </c>
      <c r="BK98" s="47">
        <f>RawData!BS830</f>
        <v>0</v>
      </c>
      <c r="BL98" s="44">
        <f>RawData!BT830</f>
        <v>0</v>
      </c>
      <c r="BM98" s="47">
        <f>RawData!BV830</f>
        <v>0</v>
      </c>
      <c r="BN98" s="65">
        <f>RawData!CC830</f>
        <v>0</v>
      </c>
      <c r="BO98" s="66">
        <f>RawData!CD830</f>
        <v>0</v>
      </c>
      <c r="BQ98" s="21">
        <f t="shared" si="1"/>
        <v>0</v>
      </c>
    </row>
    <row r="99" spans="1:69" x14ac:dyDescent="0.2">
      <c r="A99" s="59">
        <f>RawData!P831</f>
        <v>0</v>
      </c>
      <c r="B99" s="44">
        <f>RawData!Q831</f>
        <v>0</v>
      </c>
      <c r="C99" s="44">
        <f>RawData!R831</f>
        <v>0</v>
      </c>
      <c r="D99" s="63">
        <f>RawData!S831</f>
        <v>0</v>
      </c>
      <c r="E99" s="44">
        <f>RawData!T831</f>
        <v>0</v>
      </c>
      <c r="F99" s="63">
        <f>RawData!U831</f>
        <v>0</v>
      </c>
      <c r="G99" s="44">
        <f>RawData!V831</f>
        <v>0</v>
      </c>
      <c r="H99" s="44">
        <f>RawData!W831</f>
        <v>0</v>
      </c>
      <c r="I99" s="44">
        <f>RawData!X831</f>
        <v>0</v>
      </c>
      <c r="J99" s="44">
        <f>RawData!Y831</f>
        <v>0</v>
      </c>
      <c r="K99" s="40">
        <f>RawData!Z831</f>
        <v>0</v>
      </c>
      <c r="L99" s="40">
        <f>RawData!AA831</f>
        <v>0</v>
      </c>
      <c r="M99" s="36">
        <f>RawData!AB831</f>
        <v>0</v>
      </c>
      <c r="N99" s="36">
        <f>RawData!AC831</f>
        <v>0</v>
      </c>
      <c r="O99" s="37">
        <f>RawData!AD831</f>
        <v>0</v>
      </c>
      <c r="P99" s="38">
        <f>RawData!AE831</f>
        <v>0</v>
      </c>
      <c r="Q99" s="39">
        <f>RawData!AF831</f>
        <v>0</v>
      </c>
      <c r="R99" s="38">
        <f>RawData!AG831</f>
        <v>0</v>
      </c>
      <c r="S99" s="40">
        <f>RawData!AH831</f>
        <v>0</v>
      </c>
      <c r="T99" s="40">
        <f>RawData!AI831</f>
        <v>0</v>
      </c>
      <c r="U99" s="40">
        <f>RawData!AJ831</f>
        <v>0</v>
      </c>
      <c r="V99" s="41">
        <f>RawData!AK831</f>
        <v>0</v>
      </c>
      <c r="W99" s="41">
        <f>RawData!AL831</f>
        <v>0</v>
      </c>
      <c r="X99" s="43">
        <f>RawData!CA831</f>
        <v>0</v>
      </c>
      <c r="Y99" s="41">
        <f>RawData!AM831</f>
        <v>0</v>
      </c>
      <c r="Z99" s="44">
        <f>RawData!CB831</f>
        <v>0</v>
      </c>
      <c r="AA99" s="44">
        <f>RawData!AN831</f>
        <v>0</v>
      </c>
      <c r="AB99" s="44">
        <f>RawData!AO831</f>
        <v>0</v>
      </c>
      <c r="AC99" s="44">
        <f>RawData!AP831</f>
        <v>0</v>
      </c>
      <c r="AD99" s="63">
        <f>RawData!BZ831</f>
        <v>0</v>
      </c>
      <c r="AE99" s="44">
        <f>RawData!AQ831</f>
        <v>0</v>
      </c>
      <c r="AF99" s="46">
        <f>RawData!O831</f>
        <v>0</v>
      </c>
      <c r="AG99" s="44">
        <f>RawData!AR831</f>
        <v>0</v>
      </c>
      <c r="AH99" s="44">
        <f>RawData!BY831</f>
        <v>0</v>
      </c>
      <c r="AI99" s="44">
        <f>RawData!AS831</f>
        <v>0</v>
      </c>
      <c r="AJ99" s="44">
        <f>RawData!AT831</f>
        <v>0</v>
      </c>
      <c r="AK99" s="44">
        <f>RawData!AU831</f>
        <v>0</v>
      </c>
      <c r="AL99" s="44">
        <f>RawData!BW831</f>
        <v>0</v>
      </c>
      <c r="AM99" s="41">
        <f>RawData!AV831</f>
        <v>0</v>
      </c>
      <c r="AN99" s="41">
        <f>RawData!BX831</f>
        <v>0</v>
      </c>
      <c r="AO99" s="41">
        <f>RawData!AW831</f>
        <v>0</v>
      </c>
      <c r="AP99" s="41">
        <f>RawData!AX831</f>
        <v>0</v>
      </c>
      <c r="AQ99" s="40">
        <f>RawData!AY831</f>
        <v>0</v>
      </c>
      <c r="AR99" s="40">
        <f>RawData!AZ831</f>
        <v>0</v>
      </c>
      <c r="AS99" s="40">
        <f>RawData!BA831</f>
        <v>0</v>
      </c>
      <c r="AT99" s="38">
        <f>RawData!BB831</f>
        <v>0</v>
      </c>
      <c r="AU99" s="40">
        <f>RawData!BC831</f>
        <v>0</v>
      </c>
      <c r="AV99" s="40">
        <f>RawData!BD831</f>
        <v>0</v>
      </c>
      <c r="AW99" s="38">
        <f>RawData!BE831</f>
        <v>0</v>
      </c>
      <c r="AX99" s="37">
        <f>RawData!BF831</f>
        <v>0</v>
      </c>
      <c r="AY99" s="36">
        <f>RawData!BG831</f>
        <v>0</v>
      </c>
      <c r="AZ99" s="36">
        <f>RawData!BH831</f>
        <v>0</v>
      </c>
      <c r="BA99" s="40">
        <f>RawData!BI831</f>
        <v>0</v>
      </c>
      <c r="BB99" s="44">
        <f>RawData!BJ831</f>
        <v>0</v>
      </c>
      <c r="BC99" s="44">
        <f>RawData!BK831</f>
        <v>0</v>
      </c>
      <c r="BD99" s="44">
        <f>RawData!BL831</f>
        <v>0</v>
      </c>
      <c r="BE99" s="44">
        <f>RawData!BM831</f>
        <v>0</v>
      </c>
      <c r="BF99" s="44">
        <f>RawData!BN831</f>
        <v>0</v>
      </c>
      <c r="BG99" s="63">
        <f>RawData!BO831</f>
        <v>0</v>
      </c>
      <c r="BH99" s="44">
        <f>RawData!BP831</f>
        <v>0</v>
      </c>
      <c r="BI99" s="63">
        <f>RawData!BQ831</f>
        <v>0</v>
      </c>
      <c r="BJ99" s="44">
        <f>RawData!BR831</f>
        <v>0</v>
      </c>
      <c r="BK99" s="47">
        <f>RawData!BS831</f>
        <v>0</v>
      </c>
      <c r="BL99" s="44">
        <f>RawData!BT831</f>
        <v>0</v>
      </c>
      <c r="BM99" s="47">
        <f>RawData!BV831</f>
        <v>0</v>
      </c>
      <c r="BN99" s="65">
        <f>RawData!CC831</f>
        <v>0</v>
      </c>
      <c r="BO99" s="66">
        <f>RawData!CD831</f>
        <v>0</v>
      </c>
      <c r="BQ99" s="21">
        <f t="shared" si="1"/>
        <v>0</v>
      </c>
    </row>
    <row r="100" spans="1:69" x14ac:dyDescent="0.2">
      <c r="A100" s="59">
        <f>RawData!P832</f>
        <v>0</v>
      </c>
      <c r="B100" s="44">
        <f>RawData!Q832</f>
        <v>0</v>
      </c>
      <c r="C100" s="44">
        <f>RawData!R832</f>
        <v>0</v>
      </c>
      <c r="D100" s="63">
        <f>RawData!S832</f>
        <v>0</v>
      </c>
      <c r="E100" s="44">
        <f>RawData!T832</f>
        <v>0</v>
      </c>
      <c r="F100" s="63">
        <f>RawData!U832</f>
        <v>0</v>
      </c>
      <c r="G100" s="44">
        <f>RawData!V832</f>
        <v>0</v>
      </c>
      <c r="H100" s="44">
        <f>RawData!W832</f>
        <v>0</v>
      </c>
      <c r="I100" s="44">
        <f>RawData!X832</f>
        <v>0</v>
      </c>
      <c r="J100" s="44">
        <f>RawData!Y832</f>
        <v>0</v>
      </c>
      <c r="K100" s="40">
        <f>RawData!Z832</f>
        <v>0</v>
      </c>
      <c r="L100" s="40">
        <f>RawData!AA832</f>
        <v>0</v>
      </c>
      <c r="M100" s="36">
        <f>RawData!AB832</f>
        <v>0</v>
      </c>
      <c r="N100" s="36">
        <f>RawData!AC832</f>
        <v>0</v>
      </c>
      <c r="O100" s="37">
        <f>RawData!AD832</f>
        <v>0</v>
      </c>
      <c r="P100" s="38">
        <f>RawData!AE832</f>
        <v>0</v>
      </c>
      <c r="Q100" s="39">
        <f>RawData!AF832</f>
        <v>0</v>
      </c>
      <c r="R100" s="38">
        <f>RawData!AG832</f>
        <v>0</v>
      </c>
      <c r="S100" s="40">
        <f>RawData!AH832</f>
        <v>0</v>
      </c>
      <c r="T100" s="40">
        <f>RawData!AI832</f>
        <v>0</v>
      </c>
      <c r="U100" s="40">
        <f>RawData!AJ832</f>
        <v>0</v>
      </c>
      <c r="V100" s="41">
        <f>RawData!AK832</f>
        <v>0</v>
      </c>
      <c r="W100" s="41">
        <f>RawData!AL832</f>
        <v>0</v>
      </c>
      <c r="X100" s="43">
        <f>RawData!CA832</f>
        <v>0</v>
      </c>
      <c r="Y100" s="41">
        <f>RawData!AM832</f>
        <v>0</v>
      </c>
      <c r="Z100" s="44">
        <f>RawData!CB832</f>
        <v>0</v>
      </c>
      <c r="AA100" s="44">
        <f>RawData!AN832</f>
        <v>0</v>
      </c>
      <c r="AB100" s="44">
        <f>RawData!AO832</f>
        <v>0</v>
      </c>
      <c r="AC100" s="44">
        <f>RawData!AP832</f>
        <v>0</v>
      </c>
      <c r="AD100" s="63">
        <f>RawData!BZ832</f>
        <v>0</v>
      </c>
      <c r="AE100" s="44">
        <f>RawData!AQ832</f>
        <v>0</v>
      </c>
      <c r="AF100" s="46">
        <f>RawData!O832</f>
        <v>0</v>
      </c>
      <c r="AG100" s="44">
        <f>RawData!AR832</f>
        <v>0</v>
      </c>
      <c r="AH100" s="44">
        <f>RawData!BY832</f>
        <v>0</v>
      </c>
      <c r="AI100" s="44">
        <f>RawData!AS832</f>
        <v>0</v>
      </c>
      <c r="AJ100" s="44">
        <f>RawData!AT832</f>
        <v>0</v>
      </c>
      <c r="AK100" s="44">
        <f>RawData!AU832</f>
        <v>0</v>
      </c>
      <c r="AL100" s="44">
        <f>RawData!BW832</f>
        <v>0</v>
      </c>
      <c r="AM100" s="41">
        <f>RawData!AV832</f>
        <v>0</v>
      </c>
      <c r="AN100" s="41">
        <f>RawData!BX832</f>
        <v>0</v>
      </c>
      <c r="AO100" s="41">
        <f>RawData!AW832</f>
        <v>0</v>
      </c>
      <c r="AP100" s="41">
        <f>RawData!AX832</f>
        <v>0</v>
      </c>
      <c r="AQ100" s="40">
        <f>RawData!AY832</f>
        <v>0</v>
      </c>
      <c r="AR100" s="40">
        <f>RawData!AZ832</f>
        <v>0</v>
      </c>
      <c r="AS100" s="40">
        <f>RawData!BA832</f>
        <v>0</v>
      </c>
      <c r="AT100" s="38">
        <f>RawData!BB832</f>
        <v>0</v>
      </c>
      <c r="AU100" s="40">
        <f>RawData!BC832</f>
        <v>0</v>
      </c>
      <c r="AV100" s="40">
        <f>RawData!BD832</f>
        <v>0</v>
      </c>
      <c r="AW100" s="38">
        <f>RawData!BE832</f>
        <v>0</v>
      </c>
      <c r="AX100" s="37">
        <f>RawData!BF832</f>
        <v>0</v>
      </c>
      <c r="AY100" s="36">
        <f>RawData!BG832</f>
        <v>0</v>
      </c>
      <c r="AZ100" s="36">
        <f>RawData!BH832</f>
        <v>0</v>
      </c>
      <c r="BA100" s="40">
        <f>RawData!BI832</f>
        <v>0</v>
      </c>
      <c r="BB100" s="44">
        <f>RawData!BJ832</f>
        <v>0</v>
      </c>
      <c r="BC100" s="44">
        <f>RawData!BK832</f>
        <v>0</v>
      </c>
      <c r="BD100" s="44">
        <f>RawData!BL832</f>
        <v>0</v>
      </c>
      <c r="BE100" s="44">
        <f>RawData!BM832</f>
        <v>0</v>
      </c>
      <c r="BF100" s="44">
        <f>RawData!BN832</f>
        <v>0</v>
      </c>
      <c r="BG100" s="63">
        <f>RawData!BO832</f>
        <v>0</v>
      </c>
      <c r="BH100" s="44">
        <f>RawData!BP832</f>
        <v>0</v>
      </c>
      <c r="BI100" s="63">
        <f>RawData!BQ832</f>
        <v>0</v>
      </c>
      <c r="BJ100" s="44">
        <f>RawData!BR832</f>
        <v>0</v>
      </c>
      <c r="BK100" s="47">
        <f>RawData!BS832</f>
        <v>0</v>
      </c>
      <c r="BL100" s="44">
        <f>RawData!BT832</f>
        <v>0</v>
      </c>
      <c r="BM100" s="47">
        <f>RawData!BV832</f>
        <v>0</v>
      </c>
      <c r="BN100" s="65">
        <f>RawData!CC832</f>
        <v>0</v>
      </c>
      <c r="BO100" s="66">
        <f>RawData!CD832</f>
        <v>0</v>
      </c>
      <c r="BQ100" s="21">
        <f t="shared" si="1"/>
        <v>0</v>
      </c>
    </row>
    <row r="101" spans="1:69" x14ac:dyDescent="0.2">
      <c r="A101" s="59">
        <f>RawData!P833</f>
        <v>0</v>
      </c>
      <c r="B101" s="44">
        <f>RawData!Q833</f>
        <v>0</v>
      </c>
      <c r="C101" s="44">
        <f>RawData!R833</f>
        <v>0</v>
      </c>
      <c r="D101" s="63">
        <f>RawData!S833</f>
        <v>0</v>
      </c>
      <c r="E101" s="44">
        <f>RawData!T833</f>
        <v>0</v>
      </c>
      <c r="F101" s="63">
        <f>RawData!U833</f>
        <v>0</v>
      </c>
      <c r="G101" s="44">
        <f>RawData!V833</f>
        <v>0</v>
      </c>
      <c r="H101" s="44">
        <f>RawData!W833</f>
        <v>0</v>
      </c>
      <c r="I101" s="44">
        <f>RawData!X833</f>
        <v>0</v>
      </c>
      <c r="J101" s="44">
        <f>RawData!Y833</f>
        <v>0</v>
      </c>
      <c r="K101" s="40">
        <f>RawData!Z833</f>
        <v>0</v>
      </c>
      <c r="L101" s="40">
        <f>RawData!AA833</f>
        <v>0</v>
      </c>
      <c r="M101" s="36">
        <f>RawData!AB833</f>
        <v>0</v>
      </c>
      <c r="N101" s="36">
        <f>RawData!AC833</f>
        <v>0</v>
      </c>
      <c r="O101" s="37">
        <f>RawData!AD833</f>
        <v>0</v>
      </c>
      <c r="P101" s="38">
        <f>RawData!AE833</f>
        <v>0</v>
      </c>
      <c r="Q101" s="39">
        <f>RawData!AF833</f>
        <v>0</v>
      </c>
      <c r="R101" s="38">
        <f>RawData!AG833</f>
        <v>0</v>
      </c>
      <c r="S101" s="40">
        <f>RawData!AH833</f>
        <v>0</v>
      </c>
      <c r="T101" s="40">
        <f>RawData!AI833</f>
        <v>0</v>
      </c>
      <c r="U101" s="40">
        <f>RawData!AJ833</f>
        <v>0</v>
      </c>
      <c r="V101" s="41">
        <f>RawData!AK833</f>
        <v>0</v>
      </c>
      <c r="W101" s="41">
        <f>RawData!AL833</f>
        <v>0</v>
      </c>
      <c r="X101" s="43">
        <f>RawData!CA833</f>
        <v>0</v>
      </c>
      <c r="Y101" s="41">
        <f>RawData!AM833</f>
        <v>0</v>
      </c>
      <c r="Z101" s="44">
        <f>RawData!CB833</f>
        <v>0</v>
      </c>
      <c r="AA101" s="44">
        <f>RawData!AN833</f>
        <v>0</v>
      </c>
      <c r="AB101" s="44">
        <f>RawData!AO833</f>
        <v>0</v>
      </c>
      <c r="AC101" s="44">
        <f>RawData!AP833</f>
        <v>0</v>
      </c>
      <c r="AD101" s="63">
        <f>RawData!BZ833</f>
        <v>0</v>
      </c>
      <c r="AE101" s="44">
        <f>RawData!AQ833</f>
        <v>0</v>
      </c>
      <c r="AF101" s="46">
        <f>RawData!O833</f>
        <v>0</v>
      </c>
      <c r="AG101" s="44">
        <f>RawData!AR833</f>
        <v>0</v>
      </c>
      <c r="AH101" s="44">
        <f>RawData!BY833</f>
        <v>0</v>
      </c>
      <c r="AI101" s="44">
        <f>RawData!AS833</f>
        <v>0</v>
      </c>
      <c r="AJ101" s="44">
        <f>RawData!AT833</f>
        <v>0</v>
      </c>
      <c r="AK101" s="44">
        <f>RawData!AU833</f>
        <v>0</v>
      </c>
      <c r="AL101" s="44">
        <f>RawData!BW833</f>
        <v>0</v>
      </c>
      <c r="AM101" s="41">
        <f>RawData!AV833</f>
        <v>0</v>
      </c>
      <c r="AN101" s="41">
        <f>RawData!BX833</f>
        <v>0</v>
      </c>
      <c r="AO101" s="41">
        <f>RawData!AW833</f>
        <v>0</v>
      </c>
      <c r="AP101" s="41">
        <f>RawData!AX833</f>
        <v>0</v>
      </c>
      <c r="AQ101" s="40">
        <f>RawData!AY833</f>
        <v>0</v>
      </c>
      <c r="AR101" s="40">
        <f>RawData!AZ833</f>
        <v>0</v>
      </c>
      <c r="AS101" s="40">
        <f>RawData!BA833</f>
        <v>0</v>
      </c>
      <c r="AT101" s="38">
        <f>RawData!BB833</f>
        <v>0</v>
      </c>
      <c r="AU101" s="40">
        <f>RawData!BC833</f>
        <v>0</v>
      </c>
      <c r="AV101" s="40">
        <f>RawData!BD833</f>
        <v>0</v>
      </c>
      <c r="AW101" s="38">
        <f>RawData!BE833</f>
        <v>0</v>
      </c>
      <c r="AX101" s="37">
        <f>RawData!BF833</f>
        <v>0</v>
      </c>
      <c r="AY101" s="36">
        <f>RawData!BG833</f>
        <v>0</v>
      </c>
      <c r="AZ101" s="36">
        <f>RawData!BH833</f>
        <v>0</v>
      </c>
      <c r="BA101" s="40">
        <f>RawData!BI833</f>
        <v>0</v>
      </c>
      <c r="BB101" s="44">
        <f>RawData!BJ833</f>
        <v>0</v>
      </c>
      <c r="BC101" s="44">
        <f>RawData!BK833</f>
        <v>0</v>
      </c>
      <c r="BD101" s="44">
        <f>RawData!BL833</f>
        <v>0</v>
      </c>
      <c r="BE101" s="44">
        <f>RawData!BM833</f>
        <v>0</v>
      </c>
      <c r="BF101" s="44">
        <f>RawData!BN833</f>
        <v>0</v>
      </c>
      <c r="BG101" s="63">
        <f>RawData!BO833</f>
        <v>0</v>
      </c>
      <c r="BH101" s="44">
        <f>RawData!BP833</f>
        <v>0</v>
      </c>
      <c r="BI101" s="63">
        <f>RawData!BQ833</f>
        <v>0</v>
      </c>
      <c r="BJ101" s="44">
        <f>RawData!BR833</f>
        <v>0</v>
      </c>
      <c r="BK101" s="47">
        <f>RawData!BS833</f>
        <v>0</v>
      </c>
      <c r="BL101" s="44">
        <f>RawData!BT833</f>
        <v>0</v>
      </c>
      <c r="BM101" s="47">
        <f>RawData!BV833</f>
        <v>0</v>
      </c>
      <c r="BN101" s="65">
        <f>RawData!CC833</f>
        <v>0</v>
      </c>
      <c r="BO101" s="66">
        <f>RawData!CD833</f>
        <v>0</v>
      </c>
      <c r="BQ101" s="21">
        <f t="shared" si="1"/>
        <v>0</v>
      </c>
    </row>
    <row r="102" spans="1:69" x14ac:dyDescent="0.2">
      <c r="A102" s="59">
        <f>RawData!P834</f>
        <v>0</v>
      </c>
      <c r="B102" s="44">
        <f>RawData!Q834</f>
        <v>0</v>
      </c>
      <c r="C102" s="44">
        <f>RawData!R834</f>
        <v>0</v>
      </c>
      <c r="D102" s="63">
        <f>RawData!S834</f>
        <v>0</v>
      </c>
      <c r="E102" s="44">
        <f>RawData!T834</f>
        <v>0</v>
      </c>
      <c r="F102" s="63">
        <f>RawData!U834</f>
        <v>0</v>
      </c>
      <c r="G102" s="44">
        <f>RawData!V834</f>
        <v>0</v>
      </c>
      <c r="H102" s="44">
        <f>RawData!W834</f>
        <v>0</v>
      </c>
      <c r="I102" s="44">
        <f>RawData!X834</f>
        <v>0</v>
      </c>
      <c r="J102" s="44">
        <f>RawData!Y834</f>
        <v>0</v>
      </c>
      <c r="K102" s="40">
        <f>RawData!Z834</f>
        <v>0</v>
      </c>
      <c r="L102" s="40">
        <f>RawData!AA834</f>
        <v>0</v>
      </c>
      <c r="M102" s="36">
        <f>RawData!AB834</f>
        <v>0</v>
      </c>
      <c r="N102" s="36">
        <f>RawData!AC834</f>
        <v>0</v>
      </c>
      <c r="O102" s="37">
        <f>RawData!AD834</f>
        <v>0</v>
      </c>
      <c r="P102" s="38">
        <f>RawData!AE834</f>
        <v>0</v>
      </c>
      <c r="Q102" s="39">
        <f>RawData!AF834</f>
        <v>0</v>
      </c>
      <c r="R102" s="38">
        <f>RawData!AG834</f>
        <v>0</v>
      </c>
      <c r="S102" s="40">
        <f>RawData!AH834</f>
        <v>0</v>
      </c>
      <c r="T102" s="40">
        <f>RawData!AI834</f>
        <v>0</v>
      </c>
      <c r="U102" s="40">
        <f>RawData!AJ834</f>
        <v>0</v>
      </c>
      <c r="V102" s="41">
        <f>RawData!AK834</f>
        <v>0</v>
      </c>
      <c r="W102" s="41">
        <f>RawData!AL834</f>
        <v>0</v>
      </c>
      <c r="X102" s="43">
        <f>RawData!CA834</f>
        <v>0</v>
      </c>
      <c r="Y102" s="41">
        <f>RawData!AM834</f>
        <v>0</v>
      </c>
      <c r="Z102" s="44">
        <f>RawData!CB834</f>
        <v>0</v>
      </c>
      <c r="AA102" s="44">
        <f>RawData!AN834</f>
        <v>0</v>
      </c>
      <c r="AB102" s="44">
        <f>RawData!AO834</f>
        <v>0</v>
      </c>
      <c r="AC102" s="44">
        <f>RawData!AP834</f>
        <v>0</v>
      </c>
      <c r="AD102" s="63">
        <f>RawData!BZ834</f>
        <v>0</v>
      </c>
      <c r="AE102" s="44">
        <f>RawData!AQ834</f>
        <v>0</v>
      </c>
      <c r="AF102" s="46">
        <f>RawData!O834</f>
        <v>0</v>
      </c>
      <c r="AG102" s="44">
        <f>RawData!AR834</f>
        <v>0</v>
      </c>
      <c r="AH102" s="44">
        <f>RawData!BY834</f>
        <v>0</v>
      </c>
      <c r="AI102" s="44">
        <f>RawData!AS834</f>
        <v>0</v>
      </c>
      <c r="AJ102" s="44">
        <f>RawData!AT834</f>
        <v>0</v>
      </c>
      <c r="AK102" s="44">
        <f>RawData!AU834</f>
        <v>0</v>
      </c>
      <c r="AL102" s="44">
        <f>RawData!BW834</f>
        <v>0</v>
      </c>
      <c r="AM102" s="41">
        <f>RawData!AV834</f>
        <v>0</v>
      </c>
      <c r="AN102" s="41">
        <f>RawData!BX834</f>
        <v>0</v>
      </c>
      <c r="AO102" s="41">
        <f>RawData!AW834</f>
        <v>0</v>
      </c>
      <c r="AP102" s="41">
        <f>RawData!AX834</f>
        <v>0</v>
      </c>
      <c r="AQ102" s="40">
        <f>RawData!AY834</f>
        <v>0</v>
      </c>
      <c r="AR102" s="40">
        <f>RawData!AZ834</f>
        <v>0</v>
      </c>
      <c r="AS102" s="40">
        <f>RawData!BA834</f>
        <v>0</v>
      </c>
      <c r="AT102" s="38">
        <f>RawData!BB834</f>
        <v>0</v>
      </c>
      <c r="AU102" s="40">
        <f>RawData!BC834</f>
        <v>0</v>
      </c>
      <c r="AV102" s="40">
        <f>RawData!BD834</f>
        <v>0</v>
      </c>
      <c r="AW102" s="38">
        <f>RawData!BE834</f>
        <v>0</v>
      </c>
      <c r="AX102" s="37">
        <f>RawData!BF834</f>
        <v>0</v>
      </c>
      <c r="AY102" s="36">
        <f>RawData!BG834</f>
        <v>0</v>
      </c>
      <c r="AZ102" s="36">
        <f>RawData!BH834</f>
        <v>0</v>
      </c>
      <c r="BA102" s="40">
        <f>RawData!BI834</f>
        <v>0</v>
      </c>
      <c r="BB102" s="44">
        <f>RawData!BJ834</f>
        <v>0</v>
      </c>
      <c r="BC102" s="44">
        <f>RawData!BK834</f>
        <v>0</v>
      </c>
      <c r="BD102" s="44">
        <f>RawData!BL834</f>
        <v>0</v>
      </c>
      <c r="BE102" s="44">
        <f>RawData!BM834</f>
        <v>0</v>
      </c>
      <c r="BF102" s="44">
        <f>RawData!BN834</f>
        <v>0</v>
      </c>
      <c r="BG102" s="63">
        <f>RawData!BO834</f>
        <v>0</v>
      </c>
      <c r="BH102" s="44">
        <f>RawData!BP834</f>
        <v>0</v>
      </c>
      <c r="BI102" s="63">
        <f>RawData!BQ834</f>
        <v>0</v>
      </c>
      <c r="BJ102" s="44">
        <f>RawData!BR834</f>
        <v>0</v>
      </c>
      <c r="BK102" s="47">
        <f>RawData!BS834</f>
        <v>0</v>
      </c>
      <c r="BL102" s="44">
        <f>RawData!BT834</f>
        <v>0</v>
      </c>
      <c r="BM102" s="47">
        <f>RawData!BV834</f>
        <v>0</v>
      </c>
      <c r="BN102" s="65">
        <f>RawData!CC834</f>
        <v>0</v>
      </c>
      <c r="BO102" s="66">
        <f>RawData!CD834</f>
        <v>0</v>
      </c>
      <c r="BQ102" s="21">
        <f t="shared" si="1"/>
        <v>0</v>
      </c>
    </row>
    <row r="103" spans="1:69" x14ac:dyDescent="0.2">
      <c r="A103" s="59">
        <f>RawData!P835</f>
        <v>0</v>
      </c>
      <c r="B103" s="44">
        <f>RawData!Q835</f>
        <v>0</v>
      </c>
      <c r="C103" s="44">
        <f>RawData!R835</f>
        <v>0</v>
      </c>
      <c r="D103" s="63">
        <f>RawData!S835</f>
        <v>0</v>
      </c>
      <c r="E103" s="44">
        <f>RawData!T835</f>
        <v>0</v>
      </c>
      <c r="F103" s="63">
        <f>RawData!U835</f>
        <v>0</v>
      </c>
      <c r="G103" s="44">
        <f>RawData!V835</f>
        <v>0</v>
      </c>
      <c r="H103" s="44">
        <f>RawData!W835</f>
        <v>0</v>
      </c>
      <c r="I103" s="44">
        <f>RawData!X835</f>
        <v>0</v>
      </c>
      <c r="J103" s="44">
        <f>RawData!Y835</f>
        <v>0</v>
      </c>
      <c r="K103" s="40">
        <f>RawData!Z835</f>
        <v>0</v>
      </c>
      <c r="L103" s="40">
        <f>RawData!AA835</f>
        <v>0</v>
      </c>
      <c r="M103" s="36">
        <f>RawData!AB835</f>
        <v>0</v>
      </c>
      <c r="N103" s="36">
        <f>RawData!AC835</f>
        <v>0</v>
      </c>
      <c r="O103" s="37">
        <f>RawData!AD835</f>
        <v>0</v>
      </c>
      <c r="P103" s="38">
        <f>RawData!AE835</f>
        <v>0</v>
      </c>
      <c r="Q103" s="39">
        <f>RawData!AF835</f>
        <v>0</v>
      </c>
      <c r="R103" s="38">
        <f>RawData!AG835</f>
        <v>0</v>
      </c>
      <c r="S103" s="40">
        <f>RawData!AH835</f>
        <v>0</v>
      </c>
      <c r="T103" s="40">
        <f>RawData!AI835</f>
        <v>0</v>
      </c>
      <c r="U103" s="40">
        <f>RawData!AJ835</f>
        <v>0</v>
      </c>
      <c r="V103" s="41">
        <f>RawData!AK835</f>
        <v>0</v>
      </c>
      <c r="W103" s="41">
        <f>RawData!AL835</f>
        <v>0</v>
      </c>
      <c r="X103" s="43">
        <f>RawData!CA835</f>
        <v>0</v>
      </c>
      <c r="Y103" s="41">
        <f>RawData!AM835</f>
        <v>0</v>
      </c>
      <c r="Z103" s="44">
        <f>RawData!CB835</f>
        <v>0</v>
      </c>
      <c r="AA103" s="44">
        <f>RawData!AN835</f>
        <v>0</v>
      </c>
      <c r="AB103" s="44">
        <f>RawData!AO835</f>
        <v>0</v>
      </c>
      <c r="AC103" s="44">
        <f>RawData!AP835</f>
        <v>0</v>
      </c>
      <c r="AD103" s="63">
        <f>RawData!BZ835</f>
        <v>0</v>
      </c>
      <c r="AE103" s="44">
        <f>RawData!AQ835</f>
        <v>0</v>
      </c>
      <c r="AF103" s="46">
        <f>RawData!O835</f>
        <v>0</v>
      </c>
      <c r="AG103" s="44">
        <f>RawData!AR835</f>
        <v>0</v>
      </c>
      <c r="AH103" s="44">
        <f>RawData!BY835</f>
        <v>0</v>
      </c>
      <c r="AI103" s="44">
        <f>RawData!AS835</f>
        <v>0</v>
      </c>
      <c r="AJ103" s="44">
        <f>RawData!AT835</f>
        <v>0</v>
      </c>
      <c r="AK103" s="44">
        <f>RawData!AU835</f>
        <v>0</v>
      </c>
      <c r="AL103" s="44">
        <f>RawData!BW835</f>
        <v>0</v>
      </c>
      <c r="AM103" s="41">
        <f>RawData!AV835</f>
        <v>0</v>
      </c>
      <c r="AN103" s="41">
        <f>RawData!BX835</f>
        <v>0</v>
      </c>
      <c r="AO103" s="41">
        <f>RawData!AW835</f>
        <v>0</v>
      </c>
      <c r="AP103" s="41">
        <f>RawData!AX835</f>
        <v>0</v>
      </c>
      <c r="AQ103" s="40">
        <f>RawData!AY835</f>
        <v>0</v>
      </c>
      <c r="AR103" s="40">
        <f>RawData!AZ835</f>
        <v>0</v>
      </c>
      <c r="AS103" s="40">
        <f>RawData!BA835</f>
        <v>0</v>
      </c>
      <c r="AT103" s="38">
        <f>RawData!BB835</f>
        <v>0</v>
      </c>
      <c r="AU103" s="40">
        <f>RawData!BC835</f>
        <v>0</v>
      </c>
      <c r="AV103" s="40">
        <f>RawData!BD835</f>
        <v>0</v>
      </c>
      <c r="AW103" s="38">
        <f>RawData!BE835</f>
        <v>0</v>
      </c>
      <c r="AX103" s="37">
        <f>RawData!BF835</f>
        <v>0</v>
      </c>
      <c r="AY103" s="36">
        <f>RawData!BG835</f>
        <v>0</v>
      </c>
      <c r="AZ103" s="36">
        <f>RawData!BH835</f>
        <v>0</v>
      </c>
      <c r="BA103" s="40">
        <f>RawData!BI835</f>
        <v>0</v>
      </c>
      <c r="BB103" s="44">
        <f>RawData!BJ835</f>
        <v>0</v>
      </c>
      <c r="BC103" s="44">
        <f>RawData!BK835</f>
        <v>0</v>
      </c>
      <c r="BD103" s="44">
        <f>RawData!BL835</f>
        <v>0</v>
      </c>
      <c r="BE103" s="44">
        <f>RawData!BM835</f>
        <v>0</v>
      </c>
      <c r="BF103" s="44">
        <f>RawData!BN835</f>
        <v>0</v>
      </c>
      <c r="BG103" s="63">
        <f>RawData!BO835</f>
        <v>0</v>
      </c>
      <c r="BH103" s="44">
        <f>RawData!BP835</f>
        <v>0</v>
      </c>
      <c r="BI103" s="63">
        <f>RawData!BQ835</f>
        <v>0</v>
      </c>
      <c r="BJ103" s="44">
        <f>RawData!BR835</f>
        <v>0</v>
      </c>
      <c r="BK103" s="47">
        <f>RawData!BS835</f>
        <v>0</v>
      </c>
      <c r="BL103" s="44">
        <f>RawData!BT835</f>
        <v>0</v>
      </c>
      <c r="BM103" s="47">
        <f>RawData!BV835</f>
        <v>0</v>
      </c>
      <c r="BN103" s="65">
        <f>RawData!CC835</f>
        <v>0</v>
      </c>
      <c r="BO103" s="66">
        <f>RawData!CD835</f>
        <v>0</v>
      </c>
      <c r="BQ103" s="21">
        <f t="shared" si="1"/>
        <v>0</v>
      </c>
    </row>
    <row r="104" spans="1:69" x14ac:dyDescent="0.2">
      <c r="A104" s="59">
        <f>RawData!P836</f>
        <v>0</v>
      </c>
      <c r="B104" s="44">
        <f>RawData!Q836</f>
        <v>0</v>
      </c>
      <c r="C104" s="44">
        <f>RawData!R836</f>
        <v>0</v>
      </c>
      <c r="D104" s="63">
        <f>RawData!S836</f>
        <v>0</v>
      </c>
      <c r="E104" s="44">
        <f>RawData!T836</f>
        <v>0</v>
      </c>
      <c r="F104" s="63">
        <f>RawData!U836</f>
        <v>0</v>
      </c>
      <c r="G104" s="44">
        <f>RawData!V836</f>
        <v>0</v>
      </c>
      <c r="H104" s="44">
        <f>RawData!W836</f>
        <v>0</v>
      </c>
      <c r="I104" s="44">
        <f>RawData!X836</f>
        <v>0</v>
      </c>
      <c r="J104" s="44">
        <f>RawData!Y836</f>
        <v>0</v>
      </c>
      <c r="K104" s="40">
        <f>RawData!Z836</f>
        <v>0</v>
      </c>
      <c r="L104" s="40">
        <f>RawData!AA836</f>
        <v>0</v>
      </c>
      <c r="M104" s="36">
        <f>RawData!AB836</f>
        <v>0</v>
      </c>
      <c r="N104" s="36">
        <f>RawData!AC836</f>
        <v>0</v>
      </c>
      <c r="O104" s="37">
        <f>RawData!AD836</f>
        <v>0</v>
      </c>
      <c r="P104" s="38">
        <f>RawData!AE836</f>
        <v>0</v>
      </c>
      <c r="Q104" s="39">
        <f>RawData!AF836</f>
        <v>0</v>
      </c>
      <c r="R104" s="38">
        <f>RawData!AG836</f>
        <v>0</v>
      </c>
      <c r="S104" s="40">
        <f>RawData!AH836</f>
        <v>0</v>
      </c>
      <c r="T104" s="40">
        <f>RawData!AI836</f>
        <v>0</v>
      </c>
      <c r="U104" s="40">
        <f>RawData!AJ836</f>
        <v>0</v>
      </c>
      <c r="V104" s="41">
        <f>RawData!AK836</f>
        <v>0</v>
      </c>
      <c r="W104" s="41">
        <f>RawData!AL836</f>
        <v>0</v>
      </c>
      <c r="X104" s="43">
        <f>RawData!CA836</f>
        <v>0</v>
      </c>
      <c r="Y104" s="41">
        <f>RawData!AM836</f>
        <v>0</v>
      </c>
      <c r="Z104" s="44">
        <f>RawData!CB836</f>
        <v>0</v>
      </c>
      <c r="AA104" s="44">
        <f>RawData!AN836</f>
        <v>0</v>
      </c>
      <c r="AB104" s="44">
        <f>RawData!AO836</f>
        <v>0</v>
      </c>
      <c r="AC104" s="44">
        <f>RawData!AP836</f>
        <v>0</v>
      </c>
      <c r="AD104" s="63">
        <f>RawData!BZ836</f>
        <v>0</v>
      </c>
      <c r="AE104" s="44">
        <f>RawData!AQ836</f>
        <v>0</v>
      </c>
      <c r="AF104" s="46">
        <f>RawData!O836</f>
        <v>0</v>
      </c>
      <c r="AG104" s="44">
        <f>RawData!AR836</f>
        <v>0</v>
      </c>
      <c r="AH104" s="44">
        <f>RawData!BY836</f>
        <v>0</v>
      </c>
      <c r="AI104" s="44">
        <f>RawData!AS836</f>
        <v>0</v>
      </c>
      <c r="AJ104" s="44">
        <f>RawData!AT836</f>
        <v>0</v>
      </c>
      <c r="AK104" s="44">
        <f>RawData!AU836</f>
        <v>0</v>
      </c>
      <c r="AL104" s="44">
        <f>RawData!BW836</f>
        <v>0</v>
      </c>
      <c r="AM104" s="41">
        <f>RawData!AV836</f>
        <v>0</v>
      </c>
      <c r="AN104" s="41">
        <f>RawData!BX836</f>
        <v>0</v>
      </c>
      <c r="AO104" s="41">
        <f>RawData!AW836</f>
        <v>0</v>
      </c>
      <c r="AP104" s="41">
        <f>RawData!AX836</f>
        <v>0</v>
      </c>
      <c r="AQ104" s="40">
        <f>RawData!AY836</f>
        <v>0</v>
      </c>
      <c r="AR104" s="40">
        <f>RawData!AZ836</f>
        <v>0</v>
      </c>
      <c r="AS104" s="40">
        <f>RawData!BA836</f>
        <v>0</v>
      </c>
      <c r="AT104" s="38">
        <f>RawData!BB836</f>
        <v>0</v>
      </c>
      <c r="AU104" s="40">
        <f>RawData!BC836</f>
        <v>0</v>
      </c>
      <c r="AV104" s="40">
        <f>RawData!BD836</f>
        <v>0</v>
      </c>
      <c r="AW104" s="38">
        <f>RawData!BE836</f>
        <v>0</v>
      </c>
      <c r="AX104" s="37">
        <f>RawData!BF836</f>
        <v>0</v>
      </c>
      <c r="AY104" s="36">
        <f>RawData!BG836</f>
        <v>0</v>
      </c>
      <c r="AZ104" s="36">
        <f>RawData!BH836</f>
        <v>0</v>
      </c>
      <c r="BA104" s="40">
        <f>RawData!BI836</f>
        <v>0</v>
      </c>
      <c r="BB104" s="44">
        <f>RawData!BJ836</f>
        <v>0</v>
      </c>
      <c r="BC104" s="44">
        <f>RawData!BK836</f>
        <v>0</v>
      </c>
      <c r="BD104" s="44">
        <f>RawData!BL836</f>
        <v>0</v>
      </c>
      <c r="BE104" s="44">
        <f>RawData!BM836</f>
        <v>0</v>
      </c>
      <c r="BF104" s="44">
        <f>RawData!BN836</f>
        <v>0</v>
      </c>
      <c r="BG104" s="63">
        <f>RawData!BO836</f>
        <v>0</v>
      </c>
      <c r="BH104" s="44">
        <f>RawData!BP836</f>
        <v>0</v>
      </c>
      <c r="BI104" s="63">
        <f>RawData!BQ836</f>
        <v>0</v>
      </c>
      <c r="BJ104" s="44">
        <f>RawData!BR836</f>
        <v>0</v>
      </c>
      <c r="BK104" s="47">
        <f>RawData!BS836</f>
        <v>0</v>
      </c>
      <c r="BL104" s="44">
        <f>RawData!BT836</f>
        <v>0</v>
      </c>
      <c r="BM104" s="47">
        <f>RawData!BV836</f>
        <v>0</v>
      </c>
      <c r="BN104" s="65">
        <f>RawData!CC836</f>
        <v>0</v>
      </c>
      <c r="BO104" s="66">
        <f>RawData!CD836</f>
        <v>0</v>
      </c>
      <c r="BQ104" s="21">
        <f t="shared" si="1"/>
        <v>0</v>
      </c>
    </row>
    <row r="105" spans="1:69" x14ac:dyDescent="0.2">
      <c r="A105" s="59">
        <f>RawData!P837</f>
        <v>0</v>
      </c>
      <c r="B105" s="44">
        <f>RawData!Q837</f>
        <v>0</v>
      </c>
      <c r="C105" s="44">
        <f>RawData!R837</f>
        <v>0</v>
      </c>
      <c r="D105" s="63">
        <f>RawData!S837</f>
        <v>0</v>
      </c>
      <c r="E105" s="44">
        <f>RawData!T837</f>
        <v>0</v>
      </c>
      <c r="F105" s="63">
        <f>RawData!U837</f>
        <v>0</v>
      </c>
      <c r="G105" s="44">
        <f>RawData!V837</f>
        <v>0</v>
      </c>
      <c r="H105" s="44">
        <f>RawData!W837</f>
        <v>0</v>
      </c>
      <c r="I105" s="44">
        <f>RawData!X837</f>
        <v>0</v>
      </c>
      <c r="J105" s="44">
        <f>RawData!Y837</f>
        <v>0</v>
      </c>
      <c r="K105" s="40">
        <f>RawData!Z837</f>
        <v>0</v>
      </c>
      <c r="L105" s="40">
        <f>RawData!AA837</f>
        <v>0</v>
      </c>
      <c r="M105" s="36">
        <f>RawData!AB837</f>
        <v>0</v>
      </c>
      <c r="N105" s="36">
        <f>RawData!AC837</f>
        <v>0</v>
      </c>
      <c r="O105" s="37">
        <f>RawData!AD837</f>
        <v>0</v>
      </c>
      <c r="P105" s="38">
        <f>RawData!AE837</f>
        <v>0</v>
      </c>
      <c r="Q105" s="39">
        <f>RawData!AF837</f>
        <v>0</v>
      </c>
      <c r="R105" s="38">
        <f>RawData!AG837</f>
        <v>0</v>
      </c>
      <c r="S105" s="40">
        <f>RawData!AH837</f>
        <v>0</v>
      </c>
      <c r="T105" s="40">
        <f>RawData!AI837</f>
        <v>0</v>
      </c>
      <c r="U105" s="40">
        <f>RawData!AJ837</f>
        <v>0</v>
      </c>
      <c r="V105" s="41">
        <f>RawData!AK837</f>
        <v>0</v>
      </c>
      <c r="W105" s="41">
        <f>RawData!AL837</f>
        <v>0</v>
      </c>
      <c r="X105" s="43">
        <f>RawData!CA837</f>
        <v>0</v>
      </c>
      <c r="Y105" s="41">
        <f>RawData!AM837</f>
        <v>0</v>
      </c>
      <c r="Z105" s="44">
        <f>RawData!CB837</f>
        <v>0</v>
      </c>
      <c r="AA105" s="44">
        <f>RawData!AN837</f>
        <v>0</v>
      </c>
      <c r="AB105" s="44">
        <f>RawData!AO837</f>
        <v>0</v>
      </c>
      <c r="AC105" s="44">
        <f>RawData!AP837</f>
        <v>0</v>
      </c>
      <c r="AD105" s="63">
        <f>RawData!BZ837</f>
        <v>0</v>
      </c>
      <c r="AE105" s="44">
        <f>RawData!AQ837</f>
        <v>0</v>
      </c>
      <c r="AF105" s="46">
        <f>RawData!O837</f>
        <v>0</v>
      </c>
      <c r="AG105" s="44">
        <f>RawData!AR837</f>
        <v>0</v>
      </c>
      <c r="AH105" s="44">
        <f>RawData!BY837</f>
        <v>0</v>
      </c>
      <c r="AI105" s="44">
        <f>RawData!AS837</f>
        <v>0</v>
      </c>
      <c r="AJ105" s="44">
        <f>RawData!AT837</f>
        <v>0</v>
      </c>
      <c r="AK105" s="44">
        <f>RawData!AU837</f>
        <v>0</v>
      </c>
      <c r="AL105" s="44">
        <f>RawData!BW837</f>
        <v>0</v>
      </c>
      <c r="AM105" s="41">
        <f>RawData!AV837</f>
        <v>0</v>
      </c>
      <c r="AN105" s="41">
        <f>RawData!BX837</f>
        <v>0</v>
      </c>
      <c r="AO105" s="41">
        <f>RawData!AW837</f>
        <v>0</v>
      </c>
      <c r="AP105" s="41">
        <f>RawData!AX837</f>
        <v>0</v>
      </c>
      <c r="AQ105" s="40">
        <f>RawData!AY837</f>
        <v>0</v>
      </c>
      <c r="AR105" s="40">
        <f>RawData!AZ837</f>
        <v>0</v>
      </c>
      <c r="AS105" s="40">
        <f>RawData!BA837</f>
        <v>0</v>
      </c>
      <c r="AT105" s="38">
        <f>RawData!BB837</f>
        <v>0</v>
      </c>
      <c r="AU105" s="40">
        <f>RawData!BC837</f>
        <v>0</v>
      </c>
      <c r="AV105" s="40">
        <f>RawData!BD837</f>
        <v>0</v>
      </c>
      <c r="AW105" s="38">
        <f>RawData!BE837</f>
        <v>0</v>
      </c>
      <c r="AX105" s="37">
        <f>RawData!BF837</f>
        <v>0</v>
      </c>
      <c r="AY105" s="36">
        <f>RawData!BG837</f>
        <v>0</v>
      </c>
      <c r="AZ105" s="36">
        <f>RawData!BH837</f>
        <v>0</v>
      </c>
      <c r="BA105" s="40">
        <f>RawData!BI837</f>
        <v>0</v>
      </c>
      <c r="BB105" s="44">
        <f>RawData!BJ837</f>
        <v>0</v>
      </c>
      <c r="BC105" s="44">
        <f>RawData!BK837</f>
        <v>0</v>
      </c>
      <c r="BD105" s="44">
        <f>RawData!BL837</f>
        <v>0</v>
      </c>
      <c r="BE105" s="44">
        <f>RawData!BM837</f>
        <v>0</v>
      </c>
      <c r="BF105" s="44">
        <f>RawData!BN837</f>
        <v>0</v>
      </c>
      <c r="BG105" s="63">
        <f>RawData!BO837</f>
        <v>0</v>
      </c>
      <c r="BH105" s="44">
        <f>RawData!BP837</f>
        <v>0</v>
      </c>
      <c r="BI105" s="63">
        <f>RawData!BQ837</f>
        <v>0</v>
      </c>
      <c r="BJ105" s="44">
        <f>RawData!BR837</f>
        <v>0</v>
      </c>
      <c r="BK105" s="47">
        <f>RawData!BS837</f>
        <v>0</v>
      </c>
      <c r="BL105" s="44">
        <f>RawData!BT837</f>
        <v>0</v>
      </c>
      <c r="BM105" s="47">
        <f>RawData!BV837</f>
        <v>0</v>
      </c>
      <c r="BN105" s="65">
        <f>RawData!CC837</f>
        <v>0</v>
      </c>
      <c r="BO105" s="66">
        <f>RawData!CD837</f>
        <v>0</v>
      </c>
      <c r="BQ105" s="21">
        <f t="shared" si="1"/>
        <v>0</v>
      </c>
    </row>
    <row r="106" spans="1:69" x14ac:dyDescent="0.2">
      <c r="A106" s="59">
        <f>RawData!P838</f>
        <v>0</v>
      </c>
      <c r="B106" s="44">
        <f>RawData!Q838</f>
        <v>0</v>
      </c>
      <c r="C106" s="44">
        <f>RawData!R838</f>
        <v>0</v>
      </c>
      <c r="D106" s="63">
        <f>RawData!S838</f>
        <v>0</v>
      </c>
      <c r="E106" s="44">
        <f>RawData!T838</f>
        <v>0</v>
      </c>
      <c r="F106" s="63">
        <f>RawData!U838</f>
        <v>0</v>
      </c>
      <c r="G106" s="44">
        <f>RawData!V838</f>
        <v>0</v>
      </c>
      <c r="H106" s="44">
        <f>RawData!W838</f>
        <v>0</v>
      </c>
      <c r="I106" s="44">
        <f>RawData!X838</f>
        <v>0</v>
      </c>
      <c r="J106" s="44">
        <f>RawData!Y838</f>
        <v>0</v>
      </c>
      <c r="K106" s="40">
        <f>RawData!Z838</f>
        <v>0</v>
      </c>
      <c r="L106" s="40">
        <f>RawData!AA838</f>
        <v>0</v>
      </c>
      <c r="M106" s="36">
        <f>RawData!AB838</f>
        <v>0</v>
      </c>
      <c r="N106" s="36">
        <f>RawData!AC838</f>
        <v>0</v>
      </c>
      <c r="O106" s="37">
        <f>RawData!AD838</f>
        <v>0</v>
      </c>
      <c r="P106" s="38">
        <f>RawData!AE838</f>
        <v>0</v>
      </c>
      <c r="Q106" s="39">
        <f>RawData!AF838</f>
        <v>0</v>
      </c>
      <c r="R106" s="38">
        <f>RawData!AG838</f>
        <v>0</v>
      </c>
      <c r="S106" s="40">
        <f>RawData!AH838</f>
        <v>0</v>
      </c>
      <c r="T106" s="40">
        <f>RawData!AI838</f>
        <v>0</v>
      </c>
      <c r="U106" s="40">
        <f>RawData!AJ838</f>
        <v>0</v>
      </c>
      <c r="V106" s="41">
        <f>RawData!AK838</f>
        <v>0</v>
      </c>
      <c r="W106" s="41">
        <f>RawData!AL838</f>
        <v>0</v>
      </c>
      <c r="X106" s="43">
        <f>RawData!CA838</f>
        <v>0</v>
      </c>
      <c r="Y106" s="41">
        <f>RawData!AM838</f>
        <v>0</v>
      </c>
      <c r="Z106" s="44">
        <f>RawData!CB838</f>
        <v>0</v>
      </c>
      <c r="AA106" s="44">
        <f>RawData!AN838</f>
        <v>0</v>
      </c>
      <c r="AB106" s="44">
        <f>RawData!AO838</f>
        <v>0</v>
      </c>
      <c r="AC106" s="44">
        <f>RawData!AP838</f>
        <v>0</v>
      </c>
      <c r="AD106" s="63">
        <f>RawData!BZ838</f>
        <v>0</v>
      </c>
      <c r="AE106" s="44">
        <f>RawData!AQ838</f>
        <v>0</v>
      </c>
      <c r="AF106" s="46">
        <f>RawData!O838</f>
        <v>0</v>
      </c>
      <c r="AG106" s="44">
        <f>RawData!AR838</f>
        <v>0</v>
      </c>
      <c r="AH106" s="44">
        <f>RawData!BY838</f>
        <v>0</v>
      </c>
      <c r="AI106" s="44">
        <f>RawData!AS838</f>
        <v>0</v>
      </c>
      <c r="AJ106" s="44">
        <f>RawData!AT838</f>
        <v>0</v>
      </c>
      <c r="AK106" s="44">
        <f>RawData!AU838</f>
        <v>0</v>
      </c>
      <c r="AL106" s="44">
        <f>RawData!BW838</f>
        <v>0</v>
      </c>
      <c r="AM106" s="41">
        <f>RawData!AV838</f>
        <v>0</v>
      </c>
      <c r="AN106" s="41">
        <f>RawData!BX838</f>
        <v>0</v>
      </c>
      <c r="AO106" s="41">
        <f>RawData!AW838</f>
        <v>0</v>
      </c>
      <c r="AP106" s="41">
        <f>RawData!AX838</f>
        <v>0</v>
      </c>
      <c r="AQ106" s="40">
        <f>RawData!AY838</f>
        <v>0</v>
      </c>
      <c r="AR106" s="40">
        <f>RawData!AZ838</f>
        <v>0</v>
      </c>
      <c r="AS106" s="40">
        <f>RawData!BA838</f>
        <v>0</v>
      </c>
      <c r="AT106" s="38">
        <f>RawData!BB838</f>
        <v>0</v>
      </c>
      <c r="AU106" s="40">
        <f>RawData!BC838</f>
        <v>0</v>
      </c>
      <c r="AV106" s="40">
        <f>RawData!BD838</f>
        <v>0</v>
      </c>
      <c r="AW106" s="38">
        <f>RawData!BE838</f>
        <v>0</v>
      </c>
      <c r="AX106" s="37">
        <f>RawData!BF838</f>
        <v>0</v>
      </c>
      <c r="AY106" s="36">
        <f>RawData!BG838</f>
        <v>0</v>
      </c>
      <c r="AZ106" s="36">
        <f>RawData!BH838</f>
        <v>0</v>
      </c>
      <c r="BA106" s="40">
        <f>RawData!BI838</f>
        <v>0</v>
      </c>
      <c r="BB106" s="44">
        <f>RawData!BJ838</f>
        <v>0</v>
      </c>
      <c r="BC106" s="44">
        <f>RawData!BK838</f>
        <v>0</v>
      </c>
      <c r="BD106" s="44">
        <f>RawData!BL838</f>
        <v>0</v>
      </c>
      <c r="BE106" s="44">
        <f>RawData!BM838</f>
        <v>0</v>
      </c>
      <c r="BF106" s="44">
        <f>RawData!BN838</f>
        <v>0</v>
      </c>
      <c r="BG106" s="63">
        <f>RawData!BO838</f>
        <v>0</v>
      </c>
      <c r="BH106" s="44">
        <f>RawData!BP838</f>
        <v>0</v>
      </c>
      <c r="BI106" s="63">
        <f>RawData!BQ838</f>
        <v>0</v>
      </c>
      <c r="BJ106" s="44">
        <f>RawData!BR838</f>
        <v>0</v>
      </c>
      <c r="BK106" s="47">
        <f>RawData!BS838</f>
        <v>0</v>
      </c>
      <c r="BL106" s="44">
        <f>RawData!BT838</f>
        <v>0</v>
      </c>
      <c r="BM106" s="47">
        <f>RawData!BV838</f>
        <v>0</v>
      </c>
      <c r="BN106" s="65">
        <f>RawData!CC838</f>
        <v>0</v>
      </c>
      <c r="BO106" s="66">
        <f>RawData!CD838</f>
        <v>0</v>
      </c>
      <c r="BQ106" s="21">
        <f t="shared" si="1"/>
        <v>0</v>
      </c>
    </row>
    <row r="107" spans="1:69" x14ac:dyDescent="0.2">
      <c r="A107" s="59">
        <f>RawData!P839</f>
        <v>0</v>
      </c>
      <c r="B107" s="44">
        <f>RawData!Q839</f>
        <v>0</v>
      </c>
      <c r="C107" s="44">
        <f>RawData!R839</f>
        <v>0</v>
      </c>
      <c r="D107" s="63">
        <f>RawData!S839</f>
        <v>0</v>
      </c>
      <c r="E107" s="44">
        <f>RawData!T839</f>
        <v>0</v>
      </c>
      <c r="F107" s="63">
        <f>RawData!U839</f>
        <v>0</v>
      </c>
      <c r="G107" s="44">
        <f>RawData!V839</f>
        <v>0</v>
      </c>
      <c r="H107" s="44">
        <f>RawData!W839</f>
        <v>0</v>
      </c>
      <c r="I107" s="44">
        <f>RawData!X839</f>
        <v>0</v>
      </c>
      <c r="J107" s="44">
        <f>RawData!Y839</f>
        <v>0</v>
      </c>
      <c r="K107" s="40">
        <f>RawData!Z839</f>
        <v>0</v>
      </c>
      <c r="L107" s="40">
        <f>RawData!AA839</f>
        <v>0</v>
      </c>
      <c r="M107" s="36">
        <f>RawData!AB839</f>
        <v>0</v>
      </c>
      <c r="N107" s="36">
        <f>RawData!AC839</f>
        <v>0</v>
      </c>
      <c r="O107" s="37">
        <f>RawData!AD839</f>
        <v>0</v>
      </c>
      <c r="P107" s="38">
        <f>RawData!AE839</f>
        <v>0</v>
      </c>
      <c r="Q107" s="39">
        <f>RawData!AF839</f>
        <v>0</v>
      </c>
      <c r="R107" s="38">
        <f>RawData!AG839</f>
        <v>0</v>
      </c>
      <c r="S107" s="40">
        <f>RawData!AH839</f>
        <v>0</v>
      </c>
      <c r="T107" s="40">
        <f>RawData!AI839</f>
        <v>0</v>
      </c>
      <c r="U107" s="40">
        <f>RawData!AJ839</f>
        <v>0</v>
      </c>
      <c r="V107" s="41">
        <f>RawData!AK839</f>
        <v>0</v>
      </c>
      <c r="W107" s="41">
        <f>RawData!AL839</f>
        <v>0</v>
      </c>
      <c r="X107" s="43">
        <f>RawData!CA839</f>
        <v>0</v>
      </c>
      <c r="Y107" s="41">
        <f>RawData!AM839</f>
        <v>0</v>
      </c>
      <c r="Z107" s="44">
        <f>RawData!CB839</f>
        <v>0</v>
      </c>
      <c r="AA107" s="44">
        <f>RawData!AN839</f>
        <v>0</v>
      </c>
      <c r="AB107" s="44">
        <f>RawData!AO839</f>
        <v>0</v>
      </c>
      <c r="AC107" s="44">
        <f>RawData!AP839</f>
        <v>0</v>
      </c>
      <c r="AD107" s="63">
        <f>RawData!BZ839</f>
        <v>0</v>
      </c>
      <c r="AE107" s="44">
        <f>RawData!AQ839</f>
        <v>0</v>
      </c>
      <c r="AF107" s="46">
        <f>RawData!O839</f>
        <v>0</v>
      </c>
      <c r="AG107" s="44">
        <f>RawData!AR839</f>
        <v>0</v>
      </c>
      <c r="AH107" s="44">
        <f>RawData!BY839</f>
        <v>0</v>
      </c>
      <c r="AI107" s="44">
        <f>RawData!AS839</f>
        <v>0</v>
      </c>
      <c r="AJ107" s="44">
        <f>RawData!AT839</f>
        <v>0</v>
      </c>
      <c r="AK107" s="44">
        <f>RawData!AU839</f>
        <v>0</v>
      </c>
      <c r="AL107" s="44">
        <f>RawData!BW839</f>
        <v>0</v>
      </c>
      <c r="AM107" s="41">
        <f>RawData!AV839</f>
        <v>0</v>
      </c>
      <c r="AN107" s="41">
        <f>RawData!BX839</f>
        <v>0</v>
      </c>
      <c r="AO107" s="41">
        <f>RawData!AW839</f>
        <v>0</v>
      </c>
      <c r="AP107" s="41">
        <f>RawData!AX839</f>
        <v>0</v>
      </c>
      <c r="AQ107" s="40">
        <f>RawData!AY839</f>
        <v>0</v>
      </c>
      <c r="AR107" s="40">
        <f>RawData!AZ839</f>
        <v>0</v>
      </c>
      <c r="AS107" s="40">
        <f>RawData!BA839</f>
        <v>0</v>
      </c>
      <c r="AT107" s="38">
        <f>RawData!BB839</f>
        <v>0</v>
      </c>
      <c r="AU107" s="40">
        <f>RawData!BC839</f>
        <v>0</v>
      </c>
      <c r="AV107" s="40">
        <f>RawData!BD839</f>
        <v>0</v>
      </c>
      <c r="AW107" s="38">
        <f>RawData!BE839</f>
        <v>0</v>
      </c>
      <c r="AX107" s="37">
        <f>RawData!BF839</f>
        <v>0</v>
      </c>
      <c r="AY107" s="36">
        <f>RawData!BG839</f>
        <v>0</v>
      </c>
      <c r="AZ107" s="36">
        <f>RawData!BH839</f>
        <v>0</v>
      </c>
      <c r="BA107" s="40">
        <f>RawData!BI839</f>
        <v>0</v>
      </c>
      <c r="BB107" s="44">
        <f>RawData!BJ839</f>
        <v>0</v>
      </c>
      <c r="BC107" s="44">
        <f>RawData!BK839</f>
        <v>0</v>
      </c>
      <c r="BD107" s="44">
        <f>RawData!BL839</f>
        <v>0</v>
      </c>
      <c r="BE107" s="44">
        <f>RawData!BM839</f>
        <v>0</v>
      </c>
      <c r="BF107" s="44">
        <f>RawData!BN839</f>
        <v>0</v>
      </c>
      <c r="BG107" s="63">
        <f>RawData!BO839</f>
        <v>0</v>
      </c>
      <c r="BH107" s="44">
        <f>RawData!BP839</f>
        <v>0</v>
      </c>
      <c r="BI107" s="63">
        <f>RawData!BQ839</f>
        <v>0</v>
      </c>
      <c r="BJ107" s="44">
        <f>RawData!BR839</f>
        <v>0</v>
      </c>
      <c r="BK107" s="47">
        <f>RawData!BS839</f>
        <v>0</v>
      </c>
      <c r="BL107" s="44">
        <f>RawData!BT839</f>
        <v>0</v>
      </c>
      <c r="BM107" s="47">
        <f>RawData!BV839</f>
        <v>0</v>
      </c>
      <c r="BN107" s="65">
        <f>RawData!CC839</f>
        <v>0</v>
      </c>
      <c r="BO107" s="66">
        <f>RawData!CD839</f>
        <v>0</v>
      </c>
      <c r="BQ107" s="21">
        <f t="shared" si="1"/>
        <v>0</v>
      </c>
    </row>
    <row r="108" spans="1:69" x14ac:dyDescent="0.2">
      <c r="A108" s="59">
        <f>RawData!P840</f>
        <v>0</v>
      </c>
      <c r="B108" s="44">
        <f>RawData!Q840</f>
        <v>0</v>
      </c>
      <c r="C108" s="44">
        <f>RawData!R840</f>
        <v>0</v>
      </c>
      <c r="D108" s="63">
        <f>RawData!S840</f>
        <v>0</v>
      </c>
      <c r="E108" s="44">
        <f>RawData!T840</f>
        <v>0</v>
      </c>
      <c r="F108" s="63">
        <f>RawData!U840</f>
        <v>0</v>
      </c>
      <c r="G108" s="44">
        <f>RawData!V840</f>
        <v>0</v>
      </c>
      <c r="H108" s="44">
        <f>RawData!W840</f>
        <v>0</v>
      </c>
      <c r="I108" s="44">
        <f>RawData!X840</f>
        <v>0</v>
      </c>
      <c r="J108" s="44">
        <f>RawData!Y840</f>
        <v>0</v>
      </c>
      <c r="K108" s="40">
        <f>RawData!Z840</f>
        <v>0</v>
      </c>
      <c r="L108" s="40">
        <f>RawData!AA840</f>
        <v>0</v>
      </c>
      <c r="M108" s="36">
        <f>RawData!AB840</f>
        <v>0</v>
      </c>
      <c r="N108" s="36">
        <f>RawData!AC840</f>
        <v>0</v>
      </c>
      <c r="O108" s="37">
        <f>RawData!AD840</f>
        <v>0</v>
      </c>
      <c r="P108" s="38">
        <f>RawData!AE840</f>
        <v>0</v>
      </c>
      <c r="Q108" s="39">
        <f>RawData!AF840</f>
        <v>0</v>
      </c>
      <c r="R108" s="38">
        <f>RawData!AG840</f>
        <v>0</v>
      </c>
      <c r="S108" s="40">
        <f>RawData!AH840</f>
        <v>0</v>
      </c>
      <c r="T108" s="40">
        <f>RawData!AI840</f>
        <v>0</v>
      </c>
      <c r="U108" s="40">
        <f>RawData!AJ840</f>
        <v>0</v>
      </c>
      <c r="V108" s="41">
        <f>RawData!AK840</f>
        <v>0</v>
      </c>
      <c r="W108" s="41">
        <f>RawData!AL840</f>
        <v>0</v>
      </c>
      <c r="X108" s="43">
        <f>RawData!CA840</f>
        <v>0</v>
      </c>
      <c r="Y108" s="41">
        <f>RawData!AM840</f>
        <v>0</v>
      </c>
      <c r="Z108" s="44">
        <f>RawData!CB840</f>
        <v>0</v>
      </c>
      <c r="AA108" s="44">
        <f>RawData!AN840</f>
        <v>0</v>
      </c>
      <c r="AB108" s="44">
        <f>RawData!AO840</f>
        <v>0</v>
      </c>
      <c r="AC108" s="44">
        <f>RawData!AP840</f>
        <v>0</v>
      </c>
      <c r="AD108" s="63">
        <f>RawData!BZ840</f>
        <v>0</v>
      </c>
      <c r="AE108" s="44">
        <f>RawData!AQ840</f>
        <v>0</v>
      </c>
      <c r="AF108" s="46">
        <f>RawData!O840</f>
        <v>0</v>
      </c>
      <c r="AG108" s="44">
        <f>RawData!AR840</f>
        <v>0</v>
      </c>
      <c r="AH108" s="44">
        <f>RawData!BY840</f>
        <v>0</v>
      </c>
      <c r="AI108" s="44">
        <f>RawData!AS840</f>
        <v>0</v>
      </c>
      <c r="AJ108" s="44">
        <f>RawData!AT840</f>
        <v>0</v>
      </c>
      <c r="AK108" s="44">
        <f>RawData!AU840</f>
        <v>0</v>
      </c>
      <c r="AL108" s="44">
        <f>RawData!BW840</f>
        <v>0</v>
      </c>
      <c r="AM108" s="41">
        <f>RawData!AV840</f>
        <v>0</v>
      </c>
      <c r="AN108" s="41">
        <f>RawData!BX840</f>
        <v>0</v>
      </c>
      <c r="AO108" s="41">
        <f>RawData!AW840</f>
        <v>0</v>
      </c>
      <c r="AP108" s="41">
        <f>RawData!AX840</f>
        <v>0</v>
      </c>
      <c r="AQ108" s="40">
        <f>RawData!AY840</f>
        <v>0</v>
      </c>
      <c r="AR108" s="40">
        <f>RawData!AZ840</f>
        <v>0</v>
      </c>
      <c r="AS108" s="40">
        <f>RawData!BA840</f>
        <v>0</v>
      </c>
      <c r="AT108" s="38">
        <f>RawData!BB840</f>
        <v>0</v>
      </c>
      <c r="AU108" s="40">
        <f>RawData!BC840</f>
        <v>0</v>
      </c>
      <c r="AV108" s="40">
        <f>RawData!BD840</f>
        <v>0</v>
      </c>
      <c r="AW108" s="38">
        <f>RawData!BE840</f>
        <v>0</v>
      </c>
      <c r="AX108" s="37">
        <f>RawData!BF840</f>
        <v>0</v>
      </c>
      <c r="AY108" s="36">
        <f>RawData!BG840</f>
        <v>0</v>
      </c>
      <c r="AZ108" s="36">
        <f>RawData!BH840</f>
        <v>0</v>
      </c>
      <c r="BA108" s="40">
        <f>RawData!BI840</f>
        <v>0</v>
      </c>
      <c r="BB108" s="44">
        <f>RawData!BJ840</f>
        <v>0</v>
      </c>
      <c r="BC108" s="44">
        <f>RawData!BK840</f>
        <v>0</v>
      </c>
      <c r="BD108" s="44">
        <f>RawData!BL840</f>
        <v>0</v>
      </c>
      <c r="BE108" s="44">
        <f>RawData!BM840</f>
        <v>0</v>
      </c>
      <c r="BF108" s="44">
        <f>RawData!BN840</f>
        <v>0</v>
      </c>
      <c r="BG108" s="63">
        <f>RawData!BO840</f>
        <v>0</v>
      </c>
      <c r="BH108" s="44">
        <f>RawData!BP840</f>
        <v>0</v>
      </c>
      <c r="BI108" s="63">
        <f>RawData!BQ840</f>
        <v>0</v>
      </c>
      <c r="BJ108" s="44">
        <f>RawData!BR840</f>
        <v>0</v>
      </c>
      <c r="BK108" s="47">
        <f>RawData!BS840</f>
        <v>0</v>
      </c>
      <c r="BL108" s="44">
        <f>RawData!BT840</f>
        <v>0</v>
      </c>
      <c r="BM108" s="47">
        <f>RawData!BV840</f>
        <v>0</v>
      </c>
      <c r="BN108" s="65">
        <f>RawData!CC840</f>
        <v>0</v>
      </c>
      <c r="BO108" s="66">
        <f>RawData!CD840</f>
        <v>0</v>
      </c>
      <c r="BQ108" s="21">
        <f t="shared" si="1"/>
        <v>0</v>
      </c>
    </row>
    <row r="109" spans="1:69" x14ac:dyDescent="0.2">
      <c r="A109" s="59">
        <f>RawData!P841</f>
        <v>0</v>
      </c>
      <c r="B109" s="44">
        <f>RawData!Q841</f>
        <v>0</v>
      </c>
      <c r="C109" s="44">
        <f>RawData!R841</f>
        <v>0</v>
      </c>
      <c r="D109" s="63">
        <f>RawData!S841</f>
        <v>0</v>
      </c>
      <c r="E109" s="44">
        <f>RawData!T841</f>
        <v>0</v>
      </c>
      <c r="F109" s="63">
        <f>RawData!U841</f>
        <v>0</v>
      </c>
      <c r="G109" s="44">
        <f>RawData!V841</f>
        <v>0</v>
      </c>
      <c r="H109" s="44">
        <f>RawData!W841</f>
        <v>0</v>
      </c>
      <c r="I109" s="44">
        <f>RawData!X841</f>
        <v>0</v>
      </c>
      <c r="J109" s="44">
        <f>RawData!Y841</f>
        <v>0</v>
      </c>
      <c r="K109" s="40">
        <f>RawData!Z841</f>
        <v>0</v>
      </c>
      <c r="L109" s="40">
        <f>RawData!AA841</f>
        <v>0</v>
      </c>
      <c r="M109" s="36">
        <f>RawData!AB841</f>
        <v>0</v>
      </c>
      <c r="N109" s="36">
        <f>RawData!AC841</f>
        <v>0</v>
      </c>
      <c r="O109" s="37">
        <f>RawData!AD841</f>
        <v>0</v>
      </c>
      <c r="P109" s="38">
        <f>RawData!AE841</f>
        <v>0</v>
      </c>
      <c r="Q109" s="39">
        <f>RawData!AF841</f>
        <v>0</v>
      </c>
      <c r="R109" s="38">
        <f>RawData!AG841</f>
        <v>0</v>
      </c>
      <c r="S109" s="40">
        <f>RawData!AH841</f>
        <v>0</v>
      </c>
      <c r="T109" s="40">
        <f>RawData!AI841</f>
        <v>0</v>
      </c>
      <c r="U109" s="40">
        <f>RawData!AJ841</f>
        <v>0</v>
      </c>
      <c r="V109" s="41">
        <f>RawData!AK841</f>
        <v>0</v>
      </c>
      <c r="W109" s="41">
        <f>RawData!AL841</f>
        <v>0</v>
      </c>
      <c r="X109" s="43">
        <f>RawData!CA841</f>
        <v>0</v>
      </c>
      <c r="Y109" s="41">
        <f>RawData!AM841</f>
        <v>0</v>
      </c>
      <c r="Z109" s="44">
        <f>RawData!CB841</f>
        <v>0</v>
      </c>
      <c r="AA109" s="44">
        <f>RawData!AN841</f>
        <v>0</v>
      </c>
      <c r="AB109" s="44">
        <f>RawData!AO841</f>
        <v>0</v>
      </c>
      <c r="AC109" s="44">
        <f>RawData!AP841</f>
        <v>0</v>
      </c>
      <c r="AD109" s="63">
        <f>RawData!BZ841</f>
        <v>0</v>
      </c>
      <c r="AE109" s="44">
        <f>RawData!AQ841</f>
        <v>0</v>
      </c>
      <c r="AF109" s="46">
        <f>RawData!O841</f>
        <v>0</v>
      </c>
      <c r="AG109" s="44">
        <f>RawData!AR841</f>
        <v>0</v>
      </c>
      <c r="AH109" s="44">
        <f>RawData!BY841</f>
        <v>0</v>
      </c>
      <c r="AI109" s="44">
        <f>RawData!AS841</f>
        <v>0</v>
      </c>
      <c r="AJ109" s="44">
        <f>RawData!AT841</f>
        <v>0</v>
      </c>
      <c r="AK109" s="44">
        <f>RawData!AU841</f>
        <v>0</v>
      </c>
      <c r="AL109" s="44">
        <f>RawData!BW841</f>
        <v>0</v>
      </c>
      <c r="AM109" s="41">
        <f>RawData!AV841</f>
        <v>0</v>
      </c>
      <c r="AN109" s="41">
        <f>RawData!BX841</f>
        <v>0</v>
      </c>
      <c r="AO109" s="41">
        <f>RawData!AW841</f>
        <v>0</v>
      </c>
      <c r="AP109" s="41">
        <f>RawData!AX841</f>
        <v>0</v>
      </c>
      <c r="AQ109" s="40">
        <f>RawData!AY841</f>
        <v>0</v>
      </c>
      <c r="AR109" s="40">
        <f>RawData!AZ841</f>
        <v>0</v>
      </c>
      <c r="AS109" s="40">
        <f>RawData!BA841</f>
        <v>0</v>
      </c>
      <c r="AT109" s="38">
        <f>RawData!BB841</f>
        <v>0</v>
      </c>
      <c r="AU109" s="40">
        <f>RawData!BC841</f>
        <v>0</v>
      </c>
      <c r="AV109" s="40">
        <f>RawData!BD841</f>
        <v>0</v>
      </c>
      <c r="AW109" s="38">
        <f>RawData!BE841</f>
        <v>0</v>
      </c>
      <c r="AX109" s="37">
        <f>RawData!BF841</f>
        <v>0</v>
      </c>
      <c r="AY109" s="36">
        <f>RawData!BG841</f>
        <v>0</v>
      </c>
      <c r="AZ109" s="36">
        <f>RawData!BH841</f>
        <v>0</v>
      </c>
      <c r="BA109" s="40">
        <f>RawData!BI841</f>
        <v>0</v>
      </c>
      <c r="BB109" s="44">
        <f>RawData!BJ841</f>
        <v>0</v>
      </c>
      <c r="BC109" s="44">
        <f>RawData!BK841</f>
        <v>0</v>
      </c>
      <c r="BD109" s="44">
        <f>RawData!BL841</f>
        <v>0</v>
      </c>
      <c r="BE109" s="44">
        <f>RawData!BM841</f>
        <v>0</v>
      </c>
      <c r="BF109" s="44">
        <f>RawData!BN841</f>
        <v>0</v>
      </c>
      <c r="BG109" s="63">
        <f>RawData!BO841</f>
        <v>0</v>
      </c>
      <c r="BH109" s="44">
        <f>RawData!BP841</f>
        <v>0</v>
      </c>
      <c r="BI109" s="63">
        <f>RawData!BQ841</f>
        <v>0</v>
      </c>
      <c r="BJ109" s="44">
        <f>RawData!BR841</f>
        <v>0</v>
      </c>
      <c r="BK109" s="47">
        <f>RawData!BS841</f>
        <v>0</v>
      </c>
      <c r="BL109" s="44">
        <f>RawData!BT841</f>
        <v>0</v>
      </c>
      <c r="BM109" s="47">
        <f>RawData!BV841</f>
        <v>0</v>
      </c>
      <c r="BN109" s="65">
        <f>RawData!CC841</f>
        <v>0</v>
      </c>
      <c r="BO109" s="66">
        <f>RawData!CD841</f>
        <v>0</v>
      </c>
      <c r="BQ109" s="21">
        <f t="shared" si="1"/>
        <v>0</v>
      </c>
    </row>
    <row r="110" spans="1:69" x14ac:dyDescent="0.2">
      <c r="A110" s="59">
        <f>RawData!P842</f>
        <v>0</v>
      </c>
      <c r="B110" s="44">
        <f>RawData!Q842</f>
        <v>0</v>
      </c>
      <c r="C110" s="44">
        <f>RawData!R842</f>
        <v>0</v>
      </c>
      <c r="D110" s="63">
        <f>RawData!S842</f>
        <v>0</v>
      </c>
      <c r="E110" s="44">
        <f>RawData!T842</f>
        <v>0</v>
      </c>
      <c r="F110" s="63">
        <f>RawData!U842</f>
        <v>0</v>
      </c>
      <c r="G110" s="44">
        <f>RawData!V842</f>
        <v>0</v>
      </c>
      <c r="H110" s="44">
        <f>RawData!W842</f>
        <v>0</v>
      </c>
      <c r="I110" s="44">
        <f>RawData!X842</f>
        <v>0</v>
      </c>
      <c r="J110" s="44">
        <f>RawData!Y842</f>
        <v>0</v>
      </c>
      <c r="K110" s="40">
        <f>RawData!Z842</f>
        <v>0</v>
      </c>
      <c r="L110" s="40">
        <f>RawData!AA842</f>
        <v>0</v>
      </c>
      <c r="M110" s="36">
        <f>RawData!AB842</f>
        <v>0</v>
      </c>
      <c r="N110" s="36">
        <f>RawData!AC842</f>
        <v>0</v>
      </c>
      <c r="O110" s="37">
        <f>RawData!AD842</f>
        <v>0</v>
      </c>
      <c r="P110" s="38">
        <f>RawData!AE842</f>
        <v>0</v>
      </c>
      <c r="Q110" s="39">
        <f>RawData!AF842</f>
        <v>0</v>
      </c>
      <c r="R110" s="38">
        <f>RawData!AG842</f>
        <v>0</v>
      </c>
      <c r="S110" s="40">
        <f>RawData!AH842</f>
        <v>0</v>
      </c>
      <c r="T110" s="40">
        <f>RawData!AI842</f>
        <v>0</v>
      </c>
      <c r="U110" s="40">
        <f>RawData!AJ842</f>
        <v>0</v>
      </c>
      <c r="V110" s="41">
        <f>RawData!AK842</f>
        <v>0</v>
      </c>
      <c r="W110" s="41">
        <f>RawData!AL842</f>
        <v>0</v>
      </c>
      <c r="X110" s="43">
        <f>RawData!CA842</f>
        <v>0</v>
      </c>
      <c r="Y110" s="41">
        <f>RawData!AM842</f>
        <v>0</v>
      </c>
      <c r="Z110" s="44">
        <f>RawData!CB842</f>
        <v>0</v>
      </c>
      <c r="AA110" s="44">
        <f>RawData!AN842</f>
        <v>0</v>
      </c>
      <c r="AB110" s="44">
        <f>RawData!AO842</f>
        <v>0</v>
      </c>
      <c r="AC110" s="44">
        <f>RawData!AP842</f>
        <v>0</v>
      </c>
      <c r="AD110" s="63">
        <f>RawData!BZ842</f>
        <v>0</v>
      </c>
      <c r="AE110" s="44">
        <f>RawData!AQ842</f>
        <v>0</v>
      </c>
      <c r="AF110" s="46">
        <f>RawData!O842</f>
        <v>0</v>
      </c>
      <c r="AG110" s="44">
        <f>RawData!AR842</f>
        <v>0</v>
      </c>
      <c r="AH110" s="44">
        <f>RawData!BY842</f>
        <v>0</v>
      </c>
      <c r="AI110" s="44">
        <f>RawData!AS842</f>
        <v>0</v>
      </c>
      <c r="AJ110" s="44">
        <f>RawData!AT842</f>
        <v>0</v>
      </c>
      <c r="AK110" s="44">
        <f>RawData!AU842</f>
        <v>0</v>
      </c>
      <c r="AL110" s="44">
        <f>RawData!BW842</f>
        <v>0</v>
      </c>
      <c r="AM110" s="41">
        <f>RawData!AV842</f>
        <v>0</v>
      </c>
      <c r="AN110" s="41">
        <f>RawData!BX842</f>
        <v>0</v>
      </c>
      <c r="AO110" s="41">
        <f>RawData!AW842</f>
        <v>0</v>
      </c>
      <c r="AP110" s="41">
        <f>RawData!AX842</f>
        <v>0</v>
      </c>
      <c r="AQ110" s="40">
        <f>RawData!AY842</f>
        <v>0</v>
      </c>
      <c r="AR110" s="40">
        <f>RawData!AZ842</f>
        <v>0</v>
      </c>
      <c r="AS110" s="40">
        <f>RawData!BA842</f>
        <v>0</v>
      </c>
      <c r="AT110" s="38">
        <f>RawData!BB842</f>
        <v>0</v>
      </c>
      <c r="AU110" s="40">
        <f>RawData!BC842</f>
        <v>0</v>
      </c>
      <c r="AV110" s="40">
        <f>RawData!BD842</f>
        <v>0</v>
      </c>
      <c r="AW110" s="38">
        <f>RawData!BE842</f>
        <v>0</v>
      </c>
      <c r="AX110" s="37">
        <f>RawData!BF842</f>
        <v>0</v>
      </c>
      <c r="AY110" s="36">
        <f>RawData!BG842</f>
        <v>0</v>
      </c>
      <c r="AZ110" s="36">
        <f>RawData!BH842</f>
        <v>0</v>
      </c>
      <c r="BA110" s="40">
        <f>RawData!BI842</f>
        <v>0</v>
      </c>
      <c r="BB110" s="44">
        <f>RawData!BJ842</f>
        <v>0</v>
      </c>
      <c r="BC110" s="44">
        <f>RawData!BK842</f>
        <v>0</v>
      </c>
      <c r="BD110" s="44">
        <f>RawData!BL842</f>
        <v>0</v>
      </c>
      <c r="BE110" s="44">
        <f>RawData!BM842</f>
        <v>0</v>
      </c>
      <c r="BF110" s="44">
        <f>RawData!BN842</f>
        <v>0</v>
      </c>
      <c r="BG110" s="63">
        <f>RawData!BO842</f>
        <v>0</v>
      </c>
      <c r="BH110" s="44">
        <f>RawData!BP842</f>
        <v>0</v>
      </c>
      <c r="BI110" s="63">
        <f>RawData!BQ842</f>
        <v>0</v>
      </c>
      <c r="BJ110" s="44">
        <f>RawData!BR842</f>
        <v>0</v>
      </c>
      <c r="BK110" s="47">
        <f>RawData!BS842</f>
        <v>0</v>
      </c>
      <c r="BL110" s="44">
        <f>RawData!BT842</f>
        <v>0</v>
      </c>
      <c r="BM110" s="47">
        <f>RawData!BV842</f>
        <v>0</v>
      </c>
      <c r="BN110" s="65">
        <f>RawData!CC842</f>
        <v>0</v>
      </c>
      <c r="BO110" s="66">
        <f>RawData!CD842</f>
        <v>0</v>
      </c>
      <c r="BQ110" s="21">
        <f t="shared" si="1"/>
        <v>0</v>
      </c>
    </row>
    <row r="111" spans="1:69" x14ac:dyDescent="0.2">
      <c r="A111" s="59">
        <f>RawData!P843</f>
        <v>0</v>
      </c>
      <c r="B111" s="44">
        <f>RawData!Q843</f>
        <v>0</v>
      </c>
      <c r="C111" s="44">
        <f>RawData!R843</f>
        <v>0</v>
      </c>
      <c r="D111" s="63">
        <f>RawData!S843</f>
        <v>0</v>
      </c>
      <c r="E111" s="44">
        <f>RawData!T843</f>
        <v>0</v>
      </c>
      <c r="F111" s="63">
        <f>RawData!U843</f>
        <v>0</v>
      </c>
      <c r="G111" s="44">
        <f>RawData!V843</f>
        <v>0</v>
      </c>
      <c r="H111" s="44">
        <f>RawData!W843</f>
        <v>0</v>
      </c>
      <c r="I111" s="44">
        <f>RawData!X843</f>
        <v>0</v>
      </c>
      <c r="J111" s="44">
        <f>RawData!Y843</f>
        <v>0</v>
      </c>
      <c r="K111" s="40">
        <f>RawData!Z843</f>
        <v>0</v>
      </c>
      <c r="L111" s="40">
        <f>RawData!AA843</f>
        <v>0</v>
      </c>
      <c r="M111" s="36">
        <f>RawData!AB843</f>
        <v>0</v>
      </c>
      <c r="N111" s="36">
        <f>RawData!AC843</f>
        <v>0</v>
      </c>
      <c r="O111" s="37">
        <f>RawData!AD843</f>
        <v>0</v>
      </c>
      <c r="P111" s="38">
        <f>RawData!AE843</f>
        <v>0</v>
      </c>
      <c r="Q111" s="39">
        <f>RawData!AF843</f>
        <v>0</v>
      </c>
      <c r="R111" s="38">
        <f>RawData!AG843</f>
        <v>0</v>
      </c>
      <c r="S111" s="40">
        <f>RawData!AH843</f>
        <v>0</v>
      </c>
      <c r="T111" s="40">
        <f>RawData!AI843</f>
        <v>0</v>
      </c>
      <c r="U111" s="40">
        <f>RawData!AJ843</f>
        <v>0</v>
      </c>
      <c r="V111" s="41">
        <f>RawData!AK843</f>
        <v>0</v>
      </c>
      <c r="W111" s="41">
        <f>RawData!AL843</f>
        <v>0</v>
      </c>
      <c r="X111" s="43">
        <f>RawData!CA843</f>
        <v>0</v>
      </c>
      <c r="Y111" s="41">
        <f>RawData!AM843</f>
        <v>0</v>
      </c>
      <c r="Z111" s="44">
        <f>RawData!CB843</f>
        <v>0</v>
      </c>
      <c r="AA111" s="44">
        <f>RawData!AN843</f>
        <v>0</v>
      </c>
      <c r="AB111" s="44">
        <f>RawData!AO843</f>
        <v>0</v>
      </c>
      <c r="AC111" s="44">
        <f>RawData!AP843</f>
        <v>0</v>
      </c>
      <c r="AD111" s="63">
        <f>RawData!BZ843</f>
        <v>0</v>
      </c>
      <c r="AE111" s="44">
        <f>RawData!AQ843</f>
        <v>0</v>
      </c>
      <c r="AF111" s="46">
        <f>RawData!O843</f>
        <v>0</v>
      </c>
      <c r="AG111" s="44">
        <f>RawData!AR843</f>
        <v>0</v>
      </c>
      <c r="AH111" s="44">
        <f>RawData!BY843</f>
        <v>0</v>
      </c>
      <c r="AI111" s="44">
        <f>RawData!AS843</f>
        <v>0</v>
      </c>
      <c r="AJ111" s="44">
        <f>RawData!AT843</f>
        <v>0</v>
      </c>
      <c r="AK111" s="44">
        <f>RawData!AU843</f>
        <v>0</v>
      </c>
      <c r="AL111" s="44">
        <f>RawData!BW843</f>
        <v>0</v>
      </c>
      <c r="AM111" s="41">
        <f>RawData!AV843</f>
        <v>0</v>
      </c>
      <c r="AN111" s="41">
        <f>RawData!BX843</f>
        <v>0</v>
      </c>
      <c r="AO111" s="41">
        <f>RawData!AW843</f>
        <v>0</v>
      </c>
      <c r="AP111" s="41">
        <f>RawData!AX843</f>
        <v>0</v>
      </c>
      <c r="AQ111" s="40">
        <f>RawData!AY843</f>
        <v>0</v>
      </c>
      <c r="AR111" s="40">
        <f>RawData!AZ843</f>
        <v>0</v>
      </c>
      <c r="AS111" s="40">
        <f>RawData!BA843</f>
        <v>0</v>
      </c>
      <c r="AT111" s="38">
        <f>RawData!BB843</f>
        <v>0</v>
      </c>
      <c r="AU111" s="40">
        <f>RawData!BC843</f>
        <v>0</v>
      </c>
      <c r="AV111" s="40">
        <f>RawData!BD843</f>
        <v>0</v>
      </c>
      <c r="AW111" s="38">
        <f>RawData!BE843</f>
        <v>0</v>
      </c>
      <c r="AX111" s="37">
        <f>RawData!BF843</f>
        <v>0</v>
      </c>
      <c r="AY111" s="36">
        <f>RawData!BG843</f>
        <v>0</v>
      </c>
      <c r="AZ111" s="36">
        <f>RawData!BH843</f>
        <v>0</v>
      </c>
      <c r="BA111" s="40">
        <f>RawData!BI843</f>
        <v>0</v>
      </c>
      <c r="BB111" s="44">
        <f>RawData!BJ843</f>
        <v>0</v>
      </c>
      <c r="BC111" s="44">
        <f>RawData!BK843</f>
        <v>0</v>
      </c>
      <c r="BD111" s="44">
        <f>RawData!BL843</f>
        <v>0</v>
      </c>
      <c r="BE111" s="44">
        <f>RawData!BM843</f>
        <v>0</v>
      </c>
      <c r="BF111" s="44">
        <f>RawData!BN843</f>
        <v>0</v>
      </c>
      <c r="BG111" s="63">
        <f>RawData!BO843</f>
        <v>0</v>
      </c>
      <c r="BH111" s="44">
        <f>RawData!BP843</f>
        <v>0</v>
      </c>
      <c r="BI111" s="63">
        <f>RawData!BQ843</f>
        <v>0</v>
      </c>
      <c r="BJ111" s="44">
        <f>RawData!BR843</f>
        <v>0</v>
      </c>
      <c r="BK111" s="47">
        <f>RawData!BS843</f>
        <v>0</v>
      </c>
      <c r="BL111" s="44">
        <f>RawData!BT843</f>
        <v>0</v>
      </c>
      <c r="BM111" s="47">
        <f>RawData!BV843</f>
        <v>0</v>
      </c>
      <c r="BN111" s="65">
        <f>RawData!CC843</f>
        <v>0</v>
      </c>
      <c r="BO111" s="66">
        <f>RawData!CD843</f>
        <v>0</v>
      </c>
      <c r="BQ111" s="21">
        <f t="shared" si="1"/>
        <v>0</v>
      </c>
    </row>
    <row r="112" spans="1:69" x14ac:dyDescent="0.2">
      <c r="A112" s="59">
        <f>RawData!P844</f>
        <v>0</v>
      </c>
      <c r="B112" s="44">
        <f>RawData!Q844</f>
        <v>0</v>
      </c>
      <c r="C112" s="44">
        <f>RawData!R844</f>
        <v>0</v>
      </c>
      <c r="D112" s="63">
        <f>RawData!S844</f>
        <v>0</v>
      </c>
      <c r="E112" s="44">
        <f>RawData!T844</f>
        <v>0</v>
      </c>
      <c r="F112" s="63">
        <f>RawData!U844</f>
        <v>0</v>
      </c>
      <c r="G112" s="44">
        <f>RawData!V844</f>
        <v>0</v>
      </c>
      <c r="H112" s="44">
        <f>RawData!W844</f>
        <v>0</v>
      </c>
      <c r="I112" s="44">
        <f>RawData!X844</f>
        <v>0</v>
      </c>
      <c r="J112" s="44">
        <f>RawData!Y844</f>
        <v>0</v>
      </c>
      <c r="K112" s="40">
        <f>RawData!Z844</f>
        <v>0</v>
      </c>
      <c r="L112" s="40">
        <f>RawData!AA844</f>
        <v>0</v>
      </c>
      <c r="M112" s="36">
        <f>RawData!AB844</f>
        <v>0</v>
      </c>
      <c r="N112" s="36">
        <f>RawData!AC844</f>
        <v>0</v>
      </c>
      <c r="O112" s="37">
        <f>RawData!AD844</f>
        <v>0</v>
      </c>
      <c r="P112" s="38">
        <f>RawData!AE844</f>
        <v>0</v>
      </c>
      <c r="Q112" s="39">
        <f>RawData!AF844</f>
        <v>0</v>
      </c>
      <c r="R112" s="38">
        <f>RawData!AG844</f>
        <v>0</v>
      </c>
      <c r="S112" s="40">
        <f>RawData!AH844</f>
        <v>0</v>
      </c>
      <c r="T112" s="40">
        <f>RawData!AI844</f>
        <v>0</v>
      </c>
      <c r="U112" s="40">
        <f>RawData!AJ844</f>
        <v>0</v>
      </c>
      <c r="V112" s="41">
        <f>RawData!AK844</f>
        <v>0</v>
      </c>
      <c r="W112" s="41">
        <f>RawData!AL844</f>
        <v>0</v>
      </c>
      <c r="X112" s="43">
        <f>RawData!CA844</f>
        <v>0</v>
      </c>
      <c r="Y112" s="41">
        <f>RawData!AM844</f>
        <v>0</v>
      </c>
      <c r="Z112" s="44">
        <f>RawData!CB844</f>
        <v>0</v>
      </c>
      <c r="AA112" s="44">
        <f>RawData!AN844</f>
        <v>0</v>
      </c>
      <c r="AB112" s="44">
        <f>RawData!AO844</f>
        <v>0</v>
      </c>
      <c r="AC112" s="44">
        <f>RawData!AP844</f>
        <v>0</v>
      </c>
      <c r="AD112" s="63">
        <f>RawData!BZ844</f>
        <v>0</v>
      </c>
      <c r="AE112" s="44">
        <f>RawData!AQ844</f>
        <v>0</v>
      </c>
      <c r="AF112" s="46">
        <f>RawData!O844</f>
        <v>0</v>
      </c>
      <c r="AG112" s="44">
        <f>RawData!AR844</f>
        <v>0</v>
      </c>
      <c r="AH112" s="44">
        <f>RawData!BY844</f>
        <v>0</v>
      </c>
      <c r="AI112" s="44">
        <f>RawData!AS844</f>
        <v>0</v>
      </c>
      <c r="AJ112" s="44">
        <f>RawData!AT844</f>
        <v>0</v>
      </c>
      <c r="AK112" s="44">
        <f>RawData!AU844</f>
        <v>0</v>
      </c>
      <c r="AL112" s="44">
        <f>RawData!BW844</f>
        <v>0</v>
      </c>
      <c r="AM112" s="41">
        <f>RawData!AV844</f>
        <v>0</v>
      </c>
      <c r="AN112" s="41">
        <f>RawData!BX844</f>
        <v>0</v>
      </c>
      <c r="AO112" s="41">
        <f>RawData!AW844</f>
        <v>0</v>
      </c>
      <c r="AP112" s="41">
        <f>RawData!AX844</f>
        <v>0</v>
      </c>
      <c r="AQ112" s="40">
        <f>RawData!AY844</f>
        <v>0</v>
      </c>
      <c r="AR112" s="40">
        <f>RawData!AZ844</f>
        <v>0</v>
      </c>
      <c r="AS112" s="40">
        <f>RawData!BA844</f>
        <v>0</v>
      </c>
      <c r="AT112" s="38">
        <f>RawData!BB844</f>
        <v>0</v>
      </c>
      <c r="AU112" s="40">
        <f>RawData!BC844</f>
        <v>0</v>
      </c>
      <c r="AV112" s="40">
        <f>RawData!BD844</f>
        <v>0</v>
      </c>
      <c r="AW112" s="38">
        <f>RawData!BE844</f>
        <v>0</v>
      </c>
      <c r="AX112" s="37">
        <f>RawData!BF844</f>
        <v>0</v>
      </c>
      <c r="AY112" s="36">
        <f>RawData!BG844</f>
        <v>0</v>
      </c>
      <c r="AZ112" s="36">
        <f>RawData!BH844</f>
        <v>0</v>
      </c>
      <c r="BA112" s="40">
        <f>RawData!BI844</f>
        <v>0</v>
      </c>
      <c r="BB112" s="44">
        <f>RawData!BJ844</f>
        <v>0</v>
      </c>
      <c r="BC112" s="44">
        <f>RawData!BK844</f>
        <v>0</v>
      </c>
      <c r="BD112" s="44">
        <f>RawData!BL844</f>
        <v>0</v>
      </c>
      <c r="BE112" s="44">
        <f>RawData!BM844</f>
        <v>0</v>
      </c>
      <c r="BF112" s="44">
        <f>RawData!BN844</f>
        <v>0</v>
      </c>
      <c r="BG112" s="63">
        <f>RawData!BO844</f>
        <v>0</v>
      </c>
      <c r="BH112" s="44">
        <f>RawData!BP844</f>
        <v>0</v>
      </c>
      <c r="BI112" s="63">
        <f>RawData!BQ844</f>
        <v>0</v>
      </c>
      <c r="BJ112" s="44">
        <f>RawData!BR844</f>
        <v>0</v>
      </c>
      <c r="BK112" s="47">
        <f>RawData!BS844</f>
        <v>0</v>
      </c>
      <c r="BL112" s="44">
        <f>RawData!BT844</f>
        <v>0</v>
      </c>
      <c r="BM112" s="47">
        <f>RawData!BV844</f>
        <v>0</v>
      </c>
      <c r="BN112" s="65">
        <f>RawData!CC844</f>
        <v>0</v>
      </c>
      <c r="BO112" s="66">
        <f>RawData!CD844</f>
        <v>0</v>
      </c>
      <c r="BQ112" s="21">
        <f t="shared" si="1"/>
        <v>0</v>
      </c>
    </row>
    <row r="113" spans="1:69" x14ac:dyDescent="0.2">
      <c r="A113" s="59">
        <f>RawData!P845</f>
        <v>0</v>
      </c>
      <c r="B113" s="44">
        <f>RawData!Q845</f>
        <v>0</v>
      </c>
      <c r="C113" s="44">
        <f>RawData!R845</f>
        <v>0</v>
      </c>
      <c r="D113" s="63">
        <f>RawData!S845</f>
        <v>0</v>
      </c>
      <c r="E113" s="44">
        <f>RawData!T845</f>
        <v>0</v>
      </c>
      <c r="F113" s="63">
        <f>RawData!U845</f>
        <v>0</v>
      </c>
      <c r="G113" s="44">
        <f>RawData!V845</f>
        <v>0</v>
      </c>
      <c r="H113" s="44">
        <f>RawData!W845</f>
        <v>0</v>
      </c>
      <c r="I113" s="44">
        <f>RawData!X845</f>
        <v>0</v>
      </c>
      <c r="J113" s="44">
        <f>RawData!Y845</f>
        <v>0</v>
      </c>
      <c r="K113" s="40">
        <f>RawData!Z845</f>
        <v>0</v>
      </c>
      <c r="L113" s="40">
        <f>RawData!AA845</f>
        <v>0</v>
      </c>
      <c r="M113" s="36">
        <f>RawData!AB845</f>
        <v>0</v>
      </c>
      <c r="N113" s="36">
        <f>RawData!AC845</f>
        <v>0</v>
      </c>
      <c r="O113" s="37">
        <f>RawData!AD845</f>
        <v>0</v>
      </c>
      <c r="P113" s="38">
        <f>RawData!AE845</f>
        <v>0</v>
      </c>
      <c r="Q113" s="39">
        <f>RawData!AF845</f>
        <v>0</v>
      </c>
      <c r="R113" s="38">
        <f>RawData!AG845</f>
        <v>0</v>
      </c>
      <c r="S113" s="40">
        <f>RawData!AH845</f>
        <v>0</v>
      </c>
      <c r="T113" s="40">
        <f>RawData!AI845</f>
        <v>0</v>
      </c>
      <c r="U113" s="40">
        <f>RawData!AJ845</f>
        <v>0</v>
      </c>
      <c r="V113" s="41">
        <f>RawData!AK845</f>
        <v>0</v>
      </c>
      <c r="W113" s="41">
        <f>RawData!AL845</f>
        <v>0</v>
      </c>
      <c r="X113" s="43">
        <f>RawData!CA845</f>
        <v>0</v>
      </c>
      <c r="Y113" s="41">
        <f>RawData!AM845</f>
        <v>0</v>
      </c>
      <c r="Z113" s="44">
        <f>RawData!CB845</f>
        <v>0</v>
      </c>
      <c r="AA113" s="44">
        <f>RawData!AN845</f>
        <v>0</v>
      </c>
      <c r="AB113" s="44">
        <f>RawData!AO845</f>
        <v>0</v>
      </c>
      <c r="AC113" s="44">
        <f>RawData!AP845</f>
        <v>0</v>
      </c>
      <c r="AD113" s="63">
        <f>RawData!BZ845</f>
        <v>0</v>
      </c>
      <c r="AE113" s="44">
        <f>RawData!AQ845</f>
        <v>0</v>
      </c>
      <c r="AF113" s="46">
        <f>RawData!O845</f>
        <v>0</v>
      </c>
      <c r="AG113" s="44">
        <f>RawData!AR845</f>
        <v>0</v>
      </c>
      <c r="AH113" s="44">
        <f>RawData!BY845</f>
        <v>0</v>
      </c>
      <c r="AI113" s="44">
        <f>RawData!AS845</f>
        <v>0</v>
      </c>
      <c r="AJ113" s="44">
        <f>RawData!AT845</f>
        <v>0</v>
      </c>
      <c r="AK113" s="44">
        <f>RawData!AU845</f>
        <v>0</v>
      </c>
      <c r="AL113" s="44">
        <f>RawData!BW845</f>
        <v>0</v>
      </c>
      <c r="AM113" s="41">
        <f>RawData!AV845</f>
        <v>0</v>
      </c>
      <c r="AN113" s="41">
        <f>RawData!BX845</f>
        <v>0</v>
      </c>
      <c r="AO113" s="41">
        <f>RawData!AW845</f>
        <v>0</v>
      </c>
      <c r="AP113" s="41">
        <f>RawData!AX845</f>
        <v>0</v>
      </c>
      <c r="AQ113" s="40">
        <f>RawData!AY845</f>
        <v>0</v>
      </c>
      <c r="AR113" s="40">
        <f>RawData!AZ845</f>
        <v>0</v>
      </c>
      <c r="AS113" s="40">
        <f>RawData!BA845</f>
        <v>0</v>
      </c>
      <c r="AT113" s="38">
        <f>RawData!BB845</f>
        <v>0</v>
      </c>
      <c r="AU113" s="40">
        <f>RawData!BC845</f>
        <v>0</v>
      </c>
      <c r="AV113" s="40">
        <f>RawData!BD845</f>
        <v>0</v>
      </c>
      <c r="AW113" s="38">
        <f>RawData!BE845</f>
        <v>0</v>
      </c>
      <c r="AX113" s="37">
        <f>RawData!BF845</f>
        <v>0</v>
      </c>
      <c r="AY113" s="36">
        <f>RawData!BG845</f>
        <v>0</v>
      </c>
      <c r="AZ113" s="36">
        <f>RawData!BH845</f>
        <v>0</v>
      </c>
      <c r="BA113" s="40">
        <f>RawData!BI845</f>
        <v>0</v>
      </c>
      <c r="BB113" s="44">
        <f>RawData!BJ845</f>
        <v>0</v>
      </c>
      <c r="BC113" s="44">
        <f>RawData!BK845</f>
        <v>0</v>
      </c>
      <c r="BD113" s="44">
        <f>RawData!BL845</f>
        <v>0</v>
      </c>
      <c r="BE113" s="44">
        <f>RawData!BM845</f>
        <v>0</v>
      </c>
      <c r="BF113" s="44">
        <f>RawData!BN845</f>
        <v>0</v>
      </c>
      <c r="BG113" s="63">
        <f>RawData!BO845</f>
        <v>0</v>
      </c>
      <c r="BH113" s="44">
        <f>RawData!BP845</f>
        <v>0</v>
      </c>
      <c r="BI113" s="63">
        <f>RawData!BQ845</f>
        <v>0</v>
      </c>
      <c r="BJ113" s="44">
        <f>RawData!BR845</f>
        <v>0</v>
      </c>
      <c r="BK113" s="47">
        <f>RawData!BS845</f>
        <v>0</v>
      </c>
      <c r="BL113" s="44">
        <f>RawData!BT845</f>
        <v>0</v>
      </c>
      <c r="BM113" s="47">
        <f>RawData!BV845</f>
        <v>0</v>
      </c>
      <c r="BN113" s="65">
        <f>RawData!CC845</f>
        <v>0</v>
      </c>
      <c r="BO113" s="66">
        <f>RawData!CD845</f>
        <v>0</v>
      </c>
      <c r="BQ113" s="21">
        <f t="shared" si="1"/>
        <v>0</v>
      </c>
    </row>
    <row r="114" spans="1:69" x14ac:dyDescent="0.2">
      <c r="A114" s="59">
        <f>RawData!P846</f>
        <v>0</v>
      </c>
      <c r="B114" s="44">
        <f>RawData!Q846</f>
        <v>0</v>
      </c>
      <c r="C114" s="44">
        <f>RawData!R846</f>
        <v>0</v>
      </c>
      <c r="D114" s="63">
        <f>RawData!S846</f>
        <v>0</v>
      </c>
      <c r="E114" s="44">
        <f>RawData!T846</f>
        <v>0</v>
      </c>
      <c r="F114" s="63">
        <f>RawData!U846</f>
        <v>0</v>
      </c>
      <c r="G114" s="44">
        <f>RawData!V846</f>
        <v>0</v>
      </c>
      <c r="H114" s="44">
        <f>RawData!W846</f>
        <v>0</v>
      </c>
      <c r="I114" s="44">
        <f>RawData!X846</f>
        <v>0</v>
      </c>
      <c r="J114" s="44">
        <f>RawData!Y846</f>
        <v>0</v>
      </c>
      <c r="K114" s="40">
        <f>RawData!Z846</f>
        <v>0</v>
      </c>
      <c r="L114" s="40">
        <f>RawData!AA846</f>
        <v>0</v>
      </c>
      <c r="M114" s="36">
        <f>RawData!AB846</f>
        <v>0</v>
      </c>
      <c r="N114" s="36">
        <f>RawData!AC846</f>
        <v>0</v>
      </c>
      <c r="O114" s="37">
        <f>RawData!AD846</f>
        <v>0</v>
      </c>
      <c r="P114" s="38">
        <f>RawData!AE846</f>
        <v>0</v>
      </c>
      <c r="Q114" s="39">
        <f>RawData!AF846</f>
        <v>0</v>
      </c>
      <c r="R114" s="38">
        <f>RawData!AG846</f>
        <v>0</v>
      </c>
      <c r="S114" s="40">
        <f>RawData!AH846</f>
        <v>0</v>
      </c>
      <c r="T114" s="40">
        <f>RawData!AI846</f>
        <v>0</v>
      </c>
      <c r="U114" s="40">
        <f>RawData!AJ846</f>
        <v>0</v>
      </c>
      <c r="V114" s="41">
        <f>RawData!AK846</f>
        <v>0</v>
      </c>
      <c r="W114" s="41">
        <f>RawData!AL846</f>
        <v>0</v>
      </c>
      <c r="X114" s="43">
        <f>RawData!CA846</f>
        <v>0</v>
      </c>
      <c r="Y114" s="41">
        <f>RawData!AM846</f>
        <v>0</v>
      </c>
      <c r="Z114" s="44">
        <f>RawData!CB846</f>
        <v>0</v>
      </c>
      <c r="AA114" s="44">
        <f>RawData!AN846</f>
        <v>0</v>
      </c>
      <c r="AB114" s="44">
        <f>RawData!AO846</f>
        <v>0</v>
      </c>
      <c r="AC114" s="44">
        <f>RawData!AP846</f>
        <v>0</v>
      </c>
      <c r="AD114" s="63">
        <f>RawData!BZ846</f>
        <v>0</v>
      </c>
      <c r="AE114" s="44">
        <f>RawData!AQ846</f>
        <v>0</v>
      </c>
      <c r="AF114" s="46">
        <f>RawData!O846</f>
        <v>0</v>
      </c>
      <c r="AG114" s="44">
        <f>RawData!AR846</f>
        <v>0</v>
      </c>
      <c r="AH114" s="44">
        <f>RawData!BY846</f>
        <v>0</v>
      </c>
      <c r="AI114" s="44">
        <f>RawData!AS846</f>
        <v>0</v>
      </c>
      <c r="AJ114" s="44">
        <f>RawData!AT846</f>
        <v>0</v>
      </c>
      <c r="AK114" s="44">
        <f>RawData!AU846</f>
        <v>0</v>
      </c>
      <c r="AL114" s="44">
        <f>RawData!BW846</f>
        <v>0</v>
      </c>
      <c r="AM114" s="41">
        <f>RawData!AV846</f>
        <v>0</v>
      </c>
      <c r="AN114" s="41">
        <f>RawData!BX846</f>
        <v>0</v>
      </c>
      <c r="AO114" s="41">
        <f>RawData!AW846</f>
        <v>0</v>
      </c>
      <c r="AP114" s="41">
        <f>RawData!AX846</f>
        <v>0</v>
      </c>
      <c r="AQ114" s="40">
        <f>RawData!AY846</f>
        <v>0</v>
      </c>
      <c r="AR114" s="40">
        <f>RawData!AZ846</f>
        <v>0</v>
      </c>
      <c r="AS114" s="40">
        <f>RawData!BA846</f>
        <v>0</v>
      </c>
      <c r="AT114" s="38">
        <f>RawData!BB846</f>
        <v>0</v>
      </c>
      <c r="AU114" s="40">
        <f>RawData!BC846</f>
        <v>0</v>
      </c>
      <c r="AV114" s="40">
        <f>RawData!BD846</f>
        <v>0</v>
      </c>
      <c r="AW114" s="38">
        <f>RawData!BE846</f>
        <v>0</v>
      </c>
      <c r="AX114" s="37">
        <f>RawData!BF846</f>
        <v>0</v>
      </c>
      <c r="AY114" s="36">
        <f>RawData!BG846</f>
        <v>0</v>
      </c>
      <c r="AZ114" s="36">
        <f>RawData!BH846</f>
        <v>0</v>
      </c>
      <c r="BA114" s="40">
        <f>RawData!BI846</f>
        <v>0</v>
      </c>
      <c r="BB114" s="44">
        <f>RawData!BJ846</f>
        <v>0</v>
      </c>
      <c r="BC114" s="44">
        <f>RawData!BK846</f>
        <v>0</v>
      </c>
      <c r="BD114" s="44">
        <f>RawData!BL846</f>
        <v>0</v>
      </c>
      <c r="BE114" s="44">
        <f>RawData!BM846</f>
        <v>0</v>
      </c>
      <c r="BF114" s="44">
        <f>RawData!BN846</f>
        <v>0</v>
      </c>
      <c r="BG114" s="63">
        <f>RawData!BO846</f>
        <v>0</v>
      </c>
      <c r="BH114" s="44">
        <f>RawData!BP846</f>
        <v>0</v>
      </c>
      <c r="BI114" s="63">
        <f>RawData!BQ846</f>
        <v>0</v>
      </c>
      <c r="BJ114" s="44">
        <f>RawData!BR846</f>
        <v>0</v>
      </c>
      <c r="BK114" s="47">
        <f>RawData!BS846</f>
        <v>0</v>
      </c>
      <c r="BL114" s="44">
        <f>RawData!BT846</f>
        <v>0</v>
      </c>
      <c r="BM114" s="47">
        <f>RawData!BV846</f>
        <v>0</v>
      </c>
      <c r="BN114" s="65">
        <f>RawData!CC846</f>
        <v>0</v>
      </c>
      <c r="BO114" s="66">
        <f>RawData!CD846</f>
        <v>0</v>
      </c>
      <c r="BQ114" s="21">
        <f t="shared" si="1"/>
        <v>0</v>
      </c>
    </row>
    <row r="115" spans="1:69" x14ac:dyDescent="0.2">
      <c r="A115" s="59">
        <f>RawData!P847</f>
        <v>0</v>
      </c>
      <c r="B115" s="44">
        <f>RawData!Q847</f>
        <v>0</v>
      </c>
      <c r="C115" s="44">
        <f>RawData!R847</f>
        <v>0</v>
      </c>
      <c r="D115" s="63">
        <f>RawData!S847</f>
        <v>0</v>
      </c>
      <c r="E115" s="44">
        <f>RawData!T847</f>
        <v>0</v>
      </c>
      <c r="F115" s="63">
        <f>RawData!U847</f>
        <v>0</v>
      </c>
      <c r="G115" s="44">
        <f>RawData!V847</f>
        <v>0</v>
      </c>
      <c r="H115" s="44">
        <f>RawData!W847</f>
        <v>0</v>
      </c>
      <c r="I115" s="44">
        <f>RawData!X847</f>
        <v>0</v>
      </c>
      <c r="J115" s="44">
        <f>RawData!Y847</f>
        <v>0</v>
      </c>
      <c r="K115" s="40">
        <f>RawData!Z847</f>
        <v>0</v>
      </c>
      <c r="L115" s="40">
        <f>RawData!AA847</f>
        <v>0</v>
      </c>
      <c r="M115" s="36">
        <f>RawData!AB847</f>
        <v>0</v>
      </c>
      <c r="N115" s="36">
        <f>RawData!AC847</f>
        <v>0</v>
      </c>
      <c r="O115" s="37">
        <f>RawData!AD847</f>
        <v>0</v>
      </c>
      <c r="P115" s="38">
        <f>RawData!AE847</f>
        <v>0</v>
      </c>
      <c r="Q115" s="39">
        <f>RawData!AF847</f>
        <v>0</v>
      </c>
      <c r="R115" s="38">
        <f>RawData!AG847</f>
        <v>0</v>
      </c>
      <c r="S115" s="40">
        <f>RawData!AH847</f>
        <v>0</v>
      </c>
      <c r="T115" s="40">
        <f>RawData!AI847</f>
        <v>0</v>
      </c>
      <c r="U115" s="40">
        <f>RawData!AJ847</f>
        <v>0</v>
      </c>
      <c r="V115" s="41">
        <f>RawData!AK847</f>
        <v>0</v>
      </c>
      <c r="W115" s="41">
        <f>RawData!AL847</f>
        <v>0</v>
      </c>
      <c r="X115" s="43">
        <f>RawData!CA847</f>
        <v>0</v>
      </c>
      <c r="Y115" s="41">
        <f>RawData!AM847</f>
        <v>0</v>
      </c>
      <c r="Z115" s="44">
        <f>RawData!CB847</f>
        <v>0</v>
      </c>
      <c r="AA115" s="44">
        <f>RawData!AN847</f>
        <v>0</v>
      </c>
      <c r="AB115" s="44">
        <f>RawData!AO847</f>
        <v>0</v>
      </c>
      <c r="AC115" s="44">
        <f>RawData!AP847</f>
        <v>0</v>
      </c>
      <c r="AD115" s="63">
        <f>RawData!BZ847</f>
        <v>0</v>
      </c>
      <c r="AE115" s="44">
        <f>RawData!AQ847</f>
        <v>0</v>
      </c>
      <c r="AF115" s="46">
        <f>RawData!O847</f>
        <v>0</v>
      </c>
      <c r="AG115" s="44">
        <f>RawData!AR847</f>
        <v>0</v>
      </c>
      <c r="AH115" s="44">
        <f>RawData!BY847</f>
        <v>0</v>
      </c>
      <c r="AI115" s="44">
        <f>RawData!AS847</f>
        <v>0</v>
      </c>
      <c r="AJ115" s="44">
        <f>RawData!AT847</f>
        <v>0</v>
      </c>
      <c r="AK115" s="44">
        <f>RawData!AU847</f>
        <v>0</v>
      </c>
      <c r="AL115" s="44">
        <f>RawData!BW847</f>
        <v>0</v>
      </c>
      <c r="AM115" s="41">
        <f>RawData!AV847</f>
        <v>0</v>
      </c>
      <c r="AN115" s="41">
        <f>RawData!BX847</f>
        <v>0</v>
      </c>
      <c r="AO115" s="41">
        <f>RawData!AW847</f>
        <v>0</v>
      </c>
      <c r="AP115" s="41">
        <f>RawData!AX847</f>
        <v>0</v>
      </c>
      <c r="AQ115" s="40">
        <f>RawData!AY847</f>
        <v>0</v>
      </c>
      <c r="AR115" s="40">
        <f>RawData!AZ847</f>
        <v>0</v>
      </c>
      <c r="AS115" s="40">
        <f>RawData!BA847</f>
        <v>0</v>
      </c>
      <c r="AT115" s="38">
        <f>RawData!BB847</f>
        <v>0</v>
      </c>
      <c r="AU115" s="40">
        <f>RawData!BC847</f>
        <v>0</v>
      </c>
      <c r="AV115" s="40">
        <f>RawData!BD847</f>
        <v>0</v>
      </c>
      <c r="AW115" s="38">
        <f>RawData!BE847</f>
        <v>0</v>
      </c>
      <c r="AX115" s="37">
        <f>RawData!BF847</f>
        <v>0</v>
      </c>
      <c r="AY115" s="36">
        <f>RawData!BG847</f>
        <v>0</v>
      </c>
      <c r="AZ115" s="36">
        <f>RawData!BH847</f>
        <v>0</v>
      </c>
      <c r="BA115" s="40">
        <f>RawData!BI847</f>
        <v>0</v>
      </c>
      <c r="BB115" s="44">
        <f>RawData!BJ847</f>
        <v>0</v>
      </c>
      <c r="BC115" s="44">
        <f>RawData!BK847</f>
        <v>0</v>
      </c>
      <c r="BD115" s="44">
        <f>RawData!BL847</f>
        <v>0</v>
      </c>
      <c r="BE115" s="44">
        <f>RawData!BM847</f>
        <v>0</v>
      </c>
      <c r="BF115" s="44">
        <f>RawData!BN847</f>
        <v>0</v>
      </c>
      <c r="BG115" s="63">
        <f>RawData!BO847</f>
        <v>0</v>
      </c>
      <c r="BH115" s="44">
        <f>RawData!BP847</f>
        <v>0</v>
      </c>
      <c r="BI115" s="63">
        <f>RawData!BQ847</f>
        <v>0</v>
      </c>
      <c r="BJ115" s="44">
        <f>RawData!BR847</f>
        <v>0</v>
      </c>
      <c r="BK115" s="47">
        <f>RawData!BS847</f>
        <v>0</v>
      </c>
      <c r="BL115" s="44">
        <f>RawData!BT847</f>
        <v>0</v>
      </c>
      <c r="BM115" s="47">
        <f>RawData!BV847</f>
        <v>0</v>
      </c>
      <c r="BN115" s="65">
        <f>RawData!CC847</f>
        <v>0</v>
      </c>
      <c r="BO115" s="66">
        <f>RawData!CD847</f>
        <v>0</v>
      </c>
      <c r="BQ115" s="21">
        <f t="shared" si="1"/>
        <v>0</v>
      </c>
    </row>
    <row r="116" spans="1:69" x14ac:dyDescent="0.2">
      <c r="A116" s="59">
        <f>RawData!P848</f>
        <v>0</v>
      </c>
      <c r="B116" s="44">
        <f>RawData!Q848</f>
        <v>0</v>
      </c>
      <c r="C116" s="44">
        <f>RawData!R848</f>
        <v>0</v>
      </c>
      <c r="D116" s="63">
        <f>RawData!S848</f>
        <v>0</v>
      </c>
      <c r="E116" s="44">
        <f>RawData!T848</f>
        <v>0</v>
      </c>
      <c r="F116" s="63">
        <f>RawData!U848</f>
        <v>0</v>
      </c>
      <c r="G116" s="44">
        <f>RawData!V848</f>
        <v>0</v>
      </c>
      <c r="H116" s="44">
        <f>RawData!W848</f>
        <v>0</v>
      </c>
      <c r="I116" s="44">
        <f>RawData!X848</f>
        <v>0</v>
      </c>
      <c r="J116" s="44">
        <f>RawData!Y848</f>
        <v>0</v>
      </c>
      <c r="K116" s="40">
        <f>RawData!Z848</f>
        <v>0</v>
      </c>
      <c r="L116" s="40">
        <f>RawData!AA848</f>
        <v>0</v>
      </c>
      <c r="M116" s="36">
        <f>RawData!AB848</f>
        <v>0</v>
      </c>
      <c r="N116" s="36">
        <f>RawData!AC848</f>
        <v>0</v>
      </c>
      <c r="O116" s="37">
        <f>RawData!AD848</f>
        <v>0</v>
      </c>
      <c r="P116" s="38">
        <f>RawData!AE848</f>
        <v>0</v>
      </c>
      <c r="Q116" s="39">
        <f>RawData!AF848</f>
        <v>0</v>
      </c>
      <c r="R116" s="38">
        <f>RawData!AG848</f>
        <v>0</v>
      </c>
      <c r="S116" s="40">
        <f>RawData!AH848</f>
        <v>0</v>
      </c>
      <c r="T116" s="40">
        <f>RawData!AI848</f>
        <v>0</v>
      </c>
      <c r="U116" s="40">
        <f>RawData!AJ848</f>
        <v>0</v>
      </c>
      <c r="V116" s="41">
        <f>RawData!AK848</f>
        <v>0</v>
      </c>
      <c r="W116" s="41">
        <f>RawData!AL848</f>
        <v>0</v>
      </c>
      <c r="X116" s="43">
        <f>RawData!CA848</f>
        <v>0</v>
      </c>
      <c r="Y116" s="41">
        <f>RawData!AM848</f>
        <v>0</v>
      </c>
      <c r="Z116" s="44">
        <f>RawData!CB848</f>
        <v>0</v>
      </c>
      <c r="AA116" s="44">
        <f>RawData!AN848</f>
        <v>0</v>
      </c>
      <c r="AB116" s="44">
        <f>RawData!AO848</f>
        <v>0</v>
      </c>
      <c r="AC116" s="44">
        <f>RawData!AP848</f>
        <v>0</v>
      </c>
      <c r="AD116" s="63">
        <f>RawData!BZ848</f>
        <v>0</v>
      </c>
      <c r="AE116" s="44">
        <f>RawData!AQ848</f>
        <v>0</v>
      </c>
      <c r="AF116" s="46">
        <f>RawData!O848</f>
        <v>0</v>
      </c>
      <c r="AG116" s="44">
        <f>RawData!AR848</f>
        <v>0</v>
      </c>
      <c r="AH116" s="44">
        <f>RawData!BY848</f>
        <v>0</v>
      </c>
      <c r="AI116" s="44">
        <f>RawData!AS848</f>
        <v>0</v>
      </c>
      <c r="AJ116" s="44">
        <f>RawData!AT848</f>
        <v>0</v>
      </c>
      <c r="AK116" s="44">
        <f>RawData!AU848</f>
        <v>0</v>
      </c>
      <c r="AL116" s="44">
        <f>RawData!BW848</f>
        <v>0</v>
      </c>
      <c r="AM116" s="41">
        <f>RawData!AV848</f>
        <v>0</v>
      </c>
      <c r="AN116" s="41">
        <f>RawData!BX848</f>
        <v>0</v>
      </c>
      <c r="AO116" s="41">
        <f>RawData!AW848</f>
        <v>0</v>
      </c>
      <c r="AP116" s="41">
        <f>RawData!AX848</f>
        <v>0</v>
      </c>
      <c r="AQ116" s="40">
        <f>RawData!AY848</f>
        <v>0</v>
      </c>
      <c r="AR116" s="40">
        <f>RawData!AZ848</f>
        <v>0</v>
      </c>
      <c r="AS116" s="40">
        <f>RawData!BA848</f>
        <v>0</v>
      </c>
      <c r="AT116" s="38">
        <f>RawData!BB848</f>
        <v>0</v>
      </c>
      <c r="AU116" s="40">
        <f>RawData!BC848</f>
        <v>0</v>
      </c>
      <c r="AV116" s="40">
        <f>RawData!BD848</f>
        <v>0</v>
      </c>
      <c r="AW116" s="38">
        <f>RawData!BE848</f>
        <v>0</v>
      </c>
      <c r="AX116" s="37">
        <f>RawData!BF848</f>
        <v>0</v>
      </c>
      <c r="AY116" s="36">
        <f>RawData!BG848</f>
        <v>0</v>
      </c>
      <c r="AZ116" s="36">
        <f>RawData!BH848</f>
        <v>0</v>
      </c>
      <c r="BA116" s="40">
        <f>RawData!BI848</f>
        <v>0</v>
      </c>
      <c r="BB116" s="44">
        <f>RawData!BJ848</f>
        <v>0</v>
      </c>
      <c r="BC116" s="44">
        <f>RawData!BK848</f>
        <v>0</v>
      </c>
      <c r="BD116" s="44">
        <f>RawData!BL848</f>
        <v>0</v>
      </c>
      <c r="BE116" s="44">
        <f>RawData!BM848</f>
        <v>0</v>
      </c>
      <c r="BF116" s="44">
        <f>RawData!BN848</f>
        <v>0</v>
      </c>
      <c r="BG116" s="63">
        <f>RawData!BO848</f>
        <v>0</v>
      </c>
      <c r="BH116" s="44">
        <f>RawData!BP848</f>
        <v>0</v>
      </c>
      <c r="BI116" s="63">
        <f>RawData!BQ848</f>
        <v>0</v>
      </c>
      <c r="BJ116" s="44">
        <f>RawData!BR848</f>
        <v>0</v>
      </c>
      <c r="BK116" s="47">
        <f>RawData!BS848</f>
        <v>0</v>
      </c>
      <c r="BL116" s="44">
        <f>RawData!BT848</f>
        <v>0</v>
      </c>
      <c r="BM116" s="47">
        <f>RawData!BV848</f>
        <v>0</v>
      </c>
      <c r="BN116" s="65">
        <f>RawData!CC848</f>
        <v>0</v>
      </c>
      <c r="BO116" s="66">
        <f>RawData!CD848</f>
        <v>0</v>
      </c>
      <c r="BQ116" s="21">
        <f t="shared" si="1"/>
        <v>0</v>
      </c>
    </row>
    <row r="117" spans="1:69" x14ac:dyDescent="0.2">
      <c r="A117" s="59">
        <f>RawData!P849</f>
        <v>0</v>
      </c>
      <c r="B117" s="44">
        <f>RawData!Q849</f>
        <v>0</v>
      </c>
      <c r="C117" s="44">
        <f>RawData!R849</f>
        <v>0</v>
      </c>
      <c r="D117" s="63">
        <f>RawData!S849</f>
        <v>0</v>
      </c>
      <c r="E117" s="44">
        <f>RawData!T849</f>
        <v>0</v>
      </c>
      <c r="F117" s="63">
        <f>RawData!U849</f>
        <v>0</v>
      </c>
      <c r="G117" s="44">
        <f>RawData!V849</f>
        <v>0</v>
      </c>
      <c r="H117" s="44">
        <f>RawData!W849</f>
        <v>0</v>
      </c>
      <c r="I117" s="44">
        <f>RawData!X849</f>
        <v>0</v>
      </c>
      <c r="J117" s="44">
        <f>RawData!Y849</f>
        <v>0</v>
      </c>
      <c r="K117" s="40">
        <f>RawData!Z849</f>
        <v>0</v>
      </c>
      <c r="L117" s="40">
        <f>RawData!AA849</f>
        <v>0</v>
      </c>
      <c r="M117" s="36">
        <f>RawData!AB849</f>
        <v>0</v>
      </c>
      <c r="N117" s="36">
        <f>RawData!AC849</f>
        <v>0</v>
      </c>
      <c r="O117" s="37">
        <f>RawData!AD849</f>
        <v>0</v>
      </c>
      <c r="P117" s="38">
        <f>RawData!AE849</f>
        <v>0</v>
      </c>
      <c r="Q117" s="39">
        <f>RawData!AF849</f>
        <v>0</v>
      </c>
      <c r="R117" s="38">
        <f>RawData!AG849</f>
        <v>0</v>
      </c>
      <c r="S117" s="40">
        <f>RawData!AH849</f>
        <v>0</v>
      </c>
      <c r="T117" s="40">
        <f>RawData!AI849</f>
        <v>0</v>
      </c>
      <c r="U117" s="40">
        <f>RawData!AJ849</f>
        <v>0</v>
      </c>
      <c r="V117" s="41">
        <f>RawData!AK849</f>
        <v>0</v>
      </c>
      <c r="W117" s="41">
        <f>RawData!AL849</f>
        <v>0</v>
      </c>
      <c r="X117" s="43">
        <f>RawData!CA849</f>
        <v>0</v>
      </c>
      <c r="Y117" s="41">
        <f>RawData!AM849</f>
        <v>0</v>
      </c>
      <c r="Z117" s="44">
        <f>RawData!CB849</f>
        <v>0</v>
      </c>
      <c r="AA117" s="44">
        <f>RawData!AN849</f>
        <v>0</v>
      </c>
      <c r="AB117" s="44">
        <f>RawData!AO849</f>
        <v>0</v>
      </c>
      <c r="AC117" s="44">
        <f>RawData!AP849</f>
        <v>0</v>
      </c>
      <c r="AD117" s="63">
        <f>RawData!BZ849</f>
        <v>0</v>
      </c>
      <c r="AE117" s="44">
        <f>RawData!AQ849</f>
        <v>0</v>
      </c>
      <c r="AF117" s="46">
        <f>RawData!O849</f>
        <v>0</v>
      </c>
      <c r="AG117" s="44">
        <f>RawData!AR849</f>
        <v>0</v>
      </c>
      <c r="AH117" s="44">
        <f>RawData!BY849</f>
        <v>0</v>
      </c>
      <c r="AI117" s="44">
        <f>RawData!AS849</f>
        <v>0</v>
      </c>
      <c r="AJ117" s="44">
        <f>RawData!AT849</f>
        <v>0</v>
      </c>
      <c r="AK117" s="44">
        <f>RawData!AU849</f>
        <v>0</v>
      </c>
      <c r="AL117" s="44">
        <f>RawData!BW849</f>
        <v>0</v>
      </c>
      <c r="AM117" s="41">
        <f>RawData!AV849</f>
        <v>0</v>
      </c>
      <c r="AN117" s="41">
        <f>RawData!BX849</f>
        <v>0</v>
      </c>
      <c r="AO117" s="41">
        <f>RawData!AW849</f>
        <v>0</v>
      </c>
      <c r="AP117" s="41">
        <f>RawData!AX849</f>
        <v>0</v>
      </c>
      <c r="AQ117" s="40">
        <f>RawData!AY849</f>
        <v>0</v>
      </c>
      <c r="AR117" s="40">
        <f>RawData!AZ849</f>
        <v>0</v>
      </c>
      <c r="AS117" s="40">
        <f>RawData!BA849</f>
        <v>0</v>
      </c>
      <c r="AT117" s="38">
        <f>RawData!BB849</f>
        <v>0</v>
      </c>
      <c r="AU117" s="40">
        <f>RawData!BC849</f>
        <v>0</v>
      </c>
      <c r="AV117" s="40">
        <f>RawData!BD849</f>
        <v>0</v>
      </c>
      <c r="AW117" s="38">
        <f>RawData!BE849</f>
        <v>0</v>
      </c>
      <c r="AX117" s="37">
        <f>RawData!BF849</f>
        <v>0</v>
      </c>
      <c r="AY117" s="36">
        <f>RawData!BG849</f>
        <v>0</v>
      </c>
      <c r="AZ117" s="36">
        <f>RawData!BH849</f>
        <v>0</v>
      </c>
      <c r="BA117" s="40">
        <f>RawData!BI849</f>
        <v>0</v>
      </c>
      <c r="BB117" s="44">
        <f>RawData!BJ849</f>
        <v>0</v>
      </c>
      <c r="BC117" s="44">
        <f>RawData!BK849</f>
        <v>0</v>
      </c>
      <c r="BD117" s="44">
        <f>RawData!BL849</f>
        <v>0</v>
      </c>
      <c r="BE117" s="44">
        <f>RawData!BM849</f>
        <v>0</v>
      </c>
      <c r="BF117" s="44">
        <f>RawData!BN849</f>
        <v>0</v>
      </c>
      <c r="BG117" s="63">
        <f>RawData!BO849</f>
        <v>0</v>
      </c>
      <c r="BH117" s="44">
        <f>RawData!BP849</f>
        <v>0</v>
      </c>
      <c r="BI117" s="63">
        <f>RawData!BQ849</f>
        <v>0</v>
      </c>
      <c r="BJ117" s="44">
        <f>RawData!BR849</f>
        <v>0</v>
      </c>
      <c r="BK117" s="47">
        <f>RawData!BS849</f>
        <v>0</v>
      </c>
      <c r="BL117" s="44">
        <f>RawData!BT849</f>
        <v>0</v>
      </c>
      <c r="BM117" s="47">
        <f>RawData!BV849</f>
        <v>0</v>
      </c>
      <c r="BN117" s="65">
        <f>RawData!CC849</f>
        <v>0</v>
      </c>
      <c r="BO117" s="66">
        <f>RawData!CD849</f>
        <v>0</v>
      </c>
      <c r="BQ117" s="21">
        <f t="shared" si="1"/>
        <v>0</v>
      </c>
    </row>
    <row r="118" spans="1:69" x14ac:dyDescent="0.2">
      <c r="A118" s="59">
        <f>RawData!P850</f>
        <v>0</v>
      </c>
      <c r="B118" s="44">
        <f>RawData!Q850</f>
        <v>0</v>
      </c>
      <c r="C118" s="44">
        <f>RawData!R850</f>
        <v>0</v>
      </c>
      <c r="D118" s="63">
        <f>RawData!S850</f>
        <v>0</v>
      </c>
      <c r="E118" s="44">
        <f>RawData!T850</f>
        <v>0</v>
      </c>
      <c r="F118" s="63">
        <f>RawData!U850</f>
        <v>0</v>
      </c>
      <c r="G118" s="44">
        <f>RawData!V850</f>
        <v>0</v>
      </c>
      <c r="H118" s="44">
        <f>RawData!W850</f>
        <v>0</v>
      </c>
      <c r="I118" s="44">
        <f>RawData!X850</f>
        <v>0</v>
      </c>
      <c r="J118" s="44">
        <f>RawData!Y850</f>
        <v>0</v>
      </c>
      <c r="K118" s="40">
        <f>RawData!Z850</f>
        <v>0</v>
      </c>
      <c r="L118" s="40">
        <f>RawData!AA850</f>
        <v>0</v>
      </c>
      <c r="M118" s="36">
        <f>RawData!AB850</f>
        <v>0</v>
      </c>
      <c r="N118" s="36">
        <f>RawData!AC850</f>
        <v>0</v>
      </c>
      <c r="O118" s="37">
        <f>RawData!AD850</f>
        <v>0</v>
      </c>
      <c r="P118" s="38">
        <f>RawData!AE850</f>
        <v>0</v>
      </c>
      <c r="Q118" s="39">
        <f>RawData!AF850</f>
        <v>0</v>
      </c>
      <c r="R118" s="38">
        <f>RawData!AG850</f>
        <v>0</v>
      </c>
      <c r="S118" s="40">
        <f>RawData!AH850</f>
        <v>0</v>
      </c>
      <c r="T118" s="40">
        <f>RawData!AI850</f>
        <v>0</v>
      </c>
      <c r="U118" s="40">
        <f>RawData!AJ850</f>
        <v>0</v>
      </c>
      <c r="V118" s="41">
        <f>RawData!AK850</f>
        <v>0</v>
      </c>
      <c r="W118" s="41">
        <f>RawData!AL850</f>
        <v>0</v>
      </c>
      <c r="X118" s="43">
        <f>RawData!CA850</f>
        <v>0</v>
      </c>
      <c r="Y118" s="41">
        <f>RawData!AM850</f>
        <v>0</v>
      </c>
      <c r="Z118" s="44">
        <f>RawData!CB850</f>
        <v>0</v>
      </c>
      <c r="AA118" s="44">
        <f>RawData!AN850</f>
        <v>0</v>
      </c>
      <c r="AB118" s="44">
        <f>RawData!AO850</f>
        <v>0</v>
      </c>
      <c r="AC118" s="44">
        <f>RawData!AP850</f>
        <v>0</v>
      </c>
      <c r="AD118" s="63">
        <f>RawData!BZ850</f>
        <v>0</v>
      </c>
      <c r="AE118" s="44">
        <f>RawData!AQ850</f>
        <v>0</v>
      </c>
      <c r="AF118" s="46">
        <f>RawData!O850</f>
        <v>0</v>
      </c>
      <c r="AG118" s="44">
        <f>RawData!AR850</f>
        <v>0</v>
      </c>
      <c r="AH118" s="44">
        <f>RawData!BY850</f>
        <v>0</v>
      </c>
      <c r="AI118" s="44">
        <f>RawData!AS850</f>
        <v>0</v>
      </c>
      <c r="AJ118" s="44">
        <f>RawData!AT850</f>
        <v>0</v>
      </c>
      <c r="AK118" s="44">
        <f>RawData!AU850</f>
        <v>0</v>
      </c>
      <c r="AL118" s="44">
        <f>RawData!BW850</f>
        <v>0</v>
      </c>
      <c r="AM118" s="41">
        <f>RawData!AV850</f>
        <v>0</v>
      </c>
      <c r="AN118" s="41">
        <f>RawData!BX850</f>
        <v>0</v>
      </c>
      <c r="AO118" s="41">
        <f>RawData!AW850</f>
        <v>0</v>
      </c>
      <c r="AP118" s="41">
        <f>RawData!AX850</f>
        <v>0</v>
      </c>
      <c r="AQ118" s="40">
        <f>RawData!AY850</f>
        <v>0</v>
      </c>
      <c r="AR118" s="40">
        <f>RawData!AZ850</f>
        <v>0</v>
      </c>
      <c r="AS118" s="40">
        <f>RawData!BA850</f>
        <v>0</v>
      </c>
      <c r="AT118" s="38">
        <f>RawData!BB850</f>
        <v>0</v>
      </c>
      <c r="AU118" s="40">
        <f>RawData!BC850</f>
        <v>0</v>
      </c>
      <c r="AV118" s="40">
        <f>RawData!BD850</f>
        <v>0</v>
      </c>
      <c r="AW118" s="38">
        <f>RawData!BE850</f>
        <v>0</v>
      </c>
      <c r="AX118" s="37">
        <f>RawData!BF850</f>
        <v>0</v>
      </c>
      <c r="AY118" s="36">
        <f>RawData!BG850</f>
        <v>0</v>
      </c>
      <c r="AZ118" s="36">
        <f>RawData!BH850</f>
        <v>0</v>
      </c>
      <c r="BA118" s="40">
        <f>RawData!BI850</f>
        <v>0</v>
      </c>
      <c r="BB118" s="44">
        <f>RawData!BJ850</f>
        <v>0</v>
      </c>
      <c r="BC118" s="44">
        <f>RawData!BK850</f>
        <v>0</v>
      </c>
      <c r="BD118" s="44">
        <f>RawData!BL850</f>
        <v>0</v>
      </c>
      <c r="BE118" s="44">
        <f>RawData!BM850</f>
        <v>0</v>
      </c>
      <c r="BF118" s="44">
        <f>RawData!BN850</f>
        <v>0</v>
      </c>
      <c r="BG118" s="63">
        <f>RawData!BO850</f>
        <v>0</v>
      </c>
      <c r="BH118" s="44">
        <f>RawData!BP850</f>
        <v>0</v>
      </c>
      <c r="BI118" s="63">
        <f>RawData!BQ850</f>
        <v>0</v>
      </c>
      <c r="BJ118" s="44">
        <f>RawData!BR850</f>
        <v>0</v>
      </c>
      <c r="BK118" s="47">
        <f>RawData!BS850</f>
        <v>0</v>
      </c>
      <c r="BL118" s="44">
        <f>RawData!BT850</f>
        <v>0</v>
      </c>
      <c r="BM118" s="47">
        <f>RawData!BV850</f>
        <v>0</v>
      </c>
      <c r="BN118" s="65">
        <f>RawData!CC850</f>
        <v>0</v>
      </c>
      <c r="BO118" s="66">
        <f>RawData!CD850</f>
        <v>0</v>
      </c>
      <c r="BQ118" s="21">
        <f t="shared" si="1"/>
        <v>0</v>
      </c>
    </row>
    <row r="119" spans="1:69" x14ac:dyDescent="0.2">
      <c r="A119" s="59">
        <f>RawData!P851</f>
        <v>0</v>
      </c>
      <c r="B119" s="44">
        <f>RawData!Q851</f>
        <v>0</v>
      </c>
      <c r="C119" s="44">
        <f>RawData!R851</f>
        <v>0</v>
      </c>
      <c r="D119" s="63">
        <f>RawData!S851</f>
        <v>0</v>
      </c>
      <c r="E119" s="44">
        <f>RawData!T851</f>
        <v>0</v>
      </c>
      <c r="F119" s="63">
        <f>RawData!U851</f>
        <v>0</v>
      </c>
      <c r="G119" s="44">
        <f>RawData!V851</f>
        <v>0</v>
      </c>
      <c r="H119" s="44">
        <f>RawData!W851</f>
        <v>0</v>
      </c>
      <c r="I119" s="44">
        <f>RawData!X851</f>
        <v>0</v>
      </c>
      <c r="J119" s="44">
        <f>RawData!Y851</f>
        <v>0</v>
      </c>
      <c r="K119" s="40">
        <f>RawData!Z851</f>
        <v>0</v>
      </c>
      <c r="L119" s="40">
        <f>RawData!AA851</f>
        <v>0</v>
      </c>
      <c r="M119" s="36">
        <f>RawData!AB851</f>
        <v>0</v>
      </c>
      <c r="N119" s="36">
        <f>RawData!AC851</f>
        <v>0</v>
      </c>
      <c r="O119" s="37">
        <f>RawData!AD851</f>
        <v>0</v>
      </c>
      <c r="P119" s="38">
        <f>RawData!AE851</f>
        <v>0</v>
      </c>
      <c r="Q119" s="39">
        <f>RawData!AF851</f>
        <v>0</v>
      </c>
      <c r="R119" s="38">
        <f>RawData!AG851</f>
        <v>0</v>
      </c>
      <c r="S119" s="40">
        <f>RawData!AH851</f>
        <v>0</v>
      </c>
      <c r="T119" s="40">
        <f>RawData!AI851</f>
        <v>0</v>
      </c>
      <c r="U119" s="40">
        <f>RawData!AJ851</f>
        <v>0</v>
      </c>
      <c r="V119" s="41">
        <f>RawData!AK851</f>
        <v>0</v>
      </c>
      <c r="W119" s="41">
        <f>RawData!AL851</f>
        <v>0</v>
      </c>
      <c r="X119" s="43">
        <f>RawData!CA851</f>
        <v>0</v>
      </c>
      <c r="Y119" s="41">
        <f>RawData!AM851</f>
        <v>0</v>
      </c>
      <c r="Z119" s="44">
        <f>RawData!CB851</f>
        <v>0</v>
      </c>
      <c r="AA119" s="44">
        <f>RawData!AN851</f>
        <v>0</v>
      </c>
      <c r="AB119" s="44">
        <f>RawData!AO851</f>
        <v>0</v>
      </c>
      <c r="AC119" s="44">
        <f>RawData!AP851</f>
        <v>0</v>
      </c>
      <c r="AD119" s="63">
        <f>RawData!BZ851</f>
        <v>0</v>
      </c>
      <c r="AE119" s="44">
        <f>RawData!AQ851</f>
        <v>0</v>
      </c>
      <c r="AF119" s="46">
        <f>RawData!O851</f>
        <v>0</v>
      </c>
      <c r="AG119" s="44">
        <f>RawData!AR851</f>
        <v>0</v>
      </c>
      <c r="AH119" s="44">
        <f>RawData!BY851</f>
        <v>0</v>
      </c>
      <c r="AI119" s="44">
        <f>RawData!AS851</f>
        <v>0</v>
      </c>
      <c r="AJ119" s="44">
        <f>RawData!AT851</f>
        <v>0</v>
      </c>
      <c r="AK119" s="44">
        <f>RawData!AU851</f>
        <v>0</v>
      </c>
      <c r="AL119" s="44">
        <f>RawData!BW851</f>
        <v>0</v>
      </c>
      <c r="AM119" s="41">
        <f>RawData!AV851</f>
        <v>0</v>
      </c>
      <c r="AN119" s="41">
        <f>RawData!BX851</f>
        <v>0</v>
      </c>
      <c r="AO119" s="41">
        <f>RawData!AW851</f>
        <v>0</v>
      </c>
      <c r="AP119" s="41">
        <f>RawData!AX851</f>
        <v>0</v>
      </c>
      <c r="AQ119" s="40">
        <f>RawData!AY851</f>
        <v>0</v>
      </c>
      <c r="AR119" s="40">
        <f>RawData!AZ851</f>
        <v>0</v>
      </c>
      <c r="AS119" s="40">
        <f>RawData!BA851</f>
        <v>0</v>
      </c>
      <c r="AT119" s="38">
        <f>RawData!BB851</f>
        <v>0</v>
      </c>
      <c r="AU119" s="40">
        <f>RawData!BC851</f>
        <v>0</v>
      </c>
      <c r="AV119" s="40">
        <f>RawData!BD851</f>
        <v>0</v>
      </c>
      <c r="AW119" s="38">
        <f>RawData!BE851</f>
        <v>0</v>
      </c>
      <c r="AX119" s="37">
        <f>RawData!BF851</f>
        <v>0</v>
      </c>
      <c r="AY119" s="36">
        <f>RawData!BG851</f>
        <v>0</v>
      </c>
      <c r="AZ119" s="36">
        <f>RawData!BH851</f>
        <v>0</v>
      </c>
      <c r="BA119" s="40">
        <f>RawData!BI851</f>
        <v>0</v>
      </c>
      <c r="BB119" s="44">
        <f>RawData!BJ851</f>
        <v>0</v>
      </c>
      <c r="BC119" s="44">
        <f>RawData!BK851</f>
        <v>0</v>
      </c>
      <c r="BD119" s="44">
        <f>RawData!BL851</f>
        <v>0</v>
      </c>
      <c r="BE119" s="44">
        <f>RawData!BM851</f>
        <v>0</v>
      </c>
      <c r="BF119" s="44">
        <f>RawData!BN851</f>
        <v>0</v>
      </c>
      <c r="BG119" s="63">
        <f>RawData!BO851</f>
        <v>0</v>
      </c>
      <c r="BH119" s="44">
        <f>RawData!BP851</f>
        <v>0</v>
      </c>
      <c r="BI119" s="63">
        <f>RawData!BQ851</f>
        <v>0</v>
      </c>
      <c r="BJ119" s="44">
        <f>RawData!BR851</f>
        <v>0</v>
      </c>
      <c r="BK119" s="47">
        <f>RawData!BS851</f>
        <v>0</v>
      </c>
      <c r="BL119" s="44">
        <f>RawData!BT851</f>
        <v>0</v>
      </c>
      <c r="BM119" s="47">
        <f>RawData!BV851</f>
        <v>0</v>
      </c>
      <c r="BN119" s="65">
        <f>RawData!CC851</f>
        <v>0</v>
      </c>
      <c r="BO119" s="66">
        <f>RawData!CD851</f>
        <v>0</v>
      </c>
      <c r="BQ119" s="21">
        <f t="shared" si="1"/>
        <v>0</v>
      </c>
    </row>
    <row r="120" spans="1:69" x14ac:dyDescent="0.2">
      <c r="A120" s="59">
        <f>RawData!P852</f>
        <v>0</v>
      </c>
      <c r="B120" s="44">
        <f>RawData!Q852</f>
        <v>0</v>
      </c>
      <c r="C120" s="44">
        <f>RawData!R852</f>
        <v>0</v>
      </c>
      <c r="D120" s="63">
        <f>RawData!S852</f>
        <v>0</v>
      </c>
      <c r="E120" s="44">
        <f>RawData!T852</f>
        <v>0</v>
      </c>
      <c r="F120" s="63">
        <f>RawData!U852</f>
        <v>0</v>
      </c>
      <c r="G120" s="44">
        <f>RawData!V852</f>
        <v>0</v>
      </c>
      <c r="H120" s="44">
        <f>RawData!W852</f>
        <v>0</v>
      </c>
      <c r="I120" s="44">
        <f>RawData!X852</f>
        <v>0</v>
      </c>
      <c r="J120" s="44">
        <f>RawData!Y852</f>
        <v>0</v>
      </c>
      <c r="K120" s="40">
        <f>RawData!Z852</f>
        <v>0</v>
      </c>
      <c r="L120" s="40">
        <f>RawData!AA852</f>
        <v>0</v>
      </c>
      <c r="M120" s="36">
        <f>RawData!AB852</f>
        <v>0</v>
      </c>
      <c r="N120" s="36">
        <f>RawData!AC852</f>
        <v>0</v>
      </c>
      <c r="O120" s="37">
        <f>RawData!AD852</f>
        <v>0</v>
      </c>
      <c r="P120" s="38">
        <f>RawData!AE852</f>
        <v>0</v>
      </c>
      <c r="Q120" s="39">
        <f>RawData!AF852</f>
        <v>0</v>
      </c>
      <c r="R120" s="38">
        <f>RawData!AG852</f>
        <v>0</v>
      </c>
      <c r="S120" s="40">
        <f>RawData!AH852</f>
        <v>0</v>
      </c>
      <c r="T120" s="40">
        <f>RawData!AI852</f>
        <v>0</v>
      </c>
      <c r="U120" s="40">
        <f>RawData!AJ852</f>
        <v>0</v>
      </c>
      <c r="V120" s="41">
        <f>RawData!AK852</f>
        <v>0</v>
      </c>
      <c r="W120" s="41">
        <f>RawData!AL852</f>
        <v>0</v>
      </c>
      <c r="X120" s="43">
        <f>RawData!CA852</f>
        <v>0</v>
      </c>
      <c r="Y120" s="41">
        <f>RawData!AM852</f>
        <v>0</v>
      </c>
      <c r="Z120" s="44">
        <f>RawData!CB852</f>
        <v>0</v>
      </c>
      <c r="AA120" s="44">
        <f>RawData!AN852</f>
        <v>0</v>
      </c>
      <c r="AB120" s="44">
        <f>RawData!AO852</f>
        <v>0</v>
      </c>
      <c r="AC120" s="44">
        <f>RawData!AP852</f>
        <v>0</v>
      </c>
      <c r="AD120" s="63">
        <f>RawData!BZ852</f>
        <v>0</v>
      </c>
      <c r="AE120" s="44">
        <f>RawData!AQ852</f>
        <v>0</v>
      </c>
      <c r="AF120" s="46">
        <f>RawData!O852</f>
        <v>0</v>
      </c>
      <c r="AG120" s="44">
        <f>RawData!AR852</f>
        <v>0</v>
      </c>
      <c r="AH120" s="44">
        <f>RawData!BY852</f>
        <v>0</v>
      </c>
      <c r="AI120" s="44">
        <f>RawData!AS852</f>
        <v>0</v>
      </c>
      <c r="AJ120" s="44">
        <f>RawData!AT852</f>
        <v>0</v>
      </c>
      <c r="AK120" s="44">
        <f>RawData!AU852</f>
        <v>0</v>
      </c>
      <c r="AL120" s="44">
        <f>RawData!BW852</f>
        <v>0</v>
      </c>
      <c r="AM120" s="41">
        <f>RawData!AV852</f>
        <v>0</v>
      </c>
      <c r="AN120" s="41">
        <f>RawData!BX852</f>
        <v>0</v>
      </c>
      <c r="AO120" s="41">
        <f>RawData!AW852</f>
        <v>0</v>
      </c>
      <c r="AP120" s="41">
        <f>RawData!AX852</f>
        <v>0</v>
      </c>
      <c r="AQ120" s="40">
        <f>RawData!AY852</f>
        <v>0</v>
      </c>
      <c r="AR120" s="40">
        <f>RawData!AZ852</f>
        <v>0</v>
      </c>
      <c r="AS120" s="40">
        <f>RawData!BA852</f>
        <v>0</v>
      </c>
      <c r="AT120" s="38">
        <f>RawData!BB852</f>
        <v>0</v>
      </c>
      <c r="AU120" s="40">
        <f>RawData!BC852</f>
        <v>0</v>
      </c>
      <c r="AV120" s="40">
        <f>RawData!BD852</f>
        <v>0</v>
      </c>
      <c r="AW120" s="38">
        <f>RawData!BE852</f>
        <v>0</v>
      </c>
      <c r="AX120" s="37">
        <f>RawData!BF852</f>
        <v>0</v>
      </c>
      <c r="AY120" s="36">
        <f>RawData!BG852</f>
        <v>0</v>
      </c>
      <c r="AZ120" s="36">
        <f>RawData!BH852</f>
        <v>0</v>
      </c>
      <c r="BA120" s="40">
        <f>RawData!BI852</f>
        <v>0</v>
      </c>
      <c r="BB120" s="44">
        <f>RawData!BJ852</f>
        <v>0</v>
      </c>
      <c r="BC120" s="44">
        <f>RawData!BK852</f>
        <v>0</v>
      </c>
      <c r="BD120" s="44">
        <f>RawData!BL852</f>
        <v>0</v>
      </c>
      <c r="BE120" s="44">
        <f>RawData!BM852</f>
        <v>0</v>
      </c>
      <c r="BF120" s="44">
        <f>RawData!BN852</f>
        <v>0</v>
      </c>
      <c r="BG120" s="63">
        <f>RawData!BO852</f>
        <v>0</v>
      </c>
      <c r="BH120" s="44">
        <f>RawData!BP852</f>
        <v>0</v>
      </c>
      <c r="BI120" s="63">
        <f>RawData!BQ852</f>
        <v>0</v>
      </c>
      <c r="BJ120" s="44">
        <f>RawData!BR852</f>
        <v>0</v>
      </c>
      <c r="BK120" s="47">
        <f>RawData!BS852</f>
        <v>0</v>
      </c>
      <c r="BL120" s="44">
        <f>RawData!BT852</f>
        <v>0</v>
      </c>
      <c r="BM120" s="47">
        <f>RawData!BV852</f>
        <v>0</v>
      </c>
      <c r="BN120" s="65">
        <f>RawData!CC852</f>
        <v>0</v>
      </c>
      <c r="BO120" s="66">
        <f>RawData!CD852</f>
        <v>0</v>
      </c>
      <c r="BQ120" s="21">
        <f t="shared" si="1"/>
        <v>0</v>
      </c>
    </row>
    <row r="121" spans="1:69" x14ac:dyDescent="0.2">
      <c r="A121" s="59">
        <f>RawData!P853</f>
        <v>0</v>
      </c>
      <c r="B121" s="44">
        <f>RawData!Q853</f>
        <v>0</v>
      </c>
      <c r="C121" s="44">
        <f>RawData!R853</f>
        <v>0</v>
      </c>
      <c r="D121" s="63">
        <f>RawData!S853</f>
        <v>0</v>
      </c>
      <c r="E121" s="44">
        <f>RawData!T853</f>
        <v>0</v>
      </c>
      <c r="F121" s="63">
        <f>RawData!U853</f>
        <v>0</v>
      </c>
      <c r="G121" s="44">
        <f>RawData!V853</f>
        <v>0</v>
      </c>
      <c r="H121" s="44">
        <f>RawData!W853</f>
        <v>0</v>
      </c>
      <c r="I121" s="44">
        <f>RawData!X853</f>
        <v>0</v>
      </c>
      <c r="J121" s="44">
        <f>RawData!Y853</f>
        <v>0</v>
      </c>
      <c r="K121" s="40">
        <f>RawData!Z853</f>
        <v>0</v>
      </c>
      <c r="L121" s="40">
        <f>RawData!AA853</f>
        <v>0</v>
      </c>
      <c r="M121" s="36">
        <f>RawData!AB853</f>
        <v>0</v>
      </c>
      <c r="N121" s="36">
        <f>RawData!AC853</f>
        <v>0</v>
      </c>
      <c r="O121" s="37">
        <f>RawData!AD853</f>
        <v>0</v>
      </c>
      <c r="P121" s="38">
        <f>RawData!AE853</f>
        <v>0</v>
      </c>
      <c r="Q121" s="39">
        <f>RawData!AF853</f>
        <v>0</v>
      </c>
      <c r="R121" s="38">
        <f>RawData!AG853</f>
        <v>0</v>
      </c>
      <c r="S121" s="40">
        <f>RawData!AH853</f>
        <v>0</v>
      </c>
      <c r="T121" s="40">
        <f>RawData!AI853</f>
        <v>0</v>
      </c>
      <c r="U121" s="40">
        <f>RawData!AJ853</f>
        <v>0</v>
      </c>
      <c r="V121" s="41">
        <f>RawData!AK853</f>
        <v>0</v>
      </c>
      <c r="W121" s="41">
        <f>RawData!AL853</f>
        <v>0</v>
      </c>
      <c r="X121" s="43">
        <f>RawData!CA853</f>
        <v>0</v>
      </c>
      <c r="Y121" s="41">
        <f>RawData!AM853</f>
        <v>0</v>
      </c>
      <c r="Z121" s="44">
        <f>RawData!CB853</f>
        <v>0</v>
      </c>
      <c r="AA121" s="44">
        <f>RawData!AN853</f>
        <v>0</v>
      </c>
      <c r="AB121" s="44">
        <f>RawData!AO853</f>
        <v>0</v>
      </c>
      <c r="AC121" s="44">
        <f>RawData!AP853</f>
        <v>0</v>
      </c>
      <c r="AD121" s="63">
        <f>RawData!BZ853</f>
        <v>0</v>
      </c>
      <c r="AE121" s="44">
        <f>RawData!AQ853</f>
        <v>0</v>
      </c>
      <c r="AF121" s="46">
        <f>RawData!O853</f>
        <v>0</v>
      </c>
      <c r="AG121" s="44">
        <f>RawData!AR853</f>
        <v>0</v>
      </c>
      <c r="AH121" s="44">
        <f>RawData!BY853</f>
        <v>0</v>
      </c>
      <c r="AI121" s="44">
        <f>RawData!AS853</f>
        <v>0</v>
      </c>
      <c r="AJ121" s="44">
        <f>RawData!AT853</f>
        <v>0</v>
      </c>
      <c r="AK121" s="44">
        <f>RawData!AU853</f>
        <v>0</v>
      </c>
      <c r="AL121" s="44">
        <f>RawData!BW853</f>
        <v>0</v>
      </c>
      <c r="AM121" s="41">
        <f>RawData!AV853</f>
        <v>0</v>
      </c>
      <c r="AN121" s="41">
        <f>RawData!BX853</f>
        <v>0</v>
      </c>
      <c r="AO121" s="41">
        <f>RawData!AW853</f>
        <v>0</v>
      </c>
      <c r="AP121" s="41">
        <f>RawData!AX853</f>
        <v>0</v>
      </c>
      <c r="AQ121" s="40">
        <f>RawData!AY853</f>
        <v>0</v>
      </c>
      <c r="AR121" s="40">
        <f>RawData!AZ853</f>
        <v>0</v>
      </c>
      <c r="AS121" s="40">
        <f>RawData!BA853</f>
        <v>0</v>
      </c>
      <c r="AT121" s="38">
        <f>RawData!BB853</f>
        <v>0</v>
      </c>
      <c r="AU121" s="40">
        <f>RawData!BC853</f>
        <v>0</v>
      </c>
      <c r="AV121" s="40">
        <f>RawData!BD853</f>
        <v>0</v>
      </c>
      <c r="AW121" s="38">
        <f>RawData!BE853</f>
        <v>0</v>
      </c>
      <c r="AX121" s="37">
        <f>RawData!BF853</f>
        <v>0</v>
      </c>
      <c r="AY121" s="36">
        <f>RawData!BG853</f>
        <v>0</v>
      </c>
      <c r="AZ121" s="36">
        <f>RawData!BH853</f>
        <v>0</v>
      </c>
      <c r="BA121" s="40">
        <f>RawData!BI853</f>
        <v>0</v>
      </c>
      <c r="BB121" s="44">
        <f>RawData!BJ853</f>
        <v>0</v>
      </c>
      <c r="BC121" s="44">
        <f>RawData!BK853</f>
        <v>0</v>
      </c>
      <c r="BD121" s="44">
        <f>RawData!BL853</f>
        <v>0</v>
      </c>
      <c r="BE121" s="44">
        <f>RawData!BM853</f>
        <v>0</v>
      </c>
      <c r="BF121" s="44">
        <f>RawData!BN853</f>
        <v>0</v>
      </c>
      <c r="BG121" s="63">
        <f>RawData!BO853</f>
        <v>0</v>
      </c>
      <c r="BH121" s="44">
        <f>RawData!BP853</f>
        <v>0</v>
      </c>
      <c r="BI121" s="63">
        <f>RawData!BQ853</f>
        <v>0</v>
      </c>
      <c r="BJ121" s="44">
        <f>RawData!BR853</f>
        <v>0</v>
      </c>
      <c r="BK121" s="47">
        <f>RawData!BS853</f>
        <v>0</v>
      </c>
      <c r="BL121" s="44">
        <f>RawData!BT853</f>
        <v>0</v>
      </c>
      <c r="BM121" s="47">
        <f>RawData!BV853</f>
        <v>0</v>
      </c>
      <c r="BN121" s="65">
        <f>RawData!CC853</f>
        <v>0</v>
      </c>
      <c r="BO121" s="66">
        <f>RawData!CD853</f>
        <v>0</v>
      </c>
      <c r="BQ121" s="21">
        <f t="shared" si="1"/>
        <v>0</v>
      </c>
    </row>
    <row r="122" spans="1:69" x14ac:dyDescent="0.2">
      <c r="A122" s="59">
        <f>RawData!P854</f>
        <v>0</v>
      </c>
      <c r="B122" s="44">
        <f>RawData!Q854</f>
        <v>0</v>
      </c>
      <c r="C122" s="44">
        <f>RawData!R854</f>
        <v>0</v>
      </c>
      <c r="D122" s="63">
        <f>RawData!S854</f>
        <v>0</v>
      </c>
      <c r="E122" s="44">
        <f>RawData!T854</f>
        <v>0</v>
      </c>
      <c r="F122" s="63">
        <f>RawData!U854</f>
        <v>0</v>
      </c>
      <c r="G122" s="44">
        <f>RawData!V854</f>
        <v>0</v>
      </c>
      <c r="H122" s="44">
        <f>RawData!W854</f>
        <v>0</v>
      </c>
      <c r="I122" s="44">
        <f>RawData!X854</f>
        <v>0</v>
      </c>
      <c r="J122" s="44">
        <f>RawData!Y854</f>
        <v>0</v>
      </c>
      <c r="K122" s="40">
        <f>RawData!Z854</f>
        <v>0</v>
      </c>
      <c r="L122" s="40">
        <f>RawData!AA854</f>
        <v>0</v>
      </c>
      <c r="M122" s="36">
        <f>RawData!AB854</f>
        <v>0</v>
      </c>
      <c r="N122" s="36">
        <f>RawData!AC854</f>
        <v>0</v>
      </c>
      <c r="O122" s="37">
        <f>RawData!AD854</f>
        <v>0</v>
      </c>
      <c r="P122" s="38">
        <f>RawData!AE854</f>
        <v>0</v>
      </c>
      <c r="Q122" s="39">
        <f>RawData!AF854</f>
        <v>0</v>
      </c>
      <c r="R122" s="38">
        <f>RawData!AG854</f>
        <v>0</v>
      </c>
      <c r="S122" s="40">
        <f>RawData!AH854</f>
        <v>0</v>
      </c>
      <c r="T122" s="40">
        <f>RawData!AI854</f>
        <v>0</v>
      </c>
      <c r="U122" s="40">
        <f>RawData!AJ854</f>
        <v>0</v>
      </c>
      <c r="V122" s="41">
        <f>RawData!AK854</f>
        <v>0</v>
      </c>
      <c r="W122" s="41">
        <f>RawData!AL854</f>
        <v>0</v>
      </c>
      <c r="X122" s="43">
        <f>RawData!CA854</f>
        <v>0</v>
      </c>
      <c r="Y122" s="41">
        <f>RawData!AM854</f>
        <v>0</v>
      </c>
      <c r="Z122" s="44">
        <f>RawData!CB854</f>
        <v>0</v>
      </c>
      <c r="AA122" s="44">
        <f>RawData!AN854</f>
        <v>0</v>
      </c>
      <c r="AB122" s="44">
        <f>RawData!AO854</f>
        <v>0</v>
      </c>
      <c r="AC122" s="44">
        <f>RawData!AP854</f>
        <v>0</v>
      </c>
      <c r="AD122" s="63">
        <f>RawData!BZ854</f>
        <v>0</v>
      </c>
      <c r="AE122" s="44">
        <f>RawData!AQ854</f>
        <v>0</v>
      </c>
      <c r="AF122" s="46">
        <f>RawData!O854</f>
        <v>0</v>
      </c>
      <c r="AG122" s="44">
        <f>RawData!AR854</f>
        <v>0</v>
      </c>
      <c r="AH122" s="44">
        <f>RawData!BY854</f>
        <v>0</v>
      </c>
      <c r="AI122" s="44">
        <f>RawData!AS854</f>
        <v>0</v>
      </c>
      <c r="AJ122" s="44">
        <f>RawData!AT854</f>
        <v>0</v>
      </c>
      <c r="AK122" s="44">
        <f>RawData!AU854</f>
        <v>0</v>
      </c>
      <c r="AL122" s="44">
        <f>RawData!BW854</f>
        <v>0</v>
      </c>
      <c r="AM122" s="41">
        <f>RawData!AV854</f>
        <v>0</v>
      </c>
      <c r="AN122" s="41">
        <f>RawData!BX854</f>
        <v>0</v>
      </c>
      <c r="AO122" s="41">
        <f>RawData!AW854</f>
        <v>0</v>
      </c>
      <c r="AP122" s="41">
        <f>RawData!AX854</f>
        <v>0</v>
      </c>
      <c r="AQ122" s="40">
        <f>RawData!AY854</f>
        <v>0</v>
      </c>
      <c r="AR122" s="40">
        <f>RawData!AZ854</f>
        <v>0</v>
      </c>
      <c r="AS122" s="40">
        <f>RawData!BA854</f>
        <v>0</v>
      </c>
      <c r="AT122" s="38">
        <f>RawData!BB854</f>
        <v>0</v>
      </c>
      <c r="AU122" s="40">
        <f>RawData!BC854</f>
        <v>0</v>
      </c>
      <c r="AV122" s="40">
        <f>RawData!BD854</f>
        <v>0</v>
      </c>
      <c r="AW122" s="38">
        <f>RawData!BE854</f>
        <v>0</v>
      </c>
      <c r="AX122" s="37">
        <f>RawData!BF854</f>
        <v>0</v>
      </c>
      <c r="AY122" s="36">
        <f>RawData!BG854</f>
        <v>0</v>
      </c>
      <c r="AZ122" s="36">
        <f>RawData!BH854</f>
        <v>0</v>
      </c>
      <c r="BA122" s="40">
        <f>RawData!BI854</f>
        <v>0</v>
      </c>
      <c r="BB122" s="44">
        <f>RawData!BJ854</f>
        <v>0</v>
      </c>
      <c r="BC122" s="44">
        <f>RawData!BK854</f>
        <v>0</v>
      </c>
      <c r="BD122" s="44">
        <f>RawData!BL854</f>
        <v>0</v>
      </c>
      <c r="BE122" s="44">
        <f>RawData!BM854</f>
        <v>0</v>
      </c>
      <c r="BF122" s="44">
        <f>RawData!BN854</f>
        <v>0</v>
      </c>
      <c r="BG122" s="63">
        <f>RawData!BO854</f>
        <v>0</v>
      </c>
      <c r="BH122" s="44">
        <f>RawData!BP854</f>
        <v>0</v>
      </c>
      <c r="BI122" s="63">
        <f>RawData!BQ854</f>
        <v>0</v>
      </c>
      <c r="BJ122" s="44">
        <f>RawData!BR854</f>
        <v>0</v>
      </c>
      <c r="BK122" s="47">
        <f>RawData!BS854</f>
        <v>0</v>
      </c>
      <c r="BL122" s="44">
        <f>RawData!BT854</f>
        <v>0</v>
      </c>
      <c r="BM122" s="47">
        <f>RawData!BV854</f>
        <v>0</v>
      </c>
      <c r="BN122" s="65">
        <f>RawData!CC854</f>
        <v>0</v>
      </c>
      <c r="BO122" s="66">
        <f>RawData!CD854</f>
        <v>0</v>
      </c>
      <c r="BQ122" s="21">
        <f t="shared" si="1"/>
        <v>0</v>
      </c>
    </row>
    <row r="123" spans="1:69" x14ac:dyDescent="0.2">
      <c r="A123" s="59">
        <f>RawData!P855</f>
        <v>0</v>
      </c>
      <c r="B123" s="44">
        <f>RawData!Q855</f>
        <v>0</v>
      </c>
      <c r="C123" s="44">
        <f>RawData!R855</f>
        <v>0</v>
      </c>
      <c r="D123" s="63">
        <f>RawData!S855</f>
        <v>0</v>
      </c>
      <c r="E123" s="44">
        <f>RawData!T855</f>
        <v>0</v>
      </c>
      <c r="F123" s="63">
        <f>RawData!U855</f>
        <v>0</v>
      </c>
      <c r="G123" s="44">
        <f>RawData!V855</f>
        <v>0</v>
      </c>
      <c r="H123" s="44">
        <f>RawData!W855</f>
        <v>0</v>
      </c>
      <c r="I123" s="44">
        <f>RawData!X855</f>
        <v>0</v>
      </c>
      <c r="J123" s="44">
        <f>RawData!Y855</f>
        <v>0</v>
      </c>
      <c r="K123" s="40">
        <f>RawData!Z855</f>
        <v>0</v>
      </c>
      <c r="L123" s="40">
        <f>RawData!AA855</f>
        <v>0</v>
      </c>
      <c r="M123" s="36">
        <f>RawData!AB855</f>
        <v>0</v>
      </c>
      <c r="N123" s="36">
        <f>RawData!AC855</f>
        <v>0</v>
      </c>
      <c r="O123" s="37">
        <f>RawData!AD855</f>
        <v>0</v>
      </c>
      <c r="P123" s="38">
        <f>RawData!AE855</f>
        <v>0</v>
      </c>
      <c r="Q123" s="39">
        <f>RawData!AF855</f>
        <v>0</v>
      </c>
      <c r="R123" s="38">
        <f>RawData!AG855</f>
        <v>0</v>
      </c>
      <c r="S123" s="40">
        <f>RawData!AH855</f>
        <v>0</v>
      </c>
      <c r="T123" s="40">
        <f>RawData!AI855</f>
        <v>0</v>
      </c>
      <c r="U123" s="40">
        <f>RawData!AJ855</f>
        <v>0</v>
      </c>
      <c r="V123" s="41">
        <f>RawData!AK855</f>
        <v>0</v>
      </c>
      <c r="W123" s="41">
        <f>RawData!AL855</f>
        <v>0</v>
      </c>
      <c r="X123" s="43">
        <f>RawData!CA855</f>
        <v>0</v>
      </c>
      <c r="Y123" s="41">
        <f>RawData!AM855</f>
        <v>0</v>
      </c>
      <c r="Z123" s="44">
        <f>RawData!CB855</f>
        <v>0</v>
      </c>
      <c r="AA123" s="44">
        <f>RawData!AN855</f>
        <v>0</v>
      </c>
      <c r="AB123" s="44">
        <f>RawData!AO855</f>
        <v>0</v>
      </c>
      <c r="AC123" s="44">
        <f>RawData!AP855</f>
        <v>0</v>
      </c>
      <c r="AD123" s="63">
        <f>RawData!BZ855</f>
        <v>0</v>
      </c>
      <c r="AE123" s="44">
        <f>RawData!AQ855</f>
        <v>0</v>
      </c>
      <c r="AF123" s="46">
        <f>RawData!O855</f>
        <v>0</v>
      </c>
      <c r="AG123" s="44">
        <f>RawData!AR855</f>
        <v>0</v>
      </c>
      <c r="AH123" s="44">
        <f>RawData!BY855</f>
        <v>0</v>
      </c>
      <c r="AI123" s="44">
        <f>RawData!AS855</f>
        <v>0</v>
      </c>
      <c r="AJ123" s="44">
        <f>RawData!AT855</f>
        <v>0</v>
      </c>
      <c r="AK123" s="44">
        <f>RawData!AU855</f>
        <v>0</v>
      </c>
      <c r="AL123" s="44">
        <f>RawData!BW855</f>
        <v>0</v>
      </c>
      <c r="AM123" s="41">
        <f>RawData!AV855</f>
        <v>0</v>
      </c>
      <c r="AN123" s="41">
        <f>RawData!BX855</f>
        <v>0</v>
      </c>
      <c r="AO123" s="41">
        <f>RawData!AW855</f>
        <v>0</v>
      </c>
      <c r="AP123" s="41">
        <f>RawData!AX855</f>
        <v>0</v>
      </c>
      <c r="AQ123" s="40">
        <f>RawData!AY855</f>
        <v>0</v>
      </c>
      <c r="AR123" s="40">
        <f>RawData!AZ855</f>
        <v>0</v>
      </c>
      <c r="AS123" s="40">
        <f>RawData!BA855</f>
        <v>0</v>
      </c>
      <c r="AT123" s="38">
        <f>RawData!BB855</f>
        <v>0</v>
      </c>
      <c r="AU123" s="40">
        <f>RawData!BC855</f>
        <v>0</v>
      </c>
      <c r="AV123" s="40">
        <f>RawData!BD855</f>
        <v>0</v>
      </c>
      <c r="AW123" s="38">
        <f>RawData!BE855</f>
        <v>0</v>
      </c>
      <c r="AX123" s="37">
        <f>RawData!BF855</f>
        <v>0</v>
      </c>
      <c r="AY123" s="36">
        <f>RawData!BG855</f>
        <v>0</v>
      </c>
      <c r="AZ123" s="36">
        <f>RawData!BH855</f>
        <v>0</v>
      </c>
      <c r="BA123" s="40">
        <f>RawData!BI855</f>
        <v>0</v>
      </c>
      <c r="BB123" s="44">
        <f>RawData!BJ855</f>
        <v>0</v>
      </c>
      <c r="BC123" s="44">
        <f>RawData!BK855</f>
        <v>0</v>
      </c>
      <c r="BD123" s="44">
        <f>RawData!BL855</f>
        <v>0</v>
      </c>
      <c r="BE123" s="44">
        <f>RawData!BM855</f>
        <v>0</v>
      </c>
      <c r="BF123" s="44">
        <f>RawData!BN855</f>
        <v>0</v>
      </c>
      <c r="BG123" s="63">
        <f>RawData!BO855</f>
        <v>0</v>
      </c>
      <c r="BH123" s="44">
        <f>RawData!BP855</f>
        <v>0</v>
      </c>
      <c r="BI123" s="63">
        <f>RawData!BQ855</f>
        <v>0</v>
      </c>
      <c r="BJ123" s="44">
        <f>RawData!BR855</f>
        <v>0</v>
      </c>
      <c r="BK123" s="47">
        <f>RawData!BS855</f>
        <v>0</v>
      </c>
      <c r="BL123" s="44">
        <f>RawData!BT855</f>
        <v>0</v>
      </c>
      <c r="BM123" s="47">
        <f>RawData!BV855</f>
        <v>0</v>
      </c>
      <c r="BN123" s="65">
        <f>RawData!CC855</f>
        <v>0</v>
      </c>
      <c r="BO123" s="66">
        <f>RawData!CD855</f>
        <v>0</v>
      </c>
      <c r="BQ123" s="21">
        <f t="shared" si="1"/>
        <v>0</v>
      </c>
    </row>
    <row r="124" spans="1:69" x14ac:dyDescent="0.2">
      <c r="A124" s="59">
        <f>RawData!P856</f>
        <v>0</v>
      </c>
      <c r="B124" s="44">
        <f>RawData!Q856</f>
        <v>0</v>
      </c>
      <c r="C124" s="44">
        <f>RawData!R856</f>
        <v>0</v>
      </c>
      <c r="D124" s="63">
        <f>RawData!S856</f>
        <v>0</v>
      </c>
      <c r="E124" s="44">
        <f>RawData!T856</f>
        <v>0</v>
      </c>
      <c r="F124" s="63">
        <f>RawData!U856</f>
        <v>0</v>
      </c>
      <c r="G124" s="44">
        <f>RawData!V856</f>
        <v>0</v>
      </c>
      <c r="H124" s="44">
        <f>RawData!W856</f>
        <v>0</v>
      </c>
      <c r="I124" s="44">
        <f>RawData!X856</f>
        <v>0</v>
      </c>
      <c r="J124" s="44">
        <f>RawData!Y856</f>
        <v>0</v>
      </c>
      <c r="K124" s="40">
        <f>RawData!Z856</f>
        <v>0</v>
      </c>
      <c r="L124" s="40">
        <f>RawData!AA856</f>
        <v>0</v>
      </c>
      <c r="M124" s="36">
        <f>RawData!AB856</f>
        <v>0</v>
      </c>
      <c r="N124" s="36">
        <f>RawData!AC856</f>
        <v>0</v>
      </c>
      <c r="O124" s="37">
        <f>RawData!AD856</f>
        <v>0</v>
      </c>
      <c r="P124" s="38">
        <f>RawData!AE856</f>
        <v>0</v>
      </c>
      <c r="Q124" s="39">
        <f>RawData!AF856</f>
        <v>0</v>
      </c>
      <c r="R124" s="38">
        <f>RawData!AG856</f>
        <v>0</v>
      </c>
      <c r="S124" s="40">
        <f>RawData!AH856</f>
        <v>0</v>
      </c>
      <c r="T124" s="40">
        <f>RawData!AI856</f>
        <v>0</v>
      </c>
      <c r="U124" s="40">
        <f>RawData!AJ856</f>
        <v>0</v>
      </c>
      <c r="V124" s="41">
        <f>RawData!AK856</f>
        <v>0</v>
      </c>
      <c r="W124" s="41">
        <f>RawData!AL856</f>
        <v>0</v>
      </c>
      <c r="X124" s="43">
        <f>RawData!CA856</f>
        <v>0</v>
      </c>
      <c r="Y124" s="41">
        <f>RawData!AM856</f>
        <v>0</v>
      </c>
      <c r="Z124" s="44">
        <f>RawData!CB856</f>
        <v>0</v>
      </c>
      <c r="AA124" s="44">
        <f>RawData!AN856</f>
        <v>0</v>
      </c>
      <c r="AB124" s="44">
        <f>RawData!AO856</f>
        <v>0</v>
      </c>
      <c r="AC124" s="44">
        <f>RawData!AP856</f>
        <v>0</v>
      </c>
      <c r="AD124" s="63">
        <f>RawData!BZ856</f>
        <v>0</v>
      </c>
      <c r="AE124" s="44">
        <f>RawData!AQ856</f>
        <v>0</v>
      </c>
      <c r="AF124" s="46">
        <f>RawData!O856</f>
        <v>0</v>
      </c>
      <c r="AG124" s="44">
        <f>RawData!AR856</f>
        <v>0</v>
      </c>
      <c r="AH124" s="44">
        <f>RawData!BY856</f>
        <v>0</v>
      </c>
      <c r="AI124" s="44">
        <f>RawData!AS856</f>
        <v>0</v>
      </c>
      <c r="AJ124" s="44">
        <f>RawData!AT856</f>
        <v>0</v>
      </c>
      <c r="AK124" s="44">
        <f>RawData!AU856</f>
        <v>0</v>
      </c>
      <c r="AL124" s="44">
        <f>RawData!BW856</f>
        <v>0</v>
      </c>
      <c r="AM124" s="41">
        <f>RawData!AV856</f>
        <v>0</v>
      </c>
      <c r="AN124" s="41">
        <f>RawData!BX856</f>
        <v>0</v>
      </c>
      <c r="AO124" s="41">
        <f>RawData!AW856</f>
        <v>0</v>
      </c>
      <c r="AP124" s="41">
        <f>RawData!AX856</f>
        <v>0</v>
      </c>
      <c r="AQ124" s="40">
        <f>RawData!AY856</f>
        <v>0</v>
      </c>
      <c r="AR124" s="40">
        <f>RawData!AZ856</f>
        <v>0</v>
      </c>
      <c r="AS124" s="40">
        <f>RawData!BA856</f>
        <v>0</v>
      </c>
      <c r="AT124" s="38">
        <f>RawData!BB856</f>
        <v>0</v>
      </c>
      <c r="AU124" s="40">
        <f>RawData!BC856</f>
        <v>0</v>
      </c>
      <c r="AV124" s="40">
        <f>RawData!BD856</f>
        <v>0</v>
      </c>
      <c r="AW124" s="38">
        <f>RawData!BE856</f>
        <v>0</v>
      </c>
      <c r="AX124" s="37">
        <f>RawData!BF856</f>
        <v>0</v>
      </c>
      <c r="AY124" s="36">
        <f>RawData!BG856</f>
        <v>0</v>
      </c>
      <c r="AZ124" s="36">
        <f>RawData!BH856</f>
        <v>0</v>
      </c>
      <c r="BA124" s="40">
        <f>RawData!BI856</f>
        <v>0</v>
      </c>
      <c r="BB124" s="44">
        <f>RawData!BJ856</f>
        <v>0</v>
      </c>
      <c r="BC124" s="44">
        <f>RawData!BK856</f>
        <v>0</v>
      </c>
      <c r="BD124" s="44">
        <f>RawData!BL856</f>
        <v>0</v>
      </c>
      <c r="BE124" s="44">
        <f>RawData!BM856</f>
        <v>0</v>
      </c>
      <c r="BF124" s="44">
        <f>RawData!BN856</f>
        <v>0</v>
      </c>
      <c r="BG124" s="63">
        <f>RawData!BO856</f>
        <v>0</v>
      </c>
      <c r="BH124" s="44">
        <f>RawData!BP856</f>
        <v>0</v>
      </c>
      <c r="BI124" s="63">
        <f>RawData!BQ856</f>
        <v>0</v>
      </c>
      <c r="BJ124" s="44">
        <f>RawData!BR856</f>
        <v>0</v>
      </c>
      <c r="BK124" s="47">
        <f>RawData!BS856</f>
        <v>0</v>
      </c>
      <c r="BL124" s="44">
        <f>RawData!BT856</f>
        <v>0</v>
      </c>
      <c r="BM124" s="47">
        <f>RawData!BV856</f>
        <v>0</v>
      </c>
      <c r="BN124" s="65">
        <f>RawData!CC856</f>
        <v>0</v>
      </c>
      <c r="BO124" s="66">
        <f>RawData!CD856</f>
        <v>0</v>
      </c>
      <c r="BQ124" s="21">
        <f t="shared" si="1"/>
        <v>0</v>
      </c>
    </row>
    <row r="125" spans="1:69" x14ac:dyDescent="0.2">
      <c r="A125" s="59">
        <f>RawData!P857</f>
        <v>0</v>
      </c>
      <c r="B125" s="44">
        <f>RawData!Q857</f>
        <v>0</v>
      </c>
      <c r="C125" s="44">
        <f>RawData!R857</f>
        <v>0</v>
      </c>
      <c r="D125" s="63">
        <f>RawData!S857</f>
        <v>0</v>
      </c>
      <c r="E125" s="44">
        <f>RawData!T857</f>
        <v>0</v>
      </c>
      <c r="F125" s="63">
        <f>RawData!U857</f>
        <v>0</v>
      </c>
      <c r="G125" s="44">
        <f>RawData!V857</f>
        <v>0</v>
      </c>
      <c r="H125" s="44">
        <f>RawData!W857</f>
        <v>0</v>
      </c>
      <c r="I125" s="44">
        <f>RawData!X857</f>
        <v>0</v>
      </c>
      <c r="J125" s="44">
        <f>RawData!Y857</f>
        <v>0</v>
      </c>
      <c r="K125" s="40">
        <f>RawData!Z857</f>
        <v>0</v>
      </c>
      <c r="L125" s="40">
        <f>RawData!AA857</f>
        <v>0</v>
      </c>
      <c r="M125" s="36">
        <f>RawData!AB857</f>
        <v>0</v>
      </c>
      <c r="N125" s="36">
        <f>RawData!AC857</f>
        <v>0</v>
      </c>
      <c r="O125" s="37">
        <f>RawData!AD857</f>
        <v>0</v>
      </c>
      <c r="P125" s="38">
        <f>RawData!AE857</f>
        <v>0</v>
      </c>
      <c r="Q125" s="39">
        <f>RawData!AF857</f>
        <v>0</v>
      </c>
      <c r="R125" s="38">
        <f>RawData!AG857</f>
        <v>0</v>
      </c>
      <c r="S125" s="40">
        <f>RawData!AH857</f>
        <v>0</v>
      </c>
      <c r="T125" s="40">
        <f>RawData!AI857</f>
        <v>0</v>
      </c>
      <c r="U125" s="40">
        <f>RawData!AJ857</f>
        <v>0</v>
      </c>
      <c r="V125" s="41">
        <f>RawData!AK857</f>
        <v>0</v>
      </c>
      <c r="W125" s="41">
        <f>RawData!AL857</f>
        <v>0</v>
      </c>
      <c r="X125" s="43">
        <f>RawData!CA857</f>
        <v>0</v>
      </c>
      <c r="Y125" s="41">
        <f>RawData!AM857</f>
        <v>0</v>
      </c>
      <c r="Z125" s="44">
        <f>RawData!CB857</f>
        <v>0</v>
      </c>
      <c r="AA125" s="44">
        <f>RawData!AN857</f>
        <v>0</v>
      </c>
      <c r="AB125" s="44">
        <f>RawData!AO857</f>
        <v>0</v>
      </c>
      <c r="AC125" s="44">
        <f>RawData!AP857</f>
        <v>0</v>
      </c>
      <c r="AD125" s="63">
        <f>RawData!BZ857</f>
        <v>0</v>
      </c>
      <c r="AE125" s="44">
        <f>RawData!AQ857</f>
        <v>0</v>
      </c>
      <c r="AF125" s="46">
        <f>RawData!O857</f>
        <v>0</v>
      </c>
      <c r="AG125" s="44">
        <f>RawData!AR857</f>
        <v>0</v>
      </c>
      <c r="AH125" s="44">
        <f>RawData!BY857</f>
        <v>0</v>
      </c>
      <c r="AI125" s="44">
        <f>RawData!AS857</f>
        <v>0</v>
      </c>
      <c r="AJ125" s="44">
        <f>RawData!AT857</f>
        <v>0</v>
      </c>
      <c r="AK125" s="44">
        <f>RawData!AU857</f>
        <v>0</v>
      </c>
      <c r="AL125" s="44">
        <f>RawData!BW857</f>
        <v>0</v>
      </c>
      <c r="AM125" s="41">
        <f>RawData!AV857</f>
        <v>0</v>
      </c>
      <c r="AN125" s="41">
        <f>RawData!BX857</f>
        <v>0</v>
      </c>
      <c r="AO125" s="41">
        <f>RawData!AW857</f>
        <v>0</v>
      </c>
      <c r="AP125" s="41">
        <f>RawData!AX857</f>
        <v>0</v>
      </c>
      <c r="AQ125" s="40">
        <f>RawData!AY857</f>
        <v>0</v>
      </c>
      <c r="AR125" s="40">
        <f>RawData!AZ857</f>
        <v>0</v>
      </c>
      <c r="AS125" s="40">
        <f>RawData!BA857</f>
        <v>0</v>
      </c>
      <c r="AT125" s="38">
        <f>RawData!BB857</f>
        <v>0</v>
      </c>
      <c r="AU125" s="40">
        <f>RawData!BC857</f>
        <v>0</v>
      </c>
      <c r="AV125" s="40">
        <f>RawData!BD857</f>
        <v>0</v>
      </c>
      <c r="AW125" s="38">
        <f>RawData!BE857</f>
        <v>0</v>
      </c>
      <c r="AX125" s="37">
        <f>RawData!BF857</f>
        <v>0</v>
      </c>
      <c r="AY125" s="36">
        <f>RawData!BG857</f>
        <v>0</v>
      </c>
      <c r="AZ125" s="36">
        <f>RawData!BH857</f>
        <v>0</v>
      </c>
      <c r="BA125" s="40">
        <f>RawData!BI857</f>
        <v>0</v>
      </c>
      <c r="BB125" s="44">
        <f>RawData!BJ857</f>
        <v>0</v>
      </c>
      <c r="BC125" s="44">
        <f>RawData!BK857</f>
        <v>0</v>
      </c>
      <c r="BD125" s="44">
        <f>RawData!BL857</f>
        <v>0</v>
      </c>
      <c r="BE125" s="44">
        <f>RawData!BM857</f>
        <v>0</v>
      </c>
      <c r="BF125" s="44">
        <f>RawData!BN857</f>
        <v>0</v>
      </c>
      <c r="BG125" s="63">
        <f>RawData!BO857</f>
        <v>0</v>
      </c>
      <c r="BH125" s="44">
        <f>RawData!BP857</f>
        <v>0</v>
      </c>
      <c r="BI125" s="63">
        <f>RawData!BQ857</f>
        <v>0</v>
      </c>
      <c r="BJ125" s="44">
        <f>RawData!BR857</f>
        <v>0</v>
      </c>
      <c r="BK125" s="47">
        <f>RawData!BS857</f>
        <v>0</v>
      </c>
      <c r="BL125" s="44">
        <f>RawData!BT857</f>
        <v>0</v>
      </c>
      <c r="BM125" s="47">
        <f>RawData!BV857</f>
        <v>0</v>
      </c>
      <c r="BN125" s="65">
        <f>RawData!CC857</f>
        <v>0</v>
      </c>
      <c r="BO125" s="66">
        <f>RawData!CD857</f>
        <v>0</v>
      </c>
      <c r="BQ125" s="21">
        <f t="shared" si="1"/>
        <v>0</v>
      </c>
    </row>
    <row r="126" spans="1:69" x14ac:dyDescent="0.2">
      <c r="A126" s="59">
        <f>RawData!P858</f>
        <v>0</v>
      </c>
      <c r="B126" s="44">
        <f>RawData!Q858</f>
        <v>0</v>
      </c>
      <c r="C126" s="44">
        <f>RawData!R858</f>
        <v>0</v>
      </c>
      <c r="D126" s="63">
        <f>RawData!S858</f>
        <v>0</v>
      </c>
      <c r="E126" s="44">
        <f>RawData!T858</f>
        <v>0</v>
      </c>
      <c r="F126" s="63">
        <f>RawData!U858</f>
        <v>0</v>
      </c>
      <c r="G126" s="44">
        <f>RawData!V858</f>
        <v>0</v>
      </c>
      <c r="H126" s="44">
        <f>RawData!W858</f>
        <v>0</v>
      </c>
      <c r="I126" s="44">
        <f>RawData!X858</f>
        <v>0</v>
      </c>
      <c r="J126" s="44">
        <f>RawData!Y858</f>
        <v>0</v>
      </c>
      <c r="K126" s="40">
        <f>RawData!Z858</f>
        <v>0</v>
      </c>
      <c r="L126" s="40">
        <f>RawData!AA858</f>
        <v>0</v>
      </c>
      <c r="M126" s="36">
        <f>RawData!AB858</f>
        <v>0</v>
      </c>
      <c r="N126" s="36">
        <f>RawData!AC858</f>
        <v>0</v>
      </c>
      <c r="O126" s="37">
        <f>RawData!AD858</f>
        <v>0</v>
      </c>
      <c r="P126" s="38">
        <f>RawData!AE858</f>
        <v>0</v>
      </c>
      <c r="Q126" s="39">
        <f>RawData!AF858</f>
        <v>0</v>
      </c>
      <c r="R126" s="38">
        <f>RawData!AG858</f>
        <v>0</v>
      </c>
      <c r="S126" s="40">
        <f>RawData!AH858</f>
        <v>0</v>
      </c>
      <c r="T126" s="40">
        <f>RawData!AI858</f>
        <v>0</v>
      </c>
      <c r="U126" s="40">
        <f>RawData!AJ858</f>
        <v>0</v>
      </c>
      <c r="V126" s="41">
        <f>RawData!AK858</f>
        <v>0</v>
      </c>
      <c r="W126" s="41">
        <f>RawData!AL858</f>
        <v>0</v>
      </c>
      <c r="X126" s="43">
        <f>RawData!CA858</f>
        <v>0</v>
      </c>
      <c r="Y126" s="41">
        <f>RawData!AM858</f>
        <v>0</v>
      </c>
      <c r="Z126" s="44">
        <f>RawData!CB858</f>
        <v>0</v>
      </c>
      <c r="AA126" s="44">
        <f>RawData!AN858</f>
        <v>0</v>
      </c>
      <c r="AB126" s="44">
        <f>RawData!AO858</f>
        <v>0</v>
      </c>
      <c r="AC126" s="44">
        <f>RawData!AP858</f>
        <v>0</v>
      </c>
      <c r="AD126" s="63">
        <f>RawData!BZ858</f>
        <v>0</v>
      </c>
      <c r="AE126" s="44">
        <f>RawData!AQ858</f>
        <v>0</v>
      </c>
      <c r="AF126" s="46">
        <f>RawData!O858</f>
        <v>0</v>
      </c>
      <c r="AG126" s="44">
        <f>RawData!AR858</f>
        <v>0</v>
      </c>
      <c r="AH126" s="44">
        <f>RawData!BY858</f>
        <v>0</v>
      </c>
      <c r="AI126" s="44">
        <f>RawData!AS858</f>
        <v>0</v>
      </c>
      <c r="AJ126" s="44">
        <f>RawData!AT858</f>
        <v>0</v>
      </c>
      <c r="AK126" s="44">
        <f>RawData!AU858</f>
        <v>0</v>
      </c>
      <c r="AL126" s="44">
        <f>RawData!BW858</f>
        <v>0</v>
      </c>
      <c r="AM126" s="41">
        <f>RawData!AV858</f>
        <v>0</v>
      </c>
      <c r="AN126" s="41">
        <f>RawData!BX858</f>
        <v>0</v>
      </c>
      <c r="AO126" s="41">
        <f>RawData!AW858</f>
        <v>0</v>
      </c>
      <c r="AP126" s="41">
        <f>RawData!AX858</f>
        <v>0</v>
      </c>
      <c r="AQ126" s="40">
        <f>RawData!AY858</f>
        <v>0</v>
      </c>
      <c r="AR126" s="40">
        <f>RawData!AZ858</f>
        <v>0</v>
      </c>
      <c r="AS126" s="40">
        <f>RawData!BA858</f>
        <v>0</v>
      </c>
      <c r="AT126" s="38">
        <f>RawData!BB858</f>
        <v>0</v>
      </c>
      <c r="AU126" s="40">
        <f>RawData!BC858</f>
        <v>0</v>
      </c>
      <c r="AV126" s="40">
        <f>RawData!BD858</f>
        <v>0</v>
      </c>
      <c r="AW126" s="38">
        <f>RawData!BE858</f>
        <v>0</v>
      </c>
      <c r="AX126" s="37">
        <f>RawData!BF858</f>
        <v>0</v>
      </c>
      <c r="AY126" s="36">
        <f>RawData!BG858</f>
        <v>0</v>
      </c>
      <c r="AZ126" s="36">
        <f>RawData!BH858</f>
        <v>0</v>
      </c>
      <c r="BA126" s="40">
        <f>RawData!BI858</f>
        <v>0</v>
      </c>
      <c r="BB126" s="44">
        <f>RawData!BJ858</f>
        <v>0</v>
      </c>
      <c r="BC126" s="44">
        <f>RawData!BK858</f>
        <v>0</v>
      </c>
      <c r="BD126" s="44">
        <f>RawData!BL858</f>
        <v>0</v>
      </c>
      <c r="BE126" s="44">
        <f>RawData!BM858</f>
        <v>0</v>
      </c>
      <c r="BF126" s="44">
        <f>RawData!BN858</f>
        <v>0</v>
      </c>
      <c r="BG126" s="63">
        <f>RawData!BO858</f>
        <v>0</v>
      </c>
      <c r="BH126" s="44">
        <f>RawData!BP858</f>
        <v>0</v>
      </c>
      <c r="BI126" s="63">
        <f>RawData!BQ858</f>
        <v>0</v>
      </c>
      <c r="BJ126" s="44">
        <f>RawData!BR858</f>
        <v>0</v>
      </c>
      <c r="BK126" s="47">
        <f>RawData!BS858</f>
        <v>0</v>
      </c>
      <c r="BL126" s="44">
        <f>RawData!BT858</f>
        <v>0</v>
      </c>
      <c r="BM126" s="47">
        <f>RawData!BV858</f>
        <v>0</v>
      </c>
      <c r="BN126" s="65">
        <f>RawData!CC858</f>
        <v>0</v>
      </c>
      <c r="BO126" s="66">
        <f>RawData!CD858</f>
        <v>0</v>
      </c>
      <c r="BQ126" s="21">
        <f t="shared" si="1"/>
        <v>0</v>
      </c>
    </row>
    <row r="127" spans="1:69" x14ac:dyDescent="0.2">
      <c r="A127" s="59">
        <f>RawData!P859</f>
        <v>0</v>
      </c>
      <c r="B127" s="44">
        <f>RawData!Q859</f>
        <v>0</v>
      </c>
      <c r="C127" s="44">
        <f>RawData!R859</f>
        <v>0</v>
      </c>
      <c r="D127" s="63">
        <f>RawData!S859</f>
        <v>0</v>
      </c>
      <c r="E127" s="44">
        <f>RawData!T859</f>
        <v>0</v>
      </c>
      <c r="F127" s="63">
        <f>RawData!U859</f>
        <v>0</v>
      </c>
      <c r="G127" s="44">
        <f>RawData!V859</f>
        <v>0</v>
      </c>
      <c r="H127" s="44">
        <f>RawData!W859</f>
        <v>0</v>
      </c>
      <c r="I127" s="44">
        <f>RawData!X859</f>
        <v>0</v>
      </c>
      <c r="J127" s="44">
        <f>RawData!Y859</f>
        <v>0</v>
      </c>
      <c r="K127" s="40">
        <f>RawData!Z859</f>
        <v>0</v>
      </c>
      <c r="L127" s="40">
        <f>RawData!AA859</f>
        <v>0</v>
      </c>
      <c r="M127" s="36">
        <f>RawData!AB859</f>
        <v>0</v>
      </c>
      <c r="N127" s="36">
        <f>RawData!AC859</f>
        <v>0</v>
      </c>
      <c r="O127" s="37">
        <f>RawData!AD859</f>
        <v>0</v>
      </c>
      <c r="P127" s="38">
        <f>RawData!AE859</f>
        <v>0</v>
      </c>
      <c r="Q127" s="39">
        <f>RawData!AF859</f>
        <v>0</v>
      </c>
      <c r="R127" s="38">
        <f>RawData!AG859</f>
        <v>0</v>
      </c>
      <c r="S127" s="40">
        <f>RawData!AH859</f>
        <v>0</v>
      </c>
      <c r="T127" s="40">
        <f>RawData!AI859</f>
        <v>0</v>
      </c>
      <c r="U127" s="40">
        <f>RawData!AJ859</f>
        <v>0</v>
      </c>
      <c r="V127" s="41">
        <f>RawData!AK859</f>
        <v>0</v>
      </c>
      <c r="W127" s="41">
        <f>RawData!AL859</f>
        <v>0</v>
      </c>
      <c r="X127" s="43">
        <f>RawData!CA859</f>
        <v>0</v>
      </c>
      <c r="Y127" s="41">
        <f>RawData!AM859</f>
        <v>0</v>
      </c>
      <c r="Z127" s="44">
        <f>RawData!CB859</f>
        <v>0</v>
      </c>
      <c r="AA127" s="44">
        <f>RawData!AN859</f>
        <v>0</v>
      </c>
      <c r="AB127" s="44">
        <f>RawData!AO859</f>
        <v>0</v>
      </c>
      <c r="AC127" s="44">
        <f>RawData!AP859</f>
        <v>0</v>
      </c>
      <c r="AD127" s="63">
        <f>RawData!BZ859</f>
        <v>0</v>
      </c>
      <c r="AE127" s="44">
        <f>RawData!AQ859</f>
        <v>0</v>
      </c>
      <c r="AF127" s="46">
        <f>RawData!O859</f>
        <v>0</v>
      </c>
      <c r="AG127" s="44">
        <f>RawData!AR859</f>
        <v>0</v>
      </c>
      <c r="AH127" s="44">
        <f>RawData!BY859</f>
        <v>0</v>
      </c>
      <c r="AI127" s="44">
        <f>RawData!AS859</f>
        <v>0</v>
      </c>
      <c r="AJ127" s="44">
        <f>RawData!AT859</f>
        <v>0</v>
      </c>
      <c r="AK127" s="44">
        <f>RawData!AU859</f>
        <v>0</v>
      </c>
      <c r="AL127" s="44">
        <f>RawData!BW859</f>
        <v>0</v>
      </c>
      <c r="AM127" s="41">
        <f>RawData!AV859</f>
        <v>0</v>
      </c>
      <c r="AN127" s="41">
        <f>RawData!BX859</f>
        <v>0</v>
      </c>
      <c r="AO127" s="41">
        <f>RawData!AW859</f>
        <v>0</v>
      </c>
      <c r="AP127" s="41">
        <f>RawData!AX859</f>
        <v>0</v>
      </c>
      <c r="AQ127" s="40">
        <f>RawData!AY859</f>
        <v>0</v>
      </c>
      <c r="AR127" s="40">
        <f>RawData!AZ859</f>
        <v>0</v>
      </c>
      <c r="AS127" s="40">
        <f>RawData!BA859</f>
        <v>0</v>
      </c>
      <c r="AT127" s="38">
        <f>RawData!BB859</f>
        <v>0</v>
      </c>
      <c r="AU127" s="40">
        <f>RawData!BC859</f>
        <v>0</v>
      </c>
      <c r="AV127" s="40">
        <f>RawData!BD859</f>
        <v>0</v>
      </c>
      <c r="AW127" s="38">
        <f>RawData!BE859</f>
        <v>0</v>
      </c>
      <c r="AX127" s="37">
        <f>RawData!BF859</f>
        <v>0</v>
      </c>
      <c r="AY127" s="36">
        <f>RawData!BG859</f>
        <v>0</v>
      </c>
      <c r="AZ127" s="36">
        <f>RawData!BH859</f>
        <v>0</v>
      </c>
      <c r="BA127" s="40">
        <f>RawData!BI859</f>
        <v>0</v>
      </c>
      <c r="BB127" s="44">
        <f>RawData!BJ859</f>
        <v>0</v>
      </c>
      <c r="BC127" s="44">
        <f>RawData!BK859</f>
        <v>0</v>
      </c>
      <c r="BD127" s="44">
        <f>RawData!BL859</f>
        <v>0</v>
      </c>
      <c r="BE127" s="44">
        <f>RawData!BM859</f>
        <v>0</v>
      </c>
      <c r="BF127" s="44">
        <f>RawData!BN859</f>
        <v>0</v>
      </c>
      <c r="BG127" s="63">
        <f>RawData!BO859</f>
        <v>0</v>
      </c>
      <c r="BH127" s="44">
        <f>RawData!BP859</f>
        <v>0</v>
      </c>
      <c r="BI127" s="63">
        <f>RawData!BQ859</f>
        <v>0</v>
      </c>
      <c r="BJ127" s="44">
        <f>RawData!BR859</f>
        <v>0</v>
      </c>
      <c r="BK127" s="47">
        <f>RawData!BS859</f>
        <v>0</v>
      </c>
      <c r="BL127" s="44">
        <f>RawData!BT859</f>
        <v>0</v>
      </c>
      <c r="BM127" s="47">
        <f>RawData!BV859</f>
        <v>0</v>
      </c>
      <c r="BN127" s="65">
        <f>RawData!CC859</f>
        <v>0</v>
      </c>
      <c r="BO127" s="66">
        <f>RawData!CD859</f>
        <v>0</v>
      </c>
      <c r="BQ127" s="21">
        <f t="shared" si="1"/>
        <v>0</v>
      </c>
    </row>
    <row r="128" spans="1:69" x14ac:dyDescent="0.2">
      <c r="A128" s="59">
        <f>RawData!P860</f>
        <v>0</v>
      </c>
      <c r="B128" s="44">
        <f>RawData!Q860</f>
        <v>0</v>
      </c>
      <c r="C128" s="44">
        <f>RawData!R860</f>
        <v>0</v>
      </c>
      <c r="D128" s="63">
        <f>RawData!S860</f>
        <v>0</v>
      </c>
      <c r="E128" s="44">
        <f>RawData!T860</f>
        <v>0</v>
      </c>
      <c r="F128" s="63">
        <f>RawData!U860</f>
        <v>0</v>
      </c>
      <c r="G128" s="44">
        <f>RawData!V860</f>
        <v>0</v>
      </c>
      <c r="H128" s="44">
        <f>RawData!W860</f>
        <v>0</v>
      </c>
      <c r="I128" s="44">
        <f>RawData!X860</f>
        <v>0</v>
      </c>
      <c r="J128" s="44">
        <f>RawData!Y860</f>
        <v>0</v>
      </c>
      <c r="K128" s="40">
        <f>RawData!Z860</f>
        <v>0</v>
      </c>
      <c r="L128" s="40">
        <f>RawData!AA860</f>
        <v>0</v>
      </c>
      <c r="M128" s="36">
        <f>RawData!AB860</f>
        <v>0</v>
      </c>
      <c r="N128" s="36">
        <f>RawData!AC860</f>
        <v>0</v>
      </c>
      <c r="O128" s="37">
        <f>RawData!AD860</f>
        <v>0</v>
      </c>
      <c r="P128" s="38">
        <f>RawData!AE860</f>
        <v>0</v>
      </c>
      <c r="Q128" s="39">
        <f>RawData!AF860</f>
        <v>0</v>
      </c>
      <c r="R128" s="38">
        <f>RawData!AG860</f>
        <v>0</v>
      </c>
      <c r="S128" s="40">
        <f>RawData!AH860</f>
        <v>0</v>
      </c>
      <c r="T128" s="40">
        <f>RawData!AI860</f>
        <v>0</v>
      </c>
      <c r="U128" s="40">
        <f>RawData!AJ860</f>
        <v>0</v>
      </c>
      <c r="V128" s="41">
        <f>RawData!AK860</f>
        <v>0</v>
      </c>
      <c r="W128" s="41">
        <f>RawData!AL860</f>
        <v>0</v>
      </c>
      <c r="X128" s="43">
        <f>RawData!CA860</f>
        <v>0</v>
      </c>
      <c r="Y128" s="41">
        <f>RawData!AM860</f>
        <v>0</v>
      </c>
      <c r="Z128" s="44">
        <f>RawData!CB860</f>
        <v>0</v>
      </c>
      <c r="AA128" s="44">
        <f>RawData!AN860</f>
        <v>0</v>
      </c>
      <c r="AB128" s="44">
        <f>RawData!AO860</f>
        <v>0</v>
      </c>
      <c r="AC128" s="44">
        <f>RawData!AP860</f>
        <v>0</v>
      </c>
      <c r="AD128" s="63">
        <f>RawData!BZ860</f>
        <v>0</v>
      </c>
      <c r="AE128" s="44">
        <f>RawData!AQ860</f>
        <v>0</v>
      </c>
      <c r="AF128" s="46">
        <f>RawData!O860</f>
        <v>0</v>
      </c>
      <c r="AG128" s="44">
        <f>RawData!AR860</f>
        <v>0</v>
      </c>
      <c r="AH128" s="44">
        <f>RawData!BY860</f>
        <v>0</v>
      </c>
      <c r="AI128" s="44">
        <f>RawData!AS860</f>
        <v>0</v>
      </c>
      <c r="AJ128" s="44">
        <f>RawData!AT860</f>
        <v>0</v>
      </c>
      <c r="AK128" s="44">
        <f>RawData!AU860</f>
        <v>0</v>
      </c>
      <c r="AL128" s="44">
        <f>RawData!BW860</f>
        <v>0</v>
      </c>
      <c r="AM128" s="41">
        <f>RawData!AV860</f>
        <v>0</v>
      </c>
      <c r="AN128" s="41">
        <f>RawData!BX860</f>
        <v>0</v>
      </c>
      <c r="AO128" s="41">
        <f>RawData!AW860</f>
        <v>0</v>
      </c>
      <c r="AP128" s="41">
        <f>RawData!AX860</f>
        <v>0</v>
      </c>
      <c r="AQ128" s="40">
        <f>RawData!AY860</f>
        <v>0</v>
      </c>
      <c r="AR128" s="40">
        <f>RawData!AZ860</f>
        <v>0</v>
      </c>
      <c r="AS128" s="40">
        <f>RawData!BA860</f>
        <v>0</v>
      </c>
      <c r="AT128" s="38">
        <f>RawData!BB860</f>
        <v>0</v>
      </c>
      <c r="AU128" s="40">
        <f>RawData!BC860</f>
        <v>0</v>
      </c>
      <c r="AV128" s="40">
        <f>RawData!BD860</f>
        <v>0</v>
      </c>
      <c r="AW128" s="38">
        <f>RawData!BE860</f>
        <v>0</v>
      </c>
      <c r="AX128" s="37">
        <f>RawData!BF860</f>
        <v>0</v>
      </c>
      <c r="AY128" s="36">
        <f>RawData!BG860</f>
        <v>0</v>
      </c>
      <c r="AZ128" s="36">
        <f>RawData!BH860</f>
        <v>0</v>
      </c>
      <c r="BA128" s="40">
        <f>RawData!BI860</f>
        <v>0</v>
      </c>
      <c r="BB128" s="44">
        <f>RawData!BJ860</f>
        <v>0</v>
      </c>
      <c r="BC128" s="44">
        <f>RawData!BK860</f>
        <v>0</v>
      </c>
      <c r="BD128" s="44">
        <f>RawData!BL860</f>
        <v>0</v>
      </c>
      <c r="BE128" s="44">
        <f>RawData!BM860</f>
        <v>0</v>
      </c>
      <c r="BF128" s="44">
        <f>RawData!BN860</f>
        <v>0</v>
      </c>
      <c r="BG128" s="63">
        <f>RawData!BO860</f>
        <v>0</v>
      </c>
      <c r="BH128" s="44">
        <f>RawData!BP860</f>
        <v>0</v>
      </c>
      <c r="BI128" s="63">
        <f>RawData!BQ860</f>
        <v>0</v>
      </c>
      <c r="BJ128" s="44">
        <f>RawData!BR860</f>
        <v>0</v>
      </c>
      <c r="BK128" s="47">
        <f>RawData!BS860</f>
        <v>0</v>
      </c>
      <c r="BL128" s="44">
        <f>RawData!BT860</f>
        <v>0</v>
      </c>
      <c r="BM128" s="47">
        <f>RawData!BV860</f>
        <v>0</v>
      </c>
      <c r="BN128" s="65">
        <f>RawData!CC860</f>
        <v>0</v>
      </c>
      <c r="BO128" s="66">
        <f>RawData!CD860</f>
        <v>0</v>
      </c>
      <c r="BQ128" s="21">
        <f t="shared" si="1"/>
        <v>0</v>
      </c>
    </row>
    <row r="129" spans="1:69" x14ac:dyDescent="0.2">
      <c r="A129" s="59">
        <f>RawData!P861</f>
        <v>0</v>
      </c>
      <c r="B129" s="44">
        <f>RawData!Q861</f>
        <v>0</v>
      </c>
      <c r="C129" s="44">
        <f>RawData!R861</f>
        <v>0</v>
      </c>
      <c r="D129" s="63">
        <f>RawData!S861</f>
        <v>0</v>
      </c>
      <c r="E129" s="44">
        <f>RawData!T861</f>
        <v>0</v>
      </c>
      <c r="F129" s="63">
        <f>RawData!U861</f>
        <v>0</v>
      </c>
      <c r="G129" s="44">
        <f>RawData!V861</f>
        <v>0</v>
      </c>
      <c r="H129" s="44">
        <f>RawData!W861</f>
        <v>0</v>
      </c>
      <c r="I129" s="44">
        <f>RawData!X861</f>
        <v>0</v>
      </c>
      <c r="J129" s="44">
        <f>RawData!Y861</f>
        <v>0</v>
      </c>
      <c r="K129" s="40">
        <f>RawData!Z861</f>
        <v>0</v>
      </c>
      <c r="L129" s="40">
        <f>RawData!AA861</f>
        <v>0</v>
      </c>
      <c r="M129" s="36">
        <f>RawData!AB861</f>
        <v>0</v>
      </c>
      <c r="N129" s="36">
        <f>RawData!AC861</f>
        <v>0</v>
      </c>
      <c r="O129" s="37">
        <f>RawData!AD861</f>
        <v>0</v>
      </c>
      <c r="P129" s="38">
        <f>RawData!AE861</f>
        <v>0</v>
      </c>
      <c r="Q129" s="39">
        <f>RawData!AF861</f>
        <v>0</v>
      </c>
      <c r="R129" s="38">
        <f>RawData!AG861</f>
        <v>0</v>
      </c>
      <c r="S129" s="40">
        <f>RawData!AH861</f>
        <v>0</v>
      </c>
      <c r="T129" s="40">
        <f>RawData!AI861</f>
        <v>0</v>
      </c>
      <c r="U129" s="40">
        <f>RawData!AJ861</f>
        <v>0</v>
      </c>
      <c r="V129" s="41">
        <f>RawData!AK861</f>
        <v>0</v>
      </c>
      <c r="W129" s="41">
        <f>RawData!AL861</f>
        <v>0</v>
      </c>
      <c r="X129" s="43">
        <f>RawData!CA861</f>
        <v>0</v>
      </c>
      <c r="Y129" s="41">
        <f>RawData!AM861</f>
        <v>0</v>
      </c>
      <c r="Z129" s="44">
        <f>RawData!CB861</f>
        <v>0</v>
      </c>
      <c r="AA129" s="44">
        <f>RawData!AN861</f>
        <v>0</v>
      </c>
      <c r="AB129" s="44">
        <f>RawData!AO861</f>
        <v>0</v>
      </c>
      <c r="AC129" s="44">
        <f>RawData!AP861</f>
        <v>0</v>
      </c>
      <c r="AD129" s="63">
        <f>RawData!BZ861</f>
        <v>0</v>
      </c>
      <c r="AE129" s="44">
        <f>RawData!AQ861</f>
        <v>0</v>
      </c>
      <c r="AF129" s="46">
        <f>RawData!O861</f>
        <v>0</v>
      </c>
      <c r="AG129" s="44">
        <f>RawData!AR861</f>
        <v>0</v>
      </c>
      <c r="AH129" s="44">
        <f>RawData!BY861</f>
        <v>0</v>
      </c>
      <c r="AI129" s="44">
        <f>RawData!AS861</f>
        <v>0</v>
      </c>
      <c r="AJ129" s="44">
        <f>RawData!AT861</f>
        <v>0</v>
      </c>
      <c r="AK129" s="44">
        <f>RawData!AU861</f>
        <v>0</v>
      </c>
      <c r="AL129" s="44">
        <f>RawData!BW861</f>
        <v>0</v>
      </c>
      <c r="AM129" s="41">
        <f>RawData!AV861</f>
        <v>0</v>
      </c>
      <c r="AN129" s="41">
        <f>RawData!BX861</f>
        <v>0</v>
      </c>
      <c r="AO129" s="41">
        <f>RawData!AW861</f>
        <v>0</v>
      </c>
      <c r="AP129" s="41">
        <f>RawData!AX861</f>
        <v>0</v>
      </c>
      <c r="AQ129" s="40">
        <f>RawData!AY861</f>
        <v>0</v>
      </c>
      <c r="AR129" s="40">
        <f>RawData!AZ861</f>
        <v>0</v>
      </c>
      <c r="AS129" s="40">
        <f>RawData!BA861</f>
        <v>0</v>
      </c>
      <c r="AT129" s="38">
        <f>RawData!BB861</f>
        <v>0</v>
      </c>
      <c r="AU129" s="40">
        <f>RawData!BC861</f>
        <v>0</v>
      </c>
      <c r="AV129" s="40">
        <f>RawData!BD861</f>
        <v>0</v>
      </c>
      <c r="AW129" s="38">
        <f>RawData!BE861</f>
        <v>0</v>
      </c>
      <c r="AX129" s="37">
        <f>RawData!BF861</f>
        <v>0</v>
      </c>
      <c r="AY129" s="36">
        <f>RawData!BG861</f>
        <v>0</v>
      </c>
      <c r="AZ129" s="36">
        <f>RawData!BH861</f>
        <v>0</v>
      </c>
      <c r="BA129" s="40">
        <f>RawData!BI861</f>
        <v>0</v>
      </c>
      <c r="BB129" s="44">
        <f>RawData!BJ861</f>
        <v>0</v>
      </c>
      <c r="BC129" s="44">
        <f>RawData!BK861</f>
        <v>0</v>
      </c>
      <c r="BD129" s="44">
        <f>RawData!BL861</f>
        <v>0</v>
      </c>
      <c r="BE129" s="44">
        <f>RawData!BM861</f>
        <v>0</v>
      </c>
      <c r="BF129" s="44">
        <f>RawData!BN861</f>
        <v>0</v>
      </c>
      <c r="BG129" s="63">
        <f>RawData!BO861</f>
        <v>0</v>
      </c>
      <c r="BH129" s="44">
        <f>RawData!BP861</f>
        <v>0</v>
      </c>
      <c r="BI129" s="63">
        <f>RawData!BQ861</f>
        <v>0</v>
      </c>
      <c r="BJ129" s="44">
        <f>RawData!BR861</f>
        <v>0</v>
      </c>
      <c r="BK129" s="47">
        <f>RawData!BS861</f>
        <v>0</v>
      </c>
      <c r="BL129" s="44">
        <f>RawData!BT861</f>
        <v>0</v>
      </c>
      <c r="BM129" s="47">
        <f>RawData!BV861</f>
        <v>0</v>
      </c>
      <c r="BN129" s="65">
        <f>RawData!CC861</f>
        <v>0</v>
      </c>
      <c r="BO129" s="66">
        <f>RawData!CD861</f>
        <v>0</v>
      </c>
      <c r="BQ129" s="21">
        <f t="shared" si="1"/>
        <v>0</v>
      </c>
    </row>
    <row r="130" spans="1:69" x14ac:dyDescent="0.2">
      <c r="A130" s="59">
        <f>RawData!P862</f>
        <v>0</v>
      </c>
      <c r="B130" s="44">
        <f>RawData!Q862</f>
        <v>0</v>
      </c>
      <c r="C130" s="44">
        <f>RawData!R862</f>
        <v>0</v>
      </c>
      <c r="D130" s="63">
        <f>RawData!S862</f>
        <v>0</v>
      </c>
      <c r="E130" s="44">
        <f>RawData!T862</f>
        <v>0</v>
      </c>
      <c r="F130" s="63">
        <f>RawData!U862</f>
        <v>0</v>
      </c>
      <c r="G130" s="44">
        <f>RawData!V862</f>
        <v>0</v>
      </c>
      <c r="H130" s="44">
        <f>RawData!W862</f>
        <v>0</v>
      </c>
      <c r="I130" s="44">
        <f>RawData!X862</f>
        <v>0</v>
      </c>
      <c r="J130" s="44">
        <f>RawData!Y862</f>
        <v>0</v>
      </c>
      <c r="K130" s="40">
        <f>RawData!Z862</f>
        <v>0</v>
      </c>
      <c r="L130" s="40">
        <f>RawData!AA862</f>
        <v>0</v>
      </c>
      <c r="M130" s="36">
        <f>RawData!AB862</f>
        <v>0</v>
      </c>
      <c r="N130" s="36">
        <f>RawData!AC862</f>
        <v>0</v>
      </c>
      <c r="O130" s="37">
        <f>RawData!AD862</f>
        <v>0</v>
      </c>
      <c r="P130" s="38">
        <f>RawData!AE862</f>
        <v>0</v>
      </c>
      <c r="Q130" s="39">
        <f>RawData!AF862</f>
        <v>0</v>
      </c>
      <c r="R130" s="38">
        <f>RawData!AG862</f>
        <v>0</v>
      </c>
      <c r="S130" s="40">
        <f>RawData!AH862</f>
        <v>0</v>
      </c>
      <c r="T130" s="40">
        <f>RawData!AI862</f>
        <v>0</v>
      </c>
      <c r="U130" s="40">
        <f>RawData!AJ862</f>
        <v>0</v>
      </c>
      <c r="V130" s="41">
        <f>RawData!AK862</f>
        <v>0</v>
      </c>
      <c r="W130" s="41">
        <f>RawData!AL862</f>
        <v>0</v>
      </c>
      <c r="X130" s="43">
        <f>RawData!CA862</f>
        <v>0</v>
      </c>
      <c r="Y130" s="41">
        <f>RawData!AM862</f>
        <v>0</v>
      </c>
      <c r="Z130" s="44">
        <f>RawData!CB862</f>
        <v>0</v>
      </c>
      <c r="AA130" s="44">
        <f>RawData!AN862</f>
        <v>0</v>
      </c>
      <c r="AB130" s="44">
        <f>RawData!AO862</f>
        <v>0</v>
      </c>
      <c r="AC130" s="44">
        <f>RawData!AP862</f>
        <v>0</v>
      </c>
      <c r="AD130" s="63">
        <f>RawData!BZ862</f>
        <v>0</v>
      </c>
      <c r="AE130" s="44">
        <f>RawData!AQ862</f>
        <v>0</v>
      </c>
      <c r="AF130" s="46">
        <f>RawData!O862</f>
        <v>0</v>
      </c>
      <c r="AG130" s="44">
        <f>RawData!AR862</f>
        <v>0</v>
      </c>
      <c r="AH130" s="44">
        <f>RawData!BY862</f>
        <v>0</v>
      </c>
      <c r="AI130" s="44">
        <f>RawData!AS862</f>
        <v>0</v>
      </c>
      <c r="AJ130" s="44">
        <f>RawData!AT862</f>
        <v>0</v>
      </c>
      <c r="AK130" s="44">
        <f>RawData!AU862</f>
        <v>0</v>
      </c>
      <c r="AL130" s="44">
        <f>RawData!BW862</f>
        <v>0</v>
      </c>
      <c r="AM130" s="41">
        <f>RawData!AV862</f>
        <v>0</v>
      </c>
      <c r="AN130" s="41">
        <f>RawData!BX862</f>
        <v>0</v>
      </c>
      <c r="AO130" s="41">
        <f>RawData!AW862</f>
        <v>0</v>
      </c>
      <c r="AP130" s="41">
        <f>RawData!AX862</f>
        <v>0</v>
      </c>
      <c r="AQ130" s="40">
        <f>RawData!AY862</f>
        <v>0</v>
      </c>
      <c r="AR130" s="40">
        <f>RawData!AZ862</f>
        <v>0</v>
      </c>
      <c r="AS130" s="40">
        <f>RawData!BA862</f>
        <v>0</v>
      </c>
      <c r="AT130" s="38">
        <f>RawData!BB862</f>
        <v>0</v>
      </c>
      <c r="AU130" s="40">
        <f>RawData!BC862</f>
        <v>0</v>
      </c>
      <c r="AV130" s="40">
        <f>RawData!BD862</f>
        <v>0</v>
      </c>
      <c r="AW130" s="38">
        <f>RawData!BE862</f>
        <v>0</v>
      </c>
      <c r="AX130" s="37">
        <f>RawData!BF862</f>
        <v>0</v>
      </c>
      <c r="AY130" s="36">
        <f>RawData!BG862</f>
        <v>0</v>
      </c>
      <c r="AZ130" s="36">
        <f>RawData!BH862</f>
        <v>0</v>
      </c>
      <c r="BA130" s="40">
        <f>RawData!BI862</f>
        <v>0</v>
      </c>
      <c r="BB130" s="44">
        <f>RawData!BJ862</f>
        <v>0</v>
      </c>
      <c r="BC130" s="44">
        <f>RawData!BK862</f>
        <v>0</v>
      </c>
      <c r="BD130" s="44">
        <f>RawData!BL862</f>
        <v>0</v>
      </c>
      <c r="BE130" s="44">
        <f>RawData!BM862</f>
        <v>0</v>
      </c>
      <c r="BF130" s="44">
        <f>RawData!BN862</f>
        <v>0</v>
      </c>
      <c r="BG130" s="63">
        <f>RawData!BO862</f>
        <v>0</v>
      </c>
      <c r="BH130" s="44">
        <f>RawData!BP862</f>
        <v>0</v>
      </c>
      <c r="BI130" s="63">
        <f>RawData!BQ862</f>
        <v>0</v>
      </c>
      <c r="BJ130" s="44">
        <f>RawData!BR862</f>
        <v>0</v>
      </c>
      <c r="BK130" s="47">
        <f>RawData!BS862</f>
        <v>0</v>
      </c>
      <c r="BL130" s="44">
        <f>RawData!BT862</f>
        <v>0</v>
      </c>
      <c r="BM130" s="47">
        <f>RawData!BV862</f>
        <v>0</v>
      </c>
      <c r="BN130" s="65">
        <f>RawData!CC862</f>
        <v>0</v>
      </c>
      <c r="BO130" s="66">
        <f>RawData!CD862</f>
        <v>0</v>
      </c>
      <c r="BQ130" s="21">
        <f t="shared" si="1"/>
        <v>0</v>
      </c>
    </row>
    <row r="131" spans="1:69" x14ac:dyDescent="0.2">
      <c r="A131" s="59">
        <f>RawData!P863</f>
        <v>0</v>
      </c>
      <c r="B131" s="44">
        <f>RawData!Q863</f>
        <v>0</v>
      </c>
      <c r="C131" s="44">
        <f>RawData!R863</f>
        <v>0</v>
      </c>
      <c r="D131" s="63">
        <f>RawData!S863</f>
        <v>0</v>
      </c>
      <c r="E131" s="44">
        <f>RawData!T863</f>
        <v>0</v>
      </c>
      <c r="F131" s="63">
        <f>RawData!U863</f>
        <v>0</v>
      </c>
      <c r="G131" s="44">
        <f>RawData!V863</f>
        <v>0</v>
      </c>
      <c r="H131" s="44">
        <f>RawData!W863</f>
        <v>0</v>
      </c>
      <c r="I131" s="44">
        <f>RawData!X863</f>
        <v>0</v>
      </c>
      <c r="J131" s="44">
        <f>RawData!Y863</f>
        <v>0</v>
      </c>
      <c r="K131" s="40">
        <f>RawData!Z863</f>
        <v>0</v>
      </c>
      <c r="L131" s="40">
        <f>RawData!AA863</f>
        <v>0</v>
      </c>
      <c r="M131" s="36">
        <f>RawData!AB863</f>
        <v>0</v>
      </c>
      <c r="N131" s="36">
        <f>RawData!AC863</f>
        <v>0</v>
      </c>
      <c r="O131" s="37">
        <f>RawData!AD863</f>
        <v>0</v>
      </c>
      <c r="P131" s="38">
        <f>RawData!AE863</f>
        <v>0</v>
      </c>
      <c r="Q131" s="39">
        <f>RawData!AF863</f>
        <v>0</v>
      </c>
      <c r="R131" s="38">
        <f>RawData!AG863</f>
        <v>0</v>
      </c>
      <c r="S131" s="40">
        <f>RawData!AH863</f>
        <v>0</v>
      </c>
      <c r="T131" s="40">
        <f>RawData!AI863</f>
        <v>0</v>
      </c>
      <c r="U131" s="40">
        <f>RawData!AJ863</f>
        <v>0</v>
      </c>
      <c r="V131" s="41">
        <f>RawData!AK863</f>
        <v>0</v>
      </c>
      <c r="W131" s="41">
        <f>RawData!AL863</f>
        <v>0</v>
      </c>
      <c r="X131" s="43">
        <f>RawData!CA863</f>
        <v>0</v>
      </c>
      <c r="Y131" s="41">
        <f>RawData!AM863</f>
        <v>0</v>
      </c>
      <c r="Z131" s="44">
        <f>RawData!CB863</f>
        <v>0</v>
      </c>
      <c r="AA131" s="44">
        <f>RawData!AN863</f>
        <v>0</v>
      </c>
      <c r="AB131" s="44">
        <f>RawData!AO863</f>
        <v>0</v>
      </c>
      <c r="AC131" s="44">
        <f>RawData!AP863</f>
        <v>0</v>
      </c>
      <c r="AD131" s="63">
        <f>RawData!BZ863</f>
        <v>0</v>
      </c>
      <c r="AE131" s="44">
        <f>RawData!AQ863</f>
        <v>0</v>
      </c>
      <c r="AF131" s="46">
        <f>RawData!O863</f>
        <v>0</v>
      </c>
      <c r="AG131" s="44">
        <f>RawData!AR863</f>
        <v>0</v>
      </c>
      <c r="AH131" s="44">
        <f>RawData!BY863</f>
        <v>0</v>
      </c>
      <c r="AI131" s="44">
        <f>RawData!AS863</f>
        <v>0</v>
      </c>
      <c r="AJ131" s="44">
        <f>RawData!AT863</f>
        <v>0</v>
      </c>
      <c r="AK131" s="44">
        <f>RawData!AU863</f>
        <v>0</v>
      </c>
      <c r="AL131" s="44">
        <f>RawData!BW863</f>
        <v>0</v>
      </c>
      <c r="AM131" s="41">
        <f>RawData!AV863</f>
        <v>0</v>
      </c>
      <c r="AN131" s="41">
        <f>RawData!BX863</f>
        <v>0</v>
      </c>
      <c r="AO131" s="41">
        <f>RawData!AW863</f>
        <v>0</v>
      </c>
      <c r="AP131" s="41">
        <f>RawData!AX863</f>
        <v>0</v>
      </c>
      <c r="AQ131" s="40">
        <f>RawData!AY863</f>
        <v>0</v>
      </c>
      <c r="AR131" s="40">
        <f>RawData!AZ863</f>
        <v>0</v>
      </c>
      <c r="AS131" s="40">
        <f>RawData!BA863</f>
        <v>0</v>
      </c>
      <c r="AT131" s="38">
        <f>RawData!BB863</f>
        <v>0</v>
      </c>
      <c r="AU131" s="40">
        <f>RawData!BC863</f>
        <v>0</v>
      </c>
      <c r="AV131" s="40">
        <f>RawData!BD863</f>
        <v>0</v>
      </c>
      <c r="AW131" s="38">
        <f>RawData!BE863</f>
        <v>0</v>
      </c>
      <c r="AX131" s="37">
        <f>RawData!BF863</f>
        <v>0</v>
      </c>
      <c r="AY131" s="36">
        <f>RawData!BG863</f>
        <v>0</v>
      </c>
      <c r="AZ131" s="36">
        <f>RawData!BH863</f>
        <v>0</v>
      </c>
      <c r="BA131" s="40">
        <f>RawData!BI863</f>
        <v>0</v>
      </c>
      <c r="BB131" s="44">
        <f>RawData!BJ863</f>
        <v>0</v>
      </c>
      <c r="BC131" s="44">
        <f>RawData!BK863</f>
        <v>0</v>
      </c>
      <c r="BD131" s="44">
        <f>RawData!BL863</f>
        <v>0</v>
      </c>
      <c r="BE131" s="44">
        <f>RawData!BM863</f>
        <v>0</v>
      </c>
      <c r="BF131" s="44">
        <f>RawData!BN863</f>
        <v>0</v>
      </c>
      <c r="BG131" s="63">
        <f>RawData!BO863</f>
        <v>0</v>
      </c>
      <c r="BH131" s="44">
        <f>RawData!BP863</f>
        <v>0</v>
      </c>
      <c r="BI131" s="63">
        <f>RawData!BQ863</f>
        <v>0</v>
      </c>
      <c r="BJ131" s="44">
        <f>RawData!BR863</f>
        <v>0</v>
      </c>
      <c r="BK131" s="47">
        <f>RawData!BS863</f>
        <v>0</v>
      </c>
      <c r="BL131" s="44">
        <f>RawData!BT863</f>
        <v>0</v>
      </c>
      <c r="BM131" s="47">
        <f>RawData!BV863</f>
        <v>0</v>
      </c>
      <c r="BN131" s="65">
        <f>RawData!CC863</f>
        <v>0</v>
      </c>
      <c r="BO131" s="66">
        <f>RawData!CD863</f>
        <v>0</v>
      </c>
      <c r="BQ131" s="21">
        <f t="shared" si="1"/>
        <v>0</v>
      </c>
    </row>
    <row r="132" spans="1:69" x14ac:dyDescent="0.2">
      <c r="A132" s="59">
        <f>RawData!P864</f>
        <v>0</v>
      </c>
      <c r="B132" s="44">
        <f>RawData!Q864</f>
        <v>0</v>
      </c>
      <c r="C132" s="44">
        <f>RawData!R864</f>
        <v>0</v>
      </c>
      <c r="D132" s="63">
        <f>RawData!S864</f>
        <v>0</v>
      </c>
      <c r="E132" s="44">
        <f>RawData!T864</f>
        <v>0</v>
      </c>
      <c r="F132" s="63">
        <f>RawData!U864</f>
        <v>0</v>
      </c>
      <c r="G132" s="44">
        <f>RawData!V864</f>
        <v>0</v>
      </c>
      <c r="H132" s="44">
        <f>RawData!W864</f>
        <v>0</v>
      </c>
      <c r="I132" s="44">
        <f>RawData!X864</f>
        <v>0</v>
      </c>
      <c r="J132" s="44">
        <f>RawData!Y864</f>
        <v>0</v>
      </c>
      <c r="K132" s="40">
        <f>RawData!Z864</f>
        <v>0</v>
      </c>
      <c r="L132" s="40">
        <f>RawData!AA864</f>
        <v>0</v>
      </c>
      <c r="M132" s="36">
        <f>RawData!AB864</f>
        <v>0</v>
      </c>
      <c r="N132" s="36">
        <f>RawData!AC864</f>
        <v>0</v>
      </c>
      <c r="O132" s="37">
        <f>RawData!AD864</f>
        <v>0</v>
      </c>
      <c r="P132" s="38">
        <f>RawData!AE864</f>
        <v>0</v>
      </c>
      <c r="Q132" s="39">
        <f>RawData!AF864</f>
        <v>0</v>
      </c>
      <c r="R132" s="38">
        <f>RawData!AG864</f>
        <v>0</v>
      </c>
      <c r="S132" s="40">
        <f>RawData!AH864</f>
        <v>0</v>
      </c>
      <c r="T132" s="40">
        <f>RawData!AI864</f>
        <v>0</v>
      </c>
      <c r="U132" s="40">
        <f>RawData!AJ864</f>
        <v>0</v>
      </c>
      <c r="V132" s="41">
        <f>RawData!AK864</f>
        <v>0</v>
      </c>
      <c r="W132" s="41">
        <f>RawData!AL864</f>
        <v>0</v>
      </c>
      <c r="X132" s="43">
        <f>RawData!CA864</f>
        <v>0</v>
      </c>
      <c r="Y132" s="41">
        <f>RawData!AM864</f>
        <v>0</v>
      </c>
      <c r="Z132" s="44">
        <f>RawData!CB864</f>
        <v>0</v>
      </c>
      <c r="AA132" s="44">
        <f>RawData!AN864</f>
        <v>0</v>
      </c>
      <c r="AB132" s="44">
        <f>RawData!AO864</f>
        <v>0</v>
      </c>
      <c r="AC132" s="44">
        <f>RawData!AP864</f>
        <v>0</v>
      </c>
      <c r="AD132" s="63">
        <f>RawData!BZ864</f>
        <v>0</v>
      </c>
      <c r="AE132" s="44">
        <f>RawData!AQ864</f>
        <v>0</v>
      </c>
      <c r="AF132" s="46">
        <f>RawData!O864</f>
        <v>0</v>
      </c>
      <c r="AG132" s="44">
        <f>RawData!AR864</f>
        <v>0</v>
      </c>
      <c r="AH132" s="44">
        <f>RawData!BY864</f>
        <v>0</v>
      </c>
      <c r="AI132" s="44">
        <f>RawData!AS864</f>
        <v>0</v>
      </c>
      <c r="AJ132" s="44">
        <f>RawData!AT864</f>
        <v>0</v>
      </c>
      <c r="AK132" s="44">
        <f>RawData!AU864</f>
        <v>0</v>
      </c>
      <c r="AL132" s="44">
        <f>RawData!BW864</f>
        <v>0</v>
      </c>
      <c r="AM132" s="41">
        <f>RawData!AV864</f>
        <v>0</v>
      </c>
      <c r="AN132" s="41">
        <f>RawData!BX864</f>
        <v>0</v>
      </c>
      <c r="AO132" s="41">
        <f>RawData!AW864</f>
        <v>0</v>
      </c>
      <c r="AP132" s="41">
        <f>RawData!AX864</f>
        <v>0</v>
      </c>
      <c r="AQ132" s="40">
        <f>RawData!AY864</f>
        <v>0</v>
      </c>
      <c r="AR132" s="40">
        <f>RawData!AZ864</f>
        <v>0</v>
      </c>
      <c r="AS132" s="40">
        <f>RawData!BA864</f>
        <v>0</v>
      </c>
      <c r="AT132" s="38">
        <f>RawData!BB864</f>
        <v>0</v>
      </c>
      <c r="AU132" s="40">
        <f>RawData!BC864</f>
        <v>0</v>
      </c>
      <c r="AV132" s="40">
        <f>RawData!BD864</f>
        <v>0</v>
      </c>
      <c r="AW132" s="38">
        <f>RawData!BE864</f>
        <v>0</v>
      </c>
      <c r="AX132" s="37">
        <f>RawData!BF864</f>
        <v>0</v>
      </c>
      <c r="AY132" s="36">
        <f>RawData!BG864</f>
        <v>0</v>
      </c>
      <c r="AZ132" s="36">
        <f>RawData!BH864</f>
        <v>0</v>
      </c>
      <c r="BA132" s="40">
        <f>RawData!BI864</f>
        <v>0</v>
      </c>
      <c r="BB132" s="44">
        <f>RawData!BJ864</f>
        <v>0</v>
      </c>
      <c r="BC132" s="44">
        <f>RawData!BK864</f>
        <v>0</v>
      </c>
      <c r="BD132" s="44">
        <f>RawData!BL864</f>
        <v>0</v>
      </c>
      <c r="BE132" s="44">
        <f>RawData!BM864</f>
        <v>0</v>
      </c>
      <c r="BF132" s="44">
        <f>RawData!BN864</f>
        <v>0</v>
      </c>
      <c r="BG132" s="63">
        <f>RawData!BO864</f>
        <v>0</v>
      </c>
      <c r="BH132" s="44">
        <f>RawData!BP864</f>
        <v>0</v>
      </c>
      <c r="BI132" s="63">
        <f>RawData!BQ864</f>
        <v>0</v>
      </c>
      <c r="BJ132" s="44">
        <f>RawData!BR864</f>
        <v>0</v>
      </c>
      <c r="BK132" s="47">
        <f>RawData!BS864</f>
        <v>0</v>
      </c>
      <c r="BL132" s="44">
        <f>RawData!BT864</f>
        <v>0</v>
      </c>
      <c r="BM132" s="47">
        <f>RawData!BV864</f>
        <v>0</v>
      </c>
      <c r="BN132" s="65">
        <f>RawData!CC864</f>
        <v>0</v>
      </c>
      <c r="BO132" s="66">
        <f>RawData!CD864</f>
        <v>0</v>
      </c>
      <c r="BQ132" s="21">
        <f t="shared" ref="BQ132:BQ195" si="2">IFERROR(IF($AF132&gt;0, ABS($AF132-$BL$4),0),0)</f>
        <v>0</v>
      </c>
    </row>
    <row r="133" spans="1:69" x14ac:dyDescent="0.2">
      <c r="A133" s="59">
        <f>RawData!P865</f>
        <v>0</v>
      </c>
      <c r="B133" s="44">
        <f>RawData!Q865</f>
        <v>0</v>
      </c>
      <c r="C133" s="44">
        <f>RawData!R865</f>
        <v>0</v>
      </c>
      <c r="D133" s="63">
        <f>RawData!S865</f>
        <v>0</v>
      </c>
      <c r="E133" s="44">
        <f>RawData!T865</f>
        <v>0</v>
      </c>
      <c r="F133" s="63">
        <f>RawData!U865</f>
        <v>0</v>
      </c>
      <c r="G133" s="44">
        <f>RawData!V865</f>
        <v>0</v>
      </c>
      <c r="H133" s="44">
        <f>RawData!W865</f>
        <v>0</v>
      </c>
      <c r="I133" s="44">
        <f>RawData!X865</f>
        <v>0</v>
      </c>
      <c r="J133" s="44">
        <f>RawData!Y865</f>
        <v>0</v>
      </c>
      <c r="K133" s="40">
        <f>RawData!Z865</f>
        <v>0</v>
      </c>
      <c r="L133" s="40">
        <f>RawData!AA865</f>
        <v>0</v>
      </c>
      <c r="M133" s="36">
        <f>RawData!AB865</f>
        <v>0</v>
      </c>
      <c r="N133" s="36">
        <f>RawData!AC865</f>
        <v>0</v>
      </c>
      <c r="O133" s="37">
        <f>RawData!AD865</f>
        <v>0</v>
      </c>
      <c r="P133" s="38">
        <f>RawData!AE865</f>
        <v>0</v>
      </c>
      <c r="Q133" s="39">
        <f>RawData!AF865</f>
        <v>0</v>
      </c>
      <c r="R133" s="38">
        <f>RawData!AG865</f>
        <v>0</v>
      </c>
      <c r="S133" s="40">
        <f>RawData!AH865</f>
        <v>0</v>
      </c>
      <c r="T133" s="40">
        <f>RawData!AI865</f>
        <v>0</v>
      </c>
      <c r="U133" s="40">
        <f>RawData!AJ865</f>
        <v>0</v>
      </c>
      <c r="V133" s="41">
        <f>RawData!AK865</f>
        <v>0</v>
      </c>
      <c r="W133" s="41">
        <f>RawData!AL865</f>
        <v>0</v>
      </c>
      <c r="X133" s="43">
        <f>RawData!CA865</f>
        <v>0</v>
      </c>
      <c r="Y133" s="41">
        <f>RawData!AM865</f>
        <v>0</v>
      </c>
      <c r="Z133" s="44">
        <f>RawData!CB865</f>
        <v>0</v>
      </c>
      <c r="AA133" s="44">
        <f>RawData!AN865</f>
        <v>0</v>
      </c>
      <c r="AB133" s="44">
        <f>RawData!AO865</f>
        <v>0</v>
      </c>
      <c r="AC133" s="44">
        <f>RawData!AP865</f>
        <v>0</v>
      </c>
      <c r="AD133" s="63">
        <f>RawData!BZ865</f>
        <v>0</v>
      </c>
      <c r="AE133" s="44">
        <f>RawData!AQ865</f>
        <v>0</v>
      </c>
      <c r="AF133" s="46">
        <f>RawData!O865</f>
        <v>0</v>
      </c>
      <c r="AG133" s="44">
        <f>RawData!AR865</f>
        <v>0</v>
      </c>
      <c r="AH133" s="44">
        <f>RawData!BY865</f>
        <v>0</v>
      </c>
      <c r="AI133" s="44">
        <f>RawData!AS865</f>
        <v>0</v>
      </c>
      <c r="AJ133" s="44">
        <f>RawData!AT865</f>
        <v>0</v>
      </c>
      <c r="AK133" s="44">
        <f>RawData!AU865</f>
        <v>0</v>
      </c>
      <c r="AL133" s="44">
        <f>RawData!BW865</f>
        <v>0</v>
      </c>
      <c r="AM133" s="41">
        <f>RawData!AV865</f>
        <v>0</v>
      </c>
      <c r="AN133" s="41">
        <f>RawData!BX865</f>
        <v>0</v>
      </c>
      <c r="AO133" s="41">
        <f>RawData!AW865</f>
        <v>0</v>
      </c>
      <c r="AP133" s="41">
        <f>RawData!AX865</f>
        <v>0</v>
      </c>
      <c r="AQ133" s="40">
        <f>RawData!AY865</f>
        <v>0</v>
      </c>
      <c r="AR133" s="40">
        <f>RawData!AZ865</f>
        <v>0</v>
      </c>
      <c r="AS133" s="40">
        <f>RawData!BA865</f>
        <v>0</v>
      </c>
      <c r="AT133" s="38">
        <f>RawData!BB865</f>
        <v>0</v>
      </c>
      <c r="AU133" s="40">
        <f>RawData!BC865</f>
        <v>0</v>
      </c>
      <c r="AV133" s="40">
        <f>RawData!BD865</f>
        <v>0</v>
      </c>
      <c r="AW133" s="38">
        <f>RawData!BE865</f>
        <v>0</v>
      </c>
      <c r="AX133" s="37">
        <f>RawData!BF865</f>
        <v>0</v>
      </c>
      <c r="AY133" s="36">
        <f>RawData!BG865</f>
        <v>0</v>
      </c>
      <c r="AZ133" s="36">
        <f>RawData!BH865</f>
        <v>0</v>
      </c>
      <c r="BA133" s="40">
        <f>RawData!BI865</f>
        <v>0</v>
      </c>
      <c r="BB133" s="44">
        <f>RawData!BJ865</f>
        <v>0</v>
      </c>
      <c r="BC133" s="44">
        <f>RawData!BK865</f>
        <v>0</v>
      </c>
      <c r="BD133" s="44">
        <f>RawData!BL865</f>
        <v>0</v>
      </c>
      <c r="BE133" s="44">
        <f>RawData!BM865</f>
        <v>0</v>
      </c>
      <c r="BF133" s="44">
        <f>RawData!BN865</f>
        <v>0</v>
      </c>
      <c r="BG133" s="63">
        <f>RawData!BO865</f>
        <v>0</v>
      </c>
      <c r="BH133" s="44">
        <f>RawData!BP865</f>
        <v>0</v>
      </c>
      <c r="BI133" s="63">
        <f>RawData!BQ865</f>
        <v>0</v>
      </c>
      <c r="BJ133" s="44">
        <f>RawData!BR865</f>
        <v>0</v>
      </c>
      <c r="BK133" s="47">
        <f>RawData!BS865</f>
        <v>0</v>
      </c>
      <c r="BL133" s="44">
        <f>RawData!BT865</f>
        <v>0</v>
      </c>
      <c r="BM133" s="47">
        <f>RawData!BV865</f>
        <v>0</v>
      </c>
      <c r="BN133" s="65">
        <f>RawData!CC865</f>
        <v>0</v>
      </c>
      <c r="BO133" s="66">
        <f>RawData!CD865</f>
        <v>0</v>
      </c>
      <c r="BQ133" s="21">
        <f t="shared" si="2"/>
        <v>0</v>
      </c>
    </row>
    <row r="134" spans="1:69" x14ac:dyDescent="0.2">
      <c r="A134" s="59">
        <f>RawData!P866</f>
        <v>0</v>
      </c>
      <c r="B134" s="44">
        <f>RawData!Q866</f>
        <v>0</v>
      </c>
      <c r="C134" s="44">
        <f>RawData!R866</f>
        <v>0</v>
      </c>
      <c r="D134" s="63">
        <f>RawData!S866</f>
        <v>0</v>
      </c>
      <c r="E134" s="44">
        <f>RawData!T866</f>
        <v>0</v>
      </c>
      <c r="F134" s="63">
        <f>RawData!U866</f>
        <v>0</v>
      </c>
      <c r="G134" s="44">
        <f>RawData!V866</f>
        <v>0</v>
      </c>
      <c r="H134" s="44">
        <f>RawData!W866</f>
        <v>0</v>
      </c>
      <c r="I134" s="44">
        <f>RawData!X866</f>
        <v>0</v>
      </c>
      <c r="J134" s="44">
        <f>RawData!Y866</f>
        <v>0</v>
      </c>
      <c r="K134" s="40">
        <f>RawData!Z866</f>
        <v>0</v>
      </c>
      <c r="L134" s="40">
        <f>RawData!AA866</f>
        <v>0</v>
      </c>
      <c r="M134" s="36">
        <f>RawData!AB866</f>
        <v>0</v>
      </c>
      <c r="N134" s="36">
        <f>RawData!AC866</f>
        <v>0</v>
      </c>
      <c r="O134" s="37">
        <f>RawData!AD866</f>
        <v>0</v>
      </c>
      <c r="P134" s="38">
        <f>RawData!AE866</f>
        <v>0</v>
      </c>
      <c r="Q134" s="39">
        <f>RawData!AF866</f>
        <v>0</v>
      </c>
      <c r="R134" s="38">
        <f>RawData!AG866</f>
        <v>0</v>
      </c>
      <c r="S134" s="40">
        <f>RawData!AH866</f>
        <v>0</v>
      </c>
      <c r="T134" s="40">
        <f>RawData!AI866</f>
        <v>0</v>
      </c>
      <c r="U134" s="40">
        <f>RawData!AJ866</f>
        <v>0</v>
      </c>
      <c r="V134" s="41">
        <f>RawData!AK866</f>
        <v>0</v>
      </c>
      <c r="W134" s="41">
        <f>RawData!AL866</f>
        <v>0</v>
      </c>
      <c r="X134" s="43">
        <f>RawData!CA866</f>
        <v>0</v>
      </c>
      <c r="Y134" s="41">
        <f>RawData!AM866</f>
        <v>0</v>
      </c>
      <c r="Z134" s="44">
        <f>RawData!CB866</f>
        <v>0</v>
      </c>
      <c r="AA134" s="44">
        <f>RawData!AN866</f>
        <v>0</v>
      </c>
      <c r="AB134" s="44">
        <f>RawData!AO866</f>
        <v>0</v>
      </c>
      <c r="AC134" s="44">
        <f>RawData!AP866</f>
        <v>0</v>
      </c>
      <c r="AD134" s="63">
        <f>RawData!BZ866</f>
        <v>0</v>
      </c>
      <c r="AE134" s="44">
        <f>RawData!AQ866</f>
        <v>0</v>
      </c>
      <c r="AF134" s="46">
        <f>RawData!O866</f>
        <v>0</v>
      </c>
      <c r="AG134" s="44">
        <f>RawData!AR866</f>
        <v>0</v>
      </c>
      <c r="AH134" s="44">
        <f>RawData!BY866</f>
        <v>0</v>
      </c>
      <c r="AI134" s="44">
        <f>RawData!AS866</f>
        <v>0</v>
      </c>
      <c r="AJ134" s="44">
        <f>RawData!AT866</f>
        <v>0</v>
      </c>
      <c r="AK134" s="44">
        <f>RawData!AU866</f>
        <v>0</v>
      </c>
      <c r="AL134" s="44">
        <f>RawData!BW866</f>
        <v>0</v>
      </c>
      <c r="AM134" s="41">
        <f>RawData!AV866</f>
        <v>0</v>
      </c>
      <c r="AN134" s="41">
        <f>RawData!BX866</f>
        <v>0</v>
      </c>
      <c r="AO134" s="41">
        <f>RawData!AW866</f>
        <v>0</v>
      </c>
      <c r="AP134" s="41">
        <f>RawData!AX866</f>
        <v>0</v>
      </c>
      <c r="AQ134" s="40">
        <f>RawData!AY866</f>
        <v>0</v>
      </c>
      <c r="AR134" s="40">
        <f>RawData!AZ866</f>
        <v>0</v>
      </c>
      <c r="AS134" s="40">
        <f>RawData!BA866</f>
        <v>0</v>
      </c>
      <c r="AT134" s="38">
        <f>RawData!BB866</f>
        <v>0</v>
      </c>
      <c r="AU134" s="40">
        <f>RawData!BC866</f>
        <v>0</v>
      </c>
      <c r="AV134" s="40">
        <f>RawData!BD866</f>
        <v>0</v>
      </c>
      <c r="AW134" s="38">
        <f>RawData!BE866</f>
        <v>0</v>
      </c>
      <c r="AX134" s="37">
        <f>RawData!BF866</f>
        <v>0</v>
      </c>
      <c r="AY134" s="36">
        <f>RawData!BG866</f>
        <v>0</v>
      </c>
      <c r="AZ134" s="36">
        <f>RawData!BH866</f>
        <v>0</v>
      </c>
      <c r="BA134" s="40">
        <f>RawData!BI866</f>
        <v>0</v>
      </c>
      <c r="BB134" s="44">
        <f>RawData!BJ866</f>
        <v>0</v>
      </c>
      <c r="BC134" s="44">
        <f>RawData!BK866</f>
        <v>0</v>
      </c>
      <c r="BD134" s="44">
        <f>RawData!BL866</f>
        <v>0</v>
      </c>
      <c r="BE134" s="44">
        <f>RawData!BM866</f>
        <v>0</v>
      </c>
      <c r="BF134" s="44">
        <f>RawData!BN866</f>
        <v>0</v>
      </c>
      <c r="BG134" s="63">
        <f>RawData!BO866</f>
        <v>0</v>
      </c>
      <c r="BH134" s="44">
        <f>RawData!BP866</f>
        <v>0</v>
      </c>
      <c r="BI134" s="63">
        <f>RawData!BQ866</f>
        <v>0</v>
      </c>
      <c r="BJ134" s="44">
        <f>RawData!BR866</f>
        <v>0</v>
      </c>
      <c r="BK134" s="47">
        <f>RawData!BS866</f>
        <v>0</v>
      </c>
      <c r="BL134" s="44">
        <f>RawData!BT866</f>
        <v>0</v>
      </c>
      <c r="BM134" s="47">
        <f>RawData!BV866</f>
        <v>0</v>
      </c>
      <c r="BN134" s="65">
        <f>RawData!CC866</f>
        <v>0</v>
      </c>
      <c r="BO134" s="66">
        <f>RawData!CD866</f>
        <v>0</v>
      </c>
      <c r="BQ134" s="21">
        <f t="shared" si="2"/>
        <v>0</v>
      </c>
    </row>
    <row r="135" spans="1:69" x14ac:dyDescent="0.2">
      <c r="A135" s="59">
        <f>RawData!P867</f>
        <v>0</v>
      </c>
      <c r="B135" s="44">
        <f>RawData!Q867</f>
        <v>0</v>
      </c>
      <c r="C135" s="44">
        <f>RawData!R867</f>
        <v>0</v>
      </c>
      <c r="D135" s="63">
        <f>RawData!S867</f>
        <v>0</v>
      </c>
      <c r="E135" s="44">
        <f>RawData!T867</f>
        <v>0</v>
      </c>
      <c r="F135" s="63">
        <f>RawData!U867</f>
        <v>0</v>
      </c>
      <c r="G135" s="44">
        <f>RawData!V867</f>
        <v>0</v>
      </c>
      <c r="H135" s="44">
        <f>RawData!W867</f>
        <v>0</v>
      </c>
      <c r="I135" s="44">
        <f>RawData!X867</f>
        <v>0</v>
      </c>
      <c r="J135" s="44">
        <f>RawData!Y867</f>
        <v>0</v>
      </c>
      <c r="K135" s="40">
        <f>RawData!Z867</f>
        <v>0</v>
      </c>
      <c r="L135" s="40">
        <f>RawData!AA867</f>
        <v>0</v>
      </c>
      <c r="M135" s="36">
        <f>RawData!AB867</f>
        <v>0</v>
      </c>
      <c r="N135" s="36">
        <f>RawData!AC867</f>
        <v>0</v>
      </c>
      <c r="O135" s="37">
        <f>RawData!AD867</f>
        <v>0</v>
      </c>
      <c r="P135" s="38">
        <f>RawData!AE867</f>
        <v>0</v>
      </c>
      <c r="Q135" s="39">
        <f>RawData!AF867</f>
        <v>0</v>
      </c>
      <c r="R135" s="38">
        <f>RawData!AG867</f>
        <v>0</v>
      </c>
      <c r="S135" s="40">
        <f>RawData!AH867</f>
        <v>0</v>
      </c>
      <c r="T135" s="40">
        <f>RawData!AI867</f>
        <v>0</v>
      </c>
      <c r="U135" s="40">
        <f>RawData!AJ867</f>
        <v>0</v>
      </c>
      <c r="V135" s="41">
        <f>RawData!AK867</f>
        <v>0</v>
      </c>
      <c r="W135" s="41">
        <f>RawData!AL867</f>
        <v>0</v>
      </c>
      <c r="X135" s="43">
        <f>RawData!CA867</f>
        <v>0</v>
      </c>
      <c r="Y135" s="41">
        <f>RawData!AM867</f>
        <v>0</v>
      </c>
      <c r="Z135" s="44">
        <f>RawData!CB867</f>
        <v>0</v>
      </c>
      <c r="AA135" s="44">
        <f>RawData!AN867</f>
        <v>0</v>
      </c>
      <c r="AB135" s="44">
        <f>RawData!AO867</f>
        <v>0</v>
      </c>
      <c r="AC135" s="44">
        <f>RawData!AP867</f>
        <v>0</v>
      </c>
      <c r="AD135" s="63">
        <f>RawData!BZ867</f>
        <v>0</v>
      </c>
      <c r="AE135" s="44">
        <f>RawData!AQ867</f>
        <v>0</v>
      </c>
      <c r="AF135" s="46">
        <f>RawData!O867</f>
        <v>0</v>
      </c>
      <c r="AG135" s="44">
        <f>RawData!AR867</f>
        <v>0</v>
      </c>
      <c r="AH135" s="44">
        <f>RawData!BY867</f>
        <v>0</v>
      </c>
      <c r="AI135" s="44">
        <f>RawData!AS867</f>
        <v>0</v>
      </c>
      <c r="AJ135" s="44">
        <f>RawData!AT867</f>
        <v>0</v>
      </c>
      <c r="AK135" s="44">
        <f>RawData!AU867</f>
        <v>0</v>
      </c>
      <c r="AL135" s="44">
        <f>RawData!BW867</f>
        <v>0</v>
      </c>
      <c r="AM135" s="41">
        <f>RawData!AV867</f>
        <v>0</v>
      </c>
      <c r="AN135" s="41">
        <f>RawData!BX867</f>
        <v>0</v>
      </c>
      <c r="AO135" s="41">
        <f>RawData!AW867</f>
        <v>0</v>
      </c>
      <c r="AP135" s="41">
        <f>RawData!AX867</f>
        <v>0</v>
      </c>
      <c r="AQ135" s="40">
        <f>RawData!AY867</f>
        <v>0</v>
      </c>
      <c r="AR135" s="40">
        <f>RawData!AZ867</f>
        <v>0</v>
      </c>
      <c r="AS135" s="40">
        <f>RawData!BA867</f>
        <v>0</v>
      </c>
      <c r="AT135" s="38">
        <f>RawData!BB867</f>
        <v>0</v>
      </c>
      <c r="AU135" s="40">
        <f>RawData!BC867</f>
        <v>0</v>
      </c>
      <c r="AV135" s="40">
        <f>RawData!BD867</f>
        <v>0</v>
      </c>
      <c r="AW135" s="38">
        <f>RawData!BE867</f>
        <v>0</v>
      </c>
      <c r="AX135" s="37">
        <f>RawData!BF867</f>
        <v>0</v>
      </c>
      <c r="AY135" s="36">
        <f>RawData!BG867</f>
        <v>0</v>
      </c>
      <c r="AZ135" s="36">
        <f>RawData!BH867</f>
        <v>0</v>
      </c>
      <c r="BA135" s="40">
        <f>RawData!BI867</f>
        <v>0</v>
      </c>
      <c r="BB135" s="44">
        <f>RawData!BJ867</f>
        <v>0</v>
      </c>
      <c r="BC135" s="44">
        <f>RawData!BK867</f>
        <v>0</v>
      </c>
      <c r="BD135" s="44">
        <f>RawData!BL867</f>
        <v>0</v>
      </c>
      <c r="BE135" s="44">
        <f>RawData!BM867</f>
        <v>0</v>
      </c>
      <c r="BF135" s="44">
        <f>RawData!BN867</f>
        <v>0</v>
      </c>
      <c r="BG135" s="63">
        <f>RawData!BO867</f>
        <v>0</v>
      </c>
      <c r="BH135" s="44">
        <f>RawData!BP867</f>
        <v>0</v>
      </c>
      <c r="BI135" s="63">
        <f>RawData!BQ867</f>
        <v>0</v>
      </c>
      <c r="BJ135" s="44">
        <f>RawData!BR867</f>
        <v>0</v>
      </c>
      <c r="BK135" s="47">
        <f>RawData!BS867</f>
        <v>0</v>
      </c>
      <c r="BL135" s="44">
        <f>RawData!BT867</f>
        <v>0</v>
      </c>
      <c r="BM135" s="47">
        <f>RawData!BV867</f>
        <v>0</v>
      </c>
      <c r="BN135" s="65">
        <f>RawData!CC867</f>
        <v>0</v>
      </c>
      <c r="BO135" s="66">
        <f>RawData!CD867</f>
        <v>0</v>
      </c>
      <c r="BQ135" s="21">
        <f t="shared" si="2"/>
        <v>0</v>
      </c>
    </row>
    <row r="136" spans="1:69" x14ac:dyDescent="0.2">
      <c r="A136" s="59">
        <f>RawData!P868</f>
        <v>0</v>
      </c>
      <c r="B136" s="44">
        <f>RawData!Q868</f>
        <v>0</v>
      </c>
      <c r="C136" s="44">
        <f>RawData!R868</f>
        <v>0</v>
      </c>
      <c r="D136" s="63">
        <f>RawData!S868</f>
        <v>0</v>
      </c>
      <c r="E136" s="44">
        <f>RawData!T868</f>
        <v>0</v>
      </c>
      <c r="F136" s="63">
        <f>RawData!U868</f>
        <v>0</v>
      </c>
      <c r="G136" s="44">
        <f>RawData!V868</f>
        <v>0</v>
      </c>
      <c r="H136" s="44">
        <f>RawData!W868</f>
        <v>0</v>
      </c>
      <c r="I136" s="44">
        <f>RawData!X868</f>
        <v>0</v>
      </c>
      <c r="J136" s="44">
        <f>RawData!Y868</f>
        <v>0</v>
      </c>
      <c r="K136" s="40">
        <f>RawData!Z868</f>
        <v>0</v>
      </c>
      <c r="L136" s="40">
        <f>RawData!AA868</f>
        <v>0</v>
      </c>
      <c r="M136" s="36">
        <f>RawData!AB868</f>
        <v>0</v>
      </c>
      <c r="N136" s="36">
        <f>RawData!AC868</f>
        <v>0</v>
      </c>
      <c r="O136" s="37">
        <f>RawData!AD868</f>
        <v>0</v>
      </c>
      <c r="P136" s="38">
        <f>RawData!AE868</f>
        <v>0</v>
      </c>
      <c r="Q136" s="39">
        <f>RawData!AF868</f>
        <v>0</v>
      </c>
      <c r="R136" s="38">
        <f>RawData!AG868</f>
        <v>0</v>
      </c>
      <c r="S136" s="40">
        <f>RawData!AH868</f>
        <v>0</v>
      </c>
      <c r="T136" s="40">
        <f>RawData!AI868</f>
        <v>0</v>
      </c>
      <c r="U136" s="40">
        <f>RawData!AJ868</f>
        <v>0</v>
      </c>
      <c r="V136" s="41">
        <f>RawData!AK868</f>
        <v>0</v>
      </c>
      <c r="W136" s="41">
        <f>RawData!AL868</f>
        <v>0</v>
      </c>
      <c r="X136" s="43">
        <f>RawData!CA868</f>
        <v>0</v>
      </c>
      <c r="Y136" s="41">
        <f>RawData!AM868</f>
        <v>0</v>
      </c>
      <c r="Z136" s="44">
        <f>RawData!CB868</f>
        <v>0</v>
      </c>
      <c r="AA136" s="44">
        <f>RawData!AN868</f>
        <v>0</v>
      </c>
      <c r="AB136" s="44">
        <f>RawData!AO868</f>
        <v>0</v>
      </c>
      <c r="AC136" s="44">
        <f>RawData!AP868</f>
        <v>0</v>
      </c>
      <c r="AD136" s="63">
        <f>RawData!BZ868</f>
        <v>0</v>
      </c>
      <c r="AE136" s="44">
        <f>RawData!AQ868</f>
        <v>0</v>
      </c>
      <c r="AF136" s="46">
        <f>RawData!O868</f>
        <v>0</v>
      </c>
      <c r="AG136" s="44">
        <f>RawData!AR868</f>
        <v>0</v>
      </c>
      <c r="AH136" s="44">
        <f>RawData!BY868</f>
        <v>0</v>
      </c>
      <c r="AI136" s="44">
        <f>RawData!AS868</f>
        <v>0</v>
      </c>
      <c r="AJ136" s="44">
        <f>RawData!AT868</f>
        <v>0</v>
      </c>
      <c r="AK136" s="44">
        <f>RawData!AU868</f>
        <v>0</v>
      </c>
      <c r="AL136" s="44">
        <f>RawData!BW868</f>
        <v>0</v>
      </c>
      <c r="AM136" s="41">
        <f>RawData!AV868</f>
        <v>0</v>
      </c>
      <c r="AN136" s="41">
        <f>RawData!BX868</f>
        <v>0</v>
      </c>
      <c r="AO136" s="41">
        <f>RawData!AW868</f>
        <v>0</v>
      </c>
      <c r="AP136" s="41">
        <f>RawData!AX868</f>
        <v>0</v>
      </c>
      <c r="AQ136" s="40">
        <f>RawData!AY868</f>
        <v>0</v>
      </c>
      <c r="AR136" s="40">
        <f>RawData!AZ868</f>
        <v>0</v>
      </c>
      <c r="AS136" s="40">
        <f>RawData!BA868</f>
        <v>0</v>
      </c>
      <c r="AT136" s="38">
        <f>RawData!BB868</f>
        <v>0</v>
      </c>
      <c r="AU136" s="40">
        <f>RawData!BC868</f>
        <v>0</v>
      </c>
      <c r="AV136" s="40">
        <f>RawData!BD868</f>
        <v>0</v>
      </c>
      <c r="AW136" s="38">
        <f>RawData!BE868</f>
        <v>0</v>
      </c>
      <c r="AX136" s="37">
        <f>RawData!BF868</f>
        <v>0</v>
      </c>
      <c r="AY136" s="36">
        <f>RawData!BG868</f>
        <v>0</v>
      </c>
      <c r="AZ136" s="36">
        <f>RawData!BH868</f>
        <v>0</v>
      </c>
      <c r="BA136" s="40">
        <f>RawData!BI868</f>
        <v>0</v>
      </c>
      <c r="BB136" s="44">
        <f>RawData!BJ868</f>
        <v>0</v>
      </c>
      <c r="BC136" s="44">
        <f>RawData!BK868</f>
        <v>0</v>
      </c>
      <c r="BD136" s="44">
        <f>RawData!BL868</f>
        <v>0</v>
      </c>
      <c r="BE136" s="44">
        <f>RawData!BM868</f>
        <v>0</v>
      </c>
      <c r="BF136" s="44">
        <f>RawData!BN868</f>
        <v>0</v>
      </c>
      <c r="BG136" s="63">
        <f>RawData!BO868</f>
        <v>0</v>
      </c>
      <c r="BH136" s="44">
        <f>RawData!BP868</f>
        <v>0</v>
      </c>
      <c r="BI136" s="63">
        <f>RawData!BQ868</f>
        <v>0</v>
      </c>
      <c r="BJ136" s="44">
        <f>RawData!BR868</f>
        <v>0</v>
      </c>
      <c r="BK136" s="47">
        <f>RawData!BS868</f>
        <v>0</v>
      </c>
      <c r="BL136" s="44">
        <f>RawData!BT868</f>
        <v>0</v>
      </c>
      <c r="BM136" s="47">
        <f>RawData!BV868</f>
        <v>0</v>
      </c>
      <c r="BN136" s="65">
        <f>RawData!CC868</f>
        <v>0</v>
      </c>
      <c r="BO136" s="66">
        <f>RawData!CD868</f>
        <v>0</v>
      </c>
      <c r="BQ136" s="21">
        <f t="shared" si="2"/>
        <v>0</v>
      </c>
    </row>
    <row r="137" spans="1:69" x14ac:dyDescent="0.2">
      <c r="A137" s="59">
        <f>RawData!P869</f>
        <v>0</v>
      </c>
      <c r="B137" s="44">
        <f>RawData!Q869</f>
        <v>0</v>
      </c>
      <c r="C137" s="44">
        <f>RawData!R869</f>
        <v>0</v>
      </c>
      <c r="D137" s="63">
        <f>RawData!S869</f>
        <v>0</v>
      </c>
      <c r="E137" s="44">
        <f>RawData!T869</f>
        <v>0</v>
      </c>
      <c r="F137" s="63">
        <f>RawData!U869</f>
        <v>0</v>
      </c>
      <c r="G137" s="44">
        <f>RawData!V869</f>
        <v>0</v>
      </c>
      <c r="H137" s="44">
        <f>RawData!W869</f>
        <v>0</v>
      </c>
      <c r="I137" s="44">
        <f>RawData!X869</f>
        <v>0</v>
      </c>
      <c r="J137" s="44">
        <f>RawData!Y869</f>
        <v>0</v>
      </c>
      <c r="K137" s="40">
        <f>RawData!Z869</f>
        <v>0</v>
      </c>
      <c r="L137" s="40">
        <f>RawData!AA869</f>
        <v>0</v>
      </c>
      <c r="M137" s="36">
        <f>RawData!AB869</f>
        <v>0</v>
      </c>
      <c r="N137" s="36">
        <f>RawData!AC869</f>
        <v>0</v>
      </c>
      <c r="O137" s="37">
        <f>RawData!AD869</f>
        <v>0</v>
      </c>
      <c r="P137" s="38">
        <f>RawData!AE869</f>
        <v>0</v>
      </c>
      <c r="Q137" s="39">
        <f>RawData!AF869</f>
        <v>0</v>
      </c>
      <c r="R137" s="38">
        <f>RawData!AG869</f>
        <v>0</v>
      </c>
      <c r="S137" s="40">
        <f>RawData!AH869</f>
        <v>0</v>
      </c>
      <c r="T137" s="40">
        <f>RawData!AI869</f>
        <v>0</v>
      </c>
      <c r="U137" s="40">
        <f>RawData!AJ869</f>
        <v>0</v>
      </c>
      <c r="V137" s="41">
        <f>RawData!AK869</f>
        <v>0</v>
      </c>
      <c r="W137" s="41">
        <f>RawData!AL869</f>
        <v>0</v>
      </c>
      <c r="X137" s="43">
        <f>RawData!CA869</f>
        <v>0</v>
      </c>
      <c r="Y137" s="41">
        <f>RawData!AM869</f>
        <v>0</v>
      </c>
      <c r="Z137" s="44">
        <f>RawData!CB869</f>
        <v>0</v>
      </c>
      <c r="AA137" s="44">
        <f>RawData!AN869</f>
        <v>0</v>
      </c>
      <c r="AB137" s="44">
        <f>RawData!AO869</f>
        <v>0</v>
      </c>
      <c r="AC137" s="44">
        <f>RawData!AP869</f>
        <v>0</v>
      </c>
      <c r="AD137" s="63">
        <f>RawData!BZ869</f>
        <v>0</v>
      </c>
      <c r="AE137" s="44">
        <f>RawData!AQ869</f>
        <v>0</v>
      </c>
      <c r="AF137" s="46">
        <f>RawData!O869</f>
        <v>0</v>
      </c>
      <c r="AG137" s="44">
        <f>RawData!AR869</f>
        <v>0</v>
      </c>
      <c r="AH137" s="44">
        <f>RawData!BY869</f>
        <v>0</v>
      </c>
      <c r="AI137" s="44">
        <f>RawData!AS869</f>
        <v>0</v>
      </c>
      <c r="AJ137" s="44">
        <f>RawData!AT869</f>
        <v>0</v>
      </c>
      <c r="AK137" s="44">
        <f>RawData!AU869</f>
        <v>0</v>
      </c>
      <c r="AL137" s="44">
        <f>RawData!BW869</f>
        <v>0</v>
      </c>
      <c r="AM137" s="41">
        <f>RawData!AV869</f>
        <v>0</v>
      </c>
      <c r="AN137" s="41">
        <f>RawData!BX869</f>
        <v>0</v>
      </c>
      <c r="AO137" s="41">
        <f>RawData!AW869</f>
        <v>0</v>
      </c>
      <c r="AP137" s="41">
        <f>RawData!AX869</f>
        <v>0</v>
      </c>
      <c r="AQ137" s="40">
        <f>RawData!AY869</f>
        <v>0</v>
      </c>
      <c r="AR137" s="40">
        <f>RawData!AZ869</f>
        <v>0</v>
      </c>
      <c r="AS137" s="40">
        <f>RawData!BA869</f>
        <v>0</v>
      </c>
      <c r="AT137" s="38">
        <f>RawData!BB869</f>
        <v>0</v>
      </c>
      <c r="AU137" s="40">
        <f>RawData!BC869</f>
        <v>0</v>
      </c>
      <c r="AV137" s="40">
        <f>RawData!BD869</f>
        <v>0</v>
      </c>
      <c r="AW137" s="38">
        <f>RawData!BE869</f>
        <v>0</v>
      </c>
      <c r="AX137" s="37">
        <f>RawData!BF869</f>
        <v>0</v>
      </c>
      <c r="AY137" s="36">
        <f>RawData!BG869</f>
        <v>0</v>
      </c>
      <c r="AZ137" s="36">
        <f>RawData!BH869</f>
        <v>0</v>
      </c>
      <c r="BA137" s="40">
        <f>RawData!BI869</f>
        <v>0</v>
      </c>
      <c r="BB137" s="44">
        <f>RawData!BJ869</f>
        <v>0</v>
      </c>
      <c r="BC137" s="44">
        <f>RawData!BK869</f>
        <v>0</v>
      </c>
      <c r="BD137" s="44">
        <f>RawData!BL869</f>
        <v>0</v>
      </c>
      <c r="BE137" s="44">
        <f>RawData!BM869</f>
        <v>0</v>
      </c>
      <c r="BF137" s="44">
        <f>RawData!BN869</f>
        <v>0</v>
      </c>
      <c r="BG137" s="63">
        <f>RawData!BO869</f>
        <v>0</v>
      </c>
      <c r="BH137" s="44">
        <f>RawData!BP869</f>
        <v>0</v>
      </c>
      <c r="BI137" s="63">
        <f>RawData!BQ869</f>
        <v>0</v>
      </c>
      <c r="BJ137" s="44">
        <f>RawData!BR869</f>
        <v>0</v>
      </c>
      <c r="BK137" s="47">
        <f>RawData!BS869</f>
        <v>0</v>
      </c>
      <c r="BL137" s="44">
        <f>RawData!BT869</f>
        <v>0</v>
      </c>
      <c r="BM137" s="47">
        <f>RawData!BV869</f>
        <v>0</v>
      </c>
      <c r="BN137" s="65">
        <f>RawData!CC869</f>
        <v>0</v>
      </c>
      <c r="BO137" s="66">
        <f>RawData!CD869</f>
        <v>0</v>
      </c>
      <c r="BQ137" s="21">
        <f t="shared" si="2"/>
        <v>0</v>
      </c>
    </row>
    <row r="138" spans="1:69" x14ac:dyDescent="0.2">
      <c r="A138" s="59">
        <f>RawData!P870</f>
        <v>0</v>
      </c>
      <c r="B138" s="44">
        <f>RawData!Q870</f>
        <v>0</v>
      </c>
      <c r="C138" s="44">
        <f>RawData!R870</f>
        <v>0</v>
      </c>
      <c r="D138" s="63">
        <f>RawData!S870</f>
        <v>0</v>
      </c>
      <c r="E138" s="44">
        <f>RawData!T870</f>
        <v>0</v>
      </c>
      <c r="F138" s="63">
        <f>RawData!U870</f>
        <v>0</v>
      </c>
      <c r="G138" s="44">
        <f>RawData!V870</f>
        <v>0</v>
      </c>
      <c r="H138" s="44">
        <f>RawData!W870</f>
        <v>0</v>
      </c>
      <c r="I138" s="44">
        <f>RawData!X870</f>
        <v>0</v>
      </c>
      <c r="J138" s="44">
        <f>RawData!Y870</f>
        <v>0</v>
      </c>
      <c r="K138" s="40">
        <f>RawData!Z870</f>
        <v>0</v>
      </c>
      <c r="L138" s="40">
        <f>RawData!AA870</f>
        <v>0</v>
      </c>
      <c r="M138" s="36">
        <f>RawData!AB870</f>
        <v>0</v>
      </c>
      <c r="N138" s="36">
        <f>RawData!AC870</f>
        <v>0</v>
      </c>
      <c r="O138" s="37">
        <f>RawData!AD870</f>
        <v>0</v>
      </c>
      <c r="P138" s="38">
        <f>RawData!AE870</f>
        <v>0</v>
      </c>
      <c r="Q138" s="39">
        <f>RawData!AF870</f>
        <v>0</v>
      </c>
      <c r="R138" s="38">
        <f>RawData!AG870</f>
        <v>0</v>
      </c>
      <c r="S138" s="40">
        <f>RawData!AH870</f>
        <v>0</v>
      </c>
      <c r="T138" s="40">
        <f>RawData!AI870</f>
        <v>0</v>
      </c>
      <c r="U138" s="40">
        <f>RawData!AJ870</f>
        <v>0</v>
      </c>
      <c r="V138" s="41">
        <f>RawData!AK870</f>
        <v>0</v>
      </c>
      <c r="W138" s="41">
        <f>RawData!AL870</f>
        <v>0</v>
      </c>
      <c r="X138" s="43">
        <f>RawData!CA870</f>
        <v>0</v>
      </c>
      <c r="Y138" s="41">
        <f>RawData!AM870</f>
        <v>0</v>
      </c>
      <c r="Z138" s="44">
        <f>RawData!CB870</f>
        <v>0</v>
      </c>
      <c r="AA138" s="44">
        <f>RawData!AN870</f>
        <v>0</v>
      </c>
      <c r="AB138" s="44">
        <f>RawData!AO870</f>
        <v>0</v>
      </c>
      <c r="AC138" s="44">
        <f>RawData!AP870</f>
        <v>0</v>
      </c>
      <c r="AD138" s="63">
        <f>RawData!BZ870</f>
        <v>0</v>
      </c>
      <c r="AE138" s="44">
        <f>RawData!AQ870</f>
        <v>0</v>
      </c>
      <c r="AF138" s="46">
        <f>RawData!O870</f>
        <v>0</v>
      </c>
      <c r="AG138" s="44">
        <f>RawData!AR870</f>
        <v>0</v>
      </c>
      <c r="AH138" s="44">
        <f>RawData!BY870</f>
        <v>0</v>
      </c>
      <c r="AI138" s="44">
        <f>RawData!AS870</f>
        <v>0</v>
      </c>
      <c r="AJ138" s="44">
        <f>RawData!AT870</f>
        <v>0</v>
      </c>
      <c r="AK138" s="44">
        <f>RawData!AU870</f>
        <v>0</v>
      </c>
      <c r="AL138" s="44">
        <f>RawData!BW870</f>
        <v>0</v>
      </c>
      <c r="AM138" s="41">
        <f>RawData!AV870</f>
        <v>0</v>
      </c>
      <c r="AN138" s="41">
        <f>RawData!BX870</f>
        <v>0</v>
      </c>
      <c r="AO138" s="41">
        <f>RawData!AW870</f>
        <v>0</v>
      </c>
      <c r="AP138" s="41">
        <f>RawData!AX870</f>
        <v>0</v>
      </c>
      <c r="AQ138" s="40">
        <f>RawData!AY870</f>
        <v>0</v>
      </c>
      <c r="AR138" s="40">
        <f>RawData!AZ870</f>
        <v>0</v>
      </c>
      <c r="AS138" s="40">
        <f>RawData!BA870</f>
        <v>0</v>
      </c>
      <c r="AT138" s="38">
        <f>RawData!BB870</f>
        <v>0</v>
      </c>
      <c r="AU138" s="40">
        <f>RawData!BC870</f>
        <v>0</v>
      </c>
      <c r="AV138" s="40">
        <f>RawData!BD870</f>
        <v>0</v>
      </c>
      <c r="AW138" s="38">
        <f>RawData!BE870</f>
        <v>0</v>
      </c>
      <c r="AX138" s="37">
        <f>RawData!BF870</f>
        <v>0</v>
      </c>
      <c r="AY138" s="36">
        <f>RawData!BG870</f>
        <v>0</v>
      </c>
      <c r="AZ138" s="36">
        <f>RawData!BH870</f>
        <v>0</v>
      </c>
      <c r="BA138" s="40">
        <f>RawData!BI870</f>
        <v>0</v>
      </c>
      <c r="BB138" s="44">
        <f>RawData!BJ870</f>
        <v>0</v>
      </c>
      <c r="BC138" s="44">
        <f>RawData!BK870</f>
        <v>0</v>
      </c>
      <c r="BD138" s="44">
        <f>RawData!BL870</f>
        <v>0</v>
      </c>
      <c r="BE138" s="44">
        <f>RawData!BM870</f>
        <v>0</v>
      </c>
      <c r="BF138" s="44">
        <f>RawData!BN870</f>
        <v>0</v>
      </c>
      <c r="BG138" s="63">
        <f>RawData!BO870</f>
        <v>0</v>
      </c>
      <c r="BH138" s="44">
        <f>RawData!BP870</f>
        <v>0</v>
      </c>
      <c r="BI138" s="63">
        <f>RawData!BQ870</f>
        <v>0</v>
      </c>
      <c r="BJ138" s="44">
        <f>RawData!BR870</f>
        <v>0</v>
      </c>
      <c r="BK138" s="47">
        <f>RawData!BS870</f>
        <v>0</v>
      </c>
      <c r="BL138" s="44">
        <f>RawData!BT870</f>
        <v>0</v>
      </c>
      <c r="BM138" s="47">
        <f>RawData!BV870</f>
        <v>0</v>
      </c>
      <c r="BN138" s="65">
        <f>RawData!CC870</f>
        <v>0</v>
      </c>
      <c r="BO138" s="66">
        <f>RawData!CD870</f>
        <v>0</v>
      </c>
      <c r="BQ138" s="21">
        <f t="shared" si="2"/>
        <v>0</v>
      </c>
    </row>
    <row r="139" spans="1:69" x14ac:dyDescent="0.2">
      <c r="A139" s="59">
        <f>RawData!P871</f>
        <v>0</v>
      </c>
      <c r="B139" s="44">
        <f>RawData!Q871</f>
        <v>0</v>
      </c>
      <c r="C139" s="44">
        <f>RawData!R871</f>
        <v>0</v>
      </c>
      <c r="D139" s="63">
        <f>RawData!S871</f>
        <v>0</v>
      </c>
      <c r="E139" s="44">
        <f>RawData!T871</f>
        <v>0</v>
      </c>
      <c r="F139" s="63">
        <f>RawData!U871</f>
        <v>0</v>
      </c>
      <c r="G139" s="44">
        <f>RawData!V871</f>
        <v>0</v>
      </c>
      <c r="H139" s="44">
        <f>RawData!W871</f>
        <v>0</v>
      </c>
      <c r="I139" s="44">
        <f>RawData!X871</f>
        <v>0</v>
      </c>
      <c r="J139" s="44">
        <f>RawData!Y871</f>
        <v>0</v>
      </c>
      <c r="K139" s="40">
        <f>RawData!Z871</f>
        <v>0</v>
      </c>
      <c r="L139" s="40">
        <f>RawData!AA871</f>
        <v>0</v>
      </c>
      <c r="M139" s="36">
        <f>RawData!AB871</f>
        <v>0</v>
      </c>
      <c r="N139" s="36">
        <f>RawData!AC871</f>
        <v>0</v>
      </c>
      <c r="O139" s="37">
        <f>RawData!AD871</f>
        <v>0</v>
      </c>
      <c r="P139" s="38">
        <f>RawData!AE871</f>
        <v>0</v>
      </c>
      <c r="Q139" s="39">
        <f>RawData!AF871</f>
        <v>0</v>
      </c>
      <c r="R139" s="38">
        <f>RawData!AG871</f>
        <v>0</v>
      </c>
      <c r="S139" s="40">
        <f>RawData!AH871</f>
        <v>0</v>
      </c>
      <c r="T139" s="40">
        <f>RawData!AI871</f>
        <v>0</v>
      </c>
      <c r="U139" s="40">
        <f>RawData!AJ871</f>
        <v>0</v>
      </c>
      <c r="V139" s="41">
        <f>RawData!AK871</f>
        <v>0</v>
      </c>
      <c r="W139" s="41">
        <f>RawData!AL871</f>
        <v>0</v>
      </c>
      <c r="X139" s="43">
        <f>RawData!CA871</f>
        <v>0</v>
      </c>
      <c r="Y139" s="41">
        <f>RawData!AM871</f>
        <v>0</v>
      </c>
      <c r="Z139" s="44">
        <f>RawData!CB871</f>
        <v>0</v>
      </c>
      <c r="AA139" s="44">
        <f>RawData!AN871</f>
        <v>0</v>
      </c>
      <c r="AB139" s="44">
        <f>RawData!AO871</f>
        <v>0</v>
      </c>
      <c r="AC139" s="44">
        <f>RawData!AP871</f>
        <v>0</v>
      </c>
      <c r="AD139" s="63">
        <f>RawData!BZ871</f>
        <v>0</v>
      </c>
      <c r="AE139" s="44">
        <f>RawData!AQ871</f>
        <v>0</v>
      </c>
      <c r="AF139" s="46">
        <f>RawData!O871</f>
        <v>0</v>
      </c>
      <c r="AG139" s="44">
        <f>RawData!AR871</f>
        <v>0</v>
      </c>
      <c r="AH139" s="44">
        <f>RawData!BY871</f>
        <v>0</v>
      </c>
      <c r="AI139" s="44">
        <f>RawData!AS871</f>
        <v>0</v>
      </c>
      <c r="AJ139" s="44">
        <f>RawData!AT871</f>
        <v>0</v>
      </c>
      <c r="AK139" s="44">
        <f>RawData!AU871</f>
        <v>0</v>
      </c>
      <c r="AL139" s="44">
        <f>RawData!BW871</f>
        <v>0</v>
      </c>
      <c r="AM139" s="41">
        <f>RawData!AV871</f>
        <v>0</v>
      </c>
      <c r="AN139" s="41">
        <f>RawData!BX871</f>
        <v>0</v>
      </c>
      <c r="AO139" s="41">
        <f>RawData!AW871</f>
        <v>0</v>
      </c>
      <c r="AP139" s="41">
        <f>RawData!AX871</f>
        <v>0</v>
      </c>
      <c r="AQ139" s="40">
        <f>RawData!AY871</f>
        <v>0</v>
      </c>
      <c r="AR139" s="40">
        <f>RawData!AZ871</f>
        <v>0</v>
      </c>
      <c r="AS139" s="40">
        <f>RawData!BA871</f>
        <v>0</v>
      </c>
      <c r="AT139" s="38">
        <f>RawData!BB871</f>
        <v>0</v>
      </c>
      <c r="AU139" s="40">
        <f>RawData!BC871</f>
        <v>0</v>
      </c>
      <c r="AV139" s="40">
        <f>RawData!BD871</f>
        <v>0</v>
      </c>
      <c r="AW139" s="38">
        <f>RawData!BE871</f>
        <v>0</v>
      </c>
      <c r="AX139" s="37">
        <f>RawData!BF871</f>
        <v>0</v>
      </c>
      <c r="AY139" s="36">
        <f>RawData!BG871</f>
        <v>0</v>
      </c>
      <c r="AZ139" s="36">
        <f>RawData!BH871</f>
        <v>0</v>
      </c>
      <c r="BA139" s="40">
        <f>RawData!BI871</f>
        <v>0</v>
      </c>
      <c r="BB139" s="44">
        <f>RawData!BJ871</f>
        <v>0</v>
      </c>
      <c r="BC139" s="44">
        <f>RawData!BK871</f>
        <v>0</v>
      </c>
      <c r="BD139" s="44">
        <f>RawData!BL871</f>
        <v>0</v>
      </c>
      <c r="BE139" s="44">
        <f>RawData!BM871</f>
        <v>0</v>
      </c>
      <c r="BF139" s="44">
        <f>RawData!BN871</f>
        <v>0</v>
      </c>
      <c r="BG139" s="63">
        <f>RawData!BO871</f>
        <v>0</v>
      </c>
      <c r="BH139" s="44">
        <f>RawData!BP871</f>
        <v>0</v>
      </c>
      <c r="BI139" s="63">
        <f>RawData!BQ871</f>
        <v>0</v>
      </c>
      <c r="BJ139" s="44">
        <f>RawData!BR871</f>
        <v>0</v>
      </c>
      <c r="BK139" s="47">
        <f>RawData!BS871</f>
        <v>0</v>
      </c>
      <c r="BL139" s="44">
        <f>RawData!BT871</f>
        <v>0</v>
      </c>
      <c r="BM139" s="47">
        <f>RawData!BV871</f>
        <v>0</v>
      </c>
      <c r="BN139" s="65">
        <f>RawData!CC871</f>
        <v>0</v>
      </c>
      <c r="BO139" s="66">
        <f>RawData!CD871</f>
        <v>0</v>
      </c>
      <c r="BQ139" s="21">
        <f t="shared" si="2"/>
        <v>0</v>
      </c>
    </row>
    <row r="140" spans="1:69" x14ac:dyDescent="0.2">
      <c r="A140" s="59">
        <f>RawData!P872</f>
        <v>0</v>
      </c>
      <c r="B140" s="44">
        <f>RawData!Q872</f>
        <v>0</v>
      </c>
      <c r="C140" s="44">
        <f>RawData!R872</f>
        <v>0</v>
      </c>
      <c r="D140" s="63">
        <f>RawData!S872</f>
        <v>0</v>
      </c>
      <c r="E140" s="44">
        <f>RawData!T872</f>
        <v>0</v>
      </c>
      <c r="F140" s="63">
        <f>RawData!U872</f>
        <v>0</v>
      </c>
      <c r="G140" s="44">
        <f>RawData!V872</f>
        <v>0</v>
      </c>
      <c r="H140" s="44">
        <f>RawData!W872</f>
        <v>0</v>
      </c>
      <c r="I140" s="44">
        <f>RawData!X872</f>
        <v>0</v>
      </c>
      <c r="J140" s="44">
        <f>RawData!Y872</f>
        <v>0</v>
      </c>
      <c r="K140" s="40">
        <f>RawData!Z872</f>
        <v>0</v>
      </c>
      <c r="L140" s="40">
        <f>RawData!AA872</f>
        <v>0</v>
      </c>
      <c r="M140" s="36">
        <f>RawData!AB872</f>
        <v>0</v>
      </c>
      <c r="N140" s="36">
        <f>RawData!AC872</f>
        <v>0</v>
      </c>
      <c r="O140" s="37">
        <f>RawData!AD872</f>
        <v>0</v>
      </c>
      <c r="P140" s="38">
        <f>RawData!AE872</f>
        <v>0</v>
      </c>
      <c r="Q140" s="39">
        <f>RawData!AF872</f>
        <v>0</v>
      </c>
      <c r="R140" s="38">
        <f>RawData!AG872</f>
        <v>0</v>
      </c>
      <c r="S140" s="40">
        <f>RawData!AH872</f>
        <v>0</v>
      </c>
      <c r="T140" s="40">
        <f>RawData!AI872</f>
        <v>0</v>
      </c>
      <c r="U140" s="40">
        <f>RawData!AJ872</f>
        <v>0</v>
      </c>
      <c r="V140" s="41">
        <f>RawData!AK872</f>
        <v>0</v>
      </c>
      <c r="W140" s="41">
        <f>RawData!AL872</f>
        <v>0</v>
      </c>
      <c r="X140" s="43">
        <f>RawData!CA872</f>
        <v>0</v>
      </c>
      <c r="Y140" s="41">
        <f>RawData!AM872</f>
        <v>0</v>
      </c>
      <c r="Z140" s="44">
        <f>RawData!CB872</f>
        <v>0</v>
      </c>
      <c r="AA140" s="44">
        <f>RawData!AN872</f>
        <v>0</v>
      </c>
      <c r="AB140" s="44">
        <f>RawData!AO872</f>
        <v>0</v>
      </c>
      <c r="AC140" s="44">
        <f>RawData!AP872</f>
        <v>0</v>
      </c>
      <c r="AD140" s="63">
        <f>RawData!BZ872</f>
        <v>0</v>
      </c>
      <c r="AE140" s="44">
        <f>RawData!AQ872</f>
        <v>0</v>
      </c>
      <c r="AF140" s="46">
        <f>RawData!O872</f>
        <v>0</v>
      </c>
      <c r="AG140" s="44">
        <f>RawData!AR872</f>
        <v>0</v>
      </c>
      <c r="AH140" s="44">
        <f>RawData!BY872</f>
        <v>0</v>
      </c>
      <c r="AI140" s="44">
        <f>RawData!AS872</f>
        <v>0</v>
      </c>
      <c r="AJ140" s="44">
        <f>RawData!AT872</f>
        <v>0</v>
      </c>
      <c r="AK140" s="44">
        <f>RawData!AU872</f>
        <v>0</v>
      </c>
      <c r="AL140" s="44">
        <f>RawData!BW872</f>
        <v>0</v>
      </c>
      <c r="AM140" s="41">
        <f>RawData!AV872</f>
        <v>0</v>
      </c>
      <c r="AN140" s="41">
        <f>RawData!BX872</f>
        <v>0</v>
      </c>
      <c r="AO140" s="41">
        <f>RawData!AW872</f>
        <v>0</v>
      </c>
      <c r="AP140" s="41">
        <f>RawData!AX872</f>
        <v>0</v>
      </c>
      <c r="AQ140" s="40">
        <f>RawData!AY872</f>
        <v>0</v>
      </c>
      <c r="AR140" s="40">
        <f>RawData!AZ872</f>
        <v>0</v>
      </c>
      <c r="AS140" s="40">
        <f>RawData!BA872</f>
        <v>0</v>
      </c>
      <c r="AT140" s="38">
        <f>RawData!BB872</f>
        <v>0</v>
      </c>
      <c r="AU140" s="40">
        <f>RawData!BC872</f>
        <v>0</v>
      </c>
      <c r="AV140" s="40">
        <f>RawData!BD872</f>
        <v>0</v>
      </c>
      <c r="AW140" s="38">
        <f>RawData!BE872</f>
        <v>0</v>
      </c>
      <c r="AX140" s="37">
        <f>RawData!BF872</f>
        <v>0</v>
      </c>
      <c r="AY140" s="36">
        <f>RawData!BG872</f>
        <v>0</v>
      </c>
      <c r="AZ140" s="36">
        <f>RawData!BH872</f>
        <v>0</v>
      </c>
      <c r="BA140" s="40">
        <f>RawData!BI872</f>
        <v>0</v>
      </c>
      <c r="BB140" s="44">
        <f>RawData!BJ872</f>
        <v>0</v>
      </c>
      <c r="BC140" s="44">
        <f>RawData!BK872</f>
        <v>0</v>
      </c>
      <c r="BD140" s="44">
        <f>RawData!BL872</f>
        <v>0</v>
      </c>
      <c r="BE140" s="44">
        <f>RawData!BM872</f>
        <v>0</v>
      </c>
      <c r="BF140" s="44">
        <f>RawData!BN872</f>
        <v>0</v>
      </c>
      <c r="BG140" s="63">
        <f>RawData!BO872</f>
        <v>0</v>
      </c>
      <c r="BH140" s="44">
        <f>RawData!BP872</f>
        <v>0</v>
      </c>
      <c r="BI140" s="63">
        <f>RawData!BQ872</f>
        <v>0</v>
      </c>
      <c r="BJ140" s="44">
        <f>RawData!BR872</f>
        <v>0</v>
      </c>
      <c r="BK140" s="47">
        <f>RawData!BS872</f>
        <v>0</v>
      </c>
      <c r="BL140" s="44">
        <f>RawData!BT872</f>
        <v>0</v>
      </c>
      <c r="BM140" s="47">
        <f>RawData!BV872</f>
        <v>0</v>
      </c>
      <c r="BN140" s="65">
        <f>RawData!CC872</f>
        <v>0</v>
      </c>
      <c r="BO140" s="66">
        <f>RawData!CD872</f>
        <v>0</v>
      </c>
      <c r="BQ140" s="21">
        <f t="shared" si="2"/>
        <v>0</v>
      </c>
    </row>
    <row r="141" spans="1:69" x14ac:dyDescent="0.2">
      <c r="A141" s="59">
        <f>RawData!P873</f>
        <v>0</v>
      </c>
      <c r="B141" s="44">
        <f>RawData!Q873</f>
        <v>0</v>
      </c>
      <c r="C141" s="44">
        <f>RawData!R873</f>
        <v>0</v>
      </c>
      <c r="D141" s="63">
        <f>RawData!S873</f>
        <v>0</v>
      </c>
      <c r="E141" s="44">
        <f>RawData!T873</f>
        <v>0</v>
      </c>
      <c r="F141" s="63">
        <f>RawData!U873</f>
        <v>0</v>
      </c>
      <c r="G141" s="44">
        <f>RawData!V873</f>
        <v>0</v>
      </c>
      <c r="H141" s="44">
        <f>RawData!W873</f>
        <v>0</v>
      </c>
      <c r="I141" s="44">
        <f>RawData!X873</f>
        <v>0</v>
      </c>
      <c r="J141" s="44">
        <f>RawData!Y873</f>
        <v>0</v>
      </c>
      <c r="K141" s="40">
        <f>RawData!Z873</f>
        <v>0</v>
      </c>
      <c r="L141" s="40">
        <f>RawData!AA873</f>
        <v>0</v>
      </c>
      <c r="M141" s="36">
        <f>RawData!AB873</f>
        <v>0</v>
      </c>
      <c r="N141" s="36">
        <f>RawData!AC873</f>
        <v>0</v>
      </c>
      <c r="O141" s="37">
        <f>RawData!AD873</f>
        <v>0</v>
      </c>
      <c r="P141" s="38">
        <f>RawData!AE873</f>
        <v>0</v>
      </c>
      <c r="Q141" s="39">
        <f>RawData!AF873</f>
        <v>0</v>
      </c>
      <c r="R141" s="38">
        <f>RawData!AG873</f>
        <v>0</v>
      </c>
      <c r="S141" s="40">
        <f>RawData!AH873</f>
        <v>0</v>
      </c>
      <c r="T141" s="40">
        <f>RawData!AI873</f>
        <v>0</v>
      </c>
      <c r="U141" s="40">
        <f>RawData!AJ873</f>
        <v>0</v>
      </c>
      <c r="V141" s="41">
        <f>RawData!AK873</f>
        <v>0</v>
      </c>
      <c r="W141" s="41">
        <f>RawData!AL873</f>
        <v>0</v>
      </c>
      <c r="X141" s="43">
        <f>RawData!CA873</f>
        <v>0</v>
      </c>
      <c r="Y141" s="41">
        <f>RawData!AM873</f>
        <v>0</v>
      </c>
      <c r="Z141" s="44">
        <f>RawData!CB873</f>
        <v>0</v>
      </c>
      <c r="AA141" s="44">
        <f>RawData!AN873</f>
        <v>0</v>
      </c>
      <c r="AB141" s="44">
        <f>RawData!AO873</f>
        <v>0</v>
      </c>
      <c r="AC141" s="44">
        <f>RawData!AP873</f>
        <v>0</v>
      </c>
      <c r="AD141" s="63">
        <f>RawData!BZ873</f>
        <v>0</v>
      </c>
      <c r="AE141" s="44">
        <f>RawData!AQ873</f>
        <v>0</v>
      </c>
      <c r="AF141" s="46">
        <f>RawData!O873</f>
        <v>0</v>
      </c>
      <c r="AG141" s="44">
        <f>RawData!AR873</f>
        <v>0</v>
      </c>
      <c r="AH141" s="44">
        <f>RawData!BY873</f>
        <v>0</v>
      </c>
      <c r="AI141" s="44">
        <f>RawData!AS873</f>
        <v>0</v>
      </c>
      <c r="AJ141" s="44">
        <f>RawData!AT873</f>
        <v>0</v>
      </c>
      <c r="AK141" s="44">
        <f>RawData!AU873</f>
        <v>0</v>
      </c>
      <c r="AL141" s="44">
        <f>RawData!BW873</f>
        <v>0</v>
      </c>
      <c r="AM141" s="41">
        <f>RawData!AV873</f>
        <v>0</v>
      </c>
      <c r="AN141" s="41">
        <f>RawData!BX873</f>
        <v>0</v>
      </c>
      <c r="AO141" s="41">
        <f>RawData!AW873</f>
        <v>0</v>
      </c>
      <c r="AP141" s="41">
        <f>RawData!AX873</f>
        <v>0</v>
      </c>
      <c r="AQ141" s="40">
        <f>RawData!AY873</f>
        <v>0</v>
      </c>
      <c r="AR141" s="40">
        <f>RawData!AZ873</f>
        <v>0</v>
      </c>
      <c r="AS141" s="40">
        <f>RawData!BA873</f>
        <v>0</v>
      </c>
      <c r="AT141" s="38">
        <f>RawData!BB873</f>
        <v>0</v>
      </c>
      <c r="AU141" s="40">
        <f>RawData!BC873</f>
        <v>0</v>
      </c>
      <c r="AV141" s="40">
        <f>RawData!BD873</f>
        <v>0</v>
      </c>
      <c r="AW141" s="38">
        <f>RawData!BE873</f>
        <v>0</v>
      </c>
      <c r="AX141" s="37">
        <f>RawData!BF873</f>
        <v>0</v>
      </c>
      <c r="AY141" s="36">
        <f>RawData!BG873</f>
        <v>0</v>
      </c>
      <c r="AZ141" s="36">
        <f>RawData!BH873</f>
        <v>0</v>
      </c>
      <c r="BA141" s="40">
        <f>RawData!BI873</f>
        <v>0</v>
      </c>
      <c r="BB141" s="44">
        <f>RawData!BJ873</f>
        <v>0</v>
      </c>
      <c r="BC141" s="44">
        <f>RawData!BK873</f>
        <v>0</v>
      </c>
      <c r="BD141" s="44">
        <f>RawData!BL873</f>
        <v>0</v>
      </c>
      <c r="BE141" s="44">
        <f>RawData!BM873</f>
        <v>0</v>
      </c>
      <c r="BF141" s="44">
        <f>RawData!BN873</f>
        <v>0</v>
      </c>
      <c r="BG141" s="63">
        <f>RawData!BO873</f>
        <v>0</v>
      </c>
      <c r="BH141" s="44">
        <f>RawData!BP873</f>
        <v>0</v>
      </c>
      <c r="BI141" s="63">
        <f>RawData!BQ873</f>
        <v>0</v>
      </c>
      <c r="BJ141" s="44">
        <f>RawData!BR873</f>
        <v>0</v>
      </c>
      <c r="BK141" s="47">
        <f>RawData!BS873</f>
        <v>0</v>
      </c>
      <c r="BL141" s="44">
        <f>RawData!BT873</f>
        <v>0</v>
      </c>
      <c r="BM141" s="47">
        <f>RawData!BV873</f>
        <v>0</v>
      </c>
      <c r="BN141" s="65">
        <f>RawData!CC873</f>
        <v>0</v>
      </c>
      <c r="BO141" s="66">
        <f>RawData!CD873</f>
        <v>0</v>
      </c>
      <c r="BQ141" s="21">
        <f t="shared" si="2"/>
        <v>0</v>
      </c>
    </row>
    <row r="142" spans="1:69" x14ac:dyDescent="0.2">
      <c r="A142" s="59">
        <f>RawData!P874</f>
        <v>0</v>
      </c>
      <c r="B142" s="44">
        <f>RawData!Q874</f>
        <v>0</v>
      </c>
      <c r="C142" s="44">
        <f>RawData!R874</f>
        <v>0</v>
      </c>
      <c r="D142" s="63">
        <f>RawData!S874</f>
        <v>0</v>
      </c>
      <c r="E142" s="44">
        <f>RawData!T874</f>
        <v>0</v>
      </c>
      <c r="F142" s="63">
        <f>RawData!U874</f>
        <v>0</v>
      </c>
      <c r="G142" s="44">
        <f>RawData!V874</f>
        <v>0</v>
      </c>
      <c r="H142" s="44">
        <f>RawData!W874</f>
        <v>0</v>
      </c>
      <c r="I142" s="44">
        <f>RawData!X874</f>
        <v>0</v>
      </c>
      <c r="J142" s="44">
        <f>RawData!Y874</f>
        <v>0</v>
      </c>
      <c r="K142" s="40">
        <f>RawData!Z874</f>
        <v>0</v>
      </c>
      <c r="L142" s="40">
        <f>RawData!AA874</f>
        <v>0</v>
      </c>
      <c r="M142" s="36">
        <f>RawData!AB874</f>
        <v>0</v>
      </c>
      <c r="N142" s="36">
        <f>RawData!AC874</f>
        <v>0</v>
      </c>
      <c r="O142" s="37">
        <f>RawData!AD874</f>
        <v>0</v>
      </c>
      <c r="P142" s="38">
        <f>RawData!AE874</f>
        <v>0</v>
      </c>
      <c r="Q142" s="39">
        <f>RawData!AF874</f>
        <v>0</v>
      </c>
      <c r="R142" s="38">
        <f>RawData!AG874</f>
        <v>0</v>
      </c>
      <c r="S142" s="40">
        <f>RawData!AH874</f>
        <v>0</v>
      </c>
      <c r="T142" s="40">
        <f>RawData!AI874</f>
        <v>0</v>
      </c>
      <c r="U142" s="40">
        <f>RawData!AJ874</f>
        <v>0</v>
      </c>
      <c r="V142" s="41">
        <f>RawData!AK874</f>
        <v>0</v>
      </c>
      <c r="W142" s="41">
        <f>RawData!AL874</f>
        <v>0</v>
      </c>
      <c r="X142" s="43">
        <f>RawData!CA874</f>
        <v>0</v>
      </c>
      <c r="Y142" s="41">
        <f>RawData!AM874</f>
        <v>0</v>
      </c>
      <c r="Z142" s="44">
        <f>RawData!CB874</f>
        <v>0</v>
      </c>
      <c r="AA142" s="44">
        <f>RawData!AN874</f>
        <v>0</v>
      </c>
      <c r="AB142" s="44">
        <f>RawData!AO874</f>
        <v>0</v>
      </c>
      <c r="AC142" s="44">
        <f>RawData!AP874</f>
        <v>0</v>
      </c>
      <c r="AD142" s="63">
        <f>RawData!BZ874</f>
        <v>0</v>
      </c>
      <c r="AE142" s="44">
        <f>RawData!AQ874</f>
        <v>0</v>
      </c>
      <c r="AF142" s="46">
        <f>RawData!O874</f>
        <v>0</v>
      </c>
      <c r="AG142" s="44">
        <f>RawData!AR874</f>
        <v>0</v>
      </c>
      <c r="AH142" s="44">
        <f>RawData!BY874</f>
        <v>0</v>
      </c>
      <c r="AI142" s="44">
        <f>RawData!AS874</f>
        <v>0</v>
      </c>
      <c r="AJ142" s="44">
        <f>RawData!AT874</f>
        <v>0</v>
      </c>
      <c r="AK142" s="44">
        <f>RawData!AU874</f>
        <v>0</v>
      </c>
      <c r="AL142" s="44">
        <f>RawData!BW874</f>
        <v>0</v>
      </c>
      <c r="AM142" s="41">
        <f>RawData!AV874</f>
        <v>0</v>
      </c>
      <c r="AN142" s="41">
        <f>RawData!BX874</f>
        <v>0</v>
      </c>
      <c r="AO142" s="41">
        <f>RawData!AW874</f>
        <v>0</v>
      </c>
      <c r="AP142" s="41">
        <f>RawData!AX874</f>
        <v>0</v>
      </c>
      <c r="AQ142" s="40">
        <f>RawData!AY874</f>
        <v>0</v>
      </c>
      <c r="AR142" s="40">
        <f>RawData!AZ874</f>
        <v>0</v>
      </c>
      <c r="AS142" s="40">
        <f>RawData!BA874</f>
        <v>0</v>
      </c>
      <c r="AT142" s="38">
        <f>RawData!BB874</f>
        <v>0</v>
      </c>
      <c r="AU142" s="40">
        <f>RawData!BC874</f>
        <v>0</v>
      </c>
      <c r="AV142" s="40">
        <f>RawData!BD874</f>
        <v>0</v>
      </c>
      <c r="AW142" s="38">
        <f>RawData!BE874</f>
        <v>0</v>
      </c>
      <c r="AX142" s="37">
        <f>RawData!BF874</f>
        <v>0</v>
      </c>
      <c r="AY142" s="36">
        <f>RawData!BG874</f>
        <v>0</v>
      </c>
      <c r="AZ142" s="36">
        <f>RawData!BH874</f>
        <v>0</v>
      </c>
      <c r="BA142" s="40">
        <f>RawData!BI874</f>
        <v>0</v>
      </c>
      <c r="BB142" s="44">
        <f>RawData!BJ874</f>
        <v>0</v>
      </c>
      <c r="BC142" s="44">
        <f>RawData!BK874</f>
        <v>0</v>
      </c>
      <c r="BD142" s="44">
        <f>RawData!BL874</f>
        <v>0</v>
      </c>
      <c r="BE142" s="44">
        <f>RawData!BM874</f>
        <v>0</v>
      </c>
      <c r="BF142" s="44">
        <f>RawData!BN874</f>
        <v>0</v>
      </c>
      <c r="BG142" s="63">
        <f>RawData!BO874</f>
        <v>0</v>
      </c>
      <c r="BH142" s="44">
        <f>RawData!BP874</f>
        <v>0</v>
      </c>
      <c r="BI142" s="63">
        <f>RawData!BQ874</f>
        <v>0</v>
      </c>
      <c r="BJ142" s="44">
        <f>RawData!BR874</f>
        <v>0</v>
      </c>
      <c r="BK142" s="47">
        <f>RawData!BS874</f>
        <v>0</v>
      </c>
      <c r="BL142" s="44">
        <f>RawData!BT874</f>
        <v>0</v>
      </c>
      <c r="BM142" s="47">
        <f>RawData!BV874</f>
        <v>0</v>
      </c>
      <c r="BN142" s="65">
        <f>RawData!CC874</f>
        <v>0</v>
      </c>
      <c r="BO142" s="66">
        <f>RawData!CD874</f>
        <v>0</v>
      </c>
      <c r="BQ142" s="21">
        <f t="shared" si="2"/>
        <v>0</v>
      </c>
    </row>
    <row r="143" spans="1:69" x14ac:dyDescent="0.2">
      <c r="A143" s="59">
        <f>RawData!P875</f>
        <v>0</v>
      </c>
      <c r="B143" s="44">
        <f>RawData!Q875</f>
        <v>0</v>
      </c>
      <c r="C143" s="44">
        <f>RawData!R875</f>
        <v>0</v>
      </c>
      <c r="D143" s="63">
        <f>RawData!S875</f>
        <v>0</v>
      </c>
      <c r="E143" s="44">
        <f>RawData!T875</f>
        <v>0</v>
      </c>
      <c r="F143" s="63">
        <f>RawData!U875</f>
        <v>0</v>
      </c>
      <c r="G143" s="44">
        <f>RawData!V875</f>
        <v>0</v>
      </c>
      <c r="H143" s="44">
        <f>RawData!W875</f>
        <v>0</v>
      </c>
      <c r="I143" s="44">
        <f>RawData!X875</f>
        <v>0</v>
      </c>
      <c r="J143" s="44">
        <f>RawData!Y875</f>
        <v>0</v>
      </c>
      <c r="K143" s="40">
        <f>RawData!Z875</f>
        <v>0</v>
      </c>
      <c r="L143" s="40">
        <f>RawData!AA875</f>
        <v>0</v>
      </c>
      <c r="M143" s="36">
        <f>RawData!AB875</f>
        <v>0</v>
      </c>
      <c r="N143" s="36">
        <f>RawData!AC875</f>
        <v>0</v>
      </c>
      <c r="O143" s="37">
        <f>RawData!AD875</f>
        <v>0</v>
      </c>
      <c r="P143" s="38">
        <f>RawData!AE875</f>
        <v>0</v>
      </c>
      <c r="Q143" s="39">
        <f>RawData!AF875</f>
        <v>0</v>
      </c>
      <c r="R143" s="38">
        <f>RawData!AG875</f>
        <v>0</v>
      </c>
      <c r="S143" s="40">
        <f>RawData!AH875</f>
        <v>0</v>
      </c>
      <c r="T143" s="40">
        <f>RawData!AI875</f>
        <v>0</v>
      </c>
      <c r="U143" s="40">
        <f>RawData!AJ875</f>
        <v>0</v>
      </c>
      <c r="V143" s="41">
        <f>RawData!AK875</f>
        <v>0</v>
      </c>
      <c r="W143" s="41">
        <f>RawData!AL875</f>
        <v>0</v>
      </c>
      <c r="X143" s="43">
        <f>RawData!CA875</f>
        <v>0</v>
      </c>
      <c r="Y143" s="41">
        <f>RawData!AM875</f>
        <v>0</v>
      </c>
      <c r="Z143" s="44">
        <f>RawData!CB875</f>
        <v>0</v>
      </c>
      <c r="AA143" s="44">
        <f>RawData!AN875</f>
        <v>0</v>
      </c>
      <c r="AB143" s="44">
        <f>RawData!AO875</f>
        <v>0</v>
      </c>
      <c r="AC143" s="44">
        <f>RawData!AP875</f>
        <v>0</v>
      </c>
      <c r="AD143" s="63">
        <f>RawData!BZ875</f>
        <v>0</v>
      </c>
      <c r="AE143" s="44">
        <f>RawData!AQ875</f>
        <v>0</v>
      </c>
      <c r="AF143" s="46">
        <f>RawData!O875</f>
        <v>0</v>
      </c>
      <c r="AG143" s="44">
        <f>RawData!AR875</f>
        <v>0</v>
      </c>
      <c r="AH143" s="44">
        <f>RawData!BY875</f>
        <v>0</v>
      </c>
      <c r="AI143" s="44">
        <f>RawData!AS875</f>
        <v>0</v>
      </c>
      <c r="AJ143" s="44">
        <f>RawData!AT875</f>
        <v>0</v>
      </c>
      <c r="AK143" s="44">
        <f>RawData!AU875</f>
        <v>0</v>
      </c>
      <c r="AL143" s="44">
        <f>RawData!BW875</f>
        <v>0</v>
      </c>
      <c r="AM143" s="41">
        <f>RawData!AV875</f>
        <v>0</v>
      </c>
      <c r="AN143" s="41">
        <f>RawData!BX875</f>
        <v>0</v>
      </c>
      <c r="AO143" s="41">
        <f>RawData!AW875</f>
        <v>0</v>
      </c>
      <c r="AP143" s="41">
        <f>RawData!AX875</f>
        <v>0</v>
      </c>
      <c r="AQ143" s="40">
        <f>RawData!AY875</f>
        <v>0</v>
      </c>
      <c r="AR143" s="40">
        <f>RawData!AZ875</f>
        <v>0</v>
      </c>
      <c r="AS143" s="40">
        <f>RawData!BA875</f>
        <v>0</v>
      </c>
      <c r="AT143" s="38">
        <f>RawData!BB875</f>
        <v>0</v>
      </c>
      <c r="AU143" s="40">
        <f>RawData!BC875</f>
        <v>0</v>
      </c>
      <c r="AV143" s="40">
        <f>RawData!BD875</f>
        <v>0</v>
      </c>
      <c r="AW143" s="38">
        <f>RawData!BE875</f>
        <v>0</v>
      </c>
      <c r="AX143" s="37">
        <f>RawData!BF875</f>
        <v>0</v>
      </c>
      <c r="AY143" s="36">
        <f>RawData!BG875</f>
        <v>0</v>
      </c>
      <c r="AZ143" s="36">
        <f>RawData!BH875</f>
        <v>0</v>
      </c>
      <c r="BA143" s="40">
        <f>RawData!BI875</f>
        <v>0</v>
      </c>
      <c r="BB143" s="44">
        <f>RawData!BJ875</f>
        <v>0</v>
      </c>
      <c r="BC143" s="44">
        <f>RawData!BK875</f>
        <v>0</v>
      </c>
      <c r="BD143" s="44">
        <f>RawData!BL875</f>
        <v>0</v>
      </c>
      <c r="BE143" s="44">
        <f>RawData!BM875</f>
        <v>0</v>
      </c>
      <c r="BF143" s="44">
        <f>RawData!BN875</f>
        <v>0</v>
      </c>
      <c r="BG143" s="63">
        <f>RawData!BO875</f>
        <v>0</v>
      </c>
      <c r="BH143" s="44">
        <f>RawData!BP875</f>
        <v>0</v>
      </c>
      <c r="BI143" s="63">
        <f>RawData!BQ875</f>
        <v>0</v>
      </c>
      <c r="BJ143" s="44">
        <f>RawData!BR875</f>
        <v>0</v>
      </c>
      <c r="BK143" s="47">
        <f>RawData!BS875</f>
        <v>0</v>
      </c>
      <c r="BL143" s="44">
        <f>RawData!BT875</f>
        <v>0</v>
      </c>
      <c r="BM143" s="47">
        <f>RawData!BV875</f>
        <v>0</v>
      </c>
      <c r="BN143" s="65">
        <f>RawData!CC875</f>
        <v>0</v>
      </c>
      <c r="BO143" s="66">
        <f>RawData!CD875</f>
        <v>0</v>
      </c>
      <c r="BQ143" s="21">
        <f t="shared" si="2"/>
        <v>0</v>
      </c>
    </row>
    <row r="144" spans="1:69" x14ac:dyDescent="0.2">
      <c r="A144" s="59">
        <f>RawData!P876</f>
        <v>0</v>
      </c>
      <c r="B144" s="44">
        <f>RawData!Q876</f>
        <v>0</v>
      </c>
      <c r="C144" s="44">
        <f>RawData!R876</f>
        <v>0</v>
      </c>
      <c r="D144" s="63">
        <f>RawData!S876</f>
        <v>0</v>
      </c>
      <c r="E144" s="44">
        <f>RawData!T876</f>
        <v>0</v>
      </c>
      <c r="F144" s="63">
        <f>RawData!U876</f>
        <v>0</v>
      </c>
      <c r="G144" s="44">
        <f>RawData!V876</f>
        <v>0</v>
      </c>
      <c r="H144" s="44">
        <f>RawData!W876</f>
        <v>0</v>
      </c>
      <c r="I144" s="44">
        <f>RawData!X876</f>
        <v>0</v>
      </c>
      <c r="J144" s="44">
        <f>RawData!Y876</f>
        <v>0</v>
      </c>
      <c r="K144" s="40">
        <f>RawData!Z876</f>
        <v>0</v>
      </c>
      <c r="L144" s="40">
        <f>RawData!AA876</f>
        <v>0</v>
      </c>
      <c r="M144" s="36">
        <f>RawData!AB876</f>
        <v>0</v>
      </c>
      <c r="N144" s="36">
        <f>RawData!AC876</f>
        <v>0</v>
      </c>
      <c r="O144" s="37">
        <f>RawData!AD876</f>
        <v>0</v>
      </c>
      <c r="P144" s="38">
        <f>RawData!AE876</f>
        <v>0</v>
      </c>
      <c r="Q144" s="39">
        <f>RawData!AF876</f>
        <v>0</v>
      </c>
      <c r="R144" s="38">
        <f>RawData!AG876</f>
        <v>0</v>
      </c>
      <c r="S144" s="40">
        <f>RawData!AH876</f>
        <v>0</v>
      </c>
      <c r="T144" s="40">
        <f>RawData!AI876</f>
        <v>0</v>
      </c>
      <c r="U144" s="40">
        <f>RawData!AJ876</f>
        <v>0</v>
      </c>
      <c r="V144" s="41">
        <f>RawData!AK876</f>
        <v>0</v>
      </c>
      <c r="W144" s="41">
        <f>RawData!AL876</f>
        <v>0</v>
      </c>
      <c r="X144" s="43">
        <f>RawData!CA876</f>
        <v>0</v>
      </c>
      <c r="Y144" s="41">
        <f>RawData!AM876</f>
        <v>0</v>
      </c>
      <c r="Z144" s="44">
        <f>RawData!CB876</f>
        <v>0</v>
      </c>
      <c r="AA144" s="44">
        <f>RawData!AN876</f>
        <v>0</v>
      </c>
      <c r="AB144" s="44">
        <f>RawData!AO876</f>
        <v>0</v>
      </c>
      <c r="AC144" s="44">
        <f>RawData!AP876</f>
        <v>0</v>
      </c>
      <c r="AD144" s="63">
        <f>RawData!BZ876</f>
        <v>0</v>
      </c>
      <c r="AE144" s="44">
        <f>RawData!AQ876</f>
        <v>0</v>
      </c>
      <c r="AF144" s="46">
        <f>RawData!O876</f>
        <v>0</v>
      </c>
      <c r="AG144" s="44">
        <f>RawData!AR876</f>
        <v>0</v>
      </c>
      <c r="AH144" s="44">
        <f>RawData!BY876</f>
        <v>0</v>
      </c>
      <c r="AI144" s="44">
        <f>RawData!AS876</f>
        <v>0</v>
      </c>
      <c r="AJ144" s="44">
        <f>RawData!AT876</f>
        <v>0</v>
      </c>
      <c r="AK144" s="44">
        <f>RawData!AU876</f>
        <v>0</v>
      </c>
      <c r="AL144" s="44">
        <f>RawData!BW876</f>
        <v>0</v>
      </c>
      <c r="AM144" s="41">
        <f>RawData!AV876</f>
        <v>0</v>
      </c>
      <c r="AN144" s="41">
        <f>RawData!BX876</f>
        <v>0</v>
      </c>
      <c r="AO144" s="41">
        <f>RawData!AW876</f>
        <v>0</v>
      </c>
      <c r="AP144" s="41">
        <f>RawData!AX876</f>
        <v>0</v>
      </c>
      <c r="AQ144" s="40">
        <f>RawData!AY876</f>
        <v>0</v>
      </c>
      <c r="AR144" s="40">
        <f>RawData!AZ876</f>
        <v>0</v>
      </c>
      <c r="AS144" s="40">
        <f>RawData!BA876</f>
        <v>0</v>
      </c>
      <c r="AT144" s="38">
        <f>RawData!BB876</f>
        <v>0</v>
      </c>
      <c r="AU144" s="40">
        <f>RawData!BC876</f>
        <v>0</v>
      </c>
      <c r="AV144" s="40">
        <f>RawData!BD876</f>
        <v>0</v>
      </c>
      <c r="AW144" s="38">
        <f>RawData!BE876</f>
        <v>0</v>
      </c>
      <c r="AX144" s="37">
        <f>RawData!BF876</f>
        <v>0</v>
      </c>
      <c r="AY144" s="36">
        <f>RawData!BG876</f>
        <v>0</v>
      </c>
      <c r="AZ144" s="36">
        <f>RawData!BH876</f>
        <v>0</v>
      </c>
      <c r="BA144" s="40">
        <f>RawData!BI876</f>
        <v>0</v>
      </c>
      <c r="BB144" s="44">
        <f>RawData!BJ876</f>
        <v>0</v>
      </c>
      <c r="BC144" s="44">
        <f>RawData!BK876</f>
        <v>0</v>
      </c>
      <c r="BD144" s="44">
        <f>RawData!BL876</f>
        <v>0</v>
      </c>
      <c r="BE144" s="44">
        <f>RawData!BM876</f>
        <v>0</v>
      </c>
      <c r="BF144" s="44">
        <f>RawData!BN876</f>
        <v>0</v>
      </c>
      <c r="BG144" s="63">
        <f>RawData!BO876</f>
        <v>0</v>
      </c>
      <c r="BH144" s="44">
        <f>RawData!BP876</f>
        <v>0</v>
      </c>
      <c r="BI144" s="63">
        <f>RawData!BQ876</f>
        <v>0</v>
      </c>
      <c r="BJ144" s="44">
        <f>RawData!BR876</f>
        <v>0</v>
      </c>
      <c r="BK144" s="47">
        <f>RawData!BS876</f>
        <v>0</v>
      </c>
      <c r="BL144" s="44">
        <f>RawData!BT876</f>
        <v>0</v>
      </c>
      <c r="BM144" s="47">
        <f>RawData!BV876</f>
        <v>0</v>
      </c>
      <c r="BN144" s="65">
        <f>RawData!CC876</f>
        <v>0</v>
      </c>
      <c r="BO144" s="66">
        <f>RawData!CD876</f>
        <v>0</v>
      </c>
      <c r="BQ144" s="21">
        <f t="shared" si="2"/>
        <v>0</v>
      </c>
    </row>
    <row r="145" spans="1:69" x14ac:dyDescent="0.2">
      <c r="A145" s="59">
        <f>RawData!P877</f>
        <v>0</v>
      </c>
      <c r="B145" s="44">
        <f>RawData!Q877</f>
        <v>0</v>
      </c>
      <c r="C145" s="44">
        <f>RawData!R877</f>
        <v>0</v>
      </c>
      <c r="D145" s="63">
        <f>RawData!S877</f>
        <v>0</v>
      </c>
      <c r="E145" s="44">
        <f>RawData!T877</f>
        <v>0</v>
      </c>
      <c r="F145" s="63">
        <f>RawData!U877</f>
        <v>0</v>
      </c>
      <c r="G145" s="44">
        <f>RawData!V877</f>
        <v>0</v>
      </c>
      <c r="H145" s="44">
        <f>RawData!W877</f>
        <v>0</v>
      </c>
      <c r="I145" s="44">
        <f>RawData!X877</f>
        <v>0</v>
      </c>
      <c r="J145" s="44">
        <f>RawData!Y877</f>
        <v>0</v>
      </c>
      <c r="K145" s="40">
        <f>RawData!Z877</f>
        <v>0</v>
      </c>
      <c r="L145" s="40">
        <f>RawData!AA877</f>
        <v>0</v>
      </c>
      <c r="M145" s="36">
        <f>RawData!AB877</f>
        <v>0</v>
      </c>
      <c r="N145" s="36">
        <f>RawData!AC877</f>
        <v>0</v>
      </c>
      <c r="O145" s="37">
        <f>RawData!AD877</f>
        <v>0</v>
      </c>
      <c r="P145" s="38">
        <f>RawData!AE877</f>
        <v>0</v>
      </c>
      <c r="Q145" s="39">
        <f>RawData!AF877</f>
        <v>0</v>
      </c>
      <c r="R145" s="38">
        <f>RawData!AG877</f>
        <v>0</v>
      </c>
      <c r="S145" s="40">
        <f>RawData!AH877</f>
        <v>0</v>
      </c>
      <c r="T145" s="40">
        <f>RawData!AI877</f>
        <v>0</v>
      </c>
      <c r="U145" s="40">
        <f>RawData!AJ877</f>
        <v>0</v>
      </c>
      <c r="V145" s="41">
        <f>RawData!AK877</f>
        <v>0</v>
      </c>
      <c r="W145" s="41">
        <f>RawData!AL877</f>
        <v>0</v>
      </c>
      <c r="X145" s="43">
        <f>RawData!CA877</f>
        <v>0</v>
      </c>
      <c r="Y145" s="41">
        <f>RawData!AM877</f>
        <v>0</v>
      </c>
      <c r="Z145" s="44">
        <f>RawData!CB877</f>
        <v>0</v>
      </c>
      <c r="AA145" s="44">
        <f>RawData!AN877</f>
        <v>0</v>
      </c>
      <c r="AB145" s="44">
        <f>RawData!AO877</f>
        <v>0</v>
      </c>
      <c r="AC145" s="44">
        <f>RawData!AP877</f>
        <v>0</v>
      </c>
      <c r="AD145" s="63">
        <f>RawData!BZ877</f>
        <v>0</v>
      </c>
      <c r="AE145" s="44">
        <f>RawData!AQ877</f>
        <v>0</v>
      </c>
      <c r="AF145" s="46">
        <f>RawData!O877</f>
        <v>0</v>
      </c>
      <c r="AG145" s="44">
        <f>RawData!AR877</f>
        <v>0</v>
      </c>
      <c r="AH145" s="44">
        <f>RawData!BY877</f>
        <v>0</v>
      </c>
      <c r="AI145" s="44">
        <f>RawData!AS877</f>
        <v>0</v>
      </c>
      <c r="AJ145" s="44">
        <f>RawData!AT877</f>
        <v>0</v>
      </c>
      <c r="AK145" s="44">
        <f>RawData!AU877</f>
        <v>0</v>
      </c>
      <c r="AL145" s="44">
        <f>RawData!BW877</f>
        <v>0</v>
      </c>
      <c r="AM145" s="41">
        <f>RawData!AV877</f>
        <v>0</v>
      </c>
      <c r="AN145" s="41">
        <f>RawData!BX877</f>
        <v>0</v>
      </c>
      <c r="AO145" s="41">
        <f>RawData!AW877</f>
        <v>0</v>
      </c>
      <c r="AP145" s="41">
        <f>RawData!AX877</f>
        <v>0</v>
      </c>
      <c r="AQ145" s="40">
        <f>RawData!AY877</f>
        <v>0</v>
      </c>
      <c r="AR145" s="40">
        <f>RawData!AZ877</f>
        <v>0</v>
      </c>
      <c r="AS145" s="40">
        <f>RawData!BA877</f>
        <v>0</v>
      </c>
      <c r="AT145" s="38">
        <f>RawData!BB877</f>
        <v>0</v>
      </c>
      <c r="AU145" s="40">
        <f>RawData!BC877</f>
        <v>0</v>
      </c>
      <c r="AV145" s="40">
        <f>RawData!BD877</f>
        <v>0</v>
      </c>
      <c r="AW145" s="38">
        <f>RawData!BE877</f>
        <v>0</v>
      </c>
      <c r="AX145" s="37">
        <f>RawData!BF877</f>
        <v>0</v>
      </c>
      <c r="AY145" s="36">
        <f>RawData!BG877</f>
        <v>0</v>
      </c>
      <c r="AZ145" s="36">
        <f>RawData!BH877</f>
        <v>0</v>
      </c>
      <c r="BA145" s="40">
        <f>RawData!BI877</f>
        <v>0</v>
      </c>
      <c r="BB145" s="44">
        <f>RawData!BJ877</f>
        <v>0</v>
      </c>
      <c r="BC145" s="44">
        <f>RawData!BK877</f>
        <v>0</v>
      </c>
      <c r="BD145" s="44">
        <f>RawData!BL877</f>
        <v>0</v>
      </c>
      <c r="BE145" s="44">
        <f>RawData!BM877</f>
        <v>0</v>
      </c>
      <c r="BF145" s="44">
        <f>RawData!BN877</f>
        <v>0</v>
      </c>
      <c r="BG145" s="63">
        <f>RawData!BO877</f>
        <v>0</v>
      </c>
      <c r="BH145" s="44">
        <f>RawData!BP877</f>
        <v>0</v>
      </c>
      <c r="BI145" s="63">
        <f>RawData!BQ877</f>
        <v>0</v>
      </c>
      <c r="BJ145" s="44">
        <f>RawData!BR877</f>
        <v>0</v>
      </c>
      <c r="BK145" s="47">
        <f>RawData!BS877</f>
        <v>0</v>
      </c>
      <c r="BL145" s="44">
        <f>RawData!BT877</f>
        <v>0</v>
      </c>
      <c r="BM145" s="47">
        <f>RawData!BV877</f>
        <v>0</v>
      </c>
      <c r="BN145" s="65">
        <f>RawData!CC877</f>
        <v>0</v>
      </c>
      <c r="BO145" s="66">
        <f>RawData!CD877</f>
        <v>0</v>
      </c>
      <c r="BQ145" s="21">
        <f t="shared" si="2"/>
        <v>0</v>
      </c>
    </row>
    <row r="146" spans="1:69" x14ac:dyDescent="0.2">
      <c r="A146" s="59">
        <f>RawData!P878</f>
        <v>0</v>
      </c>
      <c r="B146" s="44">
        <f>RawData!Q878</f>
        <v>0</v>
      </c>
      <c r="C146" s="44">
        <f>RawData!R878</f>
        <v>0</v>
      </c>
      <c r="D146" s="63">
        <f>RawData!S878</f>
        <v>0</v>
      </c>
      <c r="E146" s="44">
        <f>RawData!T878</f>
        <v>0</v>
      </c>
      <c r="F146" s="63">
        <f>RawData!U878</f>
        <v>0</v>
      </c>
      <c r="G146" s="44">
        <f>RawData!V878</f>
        <v>0</v>
      </c>
      <c r="H146" s="44">
        <f>RawData!W878</f>
        <v>0</v>
      </c>
      <c r="I146" s="44">
        <f>RawData!X878</f>
        <v>0</v>
      </c>
      <c r="J146" s="44">
        <f>RawData!Y878</f>
        <v>0</v>
      </c>
      <c r="K146" s="40">
        <f>RawData!Z878</f>
        <v>0</v>
      </c>
      <c r="L146" s="40">
        <f>RawData!AA878</f>
        <v>0</v>
      </c>
      <c r="M146" s="36">
        <f>RawData!AB878</f>
        <v>0</v>
      </c>
      <c r="N146" s="36">
        <f>RawData!AC878</f>
        <v>0</v>
      </c>
      <c r="O146" s="37">
        <f>RawData!AD878</f>
        <v>0</v>
      </c>
      <c r="P146" s="38">
        <f>RawData!AE878</f>
        <v>0</v>
      </c>
      <c r="Q146" s="39">
        <f>RawData!AF878</f>
        <v>0</v>
      </c>
      <c r="R146" s="38">
        <f>RawData!AG878</f>
        <v>0</v>
      </c>
      <c r="S146" s="40">
        <f>RawData!AH878</f>
        <v>0</v>
      </c>
      <c r="T146" s="40">
        <f>RawData!AI878</f>
        <v>0</v>
      </c>
      <c r="U146" s="40">
        <f>RawData!AJ878</f>
        <v>0</v>
      </c>
      <c r="V146" s="41">
        <f>RawData!AK878</f>
        <v>0</v>
      </c>
      <c r="W146" s="41">
        <f>RawData!AL878</f>
        <v>0</v>
      </c>
      <c r="X146" s="43">
        <f>RawData!CA878</f>
        <v>0</v>
      </c>
      <c r="Y146" s="41">
        <f>RawData!AM878</f>
        <v>0</v>
      </c>
      <c r="Z146" s="44">
        <f>RawData!CB878</f>
        <v>0</v>
      </c>
      <c r="AA146" s="44">
        <f>RawData!AN878</f>
        <v>0</v>
      </c>
      <c r="AB146" s="44">
        <f>RawData!AO878</f>
        <v>0</v>
      </c>
      <c r="AC146" s="44">
        <f>RawData!AP878</f>
        <v>0</v>
      </c>
      <c r="AD146" s="63">
        <f>RawData!BZ878</f>
        <v>0</v>
      </c>
      <c r="AE146" s="44">
        <f>RawData!AQ878</f>
        <v>0</v>
      </c>
      <c r="AF146" s="46">
        <f>RawData!O878</f>
        <v>0</v>
      </c>
      <c r="AG146" s="44">
        <f>RawData!AR878</f>
        <v>0</v>
      </c>
      <c r="AH146" s="44">
        <f>RawData!BY878</f>
        <v>0</v>
      </c>
      <c r="AI146" s="44">
        <f>RawData!AS878</f>
        <v>0</v>
      </c>
      <c r="AJ146" s="44">
        <f>RawData!AT878</f>
        <v>0</v>
      </c>
      <c r="AK146" s="44">
        <f>RawData!AU878</f>
        <v>0</v>
      </c>
      <c r="AL146" s="44">
        <f>RawData!BW878</f>
        <v>0</v>
      </c>
      <c r="AM146" s="41">
        <f>RawData!AV878</f>
        <v>0</v>
      </c>
      <c r="AN146" s="41">
        <f>RawData!BX878</f>
        <v>0</v>
      </c>
      <c r="AO146" s="41">
        <f>RawData!AW878</f>
        <v>0</v>
      </c>
      <c r="AP146" s="41">
        <f>RawData!AX878</f>
        <v>0</v>
      </c>
      <c r="AQ146" s="40">
        <f>RawData!AY878</f>
        <v>0</v>
      </c>
      <c r="AR146" s="40">
        <f>RawData!AZ878</f>
        <v>0</v>
      </c>
      <c r="AS146" s="40">
        <f>RawData!BA878</f>
        <v>0</v>
      </c>
      <c r="AT146" s="38">
        <f>RawData!BB878</f>
        <v>0</v>
      </c>
      <c r="AU146" s="40">
        <f>RawData!BC878</f>
        <v>0</v>
      </c>
      <c r="AV146" s="40">
        <f>RawData!BD878</f>
        <v>0</v>
      </c>
      <c r="AW146" s="38">
        <f>RawData!BE878</f>
        <v>0</v>
      </c>
      <c r="AX146" s="37">
        <f>RawData!BF878</f>
        <v>0</v>
      </c>
      <c r="AY146" s="36">
        <f>RawData!BG878</f>
        <v>0</v>
      </c>
      <c r="AZ146" s="36">
        <f>RawData!BH878</f>
        <v>0</v>
      </c>
      <c r="BA146" s="40">
        <f>RawData!BI878</f>
        <v>0</v>
      </c>
      <c r="BB146" s="44">
        <f>RawData!BJ878</f>
        <v>0</v>
      </c>
      <c r="BC146" s="44">
        <f>RawData!BK878</f>
        <v>0</v>
      </c>
      <c r="BD146" s="44">
        <f>RawData!BL878</f>
        <v>0</v>
      </c>
      <c r="BE146" s="44">
        <f>RawData!BM878</f>
        <v>0</v>
      </c>
      <c r="BF146" s="44">
        <f>RawData!BN878</f>
        <v>0</v>
      </c>
      <c r="BG146" s="63">
        <f>RawData!BO878</f>
        <v>0</v>
      </c>
      <c r="BH146" s="44">
        <f>RawData!BP878</f>
        <v>0</v>
      </c>
      <c r="BI146" s="63">
        <f>RawData!BQ878</f>
        <v>0</v>
      </c>
      <c r="BJ146" s="44">
        <f>RawData!BR878</f>
        <v>0</v>
      </c>
      <c r="BK146" s="47">
        <f>RawData!BS878</f>
        <v>0</v>
      </c>
      <c r="BL146" s="44">
        <f>RawData!BT878</f>
        <v>0</v>
      </c>
      <c r="BM146" s="47">
        <f>RawData!BV878</f>
        <v>0</v>
      </c>
      <c r="BN146" s="65">
        <f>RawData!CC878</f>
        <v>0</v>
      </c>
      <c r="BO146" s="66">
        <f>RawData!CD878</f>
        <v>0</v>
      </c>
      <c r="BQ146" s="21">
        <f t="shared" si="2"/>
        <v>0</v>
      </c>
    </row>
    <row r="147" spans="1:69" x14ac:dyDescent="0.2">
      <c r="A147" s="59">
        <f>RawData!P879</f>
        <v>0</v>
      </c>
      <c r="B147" s="44">
        <f>RawData!Q879</f>
        <v>0</v>
      </c>
      <c r="C147" s="44">
        <f>RawData!R879</f>
        <v>0</v>
      </c>
      <c r="D147" s="63">
        <f>RawData!S879</f>
        <v>0</v>
      </c>
      <c r="E147" s="44">
        <f>RawData!T879</f>
        <v>0</v>
      </c>
      <c r="F147" s="63">
        <f>RawData!U879</f>
        <v>0</v>
      </c>
      <c r="G147" s="44">
        <f>RawData!V879</f>
        <v>0</v>
      </c>
      <c r="H147" s="44">
        <f>RawData!W879</f>
        <v>0</v>
      </c>
      <c r="I147" s="44">
        <f>RawData!X879</f>
        <v>0</v>
      </c>
      <c r="J147" s="44">
        <f>RawData!Y879</f>
        <v>0</v>
      </c>
      <c r="K147" s="40">
        <f>RawData!Z879</f>
        <v>0</v>
      </c>
      <c r="L147" s="40">
        <f>RawData!AA879</f>
        <v>0</v>
      </c>
      <c r="M147" s="36">
        <f>RawData!AB879</f>
        <v>0</v>
      </c>
      <c r="N147" s="36">
        <f>RawData!AC879</f>
        <v>0</v>
      </c>
      <c r="O147" s="37">
        <f>RawData!AD879</f>
        <v>0</v>
      </c>
      <c r="P147" s="38">
        <f>RawData!AE879</f>
        <v>0</v>
      </c>
      <c r="Q147" s="39">
        <f>RawData!AF879</f>
        <v>0</v>
      </c>
      <c r="R147" s="38">
        <f>RawData!AG879</f>
        <v>0</v>
      </c>
      <c r="S147" s="40">
        <f>RawData!AH879</f>
        <v>0</v>
      </c>
      <c r="T147" s="40">
        <f>RawData!AI879</f>
        <v>0</v>
      </c>
      <c r="U147" s="40">
        <f>RawData!AJ879</f>
        <v>0</v>
      </c>
      <c r="V147" s="41">
        <f>RawData!AK879</f>
        <v>0</v>
      </c>
      <c r="W147" s="41">
        <f>RawData!AL879</f>
        <v>0</v>
      </c>
      <c r="X147" s="43">
        <f>RawData!CA879</f>
        <v>0</v>
      </c>
      <c r="Y147" s="41">
        <f>RawData!AM879</f>
        <v>0</v>
      </c>
      <c r="Z147" s="44">
        <f>RawData!CB879</f>
        <v>0</v>
      </c>
      <c r="AA147" s="44">
        <f>RawData!AN879</f>
        <v>0</v>
      </c>
      <c r="AB147" s="44">
        <f>RawData!AO879</f>
        <v>0</v>
      </c>
      <c r="AC147" s="44">
        <f>RawData!AP879</f>
        <v>0</v>
      </c>
      <c r="AD147" s="63">
        <f>RawData!BZ879</f>
        <v>0</v>
      </c>
      <c r="AE147" s="44">
        <f>RawData!AQ879</f>
        <v>0</v>
      </c>
      <c r="AF147" s="46">
        <f>RawData!O879</f>
        <v>0</v>
      </c>
      <c r="AG147" s="44">
        <f>RawData!AR879</f>
        <v>0</v>
      </c>
      <c r="AH147" s="44">
        <f>RawData!BY879</f>
        <v>0</v>
      </c>
      <c r="AI147" s="44">
        <f>RawData!AS879</f>
        <v>0</v>
      </c>
      <c r="AJ147" s="44">
        <f>RawData!AT879</f>
        <v>0</v>
      </c>
      <c r="AK147" s="44">
        <f>RawData!AU879</f>
        <v>0</v>
      </c>
      <c r="AL147" s="44">
        <f>RawData!BW879</f>
        <v>0</v>
      </c>
      <c r="AM147" s="41">
        <f>RawData!AV879</f>
        <v>0</v>
      </c>
      <c r="AN147" s="41">
        <f>RawData!BX879</f>
        <v>0</v>
      </c>
      <c r="AO147" s="41">
        <f>RawData!AW879</f>
        <v>0</v>
      </c>
      <c r="AP147" s="41">
        <f>RawData!AX879</f>
        <v>0</v>
      </c>
      <c r="AQ147" s="40">
        <f>RawData!AY879</f>
        <v>0</v>
      </c>
      <c r="AR147" s="40">
        <f>RawData!AZ879</f>
        <v>0</v>
      </c>
      <c r="AS147" s="40">
        <f>RawData!BA879</f>
        <v>0</v>
      </c>
      <c r="AT147" s="38">
        <f>RawData!BB879</f>
        <v>0</v>
      </c>
      <c r="AU147" s="40">
        <f>RawData!BC879</f>
        <v>0</v>
      </c>
      <c r="AV147" s="40">
        <f>RawData!BD879</f>
        <v>0</v>
      </c>
      <c r="AW147" s="38">
        <f>RawData!BE879</f>
        <v>0</v>
      </c>
      <c r="AX147" s="37">
        <f>RawData!BF879</f>
        <v>0</v>
      </c>
      <c r="AY147" s="36">
        <f>RawData!BG879</f>
        <v>0</v>
      </c>
      <c r="AZ147" s="36">
        <f>RawData!BH879</f>
        <v>0</v>
      </c>
      <c r="BA147" s="40">
        <f>RawData!BI879</f>
        <v>0</v>
      </c>
      <c r="BB147" s="44">
        <f>RawData!BJ879</f>
        <v>0</v>
      </c>
      <c r="BC147" s="44">
        <f>RawData!BK879</f>
        <v>0</v>
      </c>
      <c r="BD147" s="44">
        <f>RawData!BL879</f>
        <v>0</v>
      </c>
      <c r="BE147" s="44">
        <f>RawData!BM879</f>
        <v>0</v>
      </c>
      <c r="BF147" s="44">
        <f>RawData!BN879</f>
        <v>0</v>
      </c>
      <c r="BG147" s="63">
        <f>RawData!BO879</f>
        <v>0</v>
      </c>
      <c r="BH147" s="44">
        <f>RawData!BP879</f>
        <v>0</v>
      </c>
      <c r="BI147" s="63">
        <f>RawData!BQ879</f>
        <v>0</v>
      </c>
      <c r="BJ147" s="44">
        <f>RawData!BR879</f>
        <v>0</v>
      </c>
      <c r="BK147" s="47">
        <f>RawData!BS879</f>
        <v>0</v>
      </c>
      <c r="BL147" s="44">
        <f>RawData!BT879</f>
        <v>0</v>
      </c>
      <c r="BM147" s="47">
        <f>RawData!BV879</f>
        <v>0</v>
      </c>
      <c r="BN147" s="65">
        <f>RawData!CC879</f>
        <v>0</v>
      </c>
      <c r="BO147" s="66">
        <f>RawData!CD879</f>
        <v>0</v>
      </c>
      <c r="BQ147" s="21">
        <f t="shared" si="2"/>
        <v>0</v>
      </c>
    </row>
    <row r="148" spans="1:69" x14ac:dyDescent="0.2">
      <c r="A148" s="59">
        <f>RawData!P880</f>
        <v>0</v>
      </c>
      <c r="B148" s="44">
        <f>RawData!Q880</f>
        <v>0</v>
      </c>
      <c r="C148" s="44">
        <f>RawData!R880</f>
        <v>0</v>
      </c>
      <c r="D148" s="63">
        <f>RawData!S880</f>
        <v>0</v>
      </c>
      <c r="E148" s="44">
        <f>RawData!T880</f>
        <v>0</v>
      </c>
      <c r="F148" s="63">
        <f>RawData!U880</f>
        <v>0</v>
      </c>
      <c r="G148" s="44">
        <f>RawData!V880</f>
        <v>0</v>
      </c>
      <c r="H148" s="44">
        <f>RawData!W880</f>
        <v>0</v>
      </c>
      <c r="I148" s="44">
        <f>RawData!X880</f>
        <v>0</v>
      </c>
      <c r="J148" s="44">
        <f>RawData!Y880</f>
        <v>0</v>
      </c>
      <c r="K148" s="40">
        <f>RawData!Z880</f>
        <v>0</v>
      </c>
      <c r="L148" s="40">
        <f>RawData!AA880</f>
        <v>0</v>
      </c>
      <c r="M148" s="36">
        <f>RawData!AB880</f>
        <v>0</v>
      </c>
      <c r="N148" s="36">
        <f>RawData!AC880</f>
        <v>0</v>
      </c>
      <c r="O148" s="37">
        <f>RawData!AD880</f>
        <v>0</v>
      </c>
      <c r="P148" s="38">
        <f>RawData!AE880</f>
        <v>0</v>
      </c>
      <c r="Q148" s="39">
        <f>RawData!AF880</f>
        <v>0</v>
      </c>
      <c r="R148" s="38">
        <f>RawData!AG880</f>
        <v>0</v>
      </c>
      <c r="S148" s="40">
        <f>RawData!AH880</f>
        <v>0</v>
      </c>
      <c r="T148" s="40">
        <f>RawData!AI880</f>
        <v>0</v>
      </c>
      <c r="U148" s="40">
        <f>RawData!AJ880</f>
        <v>0</v>
      </c>
      <c r="V148" s="41">
        <f>RawData!AK880</f>
        <v>0</v>
      </c>
      <c r="W148" s="41">
        <f>RawData!AL880</f>
        <v>0</v>
      </c>
      <c r="X148" s="43">
        <f>RawData!CA880</f>
        <v>0</v>
      </c>
      <c r="Y148" s="41">
        <f>RawData!AM880</f>
        <v>0</v>
      </c>
      <c r="Z148" s="44">
        <f>RawData!CB880</f>
        <v>0</v>
      </c>
      <c r="AA148" s="44">
        <f>RawData!AN880</f>
        <v>0</v>
      </c>
      <c r="AB148" s="44">
        <f>RawData!AO880</f>
        <v>0</v>
      </c>
      <c r="AC148" s="44">
        <f>RawData!AP880</f>
        <v>0</v>
      </c>
      <c r="AD148" s="63">
        <f>RawData!BZ880</f>
        <v>0</v>
      </c>
      <c r="AE148" s="44">
        <f>RawData!AQ880</f>
        <v>0</v>
      </c>
      <c r="AF148" s="46">
        <f>RawData!O880</f>
        <v>0</v>
      </c>
      <c r="AG148" s="44">
        <f>RawData!AR880</f>
        <v>0</v>
      </c>
      <c r="AH148" s="44">
        <f>RawData!BY880</f>
        <v>0</v>
      </c>
      <c r="AI148" s="44">
        <f>RawData!AS880</f>
        <v>0</v>
      </c>
      <c r="AJ148" s="44">
        <f>RawData!AT880</f>
        <v>0</v>
      </c>
      <c r="AK148" s="44">
        <f>RawData!AU880</f>
        <v>0</v>
      </c>
      <c r="AL148" s="44">
        <f>RawData!BW880</f>
        <v>0</v>
      </c>
      <c r="AM148" s="41">
        <f>RawData!AV880</f>
        <v>0</v>
      </c>
      <c r="AN148" s="41">
        <f>RawData!BX880</f>
        <v>0</v>
      </c>
      <c r="AO148" s="41">
        <f>RawData!AW880</f>
        <v>0</v>
      </c>
      <c r="AP148" s="41">
        <f>RawData!AX880</f>
        <v>0</v>
      </c>
      <c r="AQ148" s="40">
        <f>RawData!AY880</f>
        <v>0</v>
      </c>
      <c r="AR148" s="40">
        <f>RawData!AZ880</f>
        <v>0</v>
      </c>
      <c r="AS148" s="40">
        <f>RawData!BA880</f>
        <v>0</v>
      </c>
      <c r="AT148" s="38">
        <f>RawData!BB880</f>
        <v>0</v>
      </c>
      <c r="AU148" s="40">
        <f>RawData!BC880</f>
        <v>0</v>
      </c>
      <c r="AV148" s="40">
        <f>RawData!BD880</f>
        <v>0</v>
      </c>
      <c r="AW148" s="38">
        <f>RawData!BE880</f>
        <v>0</v>
      </c>
      <c r="AX148" s="37">
        <f>RawData!BF880</f>
        <v>0</v>
      </c>
      <c r="AY148" s="36">
        <f>RawData!BG880</f>
        <v>0</v>
      </c>
      <c r="AZ148" s="36">
        <f>RawData!BH880</f>
        <v>0</v>
      </c>
      <c r="BA148" s="40">
        <f>RawData!BI880</f>
        <v>0</v>
      </c>
      <c r="BB148" s="44">
        <f>RawData!BJ880</f>
        <v>0</v>
      </c>
      <c r="BC148" s="44">
        <f>RawData!BK880</f>
        <v>0</v>
      </c>
      <c r="BD148" s="44">
        <f>RawData!BL880</f>
        <v>0</v>
      </c>
      <c r="BE148" s="44">
        <f>RawData!BM880</f>
        <v>0</v>
      </c>
      <c r="BF148" s="44">
        <f>RawData!BN880</f>
        <v>0</v>
      </c>
      <c r="BG148" s="63">
        <f>RawData!BO880</f>
        <v>0</v>
      </c>
      <c r="BH148" s="44">
        <f>RawData!BP880</f>
        <v>0</v>
      </c>
      <c r="BI148" s="63">
        <f>RawData!BQ880</f>
        <v>0</v>
      </c>
      <c r="BJ148" s="44">
        <f>RawData!BR880</f>
        <v>0</v>
      </c>
      <c r="BK148" s="47">
        <f>RawData!BS880</f>
        <v>0</v>
      </c>
      <c r="BL148" s="44">
        <f>RawData!BT880</f>
        <v>0</v>
      </c>
      <c r="BM148" s="47">
        <f>RawData!BV880</f>
        <v>0</v>
      </c>
      <c r="BN148" s="65">
        <f>RawData!CC880</f>
        <v>0</v>
      </c>
      <c r="BO148" s="66">
        <f>RawData!CD880</f>
        <v>0</v>
      </c>
      <c r="BQ148" s="21">
        <f t="shared" si="2"/>
        <v>0</v>
      </c>
    </row>
    <row r="149" spans="1:69" x14ac:dyDescent="0.2">
      <c r="A149" s="59">
        <f>RawData!P881</f>
        <v>0</v>
      </c>
      <c r="B149" s="44">
        <f>RawData!Q881</f>
        <v>0</v>
      </c>
      <c r="C149" s="44">
        <f>RawData!R881</f>
        <v>0</v>
      </c>
      <c r="D149" s="63">
        <f>RawData!S881</f>
        <v>0</v>
      </c>
      <c r="E149" s="44">
        <f>RawData!T881</f>
        <v>0</v>
      </c>
      <c r="F149" s="63">
        <f>RawData!U881</f>
        <v>0</v>
      </c>
      <c r="G149" s="44">
        <f>RawData!V881</f>
        <v>0</v>
      </c>
      <c r="H149" s="44">
        <f>RawData!W881</f>
        <v>0</v>
      </c>
      <c r="I149" s="44">
        <f>RawData!X881</f>
        <v>0</v>
      </c>
      <c r="J149" s="44">
        <f>RawData!Y881</f>
        <v>0</v>
      </c>
      <c r="K149" s="40">
        <f>RawData!Z881</f>
        <v>0</v>
      </c>
      <c r="L149" s="40">
        <f>RawData!AA881</f>
        <v>0</v>
      </c>
      <c r="M149" s="36">
        <f>RawData!AB881</f>
        <v>0</v>
      </c>
      <c r="N149" s="36">
        <f>RawData!AC881</f>
        <v>0</v>
      </c>
      <c r="O149" s="37">
        <f>RawData!AD881</f>
        <v>0</v>
      </c>
      <c r="P149" s="38">
        <f>RawData!AE881</f>
        <v>0</v>
      </c>
      <c r="Q149" s="39">
        <f>RawData!AF881</f>
        <v>0</v>
      </c>
      <c r="R149" s="38">
        <f>RawData!AG881</f>
        <v>0</v>
      </c>
      <c r="S149" s="40">
        <f>RawData!AH881</f>
        <v>0</v>
      </c>
      <c r="T149" s="40">
        <f>RawData!AI881</f>
        <v>0</v>
      </c>
      <c r="U149" s="40">
        <f>RawData!AJ881</f>
        <v>0</v>
      </c>
      <c r="V149" s="41">
        <f>RawData!AK881</f>
        <v>0</v>
      </c>
      <c r="W149" s="41">
        <f>RawData!AL881</f>
        <v>0</v>
      </c>
      <c r="X149" s="43">
        <f>RawData!CA881</f>
        <v>0</v>
      </c>
      <c r="Y149" s="41">
        <f>RawData!AM881</f>
        <v>0</v>
      </c>
      <c r="Z149" s="44">
        <f>RawData!CB881</f>
        <v>0</v>
      </c>
      <c r="AA149" s="44">
        <f>RawData!AN881</f>
        <v>0</v>
      </c>
      <c r="AB149" s="44">
        <f>RawData!AO881</f>
        <v>0</v>
      </c>
      <c r="AC149" s="44">
        <f>RawData!AP881</f>
        <v>0</v>
      </c>
      <c r="AD149" s="63">
        <f>RawData!BZ881</f>
        <v>0</v>
      </c>
      <c r="AE149" s="44">
        <f>RawData!AQ881</f>
        <v>0</v>
      </c>
      <c r="AF149" s="46">
        <f>RawData!O881</f>
        <v>0</v>
      </c>
      <c r="AG149" s="44">
        <f>RawData!AR881</f>
        <v>0</v>
      </c>
      <c r="AH149" s="44">
        <f>RawData!BY881</f>
        <v>0</v>
      </c>
      <c r="AI149" s="44">
        <f>RawData!AS881</f>
        <v>0</v>
      </c>
      <c r="AJ149" s="44">
        <f>RawData!AT881</f>
        <v>0</v>
      </c>
      <c r="AK149" s="44">
        <f>RawData!AU881</f>
        <v>0</v>
      </c>
      <c r="AL149" s="44">
        <f>RawData!BW881</f>
        <v>0</v>
      </c>
      <c r="AM149" s="41">
        <f>RawData!AV881</f>
        <v>0</v>
      </c>
      <c r="AN149" s="41">
        <f>RawData!BX881</f>
        <v>0</v>
      </c>
      <c r="AO149" s="41">
        <f>RawData!AW881</f>
        <v>0</v>
      </c>
      <c r="AP149" s="41">
        <f>RawData!AX881</f>
        <v>0</v>
      </c>
      <c r="AQ149" s="40">
        <f>RawData!AY881</f>
        <v>0</v>
      </c>
      <c r="AR149" s="40">
        <f>RawData!AZ881</f>
        <v>0</v>
      </c>
      <c r="AS149" s="40">
        <f>RawData!BA881</f>
        <v>0</v>
      </c>
      <c r="AT149" s="38">
        <f>RawData!BB881</f>
        <v>0</v>
      </c>
      <c r="AU149" s="40">
        <f>RawData!BC881</f>
        <v>0</v>
      </c>
      <c r="AV149" s="40">
        <f>RawData!BD881</f>
        <v>0</v>
      </c>
      <c r="AW149" s="38">
        <f>RawData!BE881</f>
        <v>0</v>
      </c>
      <c r="AX149" s="37">
        <f>RawData!BF881</f>
        <v>0</v>
      </c>
      <c r="AY149" s="36">
        <f>RawData!BG881</f>
        <v>0</v>
      </c>
      <c r="AZ149" s="36">
        <f>RawData!BH881</f>
        <v>0</v>
      </c>
      <c r="BA149" s="40">
        <f>RawData!BI881</f>
        <v>0</v>
      </c>
      <c r="BB149" s="44">
        <f>RawData!BJ881</f>
        <v>0</v>
      </c>
      <c r="BC149" s="44">
        <f>RawData!BK881</f>
        <v>0</v>
      </c>
      <c r="BD149" s="44">
        <f>RawData!BL881</f>
        <v>0</v>
      </c>
      <c r="BE149" s="44">
        <f>RawData!BM881</f>
        <v>0</v>
      </c>
      <c r="BF149" s="44">
        <f>RawData!BN881</f>
        <v>0</v>
      </c>
      <c r="BG149" s="63">
        <f>RawData!BO881</f>
        <v>0</v>
      </c>
      <c r="BH149" s="44">
        <f>RawData!BP881</f>
        <v>0</v>
      </c>
      <c r="BI149" s="63">
        <f>RawData!BQ881</f>
        <v>0</v>
      </c>
      <c r="BJ149" s="44">
        <f>RawData!BR881</f>
        <v>0</v>
      </c>
      <c r="BK149" s="47">
        <f>RawData!BS881</f>
        <v>0</v>
      </c>
      <c r="BL149" s="44">
        <f>RawData!BT881</f>
        <v>0</v>
      </c>
      <c r="BM149" s="47">
        <f>RawData!BV881</f>
        <v>0</v>
      </c>
      <c r="BN149" s="65">
        <f>RawData!CC881</f>
        <v>0</v>
      </c>
      <c r="BO149" s="66">
        <f>RawData!CD881</f>
        <v>0</v>
      </c>
      <c r="BQ149" s="21">
        <f t="shared" si="2"/>
        <v>0</v>
      </c>
    </row>
    <row r="150" spans="1:69" x14ac:dyDescent="0.2">
      <c r="A150" s="59">
        <f>RawData!P882</f>
        <v>0</v>
      </c>
      <c r="B150" s="44">
        <f>RawData!Q882</f>
        <v>0</v>
      </c>
      <c r="C150" s="44">
        <f>RawData!R882</f>
        <v>0</v>
      </c>
      <c r="D150" s="63">
        <f>RawData!S882</f>
        <v>0</v>
      </c>
      <c r="E150" s="44">
        <f>RawData!T882</f>
        <v>0</v>
      </c>
      <c r="F150" s="63">
        <f>RawData!U882</f>
        <v>0</v>
      </c>
      <c r="G150" s="44">
        <f>RawData!V882</f>
        <v>0</v>
      </c>
      <c r="H150" s="44">
        <f>RawData!W882</f>
        <v>0</v>
      </c>
      <c r="I150" s="44">
        <f>RawData!X882</f>
        <v>0</v>
      </c>
      <c r="J150" s="44">
        <f>RawData!Y882</f>
        <v>0</v>
      </c>
      <c r="K150" s="40">
        <f>RawData!Z882</f>
        <v>0</v>
      </c>
      <c r="L150" s="40">
        <f>RawData!AA882</f>
        <v>0</v>
      </c>
      <c r="M150" s="36">
        <f>RawData!AB882</f>
        <v>0</v>
      </c>
      <c r="N150" s="36">
        <f>RawData!AC882</f>
        <v>0</v>
      </c>
      <c r="O150" s="37">
        <f>RawData!AD882</f>
        <v>0</v>
      </c>
      <c r="P150" s="38">
        <f>RawData!AE882</f>
        <v>0</v>
      </c>
      <c r="Q150" s="39">
        <f>RawData!AF882</f>
        <v>0</v>
      </c>
      <c r="R150" s="38">
        <f>RawData!AG882</f>
        <v>0</v>
      </c>
      <c r="S150" s="40">
        <f>RawData!AH882</f>
        <v>0</v>
      </c>
      <c r="T150" s="40">
        <f>RawData!AI882</f>
        <v>0</v>
      </c>
      <c r="U150" s="40">
        <f>RawData!AJ882</f>
        <v>0</v>
      </c>
      <c r="V150" s="41">
        <f>RawData!AK882</f>
        <v>0</v>
      </c>
      <c r="W150" s="41">
        <f>RawData!AL882</f>
        <v>0</v>
      </c>
      <c r="X150" s="43">
        <f>RawData!CA882</f>
        <v>0</v>
      </c>
      <c r="Y150" s="41">
        <f>RawData!AM882</f>
        <v>0</v>
      </c>
      <c r="Z150" s="44">
        <f>RawData!CB882</f>
        <v>0</v>
      </c>
      <c r="AA150" s="44">
        <f>RawData!AN882</f>
        <v>0</v>
      </c>
      <c r="AB150" s="44">
        <f>RawData!AO882</f>
        <v>0</v>
      </c>
      <c r="AC150" s="44">
        <f>RawData!AP882</f>
        <v>0</v>
      </c>
      <c r="AD150" s="63">
        <f>RawData!BZ882</f>
        <v>0</v>
      </c>
      <c r="AE150" s="44">
        <f>RawData!AQ882</f>
        <v>0</v>
      </c>
      <c r="AF150" s="46">
        <f>RawData!O882</f>
        <v>0</v>
      </c>
      <c r="AG150" s="44">
        <f>RawData!AR882</f>
        <v>0</v>
      </c>
      <c r="AH150" s="44">
        <f>RawData!BY882</f>
        <v>0</v>
      </c>
      <c r="AI150" s="44">
        <f>RawData!AS882</f>
        <v>0</v>
      </c>
      <c r="AJ150" s="44">
        <f>RawData!AT882</f>
        <v>0</v>
      </c>
      <c r="AK150" s="44">
        <f>RawData!AU882</f>
        <v>0</v>
      </c>
      <c r="AL150" s="44">
        <f>RawData!BW882</f>
        <v>0</v>
      </c>
      <c r="AM150" s="41">
        <f>RawData!AV882</f>
        <v>0</v>
      </c>
      <c r="AN150" s="41">
        <f>RawData!BX882</f>
        <v>0</v>
      </c>
      <c r="AO150" s="41">
        <f>RawData!AW882</f>
        <v>0</v>
      </c>
      <c r="AP150" s="41">
        <f>RawData!AX882</f>
        <v>0</v>
      </c>
      <c r="AQ150" s="40">
        <f>RawData!AY882</f>
        <v>0</v>
      </c>
      <c r="AR150" s="40">
        <f>RawData!AZ882</f>
        <v>0</v>
      </c>
      <c r="AS150" s="40">
        <f>RawData!BA882</f>
        <v>0</v>
      </c>
      <c r="AT150" s="38">
        <f>RawData!BB882</f>
        <v>0</v>
      </c>
      <c r="AU150" s="40">
        <f>RawData!BC882</f>
        <v>0</v>
      </c>
      <c r="AV150" s="40">
        <f>RawData!BD882</f>
        <v>0</v>
      </c>
      <c r="AW150" s="38">
        <f>RawData!BE882</f>
        <v>0</v>
      </c>
      <c r="AX150" s="37">
        <f>RawData!BF882</f>
        <v>0</v>
      </c>
      <c r="AY150" s="36">
        <f>RawData!BG882</f>
        <v>0</v>
      </c>
      <c r="AZ150" s="36">
        <f>RawData!BH882</f>
        <v>0</v>
      </c>
      <c r="BA150" s="40">
        <f>RawData!BI882</f>
        <v>0</v>
      </c>
      <c r="BB150" s="44">
        <f>RawData!BJ882</f>
        <v>0</v>
      </c>
      <c r="BC150" s="44">
        <f>RawData!BK882</f>
        <v>0</v>
      </c>
      <c r="BD150" s="44">
        <f>RawData!BL882</f>
        <v>0</v>
      </c>
      <c r="BE150" s="44">
        <f>RawData!BM882</f>
        <v>0</v>
      </c>
      <c r="BF150" s="44">
        <f>RawData!BN882</f>
        <v>0</v>
      </c>
      <c r="BG150" s="63">
        <f>RawData!BO882</f>
        <v>0</v>
      </c>
      <c r="BH150" s="44">
        <f>RawData!BP882</f>
        <v>0</v>
      </c>
      <c r="BI150" s="63">
        <f>RawData!BQ882</f>
        <v>0</v>
      </c>
      <c r="BJ150" s="44">
        <f>RawData!BR882</f>
        <v>0</v>
      </c>
      <c r="BK150" s="47">
        <f>RawData!BS882</f>
        <v>0</v>
      </c>
      <c r="BL150" s="44">
        <f>RawData!BT882</f>
        <v>0</v>
      </c>
      <c r="BM150" s="47">
        <f>RawData!BV882</f>
        <v>0</v>
      </c>
      <c r="BN150" s="65">
        <f>RawData!CC882</f>
        <v>0</v>
      </c>
      <c r="BO150" s="66">
        <f>RawData!CD882</f>
        <v>0</v>
      </c>
      <c r="BQ150" s="21">
        <f t="shared" si="2"/>
        <v>0</v>
      </c>
    </row>
    <row r="151" spans="1:69" x14ac:dyDescent="0.2">
      <c r="A151" s="59">
        <f>RawData!P883</f>
        <v>0</v>
      </c>
      <c r="B151" s="44">
        <f>RawData!Q883</f>
        <v>0</v>
      </c>
      <c r="C151" s="44">
        <f>RawData!R883</f>
        <v>0</v>
      </c>
      <c r="D151" s="63">
        <f>RawData!S883</f>
        <v>0</v>
      </c>
      <c r="E151" s="44">
        <f>RawData!T883</f>
        <v>0</v>
      </c>
      <c r="F151" s="63">
        <f>RawData!U883</f>
        <v>0</v>
      </c>
      <c r="G151" s="44">
        <f>RawData!V883</f>
        <v>0</v>
      </c>
      <c r="H151" s="44">
        <f>RawData!W883</f>
        <v>0</v>
      </c>
      <c r="I151" s="44">
        <f>RawData!X883</f>
        <v>0</v>
      </c>
      <c r="J151" s="44">
        <f>RawData!Y883</f>
        <v>0</v>
      </c>
      <c r="K151" s="40">
        <f>RawData!Z883</f>
        <v>0</v>
      </c>
      <c r="L151" s="40">
        <f>RawData!AA883</f>
        <v>0</v>
      </c>
      <c r="M151" s="36">
        <f>RawData!AB883</f>
        <v>0</v>
      </c>
      <c r="N151" s="36">
        <f>RawData!AC883</f>
        <v>0</v>
      </c>
      <c r="O151" s="37">
        <f>RawData!AD883</f>
        <v>0</v>
      </c>
      <c r="P151" s="38">
        <f>RawData!AE883</f>
        <v>0</v>
      </c>
      <c r="Q151" s="39">
        <f>RawData!AF883</f>
        <v>0</v>
      </c>
      <c r="R151" s="38">
        <f>RawData!AG883</f>
        <v>0</v>
      </c>
      <c r="S151" s="40">
        <f>RawData!AH883</f>
        <v>0</v>
      </c>
      <c r="T151" s="40">
        <f>RawData!AI883</f>
        <v>0</v>
      </c>
      <c r="U151" s="40">
        <f>RawData!AJ883</f>
        <v>0</v>
      </c>
      <c r="V151" s="41">
        <f>RawData!AK883</f>
        <v>0</v>
      </c>
      <c r="W151" s="41">
        <f>RawData!AL883</f>
        <v>0</v>
      </c>
      <c r="X151" s="43">
        <f>RawData!CA883</f>
        <v>0</v>
      </c>
      <c r="Y151" s="41">
        <f>RawData!AM883</f>
        <v>0</v>
      </c>
      <c r="Z151" s="44">
        <f>RawData!CB883</f>
        <v>0</v>
      </c>
      <c r="AA151" s="44">
        <f>RawData!AN883</f>
        <v>0</v>
      </c>
      <c r="AB151" s="44">
        <f>RawData!AO883</f>
        <v>0</v>
      </c>
      <c r="AC151" s="44">
        <f>RawData!AP883</f>
        <v>0</v>
      </c>
      <c r="AD151" s="63">
        <f>RawData!BZ883</f>
        <v>0</v>
      </c>
      <c r="AE151" s="44">
        <f>RawData!AQ883</f>
        <v>0</v>
      </c>
      <c r="AF151" s="46">
        <f>RawData!O883</f>
        <v>0</v>
      </c>
      <c r="AG151" s="44">
        <f>RawData!AR883</f>
        <v>0</v>
      </c>
      <c r="AH151" s="44">
        <f>RawData!BY883</f>
        <v>0</v>
      </c>
      <c r="AI151" s="44">
        <f>RawData!AS883</f>
        <v>0</v>
      </c>
      <c r="AJ151" s="44">
        <f>RawData!AT883</f>
        <v>0</v>
      </c>
      <c r="AK151" s="44">
        <f>RawData!AU883</f>
        <v>0</v>
      </c>
      <c r="AL151" s="44">
        <f>RawData!BW883</f>
        <v>0</v>
      </c>
      <c r="AM151" s="41">
        <f>RawData!AV883</f>
        <v>0</v>
      </c>
      <c r="AN151" s="41">
        <f>RawData!BX883</f>
        <v>0</v>
      </c>
      <c r="AO151" s="41">
        <f>RawData!AW883</f>
        <v>0</v>
      </c>
      <c r="AP151" s="41">
        <f>RawData!AX883</f>
        <v>0</v>
      </c>
      <c r="AQ151" s="40">
        <f>RawData!AY883</f>
        <v>0</v>
      </c>
      <c r="AR151" s="40">
        <f>RawData!AZ883</f>
        <v>0</v>
      </c>
      <c r="AS151" s="40">
        <f>RawData!BA883</f>
        <v>0</v>
      </c>
      <c r="AT151" s="38">
        <f>RawData!BB883</f>
        <v>0</v>
      </c>
      <c r="AU151" s="40">
        <f>RawData!BC883</f>
        <v>0</v>
      </c>
      <c r="AV151" s="40">
        <f>RawData!BD883</f>
        <v>0</v>
      </c>
      <c r="AW151" s="38">
        <f>RawData!BE883</f>
        <v>0</v>
      </c>
      <c r="AX151" s="37">
        <f>RawData!BF883</f>
        <v>0</v>
      </c>
      <c r="AY151" s="36">
        <f>RawData!BG883</f>
        <v>0</v>
      </c>
      <c r="AZ151" s="36">
        <f>RawData!BH883</f>
        <v>0</v>
      </c>
      <c r="BA151" s="40">
        <f>RawData!BI883</f>
        <v>0</v>
      </c>
      <c r="BB151" s="44">
        <f>RawData!BJ883</f>
        <v>0</v>
      </c>
      <c r="BC151" s="44">
        <f>RawData!BK883</f>
        <v>0</v>
      </c>
      <c r="BD151" s="44">
        <f>RawData!BL883</f>
        <v>0</v>
      </c>
      <c r="BE151" s="44">
        <f>RawData!BM883</f>
        <v>0</v>
      </c>
      <c r="BF151" s="44">
        <f>RawData!BN883</f>
        <v>0</v>
      </c>
      <c r="BG151" s="63">
        <f>RawData!BO883</f>
        <v>0</v>
      </c>
      <c r="BH151" s="44">
        <f>RawData!BP883</f>
        <v>0</v>
      </c>
      <c r="BI151" s="63">
        <f>RawData!BQ883</f>
        <v>0</v>
      </c>
      <c r="BJ151" s="44">
        <f>RawData!BR883</f>
        <v>0</v>
      </c>
      <c r="BK151" s="47">
        <f>RawData!BS883</f>
        <v>0</v>
      </c>
      <c r="BL151" s="44">
        <f>RawData!BT883</f>
        <v>0</v>
      </c>
      <c r="BM151" s="47">
        <f>RawData!BV883</f>
        <v>0</v>
      </c>
      <c r="BN151" s="65">
        <f>RawData!CC883</f>
        <v>0</v>
      </c>
      <c r="BO151" s="66">
        <f>RawData!CD883</f>
        <v>0</v>
      </c>
      <c r="BQ151" s="21">
        <f t="shared" si="2"/>
        <v>0</v>
      </c>
    </row>
    <row r="152" spans="1:69" x14ac:dyDescent="0.2">
      <c r="A152" s="59">
        <f>RawData!P884</f>
        <v>0</v>
      </c>
      <c r="B152" s="44">
        <f>RawData!Q884</f>
        <v>0</v>
      </c>
      <c r="C152" s="44">
        <f>RawData!R884</f>
        <v>0</v>
      </c>
      <c r="D152" s="63">
        <f>RawData!S884</f>
        <v>0</v>
      </c>
      <c r="E152" s="44">
        <f>RawData!T884</f>
        <v>0</v>
      </c>
      <c r="F152" s="63">
        <f>RawData!U884</f>
        <v>0</v>
      </c>
      <c r="G152" s="44">
        <f>RawData!V884</f>
        <v>0</v>
      </c>
      <c r="H152" s="44">
        <f>RawData!W884</f>
        <v>0</v>
      </c>
      <c r="I152" s="44">
        <f>RawData!X884</f>
        <v>0</v>
      </c>
      <c r="J152" s="44">
        <f>RawData!Y884</f>
        <v>0</v>
      </c>
      <c r="K152" s="40">
        <f>RawData!Z884</f>
        <v>0</v>
      </c>
      <c r="L152" s="40">
        <f>RawData!AA884</f>
        <v>0</v>
      </c>
      <c r="M152" s="36">
        <f>RawData!AB884</f>
        <v>0</v>
      </c>
      <c r="N152" s="36">
        <f>RawData!AC884</f>
        <v>0</v>
      </c>
      <c r="O152" s="37">
        <f>RawData!AD884</f>
        <v>0</v>
      </c>
      <c r="P152" s="38">
        <f>RawData!AE884</f>
        <v>0</v>
      </c>
      <c r="Q152" s="39">
        <f>RawData!AF884</f>
        <v>0</v>
      </c>
      <c r="R152" s="38">
        <f>RawData!AG884</f>
        <v>0</v>
      </c>
      <c r="S152" s="40">
        <f>RawData!AH884</f>
        <v>0</v>
      </c>
      <c r="T152" s="40">
        <f>RawData!AI884</f>
        <v>0</v>
      </c>
      <c r="U152" s="40">
        <f>RawData!AJ884</f>
        <v>0</v>
      </c>
      <c r="V152" s="41">
        <f>RawData!AK884</f>
        <v>0</v>
      </c>
      <c r="W152" s="41">
        <f>RawData!AL884</f>
        <v>0</v>
      </c>
      <c r="X152" s="43">
        <f>RawData!CA884</f>
        <v>0</v>
      </c>
      <c r="Y152" s="41">
        <f>RawData!AM884</f>
        <v>0</v>
      </c>
      <c r="Z152" s="44">
        <f>RawData!CB884</f>
        <v>0</v>
      </c>
      <c r="AA152" s="44">
        <f>RawData!AN884</f>
        <v>0</v>
      </c>
      <c r="AB152" s="44">
        <f>RawData!AO884</f>
        <v>0</v>
      </c>
      <c r="AC152" s="44">
        <f>RawData!AP884</f>
        <v>0</v>
      </c>
      <c r="AD152" s="63">
        <f>RawData!BZ884</f>
        <v>0</v>
      </c>
      <c r="AE152" s="44">
        <f>RawData!AQ884</f>
        <v>0</v>
      </c>
      <c r="AF152" s="46">
        <f>RawData!O884</f>
        <v>0</v>
      </c>
      <c r="AG152" s="44">
        <f>RawData!AR884</f>
        <v>0</v>
      </c>
      <c r="AH152" s="44">
        <f>RawData!BY884</f>
        <v>0</v>
      </c>
      <c r="AI152" s="44">
        <f>RawData!AS884</f>
        <v>0</v>
      </c>
      <c r="AJ152" s="44">
        <f>RawData!AT884</f>
        <v>0</v>
      </c>
      <c r="AK152" s="44">
        <f>RawData!AU884</f>
        <v>0</v>
      </c>
      <c r="AL152" s="44">
        <f>RawData!BW884</f>
        <v>0</v>
      </c>
      <c r="AM152" s="41">
        <f>RawData!AV884</f>
        <v>0</v>
      </c>
      <c r="AN152" s="41">
        <f>RawData!BX884</f>
        <v>0</v>
      </c>
      <c r="AO152" s="41">
        <f>RawData!AW884</f>
        <v>0</v>
      </c>
      <c r="AP152" s="41">
        <f>RawData!AX884</f>
        <v>0</v>
      </c>
      <c r="AQ152" s="40">
        <f>RawData!AY884</f>
        <v>0</v>
      </c>
      <c r="AR152" s="40">
        <f>RawData!AZ884</f>
        <v>0</v>
      </c>
      <c r="AS152" s="40">
        <f>RawData!BA884</f>
        <v>0</v>
      </c>
      <c r="AT152" s="38">
        <f>RawData!BB884</f>
        <v>0</v>
      </c>
      <c r="AU152" s="40">
        <f>RawData!BC884</f>
        <v>0</v>
      </c>
      <c r="AV152" s="40">
        <f>RawData!BD884</f>
        <v>0</v>
      </c>
      <c r="AW152" s="38">
        <f>RawData!BE884</f>
        <v>0</v>
      </c>
      <c r="AX152" s="37">
        <f>RawData!BF884</f>
        <v>0</v>
      </c>
      <c r="AY152" s="36">
        <f>RawData!BG884</f>
        <v>0</v>
      </c>
      <c r="AZ152" s="36">
        <f>RawData!BH884</f>
        <v>0</v>
      </c>
      <c r="BA152" s="40">
        <f>RawData!BI884</f>
        <v>0</v>
      </c>
      <c r="BB152" s="44">
        <f>RawData!BJ884</f>
        <v>0</v>
      </c>
      <c r="BC152" s="44">
        <f>RawData!BK884</f>
        <v>0</v>
      </c>
      <c r="BD152" s="44">
        <f>RawData!BL884</f>
        <v>0</v>
      </c>
      <c r="BE152" s="44">
        <f>RawData!BM884</f>
        <v>0</v>
      </c>
      <c r="BF152" s="44">
        <f>RawData!BN884</f>
        <v>0</v>
      </c>
      <c r="BG152" s="63">
        <f>RawData!BO884</f>
        <v>0</v>
      </c>
      <c r="BH152" s="44">
        <f>RawData!BP884</f>
        <v>0</v>
      </c>
      <c r="BI152" s="63">
        <f>RawData!BQ884</f>
        <v>0</v>
      </c>
      <c r="BJ152" s="44">
        <f>RawData!BR884</f>
        <v>0</v>
      </c>
      <c r="BK152" s="47">
        <f>RawData!BS884</f>
        <v>0</v>
      </c>
      <c r="BL152" s="44">
        <f>RawData!BT884</f>
        <v>0</v>
      </c>
      <c r="BM152" s="47">
        <f>RawData!BV884</f>
        <v>0</v>
      </c>
      <c r="BN152" s="65">
        <f>RawData!CC884</f>
        <v>0</v>
      </c>
      <c r="BO152" s="66">
        <f>RawData!CD884</f>
        <v>0</v>
      </c>
      <c r="BQ152" s="21">
        <f t="shared" si="2"/>
        <v>0</v>
      </c>
    </row>
    <row r="153" spans="1:69" x14ac:dyDescent="0.2">
      <c r="A153" s="59">
        <f>RawData!P885</f>
        <v>0</v>
      </c>
      <c r="B153" s="44">
        <f>RawData!Q885</f>
        <v>0</v>
      </c>
      <c r="C153" s="44">
        <f>RawData!R885</f>
        <v>0</v>
      </c>
      <c r="D153" s="63">
        <f>RawData!S885</f>
        <v>0</v>
      </c>
      <c r="E153" s="44">
        <f>RawData!T885</f>
        <v>0</v>
      </c>
      <c r="F153" s="63">
        <f>RawData!U885</f>
        <v>0</v>
      </c>
      <c r="G153" s="44">
        <f>RawData!V885</f>
        <v>0</v>
      </c>
      <c r="H153" s="44">
        <f>RawData!W885</f>
        <v>0</v>
      </c>
      <c r="I153" s="44">
        <f>RawData!X885</f>
        <v>0</v>
      </c>
      <c r="J153" s="44">
        <f>RawData!Y885</f>
        <v>0</v>
      </c>
      <c r="K153" s="40">
        <f>RawData!Z885</f>
        <v>0</v>
      </c>
      <c r="L153" s="40">
        <f>RawData!AA885</f>
        <v>0</v>
      </c>
      <c r="M153" s="36">
        <f>RawData!AB885</f>
        <v>0</v>
      </c>
      <c r="N153" s="36">
        <f>RawData!AC885</f>
        <v>0</v>
      </c>
      <c r="O153" s="37">
        <f>RawData!AD885</f>
        <v>0</v>
      </c>
      <c r="P153" s="38">
        <f>RawData!AE885</f>
        <v>0</v>
      </c>
      <c r="Q153" s="39">
        <f>RawData!AF885</f>
        <v>0</v>
      </c>
      <c r="R153" s="38">
        <f>RawData!AG885</f>
        <v>0</v>
      </c>
      <c r="S153" s="40">
        <f>RawData!AH885</f>
        <v>0</v>
      </c>
      <c r="T153" s="40">
        <f>RawData!AI885</f>
        <v>0</v>
      </c>
      <c r="U153" s="40">
        <f>RawData!AJ885</f>
        <v>0</v>
      </c>
      <c r="V153" s="41">
        <f>RawData!AK885</f>
        <v>0</v>
      </c>
      <c r="W153" s="41">
        <f>RawData!AL885</f>
        <v>0</v>
      </c>
      <c r="X153" s="43">
        <f>RawData!CA885</f>
        <v>0</v>
      </c>
      <c r="Y153" s="41">
        <f>RawData!AM885</f>
        <v>0</v>
      </c>
      <c r="Z153" s="44">
        <f>RawData!CB885</f>
        <v>0</v>
      </c>
      <c r="AA153" s="44">
        <f>RawData!AN885</f>
        <v>0</v>
      </c>
      <c r="AB153" s="44">
        <f>RawData!AO885</f>
        <v>0</v>
      </c>
      <c r="AC153" s="44">
        <f>RawData!AP885</f>
        <v>0</v>
      </c>
      <c r="AD153" s="63">
        <f>RawData!BZ885</f>
        <v>0</v>
      </c>
      <c r="AE153" s="44">
        <f>RawData!AQ885</f>
        <v>0</v>
      </c>
      <c r="AF153" s="46">
        <f>RawData!O885</f>
        <v>0</v>
      </c>
      <c r="AG153" s="44">
        <f>RawData!AR885</f>
        <v>0</v>
      </c>
      <c r="AH153" s="44">
        <f>RawData!BY885</f>
        <v>0</v>
      </c>
      <c r="AI153" s="44">
        <f>RawData!AS885</f>
        <v>0</v>
      </c>
      <c r="AJ153" s="44">
        <f>RawData!AT885</f>
        <v>0</v>
      </c>
      <c r="AK153" s="44">
        <f>RawData!AU885</f>
        <v>0</v>
      </c>
      <c r="AL153" s="44">
        <f>RawData!BW885</f>
        <v>0</v>
      </c>
      <c r="AM153" s="41">
        <f>RawData!AV885</f>
        <v>0</v>
      </c>
      <c r="AN153" s="41">
        <f>RawData!BX885</f>
        <v>0</v>
      </c>
      <c r="AO153" s="41">
        <f>RawData!AW885</f>
        <v>0</v>
      </c>
      <c r="AP153" s="41">
        <f>RawData!AX885</f>
        <v>0</v>
      </c>
      <c r="AQ153" s="40">
        <f>RawData!AY885</f>
        <v>0</v>
      </c>
      <c r="AR153" s="40">
        <f>RawData!AZ885</f>
        <v>0</v>
      </c>
      <c r="AS153" s="40">
        <f>RawData!BA885</f>
        <v>0</v>
      </c>
      <c r="AT153" s="38">
        <f>RawData!BB885</f>
        <v>0</v>
      </c>
      <c r="AU153" s="40">
        <f>RawData!BC885</f>
        <v>0</v>
      </c>
      <c r="AV153" s="40">
        <f>RawData!BD885</f>
        <v>0</v>
      </c>
      <c r="AW153" s="38">
        <f>RawData!BE885</f>
        <v>0</v>
      </c>
      <c r="AX153" s="37">
        <f>RawData!BF885</f>
        <v>0</v>
      </c>
      <c r="AY153" s="36">
        <f>RawData!BG885</f>
        <v>0</v>
      </c>
      <c r="AZ153" s="36">
        <f>RawData!BH885</f>
        <v>0</v>
      </c>
      <c r="BA153" s="40">
        <f>RawData!BI885</f>
        <v>0</v>
      </c>
      <c r="BB153" s="44">
        <f>RawData!BJ885</f>
        <v>0</v>
      </c>
      <c r="BC153" s="44">
        <f>RawData!BK885</f>
        <v>0</v>
      </c>
      <c r="BD153" s="44">
        <f>RawData!BL885</f>
        <v>0</v>
      </c>
      <c r="BE153" s="44">
        <f>RawData!BM885</f>
        <v>0</v>
      </c>
      <c r="BF153" s="44">
        <f>RawData!BN885</f>
        <v>0</v>
      </c>
      <c r="BG153" s="63">
        <f>RawData!BO885</f>
        <v>0</v>
      </c>
      <c r="BH153" s="44">
        <f>RawData!BP885</f>
        <v>0</v>
      </c>
      <c r="BI153" s="63">
        <f>RawData!BQ885</f>
        <v>0</v>
      </c>
      <c r="BJ153" s="44">
        <f>RawData!BR885</f>
        <v>0</v>
      </c>
      <c r="BK153" s="47">
        <f>RawData!BS885</f>
        <v>0</v>
      </c>
      <c r="BL153" s="44">
        <f>RawData!BT885</f>
        <v>0</v>
      </c>
      <c r="BM153" s="47">
        <f>RawData!BV885</f>
        <v>0</v>
      </c>
      <c r="BN153" s="65">
        <f>RawData!CC885</f>
        <v>0</v>
      </c>
      <c r="BO153" s="66">
        <f>RawData!CD885</f>
        <v>0</v>
      </c>
      <c r="BQ153" s="21">
        <f t="shared" si="2"/>
        <v>0</v>
      </c>
    </row>
    <row r="154" spans="1:69" x14ac:dyDescent="0.2">
      <c r="A154" s="59">
        <f>RawData!P886</f>
        <v>0</v>
      </c>
      <c r="B154" s="44">
        <f>RawData!Q886</f>
        <v>0</v>
      </c>
      <c r="C154" s="44">
        <f>RawData!R886</f>
        <v>0</v>
      </c>
      <c r="D154" s="63">
        <f>RawData!S886</f>
        <v>0</v>
      </c>
      <c r="E154" s="44">
        <f>RawData!T886</f>
        <v>0</v>
      </c>
      <c r="F154" s="63">
        <f>RawData!U886</f>
        <v>0</v>
      </c>
      <c r="G154" s="44">
        <f>RawData!V886</f>
        <v>0</v>
      </c>
      <c r="H154" s="44">
        <f>RawData!W886</f>
        <v>0</v>
      </c>
      <c r="I154" s="44">
        <f>RawData!X886</f>
        <v>0</v>
      </c>
      <c r="J154" s="44">
        <f>RawData!Y886</f>
        <v>0</v>
      </c>
      <c r="K154" s="40">
        <f>RawData!Z886</f>
        <v>0</v>
      </c>
      <c r="L154" s="40">
        <f>RawData!AA886</f>
        <v>0</v>
      </c>
      <c r="M154" s="36">
        <f>RawData!AB886</f>
        <v>0</v>
      </c>
      <c r="N154" s="36">
        <f>RawData!AC886</f>
        <v>0</v>
      </c>
      <c r="O154" s="37">
        <f>RawData!AD886</f>
        <v>0</v>
      </c>
      <c r="P154" s="38">
        <f>RawData!AE886</f>
        <v>0</v>
      </c>
      <c r="Q154" s="39">
        <f>RawData!AF886</f>
        <v>0</v>
      </c>
      <c r="R154" s="38">
        <f>RawData!AG886</f>
        <v>0</v>
      </c>
      <c r="S154" s="40">
        <f>RawData!AH886</f>
        <v>0</v>
      </c>
      <c r="T154" s="40">
        <f>RawData!AI886</f>
        <v>0</v>
      </c>
      <c r="U154" s="40">
        <f>RawData!AJ886</f>
        <v>0</v>
      </c>
      <c r="V154" s="41">
        <f>RawData!AK886</f>
        <v>0</v>
      </c>
      <c r="W154" s="41">
        <f>RawData!AL886</f>
        <v>0</v>
      </c>
      <c r="X154" s="43">
        <f>RawData!CA886</f>
        <v>0</v>
      </c>
      <c r="Y154" s="41">
        <f>RawData!AM886</f>
        <v>0</v>
      </c>
      <c r="Z154" s="44">
        <f>RawData!CB886</f>
        <v>0</v>
      </c>
      <c r="AA154" s="44">
        <f>RawData!AN886</f>
        <v>0</v>
      </c>
      <c r="AB154" s="44">
        <f>RawData!AO886</f>
        <v>0</v>
      </c>
      <c r="AC154" s="44">
        <f>RawData!AP886</f>
        <v>0</v>
      </c>
      <c r="AD154" s="63">
        <f>RawData!BZ886</f>
        <v>0</v>
      </c>
      <c r="AE154" s="44">
        <f>RawData!AQ886</f>
        <v>0</v>
      </c>
      <c r="AF154" s="46">
        <f>RawData!O886</f>
        <v>0</v>
      </c>
      <c r="AG154" s="44">
        <f>RawData!AR886</f>
        <v>0</v>
      </c>
      <c r="AH154" s="44">
        <f>RawData!BY886</f>
        <v>0</v>
      </c>
      <c r="AI154" s="44">
        <f>RawData!AS886</f>
        <v>0</v>
      </c>
      <c r="AJ154" s="44">
        <f>RawData!AT886</f>
        <v>0</v>
      </c>
      <c r="AK154" s="44">
        <f>RawData!AU886</f>
        <v>0</v>
      </c>
      <c r="AL154" s="44">
        <f>RawData!BW886</f>
        <v>0</v>
      </c>
      <c r="AM154" s="41">
        <f>RawData!AV886</f>
        <v>0</v>
      </c>
      <c r="AN154" s="41">
        <f>RawData!BX886</f>
        <v>0</v>
      </c>
      <c r="AO154" s="41">
        <f>RawData!AW886</f>
        <v>0</v>
      </c>
      <c r="AP154" s="41">
        <f>RawData!AX886</f>
        <v>0</v>
      </c>
      <c r="AQ154" s="40">
        <f>RawData!AY886</f>
        <v>0</v>
      </c>
      <c r="AR154" s="40">
        <f>RawData!AZ886</f>
        <v>0</v>
      </c>
      <c r="AS154" s="40">
        <f>RawData!BA886</f>
        <v>0</v>
      </c>
      <c r="AT154" s="38">
        <f>RawData!BB886</f>
        <v>0</v>
      </c>
      <c r="AU154" s="40">
        <f>RawData!BC886</f>
        <v>0</v>
      </c>
      <c r="AV154" s="40">
        <f>RawData!BD886</f>
        <v>0</v>
      </c>
      <c r="AW154" s="38">
        <f>RawData!BE886</f>
        <v>0</v>
      </c>
      <c r="AX154" s="37">
        <f>RawData!BF886</f>
        <v>0</v>
      </c>
      <c r="AY154" s="36">
        <f>RawData!BG886</f>
        <v>0</v>
      </c>
      <c r="AZ154" s="36">
        <f>RawData!BH886</f>
        <v>0</v>
      </c>
      <c r="BA154" s="40">
        <f>RawData!BI886</f>
        <v>0</v>
      </c>
      <c r="BB154" s="44">
        <f>RawData!BJ886</f>
        <v>0</v>
      </c>
      <c r="BC154" s="44">
        <f>RawData!BK886</f>
        <v>0</v>
      </c>
      <c r="BD154" s="44">
        <f>RawData!BL886</f>
        <v>0</v>
      </c>
      <c r="BE154" s="44">
        <f>RawData!BM886</f>
        <v>0</v>
      </c>
      <c r="BF154" s="44">
        <f>RawData!BN886</f>
        <v>0</v>
      </c>
      <c r="BG154" s="63">
        <f>RawData!BO886</f>
        <v>0</v>
      </c>
      <c r="BH154" s="44">
        <f>RawData!BP886</f>
        <v>0</v>
      </c>
      <c r="BI154" s="63">
        <f>RawData!BQ886</f>
        <v>0</v>
      </c>
      <c r="BJ154" s="44">
        <f>RawData!BR886</f>
        <v>0</v>
      </c>
      <c r="BK154" s="47">
        <f>RawData!BS886</f>
        <v>0</v>
      </c>
      <c r="BL154" s="44">
        <f>RawData!BT886</f>
        <v>0</v>
      </c>
      <c r="BM154" s="47">
        <f>RawData!BV886</f>
        <v>0</v>
      </c>
      <c r="BN154" s="65">
        <f>RawData!CC886</f>
        <v>0</v>
      </c>
      <c r="BO154" s="66">
        <f>RawData!CD886</f>
        <v>0</v>
      </c>
      <c r="BQ154" s="21">
        <f t="shared" si="2"/>
        <v>0</v>
      </c>
    </row>
    <row r="155" spans="1:69" x14ac:dyDescent="0.2">
      <c r="A155" s="59">
        <f>RawData!P887</f>
        <v>0</v>
      </c>
      <c r="B155" s="44">
        <f>RawData!Q887</f>
        <v>0</v>
      </c>
      <c r="C155" s="44">
        <f>RawData!R887</f>
        <v>0</v>
      </c>
      <c r="D155" s="63">
        <f>RawData!S887</f>
        <v>0</v>
      </c>
      <c r="E155" s="44">
        <f>RawData!T887</f>
        <v>0</v>
      </c>
      <c r="F155" s="63">
        <f>RawData!U887</f>
        <v>0</v>
      </c>
      <c r="G155" s="44">
        <f>RawData!V887</f>
        <v>0</v>
      </c>
      <c r="H155" s="44">
        <f>RawData!W887</f>
        <v>0</v>
      </c>
      <c r="I155" s="44">
        <f>RawData!X887</f>
        <v>0</v>
      </c>
      <c r="J155" s="44">
        <f>RawData!Y887</f>
        <v>0</v>
      </c>
      <c r="K155" s="40">
        <f>RawData!Z887</f>
        <v>0</v>
      </c>
      <c r="L155" s="40">
        <f>RawData!AA887</f>
        <v>0</v>
      </c>
      <c r="M155" s="36">
        <f>RawData!AB887</f>
        <v>0</v>
      </c>
      <c r="N155" s="36">
        <f>RawData!AC887</f>
        <v>0</v>
      </c>
      <c r="O155" s="37">
        <f>RawData!AD887</f>
        <v>0</v>
      </c>
      <c r="P155" s="38">
        <f>RawData!AE887</f>
        <v>0</v>
      </c>
      <c r="Q155" s="39">
        <f>RawData!AF887</f>
        <v>0</v>
      </c>
      <c r="R155" s="38">
        <f>RawData!AG887</f>
        <v>0</v>
      </c>
      <c r="S155" s="40">
        <f>RawData!AH887</f>
        <v>0</v>
      </c>
      <c r="T155" s="40">
        <f>RawData!AI887</f>
        <v>0</v>
      </c>
      <c r="U155" s="40">
        <f>RawData!AJ887</f>
        <v>0</v>
      </c>
      <c r="V155" s="41">
        <f>RawData!AK887</f>
        <v>0</v>
      </c>
      <c r="W155" s="41">
        <f>RawData!AL887</f>
        <v>0</v>
      </c>
      <c r="X155" s="43">
        <f>RawData!CA887</f>
        <v>0</v>
      </c>
      <c r="Y155" s="41">
        <f>RawData!AM887</f>
        <v>0</v>
      </c>
      <c r="Z155" s="44">
        <f>RawData!CB887</f>
        <v>0</v>
      </c>
      <c r="AA155" s="44">
        <f>RawData!AN887</f>
        <v>0</v>
      </c>
      <c r="AB155" s="44">
        <f>RawData!AO887</f>
        <v>0</v>
      </c>
      <c r="AC155" s="44">
        <f>RawData!AP887</f>
        <v>0</v>
      </c>
      <c r="AD155" s="63">
        <f>RawData!BZ887</f>
        <v>0</v>
      </c>
      <c r="AE155" s="44">
        <f>RawData!AQ887</f>
        <v>0</v>
      </c>
      <c r="AF155" s="46">
        <f>RawData!O887</f>
        <v>0</v>
      </c>
      <c r="AG155" s="44">
        <f>RawData!AR887</f>
        <v>0</v>
      </c>
      <c r="AH155" s="44">
        <f>RawData!BY887</f>
        <v>0</v>
      </c>
      <c r="AI155" s="44">
        <f>RawData!AS887</f>
        <v>0</v>
      </c>
      <c r="AJ155" s="44">
        <f>RawData!AT887</f>
        <v>0</v>
      </c>
      <c r="AK155" s="44">
        <f>RawData!AU887</f>
        <v>0</v>
      </c>
      <c r="AL155" s="44">
        <f>RawData!BW887</f>
        <v>0</v>
      </c>
      <c r="AM155" s="41">
        <f>RawData!AV887</f>
        <v>0</v>
      </c>
      <c r="AN155" s="41">
        <f>RawData!BX887</f>
        <v>0</v>
      </c>
      <c r="AO155" s="41">
        <f>RawData!AW887</f>
        <v>0</v>
      </c>
      <c r="AP155" s="41">
        <f>RawData!AX887</f>
        <v>0</v>
      </c>
      <c r="AQ155" s="40">
        <f>RawData!AY887</f>
        <v>0</v>
      </c>
      <c r="AR155" s="40">
        <f>RawData!AZ887</f>
        <v>0</v>
      </c>
      <c r="AS155" s="40">
        <f>RawData!BA887</f>
        <v>0</v>
      </c>
      <c r="AT155" s="38">
        <f>RawData!BB887</f>
        <v>0</v>
      </c>
      <c r="AU155" s="40">
        <f>RawData!BC887</f>
        <v>0</v>
      </c>
      <c r="AV155" s="40">
        <f>RawData!BD887</f>
        <v>0</v>
      </c>
      <c r="AW155" s="38">
        <f>RawData!BE887</f>
        <v>0</v>
      </c>
      <c r="AX155" s="37">
        <f>RawData!BF887</f>
        <v>0</v>
      </c>
      <c r="AY155" s="36">
        <f>RawData!BG887</f>
        <v>0</v>
      </c>
      <c r="AZ155" s="36">
        <f>RawData!BH887</f>
        <v>0</v>
      </c>
      <c r="BA155" s="40">
        <f>RawData!BI887</f>
        <v>0</v>
      </c>
      <c r="BB155" s="44">
        <f>RawData!BJ887</f>
        <v>0</v>
      </c>
      <c r="BC155" s="44">
        <f>RawData!BK887</f>
        <v>0</v>
      </c>
      <c r="BD155" s="44">
        <f>RawData!BL887</f>
        <v>0</v>
      </c>
      <c r="BE155" s="44">
        <f>RawData!BM887</f>
        <v>0</v>
      </c>
      <c r="BF155" s="44">
        <f>RawData!BN887</f>
        <v>0</v>
      </c>
      <c r="BG155" s="63">
        <f>RawData!BO887</f>
        <v>0</v>
      </c>
      <c r="BH155" s="44">
        <f>RawData!BP887</f>
        <v>0</v>
      </c>
      <c r="BI155" s="63">
        <f>RawData!BQ887</f>
        <v>0</v>
      </c>
      <c r="BJ155" s="44">
        <f>RawData!BR887</f>
        <v>0</v>
      </c>
      <c r="BK155" s="47">
        <f>RawData!BS887</f>
        <v>0</v>
      </c>
      <c r="BL155" s="44">
        <f>RawData!BT887</f>
        <v>0</v>
      </c>
      <c r="BM155" s="47">
        <f>RawData!BV887</f>
        <v>0</v>
      </c>
      <c r="BN155" s="65">
        <f>RawData!CC887</f>
        <v>0</v>
      </c>
      <c r="BO155" s="66">
        <f>RawData!CD887</f>
        <v>0</v>
      </c>
      <c r="BQ155" s="21">
        <f t="shared" si="2"/>
        <v>0</v>
      </c>
    </row>
    <row r="156" spans="1:69" x14ac:dyDescent="0.2">
      <c r="A156" s="59">
        <f>RawData!P888</f>
        <v>0</v>
      </c>
      <c r="B156" s="44">
        <f>RawData!Q888</f>
        <v>0</v>
      </c>
      <c r="C156" s="44">
        <f>RawData!R888</f>
        <v>0</v>
      </c>
      <c r="D156" s="63">
        <f>RawData!S888</f>
        <v>0</v>
      </c>
      <c r="E156" s="44">
        <f>RawData!T888</f>
        <v>0</v>
      </c>
      <c r="F156" s="63">
        <f>RawData!U888</f>
        <v>0</v>
      </c>
      <c r="G156" s="44">
        <f>RawData!V888</f>
        <v>0</v>
      </c>
      <c r="H156" s="44">
        <f>RawData!W888</f>
        <v>0</v>
      </c>
      <c r="I156" s="44">
        <f>RawData!X888</f>
        <v>0</v>
      </c>
      <c r="J156" s="44">
        <f>RawData!Y888</f>
        <v>0</v>
      </c>
      <c r="K156" s="40">
        <f>RawData!Z888</f>
        <v>0</v>
      </c>
      <c r="L156" s="40">
        <f>RawData!AA888</f>
        <v>0</v>
      </c>
      <c r="M156" s="36">
        <f>RawData!AB888</f>
        <v>0</v>
      </c>
      <c r="N156" s="36">
        <f>RawData!AC888</f>
        <v>0</v>
      </c>
      <c r="O156" s="37">
        <f>RawData!AD888</f>
        <v>0</v>
      </c>
      <c r="P156" s="38">
        <f>RawData!AE888</f>
        <v>0</v>
      </c>
      <c r="Q156" s="39">
        <f>RawData!AF888</f>
        <v>0</v>
      </c>
      <c r="R156" s="38">
        <f>RawData!AG888</f>
        <v>0</v>
      </c>
      <c r="S156" s="40">
        <f>RawData!AH888</f>
        <v>0</v>
      </c>
      <c r="T156" s="40">
        <f>RawData!AI888</f>
        <v>0</v>
      </c>
      <c r="U156" s="40">
        <f>RawData!AJ888</f>
        <v>0</v>
      </c>
      <c r="V156" s="41">
        <f>RawData!AK888</f>
        <v>0</v>
      </c>
      <c r="W156" s="41">
        <f>RawData!AL888</f>
        <v>0</v>
      </c>
      <c r="X156" s="43">
        <f>RawData!CA888</f>
        <v>0</v>
      </c>
      <c r="Y156" s="41">
        <f>RawData!AM888</f>
        <v>0</v>
      </c>
      <c r="Z156" s="44">
        <f>RawData!CB888</f>
        <v>0</v>
      </c>
      <c r="AA156" s="44">
        <f>RawData!AN888</f>
        <v>0</v>
      </c>
      <c r="AB156" s="44">
        <f>RawData!AO888</f>
        <v>0</v>
      </c>
      <c r="AC156" s="44">
        <f>RawData!AP888</f>
        <v>0</v>
      </c>
      <c r="AD156" s="63">
        <f>RawData!BZ888</f>
        <v>0</v>
      </c>
      <c r="AE156" s="44">
        <f>RawData!AQ888</f>
        <v>0</v>
      </c>
      <c r="AF156" s="46">
        <f>RawData!O888</f>
        <v>0</v>
      </c>
      <c r="AG156" s="44">
        <f>RawData!AR888</f>
        <v>0</v>
      </c>
      <c r="AH156" s="44">
        <f>RawData!BY888</f>
        <v>0</v>
      </c>
      <c r="AI156" s="44">
        <f>RawData!AS888</f>
        <v>0</v>
      </c>
      <c r="AJ156" s="44">
        <f>RawData!AT888</f>
        <v>0</v>
      </c>
      <c r="AK156" s="44">
        <f>RawData!AU888</f>
        <v>0</v>
      </c>
      <c r="AL156" s="44">
        <f>RawData!BW888</f>
        <v>0</v>
      </c>
      <c r="AM156" s="41">
        <f>RawData!AV888</f>
        <v>0</v>
      </c>
      <c r="AN156" s="41">
        <f>RawData!BX888</f>
        <v>0</v>
      </c>
      <c r="AO156" s="41">
        <f>RawData!AW888</f>
        <v>0</v>
      </c>
      <c r="AP156" s="41">
        <f>RawData!AX888</f>
        <v>0</v>
      </c>
      <c r="AQ156" s="40">
        <f>RawData!AY888</f>
        <v>0</v>
      </c>
      <c r="AR156" s="40">
        <f>RawData!AZ888</f>
        <v>0</v>
      </c>
      <c r="AS156" s="40">
        <f>RawData!BA888</f>
        <v>0</v>
      </c>
      <c r="AT156" s="38">
        <f>RawData!BB888</f>
        <v>0</v>
      </c>
      <c r="AU156" s="40">
        <f>RawData!BC888</f>
        <v>0</v>
      </c>
      <c r="AV156" s="40">
        <f>RawData!BD888</f>
        <v>0</v>
      </c>
      <c r="AW156" s="38">
        <f>RawData!BE888</f>
        <v>0</v>
      </c>
      <c r="AX156" s="37">
        <f>RawData!BF888</f>
        <v>0</v>
      </c>
      <c r="AY156" s="36">
        <f>RawData!BG888</f>
        <v>0</v>
      </c>
      <c r="AZ156" s="36">
        <f>RawData!BH888</f>
        <v>0</v>
      </c>
      <c r="BA156" s="40">
        <f>RawData!BI888</f>
        <v>0</v>
      </c>
      <c r="BB156" s="44">
        <f>RawData!BJ888</f>
        <v>0</v>
      </c>
      <c r="BC156" s="44">
        <f>RawData!BK888</f>
        <v>0</v>
      </c>
      <c r="BD156" s="44">
        <f>RawData!BL888</f>
        <v>0</v>
      </c>
      <c r="BE156" s="44">
        <f>RawData!BM888</f>
        <v>0</v>
      </c>
      <c r="BF156" s="44">
        <f>RawData!BN888</f>
        <v>0</v>
      </c>
      <c r="BG156" s="63">
        <f>RawData!BO888</f>
        <v>0</v>
      </c>
      <c r="BH156" s="44">
        <f>RawData!BP888</f>
        <v>0</v>
      </c>
      <c r="BI156" s="63">
        <f>RawData!BQ888</f>
        <v>0</v>
      </c>
      <c r="BJ156" s="44">
        <f>RawData!BR888</f>
        <v>0</v>
      </c>
      <c r="BK156" s="47">
        <f>RawData!BS888</f>
        <v>0</v>
      </c>
      <c r="BL156" s="44">
        <f>RawData!BT888</f>
        <v>0</v>
      </c>
      <c r="BM156" s="47">
        <f>RawData!BV888</f>
        <v>0</v>
      </c>
      <c r="BN156" s="65">
        <f>RawData!CC888</f>
        <v>0</v>
      </c>
      <c r="BO156" s="66">
        <f>RawData!CD888</f>
        <v>0</v>
      </c>
      <c r="BQ156" s="21">
        <f t="shared" si="2"/>
        <v>0</v>
      </c>
    </row>
    <row r="157" spans="1:69" x14ac:dyDescent="0.2">
      <c r="A157" s="59">
        <f>RawData!P889</f>
        <v>0</v>
      </c>
      <c r="B157" s="44">
        <f>RawData!Q889</f>
        <v>0</v>
      </c>
      <c r="C157" s="44">
        <f>RawData!R889</f>
        <v>0</v>
      </c>
      <c r="D157" s="63">
        <f>RawData!S889</f>
        <v>0</v>
      </c>
      <c r="E157" s="44">
        <f>RawData!T889</f>
        <v>0</v>
      </c>
      <c r="F157" s="63">
        <f>RawData!U889</f>
        <v>0</v>
      </c>
      <c r="G157" s="44">
        <f>RawData!V889</f>
        <v>0</v>
      </c>
      <c r="H157" s="44">
        <f>RawData!W889</f>
        <v>0</v>
      </c>
      <c r="I157" s="44">
        <f>RawData!X889</f>
        <v>0</v>
      </c>
      <c r="J157" s="44">
        <f>RawData!Y889</f>
        <v>0</v>
      </c>
      <c r="K157" s="40">
        <f>RawData!Z889</f>
        <v>0</v>
      </c>
      <c r="L157" s="40">
        <f>RawData!AA889</f>
        <v>0</v>
      </c>
      <c r="M157" s="36">
        <f>RawData!AB889</f>
        <v>0</v>
      </c>
      <c r="N157" s="36">
        <f>RawData!AC889</f>
        <v>0</v>
      </c>
      <c r="O157" s="37">
        <f>RawData!AD889</f>
        <v>0</v>
      </c>
      <c r="P157" s="38">
        <f>RawData!AE889</f>
        <v>0</v>
      </c>
      <c r="Q157" s="39">
        <f>RawData!AF889</f>
        <v>0</v>
      </c>
      <c r="R157" s="38">
        <f>RawData!AG889</f>
        <v>0</v>
      </c>
      <c r="S157" s="40">
        <f>RawData!AH889</f>
        <v>0</v>
      </c>
      <c r="T157" s="40">
        <f>RawData!AI889</f>
        <v>0</v>
      </c>
      <c r="U157" s="40">
        <f>RawData!AJ889</f>
        <v>0</v>
      </c>
      <c r="V157" s="41">
        <f>RawData!AK889</f>
        <v>0</v>
      </c>
      <c r="W157" s="41">
        <f>RawData!AL889</f>
        <v>0</v>
      </c>
      <c r="X157" s="43">
        <f>RawData!CA889</f>
        <v>0</v>
      </c>
      <c r="Y157" s="41">
        <f>RawData!AM889</f>
        <v>0</v>
      </c>
      <c r="Z157" s="44">
        <f>RawData!CB889</f>
        <v>0</v>
      </c>
      <c r="AA157" s="44">
        <f>RawData!AN889</f>
        <v>0</v>
      </c>
      <c r="AB157" s="44">
        <f>RawData!AO889</f>
        <v>0</v>
      </c>
      <c r="AC157" s="44">
        <f>RawData!AP889</f>
        <v>0</v>
      </c>
      <c r="AD157" s="63">
        <f>RawData!BZ889</f>
        <v>0</v>
      </c>
      <c r="AE157" s="44">
        <f>RawData!AQ889</f>
        <v>0</v>
      </c>
      <c r="AF157" s="46">
        <f>RawData!O889</f>
        <v>0</v>
      </c>
      <c r="AG157" s="44">
        <f>RawData!AR889</f>
        <v>0</v>
      </c>
      <c r="AH157" s="44">
        <f>RawData!BY889</f>
        <v>0</v>
      </c>
      <c r="AI157" s="44">
        <f>RawData!AS889</f>
        <v>0</v>
      </c>
      <c r="AJ157" s="44">
        <f>RawData!AT889</f>
        <v>0</v>
      </c>
      <c r="AK157" s="44">
        <f>RawData!AU889</f>
        <v>0</v>
      </c>
      <c r="AL157" s="44">
        <f>RawData!BW889</f>
        <v>0</v>
      </c>
      <c r="AM157" s="41">
        <f>RawData!AV889</f>
        <v>0</v>
      </c>
      <c r="AN157" s="41">
        <f>RawData!BX889</f>
        <v>0</v>
      </c>
      <c r="AO157" s="41">
        <f>RawData!AW889</f>
        <v>0</v>
      </c>
      <c r="AP157" s="41">
        <f>RawData!AX889</f>
        <v>0</v>
      </c>
      <c r="AQ157" s="40">
        <f>RawData!AY889</f>
        <v>0</v>
      </c>
      <c r="AR157" s="40">
        <f>RawData!AZ889</f>
        <v>0</v>
      </c>
      <c r="AS157" s="40">
        <f>RawData!BA889</f>
        <v>0</v>
      </c>
      <c r="AT157" s="38">
        <f>RawData!BB889</f>
        <v>0</v>
      </c>
      <c r="AU157" s="40">
        <f>RawData!BC889</f>
        <v>0</v>
      </c>
      <c r="AV157" s="40">
        <f>RawData!BD889</f>
        <v>0</v>
      </c>
      <c r="AW157" s="38">
        <f>RawData!BE889</f>
        <v>0</v>
      </c>
      <c r="AX157" s="37">
        <f>RawData!BF889</f>
        <v>0</v>
      </c>
      <c r="AY157" s="36">
        <f>RawData!BG889</f>
        <v>0</v>
      </c>
      <c r="AZ157" s="36">
        <f>RawData!BH889</f>
        <v>0</v>
      </c>
      <c r="BA157" s="40">
        <f>RawData!BI889</f>
        <v>0</v>
      </c>
      <c r="BB157" s="44">
        <f>RawData!BJ889</f>
        <v>0</v>
      </c>
      <c r="BC157" s="44">
        <f>RawData!BK889</f>
        <v>0</v>
      </c>
      <c r="BD157" s="44">
        <f>RawData!BL889</f>
        <v>0</v>
      </c>
      <c r="BE157" s="44">
        <f>RawData!BM889</f>
        <v>0</v>
      </c>
      <c r="BF157" s="44">
        <f>RawData!BN889</f>
        <v>0</v>
      </c>
      <c r="BG157" s="63">
        <f>RawData!BO889</f>
        <v>0</v>
      </c>
      <c r="BH157" s="44">
        <f>RawData!BP889</f>
        <v>0</v>
      </c>
      <c r="BI157" s="63">
        <f>RawData!BQ889</f>
        <v>0</v>
      </c>
      <c r="BJ157" s="44">
        <f>RawData!BR889</f>
        <v>0</v>
      </c>
      <c r="BK157" s="47">
        <f>RawData!BS889</f>
        <v>0</v>
      </c>
      <c r="BL157" s="44">
        <f>RawData!BT889</f>
        <v>0</v>
      </c>
      <c r="BM157" s="47">
        <f>RawData!BV889</f>
        <v>0</v>
      </c>
      <c r="BN157" s="65">
        <f>RawData!CC889</f>
        <v>0</v>
      </c>
      <c r="BO157" s="66">
        <f>RawData!CD889</f>
        <v>0</v>
      </c>
      <c r="BQ157" s="21">
        <f t="shared" si="2"/>
        <v>0</v>
      </c>
    </row>
    <row r="158" spans="1:69" x14ac:dyDescent="0.2">
      <c r="A158" s="59">
        <f>RawData!P890</f>
        <v>0</v>
      </c>
      <c r="B158" s="44">
        <f>RawData!Q890</f>
        <v>0</v>
      </c>
      <c r="C158" s="44">
        <f>RawData!R890</f>
        <v>0</v>
      </c>
      <c r="D158" s="63">
        <f>RawData!S890</f>
        <v>0</v>
      </c>
      <c r="E158" s="44">
        <f>RawData!T890</f>
        <v>0</v>
      </c>
      <c r="F158" s="63">
        <f>RawData!U890</f>
        <v>0</v>
      </c>
      <c r="G158" s="44">
        <f>RawData!V890</f>
        <v>0</v>
      </c>
      <c r="H158" s="44">
        <f>RawData!W890</f>
        <v>0</v>
      </c>
      <c r="I158" s="44">
        <f>RawData!X890</f>
        <v>0</v>
      </c>
      <c r="J158" s="44">
        <f>RawData!Y890</f>
        <v>0</v>
      </c>
      <c r="K158" s="40">
        <f>RawData!Z890</f>
        <v>0</v>
      </c>
      <c r="L158" s="40">
        <f>RawData!AA890</f>
        <v>0</v>
      </c>
      <c r="M158" s="36">
        <f>RawData!AB890</f>
        <v>0</v>
      </c>
      <c r="N158" s="36">
        <f>RawData!AC890</f>
        <v>0</v>
      </c>
      <c r="O158" s="37">
        <f>RawData!AD890</f>
        <v>0</v>
      </c>
      <c r="P158" s="38">
        <f>RawData!AE890</f>
        <v>0</v>
      </c>
      <c r="Q158" s="39">
        <f>RawData!AF890</f>
        <v>0</v>
      </c>
      <c r="R158" s="38">
        <f>RawData!AG890</f>
        <v>0</v>
      </c>
      <c r="S158" s="40">
        <f>RawData!AH890</f>
        <v>0</v>
      </c>
      <c r="T158" s="40">
        <f>RawData!AI890</f>
        <v>0</v>
      </c>
      <c r="U158" s="40">
        <f>RawData!AJ890</f>
        <v>0</v>
      </c>
      <c r="V158" s="41">
        <f>RawData!AK890</f>
        <v>0</v>
      </c>
      <c r="W158" s="41">
        <f>RawData!AL890</f>
        <v>0</v>
      </c>
      <c r="X158" s="43">
        <f>RawData!CA890</f>
        <v>0</v>
      </c>
      <c r="Y158" s="41">
        <f>RawData!AM890</f>
        <v>0</v>
      </c>
      <c r="Z158" s="44">
        <f>RawData!CB890</f>
        <v>0</v>
      </c>
      <c r="AA158" s="44">
        <f>RawData!AN890</f>
        <v>0</v>
      </c>
      <c r="AB158" s="44">
        <f>RawData!AO890</f>
        <v>0</v>
      </c>
      <c r="AC158" s="44">
        <f>RawData!AP890</f>
        <v>0</v>
      </c>
      <c r="AD158" s="63">
        <f>RawData!BZ890</f>
        <v>0</v>
      </c>
      <c r="AE158" s="44">
        <f>RawData!AQ890</f>
        <v>0</v>
      </c>
      <c r="AF158" s="46">
        <f>RawData!O890</f>
        <v>0</v>
      </c>
      <c r="AG158" s="44">
        <f>RawData!AR890</f>
        <v>0</v>
      </c>
      <c r="AH158" s="44">
        <f>RawData!BY890</f>
        <v>0</v>
      </c>
      <c r="AI158" s="44">
        <f>RawData!AS890</f>
        <v>0</v>
      </c>
      <c r="AJ158" s="44">
        <f>RawData!AT890</f>
        <v>0</v>
      </c>
      <c r="AK158" s="44">
        <f>RawData!AU890</f>
        <v>0</v>
      </c>
      <c r="AL158" s="44">
        <f>RawData!BW890</f>
        <v>0</v>
      </c>
      <c r="AM158" s="41">
        <f>RawData!AV890</f>
        <v>0</v>
      </c>
      <c r="AN158" s="41">
        <f>RawData!BX890</f>
        <v>0</v>
      </c>
      <c r="AO158" s="41">
        <f>RawData!AW890</f>
        <v>0</v>
      </c>
      <c r="AP158" s="41">
        <f>RawData!AX890</f>
        <v>0</v>
      </c>
      <c r="AQ158" s="40">
        <f>RawData!AY890</f>
        <v>0</v>
      </c>
      <c r="AR158" s="40">
        <f>RawData!AZ890</f>
        <v>0</v>
      </c>
      <c r="AS158" s="40">
        <f>RawData!BA890</f>
        <v>0</v>
      </c>
      <c r="AT158" s="38">
        <f>RawData!BB890</f>
        <v>0</v>
      </c>
      <c r="AU158" s="40">
        <f>RawData!BC890</f>
        <v>0</v>
      </c>
      <c r="AV158" s="40">
        <f>RawData!BD890</f>
        <v>0</v>
      </c>
      <c r="AW158" s="38">
        <f>RawData!BE890</f>
        <v>0</v>
      </c>
      <c r="AX158" s="37">
        <f>RawData!BF890</f>
        <v>0</v>
      </c>
      <c r="AY158" s="36">
        <f>RawData!BG890</f>
        <v>0</v>
      </c>
      <c r="AZ158" s="36">
        <f>RawData!BH890</f>
        <v>0</v>
      </c>
      <c r="BA158" s="40">
        <f>RawData!BI890</f>
        <v>0</v>
      </c>
      <c r="BB158" s="44">
        <f>RawData!BJ890</f>
        <v>0</v>
      </c>
      <c r="BC158" s="44">
        <f>RawData!BK890</f>
        <v>0</v>
      </c>
      <c r="BD158" s="44">
        <f>RawData!BL890</f>
        <v>0</v>
      </c>
      <c r="BE158" s="44">
        <f>RawData!BM890</f>
        <v>0</v>
      </c>
      <c r="BF158" s="44">
        <f>RawData!BN890</f>
        <v>0</v>
      </c>
      <c r="BG158" s="63">
        <f>RawData!BO890</f>
        <v>0</v>
      </c>
      <c r="BH158" s="44">
        <f>RawData!BP890</f>
        <v>0</v>
      </c>
      <c r="BI158" s="63">
        <f>RawData!BQ890</f>
        <v>0</v>
      </c>
      <c r="BJ158" s="44">
        <f>RawData!BR890</f>
        <v>0</v>
      </c>
      <c r="BK158" s="47">
        <f>RawData!BS890</f>
        <v>0</v>
      </c>
      <c r="BL158" s="44">
        <f>RawData!BT890</f>
        <v>0</v>
      </c>
      <c r="BM158" s="47">
        <f>RawData!BV890</f>
        <v>0</v>
      </c>
      <c r="BN158" s="65">
        <f>RawData!CC890</f>
        <v>0</v>
      </c>
      <c r="BO158" s="66">
        <f>RawData!CD890</f>
        <v>0</v>
      </c>
      <c r="BQ158" s="21">
        <f t="shared" si="2"/>
        <v>0</v>
      </c>
    </row>
    <row r="159" spans="1:69" x14ac:dyDescent="0.2">
      <c r="A159" s="59">
        <f>RawData!P891</f>
        <v>0</v>
      </c>
      <c r="B159" s="44">
        <f>RawData!Q891</f>
        <v>0</v>
      </c>
      <c r="C159" s="44">
        <f>RawData!R891</f>
        <v>0</v>
      </c>
      <c r="D159" s="63">
        <f>RawData!S891</f>
        <v>0</v>
      </c>
      <c r="E159" s="44">
        <f>RawData!T891</f>
        <v>0</v>
      </c>
      <c r="F159" s="63">
        <f>RawData!U891</f>
        <v>0</v>
      </c>
      <c r="G159" s="44">
        <f>RawData!V891</f>
        <v>0</v>
      </c>
      <c r="H159" s="44">
        <f>RawData!W891</f>
        <v>0</v>
      </c>
      <c r="I159" s="44">
        <f>RawData!X891</f>
        <v>0</v>
      </c>
      <c r="J159" s="44">
        <f>RawData!Y891</f>
        <v>0</v>
      </c>
      <c r="K159" s="40">
        <f>RawData!Z891</f>
        <v>0</v>
      </c>
      <c r="L159" s="40">
        <f>RawData!AA891</f>
        <v>0</v>
      </c>
      <c r="M159" s="36">
        <f>RawData!AB891</f>
        <v>0</v>
      </c>
      <c r="N159" s="36">
        <f>RawData!AC891</f>
        <v>0</v>
      </c>
      <c r="O159" s="37">
        <f>RawData!AD891</f>
        <v>0</v>
      </c>
      <c r="P159" s="38">
        <f>RawData!AE891</f>
        <v>0</v>
      </c>
      <c r="Q159" s="39">
        <f>RawData!AF891</f>
        <v>0</v>
      </c>
      <c r="R159" s="38">
        <f>RawData!AG891</f>
        <v>0</v>
      </c>
      <c r="S159" s="40">
        <f>RawData!AH891</f>
        <v>0</v>
      </c>
      <c r="T159" s="40">
        <f>RawData!AI891</f>
        <v>0</v>
      </c>
      <c r="U159" s="40">
        <f>RawData!AJ891</f>
        <v>0</v>
      </c>
      <c r="V159" s="41">
        <f>RawData!AK891</f>
        <v>0</v>
      </c>
      <c r="W159" s="41">
        <f>RawData!AL891</f>
        <v>0</v>
      </c>
      <c r="X159" s="43">
        <f>RawData!CA891</f>
        <v>0</v>
      </c>
      <c r="Y159" s="41">
        <f>RawData!AM891</f>
        <v>0</v>
      </c>
      <c r="Z159" s="44">
        <f>RawData!CB891</f>
        <v>0</v>
      </c>
      <c r="AA159" s="44">
        <f>RawData!AN891</f>
        <v>0</v>
      </c>
      <c r="AB159" s="44">
        <f>RawData!AO891</f>
        <v>0</v>
      </c>
      <c r="AC159" s="44">
        <f>RawData!AP891</f>
        <v>0</v>
      </c>
      <c r="AD159" s="63">
        <f>RawData!BZ891</f>
        <v>0</v>
      </c>
      <c r="AE159" s="44">
        <f>RawData!AQ891</f>
        <v>0</v>
      </c>
      <c r="AF159" s="46">
        <f>RawData!O891</f>
        <v>0</v>
      </c>
      <c r="AG159" s="44">
        <f>RawData!AR891</f>
        <v>0</v>
      </c>
      <c r="AH159" s="44">
        <f>RawData!BY891</f>
        <v>0</v>
      </c>
      <c r="AI159" s="44">
        <f>RawData!AS891</f>
        <v>0</v>
      </c>
      <c r="AJ159" s="44">
        <f>RawData!AT891</f>
        <v>0</v>
      </c>
      <c r="AK159" s="44">
        <f>RawData!AU891</f>
        <v>0</v>
      </c>
      <c r="AL159" s="44">
        <f>RawData!BW891</f>
        <v>0</v>
      </c>
      <c r="AM159" s="41">
        <f>RawData!AV891</f>
        <v>0</v>
      </c>
      <c r="AN159" s="41">
        <f>RawData!BX891</f>
        <v>0</v>
      </c>
      <c r="AO159" s="41">
        <f>RawData!AW891</f>
        <v>0</v>
      </c>
      <c r="AP159" s="41">
        <f>RawData!AX891</f>
        <v>0</v>
      </c>
      <c r="AQ159" s="40">
        <f>RawData!AY891</f>
        <v>0</v>
      </c>
      <c r="AR159" s="40">
        <f>RawData!AZ891</f>
        <v>0</v>
      </c>
      <c r="AS159" s="40">
        <f>RawData!BA891</f>
        <v>0</v>
      </c>
      <c r="AT159" s="38">
        <f>RawData!BB891</f>
        <v>0</v>
      </c>
      <c r="AU159" s="40">
        <f>RawData!BC891</f>
        <v>0</v>
      </c>
      <c r="AV159" s="40">
        <f>RawData!BD891</f>
        <v>0</v>
      </c>
      <c r="AW159" s="38">
        <f>RawData!BE891</f>
        <v>0</v>
      </c>
      <c r="AX159" s="37">
        <f>RawData!BF891</f>
        <v>0</v>
      </c>
      <c r="AY159" s="36">
        <f>RawData!BG891</f>
        <v>0</v>
      </c>
      <c r="AZ159" s="36">
        <f>RawData!BH891</f>
        <v>0</v>
      </c>
      <c r="BA159" s="40">
        <f>RawData!BI891</f>
        <v>0</v>
      </c>
      <c r="BB159" s="44">
        <f>RawData!BJ891</f>
        <v>0</v>
      </c>
      <c r="BC159" s="44">
        <f>RawData!BK891</f>
        <v>0</v>
      </c>
      <c r="BD159" s="44">
        <f>RawData!BL891</f>
        <v>0</v>
      </c>
      <c r="BE159" s="44">
        <f>RawData!BM891</f>
        <v>0</v>
      </c>
      <c r="BF159" s="44">
        <f>RawData!BN891</f>
        <v>0</v>
      </c>
      <c r="BG159" s="63">
        <f>RawData!BO891</f>
        <v>0</v>
      </c>
      <c r="BH159" s="44">
        <f>RawData!BP891</f>
        <v>0</v>
      </c>
      <c r="BI159" s="63">
        <f>RawData!BQ891</f>
        <v>0</v>
      </c>
      <c r="BJ159" s="44">
        <f>RawData!BR891</f>
        <v>0</v>
      </c>
      <c r="BK159" s="47">
        <f>RawData!BS891</f>
        <v>0</v>
      </c>
      <c r="BL159" s="44">
        <f>RawData!BT891</f>
        <v>0</v>
      </c>
      <c r="BM159" s="47">
        <f>RawData!BV891</f>
        <v>0</v>
      </c>
      <c r="BN159" s="65">
        <f>RawData!CC891</f>
        <v>0</v>
      </c>
      <c r="BO159" s="66">
        <f>RawData!CD891</f>
        <v>0</v>
      </c>
      <c r="BQ159" s="21">
        <f t="shared" si="2"/>
        <v>0</v>
      </c>
    </row>
    <row r="160" spans="1:69" x14ac:dyDescent="0.2">
      <c r="A160" s="59">
        <f>RawData!P892</f>
        <v>0</v>
      </c>
      <c r="B160" s="44">
        <f>RawData!Q892</f>
        <v>0</v>
      </c>
      <c r="C160" s="44">
        <f>RawData!R892</f>
        <v>0</v>
      </c>
      <c r="D160" s="63">
        <f>RawData!S892</f>
        <v>0</v>
      </c>
      <c r="E160" s="44">
        <f>RawData!T892</f>
        <v>0</v>
      </c>
      <c r="F160" s="63">
        <f>RawData!U892</f>
        <v>0</v>
      </c>
      <c r="G160" s="44">
        <f>RawData!V892</f>
        <v>0</v>
      </c>
      <c r="H160" s="44">
        <f>RawData!W892</f>
        <v>0</v>
      </c>
      <c r="I160" s="44">
        <f>RawData!X892</f>
        <v>0</v>
      </c>
      <c r="J160" s="44">
        <f>RawData!Y892</f>
        <v>0</v>
      </c>
      <c r="K160" s="40">
        <f>RawData!Z892</f>
        <v>0</v>
      </c>
      <c r="L160" s="40">
        <f>RawData!AA892</f>
        <v>0</v>
      </c>
      <c r="M160" s="36">
        <f>RawData!AB892</f>
        <v>0</v>
      </c>
      <c r="N160" s="36">
        <f>RawData!AC892</f>
        <v>0</v>
      </c>
      <c r="O160" s="37">
        <f>RawData!AD892</f>
        <v>0</v>
      </c>
      <c r="P160" s="38">
        <f>RawData!AE892</f>
        <v>0</v>
      </c>
      <c r="Q160" s="39">
        <f>RawData!AF892</f>
        <v>0</v>
      </c>
      <c r="R160" s="38">
        <f>RawData!AG892</f>
        <v>0</v>
      </c>
      <c r="S160" s="40">
        <f>RawData!AH892</f>
        <v>0</v>
      </c>
      <c r="T160" s="40">
        <f>RawData!AI892</f>
        <v>0</v>
      </c>
      <c r="U160" s="40">
        <f>RawData!AJ892</f>
        <v>0</v>
      </c>
      <c r="V160" s="41">
        <f>RawData!AK892</f>
        <v>0</v>
      </c>
      <c r="W160" s="41">
        <f>RawData!AL892</f>
        <v>0</v>
      </c>
      <c r="X160" s="43">
        <f>RawData!CA892</f>
        <v>0</v>
      </c>
      <c r="Y160" s="41">
        <f>RawData!AM892</f>
        <v>0</v>
      </c>
      <c r="Z160" s="44">
        <f>RawData!CB892</f>
        <v>0</v>
      </c>
      <c r="AA160" s="44">
        <f>RawData!AN892</f>
        <v>0</v>
      </c>
      <c r="AB160" s="44">
        <f>RawData!AO892</f>
        <v>0</v>
      </c>
      <c r="AC160" s="44">
        <f>RawData!AP892</f>
        <v>0</v>
      </c>
      <c r="AD160" s="63">
        <f>RawData!BZ892</f>
        <v>0</v>
      </c>
      <c r="AE160" s="44">
        <f>RawData!AQ892</f>
        <v>0</v>
      </c>
      <c r="AF160" s="46">
        <f>RawData!O892</f>
        <v>0</v>
      </c>
      <c r="AG160" s="44">
        <f>RawData!AR892</f>
        <v>0</v>
      </c>
      <c r="AH160" s="44">
        <f>RawData!BY892</f>
        <v>0</v>
      </c>
      <c r="AI160" s="44">
        <f>RawData!AS892</f>
        <v>0</v>
      </c>
      <c r="AJ160" s="44">
        <f>RawData!AT892</f>
        <v>0</v>
      </c>
      <c r="AK160" s="44">
        <f>RawData!AU892</f>
        <v>0</v>
      </c>
      <c r="AL160" s="44">
        <f>RawData!BW892</f>
        <v>0</v>
      </c>
      <c r="AM160" s="41">
        <f>RawData!AV892</f>
        <v>0</v>
      </c>
      <c r="AN160" s="41">
        <f>RawData!BX892</f>
        <v>0</v>
      </c>
      <c r="AO160" s="41">
        <f>RawData!AW892</f>
        <v>0</v>
      </c>
      <c r="AP160" s="41">
        <f>RawData!AX892</f>
        <v>0</v>
      </c>
      <c r="AQ160" s="40">
        <f>RawData!AY892</f>
        <v>0</v>
      </c>
      <c r="AR160" s="40">
        <f>RawData!AZ892</f>
        <v>0</v>
      </c>
      <c r="AS160" s="40">
        <f>RawData!BA892</f>
        <v>0</v>
      </c>
      <c r="AT160" s="38">
        <f>RawData!BB892</f>
        <v>0</v>
      </c>
      <c r="AU160" s="40">
        <f>RawData!BC892</f>
        <v>0</v>
      </c>
      <c r="AV160" s="40">
        <f>RawData!BD892</f>
        <v>0</v>
      </c>
      <c r="AW160" s="38">
        <f>RawData!BE892</f>
        <v>0</v>
      </c>
      <c r="AX160" s="37">
        <f>RawData!BF892</f>
        <v>0</v>
      </c>
      <c r="AY160" s="36">
        <f>RawData!BG892</f>
        <v>0</v>
      </c>
      <c r="AZ160" s="36">
        <f>RawData!BH892</f>
        <v>0</v>
      </c>
      <c r="BA160" s="40">
        <f>RawData!BI892</f>
        <v>0</v>
      </c>
      <c r="BB160" s="44">
        <f>RawData!BJ892</f>
        <v>0</v>
      </c>
      <c r="BC160" s="44">
        <f>RawData!BK892</f>
        <v>0</v>
      </c>
      <c r="BD160" s="44">
        <f>RawData!BL892</f>
        <v>0</v>
      </c>
      <c r="BE160" s="44">
        <f>RawData!BM892</f>
        <v>0</v>
      </c>
      <c r="BF160" s="44">
        <f>RawData!BN892</f>
        <v>0</v>
      </c>
      <c r="BG160" s="63">
        <f>RawData!BO892</f>
        <v>0</v>
      </c>
      <c r="BH160" s="44">
        <f>RawData!BP892</f>
        <v>0</v>
      </c>
      <c r="BI160" s="63">
        <f>RawData!BQ892</f>
        <v>0</v>
      </c>
      <c r="BJ160" s="44">
        <f>RawData!BR892</f>
        <v>0</v>
      </c>
      <c r="BK160" s="47">
        <f>RawData!BS892</f>
        <v>0</v>
      </c>
      <c r="BL160" s="44">
        <f>RawData!BT892</f>
        <v>0</v>
      </c>
      <c r="BM160" s="47">
        <f>RawData!BV892</f>
        <v>0</v>
      </c>
      <c r="BN160" s="65">
        <f>RawData!CC892</f>
        <v>0</v>
      </c>
      <c r="BO160" s="66">
        <f>RawData!CD892</f>
        <v>0</v>
      </c>
      <c r="BQ160" s="21">
        <f t="shared" si="2"/>
        <v>0</v>
      </c>
    </row>
    <row r="161" spans="1:69" x14ac:dyDescent="0.2">
      <c r="A161" s="59">
        <f>RawData!P893</f>
        <v>0</v>
      </c>
      <c r="B161" s="44">
        <f>RawData!Q893</f>
        <v>0</v>
      </c>
      <c r="C161" s="44">
        <f>RawData!R893</f>
        <v>0</v>
      </c>
      <c r="D161" s="63">
        <f>RawData!S893</f>
        <v>0</v>
      </c>
      <c r="E161" s="44">
        <f>RawData!T893</f>
        <v>0</v>
      </c>
      <c r="F161" s="63">
        <f>RawData!U893</f>
        <v>0</v>
      </c>
      <c r="G161" s="44">
        <f>RawData!V893</f>
        <v>0</v>
      </c>
      <c r="H161" s="44">
        <f>RawData!W893</f>
        <v>0</v>
      </c>
      <c r="I161" s="44">
        <f>RawData!X893</f>
        <v>0</v>
      </c>
      <c r="J161" s="44">
        <f>RawData!Y893</f>
        <v>0</v>
      </c>
      <c r="K161" s="40">
        <f>RawData!Z893</f>
        <v>0</v>
      </c>
      <c r="L161" s="40">
        <f>RawData!AA893</f>
        <v>0</v>
      </c>
      <c r="M161" s="36">
        <f>RawData!AB893</f>
        <v>0</v>
      </c>
      <c r="N161" s="36">
        <f>RawData!AC893</f>
        <v>0</v>
      </c>
      <c r="O161" s="37">
        <f>RawData!AD893</f>
        <v>0</v>
      </c>
      <c r="P161" s="38">
        <f>RawData!AE893</f>
        <v>0</v>
      </c>
      <c r="Q161" s="39">
        <f>RawData!AF893</f>
        <v>0</v>
      </c>
      <c r="R161" s="38">
        <f>RawData!AG893</f>
        <v>0</v>
      </c>
      <c r="S161" s="40">
        <f>RawData!AH893</f>
        <v>0</v>
      </c>
      <c r="T161" s="40">
        <f>RawData!AI893</f>
        <v>0</v>
      </c>
      <c r="U161" s="40">
        <f>RawData!AJ893</f>
        <v>0</v>
      </c>
      <c r="V161" s="41">
        <f>RawData!AK893</f>
        <v>0</v>
      </c>
      <c r="W161" s="41">
        <f>RawData!AL893</f>
        <v>0</v>
      </c>
      <c r="X161" s="43">
        <f>RawData!CA893</f>
        <v>0</v>
      </c>
      <c r="Y161" s="41">
        <f>RawData!AM893</f>
        <v>0</v>
      </c>
      <c r="Z161" s="44">
        <f>RawData!CB893</f>
        <v>0</v>
      </c>
      <c r="AA161" s="44">
        <f>RawData!AN893</f>
        <v>0</v>
      </c>
      <c r="AB161" s="44">
        <f>RawData!AO893</f>
        <v>0</v>
      </c>
      <c r="AC161" s="44">
        <f>RawData!AP893</f>
        <v>0</v>
      </c>
      <c r="AD161" s="63">
        <f>RawData!BZ893</f>
        <v>0</v>
      </c>
      <c r="AE161" s="44">
        <f>RawData!AQ893</f>
        <v>0</v>
      </c>
      <c r="AF161" s="46">
        <f>RawData!O893</f>
        <v>0</v>
      </c>
      <c r="AG161" s="44">
        <f>RawData!AR893</f>
        <v>0</v>
      </c>
      <c r="AH161" s="44">
        <f>RawData!BY893</f>
        <v>0</v>
      </c>
      <c r="AI161" s="44">
        <f>RawData!AS893</f>
        <v>0</v>
      </c>
      <c r="AJ161" s="44">
        <f>RawData!AT893</f>
        <v>0</v>
      </c>
      <c r="AK161" s="44">
        <f>RawData!AU893</f>
        <v>0</v>
      </c>
      <c r="AL161" s="44">
        <f>RawData!BW893</f>
        <v>0</v>
      </c>
      <c r="AM161" s="41">
        <f>RawData!AV893</f>
        <v>0</v>
      </c>
      <c r="AN161" s="41">
        <f>RawData!BX893</f>
        <v>0</v>
      </c>
      <c r="AO161" s="41">
        <f>RawData!AW893</f>
        <v>0</v>
      </c>
      <c r="AP161" s="41">
        <f>RawData!AX893</f>
        <v>0</v>
      </c>
      <c r="AQ161" s="40">
        <f>RawData!AY893</f>
        <v>0</v>
      </c>
      <c r="AR161" s="40">
        <f>RawData!AZ893</f>
        <v>0</v>
      </c>
      <c r="AS161" s="40">
        <f>RawData!BA893</f>
        <v>0</v>
      </c>
      <c r="AT161" s="38">
        <f>RawData!BB893</f>
        <v>0</v>
      </c>
      <c r="AU161" s="40">
        <f>RawData!BC893</f>
        <v>0</v>
      </c>
      <c r="AV161" s="40">
        <f>RawData!BD893</f>
        <v>0</v>
      </c>
      <c r="AW161" s="38">
        <f>RawData!BE893</f>
        <v>0</v>
      </c>
      <c r="AX161" s="37">
        <f>RawData!BF893</f>
        <v>0</v>
      </c>
      <c r="AY161" s="36">
        <f>RawData!BG893</f>
        <v>0</v>
      </c>
      <c r="AZ161" s="36">
        <f>RawData!BH893</f>
        <v>0</v>
      </c>
      <c r="BA161" s="40">
        <f>RawData!BI893</f>
        <v>0</v>
      </c>
      <c r="BB161" s="44">
        <f>RawData!BJ893</f>
        <v>0</v>
      </c>
      <c r="BC161" s="44">
        <f>RawData!BK893</f>
        <v>0</v>
      </c>
      <c r="BD161" s="44">
        <f>RawData!BL893</f>
        <v>0</v>
      </c>
      <c r="BE161" s="44">
        <f>RawData!BM893</f>
        <v>0</v>
      </c>
      <c r="BF161" s="44">
        <f>RawData!BN893</f>
        <v>0</v>
      </c>
      <c r="BG161" s="63">
        <f>RawData!BO893</f>
        <v>0</v>
      </c>
      <c r="BH161" s="44">
        <f>RawData!BP893</f>
        <v>0</v>
      </c>
      <c r="BI161" s="63">
        <f>RawData!BQ893</f>
        <v>0</v>
      </c>
      <c r="BJ161" s="44">
        <f>RawData!BR893</f>
        <v>0</v>
      </c>
      <c r="BK161" s="47">
        <f>RawData!BS893</f>
        <v>0</v>
      </c>
      <c r="BL161" s="44">
        <f>RawData!BT893</f>
        <v>0</v>
      </c>
      <c r="BM161" s="47">
        <f>RawData!BV893</f>
        <v>0</v>
      </c>
      <c r="BN161" s="65">
        <f>RawData!CC893</f>
        <v>0</v>
      </c>
      <c r="BO161" s="66">
        <f>RawData!CD893</f>
        <v>0</v>
      </c>
      <c r="BQ161" s="21">
        <f t="shared" si="2"/>
        <v>0</v>
      </c>
    </row>
    <row r="162" spans="1:69" x14ac:dyDescent="0.2">
      <c r="A162" s="59">
        <f>RawData!P894</f>
        <v>0</v>
      </c>
      <c r="B162" s="44">
        <f>RawData!Q894</f>
        <v>0</v>
      </c>
      <c r="C162" s="44">
        <f>RawData!R894</f>
        <v>0</v>
      </c>
      <c r="D162" s="63">
        <f>RawData!S894</f>
        <v>0</v>
      </c>
      <c r="E162" s="44">
        <f>RawData!T894</f>
        <v>0</v>
      </c>
      <c r="F162" s="63">
        <f>RawData!U894</f>
        <v>0</v>
      </c>
      <c r="G162" s="44">
        <f>RawData!V894</f>
        <v>0</v>
      </c>
      <c r="H162" s="44">
        <f>RawData!W894</f>
        <v>0</v>
      </c>
      <c r="I162" s="44">
        <f>RawData!X894</f>
        <v>0</v>
      </c>
      <c r="J162" s="44">
        <f>RawData!Y894</f>
        <v>0</v>
      </c>
      <c r="K162" s="40">
        <f>RawData!Z894</f>
        <v>0</v>
      </c>
      <c r="L162" s="40">
        <f>RawData!AA894</f>
        <v>0</v>
      </c>
      <c r="M162" s="36">
        <f>RawData!AB894</f>
        <v>0</v>
      </c>
      <c r="N162" s="36">
        <f>RawData!AC894</f>
        <v>0</v>
      </c>
      <c r="O162" s="37">
        <f>RawData!AD894</f>
        <v>0</v>
      </c>
      <c r="P162" s="38">
        <f>RawData!AE894</f>
        <v>0</v>
      </c>
      <c r="Q162" s="39">
        <f>RawData!AF894</f>
        <v>0</v>
      </c>
      <c r="R162" s="38">
        <f>RawData!AG894</f>
        <v>0</v>
      </c>
      <c r="S162" s="40">
        <f>RawData!AH894</f>
        <v>0</v>
      </c>
      <c r="T162" s="40">
        <f>RawData!AI894</f>
        <v>0</v>
      </c>
      <c r="U162" s="40">
        <f>RawData!AJ894</f>
        <v>0</v>
      </c>
      <c r="V162" s="41">
        <f>RawData!AK894</f>
        <v>0</v>
      </c>
      <c r="W162" s="41">
        <f>RawData!AL894</f>
        <v>0</v>
      </c>
      <c r="X162" s="43">
        <f>RawData!CA894</f>
        <v>0</v>
      </c>
      <c r="Y162" s="41">
        <f>RawData!AM894</f>
        <v>0</v>
      </c>
      <c r="Z162" s="44">
        <f>RawData!CB894</f>
        <v>0</v>
      </c>
      <c r="AA162" s="44">
        <f>RawData!AN894</f>
        <v>0</v>
      </c>
      <c r="AB162" s="44">
        <f>RawData!AO894</f>
        <v>0</v>
      </c>
      <c r="AC162" s="44">
        <f>RawData!AP894</f>
        <v>0</v>
      </c>
      <c r="AD162" s="63">
        <f>RawData!BZ894</f>
        <v>0</v>
      </c>
      <c r="AE162" s="44">
        <f>RawData!AQ894</f>
        <v>0</v>
      </c>
      <c r="AF162" s="46">
        <f>RawData!O894</f>
        <v>0</v>
      </c>
      <c r="AG162" s="44">
        <f>RawData!AR894</f>
        <v>0</v>
      </c>
      <c r="AH162" s="44">
        <f>RawData!BY894</f>
        <v>0</v>
      </c>
      <c r="AI162" s="44">
        <f>RawData!AS894</f>
        <v>0</v>
      </c>
      <c r="AJ162" s="44">
        <f>RawData!AT894</f>
        <v>0</v>
      </c>
      <c r="AK162" s="44">
        <f>RawData!AU894</f>
        <v>0</v>
      </c>
      <c r="AL162" s="44">
        <f>RawData!BW894</f>
        <v>0</v>
      </c>
      <c r="AM162" s="41">
        <f>RawData!AV894</f>
        <v>0</v>
      </c>
      <c r="AN162" s="41">
        <f>RawData!BX894</f>
        <v>0</v>
      </c>
      <c r="AO162" s="41">
        <f>RawData!AW894</f>
        <v>0</v>
      </c>
      <c r="AP162" s="41">
        <f>RawData!AX894</f>
        <v>0</v>
      </c>
      <c r="AQ162" s="40">
        <f>RawData!AY894</f>
        <v>0</v>
      </c>
      <c r="AR162" s="40">
        <f>RawData!AZ894</f>
        <v>0</v>
      </c>
      <c r="AS162" s="40">
        <f>RawData!BA894</f>
        <v>0</v>
      </c>
      <c r="AT162" s="38">
        <f>RawData!BB894</f>
        <v>0</v>
      </c>
      <c r="AU162" s="40">
        <f>RawData!BC894</f>
        <v>0</v>
      </c>
      <c r="AV162" s="40">
        <f>RawData!BD894</f>
        <v>0</v>
      </c>
      <c r="AW162" s="38">
        <f>RawData!BE894</f>
        <v>0</v>
      </c>
      <c r="AX162" s="37">
        <f>RawData!BF894</f>
        <v>0</v>
      </c>
      <c r="AY162" s="36">
        <f>RawData!BG894</f>
        <v>0</v>
      </c>
      <c r="AZ162" s="36">
        <f>RawData!BH894</f>
        <v>0</v>
      </c>
      <c r="BA162" s="40">
        <f>RawData!BI894</f>
        <v>0</v>
      </c>
      <c r="BB162" s="44">
        <f>RawData!BJ894</f>
        <v>0</v>
      </c>
      <c r="BC162" s="44">
        <f>RawData!BK894</f>
        <v>0</v>
      </c>
      <c r="BD162" s="44">
        <f>RawData!BL894</f>
        <v>0</v>
      </c>
      <c r="BE162" s="44">
        <f>RawData!BM894</f>
        <v>0</v>
      </c>
      <c r="BF162" s="44">
        <f>RawData!BN894</f>
        <v>0</v>
      </c>
      <c r="BG162" s="63">
        <f>RawData!BO894</f>
        <v>0</v>
      </c>
      <c r="BH162" s="44">
        <f>RawData!BP894</f>
        <v>0</v>
      </c>
      <c r="BI162" s="63">
        <f>RawData!BQ894</f>
        <v>0</v>
      </c>
      <c r="BJ162" s="44">
        <f>RawData!BR894</f>
        <v>0</v>
      </c>
      <c r="BK162" s="47">
        <f>RawData!BS894</f>
        <v>0</v>
      </c>
      <c r="BL162" s="44">
        <f>RawData!BT894</f>
        <v>0</v>
      </c>
      <c r="BM162" s="47">
        <f>RawData!BV894</f>
        <v>0</v>
      </c>
      <c r="BN162" s="65">
        <f>RawData!CC894</f>
        <v>0</v>
      </c>
      <c r="BO162" s="66">
        <f>RawData!CD894</f>
        <v>0</v>
      </c>
      <c r="BQ162" s="21">
        <f t="shared" si="2"/>
        <v>0</v>
      </c>
    </row>
    <row r="163" spans="1:69" x14ac:dyDescent="0.2">
      <c r="A163" s="59">
        <f>RawData!P895</f>
        <v>0</v>
      </c>
      <c r="B163" s="44">
        <f>RawData!Q895</f>
        <v>0</v>
      </c>
      <c r="C163" s="44">
        <f>RawData!R895</f>
        <v>0</v>
      </c>
      <c r="D163" s="63">
        <f>RawData!S895</f>
        <v>0</v>
      </c>
      <c r="E163" s="44">
        <f>RawData!T895</f>
        <v>0</v>
      </c>
      <c r="F163" s="63">
        <f>RawData!U895</f>
        <v>0</v>
      </c>
      <c r="G163" s="44">
        <f>RawData!V895</f>
        <v>0</v>
      </c>
      <c r="H163" s="44">
        <f>RawData!W895</f>
        <v>0</v>
      </c>
      <c r="I163" s="44">
        <f>RawData!X895</f>
        <v>0</v>
      </c>
      <c r="J163" s="44">
        <f>RawData!Y895</f>
        <v>0</v>
      </c>
      <c r="K163" s="40">
        <f>RawData!Z895</f>
        <v>0</v>
      </c>
      <c r="L163" s="40">
        <f>RawData!AA895</f>
        <v>0</v>
      </c>
      <c r="M163" s="36">
        <f>RawData!AB895</f>
        <v>0</v>
      </c>
      <c r="N163" s="36">
        <f>RawData!AC895</f>
        <v>0</v>
      </c>
      <c r="O163" s="37">
        <f>RawData!AD895</f>
        <v>0</v>
      </c>
      <c r="P163" s="38">
        <f>RawData!AE895</f>
        <v>0</v>
      </c>
      <c r="Q163" s="39">
        <f>RawData!AF895</f>
        <v>0</v>
      </c>
      <c r="R163" s="38">
        <f>RawData!AG895</f>
        <v>0</v>
      </c>
      <c r="S163" s="40">
        <f>RawData!AH895</f>
        <v>0</v>
      </c>
      <c r="T163" s="40">
        <f>RawData!AI895</f>
        <v>0</v>
      </c>
      <c r="U163" s="40">
        <f>RawData!AJ895</f>
        <v>0</v>
      </c>
      <c r="V163" s="41">
        <f>RawData!AK895</f>
        <v>0</v>
      </c>
      <c r="W163" s="41">
        <f>RawData!AL895</f>
        <v>0</v>
      </c>
      <c r="X163" s="43">
        <f>RawData!CA895</f>
        <v>0</v>
      </c>
      <c r="Y163" s="41">
        <f>RawData!AM895</f>
        <v>0</v>
      </c>
      <c r="Z163" s="44">
        <f>RawData!CB895</f>
        <v>0</v>
      </c>
      <c r="AA163" s="44">
        <f>RawData!AN895</f>
        <v>0</v>
      </c>
      <c r="AB163" s="44">
        <f>RawData!AO895</f>
        <v>0</v>
      </c>
      <c r="AC163" s="44">
        <f>RawData!AP895</f>
        <v>0</v>
      </c>
      <c r="AD163" s="63">
        <f>RawData!BZ895</f>
        <v>0</v>
      </c>
      <c r="AE163" s="44">
        <f>RawData!AQ895</f>
        <v>0</v>
      </c>
      <c r="AF163" s="46">
        <f>RawData!O895</f>
        <v>0</v>
      </c>
      <c r="AG163" s="44">
        <f>RawData!AR895</f>
        <v>0</v>
      </c>
      <c r="AH163" s="44">
        <f>RawData!BY895</f>
        <v>0</v>
      </c>
      <c r="AI163" s="44">
        <f>RawData!AS895</f>
        <v>0</v>
      </c>
      <c r="AJ163" s="44">
        <f>RawData!AT895</f>
        <v>0</v>
      </c>
      <c r="AK163" s="44">
        <f>RawData!AU895</f>
        <v>0</v>
      </c>
      <c r="AL163" s="44">
        <f>RawData!BW895</f>
        <v>0</v>
      </c>
      <c r="AM163" s="41">
        <f>RawData!AV895</f>
        <v>0</v>
      </c>
      <c r="AN163" s="41">
        <f>RawData!BX895</f>
        <v>0</v>
      </c>
      <c r="AO163" s="41">
        <f>RawData!AW895</f>
        <v>0</v>
      </c>
      <c r="AP163" s="41">
        <f>RawData!AX895</f>
        <v>0</v>
      </c>
      <c r="AQ163" s="40">
        <f>RawData!AY895</f>
        <v>0</v>
      </c>
      <c r="AR163" s="40">
        <f>RawData!AZ895</f>
        <v>0</v>
      </c>
      <c r="AS163" s="40">
        <f>RawData!BA895</f>
        <v>0</v>
      </c>
      <c r="AT163" s="38">
        <f>RawData!BB895</f>
        <v>0</v>
      </c>
      <c r="AU163" s="40">
        <f>RawData!BC895</f>
        <v>0</v>
      </c>
      <c r="AV163" s="40">
        <f>RawData!BD895</f>
        <v>0</v>
      </c>
      <c r="AW163" s="38">
        <f>RawData!BE895</f>
        <v>0</v>
      </c>
      <c r="AX163" s="37">
        <f>RawData!BF895</f>
        <v>0</v>
      </c>
      <c r="AY163" s="36">
        <f>RawData!BG895</f>
        <v>0</v>
      </c>
      <c r="AZ163" s="36">
        <f>RawData!BH895</f>
        <v>0</v>
      </c>
      <c r="BA163" s="40">
        <f>RawData!BI895</f>
        <v>0</v>
      </c>
      <c r="BB163" s="44">
        <f>RawData!BJ895</f>
        <v>0</v>
      </c>
      <c r="BC163" s="44">
        <f>RawData!BK895</f>
        <v>0</v>
      </c>
      <c r="BD163" s="44">
        <f>RawData!BL895</f>
        <v>0</v>
      </c>
      <c r="BE163" s="44">
        <f>RawData!BM895</f>
        <v>0</v>
      </c>
      <c r="BF163" s="44">
        <f>RawData!BN895</f>
        <v>0</v>
      </c>
      <c r="BG163" s="63">
        <f>RawData!BO895</f>
        <v>0</v>
      </c>
      <c r="BH163" s="44">
        <f>RawData!BP895</f>
        <v>0</v>
      </c>
      <c r="BI163" s="63">
        <f>RawData!BQ895</f>
        <v>0</v>
      </c>
      <c r="BJ163" s="44">
        <f>RawData!BR895</f>
        <v>0</v>
      </c>
      <c r="BK163" s="47">
        <f>RawData!BS895</f>
        <v>0</v>
      </c>
      <c r="BL163" s="44">
        <f>RawData!BT895</f>
        <v>0</v>
      </c>
      <c r="BM163" s="47">
        <f>RawData!BV895</f>
        <v>0</v>
      </c>
      <c r="BN163" s="65">
        <f>RawData!CC895</f>
        <v>0</v>
      </c>
      <c r="BO163" s="66">
        <f>RawData!CD895</f>
        <v>0</v>
      </c>
      <c r="BQ163" s="21">
        <f t="shared" si="2"/>
        <v>0</v>
      </c>
    </row>
    <row r="164" spans="1:69" x14ac:dyDescent="0.2">
      <c r="A164" s="59">
        <f>RawData!P896</f>
        <v>0</v>
      </c>
      <c r="B164" s="44">
        <f>RawData!Q896</f>
        <v>0</v>
      </c>
      <c r="C164" s="44">
        <f>RawData!R896</f>
        <v>0</v>
      </c>
      <c r="D164" s="63">
        <f>RawData!S896</f>
        <v>0</v>
      </c>
      <c r="E164" s="44">
        <f>RawData!T896</f>
        <v>0</v>
      </c>
      <c r="F164" s="63">
        <f>RawData!U896</f>
        <v>0</v>
      </c>
      <c r="G164" s="44">
        <f>RawData!V896</f>
        <v>0</v>
      </c>
      <c r="H164" s="44">
        <f>RawData!W896</f>
        <v>0</v>
      </c>
      <c r="I164" s="44">
        <f>RawData!X896</f>
        <v>0</v>
      </c>
      <c r="J164" s="44">
        <f>RawData!Y896</f>
        <v>0</v>
      </c>
      <c r="K164" s="40">
        <f>RawData!Z896</f>
        <v>0</v>
      </c>
      <c r="L164" s="40">
        <f>RawData!AA896</f>
        <v>0</v>
      </c>
      <c r="M164" s="36">
        <f>RawData!AB896</f>
        <v>0</v>
      </c>
      <c r="N164" s="36">
        <f>RawData!AC896</f>
        <v>0</v>
      </c>
      <c r="O164" s="37">
        <f>RawData!AD896</f>
        <v>0</v>
      </c>
      <c r="P164" s="38">
        <f>RawData!AE896</f>
        <v>0</v>
      </c>
      <c r="Q164" s="39">
        <f>RawData!AF896</f>
        <v>0</v>
      </c>
      <c r="R164" s="38">
        <f>RawData!AG896</f>
        <v>0</v>
      </c>
      <c r="S164" s="40">
        <f>RawData!AH896</f>
        <v>0</v>
      </c>
      <c r="T164" s="40">
        <f>RawData!AI896</f>
        <v>0</v>
      </c>
      <c r="U164" s="40">
        <f>RawData!AJ896</f>
        <v>0</v>
      </c>
      <c r="V164" s="41">
        <f>RawData!AK896</f>
        <v>0</v>
      </c>
      <c r="W164" s="41">
        <f>RawData!AL896</f>
        <v>0</v>
      </c>
      <c r="X164" s="43">
        <f>RawData!CA896</f>
        <v>0</v>
      </c>
      <c r="Y164" s="41">
        <f>RawData!AM896</f>
        <v>0</v>
      </c>
      <c r="Z164" s="44">
        <f>RawData!CB896</f>
        <v>0</v>
      </c>
      <c r="AA164" s="44">
        <f>RawData!AN896</f>
        <v>0</v>
      </c>
      <c r="AB164" s="44">
        <f>RawData!AO896</f>
        <v>0</v>
      </c>
      <c r="AC164" s="44">
        <f>RawData!AP896</f>
        <v>0</v>
      </c>
      <c r="AD164" s="63">
        <f>RawData!BZ896</f>
        <v>0</v>
      </c>
      <c r="AE164" s="44">
        <f>RawData!AQ896</f>
        <v>0</v>
      </c>
      <c r="AF164" s="46">
        <f>RawData!O896</f>
        <v>0</v>
      </c>
      <c r="AG164" s="44">
        <f>RawData!AR896</f>
        <v>0</v>
      </c>
      <c r="AH164" s="44">
        <f>RawData!BY896</f>
        <v>0</v>
      </c>
      <c r="AI164" s="44">
        <f>RawData!AS896</f>
        <v>0</v>
      </c>
      <c r="AJ164" s="44">
        <f>RawData!AT896</f>
        <v>0</v>
      </c>
      <c r="AK164" s="44">
        <f>RawData!AU896</f>
        <v>0</v>
      </c>
      <c r="AL164" s="44">
        <f>RawData!BW896</f>
        <v>0</v>
      </c>
      <c r="AM164" s="41">
        <f>RawData!AV896</f>
        <v>0</v>
      </c>
      <c r="AN164" s="41">
        <f>RawData!BX896</f>
        <v>0</v>
      </c>
      <c r="AO164" s="41">
        <f>RawData!AW896</f>
        <v>0</v>
      </c>
      <c r="AP164" s="41">
        <f>RawData!AX896</f>
        <v>0</v>
      </c>
      <c r="AQ164" s="40">
        <f>RawData!AY896</f>
        <v>0</v>
      </c>
      <c r="AR164" s="40">
        <f>RawData!AZ896</f>
        <v>0</v>
      </c>
      <c r="AS164" s="40">
        <f>RawData!BA896</f>
        <v>0</v>
      </c>
      <c r="AT164" s="38">
        <f>RawData!BB896</f>
        <v>0</v>
      </c>
      <c r="AU164" s="40">
        <f>RawData!BC896</f>
        <v>0</v>
      </c>
      <c r="AV164" s="40">
        <f>RawData!BD896</f>
        <v>0</v>
      </c>
      <c r="AW164" s="38">
        <f>RawData!BE896</f>
        <v>0</v>
      </c>
      <c r="AX164" s="37">
        <f>RawData!BF896</f>
        <v>0</v>
      </c>
      <c r="AY164" s="36">
        <f>RawData!BG896</f>
        <v>0</v>
      </c>
      <c r="AZ164" s="36">
        <f>RawData!BH896</f>
        <v>0</v>
      </c>
      <c r="BA164" s="40">
        <f>RawData!BI896</f>
        <v>0</v>
      </c>
      <c r="BB164" s="44">
        <f>RawData!BJ896</f>
        <v>0</v>
      </c>
      <c r="BC164" s="44">
        <f>RawData!BK896</f>
        <v>0</v>
      </c>
      <c r="BD164" s="44">
        <f>RawData!BL896</f>
        <v>0</v>
      </c>
      <c r="BE164" s="44">
        <f>RawData!BM896</f>
        <v>0</v>
      </c>
      <c r="BF164" s="44">
        <f>RawData!BN896</f>
        <v>0</v>
      </c>
      <c r="BG164" s="63">
        <f>RawData!BO896</f>
        <v>0</v>
      </c>
      <c r="BH164" s="44">
        <f>RawData!BP896</f>
        <v>0</v>
      </c>
      <c r="BI164" s="63">
        <f>RawData!BQ896</f>
        <v>0</v>
      </c>
      <c r="BJ164" s="44">
        <f>RawData!BR896</f>
        <v>0</v>
      </c>
      <c r="BK164" s="47">
        <f>RawData!BS896</f>
        <v>0</v>
      </c>
      <c r="BL164" s="44">
        <f>RawData!BT896</f>
        <v>0</v>
      </c>
      <c r="BM164" s="47">
        <f>RawData!BV896</f>
        <v>0</v>
      </c>
      <c r="BN164" s="65">
        <f>RawData!CC896</f>
        <v>0</v>
      </c>
      <c r="BO164" s="66">
        <f>RawData!CD896</f>
        <v>0</v>
      </c>
      <c r="BQ164" s="21">
        <f t="shared" si="2"/>
        <v>0</v>
      </c>
    </row>
    <row r="165" spans="1:69" x14ac:dyDescent="0.2">
      <c r="A165" s="59">
        <f>RawData!P897</f>
        <v>0</v>
      </c>
      <c r="B165" s="44">
        <f>RawData!Q897</f>
        <v>0</v>
      </c>
      <c r="C165" s="44">
        <f>RawData!R897</f>
        <v>0</v>
      </c>
      <c r="D165" s="63">
        <f>RawData!S897</f>
        <v>0</v>
      </c>
      <c r="E165" s="44">
        <f>RawData!T897</f>
        <v>0</v>
      </c>
      <c r="F165" s="63">
        <f>RawData!U897</f>
        <v>0</v>
      </c>
      <c r="G165" s="44">
        <f>RawData!V897</f>
        <v>0</v>
      </c>
      <c r="H165" s="44">
        <f>RawData!W897</f>
        <v>0</v>
      </c>
      <c r="I165" s="44">
        <f>RawData!X897</f>
        <v>0</v>
      </c>
      <c r="J165" s="44">
        <f>RawData!Y897</f>
        <v>0</v>
      </c>
      <c r="K165" s="40">
        <f>RawData!Z897</f>
        <v>0</v>
      </c>
      <c r="L165" s="40">
        <f>RawData!AA897</f>
        <v>0</v>
      </c>
      <c r="M165" s="36">
        <f>RawData!AB897</f>
        <v>0</v>
      </c>
      <c r="N165" s="36">
        <f>RawData!AC897</f>
        <v>0</v>
      </c>
      <c r="O165" s="37">
        <f>RawData!AD897</f>
        <v>0</v>
      </c>
      <c r="P165" s="38">
        <f>RawData!AE897</f>
        <v>0</v>
      </c>
      <c r="Q165" s="39">
        <f>RawData!AF897</f>
        <v>0</v>
      </c>
      <c r="R165" s="38">
        <f>RawData!AG897</f>
        <v>0</v>
      </c>
      <c r="S165" s="40">
        <f>RawData!AH897</f>
        <v>0</v>
      </c>
      <c r="T165" s="40">
        <f>RawData!AI897</f>
        <v>0</v>
      </c>
      <c r="U165" s="40">
        <f>RawData!AJ897</f>
        <v>0</v>
      </c>
      <c r="V165" s="41">
        <f>RawData!AK897</f>
        <v>0</v>
      </c>
      <c r="W165" s="41">
        <f>RawData!AL897</f>
        <v>0</v>
      </c>
      <c r="X165" s="43">
        <f>RawData!CA897</f>
        <v>0</v>
      </c>
      <c r="Y165" s="41">
        <f>RawData!AM897</f>
        <v>0</v>
      </c>
      <c r="Z165" s="44">
        <f>RawData!CB897</f>
        <v>0</v>
      </c>
      <c r="AA165" s="44">
        <f>RawData!AN897</f>
        <v>0</v>
      </c>
      <c r="AB165" s="44">
        <f>RawData!AO897</f>
        <v>0</v>
      </c>
      <c r="AC165" s="44">
        <f>RawData!AP897</f>
        <v>0</v>
      </c>
      <c r="AD165" s="63">
        <f>RawData!BZ897</f>
        <v>0</v>
      </c>
      <c r="AE165" s="44">
        <f>RawData!AQ897</f>
        <v>0</v>
      </c>
      <c r="AF165" s="46">
        <f>RawData!O897</f>
        <v>0</v>
      </c>
      <c r="AG165" s="44">
        <f>RawData!AR897</f>
        <v>0</v>
      </c>
      <c r="AH165" s="44">
        <f>RawData!BY897</f>
        <v>0</v>
      </c>
      <c r="AI165" s="44">
        <f>RawData!AS897</f>
        <v>0</v>
      </c>
      <c r="AJ165" s="44">
        <f>RawData!AT897</f>
        <v>0</v>
      </c>
      <c r="AK165" s="44">
        <f>RawData!AU897</f>
        <v>0</v>
      </c>
      <c r="AL165" s="44">
        <f>RawData!BW897</f>
        <v>0</v>
      </c>
      <c r="AM165" s="41">
        <f>RawData!AV897</f>
        <v>0</v>
      </c>
      <c r="AN165" s="41">
        <f>RawData!BX897</f>
        <v>0</v>
      </c>
      <c r="AO165" s="41">
        <f>RawData!AW897</f>
        <v>0</v>
      </c>
      <c r="AP165" s="41">
        <f>RawData!AX897</f>
        <v>0</v>
      </c>
      <c r="AQ165" s="40">
        <f>RawData!AY897</f>
        <v>0</v>
      </c>
      <c r="AR165" s="40">
        <f>RawData!AZ897</f>
        <v>0</v>
      </c>
      <c r="AS165" s="40">
        <f>RawData!BA897</f>
        <v>0</v>
      </c>
      <c r="AT165" s="38">
        <f>RawData!BB897</f>
        <v>0</v>
      </c>
      <c r="AU165" s="40">
        <f>RawData!BC897</f>
        <v>0</v>
      </c>
      <c r="AV165" s="40">
        <f>RawData!BD897</f>
        <v>0</v>
      </c>
      <c r="AW165" s="38">
        <f>RawData!BE897</f>
        <v>0</v>
      </c>
      <c r="AX165" s="37">
        <f>RawData!BF897</f>
        <v>0</v>
      </c>
      <c r="AY165" s="36">
        <f>RawData!BG897</f>
        <v>0</v>
      </c>
      <c r="AZ165" s="36">
        <f>RawData!BH897</f>
        <v>0</v>
      </c>
      <c r="BA165" s="40">
        <f>RawData!BI897</f>
        <v>0</v>
      </c>
      <c r="BB165" s="44">
        <f>RawData!BJ897</f>
        <v>0</v>
      </c>
      <c r="BC165" s="44">
        <f>RawData!BK897</f>
        <v>0</v>
      </c>
      <c r="BD165" s="44">
        <f>RawData!BL897</f>
        <v>0</v>
      </c>
      <c r="BE165" s="44">
        <f>RawData!BM897</f>
        <v>0</v>
      </c>
      <c r="BF165" s="44">
        <f>RawData!BN897</f>
        <v>0</v>
      </c>
      <c r="BG165" s="63">
        <f>RawData!BO897</f>
        <v>0</v>
      </c>
      <c r="BH165" s="44">
        <f>RawData!BP897</f>
        <v>0</v>
      </c>
      <c r="BI165" s="63">
        <f>RawData!BQ897</f>
        <v>0</v>
      </c>
      <c r="BJ165" s="44">
        <f>RawData!BR897</f>
        <v>0</v>
      </c>
      <c r="BK165" s="47">
        <f>RawData!BS897</f>
        <v>0</v>
      </c>
      <c r="BL165" s="44">
        <f>RawData!BT897</f>
        <v>0</v>
      </c>
      <c r="BM165" s="47">
        <f>RawData!BV897</f>
        <v>0</v>
      </c>
      <c r="BN165" s="65">
        <f>RawData!CC897</f>
        <v>0</v>
      </c>
      <c r="BO165" s="66">
        <f>RawData!CD897</f>
        <v>0</v>
      </c>
      <c r="BQ165" s="21">
        <f t="shared" si="2"/>
        <v>0</v>
      </c>
    </row>
    <row r="166" spans="1:69" x14ac:dyDescent="0.2">
      <c r="A166" s="59">
        <f>RawData!P898</f>
        <v>0</v>
      </c>
      <c r="B166" s="44">
        <f>RawData!Q898</f>
        <v>0</v>
      </c>
      <c r="C166" s="44">
        <f>RawData!R898</f>
        <v>0</v>
      </c>
      <c r="D166" s="63">
        <f>RawData!S898</f>
        <v>0</v>
      </c>
      <c r="E166" s="44">
        <f>RawData!T898</f>
        <v>0</v>
      </c>
      <c r="F166" s="63">
        <f>RawData!U898</f>
        <v>0</v>
      </c>
      <c r="G166" s="44">
        <f>RawData!V898</f>
        <v>0</v>
      </c>
      <c r="H166" s="44">
        <f>RawData!W898</f>
        <v>0</v>
      </c>
      <c r="I166" s="44">
        <f>RawData!X898</f>
        <v>0</v>
      </c>
      <c r="J166" s="44">
        <f>RawData!Y898</f>
        <v>0</v>
      </c>
      <c r="K166" s="40">
        <f>RawData!Z898</f>
        <v>0</v>
      </c>
      <c r="L166" s="40">
        <f>RawData!AA898</f>
        <v>0</v>
      </c>
      <c r="M166" s="36">
        <f>RawData!AB898</f>
        <v>0</v>
      </c>
      <c r="N166" s="36">
        <f>RawData!AC898</f>
        <v>0</v>
      </c>
      <c r="O166" s="37">
        <f>RawData!AD898</f>
        <v>0</v>
      </c>
      <c r="P166" s="38">
        <f>RawData!AE898</f>
        <v>0</v>
      </c>
      <c r="Q166" s="39">
        <f>RawData!AF898</f>
        <v>0</v>
      </c>
      <c r="R166" s="38">
        <f>RawData!AG898</f>
        <v>0</v>
      </c>
      <c r="S166" s="40">
        <f>RawData!AH898</f>
        <v>0</v>
      </c>
      <c r="T166" s="40">
        <f>RawData!AI898</f>
        <v>0</v>
      </c>
      <c r="U166" s="40">
        <f>RawData!AJ898</f>
        <v>0</v>
      </c>
      <c r="V166" s="41">
        <f>RawData!AK898</f>
        <v>0</v>
      </c>
      <c r="W166" s="41">
        <f>RawData!AL898</f>
        <v>0</v>
      </c>
      <c r="X166" s="43">
        <f>RawData!CA898</f>
        <v>0</v>
      </c>
      <c r="Y166" s="41">
        <f>RawData!AM898</f>
        <v>0</v>
      </c>
      <c r="Z166" s="44">
        <f>RawData!CB898</f>
        <v>0</v>
      </c>
      <c r="AA166" s="44">
        <f>RawData!AN898</f>
        <v>0</v>
      </c>
      <c r="AB166" s="44">
        <f>RawData!AO898</f>
        <v>0</v>
      </c>
      <c r="AC166" s="44">
        <f>RawData!AP898</f>
        <v>0</v>
      </c>
      <c r="AD166" s="63">
        <f>RawData!BZ898</f>
        <v>0</v>
      </c>
      <c r="AE166" s="44">
        <f>RawData!AQ898</f>
        <v>0</v>
      </c>
      <c r="AF166" s="46">
        <f>RawData!O898</f>
        <v>0</v>
      </c>
      <c r="AG166" s="44">
        <f>RawData!AR898</f>
        <v>0</v>
      </c>
      <c r="AH166" s="44">
        <f>RawData!BY898</f>
        <v>0</v>
      </c>
      <c r="AI166" s="44">
        <f>RawData!AS898</f>
        <v>0</v>
      </c>
      <c r="AJ166" s="44">
        <f>RawData!AT898</f>
        <v>0</v>
      </c>
      <c r="AK166" s="44">
        <f>RawData!AU898</f>
        <v>0</v>
      </c>
      <c r="AL166" s="44">
        <f>RawData!BW898</f>
        <v>0</v>
      </c>
      <c r="AM166" s="41">
        <f>RawData!AV898</f>
        <v>0</v>
      </c>
      <c r="AN166" s="41">
        <f>RawData!BX898</f>
        <v>0</v>
      </c>
      <c r="AO166" s="41">
        <f>RawData!AW898</f>
        <v>0</v>
      </c>
      <c r="AP166" s="41">
        <f>RawData!AX898</f>
        <v>0</v>
      </c>
      <c r="AQ166" s="40">
        <f>RawData!AY898</f>
        <v>0</v>
      </c>
      <c r="AR166" s="40">
        <f>RawData!AZ898</f>
        <v>0</v>
      </c>
      <c r="AS166" s="40">
        <f>RawData!BA898</f>
        <v>0</v>
      </c>
      <c r="AT166" s="38">
        <f>RawData!BB898</f>
        <v>0</v>
      </c>
      <c r="AU166" s="40">
        <f>RawData!BC898</f>
        <v>0</v>
      </c>
      <c r="AV166" s="40">
        <f>RawData!BD898</f>
        <v>0</v>
      </c>
      <c r="AW166" s="38">
        <f>RawData!BE898</f>
        <v>0</v>
      </c>
      <c r="AX166" s="37">
        <f>RawData!BF898</f>
        <v>0</v>
      </c>
      <c r="AY166" s="36">
        <f>RawData!BG898</f>
        <v>0</v>
      </c>
      <c r="AZ166" s="36">
        <f>RawData!BH898</f>
        <v>0</v>
      </c>
      <c r="BA166" s="40">
        <f>RawData!BI898</f>
        <v>0</v>
      </c>
      <c r="BB166" s="44">
        <f>RawData!BJ898</f>
        <v>0</v>
      </c>
      <c r="BC166" s="44">
        <f>RawData!BK898</f>
        <v>0</v>
      </c>
      <c r="BD166" s="44">
        <f>RawData!BL898</f>
        <v>0</v>
      </c>
      <c r="BE166" s="44">
        <f>RawData!BM898</f>
        <v>0</v>
      </c>
      <c r="BF166" s="44">
        <f>RawData!BN898</f>
        <v>0</v>
      </c>
      <c r="BG166" s="63">
        <f>RawData!BO898</f>
        <v>0</v>
      </c>
      <c r="BH166" s="44">
        <f>RawData!BP898</f>
        <v>0</v>
      </c>
      <c r="BI166" s="63">
        <f>RawData!BQ898</f>
        <v>0</v>
      </c>
      <c r="BJ166" s="44">
        <f>RawData!BR898</f>
        <v>0</v>
      </c>
      <c r="BK166" s="47">
        <f>RawData!BS898</f>
        <v>0</v>
      </c>
      <c r="BL166" s="44">
        <f>RawData!BT898</f>
        <v>0</v>
      </c>
      <c r="BM166" s="47">
        <f>RawData!BV898</f>
        <v>0</v>
      </c>
      <c r="BN166" s="65">
        <f>RawData!CC898</f>
        <v>0</v>
      </c>
      <c r="BO166" s="66">
        <f>RawData!CD898</f>
        <v>0</v>
      </c>
      <c r="BQ166" s="21">
        <f t="shared" si="2"/>
        <v>0</v>
      </c>
    </row>
    <row r="167" spans="1:69" x14ac:dyDescent="0.2">
      <c r="A167" s="59">
        <f>RawData!P899</f>
        <v>0</v>
      </c>
      <c r="B167" s="44">
        <f>RawData!Q899</f>
        <v>0</v>
      </c>
      <c r="C167" s="44">
        <f>RawData!R899</f>
        <v>0</v>
      </c>
      <c r="D167" s="63">
        <f>RawData!S899</f>
        <v>0</v>
      </c>
      <c r="E167" s="44">
        <f>RawData!T899</f>
        <v>0</v>
      </c>
      <c r="F167" s="63">
        <f>RawData!U899</f>
        <v>0</v>
      </c>
      <c r="G167" s="44">
        <f>RawData!V899</f>
        <v>0</v>
      </c>
      <c r="H167" s="44">
        <f>RawData!W899</f>
        <v>0</v>
      </c>
      <c r="I167" s="44">
        <f>RawData!X899</f>
        <v>0</v>
      </c>
      <c r="J167" s="44">
        <f>RawData!Y899</f>
        <v>0</v>
      </c>
      <c r="K167" s="40">
        <f>RawData!Z899</f>
        <v>0</v>
      </c>
      <c r="L167" s="40">
        <f>RawData!AA899</f>
        <v>0</v>
      </c>
      <c r="M167" s="36">
        <f>RawData!AB899</f>
        <v>0</v>
      </c>
      <c r="N167" s="36">
        <f>RawData!AC899</f>
        <v>0</v>
      </c>
      <c r="O167" s="37">
        <f>RawData!AD899</f>
        <v>0</v>
      </c>
      <c r="P167" s="38">
        <f>RawData!AE899</f>
        <v>0</v>
      </c>
      <c r="Q167" s="39">
        <f>RawData!AF899</f>
        <v>0</v>
      </c>
      <c r="R167" s="38">
        <f>RawData!AG899</f>
        <v>0</v>
      </c>
      <c r="S167" s="40">
        <f>RawData!AH899</f>
        <v>0</v>
      </c>
      <c r="T167" s="40">
        <f>RawData!AI899</f>
        <v>0</v>
      </c>
      <c r="U167" s="40">
        <f>RawData!AJ899</f>
        <v>0</v>
      </c>
      <c r="V167" s="41">
        <f>RawData!AK899</f>
        <v>0</v>
      </c>
      <c r="W167" s="41">
        <f>RawData!AL899</f>
        <v>0</v>
      </c>
      <c r="X167" s="43">
        <f>RawData!CA899</f>
        <v>0</v>
      </c>
      <c r="Y167" s="41">
        <f>RawData!AM899</f>
        <v>0</v>
      </c>
      <c r="Z167" s="44">
        <f>RawData!CB899</f>
        <v>0</v>
      </c>
      <c r="AA167" s="44">
        <f>RawData!AN899</f>
        <v>0</v>
      </c>
      <c r="AB167" s="44">
        <f>RawData!AO899</f>
        <v>0</v>
      </c>
      <c r="AC167" s="44">
        <f>RawData!AP899</f>
        <v>0</v>
      </c>
      <c r="AD167" s="63">
        <f>RawData!BZ899</f>
        <v>0</v>
      </c>
      <c r="AE167" s="44">
        <f>RawData!AQ899</f>
        <v>0</v>
      </c>
      <c r="AF167" s="46">
        <f>RawData!O899</f>
        <v>0</v>
      </c>
      <c r="AG167" s="44">
        <f>RawData!AR899</f>
        <v>0</v>
      </c>
      <c r="AH167" s="44">
        <f>RawData!BY899</f>
        <v>0</v>
      </c>
      <c r="AI167" s="44">
        <f>RawData!AS899</f>
        <v>0</v>
      </c>
      <c r="AJ167" s="44">
        <f>RawData!AT899</f>
        <v>0</v>
      </c>
      <c r="AK167" s="44">
        <f>RawData!AU899</f>
        <v>0</v>
      </c>
      <c r="AL167" s="44">
        <f>RawData!BW899</f>
        <v>0</v>
      </c>
      <c r="AM167" s="41">
        <f>RawData!AV899</f>
        <v>0</v>
      </c>
      <c r="AN167" s="41">
        <f>RawData!BX899</f>
        <v>0</v>
      </c>
      <c r="AO167" s="41">
        <f>RawData!AW899</f>
        <v>0</v>
      </c>
      <c r="AP167" s="41">
        <f>RawData!AX899</f>
        <v>0</v>
      </c>
      <c r="AQ167" s="40">
        <f>RawData!AY899</f>
        <v>0</v>
      </c>
      <c r="AR167" s="40">
        <f>RawData!AZ899</f>
        <v>0</v>
      </c>
      <c r="AS167" s="40">
        <f>RawData!BA899</f>
        <v>0</v>
      </c>
      <c r="AT167" s="38">
        <f>RawData!BB899</f>
        <v>0</v>
      </c>
      <c r="AU167" s="40">
        <f>RawData!BC899</f>
        <v>0</v>
      </c>
      <c r="AV167" s="40">
        <f>RawData!BD899</f>
        <v>0</v>
      </c>
      <c r="AW167" s="38">
        <f>RawData!BE899</f>
        <v>0</v>
      </c>
      <c r="AX167" s="37">
        <f>RawData!BF899</f>
        <v>0</v>
      </c>
      <c r="AY167" s="36">
        <f>RawData!BG899</f>
        <v>0</v>
      </c>
      <c r="AZ167" s="36">
        <f>RawData!BH899</f>
        <v>0</v>
      </c>
      <c r="BA167" s="40">
        <f>RawData!BI899</f>
        <v>0</v>
      </c>
      <c r="BB167" s="44">
        <f>RawData!BJ899</f>
        <v>0</v>
      </c>
      <c r="BC167" s="44">
        <f>RawData!BK899</f>
        <v>0</v>
      </c>
      <c r="BD167" s="44">
        <f>RawData!BL899</f>
        <v>0</v>
      </c>
      <c r="BE167" s="44">
        <f>RawData!BM899</f>
        <v>0</v>
      </c>
      <c r="BF167" s="44">
        <f>RawData!BN899</f>
        <v>0</v>
      </c>
      <c r="BG167" s="63">
        <f>RawData!BO899</f>
        <v>0</v>
      </c>
      <c r="BH167" s="44">
        <f>RawData!BP899</f>
        <v>0</v>
      </c>
      <c r="BI167" s="63">
        <f>RawData!BQ899</f>
        <v>0</v>
      </c>
      <c r="BJ167" s="44">
        <f>RawData!BR899</f>
        <v>0</v>
      </c>
      <c r="BK167" s="47">
        <f>RawData!BS899</f>
        <v>0</v>
      </c>
      <c r="BL167" s="44">
        <f>RawData!BT899</f>
        <v>0</v>
      </c>
      <c r="BM167" s="47">
        <f>RawData!BV899</f>
        <v>0</v>
      </c>
      <c r="BN167" s="65">
        <f>RawData!CC899</f>
        <v>0</v>
      </c>
      <c r="BO167" s="66">
        <f>RawData!CD899</f>
        <v>0</v>
      </c>
      <c r="BQ167" s="21">
        <f t="shared" si="2"/>
        <v>0</v>
      </c>
    </row>
    <row r="168" spans="1:69" x14ac:dyDescent="0.2">
      <c r="A168" s="59">
        <f>RawData!P900</f>
        <v>0</v>
      </c>
      <c r="B168" s="44">
        <f>RawData!Q900</f>
        <v>0</v>
      </c>
      <c r="C168" s="44">
        <f>RawData!R900</f>
        <v>0</v>
      </c>
      <c r="D168" s="63">
        <f>RawData!S900</f>
        <v>0</v>
      </c>
      <c r="E168" s="44">
        <f>RawData!T900</f>
        <v>0</v>
      </c>
      <c r="F168" s="63">
        <f>RawData!U900</f>
        <v>0</v>
      </c>
      <c r="G168" s="44">
        <f>RawData!V900</f>
        <v>0</v>
      </c>
      <c r="H168" s="44">
        <f>RawData!W900</f>
        <v>0</v>
      </c>
      <c r="I168" s="44">
        <f>RawData!X900</f>
        <v>0</v>
      </c>
      <c r="J168" s="44">
        <f>RawData!Y900</f>
        <v>0</v>
      </c>
      <c r="K168" s="40">
        <f>RawData!Z900</f>
        <v>0</v>
      </c>
      <c r="L168" s="40">
        <f>RawData!AA900</f>
        <v>0</v>
      </c>
      <c r="M168" s="36">
        <f>RawData!AB900</f>
        <v>0</v>
      </c>
      <c r="N168" s="36">
        <f>RawData!AC900</f>
        <v>0</v>
      </c>
      <c r="O168" s="37">
        <f>RawData!AD900</f>
        <v>0</v>
      </c>
      <c r="P168" s="38">
        <f>RawData!AE900</f>
        <v>0</v>
      </c>
      <c r="Q168" s="39">
        <f>RawData!AF900</f>
        <v>0</v>
      </c>
      <c r="R168" s="38">
        <f>RawData!AG900</f>
        <v>0</v>
      </c>
      <c r="S168" s="40">
        <f>RawData!AH900</f>
        <v>0</v>
      </c>
      <c r="T168" s="40">
        <f>RawData!AI900</f>
        <v>0</v>
      </c>
      <c r="U168" s="40">
        <f>RawData!AJ900</f>
        <v>0</v>
      </c>
      <c r="V168" s="41">
        <f>RawData!AK900</f>
        <v>0</v>
      </c>
      <c r="W168" s="41">
        <f>RawData!AL900</f>
        <v>0</v>
      </c>
      <c r="X168" s="43">
        <f>RawData!CA900</f>
        <v>0</v>
      </c>
      <c r="Y168" s="41">
        <f>RawData!AM900</f>
        <v>0</v>
      </c>
      <c r="Z168" s="44">
        <f>RawData!CB900</f>
        <v>0</v>
      </c>
      <c r="AA168" s="44">
        <f>RawData!AN900</f>
        <v>0</v>
      </c>
      <c r="AB168" s="44">
        <f>RawData!AO900</f>
        <v>0</v>
      </c>
      <c r="AC168" s="44">
        <f>RawData!AP900</f>
        <v>0</v>
      </c>
      <c r="AD168" s="63">
        <f>RawData!BZ900</f>
        <v>0</v>
      </c>
      <c r="AE168" s="44">
        <f>RawData!AQ900</f>
        <v>0</v>
      </c>
      <c r="AF168" s="46">
        <f>RawData!O900</f>
        <v>0</v>
      </c>
      <c r="AG168" s="44">
        <f>RawData!AR900</f>
        <v>0</v>
      </c>
      <c r="AH168" s="44">
        <f>RawData!BY900</f>
        <v>0</v>
      </c>
      <c r="AI168" s="44">
        <f>RawData!AS900</f>
        <v>0</v>
      </c>
      <c r="AJ168" s="44">
        <f>RawData!AT900</f>
        <v>0</v>
      </c>
      <c r="AK168" s="44">
        <f>RawData!AU900</f>
        <v>0</v>
      </c>
      <c r="AL168" s="44">
        <f>RawData!BW900</f>
        <v>0</v>
      </c>
      <c r="AM168" s="41">
        <f>RawData!AV900</f>
        <v>0</v>
      </c>
      <c r="AN168" s="41">
        <f>RawData!BX900</f>
        <v>0</v>
      </c>
      <c r="AO168" s="41">
        <f>RawData!AW900</f>
        <v>0</v>
      </c>
      <c r="AP168" s="41">
        <f>RawData!AX900</f>
        <v>0</v>
      </c>
      <c r="AQ168" s="40">
        <f>RawData!AY900</f>
        <v>0</v>
      </c>
      <c r="AR168" s="40">
        <f>RawData!AZ900</f>
        <v>0</v>
      </c>
      <c r="AS168" s="40">
        <f>RawData!BA900</f>
        <v>0</v>
      </c>
      <c r="AT168" s="38">
        <f>RawData!BB900</f>
        <v>0</v>
      </c>
      <c r="AU168" s="40">
        <f>RawData!BC900</f>
        <v>0</v>
      </c>
      <c r="AV168" s="40">
        <f>RawData!BD900</f>
        <v>0</v>
      </c>
      <c r="AW168" s="38">
        <f>RawData!BE900</f>
        <v>0</v>
      </c>
      <c r="AX168" s="37">
        <f>RawData!BF900</f>
        <v>0</v>
      </c>
      <c r="AY168" s="36">
        <f>RawData!BG900</f>
        <v>0</v>
      </c>
      <c r="AZ168" s="36">
        <f>RawData!BH900</f>
        <v>0</v>
      </c>
      <c r="BA168" s="40">
        <f>RawData!BI900</f>
        <v>0</v>
      </c>
      <c r="BB168" s="44">
        <f>RawData!BJ900</f>
        <v>0</v>
      </c>
      <c r="BC168" s="44">
        <f>RawData!BK900</f>
        <v>0</v>
      </c>
      <c r="BD168" s="44">
        <f>RawData!BL900</f>
        <v>0</v>
      </c>
      <c r="BE168" s="44">
        <f>RawData!BM900</f>
        <v>0</v>
      </c>
      <c r="BF168" s="44">
        <f>RawData!BN900</f>
        <v>0</v>
      </c>
      <c r="BG168" s="63">
        <f>RawData!BO900</f>
        <v>0</v>
      </c>
      <c r="BH168" s="44">
        <f>RawData!BP900</f>
        <v>0</v>
      </c>
      <c r="BI168" s="63">
        <f>RawData!BQ900</f>
        <v>0</v>
      </c>
      <c r="BJ168" s="44">
        <f>RawData!BR900</f>
        <v>0</v>
      </c>
      <c r="BK168" s="47">
        <f>RawData!BS900</f>
        <v>0</v>
      </c>
      <c r="BL168" s="44">
        <f>RawData!BT900</f>
        <v>0</v>
      </c>
      <c r="BM168" s="47">
        <f>RawData!BV900</f>
        <v>0</v>
      </c>
      <c r="BN168" s="65">
        <f>RawData!CC900</f>
        <v>0</v>
      </c>
      <c r="BO168" s="66">
        <f>RawData!CD900</f>
        <v>0</v>
      </c>
      <c r="BQ168" s="21">
        <f t="shared" si="2"/>
        <v>0</v>
      </c>
    </row>
    <row r="169" spans="1:69" x14ac:dyDescent="0.2">
      <c r="A169" s="59">
        <f>RawData!P901</f>
        <v>0</v>
      </c>
      <c r="B169" s="44">
        <f>RawData!Q901</f>
        <v>0</v>
      </c>
      <c r="C169" s="44">
        <f>RawData!R901</f>
        <v>0</v>
      </c>
      <c r="D169" s="63">
        <f>RawData!S901</f>
        <v>0</v>
      </c>
      <c r="E169" s="44">
        <f>RawData!T901</f>
        <v>0</v>
      </c>
      <c r="F169" s="63">
        <f>RawData!U901</f>
        <v>0</v>
      </c>
      <c r="G169" s="44">
        <f>RawData!V901</f>
        <v>0</v>
      </c>
      <c r="H169" s="44">
        <f>RawData!W901</f>
        <v>0</v>
      </c>
      <c r="I169" s="44">
        <f>RawData!X901</f>
        <v>0</v>
      </c>
      <c r="J169" s="44">
        <f>RawData!Y901</f>
        <v>0</v>
      </c>
      <c r="K169" s="40">
        <f>RawData!Z901</f>
        <v>0</v>
      </c>
      <c r="L169" s="40">
        <f>RawData!AA901</f>
        <v>0</v>
      </c>
      <c r="M169" s="36">
        <f>RawData!AB901</f>
        <v>0</v>
      </c>
      <c r="N169" s="36">
        <f>RawData!AC901</f>
        <v>0</v>
      </c>
      <c r="O169" s="37">
        <f>RawData!AD901</f>
        <v>0</v>
      </c>
      <c r="P169" s="38">
        <f>RawData!AE901</f>
        <v>0</v>
      </c>
      <c r="Q169" s="39">
        <f>RawData!AF901</f>
        <v>0</v>
      </c>
      <c r="R169" s="38">
        <f>RawData!AG901</f>
        <v>0</v>
      </c>
      <c r="S169" s="40">
        <f>RawData!AH901</f>
        <v>0</v>
      </c>
      <c r="T169" s="40">
        <f>RawData!AI901</f>
        <v>0</v>
      </c>
      <c r="U169" s="40">
        <f>RawData!AJ901</f>
        <v>0</v>
      </c>
      <c r="V169" s="41">
        <f>RawData!AK901</f>
        <v>0</v>
      </c>
      <c r="W169" s="41">
        <f>RawData!AL901</f>
        <v>0</v>
      </c>
      <c r="X169" s="43">
        <f>RawData!CA901</f>
        <v>0</v>
      </c>
      <c r="Y169" s="41">
        <f>RawData!AM901</f>
        <v>0</v>
      </c>
      <c r="Z169" s="44">
        <f>RawData!CB901</f>
        <v>0</v>
      </c>
      <c r="AA169" s="44">
        <f>RawData!AN901</f>
        <v>0</v>
      </c>
      <c r="AB169" s="44">
        <f>RawData!AO901</f>
        <v>0</v>
      </c>
      <c r="AC169" s="44">
        <f>RawData!AP901</f>
        <v>0</v>
      </c>
      <c r="AD169" s="63">
        <f>RawData!BZ901</f>
        <v>0</v>
      </c>
      <c r="AE169" s="44">
        <f>RawData!AQ901</f>
        <v>0</v>
      </c>
      <c r="AF169" s="46">
        <f>RawData!O901</f>
        <v>0</v>
      </c>
      <c r="AG169" s="44">
        <f>RawData!AR901</f>
        <v>0</v>
      </c>
      <c r="AH169" s="44">
        <f>RawData!BY901</f>
        <v>0</v>
      </c>
      <c r="AI169" s="44">
        <f>RawData!AS901</f>
        <v>0</v>
      </c>
      <c r="AJ169" s="44">
        <f>RawData!AT901</f>
        <v>0</v>
      </c>
      <c r="AK169" s="44">
        <f>RawData!AU901</f>
        <v>0</v>
      </c>
      <c r="AL169" s="44">
        <f>RawData!BW901</f>
        <v>0</v>
      </c>
      <c r="AM169" s="41">
        <f>RawData!AV901</f>
        <v>0</v>
      </c>
      <c r="AN169" s="41">
        <f>RawData!BX901</f>
        <v>0</v>
      </c>
      <c r="AO169" s="41">
        <f>RawData!AW901</f>
        <v>0</v>
      </c>
      <c r="AP169" s="41">
        <f>RawData!AX901</f>
        <v>0</v>
      </c>
      <c r="AQ169" s="40">
        <f>RawData!AY901</f>
        <v>0</v>
      </c>
      <c r="AR169" s="40">
        <f>RawData!AZ901</f>
        <v>0</v>
      </c>
      <c r="AS169" s="40">
        <f>RawData!BA901</f>
        <v>0</v>
      </c>
      <c r="AT169" s="38">
        <f>RawData!BB901</f>
        <v>0</v>
      </c>
      <c r="AU169" s="40">
        <f>RawData!BC901</f>
        <v>0</v>
      </c>
      <c r="AV169" s="40">
        <f>RawData!BD901</f>
        <v>0</v>
      </c>
      <c r="AW169" s="38">
        <f>RawData!BE901</f>
        <v>0</v>
      </c>
      <c r="AX169" s="37">
        <f>RawData!BF901</f>
        <v>0</v>
      </c>
      <c r="AY169" s="36">
        <f>RawData!BG901</f>
        <v>0</v>
      </c>
      <c r="AZ169" s="36">
        <f>RawData!BH901</f>
        <v>0</v>
      </c>
      <c r="BA169" s="40">
        <f>RawData!BI901</f>
        <v>0</v>
      </c>
      <c r="BB169" s="44">
        <f>RawData!BJ901</f>
        <v>0</v>
      </c>
      <c r="BC169" s="44">
        <f>RawData!BK901</f>
        <v>0</v>
      </c>
      <c r="BD169" s="44">
        <f>RawData!BL901</f>
        <v>0</v>
      </c>
      <c r="BE169" s="44">
        <f>RawData!BM901</f>
        <v>0</v>
      </c>
      <c r="BF169" s="44">
        <f>RawData!BN901</f>
        <v>0</v>
      </c>
      <c r="BG169" s="63">
        <f>RawData!BO901</f>
        <v>0</v>
      </c>
      <c r="BH169" s="44">
        <f>RawData!BP901</f>
        <v>0</v>
      </c>
      <c r="BI169" s="63">
        <f>RawData!BQ901</f>
        <v>0</v>
      </c>
      <c r="BJ169" s="44">
        <f>RawData!BR901</f>
        <v>0</v>
      </c>
      <c r="BK169" s="47">
        <f>RawData!BS901</f>
        <v>0</v>
      </c>
      <c r="BL169" s="44">
        <f>RawData!BT901</f>
        <v>0</v>
      </c>
      <c r="BM169" s="47">
        <f>RawData!BV901</f>
        <v>0</v>
      </c>
      <c r="BN169" s="65">
        <f>RawData!CC901</f>
        <v>0</v>
      </c>
      <c r="BO169" s="66">
        <f>RawData!CD901</f>
        <v>0</v>
      </c>
      <c r="BQ169" s="21">
        <f t="shared" si="2"/>
        <v>0</v>
      </c>
    </row>
    <row r="170" spans="1:69" x14ac:dyDescent="0.2">
      <c r="A170" s="59">
        <f>RawData!P902</f>
        <v>0</v>
      </c>
      <c r="B170" s="44">
        <f>RawData!Q902</f>
        <v>0</v>
      </c>
      <c r="C170" s="44">
        <f>RawData!R902</f>
        <v>0</v>
      </c>
      <c r="D170" s="63">
        <f>RawData!S902</f>
        <v>0</v>
      </c>
      <c r="E170" s="44">
        <f>RawData!T902</f>
        <v>0</v>
      </c>
      <c r="F170" s="63">
        <f>RawData!U902</f>
        <v>0</v>
      </c>
      <c r="G170" s="44">
        <f>RawData!V902</f>
        <v>0</v>
      </c>
      <c r="H170" s="44">
        <f>RawData!W902</f>
        <v>0</v>
      </c>
      <c r="I170" s="44">
        <f>RawData!X902</f>
        <v>0</v>
      </c>
      <c r="J170" s="44">
        <f>RawData!Y902</f>
        <v>0</v>
      </c>
      <c r="K170" s="40">
        <f>RawData!Z902</f>
        <v>0</v>
      </c>
      <c r="L170" s="40">
        <f>RawData!AA902</f>
        <v>0</v>
      </c>
      <c r="M170" s="36">
        <f>RawData!AB902</f>
        <v>0</v>
      </c>
      <c r="N170" s="36">
        <f>RawData!AC902</f>
        <v>0</v>
      </c>
      <c r="O170" s="37">
        <f>RawData!AD902</f>
        <v>0</v>
      </c>
      <c r="P170" s="38">
        <f>RawData!AE902</f>
        <v>0</v>
      </c>
      <c r="Q170" s="39">
        <f>RawData!AF902</f>
        <v>0</v>
      </c>
      <c r="R170" s="38">
        <f>RawData!AG902</f>
        <v>0</v>
      </c>
      <c r="S170" s="40">
        <f>RawData!AH902</f>
        <v>0</v>
      </c>
      <c r="T170" s="40">
        <f>RawData!AI902</f>
        <v>0</v>
      </c>
      <c r="U170" s="40">
        <f>RawData!AJ902</f>
        <v>0</v>
      </c>
      <c r="V170" s="41">
        <f>RawData!AK902</f>
        <v>0</v>
      </c>
      <c r="W170" s="41">
        <f>RawData!AL902</f>
        <v>0</v>
      </c>
      <c r="X170" s="43">
        <f>RawData!CA902</f>
        <v>0</v>
      </c>
      <c r="Y170" s="41">
        <f>RawData!AM902</f>
        <v>0</v>
      </c>
      <c r="Z170" s="44">
        <f>RawData!CB902</f>
        <v>0</v>
      </c>
      <c r="AA170" s="44">
        <f>RawData!AN902</f>
        <v>0</v>
      </c>
      <c r="AB170" s="44">
        <f>RawData!AO902</f>
        <v>0</v>
      </c>
      <c r="AC170" s="44">
        <f>RawData!AP902</f>
        <v>0</v>
      </c>
      <c r="AD170" s="63">
        <f>RawData!BZ902</f>
        <v>0</v>
      </c>
      <c r="AE170" s="44">
        <f>RawData!AQ902</f>
        <v>0</v>
      </c>
      <c r="AF170" s="46">
        <f>RawData!O902</f>
        <v>0</v>
      </c>
      <c r="AG170" s="44">
        <f>RawData!AR902</f>
        <v>0</v>
      </c>
      <c r="AH170" s="44">
        <f>RawData!BY902</f>
        <v>0</v>
      </c>
      <c r="AI170" s="44">
        <f>RawData!AS902</f>
        <v>0</v>
      </c>
      <c r="AJ170" s="44">
        <f>RawData!AT902</f>
        <v>0</v>
      </c>
      <c r="AK170" s="44">
        <f>RawData!AU902</f>
        <v>0</v>
      </c>
      <c r="AL170" s="44">
        <f>RawData!BW902</f>
        <v>0</v>
      </c>
      <c r="AM170" s="41">
        <f>RawData!AV902</f>
        <v>0</v>
      </c>
      <c r="AN170" s="41">
        <f>RawData!BX902</f>
        <v>0</v>
      </c>
      <c r="AO170" s="41">
        <f>RawData!AW902</f>
        <v>0</v>
      </c>
      <c r="AP170" s="41">
        <f>RawData!AX902</f>
        <v>0</v>
      </c>
      <c r="AQ170" s="40">
        <f>RawData!AY902</f>
        <v>0</v>
      </c>
      <c r="AR170" s="40">
        <f>RawData!AZ902</f>
        <v>0</v>
      </c>
      <c r="AS170" s="40">
        <f>RawData!BA902</f>
        <v>0</v>
      </c>
      <c r="AT170" s="38">
        <f>RawData!BB902</f>
        <v>0</v>
      </c>
      <c r="AU170" s="40">
        <f>RawData!BC902</f>
        <v>0</v>
      </c>
      <c r="AV170" s="40">
        <f>RawData!BD902</f>
        <v>0</v>
      </c>
      <c r="AW170" s="38">
        <f>RawData!BE902</f>
        <v>0</v>
      </c>
      <c r="AX170" s="37">
        <f>RawData!BF902</f>
        <v>0</v>
      </c>
      <c r="AY170" s="36">
        <f>RawData!BG902</f>
        <v>0</v>
      </c>
      <c r="AZ170" s="36">
        <f>RawData!BH902</f>
        <v>0</v>
      </c>
      <c r="BA170" s="40">
        <f>RawData!BI902</f>
        <v>0</v>
      </c>
      <c r="BB170" s="44">
        <f>RawData!BJ902</f>
        <v>0</v>
      </c>
      <c r="BC170" s="44">
        <f>RawData!BK902</f>
        <v>0</v>
      </c>
      <c r="BD170" s="44">
        <f>RawData!BL902</f>
        <v>0</v>
      </c>
      <c r="BE170" s="44">
        <f>RawData!BM902</f>
        <v>0</v>
      </c>
      <c r="BF170" s="44">
        <f>RawData!BN902</f>
        <v>0</v>
      </c>
      <c r="BG170" s="63">
        <f>RawData!BO902</f>
        <v>0</v>
      </c>
      <c r="BH170" s="44">
        <f>RawData!BP902</f>
        <v>0</v>
      </c>
      <c r="BI170" s="63">
        <f>RawData!BQ902</f>
        <v>0</v>
      </c>
      <c r="BJ170" s="44">
        <f>RawData!BR902</f>
        <v>0</v>
      </c>
      <c r="BK170" s="47">
        <f>RawData!BS902</f>
        <v>0</v>
      </c>
      <c r="BL170" s="44">
        <f>RawData!BT902</f>
        <v>0</v>
      </c>
      <c r="BM170" s="47">
        <f>RawData!BV902</f>
        <v>0</v>
      </c>
      <c r="BN170" s="65">
        <f>RawData!CC902</f>
        <v>0</v>
      </c>
      <c r="BO170" s="66">
        <f>RawData!CD902</f>
        <v>0</v>
      </c>
      <c r="BQ170" s="21">
        <f t="shared" si="2"/>
        <v>0</v>
      </c>
    </row>
    <row r="171" spans="1:69" x14ac:dyDescent="0.2">
      <c r="A171" s="59">
        <f>RawData!P903</f>
        <v>0</v>
      </c>
      <c r="B171" s="44">
        <f>RawData!Q903</f>
        <v>0</v>
      </c>
      <c r="C171" s="44">
        <f>RawData!R903</f>
        <v>0</v>
      </c>
      <c r="D171" s="63">
        <f>RawData!S903</f>
        <v>0</v>
      </c>
      <c r="E171" s="44">
        <f>RawData!T903</f>
        <v>0</v>
      </c>
      <c r="F171" s="63">
        <f>RawData!U903</f>
        <v>0</v>
      </c>
      <c r="G171" s="44">
        <f>RawData!V903</f>
        <v>0</v>
      </c>
      <c r="H171" s="44">
        <f>RawData!W903</f>
        <v>0</v>
      </c>
      <c r="I171" s="44">
        <f>RawData!X903</f>
        <v>0</v>
      </c>
      <c r="J171" s="44">
        <f>RawData!Y903</f>
        <v>0</v>
      </c>
      <c r="K171" s="40">
        <f>RawData!Z903</f>
        <v>0</v>
      </c>
      <c r="L171" s="40">
        <f>RawData!AA903</f>
        <v>0</v>
      </c>
      <c r="M171" s="36">
        <f>RawData!AB903</f>
        <v>0</v>
      </c>
      <c r="N171" s="36">
        <f>RawData!AC903</f>
        <v>0</v>
      </c>
      <c r="O171" s="37">
        <f>RawData!AD903</f>
        <v>0</v>
      </c>
      <c r="P171" s="38">
        <f>RawData!AE903</f>
        <v>0</v>
      </c>
      <c r="Q171" s="39">
        <f>RawData!AF903</f>
        <v>0</v>
      </c>
      <c r="R171" s="38">
        <f>RawData!AG903</f>
        <v>0</v>
      </c>
      <c r="S171" s="40">
        <f>RawData!AH903</f>
        <v>0</v>
      </c>
      <c r="T171" s="40">
        <f>RawData!AI903</f>
        <v>0</v>
      </c>
      <c r="U171" s="40">
        <f>RawData!AJ903</f>
        <v>0</v>
      </c>
      <c r="V171" s="41">
        <f>RawData!AK903</f>
        <v>0</v>
      </c>
      <c r="W171" s="41">
        <f>RawData!AL903</f>
        <v>0</v>
      </c>
      <c r="X171" s="43">
        <f>RawData!CA903</f>
        <v>0</v>
      </c>
      <c r="Y171" s="41">
        <f>RawData!AM903</f>
        <v>0</v>
      </c>
      <c r="Z171" s="44">
        <f>RawData!CB903</f>
        <v>0</v>
      </c>
      <c r="AA171" s="44">
        <f>RawData!AN903</f>
        <v>0</v>
      </c>
      <c r="AB171" s="44">
        <f>RawData!AO903</f>
        <v>0</v>
      </c>
      <c r="AC171" s="44">
        <f>RawData!AP903</f>
        <v>0</v>
      </c>
      <c r="AD171" s="63">
        <f>RawData!BZ903</f>
        <v>0</v>
      </c>
      <c r="AE171" s="44">
        <f>RawData!AQ903</f>
        <v>0</v>
      </c>
      <c r="AF171" s="46">
        <f>RawData!O903</f>
        <v>0</v>
      </c>
      <c r="AG171" s="44">
        <f>RawData!AR903</f>
        <v>0</v>
      </c>
      <c r="AH171" s="44">
        <f>RawData!BY903</f>
        <v>0</v>
      </c>
      <c r="AI171" s="44">
        <f>RawData!AS903</f>
        <v>0</v>
      </c>
      <c r="AJ171" s="44">
        <f>RawData!AT903</f>
        <v>0</v>
      </c>
      <c r="AK171" s="44">
        <f>RawData!AU903</f>
        <v>0</v>
      </c>
      <c r="AL171" s="44">
        <f>RawData!BW903</f>
        <v>0</v>
      </c>
      <c r="AM171" s="41">
        <f>RawData!AV903</f>
        <v>0</v>
      </c>
      <c r="AN171" s="41">
        <f>RawData!BX903</f>
        <v>0</v>
      </c>
      <c r="AO171" s="41">
        <f>RawData!AW903</f>
        <v>0</v>
      </c>
      <c r="AP171" s="41">
        <f>RawData!AX903</f>
        <v>0</v>
      </c>
      <c r="AQ171" s="40">
        <f>RawData!AY903</f>
        <v>0</v>
      </c>
      <c r="AR171" s="40">
        <f>RawData!AZ903</f>
        <v>0</v>
      </c>
      <c r="AS171" s="40">
        <f>RawData!BA903</f>
        <v>0</v>
      </c>
      <c r="AT171" s="38">
        <f>RawData!BB903</f>
        <v>0</v>
      </c>
      <c r="AU171" s="40">
        <f>RawData!BC903</f>
        <v>0</v>
      </c>
      <c r="AV171" s="40">
        <f>RawData!BD903</f>
        <v>0</v>
      </c>
      <c r="AW171" s="38">
        <f>RawData!BE903</f>
        <v>0</v>
      </c>
      <c r="AX171" s="37">
        <f>RawData!BF903</f>
        <v>0</v>
      </c>
      <c r="AY171" s="36">
        <f>RawData!BG903</f>
        <v>0</v>
      </c>
      <c r="AZ171" s="36">
        <f>RawData!BH903</f>
        <v>0</v>
      </c>
      <c r="BA171" s="40">
        <f>RawData!BI903</f>
        <v>0</v>
      </c>
      <c r="BB171" s="44">
        <f>RawData!BJ903</f>
        <v>0</v>
      </c>
      <c r="BC171" s="44">
        <f>RawData!BK903</f>
        <v>0</v>
      </c>
      <c r="BD171" s="44">
        <f>RawData!BL903</f>
        <v>0</v>
      </c>
      <c r="BE171" s="44">
        <f>RawData!BM903</f>
        <v>0</v>
      </c>
      <c r="BF171" s="44">
        <f>RawData!BN903</f>
        <v>0</v>
      </c>
      <c r="BG171" s="63">
        <f>RawData!BO903</f>
        <v>0</v>
      </c>
      <c r="BH171" s="44">
        <f>RawData!BP903</f>
        <v>0</v>
      </c>
      <c r="BI171" s="63">
        <f>RawData!BQ903</f>
        <v>0</v>
      </c>
      <c r="BJ171" s="44">
        <f>RawData!BR903</f>
        <v>0</v>
      </c>
      <c r="BK171" s="47">
        <f>RawData!BS903</f>
        <v>0</v>
      </c>
      <c r="BL171" s="44">
        <f>RawData!BT903</f>
        <v>0</v>
      </c>
      <c r="BM171" s="47">
        <f>RawData!BV903</f>
        <v>0</v>
      </c>
      <c r="BN171" s="65">
        <f>RawData!CC903</f>
        <v>0</v>
      </c>
      <c r="BO171" s="66">
        <f>RawData!CD903</f>
        <v>0</v>
      </c>
      <c r="BQ171" s="21">
        <f t="shared" si="2"/>
        <v>0</v>
      </c>
    </row>
    <row r="172" spans="1:69" x14ac:dyDescent="0.2">
      <c r="A172" s="59">
        <f>RawData!P904</f>
        <v>0</v>
      </c>
      <c r="B172" s="44">
        <f>RawData!Q904</f>
        <v>0</v>
      </c>
      <c r="C172" s="44">
        <f>RawData!R904</f>
        <v>0</v>
      </c>
      <c r="D172" s="63">
        <f>RawData!S904</f>
        <v>0</v>
      </c>
      <c r="E172" s="44">
        <f>RawData!T904</f>
        <v>0</v>
      </c>
      <c r="F172" s="63">
        <f>RawData!U904</f>
        <v>0</v>
      </c>
      <c r="G172" s="44">
        <f>RawData!V904</f>
        <v>0</v>
      </c>
      <c r="H172" s="44">
        <f>RawData!W904</f>
        <v>0</v>
      </c>
      <c r="I172" s="44">
        <f>RawData!X904</f>
        <v>0</v>
      </c>
      <c r="J172" s="44">
        <f>RawData!Y904</f>
        <v>0</v>
      </c>
      <c r="K172" s="40">
        <f>RawData!Z904</f>
        <v>0</v>
      </c>
      <c r="L172" s="40">
        <f>RawData!AA904</f>
        <v>0</v>
      </c>
      <c r="M172" s="36">
        <f>RawData!AB904</f>
        <v>0</v>
      </c>
      <c r="N172" s="36">
        <f>RawData!AC904</f>
        <v>0</v>
      </c>
      <c r="O172" s="37">
        <f>RawData!AD904</f>
        <v>0</v>
      </c>
      <c r="P172" s="38">
        <f>RawData!AE904</f>
        <v>0</v>
      </c>
      <c r="Q172" s="39">
        <f>RawData!AF904</f>
        <v>0</v>
      </c>
      <c r="R172" s="38">
        <f>RawData!AG904</f>
        <v>0</v>
      </c>
      <c r="S172" s="40">
        <f>RawData!AH904</f>
        <v>0</v>
      </c>
      <c r="T172" s="40">
        <f>RawData!AI904</f>
        <v>0</v>
      </c>
      <c r="U172" s="40">
        <f>RawData!AJ904</f>
        <v>0</v>
      </c>
      <c r="V172" s="41">
        <f>RawData!AK904</f>
        <v>0</v>
      </c>
      <c r="W172" s="41">
        <f>RawData!AL904</f>
        <v>0</v>
      </c>
      <c r="X172" s="43">
        <f>RawData!CA904</f>
        <v>0</v>
      </c>
      <c r="Y172" s="41">
        <f>RawData!AM904</f>
        <v>0</v>
      </c>
      <c r="Z172" s="44">
        <f>RawData!CB904</f>
        <v>0</v>
      </c>
      <c r="AA172" s="44">
        <f>RawData!AN904</f>
        <v>0</v>
      </c>
      <c r="AB172" s="44">
        <f>RawData!AO904</f>
        <v>0</v>
      </c>
      <c r="AC172" s="44">
        <f>RawData!AP904</f>
        <v>0</v>
      </c>
      <c r="AD172" s="63">
        <f>RawData!BZ904</f>
        <v>0</v>
      </c>
      <c r="AE172" s="44">
        <f>RawData!AQ904</f>
        <v>0</v>
      </c>
      <c r="AF172" s="46">
        <f>RawData!O904</f>
        <v>0</v>
      </c>
      <c r="AG172" s="44">
        <f>RawData!AR904</f>
        <v>0</v>
      </c>
      <c r="AH172" s="44">
        <f>RawData!BY904</f>
        <v>0</v>
      </c>
      <c r="AI172" s="44">
        <f>RawData!AS904</f>
        <v>0</v>
      </c>
      <c r="AJ172" s="44">
        <f>RawData!AT904</f>
        <v>0</v>
      </c>
      <c r="AK172" s="44">
        <f>RawData!AU904</f>
        <v>0</v>
      </c>
      <c r="AL172" s="44">
        <f>RawData!BW904</f>
        <v>0</v>
      </c>
      <c r="AM172" s="41">
        <f>RawData!AV904</f>
        <v>0</v>
      </c>
      <c r="AN172" s="41">
        <f>RawData!BX904</f>
        <v>0</v>
      </c>
      <c r="AO172" s="41">
        <f>RawData!AW904</f>
        <v>0</v>
      </c>
      <c r="AP172" s="41">
        <f>RawData!AX904</f>
        <v>0</v>
      </c>
      <c r="AQ172" s="40">
        <f>RawData!AY904</f>
        <v>0</v>
      </c>
      <c r="AR172" s="40">
        <f>RawData!AZ904</f>
        <v>0</v>
      </c>
      <c r="AS172" s="40">
        <f>RawData!BA904</f>
        <v>0</v>
      </c>
      <c r="AT172" s="38">
        <f>RawData!BB904</f>
        <v>0</v>
      </c>
      <c r="AU172" s="40">
        <f>RawData!BC904</f>
        <v>0</v>
      </c>
      <c r="AV172" s="40">
        <f>RawData!BD904</f>
        <v>0</v>
      </c>
      <c r="AW172" s="38">
        <f>RawData!BE904</f>
        <v>0</v>
      </c>
      <c r="AX172" s="37">
        <f>RawData!BF904</f>
        <v>0</v>
      </c>
      <c r="AY172" s="36">
        <f>RawData!BG904</f>
        <v>0</v>
      </c>
      <c r="AZ172" s="36">
        <f>RawData!BH904</f>
        <v>0</v>
      </c>
      <c r="BA172" s="40">
        <f>RawData!BI904</f>
        <v>0</v>
      </c>
      <c r="BB172" s="44">
        <f>RawData!BJ904</f>
        <v>0</v>
      </c>
      <c r="BC172" s="44">
        <f>RawData!BK904</f>
        <v>0</v>
      </c>
      <c r="BD172" s="44">
        <f>RawData!BL904</f>
        <v>0</v>
      </c>
      <c r="BE172" s="44">
        <f>RawData!BM904</f>
        <v>0</v>
      </c>
      <c r="BF172" s="44">
        <f>RawData!BN904</f>
        <v>0</v>
      </c>
      <c r="BG172" s="63">
        <f>RawData!BO904</f>
        <v>0</v>
      </c>
      <c r="BH172" s="44">
        <f>RawData!BP904</f>
        <v>0</v>
      </c>
      <c r="BI172" s="63">
        <f>RawData!BQ904</f>
        <v>0</v>
      </c>
      <c r="BJ172" s="44">
        <f>RawData!BR904</f>
        <v>0</v>
      </c>
      <c r="BK172" s="47">
        <f>RawData!BS904</f>
        <v>0</v>
      </c>
      <c r="BL172" s="44">
        <f>RawData!BT904</f>
        <v>0</v>
      </c>
      <c r="BM172" s="47">
        <f>RawData!BV904</f>
        <v>0</v>
      </c>
      <c r="BN172" s="65">
        <f>RawData!CC904</f>
        <v>0</v>
      </c>
      <c r="BO172" s="66">
        <f>RawData!CD904</f>
        <v>0</v>
      </c>
      <c r="BQ172" s="21">
        <f t="shared" si="2"/>
        <v>0</v>
      </c>
    </row>
    <row r="173" spans="1:69" x14ac:dyDescent="0.2">
      <c r="A173" s="59">
        <f>RawData!P905</f>
        <v>0</v>
      </c>
      <c r="B173" s="44">
        <f>RawData!Q905</f>
        <v>0</v>
      </c>
      <c r="C173" s="44">
        <f>RawData!R905</f>
        <v>0</v>
      </c>
      <c r="D173" s="63">
        <f>RawData!S905</f>
        <v>0</v>
      </c>
      <c r="E173" s="44">
        <f>RawData!T905</f>
        <v>0</v>
      </c>
      <c r="F173" s="63">
        <f>RawData!U905</f>
        <v>0</v>
      </c>
      <c r="G173" s="44">
        <f>RawData!V905</f>
        <v>0</v>
      </c>
      <c r="H173" s="44">
        <f>RawData!W905</f>
        <v>0</v>
      </c>
      <c r="I173" s="44">
        <f>RawData!X905</f>
        <v>0</v>
      </c>
      <c r="J173" s="44">
        <f>RawData!Y905</f>
        <v>0</v>
      </c>
      <c r="K173" s="40">
        <f>RawData!Z905</f>
        <v>0</v>
      </c>
      <c r="L173" s="40">
        <f>RawData!AA905</f>
        <v>0</v>
      </c>
      <c r="M173" s="36">
        <f>RawData!AB905</f>
        <v>0</v>
      </c>
      <c r="N173" s="36">
        <f>RawData!AC905</f>
        <v>0</v>
      </c>
      <c r="O173" s="37">
        <f>RawData!AD905</f>
        <v>0</v>
      </c>
      <c r="P173" s="38">
        <f>RawData!AE905</f>
        <v>0</v>
      </c>
      <c r="Q173" s="39">
        <f>RawData!AF905</f>
        <v>0</v>
      </c>
      <c r="R173" s="38">
        <f>RawData!AG905</f>
        <v>0</v>
      </c>
      <c r="S173" s="40">
        <f>RawData!AH905</f>
        <v>0</v>
      </c>
      <c r="T173" s="40">
        <f>RawData!AI905</f>
        <v>0</v>
      </c>
      <c r="U173" s="40">
        <f>RawData!AJ905</f>
        <v>0</v>
      </c>
      <c r="V173" s="41">
        <f>RawData!AK905</f>
        <v>0</v>
      </c>
      <c r="W173" s="41">
        <f>RawData!AL905</f>
        <v>0</v>
      </c>
      <c r="X173" s="43">
        <f>RawData!CA905</f>
        <v>0</v>
      </c>
      <c r="Y173" s="41">
        <f>RawData!AM905</f>
        <v>0</v>
      </c>
      <c r="Z173" s="44">
        <f>RawData!CB905</f>
        <v>0</v>
      </c>
      <c r="AA173" s="44">
        <f>RawData!AN905</f>
        <v>0</v>
      </c>
      <c r="AB173" s="44">
        <f>RawData!AO905</f>
        <v>0</v>
      </c>
      <c r="AC173" s="44">
        <f>RawData!AP905</f>
        <v>0</v>
      </c>
      <c r="AD173" s="63">
        <f>RawData!BZ905</f>
        <v>0</v>
      </c>
      <c r="AE173" s="44">
        <f>RawData!AQ905</f>
        <v>0</v>
      </c>
      <c r="AF173" s="46">
        <f>RawData!O905</f>
        <v>0</v>
      </c>
      <c r="AG173" s="44">
        <f>RawData!AR905</f>
        <v>0</v>
      </c>
      <c r="AH173" s="44">
        <f>RawData!BY905</f>
        <v>0</v>
      </c>
      <c r="AI173" s="44">
        <f>RawData!AS905</f>
        <v>0</v>
      </c>
      <c r="AJ173" s="44">
        <f>RawData!AT905</f>
        <v>0</v>
      </c>
      <c r="AK173" s="44">
        <f>RawData!AU905</f>
        <v>0</v>
      </c>
      <c r="AL173" s="44">
        <f>RawData!BW905</f>
        <v>0</v>
      </c>
      <c r="AM173" s="41">
        <f>RawData!AV905</f>
        <v>0</v>
      </c>
      <c r="AN173" s="41">
        <f>RawData!BX905</f>
        <v>0</v>
      </c>
      <c r="AO173" s="41">
        <f>RawData!AW905</f>
        <v>0</v>
      </c>
      <c r="AP173" s="41">
        <f>RawData!AX905</f>
        <v>0</v>
      </c>
      <c r="AQ173" s="40">
        <f>RawData!AY905</f>
        <v>0</v>
      </c>
      <c r="AR173" s="40">
        <f>RawData!AZ905</f>
        <v>0</v>
      </c>
      <c r="AS173" s="40">
        <f>RawData!BA905</f>
        <v>0</v>
      </c>
      <c r="AT173" s="38">
        <f>RawData!BB905</f>
        <v>0</v>
      </c>
      <c r="AU173" s="40">
        <f>RawData!BC905</f>
        <v>0</v>
      </c>
      <c r="AV173" s="40">
        <f>RawData!BD905</f>
        <v>0</v>
      </c>
      <c r="AW173" s="38">
        <f>RawData!BE905</f>
        <v>0</v>
      </c>
      <c r="AX173" s="37">
        <f>RawData!BF905</f>
        <v>0</v>
      </c>
      <c r="AY173" s="36">
        <f>RawData!BG905</f>
        <v>0</v>
      </c>
      <c r="AZ173" s="36">
        <f>RawData!BH905</f>
        <v>0</v>
      </c>
      <c r="BA173" s="40">
        <f>RawData!BI905</f>
        <v>0</v>
      </c>
      <c r="BB173" s="44">
        <f>RawData!BJ905</f>
        <v>0</v>
      </c>
      <c r="BC173" s="44">
        <f>RawData!BK905</f>
        <v>0</v>
      </c>
      <c r="BD173" s="44">
        <f>RawData!BL905</f>
        <v>0</v>
      </c>
      <c r="BE173" s="44">
        <f>RawData!BM905</f>
        <v>0</v>
      </c>
      <c r="BF173" s="44">
        <f>RawData!BN905</f>
        <v>0</v>
      </c>
      <c r="BG173" s="63">
        <f>RawData!BO905</f>
        <v>0</v>
      </c>
      <c r="BH173" s="44">
        <f>RawData!BP905</f>
        <v>0</v>
      </c>
      <c r="BI173" s="63">
        <f>RawData!BQ905</f>
        <v>0</v>
      </c>
      <c r="BJ173" s="44">
        <f>RawData!BR905</f>
        <v>0</v>
      </c>
      <c r="BK173" s="47">
        <f>RawData!BS905</f>
        <v>0</v>
      </c>
      <c r="BL173" s="44">
        <f>RawData!BT905</f>
        <v>0</v>
      </c>
      <c r="BM173" s="47">
        <f>RawData!BV905</f>
        <v>0</v>
      </c>
      <c r="BN173" s="65">
        <f>RawData!CC905</f>
        <v>0</v>
      </c>
      <c r="BO173" s="66">
        <f>RawData!CD905</f>
        <v>0</v>
      </c>
      <c r="BQ173" s="21">
        <f t="shared" si="2"/>
        <v>0</v>
      </c>
    </row>
    <row r="174" spans="1:69" x14ac:dyDescent="0.2">
      <c r="A174" s="59">
        <f>RawData!P906</f>
        <v>0</v>
      </c>
      <c r="B174" s="44">
        <f>RawData!Q906</f>
        <v>0</v>
      </c>
      <c r="C174" s="44">
        <f>RawData!R906</f>
        <v>0</v>
      </c>
      <c r="D174" s="63">
        <f>RawData!S906</f>
        <v>0</v>
      </c>
      <c r="E174" s="44">
        <f>RawData!T906</f>
        <v>0</v>
      </c>
      <c r="F174" s="63">
        <f>RawData!U906</f>
        <v>0</v>
      </c>
      <c r="G174" s="44">
        <f>RawData!V906</f>
        <v>0</v>
      </c>
      <c r="H174" s="44">
        <f>RawData!W906</f>
        <v>0</v>
      </c>
      <c r="I174" s="44">
        <f>RawData!X906</f>
        <v>0</v>
      </c>
      <c r="J174" s="44">
        <f>RawData!Y906</f>
        <v>0</v>
      </c>
      <c r="K174" s="40">
        <f>RawData!Z906</f>
        <v>0</v>
      </c>
      <c r="L174" s="40">
        <f>RawData!AA906</f>
        <v>0</v>
      </c>
      <c r="M174" s="36">
        <f>RawData!AB906</f>
        <v>0</v>
      </c>
      <c r="N174" s="36">
        <f>RawData!AC906</f>
        <v>0</v>
      </c>
      <c r="O174" s="37">
        <f>RawData!AD906</f>
        <v>0</v>
      </c>
      <c r="P174" s="38">
        <f>RawData!AE906</f>
        <v>0</v>
      </c>
      <c r="Q174" s="39">
        <f>RawData!AF906</f>
        <v>0</v>
      </c>
      <c r="R174" s="38">
        <f>RawData!AG906</f>
        <v>0</v>
      </c>
      <c r="S174" s="40">
        <f>RawData!AH906</f>
        <v>0</v>
      </c>
      <c r="T174" s="40">
        <f>RawData!AI906</f>
        <v>0</v>
      </c>
      <c r="U174" s="40">
        <f>RawData!AJ906</f>
        <v>0</v>
      </c>
      <c r="V174" s="41">
        <f>RawData!AK906</f>
        <v>0</v>
      </c>
      <c r="W174" s="41">
        <f>RawData!AL906</f>
        <v>0</v>
      </c>
      <c r="X174" s="43">
        <f>RawData!CA906</f>
        <v>0</v>
      </c>
      <c r="Y174" s="41">
        <f>RawData!AM906</f>
        <v>0</v>
      </c>
      <c r="Z174" s="44">
        <f>RawData!CB906</f>
        <v>0</v>
      </c>
      <c r="AA174" s="44">
        <f>RawData!AN906</f>
        <v>0</v>
      </c>
      <c r="AB174" s="44">
        <f>RawData!AO906</f>
        <v>0</v>
      </c>
      <c r="AC174" s="44">
        <f>RawData!AP906</f>
        <v>0</v>
      </c>
      <c r="AD174" s="63">
        <f>RawData!BZ906</f>
        <v>0</v>
      </c>
      <c r="AE174" s="44">
        <f>RawData!AQ906</f>
        <v>0</v>
      </c>
      <c r="AF174" s="46">
        <f>RawData!O906</f>
        <v>0</v>
      </c>
      <c r="AG174" s="44">
        <f>RawData!AR906</f>
        <v>0</v>
      </c>
      <c r="AH174" s="44">
        <f>RawData!BY906</f>
        <v>0</v>
      </c>
      <c r="AI174" s="44">
        <f>RawData!AS906</f>
        <v>0</v>
      </c>
      <c r="AJ174" s="44">
        <f>RawData!AT906</f>
        <v>0</v>
      </c>
      <c r="AK174" s="44">
        <f>RawData!AU906</f>
        <v>0</v>
      </c>
      <c r="AL174" s="44">
        <f>RawData!BW906</f>
        <v>0</v>
      </c>
      <c r="AM174" s="41">
        <f>RawData!AV906</f>
        <v>0</v>
      </c>
      <c r="AN174" s="41">
        <f>RawData!BX906</f>
        <v>0</v>
      </c>
      <c r="AO174" s="41">
        <f>RawData!AW906</f>
        <v>0</v>
      </c>
      <c r="AP174" s="41">
        <f>RawData!AX906</f>
        <v>0</v>
      </c>
      <c r="AQ174" s="40">
        <f>RawData!AY906</f>
        <v>0</v>
      </c>
      <c r="AR174" s="40">
        <f>RawData!AZ906</f>
        <v>0</v>
      </c>
      <c r="AS174" s="40">
        <f>RawData!BA906</f>
        <v>0</v>
      </c>
      <c r="AT174" s="38">
        <f>RawData!BB906</f>
        <v>0</v>
      </c>
      <c r="AU174" s="40">
        <f>RawData!BC906</f>
        <v>0</v>
      </c>
      <c r="AV174" s="40">
        <f>RawData!BD906</f>
        <v>0</v>
      </c>
      <c r="AW174" s="38">
        <f>RawData!BE906</f>
        <v>0</v>
      </c>
      <c r="AX174" s="37">
        <f>RawData!BF906</f>
        <v>0</v>
      </c>
      <c r="AY174" s="36">
        <f>RawData!BG906</f>
        <v>0</v>
      </c>
      <c r="AZ174" s="36">
        <f>RawData!BH906</f>
        <v>0</v>
      </c>
      <c r="BA174" s="40">
        <f>RawData!BI906</f>
        <v>0</v>
      </c>
      <c r="BB174" s="44">
        <f>RawData!BJ906</f>
        <v>0</v>
      </c>
      <c r="BC174" s="44">
        <f>RawData!BK906</f>
        <v>0</v>
      </c>
      <c r="BD174" s="44">
        <f>RawData!BL906</f>
        <v>0</v>
      </c>
      <c r="BE174" s="44">
        <f>RawData!BM906</f>
        <v>0</v>
      </c>
      <c r="BF174" s="44">
        <f>RawData!BN906</f>
        <v>0</v>
      </c>
      <c r="BG174" s="63">
        <f>RawData!BO906</f>
        <v>0</v>
      </c>
      <c r="BH174" s="44">
        <f>RawData!BP906</f>
        <v>0</v>
      </c>
      <c r="BI174" s="63">
        <f>RawData!BQ906</f>
        <v>0</v>
      </c>
      <c r="BJ174" s="44">
        <f>RawData!BR906</f>
        <v>0</v>
      </c>
      <c r="BK174" s="47">
        <f>RawData!BS906</f>
        <v>0</v>
      </c>
      <c r="BL174" s="44">
        <f>RawData!BT906</f>
        <v>0</v>
      </c>
      <c r="BM174" s="47">
        <f>RawData!BV906</f>
        <v>0</v>
      </c>
      <c r="BN174" s="65">
        <f>RawData!CC906</f>
        <v>0</v>
      </c>
      <c r="BO174" s="66">
        <f>RawData!CD906</f>
        <v>0</v>
      </c>
      <c r="BQ174" s="21">
        <f t="shared" si="2"/>
        <v>0</v>
      </c>
    </row>
    <row r="175" spans="1:69" x14ac:dyDescent="0.2">
      <c r="A175" s="59">
        <f>RawData!P907</f>
        <v>0</v>
      </c>
      <c r="B175" s="44">
        <f>RawData!Q907</f>
        <v>0</v>
      </c>
      <c r="C175" s="44">
        <f>RawData!R907</f>
        <v>0</v>
      </c>
      <c r="D175" s="63">
        <f>RawData!S907</f>
        <v>0</v>
      </c>
      <c r="E175" s="44">
        <f>RawData!T907</f>
        <v>0</v>
      </c>
      <c r="F175" s="63">
        <f>RawData!U907</f>
        <v>0</v>
      </c>
      <c r="G175" s="44">
        <f>RawData!V907</f>
        <v>0</v>
      </c>
      <c r="H175" s="44">
        <f>RawData!W907</f>
        <v>0</v>
      </c>
      <c r="I175" s="44">
        <f>RawData!X907</f>
        <v>0</v>
      </c>
      <c r="J175" s="44">
        <f>RawData!Y907</f>
        <v>0</v>
      </c>
      <c r="K175" s="40">
        <f>RawData!Z907</f>
        <v>0</v>
      </c>
      <c r="L175" s="40">
        <f>RawData!AA907</f>
        <v>0</v>
      </c>
      <c r="M175" s="36">
        <f>RawData!AB907</f>
        <v>0</v>
      </c>
      <c r="N175" s="36">
        <f>RawData!AC907</f>
        <v>0</v>
      </c>
      <c r="O175" s="37">
        <f>RawData!AD907</f>
        <v>0</v>
      </c>
      <c r="P175" s="38">
        <f>RawData!AE907</f>
        <v>0</v>
      </c>
      <c r="Q175" s="39">
        <f>RawData!AF907</f>
        <v>0</v>
      </c>
      <c r="R175" s="38">
        <f>RawData!AG907</f>
        <v>0</v>
      </c>
      <c r="S175" s="40">
        <f>RawData!AH907</f>
        <v>0</v>
      </c>
      <c r="T175" s="40">
        <f>RawData!AI907</f>
        <v>0</v>
      </c>
      <c r="U175" s="40">
        <f>RawData!AJ907</f>
        <v>0</v>
      </c>
      <c r="V175" s="41">
        <f>RawData!AK907</f>
        <v>0</v>
      </c>
      <c r="W175" s="41">
        <f>RawData!AL907</f>
        <v>0</v>
      </c>
      <c r="X175" s="43">
        <f>RawData!CA907</f>
        <v>0</v>
      </c>
      <c r="Y175" s="41">
        <f>RawData!AM907</f>
        <v>0</v>
      </c>
      <c r="Z175" s="44">
        <f>RawData!CB907</f>
        <v>0</v>
      </c>
      <c r="AA175" s="44">
        <f>RawData!AN907</f>
        <v>0</v>
      </c>
      <c r="AB175" s="44">
        <f>RawData!AO907</f>
        <v>0</v>
      </c>
      <c r="AC175" s="44">
        <f>RawData!AP907</f>
        <v>0</v>
      </c>
      <c r="AD175" s="63">
        <f>RawData!BZ907</f>
        <v>0</v>
      </c>
      <c r="AE175" s="44">
        <f>RawData!AQ907</f>
        <v>0</v>
      </c>
      <c r="AF175" s="46">
        <f>RawData!O907</f>
        <v>0</v>
      </c>
      <c r="AG175" s="44">
        <f>RawData!AR907</f>
        <v>0</v>
      </c>
      <c r="AH175" s="44">
        <f>RawData!BY907</f>
        <v>0</v>
      </c>
      <c r="AI175" s="44">
        <f>RawData!AS907</f>
        <v>0</v>
      </c>
      <c r="AJ175" s="44">
        <f>RawData!AT907</f>
        <v>0</v>
      </c>
      <c r="AK175" s="44">
        <f>RawData!AU907</f>
        <v>0</v>
      </c>
      <c r="AL175" s="44">
        <f>RawData!BW907</f>
        <v>0</v>
      </c>
      <c r="AM175" s="41">
        <f>RawData!AV907</f>
        <v>0</v>
      </c>
      <c r="AN175" s="41">
        <f>RawData!BX907</f>
        <v>0</v>
      </c>
      <c r="AO175" s="41">
        <f>RawData!AW907</f>
        <v>0</v>
      </c>
      <c r="AP175" s="41">
        <f>RawData!AX907</f>
        <v>0</v>
      </c>
      <c r="AQ175" s="40">
        <f>RawData!AY907</f>
        <v>0</v>
      </c>
      <c r="AR175" s="40">
        <f>RawData!AZ907</f>
        <v>0</v>
      </c>
      <c r="AS175" s="40">
        <f>RawData!BA907</f>
        <v>0</v>
      </c>
      <c r="AT175" s="38">
        <f>RawData!BB907</f>
        <v>0</v>
      </c>
      <c r="AU175" s="40">
        <f>RawData!BC907</f>
        <v>0</v>
      </c>
      <c r="AV175" s="40">
        <f>RawData!BD907</f>
        <v>0</v>
      </c>
      <c r="AW175" s="38">
        <f>RawData!BE907</f>
        <v>0</v>
      </c>
      <c r="AX175" s="37">
        <f>RawData!BF907</f>
        <v>0</v>
      </c>
      <c r="AY175" s="36">
        <f>RawData!BG907</f>
        <v>0</v>
      </c>
      <c r="AZ175" s="36">
        <f>RawData!BH907</f>
        <v>0</v>
      </c>
      <c r="BA175" s="40">
        <f>RawData!BI907</f>
        <v>0</v>
      </c>
      <c r="BB175" s="44">
        <f>RawData!BJ907</f>
        <v>0</v>
      </c>
      <c r="BC175" s="44">
        <f>RawData!BK907</f>
        <v>0</v>
      </c>
      <c r="BD175" s="44">
        <f>RawData!BL907</f>
        <v>0</v>
      </c>
      <c r="BE175" s="44">
        <f>RawData!BM907</f>
        <v>0</v>
      </c>
      <c r="BF175" s="44">
        <f>RawData!BN907</f>
        <v>0</v>
      </c>
      <c r="BG175" s="63">
        <f>RawData!BO907</f>
        <v>0</v>
      </c>
      <c r="BH175" s="44">
        <f>RawData!BP907</f>
        <v>0</v>
      </c>
      <c r="BI175" s="63">
        <f>RawData!BQ907</f>
        <v>0</v>
      </c>
      <c r="BJ175" s="44">
        <f>RawData!BR907</f>
        <v>0</v>
      </c>
      <c r="BK175" s="47">
        <f>RawData!BS907</f>
        <v>0</v>
      </c>
      <c r="BL175" s="44">
        <f>RawData!BT907</f>
        <v>0</v>
      </c>
      <c r="BM175" s="47">
        <f>RawData!BV907</f>
        <v>0</v>
      </c>
      <c r="BN175" s="65">
        <f>RawData!CC907</f>
        <v>0</v>
      </c>
      <c r="BO175" s="66">
        <f>RawData!CD907</f>
        <v>0</v>
      </c>
      <c r="BQ175" s="21">
        <f t="shared" si="2"/>
        <v>0</v>
      </c>
    </row>
    <row r="176" spans="1:69" x14ac:dyDescent="0.2">
      <c r="A176" s="59">
        <f>RawData!P908</f>
        <v>0</v>
      </c>
      <c r="B176" s="44">
        <f>RawData!Q908</f>
        <v>0</v>
      </c>
      <c r="C176" s="44">
        <f>RawData!R908</f>
        <v>0</v>
      </c>
      <c r="D176" s="63">
        <f>RawData!S908</f>
        <v>0</v>
      </c>
      <c r="E176" s="44">
        <f>RawData!T908</f>
        <v>0</v>
      </c>
      <c r="F176" s="63">
        <f>RawData!U908</f>
        <v>0</v>
      </c>
      <c r="G176" s="44">
        <f>RawData!V908</f>
        <v>0</v>
      </c>
      <c r="H176" s="44">
        <f>RawData!W908</f>
        <v>0</v>
      </c>
      <c r="I176" s="44">
        <f>RawData!X908</f>
        <v>0</v>
      </c>
      <c r="J176" s="44">
        <f>RawData!Y908</f>
        <v>0</v>
      </c>
      <c r="K176" s="40">
        <f>RawData!Z908</f>
        <v>0</v>
      </c>
      <c r="L176" s="40">
        <f>RawData!AA908</f>
        <v>0</v>
      </c>
      <c r="M176" s="36">
        <f>RawData!AB908</f>
        <v>0</v>
      </c>
      <c r="N176" s="36">
        <f>RawData!AC908</f>
        <v>0</v>
      </c>
      <c r="O176" s="37">
        <f>RawData!AD908</f>
        <v>0</v>
      </c>
      <c r="P176" s="38">
        <f>RawData!AE908</f>
        <v>0</v>
      </c>
      <c r="Q176" s="39">
        <f>RawData!AF908</f>
        <v>0</v>
      </c>
      <c r="R176" s="38">
        <f>RawData!AG908</f>
        <v>0</v>
      </c>
      <c r="S176" s="40">
        <f>RawData!AH908</f>
        <v>0</v>
      </c>
      <c r="T176" s="40">
        <f>RawData!AI908</f>
        <v>0</v>
      </c>
      <c r="U176" s="40">
        <f>RawData!AJ908</f>
        <v>0</v>
      </c>
      <c r="V176" s="41">
        <f>RawData!AK908</f>
        <v>0</v>
      </c>
      <c r="W176" s="41">
        <f>RawData!AL908</f>
        <v>0</v>
      </c>
      <c r="X176" s="43">
        <f>RawData!CA908</f>
        <v>0</v>
      </c>
      <c r="Y176" s="41">
        <f>RawData!AM908</f>
        <v>0</v>
      </c>
      <c r="Z176" s="44">
        <f>RawData!CB908</f>
        <v>0</v>
      </c>
      <c r="AA176" s="44">
        <f>RawData!AN908</f>
        <v>0</v>
      </c>
      <c r="AB176" s="44">
        <f>RawData!AO908</f>
        <v>0</v>
      </c>
      <c r="AC176" s="44">
        <f>RawData!AP908</f>
        <v>0</v>
      </c>
      <c r="AD176" s="63">
        <f>RawData!BZ908</f>
        <v>0</v>
      </c>
      <c r="AE176" s="44">
        <f>RawData!AQ908</f>
        <v>0</v>
      </c>
      <c r="AF176" s="46">
        <f>RawData!O908</f>
        <v>0</v>
      </c>
      <c r="AG176" s="44">
        <f>RawData!AR908</f>
        <v>0</v>
      </c>
      <c r="AH176" s="44">
        <f>RawData!BY908</f>
        <v>0</v>
      </c>
      <c r="AI176" s="44">
        <f>RawData!AS908</f>
        <v>0</v>
      </c>
      <c r="AJ176" s="44">
        <f>RawData!AT908</f>
        <v>0</v>
      </c>
      <c r="AK176" s="44">
        <f>RawData!AU908</f>
        <v>0</v>
      </c>
      <c r="AL176" s="44">
        <f>RawData!BW908</f>
        <v>0</v>
      </c>
      <c r="AM176" s="41">
        <f>RawData!AV908</f>
        <v>0</v>
      </c>
      <c r="AN176" s="41">
        <f>RawData!BX908</f>
        <v>0</v>
      </c>
      <c r="AO176" s="41">
        <f>RawData!AW908</f>
        <v>0</v>
      </c>
      <c r="AP176" s="41">
        <f>RawData!AX908</f>
        <v>0</v>
      </c>
      <c r="AQ176" s="40">
        <f>RawData!AY908</f>
        <v>0</v>
      </c>
      <c r="AR176" s="40">
        <f>RawData!AZ908</f>
        <v>0</v>
      </c>
      <c r="AS176" s="40">
        <f>RawData!BA908</f>
        <v>0</v>
      </c>
      <c r="AT176" s="38">
        <f>RawData!BB908</f>
        <v>0</v>
      </c>
      <c r="AU176" s="40">
        <f>RawData!BC908</f>
        <v>0</v>
      </c>
      <c r="AV176" s="40">
        <f>RawData!BD908</f>
        <v>0</v>
      </c>
      <c r="AW176" s="38">
        <f>RawData!BE908</f>
        <v>0</v>
      </c>
      <c r="AX176" s="37">
        <f>RawData!BF908</f>
        <v>0</v>
      </c>
      <c r="AY176" s="36">
        <f>RawData!BG908</f>
        <v>0</v>
      </c>
      <c r="AZ176" s="36">
        <f>RawData!BH908</f>
        <v>0</v>
      </c>
      <c r="BA176" s="40">
        <f>RawData!BI908</f>
        <v>0</v>
      </c>
      <c r="BB176" s="44">
        <f>RawData!BJ908</f>
        <v>0</v>
      </c>
      <c r="BC176" s="44">
        <f>RawData!BK908</f>
        <v>0</v>
      </c>
      <c r="BD176" s="44">
        <f>RawData!BL908</f>
        <v>0</v>
      </c>
      <c r="BE176" s="44">
        <f>RawData!BM908</f>
        <v>0</v>
      </c>
      <c r="BF176" s="44">
        <f>RawData!BN908</f>
        <v>0</v>
      </c>
      <c r="BG176" s="63">
        <f>RawData!BO908</f>
        <v>0</v>
      </c>
      <c r="BH176" s="44">
        <f>RawData!BP908</f>
        <v>0</v>
      </c>
      <c r="BI176" s="63">
        <f>RawData!BQ908</f>
        <v>0</v>
      </c>
      <c r="BJ176" s="44">
        <f>RawData!BR908</f>
        <v>0</v>
      </c>
      <c r="BK176" s="47">
        <f>RawData!BS908</f>
        <v>0</v>
      </c>
      <c r="BL176" s="44">
        <f>RawData!BT908</f>
        <v>0</v>
      </c>
      <c r="BM176" s="47">
        <f>RawData!BV908</f>
        <v>0</v>
      </c>
      <c r="BN176" s="65">
        <f>RawData!CC908</f>
        <v>0</v>
      </c>
      <c r="BO176" s="66">
        <f>RawData!CD908</f>
        <v>0</v>
      </c>
      <c r="BQ176" s="21">
        <f t="shared" si="2"/>
        <v>0</v>
      </c>
    </row>
    <row r="177" spans="1:69" x14ac:dyDescent="0.2">
      <c r="A177" s="59">
        <f>RawData!P909</f>
        <v>0</v>
      </c>
      <c r="B177" s="44">
        <f>RawData!Q909</f>
        <v>0</v>
      </c>
      <c r="C177" s="44">
        <f>RawData!R909</f>
        <v>0</v>
      </c>
      <c r="D177" s="63">
        <f>RawData!S909</f>
        <v>0</v>
      </c>
      <c r="E177" s="44">
        <f>RawData!T909</f>
        <v>0</v>
      </c>
      <c r="F177" s="63">
        <f>RawData!U909</f>
        <v>0</v>
      </c>
      <c r="G177" s="44">
        <f>RawData!V909</f>
        <v>0</v>
      </c>
      <c r="H177" s="44">
        <f>RawData!W909</f>
        <v>0</v>
      </c>
      <c r="I177" s="44">
        <f>RawData!X909</f>
        <v>0</v>
      </c>
      <c r="J177" s="44">
        <f>RawData!Y909</f>
        <v>0</v>
      </c>
      <c r="K177" s="40">
        <f>RawData!Z909</f>
        <v>0</v>
      </c>
      <c r="L177" s="40">
        <f>RawData!AA909</f>
        <v>0</v>
      </c>
      <c r="M177" s="36">
        <f>RawData!AB909</f>
        <v>0</v>
      </c>
      <c r="N177" s="36">
        <f>RawData!AC909</f>
        <v>0</v>
      </c>
      <c r="O177" s="37">
        <f>RawData!AD909</f>
        <v>0</v>
      </c>
      <c r="P177" s="38">
        <f>RawData!AE909</f>
        <v>0</v>
      </c>
      <c r="Q177" s="39">
        <f>RawData!AF909</f>
        <v>0</v>
      </c>
      <c r="R177" s="38">
        <f>RawData!AG909</f>
        <v>0</v>
      </c>
      <c r="S177" s="40">
        <f>RawData!AH909</f>
        <v>0</v>
      </c>
      <c r="T177" s="40">
        <f>RawData!AI909</f>
        <v>0</v>
      </c>
      <c r="U177" s="40">
        <f>RawData!AJ909</f>
        <v>0</v>
      </c>
      <c r="V177" s="41">
        <f>RawData!AK909</f>
        <v>0</v>
      </c>
      <c r="W177" s="41">
        <f>RawData!AL909</f>
        <v>0</v>
      </c>
      <c r="X177" s="43">
        <f>RawData!CA909</f>
        <v>0</v>
      </c>
      <c r="Y177" s="41">
        <f>RawData!AM909</f>
        <v>0</v>
      </c>
      <c r="Z177" s="44">
        <f>RawData!CB909</f>
        <v>0</v>
      </c>
      <c r="AA177" s="44">
        <f>RawData!AN909</f>
        <v>0</v>
      </c>
      <c r="AB177" s="44">
        <f>RawData!AO909</f>
        <v>0</v>
      </c>
      <c r="AC177" s="44">
        <f>RawData!AP909</f>
        <v>0</v>
      </c>
      <c r="AD177" s="63">
        <f>RawData!BZ909</f>
        <v>0</v>
      </c>
      <c r="AE177" s="44">
        <f>RawData!AQ909</f>
        <v>0</v>
      </c>
      <c r="AF177" s="46">
        <f>RawData!O909</f>
        <v>0</v>
      </c>
      <c r="AG177" s="44">
        <f>RawData!AR909</f>
        <v>0</v>
      </c>
      <c r="AH177" s="44">
        <f>RawData!BY909</f>
        <v>0</v>
      </c>
      <c r="AI177" s="44">
        <f>RawData!AS909</f>
        <v>0</v>
      </c>
      <c r="AJ177" s="44">
        <f>RawData!AT909</f>
        <v>0</v>
      </c>
      <c r="AK177" s="44">
        <f>RawData!AU909</f>
        <v>0</v>
      </c>
      <c r="AL177" s="44">
        <f>RawData!BW909</f>
        <v>0</v>
      </c>
      <c r="AM177" s="41">
        <f>RawData!AV909</f>
        <v>0</v>
      </c>
      <c r="AN177" s="41">
        <f>RawData!BX909</f>
        <v>0</v>
      </c>
      <c r="AO177" s="41">
        <f>RawData!AW909</f>
        <v>0</v>
      </c>
      <c r="AP177" s="41">
        <f>RawData!AX909</f>
        <v>0</v>
      </c>
      <c r="AQ177" s="40">
        <f>RawData!AY909</f>
        <v>0</v>
      </c>
      <c r="AR177" s="40">
        <f>RawData!AZ909</f>
        <v>0</v>
      </c>
      <c r="AS177" s="40">
        <f>RawData!BA909</f>
        <v>0</v>
      </c>
      <c r="AT177" s="38">
        <f>RawData!BB909</f>
        <v>0</v>
      </c>
      <c r="AU177" s="40">
        <f>RawData!BC909</f>
        <v>0</v>
      </c>
      <c r="AV177" s="40">
        <f>RawData!BD909</f>
        <v>0</v>
      </c>
      <c r="AW177" s="38">
        <f>RawData!BE909</f>
        <v>0</v>
      </c>
      <c r="AX177" s="37">
        <f>RawData!BF909</f>
        <v>0</v>
      </c>
      <c r="AY177" s="36">
        <f>RawData!BG909</f>
        <v>0</v>
      </c>
      <c r="AZ177" s="36">
        <f>RawData!BH909</f>
        <v>0</v>
      </c>
      <c r="BA177" s="40">
        <f>RawData!BI909</f>
        <v>0</v>
      </c>
      <c r="BB177" s="44">
        <f>RawData!BJ909</f>
        <v>0</v>
      </c>
      <c r="BC177" s="44">
        <f>RawData!BK909</f>
        <v>0</v>
      </c>
      <c r="BD177" s="44">
        <f>RawData!BL909</f>
        <v>0</v>
      </c>
      <c r="BE177" s="44">
        <f>RawData!BM909</f>
        <v>0</v>
      </c>
      <c r="BF177" s="44">
        <f>RawData!BN909</f>
        <v>0</v>
      </c>
      <c r="BG177" s="63">
        <f>RawData!BO909</f>
        <v>0</v>
      </c>
      <c r="BH177" s="44">
        <f>RawData!BP909</f>
        <v>0</v>
      </c>
      <c r="BI177" s="63">
        <f>RawData!BQ909</f>
        <v>0</v>
      </c>
      <c r="BJ177" s="44">
        <f>RawData!BR909</f>
        <v>0</v>
      </c>
      <c r="BK177" s="47">
        <f>RawData!BS909</f>
        <v>0</v>
      </c>
      <c r="BL177" s="44">
        <f>RawData!BT909</f>
        <v>0</v>
      </c>
      <c r="BM177" s="47">
        <f>RawData!BV909</f>
        <v>0</v>
      </c>
      <c r="BN177" s="65">
        <f>RawData!CC909</f>
        <v>0</v>
      </c>
      <c r="BO177" s="66">
        <f>RawData!CD909</f>
        <v>0</v>
      </c>
      <c r="BQ177" s="21">
        <f t="shared" si="2"/>
        <v>0</v>
      </c>
    </row>
    <row r="178" spans="1:69" x14ac:dyDescent="0.2">
      <c r="A178" s="59">
        <f>RawData!P910</f>
        <v>0</v>
      </c>
      <c r="B178" s="44">
        <f>RawData!Q910</f>
        <v>0</v>
      </c>
      <c r="C178" s="44">
        <f>RawData!R910</f>
        <v>0</v>
      </c>
      <c r="D178" s="63">
        <f>RawData!S910</f>
        <v>0</v>
      </c>
      <c r="E178" s="44">
        <f>RawData!T910</f>
        <v>0</v>
      </c>
      <c r="F178" s="63">
        <f>RawData!U910</f>
        <v>0</v>
      </c>
      <c r="G178" s="44">
        <f>RawData!V910</f>
        <v>0</v>
      </c>
      <c r="H178" s="44">
        <f>RawData!W910</f>
        <v>0</v>
      </c>
      <c r="I178" s="44">
        <f>RawData!X910</f>
        <v>0</v>
      </c>
      <c r="J178" s="44">
        <f>RawData!Y910</f>
        <v>0</v>
      </c>
      <c r="K178" s="40">
        <f>RawData!Z910</f>
        <v>0</v>
      </c>
      <c r="L178" s="40">
        <f>RawData!AA910</f>
        <v>0</v>
      </c>
      <c r="M178" s="36">
        <f>RawData!AB910</f>
        <v>0</v>
      </c>
      <c r="N178" s="36">
        <f>RawData!AC910</f>
        <v>0</v>
      </c>
      <c r="O178" s="37">
        <f>RawData!AD910</f>
        <v>0</v>
      </c>
      <c r="P178" s="38">
        <f>RawData!AE910</f>
        <v>0</v>
      </c>
      <c r="Q178" s="39">
        <f>RawData!AF910</f>
        <v>0</v>
      </c>
      <c r="R178" s="38">
        <f>RawData!AG910</f>
        <v>0</v>
      </c>
      <c r="S178" s="40">
        <f>RawData!AH910</f>
        <v>0</v>
      </c>
      <c r="T178" s="40">
        <f>RawData!AI910</f>
        <v>0</v>
      </c>
      <c r="U178" s="40">
        <f>RawData!AJ910</f>
        <v>0</v>
      </c>
      <c r="V178" s="41">
        <f>RawData!AK910</f>
        <v>0</v>
      </c>
      <c r="W178" s="41">
        <f>RawData!AL910</f>
        <v>0</v>
      </c>
      <c r="X178" s="43">
        <f>RawData!CA910</f>
        <v>0</v>
      </c>
      <c r="Y178" s="41">
        <f>RawData!AM910</f>
        <v>0</v>
      </c>
      <c r="Z178" s="44">
        <f>RawData!CB910</f>
        <v>0</v>
      </c>
      <c r="AA178" s="44">
        <f>RawData!AN910</f>
        <v>0</v>
      </c>
      <c r="AB178" s="44">
        <f>RawData!AO910</f>
        <v>0</v>
      </c>
      <c r="AC178" s="44">
        <f>RawData!AP910</f>
        <v>0</v>
      </c>
      <c r="AD178" s="63">
        <f>RawData!BZ910</f>
        <v>0</v>
      </c>
      <c r="AE178" s="44">
        <f>RawData!AQ910</f>
        <v>0</v>
      </c>
      <c r="AF178" s="46">
        <f>RawData!O910</f>
        <v>0</v>
      </c>
      <c r="AG178" s="44">
        <f>RawData!AR910</f>
        <v>0</v>
      </c>
      <c r="AH178" s="44">
        <f>RawData!BY910</f>
        <v>0</v>
      </c>
      <c r="AI178" s="44">
        <f>RawData!AS910</f>
        <v>0</v>
      </c>
      <c r="AJ178" s="44">
        <f>RawData!AT910</f>
        <v>0</v>
      </c>
      <c r="AK178" s="44">
        <f>RawData!AU910</f>
        <v>0</v>
      </c>
      <c r="AL178" s="44">
        <f>RawData!BW910</f>
        <v>0</v>
      </c>
      <c r="AM178" s="41">
        <f>RawData!AV910</f>
        <v>0</v>
      </c>
      <c r="AN178" s="41">
        <f>RawData!BX910</f>
        <v>0</v>
      </c>
      <c r="AO178" s="41">
        <f>RawData!AW910</f>
        <v>0</v>
      </c>
      <c r="AP178" s="41">
        <f>RawData!AX910</f>
        <v>0</v>
      </c>
      <c r="AQ178" s="40">
        <f>RawData!AY910</f>
        <v>0</v>
      </c>
      <c r="AR178" s="40">
        <f>RawData!AZ910</f>
        <v>0</v>
      </c>
      <c r="AS178" s="40">
        <f>RawData!BA910</f>
        <v>0</v>
      </c>
      <c r="AT178" s="38">
        <f>RawData!BB910</f>
        <v>0</v>
      </c>
      <c r="AU178" s="40">
        <f>RawData!BC910</f>
        <v>0</v>
      </c>
      <c r="AV178" s="40">
        <f>RawData!BD910</f>
        <v>0</v>
      </c>
      <c r="AW178" s="38">
        <f>RawData!BE910</f>
        <v>0</v>
      </c>
      <c r="AX178" s="37">
        <f>RawData!BF910</f>
        <v>0</v>
      </c>
      <c r="AY178" s="36">
        <f>RawData!BG910</f>
        <v>0</v>
      </c>
      <c r="AZ178" s="36">
        <f>RawData!BH910</f>
        <v>0</v>
      </c>
      <c r="BA178" s="40">
        <f>RawData!BI910</f>
        <v>0</v>
      </c>
      <c r="BB178" s="44">
        <f>RawData!BJ910</f>
        <v>0</v>
      </c>
      <c r="BC178" s="44">
        <f>RawData!BK910</f>
        <v>0</v>
      </c>
      <c r="BD178" s="44">
        <f>RawData!BL910</f>
        <v>0</v>
      </c>
      <c r="BE178" s="44">
        <f>RawData!BM910</f>
        <v>0</v>
      </c>
      <c r="BF178" s="44">
        <f>RawData!BN910</f>
        <v>0</v>
      </c>
      <c r="BG178" s="63">
        <f>RawData!BO910</f>
        <v>0</v>
      </c>
      <c r="BH178" s="44">
        <f>RawData!BP910</f>
        <v>0</v>
      </c>
      <c r="BI178" s="63">
        <f>RawData!BQ910</f>
        <v>0</v>
      </c>
      <c r="BJ178" s="44">
        <f>RawData!BR910</f>
        <v>0</v>
      </c>
      <c r="BK178" s="47">
        <f>RawData!BS910</f>
        <v>0</v>
      </c>
      <c r="BL178" s="44">
        <f>RawData!BT910</f>
        <v>0</v>
      </c>
      <c r="BM178" s="47">
        <f>RawData!BV910</f>
        <v>0</v>
      </c>
      <c r="BN178" s="65">
        <f>RawData!CC910</f>
        <v>0</v>
      </c>
      <c r="BO178" s="66">
        <f>RawData!CD910</f>
        <v>0</v>
      </c>
      <c r="BQ178" s="21">
        <f t="shared" si="2"/>
        <v>0</v>
      </c>
    </row>
    <row r="179" spans="1:69" x14ac:dyDescent="0.2">
      <c r="A179" s="59">
        <f>RawData!P911</f>
        <v>0</v>
      </c>
      <c r="B179" s="44">
        <f>RawData!Q911</f>
        <v>0</v>
      </c>
      <c r="C179" s="44">
        <f>RawData!R911</f>
        <v>0</v>
      </c>
      <c r="D179" s="63">
        <f>RawData!S911</f>
        <v>0</v>
      </c>
      <c r="E179" s="44">
        <f>RawData!T911</f>
        <v>0</v>
      </c>
      <c r="F179" s="63">
        <f>RawData!U911</f>
        <v>0</v>
      </c>
      <c r="G179" s="44">
        <f>RawData!V911</f>
        <v>0</v>
      </c>
      <c r="H179" s="44">
        <f>RawData!W911</f>
        <v>0</v>
      </c>
      <c r="I179" s="44">
        <f>RawData!X911</f>
        <v>0</v>
      </c>
      <c r="J179" s="44">
        <f>RawData!Y911</f>
        <v>0</v>
      </c>
      <c r="K179" s="40">
        <f>RawData!Z911</f>
        <v>0</v>
      </c>
      <c r="L179" s="40">
        <f>RawData!AA911</f>
        <v>0</v>
      </c>
      <c r="M179" s="36">
        <f>RawData!AB911</f>
        <v>0</v>
      </c>
      <c r="N179" s="36">
        <f>RawData!AC911</f>
        <v>0</v>
      </c>
      <c r="O179" s="37">
        <f>RawData!AD911</f>
        <v>0</v>
      </c>
      <c r="P179" s="38">
        <f>RawData!AE911</f>
        <v>0</v>
      </c>
      <c r="Q179" s="39">
        <f>RawData!AF911</f>
        <v>0</v>
      </c>
      <c r="R179" s="38">
        <f>RawData!AG911</f>
        <v>0</v>
      </c>
      <c r="S179" s="40">
        <f>RawData!AH911</f>
        <v>0</v>
      </c>
      <c r="T179" s="40">
        <f>RawData!AI911</f>
        <v>0</v>
      </c>
      <c r="U179" s="40">
        <f>RawData!AJ911</f>
        <v>0</v>
      </c>
      <c r="V179" s="41">
        <f>RawData!AK911</f>
        <v>0</v>
      </c>
      <c r="W179" s="41">
        <f>RawData!AL911</f>
        <v>0</v>
      </c>
      <c r="X179" s="43">
        <f>RawData!CA911</f>
        <v>0</v>
      </c>
      <c r="Y179" s="41">
        <f>RawData!AM911</f>
        <v>0</v>
      </c>
      <c r="Z179" s="44">
        <f>RawData!CB911</f>
        <v>0</v>
      </c>
      <c r="AA179" s="44">
        <f>RawData!AN911</f>
        <v>0</v>
      </c>
      <c r="AB179" s="44">
        <f>RawData!AO911</f>
        <v>0</v>
      </c>
      <c r="AC179" s="44">
        <f>RawData!AP911</f>
        <v>0</v>
      </c>
      <c r="AD179" s="63">
        <f>RawData!BZ911</f>
        <v>0</v>
      </c>
      <c r="AE179" s="44">
        <f>RawData!AQ911</f>
        <v>0</v>
      </c>
      <c r="AF179" s="46">
        <f>RawData!O911</f>
        <v>0</v>
      </c>
      <c r="AG179" s="44">
        <f>RawData!AR911</f>
        <v>0</v>
      </c>
      <c r="AH179" s="44">
        <f>RawData!BY911</f>
        <v>0</v>
      </c>
      <c r="AI179" s="44">
        <f>RawData!AS911</f>
        <v>0</v>
      </c>
      <c r="AJ179" s="44">
        <f>RawData!AT911</f>
        <v>0</v>
      </c>
      <c r="AK179" s="44">
        <f>RawData!AU911</f>
        <v>0</v>
      </c>
      <c r="AL179" s="44">
        <f>RawData!BW911</f>
        <v>0</v>
      </c>
      <c r="AM179" s="41">
        <f>RawData!AV911</f>
        <v>0</v>
      </c>
      <c r="AN179" s="41">
        <f>RawData!BX911</f>
        <v>0</v>
      </c>
      <c r="AO179" s="41">
        <f>RawData!AW911</f>
        <v>0</v>
      </c>
      <c r="AP179" s="41">
        <f>RawData!AX911</f>
        <v>0</v>
      </c>
      <c r="AQ179" s="40">
        <f>RawData!AY911</f>
        <v>0</v>
      </c>
      <c r="AR179" s="40">
        <f>RawData!AZ911</f>
        <v>0</v>
      </c>
      <c r="AS179" s="40">
        <f>RawData!BA911</f>
        <v>0</v>
      </c>
      <c r="AT179" s="38">
        <f>RawData!BB911</f>
        <v>0</v>
      </c>
      <c r="AU179" s="40">
        <f>RawData!BC911</f>
        <v>0</v>
      </c>
      <c r="AV179" s="40">
        <f>RawData!BD911</f>
        <v>0</v>
      </c>
      <c r="AW179" s="38">
        <f>RawData!BE911</f>
        <v>0</v>
      </c>
      <c r="AX179" s="37">
        <f>RawData!BF911</f>
        <v>0</v>
      </c>
      <c r="AY179" s="36">
        <f>RawData!BG911</f>
        <v>0</v>
      </c>
      <c r="AZ179" s="36">
        <f>RawData!BH911</f>
        <v>0</v>
      </c>
      <c r="BA179" s="40">
        <f>RawData!BI911</f>
        <v>0</v>
      </c>
      <c r="BB179" s="44">
        <f>RawData!BJ911</f>
        <v>0</v>
      </c>
      <c r="BC179" s="44">
        <f>RawData!BK911</f>
        <v>0</v>
      </c>
      <c r="BD179" s="44">
        <f>RawData!BL911</f>
        <v>0</v>
      </c>
      <c r="BE179" s="44">
        <f>RawData!BM911</f>
        <v>0</v>
      </c>
      <c r="BF179" s="44">
        <f>RawData!BN911</f>
        <v>0</v>
      </c>
      <c r="BG179" s="63">
        <f>RawData!BO911</f>
        <v>0</v>
      </c>
      <c r="BH179" s="44">
        <f>RawData!BP911</f>
        <v>0</v>
      </c>
      <c r="BI179" s="63">
        <f>RawData!BQ911</f>
        <v>0</v>
      </c>
      <c r="BJ179" s="44">
        <f>RawData!BR911</f>
        <v>0</v>
      </c>
      <c r="BK179" s="47">
        <f>RawData!BS911</f>
        <v>0</v>
      </c>
      <c r="BL179" s="44">
        <f>RawData!BT911</f>
        <v>0</v>
      </c>
      <c r="BM179" s="47">
        <f>RawData!BV911</f>
        <v>0</v>
      </c>
      <c r="BN179" s="65">
        <f>RawData!CC911</f>
        <v>0</v>
      </c>
      <c r="BO179" s="66">
        <f>RawData!CD911</f>
        <v>0</v>
      </c>
      <c r="BQ179" s="21">
        <f t="shared" si="2"/>
        <v>0</v>
      </c>
    </row>
    <row r="180" spans="1:69" x14ac:dyDescent="0.2">
      <c r="A180" s="59">
        <f>RawData!P912</f>
        <v>0</v>
      </c>
      <c r="B180" s="44">
        <f>RawData!Q912</f>
        <v>0</v>
      </c>
      <c r="C180" s="44">
        <f>RawData!R912</f>
        <v>0</v>
      </c>
      <c r="D180" s="63">
        <f>RawData!S912</f>
        <v>0</v>
      </c>
      <c r="E180" s="44">
        <f>RawData!T912</f>
        <v>0</v>
      </c>
      <c r="F180" s="63">
        <f>RawData!U912</f>
        <v>0</v>
      </c>
      <c r="G180" s="44">
        <f>RawData!V912</f>
        <v>0</v>
      </c>
      <c r="H180" s="44">
        <f>RawData!W912</f>
        <v>0</v>
      </c>
      <c r="I180" s="44">
        <f>RawData!X912</f>
        <v>0</v>
      </c>
      <c r="J180" s="44">
        <f>RawData!Y912</f>
        <v>0</v>
      </c>
      <c r="K180" s="40">
        <f>RawData!Z912</f>
        <v>0</v>
      </c>
      <c r="L180" s="40">
        <f>RawData!AA912</f>
        <v>0</v>
      </c>
      <c r="M180" s="36">
        <f>RawData!AB912</f>
        <v>0</v>
      </c>
      <c r="N180" s="36">
        <f>RawData!AC912</f>
        <v>0</v>
      </c>
      <c r="O180" s="37">
        <f>RawData!AD912</f>
        <v>0</v>
      </c>
      <c r="P180" s="38">
        <f>RawData!AE912</f>
        <v>0</v>
      </c>
      <c r="Q180" s="39">
        <f>RawData!AF912</f>
        <v>0</v>
      </c>
      <c r="R180" s="38">
        <f>RawData!AG912</f>
        <v>0</v>
      </c>
      <c r="S180" s="40">
        <f>RawData!AH912</f>
        <v>0</v>
      </c>
      <c r="T180" s="40">
        <f>RawData!AI912</f>
        <v>0</v>
      </c>
      <c r="U180" s="40">
        <f>RawData!AJ912</f>
        <v>0</v>
      </c>
      <c r="V180" s="41">
        <f>RawData!AK912</f>
        <v>0</v>
      </c>
      <c r="W180" s="41">
        <f>RawData!AL912</f>
        <v>0</v>
      </c>
      <c r="X180" s="43">
        <f>RawData!CA912</f>
        <v>0</v>
      </c>
      <c r="Y180" s="41">
        <f>RawData!AM912</f>
        <v>0</v>
      </c>
      <c r="Z180" s="44">
        <f>RawData!CB912</f>
        <v>0</v>
      </c>
      <c r="AA180" s="44">
        <f>RawData!AN912</f>
        <v>0</v>
      </c>
      <c r="AB180" s="44">
        <f>RawData!AO912</f>
        <v>0</v>
      </c>
      <c r="AC180" s="44">
        <f>RawData!AP912</f>
        <v>0</v>
      </c>
      <c r="AD180" s="63">
        <f>RawData!BZ912</f>
        <v>0</v>
      </c>
      <c r="AE180" s="44">
        <f>RawData!AQ912</f>
        <v>0</v>
      </c>
      <c r="AF180" s="46">
        <f>RawData!O912</f>
        <v>0</v>
      </c>
      <c r="AG180" s="44">
        <f>RawData!AR912</f>
        <v>0</v>
      </c>
      <c r="AH180" s="44">
        <f>RawData!BY912</f>
        <v>0</v>
      </c>
      <c r="AI180" s="44">
        <f>RawData!AS912</f>
        <v>0</v>
      </c>
      <c r="AJ180" s="44">
        <f>RawData!AT912</f>
        <v>0</v>
      </c>
      <c r="AK180" s="44">
        <f>RawData!AU912</f>
        <v>0</v>
      </c>
      <c r="AL180" s="44">
        <f>RawData!BW912</f>
        <v>0</v>
      </c>
      <c r="AM180" s="41">
        <f>RawData!AV912</f>
        <v>0</v>
      </c>
      <c r="AN180" s="41">
        <f>RawData!BX912</f>
        <v>0</v>
      </c>
      <c r="AO180" s="41">
        <f>RawData!AW912</f>
        <v>0</v>
      </c>
      <c r="AP180" s="41">
        <f>RawData!AX912</f>
        <v>0</v>
      </c>
      <c r="AQ180" s="40">
        <f>RawData!AY912</f>
        <v>0</v>
      </c>
      <c r="AR180" s="40">
        <f>RawData!AZ912</f>
        <v>0</v>
      </c>
      <c r="AS180" s="40">
        <f>RawData!BA912</f>
        <v>0</v>
      </c>
      <c r="AT180" s="38">
        <f>RawData!BB912</f>
        <v>0</v>
      </c>
      <c r="AU180" s="40">
        <f>RawData!BC912</f>
        <v>0</v>
      </c>
      <c r="AV180" s="40">
        <f>RawData!BD912</f>
        <v>0</v>
      </c>
      <c r="AW180" s="38">
        <f>RawData!BE912</f>
        <v>0</v>
      </c>
      <c r="AX180" s="37">
        <f>RawData!BF912</f>
        <v>0</v>
      </c>
      <c r="AY180" s="36">
        <f>RawData!BG912</f>
        <v>0</v>
      </c>
      <c r="AZ180" s="36">
        <f>RawData!BH912</f>
        <v>0</v>
      </c>
      <c r="BA180" s="40">
        <f>RawData!BI912</f>
        <v>0</v>
      </c>
      <c r="BB180" s="44">
        <f>RawData!BJ912</f>
        <v>0</v>
      </c>
      <c r="BC180" s="44">
        <f>RawData!BK912</f>
        <v>0</v>
      </c>
      <c r="BD180" s="44">
        <f>RawData!BL912</f>
        <v>0</v>
      </c>
      <c r="BE180" s="44">
        <f>RawData!BM912</f>
        <v>0</v>
      </c>
      <c r="BF180" s="44">
        <f>RawData!BN912</f>
        <v>0</v>
      </c>
      <c r="BG180" s="63">
        <f>RawData!BO912</f>
        <v>0</v>
      </c>
      <c r="BH180" s="44">
        <f>RawData!BP912</f>
        <v>0</v>
      </c>
      <c r="BI180" s="63">
        <f>RawData!BQ912</f>
        <v>0</v>
      </c>
      <c r="BJ180" s="44">
        <f>RawData!BR912</f>
        <v>0</v>
      </c>
      <c r="BK180" s="47">
        <f>RawData!BS912</f>
        <v>0</v>
      </c>
      <c r="BL180" s="44">
        <f>RawData!BT912</f>
        <v>0</v>
      </c>
      <c r="BM180" s="47">
        <f>RawData!BV912</f>
        <v>0</v>
      </c>
      <c r="BN180" s="65">
        <f>RawData!CC912</f>
        <v>0</v>
      </c>
      <c r="BO180" s="66">
        <f>RawData!CD912</f>
        <v>0</v>
      </c>
      <c r="BQ180" s="21">
        <f t="shared" si="2"/>
        <v>0</v>
      </c>
    </row>
    <row r="181" spans="1:69" x14ac:dyDescent="0.2">
      <c r="A181" s="59">
        <f>RawData!P913</f>
        <v>0</v>
      </c>
      <c r="B181" s="44">
        <f>RawData!Q913</f>
        <v>0</v>
      </c>
      <c r="C181" s="44">
        <f>RawData!R913</f>
        <v>0</v>
      </c>
      <c r="D181" s="63">
        <f>RawData!S913</f>
        <v>0</v>
      </c>
      <c r="E181" s="44">
        <f>RawData!T913</f>
        <v>0</v>
      </c>
      <c r="F181" s="63">
        <f>RawData!U913</f>
        <v>0</v>
      </c>
      <c r="G181" s="44">
        <f>RawData!V913</f>
        <v>0</v>
      </c>
      <c r="H181" s="44">
        <f>RawData!W913</f>
        <v>0</v>
      </c>
      <c r="I181" s="44">
        <f>RawData!X913</f>
        <v>0</v>
      </c>
      <c r="J181" s="44">
        <f>RawData!Y913</f>
        <v>0</v>
      </c>
      <c r="K181" s="40">
        <f>RawData!Z913</f>
        <v>0</v>
      </c>
      <c r="L181" s="40">
        <f>RawData!AA913</f>
        <v>0</v>
      </c>
      <c r="M181" s="36">
        <f>RawData!AB913</f>
        <v>0</v>
      </c>
      <c r="N181" s="36">
        <f>RawData!AC913</f>
        <v>0</v>
      </c>
      <c r="O181" s="37">
        <f>RawData!AD913</f>
        <v>0</v>
      </c>
      <c r="P181" s="38">
        <f>RawData!AE913</f>
        <v>0</v>
      </c>
      <c r="Q181" s="39">
        <f>RawData!AF913</f>
        <v>0</v>
      </c>
      <c r="R181" s="38">
        <f>RawData!AG913</f>
        <v>0</v>
      </c>
      <c r="S181" s="40">
        <f>RawData!AH913</f>
        <v>0</v>
      </c>
      <c r="T181" s="40">
        <f>RawData!AI913</f>
        <v>0</v>
      </c>
      <c r="U181" s="40">
        <f>RawData!AJ913</f>
        <v>0</v>
      </c>
      <c r="V181" s="41">
        <f>RawData!AK913</f>
        <v>0</v>
      </c>
      <c r="W181" s="41">
        <f>RawData!AL913</f>
        <v>0</v>
      </c>
      <c r="X181" s="43">
        <f>RawData!CA913</f>
        <v>0</v>
      </c>
      <c r="Y181" s="41">
        <f>RawData!AM913</f>
        <v>0</v>
      </c>
      <c r="Z181" s="44">
        <f>RawData!CB913</f>
        <v>0</v>
      </c>
      <c r="AA181" s="44">
        <f>RawData!AN913</f>
        <v>0</v>
      </c>
      <c r="AB181" s="44">
        <f>RawData!AO913</f>
        <v>0</v>
      </c>
      <c r="AC181" s="44">
        <f>RawData!AP913</f>
        <v>0</v>
      </c>
      <c r="AD181" s="63">
        <f>RawData!BZ913</f>
        <v>0</v>
      </c>
      <c r="AE181" s="44">
        <f>RawData!AQ913</f>
        <v>0</v>
      </c>
      <c r="AF181" s="46">
        <f>RawData!O913</f>
        <v>0</v>
      </c>
      <c r="AG181" s="44">
        <f>RawData!AR913</f>
        <v>0</v>
      </c>
      <c r="AH181" s="44">
        <f>RawData!BY913</f>
        <v>0</v>
      </c>
      <c r="AI181" s="44">
        <f>RawData!AS913</f>
        <v>0</v>
      </c>
      <c r="AJ181" s="44">
        <f>RawData!AT913</f>
        <v>0</v>
      </c>
      <c r="AK181" s="44">
        <f>RawData!AU913</f>
        <v>0</v>
      </c>
      <c r="AL181" s="44">
        <f>RawData!BW913</f>
        <v>0</v>
      </c>
      <c r="AM181" s="41">
        <f>RawData!AV913</f>
        <v>0</v>
      </c>
      <c r="AN181" s="41">
        <f>RawData!BX913</f>
        <v>0</v>
      </c>
      <c r="AO181" s="41">
        <f>RawData!AW913</f>
        <v>0</v>
      </c>
      <c r="AP181" s="41">
        <f>RawData!AX913</f>
        <v>0</v>
      </c>
      <c r="AQ181" s="40">
        <f>RawData!AY913</f>
        <v>0</v>
      </c>
      <c r="AR181" s="40">
        <f>RawData!AZ913</f>
        <v>0</v>
      </c>
      <c r="AS181" s="40">
        <f>RawData!BA913</f>
        <v>0</v>
      </c>
      <c r="AT181" s="38">
        <f>RawData!BB913</f>
        <v>0</v>
      </c>
      <c r="AU181" s="40">
        <f>RawData!BC913</f>
        <v>0</v>
      </c>
      <c r="AV181" s="40">
        <f>RawData!BD913</f>
        <v>0</v>
      </c>
      <c r="AW181" s="38">
        <f>RawData!BE913</f>
        <v>0</v>
      </c>
      <c r="AX181" s="37">
        <f>RawData!BF913</f>
        <v>0</v>
      </c>
      <c r="AY181" s="36">
        <f>RawData!BG913</f>
        <v>0</v>
      </c>
      <c r="AZ181" s="36">
        <f>RawData!BH913</f>
        <v>0</v>
      </c>
      <c r="BA181" s="40">
        <f>RawData!BI913</f>
        <v>0</v>
      </c>
      <c r="BB181" s="44">
        <f>RawData!BJ913</f>
        <v>0</v>
      </c>
      <c r="BC181" s="44">
        <f>RawData!BK913</f>
        <v>0</v>
      </c>
      <c r="BD181" s="44">
        <f>RawData!BL913</f>
        <v>0</v>
      </c>
      <c r="BE181" s="44">
        <f>RawData!BM913</f>
        <v>0</v>
      </c>
      <c r="BF181" s="44">
        <f>RawData!BN913</f>
        <v>0</v>
      </c>
      <c r="BG181" s="63">
        <f>RawData!BO913</f>
        <v>0</v>
      </c>
      <c r="BH181" s="44">
        <f>RawData!BP913</f>
        <v>0</v>
      </c>
      <c r="BI181" s="63">
        <f>RawData!BQ913</f>
        <v>0</v>
      </c>
      <c r="BJ181" s="44">
        <f>RawData!BR913</f>
        <v>0</v>
      </c>
      <c r="BK181" s="47">
        <f>RawData!BS913</f>
        <v>0</v>
      </c>
      <c r="BL181" s="44">
        <f>RawData!BT913</f>
        <v>0</v>
      </c>
      <c r="BM181" s="47">
        <f>RawData!BV913</f>
        <v>0</v>
      </c>
      <c r="BN181" s="65">
        <f>RawData!CC913</f>
        <v>0</v>
      </c>
      <c r="BO181" s="66">
        <f>RawData!CD913</f>
        <v>0</v>
      </c>
      <c r="BQ181" s="21">
        <f t="shared" si="2"/>
        <v>0</v>
      </c>
    </row>
    <row r="182" spans="1:69" x14ac:dyDescent="0.2">
      <c r="A182" s="59">
        <f>RawData!P914</f>
        <v>0</v>
      </c>
      <c r="B182" s="44">
        <f>RawData!Q914</f>
        <v>0</v>
      </c>
      <c r="C182" s="44">
        <f>RawData!R914</f>
        <v>0</v>
      </c>
      <c r="D182" s="63">
        <f>RawData!S914</f>
        <v>0</v>
      </c>
      <c r="E182" s="44">
        <f>RawData!T914</f>
        <v>0</v>
      </c>
      <c r="F182" s="63">
        <f>RawData!U914</f>
        <v>0</v>
      </c>
      <c r="G182" s="44">
        <f>RawData!V914</f>
        <v>0</v>
      </c>
      <c r="H182" s="44">
        <f>RawData!W914</f>
        <v>0</v>
      </c>
      <c r="I182" s="44">
        <f>RawData!X914</f>
        <v>0</v>
      </c>
      <c r="J182" s="44">
        <f>RawData!Y914</f>
        <v>0</v>
      </c>
      <c r="K182" s="40">
        <f>RawData!Z914</f>
        <v>0</v>
      </c>
      <c r="L182" s="40">
        <f>RawData!AA914</f>
        <v>0</v>
      </c>
      <c r="M182" s="36">
        <f>RawData!AB914</f>
        <v>0</v>
      </c>
      <c r="N182" s="36">
        <f>RawData!AC914</f>
        <v>0</v>
      </c>
      <c r="O182" s="37">
        <f>RawData!AD914</f>
        <v>0</v>
      </c>
      <c r="P182" s="38">
        <f>RawData!AE914</f>
        <v>0</v>
      </c>
      <c r="Q182" s="39">
        <f>RawData!AF914</f>
        <v>0</v>
      </c>
      <c r="R182" s="38">
        <f>RawData!AG914</f>
        <v>0</v>
      </c>
      <c r="S182" s="40">
        <f>RawData!AH914</f>
        <v>0</v>
      </c>
      <c r="T182" s="40">
        <f>RawData!AI914</f>
        <v>0</v>
      </c>
      <c r="U182" s="40">
        <f>RawData!AJ914</f>
        <v>0</v>
      </c>
      <c r="V182" s="41">
        <f>RawData!AK914</f>
        <v>0</v>
      </c>
      <c r="W182" s="41">
        <f>RawData!AL914</f>
        <v>0</v>
      </c>
      <c r="X182" s="43">
        <f>RawData!CA914</f>
        <v>0</v>
      </c>
      <c r="Y182" s="41">
        <f>RawData!AM914</f>
        <v>0</v>
      </c>
      <c r="Z182" s="44">
        <f>RawData!CB914</f>
        <v>0</v>
      </c>
      <c r="AA182" s="44">
        <f>RawData!AN914</f>
        <v>0</v>
      </c>
      <c r="AB182" s="44">
        <f>RawData!AO914</f>
        <v>0</v>
      </c>
      <c r="AC182" s="44">
        <f>RawData!AP914</f>
        <v>0</v>
      </c>
      <c r="AD182" s="63">
        <f>RawData!BZ914</f>
        <v>0</v>
      </c>
      <c r="AE182" s="44">
        <f>RawData!AQ914</f>
        <v>0</v>
      </c>
      <c r="AF182" s="46">
        <f>RawData!O914</f>
        <v>0</v>
      </c>
      <c r="AG182" s="44">
        <f>RawData!AR914</f>
        <v>0</v>
      </c>
      <c r="AH182" s="44">
        <f>RawData!BY914</f>
        <v>0</v>
      </c>
      <c r="AI182" s="44">
        <f>RawData!AS914</f>
        <v>0</v>
      </c>
      <c r="AJ182" s="44">
        <f>RawData!AT914</f>
        <v>0</v>
      </c>
      <c r="AK182" s="44">
        <f>RawData!AU914</f>
        <v>0</v>
      </c>
      <c r="AL182" s="44">
        <f>RawData!BW914</f>
        <v>0</v>
      </c>
      <c r="AM182" s="41">
        <f>RawData!AV914</f>
        <v>0</v>
      </c>
      <c r="AN182" s="41">
        <f>RawData!BX914</f>
        <v>0</v>
      </c>
      <c r="AO182" s="41">
        <f>RawData!AW914</f>
        <v>0</v>
      </c>
      <c r="AP182" s="41">
        <f>RawData!AX914</f>
        <v>0</v>
      </c>
      <c r="AQ182" s="40">
        <f>RawData!AY914</f>
        <v>0</v>
      </c>
      <c r="AR182" s="40">
        <f>RawData!AZ914</f>
        <v>0</v>
      </c>
      <c r="AS182" s="40">
        <f>RawData!BA914</f>
        <v>0</v>
      </c>
      <c r="AT182" s="38">
        <f>RawData!BB914</f>
        <v>0</v>
      </c>
      <c r="AU182" s="40">
        <f>RawData!BC914</f>
        <v>0</v>
      </c>
      <c r="AV182" s="40">
        <f>RawData!BD914</f>
        <v>0</v>
      </c>
      <c r="AW182" s="38">
        <f>RawData!BE914</f>
        <v>0</v>
      </c>
      <c r="AX182" s="37">
        <f>RawData!BF914</f>
        <v>0</v>
      </c>
      <c r="AY182" s="36">
        <f>RawData!BG914</f>
        <v>0</v>
      </c>
      <c r="AZ182" s="36">
        <f>RawData!BH914</f>
        <v>0</v>
      </c>
      <c r="BA182" s="40">
        <f>RawData!BI914</f>
        <v>0</v>
      </c>
      <c r="BB182" s="44">
        <f>RawData!BJ914</f>
        <v>0</v>
      </c>
      <c r="BC182" s="44">
        <f>RawData!BK914</f>
        <v>0</v>
      </c>
      <c r="BD182" s="44">
        <f>RawData!BL914</f>
        <v>0</v>
      </c>
      <c r="BE182" s="44">
        <f>RawData!BM914</f>
        <v>0</v>
      </c>
      <c r="BF182" s="44">
        <f>RawData!BN914</f>
        <v>0</v>
      </c>
      <c r="BG182" s="63">
        <f>RawData!BO914</f>
        <v>0</v>
      </c>
      <c r="BH182" s="44">
        <f>RawData!BP914</f>
        <v>0</v>
      </c>
      <c r="BI182" s="63">
        <f>RawData!BQ914</f>
        <v>0</v>
      </c>
      <c r="BJ182" s="44">
        <f>RawData!BR914</f>
        <v>0</v>
      </c>
      <c r="BK182" s="47">
        <f>RawData!BS914</f>
        <v>0</v>
      </c>
      <c r="BL182" s="44">
        <f>RawData!BT914</f>
        <v>0</v>
      </c>
      <c r="BM182" s="47">
        <f>RawData!BV914</f>
        <v>0</v>
      </c>
      <c r="BN182" s="65">
        <f>RawData!CC914</f>
        <v>0</v>
      </c>
      <c r="BO182" s="66">
        <f>RawData!CD914</f>
        <v>0</v>
      </c>
      <c r="BQ182" s="21">
        <f t="shared" si="2"/>
        <v>0</v>
      </c>
    </row>
    <row r="183" spans="1:69" x14ac:dyDescent="0.2">
      <c r="A183" s="59">
        <f>RawData!P915</f>
        <v>0</v>
      </c>
      <c r="B183" s="44">
        <f>RawData!Q915</f>
        <v>0</v>
      </c>
      <c r="C183" s="44">
        <f>RawData!R915</f>
        <v>0</v>
      </c>
      <c r="D183" s="63">
        <f>RawData!S915</f>
        <v>0</v>
      </c>
      <c r="E183" s="44">
        <f>RawData!T915</f>
        <v>0</v>
      </c>
      <c r="F183" s="63">
        <f>RawData!U915</f>
        <v>0</v>
      </c>
      <c r="G183" s="44">
        <f>RawData!V915</f>
        <v>0</v>
      </c>
      <c r="H183" s="44">
        <f>RawData!W915</f>
        <v>0</v>
      </c>
      <c r="I183" s="44">
        <f>RawData!X915</f>
        <v>0</v>
      </c>
      <c r="J183" s="44">
        <f>RawData!Y915</f>
        <v>0</v>
      </c>
      <c r="K183" s="40">
        <f>RawData!Z915</f>
        <v>0</v>
      </c>
      <c r="L183" s="40">
        <f>RawData!AA915</f>
        <v>0</v>
      </c>
      <c r="M183" s="36">
        <f>RawData!AB915</f>
        <v>0</v>
      </c>
      <c r="N183" s="36">
        <f>RawData!AC915</f>
        <v>0</v>
      </c>
      <c r="O183" s="37">
        <f>RawData!AD915</f>
        <v>0</v>
      </c>
      <c r="P183" s="38">
        <f>RawData!AE915</f>
        <v>0</v>
      </c>
      <c r="Q183" s="39">
        <f>RawData!AF915</f>
        <v>0</v>
      </c>
      <c r="R183" s="38">
        <f>RawData!AG915</f>
        <v>0</v>
      </c>
      <c r="S183" s="40">
        <f>RawData!AH915</f>
        <v>0</v>
      </c>
      <c r="T183" s="40">
        <f>RawData!AI915</f>
        <v>0</v>
      </c>
      <c r="U183" s="40">
        <f>RawData!AJ915</f>
        <v>0</v>
      </c>
      <c r="V183" s="41">
        <f>RawData!AK915</f>
        <v>0</v>
      </c>
      <c r="W183" s="41">
        <f>RawData!AL915</f>
        <v>0</v>
      </c>
      <c r="X183" s="43">
        <f>RawData!CA915</f>
        <v>0</v>
      </c>
      <c r="Y183" s="41">
        <f>RawData!AM915</f>
        <v>0</v>
      </c>
      <c r="Z183" s="44">
        <f>RawData!CB915</f>
        <v>0</v>
      </c>
      <c r="AA183" s="44">
        <f>RawData!AN915</f>
        <v>0</v>
      </c>
      <c r="AB183" s="44">
        <f>RawData!AO915</f>
        <v>0</v>
      </c>
      <c r="AC183" s="44">
        <f>RawData!AP915</f>
        <v>0</v>
      </c>
      <c r="AD183" s="63">
        <f>RawData!BZ915</f>
        <v>0</v>
      </c>
      <c r="AE183" s="44">
        <f>RawData!AQ915</f>
        <v>0</v>
      </c>
      <c r="AF183" s="46">
        <f>RawData!O915</f>
        <v>0</v>
      </c>
      <c r="AG183" s="44">
        <f>RawData!AR915</f>
        <v>0</v>
      </c>
      <c r="AH183" s="44">
        <f>RawData!BY915</f>
        <v>0</v>
      </c>
      <c r="AI183" s="44">
        <f>RawData!AS915</f>
        <v>0</v>
      </c>
      <c r="AJ183" s="44">
        <f>RawData!AT915</f>
        <v>0</v>
      </c>
      <c r="AK183" s="44">
        <f>RawData!AU915</f>
        <v>0</v>
      </c>
      <c r="AL183" s="44">
        <f>RawData!BW915</f>
        <v>0</v>
      </c>
      <c r="AM183" s="41">
        <f>RawData!AV915</f>
        <v>0</v>
      </c>
      <c r="AN183" s="41">
        <f>RawData!BX915</f>
        <v>0</v>
      </c>
      <c r="AO183" s="41">
        <f>RawData!AW915</f>
        <v>0</v>
      </c>
      <c r="AP183" s="41">
        <f>RawData!AX915</f>
        <v>0</v>
      </c>
      <c r="AQ183" s="40">
        <f>RawData!AY915</f>
        <v>0</v>
      </c>
      <c r="AR183" s="40">
        <f>RawData!AZ915</f>
        <v>0</v>
      </c>
      <c r="AS183" s="40">
        <f>RawData!BA915</f>
        <v>0</v>
      </c>
      <c r="AT183" s="38">
        <f>RawData!BB915</f>
        <v>0</v>
      </c>
      <c r="AU183" s="40">
        <f>RawData!BC915</f>
        <v>0</v>
      </c>
      <c r="AV183" s="40">
        <f>RawData!BD915</f>
        <v>0</v>
      </c>
      <c r="AW183" s="38">
        <f>RawData!BE915</f>
        <v>0</v>
      </c>
      <c r="AX183" s="37">
        <f>RawData!BF915</f>
        <v>0</v>
      </c>
      <c r="AY183" s="36">
        <f>RawData!BG915</f>
        <v>0</v>
      </c>
      <c r="AZ183" s="36">
        <f>RawData!BH915</f>
        <v>0</v>
      </c>
      <c r="BA183" s="40">
        <f>RawData!BI915</f>
        <v>0</v>
      </c>
      <c r="BB183" s="44">
        <f>RawData!BJ915</f>
        <v>0</v>
      </c>
      <c r="BC183" s="44">
        <f>RawData!BK915</f>
        <v>0</v>
      </c>
      <c r="BD183" s="44">
        <f>RawData!BL915</f>
        <v>0</v>
      </c>
      <c r="BE183" s="44">
        <f>RawData!BM915</f>
        <v>0</v>
      </c>
      <c r="BF183" s="44">
        <f>RawData!BN915</f>
        <v>0</v>
      </c>
      <c r="BG183" s="63">
        <f>RawData!BO915</f>
        <v>0</v>
      </c>
      <c r="BH183" s="44">
        <f>RawData!BP915</f>
        <v>0</v>
      </c>
      <c r="BI183" s="63">
        <f>RawData!BQ915</f>
        <v>0</v>
      </c>
      <c r="BJ183" s="44">
        <f>RawData!BR915</f>
        <v>0</v>
      </c>
      <c r="BK183" s="47">
        <f>RawData!BS915</f>
        <v>0</v>
      </c>
      <c r="BL183" s="44">
        <f>RawData!BT915</f>
        <v>0</v>
      </c>
      <c r="BM183" s="47">
        <f>RawData!BV915</f>
        <v>0</v>
      </c>
      <c r="BN183" s="65">
        <f>RawData!CC915</f>
        <v>0</v>
      </c>
      <c r="BO183" s="66">
        <f>RawData!CD915</f>
        <v>0</v>
      </c>
      <c r="BQ183" s="21">
        <f t="shared" si="2"/>
        <v>0</v>
      </c>
    </row>
    <row r="184" spans="1:69" x14ac:dyDescent="0.2">
      <c r="A184" s="59">
        <f>RawData!P916</f>
        <v>0</v>
      </c>
      <c r="B184" s="44">
        <f>RawData!Q916</f>
        <v>0</v>
      </c>
      <c r="C184" s="44">
        <f>RawData!R916</f>
        <v>0</v>
      </c>
      <c r="D184" s="63">
        <f>RawData!S916</f>
        <v>0</v>
      </c>
      <c r="E184" s="44">
        <f>RawData!T916</f>
        <v>0</v>
      </c>
      <c r="F184" s="63">
        <f>RawData!U916</f>
        <v>0</v>
      </c>
      <c r="G184" s="44">
        <f>RawData!V916</f>
        <v>0</v>
      </c>
      <c r="H184" s="44">
        <f>RawData!W916</f>
        <v>0</v>
      </c>
      <c r="I184" s="44">
        <f>RawData!X916</f>
        <v>0</v>
      </c>
      <c r="J184" s="44">
        <f>RawData!Y916</f>
        <v>0</v>
      </c>
      <c r="K184" s="40">
        <f>RawData!Z916</f>
        <v>0</v>
      </c>
      <c r="L184" s="40">
        <f>RawData!AA916</f>
        <v>0</v>
      </c>
      <c r="M184" s="36">
        <f>RawData!AB916</f>
        <v>0</v>
      </c>
      <c r="N184" s="36">
        <f>RawData!AC916</f>
        <v>0</v>
      </c>
      <c r="O184" s="37">
        <f>RawData!AD916</f>
        <v>0</v>
      </c>
      <c r="P184" s="38">
        <f>RawData!AE916</f>
        <v>0</v>
      </c>
      <c r="Q184" s="39">
        <f>RawData!AF916</f>
        <v>0</v>
      </c>
      <c r="R184" s="38">
        <f>RawData!AG916</f>
        <v>0</v>
      </c>
      <c r="S184" s="40">
        <f>RawData!AH916</f>
        <v>0</v>
      </c>
      <c r="T184" s="40">
        <f>RawData!AI916</f>
        <v>0</v>
      </c>
      <c r="U184" s="40">
        <f>RawData!AJ916</f>
        <v>0</v>
      </c>
      <c r="V184" s="41">
        <f>RawData!AK916</f>
        <v>0</v>
      </c>
      <c r="W184" s="41">
        <f>RawData!AL916</f>
        <v>0</v>
      </c>
      <c r="X184" s="43">
        <f>RawData!CA916</f>
        <v>0</v>
      </c>
      <c r="Y184" s="41">
        <f>RawData!AM916</f>
        <v>0</v>
      </c>
      <c r="Z184" s="44">
        <f>RawData!CB916</f>
        <v>0</v>
      </c>
      <c r="AA184" s="44">
        <f>RawData!AN916</f>
        <v>0</v>
      </c>
      <c r="AB184" s="44">
        <f>RawData!AO916</f>
        <v>0</v>
      </c>
      <c r="AC184" s="44">
        <f>RawData!AP916</f>
        <v>0</v>
      </c>
      <c r="AD184" s="63">
        <f>RawData!BZ916</f>
        <v>0</v>
      </c>
      <c r="AE184" s="44">
        <f>RawData!AQ916</f>
        <v>0</v>
      </c>
      <c r="AF184" s="46">
        <f>RawData!O916</f>
        <v>0</v>
      </c>
      <c r="AG184" s="44">
        <f>RawData!AR916</f>
        <v>0</v>
      </c>
      <c r="AH184" s="44">
        <f>RawData!BY916</f>
        <v>0</v>
      </c>
      <c r="AI184" s="44">
        <f>RawData!AS916</f>
        <v>0</v>
      </c>
      <c r="AJ184" s="44">
        <f>RawData!AT916</f>
        <v>0</v>
      </c>
      <c r="AK184" s="44">
        <f>RawData!AU916</f>
        <v>0</v>
      </c>
      <c r="AL184" s="44">
        <f>RawData!BW916</f>
        <v>0</v>
      </c>
      <c r="AM184" s="41">
        <f>RawData!AV916</f>
        <v>0</v>
      </c>
      <c r="AN184" s="41">
        <f>RawData!BX916</f>
        <v>0</v>
      </c>
      <c r="AO184" s="41">
        <f>RawData!AW916</f>
        <v>0</v>
      </c>
      <c r="AP184" s="41">
        <f>RawData!AX916</f>
        <v>0</v>
      </c>
      <c r="AQ184" s="40">
        <f>RawData!AY916</f>
        <v>0</v>
      </c>
      <c r="AR184" s="40">
        <f>RawData!AZ916</f>
        <v>0</v>
      </c>
      <c r="AS184" s="40">
        <f>RawData!BA916</f>
        <v>0</v>
      </c>
      <c r="AT184" s="38">
        <f>RawData!BB916</f>
        <v>0</v>
      </c>
      <c r="AU184" s="40">
        <f>RawData!BC916</f>
        <v>0</v>
      </c>
      <c r="AV184" s="40">
        <f>RawData!BD916</f>
        <v>0</v>
      </c>
      <c r="AW184" s="38">
        <f>RawData!BE916</f>
        <v>0</v>
      </c>
      <c r="AX184" s="37">
        <f>RawData!BF916</f>
        <v>0</v>
      </c>
      <c r="AY184" s="36">
        <f>RawData!BG916</f>
        <v>0</v>
      </c>
      <c r="AZ184" s="36">
        <f>RawData!BH916</f>
        <v>0</v>
      </c>
      <c r="BA184" s="40">
        <f>RawData!BI916</f>
        <v>0</v>
      </c>
      <c r="BB184" s="44">
        <f>RawData!BJ916</f>
        <v>0</v>
      </c>
      <c r="BC184" s="44">
        <f>RawData!BK916</f>
        <v>0</v>
      </c>
      <c r="BD184" s="44">
        <f>RawData!BL916</f>
        <v>0</v>
      </c>
      <c r="BE184" s="44">
        <f>RawData!BM916</f>
        <v>0</v>
      </c>
      <c r="BF184" s="44">
        <f>RawData!BN916</f>
        <v>0</v>
      </c>
      <c r="BG184" s="63">
        <f>RawData!BO916</f>
        <v>0</v>
      </c>
      <c r="BH184" s="44">
        <f>RawData!BP916</f>
        <v>0</v>
      </c>
      <c r="BI184" s="63">
        <f>RawData!BQ916</f>
        <v>0</v>
      </c>
      <c r="BJ184" s="44">
        <f>RawData!BR916</f>
        <v>0</v>
      </c>
      <c r="BK184" s="47">
        <f>RawData!BS916</f>
        <v>0</v>
      </c>
      <c r="BL184" s="44">
        <f>RawData!BT916</f>
        <v>0</v>
      </c>
      <c r="BM184" s="47">
        <f>RawData!BV916</f>
        <v>0</v>
      </c>
      <c r="BN184" s="65">
        <f>RawData!CC916</f>
        <v>0</v>
      </c>
      <c r="BO184" s="66">
        <f>RawData!CD916</f>
        <v>0</v>
      </c>
      <c r="BQ184" s="21">
        <f t="shared" si="2"/>
        <v>0</v>
      </c>
    </row>
    <row r="185" spans="1:69" x14ac:dyDescent="0.2">
      <c r="A185" s="59">
        <f>RawData!P917</f>
        <v>0</v>
      </c>
      <c r="B185" s="44">
        <f>RawData!Q917</f>
        <v>0</v>
      </c>
      <c r="C185" s="44">
        <f>RawData!R917</f>
        <v>0</v>
      </c>
      <c r="D185" s="63">
        <f>RawData!S917</f>
        <v>0</v>
      </c>
      <c r="E185" s="44">
        <f>RawData!T917</f>
        <v>0</v>
      </c>
      <c r="F185" s="63">
        <f>RawData!U917</f>
        <v>0</v>
      </c>
      <c r="G185" s="44">
        <f>RawData!V917</f>
        <v>0</v>
      </c>
      <c r="H185" s="44">
        <f>RawData!W917</f>
        <v>0</v>
      </c>
      <c r="I185" s="44">
        <f>RawData!X917</f>
        <v>0</v>
      </c>
      <c r="J185" s="44">
        <f>RawData!Y917</f>
        <v>0</v>
      </c>
      <c r="K185" s="40">
        <f>RawData!Z917</f>
        <v>0</v>
      </c>
      <c r="L185" s="40">
        <f>RawData!AA917</f>
        <v>0</v>
      </c>
      <c r="M185" s="36">
        <f>RawData!AB917</f>
        <v>0</v>
      </c>
      <c r="N185" s="36">
        <f>RawData!AC917</f>
        <v>0</v>
      </c>
      <c r="O185" s="37">
        <f>RawData!AD917</f>
        <v>0</v>
      </c>
      <c r="P185" s="38">
        <f>RawData!AE917</f>
        <v>0</v>
      </c>
      <c r="Q185" s="39">
        <f>RawData!AF917</f>
        <v>0</v>
      </c>
      <c r="R185" s="38">
        <f>RawData!AG917</f>
        <v>0</v>
      </c>
      <c r="S185" s="40">
        <f>RawData!AH917</f>
        <v>0</v>
      </c>
      <c r="T185" s="40">
        <f>RawData!AI917</f>
        <v>0</v>
      </c>
      <c r="U185" s="40">
        <f>RawData!AJ917</f>
        <v>0</v>
      </c>
      <c r="V185" s="41">
        <f>RawData!AK917</f>
        <v>0</v>
      </c>
      <c r="W185" s="41">
        <f>RawData!AL917</f>
        <v>0</v>
      </c>
      <c r="X185" s="43">
        <f>RawData!CA917</f>
        <v>0</v>
      </c>
      <c r="Y185" s="41">
        <f>RawData!AM917</f>
        <v>0</v>
      </c>
      <c r="Z185" s="44">
        <f>RawData!CB917</f>
        <v>0</v>
      </c>
      <c r="AA185" s="44">
        <f>RawData!AN917</f>
        <v>0</v>
      </c>
      <c r="AB185" s="44">
        <f>RawData!AO917</f>
        <v>0</v>
      </c>
      <c r="AC185" s="44">
        <f>RawData!AP917</f>
        <v>0</v>
      </c>
      <c r="AD185" s="63">
        <f>RawData!BZ917</f>
        <v>0</v>
      </c>
      <c r="AE185" s="44">
        <f>RawData!AQ917</f>
        <v>0</v>
      </c>
      <c r="AF185" s="46">
        <f>RawData!O917</f>
        <v>0</v>
      </c>
      <c r="AG185" s="44">
        <f>RawData!AR917</f>
        <v>0</v>
      </c>
      <c r="AH185" s="44">
        <f>RawData!BY917</f>
        <v>0</v>
      </c>
      <c r="AI185" s="44">
        <f>RawData!AS917</f>
        <v>0</v>
      </c>
      <c r="AJ185" s="44">
        <f>RawData!AT917</f>
        <v>0</v>
      </c>
      <c r="AK185" s="44">
        <f>RawData!AU917</f>
        <v>0</v>
      </c>
      <c r="AL185" s="44">
        <f>RawData!BW917</f>
        <v>0</v>
      </c>
      <c r="AM185" s="41">
        <f>RawData!AV917</f>
        <v>0</v>
      </c>
      <c r="AN185" s="41">
        <f>RawData!BX917</f>
        <v>0</v>
      </c>
      <c r="AO185" s="41">
        <f>RawData!AW917</f>
        <v>0</v>
      </c>
      <c r="AP185" s="41">
        <f>RawData!AX917</f>
        <v>0</v>
      </c>
      <c r="AQ185" s="40">
        <f>RawData!AY917</f>
        <v>0</v>
      </c>
      <c r="AR185" s="40">
        <f>RawData!AZ917</f>
        <v>0</v>
      </c>
      <c r="AS185" s="40">
        <f>RawData!BA917</f>
        <v>0</v>
      </c>
      <c r="AT185" s="38">
        <f>RawData!BB917</f>
        <v>0</v>
      </c>
      <c r="AU185" s="40">
        <f>RawData!BC917</f>
        <v>0</v>
      </c>
      <c r="AV185" s="40">
        <f>RawData!BD917</f>
        <v>0</v>
      </c>
      <c r="AW185" s="38">
        <f>RawData!BE917</f>
        <v>0</v>
      </c>
      <c r="AX185" s="37">
        <f>RawData!BF917</f>
        <v>0</v>
      </c>
      <c r="AY185" s="36">
        <f>RawData!BG917</f>
        <v>0</v>
      </c>
      <c r="AZ185" s="36">
        <f>RawData!BH917</f>
        <v>0</v>
      </c>
      <c r="BA185" s="40">
        <f>RawData!BI917</f>
        <v>0</v>
      </c>
      <c r="BB185" s="44">
        <f>RawData!BJ917</f>
        <v>0</v>
      </c>
      <c r="BC185" s="44">
        <f>RawData!BK917</f>
        <v>0</v>
      </c>
      <c r="BD185" s="44">
        <f>RawData!BL917</f>
        <v>0</v>
      </c>
      <c r="BE185" s="44">
        <f>RawData!BM917</f>
        <v>0</v>
      </c>
      <c r="BF185" s="44">
        <f>RawData!BN917</f>
        <v>0</v>
      </c>
      <c r="BG185" s="63">
        <f>RawData!BO917</f>
        <v>0</v>
      </c>
      <c r="BH185" s="44">
        <f>RawData!BP917</f>
        <v>0</v>
      </c>
      <c r="BI185" s="63">
        <f>RawData!BQ917</f>
        <v>0</v>
      </c>
      <c r="BJ185" s="44">
        <f>RawData!BR917</f>
        <v>0</v>
      </c>
      <c r="BK185" s="47">
        <f>RawData!BS917</f>
        <v>0</v>
      </c>
      <c r="BL185" s="44">
        <f>RawData!BT917</f>
        <v>0</v>
      </c>
      <c r="BM185" s="47">
        <f>RawData!BV917</f>
        <v>0</v>
      </c>
      <c r="BN185" s="65">
        <f>RawData!CC917</f>
        <v>0</v>
      </c>
      <c r="BO185" s="66">
        <f>RawData!CD917</f>
        <v>0</v>
      </c>
      <c r="BQ185" s="21">
        <f t="shared" si="2"/>
        <v>0</v>
      </c>
    </row>
    <row r="186" spans="1:69" x14ac:dyDescent="0.2">
      <c r="A186" s="59">
        <f>RawData!P918</f>
        <v>0</v>
      </c>
      <c r="B186" s="44">
        <f>RawData!Q918</f>
        <v>0</v>
      </c>
      <c r="C186" s="44">
        <f>RawData!R918</f>
        <v>0</v>
      </c>
      <c r="D186" s="63">
        <f>RawData!S918</f>
        <v>0</v>
      </c>
      <c r="E186" s="44">
        <f>RawData!T918</f>
        <v>0</v>
      </c>
      <c r="F186" s="63">
        <f>RawData!U918</f>
        <v>0</v>
      </c>
      <c r="G186" s="44">
        <f>RawData!V918</f>
        <v>0</v>
      </c>
      <c r="H186" s="44">
        <f>RawData!W918</f>
        <v>0</v>
      </c>
      <c r="I186" s="44">
        <f>RawData!X918</f>
        <v>0</v>
      </c>
      <c r="J186" s="44">
        <f>RawData!Y918</f>
        <v>0</v>
      </c>
      <c r="K186" s="40">
        <f>RawData!Z918</f>
        <v>0</v>
      </c>
      <c r="L186" s="40">
        <f>RawData!AA918</f>
        <v>0</v>
      </c>
      <c r="M186" s="36">
        <f>RawData!AB918</f>
        <v>0</v>
      </c>
      <c r="N186" s="36">
        <f>RawData!AC918</f>
        <v>0</v>
      </c>
      <c r="O186" s="37">
        <f>RawData!AD918</f>
        <v>0</v>
      </c>
      <c r="P186" s="38">
        <f>RawData!AE918</f>
        <v>0</v>
      </c>
      <c r="Q186" s="39">
        <f>RawData!AF918</f>
        <v>0</v>
      </c>
      <c r="R186" s="38">
        <f>RawData!AG918</f>
        <v>0</v>
      </c>
      <c r="S186" s="40">
        <f>RawData!AH918</f>
        <v>0</v>
      </c>
      <c r="T186" s="40">
        <f>RawData!AI918</f>
        <v>0</v>
      </c>
      <c r="U186" s="40">
        <f>RawData!AJ918</f>
        <v>0</v>
      </c>
      <c r="V186" s="41">
        <f>RawData!AK918</f>
        <v>0</v>
      </c>
      <c r="W186" s="41">
        <f>RawData!AL918</f>
        <v>0</v>
      </c>
      <c r="X186" s="43">
        <f>RawData!CA918</f>
        <v>0</v>
      </c>
      <c r="Y186" s="41">
        <f>RawData!AM918</f>
        <v>0</v>
      </c>
      <c r="Z186" s="44">
        <f>RawData!CB918</f>
        <v>0</v>
      </c>
      <c r="AA186" s="44">
        <f>RawData!AN918</f>
        <v>0</v>
      </c>
      <c r="AB186" s="44">
        <f>RawData!AO918</f>
        <v>0</v>
      </c>
      <c r="AC186" s="44">
        <f>RawData!AP918</f>
        <v>0</v>
      </c>
      <c r="AD186" s="63">
        <f>RawData!BZ918</f>
        <v>0</v>
      </c>
      <c r="AE186" s="44">
        <f>RawData!AQ918</f>
        <v>0</v>
      </c>
      <c r="AF186" s="46">
        <f>RawData!O918</f>
        <v>0</v>
      </c>
      <c r="AG186" s="44">
        <f>RawData!AR918</f>
        <v>0</v>
      </c>
      <c r="AH186" s="44">
        <f>RawData!BY918</f>
        <v>0</v>
      </c>
      <c r="AI186" s="44">
        <f>RawData!AS918</f>
        <v>0</v>
      </c>
      <c r="AJ186" s="44">
        <f>RawData!AT918</f>
        <v>0</v>
      </c>
      <c r="AK186" s="44">
        <f>RawData!AU918</f>
        <v>0</v>
      </c>
      <c r="AL186" s="44">
        <f>RawData!BW918</f>
        <v>0</v>
      </c>
      <c r="AM186" s="41">
        <f>RawData!AV918</f>
        <v>0</v>
      </c>
      <c r="AN186" s="41">
        <f>RawData!BX918</f>
        <v>0</v>
      </c>
      <c r="AO186" s="41">
        <f>RawData!AW918</f>
        <v>0</v>
      </c>
      <c r="AP186" s="41">
        <f>RawData!AX918</f>
        <v>0</v>
      </c>
      <c r="AQ186" s="40">
        <f>RawData!AY918</f>
        <v>0</v>
      </c>
      <c r="AR186" s="40">
        <f>RawData!AZ918</f>
        <v>0</v>
      </c>
      <c r="AS186" s="40">
        <f>RawData!BA918</f>
        <v>0</v>
      </c>
      <c r="AT186" s="38">
        <f>RawData!BB918</f>
        <v>0</v>
      </c>
      <c r="AU186" s="40">
        <f>RawData!BC918</f>
        <v>0</v>
      </c>
      <c r="AV186" s="40">
        <f>RawData!BD918</f>
        <v>0</v>
      </c>
      <c r="AW186" s="38">
        <f>RawData!BE918</f>
        <v>0</v>
      </c>
      <c r="AX186" s="37">
        <f>RawData!BF918</f>
        <v>0</v>
      </c>
      <c r="AY186" s="36">
        <f>RawData!BG918</f>
        <v>0</v>
      </c>
      <c r="AZ186" s="36">
        <f>RawData!BH918</f>
        <v>0</v>
      </c>
      <c r="BA186" s="40">
        <f>RawData!BI918</f>
        <v>0</v>
      </c>
      <c r="BB186" s="44">
        <f>RawData!BJ918</f>
        <v>0</v>
      </c>
      <c r="BC186" s="44">
        <f>RawData!BK918</f>
        <v>0</v>
      </c>
      <c r="BD186" s="44">
        <f>RawData!BL918</f>
        <v>0</v>
      </c>
      <c r="BE186" s="44">
        <f>RawData!BM918</f>
        <v>0</v>
      </c>
      <c r="BF186" s="44">
        <f>RawData!BN918</f>
        <v>0</v>
      </c>
      <c r="BG186" s="63">
        <f>RawData!BO918</f>
        <v>0</v>
      </c>
      <c r="BH186" s="44">
        <f>RawData!BP918</f>
        <v>0</v>
      </c>
      <c r="BI186" s="63">
        <f>RawData!BQ918</f>
        <v>0</v>
      </c>
      <c r="BJ186" s="44">
        <f>RawData!BR918</f>
        <v>0</v>
      </c>
      <c r="BK186" s="47">
        <f>RawData!BS918</f>
        <v>0</v>
      </c>
      <c r="BL186" s="44">
        <f>RawData!BT918</f>
        <v>0</v>
      </c>
      <c r="BM186" s="47">
        <f>RawData!BV918</f>
        <v>0</v>
      </c>
      <c r="BN186" s="65">
        <f>RawData!CC918</f>
        <v>0</v>
      </c>
      <c r="BO186" s="66">
        <f>RawData!CD918</f>
        <v>0</v>
      </c>
      <c r="BQ186" s="21">
        <f t="shared" si="2"/>
        <v>0</v>
      </c>
    </row>
    <row r="187" spans="1:69" x14ac:dyDescent="0.2">
      <c r="A187" s="59">
        <f>RawData!P919</f>
        <v>0</v>
      </c>
      <c r="B187" s="44">
        <f>RawData!Q919</f>
        <v>0</v>
      </c>
      <c r="C187" s="44">
        <f>RawData!R919</f>
        <v>0</v>
      </c>
      <c r="D187" s="63">
        <f>RawData!S919</f>
        <v>0</v>
      </c>
      <c r="E187" s="44">
        <f>RawData!T919</f>
        <v>0</v>
      </c>
      <c r="F187" s="63">
        <f>RawData!U919</f>
        <v>0</v>
      </c>
      <c r="G187" s="44">
        <f>RawData!V919</f>
        <v>0</v>
      </c>
      <c r="H187" s="44">
        <f>RawData!W919</f>
        <v>0</v>
      </c>
      <c r="I187" s="44">
        <f>RawData!X919</f>
        <v>0</v>
      </c>
      <c r="J187" s="44">
        <f>RawData!Y919</f>
        <v>0</v>
      </c>
      <c r="K187" s="40">
        <f>RawData!Z919</f>
        <v>0</v>
      </c>
      <c r="L187" s="40">
        <f>RawData!AA919</f>
        <v>0</v>
      </c>
      <c r="M187" s="36">
        <f>RawData!AB919</f>
        <v>0</v>
      </c>
      <c r="N187" s="36">
        <f>RawData!AC919</f>
        <v>0</v>
      </c>
      <c r="O187" s="37">
        <f>RawData!AD919</f>
        <v>0</v>
      </c>
      <c r="P187" s="38">
        <f>RawData!AE919</f>
        <v>0</v>
      </c>
      <c r="Q187" s="39">
        <f>RawData!AF919</f>
        <v>0</v>
      </c>
      <c r="R187" s="38">
        <f>RawData!AG919</f>
        <v>0</v>
      </c>
      <c r="S187" s="40">
        <f>RawData!AH919</f>
        <v>0</v>
      </c>
      <c r="T187" s="40">
        <f>RawData!AI919</f>
        <v>0</v>
      </c>
      <c r="U187" s="40">
        <f>RawData!AJ919</f>
        <v>0</v>
      </c>
      <c r="V187" s="41">
        <f>RawData!AK919</f>
        <v>0</v>
      </c>
      <c r="W187" s="41">
        <f>RawData!AL919</f>
        <v>0</v>
      </c>
      <c r="X187" s="43">
        <f>RawData!CA919</f>
        <v>0</v>
      </c>
      <c r="Y187" s="41">
        <f>RawData!AM919</f>
        <v>0</v>
      </c>
      <c r="Z187" s="44">
        <f>RawData!CB919</f>
        <v>0</v>
      </c>
      <c r="AA187" s="44">
        <f>RawData!AN919</f>
        <v>0</v>
      </c>
      <c r="AB187" s="44">
        <f>RawData!AO919</f>
        <v>0</v>
      </c>
      <c r="AC187" s="44">
        <f>RawData!AP919</f>
        <v>0</v>
      </c>
      <c r="AD187" s="63">
        <f>RawData!BZ919</f>
        <v>0</v>
      </c>
      <c r="AE187" s="44">
        <f>RawData!AQ919</f>
        <v>0</v>
      </c>
      <c r="AF187" s="46">
        <f>RawData!O919</f>
        <v>0</v>
      </c>
      <c r="AG187" s="44">
        <f>RawData!AR919</f>
        <v>0</v>
      </c>
      <c r="AH187" s="44">
        <f>RawData!BY919</f>
        <v>0</v>
      </c>
      <c r="AI187" s="44">
        <f>RawData!AS919</f>
        <v>0</v>
      </c>
      <c r="AJ187" s="44">
        <f>RawData!AT919</f>
        <v>0</v>
      </c>
      <c r="AK187" s="44">
        <f>RawData!AU919</f>
        <v>0</v>
      </c>
      <c r="AL187" s="44">
        <f>RawData!BW919</f>
        <v>0</v>
      </c>
      <c r="AM187" s="41">
        <f>RawData!AV919</f>
        <v>0</v>
      </c>
      <c r="AN187" s="41">
        <f>RawData!BX919</f>
        <v>0</v>
      </c>
      <c r="AO187" s="41">
        <f>RawData!AW919</f>
        <v>0</v>
      </c>
      <c r="AP187" s="41">
        <f>RawData!AX919</f>
        <v>0</v>
      </c>
      <c r="AQ187" s="40">
        <f>RawData!AY919</f>
        <v>0</v>
      </c>
      <c r="AR187" s="40">
        <f>RawData!AZ919</f>
        <v>0</v>
      </c>
      <c r="AS187" s="40">
        <f>RawData!BA919</f>
        <v>0</v>
      </c>
      <c r="AT187" s="38">
        <f>RawData!BB919</f>
        <v>0</v>
      </c>
      <c r="AU187" s="40">
        <f>RawData!BC919</f>
        <v>0</v>
      </c>
      <c r="AV187" s="40">
        <f>RawData!BD919</f>
        <v>0</v>
      </c>
      <c r="AW187" s="38">
        <f>RawData!BE919</f>
        <v>0</v>
      </c>
      <c r="AX187" s="37">
        <f>RawData!BF919</f>
        <v>0</v>
      </c>
      <c r="AY187" s="36">
        <f>RawData!BG919</f>
        <v>0</v>
      </c>
      <c r="AZ187" s="36">
        <f>RawData!BH919</f>
        <v>0</v>
      </c>
      <c r="BA187" s="40">
        <f>RawData!BI919</f>
        <v>0</v>
      </c>
      <c r="BB187" s="44">
        <f>RawData!BJ919</f>
        <v>0</v>
      </c>
      <c r="BC187" s="44">
        <f>RawData!BK919</f>
        <v>0</v>
      </c>
      <c r="BD187" s="44">
        <f>RawData!BL919</f>
        <v>0</v>
      </c>
      <c r="BE187" s="44">
        <f>RawData!BM919</f>
        <v>0</v>
      </c>
      <c r="BF187" s="44">
        <f>RawData!BN919</f>
        <v>0</v>
      </c>
      <c r="BG187" s="63">
        <f>RawData!BO919</f>
        <v>0</v>
      </c>
      <c r="BH187" s="44">
        <f>RawData!BP919</f>
        <v>0</v>
      </c>
      <c r="BI187" s="63">
        <f>RawData!BQ919</f>
        <v>0</v>
      </c>
      <c r="BJ187" s="44">
        <f>RawData!BR919</f>
        <v>0</v>
      </c>
      <c r="BK187" s="47">
        <f>RawData!BS919</f>
        <v>0</v>
      </c>
      <c r="BL187" s="44">
        <f>RawData!BT919</f>
        <v>0</v>
      </c>
      <c r="BM187" s="47">
        <f>RawData!BV919</f>
        <v>0</v>
      </c>
      <c r="BN187" s="65">
        <f>RawData!CC919</f>
        <v>0</v>
      </c>
      <c r="BO187" s="66">
        <f>RawData!CD919</f>
        <v>0</v>
      </c>
      <c r="BQ187" s="21">
        <f t="shared" si="2"/>
        <v>0</v>
      </c>
    </row>
    <row r="188" spans="1:69" x14ac:dyDescent="0.2">
      <c r="A188" s="59">
        <f>RawData!P920</f>
        <v>0</v>
      </c>
      <c r="B188" s="44">
        <f>RawData!Q920</f>
        <v>0</v>
      </c>
      <c r="C188" s="44">
        <f>RawData!R920</f>
        <v>0</v>
      </c>
      <c r="D188" s="63">
        <f>RawData!S920</f>
        <v>0</v>
      </c>
      <c r="E188" s="44">
        <f>RawData!T920</f>
        <v>0</v>
      </c>
      <c r="F188" s="63">
        <f>RawData!U920</f>
        <v>0</v>
      </c>
      <c r="G188" s="44">
        <f>RawData!V920</f>
        <v>0</v>
      </c>
      <c r="H188" s="44">
        <f>RawData!W920</f>
        <v>0</v>
      </c>
      <c r="I188" s="44">
        <f>RawData!X920</f>
        <v>0</v>
      </c>
      <c r="J188" s="44">
        <f>RawData!Y920</f>
        <v>0</v>
      </c>
      <c r="K188" s="40">
        <f>RawData!Z920</f>
        <v>0</v>
      </c>
      <c r="L188" s="40">
        <f>RawData!AA920</f>
        <v>0</v>
      </c>
      <c r="M188" s="36">
        <f>RawData!AB920</f>
        <v>0</v>
      </c>
      <c r="N188" s="36">
        <f>RawData!AC920</f>
        <v>0</v>
      </c>
      <c r="O188" s="37">
        <f>RawData!AD920</f>
        <v>0</v>
      </c>
      <c r="P188" s="38">
        <f>RawData!AE920</f>
        <v>0</v>
      </c>
      <c r="Q188" s="39">
        <f>RawData!AF920</f>
        <v>0</v>
      </c>
      <c r="R188" s="38">
        <f>RawData!AG920</f>
        <v>0</v>
      </c>
      <c r="S188" s="40">
        <f>RawData!AH920</f>
        <v>0</v>
      </c>
      <c r="T188" s="40">
        <f>RawData!AI920</f>
        <v>0</v>
      </c>
      <c r="U188" s="40">
        <f>RawData!AJ920</f>
        <v>0</v>
      </c>
      <c r="V188" s="41">
        <f>RawData!AK920</f>
        <v>0</v>
      </c>
      <c r="W188" s="41">
        <f>RawData!AL920</f>
        <v>0</v>
      </c>
      <c r="X188" s="43">
        <f>RawData!CA920</f>
        <v>0</v>
      </c>
      <c r="Y188" s="41">
        <f>RawData!AM920</f>
        <v>0</v>
      </c>
      <c r="Z188" s="44">
        <f>RawData!CB920</f>
        <v>0</v>
      </c>
      <c r="AA188" s="44">
        <f>RawData!AN920</f>
        <v>0</v>
      </c>
      <c r="AB188" s="44">
        <f>RawData!AO920</f>
        <v>0</v>
      </c>
      <c r="AC188" s="44">
        <f>RawData!AP920</f>
        <v>0</v>
      </c>
      <c r="AD188" s="63">
        <f>RawData!BZ920</f>
        <v>0</v>
      </c>
      <c r="AE188" s="44">
        <f>RawData!AQ920</f>
        <v>0</v>
      </c>
      <c r="AF188" s="46">
        <f>RawData!O920</f>
        <v>0</v>
      </c>
      <c r="AG188" s="44">
        <f>RawData!AR920</f>
        <v>0</v>
      </c>
      <c r="AH188" s="44">
        <f>RawData!BY920</f>
        <v>0</v>
      </c>
      <c r="AI188" s="44">
        <f>RawData!AS920</f>
        <v>0</v>
      </c>
      <c r="AJ188" s="44">
        <f>RawData!AT920</f>
        <v>0</v>
      </c>
      <c r="AK188" s="44">
        <f>RawData!AU920</f>
        <v>0</v>
      </c>
      <c r="AL188" s="44">
        <f>RawData!BW920</f>
        <v>0</v>
      </c>
      <c r="AM188" s="41">
        <f>RawData!AV920</f>
        <v>0</v>
      </c>
      <c r="AN188" s="41">
        <f>RawData!BX920</f>
        <v>0</v>
      </c>
      <c r="AO188" s="41">
        <f>RawData!AW920</f>
        <v>0</v>
      </c>
      <c r="AP188" s="41">
        <f>RawData!AX920</f>
        <v>0</v>
      </c>
      <c r="AQ188" s="40">
        <f>RawData!AY920</f>
        <v>0</v>
      </c>
      <c r="AR188" s="40">
        <f>RawData!AZ920</f>
        <v>0</v>
      </c>
      <c r="AS188" s="40">
        <f>RawData!BA920</f>
        <v>0</v>
      </c>
      <c r="AT188" s="38">
        <f>RawData!BB920</f>
        <v>0</v>
      </c>
      <c r="AU188" s="40">
        <f>RawData!BC920</f>
        <v>0</v>
      </c>
      <c r="AV188" s="40">
        <f>RawData!BD920</f>
        <v>0</v>
      </c>
      <c r="AW188" s="38">
        <f>RawData!BE920</f>
        <v>0</v>
      </c>
      <c r="AX188" s="37">
        <f>RawData!BF920</f>
        <v>0</v>
      </c>
      <c r="AY188" s="36">
        <f>RawData!BG920</f>
        <v>0</v>
      </c>
      <c r="AZ188" s="36">
        <f>RawData!BH920</f>
        <v>0</v>
      </c>
      <c r="BA188" s="40">
        <f>RawData!BI920</f>
        <v>0</v>
      </c>
      <c r="BB188" s="44">
        <f>RawData!BJ920</f>
        <v>0</v>
      </c>
      <c r="BC188" s="44">
        <f>RawData!BK920</f>
        <v>0</v>
      </c>
      <c r="BD188" s="44">
        <f>RawData!BL920</f>
        <v>0</v>
      </c>
      <c r="BE188" s="44">
        <f>RawData!BM920</f>
        <v>0</v>
      </c>
      <c r="BF188" s="44">
        <f>RawData!BN920</f>
        <v>0</v>
      </c>
      <c r="BG188" s="63">
        <f>RawData!BO920</f>
        <v>0</v>
      </c>
      <c r="BH188" s="44">
        <f>RawData!BP920</f>
        <v>0</v>
      </c>
      <c r="BI188" s="63">
        <f>RawData!BQ920</f>
        <v>0</v>
      </c>
      <c r="BJ188" s="44">
        <f>RawData!BR920</f>
        <v>0</v>
      </c>
      <c r="BK188" s="47">
        <f>RawData!BS920</f>
        <v>0</v>
      </c>
      <c r="BL188" s="44">
        <f>RawData!BT920</f>
        <v>0</v>
      </c>
      <c r="BM188" s="47">
        <f>RawData!BV920</f>
        <v>0</v>
      </c>
      <c r="BN188" s="65">
        <f>RawData!CC920</f>
        <v>0</v>
      </c>
      <c r="BO188" s="66">
        <f>RawData!CD920</f>
        <v>0</v>
      </c>
      <c r="BQ188" s="21">
        <f t="shared" si="2"/>
        <v>0</v>
      </c>
    </row>
    <row r="189" spans="1:69" x14ac:dyDescent="0.2">
      <c r="A189" s="59">
        <f>RawData!P921</f>
        <v>0</v>
      </c>
      <c r="B189" s="44">
        <f>RawData!Q921</f>
        <v>0</v>
      </c>
      <c r="C189" s="44">
        <f>RawData!R921</f>
        <v>0</v>
      </c>
      <c r="D189" s="63">
        <f>RawData!S921</f>
        <v>0</v>
      </c>
      <c r="E189" s="44">
        <f>RawData!T921</f>
        <v>0</v>
      </c>
      <c r="F189" s="63">
        <f>RawData!U921</f>
        <v>0</v>
      </c>
      <c r="G189" s="44">
        <f>RawData!V921</f>
        <v>0</v>
      </c>
      <c r="H189" s="44">
        <f>RawData!W921</f>
        <v>0</v>
      </c>
      <c r="I189" s="44">
        <f>RawData!X921</f>
        <v>0</v>
      </c>
      <c r="J189" s="44">
        <f>RawData!Y921</f>
        <v>0</v>
      </c>
      <c r="K189" s="40">
        <f>RawData!Z921</f>
        <v>0</v>
      </c>
      <c r="L189" s="40">
        <f>RawData!AA921</f>
        <v>0</v>
      </c>
      <c r="M189" s="36">
        <f>RawData!AB921</f>
        <v>0</v>
      </c>
      <c r="N189" s="36">
        <f>RawData!AC921</f>
        <v>0</v>
      </c>
      <c r="O189" s="37">
        <f>RawData!AD921</f>
        <v>0</v>
      </c>
      <c r="P189" s="38">
        <f>RawData!AE921</f>
        <v>0</v>
      </c>
      <c r="Q189" s="39">
        <f>RawData!AF921</f>
        <v>0</v>
      </c>
      <c r="R189" s="38">
        <f>RawData!AG921</f>
        <v>0</v>
      </c>
      <c r="S189" s="40">
        <f>RawData!AH921</f>
        <v>0</v>
      </c>
      <c r="T189" s="40">
        <f>RawData!AI921</f>
        <v>0</v>
      </c>
      <c r="U189" s="40">
        <f>RawData!AJ921</f>
        <v>0</v>
      </c>
      <c r="V189" s="41">
        <f>RawData!AK921</f>
        <v>0</v>
      </c>
      <c r="W189" s="41">
        <f>RawData!AL921</f>
        <v>0</v>
      </c>
      <c r="X189" s="43">
        <f>RawData!CA921</f>
        <v>0</v>
      </c>
      <c r="Y189" s="41">
        <f>RawData!AM921</f>
        <v>0</v>
      </c>
      <c r="Z189" s="44">
        <f>RawData!CB921</f>
        <v>0</v>
      </c>
      <c r="AA189" s="44">
        <f>RawData!AN921</f>
        <v>0</v>
      </c>
      <c r="AB189" s="44">
        <f>RawData!AO921</f>
        <v>0</v>
      </c>
      <c r="AC189" s="44">
        <f>RawData!AP921</f>
        <v>0</v>
      </c>
      <c r="AD189" s="63">
        <f>RawData!BZ921</f>
        <v>0</v>
      </c>
      <c r="AE189" s="44">
        <f>RawData!AQ921</f>
        <v>0</v>
      </c>
      <c r="AF189" s="46">
        <f>RawData!O921</f>
        <v>0</v>
      </c>
      <c r="AG189" s="44">
        <f>RawData!AR921</f>
        <v>0</v>
      </c>
      <c r="AH189" s="44">
        <f>RawData!BY921</f>
        <v>0</v>
      </c>
      <c r="AI189" s="44">
        <f>RawData!AS921</f>
        <v>0</v>
      </c>
      <c r="AJ189" s="44">
        <f>RawData!AT921</f>
        <v>0</v>
      </c>
      <c r="AK189" s="44">
        <f>RawData!AU921</f>
        <v>0</v>
      </c>
      <c r="AL189" s="44">
        <f>RawData!BW921</f>
        <v>0</v>
      </c>
      <c r="AM189" s="41">
        <f>RawData!AV921</f>
        <v>0</v>
      </c>
      <c r="AN189" s="41">
        <f>RawData!BX921</f>
        <v>0</v>
      </c>
      <c r="AO189" s="41">
        <f>RawData!AW921</f>
        <v>0</v>
      </c>
      <c r="AP189" s="41">
        <f>RawData!AX921</f>
        <v>0</v>
      </c>
      <c r="AQ189" s="40">
        <f>RawData!AY921</f>
        <v>0</v>
      </c>
      <c r="AR189" s="40">
        <f>RawData!AZ921</f>
        <v>0</v>
      </c>
      <c r="AS189" s="40">
        <f>RawData!BA921</f>
        <v>0</v>
      </c>
      <c r="AT189" s="38">
        <f>RawData!BB921</f>
        <v>0</v>
      </c>
      <c r="AU189" s="40">
        <f>RawData!BC921</f>
        <v>0</v>
      </c>
      <c r="AV189" s="40">
        <f>RawData!BD921</f>
        <v>0</v>
      </c>
      <c r="AW189" s="38">
        <f>RawData!BE921</f>
        <v>0</v>
      </c>
      <c r="AX189" s="37">
        <f>RawData!BF921</f>
        <v>0</v>
      </c>
      <c r="AY189" s="36">
        <f>RawData!BG921</f>
        <v>0</v>
      </c>
      <c r="AZ189" s="36">
        <f>RawData!BH921</f>
        <v>0</v>
      </c>
      <c r="BA189" s="40">
        <f>RawData!BI921</f>
        <v>0</v>
      </c>
      <c r="BB189" s="44">
        <f>RawData!BJ921</f>
        <v>0</v>
      </c>
      <c r="BC189" s="44">
        <f>RawData!BK921</f>
        <v>0</v>
      </c>
      <c r="BD189" s="44">
        <f>RawData!BL921</f>
        <v>0</v>
      </c>
      <c r="BE189" s="44">
        <f>RawData!BM921</f>
        <v>0</v>
      </c>
      <c r="BF189" s="44">
        <f>RawData!BN921</f>
        <v>0</v>
      </c>
      <c r="BG189" s="63">
        <f>RawData!BO921</f>
        <v>0</v>
      </c>
      <c r="BH189" s="44">
        <f>RawData!BP921</f>
        <v>0</v>
      </c>
      <c r="BI189" s="63">
        <f>RawData!BQ921</f>
        <v>0</v>
      </c>
      <c r="BJ189" s="44">
        <f>RawData!BR921</f>
        <v>0</v>
      </c>
      <c r="BK189" s="47">
        <f>RawData!BS921</f>
        <v>0</v>
      </c>
      <c r="BL189" s="44">
        <f>RawData!BT921</f>
        <v>0</v>
      </c>
      <c r="BM189" s="47">
        <f>RawData!BV921</f>
        <v>0</v>
      </c>
      <c r="BN189" s="65">
        <f>RawData!CC921</f>
        <v>0</v>
      </c>
      <c r="BO189" s="66">
        <f>RawData!CD921</f>
        <v>0</v>
      </c>
      <c r="BQ189" s="21">
        <f t="shared" si="2"/>
        <v>0</v>
      </c>
    </row>
    <row r="190" spans="1:69" x14ac:dyDescent="0.2">
      <c r="A190" s="59">
        <f>RawData!P922</f>
        <v>0</v>
      </c>
      <c r="B190" s="44">
        <f>RawData!Q922</f>
        <v>0</v>
      </c>
      <c r="C190" s="44">
        <f>RawData!R922</f>
        <v>0</v>
      </c>
      <c r="D190" s="63">
        <f>RawData!S922</f>
        <v>0</v>
      </c>
      <c r="E190" s="44">
        <f>RawData!T922</f>
        <v>0</v>
      </c>
      <c r="F190" s="63">
        <f>RawData!U922</f>
        <v>0</v>
      </c>
      <c r="G190" s="44">
        <f>RawData!V922</f>
        <v>0</v>
      </c>
      <c r="H190" s="44">
        <f>RawData!W922</f>
        <v>0</v>
      </c>
      <c r="I190" s="44">
        <f>RawData!X922</f>
        <v>0</v>
      </c>
      <c r="J190" s="44">
        <f>RawData!Y922</f>
        <v>0</v>
      </c>
      <c r="K190" s="40">
        <f>RawData!Z922</f>
        <v>0</v>
      </c>
      <c r="L190" s="40">
        <f>RawData!AA922</f>
        <v>0</v>
      </c>
      <c r="M190" s="36">
        <f>RawData!AB922</f>
        <v>0</v>
      </c>
      <c r="N190" s="36">
        <f>RawData!AC922</f>
        <v>0</v>
      </c>
      <c r="O190" s="37">
        <f>RawData!AD922</f>
        <v>0</v>
      </c>
      <c r="P190" s="38">
        <f>RawData!AE922</f>
        <v>0</v>
      </c>
      <c r="Q190" s="39">
        <f>RawData!AF922</f>
        <v>0</v>
      </c>
      <c r="R190" s="38">
        <f>RawData!AG922</f>
        <v>0</v>
      </c>
      <c r="S190" s="40">
        <f>RawData!AH922</f>
        <v>0</v>
      </c>
      <c r="T190" s="40">
        <f>RawData!AI922</f>
        <v>0</v>
      </c>
      <c r="U190" s="40">
        <f>RawData!AJ922</f>
        <v>0</v>
      </c>
      <c r="V190" s="41">
        <f>RawData!AK922</f>
        <v>0</v>
      </c>
      <c r="W190" s="41">
        <f>RawData!AL922</f>
        <v>0</v>
      </c>
      <c r="X190" s="43">
        <f>RawData!CA922</f>
        <v>0</v>
      </c>
      <c r="Y190" s="41">
        <f>RawData!AM922</f>
        <v>0</v>
      </c>
      <c r="Z190" s="44">
        <f>RawData!CB922</f>
        <v>0</v>
      </c>
      <c r="AA190" s="44">
        <f>RawData!AN922</f>
        <v>0</v>
      </c>
      <c r="AB190" s="44">
        <f>RawData!AO922</f>
        <v>0</v>
      </c>
      <c r="AC190" s="44">
        <f>RawData!AP922</f>
        <v>0</v>
      </c>
      <c r="AD190" s="63">
        <f>RawData!BZ922</f>
        <v>0</v>
      </c>
      <c r="AE190" s="44">
        <f>RawData!AQ922</f>
        <v>0</v>
      </c>
      <c r="AF190" s="46">
        <f>RawData!O922</f>
        <v>0</v>
      </c>
      <c r="AG190" s="44">
        <f>RawData!AR922</f>
        <v>0</v>
      </c>
      <c r="AH190" s="44">
        <f>RawData!BY922</f>
        <v>0</v>
      </c>
      <c r="AI190" s="44">
        <f>RawData!AS922</f>
        <v>0</v>
      </c>
      <c r="AJ190" s="44">
        <f>RawData!AT922</f>
        <v>0</v>
      </c>
      <c r="AK190" s="44">
        <f>RawData!AU922</f>
        <v>0</v>
      </c>
      <c r="AL190" s="44">
        <f>RawData!BW922</f>
        <v>0</v>
      </c>
      <c r="AM190" s="41">
        <f>RawData!AV922</f>
        <v>0</v>
      </c>
      <c r="AN190" s="41">
        <f>RawData!BX922</f>
        <v>0</v>
      </c>
      <c r="AO190" s="41">
        <f>RawData!AW922</f>
        <v>0</v>
      </c>
      <c r="AP190" s="41">
        <f>RawData!AX922</f>
        <v>0</v>
      </c>
      <c r="AQ190" s="40">
        <f>RawData!AY922</f>
        <v>0</v>
      </c>
      <c r="AR190" s="40">
        <f>RawData!AZ922</f>
        <v>0</v>
      </c>
      <c r="AS190" s="40">
        <f>RawData!BA922</f>
        <v>0</v>
      </c>
      <c r="AT190" s="38">
        <f>RawData!BB922</f>
        <v>0</v>
      </c>
      <c r="AU190" s="40">
        <f>RawData!BC922</f>
        <v>0</v>
      </c>
      <c r="AV190" s="40">
        <f>RawData!BD922</f>
        <v>0</v>
      </c>
      <c r="AW190" s="38">
        <f>RawData!BE922</f>
        <v>0</v>
      </c>
      <c r="AX190" s="37">
        <f>RawData!BF922</f>
        <v>0</v>
      </c>
      <c r="AY190" s="36">
        <f>RawData!BG922</f>
        <v>0</v>
      </c>
      <c r="AZ190" s="36">
        <f>RawData!BH922</f>
        <v>0</v>
      </c>
      <c r="BA190" s="40">
        <f>RawData!BI922</f>
        <v>0</v>
      </c>
      <c r="BB190" s="44">
        <f>RawData!BJ922</f>
        <v>0</v>
      </c>
      <c r="BC190" s="44">
        <f>RawData!BK922</f>
        <v>0</v>
      </c>
      <c r="BD190" s="44">
        <f>RawData!BL922</f>
        <v>0</v>
      </c>
      <c r="BE190" s="44">
        <f>RawData!BM922</f>
        <v>0</v>
      </c>
      <c r="BF190" s="44">
        <f>RawData!BN922</f>
        <v>0</v>
      </c>
      <c r="BG190" s="63">
        <f>RawData!BO922</f>
        <v>0</v>
      </c>
      <c r="BH190" s="44">
        <f>RawData!BP922</f>
        <v>0</v>
      </c>
      <c r="BI190" s="63">
        <f>RawData!BQ922</f>
        <v>0</v>
      </c>
      <c r="BJ190" s="44">
        <f>RawData!BR922</f>
        <v>0</v>
      </c>
      <c r="BK190" s="47">
        <f>RawData!BS922</f>
        <v>0</v>
      </c>
      <c r="BL190" s="44">
        <f>RawData!BT922</f>
        <v>0</v>
      </c>
      <c r="BM190" s="47">
        <f>RawData!BV922</f>
        <v>0</v>
      </c>
      <c r="BN190" s="65">
        <f>RawData!CC922</f>
        <v>0</v>
      </c>
      <c r="BO190" s="66">
        <f>RawData!CD922</f>
        <v>0</v>
      </c>
      <c r="BQ190" s="21">
        <f t="shared" si="2"/>
        <v>0</v>
      </c>
    </row>
    <row r="191" spans="1:69" x14ac:dyDescent="0.2">
      <c r="A191" s="59">
        <f>RawData!P923</f>
        <v>0</v>
      </c>
      <c r="B191" s="44">
        <f>RawData!Q923</f>
        <v>0</v>
      </c>
      <c r="C191" s="44">
        <f>RawData!R923</f>
        <v>0</v>
      </c>
      <c r="D191" s="63">
        <f>RawData!S923</f>
        <v>0</v>
      </c>
      <c r="E191" s="44">
        <f>RawData!T923</f>
        <v>0</v>
      </c>
      <c r="F191" s="63">
        <f>RawData!U923</f>
        <v>0</v>
      </c>
      <c r="G191" s="44">
        <f>RawData!V923</f>
        <v>0</v>
      </c>
      <c r="H191" s="44">
        <f>RawData!W923</f>
        <v>0</v>
      </c>
      <c r="I191" s="44">
        <f>RawData!X923</f>
        <v>0</v>
      </c>
      <c r="J191" s="44">
        <f>RawData!Y923</f>
        <v>0</v>
      </c>
      <c r="K191" s="40">
        <f>RawData!Z923</f>
        <v>0</v>
      </c>
      <c r="L191" s="40">
        <f>RawData!AA923</f>
        <v>0</v>
      </c>
      <c r="M191" s="36">
        <f>RawData!AB923</f>
        <v>0</v>
      </c>
      <c r="N191" s="36">
        <f>RawData!AC923</f>
        <v>0</v>
      </c>
      <c r="O191" s="37">
        <f>RawData!AD923</f>
        <v>0</v>
      </c>
      <c r="P191" s="38">
        <f>RawData!AE923</f>
        <v>0</v>
      </c>
      <c r="Q191" s="39">
        <f>RawData!AF923</f>
        <v>0</v>
      </c>
      <c r="R191" s="38">
        <f>RawData!AG923</f>
        <v>0</v>
      </c>
      <c r="S191" s="40">
        <f>RawData!AH923</f>
        <v>0</v>
      </c>
      <c r="T191" s="40">
        <f>RawData!AI923</f>
        <v>0</v>
      </c>
      <c r="U191" s="40">
        <f>RawData!AJ923</f>
        <v>0</v>
      </c>
      <c r="V191" s="41">
        <f>RawData!AK923</f>
        <v>0</v>
      </c>
      <c r="W191" s="41">
        <f>RawData!AL923</f>
        <v>0</v>
      </c>
      <c r="X191" s="43">
        <f>RawData!CA923</f>
        <v>0</v>
      </c>
      <c r="Y191" s="41">
        <f>RawData!AM923</f>
        <v>0</v>
      </c>
      <c r="Z191" s="44">
        <f>RawData!CB923</f>
        <v>0</v>
      </c>
      <c r="AA191" s="44">
        <f>RawData!AN923</f>
        <v>0</v>
      </c>
      <c r="AB191" s="44">
        <f>RawData!AO923</f>
        <v>0</v>
      </c>
      <c r="AC191" s="44">
        <f>RawData!AP923</f>
        <v>0</v>
      </c>
      <c r="AD191" s="63">
        <f>RawData!BZ923</f>
        <v>0</v>
      </c>
      <c r="AE191" s="44">
        <f>RawData!AQ923</f>
        <v>0</v>
      </c>
      <c r="AF191" s="46">
        <f>RawData!O923</f>
        <v>0</v>
      </c>
      <c r="AG191" s="44">
        <f>RawData!AR923</f>
        <v>0</v>
      </c>
      <c r="AH191" s="44">
        <f>RawData!BY923</f>
        <v>0</v>
      </c>
      <c r="AI191" s="44">
        <f>RawData!AS923</f>
        <v>0</v>
      </c>
      <c r="AJ191" s="44">
        <f>RawData!AT923</f>
        <v>0</v>
      </c>
      <c r="AK191" s="44">
        <f>RawData!AU923</f>
        <v>0</v>
      </c>
      <c r="AL191" s="44">
        <f>RawData!BW923</f>
        <v>0</v>
      </c>
      <c r="AM191" s="41">
        <f>RawData!AV923</f>
        <v>0</v>
      </c>
      <c r="AN191" s="41">
        <f>RawData!BX923</f>
        <v>0</v>
      </c>
      <c r="AO191" s="41">
        <f>RawData!AW923</f>
        <v>0</v>
      </c>
      <c r="AP191" s="41">
        <f>RawData!AX923</f>
        <v>0</v>
      </c>
      <c r="AQ191" s="40">
        <f>RawData!AY923</f>
        <v>0</v>
      </c>
      <c r="AR191" s="40">
        <f>RawData!AZ923</f>
        <v>0</v>
      </c>
      <c r="AS191" s="40">
        <f>RawData!BA923</f>
        <v>0</v>
      </c>
      <c r="AT191" s="38">
        <f>RawData!BB923</f>
        <v>0</v>
      </c>
      <c r="AU191" s="40">
        <f>RawData!BC923</f>
        <v>0</v>
      </c>
      <c r="AV191" s="40">
        <f>RawData!BD923</f>
        <v>0</v>
      </c>
      <c r="AW191" s="38">
        <f>RawData!BE923</f>
        <v>0</v>
      </c>
      <c r="AX191" s="37">
        <f>RawData!BF923</f>
        <v>0</v>
      </c>
      <c r="AY191" s="36">
        <f>RawData!BG923</f>
        <v>0</v>
      </c>
      <c r="AZ191" s="36">
        <f>RawData!BH923</f>
        <v>0</v>
      </c>
      <c r="BA191" s="40">
        <f>RawData!BI923</f>
        <v>0</v>
      </c>
      <c r="BB191" s="44">
        <f>RawData!BJ923</f>
        <v>0</v>
      </c>
      <c r="BC191" s="44">
        <f>RawData!BK923</f>
        <v>0</v>
      </c>
      <c r="BD191" s="44">
        <f>RawData!BL923</f>
        <v>0</v>
      </c>
      <c r="BE191" s="44">
        <f>RawData!BM923</f>
        <v>0</v>
      </c>
      <c r="BF191" s="44">
        <f>RawData!BN923</f>
        <v>0</v>
      </c>
      <c r="BG191" s="63">
        <f>RawData!BO923</f>
        <v>0</v>
      </c>
      <c r="BH191" s="44">
        <f>RawData!BP923</f>
        <v>0</v>
      </c>
      <c r="BI191" s="63">
        <f>RawData!BQ923</f>
        <v>0</v>
      </c>
      <c r="BJ191" s="44">
        <f>RawData!BR923</f>
        <v>0</v>
      </c>
      <c r="BK191" s="47">
        <f>RawData!BS923</f>
        <v>0</v>
      </c>
      <c r="BL191" s="44">
        <f>RawData!BT923</f>
        <v>0</v>
      </c>
      <c r="BM191" s="47">
        <f>RawData!BV923</f>
        <v>0</v>
      </c>
      <c r="BN191" s="65">
        <f>RawData!CC923</f>
        <v>0</v>
      </c>
      <c r="BO191" s="66">
        <f>RawData!CD923</f>
        <v>0</v>
      </c>
      <c r="BQ191" s="21">
        <f t="shared" si="2"/>
        <v>0</v>
      </c>
    </row>
    <row r="192" spans="1:69" x14ac:dyDescent="0.2">
      <c r="A192" s="59">
        <f>RawData!P924</f>
        <v>0</v>
      </c>
      <c r="B192" s="44">
        <f>RawData!Q924</f>
        <v>0</v>
      </c>
      <c r="C192" s="44">
        <f>RawData!R924</f>
        <v>0</v>
      </c>
      <c r="D192" s="63">
        <f>RawData!S924</f>
        <v>0</v>
      </c>
      <c r="E192" s="44">
        <f>RawData!T924</f>
        <v>0</v>
      </c>
      <c r="F192" s="63">
        <f>RawData!U924</f>
        <v>0</v>
      </c>
      <c r="G192" s="44">
        <f>RawData!V924</f>
        <v>0</v>
      </c>
      <c r="H192" s="44">
        <f>RawData!W924</f>
        <v>0</v>
      </c>
      <c r="I192" s="44">
        <f>RawData!X924</f>
        <v>0</v>
      </c>
      <c r="J192" s="44">
        <f>RawData!Y924</f>
        <v>0</v>
      </c>
      <c r="K192" s="40">
        <f>RawData!Z924</f>
        <v>0</v>
      </c>
      <c r="L192" s="40">
        <f>RawData!AA924</f>
        <v>0</v>
      </c>
      <c r="M192" s="36">
        <f>RawData!AB924</f>
        <v>0</v>
      </c>
      <c r="N192" s="36">
        <f>RawData!AC924</f>
        <v>0</v>
      </c>
      <c r="O192" s="37">
        <f>RawData!AD924</f>
        <v>0</v>
      </c>
      <c r="P192" s="38">
        <f>RawData!AE924</f>
        <v>0</v>
      </c>
      <c r="Q192" s="39">
        <f>RawData!AF924</f>
        <v>0</v>
      </c>
      <c r="R192" s="38">
        <f>RawData!AG924</f>
        <v>0</v>
      </c>
      <c r="S192" s="40">
        <f>RawData!AH924</f>
        <v>0</v>
      </c>
      <c r="T192" s="40">
        <f>RawData!AI924</f>
        <v>0</v>
      </c>
      <c r="U192" s="40">
        <f>RawData!AJ924</f>
        <v>0</v>
      </c>
      <c r="V192" s="41">
        <f>RawData!AK924</f>
        <v>0</v>
      </c>
      <c r="W192" s="41">
        <f>RawData!AL924</f>
        <v>0</v>
      </c>
      <c r="X192" s="43">
        <f>RawData!CA924</f>
        <v>0</v>
      </c>
      <c r="Y192" s="41">
        <f>RawData!AM924</f>
        <v>0</v>
      </c>
      <c r="Z192" s="44">
        <f>RawData!CB924</f>
        <v>0</v>
      </c>
      <c r="AA192" s="44">
        <f>RawData!AN924</f>
        <v>0</v>
      </c>
      <c r="AB192" s="44">
        <f>RawData!AO924</f>
        <v>0</v>
      </c>
      <c r="AC192" s="44">
        <f>RawData!AP924</f>
        <v>0</v>
      </c>
      <c r="AD192" s="63">
        <f>RawData!BZ924</f>
        <v>0</v>
      </c>
      <c r="AE192" s="44">
        <f>RawData!AQ924</f>
        <v>0</v>
      </c>
      <c r="AF192" s="46">
        <f>RawData!O924</f>
        <v>0</v>
      </c>
      <c r="AG192" s="44">
        <f>RawData!AR924</f>
        <v>0</v>
      </c>
      <c r="AH192" s="44">
        <f>RawData!BY924</f>
        <v>0</v>
      </c>
      <c r="AI192" s="44">
        <f>RawData!AS924</f>
        <v>0</v>
      </c>
      <c r="AJ192" s="44">
        <f>RawData!AT924</f>
        <v>0</v>
      </c>
      <c r="AK192" s="44">
        <f>RawData!AU924</f>
        <v>0</v>
      </c>
      <c r="AL192" s="44">
        <f>RawData!BW924</f>
        <v>0</v>
      </c>
      <c r="AM192" s="41">
        <f>RawData!AV924</f>
        <v>0</v>
      </c>
      <c r="AN192" s="41">
        <f>RawData!BX924</f>
        <v>0</v>
      </c>
      <c r="AO192" s="41">
        <f>RawData!AW924</f>
        <v>0</v>
      </c>
      <c r="AP192" s="41">
        <f>RawData!AX924</f>
        <v>0</v>
      </c>
      <c r="AQ192" s="40">
        <f>RawData!AY924</f>
        <v>0</v>
      </c>
      <c r="AR192" s="40">
        <f>RawData!AZ924</f>
        <v>0</v>
      </c>
      <c r="AS192" s="40">
        <f>RawData!BA924</f>
        <v>0</v>
      </c>
      <c r="AT192" s="38">
        <f>RawData!BB924</f>
        <v>0</v>
      </c>
      <c r="AU192" s="40">
        <f>RawData!BC924</f>
        <v>0</v>
      </c>
      <c r="AV192" s="40">
        <f>RawData!BD924</f>
        <v>0</v>
      </c>
      <c r="AW192" s="38">
        <f>RawData!BE924</f>
        <v>0</v>
      </c>
      <c r="AX192" s="37">
        <f>RawData!BF924</f>
        <v>0</v>
      </c>
      <c r="AY192" s="36">
        <f>RawData!BG924</f>
        <v>0</v>
      </c>
      <c r="AZ192" s="36">
        <f>RawData!BH924</f>
        <v>0</v>
      </c>
      <c r="BA192" s="40">
        <f>RawData!BI924</f>
        <v>0</v>
      </c>
      <c r="BB192" s="44">
        <f>RawData!BJ924</f>
        <v>0</v>
      </c>
      <c r="BC192" s="44">
        <f>RawData!BK924</f>
        <v>0</v>
      </c>
      <c r="BD192" s="44">
        <f>RawData!BL924</f>
        <v>0</v>
      </c>
      <c r="BE192" s="44">
        <f>RawData!BM924</f>
        <v>0</v>
      </c>
      <c r="BF192" s="44">
        <f>RawData!BN924</f>
        <v>0</v>
      </c>
      <c r="BG192" s="63">
        <f>RawData!BO924</f>
        <v>0</v>
      </c>
      <c r="BH192" s="44">
        <f>RawData!BP924</f>
        <v>0</v>
      </c>
      <c r="BI192" s="63">
        <f>RawData!BQ924</f>
        <v>0</v>
      </c>
      <c r="BJ192" s="44">
        <f>RawData!BR924</f>
        <v>0</v>
      </c>
      <c r="BK192" s="47">
        <f>RawData!BS924</f>
        <v>0</v>
      </c>
      <c r="BL192" s="44">
        <f>RawData!BT924</f>
        <v>0</v>
      </c>
      <c r="BM192" s="47">
        <f>RawData!BV924</f>
        <v>0</v>
      </c>
      <c r="BN192" s="65">
        <f>RawData!CC924</f>
        <v>0</v>
      </c>
      <c r="BO192" s="66">
        <f>RawData!CD924</f>
        <v>0</v>
      </c>
      <c r="BQ192" s="21">
        <f t="shared" si="2"/>
        <v>0</v>
      </c>
    </row>
    <row r="193" spans="1:69" x14ac:dyDescent="0.2">
      <c r="A193" s="59">
        <f>RawData!P925</f>
        <v>0</v>
      </c>
      <c r="B193" s="44">
        <f>RawData!Q925</f>
        <v>0</v>
      </c>
      <c r="C193" s="44">
        <f>RawData!R925</f>
        <v>0</v>
      </c>
      <c r="D193" s="63">
        <f>RawData!S925</f>
        <v>0</v>
      </c>
      <c r="E193" s="44">
        <f>RawData!T925</f>
        <v>0</v>
      </c>
      <c r="F193" s="63">
        <f>RawData!U925</f>
        <v>0</v>
      </c>
      <c r="G193" s="44">
        <f>RawData!V925</f>
        <v>0</v>
      </c>
      <c r="H193" s="44">
        <f>RawData!W925</f>
        <v>0</v>
      </c>
      <c r="I193" s="44">
        <f>RawData!X925</f>
        <v>0</v>
      </c>
      <c r="J193" s="44">
        <f>RawData!Y925</f>
        <v>0</v>
      </c>
      <c r="K193" s="40">
        <f>RawData!Z925</f>
        <v>0</v>
      </c>
      <c r="L193" s="40">
        <f>RawData!AA925</f>
        <v>0</v>
      </c>
      <c r="M193" s="36">
        <f>RawData!AB925</f>
        <v>0</v>
      </c>
      <c r="N193" s="36">
        <f>RawData!AC925</f>
        <v>0</v>
      </c>
      <c r="O193" s="37">
        <f>RawData!AD925</f>
        <v>0</v>
      </c>
      <c r="P193" s="38">
        <f>RawData!AE925</f>
        <v>0</v>
      </c>
      <c r="Q193" s="39">
        <f>RawData!AF925</f>
        <v>0</v>
      </c>
      <c r="R193" s="38">
        <f>RawData!AG925</f>
        <v>0</v>
      </c>
      <c r="S193" s="40">
        <f>RawData!AH925</f>
        <v>0</v>
      </c>
      <c r="T193" s="40">
        <f>RawData!AI925</f>
        <v>0</v>
      </c>
      <c r="U193" s="40">
        <f>RawData!AJ925</f>
        <v>0</v>
      </c>
      <c r="V193" s="41">
        <f>RawData!AK925</f>
        <v>0</v>
      </c>
      <c r="W193" s="41">
        <f>RawData!AL925</f>
        <v>0</v>
      </c>
      <c r="X193" s="43">
        <f>RawData!CA925</f>
        <v>0</v>
      </c>
      <c r="Y193" s="41">
        <f>RawData!AM925</f>
        <v>0</v>
      </c>
      <c r="Z193" s="44">
        <f>RawData!CB925</f>
        <v>0</v>
      </c>
      <c r="AA193" s="44">
        <f>RawData!AN925</f>
        <v>0</v>
      </c>
      <c r="AB193" s="44">
        <f>RawData!AO925</f>
        <v>0</v>
      </c>
      <c r="AC193" s="44">
        <f>RawData!AP925</f>
        <v>0</v>
      </c>
      <c r="AD193" s="63">
        <f>RawData!BZ925</f>
        <v>0</v>
      </c>
      <c r="AE193" s="44">
        <f>RawData!AQ925</f>
        <v>0</v>
      </c>
      <c r="AF193" s="46">
        <f>RawData!O925</f>
        <v>0</v>
      </c>
      <c r="AG193" s="44">
        <f>RawData!AR925</f>
        <v>0</v>
      </c>
      <c r="AH193" s="44">
        <f>RawData!BY925</f>
        <v>0</v>
      </c>
      <c r="AI193" s="44">
        <f>RawData!AS925</f>
        <v>0</v>
      </c>
      <c r="AJ193" s="44">
        <f>RawData!AT925</f>
        <v>0</v>
      </c>
      <c r="AK193" s="44">
        <f>RawData!AU925</f>
        <v>0</v>
      </c>
      <c r="AL193" s="44">
        <f>RawData!BW925</f>
        <v>0</v>
      </c>
      <c r="AM193" s="41">
        <f>RawData!AV925</f>
        <v>0</v>
      </c>
      <c r="AN193" s="41">
        <f>RawData!BX925</f>
        <v>0</v>
      </c>
      <c r="AO193" s="41">
        <f>RawData!AW925</f>
        <v>0</v>
      </c>
      <c r="AP193" s="41">
        <f>RawData!AX925</f>
        <v>0</v>
      </c>
      <c r="AQ193" s="40">
        <f>RawData!AY925</f>
        <v>0</v>
      </c>
      <c r="AR193" s="40">
        <f>RawData!AZ925</f>
        <v>0</v>
      </c>
      <c r="AS193" s="40">
        <f>RawData!BA925</f>
        <v>0</v>
      </c>
      <c r="AT193" s="38">
        <f>RawData!BB925</f>
        <v>0</v>
      </c>
      <c r="AU193" s="40">
        <f>RawData!BC925</f>
        <v>0</v>
      </c>
      <c r="AV193" s="40">
        <f>RawData!BD925</f>
        <v>0</v>
      </c>
      <c r="AW193" s="38">
        <f>RawData!BE925</f>
        <v>0</v>
      </c>
      <c r="AX193" s="37">
        <f>RawData!BF925</f>
        <v>0</v>
      </c>
      <c r="AY193" s="36">
        <f>RawData!BG925</f>
        <v>0</v>
      </c>
      <c r="AZ193" s="36">
        <f>RawData!BH925</f>
        <v>0</v>
      </c>
      <c r="BA193" s="40">
        <f>RawData!BI925</f>
        <v>0</v>
      </c>
      <c r="BB193" s="44">
        <f>RawData!BJ925</f>
        <v>0</v>
      </c>
      <c r="BC193" s="44">
        <f>RawData!BK925</f>
        <v>0</v>
      </c>
      <c r="BD193" s="44">
        <f>RawData!BL925</f>
        <v>0</v>
      </c>
      <c r="BE193" s="44">
        <f>RawData!BM925</f>
        <v>0</v>
      </c>
      <c r="BF193" s="44">
        <f>RawData!BN925</f>
        <v>0</v>
      </c>
      <c r="BG193" s="63">
        <f>RawData!BO925</f>
        <v>0</v>
      </c>
      <c r="BH193" s="44">
        <f>RawData!BP925</f>
        <v>0</v>
      </c>
      <c r="BI193" s="63">
        <f>RawData!BQ925</f>
        <v>0</v>
      </c>
      <c r="BJ193" s="44">
        <f>RawData!BR925</f>
        <v>0</v>
      </c>
      <c r="BK193" s="47">
        <f>RawData!BS925</f>
        <v>0</v>
      </c>
      <c r="BL193" s="44">
        <f>RawData!BT925</f>
        <v>0</v>
      </c>
      <c r="BM193" s="47">
        <f>RawData!BV925</f>
        <v>0</v>
      </c>
      <c r="BN193" s="65">
        <f>RawData!CC925</f>
        <v>0</v>
      </c>
      <c r="BO193" s="66">
        <f>RawData!CD925</f>
        <v>0</v>
      </c>
      <c r="BQ193" s="21">
        <f t="shared" si="2"/>
        <v>0</v>
      </c>
    </row>
    <row r="194" spans="1:69" x14ac:dyDescent="0.2">
      <c r="A194" s="59">
        <f>RawData!P926</f>
        <v>0</v>
      </c>
      <c r="B194" s="44">
        <f>RawData!Q926</f>
        <v>0</v>
      </c>
      <c r="C194" s="44">
        <f>RawData!R926</f>
        <v>0</v>
      </c>
      <c r="D194" s="63">
        <f>RawData!S926</f>
        <v>0</v>
      </c>
      <c r="E194" s="44">
        <f>RawData!T926</f>
        <v>0</v>
      </c>
      <c r="F194" s="63">
        <f>RawData!U926</f>
        <v>0</v>
      </c>
      <c r="G194" s="44">
        <f>RawData!V926</f>
        <v>0</v>
      </c>
      <c r="H194" s="44">
        <f>RawData!W926</f>
        <v>0</v>
      </c>
      <c r="I194" s="44">
        <f>RawData!X926</f>
        <v>0</v>
      </c>
      <c r="J194" s="44">
        <f>RawData!Y926</f>
        <v>0</v>
      </c>
      <c r="K194" s="40">
        <f>RawData!Z926</f>
        <v>0</v>
      </c>
      <c r="L194" s="40">
        <f>RawData!AA926</f>
        <v>0</v>
      </c>
      <c r="M194" s="36">
        <f>RawData!AB926</f>
        <v>0</v>
      </c>
      <c r="N194" s="36">
        <f>RawData!AC926</f>
        <v>0</v>
      </c>
      <c r="O194" s="37">
        <f>RawData!AD926</f>
        <v>0</v>
      </c>
      <c r="P194" s="38">
        <f>RawData!AE926</f>
        <v>0</v>
      </c>
      <c r="Q194" s="39">
        <f>RawData!AF926</f>
        <v>0</v>
      </c>
      <c r="R194" s="38">
        <f>RawData!AG926</f>
        <v>0</v>
      </c>
      <c r="S194" s="40">
        <f>RawData!AH926</f>
        <v>0</v>
      </c>
      <c r="T194" s="40">
        <f>RawData!AI926</f>
        <v>0</v>
      </c>
      <c r="U194" s="40">
        <f>RawData!AJ926</f>
        <v>0</v>
      </c>
      <c r="V194" s="41">
        <f>RawData!AK926</f>
        <v>0</v>
      </c>
      <c r="W194" s="41">
        <f>RawData!AL926</f>
        <v>0</v>
      </c>
      <c r="X194" s="43">
        <f>RawData!CA926</f>
        <v>0</v>
      </c>
      <c r="Y194" s="41">
        <f>RawData!AM926</f>
        <v>0</v>
      </c>
      <c r="Z194" s="44">
        <f>RawData!CB926</f>
        <v>0</v>
      </c>
      <c r="AA194" s="44">
        <f>RawData!AN926</f>
        <v>0</v>
      </c>
      <c r="AB194" s="44">
        <f>RawData!AO926</f>
        <v>0</v>
      </c>
      <c r="AC194" s="44">
        <f>RawData!AP926</f>
        <v>0</v>
      </c>
      <c r="AD194" s="63">
        <f>RawData!BZ926</f>
        <v>0</v>
      </c>
      <c r="AE194" s="44">
        <f>RawData!AQ926</f>
        <v>0</v>
      </c>
      <c r="AF194" s="46">
        <f>RawData!O926</f>
        <v>0</v>
      </c>
      <c r="AG194" s="44">
        <f>RawData!AR926</f>
        <v>0</v>
      </c>
      <c r="AH194" s="44">
        <f>RawData!BY926</f>
        <v>0</v>
      </c>
      <c r="AI194" s="44">
        <f>RawData!AS926</f>
        <v>0</v>
      </c>
      <c r="AJ194" s="44">
        <f>RawData!AT926</f>
        <v>0</v>
      </c>
      <c r="AK194" s="44">
        <f>RawData!AU926</f>
        <v>0</v>
      </c>
      <c r="AL194" s="44">
        <f>RawData!BW926</f>
        <v>0</v>
      </c>
      <c r="AM194" s="41">
        <f>RawData!AV926</f>
        <v>0</v>
      </c>
      <c r="AN194" s="41">
        <f>RawData!BX926</f>
        <v>0</v>
      </c>
      <c r="AO194" s="41">
        <f>RawData!AW926</f>
        <v>0</v>
      </c>
      <c r="AP194" s="41">
        <f>RawData!AX926</f>
        <v>0</v>
      </c>
      <c r="AQ194" s="40">
        <f>RawData!AY926</f>
        <v>0</v>
      </c>
      <c r="AR194" s="40">
        <f>RawData!AZ926</f>
        <v>0</v>
      </c>
      <c r="AS194" s="40">
        <f>RawData!BA926</f>
        <v>0</v>
      </c>
      <c r="AT194" s="38">
        <f>RawData!BB926</f>
        <v>0</v>
      </c>
      <c r="AU194" s="40">
        <f>RawData!BC926</f>
        <v>0</v>
      </c>
      <c r="AV194" s="40">
        <f>RawData!BD926</f>
        <v>0</v>
      </c>
      <c r="AW194" s="38">
        <f>RawData!BE926</f>
        <v>0</v>
      </c>
      <c r="AX194" s="37">
        <f>RawData!BF926</f>
        <v>0</v>
      </c>
      <c r="AY194" s="36">
        <f>RawData!BG926</f>
        <v>0</v>
      </c>
      <c r="AZ194" s="36">
        <f>RawData!BH926</f>
        <v>0</v>
      </c>
      <c r="BA194" s="40">
        <f>RawData!BI926</f>
        <v>0</v>
      </c>
      <c r="BB194" s="44">
        <f>RawData!BJ926</f>
        <v>0</v>
      </c>
      <c r="BC194" s="44">
        <f>RawData!BK926</f>
        <v>0</v>
      </c>
      <c r="BD194" s="44">
        <f>RawData!BL926</f>
        <v>0</v>
      </c>
      <c r="BE194" s="44">
        <f>RawData!BM926</f>
        <v>0</v>
      </c>
      <c r="BF194" s="44">
        <f>RawData!BN926</f>
        <v>0</v>
      </c>
      <c r="BG194" s="63">
        <f>RawData!BO926</f>
        <v>0</v>
      </c>
      <c r="BH194" s="44">
        <f>RawData!BP926</f>
        <v>0</v>
      </c>
      <c r="BI194" s="63">
        <f>RawData!BQ926</f>
        <v>0</v>
      </c>
      <c r="BJ194" s="44">
        <f>RawData!BR926</f>
        <v>0</v>
      </c>
      <c r="BK194" s="47">
        <f>RawData!BS926</f>
        <v>0</v>
      </c>
      <c r="BL194" s="44">
        <f>RawData!BT926</f>
        <v>0</v>
      </c>
      <c r="BM194" s="47">
        <f>RawData!BV926</f>
        <v>0</v>
      </c>
      <c r="BN194" s="65">
        <f>RawData!CC926</f>
        <v>0</v>
      </c>
      <c r="BO194" s="66">
        <f>RawData!CD926</f>
        <v>0</v>
      </c>
      <c r="BQ194" s="21">
        <f t="shared" si="2"/>
        <v>0</v>
      </c>
    </row>
    <row r="195" spans="1:69" x14ac:dyDescent="0.2">
      <c r="A195" s="59">
        <f>RawData!P927</f>
        <v>0</v>
      </c>
      <c r="B195" s="44">
        <f>RawData!Q927</f>
        <v>0</v>
      </c>
      <c r="C195" s="44">
        <f>RawData!R927</f>
        <v>0</v>
      </c>
      <c r="D195" s="63">
        <f>RawData!S927</f>
        <v>0</v>
      </c>
      <c r="E195" s="44">
        <f>RawData!T927</f>
        <v>0</v>
      </c>
      <c r="F195" s="63">
        <f>RawData!U927</f>
        <v>0</v>
      </c>
      <c r="G195" s="44">
        <f>RawData!V927</f>
        <v>0</v>
      </c>
      <c r="H195" s="44">
        <f>RawData!W927</f>
        <v>0</v>
      </c>
      <c r="I195" s="44">
        <f>RawData!X927</f>
        <v>0</v>
      </c>
      <c r="J195" s="44">
        <f>RawData!Y927</f>
        <v>0</v>
      </c>
      <c r="K195" s="40">
        <f>RawData!Z927</f>
        <v>0</v>
      </c>
      <c r="L195" s="40">
        <f>RawData!AA927</f>
        <v>0</v>
      </c>
      <c r="M195" s="36">
        <f>RawData!AB927</f>
        <v>0</v>
      </c>
      <c r="N195" s="36">
        <f>RawData!AC927</f>
        <v>0</v>
      </c>
      <c r="O195" s="37">
        <f>RawData!AD927</f>
        <v>0</v>
      </c>
      <c r="P195" s="38">
        <f>RawData!AE927</f>
        <v>0</v>
      </c>
      <c r="Q195" s="39">
        <f>RawData!AF927</f>
        <v>0</v>
      </c>
      <c r="R195" s="38">
        <f>RawData!AG927</f>
        <v>0</v>
      </c>
      <c r="S195" s="40">
        <f>RawData!AH927</f>
        <v>0</v>
      </c>
      <c r="T195" s="40">
        <f>RawData!AI927</f>
        <v>0</v>
      </c>
      <c r="U195" s="40">
        <f>RawData!AJ927</f>
        <v>0</v>
      </c>
      <c r="V195" s="41">
        <f>RawData!AK927</f>
        <v>0</v>
      </c>
      <c r="W195" s="41">
        <f>RawData!AL927</f>
        <v>0</v>
      </c>
      <c r="X195" s="43">
        <f>RawData!CA927</f>
        <v>0</v>
      </c>
      <c r="Y195" s="41">
        <f>RawData!AM927</f>
        <v>0</v>
      </c>
      <c r="Z195" s="44">
        <f>RawData!CB927</f>
        <v>0</v>
      </c>
      <c r="AA195" s="44">
        <f>RawData!AN927</f>
        <v>0</v>
      </c>
      <c r="AB195" s="44">
        <f>RawData!AO927</f>
        <v>0</v>
      </c>
      <c r="AC195" s="44">
        <f>RawData!AP927</f>
        <v>0</v>
      </c>
      <c r="AD195" s="63">
        <f>RawData!BZ927</f>
        <v>0</v>
      </c>
      <c r="AE195" s="44">
        <f>RawData!AQ927</f>
        <v>0</v>
      </c>
      <c r="AF195" s="46">
        <f>RawData!O927</f>
        <v>0</v>
      </c>
      <c r="AG195" s="44">
        <f>RawData!AR927</f>
        <v>0</v>
      </c>
      <c r="AH195" s="44">
        <f>RawData!BY927</f>
        <v>0</v>
      </c>
      <c r="AI195" s="44">
        <f>RawData!AS927</f>
        <v>0</v>
      </c>
      <c r="AJ195" s="44">
        <f>RawData!AT927</f>
        <v>0</v>
      </c>
      <c r="AK195" s="44">
        <f>RawData!AU927</f>
        <v>0</v>
      </c>
      <c r="AL195" s="44">
        <f>RawData!BW927</f>
        <v>0</v>
      </c>
      <c r="AM195" s="41">
        <f>RawData!AV927</f>
        <v>0</v>
      </c>
      <c r="AN195" s="41">
        <f>RawData!BX927</f>
        <v>0</v>
      </c>
      <c r="AO195" s="41">
        <f>RawData!AW927</f>
        <v>0</v>
      </c>
      <c r="AP195" s="41">
        <f>RawData!AX927</f>
        <v>0</v>
      </c>
      <c r="AQ195" s="40">
        <f>RawData!AY927</f>
        <v>0</v>
      </c>
      <c r="AR195" s="40">
        <f>RawData!AZ927</f>
        <v>0</v>
      </c>
      <c r="AS195" s="40">
        <f>RawData!BA927</f>
        <v>0</v>
      </c>
      <c r="AT195" s="38">
        <f>RawData!BB927</f>
        <v>0</v>
      </c>
      <c r="AU195" s="40">
        <f>RawData!BC927</f>
        <v>0</v>
      </c>
      <c r="AV195" s="40">
        <f>RawData!BD927</f>
        <v>0</v>
      </c>
      <c r="AW195" s="38">
        <f>RawData!BE927</f>
        <v>0</v>
      </c>
      <c r="AX195" s="37">
        <f>RawData!BF927</f>
        <v>0</v>
      </c>
      <c r="AY195" s="36">
        <f>RawData!BG927</f>
        <v>0</v>
      </c>
      <c r="AZ195" s="36">
        <f>RawData!BH927</f>
        <v>0</v>
      </c>
      <c r="BA195" s="40">
        <f>RawData!BI927</f>
        <v>0</v>
      </c>
      <c r="BB195" s="44">
        <f>RawData!BJ927</f>
        <v>0</v>
      </c>
      <c r="BC195" s="44">
        <f>RawData!BK927</f>
        <v>0</v>
      </c>
      <c r="BD195" s="44">
        <f>RawData!BL927</f>
        <v>0</v>
      </c>
      <c r="BE195" s="44">
        <f>RawData!BM927</f>
        <v>0</v>
      </c>
      <c r="BF195" s="44">
        <f>RawData!BN927</f>
        <v>0</v>
      </c>
      <c r="BG195" s="63">
        <f>RawData!BO927</f>
        <v>0</v>
      </c>
      <c r="BH195" s="44">
        <f>RawData!BP927</f>
        <v>0</v>
      </c>
      <c r="BI195" s="63">
        <f>RawData!BQ927</f>
        <v>0</v>
      </c>
      <c r="BJ195" s="44">
        <f>RawData!BR927</f>
        <v>0</v>
      </c>
      <c r="BK195" s="47">
        <f>RawData!BS927</f>
        <v>0</v>
      </c>
      <c r="BL195" s="44">
        <f>RawData!BT927</f>
        <v>0</v>
      </c>
      <c r="BM195" s="47">
        <f>RawData!BV927</f>
        <v>0</v>
      </c>
      <c r="BN195" s="65">
        <f>RawData!CC927</f>
        <v>0</v>
      </c>
      <c r="BO195" s="66">
        <f>RawData!CD927</f>
        <v>0</v>
      </c>
      <c r="BQ195" s="21">
        <f t="shared" si="2"/>
        <v>0</v>
      </c>
    </row>
    <row r="196" spans="1:69" x14ac:dyDescent="0.2">
      <c r="A196" s="59">
        <f>RawData!P928</f>
        <v>0</v>
      </c>
      <c r="B196" s="44">
        <f>RawData!Q928</f>
        <v>0</v>
      </c>
      <c r="C196" s="44">
        <f>RawData!R928</f>
        <v>0</v>
      </c>
      <c r="D196" s="63">
        <f>RawData!S928</f>
        <v>0</v>
      </c>
      <c r="E196" s="44">
        <f>RawData!T928</f>
        <v>0</v>
      </c>
      <c r="F196" s="63">
        <f>RawData!U928</f>
        <v>0</v>
      </c>
      <c r="G196" s="44">
        <f>RawData!V928</f>
        <v>0</v>
      </c>
      <c r="H196" s="44">
        <f>RawData!W928</f>
        <v>0</v>
      </c>
      <c r="I196" s="44">
        <f>RawData!X928</f>
        <v>0</v>
      </c>
      <c r="J196" s="44">
        <f>RawData!Y928</f>
        <v>0</v>
      </c>
      <c r="K196" s="40">
        <f>RawData!Z928</f>
        <v>0</v>
      </c>
      <c r="L196" s="40">
        <f>RawData!AA928</f>
        <v>0</v>
      </c>
      <c r="M196" s="36">
        <f>RawData!AB928</f>
        <v>0</v>
      </c>
      <c r="N196" s="36">
        <f>RawData!AC928</f>
        <v>0</v>
      </c>
      <c r="O196" s="37">
        <f>RawData!AD928</f>
        <v>0</v>
      </c>
      <c r="P196" s="38">
        <f>RawData!AE928</f>
        <v>0</v>
      </c>
      <c r="Q196" s="39">
        <f>RawData!AF928</f>
        <v>0</v>
      </c>
      <c r="R196" s="38">
        <f>RawData!AG928</f>
        <v>0</v>
      </c>
      <c r="S196" s="40">
        <f>RawData!AH928</f>
        <v>0</v>
      </c>
      <c r="T196" s="40">
        <f>RawData!AI928</f>
        <v>0</v>
      </c>
      <c r="U196" s="40">
        <f>RawData!AJ928</f>
        <v>0</v>
      </c>
      <c r="V196" s="41">
        <f>RawData!AK928</f>
        <v>0</v>
      </c>
      <c r="W196" s="41">
        <f>RawData!AL928</f>
        <v>0</v>
      </c>
      <c r="X196" s="43">
        <f>RawData!CA928</f>
        <v>0</v>
      </c>
      <c r="Y196" s="41">
        <f>RawData!AM928</f>
        <v>0</v>
      </c>
      <c r="Z196" s="44">
        <f>RawData!CB928</f>
        <v>0</v>
      </c>
      <c r="AA196" s="44">
        <f>RawData!AN928</f>
        <v>0</v>
      </c>
      <c r="AB196" s="44">
        <f>RawData!AO928</f>
        <v>0</v>
      </c>
      <c r="AC196" s="44">
        <f>RawData!AP928</f>
        <v>0</v>
      </c>
      <c r="AD196" s="63">
        <f>RawData!BZ928</f>
        <v>0</v>
      </c>
      <c r="AE196" s="44">
        <f>RawData!AQ928</f>
        <v>0</v>
      </c>
      <c r="AF196" s="46">
        <f>RawData!O928</f>
        <v>0</v>
      </c>
      <c r="AG196" s="44">
        <f>RawData!AR928</f>
        <v>0</v>
      </c>
      <c r="AH196" s="44">
        <f>RawData!BY928</f>
        <v>0</v>
      </c>
      <c r="AI196" s="44">
        <f>RawData!AS928</f>
        <v>0</v>
      </c>
      <c r="AJ196" s="44">
        <f>RawData!AT928</f>
        <v>0</v>
      </c>
      <c r="AK196" s="44">
        <f>RawData!AU928</f>
        <v>0</v>
      </c>
      <c r="AL196" s="44">
        <f>RawData!BW928</f>
        <v>0</v>
      </c>
      <c r="AM196" s="41">
        <f>RawData!AV928</f>
        <v>0</v>
      </c>
      <c r="AN196" s="41">
        <f>RawData!BX928</f>
        <v>0</v>
      </c>
      <c r="AO196" s="41">
        <f>RawData!AW928</f>
        <v>0</v>
      </c>
      <c r="AP196" s="41">
        <f>RawData!AX928</f>
        <v>0</v>
      </c>
      <c r="AQ196" s="40">
        <f>RawData!AY928</f>
        <v>0</v>
      </c>
      <c r="AR196" s="40">
        <f>RawData!AZ928</f>
        <v>0</v>
      </c>
      <c r="AS196" s="40">
        <f>RawData!BA928</f>
        <v>0</v>
      </c>
      <c r="AT196" s="38">
        <f>RawData!BB928</f>
        <v>0</v>
      </c>
      <c r="AU196" s="40">
        <f>RawData!BC928</f>
        <v>0</v>
      </c>
      <c r="AV196" s="40">
        <f>RawData!BD928</f>
        <v>0</v>
      </c>
      <c r="AW196" s="38">
        <f>RawData!BE928</f>
        <v>0</v>
      </c>
      <c r="AX196" s="37">
        <f>RawData!BF928</f>
        <v>0</v>
      </c>
      <c r="AY196" s="36">
        <f>RawData!BG928</f>
        <v>0</v>
      </c>
      <c r="AZ196" s="36">
        <f>RawData!BH928</f>
        <v>0</v>
      </c>
      <c r="BA196" s="40">
        <f>RawData!BI928</f>
        <v>0</v>
      </c>
      <c r="BB196" s="44">
        <f>RawData!BJ928</f>
        <v>0</v>
      </c>
      <c r="BC196" s="44">
        <f>RawData!BK928</f>
        <v>0</v>
      </c>
      <c r="BD196" s="44">
        <f>RawData!BL928</f>
        <v>0</v>
      </c>
      <c r="BE196" s="44">
        <f>RawData!BM928</f>
        <v>0</v>
      </c>
      <c r="BF196" s="44">
        <f>RawData!BN928</f>
        <v>0</v>
      </c>
      <c r="BG196" s="63">
        <f>RawData!BO928</f>
        <v>0</v>
      </c>
      <c r="BH196" s="44">
        <f>RawData!BP928</f>
        <v>0</v>
      </c>
      <c r="BI196" s="63">
        <f>RawData!BQ928</f>
        <v>0</v>
      </c>
      <c r="BJ196" s="44">
        <f>RawData!BR928</f>
        <v>0</v>
      </c>
      <c r="BK196" s="47">
        <f>RawData!BS928</f>
        <v>0</v>
      </c>
      <c r="BL196" s="44">
        <f>RawData!BT928</f>
        <v>0</v>
      </c>
      <c r="BM196" s="47">
        <f>RawData!BV928</f>
        <v>0</v>
      </c>
      <c r="BN196" s="65">
        <f>RawData!CC928</f>
        <v>0</v>
      </c>
      <c r="BO196" s="66">
        <f>RawData!CD928</f>
        <v>0</v>
      </c>
      <c r="BQ196" s="21">
        <f t="shared" ref="BQ196:BQ250" si="3">IFERROR(IF($AF196&gt;0, ABS($AF196-$BL$4),0),0)</f>
        <v>0</v>
      </c>
    </row>
    <row r="197" spans="1:69" x14ac:dyDescent="0.2">
      <c r="A197" s="59">
        <f>RawData!P929</f>
        <v>0</v>
      </c>
      <c r="B197" s="44">
        <f>RawData!Q929</f>
        <v>0</v>
      </c>
      <c r="C197" s="44">
        <f>RawData!R929</f>
        <v>0</v>
      </c>
      <c r="D197" s="63">
        <f>RawData!S929</f>
        <v>0</v>
      </c>
      <c r="E197" s="44">
        <f>RawData!T929</f>
        <v>0</v>
      </c>
      <c r="F197" s="63">
        <f>RawData!U929</f>
        <v>0</v>
      </c>
      <c r="G197" s="44">
        <f>RawData!V929</f>
        <v>0</v>
      </c>
      <c r="H197" s="44">
        <f>RawData!W929</f>
        <v>0</v>
      </c>
      <c r="I197" s="44">
        <f>RawData!X929</f>
        <v>0</v>
      </c>
      <c r="J197" s="44">
        <f>RawData!Y929</f>
        <v>0</v>
      </c>
      <c r="K197" s="40">
        <f>RawData!Z929</f>
        <v>0</v>
      </c>
      <c r="L197" s="40">
        <f>RawData!AA929</f>
        <v>0</v>
      </c>
      <c r="M197" s="36">
        <f>RawData!AB929</f>
        <v>0</v>
      </c>
      <c r="N197" s="36">
        <f>RawData!AC929</f>
        <v>0</v>
      </c>
      <c r="O197" s="37">
        <f>RawData!AD929</f>
        <v>0</v>
      </c>
      <c r="P197" s="38">
        <f>RawData!AE929</f>
        <v>0</v>
      </c>
      <c r="Q197" s="39">
        <f>RawData!AF929</f>
        <v>0</v>
      </c>
      <c r="R197" s="38">
        <f>RawData!AG929</f>
        <v>0</v>
      </c>
      <c r="S197" s="40">
        <f>RawData!AH929</f>
        <v>0</v>
      </c>
      <c r="T197" s="40">
        <f>RawData!AI929</f>
        <v>0</v>
      </c>
      <c r="U197" s="40">
        <f>RawData!AJ929</f>
        <v>0</v>
      </c>
      <c r="V197" s="41">
        <f>RawData!AK929</f>
        <v>0</v>
      </c>
      <c r="W197" s="41">
        <f>RawData!AL929</f>
        <v>0</v>
      </c>
      <c r="X197" s="43">
        <f>RawData!CA929</f>
        <v>0</v>
      </c>
      <c r="Y197" s="41">
        <f>RawData!AM929</f>
        <v>0</v>
      </c>
      <c r="Z197" s="44">
        <f>RawData!CB929</f>
        <v>0</v>
      </c>
      <c r="AA197" s="44">
        <f>RawData!AN929</f>
        <v>0</v>
      </c>
      <c r="AB197" s="44">
        <f>RawData!AO929</f>
        <v>0</v>
      </c>
      <c r="AC197" s="44">
        <f>RawData!AP929</f>
        <v>0</v>
      </c>
      <c r="AD197" s="63">
        <f>RawData!BZ929</f>
        <v>0</v>
      </c>
      <c r="AE197" s="44">
        <f>RawData!AQ929</f>
        <v>0</v>
      </c>
      <c r="AF197" s="46">
        <f>RawData!O929</f>
        <v>0</v>
      </c>
      <c r="AG197" s="44">
        <f>RawData!AR929</f>
        <v>0</v>
      </c>
      <c r="AH197" s="44">
        <f>RawData!BY929</f>
        <v>0</v>
      </c>
      <c r="AI197" s="44">
        <f>RawData!AS929</f>
        <v>0</v>
      </c>
      <c r="AJ197" s="44">
        <f>RawData!AT929</f>
        <v>0</v>
      </c>
      <c r="AK197" s="44">
        <f>RawData!AU929</f>
        <v>0</v>
      </c>
      <c r="AL197" s="44">
        <f>RawData!BW929</f>
        <v>0</v>
      </c>
      <c r="AM197" s="41">
        <f>RawData!AV929</f>
        <v>0</v>
      </c>
      <c r="AN197" s="41">
        <f>RawData!BX929</f>
        <v>0</v>
      </c>
      <c r="AO197" s="41">
        <f>RawData!AW929</f>
        <v>0</v>
      </c>
      <c r="AP197" s="41">
        <f>RawData!AX929</f>
        <v>0</v>
      </c>
      <c r="AQ197" s="40">
        <f>RawData!AY929</f>
        <v>0</v>
      </c>
      <c r="AR197" s="40">
        <f>RawData!AZ929</f>
        <v>0</v>
      </c>
      <c r="AS197" s="40">
        <f>RawData!BA929</f>
        <v>0</v>
      </c>
      <c r="AT197" s="38">
        <f>RawData!BB929</f>
        <v>0</v>
      </c>
      <c r="AU197" s="40">
        <f>RawData!BC929</f>
        <v>0</v>
      </c>
      <c r="AV197" s="40">
        <f>RawData!BD929</f>
        <v>0</v>
      </c>
      <c r="AW197" s="38">
        <f>RawData!BE929</f>
        <v>0</v>
      </c>
      <c r="AX197" s="37">
        <f>RawData!BF929</f>
        <v>0</v>
      </c>
      <c r="AY197" s="36">
        <f>RawData!BG929</f>
        <v>0</v>
      </c>
      <c r="AZ197" s="36">
        <f>RawData!BH929</f>
        <v>0</v>
      </c>
      <c r="BA197" s="40">
        <f>RawData!BI929</f>
        <v>0</v>
      </c>
      <c r="BB197" s="44">
        <f>RawData!BJ929</f>
        <v>0</v>
      </c>
      <c r="BC197" s="44">
        <f>RawData!BK929</f>
        <v>0</v>
      </c>
      <c r="BD197" s="44">
        <f>RawData!BL929</f>
        <v>0</v>
      </c>
      <c r="BE197" s="44">
        <f>RawData!BM929</f>
        <v>0</v>
      </c>
      <c r="BF197" s="44">
        <f>RawData!BN929</f>
        <v>0</v>
      </c>
      <c r="BG197" s="63">
        <f>RawData!BO929</f>
        <v>0</v>
      </c>
      <c r="BH197" s="44">
        <f>RawData!BP929</f>
        <v>0</v>
      </c>
      <c r="BI197" s="63">
        <f>RawData!BQ929</f>
        <v>0</v>
      </c>
      <c r="BJ197" s="44">
        <f>RawData!BR929</f>
        <v>0</v>
      </c>
      <c r="BK197" s="47">
        <f>RawData!BS929</f>
        <v>0</v>
      </c>
      <c r="BL197" s="44">
        <f>RawData!BT929</f>
        <v>0</v>
      </c>
      <c r="BM197" s="47">
        <f>RawData!BV929</f>
        <v>0</v>
      </c>
      <c r="BN197" s="65">
        <f>RawData!CC929</f>
        <v>0</v>
      </c>
      <c r="BO197" s="66">
        <f>RawData!CD929</f>
        <v>0</v>
      </c>
      <c r="BQ197" s="21">
        <f t="shared" si="3"/>
        <v>0</v>
      </c>
    </row>
    <row r="198" spans="1:69" x14ac:dyDescent="0.2">
      <c r="A198" s="59">
        <f>RawData!P930</f>
        <v>0</v>
      </c>
      <c r="B198" s="44">
        <f>RawData!Q930</f>
        <v>0</v>
      </c>
      <c r="C198" s="44">
        <f>RawData!R930</f>
        <v>0</v>
      </c>
      <c r="D198" s="63">
        <f>RawData!S930</f>
        <v>0</v>
      </c>
      <c r="E198" s="44">
        <f>RawData!T930</f>
        <v>0</v>
      </c>
      <c r="F198" s="63">
        <f>RawData!U930</f>
        <v>0</v>
      </c>
      <c r="G198" s="44">
        <f>RawData!V930</f>
        <v>0</v>
      </c>
      <c r="H198" s="44">
        <f>RawData!W930</f>
        <v>0</v>
      </c>
      <c r="I198" s="44">
        <f>RawData!X930</f>
        <v>0</v>
      </c>
      <c r="J198" s="44">
        <f>RawData!Y930</f>
        <v>0</v>
      </c>
      <c r="K198" s="40">
        <f>RawData!Z930</f>
        <v>0</v>
      </c>
      <c r="L198" s="40">
        <f>RawData!AA930</f>
        <v>0</v>
      </c>
      <c r="M198" s="36">
        <f>RawData!AB930</f>
        <v>0</v>
      </c>
      <c r="N198" s="36">
        <f>RawData!AC930</f>
        <v>0</v>
      </c>
      <c r="O198" s="37">
        <f>RawData!AD930</f>
        <v>0</v>
      </c>
      <c r="P198" s="38">
        <f>RawData!AE930</f>
        <v>0</v>
      </c>
      <c r="Q198" s="39">
        <f>RawData!AF930</f>
        <v>0</v>
      </c>
      <c r="R198" s="38">
        <f>RawData!AG930</f>
        <v>0</v>
      </c>
      <c r="S198" s="40">
        <f>RawData!AH930</f>
        <v>0</v>
      </c>
      <c r="T198" s="40">
        <f>RawData!AI930</f>
        <v>0</v>
      </c>
      <c r="U198" s="40">
        <f>RawData!AJ930</f>
        <v>0</v>
      </c>
      <c r="V198" s="41">
        <f>RawData!AK930</f>
        <v>0</v>
      </c>
      <c r="W198" s="41">
        <f>RawData!AL930</f>
        <v>0</v>
      </c>
      <c r="X198" s="43">
        <f>RawData!CA930</f>
        <v>0</v>
      </c>
      <c r="Y198" s="41">
        <f>RawData!AM930</f>
        <v>0</v>
      </c>
      <c r="Z198" s="44">
        <f>RawData!CB930</f>
        <v>0</v>
      </c>
      <c r="AA198" s="44">
        <f>RawData!AN930</f>
        <v>0</v>
      </c>
      <c r="AB198" s="44">
        <f>RawData!AO930</f>
        <v>0</v>
      </c>
      <c r="AC198" s="44">
        <f>RawData!AP930</f>
        <v>0</v>
      </c>
      <c r="AD198" s="63">
        <f>RawData!BZ930</f>
        <v>0</v>
      </c>
      <c r="AE198" s="44">
        <f>RawData!AQ930</f>
        <v>0</v>
      </c>
      <c r="AF198" s="46">
        <f>RawData!O930</f>
        <v>0</v>
      </c>
      <c r="AG198" s="44">
        <f>RawData!AR930</f>
        <v>0</v>
      </c>
      <c r="AH198" s="44">
        <f>RawData!BY930</f>
        <v>0</v>
      </c>
      <c r="AI198" s="44">
        <f>RawData!AS930</f>
        <v>0</v>
      </c>
      <c r="AJ198" s="44">
        <f>RawData!AT930</f>
        <v>0</v>
      </c>
      <c r="AK198" s="44">
        <f>RawData!AU930</f>
        <v>0</v>
      </c>
      <c r="AL198" s="44">
        <f>RawData!BW930</f>
        <v>0</v>
      </c>
      <c r="AM198" s="41">
        <f>RawData!AV930</f>
        <v>0</v>
      </c>
      <c r="AN198" s="41">
        <f>RawData!BX930</f>
        <v>0</v>
      </c>
      <c r="AO198" s="41">
        <f>RawData!AW930</f>
        <v>0</v>
      </c>
      <c r="AP198" s="41">
        <f>RawData!AX930</f>
        <v>0</v>
      </c>
      <c r="AQ198" s="40">
        <f>RawData!AY930</f>
        <v>0</v>
      </c>
      <c r="AR198" s="40">
        <f>RawData!AZ930</f>
        <v>0</v>
      </c>
      <c r="AS198" s="40">
        <f>RawData!BA930</f>
        <v>0</v>
      </c>
      <c r="AT198" s="38">
        <f>RawData!BB930</f>
        <v>0</v>
      </c>
      <c r="AU198" s="40">
        <f>RawData!BC930</f>
        <v>0</v>
      </c>
      <c r="AV198" s="40">
        <f>RawData!BD930</f>
        <v>0</v>
      </c>
      <c r="AW198" s="38">
        <f>RawData!BE930</f>
        <v>0</v>
      </c>
      <c r="AX198" s="37">
        <f>RawData!BF930</f>
        <v>0</v>
      </c>
      <c r="AY198" s="36">
        <f>RawData!BG930</f>
        <v>0</v>
      </c>
      <c r="AZ198" s="36">
        <f>RawData!BH930</f>
        <v>0</v>
      </c>
      <c r="BA198" s="40">
        <f>RawData!BI930</f>
        <v>0</v>
      </c>
      <c r="BB198" s="44">
        <f>RawData!BJ930</f>
        <v>0</v>
      </c>
      <c r="BC198" s="44">
        <f>RawData!BK930</f>
        <v>0</v>
      </c>
      <c r="BD198" s="44">
        <f>RawData!BL930</f>
        <v>0</v>
      </c>
      <c r="BE198" s="44">
        <f>RawData!BM930</f>
        <v>0</v>
      </c>
      <c r="BF198" s="44">
        <f>RawData!BN930</f>
        <v>0</v>
      </c>
      <c r="BG198" s="63">
        <f>RawData!BO930</f>
        <v>0</v>
      </c>
      <c r="BH198" s="44">
        <f>RawData!BP930</f>
        <v>0</v>
      </c>
      <c r="BI198" s="63">
        <f>RawData!BQ930</f>
        <v>0</v>
      </c>
      <c r="BJ198" s="44">
        <f>RawData!BR930</f>
        <v>0</v>
      </c>
      <c r="BK198" s="47">
        <f>RawData!BS930</f>
        <v>0</v>
      </c>
      <c r="BL198" s="44">
        <f>RawData!BT930</f>
        <v>0</v>
      </c>
      <c r="BM198" s="47">
        <f>RawData!BV930</f>
        <v>0</v>
      </c>
      <c r="BN198" s="65">
        <f>RawData!CC930</f>
        <v>0</v>
      </c>
      <c r="BO198" s="66">
        <f>RawData!CD930</f>
        <v>0</v>
      </c>
      <c r="BQ198" s="21">
        <f t="shared" si="3"/>
        <v>0</v>
      </c>
    </row>
    <row r="199" spans="1:69" x14ac:dyDescent="0.2">
      <c r="A199" s="59">
        <f>RawData!P931</f>
        <v>0</v>
      </c>
      <c r="B199" s="44">
        <f>RawData!Q931</f>
        <v>0</v>
      </c>
      <c r="C199" s="44">
        <f>RawData!R931</f>
        <v>0</v>
      </c>
      <c r="D199" s="63">
        <f>RawData!S931</f>
        <v>0</v>
      </c>
      <c r="E199" s="44">
        <f>RawData!T931</f>
        <v>0</v>
      </c>
      <c r="F199" s="63">
        <f>RawData!U931</f>
        <v>0</v>
      </c>
      <c r="G199" s="44">
        <f>RawData!V931</f>
        <v>0</v>
      </c>
      <c r="H199" s="44">
        <f>RawData!W931</f>
        <v>0</v>
      </c>
      <c r="I199" s="44">
        <f>RawData!X931</f>
        <v>0</v>
      </c>
      <c r="J199" s="44">
        <f>RawData!Y931</f>
        <v>0</v>
      </c>
      <c r="K199" s="40">
        <f>RawData!Z931</f>
        <v>0</v>
      </c>
      <c r="L199" s="40">
        <f>RawData!AA931</f>
        <v>0</v>
      </c>
      <c r="M199" s="36">
        <f>RawData!AB931</f>
        <v>0</v>
      </c>
      <c r="N199" s="36">
        <f>RawData!AC931</f>
        <v>0</v>
      </c>
      <c r="O199" s="37">
        <f>RawData!AD931</f>
        <v>0</v>
      </c>
      <c r="P199" s="38">
        <f>RawData!AE931</f>
        <v>0</v>
      </c>
      <c r="Q199" s="39">
        <f>RawData!AF931</f>
        <v>0</v>
      </c>
      <c r="R199" s="38">
        <f>RawData!AG931</f>
        <v>0</v>
      </c>
      <c r="S199" s="40">
        <f>RawData!AH931</f>
        <v>0</v>
      </c>
      <c r="T199" s="40">
        <f>RawData!AI931</f>
        <v>0</v>
      </c>
      <c r="U199" s="40">
        <f>RawData!AJ931</f>
        <v>0</v>
      </c>
      <c r="V199" s="41">
        <f>RawData!AK931</f>
        <v>0</v>
      </c>
      <c r="W199" s="41">
        <f>RawData!AL931</f>
        <v>0</v>
      </c>
      <c r="X199" s="43">
        <f>RawData!CA931</f>
        <v>0</v>
      </c>
      <c r="Y199" s="41">
        <f>RawData!AM931</f>
        <v>0</v>
      </c>
      <c r="Z199" s="44">
        <f>RawData!CB931</f>
        <v>0</v>
      </c>
      <c r="AA199" s="44">
        <f>RawData!AN931</f>
        <v>0</v>
      </c>
      <c r="AB199" s="44">
        <f>RawData!AO931</f>
        <v>0</v>
      </c>
      <c r="AC199" s="44">
        <f>RawData!AP931</f>
        <v>0</v>
      </c>
      <c r="AD199" s="63">
        <f>RawData!BZ931</f>
        <v>0</v>
      </c>
      <c r="AE199" s="44">
        <f>RawData!AQ931</f>
        <v>0</v>
      </c>
      <c r="AF199" s="46">
        <f>RawData!O931</f>
        <v>0</v>
      </c>
      <c r="AG199" s="44">
        <f>RawData!AR931</f>
        <v>0</v>
      </c>
      <c r="AH199" s="44">
        <f>RawData!BY931</f>
        <v>0</v>
      </c>
      <c r="AI199" s="44">
        <f>RawData!AS931</f>
        <v>0</v>
      </c>
      <c r="AJ199" s="44">
        <f>RawData!AT931</f>
        <v>0</v>
      </c>
      <c r="AK199" s="44">
        <f>RawData!AU931</f>
        <v>0</v>
      </c>
      <c r="AL199" s="44">
        <f>RawData!BW931</f>
        <v>0</v>
      </c>
      <c r="AM199" s="41">
        <f>RawData!AV931</f>
        <v>0</v>
      </c>
      <c r="AN199" s="41">
        <f>RawData!BX931</f>
        <v>0</v>
      </c>
      <c r="AO199" s="41">
        <f>RawData!AW931</f>
        <v>0</v>
      </c>
      <c r="AP199" s="41">
        <f>RawData!AX931</f>
        <v>0</v>
      </c>
      <c r="AQ199" s="40">
        <f>RawData!AY931</f>
        <v>0</v>
      </c>
      <c r="AR199" s="40">
        <f>RawData!AZ931</f>
        <v>0</v>
      </c>
      <c r="AS199" s="40">
        <f>RawData!BA931</f>
        <v>0</v>
      </c>
      <c r="AT199" s="38">
        <f>RawData!BB931</f>
        <v>0</v>
      </c>
      <c r="AU199" s="40">
        <f>RawData!BC931</f>
        <v>0</v>
      </c>
      <c r="AV199" s="40">
        <f>RawData!BD931</f>
        <v>0</v>
      </c>
      <c r="AW199" s="38">
        <f>RawData!BE931</f>
        <v>0</v>
      </c>
      <c r="AX199" s="37">
        <f>RawData!BF931</f>
        <v>0</v>
      </c>
      <c r="AY199" s="36">
        <f>RawData!BG931</f>
        <v>0</v>
      </c>
      <c r="AZ199" s="36">
        <f>RawData!BH931</f>
        <v>0</v>
      </c>
      <c r="BA199" s="40">
        <f>RawData!BI931</f>
        <v>0</v>
      </c>
      <c r="BB199" s="44">
        <f>RawData!BJ931</f>
        <v>0</v>
      </c>
      <c r="BC199" s="44">
        <f>RawData!BK931</f>
        <v>0</v>
      </c>
      <c r="BD199" s="44">
        <f>RawData!BL931</f>
        <v>0</v>
      </c>
      <c r="BE199" s="44">
        <f>RawData!BM931</f>
        <v>0</v>
      </c>
      <c r="BF199" s="44">
        <f>RawData!BN931</f>
        <v>0</v>
      </c>
      <c r="BG199" s="63">
        <f>RawData!BO931</f>
        <v>0</v>
      </c>
      <c r="BH199" s="44">
        <f>RawData!BP931</f>
        <v>0</v>
      </c>
      <c r="BI199" s="63">
        <f>RawData!BQ931</f>
        <v>0</v>
      </c>
      <c r="BJ199" s="44">
        <f>RawData!BR931</f>
        <v>0</v>
      </c>
      <c r="BK199" s="47">
        <f>RawData!BS931</f>
        <v>0</v>
      </c>
      <c r="BL199" s="44">
        <f>RawData!BT931</f>
        <v>0</v>
      </c>
      <c r="BM199" s="47">
        <f>RawData!BV931</f>
        <v>0</v>
      </c>
      <c r="BN199" s="65">
        <f>RawData!CC931</f>
        <v>0</v>
      </c>
      <c r="BO199" s="66">
        <f>RawData!CD931</f>
        <v>0</v>
      </c>
      <c r="BQ199" s="21">
        <f t="shared" si="3"/>
        <v>0</v>
      </c>
    </row>
    <row r="200" spans="1:69" x14ac:dyDescent="0.2">
      <c r="A200" s="59">
        <f>RawData!P932</f>
        <v>0</v>
      </c>
      <c r="B200" s="44">
        <f>RawData!Q932</f>
        <v>0</v>
      </c>
      <c r="C200" s="44">
        <f>RawData!R932</f>
        <v>0</v>
      </c>
      <c r="D200" s="63">
        <f>RawData!S932</f>
        <v>0</v>
      </c>
      <c r="E200" s="44">
        <f>RawData!T932</f>
        <v>0</v>
      </c>
      <c r="F200" s="63">
        <f>RawData!U932</f>
        <v>0</v>
      </c>
      <c r="G200" s="44">
        <f>RawData!V932</f>
        <v>0</v>
      </c>
      <c r="H200" s="44">
        <f>RawData!W932</f>
        <v>0</v>
      </c>
      <c r="I200" s="44">
        <f>RawData!X932</f>
        <v>0</v>
      </c>
      <c r="J200" s="44">
        <f>RawData!Y932</f>
        <v>0</v>
      </c>
      <c r="K200" s="40">
        <f>RawData!Z932</f>
        <v>0</v>
      </c>
      <c r="L200" s="40">
        <f>RawData!AA932</f>
        <v>0</v>
      </c>
      <c r="M200" s="36">
        <f>RawData!AB932</f>
        <v>0</v>
      </c>
      <c r="N200" s="36">
        <f>RawData!AC932</f>
        <v>0</v>
      </c>
      <c r="O200" s="37">
        <f>RawData!AD932</f>
        <v>0</v>
      </c>
      <c r="P200" s="38">
        <f>RawData!AE932</f>
        <v>0</v>
      </c>
      <c r="Q200" s="39">
        <f>RawData!AF932</f>
        <v>0</v>
      </c>
      <c r="R200" s="38">
        <f>RawData!AG932</f>
        <v>0</v>
      </c>
      <c r="S200" s="40">
        <f>RawData!AH932</f>
        <v>0</v>
      </c>
      <c r="T200" s="40">
        <f>RawData!AI932</f>
        <v>0</v>
      </c>
      <c r="U200" s="40">
        <f>RawData!AJ932</f>
        <v>0</v>
      </c>
      <c r="V200" s="41">
        <f>RawData!AK932</f>
        <v>0</v>
      </c>
      <c r="W200" s="41">
        <f>RawData!AL932</f>
        <v>0</v>
      </c>
      <c r="X200" s="43">
        <f>RawData!CA932</f>
        <v>0</v>
      </c>
      <c r="Y200" s="41">
        <f>RawData!AM932</f>
        <v>0</v>
      </c>
      <c r="Z200" s="44">
        <f>RawData!CB932</f>
        <v>0</v>
      </c>
      <c r="AA200" s="44">
        <f>RawData!AN932</f>
        <v>0</v>
      </c>
      <c r="AB200" s="44">
        <f>RawData!AO932</f>
        <v>0</v>
      </c>
      <c r="AC200" s="44">
        <f>RawData!AP932</f>
        <v>0</v>
      </c>
      <c r="AD200" s="63">
        <f>RawData!BZ932</f>
        <v>0</v>
      </c>
      <c r="AE200" s="44">
        <f>RawData!AQ932</f>
        <v>0</v>
      </c>
      <c r="AF200" s="46">
        <f>RawData!O932</f>
        <v>0</v>
      </c>
      <c r="AG200" s="44">
        <f>RawData!AR932</f>
        <v>0</v>
      </c>
      <c r="AH200" s="44">
        <f>RawData!BY932</f>
        <v>0</v>
      </c>
      <c r="AI200" s="44">
        <f>RawData!AS932</f>
        <v>0</v>
      </c>
      <c r="AJ200" s="44">
        <f>RawData!AT932</f>
        <v>0</v>
      </c>
      <c r="AK200" s="44">
        <f>RawData!AU932</f>
        <v>0</v>
      </c>
      <c r="AL200" s="44">
        <f>RawData!BW932</f>
        <v>0</v>
      </c>
      <c r="AM200" s="41">
        <f>RawData!AV932</f>
        <v>0</v>
      </c>
      <c r="AN200" s="41">
        <f>RawData!BX932</f>
        <v>0</v>
      </c>
      <c r="AO200" s="41">
        <f>RawData!AW932</f>
        <v>0</v>
      </c>
      <c r="AP200" s="41">
        <f>RawData!AX932</f>
        <v>0</v>
      </c>
      <c r="AQ200" s="40">
        <f>RawData!AY932</f>
        <v>0</v>
      </c>
      <c r="AR200" s="40">
        <f>RawData!AZ932</f>
        <v>0</v>
      </c>
      <c r="AS200" s="40">
        <f>RawData!BA932</f>
        <v>0</v>
      </c>
      <c r="AT200" s="38">
        <f>RawData!BB932</f>
        <v>0</v>
      </c>
      <c r="AU200" s="40">
        <f>RawData!BC932</f>
        <v>0</v>
      </c>
      <c r="AV200" s="40">
        <f>RawData!BD932</f>
        <v>0</v>
      </c>
      <c r="AW200" s="38">
        <f>RawData!BE932</f>
        <v>0</v>
      </c>
      <c r="AX200" s="37">
        <f>RawData!BF932</f>
        <v>0</v>
      </c>
      <c r="AY200" s="36">
        <f>RawData!BG932</f>
        <v>0</v>
      </c>
      <c r="AZ200" s="36">
        <f>RawData!BH932</f>
        <v>0</v>
      </c>
      <c r="BA200" s="40">
        <f>RawData!BI932</f>
        <v>0</v>
      </c>
      <c r="BB200" s="44">
        <f>RawData!BJ932</f>
        <v>0</v>
      </c>
      <c r="BC200" s="44">
        <f>RawData!BK932</f>
        <v>0</v>
      </c>
      <c r="BD200" s="44">
        <f>RawData!BL932</f>
        <v>0</v>
      </c>
      <c r="BE200" s="44">
        <f>RawData!BM932</f>
        <v>0</v>
      </c>
      <c r="BF200" s="44">
        <f>RawData!BN932</f>
        <v>0</v>
      </c>
      <c r="BG200" s="63">
        <f>RawData!BO932</f>
        <v>0</v>
      </c>
      <c r="BH200" s="44">
        <f>RawData!BP932</f>
        <v>0</v>
      </c>
      <c r="BI200" s="63">
        <f>RawData!BQ932</f>
        <v>0</v>
      </c>
      <c r="BJ200" s="44">
        <f>RawData!BR932</f>
        <v>0</v>
      </c>
      <c r="BK200" s="47">
        <f>RawData!BS932</f>
        <v>0</v>
      </c>
      <c r="BL200" s="44">
        <f>RawData!BT932</f>
        <v>0</v>
      </c>
      <c r="BM200" s="47">
        <f>RawData!BV932</f>
        <v>0</v>
      </c>
      <c r="BN200" s="65">
        <f>RawData!CC932</f>
        <v>0</v>
      </c>
      <c r="BO200" s="66">
        <f>RawData!CD932</f>
        <v>0</v>
      </c>
      <c r="BQ200" s="21">
        <f t="shared" si="3"/>
        <v>0</v>
      </c>
    </row>
    <row r="201" spans="1:69" x14ac:dyDescent="0.2">
      <c r="A201" s="59">
        <f>RawData!P933</f>
        <v>0</v>
      </c>
      <c r="B201" s="44">
        <f>RawData!Q933</f>
        <v>0</v>
      </c>
      <c r="C201" s="44">
        <f>RawData!R933</f>
        <v>0</v>
      </c>
      <c r="D201" s="63">
        <f>RawData!S933</f>
        <v>0</v>
      </c>
      <c r="E201" s="44">
        <f>RawData!T933</f>
        <v>0</v>
      </c>
      <c r="F201" s="63">
        <f>RawData!U933</f>
        <v>0</v>
      </c>
      <c r="G201" s="44">
        <f>RawData!V933</f>
        <v>0</v>
      </c>
      <c r="H201" s="44">
        <f>RawData!W933</f>
        <v>0</v>
      </c>
      <c r="I201" s="44">
        <f>RawData!X933</f>
        <v>0</v>
      </c>
      <c r="J201" s="44">
        <f>RawData!Y933</f>
        <v>0</v>
      </c>
      <c r="K201" s="40">
        <f>RawData!Z933</f>
        <v>0</v>
      </c>
      <c r="L201" s="40">
        <f>RawData!AA933</f>
        <v>0</v>
      </c>
      <c r="M201" s="36">
        <f>RawData!AB933</f>
        <v>0</v>
      </c>
      <c r="N201" s="36">
        <f>RawData!AC933</f>
        <v>0</v>
      </c>
      <c r="O201" s="37">
        <f>RawData!AD933</f>
        <v>0</v>
      </c>
      <c r="P201" s="38">
        <f>RawData!AE933</f>
        <v>0</v>
      </c>
      <c r="Q201" s="39">
        <f>RawData!AF933</f>
        <v>0</v>
      </c>
      <c r="R201" s="38">
        <f>RawData!AG933</f>
        <v>0</v>
      </c>
      <c r="S201" s="40">
        <f>RawData!AH933</f>
        <v>0</v>
      </c>
      <c r="T201" s="40">
        <f>RawData!AI933</f>
        <v>0</v>
      </c>
      <c r="U201" s="40">
        <f>RawData!AJ933</f>
        <v>0</v>
      </c>
      <c r="V201" s="41">
        <f>RawData!AK933</f>
        <v>0</v>
      </c>
      <c r="W201" s="41">
        <f>RawData!AL933</f>
        <v>0</v>
      </c>
      <c r="X201" s="43">
        <f>RawData!CA933</f>
        <v>0</v>
      </c>
      <c r="Y201" s="41">
        <f>RawData!AM933</f>
        <v>0</v>
      </c>
      <c r="Z201" s="44">
        <f>RawData!CB933</f>
        <v>0</v>
      </c>
      <c r="AA201" s="44">
        <f>RawData!AN933</f>
        <v>0</v>
      </c>
      <c r="AB201" s="44">
        <f>RawData!AO933</f>
        <v>0</v>
      </c>
      <c r="AC201" s="44">
        <f>RawData!AP933</f>
        <v>0</v>
      </c>
      <c r="AD201" s="63">
        <f>RawData!BZ933</f>
        <v>0</v>
      </c>
      <c r="AE201" s="44">
        <f>RawData!AQ933</f>
        <v>0</v>
      </c>
      <c r="AF201" s="46">
        <f>RawData!O933</f>
        <v>0</v>
      </c>
      <c r="AG201" s="44">
        <f>RawData!AR933</f>
        <v>0</v>
      </c>
      <c r="AH201" s="44">
        <f>RawData!BY933</f>
        <v>0</v>
      </c>
      <c r="AI201" s="44">
        <f>RawData!AS933</f>
        <v>0</v>
      </c>
      <c r="AJ201" s="44">
        <f>RawData!AT933</f>
        <v>0</v>
      </c>
      <c r="AK201" s="44">
        <f>RawData!AU933</f>
        <v>0</v>
      </c>
      <c r="AL201" s="44">
        <f>RawData!BW933</f>
        <v>0</v>
      </c>
      <c r="AM201" s="41">
        <f>RawData!AV933</f>
        <v>0</v>
      </c>
      <c r="AN201" s="41">
        <f>RawData!BX933</f>
        <v>0</v>
      </c>
      <c r="AO201" s="41">
        <f>RawData!AW933</f>
        <v>0</v>
      </c>
      <c r="AP201" s="41">
        <f>RawData!AX933</f>
        <v>0</v>
      </c>
      <c r="AQ201" s="40">
        <f>RawData!AY933</f>
        <v>0</v>
      </c>
      <c r="AR201" s="40">
        <f>RawData!AZ933</f>
        <v>0</v>
      </c>
      <c r="AS201" s="40">
        <f>RawData!BA933</f>
        <v>0</v>
      </c>
      <c r="AT201" s="38">
        <f>RawData!BB933</f>
        <v>0</v>
      </c>
      <c r="AU201" s="40">
        <f>RawData!BC933</f>
        <v>0</v>
      </c>
      <c r="AV201" s="40">
        <f>RawData!BD933</f>
        <v>0</v>
      </c>
      <c r="AW201" s="38">
        <f>RawData!BE933</f>
        <v>0</v>
      </c>
      <c r="AX201" s="37">
        <f>RawData!BF933</f>
        <v>0</v>
      </c>
      <c r="AY201" s="36">
        <f>RawData!BG933</f>
        <v>0</v>
      </c>
      <c r="AZ201" s="36">
        <f>RawData!BH933</f>
        <v>0</v>
      </c>
      <c r="BA201" s="40">
        <f>RawData!BI933</f>
        <v>0</v>
      </c>
      <c r="BB201" s="44">
        <f>RawData!BJ933</f>
        <v>0</v>
      </c>
      <c r="BC201" s="44">
        <f>RawData!BK933</f>
        <v>0</v>
      </c>
      <c r="BD201" s="44">
        <f>RawData!BL933</f>
        <v>0</v>
      </c>
      <c r="BE201" s="44">
        <f>RawData!BM933</f>
        <v>0</v>
      </c>
      <c r="BF201" s="44">
        <f>RawData!BN933</f>
        <v>0</v>
      </c>
      <c r="BG201" s="63">
        <f>RawData!BO933</f>
        <v>0</v>
      </c>
      <c r="BH201" s="44">
        <f>RawData!BP933</f>
        <v>0</v>
      </c>
      <c r="BI201" s="63">
        <f>RawData!BQ933</f>
        <v>0</v>
      </c>
      <c r="BJ201" s="44">
        <f>RawData!BR933</f>
        <v>0</v>
      </c>
      <c r="BK201" s="47">
        <f>RawData!BS933</f>
        <v>0</v>
      </c>
      <c r="BL201" s="44">
        <f>RawData!BT933</f>
        <v>0</v>
      </c>
      <c r="BM201" s="47">
        <f>RawData!BV933</f>
        <v>0</v>
      </c>
      <c r="BN201" s="65">
        <f>RawData!CC933</f>
        <v>0</v>
      </c>
      <c r="BO201" s="66">
        <f>RawData!CD933</f>
        <v>0</v>
      </c>
      <c r="BQ201" s="21">
        <f t="shared" si="3"/>
        <v>0</v>
      </c>
    </row>
    <row r="202" spans="1:69" x14ac:dyDescent="0.2">
      <c r="A202" s="59">
        <f>RawData!P934</f>
        <v>0</v>
      </c>
      <c r="B202" s="44">
        <f>RawData!Q934</f>
        <v>0</v>
      </c>
      <c r="C202" s="44">
        <f>RawData!R934</f>
        <v>0</v>
      </c>
      <c r="D202" s="63">
        <f>RawData!S934</f>
        <v>0</v>
      </c>
      <c r="E202" s="44">
        <f>RawData!T934</f>
        <v>0</v>
      </c>
      <c r="F202" s="63">
        <f>RawData!U934</f>
        <v>0</v>
      </c>
      <c r="G202" s="44">
        <f>RawData!V934</f>
        <v>0</v>
      </c>
      <c r="H202" s="44">
        <f>RawData!W934</f>
        <v>0</v>
      </c>
      <c r="I202" s="44">
        <f>RawData!X934</f>
        <v>0</v>
      </c>
      <c r="J202" s="44">
        <f>RawData!Y934</f>
        <v>0</v>
      </c>
      <c r="K202" s="40">
        <f>RawData!Z934</f>
        <v>0</v>
      </c>
      <c r="L202" s="40">
        <f>RawData!AA934</f>
        <v>0</v>
      </c>
      <c r="M202" s="36">
        <f>RawData!AB934</f>
        <v>0</v>
      </c>
      <c r="N202" s="36">
        <f>RawData!AC934</f>
        <v>0</v>
      </c>
      <c r="O202" s="37">
        <f>RawData!AD934</f>
        <v>0</v>
      </c>
      <c r="P202" s="38">
        <f>RawData!AE934</f>
        <v>0</v>
      </c>
      <c r="Q202" s="39">
        <f>RawData!AF934</f>
        <v>0</v>
      </c>
      <c r="R202" s="38">
        <f>RawData!AG934</f>
        <v>0</v>
      </c>
      <c r="S202" s="40">
        <f>RawData!AH934</f>
        <v>0</v>
      </c>
      <c r="T202" s="40">
        <f>RawData!AI934</f>
        <v>0</v>
      </c>
      <c r="U202" s="40">
        <f>RawData!AJ934</f>
        <v>0</v>
      </c>
      <c r="V202" s="41">
        <f>RawData!AK934</f>
        <v>0</v>
      </c>
      <c r="W202" s="41">
        <f>RawData!AL934</f>
        <v>0</v>
      </c>
      <c r="X202" s="43">
        <f>RawData!CA934</f>
        <v>0</v>
      </c>
      <c r="Y202" s="41">
        <f>RawData!AM934</f>
        <v>0</v>
      </c>
      <c r="Z202" s="44">
        <f>RawData!CB934</f>
        <v>0</v>
      </c>
      <c r="AA202" s="44">
        <f>RawData!AN934</f>
        <v>0</v>
      </c>
      <c r="AB202" s="44">
        <f>RawData!AO934</f>
        <v>0</v>
      </c>
      <c r="AC202" s="44">
        <f>RawData!AP934</f>
        <v>0</v>
      </c>
      <c r="AD202" s="63">
        <f>RawData!BZ934</f>
        <v>0</v>
      </c>
      <c r="AE202" s="44">
        <f>RawData!AQ934</f>
        <v>0</v>
      </c>
      <c r="AF202" s="46">
        <f>RawData!O934</f>
        <v>0</v>
      </c>
      <c r="AG202" s="44">
        <f>RawData!AR934</f>
        <v>0</v>
      </c>
      <c r="AH202" s="44">
        <f>RawData!BY934</f>
        <v>0</v>
      </c>
      <c r="AI202" s="44">
        <f>RawData!AS934</f>
        <v>0</v>
      </c>
      <c r="AJ202" s="44">
        <f>RawData!AT934</f>
        <v>0</v>
      </c>
      <c r="AK202" s="44">
        <f>RawData!AU934</f>
        <v>0</v>
      </c>
      <c r="AL202" s="44">
        <f>RawData!BW934</f>
        <v>0</v>
      </c>
      <c r="AM202" s="41">
        <f>RawData!AV934</f>
        <v>0</v>
      </c>
      <c r="AN202" s="41">
        <f>RawData!BX934</f>
        <v>0</v>
      </c>
      <c r="AO202" s="41">
        <f>RawData!AW934</f>
        <v>0</v>
      </c>
      <c r="AP202" s="41">
        <f>RawData!AX934</f>
        <v>0</v>
      </c>
      <c r="AQ202" s="40">
        <f>RawData!AY934</f>
        <v>0</v>
      </c>
      <c r="AR202" s="40">
        <f>RawData!AZ934</f>
        <v>0</v>
      </c>
      <c r="AS202" s="40">
        <f>RawData!BA934</f>
        <v>0</v>
      </c>
      <c r="AT202" s="38">
        <f>RawData!BB934</f>
        <v>0</v>
      </c>
      <c r="AU202" s="40">
        <f>RawData!BC934</f>
        <v>0</v>
      </c>
      <c r="AV202" s="40">
        <f>RawData!BD934</f>
        <v>0</v>
      </c>
      <c r="AW202" s="38">
        <f>RawData!BE934</f>
        <v>0</v>
      </c>
      <c r="AX202" s="37">
        <f>RawData!BF934</f>
        <v>0</v>
      </c>
      <c r="AY202" s="36">
        <f>RawData!BG934</f>
        <v>0</v>
      </c>
      <c r="AZ202" s="36">
        <f>RawData!BH934</f>
        <v>0</v>
      </c>
      <c r="BA202" s="40">
        <f>RawData!BI934</f>
        <v>0</v>
      </c>
      <c r="BB202" s="44">
        <f>RawData!BJ934</f>
        <v>0</v>
      </c>
      <c r="BC202" s="44">
        <f>RawData!BK934</f>
        <v>0</v>
      </c>
      <c r="BD202" s="44">
        <f>RawData!BL934</f>
        <v>0</v>
      </c>
      <c r="BE202" s="44">
        <f>RawData!BM934</f>
        <v>0</v>
      </c>
      <c r="BF202" s="44">
        <f>RawData!BN934</f>
        <v>0</v>
      </c>
      <c r="BG202" s="63">
        <f>RawData!BO934</f>
        <v>0</v>
      </c>
      <c r="BH202" s="44">
        <f>RawData!BP934</f>
        <v>0</v>
      </c>
      <c r="BI202" s="63">
        <f>RawData!BQ934</f>
        <v>0</v>
      </c>
      <c r="BJ202" s="44">
        <f>RawData!BR934</f>
        <v>0</v>
      </c>
      <c r="BK202" s="47">
        <f>RawData!BS934</f>
        <v>0</v>
      </c>
      <c r="BL202" s="44">
        <f>RawData!BT934</f>
        <v>0</v>
      </c>
      <c r="BM202" s="47">
        <f>RawData!BV934</f>
        <v>0</v>
      </c>
      <c r="BN202" s="65">
        <f>RawData!CC934</f>
        <v>0</v>
      </c>
      <c r="BO202" s="66">
        <f>RawData!CD934</f>
        <v>0</v>
      </c>
      <c r="BQ202" s="21">
        <f t="shared" si="3"/>
        <v>0</v>
      </c>
    </row>
    <row r="203" spans="1:69" x14ac:dyDescent="0.2">
      <c r="A203" s="59">
        <f>RawData!P935</f>
        <v>0</v>
      </c>
      <c r="B203" s="44">
        <f>RawData!Q935</f>
        <v>0</v>
      </c>
      <c r="C203" s="44">
        <f>RawData!R935</f>
        <v>0</v>
      </c>
      <c r="D203" s="63">
        <f>RawData!S935</f>
        <v>0</v>
      </c>
      <c r="E203" s="44">
        <f>RawData!T935</f>
        <v>0</v>
      </c>
      <c r="F203" s="63">
        <f>RawData!U935</f>
        <v>0</v>
      </c>
      <c r="G203" s="44">
        <f>RawData!V935</f>
        <v>0</v>
      </c>
      <c r="H203" s="44">
        <f>RawData!W935</f>
        <v>0</v>
      </c>
      <c r="I203" s="44">
        <f>RawData!X935</f>
        <v>0</v>
      </c>
      <c r="J203" s="44">
        <f>RawData!Y935</f>
        <v>0</v>
      </c>
      <c r="K203" s="40">
        <f>RawData!Z935</f>
        <v>0</v>
      </c>
      <c r="L203" s="40">
        <f>RawData!AA935</f>
        <v>0</v>
      </c>
      <c r="M203" s="36">
        <f>RawData!AB935</f>
        <v>0</v>
      </c>
      <c r="N203" s="36">
        <f>RawData!AC935</f>
        <v>0</v>
      </c>
      <c r="O203" s="37">
        <f>RawData!AD935</f>
        <v>0</v>
      </c>
      <c r="P203" s="38">
        <f>RawData!AE935</f>
        <v>0</v>
      </c>
      <c r="Q203" s="39">
        <f>RawData!AF935</f>
        <v>0</v>
      </c>
      <c r="R203" s="38">
        <f>RawData!AG935</f>
        <v>0</v>
      </c>
      <c r="S203" s="40">
        <f>RawData!AH935</f>
        <v>0</v>
      </c>
      <c r="T203" s="40">
        <f>RawData!AI935</f>
        <v>0</v>
      </c>
      <c r="U203" s="40">
        <f>RawData!AJ935</f>
        <v>0</v>
      </c>
      <c r="V203" s="41">
        <f>RawData!AK935</f>
        <v>0</v>
      </c>
      <c r="W203" s="41">
        <f>RawData!AL935</f>
        <v>0</v>
      </c>
      <c r="X203" s="43">
        <f>RawData!CA935</f>
        <v>0</v>
      </c>
      <c r="Y203" s="41">
        <f>RawData!AM935</f>
        <v>0</v>
      </c>
      <c r="Z203" s="44">
        <f>RawData!CB935</f>
        <v>0</v>
      </c>
      <c r="AA203" s="44">
        <f>RawData!AN935</f>
        <v>0</v>
      </c>
      <c r="AB203" s="44">
        <f>RawData!AO935</f>
        <v>0</v>
      </c>
      <c r="AC203" s="44">
        <f>RawData!AP935</f>
        <v>0</v>
      </c>
      <c r="AD203" s="63">
        <f>RawData!BZ935</f>
        <v>0</v>
      </c>
      <c r="AE203" s="44">
        <f>RawData!AQ935</f>
        <v>0</v>
      </c>
      <c r="AF203" s="46">
        <f>RawData!O935</f>
        <v>0</v>
      </c>
      <c r="AG203" s="44">
        <f>RawData!AR935</f>
        <v>0</v>
      </c>
      <c r="AH203" s="44">
        <f>RawData!BY935</f>
        <v>0</v>
      </c>
      <c r="AI203" s="44">
        <f>RawData!AS935</f>
        <v>0</v>
      </c>
      <c r="AJ203" s="44">
        <f>RawData!AT935</f>
        <v>0</v>
      </c>
      <c r="AK203" s="44">
        <f>RawData!AU935</f>
        <v>0</v>
      </c>
      <c r="AL203" s="44">
        <f>RawData!BW935</f>
        <v>0</v>
      </c>
      <c r="AM203" s="41">
        <f>RawData!AV935</f>
        <v>0</v>
      </c>
      <c r="AN203" s="41">
        <f>RawData!BX935</f>
        <v>0</v>
      </c>
      <c r="AO203" s="41">
        <f>RawData!AW935</f>
        <v>0</v>
      </c>
      <c r="AP203" s="41">
        <f>RawData!AX935</f>
        <v>0</v>
      </c>
      <c r="AQ203" s="40">
        <f>RawData!AY935</f>
        <v>0</v>
      </c>
      <c r="AR203" s="40">
        <f>RawData!AZ935</f>
        <v>0</v>
      </c>
      <c r="AS203" s="40">
        <f>RawData!BA935</f>
        <v>0</v>
      </c>
      <c r="AT203" s="38">
        <f>RawData!BB935</f>
        <v>0</v>
      </c>
      <c r="AU203" s="40">
        <f>RawData!BC935</f>
        <v>0</v>
      </c>
      <c r="AV203" s="40">
        <f>RawData!BD935</f>
        <v>0</v>
      </c>
      <c r="AW203" s="38">
        <f>RawData!BE935</f>
        <v>0</v>
      </c>
      <c r="AX203" s="37">
        <f>RawData!BF935</f>
        <v>0</v>
      </c>
      <c r="AY203" s="36">
        <f>RawData!BG935</f>
        <v>0</v>
      </c>
      <c r="AZ203" s="36">
        <f>RawData!BH935</f>
        <v>0</v>
      </c>
      <c r="BA203" s="40">
        <f>RawData!BI935</f>
        <v>0</v>
      </c>
      <c r="BB203" s="44">
        <f>RawData!BJ935</f>
        <v>0</v>
      </c>
      <c r="BC203" s="44">
        <f>RawData!BK935</f>
        <v>0</v>
      </c>
      <c r="BD203" s="44">
        <f>RawData!BL935</f>
        <v>0</v>
      </c>
      <c r="BE203" s="44">
        <f>RawData!BM935</f>
        <v>0</v>
      </c>
      <c r="BF203" s="44">
        <f>RawData!BN935</f>
        <v>0</v>
      </c>
      <c r="BG203" s="63">
        <f>RawData!BO935</f>
        <v>0</v>
      </c>
      <c r="BH203" s="44">
        <f>RawData!BP935</f>
        <v>0</v>
      </c>
      <c r="BI203" s="63">
        <f>RawData!BQ935</f>
        <v>0</v>
      </c>
      <c r="BJ203" s="44">
        <f>RawData!BR935</f>
        <v>0</v>
      </c>
      <c r="BK203" s="47">
        <f>RawData!BS935</f>
        <v>0</v>
      </c>
      <c r="BL203" s="44">
        <f>RawData!BT935</f>
        <v>0</v>
      </c>
      <c r="BM203" s="47">
        <f>RawData!BV935</f>
        <v>0</v>
      </c>
      <c r="BN203" s="65">
        <f>RawData!CC935</f>
        <v>0</v>
      </c>
      <c r="BO203" s="66">
        <f>RawData!CD935</f>
        <v>0</v>
      </c>
      <c r="BQ203" s="21">
        <f t="shared" si="3"/>
        <v>0</v>
      </c>
    </row>
    <row r="204" spans="1:69" x14ac:dyDescent="0.2">
      <c r="A204" s="59">
        <f>RawData!P936</f>
        <v>0</v>
      </c>
      <c r="B204" s="44">
        <f>RawData!Q936</f>
        <v>0</v>
      </c>
      <c r="C204" s="44">
        <f>RawData!R936</f>
        <v>0</v>
      </c>
      <c r="D204" s="63">
        <f>RawData!S936</f>
        <v>0</v>
      </c>
      <c r="E204" s="44">
        <f>RawData!T936</f>
        <v>0</v>
      </c>
      <c r="F204" s="63">
        <f>RawData!U936</f>
        <v>0</v>
      </c>
      <c r="G204" s="44">
        <f>RawData!V936</f>
        <v>0</v>
      </c>
      <c r="H204" s="44">
        <f>RawData!W936</f>
        <v>0</v>
      </c>
      <c r="I204" s="44">
        <f>RawData!X936</f>
        <v>0</v>
      </c>
      <c r="J204" s="44">
        <f>RawData!Y936</f>
        <v>0</v>
      </c>
      <c r="K204" s="40">
        <f>RawData!Z936</f>
        <v>0</v>
      </c>
      <c r="L204" s="40">
        <f>RawData!AA936</f>
        <v>0</v>
      </c>
      <c r="M204" s="36">
        <f>RawData!AB936</f>
        <v>0</v>
      </c>
      <c r="N204" s="36">
        <f>RawData!AC936</f>
        <v>0</v>
      </c>
      <c r="O204" s="37">
        <f>RawData!AD936</f>
        <v>0</v>
      </c>
      <c r="P204" s="38">
        <f>RawData!AE936</f>
        <v>0</v>
      </c>
      <c r="Q204" s="39">
        <f>RawData!AF936</f>
        <v>0</v>
      </c>
      <c r="R204" s="38">
        <f>RawData!AG936</f>
        <v>0</v>
      </c>
      <c r="S204" s="40">
        <f>RawData!AH936</f>
        <v>0</v>
      </c>
      <c r="T204" s="40">
        <f>RawData!AI936</f>
        <v>0</v>
      </c>
      <c r="U204" s="40">
        <f>RawData!AJ936</f>
        <v>0</v>
      </c>
      <c r="V204" s="41">
        <f>RawData!AK936</f>
        <v>0</v>
      </c>
      <c r="W204" s="41">
        <f>RawData!AL936</f>
        <v>0</v>
      </c>
      <c r="X204" s="43">
        <f>RawData!CA936</f>
        <v>0</v>
      </c>
      <c r="Y204" s="41">
        <f>RawData!AM936</f>
        <v>0</v>
      </c>
      <c r="Z204" s="44">
        <f>RawData!CB936</f>
        <v>0</v>
      </c>
      <c r="AA204" s="44">
        <f>RawData!AN936</f>
        <v>0</v>
      </c>
      <c r="AB204" s="44">
        <f>RawData!AO936</f>
        <v>0</v>
      </c>
      <c r="AC204" s="44">
        <f>RawData!AP936</f>
        <v>0</v>
      </c>
      <c r="AD204" s="63">
        <f>RawData!BZ936</f>
        <v>0</v>
      </c>
      <c r="AE204" s="44">
        <f>RawData!AQ936</f>
        <v>0</v>
      </c>
      <c r="AF204" s="46">
        <f>RawData!O936</f>
        <v>0</v>
      </c>
      <c r="AG204" s="44">
        <f>RawData!AR936</f>
        <v>0</v>
      </c>
      <c r="AH204" s="44">
        <f>RawData!BY936</f>
        <v>0</v>
      </c>
      <c r="AI204" s="44">
        <f>RawData!AS936</f>
        <v>0</v>
      </c>
      <c r="AJ204" s="44">
        <f>RawData!AT936</f>
        <v>0</v>
      </c>
      <c r="AK204" s="44">
        <f>RawData!AU936</f>
        <v>0</v>
      </c>
      <c r="AL204" s="44">
        <f>RawData!BW936</f>
        <v>0</v>
      </c>
      <c r="AM204" s="41">
        <f>RawData!AV936</f>
        <v>0</v>
      </c>
      <c r="AN204" s="41">
        <f>RawData!BX936</f>
        <v>0</v>
      </c>
      <c r="AO204" s="41">
        <f>RawData!AW936</f>
        <v>0</v>
      </c>
      <c r="AP204" s="41">
        <f>RawData!AX936</f>
        <v>0</v>
      </c>
      <c r="AQ204" s="40">
        <f>RawData!AY936</f>
        <v>0</v>
      </c>
      <c r="AR204" s="40">
        <f>RawData!AZ936</f>
        <v>0</v>
      </c>
      <c r="AS204" s="40">
        <f>RawData!BA936</f>
        <v>0</v>
      </c>
      <c r="AT204" s="38">
        <f>RawData!BB936</f>
        <v>0</v>
      </c>
      <c r="AU204" s="40">
        <f>RawData!BC936</f>
        <v>0</v>
      </c>
      <c r="AV204" s="40">
        <f>RawData!BD936</f>
        <v>0</v>
      </c>
      <c r="AW204" s="38">
        <f>RawData!BE936</f>
        <v>0</v>
      </c>
      <c r="AX204" s="37">
        <f>RawData!BF936</f>
        <v>0</v>
      </c>
      <c r="AY204" s="36">
        <f>RawData!BG936</f>
        <v>0</v>
      </c>
      <c r="AZ204" s="36">
        <f>RawData!BH936</f>
        <v>0</v>
      </c>
      <c r="BA204" s="40">
        <f>RawData!BI936</f>
        <v>0</v>
      </c>
      <c r="BB204" s="44">
        <f>RawData!BJ936</f>
        <v>0</v>
      </c>
      <c r="BC204" s="44">
        <f>RawData!BK936</f>
        <v>0</v>
      </c>
      <c r="BD204" s="44">
        <f>RawData!BL936</f>
        <v>0</v>
      </c>
      <c r="BE204" s="44">
        <f>RawData!BM936</f>
        <v>0</v>
      </c>
      <c r="BF204" s="44">
        <f>RawData!BN936</f>
        <v>0</v>
      </c>
      <c r="BG204" s="63">
        <f>RawData!BO936</f>
        <v>0</v>
      </c>
      <c r="BH204" s="44">
        <f>RawData!BP936</f>
        <v>0</v>
      </c>
      <c r="BI204" s="63">
        <f>RawData!BQ936</f>
        <v>0</v>
      </c>
      <c r="BJ204" s="44">
        <f>RawData!BR936</f>
        <v>0</v>
      </c>
      <c r="BK204" s="47">
        <f>RawData!BS936</f>
        <v>0</v>
      </c>
      <c r="BL204" s="44">
        <f>RawData!BT936</f>
        <v>0</v>
      </c>
      <c r="BM204" s="47">
        <f>RawData!BV936</f>
        <v>0</v>
      </c>
      <c r="BN204" s="65">
        <f>RawData!CC936</f>
        <v>0</v>
      </c>
      <c r="BO204" s="66">
        <f>RawData!CD936</f>
        <v>0</v>
      </c>
      <c r="BQ204" s="21">
        <f t="shared" si="3"/>
        <v>0</v>
      </c>
    </row>
    <row r="205" spans="1:69" x14ac:dyDescent="0.2">
      <c r="A205" s="59">
        <f>RawData!P937</f>
        <v>0</v>
      </c>
      <c r="B205" s="44">
        <f>RawData!Q937</f>
        <v>0</v>
      </c>
      <c r="C205" s="44">
        <f>RawData!R937</f>
        <v>0</v>
      </c>
      <c r="D205" s="63">
        <f>RawData!S937</f>
        <v>0</v>
      </c>
      <c r="E205" s="44">
        <f>RawData!T937</f>
        <v>0</v>
      </c>
      <c r="F205" s="63">
        <f>RawData!U937</f>
        <v>0</v>
      </c>
      <c r="G205" s="44">
        <f>RawData!V937</f>
        <v>0</v>
      </c>
      <c r="H205" s="44">
        <f>RawData!W937</f>
        <v>0</v>
      </c>
      <c r="I205" s="44">
        <f>RawData!X937</f>
        <v>0</v>
      </c>
      <c r="J205" s="44">
        <f>RawData!Y937</f>
        <v>0</v>
      </c>
      <c r="K205" s="40">
        <f>RawData!Z937</f>
        <v>0</v>
      </c>
      <c r="L205" s="40">
        <f>RawData!AA937</f>
        <v>0</v>
      </c>
      <c r="M205" s="36">
        <f>RawData!AB937</f>
        <v>0</v>
      </c>
      <c r="N205" s="36">
        <f>RawData!AC937</f>
        <v>0</v>
      </c>
      <c r="O205" s="37">
        <f>RawData!AD937</f>
        <v>0</v>
      </c>
      <c r="P205" s="38">
        <f>RawData!AE937</f>
        <v>0</v>
      </c>
      <c r="Q205" s="39">
        <f>RawData!AF937</f>
        <v>0</v>
      </c>
      <c r="R205" s="38">
        <f>RawData!AG937</f>
        <v>0</v>
      </c>
      <c r="S205" s="40">
        <f>RawData!AH937</f>
        <v>0</v>
      </c>
      <c r="T205" s="40">
        <f>RawData!AI937</f>
        <v>0</v>
      </c>
      <c r="U205" s="40">
        <f>RawData!AJ937</f>
        <v>0</v>
      </c>
      <c r="V205" s="41">
        <f>RawData!AK937</f>
        <v>0</v>
      </c>
      <c r="W205" s="41">
        <f>RawData!AL937</f>
        <v>0</v>
      </c>
      <c r="X205" s="43">
        <f>RawData!CA937</f>
        <v>0</v>
      </c>
      <c r="Y205" s="41">
        <f>RawData!AM937</f>
        <v>0</v>
      </c>
      <c r="Z205" s="44">
        <f>RawData!CB937</f>
        <v>0</v>
      </c>
      <c r="AA205" s="44">
        <f>RawData!AN937</f>
        <v>0</v>
      </c>
      <c r="AB205" s="44">
        <f>RawData!AO937</f>
        <v>0</v>
      </c>
      <c r="AC205" s="44">
        <f>RawData!AP937</f>
        <v>0</v>
      </c>
      <c r="AD205" s="63">
        <f>RawData!BZ937</f>
        <v>0</v>
      </c>
      <c r="AE205" s="44">
        <f>RawData!AQ937</f>
        <v>0</v>
      </c>
      <c r="AF205" s="46">
        <f>RawData!O937</f>
        <v>0</v>
      </c>
      <c r="AG205" s="44">
        <f>RawData!AR937</f>
        <v>0</v>
      </c>
      <c r="AH205" s="44">
        <f>RawData!BY937</f>
        <v>0</v>
      </c>
      <c r="AI205" s="44">
        <f>RawData!AS937</f>
        <v>0</v>
      </c>
      <c r="AJ205" s="44">
        <f>RawData!AT937</f>
        <v>0</v>
      </c>
      <c r="AK205" s="44">
        <f>RawData!AU937</f>
        <v>0</v>
      </c>
      <c r="AL205" s="44">
        <f>RawData!BW937</f>
        <v>0</v>
      </c>
      <c r="AM205" s="41">
        <f>RawData!AV937</f>
        <v>0</v>
      </c>
      <c r="AN205" s="41">
        <f>RawData!BX937</f>
        <v>0</v>
      </c>
      <c r="AO205" s="41">
        <f>RawData!AW937</f>
        <v>0</v>
      </c>
      <c r="AP205" s="41">
        <f>RawData!AX937</f>
        <v>0</v>
      </c>
      <c r="AQ205" s="40">
        <f>RawData!AY937</f>
        <v>0</v>
      </c>
      <c r="AR205" s="40">
        <f>RawData!AZ937</f>
        <v>0</v>
      </c>
      <c r="AS205" s="40">
        <f>RawData!BA937</f>
        <v>0</v>
      </c>
      <c r="AT205" s="38">
        <f>RawData!BB937</f>
        <v>0</v>
      </c>
      <c r="AU205" s="40">
        <f>RawData!BC937</f>
        <v>0</v>
      </c>
      <c r="AV205" s="40">
        <f>RawData!BD937</f>
        <v>0</v>
      </c>
      <c r="AW205" s="38">
        <f>RawData!BE937</f>
        <v>0</v>
      </c>
      <c r="AX205" s="37">
        <f>RawData!BF937</f>
        <v>0</v>
      </c>
      <c r="AY205" s="36">
        <f>RawData!BG937</f>
        <v>0</v>
      </c>
      <c r="AZ205" s="36">
        <f>RawData!BH937</f>
        <v>0</v>
      </c>
      <c r="BA205" s="40">
        <f>RawData!BI937</f>
        <v>0</v>
      </c>
      <c r="BB205" s="44">
        <f>RawData!BJ937</f>
        <v>0</v>
      </c>
      <c r="BC205" s="44">
        <f>RawData!BK937</f>
        <v>0</v>
      </c>
      <c r="BD205" s="44">
        <f>RawData!BL937</f>
        <v>0</v>
      </c>
      <c r="BE205" s="44">
        <f>RawData!BM937</f>
        <v>0</v>
      </c>
      <c r="BF205" s="44">
        <f>RawData!BN937</f>
        <v>0</v>
      </c>
      <c r="BG205" s="63">
        <f>RawData!BO937</f>
        <v>0</v>
      </c>
      <c r="BH205" s="44">
        <f>RawData!BP937</f>
        <v>0</v>
      </c>
      <c r="BI205" s="63">
        <f>RawData!BQ937</f>
        <v>0</v>
      </c>
      <c r="BJ205" s="44">
        <f>RawData!BR937</f>
        <v>0</v>
      </c>
      <c r="BK205" s="47">
        <f>RawData!BS937</f>
        <v>0</v>
      </c>
      <c r="BL205" s="44">
        <f>RawData!BT937</f>
        <v>0</v>
      </c>
      <c r="BM205" s="47">
        <f>RawData!BV937</f>
        <v>0</v>
      </c>
      <c r="BN205" s="65">
        <f>RawData!CC937</f>
        <v>0</v>
      </c>
      <c r="BO205" s="66">
        <f>RawData!CD937</f>
        <v>0</v>
      </c>
      <c r="BQ205" s="21">
        <f t="shared" si="3"/>
        <v>0</v>
      </c>
    </row>
    <row r="206" spans="1:69" x14ac:dyDescent="0.2">
      <c r="A206" s="59">
        <f>RawData!P938</f>
        <v>0</v>
      </c>
      <c r="B206" s="44">
        <f>RawData!Q938</f>
        <v>0</v>
      </c>
      <c r="C206" s="44">
        <f>RawData!R938</f>
        <v>0</v>
      </c>
      <c r="D206" s="63">
        <f>RawData!S938</f>
        <v>0</v>
      </c>
      <c r="E206" s="44">
        <f>RawData!T938</f>
        <v>0</v>
      </c>
      <c r="F206" s="63">
        <f>RawData!U938</f>
        <v>0</v>
      </c>
      <c r="G206" s="44">
        <f>RawData!V938</f>
        <v>0</v>
      </c>
      <c r="H206" s="44">
        <f>RawData!W938</f>
        <v>0</v>
      </c>
      <c r="I206" s="44">
        <f>RawData!X938</f>
        <v>0</v>
      </c>
      <c r="J206" s="44">
        <f>RawData!Y938</f>
        <v>0</v>
      </c>
      <c r="K206" s="40">
        <f>RawData!Z938</f>
        <v>0</v>
      </c>
      <c r="L206" s="40">
        <f>RawData!AA938</f>
        <v>0</v>
      </c>
      <c r="M206" s="36">
        <f>RawData!AB938</f>
        <v>0</v>
      </c>
      <c r="N206" s="36">
        <f>RawData!AC938</f>
        <v>0</v>
      </c>
      <c r="O206" s="37">
        <f>RawData!AD938</f>
        <v>0</v>
      </c>
      <c r="P206" s="38">
        <f>RawData!AE938</f>
        <v>0</v>
      </c>
      <c r="Q206" s="39">
        <f>RawData!AF938</f>
        <v>0</v>
      </c>
      <c r="R206" s="38">
        <f>RawData!AG938</f>
        <v>0</v>
      </c>
      <c r="S206" s="40">
        <f>RawData!AH938</f>
        <v>0</v>
      </c>
      <c r="T206" s="40">
        <f>RawData!AI938</f>
        <v>0</v>
      </c>
      <c r="U206" s="40">
        <f>RawData!AJ938</f>
        <v>0</v>
      </c>
      <c r="V206" s="41">
        <f>RawData!AK938</f>
        <v>0</v>
      </c>
      <c r="W206" s="41">
        <f>RawData!AL938</f>
        <v>0</v>
      </c>
      <c r="X206" s="43">
        <f>RawData!CA938</f>
        <v>0</v>
      </c>
      <c r="Y206" s="41">
        <f>RawData!AM938</f>
        <v>0</v>
      </c>
      <c r="Z206" s="44">
        <f>RawData!CB938</f>
        <v>0</v>
      </c>
      <c r="AA206" s="44">
        <f>RawData!AN938</f>
        <v>0</v>
      </c>
      <c r="AB206" s="44">
        <f>RawData!AO938</f>
        <v>0</v>
      </c>
      <c r="AC206" s="44">
        <f>RawData!AP938</f>
        <v>0</v>
      </c>
      <c r="AD206" s="63">
        <f>RawData!BZ938</f>
        <v>0</v>
      </c>
      <c r="AE206" s="44">
        <f>RawData!AQ938</f>
        <v>0</v>
      </c>
      <c r="AF206" s="46">
        <f>RawData!O938</f>
        <v>0</v>
      </c>
      <c r="AG206" s="44">
        <f>RawData!AR938</f>
        <v>0</v>
      </c>
      <c r="AH206" s="44">
        <f>RawData!BY938</f>
        <v>0</v>
      </c>
      <c r="AI206" s="44">
        <f>RawData!AS938</f>
        <v>0</v>
      </c>
      <c r="AJ206" s="44">
        <f>RawData!AT938</f>
        <v>0</v>
      </c>
      <c r="AK206" s="44">
        <f>RawData!AU938</f>
        <v>0</v>
      </c>
      <c r="AL206" s="44">
        <f>RawData!BW938</f>
        <v>0</v>
      </c>
      <c r="AM206" s="41">
        <f>RawData!AV938</f>
        <v>0</v>
      </c>
      <c r="AN206" s="41">
        <f>RawData!BX938</f>
        <v>0</v>
      </c>
      <c r="AO206" s="41">
        <f>RawData!AW938</f>
        <v>0</v>
      </c>
      <c r="AP206" s="41">
        <f>RawData!AX938</f>
        <v>0</v>
      </c>
      <c r="AQ206" s="40">
        <f>RawData!AY938</f>
        <v>0</v>
      </c>
      <c r="AR206" s="40">
        <f>RawData!AZ938</f>
        <v>0</v>
      </c>
      <c r="AS206" s="40">
        <f>RawData!BA938</f>
        <v>0</v>
      </c>
      <c r="AT206" s="38">
        <f>RawData!BB938</f>
        <v>0</v>
      </c>
      <c r="AU206" s="40">
        <f>RawData!BC938</f>
        <v>0</v>
      </c>
      <c r="AV206" s="40">
        <f>RawData!BD938</f>
        <v>0</v>
      </c>
      <c r="AW206" s="38">
        <f>RawData!BE938</f>
        <v>0</v>
      </c>
      <c r="AX206" s="37">
        <f>RawData!BF938</f>
        <v>0</v>
      </c>
      <c r="AY206" s="36">
        <f>RawData!BG938</f>
        <v>0</v>
      </c>
      <c r="AZ206" s="36">
        <f>RawData!BH938</f>
        <v>0</v>
      </c>
      <c r="BA206" s="40">
        <f>RawData!BI938</f>
        <v>0</v>
      </c>
      <c r="BB206" s="44">
        <f>RawData!BJ938</f>
        <v>0</v>
      </c>
      <c r="BC206" s="44">
        <f>RawData!BK938</f>
        <v>0</v>
      </c>
      <c r="BD206" s="44">
        <f>RawData!BL938</f>
        <v>0</v>
      </c>
      <c r="BE206" s="44">
        <f>RawData!BM938</f>
        <v>0</v>
      </c>
      <c r="BF206" s="44">
        <f>RawData!BN938</f>
        <v>0</v>
      </c>
      <c r="BG206" s="63">
        <f>RawData!BO938</f>
        <v>0</v>
      </c>
      <c r="BH206" s="44">
        <f>RawData!BP938</f>
        <v>0</v>
      </c>
      <c r="BI206" s="63">
        <f>RawData!BQ938</f>
        <v>0</v>
      </c>
      <c r="BJ206" s="44">
        <f>RawData!BR938</f>
        <v>0</v>
      </c>
      <c r="BK206" s="47">
        <f>RawData!BS938</f>
        <v>0</v>
      </c>
      <c r="BL206" s="44">
        <f>RawData!BT938</f>
        <v>0</v>
      </c>
      <c r="BM206" s="47">
        <f>RawData!BV938</f>
        <v>0</v>
      </c>
      <c r="BN206" s="65">
        <f>RawData!CC938</f>
        <v>0</v>
      </c>
      <c r="BO206" s="66">
        <f>RawData!CD938</f>
        <v>0</v>
      </c>
      <c r="BQ206" s="21">
        <f t="shared" si="3"/>
        <v>0</v>
      </c>
    </row>
    <row r="207" spans="1:69" x14ac:dyDescent="0.2">
      <c r="A207" s="59">
        <f>RawData!P939</f>
        <v>0</v>
      </c>
      <c r="B207" s="44">
        <f>RawData!Q939</f>
        <v>0</v>
      </c>
      <c r="C207" s="44">
        <f>RawData!R939</f>
        <v>0</v>
      </c>
      <c r="D207" s="63">
        <f>RawData!S939</f>
        <v>0</v>
      </c>
      <c r="E207" s="44">
        <f>RawData!T939</f>
        <v>0</v>
      </c>
      <c r="F207" s="63">
        <f>RawData!U939</f>
        <v>0</v>
      </c>
      <c r="G207" s="44">
        <f>RawData!V939</f>
        <v>0</v>
      </c>
      <c r="H207" s="44">
        <f>RawData!W939</f>
        <v>0</v>
      </c>
      <c r="I207" s="44">
        <f>RawData!X939</f>
        <v>0</v>
      </c>
      <c r="J207" s="44">
        <f>RawData!Y939</f>
        <v>0</v>
      </c>
      <c r="K207" s="40">
        <f>RawData!Z939</f>
        <v>0</v>
      </c>
      <c r="L207" s="40">
        <f>RawData!AA939</f>
        <v>0</v>
      </c>
      <c r="M207" s="36">
        <f>RawData!AB939</f>
        <v>0</v>
      </c>
      <c r="N207" s="36">
        <f>RawData!AC939</f>
        <v>0</v>
      </c>
      <c r="O207" s="37">
        <f>RawData!AD939</f>
        <v>0</v>
      </c>
      <c r="P207" s="38">
        <f>RawData!AE939</f>
        <v>0</v>
      </c>
      <c r="Q207" s="39">
        <f>RawData!AF939</f>
        <v>0</v>
      </c>
      <c r="R207" s="38">
        <f>RawData!AG939</f>
        <v>0</v>
      </c>
      <c r="S207" s="40">
        <f>RawData!AH939</f>
        <v>0</v>
      </c>
      <c r="T207" s="40">
        <f>RawData!AI939</f>
        <v>0</v>
      </c>
      <c r="U207" s="40">
        <f>RawData!AJ939</f>
        <v>0</v>
      </c>
      <c r="V207" s="41">
        <f>RawData!AK939</f>
        <v>0</v>
      </c>
      <c r="W207" s="41">
        <f>RawData!AL939</f>
        <v>0</v>
      </c>
      <c r="X207" s="43">
        <f>RawData!CA939</f>
        <v>0</v>
      </c>
      <c r="Y207" s="41">
        <f>RawData!AM939</f>
        <v>0</v>
      </c>
      <c r="Z207" s="44">
        <f>RawData!CB939</f>
        <v>0</v>
      </c>
      <c r="AA207" s="44">
        <f>RawData!AN939</f>
        <v>0</v>
      </c>
      <c r="AB207" s="44">
        <f>RawData!AO939</f>
        <v>0</v>
      </c>
      <c r="AC207" s="44">
        <f>RawData!AP939</f>
        <v>0</v>
      </c>
      <c r="AD207" s="63">
        <f>RawData!BZ939</f>
        <v>0</v>
      </c>
      <c r="AE207" s="44">
        <f>RawData!AQ939</f>
        <v>0</v>
      </c>
      <c r="AF207" s="46">
        <f>RawData!O939</f>
        <v>0</v>
      </c>
      <c r="AG207" s="44">
        <f>RawData!AR939</f>
        <v>0</v>
      </c>
      <c r="AH207" s="44">
        <f>RawData!BY939</f>
        <v>0</v>
      </c>
      <c r="AI207" s="44">
        <f>RawData!AS939</f>
        <v>0</v>
      </c>
      <c r="AJ207" s="44">
        <f>RawData!AT939</f>
        <v>0</v>
      </c>
      <c r="AK207" s="44">
        <f>RawData!AU939</f>
        <v>0</v>
      </c>
      <c r="AL207" s="44">
        <f>RawData!BW939</f>
        <v>0</v>
      </c>
      <c r="AM207" s="41">
        <f>RawData!AV939</f>
        <v>0</v>
      </c>
      <c r="AN207" s="41">
        <f>RawData!BX939</f>
        <v>0</v>
      </c>
      <c r="AO207" s="41">
        <f>RawData!AW939</f>
        <v>0</v>
      </c>
      <c r="AP207" s="41">
        <f>RawData!AX939</f>
        <v>0</v>
      </c>
      <c r="AQ207" s="40">
        <f>RawData!AY939</f>
        <v>0</v>
      </c>
      <c r="AR207" s="40">
        <f>RawData!AZ939</f>
        <v>0</v>
      </c>
      <c r="AS207" s="40">
        <f>RawData!BA939</f>
        <v>0</v>
      </c>
      <c r="AT207" s="38">
        <f>RawData!BB939</f>
        <v>0</v>
      </c>
      <c r="AU207" s="40">
        <f>RawData!BC939</f>
        <v>0</v>
      </c>
      <c r="AV207" s="40">
        <f>RawData!BD939</f>
        <v>0</v>
      </c>
      <c r="AW207" s="38">
        <f>RawData!BE939</f>
        <v>0</v>
      </c>
      <c r="AX207" s="37">
        <f>RawData!BF939</f>
        <v>0</v>
      </c>
      <c r="AY207" s="36">
        <f>RawData!BG939</f>
        <v>0</v>
      </c>
      <c r="AZ207" s="36">
        <f>RawData!BH939</f>
        <v>0</v>
      </c>
      <c r="BA207" s="40">
        <f>RawData!BI939</f>
        <v>0</v>
      </c>
      <c r="BB207" s="44">
        <f>RawData!BJ939</f>
        <v>0</v>
      </c>
      <c r="BC207" s="44">
        <f>RawData!BK939</f>
        <v>0</v>
      </c>
      <c r="BD207" s="44">
        <f>RawData!BL939</f>
        <v>0</v>
      </c>
      <c r="BE207" s="44">
        <f>RawData!BM939</f>
        <v>0</v>
      </c>
      <c r="BF207" s="44">
        <f>RawData!BN939</f>
        <v>0</v>
      </c>
      <c r="BG207" s="63">
        <f>RawData!BO939</f>
        <v>0</v>
      </c>
      <c r="BH207" s="44">
        <f>RawData!BP939</f>
        <v>0</v>
      </c>
      <c r="BI207" s="63">
        <f>RawData!BQ939</f>
        <v>0</v>
      </c>
      <c r="BJ207" s="44">
        <f>RawData!BR939</f>
        <v>0</v>
      </c>
      <c r="BK207" s="47">
        <f>RawData!BS939</f>
        <v>0</v>
      </c>
      <c r="BL207" s="44">
        <f>RawData!BT939</f>
        <v>0</v>
      </c>
      <c r="BM207" s="47">
        <f>RawData!BV939</f>
        <v>0</v>
      </c>
      <c r="BN207" s="65">
        <f>RawData!CC939</f>
        <v>0</v>
      </c>
      <c r="BO207" s="66">
        <f>RawData!CD939</f>
        <v>0</v>
      </c>
      <c r="BQ207" s="21">
        <f t="shared" si="3"/>
        <v>0</v>
      </c>
    </row>
    <row r="208" spans="1:69" x14ac:dyDescent="0.2">
      <c r="A208" s="59">
        <f>RawData!P940</f>
        <v>0</v>
      </c>
      <c r="B208" s="44">
        <f>RawData!Q940</f>
        <v>0</v>
      </c>
      <c r="C208" s="44">
        <f>RawData!R940</f>
        <v>0</v>
      </c>
      <c r="D208" s="63">
        <f>RawData!S940</f>
        <v>0</v>
      </c>
      <c r="E208" s="44">
        <f>RawData!T940</f>
        <v>0</v>
      </c>
      <c r="F208" s="63">
        <f>RawData!U940</f>
        <v>0</v>
      </c>
      <c r="G208" s="44">
        <f>RawData!V940</f>
        <v>0</v>
      </c>
      <c r="H208" s="44">
        <f>RawData!W940</f>
        <v>0</v>
      </c>
      <c r="I208" s="44">
        <f>RawData!X940</f>
        <v>0</v>
      </c>
      <c r="J208" s="44">
        <f>RawData!Y940</f>
        <v>0</v>
      </c>
      <c r="K208" s="40">
        <f>RawData!Z940</f>
        <v>0</v>
      </c>
      <c r="L208" s="40">
        <f>RawData!AA940</f>
        <v>0</v>
      </c>
      <c r="M208" s="36">
        <f>RawData!AB940</f>
        <v>0</v>
      </c>
      <c r="N208" s="36">
        <f>RawData!AC940</f>
        <v>0</v>
      </c>
      <c r="O208" s="37">
        <f>RawData!AD940</f>
        <v>0</v>
      </c>
      <c r="P208" s="38">
        <f>RawData!AE940</f>
        <v>0</v>
      </c>
      <c r="Q208" s="39">
        <f>RawData!AF940</f>
        <v>0</v>
      </c>
      <c r="R208" s="38">
        <f>RawData!AG940</f>
        <v>0</v>
      </c>
      <c r="S208" s="40">
        <f>RawData!AH940</f>
        <v>0</v>
      </c>
      <c r="T208" s="40">
        <f>RawData!AI940</f>
        <v>0</v>
      </c>
      <c r="U208" s="40">
        <f>RawData!AJ940</f>
        <v>0</v>
      </c>
      <c r="V208" s="41">
        <f>RawData!AK940</f>
        <v>0</v>
      </c>
      <c r="W208" s="41">
        <f>RawData!AL940</f>
        <v>0</v>
      </c>
      <c r="X208" s="43">
        <f>RawData!CA940</f>
        <v>0</v>
      </c>
      <c r="Y208" s="41">
        <f>RawData!AM940</f>
        <v>0</v>
      </c>
      <c r="Z208" s="44">
        <f>RawData!CB940</f>
        <v>0</v>
      </c>
      <c r="AA208" s="44">
        <f>RawData!AN940</f>
        <v>0</v>
      </c>
      <c r="AB208" s="44">
        <f>RawData!AO940</f>
        <v>0</v>
      </c>
      <c r="AC208" s="44">
        <f>RawData!AP940</f>
        <v>0</v>
      </c>
      <c r="AD208" s="63">
        <f>RawData!BZ940</f>
        <v>0</v>
      </c>
      <c r="AE208" s="44">
        <f>RawData!AQ940</f>
        <v>0</v>
      </c>
      <c r="AF208" s="46">
        <f>RawData!O940</f>
        <v>0</v>
      </c>
      <c r="AG208" s="44">
        <f>RawData!AR940</f>
        <v>0</v>
      </c>
      <c r="AH208" s="44">
        <f>RawData!BY940</f>
        <v>0</v>
      </c>
      <c r="AI208" s="44">
        <f>RawData!AS940</f>
        <v>0</v>
      </c>
      <c r="AJ208" s="44">
        <f>RawData!AT940</f>
        <v>0</v>
      </c>
      <c r="AK208" s="44">
        <f>RawData!AU940</f>
        <v>0</v>
      </c>
      <c r="AL208" s="44">
        <f>RawData!BW940</f>
        <v>0</v>
      </c>
      <c r="AM208" s="41">
        <f>RawData!AV940</f>
        <v>0</v>
      </c>
      <c r="AN208" s="41">
        <f>RawData!BX940</f>
        <v>0</v>
      </c>
      <c r="AO208" s="41">
        <f>RawData!AW940</f>
        <v>0</v>
      </c>
      <c r="AP208" s="41">
        <f>RawData!AX940</f>
        <v>0</v>
      </c>
      <c r="AQ208" s="40">
        <f>RawData!AY940</f>
        <v>0</v>
      </c>
      <c r="AR208" s="40">
        <f>RawData!AZ940</f>
        <v>0</v>
      </c>
      <c r="AS208" s="40">
        <f>RawData!BA940</f>
        <v>0</v>
      </c>
      <c r="AT208" s="38">
        <f>RawData!BB940</f>
        <v>0</v>
      </c>
      <c r="AU208" s="40">
        <f>RawData!BC940</f>
        <v>0</v>
      </c>
      <c r="AV208" s="40">
        <f>RawData!BD940</f>
        <v>0</v>
      </c>
      <c r="AW208" s="38">
        <f>RawData!BE940</f>
        <v>0</v>
      </c>
      <c r="AX208" s="37">
        <f>RawData!BF940</f>
        <v>0</v>
      </c>
      <c r="AY208" s="36">
        <f>RawData!BG940</f>
        <v>0</v>
      </c>
      <c r="AZ208" s="36">
        <f>RawData!BH940</f>
        <v>0</v>
      </c>
      <c r="BA208" s="40">
        <f>RawData!BI940</f>
        <v>0</v>
      </c>
      <c r="BB208" s="44">
        <f>RawData!BJ940</f>
        <v>0</v>
      </c>
      <c r="BC208" s="44">
        <f>RawData!BK940</f>
        <v>0</v>
      </c>
      <c r="BD208" s="44">
        <f>RawData!BL940</f>
        <v>0</v>
      </c>
      <c r="BE208" s="44">
        <f>RawData!BM940</f>
        <v>0</v>
      </c>
      <c r="BF208" s="44">
        <f>RawData!BN940</f>
        <v>0</v>
      </c>
      <c r="BG208" s="63">
        <f>RawData!BO940</f>
        <v>0</v>
      </c>
      <c r="BH208" s="44">
        <f>RawData!BP940</f>
        <v>0</v>
      </c>
      <c r="BI208" s="63">
        <f>RawData!BQ940</f>
        <v>0</v>
      </c>
      <c r="BJ208" s="44">
        <f>RawData!BR940</f>
        <v>0</v>
      </c>
      <c r="BK208" s="47">
        <f>RawData!BS940</f>
        <v>0</v>
      </c>
      <c r="BL208" s="44">
        <f>RawData!BT940</f>
        <v>0</v>
      </c>
      <c r="BM208" s="47">
        <f>RawData!BV940</f>
        <v>0</v>
      </c>
      <c r="BN208" s="65">
        <f>RawData!CC940</f>
        <v>0</v>
      </c>
      <c r="BO208" s="66">
        <f>RawData!CD940</f>
        <v>0</v>
      </c>
      <c r="BQ208" s="21">
        <f t="shared" si="3"/>
        <v>0</v>
      </c>
    </row>
    <row r="209" spans="1:69" x14ac:dyDescent="0.2">
      <c r="A209" s="59">
        <f>RawData!P941</f>
        <v>0</v>
      </c>
      <c r="B209" s="44">
        <f>RawData!Q941</f>
        <v>0</v>
      </c>
      <c r="C209" s="44">
        <f>RawData!R941</f>
        <v>0</v>
      </c>
      <c r="D209" s="63">
        <f>RawData!S941</f>
        <v>0</v>
      </c>
      <c r="E209" s="44">
        <f>RawData!T941</f>
        <v>0</v>
      </c>
      <c r="F209" s="63">
        <f>RawData!U941</f>
        <v>0</v>
      </c>
      <c r="G209" s="44">
        <f>RawData!V941</f>
        <v>0</v>
      </c>
      <c r="H209" s="44">
        <f>RawData!W941</f>
        <v>0</v>
      </c>
      <c r="I209" s="44">
        <f>RawData!X941</f>
        <v>0</v>
      </c>
      <c r="J209" s="44">
        <f>RawData!Y941</f>
        <v>0</v>
      </c>
      <c r="K209" s="40">
        <f>RawData!Z941</f>
        <v>0</v>
      </c>
      <c r="L209" s="40">
        <f>RawData!AA941</f>
        <v>0</v>
      </c>
      <c r="M209" s="36">
        <f>RawData!AB941</f>
        <v>0</v>
      </c>
      <c r="N209" s="36">
        <f>RawData!AC941</f>
        <v>0</v>
      </c>
      <c r="O209" s="37">
        <f>RawData!AD941</f>
        <v>0</v>
      </c>
      <c r="P209" s="38">
        <f>RawData!AE941</f>
        <v>0</v>
      </c>
      <c r="Q209" s="39">
        <f>RawData!AF941</f>
        <v>0</v>
      </c>
      <c r="R209" s="38">
        <f>RawData!AG941</f>
        <v>0</v>
      </c>
      <c r="S209" s="40">
        <f>RawData!AH941</f>
        <v>0</v>
      </c>
      <c r="T209" s="40">
        <f>RawData!AI941</f>
        <v>0</v>
      </c>
      <c r="U209" s="40">
        <f>RawData!AJ941</f>
        <v>0</v>
      </c>
      <c r="V209" s="41">
        <f>RawData!AK941</f>
        <v>0</v>
      </c>
      <c r="W209" s="41">
        <f>RawData!AL941</f>
        <v>0</v>
      </c>
      <c r="X209" s="43">
        <f>RawData!CA941</f>
        <v>0</v>
      </c>
      <c r="Y209" s="41">
        <f>RawData!AM941</f>
        <v>0</v>
      </c>
      <c r="Z209" s="44">
        <f>RawData!CB941</f>
        <v>0</v>
      </c>
      <c r="AA209" s="44">
        <f>RawData!AN941</f>
        <v>0</v>
      </c>
      <c r="AB209" s="44">
        <f>RawData!AO941</f>
        <v>0</v>
      </c>
      <c r="AC209" s="44">
        <f>RawData!AP941</f>
        <v>0</v>
      </c>
      <c r="AD209" s="63">
        <f>RawData!BZ941</f>
        <v>0</v>
      </c>
      <c r="AE209" s="44">
        <f>RawData!AQ941</f>
        <v>0</v>
      </c>
      <c r="AF209" s="46">
        <f>RawData!O941</f>
        <v>0</v>
      </c>
      <c r="AG209" s="44">
        <f>RawData!AR941</f>
        <v>0</v>
      </c>
      <c r="AH209" s="44">
        <f>RawData!BY941</f>
        <v>0</v>
      </c>
      <c r="AI209" s="44">
        <f>RawData!AS941</f>
        <v>0</v>
      </c>
      <c r="AJ209" s="44">
        <f>RawData!AT941</f>
        <v>0</v>
      </c>
      <c r="AK209" s="44">
        <f>RawData!AU941</f>
        <v>0</v>
      </c>
      <c r="AL209" s="44">
        <f>RawData!BW941</f>
        <v>0</v>
      </c>
      <c r="AM209" s="41">
        <f>RawData!AV941</f>
        <v>0</v>
      </c>
      <c r="AN209" s="41">
        <f>RawData!BX941</f>
        <v>0</v>
      </c>
      <c r="AO209" s="41">
        <f>RawData!AW941</f>
        <v>0</v>
      </c>
      <c r="AP209" s="41">
        <f>RawData!AX941</f>
        <v>0</v>
      </c>
      <c r="AQ209" s="40">
        <f>RawData!AY941</f>
        <v>0</v>
      </c>
      <c r="AR209" s="40">
        <f>RawData!AZ941</f>
        <v>0</v>
      </c>
      <c r="AS209" s="40">
        <f>RawData!BA941</f>
        <v>0</v>
      </c>
      <c r="AT209" s="38">
        <f>RawData!BB941</f>
        <v>0</v>
      </c>
      <c r="AU209" s="40">
        <f>RawData!BC941</f>
        <v>0</v>
      </c>
      <c r="AV209" s="40">
        <f>RawData!BD941</f>
        <v>0</v>
      </c>
      <c r="AW209" s="38">
        <f>RawData!BE941</f>
        <v>0</v>
      </c>
      <c r="AX209" s="37">
        <f>RawData!BF941</f>
        <v>0</v>
      </c>
      <c r="AY209" s="36">
        <f>RawData!BG941</f>
        <v>0</v>
      </c>
      <c r="AZ209" s="36">
        <f>RawData!BH941</f>
        <v>0</v>
      </c>
      <c r="BA209" s="40">
        <f>RawData!BI941</f>
        <v>0</v>
      </c>
      <c r="BB209" s="44">
        <f>RawData!BJ941</f>
        <v>0</v>
      </c>
      <c r="BC209" s="44">
        <f>RawData!BK941</f>
        <v>0</v>
      </c>
      <c r="BD209" s="44">
        <f>RawData!BL941</f>
        <v>0</v>
      </c>
      <c r="BE209" s="44">
        <f>RawData!BM941</f>
        <v>0</v>
      </c>
      <c r="BF209" s="44">
        <f>RawData!BN941</f>
        <v>0</v>
      </c>
      <c r="BG209" s="63">
        <f>RawData!BO941</f>
        <v>0</v>
      </c>
      <c r="BH209" s="44">
        <f>RawData!BP941</f>
        <v>0</v>
      </c>
      <c r="BI209" s="63">
        <f>RawData!BQ941</f>
        <v>0</v>
      </c>
      <c r="BJ209" s="44">
        <f>RawData!BR941</f>
        <v>0</v>
      </c>
      <c r="BK209" s="47">
        <f>RawData!BS941</f>
        <v>0</v>
      </c>
      <c r="BL209" s="44">
        <f>RawData!BT941</f>
        <v>0</v>
      </c>
      <c r="BM209" s="47">
        <f>RawData!BV941</f>
        <v>0</v>
      </c>
      <c r="BN209" s="65">
        <f>RawData!CC941</f>
        <v>0</v>
      </c>
      <c r="BO209" s="66">
        <f>RawData!CD941</f>
        <v>0</v>
      </c>
      <c r="BQ209" s="21">
        <f t="shared" si="3"/>
        <v>0</v>
      </c>
    </row>
    <row r="210" spans="1:69" x14ac:dyDescent="0.2">
      <c r="A210" s="59">
        <f>RawData!P942</f>
        <v>0</v>
      </c>
      <c r="B210" s="44">
        <f>RawData!Q942</f>
        <v>0</v>
      </c>
      <c r="C210" s="44">
        <f>RawData!R942</f>
        <v>0</v>
      </c>
      <c r="D210" s="63">
        <f>RawData!S942</f>
        <v>0</v>
      </c>
      <c r="E210" s="44">
        <f>RawData!T942</f>
        <v>0</v>
      </c>
      <c r="F210" s="63">
        <f>RawData!U942</f>
        <v>0</v>
      </c>
      <c r="G210" s="44">
        <f>RawData!V942</f>
        <v>0</v>
      </c>
      <c r="H210" s="44">
        <f>RawData!W942</f>
        <v>0</v>
      </c>
      <c r="I210" s="44">
        <f>RawData!X942</f>
        <v>0</v>
      </c>
      <c r="J210" s="44">
        <f>RawData!Y942</f>
        <v>0</v>
      </c>
      <c r="K210" s="40">
        <f>RawData!Z942</f>
        <v>0</v>
      </c>
      <c r="L210" s="40">
        <f>RawData!AA942</f>
        <v>0</v>
      </c>
      <c r="M210" s="36">
        <f>RawData!AB942</f>
        <v>0</v>
      </c>
      <c r="N210" s="36">
        <f>RawData!AC942</f>
        <v>0</v>
      </c>
      <c r="O210" s="37">
        <f>RawData!AD942</f>
        <v>0</v>
      </c>
      <c r="P210" s="38">
        <f>RawData!AE942</f>
        <v>0</v>
      </c>
      <c r="Q210" s="39">
        <f>RawData!AF942</f>
        <v>0</v>
      </c>
      <c r="R210" s="38">
        <f>RawData!AG942</f>
        <v>0</v>
      </c>
      <c r="S210" s="40">
        <f>RawData!AH942</f>
        <v>0</v>
      </c>
      <c r="T210" s="40">
        <f>RawData!AI942</f>
        <v>0</v>
      </c>
      <c r="U210" s="40">
        <f>RawData!AJ942</f>
        <v>0</v>
      </c>
      <c r="V210" s="41">
        <f>RawData!AK942</f>
        <v>0</v>
      </c>
      <c r="W210" s="41">
        <f>RawData!AL942</f>
        <v>0</v>
      </c>
      <c r="X210" s="43">
        <f>RawData!CA942</f>
        <v>0</v>
      </c>
      <c r="Y210" s="41">
        <f>RawData!AM942</f>
        <v>0</v>
      </c>
      <c r="Z210" s="44">
        <f>RawData!CB942</f>
        <v>0</v>
      </c>
      <c r="AA210" s="44">
        <f>RawData!AN942</f>
        <v>0</v>
      </c>
      <c r="AB210" s="44">
        <f>RawData!AO942</f>
        <v>0</v>
      </c>
      <c r="AC210" s="44">
        <f>RawData!AP942</f>
        <v>0</v>
      </c>
      <c r="AD210" s="63">
        <f>RawData!BZ942</f>
        <v>0</v>
      </c>
      <c r="AE210" s="44">
        <f>RawData!AQ942</f>
        <v>0</v>
      </c>
      <c r="AF210" s="46">
        <f>RawData!O942</f>
        <v>0</v>
      </c>
      <c r="AG210" s="44">
        <f>RawData!AR942</f>
        <v>0</v>
      </c>
      <c r="AH210" s="44">
        <f>RawData!BY942</f>
        <v>0</v>
      </c>
      <c r="AI210" s="44">
        <f>RawData!AS942</f>
        <v>0</v>
      </c>
      <c r="AJ210" s="44">
        <f>RawData!AT942</f>
        <v>0</v>
      </c>
      <c r="AK210" s="44">
        <f>RawData!AU942</f>
        <v>0</v>
      </c>
      <c r="AL210" s="44">
        <f>RawData!BW942</f>
        <v>0</v>
      </c>
      <c r="AM210" s="41">
        <f>RawData!AV942</f>
        <v>0</v>
      </c>
      <c r="AN210" s="41">
        <f>RawData!BX942</f>
        <v>0</v>
      </c>
      <c r="AO210" s="41">
        <f>RawData!AW942</f>
        <v>0</v>
      </c>
      <c r="AP210" s="41">
        <f>RawData!AX942</f>
        <v>0</v>
      </c>
      <c r="AQ210" s="40">
        <f>RawData!AY942</f>
        <v>0</v>
      </c>
      <c r="AR210" s="40">
        <f>RawData!AZ942</f>
        <v>0</v>
      </c>
      <c r="AS210" s="40">
        <f>RawData!BA942</f>
        <v>0</v>
      </c>
      <c r="AT210" s="38">
        <f>RawData!BB942</f>
        <v>0</v>
      </c>
      <c r="AU210" s="40">
        <f>RawData!BC942</f>
        <v>0</v>
      </c>
      <c r="AV210" s="40">
        <f>RawData!BD942</f>
        <v>0</v>
      </c>
      <c r="AW210" s="38">
        <f>RawData!BE942</f>
        <v>0</v>
      </c>
      <c r="AX210" s="37">
        <f>RawData!BF942</f>
        <v>0</v>
      </c>
      <c r="AY210" s="36">
        <f>RawData!BG942</f>
        <v>0</v>
      </c>
      <c r="AZ210" s="36">
        <f>RawData!BH942</f>
        <v>0</v>
      </c>
      <c r="BA210" s="40">
        <f>RawData!BI942</f>
        <v>0</v>
      </c>
      <c r="BB210" s="44">
        <f>RawData!BJ942</f>
        <v>0</v>
      </c>
      <c r="BC210" s="44">
        <f>RawData!BK942</f>
        <v>0</v>
      </c>
      <c r="BD210" s="44">
        <f>RawData!BL942</f>
        <v>0</v>
      </c>
      <c r="BE210" s="44">
        <f>RawData!BM942</f>
        <v>0</v>
      </c>
      <c r="BF210" s="44">
        <f>RawData!BN942</f>
        <v>0</v>
      </c>
      <c r="BG210" s="63">
        <f>RawData!BO942</f>
        <v>0</v>
      </c>
      <c r="BH210" s="44">
        <f>RawData!BP942</f>
        <v>0</v>
      </c>
      <c r="BI210" s="63">
        <f>RawData!BQ942</f>
        <v>0</v>
      </c>
      <c r="BJ210" s="44">
        <f>RawData!BR942</f>
        <v>0</v>
      </c>
      <c r="BK210" s="47">
        <f>RawData!BS942</f>
        <v>0</v>
      </c>
      <c r="BL210" s="44">
        <f>RawData!BT942</f>
        <v>0</v>
      </c>
      <c r="BM210" s="47">
        <f>RawData!BV942</f>
        <v>0</v>
      </c>
      <c r="BN210" s="65">
        <f>RawData!CC942</f>
        <v>0</v>
      </c>
      <c r="BO210" s="66">
        <f>RawData!CD942</f>
        <v>0</v>
      </c>
      <c r="BQ210" s="21">
        <f t="shared" si="3"/>
        <v>0</v>
      </c>
    </row>
    <row r="211" spans="1:69" x14ac:dyDescent="0.2">
      <c r="A211" s="59">
        <f>RawData!P943</f>
        <v>0</v>
      </c>
      <c r="B211" s="44">
        <f>RawData!Q943</f>
        <v>0</v>
      </c>
      <c r="C211" s="44">
        <f>RawData!R943</f>
        <v>0</v>
      </c>
      <c r="D211" s="63">
        <f>RawData!S943</f>
        <v>0</v>
      </c>
      <c r="E211" s="44">
        <f>RawData!T943</f>
        <v>0</v>
      </c>
      <c r="F211" s="63">
        <f>RawData!U943</f>
        <v>0</v>
      </c>
      <c r="G211" s="44">
        <f>RawData!V943</f>
        <v>0</v>
      </c>
      <c r="H211" s="44">
        <f>RawData!W943</f>
        <v>0</v>
      </c>
      <c r="I211" s="44">
        <f>RawData!X943</f>
        <v>0</v>
      </c>
      <c r="J211" s="44">
        <f>RawData!Y943</f>
        <v>0</v>
      </c>
      <c r="K211" s="40">
        <f>RawData!Z943</f>
        <v>0</v>
      </c>
      <c r="L211" s="40">
        <f>RawData!AA943</f>
        <v>0</v>
      </c>
      <c r="M211" s="36">
        <f>RawData!AB943</f>
        <v>0</v>
      </c>
      <c r="N211" s="36">
        <f>RawData!AC943</f>
        <v>0</v>
      </c>
      <c r="O211" s="37">
        <f>RawData!AD943</f>
        <v>0</v>
      </c>
      <c r="P211" s="38">
        <f>RawData!AE943</f>
        <v>0</v>
      </c>
      <c r="Q211" s="39">
        <f>RawData!AF943</f>
        <v>0</v>
      </c>
      <c r="R211" s="38">
        <f>RawData!AG943</f>
        <v>0</v>
      </c>
      <c r="S211" s="40">
        <f>RawData!AH943</f>
        <v>0</v>
      </c>
      <c r="T211" s="40">
        <f>RawData!AI943</f>
        <v>0</v>
      </c>
      <c r="U211" s="40">
        <f>RawData!AJ943</f>
        <v>0</v>
      </c>
      <c r="V211" s="41">
        <f>RawData!AK943</f>
        <v>0</v>
      </c>
      <c r="W211" s="41">
        <f>RawData!AL943</f>
        <v>0</v>
      </c>
      <c r="X211" s="43">
        <f>RawData!CA943</f>
        <v>0</v>
      </c>
      <c r="Y211" s="41">
        <f>RawData!AM943</f>
        <v>0</v>
      </c>
      <c r="Z211" s="44">
        <f>RawData!CB943</f>
        <v>0</v>
      </c>
      <c r="AA211" s="44">
        <f>RawData!AN943</f>
        <v>0</v>
      </c>
      <c r="AB211" s="44">
        <f>RawData!AO943</f>
        <v>0</v>
      </c>
      <c r="AC211" s="44">
        <f>RawData!AP943</f>
        <v>0</v>
      </c>
      <c r="AD211" s="63">
        <f>RawData!BZ943</f>
        <v>0</v>
      </c>
      <c r="AE211" s="44">
        <f>RawData!AQ943</f>
        <v>0</v>
      </c>
      <c r="AF211" s="46">
        <f>RawData!O943</f>
        <v>0</v>
      </c>
      <c r="AG211" s="44">
        <f>RawData!AR943</f>
        <v>0</v>
      </c>
      <c r="AH211" s="44">
        <f>RawData!BY943</f>
        <v>0</v>
      </c>
      <c r="AI211" s="44">
        <f>RawData!AS943</f>
        <v>0</v>
      </c>
      <c r="AJ211" s="44">
        <f>RawData!AT943</f>
        <v>0</v>
      </c>
      <c r="AK211" s="44">
        <f>RawData!AU943</f>
        <v>0</v>
      </c>
      <c r="AL211" s="44">
        <f>RawData!BW943</f>
        <v>0</v>
      </c>
      <c r="AM211" s="41">
        <f>RawData!AV943</f>
        <v>0</v>
      </c>
      <c r="AN211" s="41">
        <f>RawData!BX943</f>
        <v>0</v>
      </c>
      <c r="AO211" s="41">
        <f>RawData!AW943</f>
        <v>0</v>
      </c>
      <c r="AP211" s="41">
        <f>RawData!AX943</f>
        <v>0</v>
      </c>
      <c r="AQ211" s="40">
        <f>RawData!AY943</f>
        <v>0</v>
      </c>
      <c r="AR211" s="40">
        <f>RawData!AZ943</f>
        <v>0</v>
      </c>
      <c r="AS211" s="40">
        <f>RawData!BA943</f>
        <v>0</v>
      </c>
      <c r="AT211" s="38">
        <f>RawData!BB943</f>
        <v>0</v>
      </c>
      <c r="AU211" s="40">
        <f>RawData!BC943</f>
        <v>0</v>
      </c>
      <c r="AV211" s="40">
        <f>RawData!BD943</f>
        <v>0</v>
      </c>
      <c r="AW211" s="38">
        <f>RawData!BE943</f>
        <v>0</v>
      </c>
      <c r="AX211" s="37">
        <f>RawData!BF943</f>
        <v>0</v>
      </c>
      <c r="AY211" s="36">
        <f>RawData!BG943</f>
        <v>0</v>
      </c>
      <c r="AZ211" s="36">
        <f>RawData!BH943</f>
        <v>0</v>
      </c>
      <c r="BA211" s="40">
        <f>RawData!BI943</f>
        <v>0</v>
      </c>
      <c r="BB211" s="44">
        <f>RawData!BJ943</f>
        <v>0</v>
      </c>
      <c r="BC211" s="44">
        <f>RawData!BK943</f>
        <v>0</v>
      </c>
      <c r="BD211" s="44">
        <f>RawData!BL943</f>
        <v>0</v>
      </c>
      <c r="BE211" s="44">
        <f>RawData!BM943</f>
        <v>0</v>
      </c>
      <c r="BF211" s="44">
        <f>RawData!BN943</f>
        <v>0</v>
      </c>
      <c r="BG211" s="63">
        <f>RawData!BO943</f>
        <v>0</v>
      </c>
      <c r="BH211" s="44">
        <f>RawData!BP943</f>
        <v>0</v>
      </c>
      <c r="BI211" s="63">
        <f>RawData!BQ943</f>
        <v>0</v>
      </c>
      <c r="BJ211" s="44">
        <f>RawData!BR943</f>
        <v>0</v>
      </c>
      <c r="BK211" s="47">
        <f>RawData!BS943</f>
        <v>0</v>
      </c>
      <c r="BL211" s="44">
        <f>RawData!BT943</f>
        <v>0</v>
      </c>
      <c r="BM211" s="47">
        <f>RawData!BV943</f>
        <v>0</v>
      </c>
      <c r="BN211" s="65">
        <f>RawData!CC943</f>
        <v>0</v>
      </c>
      <c r="BO211" s="66">
        <f>RawData!CD943</f>
        <v>0</v>
      </c>
      <c r="BQ211" s="21">
        <f t="shared" si="3"/>
        <v>0</v>
      </c>
    </row>
    <row r="212" spans="1:69" x14ac:dyDescent="0.2">
      <c r="A212" s="59">
        <f>RawData!P944</f>
        <v>0</v>
      </c>
      <c r="B212" s="44">
        <f>RawData!Q944</f>
        <v>0</v>
      </c>
      <c r="C212" s="44">
        <f>RawData!R944</f>
        <v>0</v>
      </c>
      <c r="D212" s="63">
        <f>RawData!S944</f>
        <v>0</v>
      </c>
      <c r="E212" s="44">
        <f>RawData!T944</f>
        <v>0</v>
      </c>
      <c r="F212" s="63">
        <f>RawData!U944</f>
        <v>0</v>
      </c>
      <c r="G212" s="44">
        <f>RawData!V944</f>
        <v>0</v>
      </c>
      <c r="H212" s="44">
        <f>RawData!W944</f>
        <v>0</v>
      </c>
      <c r="I212" s="44">
        <f>RawData!X944</f>
        <v>0</v>
      </c>
      <c r="J212" s="44">
        <f>RawData!Y944</f>
        <v>0</v>
      </c>
      <c r="K212" s="40">
        <f>RawData!Z944</f>
        <v>0</v>
      </c>
      <c r="L212" s="40">
        <f>RawData!AA944</f>
        <v>0</v>
      </c>
      <c r="M212" s="36">
        <f>RawData!AB944</f>
        <v>0</v>
      </c>
      <c r="N212" s="36">
        <f>RawData!AC944</f>
        <v>0</v>
      </c>
      <c r="O212" s="37">
        <f>RawData!AD944</f>
        <v>0</v>
      </c>
      <c r="P212" s="38">
        <f>RawData!AE944</f>
        <v>0</v>
      </c>
      <c r="Q212" s="39">
        <f>RawData!AF944</f>
        <v>0</v>
      </c>
      <c r="R212" s="38">
        <f>RawData!AG944</f>
        <v>0</v>
      </c>
      <c r="S212" s="40">
        <f>RawData!AH944</f>
        <v>0</v>
      </c>
      <c r="T212" s="40">
        <f>RawData!AI944</f>
        <v>0</v>
      </c>
      <c r="U212" s="40">
        <f>RawData!AJ944</f>
        <v>0</v>
      </c>
      <c r="V212" s="41">
        <f>RawData!AK944</f>
        <v>0</v>
      </c>
      <c r="W212" s="41">
        <f>RawData!AL944</f>
        <v>0</v>
      </c>
      <c r="X212" s="43">
        <f>RawData!CA944</f>
        <v>0</v>
      </c>
      <c r="Y212" s="41">
        <f>RawData!AM944</f>
        <v>0</v>
      </c>
      <c r="Z212" s="44">
        <f>RawData!CB944</f>
        <v>0</v>
      </c>
      <c r="AA212" s="44">
        <f>RawData!AN944</f>
        <v>0</v>
      </c>
      <c r="AB212" s="44">
        <f>RawData!AO944</f>
        <v>0</v>
      </c>
      <c r="AC212" s="44">
        <f>RawData!AP944</f>
        <v>0</v>
      </c>
      <c r="AD212" s="63">
        <f>RawData!BZ944</f>
        <v>0</v>
      </c>
      <c r="AE212" s="44">
        <f>RawData!AQ944</f>
        <v>0</v>
      </c>
      <c r="AF212" s="46">
        <f>RawData!O944</f>
        <v>0</v>
      </c>
      <c r="AG212" s="44">
        <f>RawData!AR944</f>
        <v>0</v>
      </c>
      <c r="AH212" s="44">
        <f>RawData!BY944</f>
        <v>0</v>
      </c>
      <c r="AI212" s="44">
        <f>RawData!AS944</f>
        <v>0</v>
      </c>
      <c r="AJ212" s="44">
        <f>RawData!AT944</f>
        <v>0</v>
      </c>
      <c r="AK212" s="44">
        <f>RawData!AU944</f>
        <v>0</v>
      </c>
      <c r="AL212" s="44">
        <f>RawData!BW944</f>
        <v>0</v>
      </c>
      <c r="AM212" s="41">
        <f>RawData!AV944</f>
        <v>0</v>
      </c>
      <c r="AN212" s="41">
        <f>RawData!BX944</f>
        <v>0</v>
      </c>
      <c r="AO212" s="41">
        <f>RawData!AW944</f>
        <v>0</v>
      </c>
      <c r="AP212" s="41">
        <f>RawData!AX944</f>
        <v>0</v>
      </c>
      <c r="AQ212" s="40">
        <f>RawData!AY944</f>
        <v>0</v>
      </c>
      <c r="AR212" s="40">
        <f>RawData!AZ944</f>
        <v>0</v>
      </c>
      <c r="AS212" s="40">
        <f>RawData!BA944</f>
        <v>0</v>
      </c>
      <c r="AT212" s="38">
        <f>RawData!BB944</f>
        <v>0</v>
      </c>
      <c r="AU212" s="40">
        <f>RawData!BC944</f>
        <v>0</v>
      </c>
      <c r="AV212" s="40">
        <f>RawData!BD944</f>
        <v>0</v>
      </c>
      <c r="AW212" s="38">
        <f>RawData!BE944</f>
        <v>0</v>
      </c>
      <c r="AX212" s="37">
        <f>RawData!BF944</f>
        <v>0</v>
      </c>
      <c r="AY212" s="36">
        <f>RawData!BG944</f>
        <v>0</v>
      </c>
      <c r="AZ212" s="36">
        <f>RawData!BH944</f>
        <v>0</v>
      </c>
      <c r="BA212" s="40">
        <f>RawData!BI944</f>
        <v>0</v>
      </c>
      <c r="BB212" s="44">
        <f>RawData!BJ944</f>
        <v>0</v>
      </c>
      <c r="BC212" s="44">
        <f>RawData!BK944</f>
        <v>0</v>
      </c>
      <c r="BD212" s="44">
        <f>RawData!BL944</f>
        <v>0</v>
      </c>
      <c r="BE212" s="44">
        <f>RawData!BM944</f>
        <v>0</v>
      </c>
      <c r="BF212" s="44">
        <f>RawData!BN944</f>
        <v>0</v>
      </c>
      <c r="BG212" s="63">
        <f>RawData!BO944</f>
        <v>0</v>
      </c>
      <c r="BH212" s="44">
        <f>RawData!BP944</f>
        <v>0</v>
      </c>
      <c r="BI212" s="63">
        <f>RawData!BQ944</f>
        <v>0</v>
      </c>
      <c r="BJ212" s="44">
        <f>RawData!BR944</f>
        <v>0</v>
      </c>
      <c r="BK212" s="47">
        <f>RawData!BS944</f>
        <v>0</v>
      </c>
      <c r="BL212" s="44">
        <f>RawData!BT944</f>
        <v>0</v>
      </c>
      <c r="BM212" s="47">
        <f>RawData!BV944</f>
        <v>0</v>
      </c>
      <c r="BN212" s="65">
        <f>RawData!CC944</f>
        <v>0</v>
      </c>
      <c r="BO212" s="66">
        <f>RawData!CD944</f>
        <v>0</v>
      </c>
      <c r="BQ212" s="21">
        <f t="shared" si="3"/>
        <v>0</v>
      </c>
    </row>
    <row r="213" spans="1:69" x14ac:dyDescent="0.2">
      <c r="A213" s="59">
        <f>RawData!P945</f>
        <v>0</v>
      </c>
      <c r="B213" s="44">
        <f>RawData!Q945</f>
        <v>0</v>
      </c>
      <c r="C213" s="44">
        <f>RawData!R945</f>
        <v>0</v>
      </c>
      <c r="D213" s="63">
        <f>RawData!S945</f>
        <v>0</v>
      </c>
      <c r="E213" s="44">
        <f>RawData!T945</f>
        <v>0</v>
      </c>
      <c r="F213" s="63">
        <f>RawData!U945</f>
        <v>0</v>
      </c>
      <c r="G213" s="44">
        <f>RawData!V945</f>
        <v>0</v>
      </c>
      <c r="H213" s="44">
        <f>RawData!W945</f>
        <v>0</v>
      </c>
      <c r="I213" s="44">
        <f>RawData!X945</f>
        <v>0</v>
      </c>
      <c r="J213" s="44">
        <f>RawData!Y945</f>
        <v>0</v>
      </c>
      <c r="K213" s="40">
        <f>RawData!Z945</f>
        <v>0</v>
      </c>
      <c r="L213" s="40">
        <f>RawData!AA945</f>
        <v>0</v>
      </c>
      <c r="M213" s="36">
        <f>RawData!AB945</f>
        <v>0</v>
      </c>
      <c r="N213" s="36">
        <f>RawData!AC945</f>
        <v>0</v>
      </c>
      <c r="O213" s="37">
        <f>RawData!AD945</f>
        <v>0</v>
      </c>
      <c r="P213" s="38">
        <f>RawData!AE945</f>
        <v>0</v>
      </c>
      <c r="Q213" s="39">
        <f>RawData!AF945</f>
        <v>0</v>
      </c>
      <c r="R213" s="38">
        <f>RawData!AG945</f>
        <v>0</v>
      </c>
      <c r="S213" s="40">
        <f>RawData!AH945</f>
        <v>0</v>
      </c>
      <c r="T213" s="40">
        <f>RawData!AI945</f>
        <v>0</v>
      </c>
      <c r="U213" s="40">
        <f>RawData!AJ945</f>
        <v>0</v>
      </c>
      <c r="V213" s="41">
        <f>RawData!AK945</f>
        <v>0</v>
      </c>
      <c r="W213" s="41">
        <f>RawData!AL945</f>
        <v>0</v>
      </c>
      <c r="X213" s="43">
        <f>RawData!CA945</f>
        <v>0</v>
      </c>
      <c r="Y213" s="41">
        <f>RawData!AM945</f>
        <v>0</v>
      </c>
      <c r="Z213" s="44">
        <f>RawData!CB945</f>
        <v>0</v>
      </c>
      <c r="AA213" s="44">
        <f>RawData!AN945</f>
        <v>0</v>
      </c>
      <c r="AB213" s="44">
        <f>RawData!AO945</f>
        <v>0</v>
      </c>
      <c r="AC213" s="44">
        <f>RawData!AP945</f>
        <v>0</v>
      </c>
      <c r="AD213" s="63">
        <f>RawData!BZ945</f>
        <v>0</v>
      </c>
      <c r="AE213" s="44">
        <f>RawData!AQ945</f>
        <v>0</v>
      </c>
      <c r="AF213" s="46">
        <f>RawData!O945</f>
        <v>0</v>
      </c>
      <c r="AG213" s="44">
        <f>RawData!AR945</f>
        <v>0</v>
      </c>
      <c r="AH213" s="44">
        <f>RawData!BY945</f>
        <v>0</v>
      </c>
      <c r="AI213" s="44">
        <f>RawData!AS945</f>
        <v>0</v>
      </c>
      <c r="AJ213" s="44">
        <f>RawData!AT945</f>
        <v>0</v>
      </c>
      <c r="AK213" s="44">
        <f>RawData!AU945</f>
        <v>0</v>
      </c>
      <c r="AL213" s="44">
        <f>RawData!BW945</f>
        <v>0</v>
      </c>
      <c r="AM213" s="41">
        <f>RawData!AV945</f>
        <v>0</v>
      </c>
      <c r="AN213" s="41">
        <f>RawData!BX945</f>
        <v>0</v>
      </c>
      <c r="AO213" s="41">
        <f>RawData!AW945</f>
        <v>0</v>
      </c>
      <c r="AP213" s="41">
        <f>RawData!AX945</f>
        <v>0</v>
      </c>
      <c r="AQ213" s="40">
        <f>RawData!AY945</f>
        <v>0</v>
      </c>
      <c r="AR213" s="40">
        <f>RawData!AZ945</f>
        <v>0</v>
      </c>
      <c r="AS213" s="40">
        <f>RawData!BA945</f>
        <v>0</v>
      </c>
      <c r="AT213" s="38">
        <f>RawData!BB945</f>
        <v>0</v>
      </c>
      <c r="AU213" s="40">
        <f>RawData!BC945</f>
        <v>0</v>
      </c>
      <c r="AV213" s="40">
        <f>RawData!BD945</f>
        <v>0</v>
      </c>
      <c r="AW213" s="38">
        <f>RawData!BE945</f>
        <v>0</v>
      </c>
      <c r="AX213" s="37">
        <f>RawData!BF945</f>
        <v>0</v>
      </c>
      <c r="AY213" s="36">
        <f>RawData!BG945</f>
        <v>0</v>
      </c>
      <c r="AZ213" s="36">
        <f>RawData!BH945</f>
        <v>0</v>
      </c>
      <c r="BA213" s="40">
        <f>RawData!BI945</f>
        <v>0</v>
      </c>
      <c r="BB213" s="44">
        <f>RawData!BJ945</f>
        <v>0</v>
      </c>
      <c r="BC213" s="44">
        <f>RawData!BK945</f>
        <v>0</v>
      </c>
      <c r="BD213" s="44">
        <f>RawData!BL945</f>
        <v>0</v>
      </c>
      <c r="BE213" s="44">
        <f>RawData!BM945</f>
        <v>0</v>
      </c>
      <c r="BF213" s="44">
        <f>RawData!BN945</f>
        <v>0</v>
      </c>
      <c r="BG213" s="63">
        <f>RawData!BO945</f>
        <v>0</v>
      </c>
      <c r="BH213" s="44">
        <f>RawData!BP945</f>
        <v>0</v>
      </c>
      <c r="BI213" s="63">
        <f>RawData!BQ945</f>
        <v>0</v>
      </c>
      <c r="BJ213" s="44">
        <f>RawData!BR945</f>
        <v>0</v>
      </c>
      <c r="BK213" s="47">
        <f>RawData!BS945</f>
        <v>0</v>
      </c>
      <c r="BL213" s="44">
        <f>RawData!BT945</f>
        <v>0</v>
      </c>
      <c r="BM213" s="47">
        <f>RawData!BV945</f>
        <v>0</v>
      </c>
      <c r="BN213" s="65">
        <f>RawData!CC945</f>
        <v>0</v>
      </c>
      <c r="BO213" s="66">
        <f>RawData!CD945</f>
        <v>0</v>
      </c>
      <c r="BQ213" s="21">
        <f t="shared" si="3"/>
        <v>0</v>
      </c>
    </row>
    <row r="214" spans="1:69" x14ac:dyDescent="0.2">
      <c r="A214" s="59">
        <f>RawData!P946</f>
        <v>0</v>
      </c>
      <c r="B214" s="44">
        <f>RawData!Q946</f>
        <v>0</v>
      </c>
      <c r="C214" s="44">
        <f>RawData!R946</f>
        <v>0</v>
      </c>
      <c r="D214" s="63">
        <f>RawData!S946</f>
        <v>0</v>
      </c>
      <c r="E214" s="44">
        <f>RawData!T946</f>
        <v>0</v>
      </c>
      <c r="F214" s="63">
        <f>RawData!U946</f>
        <v>0</v>
      </c>
      <c r="G214" s="44">
        <f>RawData!V946</f>
        <v>0</v>
      </c>
      <c r="H214" s="44">
        <f>RawData!W946</f>
        <v>0</v>
      </c>
      <c r="I214" s="44">
        <f>RawData!X946</f>
        <v>0</v>
      </c>
      <c r="J214" s="44">
        <f>RawData!Y946</f>
        <v>0</v>
      </c>
      <c r="K214" s="40">
        <f>RawData!Z946</f>
        <v>0</v>
      </c>
      <c r="L214" s="40">
        <f>RawData!AA946</f>
        <v>0</v>
      </c>
      <c r="M214" s="36">
        <f>RawData!AB946</f>
        <v>0</v>
      </c>
      <c r="N214" s="36">
        <f>RawData!AC946</f>
        <v>0</v>
      </c>
      <c r="O214" s="37">
        <f>RawData!AD946</f>
        <v>0</v>
      </c>
      <c r="P214" s="38">
        <f>RawData!AE946</f>
        <v>0</v>
      </c>
      <c r="Q214" s="39">
        <f>RawData!AF946</f>
        <v>0</v>
      </c>
      <c r="R214" s="38">
        <f>RawData!AG946</f>
        <v>0</v>
      </c>
      <c r="S214" s="40">
        <f>RawData!AH946</f>
        <v>0</v>
      </c>
      <c r="T214" s="40">
        <f>RawData!AI946</f>
        <v>0</v>
      </c>
      <c r="U214" s="40">
        <f>RawData!AJ946</f>
        <v>0</v>
      </c>
      <c r="V214" s="41">
        <f>RawData!AK946</f>
        <v>0</v>
      </c>
      <c r="W214" s="41">
        <f>RawData!AL946</f>
        <v>0</v>
      </c>
      <c r="X214" s="43">
        <f>RawData!CA946</f>
        <v>0</v>
      </c>
      <c r="Y214" s="41">
        <f>RawData!AM946</f>
        <v>0</v>
      </c>
      <c r="Z214" s="44">
        <f>RawData!CB946</f>
        <v>0</v>
      </c>
      <c r="AA214" s="44">
        <f>RawData!AN946</f>
        <v>0</v>
      </c>
      <c r="AB214" s="44">
        <f>RawData!AO946</f>
        <v>0</v>
      </c>
      <c r="AC214" s="44">
        <f>RawData!AP946</f>
        <v>0</v>
      </c>
      <c r="AD214" s="63">
        <f>RawData!BZ946</f>
        <v>0</v>
      </c>
      <c r="AE214" s="44">
        <f>RawData!AQ946</f>
        <v>0</v>
      </c>
      <c r="AF214" s="46">
        <f>RawData!O946</f>
        <v>0</v>
      </c>
      <c r="AG214" s="44">
        <f>RawData!AR946</f>
        <v>0</v>
      </c>
      <c r="AH214" s="44">
        <f>RawData!BY946</f>
        <v>0</v>
      </c>
      <c r="AI214" s="44">
        <f>RawData!AS946</f>
        <v>0</v>
      </c>
      <c r="AJ214" s="44">
        <f>RawData!AT946</f>
        <v>0</v>
      </c>
      <c r="AK214" s="44">
        <f>RawData!AU946</f>
        <v>0</v>
      </c>
      <c r="AL214" s="44">
        <f>RawData!BW946</f>
        <v>0</v>
      </c>
      <c r="AM214" s="41">
        <f>RawData!AV946</f>
        <v>0</v>
      </c>
      <c r="AN214" s="41">
        <f>RawData!BX946</f>
        <v>0</v>
      </c>
      <c r="AO214" s="41">
        <f>RawData!AW946</f>
        <v>0</v>
      </c>
      <c r="AP214" s="41">
        <f>RawData!AX946</f>
        <v>0</v>
      </c>
      <c r="AQ214" s="40">
        <f>RawData!AY946</f>
        <v>0</v>
      </c>
      <c r="AR214" s="40">
        <f>RawData!AZ946</f>
        <v>0</v>
      </c>
      <c r="AS214" s="40">
        <f>RawData!BA946</f>
        <v>0</v>
      </c>
      <c r="AT214" s="38">
        <f>RawData!BB946</f>
        <v>0</v>
      </c>
      <c r="AU214" s="40">
        <f>RawData!BC946</f>
        <v>0</v>
      </c>
      <c r="AV214" s="40">
        <f>RawData!BD946</f>
        <v>0</v>
      </c>
      <c r="AW214" s="38">
        <f>RawData!BE946</f>
        <v>0</v>
      </c>
      <c r="AX214" s="37">
        <f>RawData!BF946</f>
        <v>0</v>
      </c>
      <c r="AY214" s="36">
        <f>RawData!BG946</f>
        <v>0</v>
      </c>
      <c r="AZ214" s="36">
        <f>RawData!BH946</f>
        <v>0</v>
      </c>
      <c r="BA214" s="40">
        <f>RawData!BI946</f>
        <v>0</v>
      </c>
      <c r="BB214" s="44">
        <f>RawData!BJ946</f>
        <v>0</v>
      </c>
      <c r="BC214" s="44">
        <f>RawData!BK946</f>
        <v>0</v>
      </c>
      <c r="BD214" s="44">
        <f>RawData!BL946</f>
        <v>0</v>
      </c>
      <c r="BE214" s="44">
        <f>RawData!BM946</f>
        <v>0</v>
      </c>
      <c r="BF214" s="44">
        <f>RawData!BN946</f>
        <v>0</v>
      </c>
      <c r="BG214" s="63">
        <f>RawData!BO946</f>
        <v>0</v>
      </c>
      <c r="BH214" s="44">
        <f>RawData!BP946</f>
        <v>0</v>
      </c>
      <c r="BI214" s="63">
        <f>RawData!BQ946</f>
        <v>0</v>
      </c>
      <c r="BJ214" s="44">
        <f>RawData!BR946</f>
        <v>0</v>
      </c>
      <c r="BK214" s="47">
        <f>RawData!BS946</f>
        <v>0</v>
      </c>
      <c r="BL214" s="44">
        <f>RawData!BT946</f>
        <v>0</v>
      </c>
      <c r="BM214" s="47">
        <f>RawData!BV946</f>
        <v>0</v>
      </c>
      <c r="BN214" s="65">
        <f>RawData!CC946</f>
        <v>0</v>
      </c>
      <c r="BO214" s="66">
        <f>RawData!CD946</f>
        <v>0</v>
      </c>
      <c r="BQ214" s="21">
        <f t="shared" si="3"/>
        <v>0</v>
      </c>
    </row>
    <row r="215" spans="1:69" x14ac:dyDescent="0.2">
      <c r="A215" s="59">
        <f>RawData!P947</f>
        <v>0</v>
      </c>
      <c r="B215" s="44">
        <f>RawData!Q947</f>
        <v>0</v>
      </c>
      <c r="C215" s="44">
        <f>RawData!R947</f>
        <v>0</v>
      </c>
      <c r="D215" s="63">
        <f>RawData!S947</f>
        <v>0</v>
      </c>
      <c r="E215" s="44">
        <f>RawData!T947</f>
        <v>0</v>
      </c>
      <c r="F215" s="63">
        <f>RawData!U947</f>
        <v>0</v>
      </c>
      <c r="G215" s="44">
        <f>RawData!V947</f>
        <v>0</v>
      </c>
      <c r="H215" s="44">
        <f>RawData!W947</f>
        <v>0</v>
      </c>
      <c r="I215" s="44">
        <f>RawData!X947</f>
        <v>0</v>
      </c>
      <c r="J215" s="44">
        <f>RawData!Y947</f>
        <v>0</v>
      </c>
      <c r="K215" s="40">
        <f>RawData!Z947</f>
        <v>0</v>
      </c>
      <c r="L215" s="40">
        <f>RawData!AA947</f>
        <v>0</v>
      </c>
      <c r="M215" s="36">
        <f>RawData!AB947</f>
        <v>0</v>
      </c>
      <c r="N215" s="36">
        <f>RawData!AC947</f>
        <v>0</v>
      </c>
      <c r="O215" s="37">
        <f>RawData!AD947</f>
        <v>0</v>
      </c>
      <c r="P215" s="38">
        <f>RawData!AE947</f>
        <v>0</v>
      </c>
      <c r="Q215" s="39">
        <f>RawData!AF947</f>
        <v>0</v>
      </c>
      <c r="R215" s="38">
        <f>RawData!AG947</f>
        <v>0</v>
      </c>
      <c r="S215" s="40">
        <f>RawData!AH947</f>
        <v>0</v>
      </c>
      <c r="T215" s="40">
        <f>RawData!AI947</f>
        <v>0</v>
      </c>
      <c r="U215" s="40">
        <f>RawData!AJ947</f>
        <v>0</v>
      </c>
      <c r="V215" s="41">
        <f>RawData!AK947</f>
        <v>0</v>
      </c>
      <c r="W215" s="41">
        <f>RawData!AL947</f>
        <v>0</v>
      </c>
      <c r="X215" s="43">
        <f>RawData!CA947</f>
        <v>0</v>
      </c>
      <c r="Y215" s="41">
        <f>RawData!AM947</f>
        <v>0</v>
      </c>
      <c r="Z215" s="44">
        <f>RawData!CB947</f>
        <v>0</v>
      </c>
      <c r="AA215" s="44">
        <f>RawData!AN947</f>
        <v>0</v>
      </c>
      <c r="AB215" s="44">
        <f>RawData!AO947</f>
        <v>0</v>
      </c>
      <c r="AC215" s="44">
        <f>RawData!AP947</f>
        <v>0</v>
      </c>
      <c r="AD215" s="63">
        <f>RawData!BZ947</f>
        <v>0</v>
      </c>
      <c r="AE215" s="44">
        <f>RawData!AQ947</f>
        <v>0</v>
      </c>
      <c r="AF215" s="46">
        <f>RawData!O947</f>
        <v>0</v>
      </c>
      <c r="AG215" s="44">
        <f>RawData!AR947</f>
        <v>0</v>
      </c>
      <c r="AH215" s="44">
        <f>RawData!BY947</f>
        <v>0</v>
      </c>
      <c r="AI215" s="44">
        <f>RawData!AS947</f>
        <v>0</v>
      </c>
      <c r="AJ215" s="44">
        <f>RawData!AT947</f>
        <v>0</v>
      </c>
      <c r="AK215" s="44">
        <f>RawData!AU947</f>
        <v>0</v>
      </c>
      <c r="AL215" s="44">
        <f>RawData!BW947</f>
        <v>0</v>
      </c>
      <c r="AM215" s="41">
        <f>RawData!AV947</f>
        <v>0</v>
      </c>
      <c r="AN215" s="41">
        <f>RawData!BX947</f>
        <v>0</v>
      </c>
      <c r="AO215" s="41">
        <f>RawData!AW947</f>
        <v>0</v>
      </c>
      <c r="AP215" s="41">
        <f>RawData!AX947</f>
        <v>0</v>
      </c>
      <c r="AQ215" s="40">
        <f>RawData!AY947</f>
        <v>0</v>
      </c>
      <c r="AR215" s="40">
        <f>RawData!AZ947</f>
        <v>0</v>
      </c>
      <c r="AS215" s="40">
        <f>RawData!BA947</f>
        <v>0</v>
      </c>
      <c r="AT215" s="38">
        <f>RawData!BB947</f>
        <v>0</v>
      </c>
      <c r="AU215" s="40">
        <f>RawData!BC947</f>
        <v>0</v>
      </c>
      <c r="AV215" s="40">
        <f>RawData!BD947</f>
        <v>0</v>
      </c>
      <c r="AW215" s="38">
        <f>RawData!BE947</f>
        <v>0</v>
      </c>
      <c r="AX215" s="37">
        <f>RawData!BF947</f>
        <v>0</v>
      </c>
      <c r="AY215" s="36">
        <f>RawData!BG947</f>
        <v>0</v>
      </c>
      <c r="AZ215" s="36">
        <f>RawData!BH947</f>
        <v>0</v>
      </c>
      <c r="BA215" s="40">
        <f>RawData!BI947</f>
        <v>0</v>
      </c>
      <c r="BB215" s="44">
        <f>RawData!BJ947</f>
        <v>0</v>
      </c>
      <c r="BC215" s="44">
        <f>RawData!BK947</f>
        <v>0</v>
      </c>
      <c r="BD215" s="44">
        <f>RawData!BL947</f>
        <v>0</v>
      </c>
      <c r="BE215" s="44">
        <f>RawData!BM947</f>
        <v>0</v>
      </c>
      <c r="BF215" s="44">
        <f>RawData!BN947</f>
        <v>0</v>
      </c>
      <c r="BG215" s="63">
        <f>RawData!BO947</f>
        <v>0</v>
      </c>
      <c r="BH215" s="44">
        <f>RawData!BP947</f>
        <v>0</v>
      </c>
      <c r="BI215" s="63">
        <f>RawData!BQ947</f>
        <v>0</v>
      </c>
      <c r="BJ215" s="44">
        <f>RawData!BR947</f>
        <v>0</v>
      </c>
      <c r="BK215" s="47">
        <f>RawData!BS947</f>
        <v>0</v>
      </c>
      <c r="BL215" s="44">
        <f>RawData!BT947</f>
        <v>0</v>
      </c>
      <c r="BM215" s="47">
        <f>RawData!BV947</f>
        <v>0</v>
      </c>
      <c r="BN215" s="65">
        <f>RawData!CC947</f>
        <v>0</v>
      </c>
      <c r="BO215" s="66">
        <f>RawData!CD947</f>
        <v>0</v>
      </c>
      <c r="BQ215" s="21">
        <f t="shared" si="3"/>
        <v>0</v>
      </c>
    </row>
    <row r="216" spans="1:69" x14ac:dyDescent="0.2">
      <c r="A216" s="59">
        <f>RawData!P948</f>
        <v>0</v>
      </c>
      <c r="B216" s="44">
        <f>RawData!Q948</f>
        <v>0</v>
      </c>
      <c r="C216" s="44">
        <f>RawData!R948</f>
        <v>0</v>
      </c>
      <c r="D216" s="63">
        <f>RawData!S948</f>
        <v>0</v>
      </c>
      <c r="E216" s="44">
        <f>RawData!T948</f>
        <v>0</v>
      </c>
      <c r="F216" s="63">
        <f>RawData!U948</f>
        <v>0</v>
      </c>
      <c r="G216" s="44">
        <f>RawData!V948</f>
        <v>0</v>
      </c>
      <c r="H216" s="44">
        <f>RawData!W948</f>
        <v>0</v>
      </c>
      <c r="I216" s="44">
        <f>RawData!X948</f>
        <v>0</v>
      </c>
      <c r="J216" s="44">
        <f>RawData!Y948</f>
        <v>0</v>
      </c>
      <c r="K216" s="40">
        <f>RawData!Z948</f>
        <v>0</v>
      </c>
      <c r="L216" s="40">
        <f>RawData!AA948</f>
        <v>0</v>
      </c>
      <c r="M216" s="36">
        <f>RawData!AB948</f>
        <v>0</v>
      </c>
      <c r="N216" s="36">
        <f>RawData!AC948</f>
        <v>0</v>
      </c>
      <c r="O216" s="37">
        <f>RawData!AD948</f>
        <v>0</v>
      </c>
      <c r="P216" s="38">
        <f>RawData!AE948</f>
        <v>0</v>
      </c>
      <c r="Q216" s="39">
        <f>RawData!AF948</f>
        <v>0</v>
      </c>
      <c r="R216" s="38">
        <f>RawData!AG948</f>
        <v>0</v>
      </c>
      <c r="S216" s="40">
        <f>RawData!AH948</f>
        <v>0</v>
      </c>
      <c r="T216" s="40">
        <f>RawData!AI948</f>
        <v>0</v>
      </c>
      <c r="U216" s="40">
        <f>RawData!AJ948</f>
        <v>0</v>
      </c>
      <c r="V216" s="41">
        <f>RawData!AK948</f>
        <v>0</v>
      </c>
      <c r="W216" s="41">
        <f>RawData!AL948</f>
        <v>0</v>
      </c>
      <c r="X216" s="43">
        <f>RawData!CA948</f>
        <v>0</v>
      </c>
      <c r="Y216" s="41">
        <f>RawData!AM948</f>
        <v>0</v>
      </c>
      <c r="Z216" s="44">
        <f>RawData!CB948</f>
        <v>0</v>
      </c>
      <c r="AA216" s="44">
        <f>RawData!AN948</f>
        <v>0</v>
      </c>
      <c r="AB216" s="44">
        <f>RawData!AO948</f>
        <v>0</v>
      </c>
      <c r="AC216" s="44">
        <f>RawData!AP948</f>
        <v>0</v>
      </c>
      <c r="AD216" s="63">
        <f>RawData!BZ948</f>
        <v>0</v>
      </c>
      <c r="AE216" s="44">
        <f>RawData!AQ948</f>
        <v>0</v>
      </c>
      <c r="AF216" s="46">
        <f>RawData!O948</f>
        <v>0</v>
      </c>
      <c r="AG216" s="44">
        <f>RawData!AR948</f>
        <v>0</v>
      </c>
      <c r="AH216" s="44">
        <f>RawData!BY948</f>
        <v>0</v>
      </c>
      <c r="AI216" s="44">
        <f>RawData!AS948</f>
        <v>0</v>
      </c>
      <c r="AJ216" s="44">
        <f>RawData!AT948</f>
        <v>0</v>
      </c>
      <c r="AK216" s="44">
        <f>RawData!AU948</f>
        <v>0</v>
      </c>
      <c r="AL216" s="44">
        <f>RawData!BW948</f>
        <v>0</v>
      </c>
      <c r="AM216" s="41">
        <f>RawData!AV948</f>
        <v>0</v>
      </c>
      <c r="AN216" s="41">
        <f>RawData!BX948</f>
        <v>0</v>
      </c>
      <c r="AO216" s="41">
        <f>RawData!AW948</f>
        <v>0</v>
      </c>
      <c r="AP216" s="41">
        <f>RawData!AX948</f>
        <v>0</v>
      </c>
      <c r="AQ216" s="40">
        <f>RawData!AY948</f>
        <v>0</v>
      </c>
      <c r="AR216" s="40">
        <f>RawData!AZ948</f>
        <v>0</v>
      </c>
      <c r="AS216" s="40">
        <f>RawData!BA948</f>
        <v>0</v>
      </c>
      <c r="AT216" s="38">
        <f>RawData!BB948</f>
        <v>0</v>
      </c>
      <c r="AU216" s="40">
        <f>RawData!BC948</f>
        <v>0</v>
      </c>
      <c r="AV216" s="40">
        <f>RawData!BD948</f>
        <v>0</v>
      </c>
      <c r="AW216" s="38">
        <f>RawData!BE948</f>
        <v>0</v>
      </c>
      <c r="AX216" s="37">
        <f>RawData!BF948</f>
        <v>0</v>
      </c>
      <c r="AY216" s="36">
        <f>RawData!BG948</f>
        <v>0</v>
      </c>
      <c r="AZ216" s="36">
        <f>RawData!BH948</f>
        <v>0</v>
      </c>
      <c r="BA216" s="40">
        <f>RawData!BI948</f>
        <v>0</v>
      </c>
      <c r="BB216" s="44">
        <f>RawData!BJ948</f>
        <v>0</v>
      </c>
      <c r="BC216" s="44">
        <f>RawData!BK948</f>
        <v>0</v>
      </c>
      <c r="BD216" s="44">
        <f>RawData!BL948</f>
        <v>0</v>
      </c>
      <c r="BE216" s="44">
        <f>RawData!BM948</f>
        <v>0</v>
      </c>
      <c r="BF216" s="44">
        <f>RawData!BN948</f>
        <v>0</v>
      </c>
      <c r="BG216" s="63">
        <f>RawData!BO948</f>
        <v>0</v>
      </c>
      <c r="BH216" s="44">
        <f>RawData!BP948</f>
        <v>0</v>
      </c>
      <c r="BI216" s="63">
        <f>RawData!BQ948</f>
        <v>0</v>
      </c>
      <c r="BJ216" s="44">
        <f>RawData!BR948</f>
        <v>0</v>
      </c>
      <c r="BK216" s="47">
        <f>RawData!BS948</f>
        <v>0</v>
      </c>
      <c r="BL216" s="44">
        <f>RawData!BT948</f>
        <v>0</v>
      </c>
      <c r="BM216" s="47">
        <f>RawData!BV948</f>
        <v>0</v>
      </c>
      <c r="BN216" s="65">
        <f>RawData!CC948</f>
        <v>0</v>
      </c>
      <c r="BO216" s="66">
        <f>RawData!CD948</f>
        <v>0</v>
      </c>
      <c r="BQ216" s="21">
        <f t="shared" si="3"/>
        <v>0</v>
      </c>
    </row>
    <row r="217" spans="1:69" x14ac:dyDescent="0.2">
      <c r="A217" s="59">
        <f>RawData!P949</f>
        <v>0</v>
      </c>
      <c r="B217" s="44">
        <f>RawData!Q949</f>
        <v>0</v>
      </c>
      <c r="C217" s="44">
        <f>RawData!R949</f>
        <v>0</v>
      </c>
      <c r="D217" s="63">
        <f>RawData!S949</f>
        <v>0</v>
      </c>
      <c r="E217" s="44">
        <f>RawData!T949</f>
        <v>0</v>
      </c>
      <c r="F217" s="63">
        <f>RawData!U949</f>
        <v>0</v>
      </c>
      <c r="G217" s="44">
        <f>RawData!V949</f>
        <v>0</v>
      </c>
      <c r="H217" s="44">
        <f>RawData!W949</f>
        <v>0</v>
      </c>
      <c r="I217" s="44">
        <f>RawData!X949</f>
        <v>0</v>
      </c>
      <c r="J217" s="44">
        <f>RawData!Y949</f>
        <v>0</v>
      </c>
      <c r="K217" s="40">
        <f>RawData!Z949</f>
        <v>0</v>
      </c>
      <c r="L217" s="40">
        <f>RawData!AA949</f>
        <v>0</v>
      </c>
      <c r="M217" s="36">
        <f>RawData!AB949</f>
        <v>0</v>
      </c>
      <c r="N217" s="36">
        <f>RawData!AC949</f>
        <v>0</v>
      </c>
      <c r="O217" s="37">
        <f>RawData!AD949</f>
        <v>0</v>
      </c>
      <c r="P217" s="38">
        <f>RawData!AE949</f>
        <v>0</v>
      </c>
      <c r="Q217" s="39">
        <f>RawData!AF949</f>
        <v>0</v>
      </c>
      <c r="R217" s="38">
        <f>RawData!AG949</f>
        <v>0</v>
      </c>
      <c r="S217" s="40">
        <f>RawData!AH949</f>
        <v>0</v>
      </c>
      <c r="T217" s="40">
        <f>RawData!AI949</f>
        <v>0</v>
      </c>
      <c r="U217" s="40">
        <f>RawData!AJ949</f>
        <v>0</v>
      </c>
      <c r="V217" s="41">
        <f>RawData!AK949</f>
        <v>0</v>
      </c>
      <c r="W217" s="41">
        <f>RawData!AL949</f>
        <v>0</v>
      </c>
      <c r="X217" s="43">
        <f>RawData!CA949</f>
        <v>0</v>
      </c>
      <c r="Y217" s="41">
        <f>RawData!AM949</f>
        <v>0</v>
      </c>
      <c r="Z217" s="44">
        <f>RawData!CB949</f>
        <v>0</v>
      </c>
      <c r="AA217" s="44">
        <f>RawData!AN949</f>
        <v>0</v>
      </c>
      <c r="AB217" s="44">
        <f>RawData!AO949</f>
        <v>0</v>
      </c>
      <c r="AC217" s="44">
        <f>RawData!AP949</f>
        <v>0</v>
      </c>
      <c r="AD217" s="63">
        <f>RawData!BZ949</f>
        <v>0</v>
      </c>
      <c r="AE217" s="44">
        <f>RawData!AQ949</f>
        <v>0</v>
      </c>
      <c r="AF217" s="46">
        <f>RawData!O949</f>
        <v>0</v>
      </c>
      <c r="AG217" s="44">
        <f>RawData!AR949</f>
        <v>0</v>
      </c>
      <c r="AH217" s="44">
        <f>RawData!BY949</f>
        <v>0</v>
      </c>
      <c r="AI217" s="44">
        <f>RawData!AS949</f>
        <v>0</v>
      </c>
      <c r="AJ217" s="44">
        <f>RawData!AT949</f>
        <v>0</v>
      </c>
      <c r="AK217" s="44">
        <f>RawData!AU949</f>
        <v>0</v>
      </c>
      <c r="AL217" s="44">
        <f>RawData!BW949</f>
        <v>0</v>
      </c>
      <c r="AM217" s="41">
        <f>RawData!AV949</f>
        <v>0</v>
      </c>
      <c r="AN217" s="41">
        <f>RawData!BX949</f>
        <v>0</v>
      </c>
      <c r="AO217" s="41">
        <f>RawData!AW949</f>
        <v>0</v>
      </c>
      <c r="AP217" s="41">
        <f>RawData!AX949</f>
        <v>0</v>
      </c>
      <c r="AQ217" s="40">
        <f>RawData!AY949</f>
        <v>0</v>
      </c>
      <c r="AR217" s="40">
        <f>RawData!AZ949</f>
        <v>0</v>
      </c>
      <c r="AS217" s="40">
        <f>RawData!BA949</f>
        <v>0</v>
      </c>
      <c r="AT217" s="38">
        <f>RawData!BB949</f>
        <v>0</v>
      </c>
      <c r="AU217" s="40">
        <f>RawData!BC949</f>
        <v>0</v>
      </c>
      <c r="AV217" s="40">
        <f>RawData!BD949</f>
        <v>0</v>
      </c>
      <c r="AW217" s="38">
        <f>RawData!BE949</f>
        <v>0</v>
      </c>
      <c r="AX217" s="37">
        <f>RawData!BF949</f>
        <v>0</v>
      </c>
      <c r="AY217" s="36">
        <f>RawData!BG949</f>
        <v>0</v>
      </c>
      <c r="AZ217" s="36">
        <f>RawData!BH949</f>
        <v>0</v>
      </c>
      <c r="BA217" s="40">
        <f>RawData!BI949</f>
        <v>0</v>
      </c>
      <c r="BB217" s="44">
        <f>RawData!BJ949</f>
        <v>0</v>
      </c>
      <c r="BC217" s="44">
        <f>RawData!BK949</f>
        <v>0</v>
      </c>
      <c r="BD217" s="44">
        <f>RawData!BL949</f>
        <v>0</v>
      </c>
      <c r="BE217" s="44">
        <f>RawData!BM949</f>
        <v>0</v>
      </c>
      <c r="BF217" s="44">
        <f>RawData!BN949</f>
        <v>0</v>
      </c>
      <c r="BG217" s="63">
        <f>RawData!BO949</f>
        <v>0</v>
      </c>
      <c r="BH217" s="44">
        <f>RawData!BP949</f>
        <v>0</v>
      </c>
      <c r="BI217" s="63">
        <f>RawData!BQ949</f>
        <v>0</v>
      </c>
      <c r="BJ217" s="44">
        <f>RawData!BR949</f>
        <v>0</v>
      </c>
      <c r="BK217" s="47">
        <f>RawData!BS949</f>
        <v>0</v>
      </c>
      <c r="BL217" s="44">
        <f>RawData!BT949</f>
        <v>0</v>
      </c>
      <c r="BM217" s="47">
        <f>RawData!BV949</f>
        <v>0</v>
      </c>
      <c r="BN217" s="65">
        <f>RawData!CC949</f>
        <v>0</v>
      </c>
      <c r="BO217" s="66">
        <f>RawData!CD949</f>
        <v>0</v>
      </c>
      <c r="BQ217" s="21">
        <f t="shared" si="3"/>
        <v>0</v>
      </c>
    </row>
    <row r="218" spans="1:69" x14ac:dyDescent="0.2">
      <c r="A218" s="59">
        <f>RawData!P950</f>
        <v>0</v>
      </c>
      <c r="B218" s="44">
        <f>RawData!Q950</f>
        <v>0</v>
      </c>
      <c r="C218" s="44">
        <f>RawData!R950</f>
        <v>0</v>
      </c>
      <c r="D218" s="63">
        <f>RawData!S950</f>
        <v>0</v>
      </c>
      <c r="E218" s="44">
        <f>RawData!T950</f>
        <v>0</v>
      </c>
      <c r="F218" s="63">
        <f>RawData!U950</f>
        <v>0</v>
      </c>
      <c r="G218" s="44">
        <f>RawData!V950</f>
        <v>0</v>
      </c>
      <c r="H218" s="44">
        <f>RawData!W950</f>
        <v>0</v>
      </c>
      <c r="I218" s="44">
        <f>RawData!X950</f>
        <v>0</v>
      </c>
      <c r="J218" s="44">
        <f>RawData!Y950</f>
        <v>0</v>
      </c>
      <c r="K218" s="40">
        <f>RawData!Z950</f>
        <v>0</v>
      </c>
      <c r="L218" s="40">
        <f>RawData!AA950</f>
        <v>0</v>
      </c>
      <c r="M218" s="36">
        <f>RawData!AB950</f>
        <v>0</v>
      </c>
      <c r="N218" s="36">
        <f>RawData!AC950</f>
        <v>0</v>
      </c>
      <c r="O218" s="37">
        <f>RawData!AD950</f>
        <v>0</v>
      </c>
      <c r="P218" s="38">
        <f>RawData!AE950</f>
        <v>0</v>
      </c>
      <c r="Q218" s="39">
        <f>RawData!AF950</f>
        <v>0</v>
      </c>
      <c r="R218" s="38">
        <f>RawData!AG950</f>
        <v>0</v>
      </c>
      <c r="S218" s="40">
        <f>RawData!AH950</f>
        <v>0</v>
      </c>
      <c r="T218" s="40">
        <f>RawData!AI950</f>
        <v>0</v>
      </c>
      <c r="U218" s="40">
        <f>RawData!AJ950</f>
        <v>0</v>
      </c>
      <c r="V218" s="41">
        <f>RawData!AK950</f>
        <v>0</v>
      </c>
      <c r="W218" s="41">
        <f>RawData!AL950</f>
        <v>0</v>
      </c>
      <c r="X218" s="43">
        <f>RawData!CA950</f>
        <v>0</v>
      </c>
      <c r="Y218" s="41">
        <f>RawData!AM950</f>
        <v>0</v>
      </c>
      <c r="Z218" s="44">
        <f>RawData!CB950</f>
        <v>0</v>
      </c>
      <c r="AA218" s="44">
        <f>RawData!AN950</f>
        <v>0</v>
      </c>
      <c r="AB218" s="44">
        <f>RawData!AO950</f>
        <v>0</v>
      </c>
      <c r="AC218" s="44">
        <f>RawData!AP950</f>
        <v>0</v>
      </c>
      <c r="AD218" s="63">
        <f>RawData!BZ950</f>
        <v>0</v>
      </c>
      <c r="AE218" s="44">
        <f>RawData!AQ950</f>
        <v>0</v>
      </c>
      <c r="AF218" s="46">
        <f>RawData!O950</f>
        <v>0</v>
      </c>
      <c r="AG218" s="44">
        <f>RawData!AR950</f>
        <v>0</v>
      </c>
      <c r="AH218" s="44">
        <f>RawData!BY950</f>
        <v>0</v>
      </c>
      <c r="AI218" s="44">
        <f>RawData!AS950</f>
        <v>0</v>
      </c>
      <c r="AJ218" s="44">
        <f>RawData!AT950</f>
        <v>0</v>
      </c>
      <c r="AK218" s="44">
        <f>RawData!AU950</f>
        <v>0</v>
      </c>
      <c r="AL218" s="44">
        <f>RawData!BW950</f>
        <v>0</v>
      </c>
      <c r="AM218" s="41">
        <f>RawData!AV950</f>
        <v>0</v>
      </c>
      <c r="AN218" s="41">
        <f>RawData!BX950</f>
        <v>0</v>
      </c>
      <c r="AO218" s="41">
        <f>RawData!AW950</f>
        <v>0</v>
      </c>
      <c r="AP218" s="41">
        <f>RawData!AX950</f>
        <v>0</v>
      </c>
      <c r="AQ218" s="40">
        <f>RawData!AY950</f>
        <v>0</v>
      </c>
      <c r="AR218" s="40">
        <f>RawData!AZ950</f>
        <v>0</v>
      </c>
      <c r="AS218" s="40">
        <f>RawData!BA950</f>
        <v>0</v>
      </c>
      <c r="AT218" s="38">
        <f>RawData!BB950</f>
        <v>0</v>
      </c>
      <c r="AU218" s="40">
        <f>RawData!BC950</f>
        <v>0</v>
      </c>
      <c r="AV218" s="40">
        <f>RawData!BD950</f>
        <v>0</v>
      </c>
      <c r="AW218" s="38">
        <f>RawData!BE950</f>
        <v>0</v>
      </c>
      <c r="AX218" s="37">
        <f>RawData!BF950</f>
        <v>0</v>
      </c>
      <c r="AY218" s="36">
        <f>RawData!BG950</f>
        <v>0</v>
      </c>
      <c r="AZ218" s="36">
        <f>RawData!BH950</f>
        <v>0</v>
      </c>
      <c r="BA218" s="40">
        <f>RawData!BI950</f>
        <v>0</v>
      </c>
      <c r="BB218" s="44">
        <f>RawData!BJ950</f>
        <v>0</v>
      </c>
      <c r="BC218" s="44">
        <f>RawData!BK950</f>
        <v>0</v>
      </c>
      <c r="BD218" s="44">
        <f>RawData!BL950</f>
        <v>0</v>
      </c>
      <c r="BE218" s="44">
        <f>RawData!BM950</f>
        <v>0</v>
      </c>
      <c r="BF218" s="44">
        <f>RawData!BN950</f>
        <v>0</v>
      </c>
      <c r="BG218" s="63">
        <f>RawData!BO950</f>
        <v>0</v>
      </c>
      <c r="BH218" s="44">
        <f>RawData!BP950</f>
        <v>0</v>
      </c>
      <c r="BI218" s="63">
        <f>RawData!BQ950</f>
        <v>0</v>
      </c>
      <c r="BJ218" s="44">
        <f>RawData!BR950</f>
        <v>0</v>
      </c>
      <c r="BK218" s="47">
        <f>RawData!BS950</f>
        <v>0</v>
      </c>
      <c r="BL218" s="44">
        <f>RawData!BT950</f>
        <v>0</v>
      </c>
      <c r="BM218" s="47">
        <f>RawData!BV950</f>
        <v>0</v>
      </c>
      <c r="BN218" s="65">
        <f>RawData!CC950</f>
        <v>0</v>
      </c>
      <c r="BO218" s="66">
        <f>RawData!CD950</f>
        <v>0</v>
      </c>
      <c r="BQ218" s="21">
        <f t="shared" si="3"/>
        <v>0</v>
      </c>
    </row>
    <row r="219" spans="1:69" x14ac:dyDescent="0.2">
      <c r="A219" s="59">
        <f>RawData!P951</f>
        <v>0</v>
      </c>
      <c r="B219" s="44">
        <f>RawData!Q951</f>
        <v>0</v>
      </c>
      <c r="C219" s="44">
        <f>RawData!R951</f>
        <v>0</v>
      </c>
      <c r="D219" s="63">
        <f>RawData!S951</f>
        <v>0</v>
      </c>
      <c r="E219" s="44">
        <f>RawData!T951</f>
        <v>0</v>
      </c>
      <c r="F219" s="63">
        <f>RawData!U951</f>
        <v>0</v>
      </c>
      <c r="G219" s="44">
        <f>RawData!V951</f>
        <v>0</v>
      </c>
      <c r="H219" s="44">
        <f>RawData!W951</f>
        <v>0</v>
      </c>
      <c r="I219" s="44">
        <f>RawData!X951</f>
        <v>0</v>
      </c>
      <c r="J219" s="44">
        <f>RawData!Y951</f>
        <v>0</v>
      </c>
      <c r="K219" s="40">
        <f>RawData!Z951</f>
        <v>0</v>
      </c>
      <c r="L219" s="40">
        <f>RawData!AA951</f>
        <v>0</v>
      </c>
      <c r="M219" s="36">
        <f>RawData!AB951</f>
        <v>0</v>
      </c>
      <c r="N219" s="36">
        <f>RawData!AC951</f>
        <v>0</v>
      </c>
      <c r="O219" s="37">
        <f>RawData!AD951</f>
        <v>0</v>
      </c>
      <c r="P219" s="38">
        <f>RawData!AE951</f>
        <v>0</v>
      </c>
      <c r="Q219" s="39">
        <f>RawData!AF951</f>
        <v>0</v>
      </c>
      <c r="R219" s="38">
        <f>RawData!AG951</f>
        <v>0</v>
      </c>
      <c r="S219" s="40">
        <f>RawData!AH951</f>
        <v>0</v>
      </c>
      <c r="T219" s="40">
        <f>RawData!AI951</f>
        <v>0</v>
      </c>
      <c r="U219" s="40">
        <f>RawData!AJ951</f>
        <v>0</v>
      </c>
      <c r="V219" s="41">
        <f>RawData!AK951</f>
        <v>0</v>
      </c>
      <c r="W219" s="41">
        <f>RawData!AL951</f>
        <v>0</v>
      </c>
      <c r="X219" s="43">
        <f>RawData!CA951</f>
        <v>0</v>
      </c>
      <c r="Y219" s="41">
        <f>RawData!AM951</f>
        <v>0</v>
      </c>
      <c r="Z219" s="44">
        <f>RawData!CB951</f>
        <v>0</v>
      </c>
      <c r="AA219" s="44">
        <f>RawData!AN951</f>
        <v>0</v>
      </c>
      <c r="AB219" s="44">
        <f>RawData!AO951</f>
        <v>0</v>
      </c>
      <c r="AC219" s="44">
        <f>RawData!AP951</f>
        <v>0</v>
      </c>
      <c r="AD219" s="63">
        <f>RawData!BZ951</f>
        <v>0</v>
      </c>
      <c r="AE219" s="44">
        <f>RawData!AQ951</f>
        <v>0</v>
      </c>
      <c r="AF219" s="46">
        <f>RawData!O951</f>
        <v>0</v>
      </c>
      <c r="AG219" s="44">
        <f>RawData!AR951</f>
        <v>0</v>
      </c>
      <c r="AH219" s="44">
        <f>RawData!BY951</f>
        <v>0</v>
      </c>
      <c r="AI219" s="44">
        <f>RawData!AS951</f>
        <v>0</v>
      </c>
      <c r="AJ219" s="44">
        <f>RawData!AT951</f>
        <v>0</v>
      </c>
      <c r="AK219" s="44">
        <f>RawData!AU951</f>
        <v>0</v>
      </c>
      <c r="AL219" s="44">
        <f>RawData!BW951</f>
        <v>0</v>
      </c>
      <c r="AM219" s="41">
        <f>RawData!AV951</f>
        <v>0</v>
      </c>
      <c r="AN219" s="41">
        <f>RawData!BX951</f>
        <v>0</v>
      </c>
      <c r="AO219" s="41">
        <f>RawData!AW951</f>
        <v>0</v>
      </c>
      <c r="AP219" s="41">
        <f>RawData!AX951</f>
        <v>0</v>
      </c>
      <c r="AQ219" s="40">
        <f>RawData!AY951</f>
        <v>0</v>
      </c>
      <c r="AR219" s="40">
        <f>RawData!AZ951</f>
        <v>0</v>
      </c>
      <c r="AS219" s="40">
        <f>RawData!BA951</f>
        <v>0</v>
      </c>
      <c r="AT219" s="38">
        <f>RawData!BB951</f>
        <v>0</v>
      </c>
      <c r="AU219" s="40">
        <f>RawData!BC951</f>
        <v>0</v>
      </c>
      <c r="AV219" s="40">
        <f>RawData!BD951</f>
        <v>0</v>
      </c>
      <c r="AW219" s="38">
        <f>RawData!BE951</f>
        <v>0</v>
      </c>
      <c r="AX219" s="37">
        <f>RawData!BF951</f>
        <v>0</v>
      </c>
      <c r="AY219" s="36">
        <f>RawData!BG951</f>
        <v>0</v>
      </c>
      <c r="AZ219" s="36">
        <f>RawData!BH951</f>
        <v>0</v>
      </c>
      <c r="BA219" s="40">
        <f>RawData!BI951</f>
        <v>0</v>
      </c>
      <c r="BB219" s="44">
        <f>RawData!BJ951</f>
        <v>0</v>
      </c>
      <c r="BC219" s="44">
        <f>RawData!BK951</f>
        <v>0</v>
      </c>
      <c r="BD219" s="44">
        <f>RawData!BL951</f>
        <v>0</v>
      </c>
      <c r="BE219" s="44">
        <f>RawData!BM951</f>
        <v>0</v>
      </c>
      <c r="BF219" s="44">
        <f>RawData!BN951</f>
        <v>0</v>
      </c>
      <c r="BG219" s="63">
        <f>RawData!BO951</f>
        <v>0</v>
      </c>
      <c r="BH219" s="44">
        <f>RawData!BP951</f>
        <v>0</v>
      </c>
      <c r="BI219" s="63">
        <f>RawData!BQ951</f>
        <v>0</v>
      </c>
      <c r="BJ219" s="44">
        <f>RawData!BR951</f>
        <v>0</v>
      </c>
      <c r="BK219" s="47">
        <f>RawData!BS951</f>
        <v>0</v>
      </c>
      <c r="BL219" s="44">
        <f>RawData!BT951</f>
        <v>0</v>
      </c>
      <c r="BM219" s="47">
        <f>RawData!BV951</f>
        <v>0</v>
      </c>
      <c r="BN219" s="65">
        <f>RawData!CC951</f>
        <v>0</v>
      </c>
      <c r="BO219" s="66">
        <f>RawData!CD951</f>
        <v>0</v>
      </c>
      <c r="BQ219" s="21">
        <f t="shared" si="3"/>
        <v>0</v>
      </c>
    </row>
    <row r="220" spans="1:69" x14ac:dyDescent="0.2">
      <c r="A220" s="59">
        <f>RawData!P952</f>
        <v>0</v>
      </c>
      <c r="B220" s="44">
        <f>RawData!Q952</f>
        <v>0</v>
      </c>
      <c r="C220" s="44">
        <f>RawData!R952</f>
        <v>0</v>
      </c>
      <c r="D220" s="63">
        <f>RawData!S952</f>
        <v>0</v>
      </c>
      <c r="E220" s="44">
        <f>RawData!T952</f>
        <v>0</v>
      </c>
      <c r="F220" s="63">
        <f>RawData!U952</f>
        <v>0</v>
      </c>
      <c r="G220" s="44">
        <f>RawData!V952</f>
        <v>0</v>
      </c>
      <c r="H220" s="44">
        <f>RawData!W952</f>
        <v>0</v>
      </c>
      <c r="I220" s="44">
        <f>RawData!X952</f>
        <v>0</v>
      </c>
      <c r="J220" s="44">
        <f>RawData!Y952</f>
        <v>0</v>
      </c>
      <c r="K220" s="40">
        <f>RawData!Z952</f>
        <v>0</v>
      </c>
      <c r="L220" s="40">
        <f>RawData!AA952</f>
        <v>0</v>
      </c>
      <c r="M220" s="36">
        <f>RawData!AB952</f>
        <v>0</v>
      </c>
      <c r="N220" s="36">
        <f>RawData!AC952</f>
        <v>0</v>
      </c>
      <c r="O220" s="37">
        <f>RawData!AD952</f>
        <v>0</v>
      </c>
      <c r="P220" s="38">
        <f>RawData!AE952</f>
        <v>0</v>
      </c>
      <c r="Q220" s="39">
        <f>RawData!AF952</f>
        <v>0</v>
      </c>
      <c r="R220" s="38">
        <f>RawData!AG952</f>
        <v>0</v>
      </c>
      <c r="S220" s="40">
        <f>RawData!AH952</f>
        <v>0</v>
      </c>
      <c r="T220" s="40">
        <f>RawData!AI952</f>
        <v>0</v>
      </c>
      <c r="U220" s="40">
        <f>RawData!AJ952</f>
        <v>0</v>
      </c>
      <c r="V220" s="41">
        <f>RawData!AK952</f>
        <v>0</v>
      </c>
      <c r="W220" s="41">
        <f>RawData!AL952</f>
        <v>0</v>
      </c>
      <c r="X220" s="43">
        <f>RawData!CA952</f>
        <v>0</v>
      </c>
      <c r="Y220" s="41">
        <f>RawData!AM952</f>
        <v>0</v>
      </c>
      <c r="Z220" s="44">
        <f>RawData!CB952</f>
        <v>0</v>
      </c>
      <c r="AA220" s="44">
        <f>RawData!AN952</f>
        <v>0</v>
      </c>
      <c r="AB220" s="44">
        <f>RawData!AO952</f>
        <v>0</v>
      </c>
      <c r="AC220" s="44">
        <f>RawData!AP952</f>
        <v>0</v>
      </c>
      <c r="AD220" s="63">
        <f>RawData!BZ952</f>
        <v>0</v>
      </c>
      <c r="AE220" s="44">
        <f>RawData!AQ952</f>
        <v>0</v>
      </c>
      <c r="AF220" s="46">
        <f>RawData!O952</f>
        <v>0</v>
      </c>
      <c r="AG220" s="44">
        <f>RawData!AR952</f>
        <v>0</v>
      </c>
      <c r="AH220" s="44">
        <f>RawData!BY952</f>
        <v>0</v>
      </c>
      <c r="AI220" s="44">
        <f>RawData!AS952</f>
        <v>0</v>
      </c>
      <c r="AJ220" s="44">
        <f>RawData!AT952</f>
        <v>0</v>
      </c>
      <c r="AK220" s="44">
        <f>RawData!AU952</f>
        <v>0</v>
      </c>
      <c r="AL220" s="44">
        <f>RawData!BW952</f>
        <v>0</v>
      </c>
      <c r="AM220" s="41">
        <f>RawData!AV952</f>
        <v>0</v>
      </c>
      <c r="AN220" s="41">
        <f>RawData!BX952</f>
        <v>0</v>
      </c>
      <c r="AO220" s="41">
        <f>RawData!AW952</f>
        <v>0</v>
      </c>
      <c r="AP220" s="41">
        <f>RawData!AX952</f>
        <v>0</v>
      </c>
      <c r="AQ220" s="40">
        <f>RawData!AY952</f>
        <v>0</v>
      </c>
      <c r="AR220" s="40">
        <f>RawData!AZ952</f>
        <v>0</v>
      </c>
      <c r="AS220" s="40">
        <f>RawData!BA952</f>
        <v>0</v>
      </c>
      <c r="AT220" s="38">
        <f>RawData!BB952</f>
        <v>0</v>
      </c>
      <c r="AU220" s="40">
        <f>RawData!BC952</f>
        <v>0</v>
      </c>
      <c r="AV220" s="40">
        <f>RawData!BD952</f>
        <v>0</v>
      </c>
      <c r="AW220" s="38">
        <f>RawData!BE952</f>
        <v>0</v>
      </c>
      <c r="AX220" s="37">
        <f>RawData!BF952</f>
        <v>0</v>
      </c>
      <c r="AY220" s="36">
        <f>RawData!BG952</f>
        <v>0</v>
      </c>
      <c r="AZ220" s="36">
        <f>RawData!BH952</f>
        <v>0</v>
      </c>
      <c r="BA220" s="40">
        <f>RawData!BI952</f>
        <v>0</v>
      </c>
      <c r="BB220" s="44">
        <f>RawData!BJ952</f>
        <v>0</v>
      </c>
      <c r="BC220" s="44">
        <f>RawData!BK952</f>
        <v>0</v>
      </c>
      <c r="BD220" s="44">
        <f>RawData!BL952</f>
        <v>0</v>
      </c>
      <c r="BE220" s="44">
        <f>RawData!BM952</f>
        <v>0</v>
      </c>
      <c r="BF220" s="44">
        <f>RawData!BN952</f>
        <v>0</v>
      </c>
      <c r="BG220" s="63">
        <f>RawData!BO952</f>
        <v>0</v>
      </c>
      <c r="BH220" s="44">
        <f>RawData!BP952</f>
        <v>0</v>
      </c>
      <c r="BI220" s="63">
        <f>RawData!BQ952</f>
        <v>0</v>
      </c>
      <c r="BJ220" s="44">
        <f>RawData!BR952</f>
        <v>0</v>
      </c>
      <c r="BK220" s="47">
        <f>RawData!BS952</f>
        <v>0</v>
      </c>
      <c r="BL220" s="44">
        <f>RawData!BT952</f>
        <v>0</v>
      </c>
      <c r="BM220" s="47">
        <f>RawData!BV952</f>
        <v>0</v>
      </c>
      <c r="BN220" s="65">
        <f>RawData!CC952</f>
        <v>0</v>
      </c>
      <c r="BO220" s="66">
        <f>RawData!CD952</f>
        <v>0</v>
      </c>
      <c r="BQ220" s="21">
        <f t="shared" si="3"/>
        <v>0</v>
      </c>
    </row>
    <row r="221" spans="1:69" x14ac:dyDescent="0.2">
      <c r="A221" s="59">
        <f>RawData!P953</f>
        <v>0</v>
      </c>
      <c r="B221" s="44">
        <f>RawData!Q953</f>
        <v>0</v>
      </c>
      <c r="C221" s="44">
        <f>RawData!R953</f>
        <v>0</v>
      </c>
      <c r="D221" s="63">
        <f>RawData!S953</f>
        <v>0</v>
      </c>
      <c r="E221" s="44">
        <f>RawData!T953</f>
        <v>0</v>
      </c>
      <c r="F221" s="63">
        <f>RawData!U953</f>
        <v>0</v>
      </c>
      <c r="G221" s="44">
        <f>RawData!V953</f>
        <v>0</v>
      </c>
      <c r="H221" s="44">
        <f>RawData!W953</f>
        <v>0</v>
      </c>
      <c r="I221" s="44">
        <f>RawData!X953</f>
        <v>0</v>
      </c>
      <c r="J221" s="44">
        <f>RawData!Y953</f>
        <v>0</v>
      </c>
      <c r="K221" s="40">
        <f>RawData!Z953</f>
        <v>0</v>
      </c>
      <c r="L221" s="40">
        <f>RawData!AA953</f>
        <v>0</v>
      </c>
      <c r="M221" s="36">
        <f>RawData!AB953</f>
        <v>0</v>
      </c>
      <c r="N221" s="36">
        <f>RawData!AC953</f>
        <v>0</v>
      </c>
      <c r="O221" s="37">
        <f>RawData!AD953</f>
        <v>0</v>
      </c>
      <c r="P221" s="38">
        <f>RawData!AE953</f>
        <v>0</v>
      </c>
      <c r="Q221" s="39">
        <f>RawData!AF953</f>
        <v>0</v>
      </c>
      <c r="R221" s="38">
        <f>RawData!AG953</f>
        <v>0</v>
      </c>
      <c r="S221" s="40">
        <f>RawData!AH953</f>
        <v>0</v>
      </c>
      <c r="T221" s="40">
        <f>RawData!AI953</f>
        <v>0</v>
      </c>
      <c r="U221" s="40">
        <f>RawData!AJ953</f>
        <v>0</v>
      </c>
      <c r="V221" s="41">
        <f>RawData!AK953</f>
        <v>0</v>
      </c>
      <c r="W221" s="41">
        <f>RawData!AL953</f>
        <v>0</v>
      </c>
      <c r="X221" s="43">
        <f>RawData!CA953</f>
        <v>0</v>
      </c>
      <c r="Y221" s="41">
        <f>RawData!AM953</f>
        <v>0</v>
      </c>
      <c r="Z221" s="44">
        <f>RawData!CB953</f>
        <v>0</v>
      </c>
      <c r="AA221" s="44">
        <f>RawData!AN953</f>
        <v>0</v>
      </c>
      <c r="AB221" s="44">
        <f>RawData!AO953</f>
        <v>0</v>
      </c>
      <c r="AC221" s="44">
        <f>RawData!AP953</f>
        <v>0</v>
      </c>
      <c r="AD221" s="63">
        <f>RawData!BZ953</f>
        <v>0</v>
      </c>
      <c r="AE221" s="44">
        <f>RawData!AQ953</f>
        <v>0</v>
      </c>
      <c r="AF221" s="46">
        <f>RawData!O953</f>
        <v>0</v>
      </c>
      <c r="AG221" s="44">
        <f>RawData!AR953</f>
        <v>0</v>
      </c>
      <c r="AH221" s="44">
        <f>RawData!BY953</f>
        <v>0</v>
      </c>
      <c r="AI221" s="44">
        <f>RawData!AS953</f>
        <v>0</v>
      </c>
      <c r="AJ221" s="44">
        <f>RawData!AT953</f>
        <v>0</v>
      </c>
      <c r="AK221" s="44">
        <f>RawData!AU953</f>
        <v>0</v>
      </c>
      <c r="AL221" s="44">
        <f>RawData!BW953</f>
        <v>0</v>
      </c>
      <c r="AM221" s="41">
        <f>RawData!AV953</f>
        <v>0</v>
      </c>
      <c r="AN221" s="41">
        <f>RawData!BX953</f>
        <v>0</v>
      </c>
      <c r="AO221" s="41">
        <f>RawData!AW953</f>
        <v>0</v>
      </c>
      <c r="AP221" s="41">
        <f>RawData!AX953</f>
        <v>0</v>
      </c>
      <c r="AQ221" s="40">
        <f>RawData!AY953</f>
        <v>0</v>
      </c>
      <c r="AR221" s="40">
        <f>RawData!AZ953</f>
        <v>0</v>
      </c>
      <c r="AS221" s="40">
        <f>RawData!BA953</f>
        <v>0</v>
      </c>
      <c r="AT221" s="38">
        <f>RawData!BB953</f>
        <v>0</v>
      </c>
      <c r="AU221" s="40">
        <f>RawData!BC953</f>
        <v>0</v>
      </c>
      <c r="AV221" s="40">
        <f>RawData!BD953</f>
        <v>0</v>
      </c>
      <c r="AW221" s="38">
        <f>RawData!BE953</f>
        <v>0</v>
      </c>
      <c r="AX221" s="37">
        <f>RawData!BF953</f>
        <v>0</v>
      </c>
      <c r="AY221" s="36">
        <f>RawData!BG953</f>
        <v>0</v>
      </c>
      <c r="AZ221" s="36">
        <f>RawData!BH953</f>
        <v>0</v>
      </c>
      <c r="BA221" s="40">
        <f>RawData!BI953</f>
        <v>0</v>
      </c>
      <c r="BB221" s="44">
        <f>RawData!BJ953</f>
        <v>0</v>
      </c>
      <c r="BC221" s="44">
        <f>RawData!BK953</f>
        <v>0</v>
      </c>
      <c r="BD221" s="44">
        <f>RawData!BL953</f>
        <v>0</v>
      </c>
      <c r="BE221" s="44">
        <f>RawData!BM953</f>
        <v>0</v>
      </c>
      <c r="BF221" s="44">
        <f>RawData!BN953</f>
        <v>0</v>
      </c>
      <c r="BG221" s="63">
        <f>RawData!BO953</f>
        <v>0</v>
      </c>
      <c r="BH221" s="44">
        <f>RawData!BP953</f>
        <v>0</v>
      </c>
      <c r="BI221" s="63">
        <f>RawData!BQ953</f>
        <v>0</v>
      </c>
      <c r="BJ221" s="44">
        <f>RawData!BR953</f>
        <v>0</v>
      </c>
      <c r="BK221" s="47">
        <f>RawData!BS953</f>
        <v>0</v>
      </c>
      <c r="BL221" s="44">
        <f>RawData!BT953</f>
        <v>0</v>
      </c>
      <c r="BM221" s="47">
        <f>RawData!BV953</f>
        <v>0</v>
      </c>
      <c r="BN221" s="65">
        <f>RawData!CC953</f>
        <v>0</v>
      </c>
      <c r="BO221" s="66">
        <f>RawData!CD953</f>
        <v>0</v>
      </c>
      <c r="BQ221" s="21">
        <f t="shared" si="3"/>
        <v>0</v>
      </c>
    </row>
    <row r="222" spans="1:69" x14ac:dyDescent="0.2">
      <c r="A222" s="59">
        <f>RawData!P954</f>
        <v>0</v>
      </c>
      <c r="B222" s="44">
        <f>RawData!Q954</f>
        <v>0</v>
      </c>
      <c r="C222" s="44">
        <f>RawData!R954</f>
        <v>0</v>
      </c>
      <c r="D222" s="63">
        <f>RawData!S954</f>
        <v>0</v>
      </c>
      <c r="E222" s="44">
        <f>RawData!T954</f>
        <v>0</v>
      </c>
      <c r="F222" s="63">
        <f>RawData!U954</f>
        <v>0</v>
      </c>
      <c r="G222" s="44">
        <f>RawData!V954</f>
        <v>0</v>
      </c>
      <c r="H222" s="44">
        <f>RawData!W954</f>
        <v>0</v>
      </c>
      <c r="I222" s="44">
        <f>RawData!X954</f>
        <v>0</v>
      </c>
      <c r="J222" s="44">
        <f>RawData!Y954</f>
        <v>0</v>
      </c>
      <c r="K222" s="40">
        <f>RawData!Z954</f>
        <v>0</v>
      </c>
      <c r="L222" s="40">
        <f>RawData!AA954</f>
        <v>0</v>
      </c>
      <c r="M222" s="36">
        <f>RawData!AB954</f>
        <v>0</v>
      </c>
      <c r="N222" s="36">
        <f>RawData!AC954</f>
        <v>0</v>
      </c>
      <c r="O222" s="37">
        <f>RawData!AD954</f>
        <v>0</v>
      </c>
      <c r="P222" s="38">
        <f>RawData!AE954</f>
        <v>0</v>
      </c>
      <c r="Q222" s="39">
        <f>RawData!AF954</f>
        <v>0</v>
      </c>
      <c r="R222" s="38">
        <f>RawData!AG954</f>
        <v>0</v>
      </c>
      <c r="S222" s="40">
        <f>RawData!AH954</f>
        <v>0</v>
      </c>
      <c r="T222" s="40">
        <f>RawData!AI954</f>
        <v>0</v>
      </c>
      <c r="U222" s="40">
        <f>RawData!AJ954</f>
        <v>0</v>
      </c>
      <c r="V222" s="41">
        <f>RawData!AK954</f>
        <v>0</v>
      </c>
      <c r="W222" s="41">
        <f>RawData!AL954</f>
        <v>0</v>
      </c>
      <c r="X222" s="43">
        <f>RawData!CA954</f>
        <v>0</v>
      </c>
      <c r="Y222" s="41">
        <f>RawData!AM954</f>
        <v>0</v>
      </c>
      <c r="Z222" s="44">
        <f>RawData!CB954</f>
        <v>0</v>
      </c>
      <c r="AA222" s="44">
        <f>RawData!AN954</f>
        <v>0</v>
      </c>
      <c r="AB222" s="44">
        <f>RawData!AO954</f>
        <v>0</v>
      </c>
      <c r="AC222" s="44">
        <f>RawData!AP954</f>
        <v>0</v>
      </c>
      <c r="AD222" s="63">
        <f>RawData!BZ954</f>
        <v>0</v>
      </c>
      <c r="AE222" s="44">
        <f>RawData!AQ954</f>
        <v>0</v>
      </c>
      <c r="AF222" s="46">
        <f>RawData!O954</f>
        <v>0</v>
      </c>
      <c r="AG222" s="44">
        <f>RawData!AR954</f>
        <v>0</v>
      </c>
      <c r="AH222" s="44">
        <f>RawData!BY954</f>
        <v>0</v>
      </c>
      <c r="AI222" s="44">
        <f>RawData!AS954</f>
        <v>0</v>
      </c>
      <c r="AJ222" s="44">
        <f>RawData!AT954</f>
        <v>0</v>
      </c>
      <c r="AK222" s="44">
        <f>RawData!AU954</f>
        <v>0</v>
      </c>
      <c r="AL222" s="44">
        <f>RawData!BW954</f>
        <v>0</v>
      </c>
      <c r="AM222" s="41">
        <f>RawData!AV954</f>
        <v>0</v>
      </c>
      <c r="AN222" s="41">
        <f>RawData!BX954</f>
        <v>0</v>
      </c>
      <c r="AO222" s="41">
        <f>RawData!AW954</f>
        <v>0</v>
      </c>
      <c r="AP222" s="41">
        <f>RawData!AX954</f>
        <v>0</v>
      </c>
      <c r="AQ222" s="40">
        <f>RawData!AY954</f>
        <v>0</v>
      </c>
      <c r="AR222" s="40">
        <f>RawData!AZ954</f>
        <v>0</v>
      </c>
      <c r="AS222" s="40">
        <f>RawData!BA954</f>
        <v>0</v>
      </c>
      <c r="AT222" s="38">
        <f>RawData!BB954</f>
        <v>0</v>
      </c>
      <c r="AU222" s="40">
        <f>RawData!BC954</f>
        <v>0</v>
      </c>
      <c r="AV222" s="40">
        <f>RawData!BD954</f>
        <v>0</v>
      </c>
      <c r="AW222" s="38">
        <f>RawData!BE954</f>
        <v>0</v>
      </c>
      <c r="AX222" s="37">
        <f>RawData!BF954</f>
        <v>0</v>
      </c>
      <c r="AY222" s="36">
        <f>RawData!BG954</f>
        <v>0</v>
      </c>
      <c r="AZ222" s="36">
        <f>RawData!BH954</f>
        <v>0</v>
      </c>
      <c r="BA222" s="40">
        <f>RawData!BI954</f>
        <v>0</v>
      </c>
      <c r="BB222" s="44">
        <f>RawData!BJ954</f>
        <v>0</v>
      </c>
      <c r="BC222" s="44">
        <f>RawData!BK954</f>
        <v>0</v>
      </c>
      <c r="BD222" s="44">
        <f>RawData!BL954</f>
        <v>0</v>
      </c>
      <c r="BE222" s="44">
        <f>RawData!BM954</f>
        <v>0</v>
      </c>
      <c r="BF222" s="44">
        <f>RawData!BN954</f>
        <v>0</v>
      </c>
      <c r="BG222" s="63">
        <f>RawData!BO954</f>
        <v>0</v>
      </c>
      <c r="BH222" s="44">
        <f>RawData!BP954</f>
        <v>0</v>
      </c>
      <c r="BI222" s="63">
        <f>RawData!BQ954</f>
        <v>0</v>
      </c>
      <c r="BJ222" s="44">
        <f>RawData!BR954</f>
        <v>0</v>
      </c>
      <c r="BK222" s="47">
        <f>RawData!BS954</f>
        <v>0</v>
      </c>
      <c r="BL222" s="44">
        <f>RawData!BT954</f>
        <v>0</v>
      </c>
      <c r="BM222" s="47">
        <f>RawData!BV954</f>
        <v>0</v>
      </c>
      <c r="BN222" s="65">
        <f>RawData!CC954</f>
        <v>0</v>
      </c>
      <c r="BO222" s="66">
        <f>RawData!CD954</f>
        <v>0</v>
      </c>
      <c r="BQ222" s="21">
        <f t="shared" si="3"/>
        <v>0</v>
      </c>
    </row>
    <row r="223" spans="1:69" x14ac:dyDescent="0.2">
      <c r="A223" s="59">
        <f>RawData!P955</f>
        <v>0</v>
      </c>
      <c r="B223" s="44">
        <f>RawData!Q955</f>
        <v>0</v>
      </c>
      <c r="C223" s="44">
        <f>RawData!R955</f>
        <v>0</v>
      </c>
      <c r="D223" s="63">
        <f>RawData!S955</f>
        <v>0</v>
      </c>
      <c r="E223" s="44">
        <f>RawData!T955</f>
        <v>0</v>
      </c>
      <c r="F223" s="63">
        <f>RawData!U955</f>
        <v>0</v>
      </c>
      <c r="G223" s="44">
        <f>RawData!V955</f>
        <v>0</v>
      </c>
      <c r="H223" s="44">
        <f>RawData!W955</f>
        <v>0</v>
      </c>
      <c r="I223" s="44">
        <f>RawData!X955</f>
        <v>0</v>
      </c>
      <c r="J223" s="44">
        <f>RawData!Y955</f>
        <v>0</v>
      </c>
      <c r="K223" s="40">
        <f>RawData!Z955</f>
        <v>0</v>
      </c>
      <c r="L223" s="40">
        <f>RawData!AA955</f>
        <v>0</v>
      </c>
      <c r="M223" s="36">
        <f>RawData!AB955</f>
        <v>0</v>
      </c>
      <c r="N223" s="36">
        <f>RawData!AC955</f>
        <v>0</v>
      </c>
      <c r="O223" s="37">
        <f>RawData!AD955</f>
        <v>0</v>
      </c>
      <c r="P223" s="38">
        <f>RawData!AE955</f>
        <v>0</v>
      </c>
      <c r="Q223" s="39">
        <f>RawData!AF955</f>
        <v>0</v>
      </c>
      <c r="R223" s="38">
        <f>RawData!AG955</f>
        <v>0</v>
      </c>
      <c r="S223" s="40">
        <f>RawData!AH955</f>
        <v>0</v>
      </c>
      <c r="T223" s="40">
        <f>RawData!AI955</f>
        <v>0</v>
      </c>
      <c r="U223" s="40">
        <f>RawData!AJ955</f>
        <v>0</v>
      </c>
      <c r="V223" s="41">
        <f>RawData!AK955</f>
        <v>0</v>
      </c>
      <c r="W223" s="41">
        <f>RawData!AL955</f>
        <v>0</v>
      </c>
      <c r="X223" s="43">
        <f>RawData!CA955</f>
        <v>0</v>
      </c>
      <c r="Y223" s="41">
        <f>RawData!AM955</f>
        <v>0</v>
      </c>
      <c r="Z223" s="44">
        <f>RawData!CB955</f>
        <v>0</v>
      </c>
      <c r="AA223" s="44">
        <f>RawData!AN955</f>
        <v>0</v>
      </c>
      <c r="AB223" s="44">
        <f>RawData!AO955</f>
        <v>0</v>
      </c>
      <c r="AC223" s="44">
        <f>RawData!AP955</f>
        <v>0</v>
      </c>
      <c r="AD223" s="63">
        <f>RawData!BZ955</f>
        <v>0</v>
      </c>
      <c r="AE223" s="44">
        <f>RawData!AQ955</f>
        <v>0</v>
      </c>
      <c r="AF223" s="46">
        <f>RawData!O955</f>
        <v>0</v>
      </c>
      <c r="AG223" s="44">
        <f>RawData!AR955</f>
        <v>0</v>
      </c>
      <c r="AH223" s="44">
        <f>RawData!BY955</f>
        <v>0</v>
      </c>
      <c r="AI223" s="44">
        <f>RawData!AS955</f>
        <v>0</v>
      </c>
      <c r="AJ223" s="44">
        <f>RawData!AT955</f>
        <v>0</v>
      </c>
      <c r="AK223" s="44">
        <f>RawData!AU955</f>
        <v>0</v>
      </c>
      <c r="AL223" s="44">
        <f>RawData!BW955</f>
        <v>0</v>
      </c>
      <c r="AM223" s="41">
        <f>RawData!AV955</f>
        <v>0</v>
      </c>
      <c r="AN223" s="41">
        <f>RawData!BX955</f>
        <v>0</v>
      </c>
      <c r="AO223" s="41">
        <f>RawData!AW955</f>
        <v>0</v>
      </c>
      <c r="AP223" s="41">
        <f>RawData!AX955</f>
        <v>0</v>
      </c>
      <c r="AQ223" s="40">
        <f>RawData!AY955</f>
        <v>0</v>
      </c>
      <c r="AR223" s="40">
        <f>RawData!AZ955</f>
        <v>0</v>
      </c>
      <c r="AS223" s="40">
        <f>RawData!BA955</f>
        <v>0</v>
      </c>
      <c r="AT223" s="38">
        <f>RawData!BB955</f>
        <v>0</v>
      </c>
      <c r="AU223" s="40">
        <f>RawData!BC955</f>
        <v>0</v>
      </c>
      <c r="AV223" s="40">
        <f>RawData!BD955</f>
        <v>0</v>
      </c>
      <c r="AW223" s="38">
        <f>RawData!BE955</f>
        <v>0</v>
      </c>
      <c r="AX223" s="37">
        <f>RawData!BF955</f>
        <v>0</v>
      </c>
      <c r="AY223" s="36">
        <f>RawData!BG955</f>
        <v>0</v>
      </c>
      <c r="AZ223" s="36">
        <f>RawData!BH955</f>
        <v>0</v>
      </c>
      <c r="BA223" s="40">
        <f>RawData!BI955</f>
        <v>0</v>
      </c>
      <c r="BB223" s="44">
        <f>RawData!BJ955</f>
        <v>0</v>
      </c>
      <c r="BC223" s="44">
        <f>RawData!BK955</f>
        <v>0</v>
      </c>
      <c r="BD223" s="44">
        <f>RawData!BL955</f>
        <v>0</v>
      </c>
      <c r="BE223" s="44">
        <f>RawData!BM955</f>
        <v>0</v>
      </c>
      <c r="BF223" s="44">
        <f>RawData!BN955</f>
        <v>0</v>
      </c>
      <c r="BG223" s="63">
        <f>RawData!BO955</f>
        <v>0</v>
      </c>
      <c r="BH223" s="44">
        <f>RawData!BP955</f>
        <v>0</v>
      </c>
      <c r="BI223" s="63">
        <f>RawData!BQ955</f>
        <v>0</v>
      </c>
      <c r="BJ223" s="44">
        <f>RawData!BR955</f>
        <v>0</v>
      </c>
      <c r="BK223" s="47">
        <f>RawData!BS955</f>
        <v>0</v>
      </c>
      <c r="BL223" s="44">
        <f>RawData!BT955</f>
        <v>0</v>
      </c>
      <c r="BM223" s="47">
        <f>RawData!BV955</f>
        <v>0</v>
      </c>
      <c r="BN223" s="65">
        <f>RawData!CC955</f>
        <v>0</v>
      </c>
      <c r="BO223" s="66">
        <f>RawData!CD955</f>
        <v>0</v>
      </c>
      <c r="BQ223" s="21">
        <f t="shared" si="3"/>
        <v>0</v>
      </c>
    </row>
    <row r="224" spans="1:69" x14ac:dyDescent="0.2">
      <c r="A224" s="59">
        <f>RawData!P956</f>
        <v>0</v>
      </c>
      <c r="B224" s="44">
        <f>RawData!Q956</f>
        <v>0</v>
      </c>
      <c r="C224" s="44">
        <f>RawData!R956</f>
        <v>0</v>
      </c>
      <c r="D224" s="63">
        <f>RawData!S956</f>
        <v>0</v>
      </c>
      <c r="E224" s="44">
        <f>RawData!T956</f>
        <v>0</v>
      </c>
      <c r="F224" s="63">
        <f>RawData!U956</f>
        <v>0</v>
      </c>
      <c r="G224" s="44">
        <f>RawData!V956</f>
        <v>0</v>
      </c>
      <c r="H224" s="44">
        <f>RawData!W956</f>
        <v>0</v>
      </c>
      <c r="I224" s="44">
        <f>RawData!X956</f>
        <v>0</v>
      </c>
      <c r="J224" s="44">
        <f>RawData!Y956</f>
        <v>0</v>
      </c>
      <c r="K224" s="40">
        <f>RawData!Z956</f>
        <v>0</v>
      </c>
      <c r="L224" s="40">
        <f>RawData!AA956</f>
        <v>0</v>
      </c>
      <c r="M224" s="36">
        <f>RawData!AB956</f>
        <v>0</v>
      </c>
      <c r="N224" s="36">
        <f>RawData!AC956</f>
        <v>0</v>
      </c>
      <c r="O224" s="37">
        <f>RawData!AD956</f>
        <v>0</v>
      </c>
      <c r="P224" s="38">
        <f>RawData!AE956</f>
        <v>0</v>
      </c>
      <c r="Q224" s="39">
        <f>RawData!AF956</f>
        <v>0</v>
      </c>
      <c r="R224" s="38">
        <f>RawData!AG956</f>
        <v>0</v>
      </c>
      <c r="S224" s="40">
        <f>RawData!AH956</f>
        <v>0</v>
      </c>
      <c r="T224" s="40">
        <f>RawData!AI956</f>
        <v>0</v>
      </c>
      <c r="U224" s="40">
        <f>RawData!AJ956</f>
        <v>0</v>
      </c>
      <c r="V224" s="41">
        <f>RawData!AK956</f>
        <v>0</v>
      </c>
      <c r="W224" s="41">
        <f>RawData!AL956</f>
        <v>0</v>
      </c>
      <c r="X224" s="43">
        <f>RawData!CA956</f>
        <v>0</v>
      </c>
      <c r="Y224" s="41">
        <f>RawData!AM956</f>
        <v>0</v>
      </c>
      <c r="Z224" s="44">
        <f>RawData!CB956</f>
        <v>0</v>
      </c>
      <c r="AA224" s="44">
        <f>RawData!AN956</f>
        <v>0</v>
      </c>
      <c r="AB224" s="44">
        <f>RawData!AO956</f>
        <v>0</v>
      </c>
      <c r="AC224" s="44">
        <f>RawData!AP956</f>
        <v>0</v>
      </c>
      <c r="AD224" s="63">
        <f>RawData!BZ956</f>
        <v>0</v>
      </c>
      <c r="AE224" s="44">
        <f>RawData!AQ956</f>
        <v>0</v>
      </c>
      <c r="AF224" s="46">
        <f>RawData!O956</f>
        <v>0</v>
      </c>
      <c r="AG224" s="44">
        <f>RawData!AR956</f>
        <v>0</v>
      </c>
      <c r="AH224" s="44">
        <f>RawData!BY956</f>
        <v>0</v>
      </c>
      <c r="AI224" s="44">
        <f>RawData!AS956</f>
        <v>0</v>
      </c>
      <c r="AJ224" s="44">
        <f>RawData!AT956</f>
        <v>0</v>
      </c>
      <c r="AK224" s="44">
        <f>RawData!AU956</f>
        <v>0</v>
      </c>
      <c r="AL224" s="44">
        <f>RawData!BW956</f>
        <v>0</v>
      </c>
      <c r="AM224" s="41">
        <f>RawData!AV956</f>
        <v>0</v>
      </c>
      <c r="AN224" s="41">
        <f>RawData!BX956</f>
        <v>0</v>
      </c>
      <c r="AO224" s="41">
        <f>RawData!AW956</f>
        <v>0</v>
      </c>
      <c r="AP224" s="41">
        <f>RawData!AX956</f>
        <v>0</v>
      </c>
      <c r="AQ224" s="40">
        <f>RawData!AY956</f>
        <v>0</v>
      </c>
      <c r="AR224" s="40">
        <f>RawData!AZ956</f>
        <v>0</v>
      </c>
      <c r="AS224" s="40">
        <f>RawData!BA956</f>
        <v>0</v>
      </c>
      <c r="AT224" s="38">
        <f>RawData!BB956</f>
        <v>0</v>
      </c>
      <c r="AU224" s="40">
        <f>RawData!BC956</f>
        <v>0</v>
      </c>
      <c r="AV224" s="40">
        <f>RawData!BD956</f>
        <v>0</v>
      </c>
      <c r="AW224" s="38">
        <f>RawData!BE956</f>
        <v>0</v>
      </c>
      <c r="AX224" s="37">
        <f>RawData!BF956</f>
        <v>0</v>
      </c>
      <c r="AY224" s="36">
        <f>RawData!BG956</f>
        <v>0</v>
      </c>
      <c r="AZ224" s="36">
        <f>RawData!BH956</f>
        <v>0</v>
      </c>
      <c r="BA224" s="40">
        <f>RawData!BI956</f>
        <v>0</v>
      </c>
      <c r="BB224" s="44">
        <f>RawData!BJ956</f>
        <v>0</v>
      </c>
      <c r="BC224" s="44">
        <f>RawData!BK956</f>
        <v>0</v>
      </c>
      <c r="BD224" s="44">
        <f>RawData!BL956</f>
        <v>0</v>
      </c>
      <c r="BE224" s="44">
        <f>RawData!BM956</f>
        <v>0</v>
      </c>
      <c r="BF224" s="44">
        <f>RawData!BN956</f>
        <v>0</v>
      </c>
      <c r="BG224" s="63">
        <f>RawData!BO956</f>
        <v>0</v>
      </c>
      <c r="BH224" s="44">
        <f>RawData!BP956</f>
        <v>0</v>
      </c>
      <c r="BI224" s="63">
        <f>RawData!BQ956</f>
        <v>0</v>
      </c>
      <c r="BJ224" s="44">
        <f>RawData!BR956</f>
        <v>0</v>
      </c>
      <c r="BK224" s="47">
        <f>RawData!BS956</f>
        <v>0</v>
      </c>
      <c r="BL224" s="44">
        <f>RawData!BT956</f>
        <v>0</v>
      </c>
      <c r="BM224" s="47">
        <f>RawData!BV956</f>
        <v>0</v>
      </c>
      <c r="BN224" s="65">
        <f>RawData!CC956</f>
        <v>0</v>
      </c>
      <c r="BO224" s="66">
        <f>RawData!CD956</f>
        <v>0</v>
      </c>
      <c r="BQ224" s="21">
        <f t="shared" si="3"/>
        <v>0</v>
      </c>
    </row>
    <row r="225" spans="1:69" x14ac:dyDescent="0.2">
      <c r="A225" s="59">
        <f>RawData!P957</f>
        <v>0</v>
      </c>
      <c r="B225" s="44">
        <f>RawData!Q957</f>
        <v>0</v>
      </c>
      <c r="C225" s="44">
        <f>RawData!R957</f>
        <v>0</v>
      </c>
      <c r="D225" s="63">
        <f>RawData!S957</f>
        <v>0</v>
      </c>
      <c r="E225" s="44">
        <f>RawData!T957</f>
        <v>0</v>
      </c>
      <c r="F225" s="63">
        <f>RawData!U957</f>
        <v>0</v>
      </c>
      <c r="G225" s="44">
        <f>RawData!V957</f>
        <v>0</v>
      </c>
      <c r="H225" s="44">
        <f>RawData!W957</f>
        <v>0</v>
      </c>
      <c r="I225" s="44">
        <f>RawData!X957</f>
        <v>0</v>
      </c>
      <c r="J225" s="44">
        <f>RawData!Y957</f>
        <v>0</v>
      </c>
      <c r="K225" s="40">
        <f>RawData!Z957</f>
        <v>0</v>
      </c>
      <c r="L225" s="40">
        <f>RawData!AA957</f>
        <v>0</v>
      </c>
      <c r="M225" s="36">
        <f>RawData!AB957</f>
        <v>0</v>
      </c>
      <c r="N225" s="36">
        <f>RawData!AC957</f>
        <v>0</v>
      </c>
      <c r="O225" s="37">
        <f>RawData!AD957</f>
        <v>0</v>
      </c>
      <c r="P225" s="38">
        <f>RawData!AE957</f>
        <v>0</v>
      </c>
      <c r="Q225" s="39">
        <f>RawData!AF957</f>
        <v>0</v>
      </c>
      <c r="R225" s="38">
        <f>RawData!AG957</f>
        <v>0</v>
      </c>
      <c r="S225" s="40">
        <f>RawData!AH957</f>
        <v>0</v>
      </c>
      <c r="T225" s="40">
        <f>RawData!AI957</f>
        <v>0</v>
      </c>
      <c r="U225" s="40">
        <f>RawData!AJ957</f>
        <v>0</v>
      </c>
      <c r="V225" s="41">
        <f>RawData!AK957</f>
        <v>0</v>
      </c>
      <c r="W225" s="41">
        <f>RawData!AL957</f>
        <v>0</v>
      </c>
      <c r="X225" s="43">
        <f>RawData!CA957</f>
        <v>0</v>
      </c>
      <c r="Y225" s="41">
        <f>RawData!AM957</f>
        <v>0</v>
      </c>
      <c r="Z225" s="44">
        <f>RawData!CB957</f>
        <v>0</v>
      </c>
      <c r="AA225" s="44">
        <f>RawData!AN957</f>
        <v>0</v>
      </c>
      <c r="AB225" s="44">
        <f>RawData!AO957</f>
        <v>0</v>
      </c>
      <c r="AC225" s="44">
        <f>RawData!AP957</f>
        <v>0</v>
      </c>
      <c r="AD225" s="63">
        <f>RawData!BZ957</f>
        <v>0</v>
      </c>
      <c r="AE225" s="44">
        <f>RawData!AQ957</f>
        <v>0</v>
      </c>
      <c r="AF225" s="46">
        <f>RawData!O957</f>
        <v>0</v>
      </c>
      <c r="AG225" s="44">
        <f>RawData!AR957</f>
        <v>0</v>
      </c>
      <c r="AH225" s="44">
        <f>RawData!BY957</f>
        <v>0</v>
      </c>
      <c r="AI225" s="44">
        <f>RawData!AS957</f>
        <v>0</v>
      </c>
      <c r="AJ225" s="44">
        <f>RawData!AT957</f>
        <v>0</v>
      </c>
      <c r="AK225" s="44">
        <f>RawData!AU957</f>
        <v>0</v>
      </c>
      <c r="AL225" s="44">
        <f>RawData!BW957</f>
        <v>0</v>
      </c>
      <c r="AM225" s="41">
        <f>RawData!AV957</f>
        <v>0</v>
      </c>
      <c r="AN225" s="41">
        <f>RawData!BX957</f>
        <v>0</v>
      </c>
      <c r="AO225" s="41">
        <f>RawData!AW957</f>
        <v>0</v>
      </c>
      <c r="AP225" s="41">
        <f>RawData!AX957</f>
        <v>0</v>
      </c>
      <c r="AQ225" s="40">
        <f>RawData!AY957</f>
        <v>0</v>
      </c>
      <c r="AR225" s="40">
        <f>RawData!AZ957</f>
        <v>0</v>
      </c>
      <c r="AS225" s="40">
        <f>RawData!BA957</f>
        <v>0</v>
      </c>
      <c r="AT225" s="38">
        <f>RawData!BB957</f>
        <v>0</v>
      </c>
      <c r="AU225" s="40">
        <f>RawData!BC957</f>
        <v>0</v>
      </c>
      <c r="AV225" s="40">
        <f>RawData!BD957</f>
        <v>0</v>
      </c>
      <c r="AW225" s="38">
        <f>RawData!BE957</f>
        <v>0</v>
      </c>
      <c r="AX225" s="37">
        <f>RawData!BF957</f>
        <v>0</v>
      </c>
      <c r="AY225" s="36">
        <f>RawData!BG957</f>
        <v>0</v>
      </c>
      <c r="AZ225" s="36">
        <f>RawData!BH957</f>
        <v>0</v>
      </c>
      <c r="BA225" s="40">
        <f>RawData!BI957</f>
        <v>0</v>
      </c>
      <c r="BB225" s="44">
        <f>RawData!BJ957</f>
        <v>0</v>
      </c>
      <c r="BC225" s="44">
        <f>RawData!BK957</f>
        <v>0</v>
      </c>
      <c r="BD225" s="44">
        <f>RawData!BL957</f>
        <v>0</v>
      </c>
      <c r="BE225" s="44">
        <f>RawData!BM957</f>
        <v>0</v>
      </c>
      <c r="BF225" s="44">
        <f>RawData!BN957</f>
        <v>0</v>
      </c>
      <c r="BG225" s="63">
        <f>RawData!BO957</f>
        <v>0</v>
      </c>
      <c r="BH225" s="44">
        <f>RawData!BP957</f>
        <v>0</v>
      </c>
      <c r="BI225" s="63">
        <f>RawData!BQ957</f>
        <v>0</v>
      </c>
      <c r="BJ225" s="44">
        <f>RawData!BR957</f>
        <v>0</v>
      </c>
      <c r="BK225" s="47">
        <f>RawData!BS957</f>
        <v>0</v>
      </c>
      <c r="BL225" s="44">
        <f>RawData!BT957</f>
        <v>0</v>
      </c>
      <c r="BM225" s="47">
        <f>RawData!BV957</f>
        <v>0</v>
      </c>
      <c r="BN225" s="65">
        <f>RawData!CC957</f>
        <v>0</v>
      </c>
      <c r="BO225" s="66">
        <f>RawData!CD957</f>
        <v>0</v>
      </c>
      <c r="BQ225" s="21">
        <f t="shared" si="3"/>
        <v>0</v>
      </c>
    </row>
    <row r="226" spans="1:69" x14ac:dyDescent="0.2">
      <c r="A226" s="59">
        <f>RawData!P958</f>
        <v>0</v>
      </c>
      <c r="B226" s="44">
        <f>RawData!Q958</f>
        <v>0</v>
      </c>
      <c r="C226" s="44">
        <f>RawData!R958</f>
        <v>0</v>
      </c>
      <c r="D226" s="63">
        <f>RawData!S958</f>
        <v>0</v>
      </c>
      <c r="E226" s="44">
        <f>RawData!T958</f>
        <v>0</v>
      </c>
      <c r="F226" s="63">
        <f>RawData!U958</f>
        <v>0</v>
      </c>
      <c r="G226" s="44">
        <f>RawData!V958</f>
        <v>0</v>
      </c>
      <c r="H226" s="44">
        <f>RawData!W958</f>
        <v>0</v>
      </c>
      <c r="I226" s="44">
        <f>RawData!X958</f>
        <v>0</v>
      </c>
      <c r="J226" s="44">
        <f>RawData!Y958</f>
        <v>0</v>
      </c>
      <c r="K226" s="40">
        <f>RawData!Z958</f>
        <v>0</v>
      </c>
      <c r="L226" s="40">
        <f>RawData!AA958</f>
        <v>0</v>
      </c>
      <c r="M226" s="36">
        <f>RawData!AB958</f>
        <v>0</v>
      </c>
      <c r="N226" s="36">
        <f>RawData!AC958</f>
        <v>0</v>
      </c>
      <c r="O226" s="37">
        <f>RawData!AD958</f>
        <v>0</v>
      </c>
      <c r="P226" s="38">
        <f>RawData!AE958</f>
        <v>0</v>
      </c>
      <c r="Q226" s="39">
        <f>RawData!AF958</f>
        <v>0</v>
      </c>
      <c r="R226" s="38">
        <f>RawData!AG958</f>
        <v>0</v>
      </c>
      <c r="S226" s="40">
        <f>RawData!AH958</f>
        <v>0</v>
      </c>
      <c r="T226" s="40">
        <f>RawData!AI958</f>
        <v>0</v>
      </c>
      <c r="U226" s="40">
        <f>RawData!AJ958</f>
        <v>0</v>
      </c>
      <c r="V226" s="41">
        <f>RawData!AK958</f>
        <v>0</v>
      </c>
      <c r="W226" s="41">
        <f>RawData!AL958</f>
        <v>0</v>
      </c>
      <c r="X226" s="43">
        <f>RawData!CA958</f>
        <v>0</v>
      </c>
      <c r="Y226" s="41">
        <f>RawData!AM958</f>
        <v>0</v>
      </c>
      <c r="Z226" s="44">
        <f>RawData!CB958</f>
        <v>0</v>
      </c>
      <c r="AA226" s="44">
        <f>RawData!AN958</f>
        <v>0</v>
      </c>
      <c r="AB226" s="44">
        <f>RawData!AO958</f>
        <v>0</v>
      </c>
      <c r="AC226" s="44">
        <f>RawData!AP958</f>
        <v>0</v>
      </c>
      <c r="AD226" s="63">
        <f>RawData!BZ958</f>
        <v>0</v>
      </c>
      <c r="AE226" s="44">
        <f>RawData!AQ958</f>
        <v>0</v>
      </c>
      <c r="AF226" s="46">
        <f>RawData!O958</f>
        <v>0</v>
      </c>
      <c r="AG226" s="44">
        <f>RawData!AR958</f>
        <v>0</v>
      </c>
      <c r="AH226" s="44">
        <f>RawData!BY958</f>
        <v>0</v>
      </c>
      <c r="AI226" s="44">
        <f>RawData!AS958</f>
        <v>0</v>
      </c>
      <c r="AJ226" s="44">
        <f>RawData!AT958</f>
        <v>0</v>
      </c>
      <c r="AK226" s="44">
        <f>RawData!AU958</f>
        <v>0</v>
      </c>
      <c r="AL226" s="44">
        <f>RawData!BW958</f>
        <v>0</v>
      </c>
      <c r="AM226" s="41">
        <f>RawData!AV958</f>
        <v>0</v>
      </c>
      <c r="AN226" s="41">
        <f>RawData!BX958</f>
        <v>0</v>
      </c>
      <c r="AO226" s="41">
        <f>RawData!AW958</f>
        <v>0</v>
      </c>
      <c r="AP226" s="41">
        <f>RawData!AX958</f>
        <v>0</v>
      </c>
      <c r="AQ226" s="40">
        <f>RawData!AY958</f>
        <v>0</v>
      </c>
      <c r="AR226" s="40">
        <f>RawData!AZ958</f>
        <v>0</v>
      </c>
      <c r="AS226" s="40">
        <f>RawData!BA958</f>
        <v>0</v>
      </c>
      <c r="AT226" s="38">
        <f>RawData!BB958</f>
        <v>0</v>
      </c>
      <c r="AU226" s="40">
        <f>RawData!BC958</f>
        <v>0</v>
      </c>
      <c r="AV226" s="40">
        <f>RawData!BD958</f>
        <v>0</v>
      </c>
      <c r="AW226" s="38">
        <f>RawData!BE958</f>
        <v>0</v>
      </c>
      <c r="AX226" s="37">
        <f>RawData!BF958</f>
        <v>0</v>
      </c>
      <c r="AY226" s="36">
        <f>RawData!BG958</f>
        <v>0</v>
      </c>
      <c r="AZ226" s="36">
        <f>RawData!BH958</f>
        <v>0</v>
      </c>
      <c r="BA226" s="40">
        <f>RawData!BI958</f>
        <v>0</v>
      </c>
      <c r="BB226" s="44">
        <f>RawData!BJ958</f>
        <v>0</v>
      </c>
      <c r="BC226" s="44">
        <f>RawData!BK958</f>
        <v>0</v>
      </c>
      <c r="BD226" s="44">
        <f>RawData!BL958</f>
        <v>0</v>
      </c>
      <c r="BE226" s="44">
        <f>RawData!BM958</f>
        <v>0</v>
      </c>
      <c r="BF226" s="44">
        <f>RawData!BN958</f>
        <v>0</v>
      </c>
      <c r="BG226" s="63">
        <f>RawData!BO958</f>
        <v>0</v>
      </c>
      <c r="BH226" s="44">
        <f>RawData!BP958</f>
        <v>0</v>
      </c>
      <c r="BI226" s="63">
        <f>RawData!BQ958</f>
        <v>0</v>
      </c>
      <c r="BJ226" s="44">
        <f>RawData!BR958</f>
        <v>0</v>
      </c>
      <c r="BK226" s="47">
        <f>RawData!BS958</f>
        <v>0</v>
      </c>
      <c r="BL226" s="44">
        <f>RawData!BT958</f>
        <v>0</v>
      </c>
      <c r="BM226" s="47">
        <f>RawData!BV958</f>
        <v>0</v>
      </c>
      <c r="BN226" s="65">
        <f>RawData!CC958</f>
        <v>0</v>
      </c>
      <c r="BO226" s="66">
        <f>RawData!CD958</f>
        <v>0</v>
      </c>
      <c r="BQ226" s="21">
        <f t="shared" si="3"/>
        <v>0</v>
      </c>
    </row>
    <row r="227" spans="1:69" x14ac:dyDescent="0.2">
      <c r="A227" s="59">
        <f>RawData!P959</f>
        <v>0</v>
      </c>
      <c r="B227" s="44">
        <f>RawData!Q959</f>
        <v>0</v>
      </c>
      <c r="C227" s="44">
        <f>RawData!R959</f>
        <v>0</v>
      </c>
      <c r="D227" s="63">
        <f>RawData!S959</f>
        <v>0</v>
      </c>
      <c r="E227" s="44">
        <f>RawData!T959</f>
        <v>0</v>
      </c>
      <c r="F227" s="63">
        <f>RawData!U959</f>
        <v>0</v>
      </c>
      <c r="G227" s="44">
        <f>RawData!V959</f>
        <v>0</v>
      </c>
      <c r="H227" s="44">
        <f>RawData!W959</f>
        <v>0</v>
      </c>
      <c r="I227" s="44">
        <f>RawData!X959</f>
        <v>0</v>
      </c>
      <c r="J227" s="44">
        <f>RawData!Y959</f>
        <v>0</v>
      </c>
      <c r="K227" s="40">
        <f>RawData!Z959</f>
        <v>0</v>
      </c>
      <c r="L227" s="40">
        <f>RawData!AA959</f>
        <v>0</v>
      </c>
      <c r="M227" s="36">
        <f>RawData!AB959</f>
        <v>0</v>
      </c>
      <c r="N227" s="36">
        <f>RawData!AC959</f>
        <v>0</v>
      </c>
      <c r="O227" s="37">
        <f>RawData!AD959</f>
        <v>0</v>
      </c>
      <c r="P227" s="38">
        <f>RawData!AE959</f>
        <v>0</v>
      </c>
      <c r="Q227" s="39">
        <f>RawData!AF959</f>
        <v>0</v>
      </c>
      <c r="R227" s="38">
        <f>RawData!AG959</f>
        <v>0</v>
      </c>
      <c r="S227" s="40">
        <f>RawData!AH959</f>
        <v>0</v>
      </c>
      <c r="T227" s="40">
        <f>RawData!AI959</f>
        <v>0</v>
      </c>
      <c r="U227" s="40">
        <f>RawData!AJ959</f>
        <v>0</v>
      </c>
      <c r="V227" s="41">
        <f>RawData!AK959</f>
        <v>0</v>
      </c>
      <c r="W227" s="41">
        <f>RawData!AL959</f>
        <v>0</v>
      </c>
      <c r="X227" s="43">
        <f>RawData!CA959</f>
        <v>0</v>
      </c>
      <c r="Y227" s="41">
        <f>RawData!AM959</f>
        <v>0</v>
      </c>
      <c r="Z227" s="44">
        <f>RawData!CB959</f>
        <v>0</v>
      </c>
      <c r="AA227" s="44">
        <f>RawData!AN959</f>
        <v>0</v>
      </c>
      <c r="AB227" s="44">
        <f>RawData!AO959</f>
        <v>0</v>
      </c>
      <c r="AC227" s="44">
        <f>RawData!AP959</f>
        <v>0</v>
      </c>
      <c r="AD227" s="63">
        <f>RawData!BZ959</f>
        <v>0</v>
      </c>
      <c r="AE227" s="44">
        <f>RawData!AQ959</f>
        <v>0</v>
      </c>
      <c r="AF227" s="46">
        <f>RawData!O959</f>
        <v>0</v>
      </c>
      <c r="AG227" s="44">
        <f>RawData!AR959</f>
        <v>0</v>
      </c>
      <c r="AH227" s="44">
        <f>RawData!BY959</f>
        <v>0</v>
      </c>
      <c r="AI227" s="44">
        <f>RawData!AS959</f>
        <v>0</v>
      </c>
      <c r="AJ227" s="44">
        <f>RawData!AT959</f>
        <v>0</v>
      </c>
      <c r="AK227" s="44">
        <f>RawData!AU959</f>
        <v>0</v>
      </c>
      <c r="AL227" s="44">
        <f>RawData!BW959</f>
        <v>0</v>
      </c>
      <c r="AM227" s="41">
        <f>RawData!AV959</f>
        <v>0</v>
      </c>
      <c r="AN227" s="41">
        <f>RawData!BX959</f>
        <v>0</v>
      </c>
      <c r="AO227" s="41">
        <f>RawData!AW959</f>
        <v>0</v>
      </c>
      <c r="AP227" s="41">
        <f>RawData!AX959</f>
        <v>0</v>
      </c>
      <c r="AQ227" s="40">
        <f>RawData!AY959</f>
        <v>0</v>
      </c>
      <c r="AR227" s="40">
        <f>RawData!AZ959</f>
        <v>0</v>
      </c>
      <c r="AS227" s="40">
        <f>RawData!BA959</f>
        <v>0</v>
      </c>
      <c r="AT227" s="38">
        <f>RawData!BB959</f>
        <v>0</v>
      </c>
      <c r="AU227" s="40">
        <f>RawData!BC959</f>
        <v>0</v>
      </c>
      <c r="AV227" s="40">
        <f>RawData!BD959</f>
        <v>0</v>
      </c>
      <c r="AW227" s="38">
        <f>RawData!BE959</f>
        <v>0</v>
      </c>
      <c r="AX227" s="37">
        <f>RawData!BF959</f>
        <v>0</v>
      </c>
      <c r="AY227" s="36">
        <f>RawData!BG959</f>
        <v>0</v>
      </c>
      <c r="AZ227" s="36">
        <f>RawData!BH959</f>
        <v>0</v>
      </c>
      <c r="BA227" s="40">
        <f>RawData!BI959</f>
        <v>0</v>
      </c>
      <c r="BB227" s="44">
        <f>RawData!BJ959</f>
        <v>0</v>
      </c>
      <c r="BC227" s="44">
        <f>RawData!BK959</f>
        <v>0</v>
      </c>
      <c r="BD227" s="44">
        <f>RawData!BL959</f>
        <v>0</v>
      </c>
      <c r="BE227" s="44">
        <f>RawData!BM959</f>
        <v>0</v>
      </c>
      <c r="BF227" s="44">
        <f>RawData!BN959</f>
        <v>0</v>
      </c>
      <c r="BG227" s="63">
        <f>RawData!BO959</f>
        <v>0</v>
      </c>
      <c r="BH227" s="44">
        <f>RawData!BP959</f>
        <v>0</v>
      </c>
      <c r="BI227" s="63">
        <f>RawData!BQ959</f>
        <v>0</v>
      </c>
      <c r="BJ227" s="44">
        <f>RawData!BR959</f>
        <v>0</v>
      </c>
      <c r="BK227" s="47">
        <f>RawData!BS959</f>
        <v>0</v>
      </c>
      <c r="BL227" s="44">
        <f>RawData!BT959</f>
        <v>0</v>
      </c>
      <c r="BM227" s="47">
        <f>RawData!BV959</f>
        <v>0</v>
      </c>
      <c r="BN227" s="65">
        <f>RawData!CC959</f>
        <v>0</v>
      </c>
      <c r="BO227" s="66">
        <f>RawData!CD959</f>
        <v>0</v>
      </c>
      <c r="BQ227" s="21">
        <f t="shared" si="3"/>
        <v>0</v>
      </c>
    </row>
    <row r="228" spans="1:69" x14ac:dyDescent="0.2">
      <c r="A228" s="59">
        <f>RawData!P960</f>
        <v>0</v>
      </c>
      <c r="B228" s="44">
        <f>RawData!Q960</f>
        <v>0</v>
      </c>
      <c r="C228" s="44">
        <f>RawData!R960</f>
        <v>0</v>
      </c>
      <c r="D228" s="63">
        <f>RawData!S960</f>
        <v>0</v>
      </c>
      <c r="E228" s="44">
        <f>RawData!T960</f>
        <v>0</v>
      </c>
      <c r="F228" s="63">
        <f>RawData!U960</f>
        <v>0</v>
      </c>
      <c r="G228" s="44">
        <f>RawData!V960</f>
        <v>0</v>
      </c>
      <c r="H228" s="44">
        <f>RawData!W960</f>
        <v>0</v>
      </c>
      <c r="I228" s="44">
        <f>RawData!X960</f>
        <v>0</v>
      </c>
      <c r="J228" s="44">
        <f>RawData!Y960</f>
        <v>0</v>
      </c>
      <c r="K228" s="40">
        <f>RawData!Z960</f>
        <v>0</v>
      </c>
      <c r="L228" s="40">
        <f>RawData!AA960</f>
        <v>0</v>
      </c>
      <c r="M228" s="36">
        <f>RawData!AB960</f>
        <v>0</v>
      </c>
      <c r="N228" s="36">
        <f>RawData!AC960</f>
        <v>0</v>
      </c>
      <c r="O228" s="37">
        <f>RawData!AD960</f>
        <v>0</v>
      </c>
      <c r="P228" s="38">
        <f>RawData!AE960</f>
        <v>0</v>
      </c>
      <c r="Q228" s="39">
        <f>RawData!AF960</f>
        <v>0</v>
      </c>
      <c r="R228" s="38">
        <f>RawData!AG960</f>
        <v>0</v>
      </c>
      <c r="S228" s="40">
        <f>RawData!AH960</f>
        <v>0</v>
      </c>
      <c r="T228" s="40">
        <f>RawData!AI960</f>
        <v>0</v>
      </c>
      <c r="U228" s="40">
        <f>RawData!AJ960</f>
        <v>0</v>
      </c>
      <c r="V228" s="41">
        <f>RawData!AK960</f>
        <v>0</v>
      </c>
      <c r="W228" s="41">
        <f>RawData!AL960</f>
        <v>0</v>
      </c>
      <c r="X228" s="43">
        <f>RawData!CA960</f>
        <v>0</v>
      </c>
      <c r="Y228" s="41">
        <f>RawData!AM960</f>
        <v>0</v>
      </c>
      <c r="Z228" s="44">
        <f>RawData!CB960</f>
        <v>0</v>
      </c>
      <c r="AA228" s="44">
        <f>RawData!AN960</f>
        <v>0</v>
      </c>
      <c r="AB228" s="44">
        <f>RawData!AO960</f>
        <v>0</v>
      </c>
      <c r="AC228" s="44">
        <f>RawData!AP960</f>
        <v>0</v>
      </c>
      <c r="AD228" s="63">
        <f>RawData!BZ960</f>
        <v>0</v>
      </c>
      <c r="AE228" s="44">
        <f>RawData!AQ960</f>
        <v>0</v>
      </c>
      <c r="AF228" s="46">
        <f>RawData!O960</f>
        <v>0</v>
      </c>
      <c r="AG228" s="44">
        <f>RawData!AR960</f>
        <v>0</v>
      </c>
      <c r="AH228" s="44">
        <f>RawData!BY960</f>
        <v>0</v>
      </c>
      <c r="AI228" s="44">
        <f>RawData!AS960</f>
        <v>0</v>
      </c>
      <c r="AJ228" s="44">
        <f>RawData!AT960</f>
        <v>0</v>
      </c>
      <c r="AK228" s="44">
        <f>RawData!AU960</f>
        <v>0</v>
      </c>
      <c r="AL228" s="44">
        <f>RawData!BW960</f>
        <v>0</v>
      </c>
      <c r="AM228" s="41">
        <f>RawData!AV960</f>
        <v>0</v>
      </c>
      <c r="AN228" s="41">
        <f>RawData!BX960</f>
        <v>0</v>
      </c>
      <c r="AO228" s="41">
        <f>RawData!AW960</f>
        <v>0</v>
      </c>
      <c r="AP228" s="41">
        <f>RawData!AX960</f>
        <v>0</v>
      </c>
      <c r="AQ228" s="40">
        <f>RawData!AY960</f>
        <v>0</v>
      </c>
      <c r="AR228" s="40">
        <f>RawData!AZ960</f>
        <v>0</v>
      </c>
      <c r="AS228" s="40">
        <f>RawData!BA960</f>
        <v>0</v>
      </c>
      <c r="AT228" s="38">
        <f>RawData!BB960</f>
        <v>0</v>
      </c>
      <c r="AU228" s="40">
        <f>RawData!BC960</f>
        <v>0</v>
      </c>
      <c r="AV228" s="40">
        <f>RawData!BD960</f>
        <v>0</v>
      </c>
      <c r="AW228" s="38">
        <f>RawData!BE960</f>
        <v>0</v>
      </c>
      <c r="AX228" s="37">
        <f>RawData!BF960</f>
        <v>0</v>
      </c>
      <c r="AY228" s="36">
        <f>RawData!BG960</f>
        <v>0</v>
      </c>
      <c r="AZ228" s="36">
        <f>RawData!BH960</f>
        <v>0</v>
      </c>
      <c r="BA228" s="40">
        <f>RawData!BI960</f>
        <v>0</v>
      </c>
      <c r="BB228" s="44">
        <f>RawData!BJ960</f>
        <v>0</v>
      </c>
      <c r="BC228" s="44">
        <f>RawData!BK960</f>
        <v>0</v>
      </c>
      <c r="BD228" s="44">
        <f>RawData!BL960</f>
        <v>0</v>
      </c>
      <c r="BE228" s="44">
        <f>RawData!BM960</f>
        <v>0</v>
      </c>
      <c r="BF228" s="44">
        <f>RawData!BN960</f>
        <v>0</v>
      </c>
      <c r="BG228" s="63">
        <f>RawData!BO960</f>
        <v>0</v>
      </c>
      <c r="BH228" s="44">
        <f>RawData!BP960</f>
        <v>0</v>
      </c>
      <c r="BI228" s="63">
        <f>RawData!BQ960</f>
        <v>0</v>
      </c>
      <c r="BJ228" s="44">
        <f>RawData!BR960</f>
        <v>0</v>
      </c>
      <c r="BK228" s="47">
        <f>RawData!BS960</f>
        <v>0</v>
      </c>
      <c r="BL228" s="44">
        <f>RawData!BT960</f>
        <v>0</v>
      </c>
      <c r="BM228" s="47">
        <f>RawData!BV960</f>
        <v>0</v>
      </c>
      <c r="BN228" s="65">
        <f>RawData!CC960</f>
        <v>0</v>
      </c>
      <c r="BO228" s="66">
        <f>RawData!CD960</f>
        <v>0</v>
      </c>
      <c r="BQ228" s="21">
        <f t="shared" si="3"/>
        <v>0</v>
      </c>
    </row>
    <row r="229" spans="1:69" x14ac:dyDescent="0.2">
      <c r="A229" s="59">
        <f>RawData!P961</f>
        <v>0</v>
      </c>
      <c r="B229" s="44">
        <f>RawData!Q961</f>
        <v>0</v>
      </c>
      <c r="C229" s="44">
        <f>RawData!R961</f>
        <v>0</v>
      </c>
      <c r="D229" s="63">
        <f>RawData!S961</f>
        <v>0</v>
      </c>
      <c r="E229" s="44">
        <f>RawData!T961</f>
        <v>0</v>
      </c>
      <c r="F229" s="63">
        <f>RawData!U961</f>
        <v>0</v>
      </c>
      <c r="G229" s="44">
        <f>RawData!V961</f>
        <v>0</v>
      </c>
      <c r="H229" s="44">
        <f>RawData!W961</f>
        <v>0</v>
      </c>
      <c r="I229" s="44">
        <f>RawData!X961</f>
        <v>0</v>
      </c>
      <c r="J229" s="44">
        <f>RawData!Y961</f>
        <v>0</v>
      </c>
      <c r="K229" s="40">
        <f>RawData!Z961</f>
        <v>0</v>
      </c>
      <c r="L229" s="40">
        <f>RawData!AA961</f>
        <v>0</v>
      </c>
      <c r="M229" s="36">
        <f>RawData!AB961</f>
        <v>0</v>
      </c>
      <c r="N229" s="36">
        <f>RawData!AC961</f>
        <v>0</v>
      </c>
      <c r="O229" s="37">
        <f>RawData!AD961</f>
        <v>0</v>
      </c>
      <c r="P229" s="38">
        <f>RawData!AE961</f>
        <v>0</v>
      </c>
      <c r="Q229" s="39">
        <f>RawData!AF961</f>
        <v>0</v>
      </c>
      <c r="R229" s="38">
        <f>RawData!AG961</f>
        <v>0</v>
      </c>
      <c r="S229" s="40">
        <f>RawData!AH961</f>
        <v>0</v>
      </c>
      <c r="T229" s="40">
        <f>RawData!AI961</f>
        <v>0</v>
      </c>
      <c r="U229" s="40">
        <f>RawData!AJ961</f>
        <v>0</v>
      </c>
      <c r="V229" s="41">
        <f>RawData!AK961</f>
        <v>0</v>
      </c>
      <c r="W229" s="41">
        <f>RawData!AL961</f>
        <v>0</v>
      </c>
      <c r="X229" s="43">
        <f>RawData!CA961</f>
        <v>0</v>
      </c>
      <c r="Y229" s="41">
        <f>RawData!AM961</f>
        <v>0</v>
      </c>
      <c r="Z229" s="44">
        <f>RawData!CB961</f>
        <v>0</v>
      </c>
      <c r="AA229" s="44">
        <f>RawData!AN961</f>
        <v>0</v>
      </c>
      <c r="AB229" s="44">
        <f>RawData!AO961</f>
        <v>0</v>
      </c>
      <c r="AC229" s="44">
        <f>RawData!AP961</f>
        <v>0</v>
      </c>
      <c r="AD229" s="63">
        <f>RawData!BZ961</f>
        <v>0</v>
      </c>
      <c r="AE229" s="44">
        <f>RawData!AQ961</f>
        <v>0</v>
      </c>
      <c r="AF229" s="46">
        <f>RawData!O961</f>
        <v>0</v>
      </c>
      <c r="AG229" s="44">
        <f>RawData!AR961</f>
        <v>0</v>
      </c>
      <c r="AH229" s="44">
        <f>RawData!BY961</f>
        <v>0</v>
      </c>
      <c r="AI229" s="44">
        <f>RawData!AS961</f>
        <v>0</v>
      </c>
      <c r="AJ229" s="44">
        <f>RawData!AT961</f>
        <v>0</v>
      </c>
      <c r="AK229" s="44">
        <f>RawData!AU961</f>
        <v>0</v>
      </c>
      <c r="AL229" s="44">
        <f>RawData!BW961</f>
        <v>0</v>
      </c>
      <c r="AM229" s="41">
        <f>RawData!AV961</f>
        <v>0</v>
      </c>
      <c r="AN229" s="41">
        <f>RawData!BX961</f>
        <v>0</v>
      </c>
      <c r="AO229" s="41">
        <f>RawData!AW961</f>
        <v>0</v>
      </c>
      <c r="AP229" s="41">
        <f>RawData!AX961</f>
        <v>0</v>
      </c>
      <c r="AQ229" s="40">
        <f>RawData!AY961</f>
        <v>0</v>
      </c>
      <c r="AR229" s="40">
        <f>RawData!AZ961</f>
        <v>0</v>
      </c>
      <c r="AS229" s="40">
        <f>RawData!BA961</f>
        <v>0</v>
      </c>
      <c r="AT229" s="38">
        <f>RawData!BB961</f>
        <v>0</v>
      </c>
      <c r="AU229" s="40">
        <f>RawData!BC961</f>
        <v>0</v>
      </c>
      <c r="AV229" s="40">
        <f>RawData!BD961</f>
        <v>0</v>
      </c>
      <c r="AW229" s="38">
        <f>RawData!BE961</f>
        <v>0</v>
      </c>
      <c r="AX229" s="37">
        <f>RawData!BF961</f>
        <v>0</v>
      </c>
      <c r="AY229" s="36">
        <f>RawData!BG961</f>
        <v>0</v>
      </c>
      <c r="AZ229" s="36">
        <f>RawData!BH961</f>
        <v>0</v>
      </c>
      <c r="BA229" s="40">
        <f>RawData!BI961</f>
        <v>0</v>
      </c>
      <c r="BB229" s="44">
        <f>RawData!BJ961</f>
        <v>0</v>
      </c>
      <c r="BC229" s="44">
        <f>RawData!BK961</f>
        <v>0</v>
      </c>
      <c r="BD229" s="44">
        <f>RawData!BL961</f>
        <v>0</v>
      </c>
      <c r="BE229" s="44">
        <f>RawData!BM961</f>
        <v>0</v>
      </c>
      <c r="BF229" s="44">
        <f>RawData!BN961</f>
        <v>0</v>
      </c>
      <c r="BG229" s="63">
        <f>RawData!BO961</f>
        <v>0</v>
      </c>
      <c r="BH229" s="44">
        <f>RawData!BP961</f>
        <v>0</v>
      </c>
      <c r="BI229" s="63">
        <f>RawData!BQ961</f>
        <v>0</v>
      </c>
      <c r="BJ229" s="44">
        <f>RawData!BR961</f>
        <v>0</v>
      </c>
      <c r="BK229" s="47">
        <f>RawData!BS961</f>
        <v>0</v>
      </c>
      <c r="BL229" s="44">
        <f>RawData!BT961</f>
        <v>0</v>
      </c>
      <c r="BM229" s="47">
        <f>RawData!BV961</f>
        <v>0</v>
      </c>
      <c r="BN229" s="65">
        <f>RawData!CC961</f>
        <v>0</v>
      </c>
      <c r="BO229" s="66">
        <f>RawData!CD961</f>
        <v>0</v>
      </c>
      <c r="BQ229" s="21">
        <f t="shared" si="3"/>
        <v>0</v>
      </c>
    </row>
    <row r="230" spans="1:69" x14ac:dyDescent="0.2">
      <c r="A230" s="59">
        <f>RawData!P962</f>
        <v>0</v>
      </c>
      <c r="B230" s="44">
        <f>RawData!Q962</f>
        <v>0</v>
      </c>
      <c r="C230" s="44">
        <f>RawData!R962</f>
        <v>0</v>
      </c>
      <c r="D230" s="63">
        <f>RawData!S962</f>
        <v>0</v>
      </c>
      <c r="E230" s="44">
        <f>RawData!T962</f>
        <v>0</v>
      </c>
      <c r="F230" s="63">
        <f>RawData!U962</f>
        <v>0</v>
      </c>
      <c r="G230" s="44">
        <f>RawData!V962</f>
        <v>0</v>
      </c>
      <c r="H230" s="44">
        <f>RawData!W962</f>
        <v>0</v>
      </c>
      <c r="I230" s="44">
        <f>RawData!X962</f>
        <v>0</v>
      </c>
      <c r="J230" s="44">
        <f>RawData!Y962</f>
        <v>0</v>
      </c>
      <c r="K230" s="40">
        <f>RawData!Z962</f>
        <v>0</v>
      </c>
      <c r="L230" s="40">
        <f>RawData!AA962</f>
        <v>0</v>
      </c>
      <c r="M230" s="36">
        <f>RawData!AB962</f>
        <v>0</v>
      </c>
      <c r="N230" s="36">
        <f>RawData!AC962</f>
        <v>0</v>
      </c>
      <c r="O230" s="37">
        <f>RawData!AD962</f>
        <v>0</v>
      </c>
      <c r="P230" s="38">
        <f>RawData!AE962</f>
        <v>0</v>
      </c>
      <c r="Q230" s="39">
        <f>RawData!AF962</f>
        <v>0</v>
      </c>
      <c r="R230" s="38">
        <f>RawData!AG962</f>
        <v>0</v>
      </c>
      <c r="S230" s="40">
        <f>RawData!AH962</f>
        <v>0</v>
      </c>
      <c r="T230" s="40">
        <f>RawData!AI962</f>
        <v>0</v>
      </c>
      <c r="U230" s="40">
        <f>RawData!AJ962</f>
        <v>0</v>
      </c>
      <c r="V230" s="41">
        <f>RawData!AK962</f>
        <v>0</v>
      </c>
      <c r="W230" s="41">
        <f>RawData!AL962</f>
        <v>0</v>
      </c>
      <c r="X230" s="43">
        <f>RawData!CA962</f>
        <v>0</v>
      </c>
      <c r="Y230" s="41">
        <f>RawData!AM962</f>
        <v>0</v>
      </c>
      <c r="Z230" s="44">
        <f>RawData!CB962</f>
        <v>0</v>
      </c>
      <c r="AA230" s="44">
        <f>RawData!AN962</f>
        <v>0</v>
      </c>
      <c r="AB230" s="44">
        <f>RawData!AO962</f>
        <v>0</v>
      </c>
      <c r="AC230" s="44">
        <f>RawData!AP962</f>
        <v>0</v>
      </c>
      <c r="AD230" s="63">
        <f>RawData!BZ962</f>
        <v>0</v>
      </c>
      <c r="AE230" s="44">
        <f>RawData!AQ962</f>
        <v>0</v>
      </c>
      <c r="AF230" s="46">
        <f>RawData!O962</f>
        <v>0</v>
      </c>
      <c r="AG230" s="44">
        <f>RawData!AR962</f>
        <v>0</v>
      </c>
      <c r="AH230" s="44">
        <f>RawData!BY962</f>
        <v>0</v>
      </c>
      <c r="AI230" s="44">
        <f>RawData!AS962</f>
        <v>0</v>
      </c>
      <c r="AJ230" s="44">
        <f>RawData!AT962</f>
        <v>0</v>
      </c>
      <c r="AK230" s="44">
        <f>RawData!AU962</f>
        <v>0</v>
      </c>
      <c r="AL230" s="44">
        <f>RawData!BW962</f>
        <v>0</v>
      </c>
      <c r="AM230" s="41">
        <f>RawData!AV962</f>
        <v>0</v>
      </c>
      <c r="AN230" s="41">
        <f>RawData!BX962</f>
        <v>0</v>
      </c>
      <c r="AO230" s="41">
        <f>RawData!AW962</f>
        <v>0</v>
      </c>
      <c r="AP230" s="41">
        <f>RawData!AX962</f>
        <v>0</v>
      </c>
      <c r="AQ230" s="40">
        <f>RawData!AY962</f>
        <v>0</v>
      </c>
      <c r="AR230" s="40">
        <f>RawData!AZ962</f>
        <v>0</v>
      </c>
      <c r="AS230" s="40">
        <f>RawData!BA962</f>
        <v>0</v>
      </c>
      <c r="AT230" s="38">
        <f>RawData!BB962</f>
        <v>0</v>
      </c>
      <c r="AU230" s="40">
        <f>RawData!BC962</f>
        <v>0</v>
      </c>
      <c r="AV230" s="40">
        <f>RawData!BD962</f>
        <v>0</v>
      </c>
      <c r="AW230" s="38">
        <f>RawData!BE962</f>
        <v>0</v>
      </c>
      <c r="AX230" s="37">
        <f>RawData!BF962</f>
        <v>0</v>
      </c>
      <c r="AY230" s="36">
        <f>RawData!BG962</f>
        <v>0</v>
      </c>
      <c r="AZ230" s="36">
        <f>RawData!BH962</f>
        <v>0</v>
      </c>
      <c r="BA230" s="40">
        <f>RawData!BI962</f>
        <v>0</v>
      </c>
      <c r="BB230" s="44">
        <f>RawData!BJ962</f>
        <v>0</v>
      </c>
      <c r="BC230" s="44">
        <f>RawData!BK962</f>
        <v>0</v>
      </c>
      <c r="BD230" s="44">
        <f>RawData!BL962</f>
        <v>0</v>
      </c>
      <c r="BE230" s="44">
        <f>RawData!BM962</f>
        <v>0</v>
      </c>
      <c r="BF230" s="44">
        <f>RawData!BN962</f>
        <v>0</v>
      </c>
      <c r="BG230" s="63">
        <f>RawData!BO962</f>
        <v>0</v>
      </c>
      <c r="BH230" s="44">
        <f>RawData!BP962</f>
        <v>0</v>
      </c>
      <c r="BI230" s="63">
        <f>RawData!BQ962</f>
        <v>0</v>
      </c>
      <c r="BJ230" s="44">
        <f>RawData!BR962</f>
        <v>0</v>
      </c>
      <c r="BK230" s="47">
        <f>RawData!BS962</f>
        <v>0</v>
      </c>
      <c r="BL230" s="44">
        <f>RawData!BT962</f>
        <v>0</v>
      </c>
      <c r="BM230" s="47">
        <f>RawData!BV962</f>
        <v>0</v>
      </c>
      <c r="BN230" s="65">
        <f>RawData!CC962</f>
        <v>0</v>
      </c>
      <c r="BO230" s="66">
        <f>RawData!CD962</f>
        <v>0</v>
      </c>
      <c r="BQ230" s="21">
        <f t="shared" si="3"/>
        <v>0</v>
      </c>
    </row>
    <row r="231" spans="1:69" x14ac:dyDescent="0.2">
      <c r="A231" s="59">
        <f>RawData!P963</f>
        <v>0</v>
      </c>
      <c r="B231" s="44">
        <f>RawData!Q963</f>
        <v>0</v>
      </c>
      <c r="C231" s="44">
        <f>RawData!R963</f>
        <v>0</v>
      </c>
      <c r="D231" s="63">
        <f>RawData!S963</f>
        <v>0</v>
      </c>
      <c r="E231" s="44">
        <f>RawData!T963</f>
        <v>0</v>
      </c>
      <c r="F231" s="63">
        <f>RawData!U963</f>
        <v>0</v>
      </c>
      <c r="G231" s="44">
        <f>RawData!V963</f>
        <v>0</v>
      </c>
      <c r="H231" s="44">
        <f>RawData!W963</f>
        <v>0</v>
      </c>
      <c r="I231" s="44">
        <f>RawData!X963</f>
        <v>0</v>
      </c>
      <c r="J231" s="44">
        <f>RawData!Y963</f>
        <v>0</v>
      </c>
      <c r="K231" s="40">
        <f>RawData!Z963</f>
        <v>0</v>
      </c>
      <c r="L231" s="40">
        <f>RawData!AA963</f>
        <v>0</v>
      </c>
      <c r="M231" s="36">
        <f>RawData!AB963</f>
        <v>0</v>
      </c>
      <c r="N231" s="36">
        <f>RawData!AC963</f>
        <v>0</v>
      </c>
      <c r="O231" s="37">
        <f>RawData!AD963</f>
        <v>0</v>
      </c>
      <c r="P231" s="38">
        <f>RawData!AE963</f>
        <v>0</v>
      </c>
      <c r="Q231" s="39">
        <f>RawData!AF963</f>
        <v>0</v>
      </c>
      <c r="R231" s="38">
        <f>RawData!AG963</f>
        <v>0</v>
      </c>
      <c r="S231" s="40">
        <f>RawData!AH963</f>
        <v>0</v>
      </c>
      <c r="T231" s="40">
        <f>RawData!AI963</f>
        <v>0</v>
      </c>
      <c r="U231" s="40">
        <f>RawData!AJ963</f>
        <v>0</v>
      </c>
      <c r="V231" s="41">
        <f>RawData!AK963</f>
        <v>0</v>
      </c>
      <c r="W231" s="41">
        <f>RawData!AL963</f>
        <v>0</v>
      </c>
      <c r="X231" s="43">
        <f>RawData!CA963</f>
        <v>0</v>
      </c>
      <c r="Y231" s="41">
        <f>RawData!AM963</f>
        <v>0</v>
      </c>
      <c r="Z231" s="44">
        <f>RawData!CB963</f>
        <v>0</v>
      </c>
      <c r="AA231" s="44">
        <f>RawData!AN963</f>
        <v>0</v>
      </c>
      <c r="AB231" s="44">
        <f>RawData!AO963</f>
        <v>0</v>
      </c>
      <c r="AC231" s="44">
        <f>RawData!AP963</f>
        <v>0</v>
      </c>
      <c r="AD231" s="63">
        <f>RawData!BZ963</f>
        <v>0</v>
      </c>
      <c r="AE231" s="44">
        <f>RawData!AQ963</f>
        <v>0</v>
      </c>
      <c r="AF231" s="46">
        <f>RawData!O963</f>
        <v>0</v>
      </c>
      <c r="AG231" s="44">
        <f>RawData!AR963</f>
        <v>0</v>
      </c>
      <c r="AH231" s="44">
        <f>RawData!BY963</f>
        <v>0</v>
      </c>
      <c r="AI231" s="44">
        <f>RawData!AS963</f>
        <v>0</v>
      </c>
      <c r="AJ231" s="44">
        <f>RawData!AT963</f>
        <v>0</v>
      </c>
      <c r="AK231" s="44">
        <f>RawData!AU963</f>
        <v>0</v>
      </c>
      <c r="AL231" s="44">
        <f>RawData!BW963</f>
        <v>0</v>
      </c>
      <c r="AM231" s="41">
        <f>RawData!AV963</f>
        <v>0</v>
      </c>
      <c r="AN231" s="41">
        <f>RawData!BX963</f>
        <v>0</v>
      </c>
      <c r="AO231" s="41">
        <f>RawData!AW963</f>
        <v>0</v>
      </c>
      <c r="AP231" s="41">
        <f>RawData!AX963</f>
        <v>0</v>
      </c>
      <c r="AQ231" s="40">
        <f>RawData!AY963</f>
        <v>0</v>
      </c>
      <c r="AR231" s="40">
        <f>RawData!AZ963</f>
        <v>0</v>
      </c>
      <c r="AS231" s="40">
        <f>RawData!BA963</f>
        <v>0</v>
      </c>
      <c r="AT231" s="38">
        <f>RawData!BB963</f>
        <v>0</v>
      </c>
      <c r="AU231" s="40">
        <f>RawData!BC963</f>
        <v>0</v>
      </c>
      <c r="AV231" s="40">
        <f>RawData!BD963</f>
        <v>0</v>
      </c>
      <c r="AW231" s="38">
        <f>RawData!BE963</f>
        <v>0</v>
      </c>
      <c r="AX231" s="37">
        <f>RawData!BF963</f>
        <v>0</v>
      </c>
      <c r="AY231" s="36">
        <f>RawData!BG963</f>
        <v>0</v>
      </c>
      <c r="AZ231" s="36">
        <f>RawData!BH963</f>
        <v>0</v>
      </c>
      <c r="BA231" s="40">
        <f>RawData!BI963</f>
        <v>0</v>
      </c>
      <c r="BB231" s="44">
        <f>RawData!BJ963</f>
        <v>0</v>
      </c>
      <c r="BC231" s="44">
        <f>RawData!BK963</f>
        <v>0</v>
      </c>
      <c r="BD231" s="44">
        <f>RawData!BL963</f>
        <v>0</v>
      </c>
      <c r="BE231" s="44">
        <f>RawData!BM963</f>
        <v>0</v>
      </c>
      <c r="BF231" s="44">
        <f>RawData!BN963</f>
        <v>0</v>
      </c>
      <c r="BG231" s="63">
        <f>RawData!BO963</f>
        <v>0</v>
      </c>
      <c r="BH231" s="44">
        <f>RawData!BP963</f>
        <v>0</v>
      </c>
      <c r="BI231" s="63">
        <f>RawData!BQ963</f>
        <v>0</v>
      </c>
      <c r="BJ231" s="44">
        <f>RawData!BR963</f>
        <v>0</v>
      </c>
      <c r="BK231" s="47">
        <f>RawData!BS963</f>
        <v>0</v>
      </c>
      <c r="BL231" s="44">
        <f>RawData!BT963</f>
        <v>0</v>
      </c>
      <c r="BM231" s="47">
        <f>RawData!BV963</f>
        <v>0</v>
      </c>
      <c r="BN231" s="65">
        <f>RawData!CC963</f>
        <v>0</v>
      </c>
      <c r="BO231" s="66">
        <f>RawData!CD963</f>
        <v>0</v>
      </c>
      <c r="BQ231" s="21">
        <f t="shared" si="3"/>
        <v>0</v>
      </c>
    </row>
    <row r="232" spans="1:69" x14ac:dyDescent="0.2">
      <c r="A232" s="59">
        <f>RawData!P964</f>
        <v>0</v>
      </c>
      <c r="B232" s="44">
        <f>RawData!Q964</f>
        <v>0</v>
      </c>
      <c r="C232" s="44">
        <f>RawData!R964</f>
        <v>0</v>
      </c>
      <c r="D232" s="63">
        <f>RawData!S964</f>
        <v>0</v>
      </c>
      <c r="E232" s="44">
        <f>RawData!T964</f>
        <v>0</v>
      </c>
      <c r="F232" s="63">
        <f>RawData!U964</f>
        <v>0</v>
      </c>
      <c r="G232" s="44">
        <f>RawData!V964</f>
        <v>0</v>
      </c>
      <c r="H232" s="44">
        <f>RawData!W964</f>
        <v>0</v>
      </c>
      <c r="I232" s="44">
        <f>RawData!X964</f>
        <v>0</v>
      </c>
      <c r="J232" s="44">
        <f>RawData!Y964</f>
        <v>0</v>
      </c>
      <c r="K232" s="40">
        <f>RawData!Z964</f>
        <v>0</v>
      </c>
      <c r="L232" s="40">
        <f>RawData!AA964</f>
        <v>0</v>
      </c>
      <c r="M232" s="36">
        <f>RawData!AB964</f>
        <v>0</v>
      </c>
      <c r="N232" s="36">
        <f>RawData!AC964</f>
        <v>0</v>
      </c>
      <c r="O232" s="37">
        <f>RawData!AD964</f>
        <v>0</v>
      </c>
      <c r="P232" s="38">
        <f>RawData!AE964</f>
        <v>0</v>
      </c>
      <c r="Q232" s="39">
        <f>RawData!AF964</f>
        <v>0</v>
      </c>
      <c r="R232" s="38">
        <f>RawData!AG964</f>
        <v>0</v>
      </c>
      <c r="S232" s="40">
        <f>RawData!AH964</f>
        <v>0</v>
      </c>
      <c r="T232" s="40">
        <f>RawData!AI964</f>
        <v>0</v>
      </c>
      <c r="U232" s="40">
        <f>RawData!AJ964</f>
        <v>0</v>
      </c>
      <c r="V232" s="41">
        <f>RawData!AK964</f>
        <v>0</v>
      </c>
      <c r="W232" s="41">
        <f>RawData!AL964</f>
        <v>0</v>
      </c>
      <c r="X232" s="43">
        <f>RawData!CA964</f>
        <v>0</v>
      </c>
      <c r="Y232" s="41">
        <f>RawData!AM964</f>
        <v>0</v>
      </c>
      <c r="Z232" s="44">
        <f>RawData!CB964</f>
        <v>0</v>
      </c>
      <c r="AA232" s="44">
        <f>RawData!AN964</f>
        <v>0</v>
      </c>
      <c r="AB232" s="44">
        <f>RawData!AO964</f>
        <v>0</v>
      </c>
      <c r="AC232" s="44">
        <f>RawData!AP964</f>
        <v>0</v>
      </c>
      <c r="AD232" s="63">
        <f>RawData!BZ964</f>
        <v>0</v>
      </c>
      <c r="AE232" s="44">
        <f>RawData!AQ964</f>
        <v>0</v>
      </c>
      <c r="AF232" s="46">
        <f>RawData!O964</f>
        <v>0</v>
      </c>
      <c r="AG232" s="44">
        <f>RawData!AR964</f>
        <v>0</v>
      </c>
      <c r="AH232" s="44">
        <f>RawData!BY964</f>
        <v>0</v>
      </c>
      <c r="AI232" s="44">
        <f>RawData!AS964</f>
        <v>0</v>
      </c>
      <c r="AJ232" s="44">
        <f>RawData!AT964</f>
        <v>0</v>
      </c>
      <c r="AK232" s="44">
        <f>RawData!AU964</f>
        <v>0</v>
      </c>
      <c r="AL232" s="44">
        <f>RawData!BW964</f>
        <v>0</v>
      </c>
      <c r="AM232" s="41">
        <f>RawData!AV964</f>
        <v>0</v>
      </c>
      <c r="AN232" s="41">
        <f>RawData!BX964</f>
        <v>0</v>
      </c>
      <c r="AO232" s="41">
        <f>RawData!AW964</f>
        <v>0</v>
      </c>
      <c r="AP232" s="41">
        <f>RawData!AX964</f>
        <v>0</v>
      </c>
      <c r="AQ232" s="40">
        <f>RawData!AY964</f>
        <v>0</v>
      </c>
      <c r="AR232" s="40">
        <f>RawData!AZ964</f>
        <v>0</v>
      </c>
      <c r="AS232" s="40">
        <f>RawData!BA964</f>
        <v>0</v>
      </c>
      <c r="AT232" s="38">
        <f>RawData!BB964</f>
        <v>0</v>
      </c>
      <c r="AU232" s="40">
        <f>RawData!BC964</f>
        <v>0</v>
      </c>
      <c r="AV232" s="40">
        <f>RawData!BD964</f>
        <v>0</v>
      </c>
      <c r="AW232" s="38">
        <f>RawData!BE964</f>
        <v>0</v>
      </c>
      <c r="AX232" s="37">
        <f>RawData!BF964</f>
        <v>0</v>
      </c>
      <c r="AY232" s="36">
        <f>RawData!BG964</f>
        <v>0</v>
      </c>
      <c r="AZ232" s="36">
        <f>RawData!BH964</f>
        <v>0</v>
      </c>
      <c r="BA232" s="40">
        <f>RawData!BI964</f>
        <v>0</v>
      </c>
      <c r="BB232" s="44">
        <f>RawData!BJ964</f>
        <v>0</v>
      </c>
      <c r="BC232" s="44">
        <f>RawData!BK964</f>
        <v>0</v>
      </c>
      <c r="BD232" s="44">
        <f>RawData!BL964</f>
        <v>0</v>
      </c>
      <c r="BE232" s="44">
        <f>RawData!BM964</f>
        <v>0</v>
      </c>
      <c r="BF232" s="44">
        <f>RawData!BN964</f>
        <v>0</v>
      </c>
      <c r="BG232" s="63">
        <f>RawData!BO964</f>
        <v>0</v>
      </c>
      <c r="BH232" s="44">
        <f>RawData!BP964</f>
        <v>0</v>
      </c>
      <c r="BI232" s="63">
        <f>RawData!BQ964</f>
        <v>0</v>
      </c>
      <c r="BJ232" s="44">
        <f>RawData!BR964</f>
        <v>0</v>
      </c>
      <c r="BK232" s="47">
        <f>RawData!BS964</f>
        <v>0</v>
      </c>
      <c r="BL232" s="44">
        <f>RawData!BT964</f>
        <v>0</v>
      </c>
      <c r="BM232" s="47">
        <f>RawData!BV964</f>
        <v>0</v>
      </c>
      <c r="BN232" s="65">
        <f>RawData!CC964</f>
        <v>0</v>
      </c>
      <c r="BO232" s="66">
        <f>RawData!CD964</f>
        <v>0</v>
      </c>
      <c r="BQ232" s="21">
        <f t="shared" si="3"/>
        <v>0</v>
      </c>
    </row>
    <row r="233" spans="1:69" x14ac:dyDescent="0.2">
      <c r="A233" s="59">
        <f>RawData!P965</f>
        <v>0</v>
      </c>
      <c r="B233" s="44">
        <f>RawData!Q965</f>
        <v>0</v>
      </c>
      <c r="C233" s="44">
        <f>RawData!R965</f>
        <v>0</v>
      </c>
      <c r="D233" s="63">
        <f>RawData!S965</f>
        <v>0</v>
      </c>
      <c r="E233" s="44">
        <f>RawData!T965</f>
        <v>0</v>
      </c>
      <c r="F233" s="63">
        <f>RawData!U965</f>
        <v>0</v>
      </c>
      <c r="G233" s="44">
        <f>RawData!V965</f>
        <v>0</v>
      </c>
      <c r="H233" s="44">
        <f>RawData!W965</f>
        <v>0</v>
      </c>
      <c r="I233" s="44">
        <f>RawData!X965</f>
        <v>0</v>
      </c>
      <c r="J233" s="44">
        <f>RawData!Y965</f>
        <v>0</v>
      </c>
      <c r="K233" s="40">
        <f>RawData!Z965</f>
        <v>0</v>
      </c>
      <c r="L233" s="40">
        <f>RawData!AA965</f>
        <v>0</v>
      </c>
      <c r="M233" s="36">
        <f>RawData!AB965</f>
        <v>0</v>
      </c>
      <c r="N233" s="36">
        <f>RawData!AC965</f>
        <v>0</v>
      </c>
      <c r="O233" s="37">
        <f>RawData!AD965</f>
        <v>0</v>
      </c>
      <c r="P233" s="38">
        <f>RawData!AE965</f>
        <v>0</v>
      </c>
      <c r="Q233" s="39">
        <f>RawData!AF965</f>
        <v>0</v>
      </c>
      <c r="R233" s="38">
        <f>RawData!AG965</f>
        <v>0</v>
      </c>
      <c r="S233" s="40">
        <f>RawData!AH965</f>
        <v>0</v>
      </c>
      <c r="T233" s="40">
        <f>RawData!AI965</f>
        <v>0</v>
      </c>
      <c r="U233" s="40">
        <f>RawData!AJ965</f>
        <v>0</v>
      </c>
      <c r="V233" s="41">
        <f>RawData!AK965</f>
        <v>0</v>
      </c>
      <c r="W233" s="41">
        <f>RawData!AL965</f>
        <v>0</v>
      </c>
      <c r="X233" s="43">
        <f>RawData!CA965</f>
        <v>0</v>
      </c>
      <c r="Y233" s="41">
        <f>RawData!AM965</f>
        <v>0</v>
      </c>
      <c r="Z233" s="44">
        <f>RawData!CB965</f>
        <v>0</v>
      </c>
      <c r="AA233" s="44">
        <f>RawData!AN965</f>
        <v>0</v>
      </c>
      <c r="AB233" s="44">
        <f>RawData!AO965</f>
        <v>0</v>
      </c>
      <c r="AC233" s="44">
        <f>RawData!AP965</f>
        <v>0</v>
      </c>
      <c r="AD233" s="63">
        <f>RawData!BZ965</f>
        <v>0</v>
      </c>
      <c r="AE233" s="44">
        <f>RawData!AQ965</f>
        <v>0</v>
      </c>
      <c r="AF233" s="46">
        <f>RawData!O965</f>
        <v>0</v>
      </c>
      <c r="AG233" s="44">
        <f>RawData!AR965</f>
        <v>0</v>
      </c>
      <c r="AH233" s="44">
        <f>RawData!BY965</f>
        <v>0</v>
      </c>
      <c r="AI233" s="44">
        <f>RawData!AS965</f>
        <v>0</v>
      </c>
      <c r="AJ233" s="44">
        <f>RawData!AT965</f>
        <v>0</v>
      </c>
      <c r="AK233" s="44">
        <f>RawData!AU965</f>
        <v>0</v>
      </c>
      <c r="AL233" s="44">
        <f>RawData!BW965</f>
        <v>0</v>
      </c>
      <c r="AM233" s="41">
        <f>RawData!AV965</f>
        <v>0</v>
      </c>
      <c r="AN233" s="41">
        <f>RawData!BX965</f>
        <v>0</v>
      </c>
      <c r="AO233" s="41">
        <f>RawData!AW965</f>
        <v>0</v>
      </c>
      <c r="AP233" s="41">
        <f>RawData!AX965</f>
        <v>0</v>
      </c>
      <c r="AQ233" s="40">
        <f>RawData!AY965</f>
        <v>0</v>
      </c>
      <c r="AR233" s="40">
        <f>RawData!AZ965</f>
        <v>0</v>
      </c>
      <c r="AS233" s="40">
        <f>RawData!BA965</f>
        <v>0</v>
      </c>
      <c r="AT233" s="38">
        <f>RawData!BB965</f>
        <v>0</v>
      </c>
      <c r="AU233" s="40">
        <f>RawData!BC965</f>
        <v>0</v>
      </c>
      <c r="AV233" s="40">
        <f>RawData!BD965</f>
        <v>0</v>
      </c>
      <c r="AW233" s="38">
        <f>RawData!BE965</f>
        <v>0</v>
      </c>
      <c r="AX233" s="37">
        <f>RawData!BF965</f>
        <v>0</v>
      </c>
      <c r="AY233" s="36">
        <f>RawData!BG965</f>
        <v>0</v>
      </c>
      <c r="AZ233" s="36">
        <f>RawData!BH965</f>
        <v>0</v>
      </c>
      <c r="BA233" s="40">
        <f>RawData!BI965</f>
        <v>0</v>
      </c>
      <c r="BB233" s="44">
        <f>RawData!BJ965</f>
        <v>0</v>
      </c>
      <c r="BC233" s="44">
        <f>RawData!BK965</f>
        <v>0</v>
      </c>
      <c r="BD233" s="44">
        <f>RawData!BL965</f>
        <v>0</v>
      </c>
      <c r="BE233" s="44">
        <f>RawData!BM965</f>
        <v>0</v>
      </c>
      <c r="BF233" s="44">
        <f>RawData!BN965</f>
        <v>0</v>
      </c>
      <c r="BG233" s="63">
        <f>RawData!BO965</f>
        <v>0</v>
      </c>
      <c r="BH233" s="44">
        <f>RawData!BP965</f>
        <v>0</v>
      </c>
      <c r="BI233" s="63">
        <f>RawData!BQ965</f>
        <v>0</v>
      </c>
      <c r="BJ233" s="44">
        <f>RawData!BR965</f>
        <v>0</v>
      </c>
      <c r="BK233" s="47">
        <f>RawData!BS965</f>
        <v>0</v>
      </c>
      <c r="BL233" s="44">
        <f>RawData!BT965</f>
        <v>0</v>
      </c>
      <c r="BM233" s="47">
        <f>RawData!BV965</f>
        <v>0</v>
      </c>
      <c r="BN233" s="65">
        <f>RawData!CC965</f>
        <v>0</v>
      </c>
      <c r="BO233" s="66">
        <f>RawData!CD965</f>
        <v>0</v>
      </c>
      <c r="BQ233" s="21">
        <f t="shared" si="3"/>
        <v>0</v>
      </c>
    </row>
    <row r="234" spans="1:69" x14ac:dyDescent="0.2">
      <c r="A234" s="59">
        <f>RawData!P966</f>
        <v>0</v>
      </c>
      <c r="B234" s="44">
        <f>RawData!Q966</f>
        <v>0</v>
      </c>
      <c r="C234" s="44">
        <f>RawData!R966</f>
        <v>0</v>
      </c>
      <c r="D234" s="63">
        <f>RawData!S966</f>
        <v>0</v>
      </c>
      <c r="E234" s="44">
        <f>RawData!T966</f>
        <v>0</v>
      </c>
      <c r="F234" s="63">
        <f>RawData!U966</f>
        <v>0</v>
      </c>
      <c r="G234" s="44">
        <f>RawData!V966</f>
        <v>0</v>
      </c>
      <c r="H234" s="44">
        <f>RawData!W966</f>
        <v>0</v>
      </c>
      <c r="I234" s="44">
        <f>RawData!X966</f>
        <v>0</v>
      </c>
      <c r="J234" s="44">
        <f>RawData!Y966</f>
        <v>0</v>
      </c>
      <c r="K234" s="40">
        <f>RawData!Z966</f>
        <v>0</v>
      </c>
      <c r="L234" s="40">
        <f>RawData!AA966</f>
        <v>0</v>
      </c>
      <c r="M234" s="36">
        <f>RawData!AB966</f>
        <v>0</v>
      </c>
      <c r="N234" s="36">
        <f>RawData!AC966</f>
        <v>0</v>
      </c>
      <c r="O234" s="37">
        <f>RawData!AD966</f>
        <v>0</v>
      </c>
      <c r="P234" s="38">
        <f>RawData!AE966</f>
        <v>0</v>
      </c>
      <c r="Q234" s="39">
        <f>RawData!AF966</f>
        <v>0</v>
      </c>
      <c r="R234" s="38">
        <f>RawData!AG966</f>
        <v>0</v>
      </c>
      <c r="S234" s="40">
        <f>RawData!AH966</f>
        <v>0</v>
      </c>
      <c r="T234" s="40">
        <f>RawData!AI966</f>
        <v>0</v>
      </c>
      <c r="U234" s="40">
        <f>RawData!AJ966</f>
        <v>0</v>
      </c>
      <c r="V234" s="41">
        <f>RawData!AK966</f>
        <v>0</v>
      </c>
      <c r="W234" s="41">
        <f>RawData!AL966</f>
        <v>0</v>
      </c>
      <c r="X234" s="43">
        <f>RawData!CA966</f>
        <v>0</v>
      </c>
      <c r="Y234" s="41">
        <f>RawData!AM966</f>
        <v>0</v>
      </c>
      <c r="Z234" s="44">
        <f>RawData!CB966</f>
        <v>0</v>
      </c>
      <c r="AA234" s="44">
        <f>RawData!AN966</f>
        <v>0</v>
      </c>
      <c r="AB234" s="44">
        <f>RawData!AO966</f>
        <v>0</v>
      </c>
      <c r="AC234" s="44">
        <f>RawData!AP966</f>
        <v>0</v>
      </c>
      <c r="AD234" s="63">
        <f>RawData!BZ966</f>
        <v>0</v>
      </c>
      <c r="AE234" s="44">
        <f>RawData!AQ966</f>
        <v>0</v>
      </c>
      <c r="AF234" s="46">
        <f>RawData!O966</f>
        <v>0</v>
      </c>
      <c r="AG234" s="44">
        <f>RawData!AR966</f>
        <v>0</v>
      </c>
      <c r="AH234" s="44">
        <f>RawData!BY966</f>
        <v>0</v>
      </c>
      <c r="AI234" s="44">
        <f>RawData!AS966</f>
        <v>0</v>
      </c>
      <c r="AJ234" s="44">
        <f>RawData!AT966</f>
        <v>0</v>
      </c>
      <c r="AK234" s="44">
        <f>RawData!AU966</f>
        <v>0</v>
      </c>
      <c r="AL234" s="44">
        <f>RawData!BW966</f>
        <v>0</v>
      </c>
      <c r="AM234" s="41">
        <f>RawData!AV966</f>
        <v>0</v>
      </c>
      <c r="AN234" s="41">
        <f>RawData!BX966</f>
        <v>0</v>
      </c>
      <c r="AO234" s="41">
        <f>RawData!AW966</f>
        <v>0</v>
      </c>
      <c r="AP234" s="41">
        <f>RawData!AX966</f>
        <v>0</v>
      </c>
      <c r="AQ234" s="40">
        <f>RawData!AY966</f>
        <v>0</v>
      </c>
      <c r="AR234" s="40">
        <f>RawData!AZ966</f>
        <v>0</v>
      </c>
      <c r="AS234" s="40">
        <f>RawData!BA966</f>
        <v>0</v>
      </c>
      <c r="AT234" s="38">
        <f>RawData!BB966</f>
        <v>0</v>
      </c>
      <c r="AU234" s="40">
        <f>RawData!BC966</f>
        <v>0</v>
      </c>
      <c r="AV234" s="40">
        <f>RawData!BD966</f>
        <v>0</v>
      </c>
      <c r="AW234" s="38">
        <f>RawData!BE966</f>
        <v>0</v>
      </c>
      <c r="AX234" s="37">
        <f>RawData!BF966</f>
        <v>0</v>
      </c>
      <c r="AY234" s="36">
        <f>RawData!BG966</f>
        <v>0</v>
      </c>
      <c r="AZ234" s="36">
        <f>RawData!BH966</f>
        <v>0</v>
      </c>
      <c r="BA234" s="40">
        <f>RawData!BI966</f>
        <v>0</v>
      </c>
      <c r="BB234" s="44">
        <f>RawData!BJ966</f>
        <v>0</v>
      </c>
      <c r="BC234" s="44">
        <f>RawData!BK966</f>
        <v>0</v>
      </c>
      <c r="BD234" s="44">
        <f>RawData!BL966</f>
        <v>0</v>
      </c>
      <c r="BE234" s="44">
        <f>RawData!BM966</f>
        <v>0</v>
      </c>
      <c r="BF234" s="44">
        <f>RawData!BN966</f>
        <v>0</v>
      </c>
      <c r="BG234" s="63">
        <f>RawData!BO966</f>
        <v>0</v>
      </c>
      <c r="BH234" s="44">
        <f>RawData!BP966</f>
        <v>0</v>
      </c>
      <c r="BI234" s="63">
        <f>RawData!BQ966</f>
        <v>0</v>
      </c>
      <c r="BJ234" s="44">
        <f>RawData!BR966</f>
        <v>0</v>
      </c>
      <c r="BK234" s="47">
        <f>RawData!BS966</f>
        <v>0</v>
      </c>
      <c r="BL234" s="44">
        <f>RawData!BT966</f>
        <v>0</v>
      </c>
      <c r="BM234" s="47">
        <f>RawData!BV966</f>
        <v>0</v>
      </c>
      <c r="BN234" s="65">
        <f>RawData!CC966</f>
        <v>0</v>
      </c>
      <c r="BO234" s="66">
        <f>RawData!CD966</f>
        <v>0</v>
      </c>
      <c r="BQ234" s="21">
        <f t="shared" si="3"/>
        <v>0</v>
      </c>
    </row>
    <row r="235" spans="1:69" x14ac:dyDescent="0.2">
      <c r="A235" s="59">
        <f>RawData!P967</f>
        <v>0</v>
      </c>
      <c r="B235" s="44">
        <f>RawData!Q967</f>
        <v>0</v>
      </c>
      <c r="C235" s="44">
        <f>RawData!R967</f>
        <v>0</v>
      </c>
      <c r="D235" s="63">
        <f>RawData!S967</f>
        <v>0</v>
      </c>
      <c r="E235" s="44">
        <f>RawData!T967</f>
        <v>0</v>
      </c>
      <c r="F235" s="63">
        <f>RawData!U967</f>
        <v>0</v>
      </c>
      <c r="G235" s="44">
        <f>RawData!V967</f>
        <v>0</v>
      </c>
      <c r="H235" s="44">
        <f>RawData!W967</f>
        <v>0</v>
      </c>
      <c r="I235" s="44">
        <f>RawData!X967</f>
        <v>0</v>
      </c>
      <c r="J235" s="44">
        <f>RawData!Y967</f>
        <v>0</v>
      </c>
      <c r="K235" s="40">
        <f>RawData!Z967</f>
        <v>0</v>
      </c>
      <c r="L235" s="40">
        <f>RawData!AA967</f>
        <v>0</v>
      </c>
      <c r="M235" s="36">
        <f>RawData!AB967</f>
        <v>0</v>
      </c>
      <c r="N235" s="36">
        <f>RawData!AC967</f>
        <v>0</v>
      </c>
      <c r="O235" s="37">
        <f>RawData!AD967</f>
        <v>0</v>
      </c>
      <c r="P235" s="38">
        <f>RawData!AE967</f>
        <v>0</v>
      </c>
      <c r="Q235" s="39">
        <f>RawData!AF967</f>
        <v>0</v>
      </c>
      <c r="R235" s="38">
        <f>RawData!AG967</f>
        <v>0</v>
      </c>
      <c r="S235" s="40">
        <f>RawData!AH967</f>
        <v>0</v>
      </c>
      <c r="T235" s="40">
        <f>RawData!AI967</f>
        <v>0</v>
      </c>
      <c r="U235" s="40">
        <f>RawData!AJ967</f>
        <v>0</v>
      </c>
      <c r="V235" s="41">
        <f>RawData!AK967</f>
        <v>0</v>
      </c>
      <c r="W235" s="41">
        <f>RawData!AL967</f>
        <v>0</v>
      </c>
      <c r="X235" s="43">
        <f>RawData!CA967</f>
        <v>0</v>
      </c>
      <c r="Y235" s="41">
        <f>RawData!AM967</f>
        <v>0</v>
      </c>
      <c r="Z235" s="44">
        <f>RawData!CB967</f>
        <v>0</v>
      </c>
      <c r="AA235" s="44">
        <f>RawData!AN967</f>
        <v>0</v>
      </c>
      <c r="AB235" s="44">
        <f>RawData!AO967</f>
        <v>0</v>
      </c>
      <c r="AC235" s="44">
        <f>RawData!AP967</f>
        <v>0</v>
      </c>
      <c r="AD235" s="63">
        <f>RawData!BZ967</f>
        <v>0</v>
      </c>
      <c r="AE235" s="44">
        <f>RawData!AQ967</f>
        <v>0</v>
      </c>
      <c r="AF235" s="46">
        <f>RawData!O967</f>
        <v>0</v>
      </c>
      <c r="AG235" s="44">
        <f>RawData!AR967</f>
        <v>0</v>
      </c>
      <c r="AH235" s="44">
        <f>RawData!BY967</f>
        <v>0</v>
      </c>
      <c r="AI235" s="44">
        <f>RawData!AS967</f>
        <v>0</v>
      </c>
      <c r="AJ235" s="44">
        <f>RawData!AT967</f>
        <v>0</v>
      </c>
      <c r="AK235" s="44">
        <f>RawData!AU967</f>
        <v>0</v>
      </c>
      <c r="AL235" s="44">
        <f>RawData!BW967</f>
        <v>0</v>
      </c>
      <c r="AM235" s="41">
        <f>RawData!AV967</f>
        <v>0</v>
      </c>
      <c r="AN235" s="41">
        <f>RawData!BX967</f>
        <v>0</v>
      </c>
      <c r="AO235" s="41">
        <f>RawData!AW967</f>
        <v>0</v>
      </c>
      <c r="AP235" s="41">
        <f>RawData!AX967</f>
        <v>0</v>
      </c>
      <c r="AQ235" s="40">
        <f>RawData!AY967</f>
        <v>0</v>
      </c>
      <c r="AR235" s="40">
        <f>RawData!AZ967</f>
        <v>0</v>
      </c>
      <c r="AS235" s="40">
        <f>RawData!BA967</f>
        <v>0</v>
      </c>
      <c r="AT235" s="38">
        <f>RawData!BB967</f>
        <v>0</v>
      </c>
      <c r="AU235" s="40">
        <f>RawData!BC967</f>
        <v>0</v>
      </c>
      <c r="AV235" s="40">
        <f>RawData!BD967</f>
        <v>0</v>
      </c>
      <c r="AW235" s="38">
        <f>RawData!BE967</f>
        <v>0</v>
      </c>
      <c r="AX235" s="37">
        <f>RawData!BF967</f>
        <v>0</v>
      </c>
      <c r="AY235" s="36">
        <f>RawData!BG967</f>
        <v>0</v>
      </c>
      <c r="AZ235" s="36">
        <f>RawData!BH967</f>
        <v>0</v>
      </c>
      <c r="BA235" s="40">
        <f>RawData!BI967</f>
        <v>0</v>
      </c>
      <c r="BB235" s="44">
        <f>RawData!BJ967</f>
        <v>0</v>
      </c>
      <c r="BC235" s="44">
        <f>RawData!BK967</f>
        <v>0</v>
      </c>
      <c r="BD235" s="44">
        <f>RawData!BL967</f>
        <v>0</v>
      </c>
      <c r="BE235" s="44">
        <f>RawData!BM967</f>
        <v>0</v>
      </c>
      <c r="BF235" s="44">
        <f>RawData!BN967</f>
        <v>0</v>
      </c>
      <c r="BG235" s="63">
        <f>RawData!BO967</f>
        <v>0</v>
      </c>
      <c r="BH235" s="44">
        <f>RawData!BP967</f>
        <v>0</v>
      </c>
      <c r="BI235" s="63">
        <f>RawData!BQ967</f>
        <v>0</v>
      </c>
      <c r="BJ235" s="44">
        <f>RawData!BR967</f>
        <v>0</v>
      </c>
      <c r="BK235" s="47">
        <f>RawData!BS967</f>
        <v>0</v>
      </c>
      <c r="BL235" s="44">
        <f>RawData!BT967</f>
        <v>0</v>
      </c>
      <c r="BM235" s="47">
        <f>RawData!BV967</f>
        <v>0</v>
      </c>
      <c r="BN235" s="65">
        <f>RawData!CC967</f>
        <v>0</v>
      </c>
      <c r="BO235" s="66">
        <f>RawData!CD967</f>
        <v>0</v>
      </c>
      <c r="BQ235" s="21">
        <f t="shared" si="3"/>
        <v>0</v>
      </c>
    </row>
    <row r="236" spans="1:69" x14ac:dyDescent="0.2">
      <c r="A236" s="59">
        <f>RawData!P968</f>
        <v>0</v>
      </c>
      <c r="B236" s="44">
        <f>RawData!Q968</f>
        <v>0</v>
      </c>
      <c r="C236" s="44">
        <f>RawData!R968</f>
        <v>0</v>
      </c>
      <c r="D236" s="63">
        <f>RawData!S968</f>
        <v>0</v>
      </c>
      <c r="E236" s="44">
        <f>RawData!T968</f>
        <v>0</v>
      </c>
      <c r="F236" s="63">
        <f>RawData!U968</f>
        <v>0</v>
      </c>
      <c r="G236" s="44">
        <f>RawData!V968</f>
        <v>0</v>
      </c>
      <c r="H236" s="44">
        <f>RawData!W968</f>
        <v>0</v>
      </c>
      <c r="I236" s="44">
        <f>RawData!X968</f>
        <v>0</v>
      </c>
      <c r="J236" s="44">
        <f>RawData!Y968</f>
        <v>0</v>
      </c>
      <c r="K236" s="40">
        <f>RawData!Z968</f>
        <v>0</v>
      </c>
      <c r="L236" s="40">
        <f>RawData!AA968</f>
        <v>0</v>
      </c>
      <c r="M236" s="36">
        <f>RawData!AB968</f>
        <v>0</v>
      </c>
      <c r="N236" s="36">
        <f>RawData!AC968</f>
        <v>0</v>
      </c>
      <c r="O236" s="37">
        <f>RawData!AD968</f>
        <v>0</v>
      </c>
      <c r="P236" s="38">
        <f>RawData!AE968</f>
        <v>0</v>
      </c>
      <c r="Q236" s="39">
        <f>RawData!AF968</f>
        <v>0</v>
      </c>
      <c r="R236" s="38">
        <f>RawData!AG968</f>
        <v>0</v>
      </c>
      <c r="S236" s="40">
        <f>RawData!AH968</f>
        <v>0</v>
      </c>
      <c r="T236" s="40">
        <f>RawData!AI968</f>
        <v>0</v>
      </c>
      <c r="U236" s="40">
        <f>RawData!AJ968</f>
        <v>0</v>
      </c>
      <c r="V236" s="41">
        <f>RawData!AK968</f>
        <v>0</v>
      </c>
      <c r="W236" s="41">
        <f>RawData!AL968</f>
        <v>0</v>
      </c>
      <c r="X236" s="43">
        <f>RawData!CA968</f>
        <v>0</v>
      </c>
      <c r="Y236" s="41">
        <f>RawData!AM968</f>
        <v>0</v>
      </c>
      <c r="Z236" s="44">
        <f>RawData!CB968</f>
        <v>0</v>
      </c>
      <c r="AA236" s="44">
        <f>RawData!AN968</f>
        <v>0</v>
      </c>
      <c r="AB236" s="44">
        <f>RawData!AO968</f>
        <v>0</v>
      </c>
      <c r="AC236" s="44">
        <f>RawData!AP968</f>
        <v>0</v>
      </c>
      <c r="AD236" s="63">
        <f>RawData!BZ968</f>
        <v>0</v>
      </c>
      <c r="AE236" s="44">
        <f>RawData!AQ968</f>
        <v>0</v>
      </c>
      <c r="AF236" s="46">
        <f>RawData!O968</f>
        <v>0</v>
      </c>
      <c r="AG236" s="44">
        <f>RawData!AR968</f>
        <v>0</v>
      </c>
      <c r="AH236" s="44">
        <f>RawData!BY968</f>
        <v>0</v>
      </c>
      <c r="AI236" s="44">
        <f>RawData!AS968</f>
        <v>0</v>
      </c>
      <c r="AJ236" s="44">
        <f>RawData!AT968</f>
        <v>0</v>
      </c>
      <c r="AK236" s="44">
        <f>RawData!AU968</f>
        <v>0</v>
      </c>
      <c r="AL236" s="44">
        <f>RawData!BW968</f>
        <v>0</v>
      </c>
      <c r="AM236" s="41">
        <f>RawData!AV968</f>
        <v>0</v>
      </c>
      <c r="AN236" s="41">
        <f>RawData!BX968</f>
        <v>0</v>
      </c>
      <c r="AO236" s="41">
        <f>RawData!AW968</f>
        <v>0</v>
      </c>
      <c r="AP236" s="41">
        <f>RawData!AX968</f>
        <v>0</v>
      </c>
      <c r="AQ236" s="40">
        <f>RawData!AY968</f>
        <v>0</v>
      </c>
      <c r="AR236" s="40">
        <f>RawData!AZ968</f>
        <v>0</v>
      </c>
      <c r="AS236" s="40">
        <f>RawData!BA968</f>
        <v>0</v>
      </c>
      <c r="AT236" s="38">
        <f>RawData!BB968</f>
        <v>0</v>
      </c>
      <c r="AU236" s="40">
        <f>RawData!BC968</f>
        <v>0</v>
      </c>
      <c r="AV236" s="40">
        <f>RawData!BD968</f>
        <v>0</v>
      </c>
      <c r="AW236" s="38">
        <f>RawData!BE968</f>
        <v>0</v>
      </c>
      <c r="AX236" s="37">
        <f>RawData!BF968</f>
        <v>0</v>
      </c>
      <c r="AY236" s="36">
        <f>RawData!BG968</f>
        <v>0</v>
      </c>
      <c r="AZ236" s="36">
        <f>RawData!BH968</f>
        <v>0</v>
      </c>
      <c r="BA236" s="40">
        <f>RawData!BI968</f>
        <v>0</v>
      </c>
      <c r="BB236" s="44">
        <f>RawData!BJ968</f>
        <v>0</v>
      </c>
      <c r="BC236" s="44">
        <f>RawData!BK968</f>
        <v>0</v>
      </c>
      <c r="BD236" s="44">
        <f>RawData!BL968</f>
        <v>0</v>
      </c>
      <c r="BE236" s="44">
        <f>RawData!BM968</f>
        <v>0</v>
      </c>
      <c r="BF236" s="44">
        <f>RawData!BN968</f>
        <v>0</v>
      </c>
      <c r="BG236" s="63">
        <f>RawData!BO968</f>
        <v>0</v>
      </c>
      <c r="BH236" s="44">
        <f>RawData!BP968</f>
        <v>0</v>
      </c>
      <c r="BI236" s="63">
        <f>RawData!BQ968</f>
        <v>0</v>
      </c>
      <c r="BJ236" s="44">
        <f>RawData!BR968</f>
        <v>0</v>
      </c>
      <c r="BK236" s="47">
        <f>RawData!BS968</f>
        <v>0</v>
      </c>
      <c r="BL236" s="44">
        <f>RawData!BT968</f>
        <v>0</v>
      </c>
      <c r="BM236" s="47">
        <f>RawData!BV968</f>
        <v>0</v>
      </c>
      <c r="BN236" s="65">
        <f>RawData!CC968</f>
        <v>0</v>
      </c>
      <c r="BO236" s="66">
        <f>RawData!CD968</f>
        <v>0</v>
      </c>
      <c r="BQ236" s="21">
        <f t="shared" si="3"/>
        <v>0</v>
      </c>
    </row>
    <row r="237" spans="1:69" x14ac:dyDescent="0.2">
      <c r="A237" s="59">
        <f>RawData!P969</f>
        <v>0</v>
      </c>
      <c r="B237" s="44">
        <f>RawData!Q969</f>
        <v>0</v>
      </c>
      <c r="C237" s="44">
        <f>RawData!R969</f>
        <v>0</v>
      </c>
      <c r="D237" s="63">
        <f>RawData!S969</f>
        <v>0</v>
      </c>
      <c r="E237" s="44">
        <f>RawData!T969</f>
        <v>0</v>
      </c>
      <c r="F237" s="63">
        <f>RawData!U969</f>
        <v>0</v>
      </c>
      <c r="G237" s="44">
        <f>RawData!V969</f>
        <v>0</v>
      </c>
      <c r="H237" s="44">
        <f>RawData!W969</f>
        <v>0</v>
      </c>
      <c r="I237" s="44">
        <f>RawData!X969</f>
        <v>0</v>
      </c>
      <c r="J237" s="44">
        <f>RawData!Y969</f>
        <v>0</v>
      </c>
      <c r="K237" s="40">
        <f>RawData!Z969</f>
        <v>0</v>
      </c>
      <c r="L237" s="40">
        <f>RawData!AA969</f>
        <v>0</v>
      </c>
      <c r="M237" s="36">
        <f>RawData!AB969</f>
        <v>0</v>
      </c>
      <c r="N237" s="36">
        <f>RawData!AC969</f>
        <v>0</v>
      </c>
      <c r="O237" s="37">
        <f>RawData!AD969</f>
        <v>0</v>
      </c>
      <c r="P237" s="38">
        <f>RawData!AE969</f>
        <v>0</v>
      </c>
      <c r="Q237" s="39">
        <f>RawData!AF969</f>
        <v>0</v>
      </c>
      <c r="R237" s="38">
        <f>RawData!AG969</f>
        <v>0</v>
      </c>
      <c r="S237" s="40">
        <f>RawData!AH969</f>
        <v>0</v>
      </c>
      <c r="T237" s="40">
        <f>RawData!AI969</f>
        <v>0</v>
      </c>
      <c r="U237" s="40">
        <f>RawData!AJ969</f>
        <v>0</v>
      </c>
      <c r="V237" s="41">
        <f>RawData!AK969</f>
        <v>0</v>
      </c>
      <c r="W237" s="41">
        <f>RawData!AL969</f>
        <v>0</v>
      </c>
      <c r="X237" s="43">
        <f>RawData!CA969</f>
        <v>0</v>
      </c>
      <c r="Y237" s="41">
        <f>RawData!AM969</f>
        <v>0</v>
      </c>
      <c r="Z237" s="44">
        <f>RawData!CB969</f>
        <v>0</v>
      </c>
      <c r="AA237" s="44">
        <f>RawData!AN969</f>
        <v>0</v>
      </c>
      <c r="AB237" s="44">
        <f>RawData!AO969</f>
        <v>0</v>
      </c>
      <c r="AC237" s="44">
        <f>RawData!AP969</f>
        <v>0</v>
      </c>
      <c r="AD237" s="63">
        <f>RawData!BZ969</f>
        <v>0</v>
      </c>
      <c r="AE237" s="44">
        <f>RawData!AQ969</f>
        <v>0</v>
      </c>
      <c r="AF237" s="46">
        <f>RawData!O969</f>
        <v>0</v>
      </c>
      <c r="AG237" s="44">
        <f>RawData!AR969</f>
        <v>0</v>
      </c>
      <c r="AH237" s="44">
        <f>RawData!BY969</f>
        <v>0</v>
      </c>
      <c r="AI237" s="44">
        <f>RawData!AS969</f>
        <v>0</v>
      </c>
      <c r="AJ237" s="44">
        <f>RawData!AT969</f>
        <v>0</v>
      </c>
      <c r="AK237" s="44">
        <f>RawData!AU969</f>
        <v>0</v>
      </c>
      <c r="AL237" s="44">
        <f>RawData!BW969</f>
        <v>0</v>
      </c>
      <c r="AM237" s="41">
        <f>RawData!AV969</f>
        <v>0</v>
      </c>
      <c r="AN237" s="41">
        <f>RawData!BX969</f>
        <v>0</v>
      </c>
      <c r="AO237" s="41">
        <f>RawData!AW969</f>
        <v>0</v>
      </c>
      <c r="AP237" s="41">
        <f>RawData!AX969</f>
        <v>0</v>
      </c>
      <c r="AQ237" s="40">
        <f>RawData!AY969</f>
        <v>0</v>
      </c>
      <c r="AR237" s="40">
        <f>RawData!AZ969</f>
        <v>0</v>
      </c>
      <c r="AS237" s="40">
        <f>RawData!BA969</f>
        <v>0</v>
      </c>
      <c r="AT237" s="38">
        <f>RawData!BB969</f>
        <v>0</v>
      </c>
      <c r="AU237" s="40">
        <f>RawData!BC969</f>
        <v>0</v>
      </c>
      <c r="AV237" s="40">
        <f>RawData!BD969</f>
        <v>0</v>
      </c>
      <c r="AW237" s="38">
        <f>RawData!BE969</f>
        <v>0</v>
      </c>
      <c r="AX237" s="37">
        <f>RawData!BF969</f>
        <v>0</v>
      </c>
      <c r="AY237" s="36">
        <f>RawData!BG969</f>
        <v>0</v>
      </c>
      <c r="AZ237" s="36">
        <f>RawData!BH969</f>
        <v>0</v>
      </c>
      <c r="BA237" s="40">
        <f>RawData!BI969</f>
        <v>0</v>
      </c>
      <c r="BB237" s="44">
        <f>RawData!BJ969</f>
        <v>0</v>
      </c>
      <c r="BC237" s="44">
        <f>RawData!BK969</f>
        <v>0</v>
      </c>
      <c r="BD237" s="44">
        <f>RawData!BL969</f>
        <v>0</v>
      </c>
      <c r="BE237" s="44">
        <f>RawData!BM969</f>
        <v>0</v>
      </c>
      <c r="BF237" s="44">
        <f>RawData!BN969</f>
        <v>0</v>
      </c>
      <c r="BG237" s="63">
        <f>RawData!BO969</f>
        <v>0</v>
      </c>
      <c r="BH237" s="44">
        <f>RawData!BP969</f>
        <v>0</v>
      </c>
      <c r="BI237" s="63">
        <f>RawData!BQ969</f>
        <v>0</v>
      </c>
      <c r="BJ237" s="44">
        <f>RawData!BR969</f>
        <v>0</v>
      </c>
      <c r="BK237" s="47">
        <f>RawData!BS969</f>
        <v>0</v>
      </c>
      <c r="BL237" s="44">
        <f>RawData!BT969</f>
        <v>0</v>
      </c>
      <c r="BM237" s="47">
        <f>RawData!BV969</f>
        <v>0</v>
      </c>
      <c r="BN237" s="65">
        <f>RawData!CC969</f>
        <v>0</v>
      </c>
      <c r="BO237" s="66">
        <f>RawData!CD969</f>
        <v>0</v>
      </c>
      <c r="BQ237" s="21">
        <f t="shared" si="3"/>
        <v>0</v>
      </c>
    </row>
    <row r="238" spans="1:69" x14ac:dyDescent="0.2">
      <c r="A238" s="59">
        <f>RawData!P970</f>
        <v>0</v>
      </c>
      <c r="B238" s="44">
        <f>RawData!Q970</f>
        <v>0</v>
      </c>
      <c r="C238" s="44">
        <f>RawData!R970</f>
        <v>0</v>
      </c>
      <c r="D238" s="63">
        <f>RawData!S970</f>
        <v>0</v>
      </c>
      <c r="E238" s="44">
        <f>RawData!T970</f>
        <v>0</v>
      </c>
      <c r="F238" s="63">
        <f>RawData!U970</f>
        <v>0</v>
      </c>
      <c r="G238" s="44">
        <f>RawData!V970</f>
        <v>0</v>
      </c>
      <c r="H238" s="44">
        <f>RawData!W970</f>
        <v>0</v>
      </c>
      <c r="I238" s="44">
        <f>RawData!X970</f>
        <v>0</v>
      </c>
      <c r="J238" s="44">
        <f>RawData!Y970</f>
        <v>0</v>
      </c>
      <c r="K238" s="40">
        <f>RawData!Z970</f>
        <v>0</v>
      </c>
      <c r="L238" s="40">
        <f>RawData!AA970</f>
        <v>0</v>
      </c>
      <c r="M238" s="36">
        <f>RawData!AB970</f>
        <v>0</v>
      </c>
      <c r="N238" s="36">
        <f>RawData!AC970</f>
        <v>0</v>
      </c>
      <c r="O238" s="37">
        <f>RawData!AD970</f>
        <v>0</v>
      </c>
      <c r="P238" s="38">
        <f>RawData!AE970</f>
        <v>0</v>
      </c>
      <c r="Q238" s="39">
        <f>RawData!AF970</f>
        <v>0</v>
      </c>
      <c r="R238" s="38">
        <f>RawData!AG970</f>
        <v>0</v>
      </c>
      <c r="S238" s="40">
        <f>RawData!AH970</f>
        <v>0</v>
      </c>
      <c r="T238" s="40">
        <f>RawData!AI970</f>
        <v>0</v>
      </c>
      <c r="U238" s="40">
        <f>RawData!AJ970</f>
        <v>0</v>
      </c>
      <c r="V238" s="41">
        <f>RawData!AK970</f>
        <v>0</v>
      </c>
      <c r="W238" s="41">
        <f>RawData!AL970</f>
        <v>0</v>
      </c>
      <c r="X238" s="43">
        <f>RawData!CA970</f>
        <v>0</v>
      </c>
      <c r="Y238" s="41">
        <f>RawData!AM970</f>
        <v>0</v>
      </c>
      <c r="Z238" s="44">
        <f>RawData!CB970</f>
        <v>0</v>
      </c>
      <c r="AA238" s="44">
        <f>RawData!AN970</f>
        <v>0</v>
      </c>
      <c r="AB238" s="44">
        <f>RawData!AO970</f>
        <v>0</v>
      </c>
      <c r="AC238" s="44">
        <f>RawData!AP970</f>
        <v>0</v>
      </c>
      <c r="AD238" s="63">
        <f>RawData!BZ970</f>
        <v>0</v>
      </c>
      <c r="AE238" s="44">
        <f>RawData!AQ970</f>
        <v>0</v>
      </c>
      <c r="AF238" s="46">
        <f>RawData!O970</f>
        <v>0</v>
      </c>
      <c r="AG238" s="44">
        <f>RawData!AR970</f>
        <v>0</v>
      </c>
      <c r="AH238" s="44">
        <f>RawData!BY970</f>
        <v>0</v>
      </c>
      <c r="AI238" s="44">
        <f>RawData!AS970</f>
        <v>0</v>
      </c>
      <c r="AJ238" s="44">
        <f>RawData!AT970</f>
        <v>0</v>
      </c>
      <c r="AK238" s="44">
        <f>RawData!AU970</f>
        <v>0</v>
      </c>
      <c r="AL238" s="44">
        <f>RawData!BW970</f>
        <v>0</v>
      </c>
      <c r="AM238" s="41">
        <f>RawData!AV970</f>
        <v>0</v>
      </c>
      <c r="AN238" s="41">
        <f>RawData!BX970</f>
        <v>0</v>
      </c>
      <c r="AO238" s="41">
        <f>RawData!AW970</f>
        <v>0</v>
      </c>
      <c r="AP238" s="41">
        <f>RawData!AX970</f>
        <v>0</v>
      </c>
      <c r="AQ238" s="40">
        <f>RawData!AY970</f>
        <v>0</v>
      </c>
      <c r="AR238" s="40">
        <f>RawData!AZ970</f>
        <v>0</v>
      </c>
      <c r="AS238" s="40">
        <f>RawData!BA970</f>
        <v>0</v>
      </c>
      <c r="AT238" s="38">
        <f>RawData!BB970</f>
        <v>0</v>
      </c>
      <c r="AU238" s="40">
        <f>RawData!BC970</f>
        <v>0</v>
      </c>
      <c r="AV238" s="40">
        <f>RawData!BD970</f>
        <v>0</v>
      </c>
      <c r="AW238" s="38">
        <f>RawData!BE970</f>
        <v>0</v>
      </c>
      <c r="AX238" s="37">
        <f>RawData!BF970</f>
        <v>0</v>
      </c>
      <c r="AY238" s="36">
        <f>RawData!BG970</f>
        <v>0</v>
      </c>
      <c r="AZ238" s="36">
        <f>RawData!BH970</f>
        <v>0</v>
      </c>
      <c r="BA238" s="40">
        <f>RawData!BI970</f>
        <v>0</v>
      </c>
      <c r="BB238" s="44">
        <f>RawData!BJ970</f>
        <v>0</v>
      </c>
      <c r="BC238" s="44">
        <f>RawData!BK970</f>
        <v>0</v>
      </c>
      <c r="BD238" s="44">
        <f>RawData!BL970</f>
        <v>0</v>
      </c>
      <c r="BE238" s="44">
        <f>RawData!BM970</f>
        <v>0</v>
      </c>
      <c r="BF238" s="44">
        <f>RawData!BN970</f>
        <v>0</v>
      </c>
      <c r="BG238" s="63">
        <f>RawData!BO970</f>
        <v>0</v>
      </c>
      <c r="BH238" s="44">
        <f>RawData!BP970</f>
        <v>0</v>
      </c>
      <c r="BI238" s="63">
        <f>RawData!BQ970</f>
        <v>0</v>
      </c>
      <c r="BJ238" s="44">
        <f>RawData!BR970</f>
        <v>0</v>
      </c>
      <c r="BK238" s="47">
        <f>RawData!BS970</f>
        <v>0</v>
      </c>
      <c r="BL238" s="44">
        <f>RawData!BT970</f>
        <v>0</v>
      </c>
      <c r="BM238" s="47">
        <f>RawData!BV970</f>
        <v>0</v>
      </c>
      <c r="BN238" s="65">
        <f>RawData!CC970</f>
        <v>0</v>
      </c>
      <c r="BO238" s="66">
        <f>RawData!CD970</f>
        <v>0</v>
      </c>
      <c r="BQ238" s="21">
        <f t="shared" si="3"/>
        <v>0</v>
      </c>
    </row>
    <row r="239" spans="1:69" x14ac:dyDescent="0.2">
      <c r="A239" s="59">
        <f>RawData!P971</f>
        <v>0</v>
      </c>
      <c r="B239" s="44">
        <f>RawData!Q971</f>
        <v>0</v>
      </c>
      <c r="C239" s="44">
        <f>RawData!R971</f>
        <v>0</v>
      </c>
      <c r="D239" s="63">
        <f>RawData!S971</f>
        <v>0</v>
      </c>
      <c r="E239" s="44">
        <f>RawData!T971</f>
        <v>0</v>
      </c>
      <c r="F239" s="63">
        <f>RawData!U971</f>
        <v>0</v>
      </c>
      <c r="G239" s="44">
        <f>RawData!V971</f>
        <v>0</v>
      </c>
      <c r="H239" s="44">
        <f>RawData!W971</f>
        <v>0</v>
      </c>
      <c r="I239" s="44">
        <f>RawData!X971</f>
        <v>0</v>
      </c>
      <c r="J239" s="44">
        <f>RawData!Y971</f>
        <v>0</v>
      </c>
      <c r="K239" s="40">
        <f>RawData!Z971</f>
        <v>0</v>
      </c>
      <c r="L239" s="40">
        <f>RawData!AA971</f>
        <v>0</v>
      </c>
      <c r="M239" s="36">
        <f>RawData!AB971</f>
        <v>0</v>
      </c>
      <c r="N239" s="36">
        <f>RawData!AC971</f>
        <v>0</v>
      </c>
      <c r="O239" s="37">
        <f>RawData!AD971</f>
        <v>0</v>
      </c>
      <c r="P239" s="38">
        <f>RawData!AE971</f>
        <v>0</v>
      </c>
      <c r="Q239" s="39">
        <f>RawData!AF971</f>
        <v>0</v>
      </c>
      <c r="R239" s="38">
        <f>RawData!AG971</f>
        <v>0</v>
      </c>
      <c r="S239" s="40">
        <f>RawData!AH971</f>
        <v>0</v>
      </c>
      <c r="T239" s="40">
        <f>RawData!AI971</f>
        <v>0</v>
      </c>
      <c r="U239" s="40">
        <f>RawData!AJ971</f>
        <v>0</v>
      </c>
      <c r="V239" s="41">
        <f>RawData!AK971</f>
        <v>0</v>
      </c>
      <c r="W239" s="41">
        <f>RawData!AL971</f>
        <v>0</v>
      </c>
      <c r="X239" s="43">
        <f>RawData!CA971</f>
        <v>0</v>
      </c>
      <c r="Y239" s="41">
        <f>RawData!AM971</f>
        <v>0</v>
      </c>
      <c r="Z239" s="44">
        <f>RawData!CB971</f>
        <v>0</v>
      </c>
      <c r="AA239" s="44">
        <f>RawData!AN971</f>
        <v>0</v>
      </c>
      <c r="AB239" s="44">
        <f>RawData!AO971</f>
        <v>0</v>
      </c>
      <c r="AC239" s="44">
        <f>RawData!AP971</f>
        <v>0</v>
      </c>
      <c r="AD239" s="63">
        <f>RawData!BZ971</f>
        <v>0</v>
      </c>
      <c r="AE239" s="44">
        <f>RawData!AQ971</f>
        <v>0</v>
      </c>
      <c r="AF239" s="46">
        <f>RawData!O971</f>
        <v>0</v>
      </c>
      <c r="AG239" s="44">
        <f>RawData!AR971</f>
        <v>0</v>
      </c>
      <c r="AH239" s="44">
        <f>RawData!BY971</f>
        <v>0</v>
      </c>
      <c r="AI239" s="44">
        <f>RawData!AS971</f>
        <v>0</v>
      </c>
      <c r="AJ239" s="44">
        <f>RawData!AT971</f>
        <v>0</v>
      </c>
      <c r="AK239" s="44">
        <f>RawData!AU971</f>
        <v>0</v>
      </c>
      <c r="AL239" s="44">
        <f>RawData!BW971</f>
        <v>0</v>
      </c>
      <c r="AM239" s="41">
        <f>RawData!AV971</f>
        <v>0</v>
      </c>
      <c r="AN239" s="41">
        <f>RawData!BX971</f>
        <v>0</v>
      </c>
      <c r="AO239" s="41">
        <f>RawData!AW971</f>
        <v>0</v>
      </c>
      <c r="AP239" s="41">
        <f>RawData!AX971</f>
        <v>0</v>
      </c>
      <c r="AQ239" s="40">
        <f>RawData!AY971</f>
        <v>0</v>
      </c>
      <c r="AR239" s="40">
        <f>RawData!AZ971</f>
        <v>0</v>
      </c>
      <c r="AS239" s="40">
        <f>RawData!BA971</f>
        <v>0</v>
      </c>
      <c r="AT239" s="38">
        <f>RawData!BB971</f>
        <v>0</v>
      </c>
      <c r="AU239" s="40">
        <f>RawData!BC971</f>
        <v>0</v>
      </c>
      <c r="AV239" s="40">
        <f>RawData!BD971</f>
        <v>0</v>
      </c>
      <c r="AW239" s="38">
        <f>RawData!BE971</f>
        <v>0</v>
      </c>
      <c r="AX239" s="37">
        <f>RawData!BF971</f>
        <v>0</v>
      </c>
      <c r="AY239" s="36">
        <f>RawData!BG971</f>
        <v>0</v>
      </c>
      <c r="AZ239" s="36">
        <f>RawData!BH971</f>
        <v>0</v>
      </c>
      <c r="BA239" s="40">
        <f>RawData!BI971</f>
        <v>0</v>
      </c>
      <c r="BB239" s="44">
        <f>RawData!BJ971</f>
        <v>0</v>
      </c>
      <c r="BC239" s="44">
        <f>RawData!BK971</f>
        <v>0</v>
      </c>
      <c r="BD239" s="44">
        <f>RawData!BL971</f>
        <v>0</v>
      </c>
      <c r="BE239" s="44">
        <f>RawData!BM971</f>
        <v>0</v>
      </c>
      <c r="BF239" s="44">
        <f>RawData!BN971</f>
        <v>0</v>
      </c>
      <c r="BG239" s="63">
        <f>RawData!BO971</f>
        <v>0</v>
      </c>
      <c r="BH239" s="44">
        <f>RawData!BP971</f>
        <v>0</v>
      </c>
      <c r="BI239" s="63">
        <f>RawData!BQ971</f>
        <v>0</v>
      </c>
      <c r="BJ239" s="44">
        <f>RawData!BR971</f>
        <v>0</v>
      </c>
      <c r="BK239" s="47">
        <f>RawData!BS971</f>
        <v>0</v>
      </c>
      <c r="BL239" s="44">
        <f>RawData!BT971</f>
        <v>0</v>
      </c>
      <c r="BM239" s="47">
        <f>RawData!BV971</f>
        <v>0</v>
      </c>
      <c r="BN239" s="65">
        <f>RawData!CC971</f>
        <v>0</v>
      </c>
      <c r="BO239" s="66">
        <f>RawData!CD971</f>
        <v>0</v>
      </c>
      <c r="BQ239" s="21">
        <f t="shared" si="3"/>
        <v>0</v>
      </c>
    </row>
    <row r="240" spans="1:69" x14ac:dyDescent="0.2">
      <c r="A240" s="59">
        <f>RawData!P972</f>
        <v>0</v>
      </c>
      <c r="B240" s="44">
        <f>RawData!Q972</f>
        <v>0</v>
      </c>
      <c r="C240" s="44">
        <f>RawData!R972</f>
        <v>0</v>
      </c>
      <c r="D240" s="63">
        <f>RawData!S972</f>
        <v>0</v>
      </c>
      <c r="E240" s="44">
        <f>RawData!T972</f>
        <v>0</v>
      </c>
      <c r="F240" s="63">
        <f>RawData!U972</f>
        <v>0</v>
      </c>
      <c r="G240" s="44">
        <f>RawData!V972</f>
        <v>0</v>
      </c>
      <c r="H240" s="44">
        <f>RawData!W972</f>
        <v>0</v>
      </c>
      <c r="I240" s="44">
        <f>RawData!X972</f>
        <v>0</v>
      </c>
      <c r="J240" s="44">
        <f>RawData!Y972</f>
        <v>0</v>
      </c>
      <c r="K240" s="40">
        <f>RawData!Z972</f>
        <v>0</v>
      </c>
      <c r="L240" s="40">
        <f>RawData!AA972</f>
        <v>0</v>
      </c>
      <c r="M240" s="36">
        <f>RawData!AB972</f>
        <v>0</v>
      </c>
      <c r="N240" s="36">
        <f>RawData!AC972</f>
        <v>0</v>
      </c>
      <c r="O240" s="37">
        <f>RawData!AD972</f>
        <v>0</v>
      </c>
      <c r="P240" s="38">
        <f>RawData!AE972</f>
        <v>0</v>
      </c>
      <c r="Q240" s="39">
        <f>RawData!AF972</f>
        <v>0</v>
      </c>
      <c r="R240" s="38">
        <f>RawData!AG972</f>
        <v>0</v>
      </c>
      <c r="S240" s="40">
        <f>RawData!AH972</f>
        <v>0</v>
      </c>
      <c r="T240" s="40">
        <f>RawData!AI972</f>
        <v>0</v>
      </c>
      <c r="U240" s="40">
        <f>RawData!AJ972</f>
        <v>0</v>
      </c>
      <c r="V240" s="41">
        <f>RawData!AK972</f>
        <v>0</v>
      </c>
      <c r="W240" s="41">
        <f>RawData!AL972</f>
        <v>0</v>
      </c>
      <c r="X240" s="43">
        <f>RawData!CA972</f>
        <v>0</v>
      </c>
      <c r="Y240" s="41">
        <f>RawData!AM972</f>
        <v>0</v>
      </c>
      <c r="Z240" s="44">
        <f>RawData!CB972</f>
        <v>0</v>
      </c>
      <c r="AA240" s="44">
        <f>RawData!AN972</f>
        <v>0</v>
      </c>
      <c r="AB240" s="44">
        <f>RawData!AO972</f>
        <v>0</v>
      </c>
      <c r="AC240" s="44">
        <f>RawData!AP972</f>
        <v>0</v>
      </c>
      <c r="AD240" s="63">
        <f>RawData!BZ972</f>
        <v>0</v>
      </c>
      <c r="AE240" s="44">
        <f>RawData!AQ972</f>
        <v>0</v>
      </c>
      <c r="AF240" s="46">
        <f>RawData!O972</f>
        <v>0</v>
      </c>
      <c r="AG240" s="44">
        <f>RawData!AR972</f>
        <v>0</v>
      </c>
      <c r="AH240" s="44">
        <f>RawData!BY972</f>
        <v>0</v>
      </c>
      <c r="AI240" s="44">
        <f>RawData!AS972</f>
        <v>0</v>
      </c>
      <c r="AJ240" s="44">
        <f>RawData!AT972</f>
        <v>0</v>
      </c>
      <c r="AK240" s="44">
        <f>RawData!AU972</f>
        <v>0</v>
      </c>
      <c r="AL240" s="44">
        <f>RawData!BW972</f>
        <v>0</v>
      </c>
      <c r="AM240" s="41">
        <f>RawData!AV972</f>
        <v>0</v>
      </c>
      <c r="AN240" s="41">
        <f>RawData!BX972</f>
        <v>0</v>
      </c>
      <c r="AO240" s="41">
        <f>RawData!AW972</f>
        <v>0</v>
      </c>
      <c r="AP240" s="41">
        <f>RawData!AX972</f>
        <v>0</v>
      </c>
      <c r="AQ240" s="40">
        <f>RawData!AY972</f>
        <v>0</v>
      </c>
      <c r="AR240" s="40">
        <f>RawData!AZ972</f>
        <v>0</v>
      </c>
      <c r="AS240" s="40">
        <f>RawData!BA972</f>
        <v>0</v>
      </c>
      <c r="AT240" s="38">
        <f>RawData!BB972</f>
        <v>0</v>
      </c>
      <c r="AU240" s="40">
        <f>RawData!BC972</f>
        <v>0</v>
      </c>
      <c r="AV240" s="40">
        <f>RawData!BD972</f>
        <v>0</v>
      </c>
      <c r="AW240" s="38">
        <f>RawData!BE972</f>
        <v>0</v>
      </c>
      <c r="AX240" s="37">
        <f>RawData!BF972</f>
        <v>0</v>
      </c>
      <c r="AY240" s="36">
        <f>RawData!BG972</f>
        <v>0</v>
      </c>
      <c r="AZ240" s="36">
        <f>RawData!BH972</f>
        <v>0</v>
      </c>
      <c r="BA240" s="40">
        <f>RawData!BI972</f>
        <v>0</v>
      </c>
      <c r="BB240" s="44">
        <f>RawData!BJ972</f>
        <v>0</v>
      </c>
      <c r="BC240" s="44">
        <f>RawData!BK972</f>
        <v>0</v>
      </c>
      <c r="BD240" s="44">
        <f>RawData!BL972</f>
        <v>0</v>
      </c>
      <c r="BE240" s="44">
        <f>RawData!BM972</f>
        <v>0</v>
      </c>
      <c r="BF240" s="44">
        <f>RawData!BN972</f>
        <v>0</v>
      </c>
      <c r="BG240" s="63">
        <f>RawData!BO972</f>
        <v>0</v>
      </c>
      <c r="BH240" s="44">
        <f>RawData!BP972</f>
        <v>0</v>
      </c>
      <c r="BI240" s="63">
        <f>RawData!BQ972</f>
        <v>0</v>
      </c>
      <c r="BJ240" s="44">
        <f>RawData!BR972</f>
        <v>0</v>
      </c>
      <c r="BK240" s="47">
        <f>RawData!BS972</f>
        <v>0</v>
      </c>
      <c r="BL240" s="44">
        <f>RawData!BT972</f>
        <v>0</v>
      </c>
      <c r="BM240" s="47">
        <f>RawData!BV972</f>
        <v>0</v>
      </c>
      <c r="BN240" s="65">
        <f>RawData!CC972</f>
        <v>0</v>
      </c>
      <c r="BO240" s="66">
        <f>RawData!CD972</f>
        <v>0</v>
      </c>
      <c r="BQ240" s="21">
        <f t="shared" si="3"/>
        <v>0</v>
      </c>
    </row>
    <row r="241" spans="1:69" x14ac:dyDescent="0.2">
      <c r="A241" s="59">
        <f>RawData!P973</f>
        <v>0</v>
      </c>
      <c r="B241" s="44">
        <f>RawData!Q973</f>
        <v>0</v>
      </c>
      <c r="C241" s="44">
        <f>RawData!R973</f>
        <v>0</v>
      </c>
      <c r="D241" s="63">
        <f>RawData!S973</f>
        <v>0</v>
      </c>
      <c r="E241" s="44">
        <f>RawData!T973</f>
        <v>0</v>
      </c>
      <c r="F241" s="63">
        <f>RawData!U973</f>
        <v>0</v>
      </c>
      <c r="G241" s="44">
        <f>RawData!V973</f>
        <v>0</v>
      </c>
      <c r="H241" s="44">
        <f>RawData!W973</f>
        <v>0</v>
      </c>
      <c r="I241" s="44">
        <f>RawData!X973</f>
        <v>0</v>
      </c>
      <c r="J241" s="44">
        <f>RawData!Y973</f>
        <v>0</v>
      </c>
      <c r="K241" s="40">
        <f>RawData!Z973</f>
        <v>0</v>
      </c>
      <c r="L241" s="40">
        <f>RawData!AA973</f>
        <v>0</v>
      </c>
      <c r="M241" s="36">
        <f>RawData!AB973</f>
        <v>0</v>
      </c>
      <c r="N241" s="36">
        <f>RawData!AC973</f>
        <v>0</v>
      </c>
      <c r="O241" s="37">
        <f>RawData!AD973</f>
        <v>0</v>
      </c>
      <c r="P241" s="38">
        <f>RawData!AE973</f>
        <v>0</v>
      </c>
      <c r="Q241" s="39">
        <f>RawData!AF973</f>
        <v>0</v>
      </c>
      <c r="R241" s="38">
        <f>RawData!AG973</f>
        <v>0</v>
      </c>
      <c r="S241" s="40">
        <f>RawData!AH973</f>
        <v>0</v>
      </c>
      <c r="T241" s="40">
        <f>RawData!AI973</f>
        <v>0</v>
      </c>
      <c r="U241" s="40">
        <f>RawData!AJ973</f>
        <v>0</v>
      </c>
      <c r="V241" s="41">
        <f>RawData!AK973</f>
        <v>0</v>
      </c>
      <c r="W241" s="41">
        <f>RawData!AL973</f>
        <v>0</v>
      </c>
      <c r="X241" s="43">
        <f>RawData!CA973</f>
        <v>0</v>
      </c>
      <c r="Y241" s="41">
        <f>RawData!AM973</f>
        <v>0</v>
      </c>
      <c r="Z241" s="44">
        <f>RawData!CB973</f>
        <v>0</v>
      </c>
      <c r="AA241" s="44">
        <f>RawData!AN973</f>
        <v>0</v>
      </c>
      <c r="AB241" s="44">
        <f>RawData!AO973</f>
        <v>0</v>
      </c>
      <c r="AC241" s="44">
        <f>RawData!AP973</f>
        <v>0</v>
      </c>
      <c r="AD241" s="63">
        <f>RawData!BZ973</f>
        <v>0</v>
      </c>
      <c r="AE241" s="44">
        <f>RawData!AQ973</f>
        <v>0</v>
      </c>
      <c r="AF241" s="46">
        <f>RawData!O973</f>
        <v>0</v>
      </c>
      <c r="AG241" s="44">
        <f>RawData!AR973</f>
        <v>0</v>
      </c>
      <c r="AH241" s="44">
        <f>RawData!BY973</f>
        <v>0</v>
      </c>
      <c r="AI241" s="44">
        <f>RawData!AS973</f>
        <v>0</v>
      </c>
      <c r="AJ241" s="44">
        <f>RawData!AT973</f>
        <v>0</v>
      </c>
      <c r="AK241" s="44">
        <f>RawData!AU973</f>
        <v>0</v>
      </c>
      <c r="AL241" s="44">
        <f>RawData!BW973</f>
        <v>0</v>
      </c>
      <c r="AM241" s="41">
        <f>RawData!AV973</f>
        <v>0</v>
      </c>
      <c r="AN241" s="41">
        <f>RawData!BX973</f>
        <v>0</v>
      </c>
      <c r="AO241" s="41">
        <f>RawData!AW973</f>
        <v>0</v>
      </c>
      <c r="AP241" s="41">
        <f>RawData!AX973</f>
        <v>0</v>
      </c>
      <c r="AQ241" s="40">
        <f>RawData!AY973</f>
        <v>0</v>
      </c>
      <c r="AR241" s="40">
        <f>RawData!AZ973</f>
        <v>0</v>
      </c>
      <c r="AS241" s="40">
        <f>RawData!BA973</f>
        <v>0</v>
      </c>
      <c r="AT241" s="38">
        <f>RawData!BB973</f>
        <v>0</v>
      </c>
      <c r="AU241" s="40">
        <f>RawData!BC973</f>
        <v>0</v>
      </c>
      <c r="AV241" s="40">
        <f>RawData!BD973</f>
        <v>0</v>
      </c>
      <c r="AW241" s="38">
        <f>RawData!BE973</f>
        <v>0</v>
      </c>
      <c r="AX241" s="37">
        <f>RawData!BF973</f>
        <v>0</v>
      </c>
      <c r="AY241" s="36">
        <f>RawData!BG973</f>
        <v>0</v>
      </c>
      <c r="AZ241" s="36">
        <f>RawData!BH973</f>
        <v>0</v>
      </c>
      <c r="BA241" s="40">
        <f>RawData!BI973</f>
        <v>0</v>
      </c>
      <c r="BB241" s="44">
        <f>RawData!BJ973</f>
        <v>0</v>
      </c>
      <c r="BC241" s="44">
        <f>RawData!BK973</f>
        <v>0</v>
      </c>
      <c r="BD241" s="44">
        <f>RawData!BL973</f>
        <v>0</v>
      </c>
      <c r="BE241" s="44">
        <f>RawData!BM973</f>
        <v>0</v>
      </c>
      <c r="BF241" s="44">
        <f>RawData!BN973</f>
        <v>0</v>
      </c>
      <c r="BG241" s="63">
        <f>RawData!BO973</f>
        <v>0</v>
      </c>
      <c r="BH241" s="44">
        <f>RawData!BP973</f>
        <v>0</v>
      </c>
      <c r="BI241" s="63">
        <f>RawData!BQ973</f>
        <v>0</v>
      </c>
      <c r="BJ241" s="44">
        <f>RawData!BR973</f>
        <v>0</v>
      </c>
      <c r="BK241" s="47">
        <f>RawData!BS973</f>
        <v>0</v>
      </c>
      <c r="BL241" s="44">
        <f>RawData!BT973</f>
        <v>0</v>
      </c>
      <c r="BM241" s="47">
        <f>RawData!BV973</f>
        <v>0</v>
      </c>
      <c r="BN241" s="65">
        <f>RawData!CC973</f>
        <v>0</v>
      </c>
      <c r="BO241" s="66">
        <f>RawData!CD973</f>
        <v>0</v>
      </c>
      <c r="BQ241" s="21">
        <f t="shared" si="3"/>
        <v>0</v>
      </c>
    </row>
    <row r="242" spans="1:69" x14ac:dyDescent="0.2">
      <c r="A242" s="59">
        <f>RawData!P974</f>
        <v>0</v>
      </c>
      <c r="B242" s="44">
        <f>RawData!Q974</f>
        <v>0</v>
      </c>
      <c r="C242" s="44">
        <f>RawData!R974</f>
        <v>0</v>
      </c>
      <c r="D242" s="63">
        <f>RawData!S974</f>
        <v>0</v>
      </c>
      <c r="E242" s="44">
        <f>RawData!T974</f>
        <v>0</v>
      </c>
      <c r="F242" s="63">
        <f>RawData!U974</f>
        <v>0</v>
      </c>
      <c r="G242" s="44">
        <f>RawData!V974</f>
        <v>0</v>
      </c>
      <c r="H242" s="44">
        <f>RawData!W974</f>
        <v>0</v>
      </c>
      <c r="I242" s="44">
        <f>RawData!X974</f>
        <v>0</v>
      </c>
      <c r="J242" s="44">
        <f>RawData!Y974</f>
        <v>0</v>
      </c>
      <c r="K242" s="40">
        <f>RawData!Z974</f>
        <v>0</v>
      </c>
      <c r="L242" s="40">
        <f>RawData!AA974</f>
        <v>0</v>
      </c>
      <c r="M242" s="36">
        <f>RawData!AB974</f>
        <v>0</v>
      </c>
      <c r="N242" s="36">
        <f>RawData!AC974</f>
        <v>0</v>
      </c>
      <c r="O242" s="37">
        <f>RawData!AD974</f>
        <v>0</v>
      </c>
      <c r="P242" s="38">
        <f>RawData!AE974</f>
        <v>0</v>
      </c>
      <c r="Q242" s="39">
        <f>RawData!AF974</f>
        <v>0</v>
      </c>
      <c r="R242" s="38">
        <f>RawData!AG974</f>
        <v>0</v>
      </c>
      <c r="S242" s="40">
        <f>RawData!AH974</f>
        <v>0</v>
      </c>
      <c r="T242" s="40">
        <f>RawData!AI974</f>
        <v>0</v>
      </c>
      <c r="U242" s="40">
        <f>RawData!AJ974</f>
        <v>0</v>
      </c>
      <c r="V242" s="41">
        <f>RawData!AK974</f>
        <v>0</v>
      </c>
      <c r="W242" s="41">
        <f>RawData!AL974</f>
        <v>0</v>
      </c>
      <c r="X242" s="43">
        <f>RawData!CA974</f>
        <v>0</v>
      </c>
      <c r="Y242" s="41">
        <f>RawData!AM974</f>
        <v>0</v>
      </c>
      <c r="Z242" s="44">
        <f>RawData!CB974</f>
        <v>0</v>
      </c>
      <c r="AA242" s="44">
        <f>RawData!AN974</f>
        <v>0</v>
      </c>
      <c r="AB242" s="44">
        <f>RawData!AO974</f>
        <v>0</v>
      </c>
      <c r="AC242" s="44">
        <f>RawData!AP974</f>
        <v>0</v>
      </c>
      <c r="AD242" s="63">
        <f>RawData!BZ974</f>
        <v>0</v>
      </c>
      <c r="AE242" s="44">
        <f>RawData!AQ974</f>
        <v>0</v>
      </c>
      <c r="AF242" s="46">
        <f>RawData!O974</f>
        <v>0</v>
      </c>
      <c r="AG242" s="44">
        <f>RawData!AR974</f>
        <v>0</v>
      </c>
      <c r="AH242" s="44">
        <f>RawData!BY974</f>
        <v>0</v>
      </c>
      <c r="AI242" s="44">
        <f>RawData!AS974</f>
        <v>0</v>
      </c>
      <c r="AJ242" s="44">
        <f>RawData!AT974</f>
        <v>0</v>
      </c>
      <c r="AK242" s="44">
        <f>RawData!AU974</f>
        <v>0</v>
      </c>
      <c r="AL242" s="44">
        <f>RawData!BW974</f>
        <v>0</v>
      </c>
      <c r="AM242" s="41">
        <f>RawData!AV974</f>
        <v>0</v>
      </c>
      <c r="AN242" s="41">
        <f>RawData!BX974</f>
        <v>0</v>
      </c>
      <c r="AO242" s="41">
        <f>RawData!AW974</f>
        <v>0</v>
      </c>
      <c r="AP242" s="41">
        <f>RawData!AX974</f>
        <v>0</v>
      </c>
      <c r="AQ242" s="40">
        <f>RawData!AY974</f>
        <v>0</v>
      </c>
      <c r="AR242" s="40">
        <f>RawData!AZ974</f>
        <v>0</v>
      </c>
      <c r="AS242" s="40">
        <f>RawData!BA974</f>
        <v>0</v>
      </c>
      <c r="AT242" s="38">
        <f>RawData!BB974</f>
        <v>0</v>
      </c>
      <c r="AU242" s="40">
        <f>RawData!BC974</f>
        <v>0</v>
      </c>
      <c r="AV242" s="40">
        <f>RawData!BD974</f>
        <v>0</v>
      </c>
      <c r="AW242" s="38">
        <f>RawData!BE974</f>
        <v>0</v>
      </c>
      <c r="AX242" s="37">
        <f>RawData!BF974</f>
        <v>0</v>
      </c>
      <c r="AY242" s="36">
        <f>RawData!BG974</f>
        <v>0</v>
      </c>
      <c r="AZ242" s="36">
        <f>RawData!BH974</f>
        <v>0</v>
      </c>
      <c r="BA242" s="40">
        <f>RawData!BI974</f>
        <v>0</v>
      </c>
      <c r="BB242" s="44">
        <f>RawData!BJ974</f>
        <v>0</v>
      </c>
      <c r="BC242" s="44">
        <f>RawData!BK974</f>
        <v>0</v>
      </c>
      <c r="BD242" s="44">
        <f>RawData!BL974</f>
        <v>0</v>
      </c>
      <c r="BE242" s="44">
        <f>RawData!BM974</f>
        <v>0</v>
      </c>
      <c r="BF242" s="44">
        <f>RawData!BN974</f>
        <v>0</v>
      </c>
      <c r="BG242" s="63">
        <f>RawData!BO974</f>
        <v>0</v>
      </c>
      <c r="BH242" s="44">
        <f>RawData!BP974</f>
        <v>0</v>
      </c>
      <c r="BI242" s="63">
        <f>RawData!BQ974</f>
        <v>0</v>
      </c>
      <c r="BJ242" s="44">
        <f>RawData!BR974</f>
        <v>0</v>
      </c>
      <c r="BK242" s="47">
        <f>RawData!BS974</f>
        <v>0</v>
      </c>
      <c r="BL242" s="44">
        <f>RawData!BT974</f>
        <v>0</v>
      </c>
      <c r="BM242" s="47">
        <f>RawData!BV974</f>
        <v>0</v>
      </c>
      <c r="BN242" s="65">
        <f>RawData!CC974</f>
        <v>0</v>
      </c>
      <c r="BO242" s="66">
        <f>RawData!CD974</f>
        <v>0</v>
      </c>
      <c r="BQ242" s="21">
        <f t="shared" si="3"/>
        <v>0</v>
      </c>
    </row>
    <row r="243" spans="1:69" x14ac:dyDescent="0.2">
      <c r="A243" s="59">
        <f>RawData!P975</f>
        <v>0</v>
      </c>
      <c r="B243" s="44">
        <f>RawData!Q975</f>
        <v>0</v>
      </c>
      <c r="C243" s="44">
        <f>RawData!R975</f>
        <v>0</v>
      </c>
      <c r="D243" s="63">
        <f>RawData!S975</f>
        <v>0</v>
      </c>
      <c r="E243" s="44">
        <f>RawData!T975</f>
        <v>0</v>
      </c>
      <c r="F243" s="63">
        <f>RawData!U975</f>
        <v>0</v>
      </c>
      <c r="G243" s="44">
        <f>RawData!V975</f>
        <v>0</v>
      </c>
      <c r="H243" s="44">
        <f>RawData!W975</f>
        <v>0</v>
      </c>
      <c r="I243" s="44">
        <f>RawData!X975</f>
        <v>0</v>
      </c>
      <c r="J243" s="44">
        <f>RawData!Y975</f>
        <v>0</v>
      </c>
      <c r="K243" s="40">
        <f>RawData!Z975</f>
        <v>0</v>
      </c>
      <c r="L243" s="40">
        <f>RawData!AA975</f>
        <v>0</v>
      </c>
      <c r="M243" s="36">
        <f>RawData!AB975</f>
        <v>0</v>
      </c>
      <c r="N243" s="36">
        <f>RawData!AC975</f>
        <v>0</v>
      </c>
      <c r="O243" s="37">
        <f>RawData!AD975</f>
        <v>0</v>
      </c>
      <c r="P243" s="38">
        <f>RawData!AE975</f>
        <v>0</v>
      </c>
      <c r="Q243" s="39">
        <f>RawData!AF975</f>
        <v>0</v>
      </c>
      <c r="R243" s="38">
        <f>RawData!AG975</f>
        <v>0</v>
      </c>
      <c r="S243" s="40">
        <f>RawData!AH975</f>
        <v>0</v>
      </c>
      <c r="T243" s="40">
        <f>RawData!AI975</f>
        <v>0</v>
      </c>
      <c r="U243" s="40">
        <f>RawData!AJ975</f>
        <v>0</v>
      </c>
      <c r="V243" s="41">
        <f>RawData!AK975</f>
        <v>0</v>
      </c>
      <c r="W243" s="41">
        <f>RawData!AL975</f>
        <v>0</v>
      </c>
      <c r="X243" s="43">
        <f>RawData!CA975</f>
        <v>0</v>
      </c>
      <c r="Y243" s="41">
        <f>RawData!AM975</f>
        <v>0</v>
      </c>
      <c r="Z243" s="44">
        <f>RawData!CB975</f>
        <v>0</v>
      </c>
      <c r="AA243" s="44">
        <f>RawData!AN975</f>
        <v>0</v>
      </c>
      <c r="AB243" s="44">
        <f>RawData!AO975</f>
        <v>0</v>
      </c>
      <c r="AC243" s="44">
        <f>RawData!AP975</f>
        <v>0</v>
      </c>
      <c r="AD243" s="63">
        <f>RawData!BZ975</f>
        <v>0</v>
      </c>
      <c r="AE243" s="44">
        <f>RawData!AQ975</f>
        <v>0</v>
      </c>
      <c r="AF243" s="46">
        <f>RawData!O975</f>
        <v>0</v>
      </c>
      <c r="AG243" s="44">
        <f>RawData!AR975</f>
        <v>0</v>
      </c>
      <c r="AH243" s="44">
        <f>RawData!BY975</f>
        <v>0</v>
      </c>
      <c r="AI243" s="44">
        <f>RawData!AS975</f>
        <v>0</v>
      </c>
      <c r="AJ243" s="44">
        <f>RawData!AT975</f>
        <v>0</v>
      </c>
      <c r="AK243" s="44">
        <f>RawData!AU975</f>
        <v>0</v>
      </c>
      <c r="AL243" s="44">
        <f>RawData!BW975</f>
        <v>0</v>
      </c>
      <c r="AM243" s="41">
        <f>RawData!AV975</f>
        <v>0</v>
      </c>
      <c r="AN243" s="41">
        <f>RawData!BX975</f>
        <v>0</v>
      </c>
      <c r="AO243" s="41">
        <f>RawData!AW975</f>
        <v>0</v>
      </c>
      <c r="AP243" s="41">
        <f>RawData!AX975</f>
        <v>0</v>
      </c>
      <c r="AQ243" s="40">
        <f>RawData!AY975</f>
        <v>0</v>
      </c>
      <c r="AR243" s="40">
        <f>RawData!AZ975</f>
        <v>0</v>
      </c>
      <c r="AS243" s="40">
        <f>RawData!BA975</f>
        <v>0</v>
      </c>
      <c r="AT243" s="38">
        <f>RawData!BB975</f>
        <v>0</v>
      </c>
      <c r="AU243" s="40">
        <f>RawData!BC975</f>
        <v>0</v>
      </c>
      <c r="AV243" s="40">
        <f>RawData!BD975</f>
        <v>0</v>
      </c>
      <c r="AW243" s="38">
        <f>RawData!BE975</f>
        <v>0</v>
      </c>
      <c r="AX243" s="37">
        <f>RawData!BF975</f>
        <v>0</v>
      </c>
      <c r="AY243" s="36">
        <f>RawData!BG975</f>
        <v>0</v>
      </c>
      <c r="AZ243" s="36">
        <f>RawData!BH975</f>
        <v>0</v>
      </c>
      <c r="BA243" s="40">
        <f>RawData!BI975</f>
        <v>0</v>
      </c>
      <c r="BB243" s="44">
        <f>RawData!BJ975</f>
        <v>0</v>
      </c>
      <c r="BC243" s="44">
        <f>RawData!BK975</f>
        <v>0</v>
      </c>
      <c r="BD243" s="44">
        <f>RawData!BL975</f>
        <v>0</v>
      </c>
      <c r="BE243" s="44">
        <f>RawData!BM975</f>
        <v>0</v>
      </c>
      <c r="BF243" s="44">
        <f>RawData!BN975</f>
        <v>0</v>
      </c>
      <c r="BG243" s="63">
        <f>RawData!BO975</f>
        <v>0</v>
      </c>
      <c r="BH243" s="44">
        <f>RawData!BP975</f>
        <v>0</v>
      </c>
      <c r="BI243" s="63">
        <f>RawData!BQ975</f>
        <v>0</v>
      </c>
      <c r="BJ243" s="44">
        <f>RawData!BR975</f>
        <v>0</v>
      </c>
      <c r="BK243" s="47">
        <f>RawData!BS975</f>
        <v>0</v>
      </c>
      <c r="BL243" s="44">
        <f>RawData!BT975</f>
        <v>0</v>
      </c>
      <c r="BM243" s="47">
        <f>RawData!BV975</f>
        <v>0</v>
      </c>
      <c r="BN243" s="65">
        <f>RawData!CC975</f>
        <v>0</v>
      </c>
      <c r="BO243" s="66">
        <f>RawData!CD975</f>
        <v>0</v>
      </c>
      <c r="BQ243" s="21">
        <f t="shared" si="3"/>
        <v>0</v>
      </c>
    </row>
    <row r="244" spans="1:69" x14ac:dyDescent="0.2">
      <c r="A244" s="59">
        <f>RawData!P976</f>
        <v>0</v>
      </c>
      <c r="B244" s="44">
        <f>RawData!Q976</f>
        <v>0</v>
      </c>
      <c r="C244" s="44">
        <f>RawData!R976</f>
        <v>0</v>
      </c>
      <c r="D244" s="63">
        <f>RawData!S976</f>
        <v>0</v>
      </c>
      <c r="E244" s="44">
        <f>RawData!T976</f>
        <v>0</v>
      </c>
      <c r="F244" s="63">
        <f>RawData!U976</f>
        <v>0</v>
      </c>
      <c r="G244" s="44">
        <f>RawData!V976</f>
        <v>0</v>
      </c>
      <c r="H244" s="44">
        <f>RawData!W976</f>
        <v>0</v>
      </c>
      <c r="I244" s="44">
        <f>RawData!X976</f>
        <v>0</v>
      </c>
      <c r="J244" s="44">
        <f>RawData!Y976</f>
        <v>0</v>
      </c>
      <c r="K244" s="40">
        <f>RawData!Z976</f>
        <v>0</v>
      </c>
      <c r="L244" s="40">
        <f>RawData!AA976</f>
        <v>0</v>
      </c>
      <c r="M244" s="36">
        <f>RawData!AB976</f>
        <v>0</v>
      </c>
      <c r="N244" s="36">
        <f>RawData!AC976</f>
        <v>0</v>
      </c>
      <c r="O244" s="37">
        <f>RawData!AD976</f>
        <v>0</v>
      </c>
      <c r="P244" s="38">
        <f>RawData!AE976</f>
        <v>0</v>
      </c>
      <c r="Q244" s="39">
        <f>RawData!AF976</f>
        <v>0</v>
      </c>
      <c r="R244" s="38">
        <f>RawData!AG976</f>
        <v>0</v>
      </c>
      <c r="S244" s="40">
        <f>RawData!AH976</f>
        <v>0</v>
      </c>
      <c r="T244" s="40">
        <f>RawData!AI976</f>
        <v>0</v>
      </c>
      <c r="U244" s="40">
        <f>RawData!AJ976</f>
        <v>0</v>
      </c>
      <c r="V244" s="41">
        <f>RawData!AK976</f>
        <v>0</v>
      </c>
      <c r="W244" s="41">
        <f>RawData!AL976</f>
        <v>0</v>
      </c>
      <c r="X244" s="43">
        <f>RawData!CA976</f>
        <v>0</v>
      </c>
      <c r="Y244" s="41">
        <f>RawData!AM976</f>
        <v>0</v>
      </c>
      <c r="Z244" s="44">
        <f>RawData!CB976</f>
        <v>0</v>
      </c>
      <c r="AA244" s="44">
        <f>RawData!AN976</f>
        <v>0</v>
      </c>
      <c r="AB244" s="44">
        <f>RawData!AO976</f>
        <v>0</v>
      </c>
      <c r="AC244" s="44">
        <f>RawData!AP976</f>
        <v>0</v>
      </c>
      <c r="AD244" s="63">
        <f>RawData!BZ976</f>
        <v>0</v>
      </c>
      <c r="AE244" s="44">
        <f>RawData!AQ976</f>
        <v>0</v>
      </c>
      <c r="AF244" s="46">
        <f>RawData!O976</f>
        <v>0</v>
      </c>
      <c r="AG244" s="44">
        <f>RawData!AR976</f>
        <v>0</v>
      </c>
      <c r="AH244" s="44">
        <f>RawData!BY976</f>
        <v>0</v>
      </c>
      <c r="AI244" s="44">
        <f>RawData!AS976</f>
        <v>0</v>
      </c>
      <c r="AJ244" s="44">
        <f>RawData!AT976</f>
        <v>0</v>
      </c>
      <c r="AK244" s="44">
        <f>RawData!AU976</f>
        <v>0</v>
      </c>
      <c r="AL244" s="44">
        <f>RawData!BW976</f>
        <v>0</v>
      </c>
      <c r="AM244" s="41">
        <f>RawData!AV976</f>
        <v>0</v>
      </c>
      <c r="AN244" s="41">
        <f>RawData!BX976</f>
        <v>0</v>
      </c>
      <c r="AO244" s="41">
        <f>RawData!AW976</f>
        <v>0</v>
      </c>
      <c r="AP244" s="41">
        <f>RawData!AX976</f>
        <v>0</v>
      </c>
      <c r="AQ244" s="40">
        <f>RawData!AY976</f>
        <v>0</v>
      </c>
      <c r="AR244" s="40">
        <f>RawData!AZ976</f>
        <v>0</v>
      </c>
      <c r="AS244" s="40">
        <f>RawData!BA976</f>
        <v>0</v>
      </c>
      <c r="AT244" s="38">
        <f>RawData!BB976</f>
        <v>0</v>
      </c>
      <c r="AU244" s="40">
        <f>RawData!BC976</f>
        <v>0</v>
      </c>
      <c r="AV244" s="40">
        <f>RawData!BD976</f>
        <v>0</v>
      </c>
      <c r="AW244" s="38">
        <f>RawData!BE976</f>
        <v>0</v>
      </c>
      <c r="AX244" s="37">
        <f>RawData!BF976</f>
        <v>0</v>
      </c>
      <c r="AY244" s="36">
        <f>RawData!BG976</f>
        <v>0</v>
      </c>
      <c r="AZ244" s="36">
        <f>RawData!BH976</f>
        <v>0</v>
      </c>
      <c r="BA244" s="40">
        <f>RawData!BI976</f>
        <v>0</v>
      </c>
      <c r="BB244" s="44">
        <f>RawData!BJ976</f>
        <v>0</v>
      </c>
      <c r="BC244" s="44">
        <f>RawData!BK976</f>
        <v>0</v>
      </c>
      <c r="BD244" s="44">
        <f>RawData!BL976</f>
        <v>0</v>
      </c>
      <c r="BE244" s="44">
        <f>RawData!BM976</f>
        <v>0</v>
      </c>
      <c r="BF244" s="44">
        <f>RawData!BN976</f>
        <v>0</v>
      </c>
      <c r="BG244" s="63">
        <f>RawData!BO976</f>
        <v>0</v>
      </c>
      <c r="BH244" s="44">
        <f>RawData!BP976</f>
        <v>0</v>
      </c>
      <c r="BI244" s="63">
        <f>RawData!BQ976</f>
        <v>0</v>
      </c>
      <c r="BJ244" s="44">
        <f>RawData!BR976</f>
        <v>0</v>
      </c>
      <c r="BK244" s="47">
        <f>RawData!BS976</f>
        <v>0</v>
      </c>
      <c r="BL244" s="44">
        <f>RawData!BT976</f>
        <v>0</v>
      </c>
      <c r="BM244" s="47">
        <f>RawData!BV976</f>
        <v>0</v>
      </c>
      <c r="BN244" s="65">
        <f>RawData!CC976</f>
        <v>0</v>
      </c>
      <c r="BO244" s="66">
        <f>RawData!CD976</f>
        <v>0</v>
      </c>
      <c r="BQ244" s="21">
        <f t="shared" si="3"/>
        <v>0</v>
      </c>
    </row>
    <row r="245" spans="1:69" x14ac:dyDescent="0.2">
      <c r="A245" s="59">
        <f>RawData!P977</f>
        <v>0</v>
      </c>
      <c r="B245" s="44">
        <f>RawData!Q977</f>
        <v>0</v>
      </c>
      <c r="C245" s="44">
        <f>RawData!R977</f>
        <v>0</v>
      </c>
      <c r="D245" s="63">
        <f>RawData!S977</f>
        <v>0</v>
      </c>
      <c r="E245" s="44">
        <f>RawData!T977</f>
        <v>0</v>
      </c>
      <c r="F245" s="63">
        <f>RawData!U977</f>
        <v>0</v>
      </c>
      <c r="G245" s="44">
        <f>RawData!V977</f>
        <v>0</v>
      </c>
      <c r="H245" s="44">
        <f>RawData!W977</f>
        <v>0</v>
      </c>
      <c r="I245" s="44">
        <f>RawData!X977</f>
        <v>0</v>
      </c>
      <c r="J245" s="44">
        <f>RawData!Y977</f>
        <v>0</v>
      </c>
      <c r="K245" s="40">
        <f>RawData!Z977</f>
        <v>0</v>
      </c>
      <c r="L245" s="40">
        <f>RawData!AA977</f>
        <v>0</v>
      </c>
      <c r="M245" s="36">
        <f>RawData!AB977</f>
        <v>0</v>
      </c>
      <c r="N245" s="36">
        <f>RawData!AC977</f>
        <v>0</v>
      </c>
      <c r="O245" s="37">
        <f>RawData!AD977</f>
        <v>0</v>
      </c>
      <c r="P245" s="38">
        <f>RawData!AE977</f>
        <v>0</v>
      </c>
      <c r="Q245" s="39">
        <f>RawData!AF977</f>
        <v>0</v>
      </c>
      <c r="R245" s="38">
        <f>RawData!AG977</f>
        <v>0</v>
      </c>
      <c r="S245" s="40">
        <f>RawData!AH977</f>
        <v>0</v>
      </c>
      <c r="T245" s="40">
        <f>RawData!AI977</f>
        <v>0</v>
      </c>
      <c r="U245" s="40">
        <f>RawData!AJ977</f>
        <v>0</v>
      </c>
      <c r="V245" s="41">
        <f>RawData!AK977</f>
        <v>0</v>
      </c>
      <c r="W245" s="41">
        <f>RawData!AL977</f>
        <v>0</v>
      </c>
      <c r="X245" s="43">
        <f>RawData!CA977</f>
        <v>0</v>
      </c>
      <c r="Y245" s="41">
        <f>RawData!AM977</f>
        <v>0</v>
      </c>
      <c r="Z245" s="44">
        <f>RawData!CB977</f>
        <v>0</v>
      </c>
      <c r="AA245" s="44">
        <f>RawData!AN977</f>
        <v>0</v>
      </c>
      <c r="AB245" s="44">
        <f>RawData!AO977</f>
        <v>0</v>
      </c>
      <c r="AC245" s="44">
        <f>RawData!AP977</f>
        <v>0</v>
      </c>
      <c r="AD245" s="63">
        <f>RawData!BZ977</f>
        <v>0</v>
      </c>
      <c r="AE245" s="44">
        <f>RawData!AQ977</f>
        <v>0</v>
      </c>
      <c r="AF245" s="46">
        <f>RawData!O977</f>
        <v>0</v>
      </c>
      <c r="AG245" s="44">
        <f>RawData!AR977</f>
        <v>0</v>
      </c>
      <c r="AH245" s="44">
        <f>RawData!BY977</f>
        <v>0</v>
      </c>
      <c r="AI245" s="44">
        <f>RawData!AS977</f>
        <v>0</v>
      </c>
      <c r="AJ245" s="44">
        <f>RawData!AT977</f>
        <v>0</v>
      </c>
      <c r="AK245" s="44">
        <f>RawData!AU977</f>
        <v>0</v>
      </c>
      <c r="AL245" s="44">
        <f>RawData!BW977</f>
        <v>0</v>
      </c>
      <c r="AM245" s="41">
        <f>RawData!AV977</f>
        <v>0</v>
      </c>
      <c r="AN245" s="41">
        <f>RawData!BX977</f>
        <v>0</v>
      </c>
      <c r="AO245" s="41">
        <f>RawData!AW977</f>
        <v>0</v>
      </c>
      <c r="AP245" s="41">
        <f>RawData!AX977</f>
        <v>0</v>
      </c>
      <c r="AQ245" s="40">
        <f>RawData!AY977</f>
        <v>0</v>
      </c>
      <c r="AR245" s="40">
        <f>RawData!AZ977</f>
        <v>0</v>
      </c>
      <c r="AS245" s="40">
        <f>RawData!BA977</f>
        <v>0</v>
      </c>
      <c r="AT245" s="38">
        <f>RawData!BB977</f>
        <v>0</v>
      </c>
      <c r="AU245" s="40">
        <f>RawData!BC977</f>
        <v>0</v>
      </c>
      <c r="AV245" s="40">
        <f>RawData!BD977</f>
        <v>0</v>
      </c>
      <c r="AW245" s="38">
        <f>RawData!BE977</f>
        <v>0</v>
      </c>
      <c r="AX245" s="37">
        <f>RawData!BF977</f>
        <v>0</v>
      </c>
      <c r="AY245" s="36">
        <f>RawData!BG977</f>
        <v>0</v>
      </c>
      <c r="AZ245" s="36">
        <f>RawData!BH977</f>
        <v>0</v>
      </c>
      <c r="BA245" s="40">
        <f>RawData!BI977</f>
        <v>0</v>
      </c>
      <c r="BB245" s="44">
        <f>RawData!BJ977</f>
        <v>0</v>
      </c>
      <c r="BC245" s="44">
        <f>RawData!BK977</f>
        <v>0</v>
      </c>
      <c r="BD245" s="44">
        <f>RawData!BL977</f>
        <v>0</v>
      </c>
      <c r="BE245" s="44">
        <f>RawData!BM977</f>
        <v>0</v>
      </c>
      <c r="BF245" s="44">
        <f>RawData!BN977</f>
        <v>0</v>
      </c>
      <c r="BG245" s="63">
        <f>RawData!BO977</f>
        <v>0</v>
      </c>
      <c r="BH245" s="44">
        <f>RawData!BP977</f>
        <v>0</v>
      </c>
      <c r="BI245" s="63">
        <f>RawData!BQ977</f>
        <v>0</v>
      </c>
      <c r="BJ245" s="44">
        <f>RawData!BR977</f>
        <v>0</v>
      </c>
      <c r="BK245" s="47">
        <f>RawData!BS977</f>
        <v>0</v>
      </c>
      <c r="BL245" s="44">
        <f>RawData!BT977</f>
        <v>0</v>
      </c>
      <c r="BM245" s="47">
        <f>RawData!BV977</f>
        <v>0</v>
      </c>
      <c r="BN245" s="65">
        <f>RawData!CC977</f>
        <v>0</v>
      </c>
      <c r="BO245" s="66">
        <f>RawData!CD977</f>
        <v>0</v>
      </c>
      <c r="BQ245" s="21">
        <f t="shared" si="3"/>
        <v>0</v>
      </c>
    </row>
    <row r="246" spans="1:69" x14ac:dyDescent="0.2">
      <c r="A246" s="59">
        <f>RawData!P978</f>
        <v>0</v>
      </c>
      <c r="B246" s="44">
        <f>RawData!Q978</f>
        <v>0</v>
      </c>
      <c r="C246" s="44">
        <f>RawData!R978</f>
        <v>0</v>
      </c>
      <c r="D246" s="63">
        <f>RawData!S978</f>
        <v>0</v>
      </c>
      <c r="E246" s="44">
        <f>RawData!T978</f>
        <v>0</v>
      </c>
      <c r="F246" s="63">
        <f>RawData!U978</f>
        <v>0</v>
      </c>
      <c r="G246" s="44">
        <f>RawData!V978</f>
        <v>0</v>
      </c>
      <c r="H246" s="44">
        <f>RawData!W978</f>
        <v>0</v>
      </c>
      <c r="I246" s="44">
        <f>RawData!X978</f>
        <v>0</v>
      </c>
      <c r="J246" s="44">
        <f>RawData!Y978</f>
        <v>0</v>
      </c>
      <c r="K246" s="40">
        <f>RawData!Z978</f>
        <v>0</v>
      </c>
      <c r="L246" s="40">
        <f>RawData!AA978</f>
        <v>0</v>
      </c>
      <c r="M246" s="36">
        <f>RawData!AB978</f>
        <v>0</v>
      </c>
      <c r="N246" s="36">
        <f>RawData!AC978</f>
        <v>0</v>
      </c>
      <c r="O246" s="37">
        <f>RawData!AD978</f>
        <v>0</v>
      </c>
      <c r="P246" s="38">
        <f>RawData!AE978</f>
        <v>0</v>
      </c>
      <c r="Q246" s="39">
        <f>RawData!AF978</f>
        <v>0</v>
      </c>
      <c r="R246" s="38">
        <f>RawData!AG978</f>
        <v>0</v>
      </c>
      <c r="S246" s="40">
        <f>RawData!AH978</f>
        <v>0</v>
      </c>
      <c r="T246" s="40">
        <f>RawData!AI978</f>
        <v>0</v>
      </c>
      <c r="U246" s="40">
        <f>RawData!AJ978</f>
        <v>0</v>
      </c>
      <c r="V246" s="41">
        <f>RawData!AK978</f>
        <v>0</v>
      </c>
      <c r="W246" s="41">
        <f>RawData!AL978</f>
        <v>0</v>
      </c>
      <c r="X246" s="43">
        <f>RawData!CA978</f>
        <v>0</v>
      </c>
      <c r="Y246" s="41">
        <f>RawData!AM978</f>
        <v>0</v>
      </c>
      <c r="Z246" s="44">
        <f>RawData!CB978</f>
        <v>0</v>
      </c>
      <c r="AA246" s="44">
        <f>RawData!AN978</f>
        <v>0</v>
      </c>
      <c r="AB246" s="44">
        <f>RawData!AO978</f>
        <v>0</v>
      </c>
      <c r="AC246" s="44">
        <f>RawData!AP978</f>
        <v>0</v>
      </c>
      <c r="AD246" s="63">
        <f>RawData!BZ978</f>
        <v>0</v>
      </c>
      <c r="AE246" s="44">
        <f>RawData!AQ978</f>
        <v>0</v>
      </c>
      <c r="AF246" s="46">
        <f>RawData!O978</f>
        <v>0</v>
      </c>
      <c r="AG246" s="44">
        <f>RawData!AR978</f>
        <v>0</v>
      </c>
      <c r="AH246" s="44">
        <f>RawData!BY978</f>
        <v>0</v>
      </c>
      <c r="AI246" s="44">
        <f>RawData!AS978</f>
        <v>0</v>
      </c>
      <c r="AJ246" s="44">
        <f>RawData!AT978</f>
        <v>0</v>
      </c>
      <c r="AK246" s="44">
        <f>RawData!AU978</f>
        <v>0</v>
      </c>
      <c r="AL246" s="44">
        <f>RawData!BW978</f>
        <v>0</v>
      </c>
      <c r="AM246" s="41">
        <f>RawData!AV978</f>
        <v>0</v>
      </c>
      <c r="AN246" s="41">
        <f>RawData!BX978</f>
        <v>0</v>
      </c>
      <c r="AO246" s="41">
        <f>RawData!AW978</f>
        <v>0</v>
      </c>
      <c r="AP246" s="41">
        <f>RawData!AX978</f>
        <v>0</v>
      </c>
      <c r="AQ246" s="40">
        <f>RawData!AY978</f>
        <v>0</v>
      </c>
      <c r="AR246" s="40">
        <f>RawData!AZ978</f>
        <v>0</v>
      </c>
      <c r="AS246" s="40">
        <f>RawData!BA978</f>
        <v>0</v>
      </c>
      <c r="AT246" s="38">
        <f>RawData!BB978</f>
        <v>0</v>
      </c>
      <c r="AU246" s="40">
        <f>RawData!BC978</f>
        <v>0</v>
      </c>
      <c r="AV246" s="40">
        <f>RawData!BD978</f>
        <v>0</v>
      </c>
      <c r="AW246" s="38">
        <f>RawData!BE978</f>
        <v>0</v>
      </c>
      <c r="AX246" s="37">
        <f>RawData!BF978</f>
        <v>0</v>
      </c>
      <c r="AY246" s="36">
        <f>RawData!BG978</f>
        <v>0</v>
      </c>
      <c r="AZ246" s="36">
        <f>RawData!BH978</f>
        <v>0</v>
      </c>
      <c r="BA246" s="40">
        <f>RawData!BI978</f>
        <v>0</v>
      </c>
      <c r="BB246" s="44">
        <f>RawData!BJ978</f>
        <v>0</v>
      </c>
      <c r="BC246" s="44">
        <f>RawData!BK978</f>
        <v>0</v>
      </c>
      <c r="BD246" s="44">
        <f>RawData!BL978</f>
        <v>0</v>
      </c>
      <c r="BE246" s="44">
        <f>RawData!BM978</f>
        <v>0</v>
      </c>
      <c r="BF246" s="44">
        <f>RawData!BN978</f>
        <v>0</v>
      </c>
      <c r="BG246" s="63">
        <f>RawData!BO978</f>
        <v>0</v>
      </c>
      <c r="BH246" s="44">
        <f>RawData!BP978</f>
        <v>0</v>
      </c>
      <c r="BI246" s="63">
        <f>RawData!BQ978</f>
        <v>0</v>
      </c>
      <c r="BJ246" s="44">
        <f>RawData!BR978</f>
        <v>0</v>
      </c>
      <c r="BK246" s="47">
        <f>RawData!BS978</f>
        <v>0</v>
      </c>
      <c r="BL246" s="44">
        <f>RawData!BT978</f>
        <v>0</v>
      </c>
      <c r="BM246" s="47">
        <f>RawData!BV978</f>
        <v>0</v>
      </c>
      <c r="BN246" s="65">
        <f>RawData!CC978</f>
        <v>0</v>
      </c>
      <c r="BO246" s="66">
        <f>RawData!CD978</f>
        <v>0</v>
      </c>
      <c r="BQ246" s="21">
        <f t="shared" si="3"/>
        <v>0</v>
      </c>
    </row>
    <row r="247" spans="1:69" x14ac:dyDescent="0.2">
      <c r="A247" s="59">
        <f>RawData!P979</f>
        <v>0</v>
      </c>
      <c r="B247" s="44">
        <f>RawData!Q979</f>
        <v>0</v>
      </c>
      <c r="C247" s="44">
        <f>RawData!R979</f>
        <v>0</v>
      </c>
      <c r="D247" s="63">
        <f>RawData!S979</f>
        <v>0</v>
      </c>
      <c r="E247" s="44">
        <f>RawData!T979</f>
        <v>0</v>
      </c>
      <c r="F247" s="63">
        <f>RawData!U979</f>
        <v>0</v>
      </c>
      <c r="G247" s="44">
        <f>RawData!V979</f>
        <v>0</v>
      </c>
      <c r="H247" s="44">
        <f>RawData!W979</f>
        <v>0</v>
      </c>
      <c r="I247" s="44">
        <f>RawData!X979</f>
        <v>0</v>
      </c>
      <c r="J247" s="44">
        <f>RawData!Y979</f>
        <v>0</v>
      </c>
      <c r="K247" s="40">
        <f>RawData!Z979</f>
        <v>0</v>
      </c>
      <c r="L247" s="40">
        <f>RawData!AA979</f>
        <v>0</v>
      </c>
      <c r="M247" s="36">
        <f>RawData!AB979</f>
        <v>0</v>
      </c>
      <c r="N247" s="36">
        <f>RawData!AC979</f>
        <v>0</v>
      </c>
      <c r="O247" s="37">
        <f>RawData!AD979</f>
        <v>0</v>
      </c>
      <c r="P247" s="38">
        <f>RawData!AE979</f>
        <v>0</v>
      </c>
      <c r="Q247" s="39">
        <f>RawData!AF979</f>
        <v>0</v>
      </c>
      <c r="R247" s="38">
        <f>RawData!AG979</f>
        <v>0</v>
      </c>
      <c r="S247" s="40">
        <f>RawData!AH979</f>
        <v>0</v>
      </c>
      <c r="T247" s="40">
        <f>RawData!AI979</f>
        <v>0</v>
      </c>
      <c r="U247" s="40">
        <f>RawData!AJ979</f>
        <v>0</v>
      </c>
      <c r="V247" s="41">
        <f>RawData!AK979</f>
        <v>0</v>
      </c>
      <c r="W247" s="41">
        <f>RawData!AL979</f>
        <v>0</v>
      </c>
      <c r="X247" s="43">
        <f>RawData!CA979</f>
        <v>0</v>
      </c>
      <c r="Y247" s="41">
        <f>RawData!AM979</f>
        <v>0</v>
      </c>
      <c r="Z247" s="44">
        <f>RawData!CB979</f>
        <v>0</v>
      </c>
      <c r="AA247" s="44">
        <f>RawData!AN979</f>
        <v>0</v>
      </c>
      <c r="AB247" s="44">
        <f>RawData!AO979</f>
        <v>0</v>
      </c>
      <c r="AC247" s="44">
        <f>RawData!AP979</f>
        <v>0</v>
      </c>
      <c r="AD247" s="63">
        <f>RawData!BZ979</f>
        <v>0</v>
      </c>
      <c r="AE247" s="44">
        <f>RawData!AQ979</f>
        <v>0</v>
      </c>
      <c r="AF247" s="46">
        <f>RawData!O979</f>
        <v>0</v>
      </c>
      <c r="AG247" s="44">
        <f>RawData!AR979</f>
        <v>0</v>
      </c>
      <c r="AH247" s="44">
        <f>RawData!BY979</f>
        <v>0</v>
      </c>
      <c r="AI247" s="44">
        <f>RawData!AS979</f>
        <v>0</v>
      </c>
      <c r="AJ247" s="44">
        <f>RawData!AT979</f>
        <v>0</v>
      </c>
      <c r="AK247" s="44">
        <f>RawData!AU979</f>
        <v>0</v>
      </c>
      <c r="AL247" s="44">
        <f>RawData!BW979</f>
        <v>0</v>
      </c>
      <c r="AM247" s="41">
        <f>RawData!AV979</f>
        <v>0</v>
      </c>
      <c r="AN247" s="41">
        <f>RawData!BX979</f>
        <v>0</v>
      </c>
      <c r="AO247" s="41">
        <f>RawData!AW979</f>
        <v>0</v>
      </c>
      <c r="AP247" s="41">
        <f>RawData!AX979</f>
        <v>0</v>
      </c>
      <c r="AQ247" s="40">
        <f>RawData!AY979</f>
        <v>0</v>
      </c>
      <c r="AR247" s="40">
        <f>RawData!AZ979</f>
        <v>0</v>
      </c>
      <c r="AS247" s="40">
        <f>RawData!BA979</f>
        <v>0</v>
      </c>
      <c r="AT247" s="38">
        <f>RawData!BB979</f>
        <v>0</v>
      </c>
      <c r="AU247" s="40">
        <f>RawData!BC979</f>
        <v>0</v>
      </c>
      <c r="AV247" s="40">
        <f>RawData!BD979</f>
        <v>0</v>
      </c>
      <c r="AW247" s="38">
        <f>RawData!BE979</f>
        <v>0</v>
      </c>
      <c r="AX247" s="37">
        <f>RawData!BF979</f>
        <v>0</v>
      </c>
      <c r="AY247" s="36">
        <f>RawData!BG979</f>
        <v>0</v>
      </c>
      <c r="AZ247" s="36">
        <f>RawData!BH979</f>
        <v>0</v>
      </c>
      <c r="BA247" s="40">
        <f>RawData!BI979</f>
        <v>0</v>
      </c>
      <c r="BB247" s="44">
        <f>RawData!BJ979</f>
        <v>0</v>
      </c>
      <c r="BC247" s="44">
        <f>RawData!BK979</f>
        <v>0</v>
      </c>
      <c r="BD247" s="44">
        <f>RawData!BL979</f>
        <v>0</v>
      </c>
      <c r="BE247" s="44">
        <f>RawData!BM979</f>
        <v>0</v>
      </c>
      <c r="BF247" s="44">
        <f>RawData!BN979</f>
        <v>0</v>
      </c>
      <c r="BG247" s="63">
        <f>RawData!BO979</f>
        <v>0</v>
      </c>
      <c r="BH247" s="44">
        <f>RawData!BP979</f>
        <v>0</v>
      </c>
      <c r="BI247" s="63">
        <f>RawData!BQ979</f>
        <v>0</v>
      </c>
      <c r="BJ247" s="44">
        <f>RawData!BR979</f>
        <v>0</v>
      </c>
      <c r="BK247" s="47">
        <f>RawData!BS979</f>
        <v>0</v>
      </c>
      <c r="BL247" s="44">
        <f>RawData!BT979</f>
        <v>0</v>
      </c>
      <c r="BM247" s="47">
        <f>RawData!BV979</f>
        <v>0</v>
      </c>
      <c r="BN247" s="65">
        <f>RawData!CC979</f>
        <v>0</v>
      </c>
      <c r="BO247" s="66">
        <f>RawData!CD979</f>
        <v>0</v>
      </c>
      <c r="BQ247" s="21">
        <f t="shared" si="3"/>
        <v>0</v>
      </c>
    </row>
    <row r="248" spans="1:69" x14ac:dyDescent="0.2">
      <c r="A248" s="59">
        <f>RawData!P980</f>
        <v>0</v>
      </c>
      <c r="B248" s="44">
        <f>RawData!Q980</f>
        <v>0</v>
      </c>
      <c r="C248" s="44">
        <f>RawData!R980</f>
        <v>0</v>
      </c>
      <c r="D248" s="63">
        <f>RawData!S980</f>
        <v>0</v>
      </c>
      <c r="E248" s="44">
        <f>RawData!T980</f>
        <v>0</v>
      </c>
      <c r="F248" s="63">
        <f>RawData!U980</f>
        <v>0</v>
      </c>
      <c r="G248" s="44">
        <f>RawData!V980</f>
        <v>0</v>
      </c>
      <c r="H248" s="44">
        <f>RawData!W980</f>
        <v>0</v>
      </c>
      <c r="I248" s="44">
        <f>RawData!X980</f>
        <v>0</v>
      </c>
      <c r="J248" s="44">
        <f>RawData!Y980</f>
        <v>0</v>
      </c>
      <c r="K248" s="40">
        <f>RawData!Z980</f>
        <v>0</v>
      </c>
      <c r="L248" s="40">
        <f>RawData!AA980</f>
        <v>0</v>
      </c>
      <c r="M248" s="36">
        <f>RawData!AB980</f>
        <v>0</v>
      </c>
      <c r="N248" s="36">
        <f>RawData!AC980</f>
        <v>0</v>
      </c>
      <c r="O248" s="37">
        <f>RawData!AD980</f>
        <v>0</v>
      </c>
      <c r="P248" s="38">
        <f>RawData!AE980</f>
        <v>0</v>
      </c>
      <c r="Q248" s="39">
        <f>RawData!AF980</f>
        <v>0</v>
      </c>
      <c r="R248" s="38">
        <f>RawData!AG980</f>
        <v>0</v>
      </c>
      <c r="S248" s="40">
        <f>RawData!AH980</f>
        <v>0</v>
      </c>
      <c r="T248" s="40">
        <f>RawData!AI980</f>
        <v>0</v>
      </c>
      <c r="U248" s="40">
        <f>RawData!AJ980</f>
        <v>0</v>
      </c>
      <c r="V248" s="41">
        <f>RawData!AK980</f>
        <v>0</v>
      </c>
      <c r="W248" s="41">
        <f>RawData!AL980</f>
        <v>0</v>
      </c>
      <c r="X248" s="43">
        <f>RawData!CA980</f>
        <v>0</v>
      </c>
      <c r="Y248" s="41">
        <f>RawData!AM980</f>
        <v>0</v>
      </c>
      <c r="Z248" s="44">
        <f>RawData!CB980</f>
        <v>0</v>
      </c>
      <c r="AA248" s="44">
        <f>RawData!AN980</f>
        <v>0</v>
      </c>
      <c r="AB248" s="44">
        <f>RawData!AO980</f>
        <v>0</v>
      </c>
      <c r="AC248" s="44">
        <f>RawData!AP980</f>
        <v>0</v>
      </c>
      <c r="AD248" s="63">
        <f>RawData!BZ980</f>
        <v>0</v>
      </c>
      <c r="AE248" s="44">
        <f>RawData!AQ980</f>
        <v>0</v>
      </c>
      <c r="AF248" s="46">
        <f>RawData!O980</f>
        <v>0</v>
      </c>
      <c r="AG248" s="44">
        <f>RawData!AR980</f>
        <v>0</v>
      </c>
      <c r="AH248" s="44">
        <f>RawData!BY980</f>
        <v>0</v>
      </c>
      <c r="AI248" s="44">
        <f>RawData!AS980</f>
        <v>0</v>
      </c>
      <c r="AJ248" s="44">
        <f>RawData!AT980</f>
        <v>0</v>
      </c>
      <c r="AK248" s="44">
        <f>RawData!AU980</f>
        <v>0</v>
      </c>
      <c r="AL248" s="44">
        <f>RawData!BW980</f>
        <v>0</v>
      </c>
      <c r="AM248" s="41">
        <f>RawData!AV980</f>
        <v>0</v>
      </c>
      <c r="AN248" s="41">
        <f>RawData!BX980</f>
        <v>0</v>
      </c>
      <c r="AO248" s="41">
        <f>RawData!AW980</f>
        <v>0</v>
      </c>
      <c r="AP248" s="41">
        <f>RawData!AX980</f>
        <v>0</v>
      </c>
      <c r="AQ248" s="40">
        <f>RawData!AY980</f>
        <v>0</v>
      </c>
      <c r="AR248" s="40">
        <f>RawData!AZ980</f>
        <v>0</v>
      </c>
      <c r="AS248" s="40">
        <f>RawData!BA980</f>
        <v>0</v>
      </c>
      <c r="AT248" s="38">
        <f>RawData!BB980</f>
        <v>0</v>
      </c>
      <c r="AU248" s="40">
        <f>RawData!BC980</f>
        <v>0</v>
      </c>
      <c r="AV248" s="40">
        <f>RawData!BD980</f>
        <v>0</v>
      </c>
      <c r="AW248" s="38">
        <f>RawData!BE980</f>
        <v>0</v>
      </c>
      <c r="AX248" s="37">
        <f>RawData!BF980</f>
        <v>0</v>
      </c>
      <c r="AY248" s="36">
        <f>RawData!BG980</f>
        <v>0</v>
      </c>
      <c r="AZ248" s="36">
        <f>RawData!BH980</f>
        <v>0</v>
      </c>
      <c r="BA248" s="40">
        <f>RawData!BI980</f>
        <v>0</v>
      </c>
      <c r="BB248" s="44">
        <f>RawData!BJ980</f>
        <v>0</v>
      </c>
      <c r="BC248" s="44">
        <f>RawData!BK980</f>
        <v>0</v>
      </c>
      <c r="BD248" s="44">
        <f>RawData!BL980</f>
        <v>0</v>
      </c>
      <c r="BE248" s="44">
        <f>RawData!BM980</f>
        <v>0</v>
      </c>
      <c r="BF248" s="44">
        <f>RawData!BN980</f>
        <v>0</v>
      </c>
      <c r="BG248" s="63">
        <f>RawData!BO980</f>
        <v>0</v>
      </c>
      <c r="BH248" s="44">
        <f>RawData!BP980</f>
        <v>0</v>
      </c>
      <c r="BI248" s="63">
        <f>RawData!BQ980</f>
        <v>0</v>
      </c>
      <c r="BJ248" s="44">
        <f>RawData!BR980</f>
        <v>0</v>
      </c>
      <c r="BK248" s="47">
        <f>RawData!BS980</f>
        <v>0</v>
      </c>
      <c r="BL248" s="44">
        <f>RawData!BT980</f>
        <v>0</v>
      </c>
      <c r="BM248" s="47">
        <f>RawData!BV980</f>
        <v>0</v>
      </c>
      <c r="BN248" s="65">
        <f>RawData!CC980</f>
        <v>0</v>
      </c>
      <c r="BO248" s="66">
        <f>RawData!CD980</f>
        <v>0</v>
      </c>
      <c r="BQ248" s="21">
        <f t="shared" si="3"/>
        <v>0</v>
      </c>
    </row>
    <row r="249" spans="1:69" x14ac:dyDescent="0.2">
      <c r="A249" s="59">
        <f>RawData!P981</f>
        <v>0</v>
      </c>
      <c r="B249" s="44">
        <f>RawData!Q981</f>
        <v>0</v>
      </c>
      <c r="C249" s="44">
        <f>RawData!R981</f>
        <v>0</v>
      </c>
      <c r="D249" s="63">
        <f>RawData!S981</f>
        <v>0</v>
      </c>
      <c r="E249" s="44">
        <f>RawData!T981</f>
        <v>0</v>
      </c>
      <c r="F249" s="63">
        <f>RawData!U981</f>
        <v>0</v>
      </c>
      <c r="G249" s="44">
        <f>RawData!V981</f>
        <v>0</v>
      </c>
      <c r="H249" s="44">
        <f>RawData!W981</f>
        <v>0</v>
      </c>
      <c r="I249" s="44">
        <f>RawData!X981</f>
        <v>0</v>
      </c>
      <c r="J249" s="44">
        <f>RawData!Y981</f>
        <v>0</v>
      </c>
      <c r="K249" s="40">
        <f>RawData!Z981</f>
        <v>0</v>
      </c>
      <c r="L249" s="40">
        <f>RawData!AA981</f>
        <v>0</v>
      </c>
      <c r="M249" s="36">
        <f>RawData!AB981</f>
        <v>0</v>
      </c>
      <c r="N249" s="36">
        <f>RawData!AC981</f>
        <v>0</v>
      </c>
      <c r="O249" s="37">
        <f>RawData!AD981</f>
        <v>0</v>
      </c>
      <c r="P249" s="38">
        <f>RawData!AE981</f>
        <v>0</v>
      </c>
      <c r="Q249" s="39">
        <f>RawData!AF981</f>
        <v>0</v>
      </c>
      <c r="R249" s="38">
        <f>RawData!AG981</f>
        <v>0</v>
      </c>
      <c r="S249" s="40">
        <f>RawData!AH981</f>
        <v>0</v>
      </c>
      <c r="T249" s="40">
        <f>RawData!AI981</f>
        <v>0</v>
      </c>
      <c r="U249" s="40">
        <f>RawData!AJ981</f>
        <v>0</v>
      </c>
      <c r="V249" s="41">
        <f>RawData!AK981</f>
        <v>0</v>
      </c>
      <c r="W249" s="41">
        <f>RawData!AL981</f>
        <v>0</v>
      </c>
      <c r="X249" s="43">
        <f>RawData!CA981</f>
        <v>0</v>
      </c>
      <c r="Y249" s="41">
        <f>RawData!AM981</f>
        <v>0</v>
      </c>
      <c r="Z249" s="44">
        <f>RawData!CB981</f>
        <v>0</v>
      </c>
      <c r="AA249" s="44">
        <f>RawData!AN981</f>
        <v>0</v>
      </c>
      <c r="AB249" s="44">
        <f>RawData!AO981</f>
        <v>0</v>
      </c>
      <c r="AC249" s="44">
        <f>RawData!AP981</f>
        <v>0</v>
      </c>
      <c r="AD249" s="63">
        <f>RawData!BZ981</f>
        <v>0</v>
      </c>
      <c r="AE249" s="44">
        <f>RawData!AQ981</f>
        <v>0</v>
      </c>
      <c r="AF249" s="46">
        <f>RawData!O981</f>
        <v>0</v>
      </c>
      <c r="AG249" s="44">
        <f>RawData!AR981</f>
        <v>0</v>
      </c>
      <c r="AH249" s="44">
        <f>RawData!BY981</f>
        <v>0</v>
      </c>
      <c r="AI249" s="44">
        <f>RawData!AS981</f>
        <v>0</v>
      </c>
      <c r="AJ249" s="44">
        <f>RawData!AT981</f>
        <v>0</v>
      </c>
      <c r="AK249" s="44">
        <f>RawData!AU981</f>
        <v>0</v>
      </c>
      <c r="AL249" s="44">
        <f>RawData!BW981</f>
        <v>0</v>
      </c>
      <c r="AM249" s="41">
        <f>RawData!AV981</f>
        <v>0</v>
      </c>
      <c r="AN249" s="41">
        <f>RawData!BX981</f>
        <v>0</v>
      </c>
      <c r="AO249" s="41">
        <f>RawData!AW981</f>
        <v>0</v>
      </c>
      <c r="AP249" s="41">
        <f>RawData!AX981</f>
        <v>0</v>
      </c>
      <c r="AQ249" s="40">
        <f>RawData!AY981</f>
        <v>0</v>
      </c>
      <c r="AR249" s="40">
        <f>RawData!AZ981</f>
        <v>0</v>
      </c>
      <c r="AS249" s="40">
        <f>RawData!BA981</f>
        <v>0</v>
      </c>
      <c r="AT249" s="38">
        <f>RawData!BB981</f>
        <v>0</v>
      </c>
      <c r="AU249" s="40">
        <f>RawData!BC981</f>
        <v>0</v>
      </c>
      <c r="AV249" s="40">
        <f>RawData!BD981</f>
        <v>0</v>
      </c>
      <c r="AW249" s="38">
        <f>RawData!BE981</f>
        <v>0</v>
      </c>
      <c r="AX249" s="37">
        <f>RawData!BF981</f>
        <v>0</v>
      </c>
      <c r="AY249" s="36">
        <f>RawData!BG981</f>
        <v>0</v>
      </c>
      <c r="AZ249" s="36">
        <f>RawData!BH981</f>
        <v>0</v>
      </c>
      <c r="BA249" s="40">
        <f>RawData!BI981</f>
        <v>0</v>
      </c>
      <c r="BB249" s="44">
        <f>RawData!BJ981</f>
        <v>0</v>
      </c>
      <c r="BC249" s="44">
        <f>RawData!BK981</f>
        <v>0</v>
      </c>
      <c r="BD249" s="44">
        <f>RawData!BL981</f>
        <v>0</v>
      </c>
      <c r="BE249" s="44">
        <f>RawData!BM981</f>
        <v>0</v>
      </c>
      <c r="BF249" s="44">
        <f>RawData!BN981</f>
        <v>0</v>
      </c>
      <c r="BG249" s="63">
        <f>RawData!BO981</f>
        <v>0</v>
      </c>
      <c r="BH249" s="44">
        <f>RawData!BP981</f>
        <v>0</v>
      </c>
      <c r="BI249" s="63">
        <f>RawData!BQ981</f>
        <v>0</v>
      </c>
      <c r="BJ249" s="44">
        <f>RawData!BR981</f>
        <v>0</v>
      </c>
      <c r="BK249" s="47">
        <f>RawData!BS981</f>
        <v>0</v>
      </c>
      <c r="BL249" s="44">
        <f>RawData!BT981</f>
        <v>0</v>
      </c>
      <c r="BM249" s="47">
        <f>RawData!BV981</f>
        <v>0</v>
      </c>
      <c r="BN249" s="65">
        <f>RawData!CC981</f>
        <v>0</v>
      </c>
      <c r="BO249" s="66">
        <f>RawData!CD981</f>
        <v>0</v>
      </c>
      <c r="BQ249" s="21">
        <f t="shared" si="3"/>
        <v>0</v>
      </c>
    </row>
    <row r="250" spans="1:69" x14ac:dyDescent="0.2">
      <c r="A250" s="59">
        <f>RawData!P982</f>
        <v>0</v>
      </c>
      <c r="B250" s="44">
        <f>RawData!Q982</f>
        <v>0</v>
      </c>
      <c r="C250" s="44">
        <f>RawData!R982</f>
        <v>0</v>
      </c>
      <c r="D250" s="63">
        <f>RawData!S982</f>
        <v>0</v>
      </c>
      <c r="E250" s="44">
        <f>RawData!T982</f>
        <v>0</v>
      </c>
      <c r="F250" s="63">
        <f>RawData!U982</f>
        <v>0</v>
      </c>
      <c r="G250" s="44">
        <f>RawData!V982</f>
        <v>0</v>
      </c>
      <c r="H250" s="44">
        <f>RawData!W982</f>
        <v>0</v>
      </c>
      <c r="I250" s="44">
        <f>RawData!X982</f>
        <v>0</v>
      </c>
      <c r="J250" s="44">
        <f>RawData!Y982</f>
        <v>0</v>
      </c>
      <c r="K250" s="40">
        <f>RawData!Z982</f>
        <v>0</v>
      </c>
      <c r="L250" s="40">
        <f>RawData!AA982</f>
        <v>0</v>
      </c>
      <c r="M250" s="36">
        <f>RawData!AB982</f>
        <v>0</v>
      </c>
      <c r="N250" s="36">
        <f>RawData!AC982</f>
        <v>0</v>
      </c>
      <c r="O250" s="37">
        <f>RawData!AD982</f>
        <v>0</v>
      </c>
      <c r="P250" s="38">
        <f>RawData!AE982</f>
        <v>0</v>
      </c>
      <c r="Q250" s="39">
        <f>RawData!AF982</f>
        <v>0</v>
      </c>
      <c r="R250" s="38">
        <f>RawData!AG982</f>
        <v>0</v>
      </c>
      <c r="S250" s="40">
        <f>RawData!AH982</f>
        <v>0</v>
      </c>
      <c r="T250" s="40">
        <f>RawData!AI982</f>
        <v>0</v>
      </c>
      <c r="U250" s="40">
        <f>RawData!AJ982</f>
        <v>0</v>
      </c>
      <c r="V250" s="41">
        <f>RawData!AK982</f>
        <v>0</v>
      </c>
      <c r="W250" s="41">
        <f>RawData!AL982</f>
        <v>0</v>
      </c>
      <c r="X250" s="43">
        <f>RawData!CA982</f>
        <v>0</v>
      </c>
      <c r="Y250" s="41">
        <f>RawData!AM982</f>
        <v>0</v>
      </c>
      <c r="Z250" s="44">
        <f>RawData!CB982</f>
        <v>0</v>
      </c>
      <c r="AA250" s="44">
        <f>RawData!AN982</f>
        <v>0</v>
      </c>
      <c r="AB250" s="44">
        <f>RawData!AO982</f>
        <v>0</v>
      </c>
      <c r="AC250" s="44">
        <f>RawData!AP982</f>
        <v>0</v>
      </c>
      <c r="AD250" s="63">
        <f>RawData!BZ982</f>
        <v>0</v>
      </c>
      <c r="AE250" s="44">
        <f>RawData!AQ982</f>
        <v>0</v>
      </c>
      <c r="AF250" s="46">
        <f>RawData!O982</f>
        <v>0</v>
      </c>
      <c r="AG250" s="44">
        <f>RawData!AR982</f>
        <v>0</v>
      </c>
      <c r="AH250" s="44">
        <f>RawData!BY982</f>
        <v>0</v>
      </c>
      <c r="AI250" s="44">
        <f>RawData!AS982</f>
        <v>0</v>
      </c>
      <c r="AJ250" s="44">
        <f>RawData!AT982</f>
        <v>0</v>
      </c>
      <c r="AK250" s="44">
        <f>RawData!AU982</f>
        <v>0</v>
      </c>
      <c r="AL250" s="44">
        <f>RawData!BW982</f>
        <v>0</v>
      </c>
      <c r="AM250" s="41">
        <f>RawData!AV982</f>
        <v>0</v>
      </c>
      <c r="AN250" s="41">
        <f>RawData!BX982</f>
        <v>0</v>
      </c>
      <c r="AO250" s="41">
        <f>RawData!AW982</f>
        <v>0</v>
      </c>
      <c r="AP250" s="41">
        <f>RawData!AX982</f>
        <v>0</v>
      </c>
      <c r="AQ250" s="40">
        <f>RawData!AY982</f>
        <v>0</v>
      </c>
      <c r="AR250" s="40">
        <f>RawData!AZ982</f>
        <v>0</v>
      </c>
      <c r="AS250" s="40">
        <f>RawData!BA982</f>
        <v>0</v>
      </c>
      <c r="AT250" s="38">
        <f>RawData!BB982</f>
        <v>0</v>
      </c>
      <c r="AU250" s="40">
        <f>RawData!BC982</f>
        <v>0</v>
      </c>
      <c r="AV250" s="40">
        <f>RawData!BD982</f>
        <v>0</v>
      </c>
      <c r="AW250" s="38">
        <f>RawData!BE982</f>
        <v>0</v>
      </c>
      <c r="AX250" s="37">
        <f>RawData!BF982</f>
        <v>0</v>
      </c>
      <c r="AY250" s="36">
        <f>RawData!BG982</f>
        <v>0</v>
      </c>
      <c r="AZ250" s="36">
        <f>RawData!BH982</f>
        <v>0</v>
      </c>
      <c r="BA250" s="40">
        <f>RawData!BI982</f>
        <v>0</v>
      </c>
      <c r="BB250" s="44">
        <f>RawData!BJ982</f>
        <v>0</v>
      </c>
      <c r="BC250" s="44">
        <f>RawData!BK982</f>
        <v>0</v>
      </c>
      <c r="BD250" s="44">
        <f>RawData!BL982</f>
        <v>0</v>
      </c>
      <c r="BE250" s="44">
        <f>RawData!BM982</f>
        <v>0</v>
      </c>
      <c r="BF250" s="44">
        <f>RawData!BN982</f>
        <v>0</v>
      </c>
      <c r="BG250" s="63">
        <f>RawData!BO982</f>
        <v>0</v>
      </c>
      <c r="BH250" s="44">
        <f>RawData!BP982</f>
        <v>0</v>
      </c>
      <c r="BI250" s="63">
        <f>RawData!BQ982</f>
        <v>0</v>
      </c>
      <c r="BJ250" s="44">
        <f>RawData!BR982</f>
        <v>0</v>
      </c>
      <c r="BK250" s="47">
        <f>RawData!BS982</f>
        <v>0</v>
      </c>
      <c r="BL250" s="44">
        <f>RawData!BT982</f>
        <v>0</v>
      </c>
      <c r="BM250" s="47">
        <f>RawData!BV982</f>
        <v>0</v>
      </c>
      <c r="BN250" s="65">
        <f>RawData!CC982</f>
        <v>0</v>
      </c>
      <c r="BO250" s="66">
        <f>RawData!CD982</f>
        <v>0</v>
      </c>
      <c r="BQ250" s="21">
        <f t="shared" si="3"/>
        <v>0</v>
      </c>
    </row>
    <row r="251" spans="1:69" x14ac:dyDescent="0.2">
      <c r="BQ251" s="21"/>
    </row>
    <row r="252" spans="1:69" x14ac:dyDescent="0.2">
      <c r="BQ252" s="21"/>
    </row>
    <row r="253" spans="1:69" x14ac:dyDescent="0.2">
      <c r="BQ253" s="21"/>
    </row>
    <row r="254" spans="1:69" x14ac:dyDescent="0.2">
      <c r="BQ254" s="21"/>
    </row>
    <row r="255" spans="1:69" x14ac:dyDescent="0.2">
      <c r="BQ255" s="21"/>
    </row>
    <row r="256" spans="1:69" x14ac:dyDescent="0.2">
      <c r="BQ256" s="21"/>
    </row>
    <row r="257" spans="69:69" x14ac:dyDescent="0.2">
      <c r="BQ257" s="21"/>
    </row>
    <row r="258" spans="69:69" x14ac:dyDescent="0.2">
      <c r="BQ258" s="21"/>
    </row>
    <row r="259" spans="69:69" x14ac:dyDescent="0.2">
      <c r="BQ259" s="21"/>
    </row>
    <row r="260" spans="69:69" x14ac:dyDescent="0.2">
      <c r="BQ260" s="21"/>
    </row>
    <row r="261" spans="69:69" x14ac:dyDescent="0.2">
      <c r="BQ261" s="21"/>
    </row>
    <row r="262" spans="69:69" x14ac:dyDescent="0.2">
      <c r="BQ262" s="21"/>
    </row>
    <row r="263" spans="69:69" x14ac:dyDescent="0.2">
      <c r="BQ263" s="21"/>
    </row>
    <row r="264" spans="69:69" x14ac:dyDescent="0.2">
      <c r="BQ264" s="21"/>
    </row>
    <row r="265" spans="69:69" x14ac:dyDescent="0.2">
      <c r="BQ265" s="21"/>
    </row>
    <row r="266" spans="69:69" x14ac:dyDescent="0.2">
      <c r="BQ266" s="21"/>
    </row>
    <row r="267" spans="69:69" x14ac:dyDescent="0.2">
      <c r="BQ267" s="21"/>
    </row>
    <row r="268" spans="69:69" x14ac:dyDescent="0.2">
      <c r="BQ268" s="21"/>
    </row>
    <row r="269" spans="69:69" x14ac:dyDescent="0.2">
      <c r="BQ269" s="21"/>
    </row>
    <row r="270" spans="69:69" x14ac:dyDescent="0.2">
      <c r="BQ270" s="21"/>
    </row>
    <row r="271" spans="69:69" x14ac:dyDescent="0.2">
      <c r="BQ271" s="21"/>
    </row>
    <row r="272" spans="69:69" x14ac:dyDescent="0.2">
      <c r="BQ272" s="21"/>
    </row>
    <row r="273" spans="69:69" x14ac:dyDescent="0.2">
      <c r="BQ273" s="21"/>
    </row>
    <row r="274" spans="69:69" x14ac:dyDescent="0.2">
      <c r="BQ274" s="21"/>
    </row>
    <row r="275" spans="69:69" x14ac:dyDescent="0.2">
      <c r="BQ275" s="21"/>
    </row>
    <row r="276" spans="69:69" x14ac:dyDescent="0.2">
      <c r="BQ276" s="21"/>
    </row>
    <row r="277" spans="69:69" x14ac:dyDescent="0.2">
      <c r="BQ277" s="21"/>
    </row>
    <row r="278" spans="69:69" x14ac:dyDescent="0.2">
      <c r="BQ278" s="21"/>
    </row>
    <row r="279" spans="69:69" x14ac:dyDescent="0.2">
      <c r="BQ279" s="21"/>
    </row>
    <row r="280" spans="69:69" x14ac:dyDescent="0.2">
      <c r="BQ280" s="21"/>
    </row>
    <row r="281" spans="69:69" x14ac:dyDescent="0.2">
      <c r="BQ281" s="21"/>
    </row>
    <row r="282" spans="69:69" x14ac:dyDescent="0.2">
      <c r="BQ282" s="21"/>
    </row>
    <row r="283" spans="69:69" x14ac:dyDescent="0.2">
      <c r="BQ283" s="21"/>
    </row>
    <row r="284" spans="69:69" x14ac:dyDescent="0.2">
      <c r="BQ284" s="21"/>
    </row>
    <row r="285" spans="69:69" x14ac:dyDescent="0.2">
      <c r="BQ285" s="21"/>
    </row>
    <row r="286" spans="69:69" x14ac:dyDescent="0.2">
      <c r="BQ286" s="21"/>
    </row>
    <row r="287" spans="69:69" x14ac:dyDescent="0.2">
      <c r="BQ287" s="21"/>
    </row>
    <row r="288" spans="69:69" x14ac:dyDescent="0.2">
      <c r="BQ288" s="21"/>
    </row>
    <row r="289" spans="69:69" x14ac:dyDescent="0.2">
      <c r="BQ289" s="21"/>
    </row>
    <row r="290" spans="69:69" x14ac:dyDescent="0.2">
      <c r="BQ290" s="21"/>
    </row>
    <row r="291" spans="69:69" x14ac:dyDescent="0.2">
      <c r="BQ291" s="21"/>
    </row>
    <row r="292" spans="69:69" x14ac:dyDescent="0.2">
      <c r="BQ292" s="21"/>
    </row>
    <row r="293" spans="69:69" x14ac:dyDescent="0.2">
      <c r="BQ293" s="21"/>
    </row>
    <row r="294" spans="69:69" x14ac:dyDescent="0.2">
      <c r="BQ294" s="21"/>
    </row>
    <row r="295" spans="69:69" x14ac:dyDescent="0.2">
      <c r="BQ295" s="21"/>
    </row>
    <row r="296" spans="69:69" x14ac:dyDescent="0.2">
      <c r="BQ296" s="21"/>
    </row>
    <row r="297" spans="69:69" x14ac:dyDescent="0.2">
      <c r="BQ297" s="21"/>
    </row>
    <row r="298" spans="69:69" x14ac:dyDescent="0.2">
      <c r="BQ298" s="21"/>
    </row>
    <row r="299" spans="69:69" x14ac:dyDescent="0.2">
      <c r="BQ299" s="21"/>
    </row>
    <row r="300" spans="69:69" x14ac:dyDescent="0.2">
      <c r="BQ300" s="21"/>
    </row>
    <row r="301" spans="69:69" x14ac:dyDescent="0.2">
      <c r="BQ301" s="21"/>
    </row>
    <row r="302" spans="69:69" x14ac:dyDescent="0.2">
      <c r="BQ302" s="21"/>
    </row>
    <row r="303" spans="69:69" x14ac:dyDescent="0.2">
      <c r="BQ303" s="21"/>
    </row>
    <row r="304" spans="69:69" x14ac:dyDescent="0.2">
      <c r="BQ304" s="21"/>
    </row>
    <row r="305" spans="69:69" x14ac:dyDescent="0.2">
      <c r="BQ305" s="21"/>
    </row>
    <row r="306" spans="69:69" x14ac:dyDescent="0.2">
      <c r="BQ306" s="21"/>
    </row>
    <row r="307" spans="69:69" x14ac:dyDescent="0.2">
      <c r="BQ307" s="21"/>
    </row>
    <row r="308" spans="69:69" x14ac:dyDescent="0.2">
      <c r="BQ308" s="21"/>
    </row>
    <row r="309" spans="69:69" x14ac:dyDescent="0.2">
      <c r="BQ309" s="21"/>
    </row>
    <row r="310" spans="69:69" x14ac:dyDescent="0.2">
      <c r="BQ310" s="21"/>
    </row>
    <row r="311" spans="69:69" x14ac:dyDescent="0.2">
      <c r="BQ311" s="21"/>
    </row>
    <row r="312" spans="69:69" x14ac:dyDescent="0.2">
      <c r="BQ312" s="21"/>
    </row>
    <row r="313" spans="69:69" x14ac:dyDescent="0.2">
      <c r="BQ313" s="21"/>
    </row>
    <row r="314" spans="69:69" x14ac:dyDescent="0.2">
      <c r="BQ314" s="21"/>
    </row>
    <row r="315" spans="69:69" x14ac:dyDescent="0.2">
      <c r="BQ315" s="21"/>
    </row>
    <row r="316" spans="69:69" x14ac:dyDescent="0.2">
      <c r="BQ316" s="21"/>
    </row>
    <row r="317" spans="69:69" x14ac:dyDescent="0.2">
      <c r="BQ317" s="21"/>
    </row>
    <row r="318" spans="69:69" x14ac:dyDescent="0.2">
      <c r="BQ318" s="21"/>
    </row>
    <row r="319" spans="69:69" x14ac:dyDescent="0.2">
      <c r="BQ319" s="21"/>
    </row>
    <row r="320" spans="69:69" x14ac:dyDescent="0.2">
      <c r="BQ320" s="21"/>
    </row>
    <row r="321" spans="69:69" x14ac:dyDescent="0.2">
      <c r="BQ321" s="21"/>
    </row>
    <row r="322" spans="69:69" x14ac:dyDescent="0.2">
      <c r="BQ322" s="21"/>
    </row>
    <row r="323" spans="69:69" x14ac:dyDescent="0.2">
      <c r="BQ323" s="21"/>
    </row>
    <row r="324" spans="69:69" x14ac:dyDescent="0.2">
      <c r="BQ324" s="21"/>
    </row>
    <row r="325" spans="69:69" x14ac:dyDescent="0.2">
      <c r="BQ325" s="21"/>
    </row>
    <row r="326" spans="69:69" x14ac:dyDescent="0.2">
      <c r="BQ326" s="21"/>
    </row>
    <row r="327" spans="69:69" x14ac:dyDescent="0.2">
      <c r="BQ327" s="21"/>
    </row>
    <row r="328" spans="69:69" x14ac:dyDescent="0.2">
      <c r="BQ328" s="21"/>
    </row>
    <row r="329" spans="69:69" x14ac:dyDescent="0.2">
      <c r="BQ329" s="21"/>
    </row>
    <row r="330" spans="69:69" x14ac:dyDescent="0.2">
      <c r="BQ330" s="21"/>
    </row>
    <row r="331" spans="69:69" x14ac:dyDescent="0.2">
      <c r="BQ331" s="21"/>
    </row>
    <row r="332" spans="69:69" x14ac:dyDescent="0.2">
      <c r="BQ332" s="21"/>
    </row>
    <row r="333" spans="69:69" x14ac:dyDescent="0.2">
      <c r="BQ333" s="21"/>
    </row>
    <row r="334" spans="69:69" x14ac:dyDescent="0.2">
      <c r="BQ334" s="21"/>
    </row>
    <row r="335" spans="69:69" x14ac:dyDescent="0.2">
      <c r="BQ335" s="21"/>
    </row>
    <row r="336" spans="69:69" x14ac:dyDescent="0.2">
      <c r="BQ336" s="21"/>
    </row>
    <row r="337" spans="32:69" x14ac:dyDescent="0.2">
      <c r="BQ337" s="21"/>
    </row>
    <row r="338" spans="32:69" x14ac:dyDescent="0.2">
      <c r="BQ338" s="21"/>
    </row>
    <row r="339" spans="32:69" x14ac:dyDescent="0.2">
      <c r="BQ339" s="21"/>
    </row>
    <row r="340" spans="32:69" x14ac:dyDescent="0.2">
      <c r="BQ340" s="21"/>
    </row>
    <row r="341" spans="32:69" x14ac:dyDescent="0.2">
      <c r="BQ341" s="21"/>
    </row>
    <row r="342" spans="32:69" x14ac:dyDescent="0.2">
      <c r="BQ342" s="21"/>
    </row>
    <row r="343" spans="32:69" x14ac:dyDescent="0.2">
      <c r="AF343" s="9" t="s">
        <v>320</v>
      </c>
      <c r="BQ343" s="21"/>
    </row>
    <row r="344" spans="32:69" x14ac:dyDescent="0.2">
      <c r="BQ344" s="21"/>
    </row>
    <row r="345" spans="32:69" x14ac:dyDescent="0.2">
      <c r="BQ345" s="21"/>
    </row>
    <row r="346" spans="32:69" x14ac:dyDescent="0.2">
      <c r="BQ346" s="21"/>
    </row>
    <row r="347" spans="32:69" x14ac:dyDescent="0.2">
      <c r="BQ347" s="21"/>
    </row>
    <row r="348" spans="32:69" x14ac:dyDescent="0.2">
      <c r="BQ348" s="21"/>
    </row>
    <row r="349" spans="32:69" x14ac:dyDescent="0.2">
      <c r="BQ349" s="21"/>
    </row>
    <row r="350" spans="32:69" x14ac:dyDescent="0.2">
      <c r="BQ350" s="21"/>
    </row>
    <row r="351" spans="32:69" x14ac:dyDescent="0.2">
      <c r="BQ351" s="21"/>
    </row>
    <row r="352" spans="32:69" x14ac:dyDescent="0.2">
      <c r="BQ352" s="21"/>
    </row>
    <row r="353" spans="69:69" x14ac:dyDescent="0.2">
      <c r="BQ353" s="21"/>
    </row>
    <row r="354" spans="69:69" x14ac:dyDescent="0.2">
      <c r="BQ354" s="21"/>
    </row>
    <row r="355" spans="69:69" x14ac:dyDescent="0.2">
      <c r="BQ355" s="21"/>
    </row>
    <row r="356" spans="69:69" x14ac:dyDescent="0.2">
      <c r="BQ356" s="21"/>
    </row>
    <row r="357" spans="69:69" x14ac:dyDescent="0.2">
      <c r="BQ357" s="21"/>
    </row>
    <row r="358" spans="69:69" x14ac:dyDescent="0.2">
      <c r="BQ358" s="21"/>
    </row>
    <row r="359" spans="69:69" x14ac:dyDescent="0.2">
      <c r="BQ359" s="21"/>
    </row>
    <row r="360" spans="69:69" x14ac:dyDescent="0.2">
      <c r="BQ360" s="21"/>
    </row>
    <row r="361" spans="69:69" x14ac:dyDescent="0.2">
      <c r="BQ361" s="21"/>
    </row>
    <row r="362" spans="69:69" x14ac:dyDescent="0.2">
      <c r="BQ362" s="21"/>
    </row>
    <row r="363" spans="69:69" x14ac:dyDescent="0.2">
      <c r="BQ363" s="21"/>
    </row>
    <row r="364" spans="69:69" x14ac:dyDescent="0.2">
      <c r="BQ364" s="21"/>
    </row>
    <row r="365" spans="69:69" x14ac:dyDescent="0.2">
      <c r="BQ365" s="21"/>
    </row>
    <row r="366" spans="69:69" x14ac:dyDescent="0.2">
      <c r="BQ366" s="21"/>
    </row>
    <row r="367" spans="69:69" x14ac:dyDescent="0.2">
      <c r="BQ367" s="21"/>
    </row>
    <row r="368" spans="69:69" x14ac:dyDescent="0.2">
      <c r="BQ368" s="21"/>
    </row>
    <row r="369" spans="69:69" x14ac:dyDescent="0.2">
      <c r="BQ369" s="21"/>
    </row>
    <row r="370" spans="69:69" x14ac:dyDescent="0.2">
      <c r="BQ370" s="21"/>
    </row>
    <row r="371" spans="69:69" x14ac:dyDescent="0.2">
      <c r="BQ371" s="21"/>
    </row>
    <row r="372" spans="69:69" x14ac:dyDescent="0.2">
      <c r="BQ372" s="21"/>
    </row>
    <row r="373" spans="69:69" x14ac:dyDescent="0.2">
      <c r="BQ373" s="21"/>
    </row>
    <row r="374" spans="69:69" x14ac:dyDescent="0.2">
      <c r="BQ374" s="21"/>
    </row>
    <row r="375" spans="69:69" x14ac:dyDescent="0.2">
      <c r="BQ375" s="21"/>
    </row>
    <row r="376" spans="69:69" x14ac:dyDescent="0.2">
      <c r="BQ376" s="21"/>
    </row>
    <row r="377" spans="69:69" x14ac:dyDescent="0.2">
      <c r="BQ377" s="21"/>
    </row>
    <row r="378" spans="69:69" x14ac:dyDescent="0.2">
      <c r="BQ378" s="21"/>
    </row>
    <row r="379" spans="69:69" x14ac:dyDescent="0.2">
      <c r="BQ379" s="21"/>
    </row>
    <row r="380" spans="69:69" x14ac:dyDescent="0.2">
      <c r="BQ380" s="21"/>
    </row>
    <row r="381" spans="69:69" x14ac:dyDescent="0.2">
      <c r="BQ381" s="21"/>
    </row>
  </sheetData>
  <mergeCells count="4">
    <mergeCell ref="W1:AD1"/>
    <mergeCell ref="AE1:AG1"/>
    <mergeCell ref="T2:AD2"/>
    <mergeCell ref="AE2:AG2"/>
  </mergeCells>
  <conditionalFormatting sqref="AE4:AE250">
    <cfRule type="expression" dxfId="10" priority="38">
      <formula>#REF!="G"</formula>
    </cfRule>
    <cfRule type="expression" dxfId="9" priority="39">
      <formula>#REF!="R"</formula>
    </cfRule>
  </conditionalFormatting>
  <conditionalFormatting sqref="AO4:AO250 W4:W250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{FDC440D1-CD35-4305-9C80-09495B3389C0}</x14:id>
        </ext>
      </extLst>
    </cfRule>
  </conditionalFormatting>
  <conditionalFormatting sqref="AM4:AN250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{0BB5D6DA-A5A9-41BB-9E00-EC56EC79B803}</x14:id>
        </ext>
      </extLst>
    </cfRule>
  </conditionalFormatting>
  <conditionalFormatting sqref="AH4:AH25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2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4:AJ250">
    <cfRule type="colorScale" priority="29">
      <colorScale>
        <cfvo type="min"/>
        <cfvo type="max"/>
        <color rgb="FFFCFCFF"/>
        <color rgb="FF63BE7B"/>
      </colorScale>
    </cfRule>
  </conditionalFormatting>
  <conditionalFormatting sqref="AK4:AK250">
    <cfRule type="colorScale" priority="28">
      <colorScale>
        <cfvo type="min"/>
        <cfvo type="max"/>
        <color rgb="FF63BE7B"/>
        <color rgb="FFFCFCFF"/>
      </colorScale>
    </cfRule>
  </conditionalFormatting>
  <conditionalFormatting sqref="AL4:AL250">
    <cfRule type="colorScale" priority="27">
      <colorScale>
        <cfvo type="min"/>
        <cfvo type="max"/>
        <color rgb="FFFCFCFF"/>
        <color rgb="FF63BE7B"/>
      </colorScale>
    </cfRule>
  </conditionalFormatting>
  <conditionalFormatting sqref="AP4:AP250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{EF699A44-1095-4F69-A3CE-7B0FC204BAF8}</x14:id>
        </ext>
      </extLst>
    </cfRule>
  </conditionalFormatting>
  <conditionalFormatting sqref="V4:V250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{A5F9E91D-8522-4963-913E-793A7E361B0B}</x14:id>
        </ext>
      </extLst>
    </cfRule>
  </conditionalFormatting>
  <conditionalFormatting sqref="X4:X250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{7817F760-31C9-47FE-B580-D4E83764241F}</x14:id>
        </ext>
      </extLst>
    </cfRule>
  </conditionalFormatting>
  <conditionalFormatting sqref="Y4:Y250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{1E56FE76-BE57-4D00-915C-53EFF7995426}</x14:id>
        </ext>
      </extLst>
    </cfRule>
  </conditionalFormatting>
  <conditionalFormatting sqref="Z4:AB250">
    <cfRule type="colorScale" priority="17">
      <colorScale>
        <cfvo type="min"/>
        <cfvo type="max"/>
        <color rgb="FFFCFCFF"/>
        <color rgb="FF63BE7B"/>
      </colorScale>
    </cfRule>
  </conditionalFormatting>
  <conditionalFormatting sqref="AD4:AD25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4:AC250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4:BJ2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:J25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4:A250">
    <cfRule type="iconSet" priority="1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K4:BK250">
    <cfRule type="iconSet" priority="10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U4:U2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4:T25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:R2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4:AT2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4:Q250 S4:S250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4:AG250">
    <cfRule type="expression" dxfId="8" priority="206">
      <formula>#REF!="R"</formula>
    </cfRule>
    <cfRule type="expression" dxfId="7" priority="207">
      <formula>#REF!="G"</formula>
    </cfRule>
  </conditionalFormatting>
  <conditionalFormatting sqref="AQ4:AQ250">
    <cfRule type="colorScale" priority="2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4:BA250 AR4:AS250">
    <cfRule type="colorScale" priority="3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4:BL250">
    <cfRule type="expression" dxfId="6" priority="317">
      <formula>#REF!="R"</formula>
    </cfRule>
    <cfRule type="expression" dxfId="5" priority="318">
      <formula>#REF!="G"</formula>
    </cfRule>
  </conditionalFormatting>
  <conditionalFormatting sqref="W1:AD1">
    <cfRule type="expression" dxfId="4" priority="319">
      <formula>#REF!="G"</formula>
    </cfRule>
    <cfRule type="expression" dxfId="3" priority="320">
      <formula>#REF!="R"</formula>
    </cfRule>
  </conditionalFormatting>
  <conditionalFormatting sqref="AG4:BK250">
    <cfRule type="expression" dxfId="2" priority="324">
      <formula>$AF4&gt;=$BQ$3</formula>
    </cfRule>
  </conditionalFormatting>
  <conditionalFormatting sqref="A4:BK250">
    <cfRule type="expression" dxfId="1" priority="325">
      <formula>$AF4=$BQ$3</formula>
    </cfRule>
  </conditionalFormatting>
  <conditionalFormatting sqref="A4:AE250">
    <cfRule type="expression" dxfId="0" priority="326">
      <formula>$AF4&lt;=$BQ$3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DC440D1-CD35-4305-9C80-09495B3389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AO4:AO250 W4:W250</xm:sqref>
        </x14:conditionalFormatting>
        <x14:conditionalFormatting xmlns:xm="http://schemas.microsoft.com/office/excel/2006/main">
          <x14:cfRule type="dataBar" id="{0BB5D6DA-A5A9-41BB-9E00-EC56EC79B8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AM4:AN250</xm:sqref>
        </x14:conditionalFormatting>
        <x14:conditionalFormatting xmlns:xm="http://schemas.microsoft.com/office/excel/2006/main">
          <x14:cfRule type="dataBar" id="{EF699A44-1095-4F69-A3CE-7B0FC204BA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AP4:AP250</xm:sqref>
        </x14:conditionalFormatting>
        <x14:conditionalFormatting xmlns:xm="http://schemas.microsoft.com/office/excel/2006/main">
          <x14:cfRule type="dataBar" id="{A5F9E91D-8522-4963-913E-793A7E361B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V4:V250</xm:sqref>
        </x14:conditionalFormatting>
        <x14:conditionalFormatting xmlns:xm="http://schemas.microsoft.com/office/excel/2006/main">
          <x14:cfRule type="dataBar" id="{7817F760-31C9-47FE-B580-D4E8376424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X4:X250</xm:sqref>
        </x14:conditionalFormatting>
        <x14:conditionalFormatting xmlns:xm="http://schemas.microsoft.com/office/excel/2006/main">
          <x14:cfRule type="dataBar" id="{1E56FE76-BE57-4D00-915C-53EFF79954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Y4:Y250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RawData</vt:lpstr>
      <vt:lpstr>OptionChain</vt:lpstr>
      <vt:lpstr>OptionChainLive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DrJuneMoone</dc:creator>
  <cp:lastModifiedBy>DrJuneMoone</cp:lastModifiedBy>
  <cp:lastPrinted>2022-07-28T20:43:56Z</cp:lastPrinted>
  <dcterms:created xsi:type="dcterms:W3CDTF">2022-07-06T14:44:38Z</dcterms:created>
  <dcterms:modified xsi:type="dcterms:W3CDTF">2022-08-10T12:48:41Z</dcterms:modified>
</cp:coreProperties>
</file>